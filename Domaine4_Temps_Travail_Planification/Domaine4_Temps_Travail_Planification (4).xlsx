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Tableau de Bord" sheetId="1" state="visible" r:id="rId1"/>
    <sheet xmlns:r="http://schemas.openxmlformats.org/officeDocument/2006/relationships" name="_Données Employés" sheetId="2" state="visible" r:id="rId2"/>
    <sheet xmlns:r="http://schemas.openxmlformats.org/officeDocument/2006/relationships" name="_Lists" sheetId="3" state="hidden" r:id="rId3"/>
    <sheet xmlns:r="http://schemas.openxmlformats.org/officeDocument/2006/relationships" name="2-Planning Mensuel" sheetId="4" state="visible" r:id="rId4"/>
    <sheet xmlns:r="http://schemas.openxmlformats.org/officeDocument/2006/relationships" name="3-Planning Hebdomadaire" sheetId="5" state="visible" r:id="rId5"/>
    <sheet xmlns:r="http://schemas.openxmlformats.org/officeDocument/2006/relationships" name="4-Garde &amp; Astreintes" sheetId="6" state="visible" r:id="rId6"/>
    <sheet xmlns:r="http://schemas.openxmlformats.org/officeDocument/2006/relationships" name="5-Pointage Journalier" sheetId="7" state="visible" r:id="rId7"/>
    <sheet xmlns:r="http://schemas.openxmlformats.org/officeDocument/2006/relationships" name="6-Releve Heures" sheetId="8" state="visible" r:id="rId8"/>
    <sheet xmlns:r="http://schemas.openxmlformats.org/officeDocument/2006/relationships" name="7-Heures Supplementaires" sheetId="9" state="visible" r:id="rId9"/>
    <sheet xmlns:r="http://schemas.openxmlformats.org/officeDocument/2006/relationships" name="8-Heures Nuit" sheetId="10" state="visible" r:id="rId10"/>
    <sheet xmlns:r="http://schemas.openxmlformats.org/officeDocument/2006/relationships" name="9-Heures WE &amp; Feries" sheetId="11" state="visible" r:id="rId11"/>
    <sheet xmlns:r="http://schemas.openxmlformats.org/officeDocument/2006/relationships" name="10-Compteurs Temps" sheetId="12" state="visible" r:id="rId12"/>
    <sheet xmlns:r="http://schemas.openxmlformats.org/officeDocument/2006/relationships" name="11-Calendrier Feries" sheetId="13" state="visible" r:id="rId13"/>
    <sheet xmlns:r="http://schemas.openxmlformats.org/officeDocument/2006/relationships" name="12-Roulement Equipes" sheetId="14" state="visible" r:id="rId14"/>
    <sheet xmlns:r="http://schemas.openxmlformats.org/officeDocument/2006/relationships" name="13-Conges Collectif" sheetId="15" state="visible" r:id="rId15"/>
    <sheet xmlns:r="http://schemas.openxmlformats.org/officeDocument/2006/relationships" name="14-Tableau Service" sheetId="16" state="visible" r:id="rId16"/>
    <sheet xmlns:r="http://schemas.openxmlformats.org/officeDocument/2006/relationships" name="15-Regimes Horaires" sheetId="17" state="visible" r:id="rId17"/>
    <sheet xmlns:r="http://schemas.openxmlformats.org/officeDocument/2006/relationships" name="16-Ecarts Pointage" sheetId="18" state="visible" r:id="rId18"/>
    <sheet xmlns:r="http://schemas.openxmlformats.org/officeDocument/2006/relationships" name="17-Bilan Mensuel Temps" sheetId="19" state="visible" r:id="rId19"/>
    <sheet xmlns:r="http://schemas.openxmlformats.org/officeDocument/2006/relationships" name="18-Rapports &amp; Audit Temps" sheetId="20" state="visible" r:id="rId20"/>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DD/MM/YYYY"/>
    <numFmt numFmtId="167" formatCode="0.0"/>
  </numFmts>
  <fonts count="11">
    <font>
      <name val="Calibri"/>
      <family val="2"/>
      <color theme="1"/>
      <sz val="11"/>
      <scheme val="minor"/>
    </font>
    <font>
      <name val="Noto Sans CJK SC"/>
      <b val="1"/>
      <color rgb="001B2A4A"/>
      <sz val="9"/>
    </font>
    <font>
      <name val="Noto Sans CJK SC"/>
      <sz val="9"/>
    </font>
    <font>
      <name val="Noto Sans CJK SC"/>
      <color rgb="001B2A4A"/>
      <sz val="16"/>
    </font>
    <font>
      <name val="Noto Sans CJK SC"/>
      <b val="1"/>
      <color rgb="001B7D46"/>
      <sz val="10"/>
    </font>
    <font>
      <name val="Noto Sans CJK SC"/>
      <color rgb="008C8A84"/>
      <sz val="9"/>
    </font>
    <font>
      <name val="Noto Sans CJK SC"/>
      <color rgb="001B2A4A"/>
      <sz val="22"/>
    </font>
    <font>
      <name val="Noto Sans CJK SC"/>
      <color rgb="001B2A4A"/>
      <sz val="12"/>
    </font>
    <font>
      <name val="Noto Sans CJK SC"/>
      <color rgb="0037352F"/>
      <sz val="11"/>
    </font>
    <font>
      <name val="Noto Sans CJK SC"/>
      <color rgb="00FFFFFF"/>
      <sz val="11"/>
    </font>
    <font>
      <name val="Noto Sans CJK SC"/>
      <color rgb="001B2A4A"/>
      <sz val="11"/>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37">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5" fillId="0" borderId="0" pivotButton="0" quotePrefix="0" xfId="0"/>
    <xf numFmtId="3" fontId="6" fillId="0" borderId="0" pivotButton="0" quotePrefix="0" xfId="0"/>
    <xf numFmtId="164" fontId="6" fillId="0" borderId="0" pivotButton="0" quotePrefix="0" xfId="0"/>
    <xf numFmtId="0" fontId="7" fillId="0" borderId="0" pivotButton="0" quotePrefix="0" xfId="0"/>
    <xf numFmtId="0" fontId="8" fillId="0" borderId="0" pivotButton="0" quotePrefix="0" xfId="0"/>
    <xf numFmtId="1" fontId="8" fillId="0" borderId="0" pivotButton="0" quotePrefix="0" xfId="0"/>
    <xf numFmtId="0" fontId="1" fillId="0" borderId="0" pivotButton="0" quotePrefix="0" xfId="0"/>
    <xf numFmtId="0" fontId="2" fillId="0" borderId="0" pivotButton="0" quotePrefix="0" xfId="0"/>
    <xf numFmtId="0" fontId="9" fillId="2" borderId="1" applyAlignment="1" pivotButton="0" quotePrefix="0" xfId="0">
      <alignment horizontal="center" vertical="center" wrapText="1"/>
    </xf>
    <xf numFmtId="0" fontId="8" fillId="3" borderId="0" pivotButton="0" quotePrefix="0" xfId="0"/>
    <xf numFmtId="1" fontId="8" fillId="3" borderId="0" applyAlignment="1" pivotButton="0" quotePrefix="0" xfId="0">
      <alignment horizontal="right" vertical="center"/>
    </xf>
    <xf numFmtId="165" fontId="8" fillId="3" borderId="0" applyAlignment="1" pivotButton="0" quotePrefix="0" xfId="0">
      <alignment horizontal="right" vertical="center"/>
    </xf>
    <xf numFmtId="0" fontId="8" fillId="4" borderId="0" pivotButton="0" quotePrefix="0" xfId="0"/>
    <xf numFmtId="1" fontId="8" fillId="4" borderId="0" applyAlignment="1" pivotButton="0" quotePrefix="0" xfId="0">
      <alignment horizontal="right" vertical="center"/>
    </xf>
    <xf numFmtId="165" fontId="8" fillId="4" borderId="0" applyAlignment="1" pivotButton="0" quotePrefix="0" xfId="0">
      <alignment horizontal="right" vertical="center"/>
    </xf>
    <xf numFmtId="0" fontId="8" fillId="4" borderId="0" applyAlignment="1" pivotButton="0" quotePrefix="0" xfId="0">
      <alignment horizontal="left" vertical="center"/>
    </xf>
    <xf numFmtId="0" fontId="8" fillId="3" borderId="0" applyAlignment="1" pivotButton="0" quotePrefix="0" xfId="0">
      <alignment horizontal="left" vertical="center"/>
    </xf>
    <xf numFmtId="166" fontId="8" fillId="3" borderId="0" applyAlignment="1" pivotButton="0" quotePrefix="0" xfId="0">
      <alignment horizontal="center" vertical="center"/>
    </xf>
    <xf numFmtId="3" fontId="8" fillId="3" borderId="0" applyAlignment="1" pivotButton="0" quotePrefix="0" xfId="0">
      <alignment horizontal="right" vertical="center"/>
    </xf>
    <xf numFmtId="166" fontId="8" fillId="4" borderId="0" applyAlignment="1" pivotButton="0" quotePrefix="0" xfId="0">
      <alignment horizontal="center" vertical="center"/>
    </xf>
    <xf numFmtId="3" fontId="8" fillId="4" borderId="0" applyAlignment="1" pivotButton="0" quotePrefix="0" xfId="0">
      <alignment horizontal="right" vertical="center"/>
    </xf>
    <xf numFmtId="0" fontId="10" fillId="5" borderId="2" applyAlignment="1" pivotButton="0" quotePrefix="0" xfId="0">
      <alignment horizontal="left" vertical="center"/>
    </xf>
    <xf numFmtId="0" fontId="10" fillId="5" borderId="2" pivotButton="0" quotePrefix="0" xfId="0"/>
    <xf numFmtId="4" fontId="10" fillId="5" borderId="2" applyAlignment="1" pivotButton="0" quotePrefix="0" xfId="0">
      <alignment horizontal="right" vertical="center"/>
    </xf>
    <xf numFmtId="4" fontId="8" fillId="3" borderId="0" applyAlignment="1" pivotButton="0" quotePrefix="0" xfId="0">
      <alignment horizontal="right" vertical="center"/>
    </xf>
    <xf numFmtId="4" fontId="8" fillId="4" borderId="0" applyAlignment="1" pivotButton="0" quotePrefix="0" xfId="0">
      <alignment horizontal="right" vertical="center"/>
    </xf>
    <xf numFmtId="164" fontId="8" fillId="3" borderId="0" applyAlignment="1" pivotButton="0" quotePrefix="0" xfId="0">
      <alignment horizontal="right" vertical="center"/>
    </xf>
    <xf numFmtId="164" fontId="8" fillId="4" borderId="0" applyAlignment="1" pivotButton="0" quotePrefix="0" xfId="0">
      <alignment horizontal="right" vertical="center"/>
    </xf>
    <xf numFmtId="167" fontId="8" fillId="3" borderId="0" applyAlignment="1" pivotButton="0" quotePrefix="0" xfId="0">
      <alignment horizontal="right" vertical="center"/>
    </xf>
    <xf numFmtId="167" fontId="8" fillId="4" borderId="0" applyAlignment="1" pivotButton="0" quotePrefix="0" xfId="0">
      <alignment horizontal="right" vertical="center"/>
    </xf>
    <xf numFmtId="166" fontId="8" fillId="3" borderId="0" applyAlignment="1" pivotButton="0" quotePrefix="0" xfId="0">
      <alignment horizontal="center" vertical="center"/>
    </xf>
    <xf numFmtId="166" fontId="8" fillId="4" borderId="0" applyAlignment="1" pivotButton="0" quotePrefix="0" xfId="0">
      <alignment horizontal="center" vertical="center"/>
    </xf>
    <xf numFmtId="167" fontId="8" fillId="3" borderId="0" applyAlignment="1" pivotButton="0" quotePrefix="0" xfId="0">
      <alignment horizontal="right" vertical="center"/>
    </xf>
    <xf numFmtId="167" fontId="8" fillId="4" borderId="0" applyAlignment="1" pivotButton="0" quotePrefix="0" xfId="0">
      <alignment horizontal="right" vertical="center"/>
    </xf>
  </cellXfs>
  <cellStyles count="1">
    <cellStyle name="Normal" xfId="0" builtinId="0" hidden="0"/>
  </cellStyles>
  <dxfs count="5">
    <dxf>
      <font>
        <color rgb="001B7D46"/>
      </font>
      <fill>
        <patternFill>
          <bgColor rgb="00E8F5E9"/>
        </patternFill>
      </fill>
    </dxf>
    <dxf>
      <font>
        <color rgb="00D4820A"/>
      </font>
      <fill>
        <patternFill>
          <bgColor rgb="00FEF9E7"/>
        </patternFill>
      </fill>
    </dxf>
    <dxf>
      <font>
        <color rgb="00C0392B"/>
      </font>
      <fill>
        <patternFill>
          <bgColor rgb="00FDEDEC"/>
        </patternFill>
      </fill>
    </dxf>
    <dxf>
      <fill>
        <patternFill patternType="solid">
          <fgColor rgb="00FFFDE7"/>
        </patternFill>
      </fill>
    </dxf>
    <dxf>
      <font>
        <b val="1"/>
        <color rgb="001F4E79"/>
      </font>
      <fill>
        <patternFill patternType="solid">
          <fgColor rgb="00D6E4F0"/>
          <bgColor rgb="00D6E4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Heures par Departement (Effectives + Supp)</a:t>
            </a:r>
          </a:p>
        </rich>
      </tx>
    </title>
    <plotArea>
      <barChart>
        <barDir val="col"/>
        <grouping val="clustered"/>
        <ser>
          <idx val="0"/>
          <order val="0"/>
          <tx>
            <strRef>
              <f>'1-Tableau de Bord'!C27</f>
            </strRef>
          </tx>
          <spPr>
            <a:solidFill xmlns:a="http://schemas.openxmlformats.org/drawingml/2006/main">
              <a:srgbClr val="1B2A4A"/>
            </a:solidFill>
            <a:ln xmlns:a="http://schemas.openxmlformats.org/drawingml/2006/main">
              <a:solidFill>
                <a:srgbClr val="1B2A4A"/>
              </a:solidFill>
              <a:prstDash val="solid"/>
            </a:ln>
          </spPr>
          <cat>
            <numRef>
              <f>'1-Tableau de Bord'!$B$28:$B$40</f>
            </numRef>
          </cat>
          <val>
            <numRef>
              <f>'1-Tableau de Bord'!$C$28:$C$40</f>
            </numRef>
          </val>
        </ser>
        <ser>
          <idx val="1"/>
          <order val="1"/>
          <tx>
            <strRef>
              <f>'1-Tableau de Bord'!D27</f>
            </strRef>
          </tx>
          <spPr>
            <a:solidFill xmlns:a="http://schemas.openxmlformats.org/drawingml/2006/main">
              <a:srgbClr val="1B7D46"/>
            </a:solidFill>
            <a:ln xmlns:a="http://schemas.openxmlformats.org/drawingml/2006/main">
              <a:solidFill>
                <a:srgbClr val="1B7D46"/>
              </a:solidFill>
              <a:prstDash val="solid"/>
            </a:ln>
          </spPr>
          <cat>
            <numRef>
              <f>'1-Tableau de Bord'!$B$28:$B$40</f>
            </numRef>
          </cat>
          <val>
            <numRef>
              <f>'1-Tableau de Bord'!$D$28:$D$40</f>
            </numRef>
          </val>
        </ser>
        <gapWidth val="8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Repartition par Type d'Heure</a:t>
            </a:r>
          </a:p>
        </rich>
      </tx>
    </title>
    <plotArea>
      <pieChart>
        <varyColors val="1"/>
        <ser>
          <idx val="0"/>
          <order val="0"/>
          <tx>
            <strRef>
              <f>'1-Tableau de Bord'!I42</f>
            </strRef>
          </tx>
          <spPr>
            <a:ln xmlns:a="http://schemas.openxmlformats.org/drawingml/2006/main">
              <a:prstDash val="solid"/>
            </a:ln>
          </spPr>
          <dPt>
            <idx val="0"/>
            <spPr>
              <a:solidFill xmlns:a="http://schemas.openxmlformats.org/drawingml/2006/main">
                <a:srgbClr val="1B2A4A"/>
              </a:solidFill>
              <a:ln xmlns:a="http://schemas.openxmlformats.org/drawingml/2006/main">
                <a:prstDash val="solid"/>
              </a:ln>
            </spPr>
          </dPt>
          <dPt>
            <idx val="1"/>
            <spPr>
              <a:solidFill xmlns:a="http://schemas.openxmlformats.org/drawingml/2006/main">
                <a:srgbClr val="1B7D46"/>
              </a:solidFill>
              <a:ln xmlns:a="http://schemas.openxmlformats.org/drawingml/2006/main">
                <a:prstDash val="solid"/>
              </a:ln>
            </spPr>
          </dPt>
          <dPt>
            <idx val="2"/>
            <spPr>
              <a:solidFill xmlns:a="http://schemas.openxmlformats.org/drawingml/2006/main">
                <a:srgbClr val="D4820A"/>
              </a:solidFill>
              <a:ln xmlns:a="http://schemas.openxmlformats.org/drawingml/2006/main">
                <a:prstDash val="solid"/>
              </a:ln>
            </spPr>
          </dPt>
          <dPt>
            <idx val="3"/>
            <spPr>
              <a:solidFill xmlns:a="http://schemas.openxmlformats.org/drawingml/2006/main">
                <a:srgbClr val="C0392B"/>
              </a:solidFill>
              <a:ln xmlns:a="http://schemas.openxmlformats.org/drawingml/2006/main">
                <a:prstDash val="solid"/>
              </a:ln>
            </spPr>
          </dPt>
          <cat>
            <numRef>
              <f>'1-Tableau de Bord'!$H$43:$H$46</f>
            </numRef>
          </cat>
          <val>
            <numRef>
              <f>'1-Tableau de Bord'!$I$43:$I$46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41</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41</row>
      <rowOff>0</rowOff>
    </from>
    <ext cx="504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L46"/>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15" customHeight="1"/>
    <row r="2" ht="32" customHeight="1">
      <c r="B2" s="1" t="inlineStr">
        <is>
          <t>DOMAINE 3 — TEMPS DE TRAVAIL &amp; PLANIFICATION</t>
        </is>
      </c>
    </row>
    <row r="3" ht="8" customHeight="1">
      <c r="B3" s="2" t="inlineStr">
        <is>
          <t>TABLEAU DE BORD — Vue synthetique de tous les indicateurs du domaine (mis a jour automatiquement)</t>
        </is>
      </c>
    </row>
    <row r="5">
      <c r="B5" s="3" t="inlineStr">
        <is>
          <t>Employes planifies</t>
        </is>
      </c>
      <c r="E5" s="3" t="inlineStr">
        <is>
          <t>Heures prevues</t>
        </is>
      </c>
      <c r="H5" s="3" t="inlineStr">
        <is>
          <t>Heures effectives</t>
        </is>
      </c>
      <c r="K5" s="3" t="inlineStr">
        <is>
          <t>Ecart total (h)</t>
        </is>
      </c>
    </row>
    <row r="6">
      <c r="B6" s="4">
        <f>COUNTIF('2-Planning Mensuel'!B5:B104,"&lt;&gt;")</f>
        <v/>
      </c>
      <c r="E6" s="4">
        <f>SUM('2-Planning Mensuel'!AQ5:AQ104)</f>
        <v/>
      </c>
      <c r="H6" s="4">
        <f>SUM('2-Planning Mensuel'!AR5:AR104)</f>
        <v/>
      </c>
      <c r="K6" s="4">
        <f>SUM('2-Planning Mensuel'!AS5:AS104)</f>
        <v/>
      </c>
    </row>
    <row r="9">
      <c r="B9" s="3" t="inlineStr">
        <is>
          <t>Pointages saisis</t>
        </is>
      </c>
      <c r="E9" s="3" t="inlineStr">
        <is>
          <t>Retards detectes</t>
        </is>
      </c>
      <c r="H9" s="3" t="inlineStr">
        <is>
          <t>Anomalies pointage</t>
        </is>
      </c>
      <c r="K9" s="3" t="inlineStr">
        <is>
          <t>Pointages valides</t>
        </is>
      </c>
    </row>
    <row r="10">
      <c r="B10" s="4">
        <f>COUNTIF('5-Pointage Journalier'!B5:B104,"&lt;&gt;")</f>
        <v/>
      </c>
      <c r="E10" s="4">
        <f>COUNTIF('5-Pointage Journalier'!M5:M104,"&gt;0")</f>
        <v/>
      </c>
      <c r="H10" s="4">
        <f>COUNTIF('5-Pointage Journalier'!N5:N104,"Anomalie detectee")</f>
        <v/>
      </c>
      <c r="K10" s="4">
        <f>COUNTIF('5-Pointage Journalier'!N5:N104,"Valide")</f>
        <v/>
      </c>
    </row>
    <row r="13">
      <c r="B13" s="3" t="inlineStr">
        <is>
          <t>Total heures supp</t>
        </is>
      </c>
      <c r="E13" s="3" t="inlineStr">
        <is>
          <t>Heures bonifiees</t>
        </is>
      </c>
      <c r="H13" s="3" t="inlineStr">
        <is>
          <t>Cout HS total (FCFA)</t>
        </is>
      </c>
      <c r="K13" s="3" t="inlineStr">
        <is>
          <t>HS en attente</t>
        </is>
      </c>
    </row>
    <row r="14">
      <c r="B14" s="4">
        <f>SUM('7-Heures Supplementaires'!I5:I104)</f>
        <v/>
      </c>
      <c r="E14" s="4">
        <f>SUM('7-Heures Supplementaires'!L5:L104)</f>
        <v/>
      </c>
      <c r="H14" s="4">
        <f>SUM('7-Heures Supplementaires'!M5:M104)</f>
        <v/>
      </c>
      <c r="K14" s="4">
        <f>COUNTIF('7-Heures Supplementaires'!N5:N104,"En attente")</f>
        <v/>
      </c>
    </row>
    <row r="17">
      <c r="B17" s="3" t="inlineStr">
        <is>
          <t>Total heures nuit</t>
        </is>
      </c>
      <c r="E17" s="3" t="inlineStr">
        <is>
          <t>Heures WE/feries</t>
        </is>
      </c>
      <c r="H17" s="3" t="inlineStr">
        <is>
          <t>Cout WE/Feries (FCFA)</t>
        </is>
      </c>
      <c r="K17" s="3" t="inlineStr">
        <is>
          <t>Gardes effectuees</t>
        </is>
      </c>
    </row>
    <row r="18">
      <c r="B18" s="4">
        <f>SUM('8-Heures Nuit'!K5:K104)</f>
        <v/>
      </c>
      <c r="E18" s="4">
        <f>SUM('9-Heures WE &amp; Feries'!I5:I104)</f>
        <v/>
      </c>
      <c r="H18" s="4">
        <f>SUM('9-Heures WE &amp; Feries'!L5:L104)</f>
        <v/>
      </c>
      <c r="K18" s="4">
        <f>COUNTIF('4-Garde &amp; Astreintes'!L5:L104,"Effectuee")</f>
        <v/>
      </c>
    </row>
    <row r="21">
      <c r="B21" s="3" t="inlineStr">
        <is>
          <t>Total ecarts</t>
        </is>
      </c>
      <c r="E21" s="3" t="inlineStr">
        <is>
          <t>Ecarts non traites</t>
        </is>
      </c>
      <c r="H21" s="3" t="inlineStr">
        <is>
          <t>Rapports d'audit</t>
        </is>
      </c>
      <c r="K21" s="3" t="inlineStr">
        <is>
          <t>Taux realisation moy.</t>
        </is>
      </c>
    </row>
    <row r="22">
      <c r="B22" s="4">
        <f>COUNTIF('16-Ecarts Pointage'!B5:B104,"&lt;&gt;")</f>
        <v/>
      </c>
      <c r="E22" s="4">
        <f>COUNTIF('16-Ecarts Pointage'!M5:M104,"En attente")</f>
        <v/>
      </c>
      <c r="H22" s="4">
        <f>COUNTIF('18-Rapports &amp; Audit Temps'!B5:B104,"&lt;&gt;")</f>
        <v/>
      </c>
      <c r="K22" s="5">
        <f>IFERROR(AVERAGE('10-Compteurs Temps'!N5:N104),0)</f>
        <v/>
      </c>
    </row>
    <row r="26">
      <c r="B26" s="6" t="inlineStr">
        <is>
          <t>REPARTITION PAR DEPARTEMENT &amp; TYPE D'HEURE</t>
        </is>
      </c>
    </row>
    <row r="27" ht="15" customHeight="1">
      <c r="B27" s="3" t="inlineStr">
        <is>
          <t>Departement</t>
        </is>
      </c>
      <c r="C27" s="3" t="inlineStr">
        <is>
          <t>Heures Effectives</t>
        </is>
      </c>
      <c r="D27" s="3" t="inlineStr">
        <is>
          <t>Heures Supp</t>
        </is>
      </c>
    </row>
    <row r="28" ht="15" customHeight="1">
      <c r="B28" s="7" t="inlineStr">
        <is>
          <t>Ressources Humaines</t>
        </is>
      </c>
      <c r="C28" s="8">
        <f>SUMIF('2-Planning Mensuel'!E5:E104,B28,'2-Planning Mensuel'!AR5:AR104)</f>
        <v/>
      </c>
      <c r="D28" s="8">
        <f>SUMIF('7-Heures Supplementaires'!E5:E104,B28,'7-Heures Supplementaires'!I5:I104)</f>
        <v/>
      </c>
    </row>
    <row r="29" ht="15" customHeight="1">
      <c r="B29" s="7" t="inlineStr">
        <is>
          <t>Informatique</t>
        </is>
      </c>
      <c r="C29" s="8">
        <f>SUMIF('2-Planning Mensuel'!E5:E104,B29,'2-Planning Mensuel'!AR5:AR104)</f>
        <v/>
      </c>
      <c r="D29" s="8">
        <f>SUMIF('7-Heures Supplementaires'!E5:E104,B29,'7-Heures Supplementaires'!I5:I104)</f>
        <v/>
      </c>
    </row>
    <row r="30" ht="15" customHeight="1">
      <c r="B30" s="7" t="inlineStr">
        <is>
          <t>Finance &amp; Comptabilite</t>
        </is>
      </c>
      <c r="C30" s="8">
        <f>SUMIF('2-Planning Mensuel'!E5:E104,B30,'2-Planning Mensuel'!AR5:AR104)</f>
        <v/>
      </c>
      <c r="D30" s="8">
        <f>SUMIF('7-Heures Supplementaires'!E5:E104,B30,'7-Heures Supplementaires'!I5:I104)</f>
        <v/>
      </c>
    </row>
    <row r="31" ht="15" customHeight="1">
      <c r="B31" s="7" t="inlineStr">
        <is>
          <t>Reception &amp; Front Office</t>
        </is>
      </c>
      <c r="C31" s="8">
        <f>SUMIF('2-Planning Mensuel'!E5:E104,B31,'2-Planning Mensuel'!AR5:AR104)</f>
        <v/>
      </c>
      <c r="D31" s="8">
        <f>SUMIF('7-Heures Supplementaires'!E5:E104,B31,'7-Heures Supplementaires'!I5:I104)</f>
        <v/>
      </c>
    </row>
    <row r="32" ht="15" customHeight="1">
      <c r="B32" s="7" t="inlineStr">
        <is>
          <t>Cuisine &amp; Restauration</t>
        </is>
      </c>
      <c r="C32" s="8">
        <f>SUMIF('2-Planning Mensuel'!E5:E104,B32,'2-Planning Mensuel'!AR5:AR104)</f>
        <v/>
      </c>
      <c r="D32" s="8">
        <f>SUMIF('7-Heures Supplementaires'!E5:E104,B32,'7-Heures Supplementaires'!I5:I104)</f>
        <v/>
      </c>
    </row>
    <row r="33" ht="15" customHeight="1">
      <c r="B33" s="7" t="n"/>
      <c r="C33" s="8" t="n"/>
      <c r="D33" s="8" t="n"/>
    </row>
    <row r="34" ht="15" customHeight="1">
      <c r="B34" s="7" t="n"/>
      <c r="C34" s="8" t="n"/>
      <c r="D34" s="8" t="n"/>
    </row>
    <row r="35" ht="15" customHeight="1">
      <c r="B35" s="7" t="n"/>
      <c r="C35" s="8" t="n"/>
      <c r="D35" s="8" t="n"/>
    </row>
    <row r="36" ht="15" customHeight="1">
      <c r="B36" s="7" t="n"/>
      <c r="C36" s="8" t="n"/>
      <c r="D36" s="8" t="n"/>
    </row>
    <row r="37" ht="15" customHeight="1">
      <c r="B37" s="7" t="n"/>
      <c r="C37" s="8" t="n"/>
      <c r="D37" s="8" t="n"/>
    </row>
    <row r="38" ht="15" customHeight="1">
      <c r="B38" s="7" t="n"/>
      <c r="C38" s="8" t="n"/>
      <c r="D38" s="8" t="n"/>
    </row>
    <row r="39" ht="15" customHeight="1">
      <c r="B39" s="7" t="n"/>
      <c r="C39" s="8" t="n"/>
      <c r="D39" s="8" t="n"/>
    </row>
    <row r="40" ht="15" customHeight="1">
      <c r="B40" s="7" t="n"/>
      <c r="C40" s="8" t="n"/>
      <c r="D40" s="8" t="n"/>
    </row>
    <row r="41" ht="15" customHeight="1"/>
    <row r="42" ht="15" customHeight="1">
      <c r="H42" s="3" t="inlineStr">
        <is>
          <t>Type Heure</t>
        </is>
      </c>
      <c r="I42" s="3" t="inlineStr">
        <is>
          <t>Total Heures</t>
        </is>
      </c>
    </row>
    <row r="43" ht="15" customHeight="1">
      <c r="H43" s="7" t="inlineStr">
        <is>
          <t>Normales</t>
        </is>
      </c>
      <c r="I43" s="8">
        <f>SUM('6-Releve Heures'!G5:G104)</f>
        <v/>
      </c>
    </row>
    <row r="44" ht="15" customHeight="1">
      <c r="H44" s="7" t="inlineStr">
        <is>
          <t>Supplementaires</t>
        </is>
      </c>
      <c r="I44" s="8">
        <f>SUM('6-Releve Heures'!H5:H104)</f>
        <v/>
      </c>
    </row>
    <row r="45" ht="15" customHeight="1">
      <c r="H45" s="7" t="inlineStr">
        <is>
          <t>Nuit</t>
        </is>
      </c>
      <c r="I45" s="8">
        <f>SUM('6-Releve Heures'!I5:I104)</f>
        <v/>
      </c>
    </row>
    <row r="46" ht="15" customHeight="1">
      <c r="H46" s="7" t="inlineStr">
        <is>
          <t>Week-End/Feries</t>
        </is>
      </c>
      <c r="I46" s="8">
        <f>SUM('6-Releve Heures'!J5:J104)</f>
        <v/>
      </c>
    </row>
  </sheetData>
  <mergeCells count="43">
    <mergeCell ref="B26:L26"/>
    <mergeCell ref="H10:I10"/>
    <mergeCell ref="B3:L3"/>
    <mergeCell ref="K9:L9"/>
    <mergeCell ref="E5:F5"/>
    <mergeCell ref="K5:L5"/>
    <mergeCell ref="B22:C22"/>
    <mergeCell ref="E14:F14"/>
    <mergeCell ref="B18:C18"/>
    <mergeCell ref="E17:F17"/>
    <mergeCell ref="H9:I9"/>
    <mergeCell ref="K21:L21"/>
    <mergeCell ref="B21:C21"/>
    <mergeCell ref="H21:I21"/>
    <mergeCell ref="H6:I6"/>
    <mergeCell ref="E10:F10"/>
    <mergeCell ref="B2:L2"/>
    <mergeCell ref="B14:C14"/>
    <mergeCell ref="E13:F13"/>
    <mergeCell ref="B17:C17"/>
    <mergeCell ref="K22:L22"/>
    <mergeCell ref="E9:F9"/>
    <mergeCell ref="H17:I17"/>
    <mergeCell ref="B13:C13"/>
    <mergeCell ref="E6:F6"/>
    <mergeCell ref="B10:C10"/>
    <mergeCell ref="H22:I22"/>
    <mergeCell ref="B9:C9"/>
    <mergeCell ref="H13:I13"/>
    <mergeCell ref="K14:L14"/>
    <mergeCell ref="K17:L17"/>
    <mergeCell ref="B6:C6"/>
    <mergeCell ref="B5:C5"/>
    <mergeCell ref="K10:L10"/>
    <mergeCell ref="H18:I18"/>
    <mergeCell ref="H5:I5"/>
    <mergeCell ref="E22:F22"/>
    <mergeCell ref="H14:I14"/>
    <mergeCell ref="K6:L6"/>
    <mergeCell ref="K13:L13"/>
    <mergeCell ref="E18:F18"/>
    <mergeCell ref="K18:L18"/>
    <mergeCell ref="E21:F21"/>
  </mergeCells>
  <conditionalFormatting sqref="B6">
    <cfRule type="cellIs" priority="1" operator="greaterThan" dxfId="4">
      <formula>0</formula>
    </cfRule>
  </conditionalFormatting>
  <conditionalFormatting sqref="E6">
    <cfRule type="cellIs" priority="2" operator="greaterThan" dxfId="4">
      <formula>0</formula>
    </cfRule>
  </conditionalFormatting>
  <conditionalFormatting sqref="H6">
    <cfRule type="cellIs" priority="3" operator="greaterThan" dxfId="4">
      <formula>0</formula>
    </cfRule>
  </conditionalFormatting>
  <conditionalFormatting sqref="K6">
    <cfRule type="cellIs" priority="4" operator="greaterThan" dxfId="4">
      <formula>0</formula>
    </cfRule>
  </conditionalFormatting>
  <conditionalFormatting sqref="B10">
    <cfRule type="cellIs" priority="5" operator="greaterThan" dxfId="4">
      <formula>0</formula>
    </cfRule>
  </conditionalFormatting>
  <conditionalFormatting sqref="E10">
    <cfRule type="cellIs" priority="6" operator="greaterThan" dxfId="4">
      <formula>0</formula>
    </cfRule>
  </conditionalFormatting>
  <conditionalFormatting sqref="H10">
    <cfRule type="cellIs" priority="7" operator="greaterThan" dxfId="4">
      <formula>0</formula>
    </cfRule>
  </conditionalFormatting>
  <conditionalFormatting sqref="K10">
    <cfRule type="cellIs" priority="8" operator="greaterThan" dxfId="4">
      <formula>0</formula>
    </cfRule>
  </conditionalFormatting>
  <conditionalFormatting sqref="B14">
    <cfRule type="cellIs" priority="9" operator="greaterThan" dxfId="4">
      <formula>0</formula>
    </cfRule>
  </conditionalFormatting>
  <conditionalFormatting sqref="E14">
    <cfRule type="cellIs" priority="10" operator="greaterThan" dxfId="4">
      <formula>0</formula>
    </cfRule>
  </conditionalFormatting>
  <conditionalFormatting sqref="H14">
    <cfRule type="cellIs" priority="11" operator="greaterThan" dxfId="4">
      <formula>0</formula>
    </cfRule>
  </conditionalFormatting>
  <conditionalFormatting sqref="K14">
    <cfRule type="cellIs" priority="12" operator="greaterThan" dxfId="4">
      <formula>0</formula>
    </cfRule>
  </conditionalFormatting>
  <conditionalFormatting sqref="B18">
    <cfRule type="cellIs" priority="13" operator="greaterThan" dxfId="4">
      <formula>0</formula>
    </cfRule>
  </conditionalFormatting>
  <conditionalFormatting sqref="E18">
    <cfRule type="cellIs" priority="14" operator="greaterThan" dxfId="4">
      <formula>0</formula>
    </cfRule>
  </conditionalFormatting>
  <conditionalFormatting sqref="H18">
    <cfRule type="cellIs" priority="15" operator="greaterThan" dxfId="4">
      <formula>0</formula>
    </cfRule>
  </conditionalFormatting>
  <conditionalFormatting sqref="K18">
    <cfRule type="cellIs" priority="16" operator="greaterThan" dxfId="4">
      <formula>0</formula>
    </cfRule>
  </conditionalFormatting>
  <conditionalFormatting sqref="B22">
    <cfRule type="cellIs" priority="17" operator="greaterThan" dxfId="4">
      <formula>0</formula>
    </cfRule>
  </conditionalFormatting>
  <conditionalFormatting sqref="E22">
    <cfRule type="cellIs" priority="18" operator="greaterThan" dxfId="4">
      <formula>0</formula>
    </cfRule>
  </conditionalFormatting>
  <conditionalFormatting sqref="H22">
    <cfRule type="cellIs" priority="19" operator="greaterThan" dxfId="4">
      <formula>0</formula>
    </cfRule>
  </conditionalFormatting>
  <conditionalFormatting sqref="K22">
    <cfRule type="cellIs" priority="20" operator="greaterThan" dxfId="4">
      <formula>0</formula>
    </cfRule>
  </conditionalFormatting>
  <conditionalFormatting sqref="C28">
    <cfRule type="cellIs" priority="21" operator="greaterThan" dxfId="4">
      <formula>0</formula>
    </cfRule>
  </conditionalFormatting>
  <conditionalFormatting sqref="D28">
    <cfRule type="cellIs" priority="22" operator="greaterThan" dxfId="4">
      <formula>0</formula>
    </cfRule>
  </conditionalFormatting>
  <conditionalFormatting sqref="C29">
    <cfRule type="cellIs" priority="23" operator="greaterThan" dxfId="4">
      <formula>0</formula>
    </cfRule>
  </conditionalFormatting>
  <conditionalFormatting sqref="D29">
    <cfRule type="cellIs" priority="24" operator="greaterThan" dxfId="4">
      <formula>0</formula>
    </cfRule>
  </conditionalFormatting>
  <conditionalFormatting sqref="C30">
    <cfRule type="cellIs" priority="25" operator="greaterThan" dxfId="4">
      <formula>0</formula>
    </cfRule>
  </conditionalFormatting>
  <conditionalFormatting sqref="D30">
    <cfRule type="cellIs" priority="26" operator="greaterThan" dxfId="4">
      <formula>0</formula>
    </cfRule>
  </conditionalFormatting>
  <conditionalFormatting sqref="C31">
    <cfRule type="cellIs" priority="27" operator="greaterThan" dxfId="4">
      <formula>0</formula>
    </cfRule>
  </conditionalFormatting>
  <conditionalFormatting sqref="D31">
    <cfRule type="cellIs" priority="28" operator="greaterThan" dxfId="4">
      <formula>0</formula>
    </cfRule>
  </conditionalFormatting>
  <conditionalFormatting sqref="C32">
    <cfRule type="cellIs" priority="29" operator="greaterThan" dxfId="4">
      <formula>0</formula>
    </cfRule>
  </conditionalFormatting>
  <conditionalFormatting sqref="D32">
    <cfRule type="cellIs" priority="30" operator="greaterThan" dxfId="4">
      <formula>0</formula>
    </cfRule>
  </conditionalFormatting>
  <conditionalFormatting sqref="C33">
    <cfRule type="cellIs" priority="31" operator="greaterThan" dxfId="4">
      <formula>0</formula>
    </cfRule>
  </conditionalFormatting>
  <conditionalFormatting sqref="D33">
    <cfRule type="cellIs" priority="32" operator="greaterThan" dxfId="4">
      <formula>0</formula>
    </cfRule>
  </conditionalFormatting>
  <conditionalFormatting sqref="C34">
    <cfRule type="cellIs" priority="33" operator="greaterThan" dxfId="4">
      <formula>0</formula>
    </cfRule>
  </conditionalFormatting>
  <conditionalFormatting sqref="D34">
    <cfRule type="cellIs" priority="34" operator="greaterThan" dxfId="4">
      <formula>0</formula>
    </cfRule>
  </conditionalFormatting>
  <conditionalFormatting sqref="C35">
    <cfRule type="cellIs" priority="35" operator="greaterThan" dxfId="4">
      <formula>0</formula>
    </cfRule>
  </conditionalFormatting>
  <conditionalFormatting sqref="D35">
    <cfRule type="cellIs" priority="36" operator="greaterThan" dxfId="4">
      <formula>0</formula>
    </cfRule>
  </conditionalFormatting>
  <conditionalFormatting sqref="C36">
    <cfRule type="cellIs" priority="37" operator="greaterThan" dxfId="4">
      <formula>0</formula>
    </cfRule>
  </conditionalFormatting>
  <conditionalFormatting sqref="D36">
    <cfRule type="cellIs" priority="38" operator="greaterThan" dxfId="4">
      <formula>0</formula>
    </cfRule>
  </conditionalFormatting>
  <conditionalFormatting sqref="C37">
    <cfRule type="cellIs" priority="39" operator="greaterThan" dxfId="4">
      <formula>0</formula>
    </cfRule>
  </conditionalFormatting>
  <conditionalFormatting sqref="D37">
    <cfRule type="cellIs" priority="40" operator="greaterThan" dxfId="4">
      <formula>0</formula>
    </cfRule>
  </conditionalFormatting>
  <conditionalFormatting sqref="C38">
    <cfRule type="cellIs" priority="41" operator="greaterThan" dxfId="4">
      <formula>0</formula>
    </cfRule>
  </conditionalFormatting>
  <conditionalFormatting sqref="D38">
    <cfRule type="cellIs" priority="42" operator="greaterThan" dxfId="4">
      <formula>0</formula>
    </cfRule>
  </conditionalFormatting>
  <conditionalFormatting sqref="C39">
    <cfRule type="cellIs" priority="43" operator="greaterThan" dxfId="4">
      <formula>0</formula>
    </cfRule>
  </conditionalFormatting>
  <conditionalFormatting sqref="D39">
    <cfRule type="cellIs" priority="44" operator="greaterThan" dxfId="4">
      <formula>0</formula>
    </cfRule>
  </conditionalFormatting>
  <conditionalFormatting sqref="C40">
    <cfRule type="cellIs" priority="45" operator="greaterThan" dxfId="4">
      <formula>0</formula>
    </cfRule>
  </conditionalFormatting>
  <conditionalFormatting sqref="D40">
    <cfRule type="cellIs" priority="46" operator="greaterThan" dxfId="4">
      <formula>0</formula>
    </cfRule>
  </conditionalFormatting>
  <conditionalFormatting sqref="I43">
    <cfRule type="cellIs" priority="47" operator="greaterThan" dxfId="4">
      <formula>0</formula>
    </cfRule>
  </conditionalFormatting>
  <conditionalFormatting sqref="I44">
    <cfRule type="cellIs" priority="48" operator="greaterThan" dxfId="4">
      <formula>0</formula>
    </cfRule>
  </conditionalFormatting>
  <conditionalFormatting sqref="I45">
    <cfRule type="cellIs" priority="49" operator="greaterThan" dxfId="4">
      <formula>0</formula>
    </cfRule>
  </conditionalFormatting>
  <conditionalFormatting sqref="I46">
    <cfRule type="cellIs" priority="50" operator="greaterThan" dxfId="4">
      <formula>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4:H18"/>
  <sheetViews>
    <sheetView workbookViewId="0">
      <selection activeCell="A1" sqref="A1"/>
    </sheetView>
  </sheetViews>
  <sheetFormatPr baseColWidth="8" defaultRowHeight="15"/>
  <sheetData>
    <row r="4">
      <c r="B4" t="inlineStr">
        <is>
          <t>Matricule</t>
        </is>
      </c>
      <c r="C4" t="inlineStr">
        <is>
          <t>Civilité</t>
        </is>
      </c>
      <c r="D4" t="inlineStr">
        <is>
          <t>Nom</t>
        </is>
      </c>
      <c r="E4" t="inlineStr">
        <is>
          <t>Prénom</t>
        </is>
      </c>
      <c r="F4" t="inlineStr">
        <is>
          <t>Département</t>
        </is>
      </c>
      <c r="G4" t="inlineStr">
        <is>
          <t>Poste</t>
        </is>
      </c>
      <c r="H4" t="inlineStr">
        <is>
          <t>Salaire Base (FCFA)</t>
        </is>
      </c>
    </row>
    <row r="5">
      <c r="B5" t="inlineStr">
        <is>
          <t>EMP-001</t>
        </is>
      </c>
      <c r="C5" t="inlineStr">
        <is>
          <t>M.</t>
        </is>
      </c>
      <c r="D5" t="inlineStr">
        <is>
          <t>Nganou</t>
        </is>
      </c>
      <c r="E5" t="inlineStr">
        <is>
          <t>Clarisse</t>
        </is>
      </c>
      <c r="F5" t="inlineStr">
        <is>
          <t>Cuisine &amp; Restauration</t>
        </is>
      </c>
      <c r="G5" t="inlineStr">
        <is>
          <t>Chef cuisinier</t>
        </is>
      </c>
      <c r="H5" t="n">
        <v>450000</v>
      </c>
    </row>
    <row r="6">
      <c r="B6" t="inlineStr">
        <is>
          <t>EMP-002</t>
        </is>
      </c>
      <c r="C6" t="inlineStr">
        <is>
          <t>M.</t>
        </is>
      </c>
      <c r="D6" t="inlineStr">
        <is>
          <t>Tchinda</t>
        </is>
      </c>
      <c r="E6" t="inlineStr">
        <is>
          <t>Armand</t>
        </is>
      </c>
      <c r="F6" t="inlineStr">
        <is>
          <t>Réception &amp; Front Office</t>
        </is>
      </c>
      <c r="G6" t="inlineStr">
        <is>
          <t>Réceptionniste</t>
        </is>
      </c>
      <c r="H6" t="n">
        <v>220000</v>
      </c>
    </row>
    <row r="7">
      <c r="B7" t="inlineStr">
        <is>
          <t>EMP-003</t>
        </is>
      </c>
      <c r="C7" t="inlineStr">
        <is>
          <t>Mme</t>
        </is>
      </c>
      <c r="D7" t="inlineStr">
        <is>
          <t>Fotso</t>
        </is>
      </c>
      <c r="E7" t="inlineStr">
        <is>
          <t>Marguerite</t>
        </is>
      </c>
      <c r="F7" t="inlineStr">
        <is>
          <t>Finance &amp; Comptabilité</t>
        </is>
      </c>
      <c r="G7" t="inlineStr">
        <is>
          <t>Comptable senior</t>
        </is>
      </c>
      <c r="H7" t="n">
        <v>380000</v>
      </c>
    </row>
    <row r="8">
      <c r="B8" t="inlineStr">
        <is>
          <t>EMP-004</t>
        </is>
      </c>
      <c r="C8" t="inlineStr">
        <is>
          <t>M.</t>
        </is>
      </c>
      <c r="D8" t="inlineStr">
        <is>
          <t>Nkoulou</t>
        </is>
      </c>
      <c r="E8" t="inlineStr">
        <is>
          <t>Mbarga</t>
        </is>
      </c>
      <c r="F8" t="inlineStr">
        <is>
          <t>Étage &amp; Housekeeping</t>
        </is>
      </c>
      <c r="G8" t="inlineStr">
        <is>
          <t>Gouvernant</t>
        </is>
      </c>
      <c r="H8" t="n">
        <v>195000</v>
      </c>
    </row>
    <row r="9">
      <c r="B9" t="inlineStr">
        <is>
          <t>EMP-005</t>
        </is>
      </c>
      <c r="C9" t="inlineStr">
        <is>
          <t>M.</t>
        </is>
      </c>
      <c r="D9" t="inlineStr">
        <is>
          <t>Kamga</t>
        </is>
      </c>
      <c r="E9" t="inlineStr">
        <is>
          <t>Paul</t>
        </is>
      </c>
      <c r="F9" t="inlineStr">
        <is>
          <t>Maintenance</t>
        </is>
      </c>
      <c r="G9" t="inlineStr">
        <is>
          <t>Technicien maintenance</t>
        </is>
      </c>
      <c r="H9" t="n">
        <v>165000</v>
      </c>
    </row>
    <row r="10">
      <c r="B10" t="inlineStr">
        <is>
          <t>EMP-006</t>
        </is>
      </c>
      <c r="C10" t="inlineStr">
        <is>
          <t>Mme</t>
        </is>
      </c>
      <c r="D10" t="inlineStr">
        <is>
          <t>Ngo</t>
        </is>
      </c>
      <c r="E10" t="inlineStr">
        <is>
          <t>Delphine</t>
        </is>
      </c>
      <c r="F10" t="inlineStr">
        <is>
          <t>Service Client</t>
        </is>
      </c>
      <c r="G10" t="inlineStr">
        <is>
          <t>Conseiller clientèle</t>
        </is>
      </c>
      <c r="H10" t="n">
        <v>160000</v>
      </c>
    </row>
    <row r="11">
      <c r="B11" t="inlineStr">
        <is>
          <t>EMP-007</t>
        </is>
      </c>
      <c r="C11" t="inlineStr">
        <is>
          <t>M.</t>
        </is>
      </c>
      <c r="D11" t="inlineStr">
        <is>
          <t>Essomba</t>
        </is>
      </c>
      <c r="E11" t="inlineStr">
        <is>
          <t>Serge</t>
        </is>
      </c>
      <c r="F11" t="inlineStr">
        <is>
          <t>Maintenance</t>
        </is>
      </c>
      <c r="G11" t="inlineStr">
        <is>
          <t>Agent entretien</t>
        </is>
      </c>
      <c r="H11" t="n">
        <v>130000</v>
      </c>
    </row>
    <row r="12">
      <c r="B12" t="inlineStr">
        <is>
          <t>EMP-008</t>
        </is>
      </c>
      <c r="C12" t="inlineStr">
        <is>
          <t>M.</t>
        </is>
      </c>
      <c r="D12" t="inlineStr">
        <is>
          <t>Tchouankou</t>
        </is>
      </c>
      <c r="E12" t="inlineStr">
        <is>
          <t>Paul</t>
        </is>
      </c>
      <c r="F12" t="inlineStr">
        <is>
          <t>Commercial</t>
        </is>
      </c>
      <c r="G12" t="inlineStr">
        <is>
          <t>Commercial</t>
        </is>
      </c>
      <c r="H12" t="n">
        <v>150000</v>
      </c>
    </row>
    <row r="13">
      <c r="B13" t="inlineStr">
        <is>
          <t>EMP-009</t>
        </is>
      </c>
      <c r="C13" t="inlineStr">
        <is>
          <t>M.</t>
        </is>
      </c>
      <c r="D13" t="inlineStr">
        <is>
          <t>Fokam</t>
        </is>
      </c>
      <c r="E13" t="inlineStr">
        <is>
          <t>Eric</t>
        </is>
      </c>
      <c r="F13" t="inlineStr">
        <is>
          <t>Maintenance</t>
        </is>
      </c>
      <c r="G13" t="inlineStr">
        <is>
          <t>Technicien</t>
        </is>
      </c>
      <c r="H13" t="n">
        <v>140000</v>
      </c>
    </row>
    <row r="14">
      <c r="B14" t="inlineStr">
        <is>
          <t>EMP-010</t>
        </is>
      </c>
      <c r="C14" t="inlineStr">
        <is>
          <t>M.</t>
        </is>
      </c>
      <c r="D14" t="inlineStr">
        <is>
          <t>Tagne</t>
        </is>
      </c>
      <c r="E14" t="inlineStr">
        <is>
          <t>René</t>
        </is>
      </c>
      <c r="F14" t="inlineStr">
        <is>
          <t>Cuisine &amp; Restauration</t>
        </is>
      </c>
      <c r="G14" t="inlineStr">
        <is>
          <t>Plongeur</t>
        </is>
      </c>
      <c r="H14" t="n">
        <v>90000</v>
      </c>
    </row>
    <row r="15">
      <c r="B15" t="inlineStr">
        <is>
          <t>EMP-011</t>
        </is>
      </c>
      <c r="C15" t="inlineStr">
        <is>
          <t>M.</t>
        </is>
      </c>
      <c r="D15" t="inlineStr">
        <is>
          <t>Bouba</t>
        </is>
      </c>
      <c r="E15" t="inlineStr">
        <is>
          <t>Ahmed</t>
        </is>
      </c>
      <c r="F15" t="inlineStr">
        <is>
          <t>Sécurité</t>
        </is>
      </c>
      <c r="G15" t="inlineStr">
        <is>
          <t>Agent Sécurité</t>
        </is>
      </c>
      <c r="H15" t="n">
        <v>120000</v>
      </c>
    </row>
    <row r="16">
      <c r="B16" t="inlineStr">
        <is>
          <t>EMP-012</t>
        </is>
      </c>
      <c r="C16" t="inlineStr">
        <is>
          <t>Mme</t>
        </is>
      </c>
      <c r="D16" t="inlineStr">
        <is>
          <t>Awa</t>
        </is>
      </c>
      <c r="E16" t="inlineStr">
        <is>
          <t>Fatou</t>
        </is>
      </c>
      <c r="F16" t="inlineStr">
        <is>
          <t>Réception &amp; Front Office</t>
        </is>
      </c>
      <c r="G16" t="inlineStr">
        <is>
          <t>Standardiste</t>
        </is>
      </c>
      <c r="H16" t="n">
        <v>155000</v>
      </c>
    </row>
    <row r="17">
      <c r="B17" t="inlineStr">
        <is>
          <t>EMP-028</t>
        </is>
      </c>
      <c r="C17" t="inlineStr">
        <is>
          <t>M.</t>
        </is>
      </c>
      <c r="D17" t="inlineStr">
        <is>
          <t>Nkoulou</t>
        </is>
      </c>
      <c r="E17" t="inlineStr">
        <is>
          <t>Joel</t>
        </is>
      </c>
      <c r="F17" t="inlineStr">
        <is>
          <t>Sécurité</t>
        </is>
      </c>
      <c r="G17" t="inlineStr">
        <is>
          <t>Agent Sécurité</t>
        </is>
      </c>
      <c r="H17" t="n">
        <v>140000</v>
      </c>
    </row>
    <row r="18">
      <c r="B18" t="inlineStr">
        <is>
          <t>EMP-029</t>
        </is>
      </c>
      <c r="C18" t="inlineStr">
        <is>
          <t>M.</t>
        </is>
      </c>
      <c r="D18" t="inlineStr">
        <is>
          <t>Kamga</t>
        </is>
      </c>
      <c r="E18" t="inlineStr">
        <is>
          <t>Patrice</t>
        </is>
      </c>
      <c r="F18" t="inlineStr">
        <is>
          <t>Sécurité</t>
        </is>
      </c>
      <c r="G18" t="inlineStr">
        <is>
          <t>Chef Sécurité</t>
        </is>
      </c>
      <c r="H18" t="n">
        <v>210000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Z30"/>
  <sheetViews>
    <sheetView workbookViewId="0">
      <selection activeCell="A1" sqref="A1"/>
    </sheetView>
  </sheetViews>
  <sheetFormatPr baseColWidth="8" defaultRowHeight="15"/>
  <sheetData>
    <row r="1">
      <c r="B1" s="9" t="inlineStr">
        <is>
          <t>departement</t>
        </is>
      </c>
      <c r="C1" s="9" t="inlineStr">
        <is>
          <t>poste_hotel</t>
        </is>
      </c>
      <c r="D1" s="9" t="inlineStr">
        <is>
          <t>equipe</t>
        </is>
      </c>
      <c r="E1" s="9" t="inlineStr">
        <is>
          <t>type_planning</t>
        </is>
      </c>
      <c r="F1" s="9" t="inlineStr">
        <is>
          <t>jour_semaine</t>
        </is>
      </c>
      <c r="G1" s="9" t="inlineStr">
        <is>
          <t>type_garde</t>
        </is>
      </c>
      <c r="H1" s="9" t="inlineStr">
        <is>
          <t>statut_garde</t>
        </is>
      </c>
      <c r="I1" s="9" t="inlineStr">
        <is>
          <t>type_pointage</t>
        </is>
      </c>
      <c r="J1" s="9" t="inlineStr">
        <is>
          <t>statut_pointage</t>
        </is>
      </c>
      <c r="K1" s="9" t="inlineStr">
        <is>
          <t>motif_absence</t>
        </is>
      </c>
      <c r="L1" s="9" t="inlineStr">
        <is>
          <t>type_heure_supp</t>
        </is>
      </c>
      <c r="M1" s="9" t="inlineStr">
        <is>
          <t>taux_majoration</t>
        </is>
      </c>
      <c r="N1" s="9" t="inlineStr">
        <is>
          <t>periode_nuit</t>
        </is>
      </c>
      <c r="O1" s="9" t="inlineStr">
        <is>
          <t>type_conge_collectif</t>
        </is>
      </c>
      <c r="P1" s="9" t="inlineStr">
        <is>
          <t>statut_conge_collectif</t>
        </is>
      </c>
      <c r="Q1" s="9" t="inlineStr">
        <is>
          <t>service_affectation</t>
        </is>
      </c>
      <c r="R1" s="9" t="inlineStr">
        <is>
          <t>regime_horaire</t>
        </is>
      </c>
      <c r="S1" s="9" t="inlineStr">
        <is>
          <t>statut_regime</t>
        </is>
      </c>
      <c r="T1" s="9" t="inlineStr">
        <is>
          <t>type_ecart</t>
        </is>
      </c>
      <c r="U1" s="9" t="inlineStr">
        <is>
          <t>statut_ecart</t>
        </is>
      </c>
      <c r="V1" s="9" t="inlineStr">
        <is>
          <t>type_rapport</t>
        </is>
      </c>
      <c r="W1" s="9" t="inlineStr">
        <is>
          <t>statut_rapport</t>
        </is>
      </c>
      <c r="X1" s="9" t="inlineStr">
        <is>
          <t>mois</t>
        </is>
      </c>
      <c r="Y1" s="9" t="inlineStr">
        <is>
          <t>annee</t>
        </is>
      </c>
      <c r="Z1" s="9" t="inlineStr">
        <is>
          <t>periode_hebdo</t>
        </is>
      </c>
    </row>
    <row r="2">
      <c r="B2" s="10" t="inlineStr">
        <is>
          <t>Direction Generale</t>
        </is>
      </c>
      <c r="C2" s="10" t="inlineStr">
        <is>
          <t>DG</t>
        </is>
      </c>
      <c r="D2" s="10" t="inlineStr">
        <is>
          <t>Equipe A</t>
        </is>
      </c>
      <c r="E2" s="10" t="inlineStr">
        <is>
          <t>Mensuel</t>
        </is>
      </c>
      <c r="F2" s="10" t="inlineStr">
        <is>
          <t>Lundi</t>
        </is>
      </c>
      <c r="G2" s="10" t="inlineStr">
        <is>
          <t>Garde de nuit</t>
        </is>
      </c>
      <c r="H2" s="10" t="inlineStr">
        <is>
          <t>Planifiee</t>
        </is>
      </c>
      <c r="I2" s="10" t="inlineStr">
        <is>
          <t>Badgeuse</t>
        </is>
      </c>
      <c r="J2" s="10" t="inlineStr">
        <is>
          <t>Valide</t>
        </is>
      </c>
      <c r="K2" s="10" t="inlineStr">
        <is>
          <t>Absent injustifie</t>
        </is>
      </c>
      <c r="L2" s="10" t="inlineStr">
        <is>
          <t>Heure supplementaire jour</t>
        </is>
      </c>
      <c r="M2" s="10" t="inlineStr">
        <is>
          <t>15%</t>
        </is>
      </c>
      <c r="N2" s="10" t="inlineStr">
        <is>
          <t>22h-06h</t>
        </is>
      </c>
      <c r="O2" s="10" t="inlineStr">
        <is>
          <t>Conges de Noel</t>
        </is>
      </c>
      <c r="P2" s="10" t="inlineStr">
        <is>
          <t>Planifie</t>
        </is>
      </c>
      <c r="Q2" s="10" t="inlineStr">
        <is>
          <t>Reception</t>
        </is>
      </c>
      <c r="R2" s="10" t="inlineStr">
        <is>
          <t>Temps plein 40h</t>
        </is>
      </c>
      <c r="S2" s="10" t="inlineStr">
        <is>
          <t>Actif</t>
        </is>
      </c>
      <c r="T2" s="10" t="inlineStr">
        <is>
          <t>Retard arrivee</t>
        </is>
      </c>
      <c r="U2" s="10" t="inlineStr">
        <is>
          <t>En attente</t>
        </is>
      </c>
      <c r="V2" s="10" t="inlineStr">
        <is>
          <t>Bilan mensuel</t>
        </is>
      </c>
      <c r="W2" s="10" t="inlineStr">
        <is>
          <t>Brouillon</t>
        </is>
      </c>
      <c r="X2" s="10" t="inlineStr">
        <is>
          <t>Janvier</t>
        </is>
      </c>
      <c r="Y2" s="10" t="inlineStr">
        <is>
          <t>2024</t>
        </is>
      </c>
      <c r="Z2" s="10" t="inlineStr">
        <is>
          <t>Semaine 1</t>
        </is>
      </c>
    </row>
    <row r="3">
      <c r="B3" s="10" t="inlineStr">
        <is>
          <t>Ressources Humaines</t>
        </is>
      </c>
      <c r="C3" s="10" t="inlineStr">
        <is>
          <t>DRH</t>
        </is>
      </c>
      <c r="D3" s="10" t="inlineStr">
        <is>
          <t>Equipe B</t>
        </is>
      </c>
      <c r="E3" s="10" t="inlineStr">
        <is>
          <t>Hebdomadaire</t>
        </is>
      </c>
      <c r="F3" s="10" t="inlineStr">
        <is>
          <t>Mardi</t>
        </is>
      </c>
      <c r="G3" s="10" t="inlineStr">
        <is>
          <t>Astreinte telephone</t>
        </is>
      </c>
      <c r="H3" s="10" t="inlineStr">
        <is>
          <t>Effectuee</t>
        </is>
      </c>
      <c r="I3" s="10" t="inlineStr">
        <is>
          <t>Fiche manuelle</t>
        </is>
      </c>
      <c r="J3" s="10" t="inlineStr">
        <is>
          <t>En attente</t>
        </is>
      </c>
      <c r="K3" s="10" t="inlineStr">
        <is>
          <t>Retard injustifie</t>
        </is>
      </c>
      <c r="L3" s="10" t="inlineStr">
        <is>
          <t>Heure nuit supplementaire</t>
        </is>
      </c>
      <c r="M3" s="10" t="inlineStr">
        <is>
          <t>25%</t>
        </is>
      </c>
      <c r="N3" s="10" t="inlineStr">
        <is>
          <t>21h-05h</t>
        </is>
      </c>
      <c r="O3" s="10" t="inlineStr">
        <is>
          <t>Conges de Paques</t>
        </is>
      </c>
      <c r="P3" s="10" t="inlineStr">
        <is>
          <t>En cours</t>
        </is>
      </c>
      <c r="Q3" s="10" t="inlineStr">
        <is>
          <t>Restaurant</t>
        </is>
      </c>
      <c r="R3" s="10" t="inlineStr">
        <is>
          <t>Temps plein 45h</t>
        </is>
      </c>
      <c r="S3" s="10" t="inlineStr">
        <is>
          <t>En modification</t>
        </is>
      </c>
      <c r="T3" s="10" t="inlineStr">
        <is>
          <t>Depart anticipe</t>
        </is>
      </c>
      <c r="U3" s="10" t="inlineStr">
        <is>
          <t>Justifie</t>
        </is>
      </c>
      <c r="V3" s="10" t="inlineStr">
        <is>
          <t>Audit conges</t>
        </is>
      </c>
      <c r="W3" s="10" t="inlineStr">
        <is>
          <t>Valide</t>
        </is>
      </c>
      <c r="X3" s="10" t="inlineStr">
        <is>
          <t>Fevrier</t>
        </is>
      </c>
      <c r="Y3" s="10" t="inlineStr">
        <is>
          <t>2025</t>
        </is>
      </c>
      <c r="Z3" s="10" t="inlineStr">
        <is>
          <t>Semaine 2</t>
        </is>
      </c>
    </row>
    <row r="4">
      <c r="B4" s="10" t="inlineStr">
        <is>
          <t>Finance &amp; Comptabilite</t>
        </is>
      </c>
      <c r="C4" s="10" t="inlineStr">
        <is>
          <t>Assistante RH</t>
        </is>
      </c>
      <c r="D4" s="10" t="inlineStr">
        <is>
          <t>Equipe C</t>
        </is>
      </c>
      <c r="E4" s="10" t="inlineStr">
        <is>
          <t>Quinzaine</t>
        </is>
      </c>
      <c r="F4" s="10" t="inlineStr">
        <is>
          <t>Mercredi</t>
        </is>
      </c>
      <c r="G4" s="10" t="inlineStr">
        <is>
          <t>Astreinte deplacee</t>
        </is>
      </c>
      <c r="H4" s="10" t="inlineStr">
        <is>
          <t>Annulee</t>
        </is>
      </c>
      <c r="I4" s="10" t="inlineStr">
        <is>
          <t>Pointeur</t>
        </is>
      </c>
      <c r="J4" s="10" t="inlineStr">
        <is>
          <t>Anomalie detectee</t>
        </is>
      </c>
      <c r="K4" s="10" t="inlineStr">
        <is>
          <t>Depart anticipe</t>
        </is>
      </c>
      <c r="L4" s="10" t="inlineStr">
        <is>
          <t>Heure week-end</t>
        </is>
      </c>
      <c r="M4" s="10" t="inlineStr">
        <is>
          <t>50%</t>
        </is>
      </c>
      <c r="N4" s="10" t="inlineStr">
        <is>
          <t>20h-06h</t>
        </is>
      </c>
      <c r="O4" s="10" t="inlineStr">
        <is>
          <t>Fermeture annuelle</t>
        </is>
      </c>
      <c r="P4" s="10" t="inlineStr">
        <is>
          <t>Termine</t>
        </is>
      </c>
      <c r="Q4" s="10" t="inlineStr">
        <is>
          <t>Bar</t>
        </is>
      </c>
      <c r="R4" s="10" t="inlineStr">
        <is>
          <t>Temps partiel 20h</t>
        </is>
      </c>
      <c r="S4" s="10" t="inlineStr">
        <is>
          <t>Suspendu</t>
        </is>
      </c>
      <c r="T4" s="10" t="inlineStr">
        <is>
          <t>Absence non justifiee</t>
        </is>
      </c>
      <c r="U4" s="10" t="inlineStr">
        <is>
          <t>Non justifie</t>
        </is>
      </c>
      <c r="V4" s="10" t="inlineStr">
        <is>
          <t>Audit heures supp</t>
        </is>
      </c>
      <c r="W4" s="10" t="inlineStr">
        <is>
          <t>Approuve</t>
        </is>
      </c>
      <c r="X4" s="10" t="inlineStr">
        <is>
          <t>Mars</t>
        </is>
      </c>
      <c r="Y4" s="10" t="inlineStr">
        <is>
          <t>2026</t>
        </is>
      </c>
      <c r="Z4" s="10" t="inlineStr">
        <is>
          <t>Semaine 3</t>
        </is>
      </c>
    </row>
    <row r="5">
      <c r="B5" s="10" t="inlineStr">
        <is>
          <t>Marketing &amp; Communication</t>
        </is>
      </c>
      <c r="C5" s="10" t="inlineStr">
        <is>
          <t>DAF</t>
        </is>
      </c>
      <c r="D5" s="10" t="inlineStr">
        <is>
          <t>Equipe Jour</t>
        </is>
      </c>
      <c r="F5" s="10" t="inlineStr">
        <is>
          <t>Jeudi</t>
        </is>
      </c>
      <c r="G5" s="10" t="inlineStr">
        <is>
          <t>Permanence week-end</t>
        </is>
      </c>
      <c r="H5" s="10" t="inlineStr">
        <is>
          <t>En attente</t>
        </is>
      </c>
      <c r="I5" s="10" t="inlineStr">
        <is>
          <t>Application mobile</t>
        </is>
      </c>
      <c r="J5" s="10" t="inlineStr">
        <is>
          <t>Modifie</t>
        </is>
      </c>
      <c r="K5" s="10" t="inlineStr">
        <is>
          <t>Badge defaillant</t>
        </is>
      </c>
      <c r="L5" s="10" t="inlineStr">
        <is>
          <t>Heure feries</t>
        </is>
      </c>
      <c r="M5" s="10" t="inlineStr">
        <is>
          <t>75%</t>
        </is>
      </c>
      <c r="O5" s="10" t="inlineStr">
        <is>
          <t>Pont</t>
        </is>
      </c>
      <c r="P5" s="10" t="inlineStr">
        <is>
          <t>Annule</t>
        </is>
      </c>
      <c r="Q5" s="10" t="inlineStr">
        <is>
          <t>Room Service</t>
        </is>
      </c>
      <c r="R5" s="10" t="inlineStr">
        <is>
          <t>Temps partiel 25h</t>
        </is>
      </c>
      <c r="T5" s="10" t="inlineStr">
        <is>
          <t>Double badgeage</t>
        </is>
      </c>
      <c r="U5" s="10" t="inlineStr">
        <is>
          <t>Traite</t>
        </is>
      </c>
      <c r="V5" s="10" t="inlineStr">
        <is>
          <t>Conformite horaires</t>
        </is>
      </c>
      <c r="W5" s="10" t="inlineStr">
        <is>
          <t>Rejete</t>
        </is>
      </c>
      <c r="X5" s="10" t="inlineStr">
        <is>
          <t>Avril</t>
        </is>
      </c>
      <c r="Z5" s="10" t="inlineStr">
        <is>
          <t>Semaine 4</t>
        </is>
      </c>
    </row>
    <row r="6">
      <c r="B6" s="10" t="inlineStr">
        <is>
          <t>Informatique</t>
        </is>
      </c>
      <c r="C6" s="10" t="inlineStr">
        <is>
          <t>Comptable senior</t>
        </is>
      </c>
      <c r="D6" s="10" t="inlineStr">
        <is>
          <t>Equipe Nuit</t>
        </is>
      </c>
      <c r="F6" s="10" t="inlineStr">
        <is>
          <t>Vendredi</t>
        </is>
      </c>
      <c r="J6" s="10" t="inlineStr">
        <is>
          <t>Rejete</t>
        </is>
      </c>
      <c r="K6" s="10" t="inlineStr">
        <is>
          <t>Oubli badgeage</t>
        </is>
      </c>
      <c r="L6" s="10" t="inlineStr">
        <is>
          <t>Recoverable</t>
        </is>
      </c>
      <c r="M6" s="10" t="inlineStr">
        <is>
          <t>100%</t>
        </is>
      </c>
      <c r="O6" s="10" t="inlineStr">
        <is>
          <t>Jour ferie</t>
        </is>
      </c>
      <c r="Q6" s="10" t="inlineStr">
        <is>
          <t>Conciergerie</t>
        </is>
      </c>
      <c r="R6" s="10" t="inlineStr">
        <is>
          <t>Temps partiel 30h</t>
        </is>
      </c>
      <c r="T6" s="10" t="inlineStr">
        <is>
          <t>Badge manquant</t>
        </is>
      </c>
      <c r="U6" s="10" t="inlineStr">
        <is>
          <t>Ignore</t>
        </is>
      </c>
      <c r="V6" s="10" t="inlineStr">
        <is>
          <t>Rapport anomalie</t>
        </is>
      </c>
      <c r="X6" s="10" t="inlineStr">
        <is>
          <t>Mai</t>
        </is>
      </c>
      <c r="Z6" s="10" t="inlineStr">
        <is>
          <t>Semaine 5</t>
        </is>
      </c>
    </row>
    <row r="7">
      <c r="B7" s="10" t="inlineStr">
        <is>
          <t>Commercial</t>
        </is>
      </c>
      <c r="C7" s="10" t="inlineStr">
        <is>
          <t>Comptable junior</t>
        </is>
      </c>
      <c r="F7" s="10" t="inlineStr">
        <is>
          <t>Samedi</t>
        </is>
      </c>
      <c r="K7" s="10" t="inlineStr">
        <is>
          <t>Formation externe</t>
        </is>
      </c>
      <c r="O7" s="10" t="inlineStr">
        <is>
          <t>Fermeture exceptionnelle</t>
        </is>
      </c>
      <c r="Q7" s="10" t="inlineStr">
        <is>
          <t>Brasserie</t>
        </is>
      </c>
      <c r="R7" s="10" t="inlineStr">
        <is>
          <t>Forfait jour 173h/mois</t>
        </is>
      </c>
      <c r="T7" s="10" t="inlineStr">
        <is>
          <t>Heure supp non validee</t>
        </is>
      </c>
      <c r="V7" s="10" t="inlineStr">
        <is>
          <t>Bilan trimestriel</t>
        </is>
      </c>
      <c r="X7" s="10" t="inlineStr">
        <is>
          <t>Juin</t>
        </is>
      </c>
    </row>
    <row r="8">
      <c r="B8" s="10" t="inlineStr">
        <is>
          <t>Logistique &amp; Approvisionnement</t>
        </is>
      </c>
      <c r="C8" s="10" t="inlineStr">
        <is>
          <t>Chef Comptable</t>
        </is>
      </c>
      <c r="F8" s="10" t="inlineStr">
        <is>
          <t>Dimanche</t>
        </is>
      </c>
      <c r="K8" s="10" t="inlineStr">
        <is>
          <t>Mission</t>
        </is>
      </c>
      <c r="Q8" s="10" t="inlineStr">
        <is>
          <t>Piscine/Spa</t>
        </is>
      </c>
      <c r="R8" s="10" t="inlineStr">
        <is>
          <t>Forfait jour 218j/an</t>
        </is>
      </c>
      <c r="T8" s="10" t="inlineStr">
        <is>
          <t>Erreur pointeur</t>
        </is>
      </c>
      <c r="X8" s="10" t="inlineStr">
        <is>
          <t>Juillet</t>
        </is>
      </c>
    </row>
    <row r="9">
      <c r="B9" s="10" t="inlineStr">
        <is>
          <t>Production</t>
        </is>
      </c>
      <c r="C9" s="10" t="inlineStr">
        <is>
          <t>Chef Marketing</t>
        </is>
      </c>
      <c r="Q9" s="10" t="inlineStr">
        <is>
          <t>Evenementiel</t>
        </is>
      </c>
      <c r="R9" s="10" t="inlineStr">
        <is>
          <t>Horaires rotatifs 3x8</t>
        </is>
      </c>
      <c r="X9" s="10" t="inlineStr">
        <is>
          <t>Aout</t>
        </is>
      </c>
    </row>
    <row r="10">
      <c r="B10" s="10" t="inlineStr">
        <is>
          <t>Service Client</t>
        </is>
      </c>
      <c r="C10" s="10" t="inlineStr">
        <is>
          <t>Chef de service IT</t>
        </is>
      </c>
      <c r="Q10" s="10" t="inlineStr">
        <is>
          <t>Nuit</t>
        </is>
      </c>
      <c r="R10" s="10" t="inlineStr">
        <is>
          <t>Horaires rotatifs 2x12</t>
        </is>
      </c>
      <c r="X10" s="10" t="inlineStr">
        <is>
          <t>Septembre</t>
        </is>
      </c>
    </row>
    <row r="11">
      <c r="B11" s="10" t="inlineStr">
        <is>
          <t>Reception &amp; Front Office</t>
        </is>
      </c>
      <c r="C11" s="10" t="inlineStr">
        <is>
          <t>Technicien IT</t>
        </is>
      </c>
      <c r="Q11" s="10" t="inlineStr">
        <is>
          <t>Menage</t>
        </is>
      </c>
      <c r="R11" s="10" t="inlineStr">
        <is>
          <t>Equipe de nuit permanente</t>
        </is>
      </c>
      <c r="X11" s="10" t="inlineStr">
        <is>
          <t>Octobre</t>
        </is>
      </c>
    </row>
    <row r="12">
      <c r="B12" s="10" t="inlineStr">
        <is>
          <t>Cuisine &amp; Restauration</t>
        </is>
      </c>
      <c r="C12" s="10" t="inlineStr">
        <is>
          <t>Chef Commercial</t>
        </is>
      </c>
      <c r="Q12" s="10" t="inlineStr">
        <is>
          <t>Valet parking</t>
        </is>
      </c>
      <c r="X12" s="10" t="inlineStr">
        <is>
          <t>Novembre</t>
        </is>
      </c>
    </row>
    <row r="13">
      <c r="B13" s="10" t="inlineStr">
        <is>
          <t>Entretien &amp; Maintenance</t>
        </is>
      </c>
      <c r="C13" s="10" t="inlineStr">
        <is>
          <t>Agent Commercial</t>
        </is>
      </c>
      <c r="X13" s="10" t="inlineStr">
        <is>
          <t>Decembre</t>
        </is>
      </c>
    </row>
    <row r="14">
      <c r="B14" s="10" t="inlineStr">
        <is>
          <t>Securite</t>
        </is>
      </c>
      <c r="C14" s="10" t="inlineStr">
        <is>
          <t>Chef Logistique</t>
        </is>
      </c>
    </row>
    <row r="15">
      <c r="C15" s="10" t="inlineStr">
        <is>
          <t>Magasinier</t>
        </is>
      </c>
    </row>
    <row r="16">
      <c r="C16" s="10" t="inlineStr">
        <is>
          <t>Chef Production</t>
        </is>
      </c>
    </row>
    <row r="17">
      <c r="C17" s="10" t="inlineStr">
        <is>
          <t>Operateur de production</t>
        </is>
      </c>
    </row>
    <row r="18">
      <c r="C18" s="10" t="inlineStr">
        <is>
          <t>Chef Service Client</t>
        </is>
      </c>
    </row>
    <row r="19">
      <c r="C19" s="10" t="inlineStr">
        <is>
          <t>Conseiller Client</t>
        </is>
      </c>
    </row>
    <row r="20">
      <c r="C20" s="10" t="inlineStr">
        <is>
          <t>Chef Reception</t>
        </is>
      </c>
    </row>
    <row r="21">
      <c r="C21" s="10" t="inlineStr">
        <is>
          <t>Receptionniste</t>
        </is>
      </c>
    </row>
    <row r="22">
      <c r="C22" s="10" t="inlineStr">
        <is>
          <t>Concierge</t>
        </is>
      </c>
    </row>
    <row r="23">
      <c r="C23" s="10" t="inlineStr">
        <is>
          <t>Chef Cuisine</t>
        </is>
      </c>
    </row>
    <row r="24">
      <c r="C24" s="10" t="inlineStr">
        <is>
          <t>Sous-Chef</t>
        </is>
      </c>
    </row>
    <row r="25">
      <c r="C25" s="10" t="inlineStr">
        <is>
          <t>Cuisinier</t>
        </is>
      </c>
    </row>
    <row r="26">
      <c r="C26" s="10" t="inlineStr">
        <is>
          <t>Plongeur</t>
        </is>
      </c>
    </row>
    <row r="27">
      <c r="C27" s="10" t="inlineStr">
        <is>
          <t>Chef Entretien</t>
        </is>
      </c>
    </row>
    <row r="28">
      <c r="C28" s="10" t="inlineStr">
        <is>
          <t>Agent Entretien</t>
        </is>
      </c>
    </row>
    <row r="29">
      <c r="C29" s="10" t="inlineStr">
        <is>
          <t>Chef Securite</t>
        </is>
      </c>
    </row>
    <row r="30">
      <c r="C30" s="10" t="inlineStr">
        <is>
          <t>Agent Securite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16" customWidth="1" min="3" max="3"/>
    <col width="20" customWidth="1" min="4" max="4"/>
    <col width="18" customWidth="1" min="5" max="5"/>
    <col width="20" customWidth="1" min="6" max="6"/>
    <col width="12"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s>
  <sheetData>
    <row r="1" ht="15" customHeight="1"/>
    <row r="2" ht="32" customHeight="1">
      <c r="B2" s="1" t="inlineStr">
        <is>
          <t>PLANNING MENSUEL — PROGRAMMATION TRAVAIL</t>
        </is>
      </c>
    </row>
    <row r="3" ht="8" customHeight="1">
      <c r="B3" s="2" t="inlineStr">
        <is>
          <t>TABLEAU DYNAMIQUE — Saisissez dans la prochaine ligne jaune. Les calculs se mettent a jour automatiquement.</t>
        </is>
      </c>
    </row>
    <row r="4" ht="28" customHeight="1">
      <c r="B4" s="11" t="inlineStr">
        <is>
          <t>N° Planning</t>
        </is>
      </c>
      <c r="C4" s="11" t="inlineStr">
        <is>
          <t>Matricule</t>
        </is>
      </c>
      <c r="D4" s="11" t="inlineStr">
        <is>
          <t>Nom Employe</t>
        </is>
      </c>
      <c r="E4" s="11" t="inlineStr">
        <is>
          <t>Departement</t>
        </is>
      </c>
      <c r="F4" s="11" t="inlineStr">
        <is>
          <t>Poste</t>
        </is>
      </c>
      <c r="G4" s="11" t="inlineStr">
        <is>
          <t>Mois</t>
        </is>
      </c>
      <c r="H4" s="11" t="inlineStr">
        <is>
          <t>Annee</t>
        </is>
      </c>
      <c r="I4" s="11" t="inlineStr">
        <is>
          <t>Jour 1</t>
        </is>
      </c>
      <c r="J4" s="11" t="inlineStr">
        <is>
          <t>Jour 2</t>
        </is>
      </c>
      <c r="K4" s="11" t="inlineStr">
        <is>
          <t>Jour 3</t>
        </is>
      </c>
      <c r="L4" s="11" t="inlineStr">
        <is>
          <t>Jour 4</t>
        </is>
      </c>
      <c r="M4" s="11" t="inlineStr">
        <is>
          <t>Jour 5</t>
        </is>
      </c>
      <c r="N4" s="11" t="inlineStr">
        <is>
          <t>Jour 6</t>
        </is>
      </c>
      <c r="O4" s="11" t="inlineStr">
        <is>
          <t>Jour 7</t>
        </is>
      </c>
      <c r="P4" s="11" t="inlineStr">
        <is>
          <t>Jour 8</t>
        </is>
      </c>
      <c r="Q4" s="11" t="inlineStr">
        <is>
          <t>Jour 9</t>
        </is>
      </c>
      <c r="R4" s="11" t="inlineStr">
        <is>
          <t>Jour 10</t>
        </is>
      </c>
      <c r="S4" s="11" t="inlineStr">
        <is>
          <t>Jour 11</t>
        </is>
      </c>
      <c r="T4" s="11" t="inlineStr">
        <is>
          <t>Jour 12</t>
        </is>
      </c>
      <c r="U4" s="11" t="inlineStr">
        <is>
          <t>Jour 13</t>
        </is>
      </c>
      <c r="V4" s="11" t="inlineStr">
        <is>
          <t>Jour 14</t>
        </is>
      </c>
      <c r="W4" s="11" t="inlineStr">
        <is>
          <t>Jour 15</t>
        </is>
      </c>
      <c r="X4" s="11" t="inlineStr">
        <is>
          <t>Jour 16</t>
        </is>
      </c>
      <c r="Y4" s="11" t="inlineStr">
        <is>
          <t>Jour 17</t>
        </is>
      </c>
      <c r="Z4" s="11" t="inlineStr">
        <is>
          <t>Jour 18</t>
        </is>
      </c>
      <c r="AA4" s="11" t="inlineStr">
        <is>
          <t>Jour 19</t>
        </is>
      </c>
      <c r="AB4" s="11" t="inlineStr">
        <is>
          <t>Jour 20</t>
        </is>
      </c>
      <c r="AC4" s="11" t="inlineStr">
        <is>
          <t>Jour 21</t>
        </is>
      </c>
      <c r="AD4" s="11" t="inlineStr">
        <is>
          <t>Jour 22</t>
        </is>
      </c>
      <c r="AE4" s="11" t="inlineStr">
        <is>
          <t>Jour 23</t>
        </is>
      </c>
      <c r="AF4" s="11" t="inlineStr">
        <is>
          <t>Jour 24</t>
        </is>
      </c>
      <c r="AG4" s="11" t="inlineStr">
        <is>
          <t>Jour 25</t>
        </is>
      </c>
      <c r="AH4" s="11" t="inlineStr">
        <is>
          <t>Jour 26</t>
        </is>
      </c>
      <c r="AI4" s="11" t="inlineStr">
        <is>
          <t>Jour 27</t>
        </is>
      </c>
      <c r="AJ4" s="11" t="inlineStr">
        <is>
          <t>Jour 28</t>
        </is>
      </c>
      <c r="AK4" s="11" t="inlineStr">
        <is>
          <t>Jour 29</t>
        </is>
      </c>
      <c r="AL4" s="11" t="inlineStr">
        <is>
          <t>Jour 30</t>
        </is>
      </c>
      <c r="AM4" s="11" t="inlineStr">
        <is>
          <t>Jour 31</t>
        </is>
      </c>
      <c r="AN4" s="11" t="inlineStr">
        <is>
          <t>Total Jours Travaillés</t>
        </is>
      </c>
      <c r="AO4" s="11" t="inlineStr">
        <is>
          <t>Total Repos</t>
        </is>
      </c>
      <c r="AP4" s="11" t="inlineStr">
        <is>
          <t>Total Absences</t>
        </is>
      </c>
      <c r="AQ4" s="11" t="inlineStr">
        <is>
          <t>Heures Prevues</t>
        </is>
      </c>
      <c r="AR4" s="11" t="inlineStr">
        <is>
          <t>Heures Effectives</t>
        </is>
      </c>
      <c r="AS4" s="11" t="inlineStr">
        <is>
          <t>Ecart Heures</t>
        </is>
      </c>
      <c r="AT4" s="11" t="inlineStr">
        <is>
          <t>Statut</t>
        </is>
      </c>
      <c r="AU4" s="11" t="n"/>
      <c r="AV4" s="11" t="n"/>
      <c r="AW4" s="11" t="n"/>
    </row>
    <row r="5" ht="22" customHeight="1">
      <c r="B5" s="12" t="inlineStr">
        <is>
          <t>PLM-001</t>
        </is>
      </c>
      <c r="C5" s="12" t="inlineStr">
        <is>
          <t>EMP-001</t>
        </is>
      </c>
      <c r="D5" s="12">
        <f>IF(C5="","",IFERROR(VLOOKUP(C5,'_Données Employés'!$B$5:$H$18,3,FALSE)&amp;" "&amp;VLOOKUP(C5,'_Données Employés'!$B$5:$H$18,4,FALSE),""))</f>
        <v/>
      </c>
      <c r="E5" s="12">
        <f>IF(C5="","",IFERROR(VLOOKUP(C5,'_Données Employés'!$B$5:$H$18,5,FALSE),""))</f>
        <v/>
      </c>
      <c r="F5" s="12">
        <f>IF(C5="","",IFERROR(VLOOKUP(C5,'_Données Employés'!$B$5:$H$18,6,FALSE),""))</f>
        <v/>
      </c>
      <c r="G5" s="12" t="inlineStr">
        <is>
          <t>Juin</t>
        </is>
      </c>
      <c r="H5" s="12" t="inlineStr">
        <is>
          <t>2025</t>
        </is>
      </c>
      <c r="I5" s="12" t="inlineStr">
        <is>
          <t>T</t>
        </is>
      </c>
      <c r="J5" s="12" t="inlineStr">
        <is>
          <t>T</t>
        </is>
      </c>
      <c r="K5" s="12" t="inlineStr">
        <is>
          <t>T</t>
        </is>
      </c>
      <c r="L5" s="12" t="inlineStr">
        <is>
          <t>T</t>
        </is>
      </c>
      <c r="M5" s="12" t="inlineStr">
        <is>
          <t>T</t>
        </is>
      </c>
      <c r="N5" s="12" t="inlineStr">
        <is>
          <t>R</t>
        </is>
      </c>
      <c r="O5" s="12" t="inlineStr">
        <is>
          <t>R</t>
        </is>
      </c>
      <c r="P5" s="12" t="inlineStr">
        <is>
          <t>T</t>
        </is>
      </c>
      <c r="Q5" s="12" t="inlineStr">
        <is>
          <t>T</t>
        </is>
      </c>
      <c r="R5" s="12" t="inlineStr">
        <is>
          <t>T</t>
        </is>
      </c>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f>IF(C5="","",COUNTIF(I5:AM5,"T")+COUNTIF(I5:AM5,"N"))</f>
        <v/>
      </c>
      <c r="AO5" s="12">
        <f>IF(C5="","",COUNTIF(I5:AM5,"R"))</f>
        <v/>
      </c>
      <c r="AP5" s="12">
        <f>IF(C5="","",COUNTIF(I5:AM5,"A"))</f>
        <v/>
      </c>
      <c r="AQ5" s="12">
        <f>IF(C5="","",AN5*8)</f>
        <v/>
      </c>
      <c r="AR5" s="12">
        <f>IF(C5="","",IFERROR(SUMIFS('6-Releve Heures'!K$5:K$104,'6-Releve Heures'!C$5:C$104,C5),0))</f>
        <v/>
      </c>
      <c r="AS5" s="12">
        <f>IF(C5="","",IFERROR(AR5-AQ5,0))</f>
        <v/>
      </c>
      <c r="AT5" s="12" t="inlineStr">
        <is>
          <t>Valide</t>
        </is>
      </c>
      <c r="AU5" s="12" t="n"/>
      <c r="AV5" s="12" t="n"/>
      <c r="AW5" s="12" t="n"/>
    </row>
    <row r="6" ht="22" customHeight="1">
      <c r="B6" s="15" t="inlineStr">
        <is>
          <t>PLM-002</t>
        </is>
      </c>
      <c r="C6" s="15" t="inlineStr">
        <is>
          <t>EMP-002</t>
        </is>
      </c>
      <c r="D6" s="15">
        <f>IF(C6="","",IFERROR(VLOOKUP(C6,'_Données Employés'!$B$5:$H$18,3,FALSE)&amp;" "&amp;VLOOKUP(C6,'_Données Employés'!$B$5:$H$18,4,FALSE),""))</f>
        <v/>
      </c>
      <c r="E6" s="15">
        <f>IF(C6="","",IFERROR(VLOOKUP(C6,'_Données Employés'!$B$5:$H$18,5,FALSE),""))</f>
        <v/>
      </c>
      <c r="F6" s="15">
        <f>IF(C6="","",IFERROR(VLOOKUP(C6,'_Données Employés'!$B$5:$H$18,6,FALSE),""))</f>
        <v/>
      </c>
      <c r="G6" s="15" t="inlineStr">
        <is>
          <t>Juin</t>
        </is>
      </c>
      <c r="H6" s="15" t="inlineStr">
        <is>
          <t>2025</t>
        </is>
      </c>
      <c r="I6" s="15" t="inlineStr">
        <is>
          <t>T</t>
        </is>
      </c>
      <c r="J6" s="15" t="inlineStr">
        <is>
          <t>T</t>
        </is>
      </c>
      <c r="K6" s="15" t="inlineStr">
        <is>
          <t>T</t>
        </is>
      </c>
      <c r="L6" s="15" t="inlineStr">
        <is>
          <t>T</t>
        </is>
      </c>
      <c r="M6" s="15" t="inlineStr">
        <is>
          <t>T</t>
        </is>
      </c>
      <c r="N6" s="15" t="inlineStr">
        <is>
          <t>R</t>
        </is>
      </c>
      <c r="O6" s="15" t="inlineStr">
        <is>
          <t>R</t>
        </is>
      </c>
      <c r="P6" s="15" t="inlineStr">
        <is>
          <t>T</t>
        </is>
      </c>
      <c r="Q6" s="15" t="inlineStr">
        <is>
          <t>T</t>
        </is>
      </c>
      <c r="R6" s="15" t="inlineStr">
        <is>
          <t>T</t>
        </is>
      </c>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5">
        <f>IF(C6="","",COUNTIF(I6:AM6,"T")+COUNTIF(I6:AM6,"N"))</f>
        <v/>
      </c>
      <c r="AO6" s="15">
        <f>IF(C6="","",COUNTIF(I6:AM6,"R"))</f>
        <v/>
      </c>
      <c r="AP6" s="15">
        <f>IF(C6="","",COUNTIF(I6:AM6,"A"))</f>
        <v/>
      </c>
      <c r="AQ6" s="15">
        <f>IF(C6="","",AN6*8)</f>
        <v/>
      </c>
      <c r="AR6" s="15">
        <f>IF(C6="","",IFERROR(SUMIFS('6-Releve Heures'!K$5:K$104,'6-Releve Heures'!C$5:C$104,C6),0))</f>
        <v/>
      </c>
      <c r="AS6" s="15">
        <f>IF(C6="","",IFERROR(AR6-AQ6,0))</f>
        <v/>
      </c>
      <c r="AT6" s="15" t="inlineStr">
        <is>
          <t>Valide</t>
        </is>
      </c>
      <c r="AU6" s="12" t="n"/>
      <c r="AV6" s="12" t="n"/>
      <c r="AW6" s="12" t="n"/>
    </row>
    <row r="7" ht="22" customHeight="1">
      <c r="B7" s="12" t="inlineStr">
        <is>
          <t>PLM-003</t>
        </is>
      </c>
      <c r="C7" s="12" t="inlineStr">
        <is>
          <t>EMP-003</t>
        </is>
      </c>
      <c r="D7" s="12">
        <f>IF(C7="","",IFERROR(VLOOKUP(C7,'_Données Employés'!$B$5:$H$18,3,FALSE)&amp;" "&amp;VLOOKUP(C7,'_Données Employés'!$B$5:$H$18,4,FALSE),""))</f>
        <v/>
      </c>
      <c r="E7" s="12">
        <f>IF(C7="","",IFERROR(VLOOKUP(C7,'_Données Employés'!$B$5:$H$18,5,FALSE),""))</f>
        <v/>
      </c>
      <c r="F7" s="12">
        <f>IF(C7="","",IFERROR(VLOOKUP(C7,'_Données Employés'!$B$5:$H$18,6,FALSE),""))</f>
        <v/>
      </c>
      <c r="G7" s="12" t="inlineStr">
        <is>
          <t>Juin</t>
        </is>
      </c>
      <c r="H7" s="12" t="inlineStr">
        <is>
          <t>2025</t>
        </is>
      </c>
      <c r="I7" s="12" t="inlineStr">
        <is>
          <t>T</t>
        </is>
      </c>
      <c r="J7" s="12" t="inlineStr">
        <is>
          <t>T</t>
        </is>
      </c>
      <c r="K7" s="12" t="inlineStr">
        <is>
          <t>T</t>
        </is>
      </c>
      <c r="L7" s="12" t="inlineStr">
        <is>
          <t>A</t>
        </is>
      </c>
      <c r="M7" s="12" t="inlineStr">
        <is>
          <t>A</t>
        </is>
      </c>
      <c r="N7" s="12" t="inlineStr">
        <is>
          <t>R</t>
        </is>
      </c>
      <c r="O7" s="12" t="inlineStr">
        <is>
          <t>R</t>
        </is>
      </c>
      <c r="P7" s="12" t="inlineStr">
        <is>
          <t>T</t>
        </is>
      </c>
      <c r="Q7" s="12" t="inlineStr">
        <is>
          <t>T</t>
        </is>
      </c>
      <c r="R7" s="12" t="inlineStr">
        <is>
          <t>T</t>
        </is>
      </c>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f>IF(C7="","",COUNTIF(I7:AM7,"T")+COUNTIF(I7:AM7,"N"))</f>
        <v/>
      </c>
      <c r="AO7" s="12">
        <f>IF(C7="","",COUNTIF(I7:AM7,"R"))</f>
        <v/>
      </c>
      <c r="AP7" s="12">
        <f>IF(C7="","",COUNTIF(I7:AM7,"A"))</f>
        <v/>
      </c>
      <c r="AQ7" s="12">
        <f>IF(C7="","",AN7*8)</f>
        <v/>
      </c>
      <c r="AR7" s="12">
        <f>IF(C7="","",IFERROR(SUMIFS('6-Releve Heures'!K$5:K$104,'6-Releve Heures'!C$5:C$104,C7),0))</f>
        <v/>
      </c>
      <c r="AS7" s="12">
        <f>IF(C7="","",IFERROR(AR7-AQ7,0))</f>
        <v/>
      </c>
      <c r="AT7" s="12" t="inlineStr">
        <is>
          <t>Valide</t>
        </is>
      </c>
      <c r="AU7" s="12" t="n"/>
      <c r="AV7" s="12" t="n"/>
      <c r="AW7" s="12" t="n"/>
    </row>
    <row r="8" ht="22" customHeight="1">
      <c r="B8" s="15" t="inlineStr">
        <is>
          <t>PLM-004</t>
        </is>
      </c>
      <c r="C8" s="15" t="inlineStr">
        <is>
          <t>EMP-004</t>
        </is>
      </c>
      <c r="D8" s="15">
        <f>IF(C8="","",IFERROR(VLOOKUP(C8,'_Données Employés'!$B$5:$H$18,3,FALSE)&amp;" "&amp;VLOOKUP(C8,'_Données Employés'!$B$5:$H$18,4,FALSE),""))</f>
        <v/>
      </c>
      <c r="E8" s="15">
        <f>IF(C8="","",IFERROR(VLOOKUP(C8,'_Données Employés'!$B$5:$H$18,5,FALSE),""))</f>
        <v/>
      </c>
      <c r="F8" s="15">
        <f>IF(C8="","",IFERROR(VLOOKUP(C8,'_Données Employés'!$B$5:$H$18,6,FALSE),""))</f>
        <v/>
      </c>
      <c r="G8" s="15" t="inlineStr">
        <is>
          <t>Juin</t>
        </is>
      </c>
      <c r="H8" s="15" t="inlineStr">
        <is>
          <t>2025</t>
        </is>
      </c>
      <c r="I8" s="15" t="inlineStr">
        <is>
          <t>N</t>
        </is>
      </c>
      <c r="J8" s="15" t="inlineStr">
        <is>
          <t>N</t>
        </is>
      </c>
      <c r="K8" s="15" t="inlineStr">
        <is>
          <t>N</t>
        </is>
      </c>
      <c r="L8" s="15" t="inlineStr">
        <is>
          <t>R</t>
        </is>
      </c>
      <c r="M8" s="15" t="inlineStr">
        <is>
          <t>R</t>
        </is>
      </c>
      <c r="N8" s="15" t="inlineStr">
        <is>
          <t>R</t>
        </is>
      </c>
      <c r="O8" s="15" t="inlineStr">
        <is>
          <t>R</t>
        </is>
      </c>
      <c r="P8" s="15" t="inlineStr">
        <is>
          <t>N</t>
        </is>
      </c>
      <c r="Q8" s="15" t="inlineStr">
        <is>
          <t>N</t>
        </is>
      </c>
      <c r="R8" s="15" t="inlineStr">
        <is>
          <t>N</t>
        </is>
      </c>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5">
        <f>IF(C8="","",COUNTIF(I8:AM8,"T")+COUNTIF(I8:AM8,"N"))</f>
        <v/>
      </c>
      <c r="AO8" s="15">
        <f>IF(C8="","",COUNTIF(I8:AM8,"R"))</f>
        <v/>
      </c>
      <c r="AP8" s="15">
        <f>IF(C8="","",COUNTIF(I8:AM8,"A"))</f>
        <v/>
      </c>
      <c r="AQ8" s="15">
        <f>IF(C8="","",AN8*8)</f>
        <v/>
      </c>
      <c r="AR8" s="15">
        <f>IF(C8="","",IFERROR(SUMIFS('6-Releve Heures'!K$5:K$104,'6-Releve Heures'!C$5:C$104,C8),0))</f>
        <v/>
      </c>
      <c r="AS8" s="15">
        <f>IF(C8="","",IFERROR(AR8-AQ8,0))</f>
        <v/>
      </c>
      <c r="AT8" s="15" t="inlineStr">
        <is>
          <t>Valide</t>
        </is>
      </c>
      <c r="AU8" s="12" t="n"/>
      <c r="AV8" s="12" t="n"/>
      <c r="AW8" s="12" t="n"/>
    </row>
    <row r="9" ht="22" customHeight="1">
      <c r="B9" s="12" t="inlineStr">
        <is>
          <t>PLM-005</t>
        </is>
      </c>
      <c r="C9" s="12" t="inlineStr">
        <is>
          <t>EMP-005</t>
        </is>
      </c>
      <c r="D9" s="12">
        <f>IF(C9="","",IFERROR(VLOOKUP(C9,'_Données Employés'!$B$5:$H$18,3,FALSE)&amp;" "&amp;VLOOKUP(C9,'_Données Employés'!$B$5:$H$18,4,FALSE),""))</f>
        <v/>
      </c>
      <c r="E9" s="12">
        <f>IF(C9="","",IFERROR(VLOOKUP(C9,'_Données Employés'!$B$5:$H$18,5,FALSE),""))</f>
        <v/>
      </c>
      <c r="F9" s="12">
        <f>IF(C9="","",IFERROR(VLOOKUP(C9,'_Données Employés'!$B$5:$H$18,6,FALSE),""))</f>
        <v/>
      </c>
      <c r="G9" s="12" t="inlineStr">
        <is>
          <t>Juin</t>
        </is>
      </c>
      <c r="H9" s="12" t="inlineStr">
        <is>
          <t>2025</t>
        </is>
      </c>
      <c r="I9" s="12" t="inlineStr">
        <is>
          <t>T</t>
        </is>
      </c>
      <c r="J9" s="12" t="inlineStr">
        <is>
          <t>T</t>
        </is>
      </c>
      <c r="K9" s="12" t="inlineStr">
        <is>
          <t>T</t>
        </is>
      </c>
      <c r="L9" s="12" t="inlineStr">
        <is>
          <t>T</t>
        </is>
      </c>
      <c r="M9" s="12" t="inlineStr">
        <is>
          <t>R</t>
        </is>
      </c>
      <c r="N9" s="12" t="inlineStr">
        <is>
          <t>R</t>
        </is>
      </c>
      <c r="O9" s="12" t="inlineStr">
        <is>
          <t>R</t>
        </is>
      </c>
      <c r="P9" s="12" t="inlineStr">
        <is>
          <t>T</t>
        </is>
      </c>
      <c r="Q9" s="12" t="inlineStr">
        <is>
          <t>T</t>
        </is>
      </c>
      <c r="R9" s="12" t="inlineStr">
        <is>
          <t>T</t>
        </is>
      </c>
      <c r="S9" s="12" t="n"/>
      <c r="T9" s="12" t="n"/>
      <c r="U9" s="12" t="n"/>
      <c r="V9" s="12" t="n"/>
      <c r="W9" s="12" t="n"/>
      <c r="X9" s="12" t="n"/>
      <c r="Y9" s="12" t="n"/>
      <c r="Z9" s="12" t="n"/>
      <c r="AA9" s="12" t="n"/>
      <c r="AB9" s="12" t="n"/>
      <c r="AC9" s="12" t="n"/>
      <c r="AD9" s="12" t="n"/>
      <c r="AE9" s="12" t="n"/>
      <c r="AF9" s="12" t="n"/>
      <c r="AG9" s="12" t="n"/>
      <c r="AH9" s="12" t="n"/>
      <c r="AI9" s="12" t="n"/>
      <c r="AJ9" s="12" t="n"/>
      <c r="AK9" s="12" t="n"/>
      <c r="AL9" s="12" t="n"/>
      <c r="AM9" s="12" t="n"/>
      <c r="AN9" s="12">
        <f>IF(C9="","",COUNTIF(I9:AM9,"T")+COUNTIF(I9:AM9,"N"))</f>
        <v/>
      </c>
      <c r="AO9" s="12">
        <f>IF(C9="","",COUNTIF(I9:AM9,"R"))</f>
        <v/>
      </c>
      <c r="AP9" s="12">
        <f>IF(C9="","",COUNTIF(I9:AM9,"A"))</f>
        <v/>
      </c>
      <c r="AQ9" s="12">
        <f>IF(C9="","",AN9*8)</f>
        <v/>
      </c>
      <c r="AR9" s="12">
        <f>IF(C9="","",IFERROR(SUMIFS('6-Releve Heures'!K$5:K$104,'6-Releve Heures'!C$5:C$104,C9),0))</f>
        <v/>
      </c>
      <c r="AS9" s="12">
        <f>IF(C9="","",IFERROR(AR9-AQ9,0))</f>
        <v/>
      </c>
      <c r="AT9" s="12" t="inlineStr">
        <is>
          <t>Valide</t>
        </is>
      </c>
      <c r="AU9" s="12" t="n"/>
      <c r="AV9" s="12" t="n"/>
      <c r="AW9" s="12" t="n"/>
    </row>
    <row r="10" ht="22" customHeight="1">
      <c r="B10" s="12" t="inlineStr">
        <is>
          <t>PLM-006</t>
        </is>
      </c>
      <c r="C10" s="12" t="inlineStr">
        <is>
          <t>EMP-006</t>
        </is>
      </c>
      <c r="D10" s="12">
        <f>IF(C10="","",IFERROR(VLOOKUP(C10,'_Données Employés'!$B$5:$H$18,3,FALSE)&amp;" "&amp;VLOOKUP(C10,'_Données Employés'!$B$5:$H$18,4,FALSE),""))</f>
        <v/>
      </c>
      <c r="E10" s="12">
        <f>IF(C10="","",IFERROR(VLOOKUP(C10,'_Données Employés'!$B$5:$H$18,5,FALSE),""))</f>
        <v/>
      </c>
      <c r="F10" s="12">
        <f>IF(C10="","",IFERROR(VLOOKUP(C10,'_Données Employés'!$B$5:$H$18,6,FALSE),""))</f>
        <v/>
      </c>
      <c r="G10" s="12" t="inlineStr">
        <is>
          <t>Juin</t>
        </is>
      </c>
      <c r="H10" s="12" t="inlineStr">
        <is>
          <t>2025</t>
        </is>
      </c>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5">
        <f>IF(C10="","",COUNTIF(I10:AM10,"T")+COUNTIF(I10:AM10,"N"))</f>
        <v/>
      </c>
      <c r="AO10" s="15">
        <f>IF(C10="","",COUNTIF(I10:AM10,"R"))</f>
        <v/>
      </c>
      <c r="AP10" s="15">
        <f>IF(C10="","",COUNTIF(I10:AM10,"A"))</f>
        <v/>
      </c>
      <c r="AQ10" s="15">
        <f>IF(C10="","",AN10*8)</f>
        <v/>
      </c>
      <c r="AR10" s="15">
        <f>IF(C10="","",IFERROR(SUMIFS('6-Releve Heures'!K$5:K$104,'6-Releve Heures'!C$5:C$104,C10),0))</f>
        <v/>
      </c>
      <c r="AS10" s="15">
        <f>IF(C10="","",IFERROR(AR10-AQ10,0))</f>
        <v/>
      </c>
      <c r="AT10" s="15" t="n"/>
      <c r="AU10" s="12" t="n"/>
      <c r="AV10" s="12" t="n"/>
      <c r="AW10" s="12" t="n"/>
    </row>
    <row r="11" ht="22" customHeight="1">
      <c r="B11" s="12" t="inlineStr">
        <is>
          <t>PLM-007</t>
        </is>
      </c>
      <c r="C11" s="12" t="inlineStr">
        <is>
          <t>EMP-007</t>
        </is>
      </c>
      <c r="D11" s="12">
        <f>IF(C11="","",IFERROR(VLOOKUP(C11,'_Données Employés'!$B$5:$H$18,3,FALSE)&amp;" "&amp;VLOOKUP(C11,'_Données Employés'!$B$5:$H$18,4,FALSE),""))</f>
        <v/>
      </c>
      <c r="E11" s="12">
        <f>IF(C11="","",IFERROR(VLOOKUP(C11,'_Données Employés'!$B$5:$H$18,5,FALSE),""))</f>
        <v/>
      </c>
      <c r="F11" s="12">
        <f>IF(C11="","",IFERROR(VLOOKUP(C11,'_Données Employés'!$B$5:$H$18,6,FALSE),""))</f>
        <v/>
      </c>
      <c r="G11" s="12" t="inlineStr">
        <is>
          <t>Juin</t>
        </is>
      </c>
      <c r="H11" s="12" t="inlineStr">
        <is>
          <t>2025</t>
        </is>
      </c>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f>IF(C11="","",COUNTIF(I11:AM11,"T")+COUNTIF(I11:AM11,"N"))</f>
        <v/>
      </c>
      <c r="AO11" s="12">
        <f>IF(C11="","",COUNTIF(I11:AM11,"R"))</f>
        <v/>
      </c>
      <c r="AP11" s="12">
        <f>IF(C11="","",COUNTIF(I11:AM11,"A"))</f>
        <v/>
      </c>
      <c r="AQ11" s="12">
        <f>IF(C11="","",AN11*8)</f>
        <v/>
      </c>
      <c r="AR11" s="12">
        <f>IF(C11="","",IFERROR(SUMIFS('6-Releve Heures'!K$5:K$104,'6-Releve Heures'!C$5:C$104,C11),0))</f>
        <v/>
      </c>
      <c r="AS11" s="12">
        <f>IF(C11="","",IFERROR(AR11-AQ11,0))</f>
        <v/>
      </c>
      <c r="AT11" s="12" t="n"/>
      <c r="AU11" s="12" t="n"/>
      <c r="AV11" s="12" t="n"/>
      <c r="AW11" s="12" t="n"/>
    </row>
    <row r="12" ht="22" customHeight="1">
      <c r="B12" s="12" t="inlineStr">
        <is>
          <t>PLM-008</t>
        </is>
      </c>
      <c r="C12" s="12" t="inlineStr">
        <is>
          <t>EMP-008</t>
        </is>
      </c>
      <c r="D12" s="12">
        <f>IF(C12="","",IFERROR(VLOOKUP(C12,'_Données Employés'!$B$5:$H$18,3,FALSE)&amp;" "&amp;VLOOKUP(C12,'_Données Employés'!$B$5:$H$18,4,FALSE),""))</f>
        <v/>
      </c>
      <c r="E12" s="12">
        <f>IF(C12="","",IFERROR(VLOOKUP(C12,'_Données Employés'!$B$5:$H$18,5,FALSE),""))</f>
        <v/>
      </c>
      <c r="F12" s="12">
        <f>IF(C12="","",IFERROR(VLOOKUP(C12,'_Données Employés'!$B$5:$H$18,6,FALSE),""))</f>
        <v/>
      </c>
      <c r="G12" s="12" t="inlineStr">
        <is>
          <t>Juin</t>
        </is>
      </c>
      <c r="H12" s="12" t="inlineStr">
        <is>
          <t>2025</t>
        </is>
      </c>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c r="AJ12" s="12" t="n"/>
      <c r="AK12" s="12" t="n"/>
      <c r="AL12" s="12" t="n"/>
      <c r="AM12" s="12" t="n"/>
      <c r="AN12" s="15">
        <f>IF(C12="","",COUNTIF(I12:AM12,"T")+COUNTIF(I12:AM12,"N"))</f>
        <v/>
      </c>
      <c r="AO12" s="15">
        <f>IF(C12="","",COUNTIF(I12:AM12,"R"))</f>
        <v/>
      </c>
      <c r="AP12" s="15">
        <f>IF(C12="","",COUNTIF(I12:AM12,"A"))</f>
        <v/>
      </c>
      <c r="AQ12" s="15">
        <f>IF(C12="","",AN12*8)</f>
        <v/>
      </c>
      <c r="AR12" s="15">
        <f>IF(C12="","",IFERROR(SUMIFS('6-Releve Heures'!K$5:K$104,'6-Releve Heures'!C$5:C$104,C12),0))</f>
        <v/>
      </c>
      <c r="AS12" s="15">
        <f>IF(C12="","",IFERROR(AR12-AQ12,0))</f>
        <v/>
      </c>
      <c r="AT12" s="15" t="n"/>
      <c r="AU12" s="12" t="n"/>
      <c r="AV12" s="12" t="n"/>
      <c r="AW12" s="12" t="n"/>
    </row>
    <row r="13" ht="22" customHeight="1">
      <c r="B13" s="12" t="inlineStr">
        <is>
          <t>PLM-009</t>
        </is>
      </c>
      <c r="C13" s="12" t="inlineStr">
        <is>
          <t>EMP-009</t>
        </is>
      </c>
      <c r="D13" s="12">
        <f>IF(C13="","",IFERROR(VLOOKUP(C13,'_Données Employés'!$B$5:$H$18,3,FALSE)&amp;" "&amp;VLOOKUP(C13,'_Données Employés'!$B$5:$H$18,4,FALSE),""))</f>
        <v/>
      </c>
      <c r="E13" s="12">
        <f>IF(C13="","",IFERROR(VLOOKUP(C13,'_Données Employés'!$B$5:$H$18,5,FALSE),""))</f>
        <v/>
      </c>
      <c r="F13" s="12">
        <f>IF(C13="","",IFERROR(VLOOKUP(C13,'_Données Employés'!$B$5:$H$18,6,FALSE),""))</f>
        <v/>
      </c>
      <c r="G13" s="12" t="inlineStr">
        <is>
          <t>Juin</t>
        </is>
      </c>
      <c r="H13" s="12" t="inlineStr">
        <is>
          <t>2025</t>
        </is>
      </c>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f>IF(C13="","",COUNTIF(I13:AM13,"T")+COUNTIF(I13:AM13,"N"))</f>
        <v/>
      </c>
      <c r="AO13" s="12">
        <f>IF(C13="","",COUNTIF(I13:AM13,"R"))</f>
        <v/>
      </c>
      <c r="AP13" s="12">
        <f>IF(C13="","",COUNTIF(I13:AM13,"A"))</f>
        <v/>
      </c>
      <c r="AQ13" s="12">
        <f>IF(C13="","",AN13*8)</f>
        <v/>
      </c>
      <c r="AR13" s="12">
        <f>IF(C13="","",IFERROR(SUMIFS('6-Releve Heures'!K$5:K$104,'6-Releve Heures'!C$5:C$104,C13),0))</f>
        <v/>
      </c>
      <c r="AS13" s="12">
        <f>IF(C13="","",IFERROR(AR13-AQ13,0))</f>
        <v/>
      </c>
      <c r="AT13" s="12" t="n"/>
      <c r="AU13" s="12" t="n"/>
      <c r="AV13" s="12" t="n"/>
      <c r="AW13" s="12" t="n"/>
    </row>
    <row r="14" ht="22" customHeight="1">
      <c r="B14" s="12" t="inlineStr">
        <is>
          <t>PLM-010</t>
        </is>
      </c>
      <c r="C14" s="12" t="inlineStr">
        <is>
          <t>EMP-010</t>
        </is>
      </c>
      <c r="D14" s="12">
        <f>IF(C14="","",IFERROR(VLOOKUP(C14,'_Données Employés'!$B$5:$H$18,3,FALSE)&amp;" "&amp;VLOOKUP(C14,'_Données Employés'!$B$5:$H$18,4,FALSE),""))</f>
        <v/>
      </c>
      <c r="E14" s="12">
        <f>IF(C14="","",IFERROR(VLOOKUP(C14,'_Données Employés'!$B$5:$H$18,5,FALSE),""))</f>
        <v/>
      </c>
      <c r="F14" s="12">
        <f>IF(C14="","",IFERROR(VLOOKUP(C14,'_Données Employés'!$B$5:$H$18,6,FALSE),""))</f>
        <v/>
      </c>
      <c r="G14" s="12" t="inlineStr">
        <is>
          <t>Juin</t>
        </is>
      </c>
      <c r="H14" s="12" t="inlineStr">
        <is>
          <t>2025</t>
        </is>
      </c>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5">
        <f>IF(C14="","",COUNTIF(I14:AM14,"T")+COUNTIF(I14:AM14,"N"))</f>
        <v/>
      </c>
      <c r="AO14" s="15">
        <f>IF(C14="","",COUNTIF(I14:AM14,"R"))</f>
        <v/>
      </c>
      <c r="AP14" s="15">
        <f>IF(C14="","",COUNTIF(I14:AM14,"A"))</f>
        <v/>
      </c>
      <c r="AQ14" s="15">
        <f>IF(C14="","",AN14*8)</f>
        <v/>
      </c>
      <c r="AR14" s="15">
        <f>IF(C14="","",IFERROR(SUMIFS('6-Releve Heures'!K$5:K$104,'6-Releve Heures'!C$5:C$104,C14),0))</f>
        <v/>
      </c>
      <c r="AS14" s="15">
        <f>IF(C14="","",IFERROR(AR14-AQ14,0))</f>
        <v/>
      </c>
      <c r="AT14" s="15" t="n"/>
      <c r="AU14" s="12" t="n"/>
      <c r="AV14" s="12" t="n"/>
      <c r="AW14" s="12" t="n"/>
    </row>
    <row r="15" ht="22" customHeight="1">
      <c r="B15" s="12" t="inlineStr">
        <is>
          <t>PLM-011</t>
        </is>
      </c>
      <c r="C15" s="12" t="inlineStr">
        <is>
          <t>EMP-011</t>
        </is>
      </c>
      <c r="D15" s="12">
        <f>IF(C15="","",IFERROR(VLOOKUP(C15,'_Données Employés'!$B$5:$H$18,3,FALSE)&amp;" "&amp;VLOOKUP(C15,'_Données Employés'!$B$5:$H$18,4,FALSE),""))</f>
        <v/>
      </c>
      <c r="E15" s="12">
        <f>IF(C15="","",IFERROR(VLOOKUP(C15,'_Données Employés'!$B$5:$H$18,5,FALSE),""))</f>
        <v/>
      </c>
      <c r="F15" s="12">
        <f>IF(C15="","",IFERROR(VLOOKUP(C15,'_Données Employés'!$B$5:$H$18,6,FALSE),""))</f>
        <v/>
      </c>
      <c r="G15" s="12" t="inlineStr">
        <is>
          <t>Juin</t>
        </is>
      </c>
      <c r="H15" s="12" t="inlineStr">
        <is>
          <t>2025</t>
        </is>
      </c>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f>IF(C15="","",COUNTIF(I15:AM15,"T")+COUNTIF(I15:AM15,"N"))</f>
        <v/>
      </c>
      <c r="AO15" s="12">
        <f>IF(C15="","",COUNTIF(I15:AM15,"R"))</f>
        <v/>
      </c>
      <c r="AP15" s="12">
        <f>IF(C15="","",COUNTIF(I15:AM15,"A"))</f>
        <v/>
      </c>
      <c r="AQ15" s="12">
        <f>IF(C15="","",AN15*8)</f>
        <v/>
      </c>
      <c r="AR15" s="12">
        <f>IF(C15="","",IFERROR(SUMIFS('6-Releve Heures'!K$5:K$104,'6-Releve Heures'!C$5:C$104,C15),0))</f>
        <v/>
      </c>
      <c r="AS15" s="12">
        <f>IF(C15="","",IFERROR(AR15-AQ15,0))</f>
        <v/>
      </c>
      <c r="AT15" s="12" t="n"/>
      <c r="AU15" s="12" t="n"/>
      <c r="AV15" s="12" t="n"/>
      <c r="AW15" s="12" t="n"/>
    </row>
    <row r="16" ht="22" customHeight="1">
      <c r="B16" s="12" t="inlineStr">
        <is>
          <t>PLM-012</t>
        </is>
      </c>
      <c r="C16" s="12" t="inlineStr">
        <is>
          <t>EMP-012</t>
        </is>
      </c>
      <c r="D16" s="12">
        <f>IF(C16="","",IFERROR(VLOOKUP(C16,'_Données Employés'!$B$5:$H$18,3,FALSE)&amp;" "&amp;VLOOKUP(C16,'_Données Employés'!$B$5:$H$18,4,FALSE),""))</f>
        <v/>
      </c>
      <c r="E16" s="12">
        <f>IF(C16="","",IFERROR(VLOOKUP(C16,'_Données Employés'!$B$5:$H$18,5,FALSE),""))</f>
        <v/>
      </c>
      <c r="F16" s="12">
        <f>IF(C16="","",IFERROR(VLOOKUP(C16,'_Données Employés'!$B$5:$H$18,6,FALSE),""))</f>
        <v/>
      </c>
      <c r="G16" s="12" t="inlineStr">
        <is>
          <t>Juin</t>
        </is>
      </c>
      <c r="H16" s="12" t="inlineStr">
        <is>
          <t>2025</t>
        </is>
      </c>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5">
        <f>IF(C16="","",COUNTIF(I16:AM16,"T")+COUNTIF(I16:AM16,"N"))</f>
        <v/>
      </c>
      <c r="AO16" s="15">
        <f>IF(C16="","",COUNTIF(I16:AM16,"R"))</f>
        <v/>
      </c>
      <c r="AP16" s="15">
        <f>IF(C16="","",COUNTIF(I16:AM16,"A"))</f>
        <v/>
      </c>
      <c r="AQ16" s="15">
        <f>IF(C16="","",AN16*8)</f>
        <v/>
      </c>
      <c r="AR16" s="15">
        <f>IF(C16="","",IFERROR(SUMIFS('6-Releve Heures'!K$5:K$104,'6-Releve Heures'!C$5:C$104,C16),0))</f>
        <v/>
      </c>
      <c r="AS16" s="15">
        <f>IF(C16="","",IFERROR(AR16-AQ16,0))</f>
        <v/>
      </c>
      <c r="AT16" s="15" t="n"/>
      <c r="AU16" s="12" t="n"/>
      <c r="AV16" s="12" t="n"/>
      <c r="AW16" s="12" t="n"/>
    </row>
    <row r="17" ht="22" customHeight="1">
      <c r="B17" s="12" t="inlineStr">
        <is>
          <t>PLM-028</t>
        </is>
      </c>
      <c r="C17" s="12" t="inlineStr">
        <is>
          <t>EMP-028</t>
        </is>
      </c>
      <c r="D17" s="12">
        <f>IF(C17="","",IFERROR(VLOOKUP(C17,'_Données Employés'!$B$5:$H$18,3,FALSE)&amp;" "&amp;VLOOKUP(C17,'_Données Employés'!$B$5:$H$18,4,FALSE),""))</f>
        <v/>
      </c>
      <c r="E17" s="12">
        <f>IF(C17="","",IFERROR(VLOOKUP(C17,'_Données Employés'!$B$5:$H$18,5,FALSE),""))</f>
        <v/>
      </c>
      <c r="F17" s="12">
        <f>IF(C17="","",IFERROR(VLOOKUP(C17,'_Données Employés'!$B$5:$H$18,6,FALSE),""))</f>
        <v/>
      </c>
      <c r="G17" s="12" t="inlineStr">
        <is>
          <t>Juin</t>
        </is>
      </c>
      <c r="H17" s="12" t="inlineStr">
        <is>
          <t>2025</t>
        </is>
      </c>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f>IF(C17="","",COUNTIF(I17:AM17,"T")+COUNTIF(I17:AM17,"N"))</f>
        <v/>
      </c>
      <c r="AO17" s="12">
        <f>IF(C17="","",COUNTIF(I17:AM17,"R"))</f>
        <v/>
      </c>
      <c r="AP17" s="12">
        <f>IF(C17="","",COUNTIF(I17:AM17,"A"))</f>
        <v/>
      </c>
      <c r="AQ17" s="12">
        <f>IF(C17="","",AN17*8)</f>
        <v/>
      </c>
      <c r="AR17" s="12">
        <f>IF(C17="","",IFERROR(SUMIFS('6-Releve Heures'!K$5:K$104,'6-Releve Heures'!C$5:C$104,C17),0))</f>
        <v/>
      </c>
      <c r="AS17" s="12">
        <f>IF(C17="","",IFERROR(AR17-AQ17,0))</f>
        <v/>
      </c>
      <c r="AT17" s="12" t="n"/>
      <c r="AU17" s="12" t="n"/>
      <c r="AV17" s="12" t="n"/>
      <c r="AW17" s="12" t="n"/>
    </row>
    <row r="18" ht="22" customHeight="1">
      <c r="B18" s="12" t="inlineStr">
        <is>
          <t>PLM-029</t>
        </is>
      </c>
      <c r="C18" s="12" t="inlineStr">
        <is>
          <t>EMP-029</t>
        </is>
      </c>
      <c r="D18" s="12">
        <f>IF(C18="","",IFERROR(VLOOKUP(C18,'_Données Employés'!$B$5:$H$18,3,FALSE)&amp;" "&amp;VLOOKUP(C18,'_Données Employés'!$B$5:$H$18,4,FALSE),""))</f>
        <v/>
      </c>
      <c r="E18" s="12">
        <f>IF(C18="","",IFERROR(VLOOKUP(C18,'_Données Employés'!$B$5:$H$18,5,FALSE),""))</f>
        <v/>
      </c>
      <c r="F18" s="12">
        <f>IF(C18="","",IFERROR(VLOOKUP(C18,'_Données Employés'!$B$5:$H$18,6,FALSE),""))</f>
        <v/>
      </c>
      <c r="G18" s="12" t="inlineStr">
        <is>
          <t>Juin</t>
        </is>
      </c>
      <c r="H18" s="12" t="inlineStr">
        <is>
          <t>2025</t>
        </is>
      </c>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5">
        <f>IF(C18="","",COUNTIF(I18:AM18,"T")+COUNTIF(I18:AM18,"N"))</f>
        <v/>
      </c>
      <c r="AO18" s="15">
        <f>IF(C18="","",COUNTIF(I18:AM18,"R"))</f>
        <v/>
      </c>
      <c r="AP18" s="15">
        <f>IF(C18="","",COUNTIF(I18:AM18,"A"))</f>
        <v/>
      </c>
      <c r="AQ18" s="15">
        <f>IF(C18="","",AN18*8)</f>
        <v/>
      </c>
      <c r="AR18" s="15">
        <f>IF(C18="","",IFERROR(SUMIFS('6-Releve Heures'!K$5:K$104,'6-Releve Heures'!C$5:C$104,C18),0))</f>
        <v/>
      </c>
      <c r="AS18" s="15">
        <f>IF(C18="","",IFERROR(AR18-AQ18,0))</f>
        <v/>
      </c>
      <c r="AT18" s="15" t="n"/>
      <c r="AU18" s="12" t="n"/>
      <c r="AV18" s="12" t="n"/>
      <c r="AW18" s="12" t="n"/>
    </row>
    <row r="19" ht="22" customHeight="1">
      <c r="B19" s="19">
        <f>IF(C19="","PLM-"&amp;TEXT(COUNTA($C$5:C19),"000"))</f>
        <v/>
      </c>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c r="AL19" s="12" t="n"/>
      <c r="AM19" s="12" t="n"/>
      <c r="AN19" s="12">
        <f>IF(C19="","",COUNTIF(I19:AM19,"T")+COUNTIF(I19:AM19,"N"))</f>
        <v/>
      </c>
      <c r="AO19" s="12">
        <f>IF(C19="","",COUNTIF(I19:AM19,"R"))</f>
        <v/>
      </c>
      <c r="AP19" s="12">
        <f>IF(C19="","",COUNTIF(I19:AM19,"A"))</f>
        <v/>
      </c>
      <c r="AQ19" s="12">
        <f>IF(C19="","",AN19*8)</f>
        <v/>
      </c>
      <c r="AR19" s="12">
        <f>IF(C19="","",IFERROR(SUMIFS('6-Releve Heures'!K$5:K$104,'6-Releve Heures'!C$5:C$104,C19),0))</f>
        <v/>
      </c>
      <c r="AS19" s="12">
        <f>IF(C19="","",IFERROR(AR19-AQ19,0))</f>
        <v/>
      </c>
      <c r="AT19" s="12" t="n"/>
      <c r="AU19" s="12" t="n"/>
      <c r="AV19" s="12" t="n"/>
      <c r="AW19" s="12" t="n"/>
    </row>
    <row r="20" ht="22" customHeight="1">
      <c r="B20" s="18">
        <f>IF(C20="","PLM-"&amp;TEXT(COUNTA($C$5:C20),"000"))</f>
        <v/>
      </c>
      <c r="C20" s="15" t="n"/>
      <c r="D20" s="15" t="n"/>
      <c r="E20" s="15" t="n"/>
      <c r="F20" s="15" t="n"/>
      <c r="G20" s="15" t="n"/>
      <c r="H20" s="15" t="n"/>
      <c r="I20" s="15" t="n"/>
      <c r="J20" s="15" t="n"/>
      <c r="K20" s="15" t="n"/>
      <c r="L20" s="15" t="n"/>
      <c r="M20" s="15" t="n"/>
      <c r="N20" s="15" t="n"/>
      <c r="O20" s="15" t="n"/>
      <c r="P20" s="15" t="n"/>
      <c r="Q20" s="15" t="n"/>
      <c r="R20" s="15"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5">
        <f>IF(C20="","",COUNTIF(I20:AM20,"T")+COUNTIF(I20:AM20,"N"))</f>
        <v/>
      </c>
      <c r="AO20" s="15">
        <f>IF(C20="","",COUNTIF(I20:AM20,"R"))</f>
        <v/>
      </c>
      <c r="AP20" s="15">
        <f>IF(C20="","",COUNTIF(I20:AM20,"A"))</f>
        <v/>
      </c>
      <c r="AQ20" s="15">
        <f>IF(C20="","",AN20*8)</f>
        <v/>
      </c>
      <c r="AR20" s="15">
        <f>IF(C20="","",IFERROR(SUMIFS('6-Releve Heures'!K$5:K$104,'6-Releve Heures'!C$5:C$104,C20),0))</f>
        <v/>
      </c>
      <c r="AS20" s="15">
        <f>IF(C20="","",IFERROR(AR20-AQ20,0))</f>
        <v/>
      </c>
      <c r="AT20" s="15" t="n"/>
      <c r="AU20" s="12" t="n"/>
      <c r="AV20" s="12" t="n"/>
      <c r="AW20" s="12" t="n"/>
    </row>
    <row r="21" ht="22" customHeight="1">
      <c r="B21" s="19">
        <f>IF(C21="","PLM-"&amp;TEXT(COUNTA($C$5:C21),"000"))</f>
        <v/>
      </c>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c r="AJ21" s="12" t="n"/>
      <c r="AK21" s="12" t="n"/>
      <c r="AL21" s="12" t="n"/>
      <c r="AM21" s="12" t="n"/>
      <c r="AN21" s="12">
        <f>IF(C21="","",COUNTIF(I21:AM21,"T")+COUNTIF(I21:AM21,"N"))</f>
        <v/>
      </c>
      <c r="AO21" s="12">
        <f>IF(C21="","",COUNTIF(I21:AM21,"R"))</f>
        <v/>
      </c>
      <c r="AP21" s="12">
        <f>IF(C21="","",COUNTIF(I21:AM21,"A"))</f>
        <v/>
      </c>
      <c r="AQ21" s="12">
        <f>IF(C21="","",AN21*8)</f>
        <v/>
      </c>
      <c r="AR21" s="12">
        <f>IF(C21="","",IFERROR(SUMIFS('6-Releve Heures'!K$5:K$104,'6-Releve Heures'!C$5:C$104,C21),0))</f>
        <v/>
      </c>
      <c r="AS21" s="12">
        <f>IF(C21="","",IFERROR(AR21-AQ21,0))</f>
        <v/>
      </c>
      <c r="AT21" s="12" t="n"/>
      <c r="AU21" s="12" t="n"/>
      <c r="AV21" s="12" t="n"/>
      <c r="AW21" s="12" t="n"/>
    </row>
    <row r="22" ht="22" customHeight="1">
      <c r="B22" s="18">
        <f>IF(C22="","PLM-"&amp;TEXT(COUNTA($C$5:C22),"000"))</f>
        <v/>
      </c>
      <c r="C22" s="15" t="n"/>
      <c r="D22" s="15" t="n"/>
      <c r="E22" s="15" t="n"/>
      <c r="F22" s="15" t="n"/>
      <c r="G22" s="15" t="n"/>
      <c r="H22" s="15" t="n"/>
      <c r="I22" s="15" t="n"/>
      <c r="J22" s="15" t="n"/>
      <c r="K22" s="15" t="n"/>
      <c r="L22" s="15" t="n"/>
      <c r="M22" s="15" t="n"/>
      <c r="N22" s="15" t="n"/>
      <c r="O22" s="15" t="n"/>
      <c r="P22" s="15" t="n"/>
      <c r="Q22" s="15" t="n"/>
      <c r="R22" s="15"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5">
        <f>IF(C22="","",COUNTIF(I22:AM22,"T")+COUNTIF(I22:AM22,"N"))</f>
        <v/>
      </c>
      <c r="AO22" s="15">
        <f>IF(C22="","",COUNTIF(I22:AM22,"R"))</f>
        <v/>
      </c>
      <c r="AP22" s="15">
        <f>IF(C22="","",COUNTIF(I22:AM22,"A"))</f>
        <v/>
      </c>
      <c r="AQ22" s="15">
        <f>IF(C22="","",AN22*8)</f>
        <v/>
      </c>
      <c r="AR22" s="15">
        <f>IF(C22="","",IFERROR(SUMIFS('6-Releve Heures'!K$5:K$104,'6-Releve Heures'!C$5:C$104,C22),0))</f>
        <v/>
      </c>
      <c r="AS22" s="15">
        <f>IF(C22="","",IFERROR(AR22-AQ22,0))</f>
        <v/>
      </c>
      <c r="AT22" s="15" t="n"/>
      <c r="AU22" s="12" t="n"/>
      <c r="AV22" s="12" t="n"/>
      <c r="AW22" s="12" t="n"/>
    </row>
    <row r="23" ht="22" customHeight="1">
      <c r="B23" s="19">
        <f>IF(C23="","PLM-"&amp;TEXT(COUNTA($C$5:C23),"000"))</f>
        <v/>
      </c>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f>IF(C23="","",COUNTIF(I23:AM23,"T")+COUNTIF(I23:AM23,"N"))</f>
        <v/>
      </c>
      <c r="AO23" s="12">
        <f>IF(C23="","",COUNTIF(I23:AM23,"R"))</f>
        <v/>
      </c>
      <c r="AP23" s="12">
        <f>IF(C23="","",COUNTIF(I23:AM23,"A"))</f>
        <v/>
      </c>
      <c r="AQ23" s="12">
        <f>IF(C23="","",AN23*8)</f>
        <v/>
      </c>
      <c r="AR23" s="12">
        <f>IF(C23="","",IFERROR(SUMIFS('6-Releve Heures'!K$5:K$104,'6-Releve Heures'!C$5:C$104,C23),0))</f>
        <v/>
      </c>
      <c r="AS23" s="12">
        <f>IF(C23="","",IFERROR(AR23-AQ23,0))</f>
        <v/>
      </c>
      <c r="AT23" s="12" t="n"/>
      <c r="AU23" s="12" t="n"/>
      <c r="AV23" s="12" t="n"/>
      <c r="AW23" s="12" t="n"/>
    </row>
    <row r="24" ht="22" customHeight="1">
      <c r="B24" s="18">
        <f>IF(C24="","PLM-"&amp;TEXT(COUNTA($C$5:C24),"000"))</f>
        <v/>
      </c>
      <c r="C24" s="15" t="n"/>
      <c r="D24" s="15" t="n"/>
      <c r="E24" s="15" t="n"/>
      <c r="F24" s="15" t="n"/>
      <c r="G24" s="15" t="n"/>
      <c r="H24" s="15" t="n"/>
      <c r="I24" s="15" t="n"/>
      <c r="J24" s="15" t="n"/>
      <c r="K24" s="15" t="n"/>
      <c r="L24" s="15" t="n"/>
      <c r="M24" s="15" t="n"/>
      <c r="N24" s="15" t="n"/>
      <c r="O24" s="15" t="n"/>
      <c r="P24" s="15" t="n"/>
      <c r="Q24" s="15" t="n"/>
      <c r="R24" s="15"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c r="AL24" s="12" t="n"/>
      <c r="AM24" s="12" t="n"/>
      <c r="AN24" s="15">
        <f>IF(C24="","",COUNTIF(I24:AM24,"T")+COUNTIF(I24:AM24,"N"))</f>
        <v/>
      </c>
      <c r="AO24" s="15">
        <f>IF(C24="","",COUNTIF(I24:AM24,"R"))</f>
        <v/>
      </c>
      <c r="AP24" s="15">
        <f>IF(C24="","",COUNTIF(I24:AM24,"A"))</f>
        <v/>
      </c>
      <c r="AQ24" s="15">
        <f>IF(C24="","",AN24*8)</f>
        <v/>
      </c>
      <c r="AR24" s="15">
        <f>IF(C24="","",IFERROR(SUMIFS('6-Releve Heures'!K$5:K$104,'6-Releve Heures'!C$5:C$104,C24),0))</f>
        <v/>
      </c>
      <c r="AS24" s="15">
        <f>IF(C24="","",IFERROR(AR24-AQ24,0))</f>
        <v/>
      </c>
      <c r="AT24" s="15" t="n"/>
      <c r="AU24" s="12" t="n"/>
      <c r="AV24" s="12" t="n"/>
      <c r="AW24" s="12" t="n"/>
    </row>
    <row r="25" ht="22" customHeight="1">
      <c r="B25" s="19">
        <f>IF(C25="","PLM-"&amp;TEXT(COUNTA($C$5:C25),"000"))</f>
        <v/>
      </c>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f>IF(C25="","",COUNTIF(I25:AM25,"T")+COUNTIF(I25:AM25,"N"))</f>
        <v/>
      </c>
      <c r="AO25" s="12">
        <f>IF(C25="","",COUNTIF(I25:AM25,"R"))</f>
        <v/>
      </c>
      <c r="AP25" s="12">
        <f>IF(C25="","",COUNTIF(I25:AM25,"A"))</f>
        <v/>
      </c>
      <c r="AQ25" s="12">
        <f>IF(C25="","",AN25*8)</f>
        <v/>
      </c>
      <c r="AR25" s="12">
        <f>IF(C25="","",IFERROR(SUMIFS('6-Releve Heures'!K$5:K$104,'6-Releve Heures'!C$5:C$104,C25),0))</f>
        <v/>
      </c>
      <c r="AS25" s="12">
        <f>IF(C25="","",IFERROR(AR25-AQ25,0))</f>
        <v/>
      </c>
      <c r="AT25" s="12" t="n"/>
      <c r="AU25" s="12" t="n"/>
      <c r="AV25" s="12" t="n"/>
      <c r="AW25" s="12" t="n"/>
    </row>
    <row r="26" ht="22" customHeight="1">
      <c r="B26" s="18">
        <f>IF(C26="","PLM-"&amp;TEXT(COUNTA($C$5:C26),"000"))</f>
        <v/>
      </c>
      <c r="C26" s="15" t="n"/>
      <c r="D26" s="15" t="n"/>
      <c r="E26" s="15" t="n"/>
      <c r="F26" s="15" t="n"/>
      <c r="G26" s="15" t="n"/>
      <c r="H26" s="15" t="n"/>
      <c r="I26" s="15" t="n"/>
      <c r="J26" s="15" t="n"/>
      <c r="K26" s="15" t="n"/>
      <c r="L26" s="15" t="n"/>
      <c r="M26" s="15" t="n"/>
      <c r="N26" s="15" t="n"/>
      <c r="O26" s="15" t="n"/>
      <c r="P26" s="15" t="n"/>
      <c r="Q26" s="15" t="n"/>
      <c r="R26" s="15"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5">
        <f>IF(C26="","",COUNTIF(I26:AM26,"T")+COUNTIF(I26:AM26,"N"))</f>
        <v/>
      </c>
      <c r="AO26" s="15">
        <f>IF(C26="","",COUNTIF(I26:AM26,"R"))</f>
        <v/>
      </c>
      <c r="AP26" s="15">
        <f>IF(C26="","",COUNTIF(I26:AM26,"A"))</f>
        <v/>
      </c>
      <c r="AQ26" s="15">
        <f>IF(C26="","",AN26*8)</f>
        <v/>
      </c>
      <c r="AR26" s="15">
        <f>IF(C26="","",IFERROR(SUMIFS('6-Releve Heures'!K$5:K$104,'6-Releve Heures'!C$5:C$104,C26),0))</f>
        <v/>
      </c>
      <c r="AS26" s="15">
        <f>IF(C26="","",IFERROR(AR26-AQ26,0))</f>
        <v/>
      </c>
      <c r="AT26" s="15" t="n"/>
      <c r="AU26" s="12" t="n"/>
      <c r="AV26" s="12" t="n"/>
      <c r="AW26" s="12" t="n"/>
    </row>
    <row r="27" ht="22" customHeight="1">
      <c r="B27" s="19">
        <f>IF(C27="","PLM-"&amp;TEXT(COUNTA($C$5:C27),"000"))</f>
        <v/>
      </c>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f>IF(C27="","",COUNTIF(I27:AM27,"T")+COUNTIF(I27:AM27,"N"))</f>
        <v/>
      </c>
      <c r="AO27" s="12">
        <f>IF(C27="","",COUNTIF(I27:AM27,"R"))</f>
        <v/>
      </c>
      <c r="AP27" s="12">
        <f>IF(C27="","",COUNTIF(I27:AM27,"A"))</f>
        <v/>
      </c>
      <c r="AQ27" s="12">
        <f>IF(C27="","",AN27*8)</f>
        <v/>
      </c>
      <c r="AR27" s="12">
        <f>IF(C27="","",IFERROR(SUMIFS('6-Releve Heures'!K$5:K$104,'6-Releve Heures'!C$5:C$104,C27),0))</f>
        <v/>
      </c>
      <c r="AS27" s="12">
        <f>IF(C27="","",IFERROR(AR27-AQ27,0))</f>
        <v/>
      </c>
      <c r="AT27" s="12" t="n"/>
      <c r="AU27" s="12" t="n"/>
      <c r="AV27" s="12" t="n"/>
      <c r="AW27" s="12" t="n"/>
    </row>
    <row r="28" ht="22" customHeight="1">
      <c r="B28" s="18">
        <f>IF(C28="","PLM-"&amp;TEXT(COUNTA($C$5:C28),"000"))</f>
        <v/>
      </c>
      <c r="C28" s="15" t="n"/>
      <c r="D28" s="15" t="n"/>
      <c r="E28" s="15" t="n"/>
      <c r="F28" s="15" t="n"/>
      <c r="G28" s="15" t="n"/>
      <c r="H28" s="15" t="n"/>
      <c r="I28" s="15" t="n"/>
      <c r="J28" s="15" t="n"/>
      <c r="K28" s="15" t="n"/>
      <c r="L28" s="15" t="n"/>
      <c r="M28" s="15" t="n"/>
      <c r="N28" s="15" t="n"/>
      <c r="O28" s="15" t="n"/>
      <c r="P28" s="15" t="n"/>
      <c r="Q28" s="15" t="n"/>
      <c r="R28" s="15"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5">
        <f>IF(C28="","",COUNTIF(I28:AM28,"T")+COUNTIF(I28:AM28,"N"))</f>
        <v/>
      </c>
      <c r="AO28" s="15">
        <f>IF(C28="","",COUNTIF(I28:AM28,"R"))</f>
        <v/>
      </c>
      <c r="AP28" s="15">
        <f>IF(C28="","",COUNTIF(I28:AM28,"A"))</f>
        <v/>
      </c>
      <c r="AQ28" s="15">
        <f>IF(C28="","",AN28*8)</f>
        <v/>
      </c>
      <c r="AR28" s="15">
        <f>IF(C28="","",IFERROR(SUMIFS('6-Releve Heures'!K$5:K$104,'6-Releve Heures'!C$5:C$104,C28),0))</f>
        <v/>
      </c>
      <c r="AS28" s="15">
        <f>IF(C28="","",IFERROR(AR28-AQ28,0))</f>
        <v/>
      </c>
      <c r="AT28" s="15" t="n"/>
      <c r="AU28" s="12" t="n"/>
      <c r="AV28" s="12" t="n"/>
      <c r="AW28" s="12" t="n"/>
    </row>
    <row r="29" ht="22" customHeight="1">
      <c r="B29" s="19">
        <f>IF(C29="","PLM-"&amp;TEXT(COUNTA($C$5:C29),"000"))</f>
        <v/>
      </c>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f>IF(C29="","",COUNTIF(I29:AM29,"T")+COUNTIF(I29:AM29,"N"))</f>
        <v/>
      </c>
      <c r="AO29" s="12">
        <f>IF(C29="","",COUNTIF(I29:AM29,"R"))</f>
        <v/>
      </c>
      <c r="AP29" s="12">
        <f>IF(C29="","",COUNTIF(I29:AM29,"A"))</f>
        <v/>
      </c>
      <c r="AQ29" s="12">
        <f>IF(C29="","",AN29*8)</f>
        <v/>
      </c>
      <c r="AR29" s="12">
        <f>IF(C29="","",IFERROR(SUMIFS('6-Releve Heures'!K$5:K$104,'6-Releve Heures'!C$5:C$104,C29),0))</f>
        <v/>
      </c>
      <c r="AS29" s="12">
        <f>IF(C29="","",IFERROR(AR29-AQ29,0))</f>
        <v/>
      </c>
      <c r="AT29" s="12" t="n"/>
      <c r="AU29" s="12" t="n"/>
      <c r="AV29" s="12" t="n"/>
      <c r="AW29" s="12" t="n"/>
    </row>
    <row r="30" ht="22" customHeight="1">
      <c r="B30" s="18">
        <f>IF(C30="","PLM-"&amp;TEXT(COUNTA($C$5:C30),"000"))</f>
        <v/>
      </c>
      <c r="C30" s="15" t="n"/>
      <c r="D30" s="15" t="n"/>
      <c r="E30" s="15" t="n"/>
      <c r="F30" s="15" t="n"/>
      <c r="G30" s="15" t="n"/>
      <c r="H30" s="15" t="n"/>
      <c r="I30" s="15" t="n"/>
      <c r="J30" s="15" t="n"/>
      <c r="K30" s="15" t="n"/>
      <c r="L30" s="15" t="n"/>
      <c r="M30" s="15" t="n"/>
      <c r="N30" s="15" t="n"/>
      <c r="O30" s="15" t="n"/>
      <c r="P30" s="15" t="n"/>
      <c r="Q30" s="15" t="n"/>
      <c r="R30" s="15"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5">
        <f>IF(C30="","",COUNTIF(I30:AM30,"T")+COUNTIF(I30:AM30,"N"))</f>
        <v/>
      </c>
      <c r="AO30" s="15">
        <f>IF(C30="","",COUNTIF(I30:AM30,"R"))</f>
        <v/>
      </c>
      <c r="AP30" s="15">
        <f>IF(C30="","",COUNTIF(I30:AM30,"A"))</f>
        <v/>
      </c>
      <c r="AQ30" s="15">
        <f>IF(C30="","",AN30*8)</f>
        <v/>
      </c>
      <c r="AR30" s="15">
        <f>IF(C30="","",IFERROR(SUMIFS('6-Releve Heures'!K$5:K$104,'6-Releve Heures'!C$5:C$104,C30),0))</f>
        <v/>
      </c>
      <c r="AS30" s="15">
        <f>IF(C30="","",IFERROR(AR30-AQ30,0))</f>
        <v/>
      </c>
      <c r="AT30" s="15" t="n"/>
      <c r="AU30" s="12" t="n"/>
      <c r="AV30" s="12" t="n"/>
      <c r="AW30" s="12" t="n"/>
    </row>
    <row r="31" ht="22" customHeight="1">
      <c r="B31" s="19">
        <f>IF(C31="","PLM-"&amp;TEXT(COUNTA($C$5:C31),"000"))</f>
        <v/>
      </c>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f>IF(C31="","",COUNTIF(I31:AM31,"T")+COUNTIF(I31:AM31,"N"))</f>
        <v/>
      </c>
      <c r="AO31" s="12">
        <f>IF(C31="","",COUNTIF(I31:AM31,"R"))</f>
        <v/>
      </c>
      <c r="AP31" s="12">
        <f>IF(C31="","",COUNTIF(I31:AM31,"A"))</f>
        <v/>
      </c>
      <c r="AQ31" s="12">
        <f>IF(C31="","",AN31*8)</f>
        <v/>
      </c>
      <c r="AR31" s="12">
        <f>IF(C31="","",IFERROR(SUMIFS('6-Releve Heures'!K$5:K$104,'6-Releve Heures'!C$5:C$104,C31),0))</f>
        <v/>
      </c>
      <c r="AS31" s="12">
        <f>IF(C31="","",IFERROR(AR31-AQ31,0))</f>
        <v/>
      </c>
      <c r="AT31" s="12" t="n"/>
      <c r="AU31" s="12" t="n"/>
      <c r="AV31" s="12" t="n"/>
      <c r="AW31" s="12" t="n"/>
    </row>
    <row r="32" ht="22" customHeight="1">
      <c r="B32" s="18">
        <f>IF(C32="","PLM-"&amp;TEXT(COUNTA($C$5:C32),"000"))</f>
        <v/>
      </c>
      <c r="C32" s="15" t="n"/>
      <c r="D32" s="15" t="n"/>
      <c r="E32" s="15" t="n"/>
      <c r="F32" s="15" t="n"/>
      <c r="G32" s="15" t="n"/>
      <c r="H32" s="15" t="n"/>
      <c r="I32" s="15" t="n"/>
      <c r="J32" s="15" t="n"/>
      <c r="K32" s="15" t="n"/>
      <c r="L32" s="15" t="n"/>
      <c r="M32" s="15" t="n"/>
      <c r="N32" s="15" t="n"/>
      <c r="O32" s="15" t="n"/>
      <c r="P32" s="15" t="n"/>
      <c r="Q32" s="15" t="n"/>
      <c r="R32" s="15"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5">
        <f>IF(C32="","",COUNTIF(I32:AM32,"T")+COUNTIF(I32:AM32,"N"))</f>
        <v/>
      </c>
      <c r="AO32" s="15">
        <f>IF(C32="","",COUNTIF(I32:AM32,"R"))</f>
        <v/>
      </c>
      <c r="AP32" s="15">
        <f>IF(C32="","",COUNTIF(I32:AM32,"A"))</f>
        <v/>
      </c>
      <c r="AQ32" s="15">
        <f>IF(C32="","",AN32*8)</f>
        <v/>
      </c>
      <c r="AR32" s="15">
        <f>IF(C32="","",IFERROR(SUMIFS('6-Releve Heures'!K$5:K$104,'6-Releve Heures'!C$5:C$104,C32),0))</f>
        <v/>
      </c>
      <c r="AS32" s="15">
        <f>IF(C32="","",IFERROR(AR32-AQ32,0))</f>
        <v/>
      </c>
      <c r="AT32" s="15" t="n"/>
      <c r="AU32" s="12" t="n"/>
      <c r="AV32" s="12" t="n"/>
      <c r="AW32" s="12" t="n"/>
    </row>
    <row r="33" ht="22" customHeight="1">
      <c r="B33" s="19">
        <f>IF(C33="","PLM-"&amp;TEXT(COUNTA($C$5:C33),"000"))</f>
        <v/>
      </c>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f>IF(C33="","",COUNTIF(I33:AM33,"T")+COUNTIF(I33:AM33,"N"))</f>
        <v/>
      </c>
      <c r="AO33" s="12">
        <f>IF(C33="","",COUNTIF(I33:AM33,"R"))</f>
        <v/>
      </c>
      <c r="AP33" s="12">
        <f>IF(C33="","",COUNTIF(I33:AM33,"A"))</f>
        <v/>
      </c>
      <c r="AQ33" s="12">
        <f>IF(C33="","",AN33*8)</f>
        <v/>
      </c>
      <c r="AR33" s="12">
        <f>IF(C33="","",IFERROR(SUMIFS('6-Releve Heures'!K$5:K$104,'6-Releve Heures'!C$5:C$104,C33),0))</f>
        <v/>
      </c>
      <c r="AS33" s="12">
        <f>IF(C33="","",IFERROR(AR33-AQ33,0))</f>
        <v/>
      </c>
      <c r="AT33" s="12" t="n"/>
      <c r="AU33" s="12" t="n"/>
      <c r="AV33" s="12" t="n"/>
      <c r="AW33" s="12" t="n"/>
    </row>
    <row r="34" ht="22" customHeight="1">
      <c r="B34" s="18">
        <f>IF(C34="","PLM-"&amp;TEXT(COUNTA($C$5:C34),"000"))</f>
        <v/>
      </c>
      <c r="C34" s="15" t="n"/>
      <c r="D34" s="15" t="n"/>
      <c r="E34" s="15" t="n"/>
      <c r="F34" s="15" t="n"/>
      <c r="G34" s="15" t="n"/>
      <c r="H34" s="15" t="n"/>
      <c r="I34" s="15" t="n"/>
      <c r="J34" s="15" t="n"/>
      <c r="K34" s="15" t="n"/>
      <c r="L34" s="15" t="n"/>
      <c r="M34" s="15" t="n"/>
      <c r="N34" s="15" t="n"/>
      <c r="O34" s="15" t="n"/>
      <c r="P34" s="15" t="n"/>
      <c r="Q34" s="15" t="n"/>
      <c r="R34" s="15"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5">
        <f>IF(C34="","",COUNTIF(I34:AM34,"T")+COUNTIF(I34:AM34,"N"))</f>
        <v/>
      </c>
      <c r="AO34" s="15">
        <f>IF(C34="","",COUNTIF(I34:AM34,"R"))</f>
        <v/>
      </c>
      <c r="AP34" s="15">
        <f>IF(C34="","",COUNTIF(I34:AM34,"A"))</f>
        <v/>
      </c>
      <c r="AQ34" s="15">
        <f>IF(C34="","",AN34*8)</f>
        <v/>
      </c>
      <c r="AR34" s="15">
        <f>IF(C34="","",IFERROR(SUMIFS('6-Releve Heures'!K$5:K$104,'6-Releve Heures'!C$5:C$104,C34),0))</f>
        <v/>
      </c>
      <c r="AS34" s="15">
        <f>IF(C34="","",IFERROR(AR34-AQ34,0))</f>
        <v/>
      </c>
      <c r="AT34" s="15" t="n"/>
      <c r="AU34" s="12" t="n"/>
      <c r="AV34" s="12" t="n"/>
      <c r="AW34" s="12" t="n"/>
    </row>
    <row r="35" ht="22" customHeight="1">
      <c r="B35" s="19">
        <f>IF(C35="","PLM-"&amp;TEXT(COUNTA($C$5:C35),"000"))</f>
        <v/>
      </c>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f>IF(C35="","",COUNTIF(I35:AM35,"T")+COUNTIF(I35:AM35,"N"))</f>
        <v/>
      </c>
      <c r="AO35" s="12">
        <f>IF(C35="","",COUNTIF(I35:AM35,"R"))</f>
        <v/>
      </c>
      <c r="AP35" s="12">
        <f>IF(C35="","",COUNTIF(I35:AM35,"A"))</f>
        <v/>
      </c>
      <c r="AQ35" s="12">
        <f>IF(C35="","",AN35*8)</f>
        <v/>
      </c>
      <c r="AR35" s="12">
        <f>IF(C35="","",IFERROR(SUMIFS('6-Releve Heures'!K$5:K$104,'6-Releve Heures'!C$5:C$104,C35),0))</f>
        <v/>
      </c>
      <c r="AS35" s="12">
        <f>IF(C35="","",IFERROR(AR35-AQ35,0))</f>
        <v/>
      </c>
      <c r="AT35" s="12" t="n"/>
      <c r="AU35" s="12" t="n"/>
      <c r="AV35" s="12" t="n"/>
      <c r="AW35" s="12" t="n"/>
    </row>
    <row r="36" ht="22" customHeight="1">
      <c r="B36" s="18">
        <f>IF(C36="","PLM-"&amp;TEXT(COUNTA($C$5:C36),"000"))</f>
        <v/>
      </c>
      <c r="C36" s="15" t="n"/>
      <c r="D36" s="15" t="n"/>
      <c r="E36" s="15" t="n"/>
      <c r="F36" s="15" t="n"/>
      <c r="G36" s="15" t="n"/>
      <c r="H36" s="15" t="n"/>
      <c r="I36" s="15" t="n"/>
      <c r="J36" s="15" t="n"/>
      <c r="K36" s="15" t="n"/>
      <c r="L36" s="15" t="n"/>
      <c r="M36" s="15" t="n"/>
      <c r="N36" s="15" t="n"/>
      <c r="O36" s="15" t="n"/>
      <c r="P36" s="15" t="n"/>
      <c r="Q36" s="15" t="n"/>
      <c r="R36" s="15"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5">
        <f>IF(C36="","",COUNTIF(I36:AM36,"T")+COUNTIF(I36:AM36,"N"))</f>
        <v/>
      </c>
      <c r="AO36" s="15">
        <f>IF(C36="","",COUNTIF(I36:AM36,"R"))</f>
        <v/>
      </c>
      <c r="AP36" s="15">
        <f>IF(C36="","",COUNTIF(I36:AM36,"A"))</f>
        <v/>
      </c>
      <c r="AQ36" s="15">
        <f>IF(C36="","",AN36*8)</f>
        <v/>
      </c>
      <c r="AR36" s="15">
        <f>IF(C36="","",IFERROR(SUMIFS('6-Releve Heures'!K$5:K$104,'6-Releve Heures'!C$5:C$104,C36),0))</f>
        <v/>
      </c>
      <c r="AS36" s="15">
        <f>IF(C36="","",IFERROR(AR36-AQ36,0))</f>
        <v/>
      </c>
      <c r="AT36" s="15" t="n"/>
      <c r="AU36" s="12" t="n"/>
      <c r="AV36" s="12" t="n"/>
      <c r="AW36" s="12" t="n"/>
    </row>
    <row r="37" ht="22" customHeight="1">
      <c r="B37" s="19">
        <f>IF(C37="","PLM-"&amp;TEXT(COUNTA($C$5:C37),"000"))</f>
        <v/>
      </c>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f>IF(C37="","",COUNTIF(I37:AM37,"T")+COUNTIF(I37:AM37,"N"))</f>
        <v/>
      </c>
      <c r="AO37" s="12">
        <f>IF(C37="","",COUNTIF(I37:AM37,"R"))</f>
        <v/>
      </c>
      <c r="AP37" s="12">
        <f>IF(C37="","",COUNTIF(I37:AM37,"A"))</f>
        <v/>
      </c>
      <c r="AQ37" s="12">
        <f>IF(C37="","",AN37*8)</f>
        <v/>
      </c>
      <c r="AR37" s="12">
        <f>IF(C37="","",IFERROR(SUMIFS('6-Releve Heures'!K$5:K$104,'6-Releve Heures'!C$5:C$104,C37),0))</f>
        <v/>
      </c>
      <c r="AS37" s="12">
        <f>IF(C37="","",IFERROR(AR37-AQ37,0))</f>
        <v/>
      </c>
      <c r="AT37" s="12" t="n"/>
      <c r="AU37" s="12" t="n"/>
      <c r="AV37" s="12" t="n"/>
      <c r="AW37" s="12" t="n"/>
    </row>
    <row r="38" ht="22" customHeight="1">
      <c r="B38" s="18">
        <f>IF(C38="","PLM-"&amp;TEXT(COUNTA($C$5:C38),"000"))</f>
        <v/>
      </c>
      <c r="C38" s="15" t="n"/>
      <c r="D38" s="15" t="n"/>
      <c r="E38" s="15" t="n"/>
      <c r="F38" s="15" t="n"/>
      <c r="G38" s="15" t="n"/>
      <c r="H38" s="15" t="n"/>
      <c r="I38" s="15" t="n"/>
      <c r="J38" s="15" t="n"/>
      <c r="K38" s="15" t="n"/>
      <c r="L38" s="15" t="n"/>
      <c r="M38" s="15" t="n"/>
      <c r="N38" s="15" t="n"/>
      <c r="O38" s="15" t="n"/>
      <c r="P38" s="15" t="n"/>
      <c r="Q38" s="15" t="n"/>
      <c r="R38" s="15"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5">
        <f>IF(C38="","",COUNTIF(I38:AM38,"T")+COUNTIF(I38:AM38,"N"))</f>
        <v/>
      </c>
      <c r="AO38" s="15">
        <f>IF(C38="","",COUNTIF(I38:AM38,"R"))</f>
        <v/>
      </c>
      <c r="AP38" s="15">
        <f>IF(C38="","",COUNTIF(I38:AM38,"A"))</f>
        <v/>
      </c>
      <c r="AQ38" s="15">
        <f>IF(C38="","",AN38*8)</f>
        <v/>
      </c>
      <c r="AR38" s="15">
        <f>IF(C38="","",IFERROR(SUMIFS('6-Releve Heures'!K$5:K$104,'6-Releve Heures'!C$5:C$104,C38),0))</f>
        <v/>
      </c>
      <c r="AS38" s="15">
        <f>IF(C38="","",IFERROR(AR38-AQ38,0))</f>
        <v/>
      </c>
      <c r="AT38" s="15" t="n"/>
      <c r="AU38" s="12" t="n"/>
      <c r="AV38" s="12" t="n"/>
      <c r="AW38" s="12" t="n"/>
    </row>
    <row r="39" ht="22" customHeight="1">
      <c r="B39" s="19">
        <f>IF(C39="","PLM-"&amp;TEXT(COUNTA($C$5:C39),"000"))</f>
        <v/>
      </c>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c r="AJ39" s="12" t="n"/>
      <c r="AK39" s="12" t="n"/>
      <c r="AL39" s="12" t="n"/>
      <c r="AM39" s="12" t="n"/>
      <c r="AN39" s="12">
        <f>IF(C39="","",COUNTIF(I39:AM39,"T")+COUNTIF(I39:AM39,"N"))</f>
        <v/>
      </c>
      <c r="AO39" s="12">
        <f>IF(C39="","",COUNTIF(I39:AM39,"R"))</f>
        <v/>
      </c>
      <c r="AP39" s="12">
        <f>IF(C39="","",COUNTIF(I39:AM39,"A"))</f>
        <v/>
      </c>
      <c r="AQ39" s="12">
        <f>IF(C39="","",AN39*8)</f>
        <v/>
      </c>
      <c r="AR39" s="12">
        <f>IF(C39="","",IFERROR(SUMIFS('6-Releve Heures'!K$5:K$104,'6-Releve Heures'!C$5:C$104,C39),0))</f>
        <v/>
      </c>
      <c r="AS39" s="12">
        <f>IF(C39="","",IFERROR(AR39-AQ39,0))</f>
        <v/>
      </c>
      <c r="AT39" s="12" t="n"/>
      <c r="AU39" s="12" t="n"/>
      <c r="AV39" s="12" t="n"/>
      <c r="AW39" s="12" t="n"/>
    </row>
    <row r="40" ht="22" customHeight="1">
      <c r="B40" s="18">
        <f>IF(C40="","PLM-"&amp;TEXT(COUNTA($C$5:C40),"000"))</f>
        <v/>
      </c>
      <c r="C40" s="15" t="n"/>
      <c r="D40" s="15" t="n"/>
      <c r="E40" s="15" t="n"/>
      <c r="F40" s="15" t="n"/>
      <c r="G40" s="15" t="n"/>
      <c r="H40" s="15" t="n"/>
      <c r="I40" s="15" t="n"/>
      <c r="J40" s="15" t="n"/>
      <c r="K40" s="15" t="n"/>
      <c r="L40" s="15" t="n"/>
      <c r="M40" s="15" t="n"/>
      <c r="N40" s="15" t="n"/>
      <c r="O40" s="15" t="n"/>
      <c r="P40" s="15" t="n"/>
      <c r="Q40" s="15" t="n"/>
      <c r="R40" s="15"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5">
        <f>IF(C40="","",COUNTIF(I40:AM40,"T")+COUNTIF(I40:AM40,"N"))</f>
        <v/>
      </c>
      <c r="AO40" s="15">
        <f>IF(C40="","",COUNTIF(I40:AM40,"R"))</f>
        <v/>
      </c>
      <c r="AP40" s="15">
        <f>IF(C40="","",COUNTIF(I40:AM40,"A"))</f>
        <v/>
      </c>
      <c r="AQ40" s="15">
        <f>IF(C40="","",AN40*8)</f>
        <v/>
      </c>
      <c r="AR40" s="15">
        <f>IF(C40="","",IFERROR(SUMIFS('6-Releve Heures'!K$5:K$104,'6-Releve Heures'!C$5:C$104,C40),0))</f>
        <v/>
      </c>
      <c r="AS40" s="15">
        <f>IF(C40="","",IFERROR(AR40-AQ40,0))</f>
        <v/>
      </c>
      <c r="AT40" s="15" t="n"/>
      <c r="AU40" s="12" t="n"/>
      <c r="AV40" s="12" t="n"/>
      <c r="AW40" s="12" t="n"/>
    </row>
    <row r="41" ht="22" customHeight="1">
      <c r="B41" s="19">
        <f>IF(C41="","PLM-"&amp;TEXT(COUNTA($C$5:C41),"000"))</f>
        <v/>
      </c>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f>IF(C41="","",COUNTIF(I41:AM41,"T")+COUNTIF(I41:AM41,"N"))</f>
        <v/>
      </c>
      <c r="AO41" s="12">
        <f>IF(C41="","",COUNTIF(I41:AM41,"R"))</f>
        <v/>
      </c>
      <c r="AP41" s="12">
        <f>IF(C41="","",COUNTIF(I41:AM41,"A"))</f>
        <v/>
      </c>
      <c r="AQ41" s="12">
        <f>IF(C41="","",AN41*8)</f>
        <v/>
      </c>
      <c r="AR41" s="12">
        <f>IF(C41="","",IFERROR(SUMIFS('6-Releve Heures'!K$5:K$104,'6-Releve Heures'!C$5:C$104,C41),0))</f>
        <v/>
      </c>
      <c r="AS41" s="12">
        <f>IF(C41="","",IFERROR(AR41-AQ41,0))</f>
        <v/>
      </c>
      <c r="AT41" s="12" t="n"/>
      <c r="AU41" s="12" t="n"/>
      <c r="AV41" s="12" t="n"/>
      <c r="AW41" s="12" t="n"/>
    </row>
    <row r="42" ht="22" customHeight="1">
      <c r="B42" s="18">
        <f>IF(C42="","PLM-"&amp;TEXT(COUNTA($C$5:C42),"000"))</f>
        <v/>
      </c>
      <c r="C42" s="15" t="n"/>
      <c r="D42" s="15" t="n"/>
      <c r="E42" s="15" t="n"/>
      <c r="F42" s="15" t="n"/>
      <c r="G42" s="15" t="n"/>
      <c r="H42" s="15" t="n"/>
      <c r="I42" s="15" t="n"/>
      <c r="J42" s="15" t="n"/>
      <c r="K42" s="15" t="n"/>
      <c r="L42" s="15" t="n"/>
      <c r="M42" s="15" t="n"/>
      <c r="N42" s="15" t="n"/>
      <c r="O42" s="15" t="n"/>
      <c r="P42" s="15" t="n"/>
      <c r="Q42" s="15" t="n"/>
      <c r="R42" s="15"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5">
        <f>IF(C42="","",COUNTIF(I42:AM42,"T")+COUNTIF(I42:AM42,"N"))</f>
        <v/>
      </c>
      <c r="AO42" s="15">
        <f>IF(C42="","",COUNTIF(I42:AM42,"R"))</f>
        <v/>
      </c>
      <c r="AP42" s="15">
        <f>IF(C42="","",COUNTIF(I42:AM42,"A"))</f>
        <v/>
      </c>
      <c r="AQ42" s="15">
        <f>IF(C42="","",AN42*8)</f>
        <v/>
      </c>
      <c r="AR42" s="15">
        <f>IF(C42="","",IFERROR(SUMIFS('6-Releve Heures'!K$5:K$104,'6-Releve Heures'!C$5:C$104,C42),0))</f>
        <v/>
      </c>
      <c r="AS42" s="15">
        <f>IF(C42="","",IFERROR(AR42-AQ42,0))</f>
        <v/>
      </c>
      <c r="AT42" s="15" t="n"/>
      <c r="AU42" s="12" t="n"/>
      <c r="AV42" s="12" t="n"/>
      <c r="AW42" s="12" t="n"/>
    </row>
    <row r="43" ht="22" customHeight="1">
      <c r="B43" s="19">
        <f>IF(C43="","PLM-"&amp;TEXT(COUNTA($C$5:C43),"000"))</f>
        <v/>
      </c>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f>IF(C43="","",COUNTIF(I43:AM43,"T")+COUNTIF(I43:AM43,"N"))</f>
        <v/>
      </c>
      <c r="AO43" s="12">
        <f>IF(C43="","",COUNTIF(I43:AM43,"R"))</f>
        <v/>
      </c>
      <c r="AP43" s="12">
        <f>IF(C43="","",COUNTIF(I43:AM43,"A"))</f>
        <v/>
      </c>
      <c r="AQ43" s="12">
        <f>IF(C43="","",AN43*8)</f>
        <v/>
      </c>
      <c r="AR43" s="12">
        <f>IF(C43="","",IFERROR(SUMIFS('6-Releve Heures'!K$5:K$104,'6-Releve Heures'!C$5:C$104,C43),0))</f>
        <v/>
      </c>
      <c r="AS43" s="12">
        <f>IF(C43="","",IFERROR(AR43-AQ43,0))</f>
        <v/>
      </c>
      <c r="AT43" s="12" t="n"/>
      <c r="AU43" s="12" t="n"/>
      <c r="AV43" s="12" t="n"/>
      <c r="AW43" s="12" t="n"/>
    </row>
    <row r="44" ht="22" customHeight="1">
      <c r="B44" s="18">
        <f>IF(C44="","PLM-"&amp;TEXT(COUNTA($C$5:C44),"000"))</f>
        <v/>
      </c>
      <c r="C44" s="15" t="n"/>
      <c r="D44" s="15" t="n"/>
      <c r="E44" s="15" t="n"/>
      <c r="F44" s="15" t="n"/>
      <c r="G44" s="15" t="n"/>
      <c r="H44" s="15" t="n"/>
      <c r="I44" s="15" t="n"/>
      <c r="J44" s="15" t="n"/>
      <c r="K44" s="15" t="n"/>
      <c r="L44" s="15" t="n"/>
      <c r="M44" s="15" t="n"/>
      <c r="N44" s="15" t="n"/>
      <c r="O44" s="15" t="n"/>
      <c r="P44" s="15" t="n"/>
      <c r="Q44" s="15" t="n"/>
      <c r="R44" s="15" t="n"/>
      <c r="S44" s="12" t="n"/>
      <c r="T44" s="12" t="n"/>
      <c r="U44" s="12" t="n"/>
      <c r="V44" s="12" t="n"/>
      <c r="W44" s="12" t="n"/>
      <c r="X44" s="12" t="n"/>
      <c r="Y44" s="12" t="n"/>
      <c r="Z44" s="12" t="n"/>
      <c r="AA44" s="12" t="n"/>
      <c r="AB44" s="12" t="n"/>
      <c r="AC44" s="12" t="n"/>
      <c r="AD44" s="12" t="n"/>
      <c r="AE44" s="12" t="n"/>
      <c r="AF44" s="12" t="n"/>
      <c r="AG44" s="12" t="n"/>
      <c r="AH44" s="12" t="n"/>
      <c r="AI44" s="12" t="n"/>
      <c r="AJ44" s="12" t="n"/>
      <c r="AK44" s="12" t="n"/>
      <c r="AL44" s="12" t="n"/>
      <c r="AM44" s="12" t="n"/>
      <c r="AN44" s="15">
        <f>IF(C44="","",COUNTIF(I44:AM44,"T")+COUNTIF(I44:AM44,"N"))</f>
        <v/>
      </c>
      <c r="AO44" s="15">
        <f>IF(C44="","",COUNTIF(I44:AM44,"R"))</f>
        <v/>
      </c>
      <c r="AP44" s="15">
        <f>IF(C44="","",COUNTIF(I44:AM44,"A"))</f>
        <v/>
      </c>
      <c r="AQ44" s="15">
        <f>IF(C44="","",AN44*8)</f>
        <v/>
      </c>
      <c r="AR44" s="15">
        <f>IF(C44="","",IFERROR(SUMIFS('6-Releve Heures'!K$5:K$104,'6-Releve Heures'!C$5:C$104,C44),0))</f>
        <v/>
      </c>
      <c r="AS44" s="15">
        <f>IF(C44="","",IFERROR(AR44-AQ44,0))</f>
        <v/>
      </c>
      <c r="AT44" s="15" t="n"/>
      <c r="AU44" s="12" t="n"/>
      <c r="AV44" s="12" t="n"/>
      <c r="AW44" s="12" t="n"/>
    </row>
    <row r="45" ht="22" customHeight="1">
      <c r="B45" s="19">
        <f>IF(C45="","PLM-"&amp;TEXT(COUNTA($C$5:C45),"000"))</f>
        <v/>
      </c>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f>IF(C45="","",COUNTIF(I45:AM45,"T")+COUNTIF(I45:AM45,"N"))</f>
        <v/>
      </c>
      <c r="AO45" s="12">
        <f>IF(C45="","",COUNTIF(I45:AM45,"R"))</f>
        <v/>
      </c>
      <c r="AP45" s="12">
        <f>IF(C45="","",COUNTIF(I45:AM45,"A"))</f>
        <v/>
      </c>
      <c r="AQ45" s="12">
        <f>IF(C45="","",AN45*8)</f>
        <v/>
      </c>
      <c r="AR45" s="12">
        <f>IF(C45="","",IFERROR(SUMIFS('6-Releve Heures'!K$5:K$104,'6-Releve Heures'!C$5:C$104,C45),0))</f>
        <v/>
      </c>
      <c r="AS45" s="12">
        <f>IF(C45="","",IFERROR(AR45-AQ45,0))</f>
        <v/>
      </c>
      <c r="AT45" s="12" t="n"/>
      <c r="AU45" s="12" t="n"/>
      <c r="AV45" s="12" t="n"/>
      <c r="AW45" s="12" t="n"/>
    </row>
    <row r="46" ht="22" customHeight="1">
      <c r="B46" s="18">
        <f>IF(C46="","PLM-"&amp;TEXT(COUNTA($C$5:C46),"000"))</f>
        <v/>
      </c>
      <c r="C46" s="15" t="n"/>
      <c r="D46" s="15" t="n"/>
      <c r="E46" s="15" t="n"/>
      <c r="F46" s="15" t="n"/>
      <c r="G46" s="15" t="n"/>
      <c r="H46" s="15" t="n"/>
      <c r="I46" s="15" t="n"/>
      <c r="J46" s="15" t="n"/>
      <c r="K46" s="15" t="n"/>
      <c r="L46" s="15" t="n"/>
      <c r="M46" s="15" t="n"/>
      <c r="N46" s="15" t="n"/>
      <c r="O46" s="15" t="n"/>
      <c r="P46" s="15" t="n"/>
      <c r="Q46" s="15" t="n"/>
      <c r="R46" s="15"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5">
        <f>IF(C46="","",COUNTIF(I46:AM46,"T")+COUNTIF(I46:AM46,"N"))</f>
        <v/>
      </c>
      <c r="AO46" s="15">
        <f>IF(C46="","",COUNTIF(I46:AM46,"R"))</f>
        <v/>
      </c>
      <c r="AP46" s="15">
        <f>IF(C46="","",COUNTIF(I46:AM46,"A"))</f>
        <v/>
      </c>
      <c r="AQ46" s="15">
        <f>IF(C46="","",AN46*8)</f>
        <v/>
      </c>
      <c r="AR46" s="15">
        <f>IF(C46="","",IFERROR(SUMIFS('6-Releve Heures'!K$5:K$104,'6-Releve Heures'!C$5:C$104,C46),0))</f>
        <v/>
      </c>
      <c r="AS46" s="15">
        <f>IF(C46="","",IFERROR(AR46-AQ46,0))</f>
        <v/>
      </c>
      <c r="AT46" s="15" t="n"/>
      <c r="AU46" s="12" t="n"/>
      <c r="AV46" s="12" t="n"/>
      <c r="AW46" s="12" t="n"/>
    </row>
    <row r="47" ht="22" customHeight="1">
      <c r="B47" s="19">
        <f>IF(C47="","PLM-"&amp;TEXT(COUNTA($C$5:C47),"000"))</f>
        <v/>
      </c>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f>IF(C47="","",COUNTIF(I47:AM47,"T")+COUNTIF(I47:AM47,"N"))</f>
        <v/>
      </c>
      <c r="AO47" s="12">
        <f>IF(C47="","",COUNTIF(I47:AM47,"R"))</f>
        <v/>
      </c>
      <c r="AP47" s="12">
        <f>IF(C47="","",COUNTIF(I47:AM47,"A"))</f>
        <v/>
      </c>
      <c r="AQ47" s="12">
        <f>IF(C47="","",AN47*8)</f>
        <v/>
      </c>
      <c r="AR47" s="12">
        <f>IF(C47="","",IFERROR(SUMIFS('6-Releve Heures'!K$5:K$104,'6-Releve Heures'!C$5:C$104,C47),0))</f>
        <v/>
      </c>
      <c r="AS47" s="12">
        <f>IF(C47="","",IFERROR(AR47-AQ47,0))</f>
        <v/>
      </c>
      <c r="AT47" s="12" t="n"/>
      <c r="AU47" s="12" t="n"/>
      <c r="AV47" s="12" t="n"/>
      <c r="AW47" s="12" t="n"/>
    </row>
    <row r="48" ht="22" customHeight="1">
      <c r="B48" s="18">
        <f>IF(C48="","PLM-"&amp;TEXT(COUNTA($C$5:C48),"000"))</f>
        <v/>
      </c>
      <c r="C48" s="15" t="n"/>
      <c r="D48" s="15" t="n"/>
      <c r="E48" s="15" t="n"/>
      <c r="F48" s="15" t="n"/>
      <c r="G48" s="15" t="n"/>
      <c r="H48" s="15" t="n"/>
      <c r="I48" s="15" t="n"/>
      <c r="J48" s="15" t="n"/>
      <c r="K48" s="15" t="n"/>
      <c r="L48" s="15" t="n"/>
      <c r="M48" s="15" t="n"/>
      <c r="N48" s="15" t="n"/>
      <c r="O48" s="15" t="n"/>
      <c r="P48" s="15" t="n"/>
      <c r="Q48" s="15" t="n"/>
      <c r="R48" s="15"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5">
        <f>IF(C48="","",COUNTIF(I48:AM48,"T")+COUNTIF(I48:AM48,"N"))</f>
        <v/>
      </c>
      <c r="AO48" s="15">
        <f>IF(C48="","",COUNTIF(I48:AM48,"R"))</f>
        <v/>
      </c>
      <c r="AP48" s="15">
        <f>IF(C48="","",COUNTIF(I48:AM48,"A"))</f>
        <v/>
      </c>
      <c r="AQ48" s="15">
        <f>IF(C48="","",AN48*8)</f>
        <v/>
      </c>
      <c r="AR48" s="15">
        <f>IF(C48="","",IFERROR(SUMIFS('6-Releve Heures'!K$5:K$104,'6-Releve Heures'!C$5:C$104,C48),0))</f>
        <v/>
      </c>
      <c r="AS48" s="15">
        <f>IF(C48="","",IFERROR(AR48-AQ48,0))</f>
        <v/>
      </c>
      <c r="AT48" s="15" t="n"/>
      <c r="AU48" s="12" t="n"/>
      <c r="AV48" s="12" t="n"/>
      <c r="AW48" s="12" t="n"/>
    </row>
    <row r="49" ht="22" customHeight="1">
      <c r="B49" s="19">
        <f>IF(C49="","PLM-"&amp;TEXT(COUNTA($C$5:C49),"000"))</f>
        <v/>
      </c>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f>IF(C49="","",COUNTIF(I49:AM49,"T")+COUNTIF(I49:AM49,"N"))</f>
        <v/>
      </c>
      <c r="AO49" s="12">
        <f>IF(C49="","",COUNTIF(I49:AM49,"R"))</f>
        <v/>
      </c>
      <c r="AP49" s="12">
        <f>IF(C49="","",COUNTIF(I49:AM49,"A"))</f>
        <v/>
      </c>
      <c r="AQ49" s="12">
        <f>IF(C49="","",AN49*8)</f>
        <v/>
      </c>
      <c r="AR49" s="12">
        <f>IF(C49="","",IFERROR(SUMIFS('6-Releve Heures'!K$5:K$104,'6-Releve Heures'!C$5:C$104,C49),0))</f>
        <v/>
      </c>
      <c r="AS49" s="12">
        <f>IF(C49="","",IFERROR(AR49-AQ49,0))</f>
        <v/>
      </c>
      <c r="AT49" s="12" t="n"/>
      <c r="AU49" s="12" t="n"/>
      <c r="AV49" s="12" t="n"/>
      <c r="AW49" s="12" t="n"/>
    </row>
    <row r="50" ht="22" customHeight="1">
      <c r="B50" s="18">
        <f>IF(C50="","PLM-"&amp;TEXT(COUNTA($C$5:C50),"000"))</f>
        <v/>
      </c>
      <c r="C50" s="15" t="n"/>
      <c r="D50" s="15" t="n"/>
      <c r="E50" s="15" t="n"/>
      <c r="F50" s="15" t="n"/>
      <c r="G50" s="15" t="n"/>
      <c r="H50" s="15" t="n"/>
      <c r="I50" s="15" t="n"/>
      <c r="J50" s="15" t="n"/>
      <c r="K50" s="15" t="n"/>
      <c r="L50" s="15" t="n"/>
      <c r="M50" s="15" t="n"/>
      <c r="N50" s="15" t="n"/>
      <c r="O50" s="15" t="n"/>
      <c r="P50" s="15" t="n"/>
      <c r="Q50" s="15" t="n"/>
      <c r="R50" s="15"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5">
        <f>IF(C50="","",COUNTIF(I50:AM50,"T")+COUNTIF(I50:AM50,"N"))</f>
        <v/>
      </c>
      <c r="AO50" s="15">
        <f>IF(C50="","",COUNTIF(I50:AM50,"R"))</f>
        <v/>
      </c>
      <c r="AP50" s="15">
        <f>IF(C50="","",COUNTIF(I50:AM50,"A"))</f>
        <v/>
      </c>
      <c r="AQ50" s="15">
        <f>IF(C50="","",AN50*8)</f>
        <v/>
      </c>
      <c r="AR50" s="15">
        <f>IF(C50="","",IFERROR(SUMIFS('6-Releve Heures'!K$5:K$104,'6-Releve Heures'!C$5:C$104,C50),0))</f>
        <v/>
      </c>
      <c r="AS50" s="15">
        <f>IF(C50="","",IFERROR(AR50-AQ50,0))</f>
        <v/>
      </c>
      <c r="AT50" s="15" t="n"/>
      <c r="AU50" s="12" t="n"/>
      <c r="AV50" s="12" t="n"/>
      <c r="AW50" s="12" t="n"/>
    </row>
    <row r="51" ht="22" customHeight="1">
      <c r="B51" s="19">
        <f>IF(C51="","PLM-"&amp;TEXT(COUNTA($C$5:C51),"000"))</f>
        <v/>
      </c>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f>IF(C51="","",COUNTIF(I51:AM51,"T")+COUNTIF(I51:AM51,"N"))</f>
        <v/>
      </c>
      <c r="AO51" s="12">
        <f>IF(C51="","",COUNTIF(I51:AM51,"R"))</f>
        <v/>
      </c>
      <c r="AP51" s="12">
        <f>IF(C51="","",COUNTIF(I51:AM51,"A"))</f>
        <v/>
      </c>
      <c r="AQ51" s="12">
        <f>IF(C51="","",AN51*8)</f>
        <v/>
      </c>
      <c r="AR51" s="12">
        <f>IF(C51="","",IFERROR(SUMIFS('6-Releve Heures'!K$5:K$104,'6-Releve Heures'!C$5:C$104,C51),0))</f>
        <v/>
      </c>
      <c r="AS51" s="12">
        <f>IF(C51="","",IFERROR(AR51-AQ51,0))</f>
        <v/>
      </c>
      <c r="AT51" s="12" t="n"/>
      <c r="AU51" s="12" t="n"/>
      <c r="AV51" s="12" t="n"/>
      <c r="AW51" s="12" t="n"/>
    </row>
    <row r="52" ht="22" customHeight="1">
      <c r="B52" s="18">
        <f>IF(C52="","PLM-"&amp;TEXT(COUNTA($C$5:C52),"000"))</f>
        <v/>
      </c>
      <c r="C52" s="15" t="n"/>
      <c r="D52" s="15" t="n"/>
      <c r="E52" s="15" t="n"/>
      <c r="F52" s="15" t="n"/>
      <c r="G52" s="15" t="n"/>
      <c r="H52" s="15" t="n"/>
      <c r="I52" s="15" t="n"/>
      <c r="J52" s="15" t="n"/>
      <c r="K52" s="15" t="n"/>
      <c r="L52" s="15" t="n"/>
      <c r="M52" s="15" t="n"/>
      <c r="N52" s="15" t="n"/>
      <c r="O52" s="15" t="n"/>
      <c r="P52" s="15" t="n"/>
      <c r="Q52" s="15" t="n"/>
      <c r="R52" s="15"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5">
        <f>IF(C52="","",COUNTIF(I52:AM52,"T")+COUNTIF(I52:AM52,"N"))</f>
        <v/>
      </c>
      <c r="AO52" s="15">
        <f>IF(C52="","",COUNTIF(I52:AM52,"R"))</f>
        <v/>
      </c>
      <c r="AP52" s="15">
        <f>IF(C52="","",COUNTIF(I52:AM52,"A"))</f>
        <v/>
      </c>
      <c r="AQ52" s="15">
        <f>IF(C52="","",AN52*8)</f>
        <v/>
      </c>
      <c r="AR52" s="15">
        <f>IF(C52="","",IFERROR(SUMIFS('6-Releve Heures'!K$5:K$104,'6-Releve Heures'!C$5:C$104,C52),0))</f>
        <v/>
      </c>
      <c r="AS52" s="15">
        <f>IF(C52="","",IFERROR(AR52-AQ52,0))</f>
        <v/>
      </c>
      <c r="AT52" s="15" t="n"/>
      <c r="AU52" s="12" t="n"/>
      <c r="AV52" s="12" t="n"/>
      <c r="AW52" s="12" t="n"/>
    </row>
    <row r="53" ht="22" customHeight="1">
      <c r="B53" s="19">
        <f>IF(C53="","PLM-"&amp;TEXT(COUNTA($C$5:C53),"000"))</f>
        <v/>
      </c>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f>IF(C53="","",COUNTIF(I53:AM53,"T")+COUNTIF(I53:AM53,"N"))</f>
        <v/>
      </c>
      <c r="AO53" s="12">
        <f>IF(C53="","",COUNTIF(I53:AM53,"R"))</f>
        <v/>
      </c>
      <c r="AP53" s="12">
        <f>IF(C53="","",COUNTIF(I53:AM53,"A"))</f>
        <v/>
      </c>
      <c r="AQ53" s="12">
        <f>IF(C53="","",AN53*8)</f>
        <v/>
      </c>
      <c r="AR53" s="12">
        <f>IF(C53="","",IFERROR(SUMIFS('6-Releve Heures'!K$5:K$104,'6-Releve Heures'!C$5:C$104,C53),0))</f>
        <v/>
      </c>
      <c r="AS53" s="12">
        <f>IF(C53="","",IFERROR(AR53-AQ53,0))</f>
        <v/>
      </c>
      <c r="AT53" s="12" t="n"/>
      <c r="AU53" s="12" t="n"/>
      <c r="AV53" s="12" t="n"/>
      <c r="AW53" s="12" t="n"/>
    </row>
    <row r="54" ht="22" customHeight="1">
      <c r="B54" s="18">
        <f>IF(C54="","PLM-"&amp;TEXT(COUNTA($C$5:C54),"000"))</f>
        <v/>
      </c>
      <c r="C54" s="15" t="n"/>
      <c r="D54" s="15" t="n"/>
      <c r="E54" s="15" t="n"/>
      <c r="F54" s="15" t="n"/>
      <c r="G54" s="15" t="n"/>
      <c r="H54" s="15" t="n"/>
      <c r="I54" s="15" t="n"/>
      <c r="J54" s="15" t="n"/>
      <c r="K54" s="15" t="n"/>
      <c r="L54" s="15" t="n"/>
      <c r="M54" s="15" t="n"/>
      <c r="N54" s="15" t="n"/>
      <c r="O54" s="15" t="n"/>
      <c r="P54" s="15" t="n"/>
      <c r="Q54" s="15" t="n"/>
      <c r="R54" s="15"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5">
        <f>IF(C54="","",COUNTIF(I54:AM54,"T")+COUNTIF(I54:AM54,"N"))</f>
        <v/>
      </c>
      <c r="AO54" s="15">
        <f>IF(C54="","",COUNTIF(I54:AM54,"R"))</f>
        <v/>
      </c>
      <c r="AP54" s="15">
        <f>IF(C54="","",COUNTIF(I54:AM54,"A"))</f>
        <v/>
      </c>
      <c r="AQ54" s="15">
        <f>IF(C54="","",AN54*8)</f>
        <v/>
      </c>
      <c r="AR54" s="15">
        <f>IF(C54="","",IFERROR(SUMIFS('6-Releve Heures'!K$5:K$104,'6-Releve Heures'!C$5:C$104,C54),0))</f>
        <v/>
      </c>
      <c r="AS54" s="15">
        <f>IF(C54="","",IFERROR(AR54-AQ54,0))</f>
        <v/>
      </c>
      <c r="AT54" s="15" t="n"/>
      <c r="AU54" s="12" t="n"/>
      <c r="AV54" s="12" t="n"/>
      <c r="AW54" s="12" t="n"/>
    </row>
    <row r="55" ht="22" customHeight="1">
      <c r="B55" s="19">
        <f>IF(C55="","PLM-"&amp;TEXT(COUNTA($C$5:C55),"000"))</f>
        <v/>
      </c>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f>IF(C55="","",COUNTIF(I55:AM55,"T")+COUNTIF(I55:AM55,"N"))</f>
        <v/>
      </c>
      <c r="AO55" s="12">
        <f>IF(C55="","",COUNTIF(I55:AM55,"R"))</f>
        <v/>
      </c>
      <c r="AP55" s="12">
        <f>IF(C55="","",COUNTIF(I55:AM55,"A"))</f>
        <v/>
      </c>
      <c r="AQ55" s="12">
        <f>IF(C55="","",AN55*8)</f>
        <v/>
      </c>
      <c r="AR55" s="12">
        <f>IF(C55="","",IFERROR(SUMIFS('6-Releve Heures'!K$5:K$104,'6-Releve Heures'!C$5:C$104,C55),0))</f>
        <v/>
      </c>
      <c r="AS55" s="12">
        <f>IF(C55="","",IFERROR(AR55-AQ55,0))</f>
        <v/>
      </c>
      <c r="AT55" s="12" t="n"/>
      <c r="AU55" s="12" t="n"/>
      <c r="AV55" s="12" t="n"/>
      <c r="AW55" s="12" t="n"/>
    </row>
    <row r="56" ht="22" customHeight="1">
      <c r="B56" s="18">
        <f>IF(C56="","PLM-"&amp;TEXT(COUNTA($C$5:C56),"000"))</f>
        <v/>
      </c>
      <c r="C56" s="15" t="n"/>
      <c r="D56" s="15" t="n"/>
      <c r="E56" s="15" t="n"/>
      <c r="F56" s="15" t="n"/>
      <c r="G56" s="15" t="n"/>
      <c r="H56" s="15" t="n"/>
      <c r="I56" s="15" t="n"/>
      <c r="J56" s="15" t="n"/>
      <c r="K56" s="15" t="n"/>
      <c r="L56" s="15" t="n"/>
      <c r="M56" s="15" t="n"/>
      <c r="N56" s="15" t="n"/>
      <c r="O56" s="15" t="n"/>
      <c r="P56" s="15" t="n"/>
      <c r="Q56" s="15" t="n"/>
      <c r="R56" s="15"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5">
        <f>IF(C56="","",COUNTIF(I56:AM56,"T")+COUNTIF(I56:AM56,"N"))</f>
        <v/>
      </c>
      <c r="AO56" s="15">
        <f>IF(C56="","",COUNTIF(I56:AM56,"R"))</f>
        <v/>
      </c>
      <c r="AP56" s="15">
        <f>IF(C56="","",COUNTIF(I56:AM56,"A"))</f>
        <v/>
      </c>
      <c r="AQ56" s="15">
        <f>IF(C56="","",AN56*8)</f>
        <v/>
      </c>
      <c r="AR56" s="15">
        <f>IF(C56="","",IFERROR(SUMIFS('6-Releve Heures'!K$5:K$104,'6-Releve Heures'!C$5:C$104,C56),0))</f>
        <v/>
      </c>
      <c r="AS56" s="15">
        <f>IF(C56="","",IFERROR(AR56-AQ56,0))</f>
        <v/>
      </c>
      <c r="AT56" s="15" t="n"/>
      <c r="AU56" s="12" t="n"/>
      <c r="AV56" s="12" t="n"/>
      <c r="AW56" s="12" t="n"/>
    </row>
    <row r="57" ht="22" customHeight="1">
      <c r="B57" s="19">
        <f>IF(C57="","PLM-"&amp;TEXT(COUNTA($C$5:C57),"000"))</f>
        <v/>
      </c>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f>IF(C57="","",COUNTIF(I57:AM57,"T")+COUNTIF(I57:AM57,"N"))</f>
        <v/>
      </c>
      <c r="AO57" s="12">
        <f>IF(C57="","",COUNTIF(I57:AM57,"R"))</f>
        <v/>
      </c>
      <c r="AP57" s="12">
        <f>IF(C57="","",COUNTIF(I57:AM57,"A"))</f>
        <v/>
      </c>
      <c r="AQ57" s="12">
        <f>IF(C57="","",AN57*8)</f>
        <v/>
      </c>
      <c r="AR57" s="12">
        <f>IF(C57="","",IFERROR(SUMIFS('6-Releve Heures'!K$5:K$104,'6-Releve Heures'!C$5:C$104,C57),0))</f>
        <v/>
      </c>
      <c r="AS57" s="12">
        <f>IF(C57="","",IFERROR(AR57-AQ57,0))</f>
        <v/>
      </c>
      <c r="AT57" s="12" t="n"/>
      <c r="AU57" s="12" t="n"/>
      <c r="AV57" s="12" t="n"/>
      <c r="AW57" s="12" t="n"/>
    </row>
    <row r="58" ht="22" customHeight="1">
      <c r="B58" s="18">
        <f>IF(C58="","PLM-"&amp;TEXT(COUNTA($C$5:C58),"000"))</f>
        <v/>
      </c>
      <c r="C58" s="15" t="n"/>
      <c r="D58" s="15" t="n"/>
      <c r="E58" s="15" t="n"/>
      <c r="F58" s="15" t="n"/>
      <c r="G58" s="15" t="n"/>
      <c r="H58" s="15" t="n"/>
      <c r="I58" s="15" t="n"/>
      <c r="J58" s="15" t="n"/>
      <c r="K58" s="15" t="n"/>
      <c r="L58" s="15" t="n"/>
      <c r="M58" s="15" t="n"/>
      <c r="N58" s="15" t="n"/>
      <c r="O58" s="15" t="n"/>
      <c r="P58" s="15" t="n"/>
      <c r="Q58" s="15" t="n"/>
      <c r="R58" s="15"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5">
        <f>IF(C58="","",COUNTIF(I58:AM58,"T")+COUNTIF(I58:AM58,"N"))</f>
        <v/>
      </c>
      <c r="AO58" s="15">
        <f>IF(C58="","",COUNTIF(I58:AM58,"R"))</f>
        <v/>
      </c>
      <c r="AP58" s="15">
        <f>IF(C58="","",COUNTIF(I58:AM58,"A"))</f>
        <v/>
      </c>
      <c r="AQ58" s="15">
        <f>IF(C58="","",AN58*8)</f>
        <v/>
      </c>
      <c r="AR58" s="15">
        <f>IF(C58="","",IFERROR(SUMIFS('6-Releve Heures'!K$5:K$104,'6-Releve Heures'!C$5:C$104,C58),0))</f>
        <v/>
      </c>
      <c r="AS58" s="15">
        <f>IF(C58="","",IFERROR(AR58-AQ58,0))</f>
        <v/>
      </c>
      <c r="AT58" s="15" t="n"/>
      <c r="AU58" s="12" t="n"/>
      <c r="AV58" s="12" t="n"/>
      <c r="AW58" s="12" t="n"/>
    </row>
    <row r="59" ht="22" customHeight="1">
      <c r="B59" s="19">
        <f>IF(C59="","PLM-"&amp;TEXT(COUNTA($C$5:C59),"000"))</f>
        <v/>
      </c>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f>IF(C59="","",COUNTIF(I59:AM59,"T")+COUNTIF(I59:AM59,"N"))</f>
        <v/>
      </c>
      <c r="AO59" s="12">
        <f>IF(C59="","",COUNTIF(I59:AM59,"R"))</f>
        <v/>
      </c>
      <c r="AP59" s="12">
        <f>IF(C59="","",COUNTIF(I59:AM59,"A"))</f>
        <v/>
      </c>
      <c r="AQ59" s="12">
        <f>IF(C59="","",AN59*8)</f>
        <v/>
      </c>
      <c r="AR59" s="12">
        <f>IF(C59="","",IFERROR(SUMIFS('6-Releve Heures'!K$5:K$104,'6-Releve Heures'!C$5:C$104,C59),0))</f>
        <v/>
      </c>
      <c r="AS59" s="12">
        <f>IF(C59="","",IFERROR(AR59-AQ59,0))</f>
        <v/>
      </c>
      <c r="AT59" s="12" t="n"/>
      <c r="AU59" s="12" t="n"/>
      <c r="AV59" s="12" t="n"/>
      <c r="AW59" s="12" t="n"/>
    </row>
    <row r="60" ht="22" customHeight="1">
      <c r="B60" s="18">
        <f>IF(C60="","PLM-"&amp;TEXT(COUNTA($C$5:C60),"000"))</f>
        <v/>
      </c>
      <c r="C60" s="15" t="n"/>
      <c r="D60" s="15" t="n"/>
      <c r="E60" s="15" t="n"/>
      <c r="F60" s="15" t="n"/>
      <c r="G60" s="15" t="n"/>
      <c r="H60" s="15" t="n"/>
      <c r="I60" s="15" t="n"/>
      <c r="J60" s="15" t="n"/>
      <c r="K60" s="15" t="n"/>
      <c r="L60" s="15" t="n"/>
      <c r="M60" s="15" t="n"/>
      <c r="N60" s="15" t="n"/>
      <c r="O60" s="15" t="n"/>
      <c r="P60" s="15" t="n"/>
      <c r="Q60" s="15" t="n"/>
      <c r="R60" s="15"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5">
        <f>IF(C60="","",COUNTIF(I60:AM60,"T")+COUNTIF(I60:AM60,"N"))</f>
        <v/>
      </c>
      <c r="AO60" s="15">
        <f>IF(C60="","",COUNTIF(I60:AM60,"R"))</f>
        <v/>
      </c>
      <c r="AP60" s="15">
        <f>IF(C60="","",COUNTIF(I60:AM60,"A"))</f>
        <v/>
      </c>
      <c r="AQ60" s="15">
        <f>IF(C60="","",AN60*8)</f>
        <v/>
      </c>
      <c r="AR60" s="15">
        <f>IF(C60="","",IFERROR(SUMIFS('6-Releve Heures'!K$5:K$104,'6-Releve Heures'!C$5:C$104,C60),0))</f>
        <v/>
      </c>
      <c r="AS60" s="15">
        <f>IF(C60="","",IFERROR(AR60-AQ60,0))</f>
        <v/>
      </c>
      <c r="AT60" s="15" t="n"/>
      <c r="AU60" s="12" t="n"/>
      <c r="AV60" s="12" t="n"/>
      <c r="AW60" s="12" t="n"/>
    </row>
    <row r="61" ht="22" customHeight="1">
      <c r="B61" s="19">
        <f>IF(C61="","PLM-"&amp;TEXT(COUNTA($C$5:C61),"000"))</f>
        <v/>
      </c>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f>IF(C61="","",COUNTIF(I61:AM61,"T")+COUNTIF(I61:AM61,"N"))</f>
        <v/>
      </c>
      <c r="AO61" s="12">
        <f>IF(C61="","",COUNTIF(I61:AM61,"R"))</f>
        <v/>
      </c>
      <c r="AP61" s="12">
        <f>IF(C61="","",COUNTIF(I61:AM61,"A"))</f>
        <v/>
      </c>
      <c r="AQ61" s="12">
        <f>IF(C61="","",AN61*8)</f>
        <v/>
      </c>
      <c r="AR61" s="12">
        <f>IF(C61="","",IFERROR(SUMIFS('6-Releve Heures'!K$5:K$104,'6-Releve Heures'!C$5:C$104,C61),0))</f>
        <v/>
      </c>
      <c r="AS61" s="12">
        <f>IF(C61="","",IFERROR(AR61-AQ61,0))</f>
        <v/>
      </c>
      <c r="AT61" s="12" t="n"/>
      <c r="AU61" s="12" t="n"/>
      <c r="AV61" s="12" t="n"/>
      <c r="AW61" s="12" t="n"/>
    </row>
    <row r="62" ht="22" customHeight="1">
      <c r="B62" s="18">
        <f>IF(C62="","PLM-"&amp;TEXT(COUNTA($C$5:C62),"000"))</f>
        <v/>
      </c>
      <c r="C62" s="15" t="n"/>
      <c r="D62" s="15" t="n"/>
      <c r="E62" s="15" t="n"/>
      <c r="F62" s="15" t="n"/>
      <c r="G62" s="15" t="n"/>
      <c r="H62" s="15" t="n"/>
      <c r="I62" s="15" t="n"/>
      <c r="J62" s="15" t="n"/>
      <c r="K62" s="15" t="n"/>
      <c r="L62" s="15" t="n"/>
      <c r="M62" s="15" t="n"/>
      <c r="N62" s="15" t="n"/>
      <c r="O62" s="15" t="n"/>
      <c r="P62" s="15" t="n"/>
      <c r="Q62" s="15" t="n"/>
      <c r="R62" s="15"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5">
        <f>IF(C62="","",COUNTIF(I62:AM62,"T")+COUNTIF(I62:AM62,"N"))</f>
        <v/>
      </c>
      <c r="AO62" s="15">
        <f>IF(C62="","",COUNTIF(I62:AM62,"R"))</f>
        <v/>
      </c>
      <c r="AP62" s="15">
        <f>IF(C62="","",COUNTIF(I62:AM62,"A"))</f>
        <v/>
      </c>
      <c r="AQ62" s="15">
        <f>IF(C62="","",AN62*8)</f>
        <v/>
      </c>
      <c r="AR62" s="15">
        <f>IF(C62="","",IFERROR(SUMIFS('6-Releve Heures'!K$5:K$104,'6-Releve Heures'!C$5:C$104,C62),0))</f>
        <v/>
      </c>
      <c r="AS62" s="15">
        <f>IF(C62="","",IFERROR(AR62-AQ62,0))</f>
        <v/>
      </c>
      <c r="AT62" s="15" t="n"/>
      <c r="AU62" s="12" t="n"/>
      <c r="AV62" s="12" t="n"/>
      <c r="AW62" s="12" t="n"/>
    </row>
    <row r="63" ht="22" customHeight="1">
      <c r="B63" s="19">
        <f>IF(C63="","PLM-"&amp;TEXT(COUNTA($C$5:C63),"000"))</f>
        <v/>
      </c>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f>IF(C63="","",COUNTIF(I63:AM63,"T")+COUNTIF(I63:AM63,"N"))</f>
        <v/>
      </c>
      <c r="AO63" s="12">
        <f>IF(C63="","",COUNTIF(I63:AM63,"R"))</f>
        <v/>
      </c>
      <c r="AP63" s="12">
        <f>IF(C63="","",COUNTIF(I63:AM63,"A"))</f>
        <v/>
      </c>
      <c r="AQ63" s="12">
        <f>IF(C63="","",AN63*8)</f>
        <v/>
      </c>
      <c r="AR63" s="12">
        <f>IF(C63="","",IFERROR(SUMIFS('6-Releve Heures'!K$5:K$104,'6-Releve Heures'!C$5:C$104,C63),0))</f>
        <v/>
      </c>
      <c r="AS63" s="12">
        <f>IF(C63="","",IFERROR(AR63-AQ63,0))</f>
        <v/>
      </c>
      <c r="AT63" s="12" t="n"/>
      <c r="AU63" s="12" t="n"/>
      <c r="AV63" s="12" t="n"/>
      <c r="AW63" s="12" t="n"/>
    </row>
    <row r="64" ht="22" customHeight="1">
      <c r="B64" s="18">
        <f>IF(C64="","PLM-"&amp;TEXT(COUNTA($C$5:C64),"000"))</f>
        <v/>
      </c>
      <c r="C64" s="15" t="n"/>
      <c r="D64" s="15" t="n"/>
      <c r="E64" s="15" t="n"/>
      <c r="F64" s="15" t="n"/>
      <c r="G64" s="15" t="n"/>
      <c r="H64" s="15" t="n"/>
      <c r="I64" s="15" t="n"/>
      <c r="J64" s="15" t="n"/>
      <c r="K64" s="15" t="n"/>
      <c r="L64" s="15" t="n"/>
      <c r="M64" s="15" t="n"/>
      <c r="N64" s="15" t="n"/>
      <c r="O64" s="15" t="n"/>
      <c r="P64" s="15" t="n"/>
      <c r="Q64" s="15" t="n"/>
      <c r="R64" s="15"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5">
        <f>IF(C64="","",COUNTIF(I64:AM64,"T")+COUNTIF(I64:AM64,"N"))</f>
        <v/>
      </c>
      <c r="AO64" s="15">
        <f>IF(C64="","",COUNTIF(I64:AM64,"R"))</f>
        <v/>
      </c>
      <c r="AP64" s="15">
        <f>IF(C64="","",COUNTIF(I64:AM64,"A"))</f>
        <v/>
      </c>
      <c r="AQ64" s="15">
        <f>IF(C64="","",AN64*8)</f>
        <v/>
      </c>
      <c r="AR64" s="15">
        <f>IF(C64="","",IFERROR(SUMIFS('6-Releve Heures'!K$5:K$104,'6-Releve Heures'!C$5:C$104,C64),0))</f>
        <v/>
      </c>
      <c r="AS64" s="15">
        <f>IF(C64="","",IFERROR(AR64-AQ64,0))</f>
        <v/>
      </c>
      <c r="AT64" s="15" t="n"/>
      <c r="AU64" s="12" t="n"/>
      <c r="AV64" s="12" t="n"/>
      <c r="AW64" s="12" t="n"/>
    </row>
    <row r="65" ht="22" customHeight="1">
      <c r="B65" s="19">
        <f>IF(C65="","PLM-"&amp;TEXT(COUNTA($C$5:C65),"000"))</f>
        <v/>
      </c>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f>IF(C65="","",COUNTIF(I65:AM65,"T")+COUNTIF(I65:AM65,"N"))</f>
        <v/>
      </c>
      <c r="AO65" s="12">
        <f>IF(C65="","",COUNTIF(I65:AM65,"R"))</f>
        <v/>
      </c>
      <c r="AP65" s="12">
        <f>IF(C65="","",COUNTIF(I65:AM65,"A"))</f>
        <v/>
      </c>
      <c r="AQ65" s="12">
        <f>IF(C65="","",AN65*8)</f>
        <v/>
      </c>
      <c r="AR65" s="12">
        <f>IF(C65="","",IFERROR(SUMIFS('6-Releve Heures'!K$5:K$104,'6-Releve Heures'!C$5:C$104,C65),0))</f>
        <v/>
      </c>
      <c r="AS65" s="12">
        <f>IF(C65="","",IFERROR(AR65-AQ65,0))</f>
        <v/>
      </c>
      <c r="AT65" s="12" t="n"/>
      <c r="AU65" s="12" t="n"/>
      <c r="AV65" s="12" t="n"/>
      <c r="AW65" s="12" t="n"/>
    </row>
    <row r="66" ht="22" customHeight="1">
      <c r="B66" s="18">
        <f>IF(C66="","PLM-"&amp;TEXT(COUNTA($C$5:C66),"000"))</f>
        <v/>
      </c>
      <c r="C66" s="15" t="n"/>
      <c r="D66" s="15" t="n"/>
      <c r="E66" s="15" t="n"/>
      <c r="F66" s="15" t="n"/>
      <c r="G66" s="15" t="n"/>
      <c r="H66" s="15" t="n"/>
      <c r="I66" s="15" t="n"/>
      <c r="J66" s="15" t="n"/>
      <c r="K66" s="15" t="n"/>
      <c r="L66" s="15" t="n"/>
      <c r="M66" s="15" t="n"/>
      <c r="N66" s="15" t="n"/>
      <c r="O66" s="15" t="n"/>
      <c r="P66" s="15" t="n"/>
      <c r="Q66" s="15" t="n"/>
      <c r="R66" s="15"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5">
        <f>IF(C66="","",COUNTIF(I66:AM66,"T")+COUNTIF(I66:AM66,"N"))</f>
        <v/>
      </c>
      <c r="AO66" s="15">
        <f>IF(C66="","",COUNTIF(I66:AM66,"R"))</f>
        <v/>
      </c>
      <c r="AP66" s="15">
        <f>IF(C66="","",COUNTIF(I66:AM66,"A"))</f>
        <v/>
      </c>
      <c r="AQ66" s="15">
        <f>IF(C66="","",AN66*8)</f>
        <v/>
      </c>
      <c r="AR66" s="15">
        <f>IF(C66="","",IFERROR(SUMIFS('6-Releve Heures'!K$5:K$104,'6-Releve Heures'!C$5:C$104,C66),0))</f>
        <v/>
      </c>
      <c r="AS66" s="15">
        <f>IF(C66="","",IFERROR(AR66-AQ66,0))</f>
        <v/>
      </c>
      <c r="AT66" s="15" t="n"/>
      <c r="AU66" s="12" t="n"/>
      <c r="AV66" s="12" t="n"/>
      <c r="AW66" s="12" t="n"/>
    </row>
    <row r="67" ht="22" customHeight="1">
      <c r="B67" s="19">
        <f>IF(C67="","PLM-"&amp;TEXT(COUNTA($C$5:C67),"000"))</f>
        <v/>
      </c>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f>IF(C67="","",COUNTIF(I67:AM67,"T")+COUNTIF(I67:AM67,"N"))</f>
        <v/>
      </c>
      <c r="AO67" s="12">
        <f>IF(C67="","",COUNTIF(I67:AM67,"R"))</f>
        <v/>
      </c>
      <c r="AP67" s="12">
        <f>IF(C67="","",COUNTIF(I67:AM67,"A"))</f>
        <v/>
      </c>
      <c r="AQ67" s="12">
        <f>IF(C67="","",AN67*8)</f>
        <v/>
      </c>
      <c r="AR67" s="12">
        <f>IF(C67="","",IFERROR(SUMIFS('6-Releve Heures'!K$5:K$104,'6-Releve Heures'!C$5:C$104,C67),0))</f>
        <v/>
      </c>
      <c r="AS67" s="12">
        <f>IF(C67="","",IFERROR(AR67-AQ67,0))</f>
        <v/>
      </c>
      <c r="AT67" s="12" t="n"/>
      <c r="AU67" s="12" t="n"/>
      <c r="AV67" s="12" t="n"/>
      <c r="AW67" s="12" t="n"/>
    </row>
    <row r="68" ht="22" customHeight="1">
      <c r="B68" s="18">
        <f>IF(C68="","PLM-"&amp;TEXT(COUNTA($C$5:C68),"000"))</f>
        <v/>
      </c>
      <c r="C68" s="15" t="n"/>
      <c r="D68" s="15" t="n"/>
      <c r="E68" s="15" t="n"/>
      <c r="F68" s="15" t="n"/>
      <c r="G68" s="15" t="n"/>
      <c r="H68" s="15" t="n"/>
      <c r="I68" s="15" t="n"/>
      <c r="J68" s="15" t="n"/>
      <c r="K68" s="15" t="n"/>
      <c r="L68" s="15" t="n"/>
      <c r="M68" s="15" t="n"/>
      <c r="N68" s="15" t="n"/>
      <c r="O68" s="15" t="n"/>
      <c r="P68" s="15" t="n"/>
      <c r="Q68" s="15" t="n"/>
      <c r="R68" s="15"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5">
        <f>IF(C68="","",COUNTIF(I68:AM68,"T")+COUNTIF(I68:AM68,"N"))</f>
        <v/>
      </c>
      <c r="AO68" s="15">
        <f>IF(C68="","",COUNTIF(I68:AM68,"R"))</f>
        <v/>
      </c>
      <c r="AP68" s="15">
        <f>IF(C68="","",COUNTIF(I68:AM68,"A"))</f>
        <v/>
      </c>
      <c r="AQ68" s="15">
        <f>IF(C68="","",AN68*8)</f>
        <v/>
      </c>
      <c r="AR68" s="15">
        <f>IF(C68="","",IFERROR(SUMIFS('6-Releve Heures'!K$5:K$104,'6-Releve Heures'!C$5:C$104,C68),0))</f>
        <v/>
      </c>
      <c r="AS68" s="15">
        <f>IF(C68="","",IFERROR(AR68-AQ68,0))</f>
        <v/>
      </c>
      <c r="AT68" s="15" t="n"/>
      <c r="AU68" s="12" t="n"/>
      <c r="AV68" s="12" t="n"/>
      <c r="AW68" s="12" t="n"/>
    </row>
    <row r="69" ht="22" customHeight="1">
      <c r="B69" s="19">
        <f>IF(C69="","PLM-"&amp;TEXT(COUNTA($C$5:C69),"000"))</f>
        <v/>
      </c>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f>IF(C69="","",COUNTIF(I69:AM69,"T")+COUNTIF(I69:AM69,"N"))</f>
        <v/>
      </c>
      <c r="AO69" s="12">
        <f>IF(C69="","",COUNTIF(I69:AM69,"R"))</f>
        <v/>
      </c>
      <c r="AP69" s="12">
        <f>IF(C69="","",COUNTIF(I69:AM69,"A"))</f>
        <v/>
      </c>
      <c r="AQ69" s="12">
        <f>IF(C69="","",AN69*8)</f>
        <v/>
      </c>
      <c r="AR69" s="12">
        <f>IF(C69="","",IFERROR(SUMIFS('6-Releve Heures'!K$5:K$104,'6-Releve Heures'!C$5:C$104,C69),0))</f>
        <v/>
      </c>
      <c r="AS69" s="12">
        <f>IF(C69="","",IFERROR(AR69-AQ69,0))</f>
        <v/>
      </c>
      <c r="AT69" s="12" t="n"/>
      <c r="AU69" s="12" t="n"/>
      <c r="AV69" s="12" t="n"/>
      <c r="AW69" s="12" t="n"/>
    </row>
    <row r="70" ht="22" customHeight="1">
      <c r="B70" s="18">
        <f>IF(C70="","PLM-"&amp;TEXT(COUNTA($C$5:C70),"000"))</f>
        <v/>
      </c>
      <c r="C70" s="15" t="n"/>
      <c r="D70" s="15" t="n"/>
      <c r="E70" s="15" t="n"/>
      <c r="F70" s="15" t="n"/>
      <c r="G70" s="15" t="n"/>
      <c r="H70" s="15" t="n"/>
      <c r="I70" s="15" t="n"/>
      <c r="J70" s="15" t="n"/>
      <c r="K70" s="15" t="n"/>
      <c r="L70" s="15" t="n"/>
      <c r="M70" s="15" t="n"/>
      <c r="N70" s="15" t="n"/>
      <c r="O70" s="15" t="n"/>
      <c r="P70" s="15" t="n"/>
      <c r="Q70" s="15" t="n"/>
      <c r="R70" s="15"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5">
        <f>IF(C70="","",COUNTIF(I70:AM70,"T")+COUNTIF(I70:AM70,"N"))</f>
        <v/>
      </c>
      <c r="AO70" s="15">
        <f>IF(C70="","",COUNTIF(I70:AM70,"R"))</f>
        <v/>
      </c>
      <c r="AP70" s="15">
        <f>IF(C70="","",COUNTIF(I70:AM70,"A"))</f>
        <v/>
      </c>
      <c r="AQ70" s="15">
        <f>IF(C70="","",AN70*8)</f>
        <v/>
      </c>
      <c r="AR70" s="15">
        <f>IF(C70="","",IFERROR(SUMIFS('6-Releve Heures'!K$5:K$104,'6-Releve Heures'!C$5:C$104,C70),0))</f>
        <v/>
      </c>
      <c r="AS70" s="15">
        <f>IF(C70="","",IFERROR(AR70-AQ70,0))</f>
        <v/>
      </c>
      <c r="AT70" s="15" t="n"/>
      <c r="AU70" s="12" t="n"/>
      <c r="AV70" s="12" t="n"/>
      <c r="AW70" s="12" t="n"/>
    </row>
    <row r="71" ht="22" customHeight="1">
      <c r="B71" s="19">
        <f>IF(C71="","PLM-"&amp;TEXT(COUNTA($C$5:C71),"000"))</f>
        <v/>
      </c>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f>IF(C71="","",COUNTIF(I71:AM71,"T")+COUNTIF(I71:AM71,"N"))</f>
        <v/>
      </c>
      <c r="AO71" s="12">
        <f>IF(C71="","",COUNTIF(I71:AM71,"R"))</f>
        <v/>
      </c>
      <c r="AP71" s="12">
        <f>IF(C71="","",COUNTIF(I71:AM71,"A"))</f>
        <v/>
      </c>
      <c r="AQ71" s="12">
        <f>IF(C71="","",AN71*8)</f>
        <v/>
      </c>
      <c r="AR71" s="12">
        <f>IF(C71="","",IFERROR(SUMIFS('6-Releve Heures'!K$5:K$104,'6-Releve Heures'!C$5:C$104,C71),0))</f>
        <v/>
      </c>
      <c r="AS71" s="12">
        <f>IF(C71="","",IFERROR(AR71-AQ71,0))</f>
        <v/>
      </c>
      <c r="AT71" s="12" t="n"/>
      <c r="AU71" s="12" t="n"/>
      <c r="AV71" s="12" t="n"/>
      <c r="AW71" s="12" t="n"/>
    </row>
    <row r="72" ht="22" customHeight="1">
      <c r="B72" s="18">
        <f>IF(C72="","PLM-"&amp;TEXT(COUNTA($C$5:C72),"000"))</f>
        <v/>
      </c>
      <c r="C72" s="15" t="n"/>
      <c r="D72" s="15" t="n"/>
      <c r="E72" s="15" t="n"/>
      <c r="F72" s="15" t="n"/>
      <c r="G72" s="15" t="n"/>
      <c r="H72" s="15" t="n"/>
      <c r="I72" s="15" t="n"/>
      <c r="J72" s="15" t="n"/>
      <c r="K72" s="15" t="n"/>
      <c r="L72" s="15" t="n"/>
      <c r="M72" s="15" t="n"/>
      <c r="N72" s="15" t="n"/>
      <c r="O72" s="15" t="n"/>
      <c r="P72" s="15" t="n"/>
      <c r="Q72" s="15" t="n"/>
      <c r="R72" s="15"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5">
        <f>IF(C72="","",COUNTIF(I72:AM72,"T")+COUNTIF(I72:AM72,"N"))</f>
        <v/>
      </c>
      <c r="AO72" s="15">
        <f>IF(C72="","",COUNTIF(I72:AM72,"R"))</f>
        <v/>
      </c>
      <c r="AP72" s="15">
        <f>IF(C72="","",COUNTIF(I72:AM72,"A"))</f>
        <v/>
      </c>
      <c r="AQ72" s="15">
        <f>IF(C72="","",AN72*8)</f>
        <v/>
      </c>
      <c r="AR72" s="15">
        <f>IF(C72="","",IFERROR(SUMIFS('6-Releve Heures'!K$5:K$104,'6-Releve Heures'!C$5:C$104,C72),0))</f>
        <v/>
      </c>
      <c r="AS72" s="15">
        <f>IF(C72="","",IFERROR(AR72-AQ72,0))</f>
        <v/>
      </c>
      <c r="AT72" s="15" t="n"/>
      <c r="AU72" s="12" t="n"/>
      <c r="AV72" s="12" t="n"/>
      <c r="AW72" s="12" t="n"/>
    </row>
    <row r="73" ht="22" customHeight="1">
      <c r="B73" s="19">
        <f>IF(C73="","PLM-"&amp;TEXT(COUNTA($C$5:C73),"000"))</f>
        <v/>
      </c>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f>IF(C73="","",COUNTIF(I73:AM73,"T")+COUNTIF(I73:AM73,"N"))</f>
        <v/>
      </c>
      <c r="AO73" s="12">
        <f>IF(C73="","",COUNTIF(I73:AM73,"R"))</f>
        <v/>
      </c>
      <c r="AP73" s="12">
        <f>IF(C73="","",COUNTIF(I73:AM73,"A"))</f>
        <v/>
      </c>
      <c r="AQ73" s="12">
        <f>IF(C73="","",AN73*8)</f>
        <v/>
      </c>
      <c r="AR73" s="12">
        <f>IF(C73="","",IFERROR(SUMIFS('6-Releve Heures'!K$5:K$104,'6-Releve Heures'!C$5:C$104,C73),0))</f>
        <v/>
      </c>
      <c r="AS73" s="12">
        <f>IF(C73="","",IFERROR(AR73-AQ73,0))</f>
        <v/>
      </c>
      <c r="AT73" s="12" t="n"/>
      <c r="AU73" s="12" t="n"/>
      <c r="AV73" s="12" t="n"/>
      <c r="AW73" s="12" t="n"/>
    </row>
    <row r="74" ht="22" customHeight="1">
      <c r="B74" s="18">
        <f>IF(C74="","PLM-"&amp;TEXT(COUNTA($C$5:C74),"000"))</f>
        <v/>
      </c>
      <c r="C74" s="15" t="n"/>
      <c r="D74" s="15" t="n"/>
      <c r="E74" s="15" t="n"/>
      <c r="F74" s="15" t="n"/>
      <c r="G74" s="15" t="n"/>
      <c r="H74" s="15" t="n"/>
      <c r="I74" s="15" t="n"/>
      <c r="J74" s="15" t="n"/>
      <c r="K74" s="15" t="n"/>
      <c r="L74" s="15" t="n"/>
      <c r="M74" s="15" t="n"/>
      <c r="N74" s="15" t="n"/>
      <c r="O74" s="15" t="n"/>
      <c r="P74" s="15" t="n"/>
      <c r="Q74" s="15" t="n"/>
      <c r="R74" s="15"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5">
        <f>IF(C74="","",COUNTIF(I74:AM74,"T")+COUNTIF(I74:AM74,"N"))</f>
        <v/>
      </c>
      <c r="AO74" s="15">
        <f>IF(C74="","",COUNTIF(I74:AM74,"R"))</f>
        <v/>
      </c>
      <c r="AP74" s="15">
        <f>IF(C74="","",COUNTIF(I74:AM74,"A"))</f>
        <v/>
      </c>
      <c r="AQ74" s="15">
        <f>IF(C74="","",AN74*8)</f>
        <v/>
      </c>
      <c r="AR74" s="15">
        <f>IF(C74="","",IFERROR(SUMIFS('6-Releve Heures'!K$5:K$104,'6-Releve Heures'!C$5:C$104,C74),0))</f>
        <v/>
      </c>
      <c r="AS74" s="15">
        <f>IF(C74="","",IFERROR(AR74-AQ74,0))</f>
        <v/>
      </c>
      <c r="AT74" s="15" t="n"/>
      <c r="AU74" s="12" t="n"/>
      <c r="AV74" s="12" t="n"/>
      <c r="AW74" s="12" t="n"/>
    </row>
    <row r="75" ht="22" customHeight="1">
      <c r="B75" s="19">
        <f>IF(C75="","PLM-"&amp;TEXT(COUNTA($C$5:C75),"000"))</f>
        <v/>
      </c>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f>IF(C75="","",COUNTIF(I75:AM75,"T")+COUNTIF(I75:AM75,"N"))</f>
        <v/>
      </c>
      <c r="AO75" s="12">
        <f>IF(C75="","",COUNTIF(I75:AM75,"R"))</f>
        <v/>
      </c>
      <c r="AP75" s="12">
        <f>IF(C75="","",COUNTIF(I75:AM75,"A"))</f>
        <v/>
      </c>
      <c r="AQ75" s="12">
        <f>IF(C75="","",AN75*8)</f>
        <v/>
      </c>
      <c r="AR75" s="12">
        <f>IF(C75="","",IFERROR(SUMIFS('6-Releve Heures'!K$5:K$104,'6-Releve Heures'!C$5:C$104,C75),0))</f>
        <v/>
      </c>
      <c r="AS75" s="12">
        <f>IF(C75="","",IFERROR(AR75-AQ75,0))</f>
        <v/>
      </c>
      <c r="AT75" s="12" t="n"/>
      <c r="AU75" s="12" t="n"/>
      <c r="AV75" s="12" t="n"/>
      <c r="AW75" s="12" t="n"/>
    </row>
    <row r="76" ht="22" customHeight="1">
      <c r="B76" s="18">
        <f>IF(C76="","PLM-"&amp;TEXT(COUNTA($C$5:C76),"000"))</f>
        <v/>
      </c>
      <c r="C76" s="15" t="n"/>
      <c r="D76" s="15" t="n"/>
      <c r="E76" s="15" t="n"/>
      <c r="F76" s="15" t="n"/>
      <c r="G76" s="15" t="n"/>
      <c r="H76" s="15" t="n"/>
      <c r="I76" s="15" t="n"/>
      <c r="J76" s="15" t="n"/>
      <c r="K76" s="15" t="n"/>
      <c r="L76" s="15" t="n"/>
      <c r="M76" s="15" t="n"/>
      <c r="N76" s="15" t="n"/>
      <c r="O76" s="15" t="n"/>
      <c r="P76" s="15" t="n"/>
      <c r="Q76" s="15" t="n"/>
      <c r="R76" s="15"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5">
        <f>IF(C76="","",COUNTIF(I76:AM76,"T")+COUNTIF(I76:AM76,"N"))</f>
        <v/>
      </c>
      <c r="AO76" s="15">
        <f>IF(C76="","",COUNTIF(I76:AM76,"R"))</f>
        <v/>
      </c>
      <c r="AP76" s="15">
        <f>IF(C76="","",COUNTIF(I76:AM76,"A"))</f>
        <v/>
      </c>
      <c r="AQ76" s="15">
        <f>IF(C76="","",AN76*8)</f>
        <v/>
      </c>
      <c r="AR76" s="15">
        <f>IF(C76="","",IFERROR(SUMIFS('6-Releve Heures'!K$5:K$104,'6-Releve Heures'!C$5:C$104,C76),0))</f>
        <v/>
      </c>
      <c r="AS76" s="15">
        <f>IF(C76="","",IFERROR(AR76-AQ76,0))</f>
        <v/>
      </c>
      <c r="AT76" s="15" t="n"/>
      <c r="AU76" s="12" t="n"/>
      <c r="AV76" s="12" t="n"/>
      <c r="AW76" s="12" t="n"/>
    </row>
    <row r="77" ht="22" customHeight="1">
      <c r="B77" s="19">
        <f>IF(C77="","PLM-"&amp;TEXT(COUNTA($C$5:C77),"000"))</f>
        <v/>
      </c>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f>IF(C77="","",COUNTIF(I77:AM77,"T")+COUNTIF(I77:AM77,"N"))</f>
        <v/>
      </c>
      <c r="AO77" s="12">
        <f>IF(C77="","",COUNTIF(I77:AM77,"R"))</f>
        <v/>
      </c>
      <c r="AP77" s="12">
        <f>IF(C77="","",COUNTIF(I77:AM77,"A"))</f>
        <v/>
      </c>
      <c r="AQ77" s="12">
        <f>IF(C77="","",AN77*8)</f>
        <v/>
      </c>
      <c r="AR77" s="12">
        <f>IF(C77="","",IFERROR(SUMIFS('6-Releve Heures'!K$5:K$104,'6-Releve Heures'!C$5:C$104,C77),0))</f>
        <v/>
      </c>
      <c r="AS77" s="12">
        <f>IF(C77="","",IFERROR(AR77-AQ77,0))</f>
        <v/>
      </c>
      <c r="AT77" s="12" t="n"/>
      <c r="AU77" s="12" t="n"/>
      <c r="AV77" s="12" t="n"/>
      <c r="AW77" s="12" t="n"/>
    </row>
    <row r="78" ht="22" customHeight="1">
      <c r="B78" s="18">
        <f>IF(C78="","PLM-"&amp;TEXT(COUNTA($C$5:C78),"000"))</f>
        <v/>
      </c>
      <c r="C78" s="15" t="n"/>
      <c r="D78" s="15" t="n"/>
      <c r="E78" s="15" t="n"/>
      <c r="F78" s="15" t="n"/>
      <c r="G78" s="15" t="n"/>
      <c r="H78" s="15" t="n"/>
      <c r="I78" s="15" t="n"/>
      <c r="J78" s="15" t="n"/>
      <c r="K78" s="15" t="n"/>
      <c r="L78" s="15" t="n"/>
      <c r="M78" s="15" t="n"/>
      <c r="N78" s="15" t="n"/>
      <c r="O78" s="15" t="n"/>
      <c r="P78" s="15" t="n"/>
      <c r="Q78" s="15" t="n"/>
      <c r="R78" s="15"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5">
        <f>IF(C78="","",COUNTIF(I78:AM78,"T")+COUNTIF(I78:AM78,"N"))</f>
        <v/>
      </c>
      <c r="AO78" s="15">
        <f>IF(C78="","",COUNTIF(I78:AM78,"R"))</f>
        <v/>
      </c>
      <c r="AP78" s="15">
        <f>IF(C78="","",COUNTIF(I78:AM78,"A"))</f>
        <v/>
      </c>
      <c r="AQ78" s="15">
        <f>IF(C78="","",AN78*8)</f>
        <v/>
      </c>
      <c r="AR78" s="15">
        <f>IF(C78="","",IFERROR(SUMIFS('6-Releve Heures'!K$5:K$104,'6-Releve Heures'!C$5:C$104,C78),0))</f>
        <v/>
      </c>
      <c r="AS78" s="15">
        <f>IF(C78="","",IFERROR(AR78-AQ78,0))</f>
        <v/>
      </c>
      <c r="AT78" s="15" t="n"/>
      <c r="AU78" s="12" t="n"/>
      <c r="AV78" s="12" t="n"/>
      <c r="AW78" s="12" t="n"/>
    </row>
    <row r="79" ht="22" customHeight="1">
      <c r="B79" s="19">
        <f>IF(C79="","PLM-"&amp;TEXT(COUNTA($C$5:C79),"000"))</f>
        <v/>
      </c>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f>IF(C79="","",COUNTIF(I79:AM79,"T")+COUNTIF(I79:AM79,"N"))</f>
        <v/>
      </c>
      <c r="AO79" s="12">
        <f>IF(C79="","",COUNTIF(I79:AM79,"R"))</f>
        <v/>
      </c>
      <c r="AP79" s="12">
        <f>IF(C79="","",COUNTIF(I79:AM79,"A"))</f>
        <v/>
      </c>
      <c r="AQ79" s="12">
        <f>IF(C79="","",AN79*8)</f>
        <v/>
      </c>
      <c r="AR79" s="12">
        <f>IF(C79="","",IFERROR(SUMIFS('6-Releve Heures'!K$5:K$104,'6-Releve Heures'!C$5:C$104,C79),0))</f>
        <v/>
      </c>
      <c r="AS79" s="12">
        <f>IF(C79="","",IFERROR(AR79-AQ79,0))</f>
        <v/>
      </c>
      <c r="AT79" s="12" t="n"/>
      <c r="AU79" s="12" t="n"/>
      <c r="AV79" s="12" t="n"/>
      <c r="AW79" s="12" t="n"/>
    </row>
    <row r="80" ht="22" customHeight="1">
      <c r="B80" s="18">
        <f>IF(C80="","PLM-"&amp;TEXT(COUNTA($C$5:C80),"000"))</f>
        <v/>
      </c>
      <c r="C80" s="15" t="n"/>
      <c r="D80" s="15" t="n"/>
      <c r="E80" s="15" t="n"/>
      <c r="F80" s="15" t="n"/>
      <c r="G80" s="15" t="n"/>
      <c r="H80" s="15" t="n"/>
      <c r="I80" s="15" t="n"/>
      <c r="J80" s="15" t="n"/>
      <c r="K80" s="15" t="n"/>
      <c r="L80" s="15" t="n"/>
      <c r="M80" s="15" t="n"/>
      <c r="N80" s="15" t="n"/>
      <c r="O80" s="15" t="n"/>
      <c r="P80" s="15" t="n"/>
      <c r="Q80" s="15" t="n"/>
      <c r="R80" s="15"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5">
        <f>IF(C80="","",COUNTIF(I80:AM80,"T")+COUNTIF(I80:AM80,"N"))</f>
        <v/>
      </c>
      <c r="AO80" s="15">
        <f>IF(C80="","",COUNTIF(I80:AM80,"R"))</f>
        <v/>
      </c>
      <c r="AP80" s="15">
        <f>IF(C80="","",COUNTIF(I80:AM80,"A"))</f>
        <v/>
      </c>
      <c r="AQ80" s="15">
        <f>IF(C80="","",AN80*8)</f>
        <v/>
      </c>
      <c r="AR80" s="15">
        <f>IF(C80="","",IFERROR(SUMIFS('6-Releve Heures'!K$5:K$104,'6-Releve Heures'!C$5:C$104,C80),0))</f>
        <v/>
      </c>
      <c r="AS80" s="15">
        <f>IF(C80="","",IFERROR(AR80-AQ80,0))</f>
        <v/>
      </c>
      <c r="AT80" s="15" t="n"/>
      <c r="AU80" s="12" t="n"/>
      <c r="AV80" s="12" t="n"/>
      <c r="AW80" s="12" t="n"/>
    </row>
    <row r="81" ht="22" customHeight="1">
      <c r="B81" s="19">
        <f>IF(C81="","PLM-"&amp;TEXT(COUNTA($C$5:C81),"000"))</f>
        <v/>
      </c>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f>IF(C81="","",COUNTIF(I81:AM81,"T")+COUNTIF(I81:AM81,"N"))</f>
        <v/>
      </c>
      <c r="AO81" s="12">
        <f>IF(C81="","",COUNTIF(I81:AM81,"R"))</f>
        <v/>
      </c>
      <c r="AP81" s="12">
        <f>IF(C81="","",COUNTIF(I81:AM81,"A"))</f>
        <v/>
      </c>
      <c r="AQ81" s="12">
        <f>IF(C81="","",AN81*8)</f>
        <v/>
      </c>
      <c r="AR81" s="12">
        <f>IF(C81="","",IFERROR(SUMIFS('6-Releve Heures'!K$5:K$104,'6-Releve Heures'!C$5:C$104,C81),0))</f>
        <v/>
      </c>
      <c r="AS81" s="12">
        <f>IF(C81="","",IFERROR(AR81-AQ81,0))</f>
        <v/>
      </c>
      <c r="AT81" s="12" t="n"/>
      <c r="AU81" s="12" t="n"/>
      <c r="AV81" s="12" t="n"/>
      <c r="AW81" s="12" t="n"/>
    </row>
    <row r="82" ht="22" customHeight="1">
      <c r="B82" s="18">
        <f>IF(C82="","PLM-"&amp;TEXT(COUNTA($C$5:C82),"000"))</f>
        <v/>
      </c>
      <c r="C82" s="15" t="n"/>
      <c r="D82" s="15" t="n"/>
      <c r="E82" s="15" t="n"/>
      <c r="F82" s="15" t="n"/>
      <c r="G82" s="15" t="n"/>
      <c r="H82" s="15" t="n"/>
      <c r="I82" s="15" t="n"/>
      <c r="J82" s="15" t="n"/>
      <c r="K82" s="15" t="n"/>
      <c r="L82" s="15" t="n"/>
      <c r="M82" s="15" t="n"/>
      <c r="N82" s="15" t="n"/>
      <c r="O82" s="15" t="n"/>
      <c r="P82" s="15" t="n"/>
      <c r="Q82" s="15" t="n"/>
      <c r="R82" s="15"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5">
        <f>IF(C82="","",COUNTIF(I82:AM82,"T")+COUNTIF(I82:AM82,"N"))</f>
        <v/>
      </c>
      <c r="AO82" s="15">
        <f>IF(C82="","",COUNTIF(I82:AM82,"R"))</f>
        <v/>
      </c>
      <c r="AP82" s="15">
        <f>IF(C82="","",COUNTIF(I82:AM82,"A"))</f>
        <v/>
      </c>
      <c r="AQ82" s="15">
        <f>IF(C82="","",AN82*8)</f>
        <v/>
      </c>
      <c r="AR82" s="15">
        <f>IF(C82="","",IFERROR(SUMIFS('6-Releve Heures'!K$5:K$104,'6-Releve Heures'!C$5:C$104,C82),0))</f>
        <v/>
      </c>
      <c r="AS82" s="15">
        <f>IF(C82="","",IFERROR(AR82-AQ82,0))</f>
        <v/>
      </c>
      <c r="AT82" s="15" t="n"/>
      <c r="AU82" s="12" t="n"/>
      <c r="AV82" s="12" t="n"/>
      <c r="AW82" s="12" t="n"/>
    </row>
    <row r="83" ht="22" customHeight="1">
      <c r="B83" s="19">
        <f>IF(C83="","PLM-"&amp;TEXT(COUNTA($C$5:C83),"000"))</f>
        <v/>
      </c>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f>IF(C83="","",COUNTIF(I83:AM83,"T")+COUNTIF(I83:AM83,"N"))</f>
        <v/>
      </c>
      <c r="AO83" s="12">
        <f>IF(C83="","",COUNTIF(I83:AM83,"R"))</f>
        <v/>
      </c>
      <c r="AP83" s="12">
        <f>IF(C83="","",COUNTIF(I83:AM83,"A"))</f>
        <v/>
      </c>
      <c r="AQ83" s="12">
        <f>IF(C83="","",AN83*8)</f>
        <v/>
      </c>
      <c r="AR83" s="12">
        <f>IF(C83="","",IFERROR(SUMIFS('6-Releve Heures'!K$5:K$104,'6-Releve Heures'!C$5:C$104,C83),0))</f>
        <v/>
      </c>
      <c r="AS83" s="12">
        <f>IF(C83="","",IFERROR(AR83-AQ83,0))</f>
        <v/>
      </c>
      <c r="AT83" s="12" t="n"/>
      <c r="AU83" s="12" t="n"/>
      <c r="AV83" s="12" t="n"/>
      <c r="AW83" s="12" t="n"/>
    </row>
    <row r="84" ht="22" customHeight="1">
      <c r="B84" s="18">
        <f>IF(C84="","PLM-"&amp;TEXT(COUNTA($C$5:C84),"000"))</f>
        <v/>
      </c>
      <c r="C84" s="15" t="n"/>
      <c r="D84" s="15" t="n"/>
      <c r="E84" s="15" t="n"/>
      <c r="F84" s="15" t="n"/>
      <c r="G84" s="15" t="n"/>
      <c r="H84" s="15" t="n"/>
      <c r="I84" s="15" t="n"/>
      <c r="J84" s="15" t="n"/>
      <c r="K84" s="15" t="n"/>
      <c r="L84" s="15" t="n"/>
      <c r="M84" s="15" t="n"/>
      <c r="N84" s="15" t="n"/>
      <c r="O84" s="15" t="n"/>
      <c r="P84" s="15" t="n"/>
      <c r="Q84" s="15" t="n"/>
      <c r="R84" s="15"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5">
        <f>IF(C84="","",COUNTIF(I84:AM84,"T")+COUNTIF(I84:AM84,"N"))</f>
        <v/>
      </c>
      <c r="AO84" s="15">
        <f>IF(C84="","",COUNTIF(I84:AM84,"R"))</f>
        <v/>
      </c>
      <c r="AP84" s="15">
        <f>IF(C84="","",COUNTIF(I84:AM84,"A"))</f>
        <v/>
      </c>
      <c r="AQ84" s="15">
        <f>IF(C84="","",AN84*8)</f>
        <v/>
      </c>
      <c r="AR84" s="15">
        <f>IF(C84="","",IFERROR(SUMIFS('6-Releve Heures'!K$5:K$104,'6-Releve Heures'!C$5:C$104,C84),0))</f>
        <v/>
      </c>
      <c r="AS84" s="15">
        <f>IF(C84="","",IFERROR(AR84-AQ84,0))</f>
        <v/>
      </c>
      <c r="AT84" s="15" t="n"/>
      <c r="AU84" s="12" t="n"/>
      <c r="AV84" s="12" t="n"/>
      <c r="AW84" s="12" t="n"/>
    </row>
    <row r="85" ht="22" customHeight="1">
      <c r="B85" s="19">
        <f>IF(C85="","PLM-"&amp;TEXT(COUNTA($C$5:C85),"000"))</f>
        <v/>
      </c>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f>IF(C85="","",COUNTIF(I85:AM85,"T")+COUNTIF(I85:AM85,"N"))</f>
        <v/>
      </c>
      <c r="AO85" s="12">
        <f>IF(C85="","",COUNTIF(I85:AM85,"R"))</f>
        <v/>
      </c>
      <c r="AP85" s="12">
        <f>IF(C85="","",COUNTIF(I85:AM85,"A"))</f>
        <v/>
      </c>
      <c r="AQ85" s="12">
        <f>IF(C85="","",AN85*8)</f>
        <v/>
      </c>
      <c r="AR85" s="12">
        <f>IF(C85="","",IFERROR(SUMIFS('6-Releve Heures'!K$5:K$104,'6-Releve Heures'!C$5:C$104,C85),0))</f>
        <v/>
      </c>
      <c r="AS85" s="12">
        <f>IF(C85="","",IFERROR(AR85-AQ85,0))</f>
        <v/>
      </c>
      <c r="AT85" s="12" t="n"/>
      <c r="AU85" s="12" t="n"/>
      <c r="AV85" s="12" t="n"/>
      <c r="AW85" s="12" t="n"/>
    </row>
    <row r="86" ht="22" customHeight="1">
      <c r="B86" s="18">
        <f>IF(C86="","PLM-"&amp;TEXT(COUNTA($C$5:C86),"000"))</f>
        <v/>
      </c>
      <c r="C86" s="15" t="n"/>
      <c r="D86" s="15" t="n"/>
      <c r="E86" s="15" t="n"/>
      <c r="F86" s="15" t="n"/>
      <c r="G86" s="15" t="n"/>
      <c r="H86" s="15" t="n"/>
      <c r="I86" s="15" t="n"/>
      <c r="J86" s="15" t="n"/>
      <c r="K86" s="15" t="n"/>
      <c r="L86" s="15" t="n"/>
      <c r="M86" s="15" t="n"/>
      <c r="N86" s="15" t="n"/>
      <c r="O86" s="15" t="n"/>
      <c r="P86" s="15" t="n"/>
      <c r="Q86" s="15" t="n"/>
      <c r="R86" s="15"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5">
        <f>IF(C86="","",COUNTIF(I86:AM86,"T")+COUNTIF(I86:AM86,"N"))</f>
        <v/>
      </c>
      <c r="AO86" s="15">
        <f>IF(C86="","",COUNTIF(I86:AM86,"R"))</f>
        <v/>
      </c>
      <c r="AP86" s="15">
        <f>IF(C86="","",COUNTIF(I86:AM86,"A"))</f>
        <v/>
      </c>
      <c r="AQ86" s="15">
        <f>IF(C86="","",AN86*8)</f>
        <v/>
      </c>
      <c r="AR86" s="15">
        <f>IF(C86="","",IFERROR(SUMIFS('6-Releve Heures'!K$5:K$104,'6-Releve Heures'!C$5:C$104,C86),0))</f>
        <v/>
      </c>
      <c r="AS86" s="15">
        <f>IF(C86="","",IFERROR(AR86-AQ86,0))</f>
        <v/>
      </c>
      <c r="AT86" s="15" t="n"/>
      <c r="AU86" s="12" t="n"/>
      <c r="AV86" s="12" t="n"/>
      <c r="AW86" s="12" t="n"/>
    </row>
    <row r="87" ht="22" customHeight="1">
      <c r="B87" s="19">
        <f>IF(C87="","PLM-"&amp;TEXT(COUNTA($C$5:C87),"000"))</f>
        <v/>
      </c>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f>IF(C87="","",COUNTIF(I87:AM87,"T")+COUNTIF(I87:AM87,"N"))</f>
        <v/>
      </c>
      <c r="AO87" s="12">
        <f>IF(C87="","",COUNTIF(I87:AM87,"R"))</f>
        <v/>
      </c>
      <c r="AP87" s="12">
        <f>IF(C87="","",COUNTIF(I87:AM87,"A"))</f>
        <v/>
      </c>
      <c r="AQ87" s="12">
        <f>IF(C87="","",AN87*8)</f>
        <v/>
      </c>
      <c r="AR87" s="12">
        <f>IF(C87="","",IFERROR(SUMIFS('6-Releve Heures'!K$5:K$104,'6-Releve Heures'!C$5:C$104,C87),0))</f>
        <v/>
      </c>
      <c r="AS87" s="12">
        <f>IF(C87="","",IFERROR(AR87-AQ87,0))</f>
        <v/>
      </c>
      <c r="AT87" s="12" t="n"/>
      <c r="AU87" s="12" t="n"/>
      <c r="AV87" s="12" t="n"/>
      <c r="AW87" s="12" t="n"/>
    </row>
    <row r="88" ht="22" customHeight="1">
      <c r="B88" s="18">
        <f>IF(C88="","PLM-"&amp;TEXT(COUNTA($C$5:C88),"000"))</f>
        <v/>
      </c>
      <c r="C88" s="15" t="n"/>
      <c r="D88" s="15" t="n"/>
      <c r="E88" s="15" t="n"/>
      <c r="F88" s="15" t="n"/>
      <c r="G88" s="15" t="n"/>
      <c r="H88" s="15" t="n"/>
      <c r="I88" s="15" t="n"/>
      <c r="J88" s="15" t="n"/>
      <c r="K88" s="15" t="n"/>
      <c r="L88" s="15" t="n"/>
      <c r="M88" s="15" t="n"/>
      <c r="N88" s="15" t="n"/>
      <c r="O88" s="15" t="n"/>
      <c r="P88" s="15" t="n"/>
      <c r="Q88" s="15" t="n"/>
      <c r="R88" s="15"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5">
        <f>IF(C88="","",COUNTIF(I88:AM88,"T")+COUNTIF(I88:AM88,"N"))</f>
        <v/>
      </c>
      <c r="AO88" s="15">
        <f>IF(C88="","",COUNTIF(I88:AM88,"R"))</f>
        <v/>
      </c>
      <c r="AP88" s="15">
        <f>IF(C88="","",COUNTIF(I88:AM88,"A"))</f>
        <v/>
      </c>
      <c r="AQ88" s="15">
        <f>IF(C88="","",AN88*8)</f>
        <v/>
      </c>
      <c r="AR88" s="15">
        <f>IF(C88="","",IFERROR(SUMIFS('6-Releve Heures'!K$5:K$104,'6-Releve Heures'!C$5:C$104,C88),0))</f>
        <v/>
      </c>
      <c r="AS88" s="15">
        <f>IF(C88="","",IFERROR(AR88-AQ88,0))</f>
        <v/>
      </c>
      <c r="AT88" s="15" t="n"/>
      <c r="AU88" s="12" t="n"/>
      <c r="AV88" s="12" t="n"/>
      <c r="AW88" s="12" t="n"/>
    </row>
    <row r="89" ht="22" customHeight="1">
      <c r="B89" s="19">
        <f>IF(C89="","PLM-"&amp;TEXT(COUNTA($C$5:C89),"000"))</f>
        <v/>
      </c>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f>IF(C89="","",COUNTIF(I89:AM89,"T")+COUNTIF(I89:AM89,"N"))</f>
        <v/>
      </c>
      <c r="AO89" s="12">
        <f>IF(C89="","",COUNTIF(I89:AM89,"R"))</f>
        <v/>
      </c>
      <c r="AP89" s="12">
        <f>IF(C89="","",COUNTIF(I89:AM89,"A"))</f>
        <v/>
      </c>
      <c r="AQ89" s="12">
        <f>IF(C89="","",AN89*8)</f>
        <v/>
      </c>
      <c r="AR89" s="12">
        <f>IF(C89="","",IFERROR(SUMIFS('6-Releve Heures'!K$5:K$104,'6-Releve Heures'!C$5:C$104,C89),0))</f>
        <v/>
      </c>
      <c r="AS89" s="12">
        <f>IF(C89="","",IFERROR(AR89-AQ89,0))</f>
        <v/>
      </c>
      <c r="AT89" s="12" t="n"/>
      <c r="AU89" s="12" t="n"/>
      <c r="AV89" s="12" t="n"/>
      <c r="AW89" s="12" t="n"/>
    </row>
    <row r="90" ht="22" customHeight="1">
      <c r="B90" s="18">
        <f>IF(C90="","PLM-"&amp;TEXT(COUNTA($C$5:C90),"000"))</f>
        <v/>
      </c>
      <c r="C90" s="15" t="n"/>
      <c r="D90" s="15" t="n"/>
      <c r="E90" s="15" t="n"/>
      <c r="F90" s="15" t="n"/>
      <c r="G90" s="15" t="n"/>
      <c r="H90" s="15" t="n"/>
      <c r="I90" s="15" t="n"/>
      <c r="J90" s="15" t="n"/>
      <c r="K90" s="15" t="n"/>
      <c r="L90" s="15" t="n"/>
      <c r="M90" s="15" t="n"/>
      <c r="N90" s="15" t="n"/>
      <c r="O90" s="15" t="n"/>
      <c r="P90" s="15" t="n"/>
      <c r="Q90" s="15" t="n"/>
      <c r="R90" s="15"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5">
        <f>IF(C90="","",COUNTIF(I90:AM90,"T")+COUNTIF(I90:AM90,"N"))</f>
        <v/>
      </c>
      <c r="AO90" s="15">
        <f>IF(C90="","",COUNTIF(I90:AM90,"R"))</f>
        <v/>
      </c>
      <c r="AP90" s="15">
        <f>IF(C90="","",COUNTIF(I90:AM90,"A"))</f>
        <v/>
      </c>
      <c r="AQ90" s="15">
        <f>IF(C90="","",AN90*8)</f>
        <v/>
      </c>
      <c r="AR90" s="15">
        <f>IF(C90="","",IFERROR(SUMIFS('6-Releve Heures'!K$5:K$104,'6-Releve Heures'!C$5:C$104,C90),0))</f>
        <v/>
      </c>
      <c r="AS90" s="15">
        <f>IF(C90="","",IFERROR(AR90-AQ90,0))</f>
        <v/>
      </c>
      <c r="AT90" s="15" t="n"/>
      <c r="AU90" s="12" t="n"/>
      <c r="AV90" s="12" t="n"/>
      <c r="AW90" s="12" t="n"/>
    </row>
    <row r="91" ht="22" customHeight="1">
      <c r="B91" s="19">
        <f>IF(C91="","PLM-"&amp;TEXT(COUNTA($C$5:C91),"000"))</f>
        <v/>
      </c>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f>IF(C91="","",COUNTIF(I91:AM91,"T")+COUNTIF(I91:AM91,"N"))</f>
        <v/>
      </c>
      <c r="AO91" s="12">
        <f>IF(C91="","",COUNTIF(I91:AM91,"R"))</f>
        <v/>
      </c>
      <c r="AP91" s="12">
        <f>IF(C91="","",COUNTIF(I91:AM91,"A"))</f>
        <v/>
      </c>
      <c r="AQ91" s="12">
        <f>IF(C91="","",AN91*8)</f>
        <v/>
      </c>
      <c r="AR91" s="12">
        <f>IF(C91="","",IFERROR(SUMIFS('6-Releve Heures'!K$5:K$104,'6-Releve Heures'!C$5:C$104,C91),0))</f>
        <v/>
      </c>
      <c r="AS91" s="12">
        <f>IF(C91="","",IFERROR(AR91-AQ91,0))</f>
        <v/>
      </c>
      <c r="AT91" s="12" t="n"/>
      <c r="AU91" s="12" t="n"/>
      <c r="AV91" s="12" t="n"/>
      <c r="AW91" s="12" t="n"/>
    </row>
    <row r="92" ht="22" customHeight="1">
      <c r="B92" s="18">
        <f>IF(C92="","PLM-"&amp;TEXT(COUNTA($C$5:C92),"000"))</f>
        <v/>
      </c>
      <c r="C92" s="15" t="n"/>
      <c r="D92" s="15" t="n"/>
      <c r="E92" s="15" t="n"/>
      <c r="F92" s="15" t="n"/>
      <c r="G92" s="15" t="n"/>
      <c r="H92" s="15" t="n"/>
      <c r="I92" s="15" t="n"/>
      <c r="J92" s="15" t="n"/>
      <c r="K92" s="15" t="n"/>
      <c r="L92" s="15" t="n"/>
      <c r="M92" s="15" t="n"/>
      <c r="N92" s="15" t="n"/>
      <c r="O92" s="15" t="n"/>
      <c r="P92" s="15" t="n"/>
      <c r="Q92" s="15" t="n"/>
      <c r="R92" s="15"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5">
        <f>IF(C92="","",COUNTIF(I92:AM92,"T")+COUNTIF(I92:AM92,"N"))</f>
        <v/>
      </c>
      <c r="AO92" s="15">
        <f>IF(C92="","",COUNTIF(I92:AM92,"R"))</f>
        <v/>
      </c>
      <c r="AP92" s="15">
        <f>IF(C92="","",COUNTIF(I92:AM92,"A"))</f>
        <v/>
      </c>
      <c r="AQ92" s="15">
        <f>IF(C92="","",AN92*8)</f>
        <v/>
      </c>
      <c r="AR92" s="15">
        <f>IF(C92="","",IFERROR(SUMIFS('6-Releve Heures'!K$5:K$104,'6-Releve Heures'!C$5:C$104,C92),0))</f>
        <v/>
      </c>
      <c r="AS92" s="15">
        <f>IF(C92="","",IFERROR(AR92-AQ92,0))</f>
        <v/>
      </c>
      <c r="AT92" s="15" t="n"/>
      <c r="AU92" s="12" t="n"/>
      <c r="AV92" s="12" t="n"/>
      <c r="AW92" s="12" t="n"/>
    </row>
    <row r="93" ht="22" customHeight="1">
      <c r="B93" s="19">
        <f>IF(C93="","PLM-"&amp;TEXT(COUNTA($C$5:C93),"000"))</f>
        <v/>
      </c>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f>IF(C93="","",COUNTIF(I93:AM93,"T")+COUNTIF(I93:AM93,"N"))</f>
        <v/>
      </c>
      <c r="AO93" s="12">
        <f>IF(C93="","",COUNTIF(I93:AM93,"R"))</f>
        <v/>
      </c>
      <c r="AP93" s="12">
        <f>IF(C93="","",COUNTIF(I93:AM93,"A"))</f>
        <v/>
      </c>
      <c r="AQ93" s="12">
        <f>IF(C93="","",AN93*8)</f>
        <v/>
      </c>
      <c r="AR93" s="12">
        <f>IF(C93="","",IFERROR(SUMIFS('6-Releve Heures'!K$5:K$104,'6-Releve Heures'!C$5:C$104,C93),0))</f>
        <v/>
      </c>
      <c r="AS93" s="12">
        <f>IF(C93="","",IFERROR(AR93-AQ93,0))</f>
        <v/>
      </c>
      <c r="AT93" s="12" t="n"/>
      <c r="AU93" s="12" t="n"/>
      <c r="AV93" s="12" t="n"/>
      <c r="AW93" s="12" t="n"/>
    </row>
    <row r="94" ht="22" customHeight="1">
      <c r="B94" s="18">
        <f>IF(C94="","PLM-"&amp;TEXT(COUNTA($C$5:C94),"000"))</f>
        <v/>
      </c>
      <c r="C94" s="15" t="n"/>
      <c r="D94" s="15" t="n"/>
      <c r="E94" s="15" t="n"/>
      <c r="F94" s="15" t="n"/>
      <c r="G94" s="15" t="n"/>
      <c r="H94" s="15" t="n"/>
      <c r="I94" s="15" t="n"/>
      <c r="J94" s="15" t="n"/>
      <c r="K94" s="15" t="n"/>
      <c r="L94" s="15" t="n"/>
      <c r="M94" s="15" t="n"/>
      <c r="N94" s="15" t="n"/>
      <c r="O94" s="15" t="n"/>
      <c r="P94" s="15" t="n"/>
      <c r="Q94" s="15" t="n"/>
      <c r="R94" s="15"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5">
        <f>IF(C94="","",COUNTIF(I94:AM94,"T")+COUNTIF(I94:AM94,"N"))</f>
        <v/>
      </c>
      <c r="AO94" s="15">
        <f>IF(C94="","",COUNTIF(I94:AM94,"R"))</f>
        <v/>
      </c>
      <c r="AP94" s="15">
        <f>IF(C94="","",COUNTIF(I94:AM94,"A"))</f>
        <v/>
      </c>
      <c r="AQ94" s="15">
        <f>IF(C94="","",AN94*8)</f>
        <v/>
      </c>
      <c r="AR94" s="15">
        <f>IF(C94="","",IFERROR(SUMIFS('6-Releve Heures'!K$5:K$104,'6-Releve Heures'!C$5:C$104,C94),0))</f>
        <v/>
      </c>
      <c r="AS94" s="15">
        <f>IF(C94="","",IFERROR(AR94-AQ94,0))</f>
        <v/>
      </c>
      <c r="AT94" s="15" t="n"/>
      <c r="AU94" s="12" t="n"/>
      <c r="AV94" s="12" t="n"/>
      <c r="AW94" s="12" t="n"/>
    </row>
    <row r="95" ht="22" customHeight="1">
      <c r="B95" s="19">
        <f>IF(C95="","PLM-"&amp;TEXT(COUNTA($C$5:C95),"000"))</f>
        <v/>
      </c>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f>IF(C95="","",COUNTIF(I95:AM95,"T")+COUNTIF(I95:AM95,"N"))</f>
        <v/>
      </c>
      <c r="AO95" s="12">
        <f>IF(C95="","",COUNTIF(I95:AM95,"R"))</f>
        <v/>
      </c>
      <c r="AP95" s="12">
        <f>IF(C95="","",COUNTIF(I95:AM95,"A"))</f>
        <v/>
      </c>
      <c r="AQ95" s="12">
        <f>IF(C95="","",AN95*8)</f>
        <v/>
      </c>
      <c r="AR95" s="12">
        <f>IF(C95="","",IFERROR(SUMIFS('6-Releve Heures'!K$5:K$104,'6-Releve Heures'!C$5:C$104,C95),0))</f>
        <v/>
      </c>
      <c r="AS95" s="12">
        <f>IF(C95="","",IFERROR(AR95-AQ95,0))</f>
        <v/>
      </c>
      <c r="AT95" s="12" t="n"/>
      <c r="AU95" s="12" t="n"/>
      <c r="AV95" s="12" t="n"/>
      <c r="AW95" s="12" t="n"/>
    </row>
    <row r="96" ht="22" customHeight="1">
      <c r="B96" s="18">
        <f>IF(C96="","PLM-"&amp;TEXT(COUNTA($C$5:C96),"000"))</f>
        <v/>
      </c>
      <c r="C96" s="15" t="n"/>
      <c r="D96" s="15" t="n"/>
      <c r="E96" s="15" t="n"/>
      <c r="F96" s="15" t="n"/>
      <c r="G96" s="15" t="n"/>
      <c r="H96" s="15" t="n"/>
      <c r="I96" s="15" t="n"/>
      <c r="J96" s="15" t="n"/>
      <c r="K96" s="15" t="n"/>
      <c r="L96" s="15" t="n"/>
      <c r="M96" s="15" t="n"/>
      <c r="N96" s="15" t="n"/>
      <c r="O96" s="15" t="n"/>
      <c r="P96" s="15" t="n"/>
      <c r="Q96" s="15" t="n"/>
      <c r="R96" s="15"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5">
        <f>IF(C96="","",COUNTIF(I96:AM96,"T")+COUNTIF(I96:AM96,"N"))</f>
        <v/>
      </c>
      <c r="AO96" s="15">
        <f>IF(C96="","",COUNTIF(I96:AM96,"R"))</f>
        <v/>
      </c>
      <c r="AP96" s="15">
        <f>IF(C96="","",COUNTIF(I96:AM96,"A"))</f>
        <v/>
      </c>
      <c r="AQ96" s="15">
        <f>IF(C96="","",AN96*8)</f>
        <v/>
      </c>
      <c r="AR96" s="15">
        <f>IF(C96="","",IFERROR(SUMIFS('6-Releve Heures'!K$5:K$104,'6-Releve Heures'!C$5:C$104,C96),0))</f>
        <v/>
      </c>
      <c r="AS96" s="15">
        <f>IF(C96="","",IFERROR(AR96-AQ96,0))</f>
        <v/>
      </c>
      <c r="AT96" s="15" t="n"/>
      <c r="AU96" s="12" t="n"/>
      <c r="AV96" s="12" t="n"/>
      <c r="AW96" s="12" t="n"/>
    </row>
    <row r="97" ht="22" customHeight="1">
      <c r="B97" s="19">
        <f>IF(C97="","PLM-"&amp;TEXT(COUNTA($C$5:C97),"000"))</f>
        <v/>
      </c>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f>IF(C97="","",COUNTIF(I97:AM97,"T")+COUNTIF(I97:AM97,"N"))</f>
        <v/>
      </c>
      <c r="AO97" s="12">
        <f>IF(C97="","",COUNTIF(I97:AM97,"R"))</f>
        <v/>
      </c>
      <c r="AP97" s="12">
        <f>IF(C97="","",COUNTIF(I97:AM97,"A"))</f>
        <v/>
      </c>
      <c r="AQ97" s="12">
        <f>IF(C97="","",AN97*8)</f>
        <v/>
      </c>
      <c r="AR97" s="12">
        <f>IF(C97="","",IFERROR(SUMIFS('6-Releve Heures'!K$5:K$104,'6-Releve Heures'!C$5:C$104,C97),0))</f>
        <v/>
      </c>
      <c r="AS97" s="12">
        <f>IF(C97="","",IFERROR(AR97-AQ97,0))</f>
        <v/>
      </c>
      <c r="AT97" s="12" t="n"/>
      <c r="AU97" s="12" t="n"/>
      <c r="AV97" s="12" t="n"/>
      <c r="AW97" s="12" t="n"/>
    </row>
    <row r="98" ht="22" customHeight="1">
      <c r="B98" s="18">
        <f>IF(C98="","PLM-"&amp;TEXT(COUNTA($C$5:C98),"000"))</f>
        <v/>
      </c>
      <c r="C98" s="15" t="n"/>
      <c r="D98" s="15" t="n"/>
      <c r="E98" s="15" t="n"/>
      <c r="F98" s="15" t="n"/>
      <c r="G98" s="15" t="n"/>
      <c r="H98" s="15" t="n"/>
      <c r="I98" s="15" t="n"/>
      <c r="J98" s="15" t="n"/>
      <c r="K98" s="15" t="n"/>
      <c r="L98" s="15" t="n"/>
      <c r="M98" s="15" t="n"/>
      <c r="N98" s="15" t="n"/>
      <c r="O98" s="15" t="n"/>
      <c r="P98" s="15" t="n"/>
      <c r="Q98" s="15" t="n"/>
      <c r="R98" s="15"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5">
        <f>IF(C98="","",COUNTIF(I98:AM98,"T")+COUNTIF(I98:AM98,"N"))</f>
        <v/>
      </c>
      <c r="AO98" s="15">
        <f>IF(C98="","",COUNTIF(I98:AM98,"R"))</f>
        <v/>
      </c>
      <c r="AP98" s="15">
        <f>IF(C98="","",COUNTIF(I98:AM98,"A"))</f>
        <v/>
      </c>
      <c r="AQ98" s="15">
        <f>IF(C98="","",AN98*8)</f>
        <v/>
      </c>
      <c r="AR98" s="15">
        <f>IF(C98="","",IFERROR(SUMIFS('6-Releve Heures'!K$5:K$104,'6-Releve Heures'!C$5:C$104,C98),0))</f>
        <v/>
      </c>
      <c r="AS98" s="15">
        <f>IF(C98="","",IFERROR(AR98-AQ98,0))</f>
        <v/>
      </c>
      <c r="AT98" s="15" t="n"/>
      <c r="AU98" s="12" t="n"/>
      <c r="AV98" s="12" t="n"/>
      <c r="AW98" s="12" t="n"/>
    </row>
    <row r="99" ht="22" customHeight="1">
      <c r="B99" s="19">
        <f>IF(C99="","PLM-"&amp;TEXT(COUNTA($C$5:C99),"000"))</f>
        <v/>
      </c>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f>IF(C99="","",COUNTIF(I99:AM99,"T")+COUNTIF(I99:AM99,"N"))</f>
        <v/>
      </c>
      <c r="AO99" s="12">
        <f>IF(C99="","",COUNTIF(I99:AM99,"R"))</f>
        <v/>
      </c>
      <c r="AP99" s="12">
        <f>IF(C99="","",COUNTIF(I99:AM99,"A"))</f>
        <v/>
      </c>
      <c r="AQ99" s="12">
        <f>IF(C99="","",AN99*8)</f>
        <v/>
      </c>
      <c r="AR99" s="12">
        <f>IF(C99="","",IFERROR(SUMIFS('6-Releve Heures'!K$5:K$104,'6-Releve Heures'!C$5:C$104,C99),0))</f>
        <v/>
      </c>
      <c r="AS99" s="12">
        <f>IF(C99="","",IFERROR(AR99-AQ99,0))</f>
        <v/>
      </c>
      <c r="AT99" s="12" t="n"/>
      <c r="AU99" s="12" t="n"/>
      <c r="AV99" s="12" t="n"/>
      <c r="AW99" s="12" t="n"/>
    </row>
    <row r="100" ht="22" customHeight="1">
      <c r="B100" s="18">
        <f>IF(C100="","PLM-"&amp;TEXT(COUNTA($C$5:C100),"000"))</f>
        <v/>
      </c>
      <c r="C100" s="15" t="n"/>
      <c r="D100" s="15" t="n"/>
      <c r="E100" s="15" t="n"/>
      <c r="F100" s="15" t="n"/>
      <c r="G100" s="15" t="n"/>
      <c r="H100" s="15" t="n"/>
      <c r="I100" s="15" t="n"/>
      <c r="J100" s="15" t="n"/>
      <c r="K100" s="15" t="n"/>
      <c r="L100" s="15" t="n"/>
      <c r="M100" s="15" t="n"/>
      <c r="N100" s="15" t="n"/>
      <c r="O100" s="15" t="n"/>
      <c r="P100" s="15" t="n"/>
      <c r="Q100" s="15" t="n"/>
      <c r="R100" s="15"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5">
        <f>IF(C100="","",COUNTIF(I100:AM100,"T")+COUNTIF(I100:AM100,"N"))</f>
        <v/>
      </c>
      <c r="AO100" s="15">
        <f>IF(C100="","",COUNTIF(I100:AM100,"R"))</f>
        <v/>
      </c>
      <c r="AP100" s="15">
        <f>IF(C100="","",COUNTIF(I100:AM100,"A"))</f>
        <v/>
      </c>
      <c r="AQ100" s="15">
        <f>IF(C100="","",AN100*8)</f>
        <v/>
      </c>
      <c r="AR100" s="15">
        <f>IF(C100="","",IFERROR(SUMIFS('6-Releve Heures'!K$5:K$104,'6-Releve Heures'!C$5:C$104,C100),0))</f>
        <v/>
      </c>
      <c r="AS100" s="15">
        <f>IF(C100="","",IFERROR(AR100-AQ100,0))</f>
        <v/>
      </c>
      <c r="AT100" s="15" t="n"/>
      <c r="AU100" s="12" t="n"/>
      <c r="AV100" s="12" t="n"/>
      <c r="AW100" s="12" t="n"/>
    </row>
    <row r="101" ht="22" customHeight="1">
      <c r="B101" s="19">
        <f>IF(C101="","PLM-"&amp;TEXT(COUNTA($C$5:C101),"000"))</f>
        <v/>
      </c>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f>IF(C101="","",COUNTIF(I101:AM101,"T")+COUNTIF(I101:AM101,"N"))</f>
        <v/>
      </c>
      <c r="AO101" s="12">
        <f>IF(C101="","",COUNTIF(I101:AM101,"R"))</f>
        <v/>
      </c>
      <c r="AP101" s="12">
        <f>IF(C101="","",COUNTIF(I101:AM101,"A"))</f>
        <v/>
      </c>
      <c r="AQ101" s="12">
        <f>IF(C101="","",AN101*8)</f>
        <v/>
      </c>
      <c r="AR101" s="12">
        <f>IF(C101="","",IFERROR(SUMIFS('6-Releve Heures'!K$5:K$104,'6-Releve Heures'!C$5:C$104,C101),0))</f>
        <v/>
      </c>
      <c r="AS101" s="12">
        <f>IF(C101="","",IFERROR(AR101-AQ101,0))</f>
        <v/>
      </c>
      <c r="AT101" s="12" t="n"/>
      <c r="AU101" s="12" t="n"/>
      <c r="AV101" s="12" t="n"/>
      <c r="AW101" s="12" t="n"/>
    </row>
    <row r="102" ht="22" customHeight="1">
      <c r="B102" s="18">
        <f>IF(C102="","PLM-"&amp;TEXT(COUNTA($C$5:C102),"000"))</f>
        <v/>
      </c>
      <c r="C102" s="15" t="n"/>
      <c r="D102" s="15" t="n"/>
      <c r="E102" s="15" t="n"/>
      <c r="F102" s="15" t="n"/>
      <c r="G102" s="15" t="n"/>
      <c r="H102" s="15" t="n"/>
      <c r="I102" s="15" t="n"/>
      <c r="J102" s="15" t="n"/>
      <c r="K102" s="15" t="n"/>
      <c r="L102" s="15" t="n"/>
      <c r="M102" s="15" t="n"/>
      <c r="N102" s="15" t="n"/>
      <c r="O102" s="15" t="n"/>
      <c r="P102" s="15" t="n"/>
      <c r="Q102" s="15" t="n"/>
      <c r="R102" s="15"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5">
        <f>IF(C102="","",COUNTIF(I102:AM102,"T")+COUNTIF(I102:AM102,"N"))</f>
        <v/>
      </c>
      <c r="AO102" s="15">
        <f>IF(C102="","",COUNTIF(I102:AM102,"R"))</f>
        <v/>
      </c>
      <c r="AP102" s="15">
        <f>IF(C102="","",COUNTIF(I102:AM102,"A"))</f>
        <v/>
      </c>
      <c r="AQ102" s="15">
        <f>IF(C102="","",AN102*8)</f>
        <v/>
      </c>
      <c r="AR102" s="15">
        <f>IF(C102="","",IFERROR(SUMIFS('6-Releve Heures'!K$5:K$104,'6-Releve Heures'!C$5:C$104,C102),0))</f>
        <v/>
      </c>
      <c r="AS102" s="15">
        <f>IF(C102="","",IFERROR(AR102-AQ102,0))</f>
        <v/>
      </c>
      <c r="AT102" s="15" t="n"/>
      <c r="AU102" s="12" t="n"/>
      <c r="AV102" s="12" t="n"/>
      <c r="AW102" s="12" t="n"/>
    </row>
    <row r="103" ht="22" customHeight="1">
      <c r="B103" s="19">
        <f>IF(C103="","PLM-"&amp;TEXT(COUNTA($C$5:C103),"000"))</f>
        <v/>
      </c>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f>IF(C103="","",COUNTIF(I103:AM103,"T")+COUNTIF(I103:AM103,"N"))</f>
        <v/>
      </c>
      <c r="AO103" s="12">
        <f>IF(C103="","",COUNTIF(I103:AM103,"R"))</f>
        <v/>
      </c>
      <c r="AP103" s="12">
        <f>IF(C103="","",COUNTIF(I103:AM103,"A"))</f>
        <v/>
      </c>
      <c r="AQ103" s="12">
        <f>IF(C103="","",AN103*8)</f>
        <v/>
      </c>
      <c r="AR103" s="12">
        <f>IF(C103="","",IFERROR(SUMIFS('6-Releve Heures'!K$5:K$104,'6-Releve Heures'!C$5:C$104,C103),0))</f>
        <v/>
      </c>
      <c r="AS103" s="12">
        <f>IF(C103="","",IFERROR(AR103-AQ103,0))</f>
        <v/>
      </c>
      <c r="AT103" s="12" t="n"/>
      <c r="AU103" s="12" t="n"/>
      <c r="AV103" s="12" t="n"/>
      <c r="AW103" s="12" t="n"/>
    </row>
    <row r="104" ht="22" customHeight="1">
      <c r="B104" s="18">
        <f>IF(C104="","PLM-"&amp;TEXT(COUNTA($C$5:C104),"000"))</f>
        <v/>
      </c>
      <c r="C104" s="15" t="n"/>
      <c r="D104" s="15" t="n"/>
      <c r="E104" s="15" t="n"/>
      <c r="F104" s="15" t="n"/>
      <c r="G104" s="15" t="n"/>
      <c r="H104" s="15" t="n"/>
      <c r="I104" s="15" t="n"/>
      <c r="J104" s="15" t="n"/>
      <c r="K104" s="15" t="n"/>
      <c r="L104" s="15" t="n"/>
      <c r="M104" s="15" t="n"/>
      <c r="N104" s="15" t="n"/>
      <c r="O104" s="15" t="n"/>
      <c r="P104" s="15" t="n"/>
      <c r="Q104" s="15" t="n"/>
      <c r="R104" s="15"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5">
        <f>IF(C104="","",COUNTIF(I104:AM104,"T")+COUNTIF(I104:AM104,"N"))</f>
        <v/>
      </c>
      <c r="AO104" s="15">
        <f>IF(C104="","",COUNTIF(I104:AM104,"R"))</f>
        <v/>
      </c>
      <c r="AP104" s="15">
        <f>IF(C104="","",COUNTIF(I104:AM104,"A"))</f>
        <v/>
      </c>
      <c r="AQ104" s="15">
        <f>IF(C104="","",AN104*8)</f>
        <v/>
      </c>
      <c r="AR104" s="15">
        <f>IF(C104="","",IFERROR(SUMIFS('6-Releve Heures'!K$5:K$104,'6-Releve Heures'!C$5:C$104,C104),0))</f>
        <v/>
      </c>
      <c r="AS104" s="15">
        <f>IF(C104="","",IFERROR(AR104-AQ104,0))</f>
        <v/>
      </c>
      <c r="AT104" s="15" t="n"/>
      <c r="AU104" s="12" t="n"/>
      <c r="AV104" s="12" t="n"/>
      <c r="AW104" s="12" t="n"/>
    </row>
    <row r="105" ht="22" customHeight="1">
      <c r="B105" s="19">
        <f>IF(C105="","PLM-"&amp;TEXT(COUNTA($C$5:C105),"000"))</f>
        <v/>
      </c>
      <c r="C105" s="12" t="n"/>
      <c r="D105" s="12" t="n"/>
      <c r="E105" s="12" t="n"/>
      <c r="F105" s="12" t="n"/>
      <c r="G105" s="12" t="n"/>
      <c r="H105" s="12" t="n"/>
      <c r="I105" s="12" t="n"/>
      <c r="J105" s="12" t="n"/>
      <c r="K105" s="12" t="n"/>
      <c r="L105" s="12" t="n"/>
      <c r="M105" s="12" t="n"/>
      <c r="N105" s="12" t="n"/>
      <c r="O105" s="12" t="n"/>
      <c r="P105" s="12" t="n"/>
      <c r="Q105" s="12" t="n"/>
      <c r="R105" s="12" t="n"/>
      <c r="AN105" s="13" t="n"/>
      <c r="AO105" s="13" t="n"/>
      <c r="AP105" s="13" t="n"/>
      <c r="AQ105" s="14" t="n"/>
      <c r="AR105" s="14" t="n"/>
      <c r="AS105" s="14" t="n"/>
      <c r="AT105" s="12" t="n"/>
    </row>
    <row r="106" ht="22" customHeight="1">
      <c r="B106" s="18">
        <f>IF(C106="","PLM-"&amp;TEXT(COUNTA($C$5:C106),"000"))</f>
        <v/>
      </c>
      <c r="C106" s="15" t="n"/>
      <c r="D106" s="15" t="n"/>
      <c r="E106" s="15" t="n"/>
      <c r="F106" s="15" t="n"/>
      <c r="G106" s="15" t="n"/>
      <c r="H106" s="15" t="n"/>
      <c r="I106" s="15" t="n"/>
      <c r="J106" s="15" t="n"/>
      <c r="K106" s="15" t="n"/>
      <c r="L106" s="15" t="n"/>
      <c r="M106" s="15" t="n"/>
      <c r="N106" s="15" t="n"/>
      <c r="O106" s="15" t="n"/>
      <c r="P106" s="15" t="n"/>
      <c r="Q106" s="15" t="n"/>
      <c r="R106" s="15" t="n"/>
      <c r="AN106" s="16" t="n"/>
      <c r="AO106" s="16" t="n"/>
      <c r="AP106" s="16" t="n"/>
      <c r="AQ106" s="17" t="n"/>
      <c r="AR106" s="17" t="n"/>
      <c r="AS106" s="17" t="n"/>
      <c r="AT106" s="15" t="n"/>
    </row>
    <row r="107" ht="22" customHeight="1">
      <c r="B107" s="19">
        <f>IF(C107="","PLM-"&amp;TEXT(COUNTA($C$5:C107),"000"))</f>
        <v/>
      </c>
      <c r="C107" s="12" t="n"/>
      <c r="D107" s="12" t="n"/>
      <c r="E107" s="12" t="n"/>
      <c r="F107" s="12" t="n"/>
      <c r="G107" s="12" t="n"/>
      <c r="H107" s="12" t="n"/>
      <c r="I107" s="12" t="n"/>
      <c r="J107" s="12" t="n"/>
      <c r="K107" s="12" t="n"/>
      <c r="L107" s="12" t="n"/>
      <c r="M107" s="12" t="n"/>
      <c r="N107" s="12" t="n"/>
      <c r="O107" s="12" t="n"/>
      <c r="P107" s="12" t="n"/>
      <c r="Q107" s="12" t="n"/>
      <c r="R107" s="12" t="n"/>
      <c r="AN107" s="13" t="n"/>
      <c r="AO107" s="13" t="n"/>
      <c r="AP107" s="13" t="n"/>
      <c r="AQ107" s="14" t="n"/>
      <c r="AR107" s="14" t="n"/>
      <c r="AS107" s="14" t="n"/>
      <c r="AT107" s="12" t="n"/>
    </row>
    <row r="108" ht="22" customHeight="1">
      <c r="B108" s="18">
        <f>IF(C108="","PLM-"&amp;TEXT(COUNTA($C$5:C108),"000"))</f>
        <v/>
      </c>
      <c r="C108" s="15" t="n"/>
      <c r="D108" s="15" t="n"/>
      <c r="E108" s="15" t="n"/>
      <c r="F108" s="15" t="n"/>
      <c r="G108" s="15" t="n"/>
      <c r="H108" s="15" t="n"/>
      <c r="I108" s="15" t="n"/>
      <c r="J108" s="15" t="n"/>
      <c r="K108" s="15" t="n"/>
      <c r="L108" s="15" t="n"/>
      <c r="M108" s="15" t="n"/>
      <c r="N108" s="15" t="n"/>
      <c r="O108" s="15" t="n"/>
      <c r="P108" s="15" t="n"/>
      <c r="Q108" s="15" t="n"/>
      <c r="R108" s="15" t="n"/>
      <c r="AN108" s="16" t="n"/>
      <c r="AO108" s="16" t="n"/>
      <c r="AP108" s="16" t="n"/>
      <c r="AQ108" s="17" t="n"/>
      <c r="AR108" s="17" t="n"/>
      <c r="AS108" s="17" t="n"/>
      <c r="AT108" s="15" t="n"/>
    </row>
    <row r="109" ht="22" customHeight="1">
      <c r="B109" s="19">
        <f>IF(C109="","PLM-"&amp;TEXT(COUNTA($C$5:C109),"000"))</f>
        <v/>
      </c>
      <c r="C109" s="12" t="n"/>
      <c r="D109" s="12" t="n"/>
      <c r="E109" s="12" t="n"/>
      <c r="F109" s="12" t="n"/>
      <c r="G109" s="12" t="n"/>
      <c r="H109" s="12" t="n"/>
      <c r="I109" s="12" t="n"/>
      <c r="J109" s="12" t="n"/>
      <c r="K109" s="12" t="n"/>
      <c r="L109" s="12" t="n"/>
      <c r="M109" s="12" t="n"/>
      <c r="N109" s="12" t="n"/>
      <c r="O109" s="12" t="n"/>
      <c r="P109" s="12" t="n"/>
      <c r="Q109" s="12" t="n"/>
      <c r="R109" s="12" t="n"/>
      <c r="AN109" s="13" t="n"/>
      <c r="AO109" s="13" t="n"/>
      <c r="AP109" s="13" t="n"/>
      <c r="AQ109" s="14" t="n"/>
      <c r="AR109" s="14" t="n"/>
      <c r="AS109" s="14" t="n"/>
      <c r="AT109" s="12" t="n"/>
    </row>
    <row r="110"/>
    <row r="111">
      <c r="B111" s="6" t="inlineStr">
        <is>
          <t>INDICATEURS (mis a jour automatiquement)</t>
        </is>
      </c>
    </row>
    <row r="112">
      <c r="B112" s="3" t="inlineStr">
        <is>
          <t>Employes planifies</t>
        </is>
      </c>
      <c r="D112" s="3" t="inlineStr">
        <is>
          <t>Total heures prevues</t>
        </is>
      </c>
      <c r="F112" s="3" t="inlineStr">
        <is>
          <t>Total heures effectives</t>
        </is>
      </c>
      <c r="H112" s="3" t="inlineStr">
        <is>
          <t>Ecart total (h)</t>
        </is>
      </c>
    </row>
    <row r="113">
      <c r="B113" s="4">
        <f>COUNTIF(B5:B104,"&lt;&gt;")</f>
        <v/>
      </c>
      <c r="D113" s="4">
        <f>SUM(V5:V104)</f>
        <v/>
      </c>
      <c r="F113" s="4">
        <f>SUM(W5:W104)</f>
        <v/>
      </c>
      <c r="H113" s="4">
        <f>SUM(X5:X104)</f>
        <v/>
      </c>
    </row>
  </sheetData>
  <mergeCells count="3">
    <mergeCell ref="B3:Y3"/>
    <mergeCell ref="B2:Y2"/>
    <mergeCell ref="B111:Y111"/>
  </mergeCells>
  <conditionalFormatting sqref="Y5:Y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conditionalFormatting sqref="N10:N109">
    <cfRule type="expression" priority="60" dxfId="3">
      <formula>AND($C10="",$C9&lt;&gt;"")</formula>
    </cfRule>
  </conditionalFormatting>
  <conditionalFormatting sqref="O10:O109">
    <cfRule type="expression" priority="61" dxfId="3">
      <formula>AND($C10="",$C9&lt;&gt;"")</formula>
    </cfRule>
  </conditionalFormatting>
  <conditionalFormatting sqref="P10:P109">
    <cfRule type="expression" priority="62" dxfId="3">
      <formula>AND($C10="",$C9&lt;&gt;"")</formula>
    </cfRule>
  </conditionalFormatting>
  <conditionalFormatting sqref="Q10:Q109">
    <cfRule type="expression" priority="63" dxfId="3">
      <formula>AND($C10="",$C9&lt;&gt;"")</formula>
    </cfRule>
  </conditionalFormatting>
  <conditionalFormatting sqref="R10:R109">
    <cfRule type="expression" priority="64" dxfId="3">
      <formula>AND($C10="",$C9&lt;&gt;"")</formula>
    </cfRule>
  </conditionalFormatting>
  <conditionalFormatting sqref="S10:S109">
    <cfRule type="expression" priority="65" dxfId="3">
      <formula>AND($C10="",$C9&lt;&gt;"")</formula>
    </cfRule>
  </conditionalFormatting>
  <conditionalFormatting sqref="T10:T109">
    <cfRule type="expression" priority="66" dxfId="3">
      <formula>AND($C10="",$C9&lt;&gt;"")</formula>
    </cfRule>
  </conditionalFormatting>
  <conditionalFormatting sqref="U10:U109">
    <cfRule type="expression" priority="67" dxfId="3">
      <formula>AND($C10="",$C9&lt;&gt;"")</formula>
    </cfRule>
  </conditionalFormatting>
  <conditionalFormatting sqref="V10:V109">
    <cfRule type="expression" priority="68" dxfId="3">
      <formula>AND($C10="",$C9&lt;&gt;"")</formula>
    </cfRule>
  </conditionalFormatting>
  <conditionalFormatting sqref="W10:W109">
    <cfRule type="expression" priority="69" dxfId="3">
      <formula>AND($C10="",$C9&lt;&gt;"")</formula>
    </cfRule>
  </conditionalFormatting>
  <conditionalFormatting sqref="X10:X109">
    <cfRule type="expression" priority="70" dxfId="3">
      <formula>AND($C10="",$C9&lt;&gt;"")</formula>
    </cfRule>
  </conditionalFormatting>
  <conditionalFormatting sqref="Y10:Y109">
    <cfRule type="expression" priority="71" dxfId="3">
      <formula>AND($C10="",$C9&lt;&gt;"")</formula>
    </cfRule>
  </conditionalFormatting>
  <dataValidations count="16">
    <dataValidation sqref="E5:E109" showDropDown="0" showInputMessage="0" showErrorMessage="0" allowBlank="1" errorTitle="Erreur" error="Valeur invalide" promptTitle="Liste" prompt="Choisir dans la liste" type="list">
      <formula1>'_Lists'!$B$2:$B$14</formula1>
    </dataValidation>
    <dataValidation sqref="F5:F109" showDropDown="0" showInputMessage="0" showErrorMessage="0" allowBlank="1" errorTitle="Erreur" error="Valeur invalide" promptTitle="Liste" prompt="Choisir dans la liste" type="list">
      <formula1>'_Lists'!$C$2:$C$30</formula1>
    </dataValidation>
    <dataValidation sqref="G5:G109" showDropDown="0" showInputMessage="0" showErrorMessage="0" allowBlank="1" errorTitle="Erreur" error="Valeur invalide" promptTitle="Liste" prompt="Choisir dans la liste" type="list">
      <formula1>'_Lists'!$X$2:$X$13</formula1>
    </dataValidation>
    <dataValidation sqref="H5:H109" showDropDown="0" showInputMessage="0" showErrorMessage="0" allowBlank="1" errorTitle="Erreur" error="Valeur invalide" promptTitle="Liste" prompt="Choisir dans la liste" type="list">
      <formula1>'_Lists'!$Y$2:$Y$4</formula1>
    </dataValidation>
    <dataValidation sqref="I5:I109" showDropDown="0" showInputMessage="0" showErrorMessage="0" allowBlank="1" errorTitle="Erreur" error="Valeur invalide" promptTitle="Liste" prompt="Choisir dans la liste" type="list">
      <formula1>'_Lists'!$F$2:$F$8</formula1>
    </dataValidation>
    <dataValidation sqref="J5:J109" showDropDown="0" showInputMessage="0" showErrorMessage="0" allowBlank="1" errorTitle="Erreur" error="Valeur invalide" promptTitle="Liste" prompt="Choisir dans la liste" type="list">
      <formula1>'_Lists'!$F$2:$F$8</formula1>
    </dataValidation>
    <dataValidation sqref="K5:K109" showDropDown="0" showInputMessage="0" showErrorMessage="0" allowBlank="1" errorTitle="Erreur" error="Valeur invalide" promptTitle="Liste" prompt="Choisir dans la liste" type="list">
      <formula1>'_Lists'!$F$2:$F$8</formula1>
    </dataValidation>
    <dataValidation sqref="L5:L109" showDropDown="0" showInputMessage="0" showErrorMessage="0" allowBlank="1" errorTitle="Erreur" error="Valeur invalide" promptTitle="Liste" prompt="Choisir dans la liste" type="list">
      <formula1>'_Lists'!$F$2:$F$8</formula1>
    </dataValidation>
    <dataValidation sqref="M5:M109" showDropDown="0" showInputMessage="0" showErrorMessage="0" allowBlank="1" errorTitle="Erreur" error="Valeur invalide" promptTitle="Liste" prompt="Choisir dans la liste" type="list">
      <formula1>'_Lists'!$F$2:$F$8</formula1>
    </dataValidation>
    <dataValidation sqref="N5:N109" showDropDown="0" showInputMessage="0" showErrorMessage="0" allowBlank="1" errorTitle="Erreur" error="Valeur invalide" promptTitle="Liste" prompt="Choisir dans la liste" type="list">
      <formula1>'_Lists'!$F$2:$F$8</formula1>
    </dataValidation>
    <dataValidation sqref="O5:O109" showDropDown="0" showInputMessage="0" showErrorMessage="0" allowBlank="1" errorTitle="Erreur" error="Valeur invalide" promptTitle="Liste" prompt="Choisir dans la liste" type="list">
      <formula1>'_Lists'!$F$2:$F$8</formula1>
    </dataValidation>
    <dataValidation sqref="P5:P109" showDropDown="0" showInputMessage="0" showErrorMessage="0" allowBlank="1" errorTitle="Erreur" error="Valeur invalide" promptTitle="Liste" prompt="Choisir dans la liste" type="list">
      <formula1>'_Lists'!$F$2:$F$8</formula1>
    </dataValidation>
    <dataValidation sqref="Q5:Q109" showDropDown="0" showInputMessage="0" showErrorMessage="0" allowBlank="1" errorTitle="Erreur" error="Valeur invalide" promptTitle="Liste" prompt="Choisir dans la liste" type="list">
      <formula1>'_Lists'!$F$2:$F$8</formula1>
    </dataValidation>
    <dataValidation sqref="R5:R109" showDropDown="0" showInputMessage="0" showErrorMessage="0" allowBlank="1" errorTitle="Erreur" error="Valeur invalide" promptTitle="Liste" prompt="Choisir dans la liste" type="list">
      <formula1>'_Lists'!$F$2:$F$8</formula1>
    </dataValidation>
    <dataValidation sqref="Y5:Y109" showDropDown="0" showInputMessage="0" showErrorMessage="0" allowBlank="1" errorTitle="Erreur" error="Valeur invalide" promptTitle="Liste" prompt="Choisir dans la liste" type="list">
      <formula1>'_Lists'!$J$2:$J$6</formula1>
    </dataValidation>
    <dataValidation sqref="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G5 AG6 AG7 AG8 AG9 AG10 AG11 AG12 AG13 AG14 AG15 AG16 AG17 AG18 AG19 AG20 AG21 AG22 AG23 AG24 AG25 AG26 AG27 AG28 AG29 AG30 AG31 AG32 AG33 AG34 AG35 AG36 AG37 AG38 AG39 AG40 AG41 AG42 AG43 AG44 AG45 AG46 AG47 AG48 AG49 AG50 AG51 AG52 AG53 AG54 AG55 AG56 AG57 AG58 AG59 AG60 AG61 AG62 AG63 AG64 AG65 AG66 AG67 AG68 AG69 AG70 AG71 AG72 AG73 AG74 AG75 AG76 AG77 AG78 AG79 AG80 AG81 AG82 AG83 AG84 AG85 AG86 AG87 AG88 AG89 AG90 AG91 AG92 AG93 AG94 AG95 AG96 AG97 AG98 AG99 AG100 AG101 AG102 AG103 AG104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I5 AI6 AI7 AI8 AI9 AI10 AI11 AI12 AI13 AI14 AI15 AI16 AI17 AI18 AI19 AI20 AI21 AI22 AI23 AI24 AI25 AI26 AI27 AI28 AI29 AI30 AI31 AI32 AI33 AI34 AI35 AI36 AI37 AI38 AI39 AI40 AI41 AI42 AI43 AI44 AI45 AI46 AI47 AI48 AI49 AI50 AI51 AI52 AI53 AI54 AI55 AI56 AI57 AI58 AI59 AI60 AI61 AI62 AI63 AI64 AI65 AI66 AI67 AI68 AI69 AI70 AI71 AI72 AI73 AI74 AI75 AI76 AI77 AI78 AI79 AI80 AI81 AI82 AI83 AI84 AI85 AI86 AI87 AI88 AI89 AI90 AI91 AI92 AI93 AI94 AI95 AI96 AI97 AI98 AI99 AI100 AI101 AI102 AI103 AI104 AJ5 AJ6 AJ7 AJ8 AJ9 AJ10 AJ11 AJ12 AJ13 AJ14 AJ15 AJ16 AJ17 AJ18 AJ19 AJ20 AJ21 AJ22 AJ23 AJ24 AJ25 AJ26 AJ27 AJ28 AJ29 AJ30 AJ31 AJ32 AJ33 AJ34 AJ35 AJ36 AJ37 AJ38 AJ39 AJ40 AJ41 AJ42 AJ43 AJ44 AJ45 AJ46 AJ47 AJ48 AJ49 AJ50 AJ51 AJ52 AJ53 AJ54 AJ55 AJ56 AJ57 AJ58 AJ59 AJ60 AJ61 AJ62 AJ63 AJ64 AJ65 AJ66 AJ67 AJ68 AJ69 AJ70 AJ71 AJ72 AJ73 AJ74 AJ75 AJ76 AJ77 AJ78 AJ79 AJ80 AJ81 AJ82 AJ83 AJ84 AJ85 AJ86 AJ87 AJ88 AJ89 AJ90 AJ91 AJ92 AJ93 AJ94 AJ95 AJ96 AJ97 AJ98 AJ99 AJ100 AJ101 AJ102 AJ103 AJ104 AK5 AK6 AK7 AK8 AK9 AK10 AK11 AK12 AK13 AK14 AK15 AK16 AK17 AK18 AK19 AK20 AK21 AK22 AK23 AK24 AK25 AK26 AK27 AK28 AK29 AK30 AK31 AK32 AK33 AK34 AK35 AK36 AK37 AK38 AK39 AK40 AK41 AK42 AK43 AK44 AK45 AK46 AK47 AK48 AK49 AK50 AK51 AK52 AK53 AK54 AK55 AK56 AK57 AK58 AK59 AK60 AK61 AK62 AK63 AK64 AK65 AK66 AK67 AK68 AK69 AK70 AK71 AK72 AK73 AK74 AK75 AK76 AK77 AK78 AK79 AK80 AK81 AK82 AK83 AK84 AK85 AK86 AK87 AK88 AK89 AK90 AK91 AK92 AK93 AK94 AK95 AK96 AK97 AK98 AK99 AK100 AK101 AK102 AK103 AK104 AL5 AL6 AL7 AL8 AL9 AL10 AL11 AL12 AL13 AL14 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L103 AL104 AM5 AM6 AM7 AM8 AM9 AM10 AM11 AM12 AM13 AM14 AM15 AM16 AM17 AM18 AM19 AM20 AM21 AM22 AM23 AM24 AM25 AM26 AM27 AM28 AM29 AM30 AM31 AM32 AM33 AM34 AM35 AM36 AM37 AM38 AM39 AM40 AM41 AM42 AM43 AM44 AM45 AM46 AM47 AM48 AM49 AM50 AM51 AM52 AM53 AM54 AM55 AM56 AM57 AM58 AM59 AM60 AM61 AM62 AM63 AM64 AM65 AM66 AM67 AM68 AM69 AM70 AM71 AM72 AM73 AM74 AM75 AM76 AM77 AM78 AM79 AM80 AM81 AM82 AM83 AM84 AM85 AM86 AM87 AM88 AM89 AM90 AM91 AM92 AM93 AM94 AM95 AM96 AM97 AM98 AM99 AM100 AM101 AM102 AM103 AM104" showDropDown="0" showInputMessage="0" showErrorMessage="1" allowBlank="1" errorTitle="Valeur invalide" error="Sélectionnez: T=Travail, R=Repos, A=Absence, N=Nuit" type="list">
      <formula1>'_Lists'!$F$2:$F$8</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16" customWidth="1" min="3" max="3"/>
    <col width="20" customWidth="1" min="4" max="4"/>
    <col width="14" customWidth="1" min="5" max="5"/>
    <col width="14" customWidth="1" min="6" max="6"/>
    <col width="12" customWidth="1" min="7" max="7"/>
    <col width="12" customWidth="1" min="8" max="8"/>
    <col width="14" customWidth="1" min="9" max="9"/>
    <col width="12" customWidth="1" min="10" max="10"/>
    <col width="12" customWidth="1" min="11" max="11"/>
    <col width="12" customWidth="1" min="12" max="12"/>
    <col width="12" customWidth="1" min="13" max="13"/>
    <col width="16" customWidth="1" min="14" max="14"/>
    <col width="14" customWidth="1" min="15" max="15"/>
  </cols>
  <sheetData>
    <row r="1" ht="15" customHeight="1"/>
    <row r="2" ht="32" customHeight="1">
      <c r="B2" s="1" t="inlineStr">
        <is>
          <t>PLANNING HEBDOMADAIRE — ROTATION SEMAINE</t>
        </is>
      </c>
    </row>
    <row r="3" ht="8" customHeight="1">
      <c r="B3" s="2" t="inlineStr">
        <is>
          <t>TABLEAU DYNAMIQUE — Saisissez dans la prochaine ligne jaune. Les calculs se mettent a jour automatiquement.</t>
        </is>
      </c>
    </row>
    <row r="4" ht="28" customHeight="1">
      <c r="B4" s="11" t="inlineStr">
        <is>
          <t>N° Hebdo</t>
        </is>
      </c>
      <c r="C4" s="11" t="inlineStr">
        <is>
          <t>Matricule</t>
        </is>
      </c>
      <c r="D4" s="11" t="inlineStr">
        <is>
          <t>Nom Employe</t>
        </is>
      </c>
      <c r="E4" s="11" t="inlineStr">
        <is>
          <t>Equipe</t>
        </is>
      </c>
      <c r="F4" s="11" t="inlineStr">
        <is>
          <t>Periode</t>
        </is>
      </c>
      <c r="G4" s="11" t="inlineStr">
        <is>
          <t>Lundi</t>
        </is>
      </c>
      <c r="H4" s="11" t="inlineStr">
        <is>
          <t>Mardi</t>
        </is>
      </c>
      <c r="I4" s="11" t="inlineStr">
        <is>
          <t>Mercredi</t>
        </is>
      </c>
      <c r="J4" s="11" t="inlineStr">
        <is>
          <t>Jeudi</t>
        </is>
      </c>
      <c r="K4" s="11" t="inlineStr">
        <is>
          <t>Vendredi</t>
        </is>
      </c>
      <c r="L4" s="11" t="inlineStr">
        <is>
          <t>Samedi</t>
        </is>
      </c>
      <c r="M4" s="11" t="inlineStr">
        <is>
          <t>Dimanche</t>
        </is>
      </c>
      <c r="N4" s="11" t="inlineStr">
        <is>
          <t>Total Heures Sem.</t>
        </is>
      </c>
      <c r="O4" s="11" t="inlineStr">
        <is>
          <t>Statut</t>
        </is>
      </c>
    </row>
    <row r="5" ht="22" customHeight="1">
      <c r="B5" s="12" t="inlineStr">
        <is>
          <t>PH-001</t>
        </is>
      </c>
      <c r="C5" s="12" t="inlineStr">
        <is>
          <t>EMP-004</t>
        </is>
      </c>
      <c r="D5" s="12">
        <f>IF(C5="","",IFERROR(VLOOKUP(C5,'_Données Employés'!$B$5:$H$18,3,FALSE)&amp;" "&amp;VLOOKUP(C5,'_Données Employés'!$B$5:$H$18,4,FALSE),""))</f>
        <v/>
      </c>
      <c r="E5" s="12" t="inlineStr">
        <is>
          <t>Equipe A</t>
        </is>
      </c>
      <c r="F5" s="12" t="inlineStr">
        <is>
          <t>Semaine 1</t>
        </is>
      </c>
      <c r="G5" s="12" t="inlineStr">
        <is>
          <t>08h-16h</t>
        </is>
      </c>
      <c r="H5" s="12" t="inlineStr">
        <is>
          <t>08h-16h</t>
        </is>
      </c>
      <c r="I5" s="12" t="inlineStr">
        <is>
          <t>08h-16h</t>
        </is>
      </c>
      <c r="J5" s="12">
        <f>IF(C5="","",COUNTIF(I5:O5,"T")+COUNTIF(I5:O5,"N"))</f>
        <v/>
      </c>
      <c r="K5" s="12" t="inlineStr">
        <is>
          <t>08h-16h</t>
        </is>
      </c>
      <c r="L5" s="12" t="inlineStr">
        <is>
          <t>Repos</t>
        </is>
      </c>
      <c r="M5" s="12" t="inlineStr">
        <is>
          <t>Repos</t>
        </is>
      </c>
      <c r="N5" s="14" t="n">
        <v>40</v>
      </c>
      <c r="O5" s="12" t="inlineStr">
        <is>
          <t>Valide</t>
        </is>
      </c>
    </row>
    <row r="6" ht="22" customHeight="1">
      <c r="B6" s="15" t="inlineStr">
        <is>
          <t>PH-002</t>
        </is>
      </c>
      <c r="C6" s="15" t="inlineStr">
        <is>
          <t>EMP-005</t>
        </is>
      </c>
      <c r="D6" s="15">
        <f>IF(C6="","",IFERROR(VLOOKUP(C6,'_Données Employés'!$B$5:$H$18,3,FALSE)&amp;" "&amp;VLOOKUP(C6,'_Données Employés'!$B$5:$H$18,4,FALSE),""))</f>
        <v/>
      </c>
      <c r="E6" s="15" t="inlineStr">
        <is>
          <t>Equipe B</t>
        </is>
      </c>
      <c r="F6" s="15" t="inlineStr">
        <is>
          <t>Semaine 1</t>
        </is>
      </c>
      <c r="G6" s="15" t="inlineStr">
        <is>
          <t>06h-14h</t>
        </is>
      </c>
      <c r="H6" s="15" t="inlineStr">
        <is>
          <t>06h-14h</t>
        </is>
      </c>
      <c r="I6" s="15" t="inlineStr">
        <is>
          <t>06h-14h</t>
        </is>
      </c>
      <c r="J6" s="15">
        <f>IF(C6="","",COUNTIF(I6:O6,"T")+COUNTIF(I6:O6,"N"))</f>
        <v/>
      </c>
      <c r="K6" s="15" t="inlineStr">
        <is>
          <t>Repos</t>
        </is>
      </c>
      <c r="L6" s="15" t="inlineStr">
        <is>
          <t>06h-14h</t>
        </is>
      </c>
      <c r="M6" s="15" t="inlineStr">
        <is>
          <t>06h-14h</t>
        </is>
      </c>
      <c r="N6" s="17" t="n">
        <v>40</v>
      </c>
      <c r="O6" s="15" t="inlineStr">
        <is>
          <t>Valide</t>
        </is>
      </c>
    </row>
    <row r="7" ht="22" customHeight="1">
      <c r="B7" s="12" t="inlineStr">
        <is>
          <t>PH-003</t>
        </is>
      </c>
      <c r="C7" s="12" t="inlineStr">
        <is>
          <t>EMP-004</t>
        </is>
      </c>
      <c r="D7" s="12">
        <f>IF(C7="","",IFERROR(VLOOKUP(C7,'_Données Employés'!$B$5:$H$18,3,FALSE)&amp;" "&amp;VLOOKUP(C7,'_Données Employés'!$B$5:$H$18,4,FALSE),""))</f>
        <v/>
      </c>
      <c r="E7" s="12" t="inlineStr">
        <is>
          <t>Equipe A</t>
        </is>
      </c>
      <c r="F7" s="12" t="inlineStr">
        <is>
          <t>Semaine 2</t>
        </is>
      </c>
      <c r="G7" s="12" t="inlineStr">
        <is>
          <t>14h-22h</t>
        </is>
      </c>
      <c r="H7" s="12" t="inlineStr">
        <is>
          <t>14h-22h</t>
        </is>
      </c>
      <c r="I7" s="12" t="inlineStr">
        <is>
          <t>14h-22h</t>
        </is>
      </c>
      <c r="J7" s="12">
        <f>IF(C7="","",COUNTIF(I7:O7,"T")+COUNTIF(I7:O7,"N"))</f>
        <v/>
      </c>
      <c r="K7" s="12" t="inlineStr">
        <is>
          <t>14h-22h</t>
        </is>
      </c>
      <c r="L7" s="12" t="inlineStr">
        <is>
          <t>Repos</t>
        </is>
      </c>
      <c r="M7" s="12" t="inlineStr">
        <is>
          <t>Repos</t>
        </is>
      </c>
      <c r="N7" s="14" t="n">
        <v>40</v>
      </c>
      <c r="O7" s="12" t="inlineStr">
        <is>
          <t>Valide</t>
        </is>
      </c>
    </row>
    <row r="8" ht="22" customHeight="1">
      <c r="B8" s="15" t="inlineStr">
        <is>
          <t>PH-004</t>
        </is>
      </c>
      <c r="C8" s="15" t="inlineStr">
        <is>
          <t>EMP-001</t>
        </is>
      </c>
      <c r="D8" s="15">
        <f>IF(C8="","",IFERROR(VLOOKUP(C8,'_Données Employés'!$B$5:$H$18,3,FALSE)&amp;" "&amp;VLOOKUP(C8,'_Données Employés'!$B$5:$H$18,4,FALSE),""))</f>
        <v/>
      </c>
      <c r="E8" s="15" t="inlineStr">
        <is>
          <t>Equipe Jour</t>
        </is>
      </c>
      <c r="F8" s="15" t="inlineStr">
        <is>
          <t>Semaine 1</t>
        </is>
      </c>
      <c r="G8" s="15" t="inlineStr">
        <is>
          <t>08h-17h</t>
        </is>
      </c>
      <c r="H8" s="15" t="inlineStr">
        <is>
          <t>08h-17h</t>
        </is>
      </c>
      <c r="I8" s="15" t="inlineStr">
        <is>
          <t>08h-17h</t>
        </is>
      </c>
      <c r="J8" s="15">
        <f>IF(C8="","",COUNTIF(I8:O8,"T")+COUNTIF(I8:O8,"N"))</f>
        <v/>
      </c>
      <c r="K8" s="15" t="inlineStr">
        <is>
          <t>08h-17h</t>
        </is>
      </c>
      <c r="L8" s="15" t="inlineStr">
        <is>
          <t>Repos</t>
        </is>
      </c>
      <c r="M8" s="15" t="inlineStr">
        <is>
          <t>Repos</t>
        </is>
      </c>
      <c r="N8" s="17" t="n">
        <v>45</v>
      </c>
      <c r="O8" s="15" t="inlineStr">
        <is>
          <t>Valide</t>
        </is>
      </c>
    </row>
    <row r="9" ht="22" customHeight="1">
      <c r="B9" s="12" t="inlineStr">
        <is>
          <t>PH-005</t>
        </is>
      </c>
      <c r="C9" s="12" t="inlineStr">
        <is>
          <t>EMP-003</t>
        </is>
      </c>
      <c r="D9" s="12">
        <f>IF(C9="","",IFERROR(VLOOKUP(C9,'_Données Employés'!$B$5:$H$18,3,FALSE)&amp;" "&amp;VLOOKUP(C9,'_Données Employés'!$B$5:$H$18,4,FALSE),""))</f>
        <v/>
      </c>
      <c r="E9" s="12" t="inlineStr">
        <is>
          <t>Equipe Jour</t>
        </is>
      </c>
      <c r="F9" s="12" t="inlineStr">
        <is>
          <t>Semaine 1</t>
        </is>
      </c>
      <c r="G9" s="12" t="inlineStr">
        <is>
          <t>08h-17h</t>
        </is>
      </c>
      <c r="H9" s="12" t="inlineStr">
        <is>
          <t>08h-17h</t>
        </is>
      </c>
      <c r="I9" s="12" t="inlineStr">
        <is>
          <t>Absence</t>
        </is>
      </c>
      <c r="J9" s="12">
        <f>IF(C9="","",COUNTIF(I9:O9,"T")+COUNTIF(I9:O9,"N"))</f>
        <v/>
      </c>
      <c r="K9" s="12" t="inlineStr">
        <is>
          <t>08h-17h</t>
        </is>
      </c>
      <c r="L9" s="12" t="inlineStr">
        <is>
          <t>Repos</t>
        </is>
      </c>
      <c r="M9" s="12" t="inlineStr">
        <is>
          <t>Repos</t>
        </is>
      </c>
      <c r="N9" s="14" t="n">
        <v>36</v>
      </c>
      <c r="O9" s="12" t="inlineStr">
        <is>
          <t>Valide</t>
        </is>
      </c>
    </row>
    <row r="10" ht="22" customHeight="1">
      <c r="B10" s="18">
        <f>IF(C10="","PH-"&amp;TEXT(COUNTA($C$5:C10),"000"))</f>
        <v/>
      </c>
      <c r="C10" s="15" t="n"/>
      <c r="D10" s="15" t="n"/>
      <c r="E10" s="15" t="n"/>
      <c r="F10" s="15" t="n"/>
      <c r="G10" s="15" t="n"/>
      <c r="H10" s="15" t="n"/>
      <c r="I10" s="15" t="n"/>
      <c r="J10" s="15">
        <f>IF(C10="","",COUNTIF(I10:O10,"T")+COUNTIF(I10:O10,"N"))</f>
        <v/>
      </c>
      <c r="K10" s="15" t="n"/>
      <c r="L10" s="15" t="n"/>
      <c r="M10" s="15" t="n"/>
      <c r="N10" s="17" t="n"/>
      <c r="O10" s="15" t="n"/>
    </row>
    <row r="11" ht="22" customHeight="1">
      <c r="B11" s="19">
        <f>IF(C11="","PH-"&amp;TEXT(COUNTA($C$5:C11),"000"))</f>
        <v/>
      </c>
      <c r="C11" s="12" t="n"/>
      <c r="D11" s="12" t="n"/>
      <c r="E11" s="12" t="n"/>
      <c r="F11" s="12" t="n"/>
      <c r="G11" s="12" t="n"/>
      <c r="H11" s="12" t="n"/>
      <c r="I11" s="12" t="n"/>
      <c r="J11" s="12">
        <f>IF(C11="","",COUNTIF(I11:O11,"T")+COUNTIF(I11:O11,"N"))</f>
        <v/>
      </c>
      <c r="K11" s="12" t="n"/>
      <c r="L11" s="12" t="n"/>
      <c r="M11" s="12" t="n"/>
      <c r="N11" s="14" t="n"/>
      <c r="O11" s="12" t="n"/>
    </row>
    <row r="12" ht="22" customHeight="1">
      <c r="B12" s="18">
        <f>IF(C12="","PH-"&amp;TEXT(COUNTA($C$5:C12),"000"))</f>
        <v/>
      </c>
      <c r="C12" s="15" t="n"/>
      <c r="D12" s="15" t="n"/>
      <c r="E12" s="15" t="n"/>
      <c r="F12" s="15" t="n"/>
      <c r="G12" s="15" t="n"/>
      <c r="H12" s="15" t="n"/>
      <c r="I12" s="15" t="n"/>
      <c r="J12" s="15">
        <f>IF(C12="","",COUNTIF(I12:O12,"T")+COUNTIF(I12:O12,"N"))</f>
        <v/>
      </c>
      <c r="K12" s="15" t="n"/>
      <c r="L12" s="15" t="n"/>
      <c r="M12" s="15" t="n"/>
      <c r="N12" s="17" t="n"/>
      <c r="O12" s="15" t="n"/>
    </row>
    <row r="13" ht="22" customHeight="1">
      <c r="B13" s="19">
        <f>IF(C13="","PH-"&amp;TEXT(COUNTA($C$5:C13),"000"))</f>
        <v/>
      </c>
      <c r="C13" s="12" t="n"/>
      <c r="D13" s="12" t="n"/>
      <c r="E13" s="12" t="n"/>
      <c r="F13" s="12" t="n"/>
      <c r="G13" s="12" t="n"/>
      <c r="H13" s="12" t="n"/>
      <c r="I13" s="12" t="n"/>
      <c r="J13" s="12">
        <f>IF(C13="","",COUNTIF(I13:O13,"T")+COUNTIF(I13:O13,"N"))</f>
        <v/>
      </c>
      <c r="K13" s="12" t="n"/>
      <c r="L13" s="12" t="n"/>
      <c r="M13" s="12" t="n"/>
      <c r="N13" s="14" t="n"/>
      <c r="O13" s="12" t="n"/>
    </row>
    <row r="14" ht="22" customHeight="1">
      <c r="B14" s="18">
        <f>IF(C14="","PH-"&amp;TEXT(COUNTA($C$5:C14),"000"))</f>
        <v/>
      </c>
      <c r="C14" s="15" t="n"/>
      <c r="D14" s="15" t="n"/>
      <c r="E14" s="15" t="n"/>
      <c r="F14" s="15" t="n"/>
      <c r="G14" s="15" t="n"/>
      <c r="H14" s="15" t="n"/>
      <c r="I14" s="15" t="n"/>
      <c r="J14" s="15">
        <f>IF(C14="","",COUNTIF(I14:O14,"T")+COUNTIF(I14:O14,"N"))</f>
        <v/>
      </c>
      <c r="K14" s="15" t="n"/>
      <c r="L14" s="15" t="n"/>
      <c r="M14" s="15" t="n"/>
      <c r="N14" s="17" t="n"/>
      <c r="O14" s="15" t="n"/>
    </row>
    <row r="15" ht="22" customHeight="1">
      <c r="B15" s="19">
        <f>IF(C15="","PH-"&amp;TEXT(COUNTA($C$5:C15),"000"))</f>
        <v/>
      </c>
      <c r="C15" s="12" t="n"/>
      <c r="D15" s="12" t="n"/>
      <c r="E15" s="12" t="n"/>
      <c r="F15" s="12" t="n"/>
      <c r="G15" s="12" t="n"/>
      <c r="H15" s="12" t="n"/>
      <c r="I15" s="12" t="n"/>
      <c r="J15" s="12">
        <f>IF(C15="","",COUNTIF(I15:O15,"T")+COUNTIF(I15:O15,"N"))</f>
        <v/>
      </c>
      <c r="K15" s="12" t="n"/>
      <c r="L15" s="12" t="n"/>
      <c r="M15" s="12" t="n"/>
      <c r="N15" s="14" t="n"/>
      <c r="O15" s="12" t="n"/>
    </row>
    <row r="16" ht="22" customHeight="1">
      <c r="B16" s="18">
        <f>IF(C16="","PH-"&amp;TEXT(COUNTA($C$5:C16),"000"))</f>
        <v/>
      </c>
      <c r="C16" s="15" t="n"/>
      <c r="D16" s="15" t="n"/>
      <c r="E16" s="15" t="n"/>
      <c r="F16" s="15" t="n"/>
      <c r="G16" s="15" t="n"/>
      <c r="H16" s="15" t="n"/>
      <c r="I16" s="15" t="n"/>
      <c r="J16" s="15">
        <f>IF(C16="","",COUNTIF(I16:O16,"T")+COUNTIF(I16:O16,"N"))</f>
        <v/>
      </c>
      <c r="K16" s="15" t="n"/>
      <c r="L16" s="15" t="n"/>
      <c r="M16" s="15" t="n"/>
      <c r="N16" s="17" t="n"/>
      <c r="O16" s="15" t="n"/>
    </row>
    <row r="17" ht="22" customHeight="1">
      <c r="B17" s="19">
        <f>IF(C17="","PH-"&amp;TEXT(COUNTA($C$5:C17),"000"))</f>
        <v/>
      </c>
      <c r="C17" s="12" t="n"/>
      <c r="D17" s="12" t="n"/>
      <c r="E17" s="12" t="n"/>
      <c r="F17" s="12" t="n"/>
      <c r="G17" s="12" t="n"/>
      <c r="H17" s="12" t="n"/>
      <c r="I17" s="12" t="n"/>
      <c r="J17" s="12">
        <f>IF(C17="","",COUNTIF(I17:O17,"T")+COUNTIF(I17:O17,"N"))</f>
        <v/>
      </c>
      <c r="K17" s="12" t="n"/>
      <c r="L17" s="12" t="n"/>
      <c r="M17" s="12" t="n"/>
      <c r="N17" s="14" t="n"/>
      <c r="O17" s="12" t="n"/>
    </row>
    <row r="18" ht="22" customHeight="1">
      <c r="B18" s="18">
        <f>IF(C18="","PH-"&amp;TEXT(COUNTA($C$5:C18),"000"))</f>
        <v/>
      </c>
      <c r="C18" s="15" t="n"/>
      <c r="D18" s="15" t="n"/>
      <c r="E18" s="15" t="n"/>
      <c r="F18" s="15" t="n"/>
      <c r="G18" s="15" t="n"/>
      <c r="H18" s="15" t="n"/>
      <c r="I18" s="15" t="n"/>
      <c r="J18" s="15">
        <f>IF(C18="","",COUNTIF(I18:O18,"T")+COUNTIF(I18:O18,"N"))</f>
        <v/>
      </c>
      <c r="K18" s="15" t="n"/>
      <c r="L18" s="15" t="n"/>
      <c r="M18" s="15" t="n"/>
      <c r="N18" s="17" t="n"/>
      <c r="O18" s="15" t="n"/>
    </row>
    <row r="19" ht="22" customHeight="1">
      <c r="B19" s="19">
        <f>IF(C19="","PH-"&amp;TEXT(COUNTA($C$5:C19),"000"))</f>
        <v/>
      </c>
      <c r="C19" s="12" t="n"/>
      <c r="D19" s="12" t="n"/>
      <c r="E19" s="12" t="n"/>
      <c r="F19" s="12" t="n"/>
      <c r="G19" s="12" t="n"/>
      <c r="H19" s="12" t="n"/>
      <c r="I19" s="12" t="n"/>
      <c r="J19" s="12">
        <f>IF(C19="","",COUNTIF(I19:O19,"T")+COUNTIF(I19:O19,"N"))</f>
        <v/>
      </c>
      <c r="K19" s="12" t="n"/>
      <c r="L19" s="12" t="n"/>
      <c r="M19" s="12" t="n"/>
      <c r="N19" s="14" t="n"/>
      <c r="O19" s="12" t="n"/>
    </row>
    <row r="20" ht="22" customHeight="1">
      <c r="B20" s="18">
        <f>IF(C20="","PH-"&amp;TEXT(COUNTA($C$5:C20),"000"))</f>
        <v/>
      </c>
      <c r="C20" s="15" t="n"/>
      <c r="D20" s="15" t="n"/>
      <c r="E20" s="15" t="n"/>
      <c r="F20" s="15" t="n"/>
      <c r="G20" s="15" t="n"/>
      <c r="H20" s="15" t="n"/>
      <c r="I20" s="15" t="n"/>
      <c r="J20" s="15">
        <f>IF(C20="","",COUNTIF(I20:O20,"T")+COUNTIF(I20:O20,"N"))</f>
        <v/>
      </c>
      <c r="K20" s="15" t="n"/>
      <c r="L20" s="15" t="n"/>
      <c r="M20" s="15" t="n"/>
      <c r="N20" s="17" t="n"/>
      <c r="O20" s="15" t="n"/>
    </row>
    <row r="21" ht="22" customHeight="1">
      <c r="B21" s="19">
        <f>IF(C21="","PH-"&amp;TEXT(COUNTA($C$5:C21),"000"))</f>
        <v/>
      </c>
      <c r="C21" s="12" t="n"/>
      <c r="D21" s="12" t="n"/>
      <c r="E21" s="12" t="n"/>
      <c r="F21" s="12" t="n"/>
      <c r="G21" s="12" t="n"/>
      <c r="H21" s="12" t="n"/>
      <c r="I21" s="12" t="n"/>
      <c r="J21" s="12">
        <f>IF(C21="","",COUNTIF(I21:O21,"T")+COUNTIF(I21:O21,"N"))</f>
        <v/>
      </c>
      <c r="K21" s="12" t="n"/>
      <c r="L21" s="12" t="n"/>
      <c r="M21" s="12" t="n"/>
      <c r="N21" s="14" t="n"/>
      <c r="O21" s="12" t="n"/>
    </row>
    <row r="22" ht="22" customHeight="1">
      <c r="B22" s="18">
        <f>IF(C22="","PH-"&amp;TEXT(COUNTA($C$5:C22),"000"))</f>
        <v/>
      </c>
      <c r="C22" s="15" t="n"/>
      <c r="D22" s="15" t="n"/>
      <c r="E22" s="15" t="n"/>
      <c r="F22" s="15" t="n"/>
      <c r="G22" s="15" t="n"/>
      <c r="H22" s="15" t="n"/>
      <c r="I22" s="15" t="n"/>
      <c r="J22" s="15">
        <f>IF(C22="","",COUNTIF(I22:O22,"T")+COUNTIF(I22:O22,"N"))</f>
        <v/>
      </c>
      <c r="K22" s="15" t="n"/>
      <c r="L22" s="15" t="n"/>
      <c r="M22" s="15" t="n"/>
      <c r="N22" s="17" t="n"/>
      <c r="O22" s="15" t="n"/>
    </row>
    <row r="23" ht="22" customHeight="1">
      <c r="B23" s="19">
        <f>IF(C23="","PH-"&amp;TEXT(COUNTA($C$5:C23),"000"))</f>
        <v/>
      </c>
      <c r="C23" s="12" t="n"/>
      <c r="D23" s="12" t="n"/>
      <c r="E23" s="12" t="n"/>
      <c r="F23" s="12" t="n"/>
      <c r="G23" s="12" t="n"/>
      <c r="H23" s="12" t="n"/>
      <c r="I23" s="12" t="n"/>
      <c r="J23" s="12">
        <f>IF(C23="","",COUNTIF(I23:O23,"T")+COUNTIF(I23:O23,"N"))</f>
        <v/>
      </c>
      <c r="K23" s="12" t="n"/>
      <c r="L23" s="12" t="n"/>
      <c r="M23" s="12" t="n"/>
      <c r="N23" s="14" t="n"/>
      <c r="O23" s="12" t="n"/>
    </row>
    <row r="24" ht="22" customHeight="1">
      <c r="B24" s="18">
        <f>IF(C24="","PH-"&amp;TEXT(COUNTA($C$5:C24),"000"))</f>
        <v/>
      </c>
      <c r="C24" s="15" t="n"/>
      <c r="D24" s="15" t="n"/>
      <c r="E24" s="15" t="n"/>
      <c r="F24" s="15" t="n"/>
      <c r="G24" s="15" t="n"/>
      <c r="H24" s="15" t="n"/>
      <c r="I24" s="15" t="n"/>
      <c r="J24" s="15">
        <f>IF(C24="","",COUNTIF(I24:O24,"T")+COUNTIF(I24:O24,"N"))</f>
        <v/>
      </c>
      <c r="K24" s="15" t="n"/>
      <c r="L24" s="15" t="n"/>
      <c r="M24" s="15" t="n"/>
      <c r="N24" s="17" t="n"/>
      <c r="O24" s="15" t="n"/>
    </row>
    <row r="25" ht="22" customHeight="1">
      <c r="B25" s="19">
        <f>IF(C25="","PH-"&amp;TEXT(COUNTA($C$5:C25),"000"))</f>
        <v/>
      </c>
      <c r="C25" s="12" t="n"/>
      <c r="D25" s="12" t="n"/>
      <c r="E25" s="12" t="n"/>
      <c r="F25" s="12" t="n"/>
      <c r="G25" s="12" t="n"/>
      <c r="H25" s="12" t="n"/>
      <c r="I25" s="12" t="n"/>
      <c r="J25" s="12">
        <f>IF(C25="","",COUNTIF(I25:O25,"T")+COUNTIF(I25:O25,"N"))</f>
        <v/>
      </c>
      <c r="K25" s="12" t="n"/>
      <c r="L25" s="12" t="n"/>
      <c r="M25" s="12" t="n"/>
      <c r="N25" s="14" t="n"/>
      <c r="O25" s="12" t="n"/>
    </row>
    <row r="26" ht="22" customHeight="1">
      <c r="B26" s="18">
        <f>IF(C26="","PH-"&amp;TEXT(COUNTA($C$5:C26),"000"))</f>
        <v/>
      </c>
      <c r="C26" s="15" t="n"/>
      <c r="D26" s="15" t="n"/>
      <c r="E26" s="15" t="n"/>
      <c r="F26" s="15" t="n"/>
      <c r="G26" s="15" t="n"/>
      <c r="H26" s="15" t="n"/>
      <c r="I26" s="15" t="n"/>
      <c r="J26" s="15">
        <f>IF(C26="","",COUNTIF(I26:O26,"T")+COUNTIF(I26:O26,"N"))</f>
        <v/>
      </c>
      <c r="K26" s="15" t="n"/>
      <c r="L26" s="15" t="n"/>
      <c r="M26" s="15" t="n"/>
      <c r="N26" s="17" t="n"/>
      <c r="O26" s="15" t="n"/>
    </row>
    <row r="27" ht="22" customHeight="1">
      <c r="B27" s="19">
        <f>IF(C27="","PH-"&amp;TEXT(COUNTA($C$5:C27),"000"))</f>
        <v/>
      </c>
      <c r="C27" s="12" t="n"/>
      <c r="D27" s="12" t="n"/>
      <c r="E27" s="12" t="n"/>
      <c r="F27" s="12" t="n"/>
      <c r="G27" s="12" t="n"/>
      <c r="H27" s="12" t="n"/>
      <c r="I27" s="12" t="n"/>
      <c r="J27" s="12">
        <f>IF(C27="","",COUNTIF(I27:O27,"T")+COUNTIF(I27:O27,"N"))</f>
        <v/>
      </c>
      <c r="K27" s="12" t="n"/>
      <c r="L27" s="12" t="n"/>
      <c r="M27" s="12" t="n"/>
      <c r="N27" s="14" t="n"/>
      <c r="O27" s="12" t="n"/>
    </row>
    <row r="28" ht="22" customHeight="1">
      <c r="B28" s="18">
        <f>IF(C28="","PH-"&amp;TEXT(COUNTA($C$5:C28),"000"))</f>
        <v/>
      </c>
      <c r="C28" s="15" t="n"/>
      <c r="D28" s="15" t="n"/>
      <c r="E28" s="15" t="n"/>
      <c r="F28" s="15" t="n"/>
      <c r="G28" s="15" t="n"/>
      <c r="H28" s="15" t="n"/>
      <c r="I28" s="15" t="n"/>
      <c r="J28" s="15">
        <f>IF(C28="","",COUNTIF(I28:O28,"T")+COUNTIF(I28:O28,"N"))</f>
        <v/>
      </c>
      <c r="K28" s="15" t="n"/>
      <c r="L28" s="15" t="n"/>
      <c r="M28" s="15" t="n"/>
      <c r="N28" s="17" t="n"/>
      <c r="O28" s="15" t="n"/>
    </row>
    <row r="29" ht="22" customHeight="1">
      <c r="B29" s="19">
        <f>IF(C29="","PH-"&amp;TEXT(COUNTA($C$5:C29),"000"))</f>
        <v/>
      </c>
      <c r="C29" s="12" t="n"/>
      <c r="D29" s="12" t="n"/>
      <c r="E29" s="12" t="n"/>
      <c r="F29" s="12" t="n"/>
      <c r="G29" s="12" t="n"/>
      <c r="H29" s="12" t="n"/>
      <c r="I29" s="12" t="n"/>
      <c r="J29" s="12">
        <f>IF(C29="","",COUNTIF(I29:O29,"T")+COUNTIF(I29:O29,"N"))</f>
        <v/>
      </c>
      <c r="K29" s="12" t="n"/>
      <c r="L29" s="12" t="n"/>
      <c r="M29" s="12" t="n"/>
      <c r="N29" s="14" t="n"/>
      <c r="O29" s="12" t="n"/>
    </row>
    <row r="30" ht="22" customHeight="1">
      <c r="B30" s="18">
        <f>IF(C30="","PH-"&amp;TEXT(COUNTA($C$5:C30),"000"))</f>
        <v/>
      </c>
      <c r="C30" s="15" t="n"/>
      <c r="D30" s="15" t="n"/>
      <c r="E30" s="15" t="n"/>
      <c r="F30" s="15" t="n"/>
      <c r="G30" s="15" t="n"/>
      <c r="H30" s="15" t="n"/>
      <c r="I30" s="15" t="n"/>
      <c r="J30" s="15">
        <f>IF(C30="","",COUNTIF(I30:O30,"T")+COUNTIF(I30:O30,"N"))</f>
        <v/>
      </c>
      <c r="K30" s="15" t="n"/>
      <c r="L30" s="15" t="n"/>
      <c r="M30" s="15" t="n"/>
      <c r="N30" s="17" t="n"/>
      <c r="O30" s="15" t="n"/>
    </row>
    <row r="31" ht="22" customHeight="1">
      <c r="B31" s="19">
        <f>IF(C31="","PH-"&amp;TEXT(COUNTA($C$5:C31),"000"))</f>
        <v/>
      </c>
      <c r="C31" s="12" t="n"/>
      <c r="D31" s="12" t="n"/>
      <c r="E31" s="12" t="n"/>
      <c r="F31" s="12" t="n"/>
      <c r="G31" s="12" t="n"/>
      <c r="H31" s="12" t="n"/>
      <c r="I31" s="12" t="n"/>
      <c r="J31" s="12">
        <f>IF(C31="","",COUNTIF(I31:O31,"T")+COUNTIF(I31:O31,"N"))</f>
        <v/>
      </c>
      <c r="K31" s="12" t="n"/>
      <c r="L31" s="12" t="n"/>
      <c r="M31" s="12" t="n"/>
      <c r="N31" s="14" t="n"/>
      <c r="O31" s="12" t="n"/>
    </row>
    <row r="32" ht="22" customHeight="1">
      <c r="B32" s="18">
        <f>IF(C32="","PH-"&amp;TEXT(COUNTA($C$5:C32),"000"))</f>
        <v/>
      </c>
      <c r="C32" s="15" t="n"/>
      <c r="D32" s="15" t="n"/>
      <c r="E32" s="15" t="n"/>
      <c r="F32" s="15" t="n"/>
      <c r="G32" s="15" t="n"/>
      <c r="H32" s="15" t="n"/>
      <c r="I32" s="15" t="n"/>
      <c r="J32" s="15">
        <f>IF(C32="","",COUNTIF(I32:O32,"T")+COUNTIF(I32:O32,"N"))</f>
        <v/>
      </c>
      <c r="K32" s="15" t="n"/>
      <c r="L32" s="15" t="n"/>
      <c r="M32" s="15" t="n"/>
      <c r="N32" s="17" t="n"/>
      <c r="O32" s="15" t="n"/>
    </row>
    <row r="33" ht="22" customHeight="1">
      <c r="B33" s="19">
        <f>IF(C33="","PH-"&amp;TEXT(COUNTA($C$5:C33),"000"))</f>
        <v/>
      </c>
      <c r="C33" s="12" t="n"/>
      <c r="D33" s="12" t="n"/>
      <c r="E33" s="12" t="n"/>
      <c r="F33" s="12" t="n"/>
      <c r="G33" s="12" t="n"/>
      <c r="H33" s="12" t="n"/>
      <c r="I33" s="12" t="n"/>
      <c r="J33" s="12">
        <f>IF(C33="","",COUNTIF(I33:O33,"T")+COUNTIF(I33:O33,"N"))</f>
        <v/>
      </c>
      <c r="K33" s="12" t="n"/>
      <c r="L33" s="12" t="n"/>
      <c r="M33" s="12" t="n"/>
      <c r="N33" s="14" t="n"/>
      <c r="O33" s="12" t="n"/>
    </row>
    <row r="34" ht="22" customHeight="1">
      <c r="B34" s="18">
        <f>IF(C34="","PH-"&amp;TEXT(COUNTA($C$5:C34),"000"))</f>
        <v/>
      </c>
      <c r="C34" s="15" t="n"/>
      <c r="D34" s="15" t="n"/>
      <c r="E34" s="15" t="n"/>
      <c r="F34" s="15" t="n"/>
      <c r="G34" s="15" t="n"/>
      <c r="H34" s="15" t="n"/>
      <c r="I34" s="15" t="n"/>
      <c r="J34" s="15">
        <f>IF(C34="","",COUNTIF(I34:O34,"T")+COUNTIF(I34:O34,"N"))</f>
        <v/>
      </c>
      <c r="K34" s="15" t="n"/>
      <c r="L34" s="15" t="n"/>
      <c r="M34" s="15" t="n"/>
      <c r="N34" s="17" t="n"/>
      <c r="O34" s="15" t="n"/>
    </row>
    <row r="35" ht="22" customHeight="1">
      <c r="B35" s="19">
        <f>IF(C35="","PH-"&amp;TEXT(COUNTA($C$5:C35),"000"))</f>
        <v/>
      </c>
      <c r="C35" s="12" t="n"/>
      <c r="D35" s="12" t="n"/>
      <c r="E35" s="12" t="n"/>
      <c r="F35" s="12" t="n"/>
      <c r="G35" s="12" t="n"/>
      <c r="H35" s="12" t="n"/>
      <c r="I35" s="12" t="n"/>
      <c r="J35" s="12">
        <f>IF(C35="","",COUNTIF(I35:O35,"T")+COUNTIF(I35:O35,"N"))</f>
        <v/>
      </c>
      <c r="K35" s="12" t="n"/>
      <c r="L35" s="12" t="n"/>
      <c r="M35" s="12" t="n"/>
      <c r="N35" s="14" t="n"/>
      <c r="O35" s="12" t="n"/>
    </row>
    <row r="36" ht="22" customHeight="1">
      <c r="B36" s="18">
        <f>IF(C36="","PH-"&amp;TEXT(COUNTA($C$5:C36),"000"))</f>
        <v/>
      </c>
      <c r="C36" s="15" t="n"/>
      <c r="D36" s="15" t="n"/>
      <c r="E36" s="15" t="n"/>
      <c r="F36" s="15" t="n"/>
      <c r="G36" s="15" t="n"/>
      <c r="H36" s="15" t="n"/>
      <c r="I36" s="15" t="n"/>
      <c r="J36" s="15">
        <f>IF(C36="","",COUNTIF(I36:O36,"T")+COUNTIF(I36:O36,"N"))</f>
        <v/>
      </c>
      <c r="K36" s="15" t="n"/>
      <c r="L36" s="15" t="n"/>
      <c r="M36" s="15" t="n"/>
      <c r="N36" s="17" t="n"/>
      <c r="O36" s="15" t="n"/>
    </row>
    <row r="37" ht="22" customHeight="1">
      <c r="B37" s="19">
        <f>IF(C37="","PH-"&amp;TEXT(COUNTA($C$5:C37),"000"))</f>
        <v/>
      </c>
      <c r="C37" s="12" t="n"/>
      <c r="D37" s="12" t="n"/>
      <c r="E37" s="12" t="n"/>
      <c r="F37" s="12" t="n"/>
      <c r="G37" s="12" t="n"/>
      <c r="H37" s="12" t="n"/>
      <c r="I37" s="12" t="n"/>
      <c r="J37" s="12">
        <f>IF(C37="","",COUNTIF(I37:O37,"T")+COUNTIF(I37:O37,"N"))</f>
        <v/>
      </c>
      <c r="K37" s="12" t="n"/>
      <c r="L37" s="12" t="n"/>
      <c r="M37" s="12" t="n"/>
      <c r="N37" s="14" t="n"/>
      <c r="O37" s="12" t="n"/>
    </row>
    <row r="38" ht="22" customHeight="1">
      <c r="B38" s="18">
        <f>IF(C38="","PH-"&amp;TEXT(COUNTA($C$5:C38),"000"))</f>
        <v/>
      </c>
      <c r="C38" s="15" t="n"/>
      <c r="D38" s="15" t="n"/>
      <c r="E38" s="15" t="n"/>
      <c r="F38" s="15" t="n"/>
      <c r="G38" s="15" t="n"/>
      <c r="H38" s="15" t="n"/>
      <c r="I38" s="15" t="n"/>
      <c r="J38" s="15">
        <f>IF(C38="","",COUNTIF(I38:O38,"T")+COUNTIF(I38:O38,"N"))</f>
        <v/>
      </c>
      <c r="K38" s="15" t="n"/>
      <c r="L38" s="15" t="n"/>
      <c r="M38" s="15" t="n"/>
      <c r="N38" s="17" t="n"/>
      <c r="O38" s="15" t="n"/>
    </row>
    <row r="39" ht="22" customHeight="1">
      <c r="B39" s="19">
        <f>IF(C39="","PH-"&amp;TEXT(COUNTA($C$5:C39),"000"))</f>
        <v/>
      </c>
      <c r="C39" s="12" t="n"/>
      <c r="D39" s="12" t="n"/>
      <c r="E39" s="12" t="n"/>
      <c r="F39" s="12" t="n"/>
      <c r="G39" s="12" t="n"/>
      <c r="H39" s="12" t="n"/>
      <c r="I39" s="12" t="n"/>
      <c r="J39" s="12">
        <f>IF(C39="","",COUNTIF(I39:O39,"T")+COUNTIF(I39:O39,"N"))</f>
        <v/>
      </c>
      <c r="K39" s="12" t="n"/>
      <c r="L39" s="12" t="n"/>
      <c r="M39" s="12" t="n"/>
      <c r="N39" s="14" t="n"/>
      <c r="O39" s="12" t="n"/>
    </row>
    <row r="40" ht="22" customHeight="1">
      <c r="B40" s="18">
        <f>IF(C40="","PH-"&amp;TEXT(COUNTA($C$5:C40),"000"))</f>
        <v/>
      </c>
      <c r="C40" s="15" t="n"/>
      <c r="D40" s="15" t="n"/>
      <c r="E40" s="15" t="n"/>
      <c r="F40" s="15" t="n"/>
      <c r="G40" s="15" t="n"/>
      <c r="H40" s="15" t="n"/>
      <c r="I40" s="15" t="n"/>
      <c r="J40" s="15">
        <f>IF(C40="","",COUNTIF(I40:O40,"T")+COUNTIF(I40:O40,"N"))</f>
        <v/>
      </c>
      <c r="K40" s="15" t="n"/>
      <c r="L40" s="15" t="n"/>
      <c r="M40" s="15" t="n"/>
      <c r="N40" s="17" t="n"/>
      <c r="O40" s="15" t="n"/>
    </row>
    <row r="41" ht="22" customHeight="1">
      <c r="B41" s="19">
        <f>IF(C41="","PH-"&amp;TEXT(COUNTA($C$5:C41),"000"))</f>
        <v/>
      </c>
      <c r="C41" s="12" t="n"/>
      <c r="D41" s="12" t="n"/>
      <c r="E41" s="12" t="n"/>
      <c r="F41" s="12" t="n"/>
      <c r="G41" s="12" t="n"/>
      <c r="H41" s="12" t="n"/>
      <c r="I41" s="12" t="n"/>
      <c r="J41" s="12">
        <f>IF(C41="","",COUNTIF(I41:O41,"T")+COUNTIF(I41:O41,"N"))</f>
        <v/>
      </c>
      <c r="K41" s="12" t="n"/>
      <c r="L41" s="12" t="n"/>
      <c r="M41" s="12" t="n"/>
      <c r="N41" s="14" t="n"/>
      <c r="O41" s="12" t="n"/>
    </row>
    <row r="42" ht="22" customHeight="1">
      <c r="B42" s="18">
        <f>IF(C42="","PH-"&amp;TEXT(COUNTA($C$5:C42),"000"))</f>
        <v/>
      </c>
      <c r="C42" s="15" t="n"/>
      <c r="D42" s="15" t="n"/>
      <c r="E42" s="15" t="n"/>
      <c r="F42" s="15" t="n"/>
      <c r="G42" s="15" t="n"/>
      <c r="H42" s="15" t="n"/>
      <c r="I42" s="15" t="n"/>
      <c r="J42" s="15">
        <f>IF(C42="","",COUNTIF(I42:O42,"T")+COUNTIF(I42:O42,"N"))</f>
        <v/>
      </c>
      <c r="K42" s="15" t="n"/>
      <c r="L42" s="15" t="n"/>
      <c r="M42" s="15" t="n"/>
      <c r="N42" s="17" t="n"/>
      <c r="O42" s="15" t="n"/>
    </row>
    <row r="43" ht="22" customHeight="1">
      <c r="B43" s="19">
        <f>IF(C43="","PH-"&amp;TEXT(COUNTA($C$5:C43),"000"))</f>
        <v/>
      </c>
      <c r="C43" s="12" t="n"/>
      <c r="D43" s="12" t="n"/>
      <c r="E43" s="12" t="n"/>
      <c r="F43" s="12" t="n"/>
      <c r="G43" s="12" t="n"/>
      <c r="H43" s="12" t="n"/>
      <c r="I43" s="12" t="n"/>
      <c r="J43" s="12">
        <f>IF(C43="","",COUNTIF(I43:O43,"T")+COUNTIF(I43:O43,"N"))</f>
        <v/>
      </c>
      <c r="K43" s="12" t="n"/>
      <c r="L43" s="12" t="n"/>
      <c r="M43" s="12" t="n"/>
      <c r="N43" s="14" t="n"/>
      <c r="O43" s="12" t="n"/>
    </row>
    <row r="44" ht="22" customHeight="1">
      <c r="B44" s="18">
        <f>IF(C44="","PH-"&amp;TEXT(COUNTA($C$5:C44),"000"))</f>
        <v/>
      </c>
      <c r="C44" s="15" t="n"/>
      <c r="D44" s="15" t="n"/>
      <c r="E44" s="15" t="n"/>
      <c r="F44" s="15" t="n"/>
      <c r="G44" s="15" t="n"/>
      <c r="H44" s="15" t="n"/>
      <c r="I44" s="15" t="n"/>
      <c r="J44" s="15">
        <f>IF(C44="","",COUNTIF(I44:O44,"T")+COUNTIF(I44:O44,"N"))</f>
        <v/>
      </c>
      <c r="K44" s="15" t="n"/>
      <c r="L44" s="15" t="n"/>
      <c r="M44" s="15" t="n"/>
      <c r="N44" s="17" t="n"/>
      <c r="O44" s="15" t="n"/>
    </row>
    <row r="45" ht="22" customHeight="1">
      <c r="B45" s="19">
        <f>IF(C45="","PH-"&amp;TEXT(COUNTA($C$5:C45),"000"))</f>
        <v/>
      </c>
      <c r="C45" s="12" t="n"/>
      <c r="D45" s="12" t="n"/>
      <c r="E45" s="12" t="n"/>
      <c r="F45" s="12" t="n"/>
      <c r="G45" s="12" t="n"/>
      <c r="H45" s="12" t="n"/>
      <c r="I45" s="12" t="n"/>
      <c r="J45" s="12">
        <f>IF(C45="","",COUNTIF(I45:O45,"T")+COUNTIF(I45:O45,"N"))</f>
        <v/>
      </c>
      <c r="K45" s="12" t="n"/>
      <c r="L45" s="12" t="n"/>
      <c r="M45" s="12" t="n"/>
      <c r="N45" s="14" t="n"/>
      <c r="O45" s="12" t="n"/>
    </row>
    <row r="46" ht="22" customHeight="1">
      <c r="B46" s="18">
        <f>IF(C46="","PH-"&amp;TEXT(COUNTA($C$5:C46),"000"))</f>
        <v/>
      </c>
      <c r="C46" s="15" t="n"/>
      <c r="D46" s="15" t="n"/>
      <c r="E46" s="15" t="n"/>
      <c r="F46" s="15" t="n"/>
      <c r="G46" s="15" t="n"/>
      <c r="H46" s="15" t="n"/>
      <c r="I46" s="15" t="n"/>
      <c r="J46" s="15">
        <f>IF(C46="","",COUNTIF(I46:O46,"T")+COUNTIF(I46:O46,"N"))</f>
        <v/>
      </c>
      <c r="K46" s="15" t="n"/>
      <c r="L46" s="15" t="n"/>
      <c r="M46" s="15" t="n"/>
      <c r="N46" s="17" t="n"/>
      <c r="O46" s="15" t="n"/>
    </row>
    <row r="47" ht="22" customHeight="1">
      <c r="B47" s="19">
        <f>IF(C47="","PH-"&amp;TEXT(COUNTA($C$5:C47),"000"))</f>
        <v/>
      </c>
      <c r="C47" s="12" t="n"/>
      <c r="D47" s="12" t="n"/>
      <c r="E47" s="12" t="n"/>
      <c r="F47" s="12" t="n"/>
      <c r="G47" s="12" t="n"/>
      <c r="H47" s="12" t="n"/>
      <c r="I47" s="12" t="n"/>
      <c r="J47" s="12">
        <f>IF(C47="","",COUNTIF(I47:O47,"T")+COUNTIF(I47:O47,"N"))</f>
        <v/>
      </c>
      <c r="K47" s="12" t="n"/>
      <c r="L47" s="12" t="n"/>
      <c r="M47" s="12" t="n"/>
      <c r="N47" s="14" t="n"/>
      <c r="O47" s="12" t="n"/>
    </row>
    <row r="48" ht="22" customHeight="1">
      <c r="B48" s="18">
        <f>IF(C48="","PH-"&amp;TEXT(COUNTA($C$5:C48),"000"))</f>
        <v/>
      </c>
      <c r="C48" s="15" t="n"/>
      <c r="D48" s="15" t="n"/>
      <c r="E48" s="15" t="n"/>
      <c r="F48" s="15" t="n"/>
      <c r="G48" s="15" t="n"/>
      <c r="H48" s="15" t="n"/>
      <c r="I48" s="15" t="n"/>
      <c r="J48" s="15">
        <f>IF(C48="","",COUNTIF(I48:O48,"T")+COUNTIF(I48:O48,"N"))</f>
        <v/>
      </c>
      <c r="K48" s="15" t="n"/>
      <c r="L48" s="15" t="n"/>
      <c r="M48" s="15" t="n"/>
      <c r="N48" s="17" t="n"/>
      <c r="O48" s="15" t="n"/>
    </row>
    <row r="49" ht="22" customHeight="1">
      <c r="B49" s="19">
        <f>IF(C49="","PH-"&amp;TEXT(COUNTA($C$5:C49),"000"))</f>
        <v/>
      </c>
      <c r="C49" s="12" t="n"/>
      <c r="D49" s="12" t="n"/>
      <c r="E49" s="12" t="n"/>
      <c r="F49" s="12" t="n"/>
      <c r="G49" s="12" t="n"/>
      <c r="H49" s="12" t="n"/>
      <c r="I49" s="12" t="n"/>
      <c r="J49" s="12">
        <f>IF(C49="","",COUNTIF(I49:O49,"T")+COUNTIF(I49:O49,"N"))</f>
        <v/>
      </c>
      <c r="K49" s="12" t="n"/>
      <c r="L49" s="12" t="n"/>
      <c r="M49" s="12" t="n"/>
      <c r="N49" s="14" t="n"/>
      <c r="O49" s="12" t="n"/>
    </row>
    <row r="50" ht="22" customHeight="1">
      <c r="B50" s="18">
        <f>IF(C50="","PH-"&amp;TEXT(COUNTA($C$5:C50),"000"))</f>
        <v/>
      </c>
      <c r="C50" s="15" t="n"/>
      <c r="D50" s="15" t="n"/>
      <c r="E50" s="15" t="n"/>
      <c r="F50" s="15" t="n"/>
      <c r="G50" s="15" t="n"/>
      <c r="H50" s="15" t="n"/>
      <c r="I50" s="15" t="n"/>
      <c r="J50" s="15">
        <f>IF(C50="","",COUNTIF(I50:O50,"T")+COUNTIF(I50:O50,"N"))</f>
        <v/>
      </c>
      <c r="K50" s="15" t="n"/>
      <c r="L50" s="15" t="n"/>
      <c r="M50" s="15" t="n"/>
      <c r="N50" s="17" t="n"/>
      <c r="O50" s="15" t="n"/>
    </row>
    <row r="51" ht="22" customHeight="1">
      <c r="B51" s="19">
        <f>IF(C51="","PH-"&amp;TEXT(COUNTA($C$5:C51),"000"))</f>
        <v/>
      </c>
      <c r="C51" s="12" t="n"/>
      <c r="D51" s="12" t="n"/>
      <c r="E51" s="12" t="n"/>
      <c r="F51" s="12" t="n"/>
      <c r="G51" s="12" t="n"/>
      <c r="H51" s="12" t="n"/>
      <c r="I51" s="12" t="n"/>
      <c r="J51" s="12">
        <f>IF(C51="","",COUNTIF(I51:O51,"T")+COUNTIF(I51:O51,"N"))</f>
        <v/>
      </c>
      <c r="K51" s="12" t="n"/>
      <c r="L51" s="12" t="n"/>
      <c r="M51" s="12" t="n"/>
      <c r="N51" s="14" t="n"/>
      <c r="O51" s="12" t="n"/>
    </row>
    <row r="52" ht="22" customHeight="1">
      <c r="B52" s="18">
        <f>IF(C52="","PH-"&amp;TEXT(COUNTA($C$5:C52),"000"))</f>
        <v/>
      </c>
      <c r="C52" s="15" t="n"/>
      <c r="D52" s="15" t="n"/>
      <c r="E52" s="15" t="n"/>
      <c r="F52" s="15" t="n"/>
      <c r="G52" s="15" t="n"/>
      <c r="H52" s="15" t="n"/>
      <c r="I52" s="15" t="n"/>
      <c r="J52" s="15">
        <f>IF(C52="","",COUNTIF(I52:O52,"T")+COUNTIF(I52:O52,"N"))</f>
        <v/>
      </c>
      <c r="K52" s="15" t="n"/>
      <c r="L52" s="15" t="n"/>
      <c r="M52" s="15" t="n"/>
      <c r="N52" s="17" t="n"/>
      <c r="O52" s="15" t="n"/>
    </row>
    <row r="53" ht="22" customHeight="1">
      <c r="B53" s="19">
        <f>IF(C53="","PH-"&amp;TEXT(COUNTA($C$5:C53),"000"))</f>
        <v/>
      </c>
      <c r="C53" s="12" t="n"/>
      <c r="D53" s="12" t="n"/>
      <c r="E53" s="12" t="n"/>
      <c r="F53" s="12" t="n"/>
      <c r="G53" s="12" t="n"/>
      <c r="H53" s="12" t="n"/>
      <c r="I53" s="12" t="n"/>
      <c r="J53" s="12">
        <f>IF(C53="","",COUNTIF(I53:O53,"T")+COUNTIF(I53:O53,"N"))</f>
        <v/>
      </c>
      <c r="K53" s="12" t="n"/>
      <c r="L53" s="12" t="n"/>
      <c r="M53" s="12" t="n"/>
      <c r="N53" s="14" t="n"/>
      <c r="O53" s="12" t="n"/>
    </row>
    <row r="54" ht="22" customHeight="1">
      <c r="B54" s="18">
        <f>IF(C54="","PH-"&amp;TEXT(COUNTA($C$5:C54),"000"))</f>
        <v/>
      </c>
      <c r="C54" s="15" t="n"/>
      <c r="D54" s="15" t="n"/>
      <c r="E54" s="15" t="n"/>
      <c r="F54" s="15" t="n"/>
      <c r="G54" s="15" t="n"/>
      <c r="H54" s="15" t="n"/>
      <c r="I54" s="15" t="n"/>
      <c r="J54" s="15">
        <f>IF(C54="","",COUNTIF(I54:O54,"T")+COUNTIF(I54:O54,"N"))</f>
        <v/>
      </c>
      <c r="K54" s="15" t="n"/>
      <c r="L54" s="15" t="n"/>
      <c r="M54" s="15" t="n"/>
      <c r="N54" s="17" t="n"/>
      <c r="O54" s="15" t="n"/>
    </row>
    <row r="55" ht="22" customHeight="1">
      <c r="B55" s="19">
        <f>IF(C55="","PH-"&amp;TEXT(COUNTA($C$5:C55),"000"))</f>
        <v/>
      </c>
      <c r="C55" s="12" t="n"/>
      <c r="D55" s="12" t="n"/>
      <c r="E55" s="12" t="n"/>
      <c r="F55" s="12" t="n"/>
      <c r="G55" s="12" t="n"/>
      <c r="H55" s="12" t="n"/>
      <c r="I55" s="12" t="n"/>
      <c r="J55" s="12">
        <f>IF(C55="","",COUNTIF(I55:O55,"T")+COUNTIF(I55:O55,"N"))</f>
        <v/>
      </c>
      <c r="K55" s="12" t="n"/>
      <c r="L55" s="12" t="n"/>
      <c r="M55" s="12" t="n"/>
      <c r="N55" s="14" t="n"/>
      <c r="O55" s="12" t="n"/>
    </row>
    <row r="56" ht="22" customHeight="1">
      <c r="B56" s="18">
        <f>IF(C56="","PH-"&amp;TEXT(COUNTA($C$5:C56),"000"))</f>
        <v/>
      </c>
      <c r="C56" s="15" t="n"/>
      <c r="D56" s="15" t="n"/>
      <c r="E56" s="15" t="n"/>
      <c r="F56" s="15" t="n"/>
      <c r="G56" s="15" t="n"/>
      <c r="H56" s="15" t="n"/>
      <c r="I56" s="15" t="n"/>
      <c r="J56" s="15">
        <f>IF(C56="","",COUNTIF(I56:O56,"T")+COUNTIF(I56:O56,"N"))</f>
        <v/>
      </c>
      <c r="K56" s="15" t="n"/>
      <c r="L56" s="15" t="n"/>
      <c r="M56" s="15" t="n"/>
      <c r="N56" s="17" t="n"/>
      <c r="O56" s="15" t="n"/>
    </row>
    <row r="57" ht="22" customHeight="1">
      <c r="B57" s="19">
        <f>IF(C57="","PH-"&amp;TEXT(COUNTA($C$5:C57),"000"))</f>
        <v/>
      </c>
      <c r="C57" s="12" t="n"/>
      <c r="D57" s="12" t="n"/>
      <c r="E57" s="12" t="n"/>
      <c r="F57" s="12" t="n"/>
      <c r="G57" s="12" t="n"/>
      <c r="H57" s="12" t="n"/>
      <c r="I57" s="12" t="n"/>
      <c r="J57" s="12">
        <f>IF(C57="","",COUNTIF(I57:O57,"T")+COUNTIF(I57:O57,"N"))</f>
        <v/>
      </c>
      <c r="K57" s="12" t="n"/>
      <c r="L57" s="12" t="n"/>
      <c r="M57" s="12" t="n"/>
      <c r="N57" s="14" t="n"/>
      <c r="O57" s="12" t="n"/>
    </row>
    <row r="58" ht="22" customHeight="1">
      <c r="B58" s="18">
        <f>IF(C58="","PH-"&amp;TEXT(COUNTA($C$5:C58),"000"))</f>
        <v/>
      </c>
      <c r="C58" s="15" t="n"/>
      <c r="D58" s="15" t="n"/>
      <c r="E58" s="15" t="n"/>
      <c r="F58" s="15" t="n"/>
      <c r="G58" s="15" t="n"/>
      <c r="H58" s="15" t="n"/>
      <c r="I58" s="15" t="n"/>
      <c r="J58" s="15">
        <f>IF(C58="","",COUNTIF(I58:O58,"T")+COUNTIF(I58:O58,"N"))</f>
        <v/>
      </c>
      <c r="K58" s="15" t="n"/>
      <c r="L58" s="15" t="n"/>
      <c r="M58" s="15" t="n"/>
      <c r="N58" s="17" t="n"/>
      <c r="O58" s="15" t="n"/>
    </row>
    <row r="59" ht="22" customHeight="1">
      <c r="B59" s="19">
        <f>IF(C59="","PH-"&amp;TEXT(COUNTA($C$5:C59),"000"))</f>
        <v/>
      </c>
      <c r="C59" s="12" t="n"/>
      <c r="D59" s="12" t="n"/>
      <c r="E59" s="12" t="n"/>
      <c r="F59" s="12" t="n"/>
      <c r="G59" s="12" t="n"/>
      <c r="H59" s="12" t="n"/>
      <c r="I59" s="12" t="n"/>
      <c r="J59" s="12">
        <f>IF(C59="","",COUNTIF(I59:O59,"T")+COUNTIF(I59:O59,"N"))</f>
        <v/>
      </c>
      <c r="K59" s="12" t="n"/>
      <c r="L59" s="12" t="n"/>
      <c r="M59" s="12" t="n"/>
      <c r="N59" s="14" t="n"/>
      <c r="O59" s="12" t="n"/>
    </row>
    <row r="60" ht="22" customHeight="1">
      <c r="B60" s="18">
        <f>IF(C60="","PH-"&amp;TEXT(COUNTA($C$5:C60),"000"))</f>
        <v/>
      </c>
      <c r="C60" s="15" t="n"/>
      <c r="D60" s="15" t="n"/>
      <c r="E60" s="15" t="n"/>
      <c r="F60" s="15" t="n"/>
      <c r="G60" s="15" t="n"/>
      <c r="H60" s="15" t="n"/>
      <c r="I60" s="15" t="n"/>
      <c r="J60" s="15">
        <f>IF(C60="","",COUNTIF(I60:O60,"T")+COUNTIF(I60:O60,"N"))</f>
        <v/>
      </c>
      <c r="K60" s="15" t="n"/>
      <c r="L60" s="15" t="n"/>
      <c r="M60" s="15" t="n"/>
      <c r="N60" s="17" t="n"/>
      <c r="O60" s="15" t="n"/>
    </row>
    <row r="61" ht="22" customHeight="1">
      <c r="B61" s="19">
        <f>IF(C61="","PH-"&amp;TEXT(COUNTA($C$5:C61),"000"))</f>
        <v/>
      </c>
      <c r="C61" s="12" t="n"/>
      <c r="D61" s="12" t="n"/>
      <c r="E61" s="12" t="n"/>
      <c r="F61" s="12" t="n"/>
      <c r="G61" s="12" t="n"/>
      <c r="H61" s="12" t="n"/>
      <c r="I61" s="12" t="n"/>
      <c r="J61" s="12">
        <f>IF(C61="","",COUNTIF(I61:O61,"T")+COUNTIF(I61:O61,"N"))</f>
        <v/>
      </c>
      <c r="K61" s="12" t="n"/>
      <c r="L61" s="12" t="n"/>
      <c r="M61" s="12" t="n"/>
      <c r="N61" s="14" t="n"/>
      <c r="O61" s="12" t="n"/>
    </row>
    <row r="62" ht="22" customHeight="1">
      <c r="B62" s="18">
        <f>IF(C62="","PH-"&amp;TEXT(COUNTA($C$5:C62),"000"))</f>
        <v/>
      </c>
      <c r="C62" s="15" t="n"/>
      <c r="D62" s="15" t="n"/>
      <c r="E62" s="15" t="n"/>
      <c r="F62" s="15" t="n"/>
      <c r="G62" s="15" t="n"/>
      <c r="H62" s="15" t="n"/>
      <c r="I62" s="15" t="n"/>
      <c r="J62" s="15">
        <f>IF(C62="","",COUNTIF(I62:O62,"T")+COUNTIF(I62:O62,"N"))</f>
        <v/>
      </c>
      <c r="K62" s="15" t="n"/>
      <c r="L62" s="15" t="n"/>
      <c r="M62" s="15" t="n"/>
      <c r="N62" s="17" t="n"/>
      <c r="O62" s="15" t="n"/>
    </row>
    <row r="63" ht="22" customHeight="1">
      <c r="B63" s="19">
        <f>IF(C63="","PH-"&amp;TEXT(COUNTA($C$5:C63),"000"))</f>
        <v/>
      </c>
      <c r="C63" s="12" t="n"/>
      <c r="D63" s="12" t="n"/>
      <c r="E63" s="12" t="n"/>
      <c r="F63" s="12" t="n"/>
      <c r="G63" s="12" t="n"/>
      <c r="H63" s="12" t="n"/>
      <c r="I63" s="12" t="n"/>
      <c r="J63" s="12">
        <f>IF(C63="","",COUNTIF(I63:O63,"T")+COUNTIF(I63:O63,"N"))</f>
        <v/>
      </c>
      <c r="K63" s="12" t="n"/>
      <c r="L63" s="12" t="n"/>
      <c r="M63" s="12" t="n"/>
      <c r="N63" s="14" t="n"/>
      <c r="O63" s="12" t="n"/>
    </row>
    <row r="64" ht="22" customHeight="1">
      <c r="B64" s="18">
        <f>IF(C64="","PH-"&amp;TEXT(COUNTA($C$5:C64),"000"))</f>
        <v/>
      </c>
      <c r="C64" s="15" t="n"/>
      <c r="D64" s="15" t="n"/>
      <c r="E64" s="15" t="n"/>
      <c r="F64" s="15" t="n"/>
      <c r="G64" s="15" t="n"/>
      <c r="H64" s="15" t="n"/>
      <c r="I64" s="15" t="n"/>
      <c r="J64" s="15">
        <f>IF(C64="","",COUNTIF(I64:O64,"T")+COUNTIF(I64:O64,"N"))</f>
        <v/>
      </c>
      <c r="K64" s="15" t="n"/>
      <c r="L64" s="15" t="n"/>
      <c r="M64" s="15" t="n"/>
      <c r="N64" s="17" t="n"/>
      <c r="O64" s="15" t="n"/>
    </row>
    <row r="65" ht="22" customHeight="1">
      <c r="B65" s="19">
        <f>IF(C65="","PH-"&amp;TEXT(COUNTA($C$5:C65),"000"))</f>
        <v/>
      </c>
      <c r="C65" s="12" t="n"/>
      <c r="D65" s="12" t="n"/>
      <c r="E65" s="12" t="n"/>
      <c r="F65" s="12" t="n"/>
      <c r="G65" s="12" t="n"/>
      <c r="H65" s="12" t="n"/>
      <c r="I65" s="12" t="n"/>
      <c r="J65" s="12">
        <f>IF(C65="","",COUNTIF(I65:O65,"T")+COUNTIF(I65:O65,"N"))</f>
        <v/>
      </c>
      <c r="K65" s="12" t="n"/>
      <c r="L65" s="12" t="n"/>
      <c r="M65" s="12" t="n"/>
      <c r="N65" s="14" t="n"/>
      <c r="O65" s="12" t="n"/>
    </row>
    <row r="66" ht="22" customHeight="1">
      <c r="B66" s="18">
        <f>IF(C66="","PH-"&amp;TEXT(COUNTA($C$5:C66),"000"))</f>
        <v/>
      </c>
      <c r="C66" s="15" t="n"/>
      <c r="D66" s="15" t="n"/>
      <c r="E66" s="15" t="n"/>
      <c r="F66" s="15" t="n"/>
      <c r="G66" s="15" t="n"/>
      <c r="H66" s="15" t="n"/>
      <c r="I66" s="15" t="n"/>
      <c r="J66" s="15">
        <f>IF(C66="","",COUNTIF(I66:O66,"T")+COUNTIF(I66:O66,"N"))</f>
        <v/>
      </c>
      <c r="K66" s="15" t="n"/>
      <c r="L66" s="15" t="n"/>
      <c r="M66" s="15" t="n"/>
      <c r="N66" s="17" t="n"/>
      <c r="O66" s="15" t="n"/>
    </row>
    <row r="67" ht="22" customHeight="1">
      <c r="B67" s="19">
        <f>IF(C67="","PH-"&amp;TEXT(COUNTA($C$5:C67),"000"))</f>
        <v/>
      </c>
      <c r="C67" s="12" t="n"/>
      <c r="D67" s="12" t="n"/>
      <c r="E67" s="12" t="n"/>
      <c r="F67" s="12" t="n"/>
      <c r="G67" s="12" t="n"/>
      <c r="H67" s="12" t="n"/>
      <c r="I67" s="12" t="n"/>
      <c r="J67" s="12">
        <f>IF(C67="","",COUNTIF(I67:O67,"T")+COUNTIF(I67:O67,"N"))</f>
        <v/>
      </c>
      <c r="K67" s="12" t="n"/>
      <c r="L67" s="12" t="n"/>
      <c r="M67" s="12" t="n"/>
      <c r="N67" s="14" t="n"/>
      <c r="O67" s="12" t="n"/>
    </row>
    <row r="68" ht="22" customHeight="1">
      <c r="B68" s="18">
        <f>IF(C68="","PH-"&amp;TEXT(COUNTA($C$5:C68),"000"))</f>
        <v/>
      </c>
      <c r="C68" s="15" t="n"/>
      <c r="D68" s="15" t="n"/>
      <c r="E68" s="15" t="n"/>
      <c r="F68" s="15" t="n"/>
      <c r="G68" s="15" t="n"/>
      <c r="H68" s="15" t="n"/>
      <c r="I68" s="15" t="n"/>
      <c r="J68" s="15">
        <f>IF(C68="","",COUNTIF(I68:O68,"T")+COUNTIF(I68:O68,"N"))</f>
        <v/>
      </c>
      <c r="K68" s="15" t="n"/>
      <c r="L68" s="15" t="n"/>
      <c r="M68" s="15" t="n"/>
      <c r="N68" s="17" t="n"/>
      <c r="O68" s="15" t="n"/>
    </row>
    <row r="69" ht="22" customHeight="1">
      <c r="B69" s="19">
        <f>IF(C69="","PH-"&amp;TEXT(COUNTA($C$5:C69),"000"))</f>
        <v/>
      </c>
      <c r="C69" s="12" t="n"/>
      <c r="D69" s="12" t="n"/>
      <c r="E69" s="12" t="n"/>
      <c r="F69" s="12" t="n"/>
      <c r="G69" s="12" t="n"/>
      <c r="H69" s="12" t="n"/>
      <c r="I69" s="12" t="n"/>
      <c r="J69" s="12">
        <f>IF(C69="","",COUNTIF(I69:O69,"T")+COUNTIF(I69:O69,"N"))</f>
        <v/>
      </c>
      <c r="K69" s="12" t="n"/>
      <c r="L69" s="12" t="n"/>
      <c r="M69" s="12" t="n"/>
      <c r="N69" s="14" t="n"/>
      <c r="O69" s="12" t="n"/>
    </row>
    <row r="70" ht="22" customHeight="1">
      <c r="B70" s="18">
        <f>IF(C70="","PH-"&amp;TEXT(COUNTA($C$5:C70),"000"))</f>
        <v/>
      </c>
      <c r="C70" s="15" t="n"/>
      <c r="D70" s="15" t="n"/>
      <c r="E70" s="15" t="n"/>
      <c r="F70" s="15" t="n"/>
      <c r="G70" s="15" t="n"/>
      <c r="H70" s="15" t="n"/>
      <c r="I70" s="15" t="n"/>
      <c r="J70" s="15">
        <f>IF(C70="","",COUNTIF(I70:O70,"T")+COUNTIF(I70:O70,"N"))</f>
        <v/>
      </c>
      <c r="K70" s="15" t="n"/>
      <c r="L70" s="15" t="n"/>
      <c r="M70" s="15" t="n"/>
      <c r="N70" s="17" t="n"/>
      <c r="O70" s="15" t="n"/>
    </row>
    <row r="71" ht="22" customHeight="1">
      <c r="B71" s="19">
        <f>IF(C71="","PH-"&amp;TEXT(COUNTA($C$5:C71),"000"))</f>
        <v/>
      </c>
      <c r="C71" s="12" t="n"/>
      <c r="D71" s="12" t="n"/>
      <c r="E71" s="12" t="n"/>
      <c r="F71" s="12" t="n"/>
      <c r="G71" s="12" t="n"/>
      <c r="H71" s="12" t="n"/>
      <c r="I71" s="12" t="n"/>
      <c r="J71" s="12">
        <f>IF(C71="","",COUNTIF(I71:O71,"T")+COUNTIF(I71:O71,"N"))</f>
        <v/>
      </c>
      <c r="K71" s="12" t="n"/>
      <c r="L71" s="12" t="n"/>
      <c r="M71" s="12" t="n"/>
      <c r="N71" s="14" t="n"/>
      <c r="O71" s="12" t="n"/>
    </row>
    <row r="72" ht="22" customHeight="1">
      <c r="B72" s="18">
        <f>IF(C72="","PH-"&amp;TEXT(COUNTA($C$5:C72),"000"))</f>
        <v/>
      </c>
      <c r="C72" s="15" t="n"/>
      <c r="D72" s="15" t="n"/>
      <c r="E72" s="15" t="n"/>
      <c r="F72" s="15" t="n"/>
      <c r="G72" s="15" t="n"/>
      <c r="H72" s="15" t="n"/>
      <c r="I72" s="15" t="n"/>
      <c r="J72" s="15">
        <f>IF(C72="","",COUNTIF(I72:O72,"T")+COUNTIF(I72:O72,"N"))</f>
        <v/>
      </c>
      <c r="K72" s="15" t="n"/>
      <c r="L72" s="15" t="n"/>
      <c r="M72" s="15" t="n"/>
      <c r="N72" s="17" t="n"/>
      <c r="O72" s="15" t="n"/>
    </row>
    <row r="73" ht="22" customHeight="1">
      <c r="B73" s="19">
        <f>IF(C73="","PH-"&amp;TEXT(COUNTA($C$5:C73),"000"))</f>
        <v/>
      </c>
      <c r="C73" s="12" t="n"/>
      <c r="D73" s="12" t="n"/>
      <c r="E73" s="12" t="n"/>
      <c r="F73" s="12" t="n"/>
      <c r="G73" s="12" t="n"/>
      <c r="H73" s="12" t="n"/>
      <c r="I73" s="12" t="n"/>
      <c r="J73" s="12">
        <f>IF(C73="","",COUNTIF(I73:O73,"T")+COUNTIF(I73:O73,"N"))</f>
        <v/>
      </c>
      <c r="K73" s="12" t="n"/>
      <c r="L73" s="12" t="n"/>
      <c r="M73" s="12" t="n"/>
      <c r="N73" s="14" t="n"/>
      <c r="O73" s="12" t="n"/>
    </row>
    <row r="74" ht="22" customHeight="1">
      <c r="B74" s="18">
        <f>IF(C74="","PH-"&amp;TEXT(COUNTA($C$5:C74),"000"))</f>
        <v/>
      </c>
      <c r="C74" s="15" t="n"/>
      <c r="D74" s="15" t="n"/>
      <c r="E74" s="15" t="n"/>
      <c r="F74" s="15" t="n"/>
      <c r="G74" s="15" t="n"/>
      <c r="H74" s="15" t="n"/>
      <c r="I74" s="15" t="n"/>
      <c r="J74" s="15">
        <f>IF(C74="","",COUNTIF(I74:O74,"T")+COUNTIF(I74:O74,"N"))</f>
        <v/>
      </c>
      <c r="K74" s="15" t="n"/>
      <c r="L74" s="15" t="n"/>
      <c r="M74" s="15" t="n"/>
      <c r="N74" s="17" t="n"/>
      <c r="O74" s="15" t="n"/>
    </row>
    <row r="75" ht="22" customHeight="1">
      <c r="B75" s="19">
        <f>IF(C75="","PH-"&amp;TEXT(COUNTA($C$5:C75),"000"))</f>
        <v/>
      </c>
      <c r="C75" s="12" t="n"/>
      <c r="D75" s="12" t="n"/>
      <c r="E75" s="12" t="n"/>
      <c r="F75" s="12" t="n"/>
      <c r="G75" s="12" t="n"/>
      <c r="H75" s="12" t="n"/>
      <c r="I75" s="12" t="n"/>
      <c r="J75" s="12">
        <f>IF(C75="","",COUNTIF(I75:O75,"T")+COUNTIF(I75:O75,"N"))</f>
        <v/>
      </c>
      <c r="K75" s="12" t="n"/>
      <c r="L75" s="12" t="n"/>
      <c r="M75" s="12" t="n"/>
      <c r="N75" s="14" t="n"/>
      <c r="O75" s="12" t="n"/>
    </row>
    <row r="76" ht="22" customHeight="1">
      <c r="B76" s="18">
        <f>IF(C76="","PH-"&amp;TEXT(COUNTA($C$5:C76),"000"))</f>
        <v/>
      </c>
      <c r="C76" s="15" t="n"/>
      <c r="D76" s="15" t="n"/>
      <c r="E76" s="15" t="n"/>
      <c r="F76" s="15" t="n"/>
      <c r="G76" s="15" t="n"/>
      <c r="H76" s="15" t="n"/>
      <c r="I76" s="15" t="n"/>
      <c r="J76" s="15">
        <f>IF(C76="","",COUNTIF(I76:O76,"T")+COUNTIF(I76:O76,"N"))</f>
        <v/>
      </c>
      <c r="K76" s="15" t="n"/>
      <c r="L76" s="15" t="n"/>
      <c r="M76" s="15" t="n"/>
      <c r="N76" s="17" t="n"/>
      <c r="O76" s="15" t="n"/>
    </row>
    <row r="77" ht="22" customHeight="1">
      <c r="B77" s="19">
        <f>IF(C77="","PH-"&amp;TEXT(COUNTA($C$5:C77),"000"))</f>
        <v/>
      </c>
      <c r="C77" s="12" t="n"/>
      <c r="D77" s="12" t="n"/>
      <c r="E77" s="12" t="n"/>
      <c r="F77" s="12" t="n"/>
      <c r="G77" s="12" t="n"/>
      <c r="H77" s="12" t="n"/>
      <c r="I77" s="12" t="n"/>
      <c r="J77" s="12">
        <f>IF(C77="","",COUNTIF(I77:O77,"T")+COUNTIF(I77:O77,"N"))</f>
        <v/>
      </c>
      <c r="K77" s="12" t="n"/>
      <c r="L77" s="12" t="n"/>
      <c r="M77" s="12" t="n"/>
      <c r="N77" s="14" t="n"/>
      <c r="O77" s="12" t="n"/>
    </row>
    <row r="78" ht="22" customHeight="1">
      <c r="B78" s="18">
        <f>IF(C78="","PH-"&amp;TEXT(COUNTA($C$5:C78),"000"))</f>
        <v/>
      </c>
      <c r="C78" s="15" t="n"/>
      <c r="D78" s="15" t="n"/>
      <c r="E78" s="15" t="n"/>
      <c r="F78" s="15" t="n"/>
      <c r="G78" s="15" t="n"/>
      <c r="H78" s="15" t="n"/>
      <c r="I78" s="15" t="n"/>
      <c r="J78" s="15">
        <f>IF(C78="","",COUNTIF(I78:O78,"T")+COUNTIF(I78:O78,"N"))</f>
        <v/>
      </c>
      <c r="K78" s="15" t="n"/>
      <c r="L78" s="15" t="n"/>
      <c r="M78" s="15" t="n"/>
      <c r="N78" s="17" t="n"/>
      <c r="O78" s="15" t="n"/>
    </row>
    <row r="79" ht="22" customHeight="1">
      <c r="B79" s="19">
        <f>IF(C79="","PH-"&amp;TEXT(COUNTA($C$5:C79),"000"))</f>
        <v/>
      </c>
      <c r="C79" s="12" t="n"/>
      <c r="D79" s="12" t="n"/>
      <c r="E79" s="12" t="n"/>
      <c r="F79" s="12" t="n"/>
      <c r="G79" s="12" t="n"/>
      <c r="H79" s="12" t="n"/>
      <c r="I79" s="12" t="n"/>
      <c r="J79" s="12">
        <f>IF(C79="","",COUNTIF(I79:O79,"T")+COUNTIF(I79:O79,"N"))</f>
        <v/>
      </c>
      <c r="K79" s="12" t="n"/>
      <c r="L79" s="12" t="n"/>
      <c r="M79" s="12" t="n"/>
      <c r="N79" s="14" t="n"/>
      <c r="O79" s="12" t="n"/>
    </row>
    <row r="80" ht="22" customHeight="1">
      <c r="B80" s="18">
        <f>IF(C80="","PH-"&amp;TEXT(COUNTA($C$5:C80),"000"))</f>
        <v/>
      </c>
      <c r="C80" s="15" t="n"/>
      <c r="D80" s="15" t="n"/>
      <c r="E80" s="15" t="n"/>
      <c r="F80" s="15" t="n"/>
      <c r="G80" s="15" t="n"/>
      <c r="H80" s="15" t="n"/>
      <c r="I80" s="15" t="n"/>
      <c r="J80" s="15">
        <f>IF(C80="","",COUNTIF(I80:O80,"T")+COUNTIF(I80:O80,"N"))</f>
        <v/>
      </c>
      <c r="K80" s="15" t="n"/>
      <c r="L80" s="15" t="n"/>
      <c r="M80" s="15" t="n"/>
      <c r="N80" s="17" t="n"/>
      <c r="O80" s="15" t="n"/>
    </row>
    <row r="81" ht="22" customHeight="1">
      <c r="B81" s="19">
        <f>IF(C81="","PH-"&amp;TEXT(COUNTA($C$5:C81),"000"))</f>
        <v/>
      </c>
      <c r="C81" s="12" t="n"/>
      <c r="D81" s="12" t="n"/>
      <c r="E81" s="12" t="n"/>
      <c r="F81" s="12" t="n"/>
      <c r="G81" s="12" t="n"/>
      <c r="H81" s="12" t="n"/>
      <c r="I81" s="12" t="n"/>
      <c r="J81" s="12">
        <f>IF(C81="","",COUNTIF(I81:O81,"T")+COUNTIF(I81:O81,"N"))</f>
        <v/>
      </c>
      <c r="K81" s="12" t="n"/>
      <c r="L81" s="12" t="n"/>
      <c r="M81" s="12" t="n"/>
      <c r="N81" s="14" t="n"/>
      <c r="O81" s="12" t="n"/>
    </row>
    <row r="82" ht="22" customHeight="1">
      <c r="B82" s="18">
        <f>IF(C82="","PH-"&amp;TEXT(COUNTA($C$5:C82),"000"))</f>
        <v/>
      </c>
      <c r="C82" s="15" t="n"/>
      <c r="D82" s="15" t="n"/>
      <c r="E82" s="15" t="n"/>
      <c r="F82" s="15" t="n"/>
      <c r="G82" s="15" t="n"/>
      <c r="H82" s="15" t="n"/>
      <c r="I82" s="15" t="n"/>
      <c r="J82" s="15">
        <f>IF(C82="","",COUNTIF(I82:O82,"T")+COUNTIF(I82:O82,"N"))</f>
        <v/>
      </c>
      <c r="K82" s="15" t="n"/>
      <c r="L82" s="15" t="n"/>
      <c r="M82" s="15" t="n"/>
      <c r="N82" s="17" t="n"/>
      <c r="O82" s="15" t="n"/>
    </row>
    <row r="83" ht="22" customHeight="1">
      <c r="B83" s="19">
        <f>IF(C83="","PH-"&amp;TEXT(COUNTA($C$5:C83),"000"))</f>
        <v/>
      </c>
      <c r="C83" s="12" t="n"/>
      <c r="D83" s="12" t="n"/>
      <c r="E83" s="12" t="n"/>
      <c r="F83" s="12" t="n"/>
      <c r="G83" s="12" t="n"/>
      <c r="H83" s="12" t="n"/>
      <c r="I83" s="12" t="n"/>
      <c r="J83" s="12">
        <f>IF(C83="","",COUNTIF(I83:O83,"T")+COUNTIF(I83:O83,"N"))</f>
        <v/>
      </c>
      <c r="K83" s="12" t="n"/>
      <c r="L83" s="12" t="n"/>
      <c r="M83" s="12" t="n"/>
      <c r="N83" s="14" t="n"/>
      <c r="O83" s="12" t="n"/>
    </row>
    <row r="84" ht="22" customHeight="1">
      <c r="B84" s="18">
        <f>IF(C84="","PH-"&amp;TEXT(COUNTA($C$5:C84),"000"))</f>
        <v/>
      </c>
      <c r="C84" s="15" t="n"/>
      <c r="D84" s="15" t="n"/>
      <c r="E84" s="15" t="n"/>
      <c r="F84" s="15" t="n"/>
      <c r="G84" s="15" t="n"/>
      <c r="H84" s="15" t="n"/>
      <c r="I84" s="15" t="n"/>
      <c r="J84" s="15">
        <f>IF(C84="","",COUNTIF(I84:O84,"T")+COUNTIF(I84:O84,"N"))</f>
        <v/>
      </c>
      <c r="K84" s="15" t="n"/>
      <c r="L84" s="15" t="n"/>
      <c r="M84" s="15" t="n"/>
      <c r="N84" s="17" t="n"/>
      <c r="O84" s="15" t="n"/>
    </row>
    <row r="85" ht="22" customHeight="1">
      <c r="B85" s="19">
        <f>IF(C85="","PH-"&amp;TEXT(COUNTA($C$5:C85),"000"))</f>
        <v/>
      </c>
      <c r="C85" s="12" t="n"/>
      <c r="D85" s="12" t="n"/>
      <c r="E85" s="12" t="n"/>
      <c r="F85" s="12" t="n"/>
      <c r="G85" s="12" t="n"/>
      <c r="H85" s="12" t="n"/>
      <c r="I85" s="12" t="n"/>
      <c r="J85" s="12">
        <f>IF(C85="","",COUNTIF(I85:O85,"T")+COUNTIF(I85:O85,"N"))</f>
        <v/>
      </c>
      <c r="K85" s="12" t="n"/>
      <c r="L85" s="12" t="n"/>
      <c r="M85" s="12" t="n"/>
      <c r="N85" s="14" t="n"/>
      <c r="O85" s="12" t="n"/>
    </row>
    <row r="86" ht="22" customHeight="1">
      <c r="B86" s="18">
        <f>IF(C86="","PH-"&amp;TEXT(COUNTA($C$5:C86),"000"))</f>
        <v/>
      </c>
      <c r="C86" s="15" t="n"/>
      <c r="D86" s="15" t="n"/>
      <c r="E86" s="15" t="n"/>
      <c r="F86" s="15" t="n"/>
      <c r="G86" s="15" t="n"/>
      <c r="H86" s="15" t="n"/>
      <c r="I86" s="15" t="n"/>
      <c r="J86" s="15">
        <f>IF(C86="","",COUNTIF(I86:O86,"T")+COUNTIF(I86:O86,"N"))</f>
        <v/>
      </c>
      <c r="K86" s="15" t="n"/>
      <c r="L86" s="15" t="n"/>
      <c r="M86" s="15" t="n"/>
      <c r="N86" s="17" t="n"/>
      <c r="O86" s="15" t="n"/>
    </row>
    <row r="87" ht="22" customHeight="1">
      <c r="B87" s="19">
        <f>IF(C87="","PH-"&amp;TEXT(COUNTA($C$5:C87),"000"))</f>
        <v/>
      </c>
      <c r="C87" s="12" t="n"/>
      <c r="D87" s="12" t="n"/>
      <c r="E87" s="12" t="n"/>
      <c r="F87" s="12" t="n"/>
      <c r="G87" s="12" t="n"/>
      <c r="H87" s="12" t="n"/>
      <c r="I87" s="12" t="n"/>
      <c r="J87" s="12">
        <f>IF(C87="","",COUNTIF(I87:O87,"T")+COUNTIF(I87:O87,"N"))</f>
        <v/>
      </c>
      <c r="K87" s="12" t="n"/>
      <c r="L87" s="12" t="n"/>
      <c r="M87" s="12" t="n"/>
      <c r="N87" s="14" t="n"/>
      <c r="O87" s="12" t="n"/>
    </row>
    <row r="88" ht="22" customHeight="1">
      <c r="B88" s="18">
        <f>IF(C88="","PH-"&amp;TEXT(COUNTA($C$5:C88),"000"))</f>
        <v/>
      </c>
      <c r="C88" s="15" t="n"/>
      <c r="D88" s="15" t="n"/>
      <c r="E88" s="15" t="n"/>
      <c r="F88" s="15" t="n"/>
      <c r="G88" s="15" t="n"/>
      <c r="H88" s="15" t="n"/>
      <c r="I88" s="15" t="n"/>
      <c r="J88" s="15">
        <f>IF(C88="","",COUNTIF(I88:O88,"T")+COUNTIF(I88:O88,"N"))</f>
        <v/>
      </c>
      <c r="K88" s="15" t="n"/>
      <c r="L88" s="15" t="n"/>
      <c r="M88" s="15" t="n"/>
      <c r="N88" s="17" t="n"/>
      <c r="O88" s="15" t="n"/>
    </row>
    <row r="89" ht="22" customHeight="1">
      <c r="B89" s="19">
        <f>IF(C89="","PH-"&amp;TEXT(COUNTA($C$5:C89),"000"))</f>
        <v/>
      </c>
      <c r="C89" s="12" t="n"/>
      <c r="D89" s="12" t="n"/>
      <c r="E89" s="12" t="n"/>
      <c r="F89" s="12" t="n"/>
      <c r="G89" s="12" t="n"/>
      <c r="H89" s="12" t="n"/>
      <c r="I89" s="12" t="n"/>
      <c r="J89" s="12">
        <f>IF(C89="","",COUNTIF(I89:O89,"T")+COUNTIF(I89:O89,"N"))</f>
        <v/>
      </c>
      <c r="K89" s="12" t="n"/>
      <c r="L89" s="12" t="n"/>
      <c r="M89" s="12" t="n"/>
      <c r="N89" s="14" t="n"/>
      <c r="O89" s="12" t="n"/>
    </row>
    <row r="90" ht="22" customHeight="1">
      <c r="B90" s="18">
        <f>IF(C90="","PH-"&amp;TEXT(COUNTA($C$5:C90),"000"))</f>
        <v/>
      </c>
      <c r="C90" s="15" t="n"/>
      <c r="D90" s="15" t="n"/>
      <c r="E90" s="15" t="n"/>
      <c r="F90" s="15" t="n"/>
      <c r="G90" s="15" t="n"/>
      <c r="H90" s="15" t="n"/>
      <c r="I90" s="15" t="n"/>
      <c r="J90" s="15">
        <f>IF(C90="","",COUNTIF(I90:O90,"T")+COUNTIF(I90:O90,"N"))</f>
        <v/>
      </c>
      <c r="K90" s="15" t="n"/>
      <c r="L90" s="15" t="n"/>
      <c r="M90" s="15" t="n"/>
      <c r="N90" s="17" t="n"/>
      <c r="O90" s="15" t="n"/>
    </row>
    <row r="91" ht="22" customHeight="1">
      <c r="B91" s="19">
        <f>IF(C91="","PH-"&amp;TEXT(COUNTA($C$5:C91),"000"))</f>
        <v/>
      </c>
      <c r="C91" s="12" t="n"/>
      <c r="D91" s="12" t="n"/>
      <c r="E91" s="12" t="n"/>
      <c r="F91" s="12" t="n"/>
      <c r="G91" s="12" t="n"/>
      <c r="H91" s="12" t="n"/>
      <c r="I91" s="12" t="n"/>
      <c r="J91" s="12">
        <f>IF(C91="","",COUNTIF(I91:O91,"T")+COUNTIF(I91:O91,"N"))</f>
        <v/>
      </c>
      <c r="K91" s="12" t="n"/>
      <c r="L91" s="12" t="n"/>
      <c r="M91" s="12" t="n"/>
      <c r="N91" s="14" t="n"/>
      <c r="O91" s="12" t="n"/>
    </row>
    <row r="92" ht="22" customHeight="1">
      <c r="B92" s="18">
        <f>IF(C92="","PH-"&amp;TEXT(COUNTA($C$5:C92),"000"))</f>
        <v/>
      </c>
      <c r="C92" s="15" t="n"/>
      <c r="D92" s="15" t="n"/>
      <c r="E92" s="15" t="n"/>
      <c r="F92" s="15" t="n"/>
      <c r="G92" s="15" t="n"/>
      <c r="H92" s="15" t="n"/>
      <c r="I92" s="15" t="n"/>
      <c r="J92" s="15">
        <f>IF(C92="","",COUNTIF(I92:O92,"T")+COUNTIF(I92:O92,"N"))</f>
        <v/>
      </c>
      <c r="K92" s="15" t="n"/>
      <c r="L92" s="15" t="n"/>
      <c r="M92" s="15" t="n"/>
      <c r="N92" s="17" t="n"/>
      <c r="O92" s="15" t="n"/>
    </row>
    <row r="93" ht="22" customHeight="1">
      <c r="B93" s="19">
        <f>IF(C93="","PH-"&amp;TEXT(COUNTA($C$5:C93),"000"))</f>
        <v/>
      </c>
      <c r="C93" s="12" t="n"/>
      <c r="D93" s="12" t="n"/>
      <c r="E93" s="12" t="n"/>
      <c r="F93" s="12" t="n"/>
      <c r="G93" s="12" t="n"/>
      <c r="H93" s="12" t="n"/>
      <c r="I93" s="12" t="n"/>
      <c r="J93" s="12">
        <f>IF(C93="","",COUNTIF(I93:O93,"T")+COUNTIF(I93:O93,"N"))</f>
        <v/>
      </c>
      <c r="K93" s="12" t="n"/>
      <c r="L93" s="12" t="n"/>
      <c r="M93" s="12" t="n"/>
      <c r="N93" s="14" t="n"/>
      <c r="O93" s="12" t="n"/>
    </row>
    <row r="94" ht="22" customHeight="1">
      <c r="B94" s="18">
        <f>IF(C94="","PH-"&amp;TEXT(COUNTA($C$5:C94),"000"))</f>
        <v/>
      </c>
      <c r="C94" s="15" t="n"/>
      <c r="D94" s="15" t="n"/>
      <c r="E94" s="15" t="n"/>
      <c r="F94" s="15" t="n"/>
      <c r="G94" s="15" t="n"/>
      <c r="H94" s="15" t="n"/>
      <c r="I94" s="15" t="n"/>
      <c r="J94" s="15">
        <f>IF(C94="","",COUNTIF(I94:O94,"T")+COUNTIF(I94:O94,"N"))</f>
        <v/>
      </c>
      <c r="K94" s="15" t="n"/>
      <c r="L94" s="15" t="n"/>
      <c r="M94" s="15" t="n"/>
      <c r="N94" s="17" t="n"/>
      <c r="O94" s="15" t="n"/>
    </row>
    <row r="95" ht="22" customHeight="1">
      <c r="B95" s="19">
        <f>IF(C95="","PH-"&amp;TEXT(COUNTA($C$5:C95),"000"))</f>
        <v/>
      </c>
      <c r="C95" s="12" t="n"/>
      <c r="D95" s="12" t="n"/>
      <c r="E95" s="12" t="n"/>
      <c r="F95" s="12" t="n"/>
      <c r="G95" s="12" t="n"/>
      <c r="H95" s="12" t="n"/>
      <c r="I95" s="12" t="n"/>
      <c r="J95" s="12">
        <f>IF(C95="","",COUNTIF(I95:O95,"T")+COUNTIF(I95:O95,"N"))</f>
        <v/>
      </c>
      <c r="K95" s="12" t="n"/>
      <c r="L95" s="12" t="n"/>
      <c r="M95" s="12" t="n"/>
      <c r="N95" s="14" t="n"/>
      <c r="O95" s="12" t="n"/>
    </row>
    <row r="96" ht="22" customHeight="1">
      <c r="B96" s="18">
        <f>IF(C96="","PH-"&amp;TEXT(COUNTA($C$5:C96),"000"))</f>
        <v/>
      </c>
      <c r="C96" s="15" t="n"/>
      <c r="D96" s="15" t="n"/>
      <c r="E96" s="15" t="n"/>
      <c r="F96" s="15" t="n"/>
      <c r="G96" s="15" t="n"/>
      <c r="H96" s="15" t="n"/>
      <c r="I96" s="15" t="n"/>
      <c r="J96" s="15">
        <f>IF(C96="","",COUNTIF(I96:O96,"T")+COUNTIF(I96:O96,"N"))</f>
        <v/>
      </c>
      <c r="K96" s="15" t="n"/>
      <c r="L96" s="15" t="n"/>
      <c r="M96" s="15" t="n"/>
      <c r="N96" s="17" t="n"/>
      <c r="O96" s="15" t="n"/>
    </row>
    <row r="97" ht="22" customHeight="1">
      <c r="B97" s="19">
        <f>IF(C97="","PH-"&amp;TEXT(COUNTA($C$5:C97),"000"))</f>
        <v/>
      </c>
      <c r="C97" s="12" t="n"/>
      <c r="D97" s="12" t="n"/>
      <c r="E97" s="12" t="n"/>
      <c r="F97" s="12" t="n"/>
      <c r="G97" s="12" t="n"/>
      <c r="H97" s="12" t="n"/>
      <c r="I97" s="12" t="n"/>
      <c r="J97" s="12">
        <f>IF(C97="","",COUNTIF(I97:O97,"T")+COUNTIF(I97:O97,"N"))</f>
        <v/>
      </c>
      <c r="K97" s="12" t="n"/>
      <c r="L97" s="12" t="n"/>
      <c r="M97" s="12" t="n"/>
      <c r="N97" s="14" t="n"/>
      <c r="O97" s="12" t="n"/>
    </row>
    <row r="98" ht="22" customHeight="1">
      <c r="B98" s="18">
        <f>IF(C98="","PH-"&amp;TEXT(COUNTA($C$5:C98),"000"))</f>
        <v/>
      </c>
      <c r="C98" s="15" t="n"/>
      <c r="D98" s="15" t="n"/>
      <c r="E98" s="15" t="n"/>
      <c r="F98" s="15" t="n"/>
      <c r="G98" s="15" t="n"/>
      <c r="H98" s="15" t="n"/>
      <c r="I98" s="15" t="n"/>
      <c r="J98" s="15">
        <f>IF(C98="","",COUNTIF(I98:O98,"T")+COUNTIF(I98:O98,"N"))</f>
        <v/>
      </c>
      <c r="K98" s="15" t="n"/>
      <c r="L98" s="15" t="n"/>
      <c r="M98" s="15" t="n"/>
      <c r="N98" s="17" t="n"/>
      <c r="O98" s="15" t="n"/>
    </row>
    <row r="99" ht="22" customHeight="1">
      <c r="B99" s="19">
        <f>IF(C99="","PH-"&amp;TEXT(COUNTA($C$5:C99),"000"))</f>
        <v/>
      </c>
      <c r="C99" s="12" t="n"/>
      <c r="D99" s="12" t="n"/>
      <c r="E99" s="12" t="n"/>
      <c r="F99" s="12" t="n"/>
      <c r="G99" s="12" t="n"/>
      <c r="H99" s="12" t="n"/>
      <c r="I99" s="12" t="n"/>
      <c r="J99" s="12">
        <f>IF(C99="","",COUNTIF(I99:O99,"T")+COUNTIF(I99:O99,"N"))</f>
        <v/>
      </c>
      <c r="K99" s="12" t="n"/>
      <c r="L99" s="12" t="n"/>
      <c r="M99" s="12" t="n"/>
      <c r="N99" s="14" t="n"/>
      <c r="O99" s="12" t="n"/>
    </row>
    <row r="100" ht="22" customHeight="1">
      <c r="B100" s="18">
        <f>IF(C100="","PH-"&amp;TEXT(COUNTA($C$5:C100),"000"))</f>
        <v/>
      </c>
      <c r="C100" s="15" t="n"/>
      <c r="D100" s="15" t="n"/>
      <c r="E100" s="15" t="n"/>
      <c r="F100" s="15" t="n"/>
      <c r="G100" s="15" t="n"/>
      <c r="H100" s="15" t="n"/>
      <c r="I100" s="15" t="n"/>
      <c r="J100" s="15">
        <f>IF(C100="","",COUNTIF(I100:O100,"T")+COUNTIF(I100:O100,"N"))</f>
        <v/>
      </c>
      <c r="K100" s="15" t="n"/>
      <c r="L100" s="15" t="n"/>
      <c r="M100" s="15" t="n"/>
      <c r="N100" s="17" t="n"/>
      <c r="O100" s="15" t="n"/>
    </row>
    <row r="101" ht="22" customHeight="1">
      <c r="B101" s="19">
        <f>IF(C101="","PH-"&amp;TEXT(COUNTA($C$5:C101),"000"))</f>
        <v/>
      </c>
      <c r="C101" s="12" t="n"/>
      <c r="D101" s="12" t="n"/>
      <c r="E101" s="12" t="n"/>
      <c r="F101" s="12" t="n"/>
      <c r="G101" s="12" t="n"/>
      <c r="H101" s="12" t="n"/>
      <c r="I101" s="12" t="n"/>
      <c r="J101" s="12">
        <f>IF(C101="","",COUNTIF(I101:O101,"T")+COUNTIF(I101:O101,"N"))</f>
        <v/>
      </c>
      <c r="K101" s="12" t="n"/>
      <c r="L101" s="12" t="n"/>
      <c r="M101" s="12" t="n"/>
      <c r="N101" s="14" t="n"/>
      <c r="O101" s="12" t="n"/>
    </row>
    <row r="102" ht="22" customHeight="1">
      <c r="B102" s="18">
        <f>IF(C102="","PH-"&amp;TEXT(COUNTA($C$5:C102),"000"))</f>
        <v/>
      </c>
      <c r="C102" s="15" t="n"/>
      <c r="D102" s="15" t="n"/>
      <c r="E102" s="15" t="n"/>
      <c r="F102" s="15" t="n"/>
      <c r="G102" s="15" t="n"/>
      <c r="H102" s="15" t="n"/>
      <c r="I102" s="15" t="n"/>
      <c r="J102" s="15">
        <f>IF(C102="","",COUNTIF(I102:O102,"T")+COUNTIF(I102:O102,"N"))</f>
        <v/>
      </c>
      <c r="K102" s="15" t="n"/>
      <c r="L102" s="15" t="n"/>
      <c r="M102" s="15" t="n"/>
      <c r="N102" s="17" t="n"/>
      <c r="O102" s="15" t="n"/>
    </row>
    <row r="103" ht="22" customHeight="1">
      <c r="B103" s="19">
        <f>IF(C103="","PH-"&amp;TEXT(COUNTA($C$5:C103),"000"))</f>
        <v/>
      </c>
      <c r="C103" s="12" t="n"/>
      <c r="D103" s="12" t="n"/>
      <c r="E103" s="12" t="n"/>
      <c r="F103" s="12" t="n"/>
      <c r="G103" s="12" t="n"/>
      <c r="H103" s="12" t="n"/>
      <c r="I103" s="12" t="n"/>
      <c r="J103" s="12">
        <f>IF(C103="","",COUNTIF(I103:O103,"T")+COUNTIF(I103:O103,"N"))</f>
        <v/>
      </c>
      <c r="K103" s="12" t="n"/>
      <c r="L103" s="12" t="n"/>
      <c r="M103" s="12" t="n"/>
      <c r="N103" s="14" t="n"/>
      <c r="O103" s="12" t="n"/>
    </row>
    <row r="104" ht="22" customHeight="1">
      <c r="B104" s="18">
        <f>IF(C104="","PH-"&amp;TEXT(COUNTA($C$5:C104),"000"))</f>
        <v/>
      </c>
      <c r="C104" s="15" t="n"/>
      <c r="D104" s="15" t="n"/>
      <c r="E104" s="15" t="n"/>
      <c r="F104" s="15" t="n"/>
      <c r="G104" s="15" t="n"/>
      <c r="H104" s="15" t="n"/>
      <c r="I104" s="15" t="n"/>
      <c r="J104" s="15">
        <f>IF(C104="","",COUNTIF(I104:O104,"T")+COUNTIF(I104:O104,"N"))</f>
        <v/>
      </c>
      <c r="K104" s="15" t="n"/>
      <c r="L104" s="15" t="n"/>
      <c r="M104" s="15" t="n"/>
      <c r="N104" s="17" t="n"/>
      <c r="O104" s="15" t="n"/>
    </row>
    <row r="105" ht="22" customHeight="1">
      <c r="B105" s="19">
        <f>IF(C105="","PH-"&amp;TEXT(COUNTA($C$5:C105),"000"))</f>
        <v/>
      </c>
      <c r="C105" s="12" t="n"/>
      <c r="D105" s="12" t="n"/>
      <c r="E105" s="12" t="n"/>
      <c r="F105" s="12" t="n"/>
      <c r="G105" s="12" t="n"/>
      <c r="H105" s="12" t="n"/>
      <c r="I105" s="12" t="n"/>
      <c r="J105" s="12" t="n"/>
      <c r="K105" s="12" t="n"/>
      <c r="L105" s="12" t="n"/>
      <c r="M105" s="12" t="n"/>
      <c r="N105" s="14" t="n"/>
      <c r="O105" s="12" t="n"/>
    </row>
    <row r="106" ht="22" customHeight="1">
      <c r="B106" s="18">
        <f>IF(C106="","PH-"&amp;TEXT(COUNTA($C$5:C106),"000"))</f>
        <v/>
      </c>
      <c r="C106" s="15" t="n"/>
      <c r="D106" s="15" t="n"/>
      <c r="E106" s="15" t="n"/>
      <c r="F106" s="15" t="n"/>
      <c r="G106" s="15" t="n"/>
      <c r="H106" s="15" t="n"/>
      <c r="I106" s="15" t="n"/>
      <c r="J106" s="15" t="n"/>
      <c r="K106" s="15" t="n"/>
      <c r="L106" s="15" t="n"/>
      <c r="M106" s="15" t="n"/>
      <c r="N106" s="17" t="n"/>
      <c r="O106" s="15" t="n"/>
    </row>
    <row r="107" ht="22" customHeight="1">
      <c r="B107" s="19">
        <f>IF(C107="","PH-"&amp;TEXT(COUNTA($C$5:C107),"000"))</f>
        <v/>
      </c>
      <c r="C107" s="12" t="n"/>
      <c r="D107" s="12" t="n"/>
      <c r="E107" s="12" t="n"/>
      <c r="F107" s="12" t="n"/>
      <c r="G107" s="12" t="n"/>
      <c r="H107" s="12" t="n"/>
      <c r="I107" s="12" t="n"/>
      <c r="J107" s="12" t="n"/>
      <c r="K107" s="12" t="n"/>
      <c r="L107" s="12" t="n"/>
      <c r="M107" s="12" t="n"/>
      <c r="N107" s="14" t="n"/>
      <c r="O107" s="12" t="n"/>
    </row>
    <row r="108" ht="22" customHeight="1">
      <c r="B108" s="18">
        <f>IF(C108="","PH-"&amp;TEXT(COUNTA($C$5:C108),"000"))</f>
        <v/>
      </c>
      <c r="C108" s="15" t="n"/>
      <c r="D108" s="15" t="n"/>
      <c r="E108" s="15" t="n"/>
      <c r="F108" s="15" t="n"/>
      <c r="G108" s="15" t="n"/>
      <c r="H108" s="15" t="n"/>
      <c r="I108" s="15" t="n"/>
      <c r="J108" s="15" t="n"/>
      <c r="K108" s="15" t="n"/>
      <c r="L108" s="15" t="n"/>
      <c r="M108" s="15" t="n"/>
      <c r="N108" s="17" t="n"/>
      <c r="O108" s="15" t="n"/>
    </row>
    <row r="109" ht="22" customHeight="1">
      <c r="B109" s="19">
        <f>IF(C109="","PH-"&amp;TEXT(COUNTA($C$5:C109),"000"))</f>
        <v/>
      </c>
      <c r="C109" s="12" t="n"/>
      <c r="D109" s="12" t="n"/>
      <c r="E109" s="12" t="n"/>
      <c r="F109" s="12" t="n"/>
      <c r="G109" s="12" t="n"/>
      <c r="H109" s="12" t="n"/>
      <c r="I109" s="12" t="n"/>
      <c r="J109" s="12" t="n"/>
      <c r="K109" s="12" t="n"/>
      <c r="L109" s="12" t="n"/>
      <c r="M109" s="12" t="n"/>
      <c r="N109" s="14" t="n"/>
      <c r="O109" s="12" t="n"/>
    </row>
    <row r="110"/>
    <row r="111">
      <c r="B111" s="6" t="inlineStr">
        <is>
          <t>INDICATEURS (mis a jour automatiquement)</t>
        </is>
      </c>
    </row>
    <row r="112">
      <c r="B112" s="3" t="inlineStr">
        <is>
          <t>Plannings hebdo</t>
        </is>
      </c>
      <c r="D112" s="3" t="inlineStr">
        <is>
          <t>Heures totales (h)</t>
        </is>
      </c>
      <c r="F112" s="3" t="inlineStr">
        <is>
          <t>Moyenne h/sem</t>
        </is>
      </c>
      <c r="H112" s="3" t="inlineStr">
        <is>
          <t>Plannings valides</t>
        </is>
      </c>
    </row>
    <row r="113">
      <c r="B113" s="4">
        <f>COUNTIF(B5:B104,"&lt;&gt;")</f>
        <v/>
      </c>
      <c r="D113" s="4">
        <f>SUM(N5:N104)</f>
        <v/>
      </c>
      <c r="F113" s="4">
        <f>IFERROR(AVERAGE(N5:N104),0)</f>
        <v/>
      </c>
      <c r="H113" s="4">
        <f>COUNTIF(O5:O104,"Valide")</f>
        <v/>
      </c>
    </row>
  </sheetData>
  <mergeCells count="3">
    <mergeCell ref="B3:O3"/>
    <mergeCell ref="B2:O2"/>
    <mergeCell ref="B111:O111"/>
  </mergeCells>
  <conditionalFormatting sqref="O5:O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conditionalFormatting sqref="N10:N109">
    <cfRule type="expression" priority="60" dxfId="3">
      <formula>AND($C10="",$C9&lt;&gt;"")</formula>
    </cfRule>
  </conditionalFormatting>
  <conditionalFormatting sqref="O10:O109">
    <cfRule type="expression" priority="61" dxfId="3">
      <formula>AND($C10="",$C9&lt;&gt;"")</formula>
    </cfRule>
  </conditionalFormatting>
  <dataValidations count="3">
    <dataValidation sqref="E5:E109" showDropDown="0" showInputMessage="0" showErrorMessage="0" allowBlank="1" errorTitle="Erreur" error="Valeur invalide" promptTitle="Liste" prompt="Choisir dans la liste" type="list">
      <formula1>'_Lists'!$D$2:$D$6</formula1>
    </dataValidation>
    <dataValidation sqref="F5:F109" showDropDown="0" showInputMessage="0" showErrorMessage="0" allowBlank="1" errorTitle="Erreur" error="Valeur invalide" promptTitle="Liste" prompt="Choisir dans la liste" type="list">
      <formula1>'_Lists'!$Z$2:$Z$6</formula1>
    </dataValidation>
    <dataValidation sqref="O5:O109"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16" customWidth="1" min="3" max="3"/>
    <col width="20" customWidth="1" min="4" max="4"/>
    <col width="18" customWidth="1" min="5" max="5"/>
    <col width="20" customWidth="1" min="6" max="6"/>
    <col width="22" customWidth="1" min="7" max="7"/>
    <col width="28" customWidth="1" min="8" max="8"/>
    <col width="12" customWidth="1" min="9" max="9"/>
    <col width="16" customWidth="1" min="10" max="10"/>
    <col width="18" customWidth="1" min="11" max="11"/>
    <col width="14" customWidth="1" min="12" max="12"/>
  </cols>
  <sheetData>
    <row r="1" ht="15" customHeight="1"/>
    <row r="2" ht="32" customHeight="1">
      <c r="B2" s="1" t="inlineStr">
        <is>
          <t>GARDE &amp; ASTREINTES</t>
        </is>
      </c>
    </row>
    <row r="3" ht="8" customHeight="1">
      <c r="B3" s="2" t="inlineStr">
        <is>
          <t>TABLEAU DYNAMIQUE — Saisissez dans la prochaine ligne jaune. Les calculs se mettent a jour automatiquement.</t>
        </is>
      </c>
    </row>
    <row r="4" ht="28" customHeight="1">
      <c r="B4" s="11" t="inlineStr">
        <is>
          <t>N° Garde</t>
        </is>
      </c>
      <c r="C4" s="11" t="inlineStr">
        <is>
          <t>Matricule</t>
        </is>
      </c>
      <c r="D4" s="11" t="inlineStr">
        <is>
          <t>Nom Employe</t>
        </is>
      </c>
      <c r="E4" s="11" t="inlineStr">
        <is>
          <t>Departement</t>
        </is>
      </c>
      <c r="F4" s="11" t="inlineStr">
        <is>
          <t>Poste</t>
        </is>
      </c>
      <c r="G4" s="11" t="inlineStr">
        <is>
          <t>Type Garde</t>
        </is>
      </c>
      <c r="H4" s="11" t="inlineStr">
        <is>
          <t>Date Debut</t>
        </is>
      </c>
      <c r="I4" s="11" t="inlineStr">
        <is>
          <t>Date Fin</t>
        </is>
      </c>
      <c r="J4" s="11" t="inlineStr">
        <is>
          <t>Duree (heures)</t>
        </is>
      </c>
      <c r="K4" s="11" t="inlineStr">
        <is>
          <t>Compensation (FCFA)</t>
        </is>
      </c>
      <c r="L4" s="11" t="inlineStr">
        <is>
          <t>Statut</t>
        </is>
      </c>
    </row>
    <row r="5" ht="22" customHeight="1">
      <c r="B5" s="12" t="inlineStr">
        <is>
          <t>GAR-001</t>
        </is>
      </c>
      <c r="C5" s="12" t="inlineStr">
        <is>
          <t>EMP-002</t>
        </is>
      </c>
      <c r="D5" s="12">
        <f>IF(C5="","",IFERROR(VLOOKUP(C5,'_Données Employés'!$B$5:$H$18,3,FALSE)&amp;" "&amp;VLOOKUP(C5,'_Données Employés'!$B$5:$H$18,4,FALSE),""))</f>
        <v/>
      </c>
      <c r="E5" s="12">
        <f>IF(C5="","",IFERROR(VLOOKUP(C5,'_Données Employés'!$B$5:$H$18,5,FALSE),""))</f>
        <v/>
      </c>
      <c r="F5" s="12">
        <f>IF(C5="","",IFERROR(VLOOKUP(C5,'_Données Employés'!$B$5:$H$18,6,FALSE),""))</f>
        <v/>
      </c>
      <c r="G5" s="12" t="inlineStr">
        <is>
          <t>Astreinte telephone</t>
        </is>
      </c>
      <c r="H5" s="33" t="n">
        <v>45815</v>
      </c>
      <c r="I5" s="33" t="n">
        <v>45816</v>
      </c>
      <c r="J5" s="14" t="n">
        <v>24</v>
      </c>
      <c r="K5" s="21" t="n">
        <v>15000</v>
      </c>
      <c r="L5" s="12" t="inlineStr">
        <is>
          <t>Effectuee</t>
        </is>
      </c>
    </row>
    <row r="6" ht="22" customHeight="1">
      <c r="B6" s="15" t="inlineStr">
        <is>
          <t>GAR-002</t>
        </is>
      </c>
      <c r="C6" s="15" t="inlineStr">
        <is>
          <t>EMP-002</t>
        </is>
      </c>
      <c r="D6" s="15">
        <f>IF(C6="","",IFERROR(VLOOKUP(C6,'_Données Employés'!$B$5:$H$18,3,FALSE)&amp;" "&amp;VLOOKUP(C6,'_Données Employés'!$B$5:$H$18,4,FALSE),""))</f>
        <v/>
      </c>
      <c r="E6" s="15">
        <f>IF(C6="","",IFERROR(VLOOKUP(C6,'_Données Employés'!$B$5:$H$18,5,FALSE),""))</f>
        <v/>
      </c>
      <c r="F6" s="15">
        <f>IF(C6="","",IFERROR(VLOOKUP(C6,'_Données Employés'!$B$5:$H$18,6,FALSE),""))</f>
        <v/>
      </c>
      <c r="G6" s="15" t="inlineStr">
        <is>
          <t>Astreinte telephone</t>
        </is>
      </c>
      <c r="H6" s="34" t="n">
        <v>45822</v>
      </c>
      <c r="I6" s="34" t="n">
        <v>45823</v>
      </c>
      <c r="J6" s="17" t="n">
        <v>24</v>
      </c>
      <c r="K6" s="23" t="n">
        <v>15000</v>
      </c>
      <c r="L6" s="15" t="inlineStr">
        <is>
          <t>Planifiee</t>
        </is>
      </c>
    </row>
    <row r="7" ht="22" customHeight="1">
      <c r="B7" s="12" t="inlineStr">
        <is>
          <t>GAR-003</t>
        </is>
      </c>
      <c r="C7" s="12" t="inlineStr">
        <is>
          <t>EMP-029</t>
        </is>
      </c>
      <c r="D7" s="12">
        <f>IF(C7="","",IFERROR(VLOOKUP(C7,'_Données Employés'!$B$5:$H$18,3,FALSE)&amp;" "&amp;VLOOKUP(C7,'_Données Employés'!$B$5:$H$18,4,FALSE),""))</f>
        <v/>
      </c>
      <c r="E7" s="12">
        <f>IF(C7="","",IFERROR(VLOOKUP(C7,'_Données Employés'!$B$5:$H$18,5,FALSE),""))</f>
        <v/>
      </c>
      <c r="F7" s="12">
        <f>IF(C7="","",IFERROR(VLOOKUP(C7,'_Données Employés'!$B$5:$H$18,6,FALSE),""))</f>
        <v/>
      </c>
      <c r="G7" s="12" t="inlineStr">
        <is>
          <t>Garde de nuit</t>
        </is>
      </c>
      <c r="H7" s="33" t="n">
        <v>45809</v>
      </c>
      <c r="I7" s="33" t="n">
        <v>45838</v>
      </c>
      <c r="J7" s="14" t="n">
        <v>240</v>
      </c>
      <c r="K7" s="21" t="n">
        <v>120000</v>
      </c>
      <c r="L7" s="12" t="inlineStr">
        <is>
          <t>En cours</t>
        </is>
      </c>
    </row>
    <row r="8" ht="22" customHeight="1">
      <c r="B8" s="15" t="inlineStr">
        <is>
          <t>GAR-004</t>
        </is>
      </c>
      <c r="C8" s="15" t="inlineStr">
        <is>
          <t>EMP-028</t>
        </is>
      </c>
      <c r="D8" s="15">
        <f>IF(C8="","",IFERROR(VLOOKUP(C8,'_Données Employés'!$B$5:$H$18,3,FALSE)&amp;" "&amp;VLOOKUP(C8,'_Données Employés'!$B$5:$H$18,4,FALSE),""))</f>
        <v/>
      </c>
      <c r="E8" s="15">
        <f>IF(C8="","",IFERROR(VLOOKUP(C8,'_Données Employés'!$B$5:$H$18,5,FALSE),""))</f>
        <v/>
      </c>
      <c r="F8" s="15">
        <f>IF(C8="","",IFERROR(VLOOKUP(C8,'_Données Employés'!$B$5:$H$18,6,FALSE),""))</f>
        <v/>
      </c>
      <c r="G8" s="15" t="inlineStr">
        <is>
          <t>Permanence week-end</t>
        </is>
      </c>
      <c r="H8" s="34" t="n">
        <v>45815</v>
      </c>
      <c r="I8" s="34" t="n">
        <v>45816</v>
      </c>
      <c r="J8" s="17" t="n">
        <v>16</v>
      </c>
      <c r="K8" s="23" t="n">
        <v>10000</v>
      </c>
      <c r="L8" s="15" t="inlineStr">
        <is>
          <t>Effectuee</t>
        </is>
      </c>
    </row>
    <row r="9" ht="22" customHeight="1">
      <c r="B9" s="12" t="inlineStr">
        <is>
          <t>GAR-005</t>
        </is>
      </c>
      <c r="C9" s="12" t="inlineStr">
        <is>
          <t>EMP-002</t>
        </is>
      </c>
      <c r="D9" s="12">
        <f>IF(C9="","",IFERROR(VLOOKUP(C9,'_Données Employés'!$B$5:$H$18,3,FALSE)&amp;" "&amp;VLOOKUP(C9,'_Données Employés'!$B$5:$H$18,4,FALSE),""))</f>
        <v/>
      </c>
      <c r="E9" s="12">
        <f>IF(C9="","",IFERROR(VLOOKUP(C9,'_Données Employés'!$B$5:$H$18,5,FALSE),""))</f>
        <v/>
      </c>
      <c r="F9" s="12">
        <f>IF(C9="","",IFERROR(VLOOKUP(C9,'_Données Employés'!$B$5:$H$18,6,FALSE),""))</f>
        <v/>
      </c>
      <c r="G9" s="12" t="inlineStr">
        <is>
          <t>Astreinte deplacee</t>
        </is>
      </c>
      <c r="H9" s="33" t="n">
        <v>45829</v>
      </c>
      <c r="I9" s="33" t="n">
        <v>45830</v>
      </c>
      <c r="J9" s="14" t="n">
        <v>48</v>
      </c>
      <c r="K9" s="21" t="n">
        <v>35000</v>
      </c>
      <c r="L9" s="12" t="inlineStr">
        <is>
          <t>Planifiee</t>
        </is>
      </c>
    </row>
    <row r="10" ht="22" customHeight="1">
      <c r="B10" s="18">
        <f>IF(C10="","GAR-"&amp;TEXT(COUNTA($C$5:C10),"000"))</f>
        <v/>
      </c>
      <c r="C10" s="15" t="n"/>
      <c r="D10" s="15" t="n"/>
      <c r="E10" s="15" t="n"/>
      <c r="F10" s="15" t="n"/>
      <c r="G10" s="15" t="n"/>
      <c r="H10" s="34" t="n"/>
      <c r="I10" s="34" t="n"/>
      <c r="J10" s="17" t="n"/>
      <c r="K10" s="23" t="n"/>
      <c r="L10" s="15" t="n"/>
    </row>
    <row r="11" ht="22" customHeight="1">
      <c r="B11" s="19">
        <f>IF(C11="","GAR-"&amp;TEXT(COUNTA($C$5:C11),"000"))</f>
        <v/>
      </c>
      <c r="C11" s="12" t="n"/>
      <c r="D11" s="12" t="n"/>
      <c r="E11" s="12" t="n"/>
      <c r="F11" s="12" t="n"/>
      <c r="G11" s="12" t="n"/>
      <c r="H11" s="33" t="n"/>
      <c r="I11" s="33" t="n"/>
      <c r="J11" s="14" t="n"/>
      <c r="K11" s="21" t="n"/>
      <c r="L11" s="12" t="n"/>
    </row>
    <row r="12" ht="22" customHeight="1">
      <c r="B12" s="18">
        <f>IF(C12="","GAR-"&amp;TEXT(COUNTA($C$5:C12),"000"))</f>
        <v/>
      </c>
      <c r="C12" s="15" t="n"/>
      <c r="D12" s="15" t="n"/>
      <c r="E12" s="15" t="n"/>
      <c r="F12" s="15" t="n"/>
      <c r="G12" s="15" t="n"/>
      <c r="H12" s="34" t="n"/>
      <c r="I12" s="34" t="n"/>
      <c r="J12" s="17" t="n"/>
      <c r="K12" s="23" t="n"/>
      <c r="L12" s="15" t="n"/>
    </row>
    <row r="13" ht="22" customHeight="1">
      <c r="B13" s="19">
        <f>IF(C13="","GAR-"&amp;TEXT(COUNTA($C$5:C13),"000"))</f>
        <v/>
      </c>
      <c r="C13" s="12" t="n"/>
      <c r="D13" s="12" t="n"/>
      <c r="E13" s="12" t="n"/>
      <c r="F13" s="12" t="n"/>
      <c r="G13" s="12" t="n"/>
      <c r="H13" s="33" t="n"/>
      <c r="I13" s="33" t="n"/>
      <c r="J13" s="14" t="n"/>
      <c r="K13" s="21" t="n"/>
      <c r="L13" s="12" t="n"/>
    </row>
    <row r="14" ht="22" customHeight="1">
      <c r="B14" s="18">
        <f>IF(C14="","GAR-"&amp;TEXT(COUNTA($C$5:C14),"000"))</f>
        <v/>
      </c>
      <c r="C14" s="15" t="n"/>
      <c r="D14" s="15" t="n"/>
      <c r="E14" s="15" t="n"/>
      <c r="F14" s="15" t="n"/>
      <c r="G14" s="15" t="n"/>
      <c r="H14" s="34" t="n"/>
      <c r="I14" s="34" t="n"/>
      <c r="J14" s="17" t="n"/>
      <c r="K14" s="23" t="n"/>
      <c r="L14" s="15" t="n"/>
    </row>
    <row r="15" ht="22" customHeight="1">
      <c r="B15" s="19">
        <f>IF(C15="","GAR-"&amp;TEXT(COUNTA($C$5:C15),"000"))</f>
        <v/>
      </c>
      <c r="C15" s="12" t="n"/>
      <c r="D15" s="12" t="n"/>
      <c r="E15" s="12" t="n"/>
      <c r="F15" s="12" t="n"/>
      <c r="G15" s="12" t="n"/>
      <c r="H15" s="33" t="n"/>
      <c r="I15" s="33" t="n"/>
      <c r="J15" s="14" t="n"/>
      <c r="K15" s="21" t="n"/>
      <c r="L15" s="12" t="n"/>
    </row>
    <row r="16" ht="22" customHeight="1">
      <c r="B16" s="18">
        <f>IF(C16="","GAR-"&amp;TEXT(COUNTA($C$5:C16),"000"))</f>
        <v/>
      </c>
      <c r="C16" s="15" t="n"/>
      <c r="D16" s="15" t="n"/>
      <c r="E16" s="15" t="n"/>
      <c r="F16" s="15" t="n"/>
      <c r="G16" s="15" t="n"/>
      <c r="H16" s="34" t="n"/>
      <c r="I16" s="34" t="n"/>
      <c r="J16" s="17" t="n"/>
      <c r="K16" s="23" t="n"/>
      <c r="L16" s="15" t="n"/>
    </row>
    <row r="17" ht="22" customHeight="1">
      <c r="B17" s="19">
        <f>IF(C17="","GAR-"&amp;TEXT(COUNTA($C$5:C17),"000"))</f>
        <v/>
      </c>
      <c r="C17" s="12" t="n"/>
      <c r="D17" s="12" t="n"/>
      <c r="E17" s="12" t="n"/>
      <c r="F17" s="12" t="n"/>
      <c r="G17" s="12" t="n"/>
      <c r="H17" s="33" t="n"/>
      <c r="I17" s="33" t="n"/>
      <c r="J17" s="14" t="n"/>
      <c r="K17" s="21" t="n"/>
      <c r="L17" s="12" t="n"/>
    </row>
    <row r="18" ht="22" customHeight="1">
      <c r="B18" s="18">
        <f>IF(C18="","GAR-"&amp;TEXT(COUNTA($C$5:C18),"000"))</f>
        <v/>
      </c>
      <c r="C18" s="15" t="n"/>
      <c r="D18" s="15" t="n"/>
      <c r="E18" s="15" t="n"/>
      <c r="F18" s="15" t="n"/>
      <c r="G18" s="15" t="n"/>
      <c r="H18" s="34" t="n"/>
      <c r="I18" s="34" t="n"/>
      <c r="J18" s="17" t="n"/>
      <c r="K18" s="23" t="n"/>
      <c r="L18" s="15" t="n"/>
    </row>
    <row r="19" ht="22" customHeight="1">
      <c r="B19" s="19">
        <f>IF(C19="","GAR-"&amp;TEXT(COUNTA($C$5:C19),"000"))</f>
        <v/>
      </c>
      <c r="C19" s="12" t="n"/>
      <c r="D19" s="12" t="n"/>
      <c r="E19" s="12" t="n"/>
      <c r="F19" s="12" t="n"/>
      <c r="G19" s="12" t="n"/>
      <c r="H19" s="33" t="n"/>
      <c r="I19" s="33" t="n"/>
      <c r="J19" s="14" t="n"/>
      <c r="K19" s="21" t="n"/>
      <c r="L19" s="12" t="n"/>
    </row>
    <row r="20" ht="22" customHeight="1">
      <c r="B20" s="18">
        <f>IF(C20="","GAR-"&amp;TEXT(COUNTA($C$5:C20),"000"))</f>
        <v/>
      </c>
      <c r="C20" s="15" t="n"/>
      <c r="D20" s="15" t="n"/>
      <c r="E20" s="15" t="n"/>
      <c r="F20" s="15" t="n"/>
      <c r="G20" s="15" t="n"/>
      <c r="H20" s="34" t="n"/>
      <c r="I20" s="34" t="n"/>
      <c r="J20" s="17" t="n"/>
      <c r="K20" s="23" t="n"/>
      <c r="L20" s="15" t="n"/>
    </row>
    <row r="21" ht="22" customHeight="1">
      <c r="B21" s="19">
        <f>IF(C21="","GAR-"&amp;TEXT(COUNTA($C$5:C21),"000"))</f>
        <v/>
      </c>
      <c r="C21" s="12" t="n"/>
      <c r="D21" s="12" t="n"/>
      <c r="E21" s="12" t="n"/>
      <c r="F21" s="12" t="n"/>
      <c r="G21" s="12" t="n"/>
      <c r="H21" s="33" t="n"/>
      <c r="I21" s="33" t="n"/>
      <c r="J21" s="14" t="n"/>
      <c r="K21" s="21" t="n"/>
      <c r="L21" s="12" t="n"/>
    </row>
    <row r="22" ht="22" customHeight="1">
      <c r="B22" s="18">
        <f>IF(C22="","GAR-"&amp;TEXT(COUNTA($C$5:C22),"000"))</f>
        <v/>
      </c>
      <c r="C22" s="15" t="n"/>
      <c r="D22" s="15" t="n"/>
      <c r="E22" s="15" t="n"/>
      <c r="F22" s="15" t="n"/>
      <c r="G22" s="15" t="n"/>
      <c r="H22" s="34" t="n"/>
      <c r="I22" s="34" t="n"/>
      <c r="J22" s="17" t="n"/>
      <c r="K22" s="23" t="n"/>
      <c r="L22" s="15" t="n"/>
    </row>
    <row r="23" ht="22" customHeight="1">
      <c r="B23" s="19">
        <f>IF(C23="","GAR-"&amp;TEXT(COUNTA($C$5:C23),"000"))</f>
        <v/>
      </c>
      <c r="C23" s="12" t="n"/>
      <c r="D23" s="12" t="n"/>
      <c r="E23" s="12" t="n"/>
      <c r="F23" s="12" t="n"/>
      <c r="G23" s="12" t="n"/>
      <c r="H23" s="33" t="n"/>
      <c r="I23" s="33" t="n"/>
      <c r="J23" s="14" t="n"/>
      <c r="K23" s="21" t="n"/>
      <c r="L23" s="12" t="n"/>
    </row>
    <row r="24" ht="22" customHeight="1">
      <c r="B24" s="18">
        <f>IF(C24="","GAR-"&amp;TEXT(COUNTA($C$5:C24),"000"))</f>
        <v/>
      </c>
      <c r="C24" s="15" t="n"/>
      <c r="D24" s="15" t="n"/>
      <c r="E24" s="15" t="n"/>
      <c r="F24" s="15" t="n"/>
      <c r="G24" s="15" t="n"/>
      <c r="H24" s="34" t="n"/>
      <c r="I24" s="34" t="n"/>
      <c r="J24" s="17" t="n"/>
      <c r="K24" s="23" t="n"/>
      <c r="L24" s="15" t="n"/>
    </row>
    <row r="25" ht="22" customHeight="1">
      <c r="B25" s="19">
        <f>IF(C25="","GAR-"&amp;TEXT(COUNTA($C$5:C25),"000"))</f>
        <v/>
      </c>
      <c r="C25" s="12" t="n"/>
      <c r="D25" s="12" t="n"/>
      <c r="E25" s="12" t="n"/>
      <c r="F25" s="12" t="n"/>
      <c r="G25" s="12" t="n"/>
      <c r="H25" s="33" t="n"/>
      <c r="I25" s="33" t="n"/>
      <c r="J25" s="14" t="n"/>
      <c r="K25" s="21" t="n"/>
      <c r="L25" s="12" t="n"/>
    </row>
    <row r="26" ht="22" customHeight="1">
      <c r="B26" s="18">
        <f>IF(C26="","GAR-"&amp;TEXT(COUNTA($C$5:C26),"000"))</f>
        <v/>
      </c>
      <c r="C26" s="15" t="n"/>
      <c r="D26" s="15" t="n"/>
      <c r="E26" s="15" t="n"/>
      <c r="F26" s="15" t="n"/>
      <c r="G26" s="15" t="n"/>
      <c r="H26" s="34" t="n"/>
      <c r="I26" s="34" t="n"/>
      <c r="J26" s="17" t="n"/>
      <c r="K26" s="23" t="n"/>
      <c r="L26" s="15" t="n"/>
    </row>
    <row r="27" ht="22" customHeight="1">
      <c r="B27" s="19">
        <f>IF(C27="","GAR-"&amp;TEXT(COUNTA($C$5:C27),"000"))</f>
        <v/>
      </c>
      <c r="C27" s="12" t="n"/>
      <c r="D27" s="12" t="n"/>
      <c r="E27" s="12" t="n"/>
      <c r="F27" s="12" t="n"/>
      <c r="G27" s="12" t="n"/>
      <c r="H27" s="33" t="n"/>
      <c r="I27" s="33" t="n"/>
      <c r="J27" s="14" t="n"/>
      <c r="K27" s="21" t="n"/>
      <c r="L27" s="12" t="n"/>
    </row>
    <row r="28" ht="22" customHeight="1">
      <c r="B28" s="18">
        <f>IF(C28="","GAR-"&amp;TEXT(COUNTA($C$5:C28),"000"))</f>
        <v/>
      </c>
      <c r="C28" s="15" t="n"/>
      <c r="D28" s="15" t="n"/>
      <c r="E28" s="15" t="n"/>
      <c r="F28" s="15" t="n"/>
      <c r="G28" s="15" t="n"/>
      <c r="H28" s="34" t="n"/>
      <c r="I28" s="34" t="n"/>
      <c r="J28" s="17" t="n"/>
      <c r="K28" s="23" t="n"/>
      <c r="L28" s="15" t="n"/>
    </row>
    <row r="29" ht="22" customHeight="1">
      <c r="B29" s="19">
        <f>IF(C29="","GAR-"&amp;TEXT(COUNTA($C$5:C29),"000"))</f>
        <v/>
      </c>
      <c r="C29" s="12" t="n"/>
      <c r="D29" s="12" t="n"/>
      <c r="E29" s="12" t="n"/>
      <c r="F29" s="12" t="n"/>
      <c r="G29" s="12" t="n"/>
      <c r="H29" s="33" t="n"/>
      <c r="I29" s="33" t="n"/>
      <c r="J29" s="14" t="n"/>
      <c r="K29" s="21" t="n"/>
      <c r="L29" s="12" t="n"/>
    </row>
    <row r="30" ht="22" customHeight="1">
      <c r="B30" s="18">
        <f>IF(C30="","GAR-"&amp;TEXT(COUNTA($C$5:C30),"000"))</f>
        <v/>
      </c>
      <c r="C30" s="15" t="n"/>
      <c r="D30" s="15" t="n"/>
      <c r="E30" s="15" t="n"/>
      <c r="F30" s="15" t="n"/>
      <c r="G30" s="15" t="n"/>
      <c r="H30" s="34" t="n"/>
      <c r="I30" s="34" t="n"/>
      <c r="J30" s="17" t="n"/>
      <c r="K30" s="23" t="n"/>
      <c r="L30" s="15" t="n"/>
    </row>
    <row r="31" ht="22" customHeight="1">
      <c r="B31" s="19">
        <f>IF(C31="","GAR-"&amp;TEXT(COUNTA($C$5:C31),"000"))</f>
        <v/>
      </c>
      <c r="C31" s="12" t="n"/>
      <c r="D31" s="12" t="n"/>
      <c r="E31" s="12" t="n"/>
      <c r="F31" s="12" t="n"/>
      <c r="G31" s="12" t="n"/>
      <c r="H31" s="33" t="n"/>
      <c r="I31" s="33" t="n"/>
      <c r="J31" s="14" t="n"/>
      <c r="K31" s="21" t="n"/>
      <c r="L31" s="12" t="n"/>
    </row>
    <row r="32" ht="22" customHeight="1">
      <c r="B32" s="18">
        <f>IF(C32="","GAR-"&amp;TEXT(COUNTA($C$5:C32),"000"))</f>
        <v/>
      </c>
      <c r="C32" s="15" t="n"/>
      <c r="D32" s="15" t="n"/>
      <c r="E32" s="15" t="n"/>
      <c r="F32" s="15" t="n"/>
      <c r="G32" s="15" t="n"/>
      <c r="H32" s="34" t="n"/>
      <c r="I32" s="34" t="n"/>
      <c r="J32" s="17" t="n"/>
      <c r="K32" s="23" t="n"/>
      <c r="L32" s="15" t="n"/>
    </row>
    <row r="33" ht="22" customHeight="1">
      <c r="B33" s="19">
        <f>IF(C33="","GAR-"&amp;TEXT(COUNTA($C$5:C33),"000"))</f>
        <v/>
      </c>
      <c r="C33" s="12" t="n"/>
      <c r="D33" s="12" t="n"/>
      <c r="E33" s="12" t="n"/>
      <c r="F33" s="12" t="n"/>
      <c r="G33" s="12" t="n"/>
      <c r="H33" s="33" t="n"/>
      <c r="I33" s="33" t="n"/>
      <c r="J33" s="14" t="n"/>
      <c r="K33" s="21" t="n"/>
      <c r="L33" s="12" t="n"/>
    </row>
    <row r="34" ht="22" customHeight="1">
      <c r="B34" s="18">
        <f>IF(C34="","GAR-"&amp;TEXT(COUNTA($C$5:C34),"000"))</f>
        <v/>
      </c>
      <c r="C34" s="15" t="n"/>
      <c r="D34" s="15" t="n"/>
      <c r="E34" s="15" t="n"/>
      <c r="F34" s="15" t="n"/>
      <c r="G34" s="15" t="n"/>
      <c r="H34" s="34" t="n"/>
      <c r="I34" s="34" t="n"/>
      <c r="J34" s="17" t="n"/>
      <c r="K34" s="23" t="n"/>
      <c r="L34" s="15" t="n"/>
    </row>
    <row r="35" ht="22" customHeight="1">
      <c r="B35" s="19">
        <f>IF(C35="","GAR-"&amp;TEXT(COUNTA($C$5:C35),"000"))</f>
        <v/>
      </c>
      <c r="C35" s="12" t="n"/>
      <c r="D35" s="12" t="n"/>
      <c r="E35" s="12" t="n"/>
      <c r="F35" s="12" t="n"/>
      <c r="G35" s="12" t="n"/>
      <c r="H35" s="33" t="n"/>
      <c r="I35" s="33" t="n"/>
      <c r="J35" s="14" t="n"/>
      <c r="K35" s="21" t="n"/>
      <c r="L35" s="12" t="n"/>
    </row>
    <row r="36" ht="22" customHeight="1">
      <c r="B36" s="18">
        <f>IF(C36="","GAR-"&amp;TEXT(COUNTA($C$5:C36),"000"))</f>
        <v/>
      </c>
      <c r="C36" s="15" t="n"/>
      <c r="D36" s="15" t="n"/>
      <c r="E36" s="15" t="n"/>
      <c r="F36" s="15" t="n"/>
      <c r="G36" s="15" t="n"/>
      <c r="H36" s="34" t="n"/>
      <c r="I36" s="34" t="n"/>
      <c r="J36" s="17" t="n"/>
      <c r="K36" s="23" t="n"/>
      <c r="L36" s="15" t="n"/>
    </row>
    <row r="37" ht="22" customHeight="1">
      <c r="B37" s="19">
        <f>IF(C37="","GAR-"&amp;TEXT(COUNTA($C$5:C37),"000"))</f>
        <v/>
      </c>
      <c r="C37" s="12" t="n"/>
      <c r="D37" s="12" t="n"/>
      <c r="E37" s="12" t="n"/>
      <c r="F37" s="12" t="n"/>
      <c r="G37" s="12" t="n"/>
      <c r="H37" s="33" t="n"/>
      <c r="I37" s="33" t="n"/>
      <c r="J37" s="14" t="n"/>
      <c r="K37" s="21" t="n"/>
      <c r="L37" s="12" t="n"/>
    </row>
    <row r="38" ht="22" customHeight="1">
      <c r="B38" s="18">
        <f>IF(C38="","GAR-"&amp;TEXT(COUNTA($C$5:C38),"000"))</f>
        <v/>
      </c>
      <c r="C38" s="15" t="n"/>
      <c r="D38" s="15" t="n"/>
      <c r="E38" s="15" t="n"/>
      <c r="F38" s="15" t="n"/>
      <c r="G38" s="15" t="n"/>
      <c r="H38" s="34" t="n"/>
      <c r="I38" s="34" t="n"/>
      <c r="J38" s="17" t="n"/>
      <c r="K38" s="23" t="n"/>
      <c r="L38" s="15" t="n"/>
    </row>
    <row r="39" ht="22" customHeight="1">
      <c r="B39" s="19">
        <f>IF(C39="","GAR-"&amp;TEXT(COUNTA($C$5:C39),"000"))</f>
        <v/>
      </c>
      <c r="C39" s="12" t="n"/>
      <c r="D39" s="12" t="n"/>
      <c r="E39" s="12" t="n"/>
      <c r="F39" s="12" t="n"/>
      <c r="G39" s="12" t="n"/>
      <c r="H39" s="33" t="n"/>
      <c r="I39" s="33" t="n"/>
      <c r="J39" s="14" t="n"/>
      <c r="K39" s="21" t="n"/>
      <c r="L39" s="12" t="n"/>
    </row>
    <row r="40" ht="22" customHeight="1">
      <c r="B40" s="18">
        <f>IF(C40="","GAR-"&amp;TEXT(COUNTA($C$5:C40),"000"))</f>
        <v/>
      </c>
      <c r="C40" s="15" t="n"/>
      <c r="D40" s="15" t="n"/>
      <c r="E40" s="15" t="n"/>
      <c r="F40" s="15" t="n"/>
      <c r="G40" s="15" t="n"/>
      <c r="H40" s="34" t="n"/>
      <c r="I40" s="34" t="n"/>
      <c r="J40" s="17" t="n"/>
      <c r="K40" s="23" t="n"/>
      <c r="L40" s="15" t="n"/>
    </row>
    <row r="41" ht="22" customHeight="1">
      <c r="B41" s="19">
        <f>IF(C41="","GAR-"&amp;TEXT(COUNTA($C$5:C41),"000"))</f>
        <v/>
      </c>
      <c r="C41" s="12" t="n"/>
      <c r="D41" s="12" t="n"/>
      <c r="E41" s="12" t="n"/>
      <c r="F41" s="12" t="n"/>
      <c r="G41" s="12" t="n"/>
      <c r="H41" s="33" t="n"/>
      <c r="I41" s="33" t="n"/>
      <c r="J41" s="14" t="n"/>
      <c r="K41" s="21" t="n"/>
      <c r="L41" s="12" t="n"/>
    </row>
    <row r="42" ht="22" customHeight="1">
      <c r="B42" s="18">
        <f>IF(C42="","GAR-"&amp;TEXT(COUNTA($C$5:C42),"000"))</f>
        <v/>
      </c>
      <c r="C42" s="15" t="n"/>
      <c r="D42" s="15" t="n"/>
      <c r="E42" s="15" t="n"/>
      <c r="F42" s="15" t="n"/>
      <c r="G42" s="15" t="n"/>
      <c r="H42" s="34" t="n"/>
      <c r="I42" s="34" t="n"/>
      <c r="J42" s="17" t="n"/>
      <c r="K42" s="23" t="n"/>
      <c r="L42" s="15" t="n"/>
    </row>
    <row r="43" ht="22" customHeight="1">
      <c r="B43" s="19">
        <f>IF(C43="","GAR-"&amp;TEXT(COUNTA($C$5:C43),"000"))</f>
        <v/>
      </c>
      <c r="C43" s="12" t="n"/>
      <c r="D43" s="12" t="n"/>
      <c r="E43" s="12" t="n"/>
      <c r="F43" s="12" t="n"/>
      <c r="G43" s="12" t="n"/>
      <c r="H43" s="33" t="n"/>
      <c r="I43" s="33" t="n"/>
      <c r="J43" s="14" t="n"/>
      <c r="K43" s="21" t="n"/>
      <c r="L43" s="12" t="n"/>
    </row>
    <row r="44" ht="22" customHeight="1">
      <c r="B44" s="18">
        <f>IF(C44="","GAR-"&amp;TEXT(COUNTA($C$5:C44),"000"))</f>
        <v/>
      </c>
      <c r="C44" s="15" t="n"/>
      <c r="D44" s="15" t="n"/>
      <c r="E44" s="15" t="n"/>
      <c r="F44" s="15" t="n"/>
      <c r="G44" s="15" t="n"/>
      <c r="H44" s="34" t="n"/>
      <c r="I44" s="34" t="n"/>
      <c r="J44" s="17" t="n"/>
      <c r="K44" s="23" t="n"/>
      <c r="L44" s="15" t="n"/>
    </row>
    <row r="45" ht="22" customHeight="1">
      <c r="B45" s="19">
        <f>IF(C45="","GAR-"&amp;TEXT(COUNTA($C$5:C45),"000"))</f>
        <v/>
      </c>
      <c r="C45" s="12" t="n"/>
      <c r="D45" s="12" t="n"/>
      <c r="E45" s="12" t="n"/>
      <c r="F45" s="12" t="n"/>
      <c r="G45" s="12" t="n"/>
      <c r="H45" s="33" t="n"/>
      <c r="I45" s="33" t="n"/>
      <c r="J45" s="14" t="n"/>
      <c r="K45" s="21" t="n"/>
      <c r="L45" s="12" t="n"/>
    </row>
    <row r="46" ht="22" customHeight="1">
      <c r="B46" s="18">
        <f>IF(C46="","GAR-"&amp;TEXT(COUNTA($C$5:C46),"000"))</f>
        <v/>
      </c>
      <c r="C46" s="15" t="n"/>
      <c r="D46" s="15" t="n"/>
      <c r="E46" s="15" t="n"/>
      <c r="F46" s="15" t="n"/>
      <c r="G46" s="15" t="n"/>
      <c r="H46" s="34" t="n"/>
      <c r="I46" s="34" t="n"/>
      <c r="J46" s="17" t="n"/>
      <c r="K46" s="23" t="n"/>
      <c r="L46" s="15" t="n"/>
    </row>
    <row r="47" ht="22" customHeight="1">
      <c r="B47" s="19">
        <f>IF(C47="","GAR-"&amp;TEXT(COUNTA($C$5:C47),"000"))</f>
        <v/>
      </c>
      <c r="C47" s="12" t="n"/>
      <c r="D47" s="12" t="n"/>
      <c r="E47" s="12" t="n"/>
      <c r="F47" s="12" t="n"/>
      <c r="G47" s="12" t="n"/>
      <c r="H47" s="33" t="n"/>
      <c r="I47" s="33" t="n"/>
      <c r="J47" s="14" t="n"/>
      <c r="K47" s="21" t="n"/>
      <c r="L47" s="12" t="n"/>
    </row>
    <row r="48" ht="22" customHeight="1">
      <c r="B48" s="18">
        <f>IF(C48="","GAR-"&amp;TEXT(COUNTA($C$5:C48),"000"))</f>
        <v/>
      </c>
      <c r="C48" s="15" t="n"/>
      <c r="D48" s="15" t="n"/>
      <c r="E48" s="15" t="n"/>
      <c r="F48" s="15" t="n"/>
      <c r="G48" s="15" t="n"/>
      <c r="H48" s="34" t="n"/>
      <c r="I48" s="34" t="n"/>
      <c r="J48" s="17" t="n"/>
      <c r="K48" s="23" t="n"/>
      <c r="L48" s="15" t="n"/>
    </row>
    <row r="49" ht="22" customHeight="1">
      <c r="B49" s="19">
        <f>IF(C49="","GAR-"&amp;TEXT(COUNTA($C$5:C49),"000"))</f>
        <v/>
      </c>
      <c r="C49" s="12" t="n"/>
      <c r="D49" s="12" t="n"/>
      <c r="E49" s="12" t="n"/>
      <c r="F49" s="12" t="n"/>
      <c r="G49" s="12" t="n"/>
      <c r="H49" s="33" t="n"/>
      <c r="I49" s="33" t="n"/>
      <c r="J49" s="14" t="n"/>
      <c r="K49" s="21" t="n"/>
      <c r="L49" s="12" t="n"/>
    </row>
    <row r="50" ht="22" customHeight="1">
      <c r="B50" s="18">
        <f>IF(C50="","GAR-"&amp;TEXT(COUNTA($C$5:C50),"000"))</f>
        <v/>
      </c>
      <c r="C50" s="15" t="n"/>
      <c r="D50" s="15" t="n"/>
      <c r="E50" s="15" t="n"/>
      <c r="F50" s="15" t="n"/>
      <c r="G50" s="15" t="n"/>
      <c r="H50" s="34" t="n"/>
      <c r="I50" s="34" t="n"/>
      <c r="J50" s="17" t="n"/>
      <c r="K50" s="23" t="n"/>
      <c r="L50" s="15" t="n"/>
    </row>
    <row r="51" ht="22" customHeight="1">
      <c r="B51" s="19">
        <f>IF(C51="","GAR-"&amp;TEXT(COUNTA($C$5:C51),"000"))</f>
        <v/>
      </c>
      <c r="C51" s="12" t="n"/>
      <c r="D51" s="12" t="n"/>
      <c r="E51" s="12" t="n"/>
      <c r="F51" s="12" t="n"/>
      <c r="G51" s="12" t="n"/>
      <c r="H51" s="33" t="n"/>
      <c r="I51" s="33" t="n"/>
      <c r="J51" s="14" t="n"/>
      <c r="K51" s="21" t="n"/>
      <c r="L51" s="12" t="n"/>
    </row>
    <row r="52" ht="22" customHeight="1">
      <c r="B52" s="18">
        <f>IF(C52="","GAR-"&amp;TEXT(COUNTA($C$5:C52),"000"))</f>
        <v/>
      </c>
      <c r="C52" s="15" t="n"/>
      <c r="D52" s="15" t="n"/>
      <c r="E52" s="15" t="n"/>
      <c r="F52" s="15" t="n"/>
      <c r="G52" s="15" t="n"/>
      <c r="H52" s="34" t="n"/>
      <c r="I52" s="34" t="n"/>
      <c r="J52" s="17" t="n"/>
      <c r="K52" s="23" t="n"/>
      <c r="L52" s="15" t="n"/>
    </row>
    <row r="53" ht="22" customHeight="1">
      <c r="B53" s="19">
        <f>IF(C53="","GAR-"&amp;TEXT(COUNTA($C$5:C53),"000"))</f>
        <v/>
      </c>
      <c r="C53" s="12" t="n"/>
      <c r="D53" s="12" t="n"/>
      <c r="E53" s="12" t="n"/>
      <c r="F53" s="12" t="n"/>
      <c r="G53" s="12" t="n"/>
      <c r="H53" s="33" t="n"/>
      <c r="I53" s="33" t="n"/>
      <c r="J53" s="14" t="n"/>
      <c r="K53" s="21" t="n"/>
      <c r="L53" s="12" t="n"/>
    </row>
    <row r="54" ht="22" customHeight="1">
      <c r="B54" s="18">
        <f>IF(C54="","GAR-"&amp;TEXT(COUNTA($C$5:C54),"000"))</f>
        <v/>
      </c>
      <c r="C54" s="15" t="n"/>
      <c r="D54" s="15" t="n"/>
      <c r="E54" s="15" t="n"/>
      <c r="F54" s="15" t="n"/>
      <c r="G54" s="15" t="n"/>
      <c r="H54" s="34" t="n"/>
      <c r="I54" s="34" t="n"/>
      <c r="J54" s="17" t="n"/>
      <c r="K54" s="23" t="n"/>
      <c r="L54" s="15" t="n"/>
    </row>
    <row r="55" ht="22" customHeight="1">
      <c r="B55" s="19">
        <f>IF(C55="","GAR-"&amp;TEXT(COUNTA($C$5:C55),"000"))</f>
        <v/>
      </c>
      <c r="C55" s="12" t="n"/>
      <c r="D55" s="12" t="n"/>
      <c r="E55" s="12" t="n"/>
      <c r="F55" s="12" t="n"/>
      <c r="G55" s="12" t="n"/>
      <c r="H55" s="33" t="n"/>
      <c r="I55" s="33" t="n"/>
      <c r="J55" s="14" t="n"/>
      <c r="K55" s="21" t="n"/>
      <c r="L55" s="12" t="n"/>
    </row>
    <row r="56" ht="22" customHeight="1">
      <c r="B56" s="18">
        <f>IF(C56="","GAR-"&amp;TEXT(COUNTA($C$5:C56),"000"))</f>
        <v/>
      </c>
      <c r="C56" s="15" t="n"/>
      <c r="D56" s="15" t="n"/>
      <c r="E56" s="15" t="n"/>
      <c r="F56" s="15" t="n"/>
      <c r="G56" s="15" t="n"/>
      <c r="H56" s="34" t="n"/>
      <c r="I56" s="34" t="n"/>
      <c r="J56" s="17" t="n"/>
      <c r="K56" s="23" t="n"/>
      <c r="L56" s="15" t="n"/>
    </row>
    <row r="57" ht="22" customHeight="1">
      <c r="B57" s="19">
        <f>IF(C57="","GAR-"&amp;TEXT(COUNTA($C$5:C57),"000"))</f>
        <v/>
      </c>
      <c r="C57" s="12" t="n"/>
      <c r="D57" s="12" t="n"/>
      <c r="E57" s="12" t="n"/>
      <c r="F57" s="12" t="n"/>
      <c r="G57" s="12" t="n"/>
      <c r="H57" s="33" t="n"/>
      <c r="I57" s="33" t="n"/>
      <c r="J57" s="14" t="n"/>
      <c r="K57" s="21" t="n"/>
      <c r="L57" s="12" t="n"/>
    </row>
    <row r="58" ht="22" customHeight="1">
      <c r="B58" s="18">
        <f>IF(C58="","GAR-"&amp;TEXT(COUNTA($C$5:C58),"000"))</f>
        <v/>
      </c>
      <c r="C58" s="15" t="n"/>
      <c r="D58" s="15" t="n"/>
      <c r="E58" s="15" t="n"/>
      <c r="F58" s="15" t="n"/>
      <c r="G58" s="15" t="n"/>
      <c r="H58" s="34" t="n"/>
      <c r="I58" s="34" t="n"/>
      <c r="J58" s="17" t="n"/>
      <c r="K58" s="23" t="n"/>
      <c r="L58" s="15" t="n"/>
    </row>
    <row r="59" ht="22" customHeight="1">
      <c r="B59" s="19">
        <f>IF(C59="","GAR-"&amp;TEXT(COUNTA($C$5:C59),"000"))</f>
        <v/>
      </c>
      <c r="C59" s="12" t="n"/>
      <c r="D59" s="12" t="n"/>
      <c r="E59" s="12" t="n"/>
      <c r="F59" s="12" t="n"/>
      <c r="G59" s="12" t="n"/>
      <c r="H59" s="33" t="n"/>
      <c r="I59" s="33" t="n"/>
      <c r="J59" s="14" t="n"/>
      <c r="K59" s="21" t="n"/>
      <c r="L59" s="12" t="n"/>
    </row>
    <row r="60" ht="22" customHeight="1">
      <c r="B60" s="18">
        <f>IF(C60="","GAR-"&amp;TEXT(COUNTA($C$5:C60),"000"))</f>
        <v/>
      </c>
      <c r="C60" s="15" t="n"/>
      <c r="D60" s="15" t="n"/>
      <c r="E60" s="15" t="n"/>
      <c r="F60" s="15" t="n"/>
      <c r="G60" s="15" t="n"/>
      <c r="H60" s="34" t="n"/>
      <c r="I60" s="34" t="n"/>
      <c r="J60" s="17" t="n"/>
      <c r="K60" s="23" t="n"/>
      <c r="L60" s="15" t="n"/>
    </row>
    <row r="61" ht="22" customHeight="1">
      <c r="B61" s="19">
        <f>IF(C61="","GAR-"&amp;TEXT(COUNTA($C$5:C61),"000"))</f>
        <v/>
      </c>
      <c r="C61" s="12" t="n"/>
      <c r="D61" s="12" t="n"/>
      <c r="E61" s="12" t="n"/>
      <c r="F61" s="12" t="n"/>
      <c r="G61" s="12" t="n"/>
      <c r="H61" s="33" t="n"/>
      <c r="I61" s="33" t="n"/>
      <c r="J61" s="14" t="n"/>
      <c r="K61" s="21" t="n"/>
      <c r="L61" s="12" t="n"/>
    </row>
    <row r="62" ht="22" customHeight="1">
      <c r="B62" s="18">
        <f>IF(C62="","GAR-"&amp;TEXT(COUNTA($C$5:C62),"000"))</f>
        <v/>
      </c>
      <c r="C62" s="15" t="n"/>
      <c r="D62" s="15" t="n"/>
      <c r="E62" s="15" t="n"/>
      <c r="F62" s="15" t="n"/>
      <c r="G62" s="15" t="n"/>
      <c r="H62" s="34" t="n"/>
      <c r="I62" s="34" t="n"/>
      <c r="J62" s="17" t="n"/>
      <c r="K62" s="23" t="n"/>
      <c r="L62" s="15" t="n"/>
    </row>
    <row r="63" ht="22" customHeight="1">
      <c r="B63" s="19">
        <f>IF(C63="","GAR-"&amp;TEXT(COUNTA($C$5:C63),"000"))</f>
        <v/>
      </c>
      <c r="C63" s="12" t="n"/>
      <c r="D63" s="12" t="n"/>
      <c r="E63" s="12" t="n"/>
      <c r="F63" s="12" t="n"/>
      <c r="G63" s="12" t="n"/>
      <c r="H63" s="33" t="n"/>
      <c r="I63" s="33" t="n"/>
      <c r="J63" s="14" t="n"/>
      <c r="K63" s="21" t="n"/>
      <c r="L63" s="12" t="n"/>
    </row>
    <row r="64" ht="22" customHeight="1">
      <c r="B64" s="18">
        <f>IF(C64="","GAR-"&amp;TEXT(COUNTA($C$5:C64),"000"))</f>
        <v/>
      </c>
      <c r="C64" s="15" t="n"/>
      <c r="D64" s="15" t="n"/>
      <c r="E64" s="15" t="n"/>
      <c r="F64" s="15" t="n"/>
      <c r="G64" s="15" t="n"/>
      <c r="H64" s="34" t="n"/>
      <c r="I64" s="34" t="n"/>
      <c r="J64" s="17" t="n"/>
      <c r="K64" s="23" t="n"/>
      <c r="L64" s="15" t="n"/>
    </row>
    <row r="65" ht="22" customHeight="1">
      <c r="B65" s="19">
        <f>IF(C65="","GAR-"&amp;TEXT(COUNTA($C$5:C65),"000"))</f>
        <v/>
      </c>
      <c r="C65" s="12" t="n"/>
      <c r="D65" s="12" t="n"/>
      <c r="E65" s="12" t="n"/>
      <c r="F65" s="12" t="n"/>
      <c r="G65" s="12" t="n"/>
      <c r="H65" s="33" t="n"/>
      <c r="I65" s="33" t="n"/>
      <c r="J65" s="14" t="n"/>
      <c r="K65" s="21" t="n"/>
      <c r="L65" s="12" t="n"/>
    </row>
    <row r="66" ht="22" customHeight="1">
      <c r="B66" s="18">
        <f>IF(C66="","GAR-"&amp;TEXT(COUNTA($C$5:C66),"000"))</f>
        <v/>
      </c>
      <c r="C66" s="15" t="n"/>
      <c r="D66" s="15" t="n"/>
      <c r="E66" s="15" t="n"/>
      <c r="F66" s="15" t="n"/>
      <c r="G66" s="15" t="n"/>
      <c r="H66" s="34" t="n"/>
      <c r="I66" s="34" t="n"/>
      <c r="J66" s="17" t="n"/>
      <c r="K66" s="23" t="n"/>
      <c r="L66" s="15" t="n"/>
    </row>
    <row r="67" ht="22" customHeight="1">
      <c r="B67" s="19">
        <f>IF(C67="","GAR-"&amp;TEXT(COUNTA($C$5:C67),"000"))</f>
        <v/>
      </c>
      <c r="C67" s="12" t="n"/>
      <c r="D67" s="12" t="n"/>
      <c r="E67" s="12" t="n"/>
      <c r="F67" s="12" t="n"/>
      <c r="G67" s="12" t="n"/>
      <c r="H67" s="33" t="n"/>
      <c r="I67" s="33" t="n"/>
      <c r="J67" s="14" t="n"/>
      <c r="K67" s="21" t="n"/>
      <c r="L67" s="12" t="n"/>
    </row>
    <row r="68" ht="22" customHeight="1">
      <c r="B68" s="18">
        <f>IF(C68="","GAR-"&amp;TEXT(COUNTA($C$5:C68),"000"))</f>
        <v/>
      </c>
      <c r="C68" s="15" t="n"/>
      <c r="D68" s="15" t="n"/>
      <c r="E68" s="15" t="n"/>
      <c r="F68" s="15" t="n"/>
      <c r="G68" s="15" t="n"/>
      <c r="H68" s="34" t="n"/>
      <c r="I68" s="34" t="n"/>
      <c r="J68" s="17" t="n"/>
      <c r="K68" s="23" t="n"/>
      <c r="L68" s="15" t="n"/>
    </row>
    <row r="69" ht="22" customHeight="1">
      <c r="B69" s="19">
        <f>IF(C69="","GAR-"&amp;TEXT(COUNTA($C$5:C69),"000"))</f>
        <v/>
      </c>
      <c r="C69" s="12" t="n"/>
      <c r="D69" s="12" t="n"/>
      <c r="E69" s="12" t="n"/>
      <c r="F69" s="12" t="n"/>
      <c r="G69" s="12" t="n"/>
      <c r="H69" s="33" t="n"/>
      <c r="I69" s="33" t="n"/>
      <c r="J69" s="14" t="n"/>
      <c r="K69" s="21" t="n"/>
      <c r="L69" s="12" t="n"/>
    </row>
    <row r="70" ht="22" customHeight="1">
      <c r="B70" s="18">
        <f>IF(C70="","GAR-"&amp;TEXT(COUNTA($C$5:C70),"000"))</f>
        <v/>
      </c>
      <c r="C70" s="15" t="n"/>
      <c r="D70" s="15" t="n"/>
      <c r="E70" s="15" t="n"/>
      <c r="F70" s="15" t="n"/>
      <c r="G70" s="15" t="n"/>
      <c r="H70" s="34" t="n"/>
      <c r="I70" s="34" t="n"/>
      <c r="J70" s="17" t="n"/>
      <c r="K70" s="23" t="n"/>
      <c r="L70" s="15" t="n"/>
    </row>
    <row r="71" ht="22" customHeight="1">
      <c r="B71" s="19">
        <f>IF(C71="","GAR-"&amp;TEXT(COUNTA($C$5:C71),"000"))</f>
        <v/>
      </c>
      <c r="C71" s="12" t="n"/>
      <c r="D71" s="12" t="n"/>
      <c r="E71" s="12" t="n"/>
      <c r="F71" s="12" t="n"/>
      <c r="G71" s="12" t="n"/>
      <c r="H71" s="33" t="n"/>
      <c r="I71" s="33" t="n"/>
      <c r="J71" s="14" t="n"/>
      <c r="K71" s="21" t="n"/>
      <c r="L71" s="12" t="n"/>
    </row>
    <row r="72" ht="22" customHeight="1">
      <c r="B72" s="18">
        <f>IF(C72="","GAR-"&amp;TEXT(COUNTA($C$5:C72),"000"))</f>
        <v/>
      </c>
      <c r="C72" s="15" t="n"/>
      <c r="D72" s="15" t="n"/>
      <c r="E72" s="15" t="n"/>
      <c r="F72" s="15" t="n"/>
      <c r="G72" s="15" t="n"/>
      <c r="H72" s="34" t="n"/>
      <c r="I72" s="34" t="n"/>
      <c r="J72" s="17" t="n"/>
      <c r="K72" s="23" t="n"/>
      <c r="L72" s="15" t="n"/>
    </row>
    <row r="73" ht="22" customHeight="1">
      <c r="B73" s="19">
        <f>IF(C73="","GAR-"&amp;TEXT(COUNTA($C$5:C73),"000"))</f>
        <v/>
      </c>
      <c r="C73" s="12" t="n"/>
      <c r="D73" s="12" t="n"/>
      <c r="E73" s="12" t="n"/>
      <c r="F73" s="12" t="n"/>
      <c r="G73" s="12" t="n"/>
      <c r="H73" s="33" t="n"/>
      <c r="I73" s="33" t="n"/>
      <c r="J73" s="14" t="n"/>
      <c r="K73" s="21" t="n"/>
      <c r="L73" s="12" t="n"/>
    </row>
    <row r="74" ht="22" customHeight="1">
      <c r="B74" s="18">
        <f>IF(C74="","GAR-"&amp;TEXT(COUNTA($C$5:C74),"000"))</f>
        <v/>
      </c>
      <c r="C74" s="15" t="n"/>
      <c r="D74" s="15" t="n"/>
      <c r="E74" s="15" t="n"/>
      <c r="F74" s="15" t="n"/>
      <c r="G74" s="15" t="n"/>
      <c r="H74" s="34" t="n"/>
      <c r="I74" s="34" t="n"/>
      <c r="J74" s="17" t="n"/>
      <c r="K74" s="23" t="n"/>
      <c r="L74" s="15" t="n"/>
    </row>
    <row r="75" ht="22" customHeight="1">
      <c r="B75" s="19">
        <f>IF(C75="","GAR-"&amp;TEXT(COUNTA($C$5:C75),"000"))</f>
        <v/>
      </c>
      <c r="C75" s="12" t="n"/>
      <c r="D75" s="12" t="n"/>
      <c r="E75" s="12" t="n"/>
      <c r="F75" s="12" t="n"/>
      <c r="G75" s="12" t="n"/>
      <c r="H75" s="33" t="n"/>
      <c r="I75" s="33" t="n"/>
      <c r="J75" s="14" t="n"/>
      <c r="K75" s="21" t="n"/>
      <c r="L75" s="12" t="n"/>
    </row>
    <row r="76" ht="22" customHeight="1">
      <c r="B76" s="18">
        <f>IF(C76="","GAR-"&amp;TEXT(COUNTA($C$5:C76),"000"))</f>
        <v/>
      </c>
      <c r="C76" s="15" t="n"/>
      <c r="D76" s="15" t="n"/>
      <c r="E76" s="15" t="n"/>
      <c r="F76" s="15" t="n"/>
      <c r="G76" s="15" t="n"/>
      <c r="H76" s="34" t="n"/>
      <c r="I76" s="34" t="n"/>
      <c r="J76" s="17" t="n"/>
      <c r="K76" s="23" t="n"/>
      <c r="L76" s="15" t="n"/>
    </row>
    <row r="77" ht="22" customHeight="1">
      <c r="B77" s="19">
        <f>IF(C77="","GAR-"&amp;TEXT(COUNTA($C$5:C77),"000"))</f>
        <v/>
      </c>
      <c r="C77" s="12" t="n"/>
      <c r="D77" s="12" t="n"/>
      <c r="E77" s="12" t="n"/>
      <c r="F77" s="12" t="n"/>
      <c r="G77" s="12" t="n"/>
      <c r="H77" s="33" t="n"/>
      <c r="I77" s="33" t="n"/>
      <c r="J77" s="14" t="n"/>
      <c r="K77" s="21" t="n"/>
      <c r="L77" s="12" t="n"/>
    </row>
    <row r="78" ht="22" customHeight="1">
      <c r="B78" s="18">
        <f>IF(C78="","GAR-"&amp;TEXT(COUNTA($C$5:C78),"000"))</f>
        <v/>
      </c>
      <c r="C78" s="15" t="n"/>
      <c r="D78" s="15" t="n"/>
      <c r="E78" s="15" t="n"/>
      <c r="F78" s="15" t="n"/>
      <c r="G78" s="15" t="n"/>
      <c r="H78" s="34" t="n"/>
      <c r="I78" s="34" t="n"/>
      <c r="J78" s="17" t="n"/>
      <c r="K78" s="23" t="n"/>
      <c r="L78" s="15" t="n"/>
    </row>
    <row r="79" ht="22" customHeight="1">
      <c r="B79" s="19">
        <f>IF(C79="","GAR-"&amp;TEXT(COUNTA($C$5:C79),"000"))</f>
        <v/>
      </c>
      <c r="C79" s="12" t="n"/>
      <c r="D79" s="12" t="n"/>
      <c r="E79" s="12" t="n"/>
      <c r="F79" s="12" t="n"/>
      <c r="G79" s="12" t="n"/>
      <c r="H79" s="33" t="n"/>
      <c r="I79" s="33" t="n"/>
      <c r="J79" s="14" t="n"/>
      <c r="K79" s="21" t="n"/>
      <c r="L79" s="12" t="n"/>
    </row>
    <row r="80" ht="22" customHeight="1">
      <c r="B80" s="18">
        <f>IF(C80="","GAR-"&amp;TEXT(COUNTA($C$5:C80),"000"))</f>
        <v/>
      </c>
      <c r="C80" s="15" t="n"/>
      <c r="D80" s="15" t="n"/>
      <c r="E80" s="15" t="n"/>
      <c r="F80" s="15" t="n"/>
      <c r="G80" s="15" t="n"/>
      <c r="H80" s="34" t="n"/>
      <c r="I80" s="34" t="n"/>
      <c r="J80" s="17" t="n"/>
      <c r="K80" s="23" t="n"/>
      <c r="L80" s="15" t="n"/>
    </row>
    <row r="81" ht="22" customHeight="1">
      <c r="B81" s="19">
        <f>IF(C81="","GAR-"&amp;TEXT(COUNTA($C$5:C81),"000"))</f>
        <v/>
      </c>
      <c r="C81" s="12" t="n"/>
      <c r="D81" s="12" t="n"/>
      <c r="E81" s="12" t="n"/>
      <c r="F81" s="12" t="n"/>
      <c r="G81" s="12" t="n"/>
      <c r="H81" s="33" t="n"/>
      <c r="I81" s="33" t="n"/>
      <c r="J81" s="14" t="n"/>
      <c r="K81" s="21" t="n"/>
      <c r="L81" s="12" t="n"/>
    </row>
    <row r="82" ht="22" customHeight="1">
      <c r="B82" s="18">
        <f>IF(C82="","GAR-"&amp;TEXT(COUNTA($C$5:C82),"000"))</f>
        <v/>
      </c>
      <c r="C82" s="15" t="n"/>
      <c r="D82" s="15" t="n"/>
      <c r="E82" s="15" t="n"/>
      <c r="F82" s="15" t="n"/>
      <c r="G82" s="15" t="n"/>
      <c r="H82" s="34" t="n"/>
      <c r="I82" s="34" t="n"/>
      <c r="J82" s="17" t="n"/>
      <c r="K82" s="23" t="n"/>
      <c r="L82" s="15" t="n"/>
    </row>
    <row r="83" ht="22" customHeight="1">
      <c r="B83" s="19">
        <f>IF(C83="","GAR-"&amp;TEXT(COUNTA($C$5:C83),"000"))</f>
        <v/>
      </c>
      <c r="C83" s="12" t="n"/>
      <c r="D83" s="12" t="n"/>
      <c r="E83" s="12" t="n"/>
      <c r="F83" s="12" t="n"/>
      <c r="G83" s="12" t="n"/>
      <c r="H83" s="33" t="n"/>
      <c r="I83" s="33" t="n"/>
      <c r="J83" s="14" t="n"/>
      <c r="K83" s="21" t="n"/>
      <c r="L83" s="12" t="n"/>
    </row>
    <row r="84" ht="22" customHeight="1">
      <c r="B84" s="18">
        <f>IF(C84="","GAR-"&amp;TEXT(COUNTA($C$5:C84),"000"))</f>
        <v/>
      </c>
      <c r="C84" s="15" t="n"/>
      <c r="D84" s="15" t="n"/>
      <c r="E84" s="15" t="n"/>
      <c r="F84" s="15" t="n"/>
      <c r="G84" s="15" t="n"/>
      <c r="H84" s="34" t="n"/>
      <c r="I84" s="34" t="n"/>
      <c r="J84" s="17" t="n"/>
      <c r="K84" s="23" t="n"/>
      <c r="L84" s="15" t="n"/>
    </row>
    <row r="85" ht="22" customHeight="1">
      <c r="B85" s="19">
        <f>IF(C85="","GAR-"&amp;TEXT(COUNTA($C$5:C85),"000"))</f>
        <v/>
      </c>
      <c r="C85" s="12" t="n"/>
      <c r="D85" s="12" t="n"/>
      <c r="E85" s="12" t="n"/>
      <c r="F85" s="12" t="n"/>
      <c r="G85" s="12" t="n"/>
      <c r="H85" s="33" t="n"/>
      <c r="I85" s="33" t="n"/>
      <c r="J85" s="14" t="n"/>
      <c r="K85" s="21" t="n"/>
      <c r="L85" s="12" t="n"/>
    </row>
    <row r="86" ht="22" customHeight="1">
      <c r="B86" s="18">
        <f>IF(C86="","GAR-"&amp;TEXT(COUNTA($C$5:C86),"000"))</f>
        <v/>
      </c>
      <c r="C86" s="15" t="n"/>
      <c r="D86" s="15" t="n"/>
      <c r="E86" s="15" t="n"/>
      <c r="F86" s="15" t="n"/>
      <c r="G86" s="15" t="n"/>
      <c r="H86" s="34" t="n"/>
      <c r="I86" s="34" t="n"/>
      <c r="J86" s="17" t="n"/>
      <c r="K86" s="23" t="n"/>
      <c r="L86" s="15" t="n"/>
    </row>
    <row r="87" ht="22" customHeight="1">
      <c r="B87" s="19">
        <f>IF(C87="","GAR-"&amp;TEXT(COUNTA($C$5:C87),"000"))</f>
        <v/>
      </c>
      <c r="C87" s="12" t="n"/>
      <c r="D87" s="12" t="n"/>
      <c r="E87" s="12" t="n"/>
      <c r="F87" s="12" t="n"/>
      <c r="G87" s="12" t="n"/>
      <c r="H87" s="33" t="n"/>
      <c r="I87" s="33" t="n"/>
      <c r="J87" s="14" t="n"/>
      <c r="K87" s="21" t="n"/>
      <c r="L87" s="12" t="n"/>
    </row>
    <row r="88" ht="22" customHeight="1">
      <c r="B88" s="18">
        <f>IF(C88="","GAR-"&amp;TEXT(COUNTA($C$5:C88),"000"))</f>
        <v/>
      </c>
      <c r="C88" s="15" t="n"/>
      <c r="D88" s="15" t="n"/>
      <c r="E88" s="15" t="n"/>
      <c r="F88" s="15" t="n"/>
      <c r="G88" s="15" t="n"/>
      <c r="H88" s="34" t="n"/>
      <c r="I88" s="34" t="n"/>
      <c r="J88" s="17" t="n"/>
      <c r="K88" s="23" t="n"/>
      <c r="L88" s="15" t="n"/>
    </row>
    <row r="89" ht="22" customHeight="1">
      <c r="B89" s="19">
        <f>IF(C89="","GAR-"&amp;TEXT(COUNTA($C$5:C89),"000"))</f>
        <v/>
      </c>
      <c r="C89" s="12" t="n"/>
      <c r="D89" s="12" t="n"/>
      <c r="E89" s="12" t="n"/>
      <c r="F89" s="12" t="n"/>
      <c r="G89" s="12" t="n"/>
      <c r="H89" s="33" t="n"/>
      <c r="I89" s="33" t="n"/>
      <c r="J89" s="14" t="n"/>
      <c r="K89" s="21" t="n"/>
      <c r="L89" s="12" t="n"/>
    </row>
    <row r="90" ht="22" customHeight="1">
      <c r="B90" s="18">
        <f>IF(C90="","GAR-"&amp;TEXT(COUNTA($C$5:C90),"000"))</f>
        <v/>
      </c>
      <c r="C90" s="15" t="n"/>
      <c r="D90" s="15" t="n"/>
      <c r="E90" s="15" t="n"/>
      <c r="F90" s="15" t="n"/>
      <c r="G90" s="15" t="n"/>
      <c r="H90" s="34" t="n"/>
      <c r="I90" s="34" t="n"/>
      <c r="J90" s="17" t="n"/>
      <c r="K90" s="23" t="n"/>
      <c r="L90" s="15" t="n"/>
    </row>
    <row r="91" ht="22" customHeight="1">
      <c r="B91" s="19">
        <f>IF(C91="","GAR-"&amp;TEXT(COUNTA($C$5:C91),"000"))</f>
        <v/>
      </c>
      <c r="C91" s="12" t="n"/>
      <c r="D91" s="12" t="n"/>
      <c r="E91" s="12" t="n"/>
      <c r="F91" s="12" t="n"/>
      <c r="G91" s="12" t="n"/>
      <c r="H91" s="33" t="n"/>
      <c r="I91" s="33" t="n"/>
      <c r="J91" s="14" t="n"/>
      <c r="K91" s="21" t="n"/>
      <c r="L91" s="12" t="n"/>
    </row>
    <row r="92" ht="22" customHeight="1">
      <c r="B92" s="18">
        <f>IF(C92="","GAR-"&amp;TEXT(COUNTA($C$5:C92),"000"))</f>
        <v/>
      </c>
      <c r="C92" s="15" t="n"/>
      <c r="D92" s="15" t="n"/>
      <c r="E92" s="15" t="n"/>
      <c r="F92" s="15" t="n"/>
      <c r="G92" s="15" t="n"/>
      <c r="H92" s="34" t="n"/>
      <c r="I92" s="34" t="n"/>
      <c r="J92" s="17" t="n"/>
      <c r="K92" s="23" t="n"/>
      <c r="L92" s="15" t="n"/>
    </row>
    <row r="93" ht="22" customHeight="1">
      <c r="B93" s="19">
        <f>IF(C93="","GAR-"&amp;TEXT(COUNTA($C$5:C93),"000"))</f>
        <v/>
      </c>
      <c r="C93" s="12" t="n"/>
      <c r="D93" s="12" t="n"/>
      <c r="E93" s="12" t="n"/>
      <c r="F93" s="12" t="n"/>
      <c r="G93" s="12" t="n"/>
      <c r="H93" s="33" t="n"/>
      <c r="I93" s="33" t="n"/>
      <c r="J93" s="14" t="n"/>
      <c r="K93" s="21" t="n"/>
      <c r="L93" s="12" t="n"/>
    </row>
    <row r="94" ht="22" customHeight="1">
      <c r="B94" s="18">
        <f>IF(C94="","GAR-"&amp;TEXT(COUNTA($C$5:C94),"000"))</f>
        <v/>
      </c>
      <c r="C94" s="15" t="n"/>
      <c r="D94" s="15" t="n"/>
      <c r="E94" s="15" t="n"/>
      <c r="F94" s="15" t="n"/>
      <c r="G94" s="15" t="n"/>
      <c r="H94" s="34" t="n"/>
      <c r="I94" s="34" t="n"/>
      <c r="J94" s="17" t="n"/>
      <c r="K94" s="23" t="n"/>
      <c r="L94" s="15" t="n"/>
    </row>
    <row r="95" ht="22" customHeight="1">
      <c r="B95" s="19">
        <f>IF(C95="","GAR-"&amp;TEXT(COUNTA($C$5:C95),"000"))</f>
        <v/>
      </c>
      <c r="C95" s="12" t="n"/>
      <c r="D95" s="12" t="n"/>
      <c r="E95" s="12" t="n"/>
      <c r="F95" s="12" t="n"/>
      <c r="G95" s="12" t="n"/>
      <c r="H95" s="33" t="n"/>
      <c r="I95" s="33" t="n"/>
      <c r="J95" s="14" t="n"/>
      <c r="K95" s="21" t="n"/>
      <c r="L95" s="12" t="n"/>
    </row>
    <row r="96" ht="22" customHeight="1">
      <c r="B96" s="18">
        <f>IF(C96="","GAR-"&amp;TEXT(COUNTA($C$5:C96),"000"))</f>
        <v/>
      </c>
      <c r="C96" s="15" t="n"/>
      <c r="D96" s="15" t="n"/>
      <c r="E96" s="15" t="n"/>
      <c r="F96" s="15" t="n"/>
      <c r="G96" s="15" t="n"/>
      <c r="H96" s="34" t="n"/>
      <c r="I96" s="34" t="n"/>
      <c r="J96" s="17" t="n"/>
      <c r="K96" s="23" t="n"/>
      <c r="L96" s="15" t="n"/>
    </row>
    <row r="97" ht="22" customHeight="1">
      <c r="B97" s="19">
        <f>IF(C97="","GAR-"&amp;TEXT(COUNTA($C$5:C97),"000"))</f>
        <v/>
      </c>
      <c r="C97" s="12" t="n"/>
      <c r="D97" s="12" t="n"/>
      <c r="E97" s="12" t="n"/>
      <c r="F97" s="12" t="n"/>
      <c r="G97" s="12" t="n"/>
      <c r="H97" s="33" t="n"/>
      <c r="I97" s="33" t="n"/>
      <c r="J97" s="14" t="n"/>
      <c r="K97" s="21" t="n"/>
      <c r="L97" s="12" t="n"/>
    </row>
    <row r="98" ht="22" customHeight="1">
      <c r="B98" s="18">
        <f>IF(C98="","GAR-"&amp;TEXT(COUNTA($C$5:C98),"000"))</f>
        <v/>
      </c>
      <c r="C98" s="15" t="n"/>
      <c r="D98" s="15" t="n"/>
      <c r="E98" s="15" t="n"/>
      <c r="F98" s="15" t="n"/>
      <c r="G98" s="15" t="n"/>
      <c r="H98" s="34" t="n"/>
      <c r="I98" s="34" t="n"/>
      <c r="J98" s="17" t="n"/>
      <c r="K98" s="23" t="n"/>
      <c r="L98" s="15" t="n"/>
    </row>
    <row r="99" ht="22" customHeight="1">
      <c r="B99" s="19">
        <f>IF(C99="","GAR-"&amp;TEXT(COUNTA($C$5:C99),"000"))</f>
        <v/>
      </c>
      <c r="C99" s="12" t="n"/>
      <c r="D99" s="12" t="n"/>
      <c r="E99" s="12" t="n"/>
      <c r="F99" s="12" t="n"/>
      <c r="G99" s="12" t="n"/>
      <c r="H99" s="33" t="n"/>
      <c r="I99" s="33" t="n"/>
      <c r="J99" s="14" t="n"/>
      <c r="K99" s="21" t="n"/>
      <c r="L99" s="12" t="n"/>
    </row>
    <row r="100" ht="22" customHeight="1">
      <c r="B100" s="18">
        <f>IF(C100="","GAR-"&amp;TEXT(COUNTA($C$5:C100),"000"))</f>
        <v/>
      </c>
      <c r="C100" s="15" t="n"/>
      <c r="D100" s="15" t="n"/>
      <c r="E100" s="15" t="n"/>
      <c r="F100" s="15" t="n"/>
      <c r="G100" s="15" t="n"/>
      <c r="H100" s="34" t="n"/>
      <c r="I100" s="34" t="n"/>
      <c r="J100" s="17" t="n"/>
      <c r="K100" s="23" t="n"/>
      <c r="L100" s="15" t="n"/>
    </row>
    <row r="101" ht="22" customHeight="1">
      <c r="B101" s="19">
        <f>IF(C101="","GAR-"&amp;TEXT(COUNTA($C$5:C101),"000"))</f>
        <v/>
      </c>
      <c r="C101" s="12" t="n"/>
      <c r="D101" s="12" t="n"/>
      <c r="E101" s="12" t="n"/>
      <c r="F101" s="12" t="n"/>
      <c r="G101" s="12" t="n"/>
      <c r="H101" s="33" t="n"/>
      <c r="I101" s="33" t="n"/>
      <c r="J101" s="14" t="n"/>
      <c r="K101" s="21" t="n"/>
      <c r="L101" s="12" t="n"/>
    </row>
    <row r="102" ht="22" customHeight="1">
      <c r="B102" s="18">
        <f>IF(C102="","GAR-"&amp;TEXT(COUNTA($C$5:C102),"000"))</f>
        <v/>
      </c>
      <c r="C102" s="15" t="n"/>
      <c r="D102" s="15" t="n"/>
      <c r="E102" s="15" t="n"/>
      <c r="F102" s="15" t="n"/>
      <c r="G102" s="15" t="n"/>
      <c r="H102" s="34" t="n"/>
      <c r="I102" s="34" t="n"/>
      <c r="J102" s="17" t="n"/>
      <c r="K102" s="23" t="n"/>
      <c r="L102" s="15" t="n"/>
    </row>
    <row r="103" ht="22" customHeight="1">
      <c r="B103" s="19">
        <f>IF(C103="","GAR-"&amp;TEXT(COUNTA($C$5:C103),"000"))</f>
        <v/>
      </c>
      <c r="C103" s="12" t="n"/>
      <c r="D103" s="12" t="n"/>
      <c r="E103" s="12" t="n"/>
      <c r="F103" s="12" t="n"/>
      <c r="G103" s="12" t="n"/>
      <c r="H103" s="33" t="n"/>
      <c r="I103" s="33" t="n"/>
      <c r="J103" s="14" t="n"/>
      <c r="K103" s="21" t="n"/>
      <c r="L103" s="12" t="n"/>
    </row>
    <row r="104" ht="22" customHeight="1">
      <c r="B104" s="18">
        <f>IF(C104="","GAR-"&amp;TEXT(COUNTA($C$5:C104),"000"))</f>
        <v/>
      </c>
      <c r="C104" s="15" t="n"/>
      <c r="D104" s="15" t="n"/>
      <c r="E104" s="15" t="n"/>
      <c r="F104" s="15" t="n"/>
      <c r="G104" s="15" t="n"/>
      <c r="H104" s="34" t="n"/>
      <c r="I104" s="34" t="n"/>
      <c r="J104" s="17" t="n"/>
      <c r="K104" s="23" t="n"/>
      <c r="L104" s="15" t="n"/>
    </row>
    <row r="105" ht="22" customHeight="1">
      <c r="B105" s="19">
        <f>IF(C105="","GAR-"&amp;TEXT(COUNTA($C$5:C105),"000"))</f>
        <v/>
      </c>
      <c r="C105" s="12" t="n"/>
      <c r="D105" s="12" t="n"/>
      <c r="E105" s="12" t="n"/>
      <c r="F105" s="12" t="n"/>
      <c r="G105" s="12" t="n"/>
      <c r="H105" s="33" t="n"/>
      <c r="I105" s="33" t="n"/>
      <c r="J105" s="14" t="n"/>
      <c r="K105" s="21" t="n"/>
      <c r="L105" s="12" t="n"/>
    </row>
    <row r="106" ht="22" customHeight="1">
      <c r="B106" s="18">
        <f>IF(C106="","GAR-"&amp;TEXT(COUNTA($C$5:C106),"000"))</f>
        <v/>
      </c>
      <c r="C106" s="15" t="n"/>
      <c r="D106" s="15" t="n"/>
      <c r="E106" s="15" t="n"/>
      <c r="F106" s="15" t="n"/>
      <c r="G106" s="15" t="n"/>
      <c r="H106" s="34" t="n"/>
      <c r="I106" s="34" t="n"/>
      <c r="J106" s="17" t="n"/>
      <c r="K106" s="23" t="n"/>
      <c r="L106" s="15" t="n"/>
    </row>
    <row r="107" ht="22" customHeight="1">
      <c r="B107" s="19">
        <f>IF(C107="","GAR-"&amp;TEXT(COUNTA($C$5:C107),"000"))</f>
        <v/>
      </c>
      <c r="C107" s="12" t="n"/>
      <c r="D107" s="12" t="n"/>
      <c r="E107" s="12" t="n"/>
      <c r="F107" s="12" t="n"/>
      <c r="G107" s="12" t="n"/>
      <c r="H107" s="33" t="n"/>
      <c r="I107" s="33" t="n"/>
      <c r="J107" s="14" t="n"/>
      <c r="K107" s="21" t="n"/>
      <c r="L107" s="12" t="n"/>
    </row>
    <row r="108" ht="22" customHeight="1">
      <c r="B108" s="18">
        <f>IF(C108="","GAR-"&amp;TEXT(COUNTA($C$5:C108),"000"))</f>
        <v/>
      </c>
      <c r="C108" s="15" t="n"/>
      <c r="D108" s="15" t="n"/>
      <c r="E108" s="15" t="n"/>
      <c r="F108" s="15" t="n"/>
      <c r="G108" s="15" t="n"/>
      <c r="H108" s="34" t="n"/>
      <c r="I108" s="34" t="n"/>
      <c r="J108" s="17" t="n"/>
      <c r="K108" s="23" t="n"/>
      <c r="L108" s="15" t="n"/>
    </row>
    <row r="109" ht="22" customHeight="1">
      <c r="B109" s="19">
        <f>IF(C109="","GAR-"&amp;TEXT(COUNTA($C$5:C109),"000"))</f>
        <v/>
      </c>
      <c r="C109" s="12" t="n"/>
      <c r="D109" s="12" t="n"/>
      <c r="E109" s="12" t="n"/>
      <c r="F109" s="12" t="n"/>
      <c r="G109" s="12" t="n"/>
      <c r="H109" s="33" t="n"/>
      <c r="I109" s="33" t="n"/>
      <c r="J109" s="14" t="n"/>
      <c r="K109" s="21" t="n"/>
      <c r="L109" s="12" t="n"/>
    </row>
    <row r="110"/>
    <row r="111" ht="26" customHeight="1">
      <c r="B111" s="24" t="inlineStr">
        <is>
          <t>TOTAL</t>
        </is>
      </c>
      <c r="C111" s="25" t="n"/>
      <c r="D111" s="25" t="n"/>
      <c r="E111" s="25" t="n"/>
      <c r="F111" s="25" t="n"/>
      <c r="G111" s="25" t="n"/>
      <c r="H111" s="25" t="n"/>
      <c r="I111" s="25" t="n"/>
      <c r="J111" s="26">
        <f>SUM(J5:J104)</f>
        <v/>
      </c>
      <c r="K111" s="26">
        <f>SUM(K5:K104)</f>
        <v/>
      </c>
      <c r="L111" s="25" t="n"/>
    </row>
    <row r="112"/>
    <row r="113">
      <c r="B113" s="6" t="inlineStr">
        <is>
          <t>INDICATEURS (mis a jour automatiquement)</t>
        </is>
      </c>
    </row>
    <row r="114">
      <c r="B114" s="3" t="inlineStr">
        <is>
          <t>Total gardes</t>
        </is>
      </c>
      <c r="D114" s="3" t="inlineStr">
        <is>
          <t>Heures de garde</t>
        </is>
      </c>
      <c r="F114" s="3" t="inlineStr">
        <is>
          <t>Budget gardes (FCFA)</t>
        </is>
      </c>
      <c r="H114" s="3" t="inlineStr">
        <is>
          <t>Gardes effectuees</t>
        </is>
      </c>
    </row>
    <row r="115">
      <c r="B115" s="4">
        <f>COUNTIF(B5:B104,"&lt;&gt;")</f>
        <v/>
      </c>
      <c r="D115" s="4">
        <f>SUM(J5:J104)</f>
        <v/>
      </c>
      <c r="F115" s="4">
        <f>SUM(K5:K104)</f>
        <v/>
      </c>
      <c r="H115" s="4">
        <f>COUNTIF(L5:L104,"Effectuee")</f>
        <v/>
      </c>
    </row>
  </sheetData>
  <mergeCells count="3">
    <mergeCell ref="B2:L2"/>
    <mergeCell ref="B113:L113"/>
    <mergeCell ref="B3:L3"/>
  </mergeCells>
  <conditionalFormatting sqref="L5:L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dataValidations count="4">
    <dataValidation sqref="E5:E109" showDropDown="0" showInputMessage="0" showErrorMessage="0" allowBlank="1" errorTitle="Erreur" error="Valeur invalide" promptTitle="Liste" prompt="Choisir dans la liste" type="list">
      <formula1>'_Lists'!$B$2:$B$14</formula1>
    </dataValidation>
    <dataValidation sqref="F5:F109" showDropDown="0" showInputMessage="0" showErrorMessage="0" allowBlank="1" errorTitle="Erreur" error="Valeur invalide" promptTitle="Liste" prompt="Choisir dans la liste" type="list">
      <formula1>'_Lists'!$C$2:$C$30</formula1>
    </dataValidation>
    <dataValidation sqref="G5:G109" showDropDown="0" showInputMessage="0" showErrorMessage="0" allowBlank="1" errorTitle="Erreur" error="Valeur invalide" promptTitle="Liste" prompt="Choisir dans la liste" type="list">
      <formula1>'_Lists'!$G$2:$G$5</formula1>
    </dataValidation>
    <dataValidation sqref="L5:L109" showDropDown="0" showInputMessage="0" showErrorMessage="0" allowBlank="1" errorTitle="Erreur" error="Valeur invalide" promptTitle="Liste" prompt="Choisir dans la liste" type="list">
      <formula1>'_Lists'!$H$2:$H$5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16" customWidth="1" min="3" max="3"/>
    <col width="20" customWidth="1" min="4" max="4"/>
    <col width="18" customWidth="1" min="5" max="5"/>
    <col width="24" customWidth="1" min="6" max="6"/>
    <col width="14" customWidth="1" min="7" max="7"/>
    <col width="14" customWidth="1" min="8" max="8"/>
    <col width="16" customWidth="1" min="9" max="9"/>
    <col width="16" customWidth="1" min="10" max="10"/>
    <col width="14" customWidth="1" min="11" max="11"/>
    <col width="16" customWidth="1" min="12" max="12"/>
    <col width="14" customWidth="1" min="13" max="13"/>
    <col width="16" customWidth="1" min="14" max="14"/>
    <col width="24" customWidth="1" min="15" max="15"/>
  </cols>
  <sheetData>
    <row r="1" ht="15" customHeight="1"/>
    <row r="2" ht="32" customHeight="1">
      <c r="B2" s="1" t="inlineStr">
        <is>
          <t>POINTAGE JOURNALIER</t>
        </is>
      </c>
    </row>
    <row r="3" ht="8" customHeight="1">
      <c r="B3" s="2" t="inlineStr">
        <is>
          <t>TABLEAU DYNAMIQUE — Saisissez dans la prochaine ligne jaune. Les calculs se mettent a jour automatiquement.</t>
        </is>
      </c>
    </row>
    <row r="4" ht="28" customHeight="1">
      <c r="B4" s="11" t="inlineStr">
        <is>
          <t>N° Pointage</t>
        </is>
      </c>
      <c r="C4" s="11" t="inlineStr">
        <is>
          <t>Matricule</t>
        </is>
      </c>
      <c r="D4" s="11" t="inlineStr">
        <is>
          <t>Nom Employe</t>
        </is>
      </c>
      <c r="E4" s="11" t="inlineStr">
        <is>
          <t>Departement</t>
        </is>
      </c>
      <c r="F4" s="11" t="inlineStr">
        <is>
          <t>Date</t>
        </is>
      </c>
      <c r="G4" s="11" t="inlineStr">
        <is>
          <t>Heure Arrivee</t>
        </is>
      </c>
      <c r="H4" s="11" t="inlineStr">
        <is>
          <t>Heure Depart</t>
        </is>
      </c>
      <c r="I4" s="11" t="inlineStr">
        <is>
          <t>Duree Travail (h)</t>
        </is>
      </c>
      <c r="J4" s="11" t="inlineStr">
        <is>
          <t>Pause Dejeuner (h)</t>
        </is>
      </c>
      <c r="K4" s="11" t="inlineStr">
        <is>
          <t>Heures Nettes (h)</t>
        </is>
      </c>
      <c r="L4" s="11" t="inlineStr">
        <is>
          <t>Mode Pointage</t>
        </is>
      </c>
      <c r="M4" s="11" t="inlineStr">
        <is>
          <t>Retard (min)</t>
        </is>
      </c>
      <c r="N4" s="11" t="inlineStr">
        <is>
          <t>Statut</t>
        </is>
      </c>
      <c r="O4" s="11" t="inlineStr">
        <is>
          <t>Observations</t>
        </is>
      </c>
    </row>
    <row r="5" ht="22" customHeight="1">
      <c r="B5" s="12" t="inlineStr">
        <is>
          <t>PTJ-001</t>
        </is>
      </c>
      <c r="C5" s="12" t="inlineStr">
        <is>
          <t>EMP-001</t>
        </is>
      </c>
      <c r="D5" s="12">
        <f>IF(C5="","",IFERROR(VLOOKUP(C5,'_Données Employés'!$B$5:$H$18,3,FALSE)&amp;" "&amp;VLOOKUP(C5,'_Données Employés'!$B$5:$H$18,4,FALSE),""))</f>
        <v/>
      </c>
      <c r="E5" s="12">
        <f>IF(C5="","",IFERROR(VLOOKUP(C5,'_Données Employés'!$B$5:$H$18,5,FALSE),""))</f>
        <v/>
      </c>
      <c r="F5" s="33" t="n">
        <v>45810</v>
      </c>
      <c r="G5" s="12" t="inlineStr">
        <is>
          <t>07h55</t>
        </is>
      </c>
      <c r="H5" s="12" t="inlineStr">
        <is>
          <t>17h10</t>
        </is>
      </c>
      <c r="I5" s="27" t="n">
        <v>9.25</v>
      </c>
      <c r="J5" s="14" t="n">
        <v>1</v>
      </c>
      <c r="K5" s="27" t="n">
        <v>8.25</v>
      </c>
      <c r="L5" s="12" t="inlineStr">
        <is>
          <t>Badgeuse</t>
        </is>
      </c>
      <c r="M5" s="13" t="n">
        <v>0</v>
      </c>
      <c r="N5" s="12" t="inlineStr">
        <is>
          <t>Valide</t>
        </is>
      </c>
      <c r="O5" s="12" t="inlineStr"/>
    </row>
    <row r="6" ht="22" customHeight="1">
      <c r="B6" s="15" t="inlineStr">
        <is>
          <t>PTJ-002</t>
        </is>
      </c>
      <c r="C6" s="15" t="inlineStr">
        <is>
          <t>EMP-002</t>
        </is>
      </c>
      <c r="D6" s="15">
        <f>IF(C6="","",IFERROR(VLOOKUP(C6,'_Données Employés'!$B$5:$H$18,3,FALSE)&amp;" "&amp;VLOOKUP(C6,'_Données Employés'!$B$5:$H$18,4,FALSE),""))</f>
        <v/>
      </c>
      <c r="E6" s="15">
        <f>IF(C6="","",IFERROR(VLOOKUP(C6,'_Données Employés'!$B$5:$H$18,5,FALSE),""))</f>
        <v/>
      </c>
      <c r="F6" s="34" t="n">
        <v>45810</v>
      </c>
      <c r="G6" s="15" t="inlineStr">
        <is>
          <t>08h15</t>
        </is>
      </c>
      <c r="H6" s="15" t="inlineStr">
        <is>
          <t>17h30</t>
        </is>
      </c>
      <c r="I6" s="28" t="n">
        <v>9.25</v>
      </c>
      <c r="J6" s="17" t="n">
        <v>1</v>
      </c>
      <c r="K6" s="28" t="n">
        <v>8.25</v>
      </c>
      <c r="L6" s="15" t="inlineStr">
        <is>
          <t>Badgeuse</t>
        </is>
      </c>
      <c r="M6" s="16" t="n">
        <v>15</v>
      </c>
      <c r="N6" s="15" t="inlineStr">
        <is>
          <t>Valide</t>
        </is>
      </c>
      <c r="O6" s="15" t="inlineStr">
        <is>
          <t>Retard mineur</t>
        </is>
      </c>
    </row>
    <row r="7" ht="22" customHeight="1">
      <c r="B7" s="12" t="inlineStr">
        <is>
          <t>PTJ-003</t>
        </is>
      </c>
      <c r="C7" s="12" t="inlineStr">
        <is>
          <t>EMP-003</t>
        </is>
      </c>
      <c r="D7" s="12">
        <f>IF(C7="","",IFERROR(VLOOKUP(C7,'_Données Employés'!$B$5:$H$18,3,FALSE)&amp;" "&amp;VLOOKUP(C7,'_Données Employés'!$B$5:$H$18,4,FALSE),""))</f>
        <v/>
      </c>
      <c r="E7" s="12">
        <f>IF(C7="","",IFERROR(VLOOKUP(C7,'_Données Employés'!$B$5:$H$18,5,FALSE),""))</f>
        <v/>
      </c>
      <c r="F7" s="33" t="n">
        <v>45810</v>
      </c>
      <c r="G7" s="12" t="inlineStr">
        <is>
          <t>08h00</t>
        </is>
      </c>
      <c r="H7" s="12" t="inlineStr">
        <is>
          <t>17h05</t>
        </is>
      </c>
      <c r="I7" s="27" t="n">
        <v>9.08</v>
      </c>
      <c r="J7" s="14" t="n">
        <v>1</v>
      </c>
      <c r="K7" s="27" t="n">
        <v>8.08</v>
      </c>
      <c r="L7" s="12" t="inlineStr">
        <is>
          <t>Badgeuse</t>
        </is>
      </c>
      <c r="M7" s="13" t="n">
        <v>0</v>
      </c>
      <c r="N7" s="12" t="inlineStr">
        <is>
          <t>Valide</t>
        </is>
      </c>
      <c r="O7" s="12" t="inlineStr"/>
    </row>
    <row r="8" ht="22" customHeight="1">
      <c r="B8" s="15" t="inlineStr">
        <is>
          <t>PTJ-004</t>
        </is>
      </c>
      <c r="C8" s="15" t="inlineStr">
        <is>
          <t>EMP-004</t>
        </is>
      </c>
      <c r="D8" s="15">
        <f>IF(C8="","",IFERROR(VLOOKUP(C8,'_Données Employés'!$B$5:$H$18,3,FALSE)&amp;" "&amp;VLOOKUP(C8,'_Données Employés'!$B$5:$H$18,4,FALSE),""))</f>
        <v/>
      </c>
      <c r="E8" s="15">
        <f>IF(C8="","",IFERROR(VLOOKUP(C8,'_Données Employés'!$B$5:$H$18,5,FALSE),""))</f>
        <v/>
      </c>
      <c r="F8" s="34" t="n">
        <v>45810</v>
      </c>
      <c r="G8" s="15" t="inlineStr">
        <is>
          <t>06h00</t>
        </is>
      </c>
      <c r="H8" s="15" t="inlineStr">
        <is>
          <t>14h10</t>
        </is>
      </c>
      <c r="I8" s="28" t="n">
        <v>8.17</v>
      </c>
      <c r="J8" s="17" t="n">
        <v>0.5</v>
      </c>
      <c r="K8" s="28" t="n">
        <v>7.67</v>
      </c>
      <c r="L8" s="15" t="inlineStr">
        <is>
          <t>Pointeur</t>
        </is>
      </c>
      <c r="M8" s="16" t="n">
        <v>0</v>
      </c>
      <c r="N8" s="15" t="inlineStr">
        <is>
          <t>Valide</t>
        </is>
      </c>
      <c r="O8" s="15" t="inlineStr"/>
    </row>
    <row r="9" ht="22" customHeight="1">
      <c r="B9" s="12" t="inlineStr">
        <is>
          <t>PTJ-005</t>
        </is>
      </c>
      <c r="C9" s="12" t="inlineStr">
        <is>
          <t>EMP-005</t>
        </is>
      </c>
      <c r="D9" s="12">
        <f>IF(C9="","",IFERROR(VLOOKUP(C9,'_Données Employés'!$B$5:$H$18,3,FALSE)&amp;" "&amp;VLOOKUP(C9,'_Données Employés'!$B$5:$H$18,4,FALSE),""))</f>
        <v/>
      </c>
      <c r="E9" s="12">
        <f>IF(C9="","",IFERROR(VLOOKUP(C9,'_Données Employés'!$B$5:$H$18,5,FALSE),""))</f>
        <v/>
      </c>
      <c r="F9" s="33" t="n">
        <v>45810</v>
      </c>
      <c r="G9" s="12" t="n"/>
      <c r="H9" s="12" t="n"/>
      <c r="I9" s="27" t="n">
        <v>0</v>
      </c>
      <c r="J9" s="14" t="n">
        <v>0</v>
      </c>
      <c r="K9" s="27" t="n">
        <v>0</v>
      </c>
      <c r="L9" s="12" t="inlineStr">
        <is>
          <t>Fiche manuelle</t>
        </is>
      </c>
      <c r="M9" s="13" t="n">
        <v>0</v>
      </c>
      <c r="N9" s="12" t="inlineStr">
        <is>
          <t>Anomalie detectee</t>
        </is>
      </c>
      <c r="O9" s="12" t="inlineStr">
        <is>
          <t>Absent - motif en attente</t>
        </is>
      </c>
    </row>
    <row r="10" ht="22" customHeight="1">
      <c r="B10" s="18">
        <f>IF(C10="","PTJ-"&amp;TEXT(COUNTA($C$5:C10),"000"))</f>
        <v/>
      </c>
      <c r="C10" s="15" t="n"/>
      <c r="D10" s="15" t="n"/>
      <c r="E10" s="15" t="n"/>
      <c r="F10" s="34" t="n"/>
      <c r="G10" s="15" t="n"/>
      <c r="H10" s="15" t="n"/>
      <c r="I10" s="28" t="n"/>
      <c r="J10" s="17" t="n"/>
      <c r="K10" s="28" t="n"/>
      <c r="L10" s="15" t="n"/>
      <c r="M10" s="16" t="n"/>
      <c r="N10" s="15" t="n"/>
      <c r="O10" s="15" t="n"/>
    </row>
    <row r="11" ht="22" customHeight="1">
      <c r="B11" s="19">
        <f>IF(C11="","PTJ-"&amp;TEXT(COUNTA($C$5:C11),"000"))</f>
        <v/>
      </c>
      <c r="C11" s="12" t="n"/>
      <c r="D11" s="12" t="n"/>
      <c r="E11" s="12" t="n"/>
      <c r="F11" s="33" t="n"/>
      <c r="G11" s="12" t="n"/>
      <c r="H11" s="12" t="n"/>
      <c r="I11" s="27" t="n"/>
      <c r="J11" s="14" t="n"/>
      <c r="K11" s="27" t="n"/>
      <c r="L11" s="12" t="n"/>
      <c r="M11" s="13" t="n"/>
      <c r="N11" s="12" t="n"/>
      <c r="O11" s="12" t="n"/>
    </row>
    <row r="12" ht="22" customHeight="1">
      <c r="B12" s="18">
        <f>IF(C12="","PTJ-"&amp;TEXT(COUNTA($C$5:C12),"000"))</f>
        <v/>
      </c>
      <c r="C12" s="15" t="n"/>
      <c r="D12" s="15" t="n"/>
      <c r="E12" s="15" t="n"/>
      <c r="F12" s="34" t="n"/>
      <c r="G12" s="15" t="n"/>
      <c r="H12" s="15" t="n"/>
      <c r="I12" s="28" t="n"/>
      <c r="J12" s="17" t="n"/>
      <c r="K12" s="28" t="n"/>
      <c r="L12" s="15" t="n"/>
      <c r="M12" s="16" t="n"/>
      <c r="N12" s="15" t="n"/>
      <c r="O12" s="15" t="n"/>
    </row>
    <row r="13" ht="22" customHeight="1">
      <c r="B13" s="19">
        <f>IF(C13="","PTJ-"&amp;TEXT(COUNTA($C$5:C13),"000"))</f>
        <v/>
      </c>
      <c r="C13" s="12" t="n"/>
      <c r="D13" s="12" t="n"/>
      <c r="E13" s="12" t="n"/>
      <c r="F13" s="33" t="n"/>
      <c r="G13" s="12" t="n"/>
      <c r="H13" s="12" t="n"/>
      <c r="I13" s="27" t="n"/>
      <c r="J13" s="14" t="n"/>
      <c r="K13" s="27" t="n"/>
      <c r="L13" s="12" t="n"/>
      <c r="M13" s="13" t="n"/>
      <c r="N13" s="12" t="n"/>
      <c r="O13" s="12" t="n"/>
    </row>
    <row r="14" ht="22" customHeight="1">
      <c r="B14" s="18">
        <f>IF(C14="","PTJ-"&amp;TEXT(COUNTA($C$5:C14),"000"))</f>
        <v/>
      </c>
      <c r="C14" s="15" t="n"/>
      <c r="D14" s="15" t="n"/>
      <c r="E14" s="15" t="n"/>
      <c r="F14" s="34" t="n"/>
      <c r="G14" s="15" t="n"/>
      <c r="H14" s="15" t="n"/>
      <c r="I14" s="28" t="n"/>
      <c r="J14" s="17" t="n"/>
      <c r="K14" s="28" t="n"/>
      <c r="L14" s="15" t="n"/>
      <c r="M14" s="16" t="n"/>
      <c r="N14" s="15" t="n"/>
      <c r="O14" s="15" t="n"/>
    </row>
    <row r="15" ht="22" customHeight="1">
      <c r="B15" s="19">
        <f>IF(C15="","PTJ-"&amp;TEXT(COUNTA($C$5:C15),"000"))</f>
        <v/>
      </c>
      <c r="C15" s="12" t="n"/>
      <c r="D15" s="12" t="n"/>
      <c r="E15" s="12" t="n"/>
      <c r="F15" s="33" t="n"/>
      <c r="G15" s="12" t="n"/>
      <c r="H15" s="12" t="n"/>
      <c r="I15" s="27" t="n"/>
      <c r="J15" s="14" t="n"/>
      <c r="K15" s="27" t="n"/>
      <c r="L15" s="12" t="n"/>
      <c r="M15" s="13" t="n"/>
      <c r="N15" s="12" t="n"/>
      <c r="O15" s="12" t="n"/>
    </row>
    <row r="16" ht="22" customHeight="1">
      <c r="B16" s="18">
        <f>IF(C16="","PTJ-"&amp;TEXT(COUNTA($C$5:C16),"000"))</f>
        <v/>
      </c>
      <c r="C16" s="15" t="n"/>
      <c r="D16" s="15" t="n"/>
      <c r="E16" s="15" t="n"/>
      <c r="F16" s="34" t="n"/>
      <c r="G16" s="15" t="n"/>
      <c r="H16" s="15" t="n"/>
      <c r="I16" s="28" t="n"/>
      <c r="J16" s="17" t="n"/>
      <c r="K16" s="28" t="n"/>
      <c r="L16" s="15" t="n"/>
      <c r="M16" s="16" t="n"/>
      <c r="N16" s="15" t="n"/>
      <c r="O16" s="15" t="n"/>
    </row>
    <row r="17" ht="22" customHeight="1">
      <c r="B17" s="19">
        <f>IF(C17="","PTJ-"&amp;TEXT(COUNTA($C$5:C17),"000"))</f>
        <v/>
      </c>
      <c r="C17" s="12" t="n"/>
      <c r="D17" s="12" t="n"/>
      <c r="E17" s="12" t="n"/>
      <c r="F17" s="33" t="n"/>
      <c r="G17" s="12" t="n"/>
      <c r="H17" s="12" t="n"/>
      <c r="I17" s="27" t="n"/>
      <c r="J17" s="14" t="n"/>
      <c r="K17" s="27" t="n"/>
      <c r="L17" s="12" t="n"/>
      <c r="M17" s="13" t="n"/>
      <c r="N17" s="12" t="n"/>
      <c r="O17" s="12" t="n"/>
    </row>
    <row r="18" ht="22" customHeight="1">
      <c r="B18" s="18">
        <f>IF(C18="","PTJ-"&amp;TEXT(COUNTA($C$5:C18),"000"))</f>
        <v/>
      </c>
      <c r="C18" s="15" t="n"/>
      <c r="D18" s="15" t="n"/>
      <c r="E18" s="15" t="n"/>
      <c r="F18" s="34" t="n"/>
      <c r="G18" s="15" t="n"/>
      <c r="H18" s="15" t="n"/>
      <c r="I18" s="28" t="n"/>
      <c r="J18" s="17" t="n"/>
      <c r="K18" s="28" t="n"/>
      <c r="L18" s="15" t="n"/>
      <c r="M18" s="16" t="n"/>
      <c r="N18" s="15" t="n"/>
      <c r="O18" s="15" t="n"/>
    </row>
    <row r="19" ht="22" customHeight="1">
      <c r="B19" s="19">
        <f>IF(C19="","PTJ-"&amp;TEXT(COUNTA($C$5:C19),"000"))</f>
        <v/>
      </c>
      <c r="C19" s="12" t="n"/>
      <c r="D19" s="12" t="n"/>
      <c r="E19" s="12" t="n"/>
      <c r="F19" s="33" t="n"/>
      <c r="G19" s="12" t="n"/>
      <c r="H19" s="12" t="n"/>
      <c r="I19" s="27" t="n"/>
      <c r="J19" s="14" t="n"/>
      <c r="K19" s="27" t="n"/>
      <c r="L19" s="12" t="n"/>
      <c r="M19" s="13" t="n"/>
      <c r="N19" s="12" t="n"/>
      <c r="O19" s="12" t="n"/>
    </row>
    <row r="20" ht="22" customHeight="1">
      <c r="B20" s="18">
        <f>IF(C20="","PTJ-"&amp;TEXT(COUNTA($C$5:C20),"000"))</f>
        <v/>
      </c>
      <c r="C20" s="15" t="n"/>
      <c r="D20" s="15" t="n"/>
      <c r="E20" s="15" t="n"/>
      <c r="F20" s="34" t="n"/>
      <c r="G20" s="15" t="n"/>
      <c r="H20" s="15" t="n"/>
      <c r="I20" s="28" t="n"/>
      <c r="J20" s="17" t="n"/>
      <c r="K20" s="28" t="n"/>
      <c r="L20" s="15" t="n"/>
      <c r="M20" s="16" t="n"/>
      <c r="N20" s="15" t="n"/>
      <c r="O20" s="15" t="n"/>
    </row>
    <row r="21" ht="22" customHeight="1">
      <c r="B21" s="19">
        <f>IF(C21="","PTJ-"&amp;TEXT(COUNTA($C$5:C21),"000"))</f>
        <v/>
      </c>
      <c r="C21" s="12" t="n"/>
      <c r="D21" s="12" t="n"/>
      <c r="E21" s="12" t="n"/>
      <c r="F21" s="33" t="n"/>
      <c r="G21" s="12" t="n"/>
      <c r="H21" s="12" t="n"/>
      <c r="I21" s="27" t="n"/>
      <c r="J21" s="14" t="n"/>
      <c r="K21" s="27" t="n"/>
      <c r="L21" s="12" t="n"/>
      <c r="M21" s="13" t="n"/>
      <c r="N21" s="12" t="n"/>
      <c r="O21" s="12" t="n"/>
    </row>
    <row r="22" ht="22" customHeight="1">
      <c r="B22" s="18">
        <f>IF(C22="","PTJ-"&amp;TEXT(COUNTA($C$5:C22),"000"))</f>
        <v/>
      </c>
      <c r="C22" s="15" t="n"/>
      <c r="D22" s="15" t="n"/>
      <c r="E22" s="15" t="n"/>
      <c r="F22" s="34" t="n"/>
      <c r="G22" s="15" t="n"/>
      <c r="H22" s="15" t="n"/>
      <c r="I22" s="28" t="n"/>
      <c r="J22" s="17" t="n"/>
      <c r="K22" s="28" t="n"/>
      <c r="L22" s="15" t="n"/>
      <c r="M22" s="16" t="n"/>
      <c r="N22" s="15" t="n"/>
      <c r="O22" s="15" t="n"/>
    </row>
    <row r="23" ht="22" customHeight="1">
      <c r="B23" s="19">
        <f>IF(C23="","PTJ-"&amp;TEXT(COUNTA($C$5:C23),"000"))</f>
        <v/>
      </c>
      <c r="C23" s="12" t="n"/>
      <c r="D23" s="12" t="n"/>
      <c r="E23" s="12" t="n"/>
      <c r="F23" s="33" t="n"/>
      <c r="G23" s="12" t="n"/>
      <c r="H23" s="12" t="n"/>
      <c r="I23" s="27" t="n"/>
      <c r="J23" s="14" t="n"/>
      <c r="K23" s="27" t="n"/>
      <c r="L23" s="12" t="n"/>
      <c r="M23" s="13" t="n"/>
      <c r="N23" s="12" t="n"/>
      <c r="O23" s="12" t="n"/>
    </row>
    <row r="24" ht="22" customHeight="1">
      <c r="B24" s="18">
        <f>IF(C24="","PTJ-"&amp;TEXT(COUNTA($C$5:C24),"000"))</f>
        <v/>
      </c>
      <c r="C24" s="15" t="n"/>
      <c r="D24" s="15" t="n"/>
      <c r="E24" s="15" t="n"/>
      <c r="F24" s="34" t="n"/>
      <c r="G24" s="15" t="n"/>
      <c r="H24" s="15" t="n"/>
      <c r="I24" s="28" t="n"/>
      <c r="J24" s="17" t="n"/>
      <c r="K24" s="28" t="n"/>
      <c r="L24" s="15" t="n"/>
      <c r="M24" s="16" t="n"/>
      <c r="N24" s="15" t="n"/>
      <c r="O24" s="15" t="n"/>
    </row>
    <row r="25" ht="22" customHeight="1">
      <c r="B25" s="19">
        <f>IF(C25="","PTJ-"&amp;TEXT(COUNTA($C$5:C25),"000"))</f>
        <v/>
      </c>
      <c r="C25" s="12" t="n"/>
      <c r="D25" s="12" t="n"/>
      <c r="E25" s="12" t="n"/>
      <c r="F25" s="33" t="n"/>
      <c r="G25" s="12" t="n"/>
      <c r="H25" s="12" t="n"/>
      <c r="I25" s="27" t="n"/>
      <c r="J25" s="14" t="n"/>
      <c r="K25" s="27" t="n"/>
      <c r="L25" s="12" t="n"/>
      <c r="M25" s="13" t="n"/>
      <c r="N25" s="12" t="n"/>
      <c r="O25" s="12" t="n"/>
    </row>
    <row r="26" ht="22" customHeight="1">
      <c r="B26" s="18">
        <f>IF(C26="","PTJ-"&amp;TEXT(COUNTA($C$5:C26),"000"))</f>
        <v/>
      </c>
      <c r="C26" s="15" t="n"/>
      <c r="D26" s="15" t="n"/>
      <c r="E26" s="15" t="n"/>
      <c r="F26" s="34" t="n"/>
      <c r="G26" s="15" t="n"/>
      <c r="H26" s="15" t="n"/>
      <c r="I26" s="28" t="n"/>
      <c r="J26" s="17" t="n"/>
      <c r="K26" s="28" t="n"/>
      <c r="L26" s="15" t="n"/>
      <c r="M26" s="16" t="n"/>
      <c r="N26" s="15" t="n"/>
      <c r="O26" s="15" t="n"/>
    </row>
    <row r="27" ht="22" customHeight="1">
      <c r="B27" s="19">
        <f>IF(C27="","PTJ-"&amp;TEXT(COUNTA($C$5:C27),"000"))</f>
        <v/>
      </c>
      <c r="C27" s="12" t="n"/>
      <c r="D27" s="12" t="n"/>
      <c r="E27" s="12" t="n"/>
      <c r="F27" s="33" t="n"/>
      <c r="G27" s="12" t="n"/>
      <c r="H27" s="12" t="n"/>
      <c r="I27" s="27" t="n"/>
      <c r="J27" s="14" t="n"/>
      <c r="K27" s="27" t="n"/>
      <c r="L27" s="12" t="n"/>
      <c r="M27" s="13" t="n"/>
      <c r="N27" s="12" t="n"/>
      <c r="O27" s="12" t="n"/>
    </row>
    <row r="28" ht="22" customHeight="1">
      <c r="B28" s="18">
        <f>IF(C28="","PTJ-"&amp;TEXT(COUNTA($C$5:C28),"000"))</f>
        <v/>
      </c>
      <c r="C28" s="15" t="n"/>
      <c r="D28" s="15" t="n"/>
      <c r="E28" s="15" t="n"/>
      <c r="F28" s="34" t="n"/>
      <c r="G28" s="15" t="n"/>
      <c r="H28" s="15" t="n"/>
      <c r="I28" s="28" t="n"/>
      <c r="J28" s="17" t="n"/>
      <c r="K28" s="28" t="n"/>
      <c r="L28" s="15" t="n"/>
      <c r="M28" s="16" t="n"/>
      <c r="N28" s="15" t="n"/>
      <c r="O28" s="15" t="n"/>
    </row>
    <row r="29" ht="22" customHeight="1">
      <c r="B29" s="19">
        <f>IF(C29="","PTJ-"&amp;TEXT(COUNTA($C$5:C29),"000"))</f>
        <v/>
      </c>
      <c r="C29" s="12" t="n"/>
      <c r="D29" s="12" t="n"/>
      <c r="E29" s="12" t="n"/>
      <c r="F29" s="33" t="n"/>
      <c r="G29" s="12" t="n"/>
      <c r="H29" s="12" t="n"/>
      <c r="I29" s="27" t="n"/>
      <c r="J29" s="14" t="n"/>
      <c r="K29" s="27" t="n"/>
      <c r="L29" s="12" t="n"/>
      <c r="M29" s="13" t="n"/>
      <c r="N29" s="12" t="n"/>
      <c r="O29" s="12" t="n"/>
    </row>
    <row r="30" ht="22" customHeight="1">
      <c r="B30" s="18">
        <f>IF(C30="","PTJ-"&amp;TEXT(COUNTA($C$5:C30),"000"))</f>
        <v/>
      </c>
      <c r="C30" s="15" t="n"/>
      <c r="D30" s="15" t="n"/>
      <c r="E30" s="15" t="n"/>
      <c r="F30" s="34" t="n"/>
      <c r="G30" s="15" t="n"/>
      <c r="H30" s="15" t="n"/>
      <c r="I30" s="28" t="n"/>
      <c r="J30" s="17" t="n"/>
      <c r="K30" s="28" t="n"/>
      <c r="L30" s="15" t="n"/>
      <c r="M30" s="16" t="n"/>
      <c r="N30" s="15" t="n"/>
      <c r="O30" s="15" t="n"/>
    </row>
    <row r="31" ht="22" customHeight="1">
      <c r="B31" s="19">
        <f>IF(C31="","PTJ-"&amp;TEXT(COUNTA($C$5:C31),"000"))</f>
        <v/>
      </c>
      <c r="C31" s="12" t="n"/>
      <c r="D31" s="12" t="n"/>
      <c r="E31" s="12" t="n"/>
      <c r="F31" s="33" t="n"/>
      <c r="G31" s="12" t="n"/>
      <c r="H31" s="12" t="n"/>
      <c r="I31" s="27" t="n"/>
      <c r="J31" s="14" t="n"/>
      <c r="K31" s="27" t="n"/>
      <c r="L31" s="12" t="n"/>
      <c r="M31" s="13" t="n"/>
      <c r="N31" s="12" t="n"/>
      <c r="O31" s="12" t="n"/>
    </row>
    <row r="32" ht="22" customHeight="1">
      <c r="B32" s="18">
        <f>IF(C32="","PTJ-"&amp;TEXT(COUNTA($C$5:C32),"000"))</f>
        <v/>
      </c>
      <c r="C32" s="15" t="n"/>
      <c r="D32" s="15" t="n"/>
      <c r="E32" s="15" t="n"/>
      <c r="F32" s="34" t="n"/>
      <c r="G32" s="15" t="n"/>
      <c r="H32" s="15" t="n"/>
      <c r="I32" s="28" t="n"/>
      <c r="J32" s="17" t="n"/>
      <c r="K32" s="28" t="n"/>
      <c r="L32" s="15" t="n"/>
      <c r="M32" s="16" t="n"/>
      <c r="N32" s="15" t="n"/>
      <c r="O32" s="15" t="n"/>
    </row>
    <row r="33" ht="22" customHeight="1">
      <c r="B33" s="19">
        <f>IF(C33="","PTJ-"&amp;TEXT(COUNTA($C$5:C33),"000"))</f>
        <v/>
      </c>
      <c r="C33" s="12" t="n"/>
      <c r="D33" s="12" t="n"/>
      <c r="E33" s="12" t="n"/>
      <c r="F33" s="33" t="n"/>
      <c r="G33" s="12" t="n"/>
      <c r="H33" s="12" t="n"/>
      <c r="I33" s="27" t="n"/>
      <c r="J33" s="14" t="n"/>
      <c r="K33" s="27" t="n"/>
      <c r="L33" s="12" t="n"/>
      <c r="M33" s="13" t="n"/>
      <c r="N33" s="12" t="n"/>
      <c r="O33" s="12" t="n"/>
    </row>
    <row r="34" ht="22" customHeight="1">
      <c r="B34" s="18">
        <f>IF(C34="","PTJ-"&amp;TEXT(COUNTA($C$5:C34),"000"))</f>
        <v/>
      </c>
      <c r="C34" s="15" t="n"/>
      <c r="D34" s="15" t="n"/>
      <c r="E34" s="15" t="n"/>
      <c r="F34" s="34" t="n"/>
      <c r="G34" s="15" t="n"/>
      <c r="H34" s="15" t="n"/>
      <c r="I34" s="28" t="n"/>
      <c r="J34" s="17" t="n"/>
      <c r="K34" s="28" t="n"/>
      <c r="L34" s="15" t="n"/>
      <c r="M34" s="16" t="n"/>
      <c r="N34" s="15" t="n"/>
      <c r="O34" s="15" t="n"/>
    </row>
    <row r="35" ht="22" customHeight="1">
      <c r="B35" s="19">
        <f>IF(C35="","PTJ-"&amp;TEXT(COUNTA($C$5:C35),"000"))</f>
        <v/>
      </c>
      <c r="C35" s="12" t="n"/>
      <c r="D35" s="12" t="n"/>
      <c r="E35" s="12" t="n"/>
      <c r="F35" s="33" t="n"/>
      <c r="G35" s="12" t="n"/>
      <c r="H35" s="12" t="n"/>
      <c r="I35" s="27" t="n"/>
      <c r="J35" s="14" t="n"/>
      <c r="K35" s="27" t="n"/>
      <c r="L35" s="12" t="n"/>
      <c r="M35" s="13" t="n"/>
      <c r="N35" s="12" t="n"/>
      <c r="O35" s="12" t="n"/>
    </row>
    <row r="36" ht="22" customHeight="1">
      <c r="B36" s="18">
        <f>IF(C36="","PTJ-"&amp;TEXT(COUNTA($C$5:C36),"000"))</f>
        <v/>
      </c>
      <c r="C36" s="15" t="n"/>
      <c r="D36" s="15" t="n"/>
      <c r="E36" s="15" t="n"/>
      <c r="F36" s="34" t="n"/>
      <c r="G36" s="15" t="n"/>
      <c r="H36" s="15" t="n"/>
      <c r="I36" s="28" t="n"/>
      <c r="J36" s="17" t="n"/>
      <c r="K36" s="28" t="n"/>
      <c r="L36" s="15" t="n"/>
      <c r="M36" s="16" t="n"/>
      <c r="N36" s="15" t="n"/>
      <c r="O36" s="15" t="n"/>
    </row>
    <row r="37" ht="22" customHeight="1">
      <c r="B37" s="19">
        <f>IF(C37="","PTJ-"&amp;TEXT(COUNTA($C$5:C37),"000"))</f>
        <v/>
      </c>
      <c r="C37" s="12" t="n"/>
      <c r="D37" s="12" t="n"/>
      <c r="E37" s="12" t="n"/>
      <c r="F37" s="33" t="n"/>
      <c r="G37" s="12" t="n"/>
      <c r="H37" s="12" t="n"/>
      <c r="I37" s="27" t="n"/>
      <c r="J37" s="14" t="n"/>
      <c r="K37" s="27" t="n"/>
      <c r="L37" s="12" t="n"/>
      <c r="M37" s="13" t="n"/>
      <c r="N37" s="12" t="n"/>
      <c r="O37" s="12" t="n"/>
    </row>
    <row r="38" ht="22" customHeight="1">
      <c r="B38" s="18">
        <f>IF(C38="","PTJ-"&amp;TEXT(COUNTA($C$5:C38),"000"))</f>
        <v/>
      </c>
      <c r="C38" s="15" t="n"/>
      <c r="D38" s="15" t="n"/>
      <c r="E38" s="15" t="n"/>
      <c r="F38" s="34" t="n"/>
      <c r="G38" s="15" t="n"/>
      <c r="H38" s="15" t="n"/>
      <c r="I38" s="28" t="n"/>
      <c r="J38" s="17" t="n"/>
      <c r="K38" s="28" t="n"/>
      <c r="L38" s="15" t="n"/>
      <c r="M38" s="16" t="n"/>
      <c r="N38" s="15" t="n"/>
      <c r="O38" s="15" t="n"/>
    </row>
    <row r="39" ht="22" customHeight="1">
      <c r="B39" s="19">
        <f>IF(C39="","PTJ-"&amp;TEXT(COUNTA($C$5:C39),"000"))</f>
        <v/>
      </c>
      <c r="C39" s="12" t="n"/>
      <c r="D39" s="12" t="n"/>
      <c r="E39" s="12" t="n"/>
      <c r="F39" s="33" t="n"/>
      <c r="G39" s="12" t="n"/>
      <c r="H39" s="12" t="n"/>
      <c r="I39" s="27" t="n"/>
      <c r="J39" s="14" t="n"/>
      <c r="K39" s="27" t="n"/>
      <c r="L39" s="12" t="n"/>
      <c r="M39" s="13" t="n"/>
      <c r="N39" s="12" t="n"/>
      <c r="O39" s="12" t="n"/>
    </row>
    <row r="40" ht="22" customHeight="1">
      <c r="B40" s="18">
        <f>IF(C40="","PTJ-"&amp;TEXT(COUNTA($C$5:C40),"000"))</f>
        <v/>
      </c>
      <c r="C40" s="15" t="n"/>
      <c r="D40" s="15" t="n"/>
      <c r="E40" s="15" t="n"/>
      <c r="F40" s="34" t="n"/>
      <c r="G40" s="15" t="n"/>
      <c r="H40" s="15" t="n"/>
      <c r="I40" s="28" t="n"/>
      <c r="J40" s="17" t="n"/>
      <c r="K40" s="28" t="n"/>
      <c r="L40" s="15" t="n"/>
      <c r="M40" s="16" t="n"/>
      <c r="N40" s="15" t="n"/>
      <c r="O40" s="15" t="n"/>
    </row>
    <row r="41" ht="22" customHeight="1">
      <c r="B41" s="19">
        <f>IF(C41="","PTJ-"&amp;TEXT(COUNTA($C$5:C41),"000"))</f>
        <v/>
      </c>
      <c r="C41" s="12" t="n"/>
      <c r="D41" s="12" t="n"/>
      <c r="E41" s="12" t="n"/>
      <c r="F41" s="33" t="n"/>
      <c r="G41" s="12" t="n"/>
      <c r="H41" s="12" t="n"/>
      <c r="I41" s="27" t="n"/>
      <c r="J41" s="14" t="n"/>
      <c r="K41" s="27" t="n"/>
      <c r="L41" s="12" t="n"/>
      <c r="M41" s="13" t="n"/>
      <c r="N41" s="12" t="n"/>
      <c r="O41" s="12" t="n"/>
    </row>
    <row r="42" ht="22" customHeight="1">
      <c r="B42" s="18">
        <f>IF(C42="","PTJ-"&amp;TEXT(COUNTA($C$5:C42),"000"))</f>
        <v/>
      </c>
      <c r="C42" s="15" t="n"/>
      <c r="D42" s="15" t="n"/>
      <c r="E42" s="15" t="n"/>
      <c r="F42" s="34" t="n"/>
      <c r="G42" s="15" t="n"/>
      <c r="H42" s="15" t="n"/>
      <c r="I42" s="28" t="n"/>
      <c r="J42" s="17" t="n"/>
      <c r="K42" s="28" t="n"/>
      <c r="L42" s="15" t="n"/>
      <c r="M42" s="16" t="n"/>
      <c r="N42" s="15" t="n"/>
      <c r="O42" s="15" t="n"/>
    </row>
    <row r="43" ht="22" customHeight="1">
      <c r="B43" s="19">
        <f>IF(C43="","PTJ-"&amp;TEXT(COUNTA($C$5:C43),"000"))</f>
        <v/>
      </c>
      <c r="C43" s="12" t="n"/>
      <c r="D43" s="12" t="n"/>
      <c r="E43" s="12" t="n"/>
      <c r="F43" s="33" t="n"/>
      <c r="G43" s="12" t="n"/>
      <c r="H43" s="12" t="n"/>
      <c r="I43" s="27" t="n"/>
      <c r="J43" s="14" t="n"/>
      <c r="K43" s="27" t="n"/>
      <c r="L43" s="12" t="n"/>
      <c r="M43" s="13" t="n"/>
      <c r="N43" s="12" t="n"/>
      <c r="O43" s="12" t="n"/>
    </row>
    <row r="44" ht="22" customHeight="1">
      <c r="B44" s="18">
        <f>IF(C44="","PTJ-"&amp;TEXT(COUNTA($C$5:C44),"000"))</f>
        <v/>
      </c>
      <c r="C44" s="15" t="n"/>
      <c r="D44" s="15" t="n"/>
      <c r="E44" s="15" t="n"/>
      <c r="F44" s="34" t="n"/>
      <c r="G44" s="15" t="n"/>
      <c r="H44" s="15" t="n"/>
      <c r="I44" s="28" t="n"/>
      <c r="J44" s="17" t="n"/>
      <c r="K44" s="28" t="n"/>
      <c r="L44" s="15" t="n"/>
      <c r="M44" s="16" t="n"/>
      <c r="N44" s="15" t="n"/>
      <c r="O44" s="15" t="n"/>
    </row>
    <row r="45" ht="22" customHeight="1">
      <c r="B45" s="19">
        <f>IF(C45="","PTJ-"&amp;TEXT(COUNTA($C$5:C45),"000"))</f>
        <v/>
      </c>
      <c r="C45" s="12" t="n"/>
      <c r="D45" s="12" t="n"/>
      <c r="E45" s="12" t="n"/>
      <c r="F45" s="33" t="n"/>
      <c r="G45" s="12" t="n"/>
      <c r="H45" s="12" t="n"/>
      <c r="I45" s="27" t="n"/>
      <c r="J45" s="14" t="n"/>
      <c r="K45" s="27" t="n"/>
      <c r="L45" s="12" t="n"/>
      <c r="M45" s="13" t="n"/>
      <c r="N45" s="12" t="n"/>
      <c r="O45" s="12" t="n"/>
    </row>
    <row r="46" ht="22" customHeight="1">
      <c r="B46" s="18">
        <f>IF(C46="","PTJ-"&amp;TEXT(COUNTA($C$5:C46),"000"))</f>
        <v/>
      </c>
      <c r="C46" s="15" t="n"/>
      <c r="D46" s="15" t="n"/>
      <c r="E46" s="15" t="n"/>
      <c r="F46" s="34" t="n"/>
      <c r="G46" s="15" t="n"/>
      <c r="H46" s="15" t="n"/>
      <c r="I46" s="28" t="n"/>
      <c r="J46" s="17" t="n"/>
      <c r="K46" s="28" t="n"/>
      <c r="L46" s="15" t="n"/>
      <c r="M46" s="16" t="n"/>
      <c r="N46" s="15" t="n"/>
      <c r="O46" s="15" t="n"/>
    </row>
    <row r="47" ht="22" customHeight="1">
      <c r="B47" s="19">
        <f>IF(C47="","PTJ-"&amp;TEXT(COUNTA($C$5:C47),"000"))</f>
        <v/>
      </c>
      <c r="C47" s="12" t="n"/>
      <c r="D47" s="12" t="n"/>
      <c r="E47" s="12" t="n"/>
      <c r="F47" s="33" t="n"/>
      <c r="G47" s="12" t="n"/>
      <c r="H47" s="12" t="n"/>
      <c r="I47" s="27" t="n"/>
      <c r="J47" s="14" t="n"/>
      <c r="K47" s="27" t="n"/>
      <c r="L47" s="12" t="n"/>
      <c r="M47" s="13" t="n"/>
      <c r="N47" s="12" t="n"/>
      <c r="O47" s="12" t="n"/>
    </row>
    <row r="48" ht="22" customHeight="1">
      <c r="B48" s="18">
        <f>IF(C48="","PTJ-"&amp;TEXT(COUNTA($C$5:C48),"000"))</f>
        <v/>
      </c>
      <c r="C48" s="15" t="n"/>
      <c r="D48" s="15" t="n"/>
      <c r="E48" s="15" t="n"/>
      <c r="F48" s="34" t="n"/>
      <c r="G48" s="15" t="n"/>
      <c r="H48" s="15" t="n"/>
      <c r="I48" s="28" t="n"/>
      <c r="J48" s="17" t="n"/>
      <c r="K48" s="28" t="n"/>
      <c r="L48" s="15" t="n"/>
      <c r="M48" s="16" t="n"/>
      <c r="N48" s="15" t="n"/>
      <c r="O48" s="15" t="n"/>
    </row>
    <row r="49" ht="22" customHeight="1">
      <c r="B49" s="19">
        <f>IF(C49="","PTJ-"&amp;TEXT(COUNTA($C$5:C49),"000"))</f>
        <v/>
      </c>
      <c r="C49" s="12" t="n"/>
      <c r="D49" s="12" t="n"/>
      <c r="E49" s="12" t="n"/>
      <c r="F49" s="33" t="n"/>
      <c r="G49" s="12" t="n"/>
      <c r="H49" s="12" t="n"/>
      <c r="I49" s="27" t="n"/>
      <c r="J49" s="14" t="n"/>
      <c r="K49" s="27" t="n"/>
      <c r="L49" s="12" t="n"/>
      <c r="M49" s="13" t="n"/>
      <c r="N49" s="12" t="n"/>
      <c r="O49" s="12" t="n"/>
    </row>
    <row r="50" ht="22" customHeight="1">
      <c r="B50" s="18">
        <f>IF(C50="","PTJ-"&amp;TEXT(COUNTA($C$5:C50),"000"))</f>
        <v/>
      </c>
      <c r="C50" s="15" t="n"/>
      <c r="D50" s="15" t="n"/>
      <c r="E50" s="15" t="n"/>
      <c r="F50" s="34" t="n"/>
      <c r="G50" s="15" t="n"/>
      <c r="H50" s="15" t="n"/>
      <c r="I50" s="28" t="n"/>
      <c r="J50" s="17" t="n"/>
      <c r="K50" s="28" t="n"/>
      <c r="L50" s="15" t="n"/>
      <c r="M50" s="16" t="n"/>
      <c r="N50" s="15" t="n"/>
      <c r="O50" s="15" t="n"/>
    </row>
    <row r="51" ht="22" customHeight="1">
      <c r="B51" s="19">
        <f>IF(C51="","PTJ-"&amp;TEXT(COUNTA($C$5:C51),"000"))</f>
        <v/>
      </c>
      <c r="C51" s="12" t="n"/>
      <c r="D51" s="12" t="n"/>
      <c r="E51" s="12" t="n"/>
      <c r="F51" s="33" t="n"/>
      <c r="G51" s="12" t="n"/>
      <c r="H51" s="12" t="n"/>
      <c r="I51" s="27" t="n"/>
      <c r="J51" s="14" t="n"/>
      <c r="K51" s="27" t="n"/>
      <c r="L51" s="12" t="n"/>
      <c r="M51" s="13" t="n"/>
      <c r="N51" s="12" t="n"/>
      <c r="O51" s="12" t="n"/>
    </row>
    <row r="52" ht="22" customHeight="1">
      <c r="B52" s="18">
        <f>IF(C52="","PTJ-"&amp;TEXT(COUNTA($C$5:C52),"000"))</f>
        <v/>
      </c>
      <c r="C52" s="15" t="n"/>
      <c r="D52" s="15" t="n"/>
      <c r="E52" s="15" t="n"/>
      <c r="F52" s="34" t="n"/>
      <c r="G52" s="15" t="n"/>
      <c r="H52" s="15" t="n"/>
      <c r="I52" s="28" t="n"/>
      <c r="J52" s="17" t="n"/>
      <c r="K52" s="28" t="n"/>
      <c r="L52" s="15" t="n"/>
      <c r="M52" s="16" t="n"/>
      <c r="N52" s="15" t="n"/>
      <c r="O52" s="15" t="n"/>
    </row>
    <row r="53" ht="22" customHeight="1">
      <c r="B53" s="19">
        <f>IF(C53="","PTJ-"&amp;TEXT(COUNTA($C$5:C53),"000"))</f>
        <v/>
      </c>
      <c r="C53" s="12" t="n"/>
      <c r="D53" s="12" t="n"/>
      <c r="E53" s="12" t="n"/>
      <c r="F53" s="33" t="n"/>
      <c r="G53" s="12" t="n"/>
      <c r="H53" s="12" t="n"/>
      <c r="I53" s="27" t="n"/>
      <c r="J53" s="14" t="n"/>
      <c r="K53" s="27" t="n"/>
      <c r="L53" s="12" t="n"/>
      <c r="M53" s="13" t="n"/>
      <c r="N53" s="12" t="n"/>
      <c r="O53" s="12" t="n"/>
    </row>
    <row r="54" ht="22" customHeight="1">
      <c r="B54" s="18">
        <f>IF(C54="","PTJ-"&amp;TEXT(COUNTA($C$5:C54),"000"))</f>
        <v/>
      </c>
      <c r="C54" s="15" t="n"/>
      <c r="D54" s="15" t="n"/>
      <c r="E54" s="15" t="n"/>
      <c r="F54" s="34" t="n"/>
      <c r="G54" s="15" t="n"/>
      <c r="H54" s="15" t="n"/>
      <c r="I54" s="28" t="n"/>
      <c r="J54" s="17" t="n"/>
      <c r="K54" s="28" t="n"/>
      <c r="L54" s="15" t="n"/>
      <c r="M54" s="16" t="n"/>
      <c r="N54" s="15" t="n"/>
      <c r="O54" s="15" t="n"/>
    </row>
    <row r="55" ht="22" customHeight="1">
      <c r="B55" s="19">
        <f>IF(C55="","PTJ-"&amp;TEXT(COUNTA($C$5:C55),"000"))</f>
        <v/>
      </c>
      <c r="C55" s="12" t="n"/>
      <c r="D55" s="12" t="n"/>
      <c r="E55" s="12" t="n"/>
      <c r="F55" s="33" t="n"/>
      <c r="G55" s="12" t="n"/>
      <c r="H55" s="12" t="n"/>
      <c r="I55" s="27" t="n"/>
      <c r="J55" s="14" t="n"/>
      <c r="K55" s="27" t="n"/>
      <c r="L55" s="12" t="n"/>
      <c r="M55" s="13" t="n"/>
      <c r="N55" s="12" t="n"/>
      <c r="O55" s="12" t="n"/>
    </row>
    <row r="56" ht="22" customHeight="1">
      <c r="B56" s="18">
        <f>IF(C56="","PTJ-"&amp;TEXT(COUNTA($C$5:C56),"000"))</f>
        <v/>
      </c>
      <c r="C56" s="15" t="n"/>
      <c r="D56" s="15" t="n"/>
      <c r="E56" s="15" t="n"/>
      <c r="F56" s="34" t="n"/>
      <c r="G56" s="15" t="n"/>
      <c r="H56" s="15" t="n"/>
      <c r="I56" s="28" t="n"/>
      <c r="J56" s="17" t="n"/>
      <c r="K56" s="28" t="n"/>
      <c r="L56" s="15" t="n"/>
      <c r="M56" s="16" t="n"/>
      <c r="N56" s="15" t="n"/>
      <c r="O56" s="15" t="n"/>
    </row>
    <row r="57" ht="22" customHeight="1">
      <c r="B57" s="19">
        <f>IF(C57="","PTJ-"&amp;TEXT(COUNTA($C$5:C57),"000"))</f>
        <v/>
      </c>
      <c r="C57" s="12" t="n"/>
      <c r="D57" s="12" t="n"/>
      <c r="E57" s="12" t="n"/>
      <c r="F57" s="33" t="n"/>
      <c r="G57" s="12" t="n"/>
      <c r="H57" s="12" t="n"/>
      <c r="I57" s="27" t="n"/>
      <c r="J57" s="14" t="n"/>
      <c r="K57" s="27" t="n"/>
      <c r="L57" s="12" t="n"/>
      <c r="M57" s="13" t="n"/>
      <c r="N57" s="12" t="n"/>
      <c r="O57" s="12" t="n"/>
    </row>
    <row r="58" ht="22" customHeight="1">
      <c r="B58" s="18">
        <f>IF(C58="","PTJ-"&amp;TEXT(COUNTA($C$5:C58),"000"))</f>
        <v/>
      </c>
      <c r="C58" s="15" t="n"/>
      <c r="D58" s="15" t="n"/>
      <c r="E58" s="15" t="n"/>
      <c r="F58" s="34" t="n"/>
      <c r="G58" s="15" t="n"/>
      <c r="H58" s="15" t="n"/>
      <c r="I58" s="28" t="n"/>
      <c r="J58" s="17" t="n"/>
      <c r="K58" s="28" t="n"/>
      <c r="L58" s="15" t="n"/>
      <c r="M58" s="16" t="n"/>
      <c r="N58" s="15" t="n"/>
      <c r="O58" s="15" t="n"/>
    </row>
    <row r="59" ht="22" customHeight="1">
      <c r="B59" s="19">
        <f>IF(C59="","PTJ-"&amp;TEXT(COUNTA($C$5:C59),"000"))</f>
        <v/>
      </c>
      <c r="C59" s="12" t="n"/>
      <c r="D59" s="12" t="n"/>
      <c r="E59" s="12" t="n"/>
      <c r="F59" s="33" t="n"/>
      <c r="G59" s="12" t="n"/>
      <c r="H59" s="12" t="n"/>
      <c r="I59" s="27" t="n"/>
      <c r="J59" s="14" t="n"/>
      <c r="K59" s="27" t="n"/>
      <c r="L59" s="12" t="n"/>
      <c r="M59" s="13" t="n"/>
      <c r="N59" s="12" t="n"/>
      <c r="O59" s="12" t="n"/>
    </row>
    <row r="60" ht="22" customHeight="1">
      <c r="B60" s="18">
        <f>IF(C60="","PTJ-"&amp;TEXT(COUNTA($C$5:C60),"000"))</f>
        <v/>
      </c>
      <c r="C60" s="15" t="n"/>
      <c r="D60" s="15" t="n"/>
      <c r="E60" s="15" t="n"/>
      <c r="F60" s="34" t="n"/>
      <c r="G60" s="15" t="n"/>
      <c r="H60" s="15" t="n"/>
      <c r="I60" s="28" t="n"/>
      <c r="J60" s="17" t="n"/>
      <c r="K60" s="28" t="n"/>
      <c r="L60" s="15" t="n"/>
      <c r="M60" s="16" t="n"/>
      <c r="N60" s="15" t="n"/>
      <c r="O60" s="15" t="n"/>
    </row>
    <row r="61" ht="22" customHeight="1">
      <c r="B61" s="19">
        <f>IF(C61="","PTJ-"&amp;TEXT(COUNTA($C$5:C61),"000"))</f>
        <v/>
      </c>
      <c r="C61" s="12" t="n"/>
      <c r="D61" s="12" t="n"/>
      <c r="E61" s="12" t="n"/>
      <c r="F61" s="33" t="n"/>
      <c r="G61" s="12" t="n"/>
      <c r="H61" s="12" t="n"/>
      <c r="I61" s="27" t="n"/>
      <c r="J61" s="14" t="n"/>
      <c r="K61" s="27" t="n"/>
      <c r="L61" s="12" t="n"/>
      <c r="M61" s="13" t="n"/>
      <c r="N61" s="12" t="n"/>
      <c r="O61" s="12" t="n"/>
    </row>
    <row r="62" ht="22" customHeight="1">
      <c r="B62" s="18">
        <f>IF(C62="","PTJ-"&amp;TEXT(COUNTA($C$5:C62),"000"))</f>
        <v/>
      </c>
      <c r="C62" s="15" t="n"/>
      <c r="D62" s="15" t="n"/>
      <c r="E62" s="15" t="n"/>
      <c r="F62" s="34" t="n"/>
      <c r="G62" s="15" t="n"/>
      <c r="H62" s="15" t="n"/>
      <c r="I62" s="28" t="n"/>
      <c r="J62" s="17" t="n"/>
      <c r="K62" s="28" t="n"/>
      <c r="L62" s="15" t="n"/>
      <c r="M62" s="16" t="n"/>
      <c r="N62" s="15" t="n"/>
      <c r="O62" s="15" t="n"/>
    </row>
    <row r="63" ht="22" customHeight="1">
      <c r="B63" s="19">
        <f>IF(C63="","PTJ-"&amp;TEXT(COUNTA($C$5:C63),"000"))</f>
        <v/>
      </c>
      <c r="C63" s="12" t="n"/>
      <c r="D63" s="12" t="n"/>
      <c r="E63" s="12" t="n"/>
      <c r="F63" s="33" t="n"/>
      <c r="G63" s="12" t="n"/>
      <c r="H63" s="12" t="n"/>
      <c r="I63" s="27" t="n"/>
      <c r="J63" s="14" t="n"/>
      <c r="K63" s="27" t="n"/>
      <c r="L63" s="12" t="n"/>
      <c r="M63" s="13" t="n"/>
      <c r="N63" s="12" t="n"/>
      <c r="O63" s="12" t="n"/>
    </row>
    <row r="64" ht="22" customHeight="1">
      <c r="B64" s="18">
        <f>IF(C64="","PTJ-"&amp;TEXT(COUNTA($C$5:C64),"000"))</f>
        <v/>
      </c>
      <c r="C64" s="15" t="n"/>
      <c r="D64" s="15" t="n"/>
      <c r="E64" s="15" t="n"/>
      <c r="F64" s="34" t="n"/>
      <c r="G64" s="15" t="n"/>
      <c r="H64" s="15" t="n"/>
      <c r="I64" s="28" t="n"/>
      <c r="J64" s="17" t="n"/>
      <c r="K64" s="28" t="n"/>
      <c r="L64" s="15" t="n"/>
      <c r="M64" s="16" t="n"/>
      <c r="N64" s="15" t="n"/>
      <c r="O64" s="15" t="n"/>
    </row>
    <row r="65" ht="22" customHeight="1">
      <c r="B65" s="19">
        <f>IF(C65="","PTJ-"&amp;TEXT(COUNTA($C$5:C65),"000"))</f>
        <v/>
      </c>
      <c r="C65" s="12" t="n"/>
      <c r="D65" s="12" t="n"/>
      <c r="E65" s="12" t="n"/>
      <c r="F65" s="33" t="n"/>
      <c r="G65" s="12" t="n"/>
      <c r="H65" s="12" t="n"/>
      <c r="I65" s="27" t="n"/>
      <c r="J65" s="14" t="n"/>
      <c r="K65" s="27" t="n"/>
      <c r="L65" s="12" t="n"/>
      <c r="M65" s="13" t="n"/>
      <c r="N65" s="12" t="n"/>
      <c r="O65" s="12" t="n"/>
    </row>
    <row r="66" ht="22" customHeight="1">
      <c r="B66" s="18">
        <f>IF(C66="","PTJ-"&amp;TEXT(COUNTA($C$5:C66),"000"))</f>
        <v/>
      </c>
      <c r="C66" s="15" t="n"/>
      <c r="D66" s="15" t="n"/>
      <c r="E66" s="15" t="n"/>
      <c r="F66" s="34" t="n"/>
      <c r="G66" s="15" t="n"/>
      <c r="H66" s="15" t="n"/>
      <c r="I66" s="28" t="n"/>
      <c r="J66" s="17" t="n"/>
      <c r="K66" s="28" t="n"/>
      <c r="L66" s="15" t="n"/>
      <c r="M66" s="16" t="n"/>
      <c r="N66" s="15" t="n"/>
      <c r="O66" s="15" t="n"/>
    </row>
    <row r="67" ht="22" customHeight="1">
      <c r="B67" s="19">
        <f>IF(C67="","PTJ-"&amp;TEXT(COUNTA($C$5:C67),"000"))</f>
        <v/>
      </c>
      <c r="C67" s="12" t="n"/>
      <c r="D67" s="12" t="n"/>
      <c r="E67" s="12" t="n"/>
      <c r="F67" s="33" t="n"/>
      <c r="G67" s="12" t="n"/>
      <c r="H67" s="12" t="n"/>
      <c r="I67" s="27" t="n"/>
      <c r="J67" s="14" t="n"/>
      <c r="K67" s="27" t="n"/>
      <c r="L67" s="12" t="n"/>
      <c r="M67" s="13" t="n"/>
      <c r="N67" s="12" t="n"/>
      <c r="O67" s="12" t="n"/>
    </row>
    <row r="68" ht="22" customHeight="1">
      <c r="B68" s="18">
        <f>IF(C68="","PTJ-"&amp;TEXT(COUNTA($C$5:C68),"000"))</f>
        <v/>
      </c>
      <c r="C68" s="15" t="n"/>
      <c r="D68" s="15" t="n"/>
      <c r="E68" s="15" t="n"/>
      <c r="F68" s="34" t="n"/>
      <c r="G68" s="15" t="n"/>
      <c r="H68" s="15" t="n"/>
      <c r="I68" s="28" t="n"/>
      <c r="J68" s="17" t="n"/>
      <c r="K68" s="28" t="n"/>
      <c r="L68" s="15" t="n"/>
      <c r="M68" s="16" t="n"/>
      <c r="N68" s="15" t="n"/>
      <c r="O68" s="15" t="n"/>
    </row>
    <row r="69" ht="22" customHeight="1">
      <c r="B69" s="19">
        <f>IF(C69="","PTJ-"&amp;TEXT(COUNTA($C$5:C69),"000"))</f>
        <v/>
      </c>
      <c r="C69" s="12" t="n"/>
      <c r="D69" s="12" t="n"/>
      <c r="E69" s="12" t="n"/>
      <c r="F69" s="33" t="n"/>
      <c r="G69" s="12" t="n"/>
      <c r="H69" s="12" t="n"/>
      <c r="I69" s="27" t="n"/>
      <c r="J69" s="14" t="n"/>
      <c r="K69" s="27" t="n"/>
      <c r="L69" s="12" t="n"/>
      <c r="M69" s="13" t="n"/>
      <c r="N69" s="12" t="n"/>
      <c r="O69" s="12" t="n"/>
    </row>
    <row r="70" ht="22" customHeight="1">
      <c r="B70" s="18">
        <f>IF(C70="","PTJ-"&amp;TEXT(COUNTA($C$5:C70),"000"))</f>
        <v/>
      </c>
      <c r="C70" s="15" t="n"/>
      <c r="D70" s="15" t="n"/>
      <c r="E70" s="15" t="n"/>
      <c r="F70" s="34" t="n"/>
      <c r="G70" s="15" t="n"/>
      <c r="H70" s="15" t="n"/>
      <c r="I70" s="28" t="n"/>
      <c r="J70" s="17" t="n"/>
      <c r="K70" s="28" t="n"/>
      <c r="L70" s="15" t="n"/>
      <c r="M70" s="16" t="n"/>
      <c r="N70" s="15" t="n"/>
      <c r="O70" s="15" t="n"/>
    </row>
    <row r="71" ht="22" customHeight="1">
      <c r="B71" s="19">
        <f>IF(C71="","PTJ-"&amp;TEXT(COUNTA($C$5:C71),"000"))</f>
        <v/>
      </c>
      <c r="C71" s="12" t="n"/>
      <c r="D71" s="12" t="n"/>
      <c r="E71" s="12" t="n"/>
      <c r="F71" s="33" t="n"/>
      <c r="G71" s="12" t="n"/>
      <c r="H71" s="12" t="n"/>
      <c r="I71" s="27" t="n"/>
      <c r="J71" s="14" t="n"/>
      <c r="K71" s="27" t="n"/>
      <c r="L71" s="12" t="n"/>
      <c r="M71" s="13" t="n"/>
      <c r="N71" s="12" t="n"/>
      <c r="O71" s="12" t="n"/>
    </row>
    <row r="72" ht="22" customHeight="1">
      <c r="B72" s="18">
        <f>IF(C72="","PTJ-"&amp;TEXT(COUNTA($C$5:C72),"000"))</f>
        <v/>
      </c>
      <c r="C72" s="15" t="n"/>
      <c r="D72" s="15" t="n"/>
      <c r="E72" s="15" t="n"/>
      <c r="F72" s="34" t="n"/>
      <c r="G72" s="15" t="n"/>
      <c r="H72" s="15" t="n"/>
      <c r="I72" s="28" t="n"/>
      <c r="J72" s="17" t="n"/>
      <c r="K72" s="28" t="n"/>
      <c r="L72" s="15" t="n"/>
      <c r="M72" s="16" t="n"/>
      <c r="N72" s="15" t="n"/>
      <c r="O72" s="15" t="n"/>
    </row>
    <row r="73" ht="22" customHeight="1">
      <c r="B73" s="19">
        <f>IF(C73="","PTJ-"&amp;TEXT(COUNTA($C$5:C73),"000"))</f>
        <v/>
      </c>
      <c r="C73" s="12" t="n"/>
      <c r="D73" s="12" t="n"/>
      <c r="E73" s="12" t="n"/>
      <c r="F73" s="33" t="n"/>
      <c r="G73" s="12" t="n"/>
      <c r="H73" s="12" t="n"/>
      <c r="I73" s="27" t="n"/>
      <c r="J73" s="14" t="n"/>
      <c r="K73" s="27" t="n"/>
      <c r="L73" s="12" t="n"/>
      <c r="M73" s="13" t="n"/>
      <c r="N73" s="12" t="n"/>
      <c r="O73" s="12" t="n"/>
    </row>
    <row r="74" ht="22" customHeight="1">
      <c r="B74" s="18">
        <f>IF(C74="","PTJ-"&amp;TEXT(COUNTA($C$5:C74),"000"))</f>
        <v/>
      </c>
      <c r="C74" s="15" t="n"/>
      <c r="D74" s="15" t="n"/>
      <c r="E74" s="15" t="n"/>
      <c r="F74" s="34" t="n"/>
      <c r="G74" s="15" t="n"/>
      <c r="H74" s="15" t="n"/>
      <c r="I74" s="28" t="n"/>
      <c r="J74" s="17" t="n"/>
      <c r="K74" s="28" t="n"/>
      <c r="L74" s="15" t="n"/>
      <c r="M74" s="16" t="n"/>
      <c r="N74" s="15" t="n"/>
      <c r="O74" s="15" t="n"/>
    </row>
    <row r="75" ht="22" customHeight="1">
      <c r="B75" s="19">
        <f>IF(C75="","PTJ-"&amp;TEXT(COUNTA($C$5:C75),"000"))</f>
        <v/>
      </c>
      <c r="C75" s="12" t="n"/>
      <c r="D75" s="12" t="n"/>
      <c r="E75" s="12" t="n"/>
      <c r="F75" s="33" t="n"/>
      <c r="G75" s="12" t="n"/>
      <c r="H75" s="12" t="n"/>
      <c r="I75" s="27" t="n"/>
      <c r="J75" s="14" t="n"/>
      <c r="K75" s="27" t="n"/>
      <c r="L75" s="12" t="n"/>
      <c r="M75" s="13" t="n"/>
      <c r="N75" s="12" t="n"/>
      <c r="O75" s="12" t="n"/>
    </row>
    <row r="76" ht="22" customHeight="1">
      <c r="B76" s="18">
        <f>IF(C76="","PTJ-"&amp;TEXT(COUNTA($C$5:C76),"000"))</f>
        <v/>
      </c>
      <c r="C76" s="15" t="n"/>
      <c r="D76" s="15" t="n"/>
      <c r="E76" s="15" t="n"/>
      <c r="F76" s="34" t="n"/>
      <c r="G76" s="15" t="n"/>
      <c r="H76" s="15" t="n"/>
      <c r="I76" s="28" t="n"/>
      <c r="J76" s="17" t="n"/>
      <c r="K76" s="28" t="n"/>
      <c r="L76" s="15" t="n"/>
      <c r="M76" s="16" t="n"/>
      <c r="N76" s="15" t="n"/>
      <c r="O76" s="15" t="n"/>
    </row>
    <row r="77" ht="22" customHeight="1">
      <c r="B77" s="19">
        <f>IF(C77="","PTJ-"&amp;TEXT(COUNTA($C$5:C77),"000"))</f>
        <v/>
      </c>
      <c r="C77" s="12" t="n"/>
      <c r="D77" s="12" t="n"/>
      <c r="E77" s="12" t="n"/>
      <c r="F77" s="33" t="n"/>
      <c r="G77" s="12" t="n"/>
      <c r="H77" s="12" t="n"/>
      <c r="I77" s="27" t="n"/>
      <c r="J77" s="14" t="n"/>
      <c r="K77" s="27" t="n"/>
      <c r="L77" s="12" t="n"/>
      <c r="M77" s="13" t="n"/>
      <c r="N77" s="12" t="n"/>
      <c r="O77" s="12" t="n"/>
    </row>
    <row r="78" ht="22" customHeight="1">
      <c r="B78" s="18">
        <f>IF(C78="","PTJ-"&amp;TEXT(COUNTA($C$5:C78),"000"))</f>
        <v/>
      </c>
      <c r="C78" s="15" t="n"/>
      <c r="D78" s="15" t="n"/>
      <c r="E78" s="15" t="n"/>
      <c r="F78" s="34" t="n"/>
      <c r="G78" s="15" t="n"/>
      <c r="H78" s="15" t="n"/>
      <c r="I78" s="28" t="n"/>
      <c r="J78" s="17" t="n"/>
      <c r="K78" s="28" t="n"/>
      <c r="L78" s="15" t="n"/>
      <c r="M78" s="16" t="n"/>
      <c r="N78" s="15" t="n"/>
      <c r="O78" s="15" t="n"/>
    </row>
    <row r="79" ht="22" customHeight="1">
      <c r="B79" s="19">
        <f>IF(C79="","PTJ-"&amp;TEXT(COUNTA($C$5:C79),"000"))</f>
        <v/>
      </c>
      <c r="C79" s="12" t="n"/>
      <c r="D79" s="12" t="n"/>
      <c r="E79" s="12" t="n"/>
      <c r="F79" s="33" t="n"/>
      <c r="G79" s="12" t="n"/>
      <c r="H79" s="12" t="n"/>
      <c r="I79" s="27" t="n"/>
      <c r="J79" s="14" t="n"/>
      <c r="K79" s="27" t="n"/>
      <c r="L79" s="12" t="n"/>
      <c r="M79" s="13" t="n"/>
      <c r="N79" s="12" t="n"/>
      <c r="O79" s="12" t="n"/>
    </row>
    <row r="80" ht="22" customHeight="1">
      <c r="B80" s="18">
        <f>IF(C80="","PTJ-"&amp;TEXT(COUNTA($C$5:C80),"000"))</f>
        <v/>
      </c>
      <c r="C80" s="15" t="n"/>
      <c r="D80" s="15" t="n"/>
      <c r="E80" s="15" t="n"/>
      <c r="F80" s="34" t="n"/>
      <c r="G80" s="15" t="n"/>
      <c r="H80" s="15" t="n"/>
      <c r="I80" s="28" t="n"/>
      <c r="J80" s="17" t="n"/>
      <c r="K80" s="28" t="n"/>
      <c r="L80" s="15" t="n"/>
      <c r="M80" s="16" t="n"/>
      <c r="N80" s="15" t="n"/>
      <c r="O80" s="15" t="n"/>
    </row>
    <row r="81" ht="22" customHeight="1">
      <c r="B81" s="19">
        <f>IF(C81="","PTJ-"&amp;TEXT(COUNTA($C$5:C81),"000"))</f>
        <v/>
      </c>
      <c r="C81" s="12" t="n"/>
      <c r="D81" s="12" t="n"/>
      <c r="E81" s="12" t="n"/>
      <c r="F81" s="33" t="n"/>
      <c r="G81" s="12" t="n"/>
      <c r="H81" s="12" t="n"/>
      <c r="I81" s="27" t="n"/>
      <c r="J81" s="14" t="n"/>
      <c r="K81" s="27" t="n"/>
      <c r="L81" s="12" t="n"/>
      <c r="M81" s="13" t="n"/>
      <c r="N81" s="12" t="n"/>
      <c r="O81" s="12" t="n"/>
    </row>
    <row r="82" ht="22" customHeight="1">
      <c r="B82" s="18">
        <f>IF(C82="","PTJ-"&amp;TEXT(COUNTA($C$5:C82),"000"))</f>
        <v/>
      </c>
      <c r="C82" s="15" t="n"/>
      <c r="D82" s="15" t="n"/>
      <c r="E82" s="15" t="n"/>
      <c r="F82" s="34" t="n"/>
      <c r="G82" s="15" t="n"/>
      <c r="H82" s="15" t="n"/>
      <c r="I82" s="28" t="n"/>
      <c r="J82" s="17" t="n"/>
      <c r="K82" s="28" t="n"/>
      <c r="L82" s="15" t="n"/>
      <c r="M82" s="16" t="n"/>
      <c r="N82" s="15" t="n"/>
      <c r="O82" s="15" t="n"/>
    </row>
    <row r="83" ht="22" customHeight="1">
      <c r="B83" s="19">
        <f>IF(C83="","PTJ-"&amp;TEXT(COUNTA($C$5:C83),"000"))</f>
        <v/>
      </c>
      <c r="C83" s="12" t="n"/>
      <c r="D83" s="12" t="n"/>
      <c r="E83" s="12" t="n"/>
      <c r="F83" s="33" t="n"/>
      <c r="G83" s="12" t="n"/>
      <c r="H83" s="12" t="n"/>
      <c r="I83" s="27" t="n"/>
      <c r="J83" s="14" t="n"/>
      <c r="K83" s="27" t="n"/>
      <c r="L83" s="12" t="n"/>
      <c r="M83" s="13" t="n"/>
      <c r="N83" s="12" t="n"/>
      <c r="O83" s="12" t="n"/>
    </row>
    <row r="84" ht="22" customHeight="1">
      <c r="B84" s="18">
        <f>IF(C84="","PTJ-"&amp;TEXT(COUNTA($C$5:C84),"000"))</f>
        <v/>
      </c>
      <c r="C84" s="15" t="n"/>
      <c r="D84" s="15" t="n"/>
      <c r="E84" s="15" t="n"/>
      <c r="F84" s="34" t="n"/>
      <c r="G84" s="15" t="n"/>
      <c r="H84" s="15" t="n"/>
      <c r="I84" s="28" t="n"/>
      <c r="J84" s="17" t="n"/>
      <c r="K84" s="28" t="n"/>
      <c r="L84" s="15" t="n"/>
      <c r="M84" s="16" t="n"/>
      <c r="N84" s="15" t="n"/>
      <c r="O84" s="15" t="n"/>
    </row>
    <row r="85" ht="22" customHeight="1">
      <c r="B85" s="19">
        <f>IF(C85="","PTJ-"&amp;TEXT(COUNTA($C$5:C85),"000"))</f>
        <v/>
      </c>
      <c r="C85" s="12" t="n"/>
      <c r="D85" s="12" t="n"/>
      <c r="E85" s="12" t="n"/>
      <c r="F85" s="33" t="n"/>
      <c r="G85" s="12" t="n"/>
      <c r="H85" s="12" t="n"/>
      <c r="I85" s="27" t="n"/>
      <c r="J85" s="14" t="n"/>
      <c r="K85" s="27" t="n"/>
      <c r="L85" s="12" t="n"/>
      <c r="M85" s="13" t="n"/>
      <c r="N85" s="12" t="n"/>
      <c r="O85" s="12" t="n"/>
    </row>
    <row r="86" ht="22" customHeight="1">
      <c r="B86" s="18">
        <f>IF(C86="","PTJ-"&amp;TEXT(COUNTA($C$5:C86),"000"))</f>
        <v/>
      </c>
      <c r="C86" s="15" t="n"/>
      <c r="D86" s="15" t="n"/>
      <c r="E86" s="15" t="n"/>
      <c r="F86" s="34" t="n"/>
      <c r="G86" s="15" t="n"/>
      <c r="H86" s="15" t="n"/>
      <c r="I86" s="28" t="n"/>
      <c r="J86" s="17" t="n"/>
      <c r="K86" s="28" t="n"/>
      <c r="L86" s="15" t="n"/>
      <c r="M86" s="16" t="n"/>
      <c r="N86" s="15" t="n"/>
      <c r="O86" s="15" t="n"/>
    </row>
    <row r="87" ht="22" customHeight="1">
      <c r="B87" s="19">
        <f>IF(C87="","PTJ-"&amp;TEXT(COUNTA($C$5:C87),"000"))</f>
        <v/>
      </c>
      <c r="C87" s="12" t="n"/>
      <c r="D87" s="12" t="n"/>
      <c r="E87" s="12" t="n"/>
      <c r="F87" s="33" t="n"/>
      <c r="G87" s="12" t="n"/>
      <c r="H87" s="12" t="n"/>
      <c r="I87" s="27" t="n"/>
      <c r="J87" s="14" t="n"/>
      <c r="K87" s="27" t="n"/>
      <c r="L87" s="12" t="n"/>
      <c r="M87" s="13" t="n"/>
      <c r="N87" s="12" t="n"/>
      <c r="O87" s="12" t="n"/>
    </row>
    <row r="88" ht="22" customHeight="1">
      <c r="B88" s="18">
        <f>IF(C88="","PTJ-"&amp;TEXT(COUNTA($C$5:C88),"000"))</f>
        <v/>
      </c>
      <c r="C88" s="15" t="n"/>
      <c r="D88" s="15" t="n"/>
      <c r="E88" s="15" t="n"/>
      <c r="F88" s="34" t="n"/>
      <c r="G88" s="15" t="n"/>
      <c r="H88" s="15" t="n"/>
      <c r="I88" s="28" t="n"/>
      <c r="J88" s="17" t="n"/>
      <c r="K88" s="28" t="n"/>
      <c r="L88" s="15" t="n"/>
      <c r="M88" s="16" t="n"/>
      <c r="N88" s="15" t="n"/>
      <c r="O88" s="15" t="n"/>
    </row>
    <row r="89" ht="22" customHeight="1">
      <c r="B89" s="19">
        <f>IF(C89="","PTJ-"&amp;TEXT(COUNTA($C$5:C89),"000"))</f>
        <v/>
      </c>
      <c r="C89" s="12" t="n"/>
      <c r="D89" s="12" t="n"/>
      <c r="E89" s="12" t="n"/>
      <c r="F89" s="33" t="n"/>
      <c r="G89" s="12" t="n"/>
      <c r="H89" s="12" t="n"/>
      <c r="I89" s="27" t="n"/>
      <c r="J89" s="14" t="n"/>
      <c r="K89" s="27" t="n"/>
      <c r="L89" s="12" t="n"/>
      <c r="M89" s="13" t="n"/>
      <c r="N89" s="12" t="n"/>
      <c r="O89" s="12" t="n"/>
    </row>
    <row r="90" ht="22" customHeight="1">
      <c r="B90" s="18">
        <f>IF(C90="","PTJ-"&amp;TEXT(COUNTA($C$5:C90),"000"))</f>
        <v/>
      </c>
      <c r="C90" s="15" t="n"/>
      <c r="D90" s="15" t="n"/>
      <c r="E90" s="15" t="n"/>
      <c r="F90" s="34" t="n"/>
      <c r="G90" s="15" t="n"/>
      <c r="H90" s="15" t="n"/>
      <c r="I90" s="28" t="n"/>
      <c r="J90" s="17" t="n"/>
      <c r="K90" s="28" t="n"/>
      <c r="L90" s="15" t="n"/>
      <c r="M90" s="16" t="n"/>
      <c r="N90" s="15" t="n"/>
      <c r="O90" s="15" t="n"/>
    </row>
    <row r="91" ht="22" customHeight="1">
      <c r="B91" s="19">
        <f>IF(C91="","PTJ-"&amp;TEXT(COUNTA($C$5:C91),"000"))</f>
        <v/>
      </c>
      <c r="C91" s="12" t="n"/>
      <c r="D91" s="12" t="n"/>
      <c r="E91" s="12" t="n"/>
      <c r="F91" s="33" t="n"/>
      <c r="G91" s="12" t="n"/>
      <c r="H91" s="12" t="n"/>
      <c r="I91" s="27" t="n"/>
      <c r="J91" s="14" t="n"/>
      <c r="K91" s="27" t="n"/>
      <c r="L91" s="12" t="n"/>
      <c r="M91" s="13" t="n"/>
      <c r="N91" s="12" t="n"/>
      <c r="O91" s="12" t="n"/>
    </row>
    <row r="92" ht="22" customHeight="1">
      <c r="B92" s="18">
        <f>IF(C92="","PTJ-"&amp;TEXT(COUNTA($C$5:C92),"000"))</f>
        <v/>
      </c>
      <c r="C92" s="15" t="n"/>
      <c r="D92" s="15" t="n"/>
      <c r="E92" s="15" t="n"/>
      <c r="F92" s="34" t="n"/>
      <c r="G92" s="15" t="n"/>
      <c r="H92" s="15" t="n"/>
      <c r="I92" s="28" t="n"/>
      <c r="J92" s="17" t="n"/>
      <c r="K92" s="28" t="n"/>
      <c r="L92" s="15" t="n"/>
      <c r="M92" s="16" t="n"/>
      <c r="N92" s="15" t="n"/>
      <c r="O92" s="15" t="n"/>
    </row>
    <row r="93" ht="22" customHeight="1">
      <c r="B93" s="19">
        <f>IF(C93="","PTJ-"&amp;TEXT(COUNTA($C$5:C93),"000"))</f>
        <v/>
      </c>
      <c r="C93" s="12" t="n"/>
      <c r="D93" s="12" t="n"/>
      <c r="E93" s="12" t="n"/>
      <c r="F93" s="33" t="n"/>
      <c r="G93" s="12" t="n"/>
      <c r="H93" s="12" t="n"/>
      <c r="I93" s="27" t="n"/>
      <c r="J93" s="14" t="n"/>
      <c r="K93" s="27" t="n"/>
      <c r="L93" s="12" t="n"/>
      <c r="M93" s="13" t="n"/>
      <c r="N93" s="12" t="n"/>
      <c r="O93" s="12" t="n"/>
    </row>
    <row r="94" ht="22" customHeight="1">
      <c r="B94" s="18">
        <f>IF(C94="","PTJ-"&amp;TEXT(COUNTA($C$5:C94),"000"))</f>
        <v/>
      </c>
      <c r="C94" s="15" t="n"/>
      <c r="D94" s="15" t="n"/>
      <c r="E94" s="15" t="n"/>
      <c r="F94" s="34" t="n"/>
      <c r="G94" s="15" t="n"/>
      <c r="H94" s="15" t="n"/>
      <c r="I94" s="28" t="n"/>
      <c r="J94" s="17" t="n"/>
      <c r="K94" s="28" t="n"/>
      <c r="L94" s="15" t="n"/>
      <c r="M94" s="16" t="n"/>
      <c r="N94" s="15" t="n"/>
      <c r="O94" s="15" t="n"/>
    </row>
    <row r="95" ht="22" customHeight="1">
      <c r="B95" s="19">
        <f>IF(C95="","PTJ-"&amp;TEXT(COUNTA($C$5:C95),"000"))</f>
        <v/>
      </c>
      <c r="C95" s="12" t="n"/>
      <c r="D95" s="12" t="n"/>
      <c r="E95" s="12" t="n"/>
      <c r="F95" s="33" t="n"/>
      <c r="G95" s="12" t="n"/>
      <c r="H95" s="12" t="n"/>
      <c r="I95" s="27" t="n"/>
      <c r="J95" s="14" t="n"/>
      <c r="K95" s="27" t="n"/>
      <c r="L95" s="12" t="n"/>
      <c r="M95" s="13" t="n"/>
      <c r="N95" s="12" t="n"/>
      <c r="O95" s="12" t="n"/>
    </row>
    <row r="96" ht="22" customHeight="1">
      <c r="B96" s="18">
        <f>IF(C96="","PTJ-"&amp;TEXT(COUNTA($C$5:C96),"000"))</f>
        <v/>
      </c>
      <c r="C96" s="15" t="n"/>
      <c r="D96" s="15" t="n"/>
      <c r="E96" s="15" t="n"/>
      <c r="F96" s="34" t="n"/>
      <c r="G96" s="15" t="n"/>
      <c r="H96" s="15" t="n"/>
      <c r="I96" s="28" t="n"/>
      <c r="J96" s="17" t="n"/>
      <c r="K96" s="28" t="n"/>
      <c r="L96" s="15" t="n"/>
      <c r="M96" s="16" t="n"/>
      <c r="N96" s="15" t="n"/>
      <c r="O96" s="15" t="n"/>
    </row>
    <row r="97" ht="22" customHeight="1">
      <c r="B97" s="19">
        <f>IF(C97="","PTJ-"&amp;TEXT(COUNTA($C$5:C97),"000"))</f>
        <v/>
      </c>
      <c r="C97" s="12" t="n"/>
      <c r="D97" s="12" t="n"/>
      <c r="E97" s="12" t="n"/>
      <c r="F97" s="33" t="n"/>
      <c r="G97" s="12" t="n"/>
      <c r="H97" s="12" t="n"/>
      <c r="I97" s="27" t="n"/>
      <c r="J97" s="14" t="n"/>
      <c r="K97" s="27" t="n"/>
      <c r="L97" s="12" t="n"/>
      <c r="M97" s="13" t="n"/>
      <c r="N97" s="12" t="n"/>
      <c r="O97" s="12" t="n"/>
    </row>
    <row r="98" ht="22" customHeight="1">
      <c r="B98" s="18">
        <f>IF(C98="","PTJ-"&amp;TEXT(COUNTA($C$5:C98),"000"))</f>
        <v/>
      </c>
      <c r="C98" s="15" t="n"/>
      <c r="D98" s="15" t="n"/>
      <c r="E98" s="15" t="n"/>
      <c r="F98" s="34" t="n"/>
      <c r="G98" s="15" t="n"/>
      <c r="H98" s="15" t="n"/>
      <c r="I98" s="28" t="n"/>
      <c r="J98" s="17" t="n"/>
      <c r="K98" s="28" t="n"/>
      <c r="L98" s="15" t="n"/>
      <c r="M98" s="16" t="n"/>
      <c r="N98" s="15" t="n"/>
      <c r="O98" s="15" t="n"/>
    </row>
    <row r="99" ht="22" customHeight="1">
      <c r="B99" s="19">
        <f>IF(C99="","PTJ-"&amp;TEXT(COUNTA($C$5:C99),"000"))</f>
        <v/>
      </c>
      <c r="C99" s="12" t="n"/>
      <c r="D99" s="12" t="n"/>
      <c r="E99" s="12" t="n"/>
      <c r="F99" s="33" t="n"/>
      <c r="G99" s="12" t="n"/>
      <c r="H99" s="12" t="n"/>
      <c r="I99" s="27" t="n"/>
      <c r="J99" s="14" t="n"/>
      <c r="K99" s="27" t="n"/>
      <c r="L99" s="12" t="n"/>
      <c r="M99" s="13" t="n"/>
      <c r="N99" s="12" t="n"/>
      <c r="O99" s="12" t="n"/>
    </row>
    <row r="100" ht="22" customHeight="1">
      <c r="B100" s="18">
        <f>IF(C100="","PTJ-"&amp;TEXT(COUNTA($C$5:C100),"000"))</f>
        <v/>
      </c>
      <c r="C100" s="15" t="n"/>
      <c r="D100" s="15" t="n"/>
      <c r="E100" s="15" t="n"/>
      <c r="F100" s="34" t="n"/>
      <c r="G100" s="15" t="n"/>
      <c r="H100" s="15" t="n"/>
      <c r="I100" s="28" t="n"/>
      <c r="J100" s="17" t="n"/>
      <c r="K100" s="28" t="n"/>
      <c r="L100" s="15" t="n"/>
      <c r="M100" s="16" t="n"/>
      <c r="N100" s="15" t="n"/>
      <c r="O100" s="15" t="n"/>
    </row>
    <row r="101" ht="22" customHeight="1">
      <c r="B101" s="19">
        <f>IF(C101="","PTJ-"&amp;TEXT(COUNTA($C$5:C101),"000"))</f>
        <v/>
      </c>
      <c r="C101" s="12" t="n"/>
      <c r="D101" s="12" t="n"/>
      <c r="E101" s="12" t="n"/>
      <c r="F101" s="33" t="n"/>
      <c r="G101" s="12" t="n"/>
      <c r="H101" s="12" t="n"/>
      <c r="I101" s="27" t="n"/>
      <c r="J101" s="14" t="n"/>
      <c r="K101" s="27" t="n"/>
      <c r="L101" s="12" t="n"/>
      <c r="M101" s="13" t="n"/>
      <c r="N101" s="12" t="n"/>
      <c r="O101" s="12" t="n"/>
    </row>
    <row r="102" ht="22" customHeight="1">
      <c r="B102" s="18">
        <f>IF(C102="","PTJ-"&amp;TEXT(COUNTA($C$5:C102),"000"))</f>
        <v/>
      </c>
      <c r="C102" s="15" t="n"/>
      <c r="D102" s="15" t="n"/>
      <c r="E102" s="15" t="n"/>
      <c r="F102" s="34" t="n"/>
      <c r="G102" s="15" t="n"/>
      <c r="H102" s="15" t="n"/>
      <c r="I102" s="28" t="n"/>
      <c r="J102" s="17" t="n"/>
      <c r="K102" s="28" t="n"/>
      <c r="L102" s="15" t="n"/>
      <c r="M102" s="16" t="n"/>
      <c r="N102" s="15" t="n"/>
      <c r="O102" s="15" t="n"/>
    </row>
    <row r="103" ht="22" customHeight="1">
      <c r="B103" s="19">
        <f>IF(C103="","PTJ-"&amp;TEXT(COUNTA($C$5:C103),"000"))</f>
        <v/>
      </c>
      <c r="C103" s="12" t="n"/>
      <c r="D103" s="12" t="n"/>
      <c r="E103" s="12" t="n"/>
      <c r="F103" s="33" t="n"/>
      <c r="G103" s="12" t="n"/>
      <c r="H103" s="12" t="n"/>
      <c r="I103" s="27" t="n"/>
      <c r="J103" s="14" t="n"/>
      <c r="K103" s="27" t="n"/>
      <c r="L103" s="12" t="n"/>
      <c r="M103" s="13" t="n"/>
      <c r="N103" s="12" t="n"/>
      <c r="O103" s="12" t="n"/>
    </row>
    <row r="104" ht="22" customHeight="1">
      <c r="B104" s="18">
        <f>IF(C104="","PTJ-"&amp;TEXT(COUNTA($C$5:C104),"000"))</f>
        <v/>
      </c>
      <c r="C104" s="15" t="n"/>
      <c r="D104" s="15" t="n"/>
      <c r="E104" s="15" t="n"/>
      <c r="F104" s="34" t="n"/>
      <c r="G104" s="15" t="n"/>
      <c r="H104" s="15" t="n"/>
      <c r="I104" s="28" t="n"/>
      <c r="J104" s="17" t="n"/>
      <c r="K104" s="28" t="n"/>
      <c r="L104" s="15" t="n"/>
      <c r="M104" s="16" t="n"/>
      <c r="N104" s="15" t="n"/>
      <c r="O104" s="15" t="n"/>
    </row>
    <row r="105" ht="22" customHeight="1">
      <c r="B105" s="19">
        <f>IF(C105="","PTJ-"&amp;TEXT(COUNTA($C$5:C105),"000"))</f>
        <v/>
      </c>
      <c r="C105" s="12" t="n"/>
      <c r="D105" s="12" t="n"/>
      <c r="E105" s="12" t="n"/>
      <c r="F105" s="33" t="n"/>
      <c r="G105" s="12" t="n"/>
      <c r="H105" s="12" t="n"/>
      <c r="I105" s="27" t="n"/>
      <c r="J105" s="14" t="n"/>
      <c r="K105" s="27" t="n"/>
      <c r="L105" s="12" t="n"/>
      <c r="M105" s="13" t="n"/>
      <c r="N105" s="12" t="n"/>
      <c r="O105" s="12" t="n"/>
    </row>
    <row r="106" ht="22" customHeight="1">
      <c r="B106" s="18">
        <f>IF(C106="","PTJ-"&amp;TEXT(COUNTA($C$5:C106),"000"))</f>
        <v/>
      </c>
      <c r="C106" s="15" t="n"/>
      <c r="D106" s="15" t="n"/>
      <c r="E106" s="15" t="n"/>
      <c r="F106" s="34" t="n"/>
      <c r="G106" s="15" t="n"/>
      <c r="H106" s="15" t="n"/>
      <c r="I106" s="28" t="n"/>
      <c r="J106" s="17" t="n"/>
      <c r="K106" s="28" t="n"/>
      <c r="L106" s="15" t="n"/>
      <c r="M106" s="16" t="n"/>
      <c r="N106" s="15" t="n"/>
      <c r="O106" s="15" t="n"/>
    </row>
    <row r="107" ht="22" customHeight="1">
      <c r="B107" s="19">
        <f>IF(C107="","PTJ-"&amp;TEXT(COUNTA($C$5:C107),"000"))</f>
        <v/>
      </c>
      <c r="C107" s="12" t="n"/>
      <c r="D107" s="12" t="n"/>
      <c r="E107" s="12" t="n"/>
      <c r="F107" s="33" t="n"/>
      <c r="G107" s="12" t="n"/>
      <c r="H107" s="12" t="n"/>
      <c r="I107" s="27" t="n"/>
      <c r="J107" s="14" t="n"/>
      <c r="K107" s="27" t="n"/>
      <c r="L107" s="12" t="n"/>
      <c r="M107" s="13" t="n"/>
      <c r="N107" s="12" t="n"/>
      <c r="O107" s="12" t="n"/>
    </row>
    <row r="108" ht="22" customHeight="1">
      <c r="B108" s="18">
        <f>IF(C108="","PTJ-"&amp;TEXT(COUNTA($C$5:C108),"000"))</f>
        <v/>
      </c>
      <c r="C108" s="15" t="n"/>
      <c r="D108" s="15" t="n"/>
      <c r="E108" s="15" t="n"/>
      <c r="F108" s="34" t="n"/>
      <c r="G108" s="15" t="n"/>
      <c r="H108" s="15" t="n"/>
      <c r="I108" s="28" t="n"/>
      <c r="J108" s="17" t="n"/>
      <c r="K108" s="28" t="n"/>
      <c r="L108" s="15" t="n"/>
      <c r="M108" s="16" t="n"/>
      <c r="N108" s="15" t="n"/>
      <c r="O108" s="15" t="n"/>
    </row>
    <row r="109" ht="22" customHeight="1">
      <c r="B109" s="19">
        <f>IF(C109="","PTJ-"&amp;TEXT(COUNTA($C$5:C109),"000"))</f>
        <v/>
      </c>
      <c r="C109" s="12" t="n"/>
      <c r="D109" s="12" t="n"/>
      <c r="E109" s="12" t="n"/>
      <c r="F109" s="33" t="n"/>
      <c r="G109" s="12" t="n"/>
      <c r="H109" s="12" t="n"/>
      <c r="I109" s="27" t="n"/>
      <c r="J109" s="14" t="n"/>
      <c r="K109" s="27" t="n"/>
      <c r="L109" s="12" t="n"/>
      <c r="M109" s="13" t="n"/>
      <c r="N109" s="12" t="n"/>
      <c r="O109" s="12" t="n"/>
    </row>
    <row r="110"/>
    <row r="111" ht="26" customHeight="1">
      <c r="B111" s="24" t="inlineStr">
        <is>
          <t>TOTAL</t>
        </is>
      </c>
      <c r="C111" s="25" t="n"/>
      <c r="D111" s="25" t="n"/>
      <c r="E111" s="25" t="n"/>
      <c r="F111" s="25" t="n"/>
      <c r="G111" s="25" t="n"/>
      <c r="H111" s="25" t="n"/>
      <c r="I111" s="26">
        <f>SUM(I5:I104)</f>
        <v/>
      </c>
      <c r="J111" s="26">
        <f>SUM(J5:J104)</f>
        <v/>
      </c>
      <c r="K111" s="26">
        <f>SUM(K5:K104)</f>
        <v/>
      </c>
      <c r="L111" s="25" t="n"/>
      <c r="M111" s="26">
        <f>SUM(M5:M104)</f>
        <v/>
      </c>
      <c r="N111" s="25" t="n"/>
      <c r="O111" s="25" t="n"/>
    </row>
    <row r="112"/>
    <row r="113">
      <c r="B113" s="6" t="inlineStr">
        <is>
          <t>INDICATEURS (mis a jour automatiquement)</t>
        </is>
      </c>
    </row>
    <row r="114">
      <c r="B114" s="3" t="inlineStr">
        <is>
          <t>Pointages saisis</t>
        </is>
      </c>
      <c r="D114" s="3" t="inlineStr">
        <is>
          <t>Heures totales</t>
        </is>
      </c>
      <c r="F114" s="3" t="inlineStr">
        <is>
          <t>Retards detectes</t>
        </is>
      </c>
      <c r="H114" s="3" t="inlineStr">
        <is>
          <t>Anomalies</t>
        </is>
      </c>
    </row>
    <row r="115">
      <c r="B115" s="4">
        <f>COUNTIF(B5:B104,"&lt;&gt;")</f>
        <v/>
      </c>
      <c r="D115" s="4">
        <f>SUM(K5:K104)</f>
        <v/>
      </c>
      <c r="F115" s="4">
        <f>COUNTIF(M5:M104,"&gt;0")</f>
        <v/>
      </c>
      <c r="H115" s="4">
        <f>COUNTIF(N5:N104,"Anomalie detectee")</f>
        <v/>
      </c>
    </row>
  </sheetData>
  <mergeCells count="3">
    <mergeCell ref="B3:O3"/>
    <mergeCell ref="B2:O2"/>
    <mergeCell ref="B113:O113"/>
  </mergeCells>
  <conditionalFormatting sqref="N5:N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conditionalFormatting sqref="N10:N109">
    <cfRule type="expression" priority="60" dxfId="3">
      <formula>AND($C10="",$C9&lt;&gt;"")</formula>
    </cfRule>
  </conditionalFormatting>
  <conditionalFormatting sqref="O10:O109">
    <cfRule type="expression" priority="61" dxfId="3">
      <formula>AND($C10="",$C9&lt;&gt;"")</formula>
    </cfRule>
  </conditionalFormatting>
  <dataValidations count="3">
    <dataValidation sqref="E5:E109" showDropDown="0" showInputMessage="0" showErrorMessage="0" allowBlank="1" errorTitle="Erreur" error="Valeur invalide" promptTitle="Liste" prompt="Choisir dans la liste" type="list">
      <formula1>'_Lists'!$B$2:$B$14</formula1>
    </dataValidation>
    <dataValidation sqref="L5:L109" showDropDown="0" showInputMessage="0" showErrorMessage="0" allowBlank="1" errorTitle="Erreur" error="Valeur invalide" promptTitle="Liste" prompt="Choisir dans la liste" type="list">
      <formula1>'_Lists'!$I$2:$I$5</formula1>
    </dataValidation>
    <dataValidation sqref="N5:N109"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16" customWidth="1" min="3" max="3"/>
    <col width="20" customWidth="1" min="4" max="4"/>
    <col width="18" customWidth="1" min="5" max="5"/>
    <col width="14" customWidth="1" min="6" max="6"/>
    <col width="16" customWidth="1" min="7" max="7"/>
    <col width="16" customWidth="1" min="8" max="8"/>
    <col width="14" customWidth="1" min="9" max="9"/>
    <col width="16" customWidth="1" min="10" max="10"/>
    <col width="14" customWidth="1" min="11" max="11"/>
    <col width="14" customWidth="1" min="12" max="12"/>
    <col width="14" customWidth="1" min="13" max="13"/>
  </cols>
  <sheetData>
    <row r="1" ht="15" customHeight="1"/>
    <row r="2" ht="32" customHeight="1">
      <c r="B2" s="1" t="inlineStr">
        <is>
          <t>RELEVE HEBDOMADAIRE DES HEURES</t>
        </is>
      </c>
    </row>
    <row r="3" ht="8" customHeight="1">
      <c r="B3" s="2" t="inlineStr">
        <is>
          <t>TABLEAU DYNAMIQUE — Saisissez dans la prochaine ligne jaune. Les calculs se mettent a jour automatiquement.</t>
        </is>
      </c>
    </row>
    <row r="4" ht="28" customHeight="1">
      <c r="B4" s="11" t="inlineStr">
        <is>
          <t>N° Releve</t>
        </is>
      </c>
      <c r="C4" s="11" t="inlineStr">
        <is>
          <t>Matricule</t>
        </is>
      </c>
      <c r="D4" s="11" t="inlineStr">
        <is>
          <t>Nom Employe</t>
        </is>
      </c>
      <c r="E4" s="11" t="inlineStr">
        <is>
          <t>Departement</t>
        </is>
      </c>
      <c r="F4" s="11" t="inlineStr">
        <is>
          <t>Semaine</t>
        </is>
      </c>
      <c r="G4" s="11" t="inlineStr">
        <is>
          <t>Heures Normales</t>
        </is>
      </c>
      <c r="H4" s="11" t="inlineStr">
        <is>
          <t>Heures Supp</t>
        </is>
      </c>
      <c r="I4" s="11" t="inlineStr">
        <is>
          <t>Heures Nuit</t>
        </is>
      </c>
      <c r="J4" s="11" t="inlineStr">
        <is>
          <t>Heures Week-End</t>
        </is>
      </c>
      <c r="K4" s="11" t="inlineStr">
        <is>
          <t>Total Heures</t>
        </is>
      </c>
      <c r="L4" s="11" t="inlineStr">
        <is>
          <t>Ecart vs Prevu</t>
        </is>
      </c>
      <c r="M4" s="11" t="inlineStr">
        <is>
          <t>Statut</t>
        </is>
      </c>
    </row>
    <row r="5" ht="22" customHeight="1">
      <c r="B5" s="12" t="inlineStr">
        <is>
          <t>RH-001</t>
        </is>
      </c>
      <c r="C5" s="12" t="inlineStr">
        <is>
          <t>EMP-001</t>
        </is>
      </c>
      <c r="D5" s="12">
        <f>IF(C5="","",IFERROR(VLOOKUP(C5,'_Données Employés'!$B$5:$H$18,3,FALSE)&amp;" "&amp;VLOOKUP(C5,'_Données Employés'!$B$5:$H$18,4,FALSE),""))</f>
        <v/>
      </c>
      <c r="E5" s="12">
        <f>IF(C5="","",IFERROR(VLOOKUP(C5,'_Données Employés'!$B$5:$H$18,5,FALSE),""))</f>
        <v/>
      </c>
      <c r="F5" s="12" t="inlineStr">
        <is>
          <t>Semaine 1</t>
        </is>
      </c>
      <c r="G5" s="14" t="n">
        <v>45</v>
      </c>
      <c r="H5" s="14" t="n">
        <v>5</v>
      </c>
      <c r="I5" s="14" t="n">
        <v>0</v>
      </c>
      <c r="J5" s="14" t="n">
        <v>0</v>
      </c>
      <c r="K5" s="14">
        <f>IF(C5="","",IFERROR(G5+H5+I5+J5,0))</f>
        <v/>
      </c>
      <c r="L5" s="14">
        <f>IF(C5="","",IFERROR(K5-40,0))</f>
        <v/>
      </c>
      <c r="M5" s="12" t="inlineStr">
        <is>
          <t>Valide</t>
        </is>
      </c>
    </row>
    <row r="6" ht="22" customHeight="1">
      <c r="B6" s="15" t="inlineStr">
        <is>
          <t>RH-002</t>
        </is>
      </c>
      <c r="C6" s="15" t="inlineStr">
        <is>
          <t>EMP-002</t>
        </is>
      </c>
      <c r="D6" s="15">
        <f>IF(C6="","",IFERROR(VLOOKUP(C6,'_Données Employés'!$B$5:$H$18,3,FALSE)&amp;" "&amp;VLOOKUP(C6,'_Données Employés'!$B$5:$H$18,4,FALSE),""))</f>
        <v/>
      </c>
      <c r="E6" s="15">
        <f>IF(C6="","",IFERROR(VLOOKUP(C6,'_Données Employés'!$B$5:$H$18,5,FALSE),""))</f>
        <v/>
      </c>
      <c r="F6" s="15" t="inlineStr">
        <is>
          <t>Semaine 1</t>
        </is>
      </c>
      <c r="G6" s="17" t="n">
        <v>40</v>
      </c>
      <c r="H6" s="17" t="n">
        <v>0</v>
      </c>
      <c r="I6" s="17" t="n">
        <v>4</v>
      </c>
      <c r="J6" s="17" t="n">
        <v>8</v>
      </c>
      <c r="K6" s="17">
        <f>IF(C6="","",IFERROR(G6+H6+I6+J6,0))</f>
        <v/>
      </c>
      <c r="L6" s="17">
        <f>IF(C6="","",IFERROR(K6-40,0))</f>
        <v/>
      </c>
      <c r="M6" s="15" t="inlineStr">
        <is>
          <t>Valide</t>
        </is>
      </c>
    </row>
    <row r="7" ht="22" customHeight="1">
      <c r="B7" s="12" t="inlineStr">
        <is>
          <t>RH-003</t>
        </is>
      </c>
      <c r="C7" s="12" t="inlineStr">
        <is>
          <t>EMP-004</t>
        </is>
      </c>
      <c r="D7" s="12">
        <f>IF(C7="","",IFERROR(VLOOKUP(C7,'_Données Employés'!$B$5:$H$18,3,FALSE)&amp;" "&amp;VLOOKUP(C7,'_Données Employés'!$B$5:$H$18,4,FALSE),""))</f>
        <v/>
      </c>
      <c r="E7" s="12">
        <f>IF(C7="","",IFERROR(VLOOKUP(C7,'_Données Employés'!$B$5:$H$18,5,FALSE),""))</f>
        <v/>
      </c>
      <c r="F7" s="12" t="inlineStr">
        <is>
          <t>Semaine 1</t>
        </is>
      </c>
      <c r="G7" s="14" t="n">
        <v>40</v>
      </c>
      <c r="H7" s="14" t="n">
        <v>0</v>
      </c>
      <c r="I7" s="14" t="n">
        <v>16</v>
      </c>
      <c r="J7" s="14" t="n">
        <v>8</v>
      </c>
      <c r="K7" s="14">
        <f>IF(C7="","",IFERROR(G7+H7+I7+J7,0))</f>
        <v/>
      </c>
      <c r="L7" s="14">
        <f>IF(C7="","",IFERROR(K7-40,0))</f>
        <v/>
      </c>
      <c r="M7" s="12" t="inlineStr">
        <is>
          <t>Valide</t>
        </is>
      </c>
    </row>
    <row r="8" ht="22" customHeight="1">
      <c r="B8" s="15" t="inlineStr">
        <is>
          <t>RH-004</t>
        </is>
      </c>
      <c r="C8" s="15" t="inlineStr">
        <is>
          <t>EMP-005</t>
        </is>
      </c>
      <c r="D8" s="15">
        <f>IF(C8="","",IFERROR(VLOOKUP(C8,'_Données Employés'!$B$5:$H$18,3,FALSE)&amp;" "&amp;VLOOKUP(C8,'_Données Employés'!$B$5:$H$18,4,FALSE),""))</f>
        <v/>
      </c>
      <c r="E8" s="15">
        <f>IF(C8="","",IFERROR(VLOOKUP(C8,'_Données Employés'!$B$5:$H$18,5,FALSE),""))</f>
        <v/>
      </c>
      <c r="F8" s="15" t="inlineStr">
        <is>
          <t>Semaine 1</t>
        </is>
      </c>
      <c r="G8" s="17" t="n">
        <v>40</v>
      </c>
      <c r="H8" s="17" t="n">
        <v>8</v>
      </c>
      <c r="I8" s="17" t="n">
        <v>0</v>
      </c>
      <c r="J8" s="17" t="n">
        <v>8</v>
      </c>
      <c r="K8" s="17">
        <f>IF(C8="","",IFERROR(G8+H8+I8+J8,0))</f>
        <v/>
      </c>
      <c r="L8" s="17">
        <f>IF(C8="","",IFERROR(K8-40,0))</f>
        <v/>
      </c>
      <c r="M8" s="15" t="inlineStr">
        <is>
          <t>Valide</t>
        </is>
      </c>
    </row>
    <row r="9" ht="22" customHeight="1">
      <c r="B9" s="12" t="inlineStr">
        <is>
          <t>RH-005</t>
        </is>
      </c>
      <c r="C9" s="12" t="inlineStr">
        <is>
          <t>EMP-003</t>
        </is>
      </c>
      <c r="D9" s="12">
        <f>IF(C9="","",IFERROR(VLOOKUP(C9,'_Données Employés'!$B$5:$H$18,3,FALSE)&amp;" "&amp;VLOOKUP(C9,'_Données Employés'!$B$5:$H$18,4,FALSE),""))</f>
        <v/>
      </c>
      <c r="E9" s="12">
        <f>IF(C9="","",IFERROR(VLOOKUP(C9,'_Données Employés'!$B$5:$H$18,5,FALSE),""))</f>
        <v/>
      </c>
      <c r="F9" s="12" t="inlineStr">
        <is>
          <t>Semaine 1</t>
        </is>
      </c>
      <c r="G9" s="14" t="n">
        <v>36</v>
      </c>
      <c r="H9" s="14" t="n">
        <v>0</v>
      </c>
      <c r="I9" s="14" t="n">
        <v>0</v>
      </c>
      <c r="J9" s="14" t="n">
        <v>0</v>
      </c>
      <c r="K9" s="14">
        <f>IF(C9="","",IFERROR(G9+H9+I9+J9,0))</f>
        <v/>
      </c>
      <c r="L9" s="14">
        <f>IF(C9="","",IFERROR(K9-40,0))</f>
        <v/>
      </c>
      <c r="M9" s="12" t="inlineStr">
        <is>
          <t>Valide</t>
        </is>
      </c>
    </row>
    <row r="10" ht="22" customHeight="1">
      <c r="B10" s="18">
        <f>IF(C10="","RH-"&amp;TEXT(COUNTA($C$5:C10),"000"))</f>
        <v/>
      </c>
      <c r="C10" s="15" t="n"/>
      <c r="D10" s="15" t="n"/>
      <c r="E10" s="15" t="n"/>
      <c r="F10" s="15" t="n"/>
      <c r="G10" s="17" t="n"/>
      <c r="H10" s="17" t="n"/>
      <c r="I10" s="17" t="n"/>
      <c r="J10" s="17" t="n"/>
      <c r="K10" s="17">
        <f>IF(C10="","",IFERROR(G10+H10+I10+J10,0))</f>
        <v/>
      </c>
      <c r="L10" s="17">
        <f>IF(C10="","",IFERROR(K10-40,0))</f>
        <v/>
      </c>
      <c r="M10" s="15" t="n"/>
    </row>
    <row r="11" ht="22" customHeight="1">
      <c r="B11" s="19">
        <f>IF(C11="","RH-"&amp;TEXT(COUNTA($C$5:C11),"000"))</f>
        <v/>
      </c>
      <c r="C11" s="12" t="n"/>
      <c r="D11" s="12" t="n"/>
      <c r="E11" s="12" t="n"/>
      <c r="F11" s="12" t="n"/>
      <c r="G11" s="14" t="n"/>
      <c r="H11" s="14" t="n"/>
      <c r="I11" s="14" t="n"/>
      <c r="J11" s="14" t="n"/>
      <c r="K11" s="14">
        <f>IF(C11="","",IFERROR(G11+H11+I11+J11,0))</f>
        <v/>
      </c>
      <c r="L11" s="14">
        <f>IF(C11="","",IFERROR(K11-40,0))</f>
        <v/>
      </c>
      <c r="M11" s="12" t="n"/>
    </row>
    <row r="12" ht="22" customHeight="1">
      <c r="B12" s="18">
        <f>IF(C12="","RH-"&amp;TEXT(COUNTA($C$5:C12),"000"))</f>
        <v/>
      </c>
      <c r="C12" s="15" t="n"/>
      <c r="D12" s="15" t="n"/>
      <c r="E12" s="15" t="n"/>
      <c r="F12" s="15" t="n"/>
      <c r="G12" s="17" t="n"/>
      <c r="H12" s="17" t="n"/>
      <c r="I12" s="17" t="n"/>
      <c r="J12" s="17" t="n"/>
      <c r="K12" s="17">
        <f>IF(C12="","",IFERROR(G12+H12+I12+J12,0))</f>
        <v/>
      </c>
      <c r="L12" s="17">
        <f>IF(C12="","",IFERROR(K12-40,0))</f>
        <v/>
      </c>
      <c r="M12" s="15" t="n"/>
    </row>
    <row r="13" ht="22" customHeight="1">
      <c r="B13" s="19">
        <f>IF(C13="","RH-"&amp;TEXT(COUNTA($C$5:C13),"000"))</f>
        <v/>
      </c>
      <c r="C13" s="12" t="n"/>
      <c r="D13" s="12" t="n"/>
      <c r="E13" s="12" t="n"/>
      <c r="F13" s="12" t="n"/>
      <c r="G13" s="14" t="n"/>
      <c r="H13" s="14" t="n"/>
      <c r="I13" s="14" t="n"/>
      <c r="J13" s="14" t="n"/>
      <c r="K13" s="14">
        <f>IF(C13="","",IFERROR(G13+H13+I13+J13,0))</f>
        <v/>
      </c>
      <c r="L13" s="14">
        <f>IF(C13="","",IFERROR(K13-40,0))</f>
        <v/>
      </c>
      <c r="M13" s="12" t="n"/>
    </row>
    <row r="14" ht="22" customHeight="1">
      <c r="B14" s="18">
        <f>IF(C14="","RH-"&amp;TEXT(COUNTA($C$5:C14),"000"))</f>
        <v/>
      </c>
      <c r="C14" s="15" t="n"/>
      <c r="D14" s="15" t="n"/>
      <c r="E14" s="15" t="n"/>
      <c r="F14" s="15" t="n"/>
      <c r="G14" s="17" t="n"/>
      <c r="H14" s="17" t="n"/>
      <c r="I14" s="17" t="n"/>
      <c r="J14" s="17" t="n"/>
      <c r="K14" s="17">
        <f>IF(C14="","",IFERROR(G14+H14+I14+J14,0))</f>
        <v/>
      </c>
      <c r="L14" s="17">
        <f>IF(C14="","",IFERROR(K14-40,0))</f>
        <v/>
      </c>
      <c r="M14" s="15" t="n"/>
    </row>
    <row r="15" ht="22" customHeight="1">
      <c r="B15" s="19">
        <f>IF(C15="","RH-"&amp;TEXT(COUNTA($C$5:C15),"000"))</f>
        <v/>
      </c>
      <c r="C15" s="12" t="n"/>
      <c r="D15" s="12" t="n"/>
      <c r="E15" s="12" t="n"/>
      <c r="F15" s="12" t="n"/>
      <c r="G15" s="14" t="n"/>
      <c r="H15" s="14" t="n"/>
      <c r="I15" s="14" t="n"/>
      <c r="J15" s="14" t="n"/>
      <c r="K15" s="14">
        <f>IF(C15="","",IFERROR(G15+H15+I15+J15,0))</f>
        <v/>
      </c>
      <c r="L15" s="14">
        <f>IF(C15="","",IFERROR(K15-40,0))</f>
        <v/>
      </c>
      <c r="M15" s="12" t="n"/>
    </row>
    <row r="16" ht="22" customHeight="1">
      <c r="B16" s="18">
        <f>IF(C16="","RH-"&amp;TEXT(COUNTA($C$5:C16),"000"))</f>
        <v/>
      </c>
      <c r="C16" s="15" t="n"/>
      <c r="D16" s="15" t="n"/>
      <c r="E16" s="15" t="n"/>
      <c r="F16" s="15" t="n"/>
      <c r="G16" s="17" t="n"/>
      <c r="H16" s="17" t="n"/>
      <c r="I16" s="17" t="n"/>
      <c r="J16" s="17" t="n"/>
      <c r="K16" s="17">
        <f>IF(C16="","",IFERROR(G16+H16+I16+J16,0))</f>
        <v/>
      </c>
      <c r="L16" s="17">
        <f>IF(C16="","",IFERROR(K16-40,0))</f>
        <v/>
      </c>
      <c r="M16" s="15" t="n"/>
    </row>
    <row r="17" ht="22" customHeight="1">
      <c r="B17" s="19">
        <f>IF(C17="","RH-"&amp;TEXT(COUNTA($C$5:C17),"000"))</f>
        <v/>
      </c>
      <c r="C17" s="12" t="n"/>
      <c r="D17" s="12" t="n"/>
      <c r="E17" s="12" t="n"/>
      <c r="F17" s="12" t="n"/>
      <c r="G17" s="14" t="n"/>
      <c r="H17" s="14" t="n"/>
      <c r="I17" s="14" t="n"/>
      <c r="J17" s="14" t="n"/>
      <c r="K17" s="14">
        <f>IF(C17="","",IFERROR(G17+H17+I17+J17,0))</f>
        <v/>
      </c>
      <c r="L17" s="14">
        <f>IF(C17="","",IFERROR(K17-40,0))</f>
        <v/>
      </c>
      <c r="M17" s="12" t="n"/>
    </row>
    <row r="18" ht="22" customHeight="1">
      <c r="B18" s="18">
        <f>IF(C18="","RH-"&amp;TEXT(COUNTA($C$5:C18),"000"))</f>
        <v/>
      </c>
      <c r="C18" s="15" t="n"/>
      <c r="D18" s="15" t="n"/>
      <c r="E18" s="15" t="n"/>
      <c r="F18" s="15" t="n"/>
      <c r="G18" s="17" t="n"/>
      <c r="H18" s="17" t="n"/>
      <c r="I18" s="17" t="n"/>
      <c r="J18" s="17" t="n"/>
      <c r="K18" s="17">
        <f>IF(C18="","",IFERROR(G18+H18+I18+J18,0))</f>
        <v/>
      </c>
      <c r="L18" s="17">
        <f>IF(C18="","",IFERROR(K18-40,0))</f>
        <v/>
      </c>
      <c r="M18" s="15" t="n"/>
    </row>
    <row r="19" ht="22" customHeight="1">
      <c r="B19" s="19">
        <f>IF(C19="","RH-"&amp;TEXT(COUNTA($C$5:C19),"000"))</f>
        <v/>
      </c>
      <c r="C19" s="12" t="n"/>
      <c r="D19" s="12" t="n"/>
      <c r="E19" s="12" t="n"/>
      <c r="F19" s="12" t="n"/>
      <c r="G19" s="14" t="n"/>
      <c r="H19" s="14" t="n"/>
      <c r="I19" s="14" t="n"/>
      <c r="J19" s="14" t="n"/>
      <c r="K19" s="14">
        <f>IF(C19="","",IFERROR(G19+H19+I19+J19,0))</f>
        <v/>
      </c>
      <c r="L19" s="14">
        <f>IF(C19="","",IFERROR(K19-40,0))</f>
        <v/>
      </c>
      <c r="M19" s="12" t="n"/>
    </row>
    <row r="20" ht="22" customHeight="1">
      <c r="B20" s="18">
        <f>IF(C20="","RH-"&amp;TEXT(COUNTA($C$5:C20),"000"))</f>
        <v/>
      </c>
      <c r="C20" s="15" t="n"/>
      <c r="D20" s="15" t="n"/>
      <c r="E20" s="15" t="n"/>
      <c r="F20" s="15" t="n"/>
      <c r="G20" s="17" t="n"/>
      <c r="H20" s="17" t="n"/>
      <c r="I20" s="17" t="n"/>
      <c r="J20" s="17" t="n"/>
      <c r="K20" s="17">
        <f>IF(C20="","",IFERROR(G20+H20+I20+J20,0))</f>
        <v/>
      </c>
      <c r="L20" s="17">
        <f>IF(C20="","",IFERROR(K20-40,0))</f>
        <v/>
      </c>
      <c r="M20" s="15" t="n"/>
    </row>
    <row r="21" ht="22" customHeight="1">
      <c r="B21" s="19">
        <f>IF(C21="","RH-"&amp;TEXT(COUNTA($C$5:C21),"000"))</f>
        <v/>
      </c>
      <c r="C21" s="12" t="n"/>
      <c r="D21" s="12" t="n"/>
      <c r="E21" s="12" t="n"/>
      <c r="F21" s="12" t="n"/>
      <c r="G21" s="14" t="n"/>
      <c r="H21" s="14" t="n"/>
      <c r="I21" s="14" t="n"/>
      <c r="J21" s="14" t="n"/>
      <c r="K21" s="14">
        <f>IF(C21="","",IFERROR(G21+H21+I21+J21,0))</f>
        <v/>
      </c>
      <c r="L21" s="14">
        <f>IF(C21="","",IFERROR(K21-40,0))</f>
        <v/>
      </c>
      <c r="M21" s="12" t="n"/>
    </row>
    <row r="22" ht="22" customHeight="1">
      <c r="B22" s="18">
        <f>IF(C22="","RH-"&amp;TEXT(COUNTA($C$5:C22),"000"))</f>
        <v/>
      </c>
      <c r="C22" s="15" t="n"/>
      <c r="D22" s="15" t="n"/>
      <c r="E22" s="15" t="n"/>
      <c r="F22" s="15" t="n"/>
      <c r="G22" s="17" t="n"/>
      <c r="H22" s="17" t="n"/>
      <c r="I22" s="17" t="n"/>
      <c r="J22" s="17" t="n"/>
      <c r="K22" s="17">
        <f>IF(C22="","",IFERROR(G22+H22+I22+J22,0))</f>
        <v/>
      </c>
      <c r="L22" s="17">
        <f>IF(C22="","",IFERROR(K22-40,0))</f>
        <v/>
      </c>
      <c r="M22" s="15" t="n"/>
    </row>
    <row r="23" ht="22" customHeight="1">
      <c r="B23" s="19">
        <f>IF(C23="","RH-"&amp;TEXT(COUNTA($C$5:C23),"000"))</f>
        <v/>
      </c>
      <c r="C23" s="12" t="n"/>
      <c r="D23" s="12" t="n"/>
      <c r="E23" s="12" t="n"/>
      <c r="F23" s="12" t="n"/>
      <c r="G23" s="14" t="n"/>
      <c r="H23" s="14" t="n"/>
      <c r="I23" s="14" t="n"/>
      <c r="J23" s="14" t="n"/>
      <c r="K23" s="14">
        <f>IF(C23="","",IFERROR(G23+H23+I23+J23,0))</f>
        <v/>
      </c>
      <c r="L23" s="14">
        <f>IF(C23="","",IFERROR(K23-40,0))</f>
        <v/>
      </c>
      <c r="M23" s="12" t="n"/>
    </row>
    <row r="24" ht="22" customHeight="1">
      <c r="B24" s="18">
        <f>IF(C24="","RH-"&amp;TEXT(COUNTA($C$5:C24),"000"))</f>
        <v/>
      </c>
      <c r="C24" s="15" t="n"/>
      <c r="D24" s="15" t="n"/>
      <c r="E24" s="15" t="n"/>
      <c r="F24" s="15" t="n"/>
      <c r="G24" s="17" t="n"/>
      <c r="H24" s="17" t="n"/>
      <c r="I24" s="17" t="n"/>
      <c r="J24" s="17" t="n"/>
      <c r="K24" s="17">
        <f>IF(C24="","",IFERROR(G24+H24+I24+J24,0))</f>
        <v/>
      </c>
      <c r="L24" s="17">
        <f>IF(C24="","",IFERROR(K24-40,0))</f>
        <v/>
      </c>
      <c r="M24" s="15" t="n"/>
    </row>
    <row r="25" ht="22" customHeight="1">
      <c r="B25" s="19">
        <f>IF(C25="","RH-"&amp;TEXT(COUNTA($C$5:C25),"000"))</f>
        <v/>
      </c>
      <c r="C25" s="12" t="n"/>
      <c r="D25" s="12" t="n"/>
      <c r="E25" s="12" t="n"/>
      <c r="F25" s="12" t="n"/>
      <c r="G25" s="14" t="n"/>
      <c r="H25" s="14" t="n"/>
      <c r="I25" s="14" t="n"/>
      <c r="J25" s="14" t="n"/>
      <c r="K25" s="14">
        <f>IF(C25="","",IFERROR(G25+H25+I25+J25,0))</f>
        <v/>
      </c>
      <c r="L25" s="14">
        <f>IF(C25="","",IFERROR(K25-40,0))</f>
        <v/>
      </c>
      <c r="M25" s="12" t="n"/>
    </row>
    <row r="26" ht="22" customHeight="1">
      <c r="B26" s="18">
        <f>IF(C26="","RH-"&amp;TEXT(COUNTA($C$5:C26),"000"))</f>
        <v/>
      </c>
      <c r="C26" s="15" t="n"/>
      <c r="D26" s="15" t="n"/>
      <c r="E26" s="15" t="n"/>
      <c r="F26" s="15" t="n"/>
      <c r="G26" s="17" t="n"/>
      <c r="H26" s="17" t="n"/>
      <c r="I26" s="17" t="n"/>
      <c r="J26" s="17" t="n"/>
      <c r="K26" s="17">
        <f>IF(C26="","",IFERROR(G26+H26+I26+J26,0))</f>
        <v/>
      </c>
      <c r="L26" s="17">
        <f>IF(C26="","",IFERROR(K26-40,0))</f>
        <v/>
      </c>
      <c r="M26" s="15" t="n"/>
    </row>
    <row r="27" ht="22" customHeight="1">
      <c r="B27" s="19">
        <f>IF(C27="","RH-"&amp;TEXT(COUNTA($C$5:C27),"000"))</f>
        <v/>
      </c>
      <c r="C27" s="12" t="n"/>
      <c r="D27" s="12" t="n"/>
      <c r="E27" s="12" t="n"/>
      <c r="F27" s="12" t="n"/>
      <c r="G27" s="14" t="n"/>
      <c r="H27" s="14" t="n"/>
      <c r="I27" s="14" t="n"/>
      <c r="J27" s="14" t="n"/>
      <c r="K27" s="14">
        <f>IF(C27="","",IFERROR(G27+H27+I27+J27,0))</f>
        <v/>
      </c>
      <c r="L27" s="14">
        <f>IF(C27="","",IFERROR(K27-40,0))</f>
        <v/>
      </c>
      <c r="M27" s="12" t="n"/>
    </row>
    <row r="28" ht="22" customHeight="1">
      <c r="B28" s="18">
        <f>IF(C28="","RH-"&amp;TEXT(COUNTA($C$5:C28),"000"))</f>
        <v/>
      </c>
      <c r="C28" s="15" t="n"/>
      <c r="D28" s="15" t="n"/>
      <c r="E28" s="15" t="n"/>
      <c r="F28" s="15" t="n"/>
      <c r="G28" s="17" t="n"/>
      <c r="H28" s="17" t="n"/>
      <c r="I28" s="17" t="n"/>
      <c r="J28" s="17" t="n"/>
      <c r="K28" s="17">
        <f>IF(C28="","",IFERROR(G28+H28+I28+J28,0))</f>
        <v/>
      </c>
      <c r="L28" s="17">
        <f>IF(C28="","",IFERROR(K28-40,0))</f>
        <v/>
      </c>
      <c r="M28" s="15" t="n"/>
    </row>
    <row r="29" ht="22" customHeight="1">
      <c r="B29" s="19">
        <f>IF(C29="","RH-"&amp;TEXT(COUNTA($C$5:C29),"000"))</f>
        <v/>
      </c>
      <c r="C29" s="12" t="n"/>
      <c r="D29" s="12" t="n"/>
      <c r="E29" s="12" t="n"/>
      <c r="F29" s="12" t="n"/>
      <c r="G29" s="14" t="n"/>
      <c r="H29" s="14" t="n"/>
      <c r="I29" s="14" t="n"/>
      <c r="J29" s="14" t="n"/>
      <c r="K29" s="14">
        <f>IF(C29="","",IFERROR(G29+H29+I29+J29,0))</f>
        <v/>
      </c>
      <c r="L29" s="14">
        <f>IF(C29="","",IFERROR(K29-40,0))</f>
        <v/>
      </c>
      <c r="M29" s="12" t="n"/>
    </row>
    <row r="30" ht="22" customHeight="1">
      <c r="B30" s="18">
        <f>IF(C30="","RH-"&amp;TEXT(COUNTA($C$5:C30),"000"))</f>
        <v/>
      </c>
      <c r="C30" s="15" t="n"/>
      <c r="D30" s="15" t="n"/>
      <c r="E30" s="15" t="n"/>
      <c r="F30" s="15" t="n"/>
      <c r="G30" s="17" t="n"/>
      <c r="H30" s="17" t="n"/>
      <c r="I30" s="17" t="n"/>
      <c r="J30" s="17" t="n"/>
      <c r="K30" s="17">
        <f>IF(C30="","",IFERROR(G30+H30+I30+J30,0))</f>
        <v/>
      </c>
      <c r="L30" s="17">
        <f>IF(C30="","",IFERROR(K30-40,0))</f>
        <v/>
      </c>
      <c r="M30" s="15" t="n"/>
    </row>
    <row r="31" ht="22" customHeight="1">
      <c r="B31" s="19">
        <f>IF(C31="","RH-"&amp;TEXT(COUNTA($C$5:C31),"000"))</f>
        <v/>
      </c>
      <c r="C31" s="12" t="n"/>
      <c r="D31" s="12" t="n"/>
      <c r="E31" s="12" t="n"/>
      <c r="F31" s="12" t="n"/>
      <c r="G31" s="14" t="n"/>
      <c r="H31" s="14" t="n"/>
      <c r="I31" s="14" t="n"/>
      <c r="J31" s="14" t="n"/>
      <c r="K31" s="14">
        <f>IF(C31="","",IFERROR(G31+H31+I31+J31,0))</f>
        <v/>
      </c>
      <c r="L31" s="14">
        <f>IF(C31="","",IFERROR(K31-40,0))</f>
        <v/>
      </c>
      <c r="M31" s="12" t="n"/>
    </row>
    <row r="32" ht="22" customHeight="1">
      <c r="B32" s="18">
        <f>IF(C32="","RH-"&amp;TEXT(COUNTA($C$5:C32),"000"))</f>
        <v/>
      </c>
      <c r="C32" s="15" t="n"/>
      <c r="D32" s="15" t="n"/>
      <c r="E32" s="15" t="n"/>
      <c r="F32" s="15" t="n"/>
      <c r="G32" s="17" t="n"/>
      <c r="H32" s="17" t="n"/>
      <c r="I32" s="17" t="n"/>
      <c r="J32" s="17" t="n"/>
      <c r="K32" s="17">
        <f>IF(C32="","",IFERROR(G32+H32+I32+J32,0))</f>
        <v/>
      </c>
      <c r="L32" s="17">
        <f>IF(C32="","",IFERROR(K32-40,0))</f>
        <v/>
      </c>
      <c r="M32" s="15" t="n"/>
    </row>
    <row r="33" ht="22" customHeight="1">
      <c r="B33" s="19">
        <f>IF(C33="","RH-"&amp;TEXT(COUNTA($C$5:C33),"000"))</f>
        <v/>
      </c>
      <c r="C33" s="12" t="n"/>
      <c r="D33" s="12" t="n"/>
      <c r="E33" s="12" t="n"/>
      <c r="F33" s="12" t="n"/>
      <c r="G33" s="14" t="n"/>
      <c r="H33" s="14" t="n"/>
      <c r="I33" s="14" t="n"/>
      <c r="J33" s="14" t="n"/>
      <c r="K33" s="14">
        <f>IF(C33="","",IFERROR(G33+H33+I33+J33,0))</f>
        <v/>
      </c>
      <c r="L33" s="14">
        <f>IF(C33="","",IFERROR(K33-40,0))</f>
        <v/>
      </c>
      <c r="M33" s="12" t="n"/>
    </row>
    <row r="34" ht="22" customHeight="1">
      <c r="B34" s="18">
        <f>IF(C34="","RH-"&amp;TEXT(COUNTA($C$5:C34),"000"))</f>
        <v/>
      </c>
      <c r="C34" s="15" t="n"/>
      <c r="D34" s="15" t="n"/>
      <c r="E34" s="15" t="n"/>
      <c r="F34" s="15" t="n"/>
      <c r="G34" s="17" t="n"/>
      <c r="H34" s="17" t="n"/>
      <c r="I34" s="17" t="n"/>
      <c r="J34" s="17" t="n"/>
      <c r="K34" s="17">
        <f>IF(C34="","",IFERROR(G34+H34+I34+J34,0))</f>
        <v/>
      </c>
      <c r="L34" s="17">
        <f>IF(C34="","",IFERROR(K34-40,0))</f>
        <v/>
      </c>
      <c r="M34" s="15" t="n"/>
    </row>
    <row r="35" ht="22" customHeight="1">
      <c r="B35" s="19">
        <f>IF(C35="","RH-"&amp;TEXT(COUNTA($C$5:C35),"000"))</f>
        <v/>
      </c>
      <c r="C35" s="12" t="n"/>
      <c r="D35" s="12" t="n"/>
      <c r="E35" s="12" t="n"/>
      <c r="F35" s="12" t="n"/>
      <c r="G35" s="14" t="n"/>
      <c r="H35" s="14" t="n"/>
      <c r="I35" s="14" t="n"/>
      <c r="J35" s="14" t="n"/>
      <c r="K35" s="14">
        <f>IF(C35="","",IFERROR(G35+H35+I35+J35,0))</f>
        <v/>
      </c>
      <c r="L35" s="14">
        <f>IF(C35="","",IFERROR(K35-40,0))</f>
        <v/>
      </c>
      <c r="M35" s="12" t="n"/>
    </row>
    <row r="36" ht="22" customHeight="1">
      <c r="B36" s="18">
        <f>IF(C36="","RH-"&amp;TEXT(COUNTA($C$5:C36),"000"))</f>
        <v/>
      </c>
      <c r="C36" s="15" t="n"/>
      <c r="D36" s="15" t="n"/>
      <c r="E36" s="15" t="n"/>
      <c r="F36" s="15" t="n"/>
      <c r="G36" s="17" t="n"/>
      <c r="H36" s="17" t="n"/>
      <c r="I36" s="17" t="n"/>
      <c r="J36" s="17" t="n"/>
      <c r="K36" s="17">
        <f>IF(C36="","",IFERROR(G36+H36+I36+J36,0))</f>
        <v/>
      </c>
      <c r="L36" s="17">
        <f>IF(C36="","",IFERROR(K36-40,0))</f>
        <v/>
      </c>
      <c r="M36" s="15" t="n"/>
    </row>
    <row r="37" ht="22" customHeight="1">
      <c r="B37" s="19">
        <f>IF(C37="","RH-"&amp;TEXT(COUNTA($C$5:C37),"000"))</f>
        <v/>
      </c>
      <c r="C37" s="12" t="n"/>
      <c r="D37" s="12" t="n"/>
      <c r="E37" s="12" t="n"/>
      <c r="F37" s="12" t="n"/>
      <c r="G37" s="14" t="n"/>
      <c r="H37" s="14" t="n"/>
      <c r="I37" s="14" t="n"/>
      <c r="J37" s="14" t="n"/>
      <c r="K37" s="14">
        <f>IF(C37="","",IFERROR(G37+H37+I37+J37,0))</f>
        <v/>
      </c>
      <c r="L37" s="14">
        <f>IF(C37="","",IFERROR(K37-40,0))</f>
        <v/>
      </c>
      <c r="M37" s="12" t="n"/>
    </row>
    <row r="38" ht="22" customHeight="1">
      <c r="B38" s="18">
        <f>IF(C38="","RH-"&amp;TEXT(COUNTA($C$5:C38),"000"))</f>
        <v/>
      </c>
      <c r="C38" s="15" t="n"/>
      <c r="D38" s="15" t="n"/>
      <c r="E38" s="15" t="n"/>
      <c r="F38" s="15" t="n"/>
      <c r="G38" s="17" t="n"/>
      <c r="H38" s="17" t="n"/>
      <c r="I38" s="17" t="n"/>
      <c r="J38" s="17" t="n"/>
      <c r="K38" s="17">
        <f>IF(C38="","",IFERROR(G38+H38+I38+J38,0))</f>
        <v/>
      </c>
      <c r="L38" s="17">
        <f>IF(C38="","",IFERROR(K38-40,0))</f>
        <v/>
      </c>
      <c r="M38" s="15" t="n"/>
    </row>
    <row r="39" ht="22" customHeight="1">
      <c r="B39" s="19">
        <f>IF(C39="","RH-"&amp;TEXT(COUNTA($C$5:C39),"000"))</f>
        <v/>
      </c>
      <c r="C39" s="12" t="n"/>
      <c r="D39" s="12" t="n"/>
      <c r="E39" s="12" t="n"/>
      <c r="F39" s="12" t="n"/>
      <c r="G39" s="14" t="n"/>
      <c r="H39" s="14" t="n"/>
      <c r="I39" s="14" t="n"/>
      <c r="J39" s="14" t="n"/>
      <c r="K39" s="14">
        <f>IF(C39="","",IFERROR(G39+H39+I39+J39,0))</f>
        <v/>
      </c>
      <c r="L39" s="14">
        <f>IF(C39="","",IFERROR(K39-40,0))</f>
        <v/>
      </c>
      <c r="M39" s="12" t="n"/>
    </row>
    <row r="40" ht="22" customHeight="1">
      <c r="B40" s="18">
        <f>IF(C40="","RH-"&amp;TEXT(COUNTA($C$5:C40),"000"))</f>
        <v/>
      </c>
      <c r="C40" s="15" t="n"/>
      <c r="D40" s="15" t="n"/>
      <c r="E40" s="15" t="n"/>
      <c r="F40" s="15" t="n"/>
      <c r="G40" s="17" t="n"/>
      <c r="H40" s="17" t="n"/>
      <c r="I40" s="17" t="n"/>
      <c r="J40" s="17" t="n"/>
      <c r="K40" s="17">
        <f>IF(C40="","",IFERROR(G40+H40+I40+J40,0))</f>
        <v/>
      </c>
      <c r="L40" s="17">
        <f>IF(C40="","",IFERROR(K40-40,0))</f>
        <v/>
      </c>
      <c r="M40" s="15" t="n"/>
    </row>
    <row r="41" ht="22" customHeight="1">
      <c r="B41" s="19">
        <f>IF(C41="","RH-"&amp;TEXT(COUNTA($C$5:C41),"000"))</f>
        <v/>
      </c>
      <c r="C41" s="12" t="n"/>
      <c r="D41" s="12" t="n"/>
      <c r="E41" s="12" t="n"/>
      <c r="F41" s="12" t="n"/>
      <c r="G41" s="14" t="n"/>
      <c r="H41" s="14" t="n"/>
      <c r="I41" s="14" t="n"/>
      <c r="J41" s="14" t="n"/>
      <c r="K41" s="14">
        <f>IF(C41="","",IFERROR(G41+H41+I41+J41,0))</f>
        <v/>
      </c>
      <c r="L41" s="14">
        <f>IF(C41="","",IFERROR(K41-40,0))</f>
        <v/>
      </c>
      <c r="M41" s="12" t="n"/>
    </row>
    <row r="42" ht="22" customHeight="1">
      <c r="B42" s="18">
        <f>IF(C42="","RH-"&amp;TEXT(COUNTA($C$5:C42),"000"))</f>
        <v/>
      </c>
      <c r="C42" s="15" t="n"/>
      <c r="D42" s="15" t="n"/>
      <c r="E42" s="15" t="n"/>
      <c r="F42" s="15" t="n"/>
      <c r="G42" s="17" t="n"/>
      <c r="H42" s="17" t="n"/>
      <c r="I42" s="17" t="n"/>
      <c r="J42" s="17" t="n"/>
      <c r="K42" s="17">
        <f>IF(C42="","",IFERROR(G42+H42+I42+J42,0))</f>
        <v/>
      </c>
      <c r="L42" s="17">
        <f>IF(C42="","",IFERROR(K42-40,0))</f>
        <v/>
      </c>
      <c r="M42" s="15" t="n"/>
    </row>
    <row r="43" ht="22" customHeight="1">
      <c r="B43" s="19">
        <f>IF(C43="","RH-"&amp;TEXT(COUNTA($C$5:C43),"000"))</f>
        <v/>
      </c>
      <c r="C43" s="12" t="n"/>
      <c r="D43" s="12" t="n"/>
      <c r="E43" s="12" t="n"/>
      <c r="F43" s="12" t="n"/>
      <c r="G43" s="14" t="n"/>
      <c r="H43" s="14" t="n"/>
      <c r="I43" s="14" t="n"/>
      <c r="J43" s="14" t="n"/>
      <c r="K43" s="14">
        <f>IF(C43="","",IFERROR(G43+H43+I43+J43,0))</f>
        <v/>
      </c>
      <c r="L43" s="14">
        <f>IF(C43="","",IFERROR(K43-40,0))</f>
        <v/>
      </c>
      <c r="M43" s="12" t="n"/>
    </row>
    <row r="44" ht="22" customHeight="1">
      <c r="B44" s="18">
        <f>IF(C44="","RH-"&amp;TEXT(COUNTA($C$5:C44),"000"))</f>
        <v/>
      </c>
      <c r="C44" s="15" t="n"/>
      <c r="D44" s="15" t="n"/>
      <c r="E44" s="15" t="n"/>
      <c r="F44" s="15" t="n"/>
      <c r="G44" s="17" t="n"/>
      <c r="H44" s="17" t="n"/>
      <c r="I44" s="17" t="n"/>
      <c r="J44" s="17" t="n"/>
      <c r="K44" s="17">
        <f>IF(C44="","",IFERROR(G44+H44+I44+J44,0))</f>
        <v/>
      </c>
      <c r="L44" s="17">
        <f>IF(C44="","",IFERROR(K44-40,0))</f>
        <v/>
      </c>
      <c r="M44" s="15" t="n"/>
    </row>
    <row r="45" ht="22" customHeight="1">
      <c r="B45" s="19">
        <f>IF(C45="","RH-"&amp;TEXT(COUNTA($C$5:C45),"000"))</f>
        <v/>
      </c>
      <c r="C45" s="12" t="n"/>
      <c r="D45" s="12" t="n"/>
      <c r="E45" s="12" t="n"/>
      <c r="F45" s="12" t="n"/>
      <c r="G45" s="14" t="n"/>
      <c r="H45" s="14" t="n"/>
      <c r="I45" s="14" t="n"/>
      <c r="J45" s="14" t="n"/>
      <c r="K45" s="14">
        <f>IF(C45="","",IFERROR(G45+H45+I45+J45,0))</f>
        <v/>
      </c>
      <c r="L45" s="14">
        <f>IF(C45="","",IFERROR(K45-40,0))</f>
        <v/>
      </c>
      <c r="M45" s="12" t="n"/>
    </row>
    <row r="46" ht="22" customHeight="1">
      <c r="B46" s="18">
        <f>IF(C46="","RH-"&amp;TEXT(COUNTA($C$5:C46),"000"))</f>
        <v/>
      </c>
      <c r="C46" s="15" t="n"/>
      <c r="D46" s="15" t="n"/>
      <c r="E46" s="15" t="n"/>
      <c r="F46" s="15" t="n"/>
      <c r="G46" s="17" t="n"/>
      <c r="H46" s="17" t="n"/>
      <c r="I46" s="17" t="n"/>
      <c r="J46" s="17" t="n"/>
      <c r="K46" s="17">
        <f>IF(C46="","",IFERROR(G46+H46+I46+J46,0))</f>
        <v/>
      </c>
      <c r="L46" s="17">
        <f>IF(C46="","",IFERROR(K46-40,0))</f>
        <v/>
      </c>
      <c r="M46" s="15" t="n"/>
    </row>
    <row r="47" ht="22" customHeight="1">
      <c r="B47" s="19">
        <f>IF(C47="","RH-"&amp;TEXT(COUNTA($C$5:C47),"000"))</f>
        <v/>
      </c>
      <c r="C47" s="12" t="n"/>
      <c r="D47" s="12" t="n"/>
      <c r="E47" s="12" t="n"/>
      <c r="F47" s="12" t="n"/>
      <c r="G47" s="14" t="n"/>
      <c r="H47" s="14" t="n"/>
      <c r="I47" s="14" t="n"/>
      <c r="J47" s="14" t="n"/>
      <c r="K47" s="14">
        <f>IF(C47="","",IFERROR(G47+H47+I47+J47,0))</f>
        <v/>
      </c>
      <c r="L47" s="14">
        <f>IF(C47="","",IFERROR(K47-40,0))</f>
        <v/>
      </c>
      <c r="M47" s="12" t="n"/>
    </row>
    <row r="48" ht="22" customHeight="1">
      <c r="B48" s="18">
        <f>IF(C48="","RH-"&amp;TEXT(COUNTA($C$5:C48),"000"))</f>
        <v/>
      </c>
      <c r="C48" s="15" t="n"/>
      <c r="D48" s="15" t="n"/>
      <c r="E48" s="15" t="n"/>
      <c r="F48" s="15" t="n"/>
      <c r="G48" s="17" t="n"/>
      <c r="H48" s="17" t="n"/>
      <c r="I48" s="17" t="n"/>
      <c r="J48" s="17" t="n"/>
      <c r="K48" s="17">
        <f>IF(C48="","",IFERROR(G48+H48+I48+J48,0))</f>
        <v/>
      </c>
      <c r="L48" s="17">
        <f>IF(C48="","",IFERROR(K48-40,0))</f>
        <v/>
      </c>
      <c r="M48" s="15" t="n"/>
    </row>
    <row r="49" ht="22" customHeight="1">
      <c r="B49" s="19">
        <f>IF(C49="","RH-"&amp;TEXT(COUNTA($C$5:C49),"000"))</f>
        <v/>
      </c>
      <c r="C49" s="12" t="n"/>
      <c r="D49" s="12" t="n"/>
      <c r="E49" s="12" t="n"/>
      <c r="F49" s="12" t="n"/>
      <c r="G49" s="14" t="n"/>
      <c r="H49" s="14" t="n"/>
      <c r="I49" s="14" t="n"/>
      <c r="J49" s="14" t="n"/>
      <c r="K49" s="14">
        <f>IF(C49="","",IFERROR(G49+H49+I49+J49,0))</f>
        <v/>
      </c>
      <c r="L49" s="14">
        <f>IF(C49="","",IFERROR(K49-40,0))</f>
        <v/>
      </c>
      <c r="M49" s="12" t="n"/>
    </row>
    <row r="50" ht="22" customHeight="1">
      <c r="B50" s="18">
        <f>IF(C50="","RH-"&amp;TEXT(COUNTA($C$5:C50),"000"))</f>
        <v/>
      </c>
      <c r="C50" s="15" t="n"/>
      <c r="D50" s="15" t="n"/>
      <c r="E50" s="15" t="n"/>
      <c r="F50" s="15" t="n"/>
      <c r="G50" s="17" t="n"/>
      <c r="H50" s="17" t="n"/>
      <c r="I50" s="17" t="n"/>
      <c r="J50" s="17" t="n"/>
      <c r="K50" s="17">
        <f>IF(C50="","",IFERROR(G50+H50+I50+J50,0))</f>
        <v/>
      </c>
      <c r="L50" s="17">
        <f>IF(C50="","",IFERROR(K50-40,0))</f>
        <v/>
      </c>
      <c r="M50" s="15" t="n"/>
    </row>
    <row r="51" ht="22" customHeight="1">
      <c r="B51" s="19">
        <f>IF(C51="","RH-"&amp;TEXT(COUNTA($C$5:C51),"000"))</f>
        <v/>
      </c>
      <c r="C51" s="12" t="n"/>
      <c r="D51" s="12" t="n"/>
      <c r="E51" s="12" t="n"/>
      <c r="F51" s="12" t="n"/>
      <c r="G51" s="14" t="n"/>
      <c r="H51" s="14" t="n"/>
      <c r="I51" s="14" t="n"/>
      <c r="J51" s="14" t="n"/>
      <c r="K51" s="14">
        <f>IF(C51="","",IFERROR(G51+H51+I51+J51,0))</f>
        <v/>
      </c>
      <c r="L51" s="14">
        <f>IF(C51="","",IFERROR(K51-40,0))</f>
        <v/>
      </c>
      <c r="M51" s="12" t="n"/>
    </row>
    <row r="52" ht="22" customHeight="1">
      <c r="B52" s="18">
        <f>IF(C52="","RH-"&amp;TEXT(COUNTA($C$5:C52),"000"))</f>
        <v/>
      </c>
      <c r="C52" s="15" t="n"/>
      <c r="D52" s="15" t="n"/>
      <c r="E52" s="15" t="n"/>
      <c r="F52" s="15" t="n"/>
      <c r="G52" s="17" t="n"/>
      <c r="H52" s="17" t="n"/>
      <c r="I52" s="17" t="n"/>
      <c r="J52" s="17" t="n"/>
      <c r="K52" s="17">
        <f>IF(C52="","",IFERROR(G52+H52+I52+J52,0))</f>
        <v/>
      </c>
      <c r="L52" s="17">
        <f>IF(C52="","",IFERROR(K52-40,0))</f>
        <v/>
      </c>
      <c r="M52" s="15" t="n"/>
    </row>
    <row r="53" ht="22" customHeight="1">
      <c r="B53" s="19">
        <f>IF(C53="","RH-"&amp;TEXT(COUNTA($C$5:C53),"000"))</f>
        <v/>
      </c>
      <c r="C53" s="12" t="n"/>
      <c r="D53" s="12" t="n"/>
      <c r="E53" s="12" t="n"/>
      <c r="F53" s="12" t="n"/>
      <c r="G53" s="14" t="n"/>
      <c r="H53" s="14" t="n"/>
      <c r="I53" s="14" t="n"/>
      <c r="J53" s="14" t="n"/>
      <c r="K53" s="14">
        <f>IF(C53="","",IFERROR(G53+H53+I53+J53,0))</f>
        <v/>
      </c>
      <c r="L53" s="14">
        <f>IF(C53="","",IFERROR(K53-40,0))</f>
        <v/>
      </c>
      <c r="M53" s="12" t="n"/>
    </row>
    <row r="54" ht="22" customHeight="1">
      <c r="B54" s="18">
        <f>IF(C54="","RH-"&amp;TEXT(COUNTA($C$5:C54),"000"))</f>
        <v/>
      </c>
      <c r="C54" s="15" t="n"/>
      <c r="D54" s="15" t="n"/>
      <c r="E54" s="15" t="n"/>
      <c r="F54" s="15" t="n"/>
      <c r="G54" s="17" t="n"/>
      <c r="H54" s="17" t="n"/>
      <c r="I54" s="17" t="n"/>
      <c r="J54" s="17" t="n"/>
      <c r="K54" s="17">
        <f>IF(C54="","",IFERROR(G54+H54+I54+J54,0))</f>
        <v/>
      </c>
      <c r="L54" s="17">
        <f>IF(C54="","",IFERROR(K54-40,0))</f>
        <v/>
      </c>
      <c r="M54" s="15" t="n"/>
    </row>
    <row r="55" ht="22" customHeight="1">
      <c r="B55" s="19">
        <f>IF(C55="","RH-"&amp;TEXT(COUNTA($C$5:C55),"000"))</f>
        <v/>
      </c>
      <c r="C55" s="12" t="n"/>
      <c r="D55" s="12" t="n"/>
      <c r="E55" s="12" t="n"/>
      <c r="F55" s="12" t="n"/>
      <c r="G55" s="14" t="n"/>
      <c r="H55" s="14" t="n"/>
      <c r="I55" s="14" t="n"/>
      <c r="J55" s="14" t="n"/>
      <c r="K55" s="14">
        <f>IF(C55="","",IFERROR(G55+H55+I55+J55,0))</f>
        <v/>
      </c>
      <c r="L55" s="14">
        <f>IF(C55="","",IFERROR(K55-40,0))</f>
        <v/>
      </c>
      <c r="M55" s="12" t="n"/>
    </row>
    <row r="56" ht="22" customHeight="1">
      <c r="B56" s="18">
        <f>IF(C56="","RH-"&amp;TEXT(COUNTA($C$5:C56),"000"))</f>
        <v/>
      </c>
      <c r="C56" s="15" t="n"/>
      <c r="D56" s="15" t="n"/>
      <c r="E56" s="15" t="n"/>
      <c r="F56" s="15" t="n"/>
      <c r="G56" s="17" t="n"/>
      <c r="H56" s="17" t="n"/>
      <c r="I56" s="17" t="n"/>
      <c r="J56" s="17" t="n"/>
      <c r="K56" s="17">
        <f>IF(C56="","",IFERROR(G56+H56+I56+J56,0))</f>
        <v/>
      </c>
      <c r="L56" s="17">
        <f>IF(C56="","",IFERROR(K56-40,0))</f>
        <v/>
      </c>
      <c r="M56" s="15" t="n"/>
    </row>
    <row r="57" ht="22" customHeight="1">
      <c r="B57" s="19">
        <f>IF(C57="","RH-"&amp;TEXT(COUNTA($C$5:C57),"000"))</f>
        <v/>
      </c>
      <c r="C57" s="12" t="n"/>
      <c r="D57" s="12" t="n"/>
      <c r="E57" s="12" t="n"/>
      <c r="F57" s="12" t="n"/>
      <c r="G57" s="14" t="n"/>
      <c r="H57" s="14" t="n"/>
      <c r="I57" s="14" t="n"/>
      <c r="J57" s="14" t="n"/>
      <c r="K57" s="14">
        <f>IF(C57="","",IFERROR(G57+H57+I57+J57,0))</f>
        <v/>
      </c>
      <c r="L57" s="14">
        <f>IF(C57="","",IFERROR(K57-40,0))</f>
        <v/>
      </c>
      <c r="M57" s="12" t="n"/>
    </row>
    <row r="58" ht="22" customHeight="1">
      <c r="B58" s="18">
        <f>IF(C58="","RH-"&amp;TEXT(COUNTA($C$5:C58),"000"))</f>
        <v/>
      </c>
      <c r="C58" s="15" t="n"/>
      <c r="D58" s="15" t="n"/>
      <c r="E58" s="15" t="n"/>
      <c r="F58" s="15" t="n"/>
      <c r="G58" s="17" t="n"/>
      <c r="H58" s="17" t="n"/>
      <c r="I58" s="17" t="n"/>
      <c r="J58" s="17" t="n"/>
      <c r="K58" s="17">
        <f>IF(C58="","",IFERROR(G58+H58+I58+J58,0))</f>
        <v/>
      </c>
      <c r="L58" s="17">
        <f>IF(C58="","",IFERROR(K58-40,0))</f>
        <v/>
      </c>
      <c r="M58" s="15" t="n"/>
    </row>
    <row r="59" ht="22" customHeight="1">
      <c r="B59" s="19">
        <f>IF(C59="","RH-"&amp;TEXT(COUNTA($C$5:C59),"000"))</f>
        <v/>
      </c>
      <c r="C59" s="12" t="n"/>
      <c r="D59" s="12" t="n"/>
      <c r="E59" s="12" t="n"/>
      <c r="F59" s="12" t="n"/>
      <c r="G59" s="14" t="n"/>
      <c r="H59" s="14" t="n"/>
      <c r="I59" s="14" t="n"/>
      <c r="J59" s="14" t="n"/>
      <c r="K59" s="14">
        <f>IF(C59="","",IFERROR(G59+H59+I59+J59,0))</f>
        <v/>
      </c>
      <c r="L59" s="14">
        <f>IF(C59="","",IFERROR(K59-40,0))</f>
        <v/>
      </c>
      <c r="M59" s="12" t="n"/>
    </row>
    <row r="60" ht="22" customHeight="1">
      <c r="B60" s="18">
        <f>IF(C60="","RH-"&amp;TEXT(COUNTA($C$5:C60),"000"))</f>
        <v/>
      </c>
      <c r="C60" s="15" t="n"/>
      <c r="D60" s="15" t="n"/>
      <c r="E60" s="15" t="n"/>
      <c r="F60" s="15" t="n"/>
      <c r="G60" s="17" t="n"/>
      <c r="H60" s="17" t="n"/>
      <c r="I60" s="17" t="n"/>
      <c r="J60" s="17" t="n"/>
      <c r="K60" s="17">
        <f>IF(C60="","",IFERROR(G60+H60+I60+J60,0))</f>
        <v/>
      </c>
      <c r="L60" s="17">
        <f>IF(C60="","",IFERROR(K60-40,0))</f>
        <v/>
      </c>
      <c r="M60" s="15" t="n"/>
    </row>
    <row r="61" ht="22" customHeight="1">
      <c r="B61" s="19">
        <f>IF(C61="","RH-"&amp;TEXT(COUNTA($C$5:C61),"000"))</f>
        <v/>
      </c>
      <c r="C61" s="12" t="n"/>
      <c r="D61" s="12" t="n"/>
      <c r="E61" s="12" t="n"/>
      <c r="F61" s="12" t="n"/>
      <c r="G61" s="14" t="n"/>
      <c r="H61" s="14" t="n"/>
      <c r="I61" s="14" t="n"/>
      <c r="J61" s="14" t="n"/>
      <c r="K61" s="14">
        <f>IF(C61="","",IFERROR(G61+H61+I61+J61,0))</f>
        <v/>
      </c>
      <c r="L61" s="14">
        <f>IF(C61="","",IFERROR(K61-40,0))</f>
        <v/>
      </c>
      <c r="M61" s="12" t="n"/>
    </row>
    <row r="62" ht="22" customHeight="1">
      <c r="B62" s="18">
        <f>IF(C62="","RH-"&amp;TEXT(COUNTA($C$5:C62),"000"))</f>
        <v/>
      </c>
      <c r="C62" s="15" t="n"/>
      <c r="D62" s="15" t="n"/>
      <c r="E62" s="15" t="n"/>
      <c r="F62" s="15" t="n"/>
      <c r="G62" s="17" t="n"/>
      <c r="H62" s="17" t="n"/>
      <c r="I62" s="17" t="n"/>
      <c r="J62" s="17" t="n"/>
      <c r="K62" s="17">
        <f>IF(C62="","",IFERROR(G62+H62+I62+J62,0))</f>
        <v/>
      </c>
      <c r="L62" s="17">
        <f>IF(C62="","",IFERROR(K62-40,0))</f>
        <v/>
      </c>
      <c r="M62" s="15" t="n"/>
    </row>
    <row r="63" ht="22" customHeight="1">
      <c r="B63" s="19">
        <f>IF(C63="","RH-"&amp;TEXT(COUNTA($C$5:C63),"000"))</f>
        <v/>
      </c>
      <c r="C63" s="12" t="n"/>
      <c r="D63" s="12" t="n"/>
      <c r="E63" s="12" t="n"/>
      <c r="F63" s="12" t="n"/>
      <c r="G63" s="14" t="n"/>
      <c r="H63" s="14" t="n"/>
      <c r="I63" s="14" t="n"/>
      <c r="J63" s="14" t="n"/>
      <c r="K63" s="14">
        <f>IF(C63="","",IFERROR(G63+H63+I63+J63,0))</f>
        <v/>
      </c>
      <c r="L63" s="14">
        <f>IF(C63="","",IFERROR(K63-40,0))</f>
        <v/>
      </c>
      <c r="M63" s="12" t="n"/>
    </row>
    <row r="64" ht="22" customHeight="1">
      <c r="B64" s="18">
        <f>IF(C64="","RH-"&amp;TEXT(COUNTA($C$5:C64),"000"))</f>
        <v/>
      </c>
      <c r="C64" s="15" t="n"/>
      <c r="D64" s="15" t="n"/>
      <c r="E64" s="15" t="n"/>
      <c r="F64" s="15" t="n"/>
      <c r="G64" s="17" t="n"/>
      <c r="H64" s="17" t="n"/>
      <c r="I64" s="17" t="n"/>
      <c r="J64" s="17" t="n"/>
      <c r="K64" s="17">
        <f>IF(C64="","",IFERROR(G64+H64+I64+J64,0))</f>
        <v/>
      </c>
      <c r="L64" s="17">
        <f>IF(C64="","",IFERROR(K64-40,0))</f>
        <v/>
      </c>
      <c r="M64" s="15" t="n"/>
    </row>
    <row r="65" ht="22" customHeight="1">
      <c r="B65" s="19">
        <f>IF(C65="","RH-"&amp;TEXT(COUNTA($C$5:C65),"000"))</f>
        <v/>
      </c>
      <c r="C65" s="12" t="n"/>
      <c r="D65" s="12" t="n"/>
      <c r="E65" s="12" t="n"/>
      <c r="F65" s="12" t="n"/>
      <c r="G65" s="14" t="n"/>
      <c r="H65" s="14" t="n"/>
      <c r="I65" s="14" t="n"/>
      <c r="J65" s="14" t="n"/>
      <c r="K65" s="14">
        <f>IF(C65="","",IFERROR(G65+H65+I65+J65,0))</f>
        <v/>
      </c>
      <c r="L65" s="14">
        <f>IF(C65="","",IFERROR(K65-40,0))</f>
        <v/>
      </c>
      <c r="M65" s="12" t="n"/>
    </row>
    <row r="66" ht="22" customHeight="1">
      <c r="B66" s="18">
        <f>IF(C66="","RH-"&amp;TEXT(COUNTA($C$5:C66),"000"))</f>
        <v/>
      </c>
      <c r="C66" s="15" t="n"/>
      <c r="D66" s="15" t="n"/>
      <c r="E66" s="15" t="n"/>
      <c r="F66" s="15" t="n"/>
      <c r="G66" s="17" t="n"/>
      <c r="H66" s="17" t="n"/>
      <c r="I66" s="17" t="n"/>
      <c r="J66" s="17" t="n"/>
      <c r="K66" s="17">
        <f>IF(C66="","",IFERROR(G66+H66+I66+J66,0))</f>
        <v/>
      </c>
      <c r="L66" s="17">
        <f>IF(C66="","",IFERROR(K66-40,0))</f>
        <v/>
      </c>
      <c r="M66" s="15" t="n"/>
    </row>
    <row r="67" ht="22" customHeight="1">
      <c r="B67" s="19">
        <f>IF(C67="","RH-"&amp;TEXT(COUNTA($C$5:C67),"000"))</f>
        <v/>
      </c>
      <c r="C67" s="12" t="n"/>
      <c r="D67" s="12" t="n"/>
      <c r="E67" s="12" t="n"/>
      <c r="F67" s="12" t="n"/>
      <c r="G67" s="14" t="n"/>
      <c r="H67" s="14" t="n"/>
      <c r="I67" s="14" t="n"/>
      <c r="J67" s="14" t="n"/>
      <c r="K67" s="14">
        <f>IF(C67="","",IFERROR(G67+H67+I67+J67,0))</f>
        <v/>
      </c>
      <c r="L67" s="14">
        <f>IF(C67="","",IFERROR(K67-40,0))</f>
        <v/>
      </c>
      <c r="M67" s="12" t="n"/>
    </row>
    <row r="68" ht="22" customHeight="1">
      <c r="B68" s="18">
        <f>IF(C68="","RH-"&amp;TEXT(COUNTA($C$5:C68),"000"))</f>
        <v/>
      </c>
      <c r="C68" s="15" t="n"/>
      <c r="D68" s="15" t="n"/>
      <c r="E68" s="15" t="n"/>
      <c r="F68" s="15" t="n"/>
      <c r="G68" s="17" t="n"/>
      <c r="H68" s="17" t="n"/>
      <c r="I68" s="17" t="n"/>
      <c r="J68" s="17" t="n"/>
      <c r="K68" s="17">
        <f>IF(C68="","",IFERROR(G68+H68+I68+J68,0))</f>
        <v/>
      </c>
      <c r="L68" s="17">
        <f>IF(C68="","",IFERROR(K68-40,0))</f>
        <v/>
      </c>
      <c r="M68" s="15" t="n"/>
    </row>
    <row r="69" ht="22" customHeight="1">
      <c r="B69" s="19">
        <f>IF(C69="","RH-"&amp;TEXT(COUNTA($C$5:C69),"000"))</f>
        <v/>
      </c>
      <c r="C69" s="12" t="n"/>
      <c r="D69" s="12" t="n"/>
      <c r="E69" s="12" t="n"/>
      <c r="F69" s="12" t="n"/>
      <c r="G69" s="14" t="n"/>
      <c r="H69" s="14" t="n"/>
      <c r="I69" s="14" t="n"/>
      <c r="J69" s="14" t="n"/>
      <c r="K69" s="14">
        <f>IF(C69="","",IFERROR(G69+H69+I69+J69,0))</f>
        <v/>
      </c>
      <c r="L69" s="14">
        <f>IF(C69="","",IFERROR(K69-40,0))</f>
        <v/>
      </c>
      <c r="M69" s="12" t="n"/>
    </row>
    <row r="70" ht="22" customHeight="1">
      <c r="B70" s="18">
        <f>IF(C70="","RH-"&amp;TEXT(COUNTA($C$5:C70),"000"))</f>
        <v/>
      </c>
      <c r="C70" s="15" t="n"/>
      <c r="D70" s="15" t="n"/>
      <c r="E70" s="15" t="n"/>
      <c r="F70" s="15" t="n"/>
      <c r="G70" s="17" t="n"/>
      <c r="H70" s="17" t="n"/>
      <c r="I70" s="17" t="n"/>
      <c r="J70" s="17" t="n"/>
      <c r="K70" s="17">
        <f>IF(C70="","",IFERROR(G70+H70+I70+J70,0))</f>
        <v/>
      </c>
      <c r="L70" s="17">
        <f>IF(C70="","",IFERROR(K70-40,0))</f>
        <v/>
      </c>
      <c r="M70" s="15" t="n"/>
    </row>
    <row r="71" ht="22" customHeight="1">
      <c r="B71" s="19">
        <f>IF(C71="","RH-"&amp;TEXT(COUNTA($C$5:C71),"000"))</f>
        <v/>
      </c>
      <c r="C71" s="12" t="n"/>
      <c r="D71" s="12" t="n"/>
      <c r="E71" s="12" t="n"/>
      <c r="F71" s="12" t="n"/>
      <c r="G71" s="14" t="n"/>
      <c r="H71" s="14" t="n"/>
      <c r="I71" s="14" t="n"/>
      <c r="J71" s="14" t="n"/>
      <c r="K71" s="14">
        <f>IF(C71="","",IFERROR(G71+H71+I71+J71,0))</f>
        <v/>
      </c>
      <c r="L71" s="14">
        <f>IF(C71="","",IFERROR(K71-40,0))</f>
        <v/>
      </c>
      <c r="M71" s="12" t="n"/>
    </row>
    <row r="72" ht="22" customHeight="1">
      <c r="B72" s="18">
        <f>IF(C72="","RH-"&amp;TEXT(COUNTA($C$5:C72),"000"))</f>
        <v/>
      </c>
      <c r="C72" s="15" t="n"/>
      <c r="D72" s="15" t="n"/>
      <c r="E72" s="15" t="n"/>
      <c r="F72" s="15" t="n"/>
      <c r="G72" s="17" t="n"/>
      <c r="H72" s="17" t="n"/>
      <c r="I72" s="17" t="n"/>
      <c r="J72" s="17" t="n"/>
      <c r="K72" s="17">
        <f>IF(C72="","",IFERROR(G72+H72+I72+J72,0))</f>
        <v/>
      </c>
      <c r="L72" s="17">
        <f>IF(C72="","",IFERROR(K72-40,0))</f>
        <v/>
      </c>
      <c r="M72" s="15" t="n"/>
    </row>
    <row r="73" ht="22" customHeight="1">
      <c r="B73" s="19">
        <f>IF(C73="","RH-"&amp;TEXT(COUNTA($C$5:C73),"000"))</f>
        <v/>
      </c>
      <c r="C73" s="12" t="n"/>
      <c r="D73" s="12" t="n"/>
      <c r="E73" s="12" t="n"/>
      <c r="F73" s="12" t="n"/>
      <c r="G73" s="14" t="n"/>
      <c r="H73" s="14" t="n"/>
      <c r="I73" s="14" t="n"/>
      <c r="J73" s="14" t="n"/>
      <c r="K73" s="14">
        <f>IF(C73="","",IFERROR(G73+H73+I73+J73,0))</f>
        <v/>
      </c>
      <c r="L73" s="14">
        <f>IF(C73="","",IFERROR(K73-40,0))</f>
        <v/>
      </c>
      <c r="M73" s="12" t="n"/>
    </row>
    <row r="74" ht="22" customHeight="1">
      <c r="B74" s="18">
        <f>IF(C74="","RH-"&amp;TEXT(COUNTA($C$5:C74),"000"))</f>
        <v/>
      </c>
      <c r="C74" s="15" t="n"/>
      <c r="D74" s="15" t="n"/>
      <c r="E74" s="15" t="n"/>
      <c r="F74" s="15" t="n"/>
      <c r="G74" s="17" t="n"/>
      <c r="H74" s="17" t="n"/>
      <c r="I74" s="17" t="n"/>
      <c r="J74" s="17" t="n"/>
      <c r="K74" s="17">
        <f>IF(C74="","",IFERROR(G74+H74+I74+J74,0))</f>
        <v/>
      </c>
      <c r="L74" s="17">
        <f>IF(C74="","",IFERROR(K74-40,0))</f>
        <v/>
      </c>
      <c r="M74" s="15" t="n"/>
    </row>
    <row r="75" ht="22" customHeight="1">
      <c r="B75" s="19">
        <f>IF(C75="","RH-"&amp;TEXT(COUNTA($C$5:C75),"000"))</f>
        <v/>
      </c>
      <c r="C75" s="12" t="n"/>
      <c r="D75" s="12" t="n"/>
      <c r="E75" s="12" t="n"/>
      <c r="F75" s="12" t="n"/>
      <c r="G75" s="14" t="n"/>
      <c r="H75" s="14" t="n"/>
      <c r="I75" s="14" t="n"/>
      <c r="J75" s="14" t="n"/>
      <c r="K75" s="14">
        <f>IF(C75="","",IFERROR(G75+H75+I75+J75,0))</f>
        <v/>
      </c>
      <c r="L75" s="14">
        <f>IF(C75="","",IFERROR(K75-40,0))</f>
        <v/>
      </c>
      <c r="M75" s="12" t="n"/>
    </row>
    <row r="76" ht="22" customHeight="1">
      <c r="B76" s="18">
        <f>IF(C76="","RH-"&amp;TEXT(COUNTA($C$5:C76),"000"))</f>
        <v/>
      </c>
      <c r="C76" s="15" t="n"/>
      <c r="D76" s="15" t="n"/>
      <c r="E76" s="15" t="n"/>
      <c r="F76" s="15" t="n"/>
      <c r="G76" s="17" t="n"/>
      <c r="H76" s="17" t="n"/>
      <c r="I76" s="17" t="n"/>
      <c r="J76" s="17" t="n"/>
      <c r="K76" s="17">
        <f>IF(C76="","",IFERROR(G76+H76+I76+J76,0))</f>
        <v/>
      </c>
      <c r="L76" s="17">
        <f>IF(C76="","",IFERROR(K76-40,0))</f>
        <v/>
      </c>
      <c r="M76" s="15" t="n"/>
    </row>
    <row r="77" ht="22" customHeight="1">
      <c r="B77" s="19">
        <f>IF(C77="","RH-"&amp;TEXT(COUNTA($C$5:C77),"000"))</f>
        <v/>
      </c>
      <c r="C77" s="12" t="n"/>
      <c r="D77" s="12" t="n"/>
      <c r="E77" s="12" t="n"/>
      <c r="F77" s="12" t="n"/>
      <c r="G77" s="14" t="n"/>
      <c r="H77" s="14" t="n"/>
      <c r="I77" s="14" t="n"/>
      <c r="J77" s="14" t="n"/>
      <c r="K77" s="14">
        <f>IF(C77="","",IFERROR(G77+H77+I77+J77,0))</f>
        <v/>
      </c>
      <c r="L77" s="14">
        <f>IF(C77="","",IFERROR(K77-40,0))</f>
        <v/>
      </c>
      <c r="M77" s="12" t="n"/>
    </row>
    <row r="78" ht="22" customHeight="1">
      <c r="B78" s="18">
        <f>IF(C78="","RH-"&amp;TEXT(COUNTA($C$5:C78),"000"))</f>
        <v/>
      </c>
      <c r="C78" s="15" t="n"/>
      <c r="D78" s="15" t="n"/>
      <c r="E78" s="15" t="n"/>
      <c r="F78" s="15" t="n"/>
      <c r="G78" s="17" t="n"/>
      <c r="H78" s="17" t="n"/>
      <c r="I78" s="17" t="n"/>
      <c r="J78" s="17" t="n"/>
      <c r="K78" s="17">
        <f>IF(C78="","",IFERROR(G78+H78+I78+J78,0))</f>
        <v/>
      </c>
      <c r="L78" s="17">
        <f>IF(C78="","",IFERROR(K78-40,0))</f>
        <v/>
      </c>
      <c r="M78" s="15" t="n"/>
    </row>
    <row r="79" ht="22" customHeight="1">
      <c r="B79" s="19">
        <f>IF(C79="","RH-"&amp;TEXT(COUNTA($C$5:C79),"000"))</f>
        <v/>
      </c>
      <c r="C79" s="12" t="n"/>
      <c r="D79" s="12" t="n"/>
      <c r="E79" s="12" t="n"/>
      <c r="F79" s="12" t="n"/>
      <c r="G79" s="14" t="n"/>
      <c r="H79" s="14" t="n"/>
      <c r="I79" s="14" t="n"/>
      <c r="J79" s="14" t="n"/>
      <c r="K79" s="14">
        <f>IF(C79="","",IFERROR(G79+H79+I79+J79,0))</f>
        <v/>
      </c>
      <c r="L79" s="14">
        <f>IF(C79="","",IFERROR(K79-40,0))</f>
        <v/>
      </c>
      <c r="M79" s="12" t="n"/>
    </row>
    <row r="80" ht="22" customHeight="1">
      <c r="B80" s="18">
        <f>IF(C80="","RH-"&amp;TEXT(COUNTA($C$5:C80),"000"))</f>
        <v/>
      </c>
      <c r="C80" s="15" t="n"/>
      <c r="D80" s="15" t="n"/>
      <c r="E80" s="15" t="n"/>
      <c r="F80" s="15" t="n"/>
      <c r="G80" s="17" t="n"/>
      <c r="H80" s="17" t="n"/>
      <c r="I80" s="17" t="n"/>
      <c r="J80" s="17" t="n"/>
      <c r="K80" s="17">
        <f>IF(C80="","",IFERROR(G80+H80+I80+J80,0))</f>
        <v/>
      </c>
      <c r="L80" s="17">
        <f>IF(C80="","",IFERROR(K80-40,0))</f>
        <v/>
      </c>
      <c r="M80" s="15" t="n"/>
    </row>
    <row r="81" ht="22" customHeight="1">
      <c r="B81" s="19">
        <f>IF(C81="","RH-"&amp;TEXT(COUNTA($C$5:C81),"000"))</f>
        <v/>
      </c>
      <c r="C81" s="12" t="n"/>
      <c r="D81" s="12" t="n"/>
      <c r="E81" s="12" t="n"/>
      <c r="F81" s="12" t="n"/>
      <c r="G81" s="14" t="n"/>
      <c r="H81" s="14" t="n"/>
      <c r="I81" s="14" t="n"/>
      <c r="J81" s="14" t="n"/>
      <c r="K81" s="14">
        <f>IF(C81="","",IFERROR(G81+H81+I81+J81,0))</f>
        <v/>
      </c>
      <c r="L81" s="14">
        <f>IF(C81="","",IFERROR(K81-40,0))</f>
        <v/>
      </c>
      <c r="M81" s="12" t="n"/>
    </row>
    <row r="82" ht="22" customHeight="1">
      <c r="B82" s="18">
        <f>IF(C82="","RH-"&amp;TEXT(COUNTA($C$5:C82),"000"))</f>
        <v/>
      </c>
      <c r="C82" s="15" t="n"/>
      <c r="D82" s="15" t="n"/>
      <c r="E82" s="15" t="n"/>
      <c r="F82" s="15" t="n"/>
      <c r="G82" s="17" t="n"/>
      <c r="H82" s="17" t="n"/>
      <c r="I82" s="17" t="n"/>
      <c r="J82" s="17" t="n"/>
      <c r="K82" s="17">
        <f>IF(C82="","",IFERROR(G82+H82+I82+J82,0))</f>
        <v/>
      </c>
      <c r="L82" s="17">
        <f>IF(C82="","",IFERROR(K82-40,0))</f>
        <v/>
      </c>
      <c r="M82" s="15" t="n"/>
    </row>
    <row r="83" ht="22" customHeight="1">
      <c r="B83" s="19">
        <f>IF(C83="","RH-"&amp;TEXT(COUNTA($C$5:C83),"000"))</f>
        <v/>
      </c>
      <c r="C83" s="12" t="n"/>
      <c r="D83" s="12" t="n"/>
      <c r="E83" s="12" t="n"/>
      <c r="F83" s="12" t="n"/>
      <c r="G83" s="14" t="n"/>
      <c r="H83" s="14" t="n"/>
      <c r="I83" s="14" t="n"/>
      <c r="J83" s="14" t="n"/>
      <c r="K83" s="14">
        <f>IF(C83="","",IFERROR(G83+H83+I83+J83,0))</f>
        <v/>
      </c>
      <c r="L83" s="14">
        <f>IF(C83="","",IFERROR(K83-40,0))</f>
        <v/>
      </c>
      <c r="M83" s="12" t="n"/>
    </row>
    <row r="84" ht="22" customHeight="1">
      <c r="B84" s="18">
        <f>IF(C84="","RH-"&amp;TEXT(COUNTA($C$5:C84),"000"))</f>
        <v/>
      </c>
      <c r="C84" s="15" t="n"/>
      <c r="D84" s="15" t="n"/>
      <c r="E84" s="15" t="n"/>
      <c r="F84" s="15" t="n"/>
      <c r="G84" s="17" t="n"/>
      <c r="H84" s="17" t="n"/>
      <c r="I84" s="17" t="n"/>
      <c r="J84" s="17" t="n"/>
      <c r="K84" s="17">
        <f>IF(C84="","",IFERROR(G84+H84+I84+J84,0))</f>
        <v/>
      </c>
      <c r="L84" s="17">
        <f>IF(C84="","",IFERROR(K84-40,0))</f>
        <v/>
      </c>
      <c r="M84" s="15" t="n"/>
    </row>
    <row r="85" ht="22" customHeight="1">
      <c r="B85" s="19">
        <f>IF(C85="","RH-"&amp;TEXT(COUNTA($C$5:C85),"000"))</f>
        <v/>
      </c>
      <c r="C85" s="12" t="n"/>
      <c r="D85" s="12" t="n"/>
      <c r="E85" s="12" t="n"/>
      <c r="F85" s="12" t="n"/>
      <c r="G85" s="14" t="n"/>
      <c r="H85" s="14" t="n"/>
      <c r="I85" s="14" t="n"/>
      <c r="J85" s="14" t="n"/>
      <c r="K85" s="14">
        <f>IF(C85="","",IFERROR(G85+H85+I85+J85,0))</f>
        <v/>
      </c>
      <c r="L85" s="14">
        <f>IF(C85="","",IFERROR(K85-40,0))</f>
        <v/>
      </c>
      <c r="M85" s="12" t="n"/>
    </row>
    <row r="86" ht="22" customHeight="1">
      <c r="B86" s="18">
        <f>IF(C86="","RH-"&amp;TEXT(COUNTA($C$5:C86),"000"))</f>
        <v/>
      </c>
      <c r="C86" s="15" t="n"/>
      <c r="D86" s="15" t="n"/>
      <c r="E86" s="15" t="n"/>
      <c r="F86" s="15" t="n"/>
      <c r="G86" s="17" t="n"/>
      <c r="H86" s="17" t="n"/>
      <c r="I86" s="17" t="n"/>
      <c r="J86" s="17" t="n"/>
      <c r="K86" s="17">
        <f>IF(C86="","",IFERROR(G86+H86+I86+J86,0))</f>
        <v/>
      </c>
      <c r="L86" s="17">
        <f>IF(C86="","",IFERROR(K86-40,0))</f>
        <v/>
      </c>
      <c r="M86" s="15" t="n"/>
    </row>
    <row r="87" ht="22" customHeight="1">
      <c r="B87" s="19">
        <f>IF(C87="","RH-"&amp;TEXT(COUNTA($C$5:C87),"000"))</f>
        <v/>
      </c>
      <c r="C87" s="12" t="n"/>
      <c r="D87" s="12" t="n"/>
      <c r="E87" s="12" t="n"/>
      <c r="F87" s="12" t="n"/>
      <c r="G87" s="14" t="n"/>
      <c r="H87" s="14" t="n"/>
      <c r="I87" s="14" t="n"/>
      <c r="J87" s="14" t="n"/>
      <c r="K87" s="14">
        <f>IF(C87="","",IFERROR(G87+H87+I87+J87,0))</f>
        <v/>
      </c>
      <c r="L87" s="14">
        <f>IF(C87="","",IFERROR(K87-40,0))</f>
        <v/>
      </c>
      <c r="M87" s="12" t="n"/>
    </row>
    <row r="88" ht="22" customHeight="1">
      <c r="B88" s="18">
        <f>IF(C88="","RH-"&amp;TEXT(COUNTA($C$5:C88),"000"))</f>
        <v/>
      </c>
      <c r="C88" s="15" t="n"/>
      <c r="D88" s="15" t="n"/>
      <c r="E88" s="15" t="n"/>
      <c r="F88" s="15" t="n"/>
      <c r="G88" s="17" t="n"/>
      <c r="H88" s="17" t="n"/>
      <c r="I88" s="17" t="n"/>
      <c r="J88" s="17" t="n"/>
      <c r="K88" s="17">
        <f>IF(C88="","",IFERROR(G88+H88+I88+J88,0))</f>
        <v/>
      </c>
      <c r="L88" s="17">
        <f>IF(C88="","",IFERROR(K88-40,0))</f>
        <v/>
      </c>
      <c r="M88" s="15" t="n"/>
    </row>
    <row r="89" ht="22" customHeight="1">
      <c r="B89" s="19">
        <f>IF(C89="","RH-"&amp;TEXT(COUNTA($C$5:C89),"000"))</f>
        <v/>
      </c>
      <c r="C89" s="12" t="n"/>
      <c r="D89" s="12" t="n"/>
      <c r="E89" s="12" t="n"/>
      <c r="F89" s="12" t="n"/>
      <c r="G89" s="14" t="n"/>
      <c r="H89" s="14" t="n"/>
      <c r="I89" s="14" t="n"/>
      <c r="J89" s="14" t="n"/>
      <c r="K89" s="14">
        <f>IF(C89="","",IFERROR(G89+H89+I89+J89,0))</f>
        <v/>
      </c>
      <c r="L89" s="14">
        <f>IF(C89="","",IFERROR(K89-40,0))</f>
        <v/>
      </c>
      <c r="M89" s="12" t="n"/>
    </row>
    <row r="90" ht="22" customHeight="1">
      <c r="B90" s="18">
        <f>IF(C90="","RH-"&amp;TEXT(COUNTA($C$5:C90),"000"))</f>
        <v/>
      </c>
      <c r="C90" s="15" t="n"/>
      <c r="D90" s="15" t="n"/>
      <c r="E90" s="15" t="n"/>
      <c r="F90" s="15" t="n"/>
      <c r="G90" s="17" t="n"/>
      <c r="H90" s="17" t="n"/>
      <c r="I90" s="17" t="n"/>
      <c r="J90" s="17" t="n"/>
      <c r="K90" s="17">
        <f>IF(C90="","",IFERROR(G90+H90+I90+J90,0))</f>
        <v/>
      </c>
      <c r="L90" s="17">
        <f>IF(C90="","",IFERROR(K90-40,0))</f>
        <v/>
      </c>
      <c r="M90" s="15" t="n"/>
    </row>
    <row r="91" ht="22" customHeight="1">
      <c r="B91" s="19">
        <f>IF(C91="","RH-"&amp;TEXT(COUNTA($C$5:C91),"000"))</f>
        <v/>
      </c>
      <c r="C91" s="12" t="n"/>
      <c r="D91" s="12" t="n"/>
      <c r="E91" s="12" t="n"/>
      <c r="F91" s="12" t="n"/>
      <c r="G91" s="14" t="n"/>
      <c r="H91" s="14" t="n"/>
      <c r="I91" s="14" t="n"/>
      <c r="J91" s="14" t="n"/>
      <c r="K91" s="14">
        <f>IF(C91="","",IFERROR(G91+H91+I91+J91,0))</f>
        <v/>
      </c>
      <c r="L91" s="14">
        <f>IF(C91="","",IFERROR(K91-40,0))</f>
        <v/>
      </c>
      <c r="M91" s="12" t="n"/>
    </row>
    <row r="92" ht="22" customHeight="1">
      <c r="B92" s="18">
        <f>IF(C92="","RH-"&amp;TEXT(COUNTA($C$5:C92),"000"))</f>
        <v/>
      </c>
      <c r="C92" s="15" t="n"/>
      <c r="D92" s="15" t="n"/>
      <c r="E92" s="15" t="n"/>
      <c r="F92" s="15" t="n"/>
      <c r="G92" s="17" t="n"/>
      <c r="H92" s="17" t="n"/>
      <c r="I92" s="17" t="n"/>
      <c r="J92" s="17" t="n"/>
      <c r="K92" s="17">
        <f>IF(C92="","",IFERROR(G92+H92+I92+J92,0))</f>
        <v/>
      </c>
      <c r="L92" s="17">
        <f>IF(C92="","",IFERROR(K92-40,0))</f>
        <v/>
      </c>
      <c r="M92" s="15" t="n"/>
    </row>
    <row r="93" ht="22" customHeight="1">
      <c r="B93" s="19">
        <f>IF(C93="","RH-"&amp;TEXT(COUNTA($C$5:C93),"000"))</f>
        <v/>
      </c>
      <c r="C93" s="12" t="n"/>
      <c r="D93" s="12" t="n"/>
      <c r="E93" s="12" t="n"/>
      <c r="F93" s="12" t="n"/>
      <c r="G93" s="14" t="n"/>
      <c r="H93" s="14" t="n"/>
      <c r="I93" s="14" t="n"/>
      <c r="J93" s="14" t="n"/>
      <c r="K93" s="14">
        <f>IF(C93="","",IFERROR(G93+H93+I93+J93,0))</f>
        <v/>
      </c>
      <c r="L93" s="14">
        <f>IF(C93="","",IFERROR(K93-40,0))</f>
        <v/>
      </c>
      <c r="M93" s="12" t="n"/>
    </row>
    <row r="94" ht="22" customHeight="1">
      <c r="B94" s="18">
        <f>IF(C94="","RH-"&amp;TEXT(COUNTA($C$5:C94),"000"))</f>
        <v/>
      </c>
      <c r="C94" s="15" t="n"/>
      <c r="D94" s="15" t="n"/>
      <c r="E94" s="15" t="n"/>
      <c r="F94" s="15" t="n"/>
      <c r="G94" s="17" t="n"/>
      <c r="H94" s="17" t="n"/>
      <c r="I94" s="17" t="n"/>
      <c r="J94" s="17" t="n"/>
      <c r="K94" s="17">
        <f>IF(C94="","",IFERROR(G94+H94+I94+J94,0))</f>
        <v/>
      </c>
      <c r="L94" s="17">
        <f>IF(C94="","",IFERROR(K94-40,0))</f>
        <v/>
      </c>
      <c r="M94" s="15" t="n"/>
    </row>
    <row r="95" ht="22" customHeight="1">
      <c r="B95" s="19">
        <f>IF(C95="","RH-"&amp;TEXT(COUNTA($C$5:C95),"000"))</f>
        <v/>
      </c>
      <c r="C95" s="12" t="n"/>
      <c r="D95" s="12" t="n"/>
      <c r="E95" s="12" t="n"/>
      <c r="F95" s="12" t="n"/>
      <c r="G95" s="14" t="n"/>
      <c r="H95" s="14" t="n"/>
      <c r="I95" s="14" t="n"/>
      <c r="J95" s="14" t="n"/>
      <c r="K95" s="14">
        <f>IF(C95="","",IFERROR(G95+H95+I95+J95,0))</f>
        <v/>
      </c>
      <c r="L95" s="14">
        <f>IF(C95="","",IFERROR(K95-40,0))</f>
        <v/>
      </c>
      <c r="M95" s="12" t="n"/>
    </row>
    <row r="96" ht="22" customHeight="1">
      <c r="B96" s="18">
        <f>IF(C96="","RH-"&amp;TEXT(COUNTA($C$5:C96),"000"))</f>
        <v/>
      </c>
      <c r="C96" s="15" t="n"/>
      <c r="D96" s="15" t="n"/>
      <c r="E96" s="15" t="n"/>
      <c r="F96" s="15" t="n"/>
      <c r="G96" s="17" t="n"/>
      <c r="H96" s="17" t="n"/>
      <c r="I96" s="17" t="n"/>
      <c r="J96" s="17" t="n"/>
      <c r="K96" s="17">
        <f>IF(C96="","",IFERROR(G96+H96+I96+J96,0))</f>
        <v/>
      </c>
      <c r="L96" s="17">
        <f>IF(C96="","",IFERROR(K96-40,0))</f>
        <v/>
      </c>
      <c r="M96" s="15" t="n"/>
    </row>
    <row r="97" ht="22" customHeight="1">
      <c r="B97" s="19">
        <f>IF(C97="","RH-"&amp;TEXT(COUNTA($C$5:C97),"000"))</f>
        <v/>
      </c>
      <c r="C97" s="12" t="n"/>
      <c r="D97" s="12" t="n"/>
      <c r="E97" s="12" t="n"/>
      <c r="F97" s="12" t="n"/>
      <c r="G97" s="14" t="n"/>
      <c r="H97" s="14" t="n"/>
      <c r="I97" s="14" t="n"/>
      <c r="J97" s="14" t="n"/>
      <c r="K97" s="14">
        <f>IF(C97="","",IFERROR(G97+H97+I97+J97,0))</f>
        <v/>
      </c>
      <c r="L97" s="14">
        <f>IF(C97="","",IFERROR(K97-40,0))</f>
        <v/>
      </c>
      <c r="M97" s="12" t="n"/>
    </row>
    <row r="98" ht="22" customHeight="1">
      <c r="B98" s="18">
        <f>IF(C98="","RH-"&amp;TEXT(COUNTA($C$5:C98),"000"))</f>
        <v/>
      </c>
      <c r="C98" s="15" t="n"/>
      <c r="D98" s="15" t="n"/>
      <c r="E98" s="15" t="n"/>
      <c r="F98" s="15" t="n"/>
      <c r="G98" s="17" t="n"/>
      <c r="H98" s="17" t="n"/>
      <c r="I98" s="17" t="n"/>
      <c r="J98" s="17" t="n"/>
      <c r="K98" s="17">
        <f>IF(C98="","",IFERROR(G98+H98+I98+J98,0))</f>
        <v/>
      </c>
      <c r="L98" s="17">
        <f>IF(C98="","",IFERROR(K98-40,0))</f>
        <v/>
      </c>
      <c r="M98" s="15" t="n"/>
    </row>
    <row r="99" ht="22" customHeight="1">
      <c r="B99" s="19">
        <f>IF(C99="","RH-"&amp;TEXT(COUNTA($C$5:C99),"000"))</f>
        <v/>
      </c>
      <c r="C99" s="12" t="n"/>
      <c r="D99" s="12" t="n"/>
      <c r="E99" s="12" t="n"/>
      <c r="F99" s="12" t="n"/>
      <c r="G99" s="14" t="n"/>
      <c r="H99" s="14" t="n"/>
      <c r="I99" s="14" t="n"/>
      <c r="J99" s="14" t="n"/>
      <c r="K99" s="14">
        <f>IF(C99="","",IFERROR(G99+H99+I99+J99,0))</f>
        <v/>
      </c>
      <c r="L99" s="14">
        <f>IF(C99="","",IFERROR(K99-40,0))</f>
        <v/>
      </c>
      <c r="M99" s="12" t="n"/>
    </row>
    <row r="100" ht="22" customHeight="1">
      <c r="B100" s="18">
        <f>IF(C100="","RH-"&amp;TEXT(COUNTA($C$5:C100),"000"))</f>
        <v/>
      </c>
      <c r="C100" s="15" t="n"/>
      <c r="D100" s="15" t="n"/>
      <c r="E100" s="15" t="n"/>
      <c r="F100" s="15" t="n"/>
      <c r="G100" s="17" t="n"/>
      <c r="H100" s="17" t="n"/>
      <c r="I100" s="17" t="n"/>
      <c r="J100" s="17" t="n"/>
      <c r="K100" s="17">
        <f>IF(C100="","",IFERROR(G100+H100+I100+J100,0))</f>
        <v/>
      </c>
      <c r="L100" s="17">
        <f>IF(C100="","",IFERROR(K100-40,0))</f>
        <v/>
      </c>
      <c r="M100" s="15" t="n"/>
    </row>
    <row r="101" ht="22" customHeight="1">
      <c r="B101" s="19">
        <f>IF(C101="","RH-"&amp;TEXT(COUNTA($C$5:C101),"000"))</f>
        <v/>
      </c>
      <c r="C101" s="12" t="n"/>
      <c r="D101" s="12" t="n"/>
      <c r="E101" s="12" t="n"/>
      <c r="F101" s="12" t="n"/>
      <c r="G101" s="14" t="n"/>
      <c r="H101" s="14" t="n"/>
      <c r="I101" s="14" t="n"/>
      <c r="J101" s="14" t="n"/>
      <c r="K101" s="14">
        <f>IF(C101="","",IFERROR(G101+H101+I101+J101,0))</f>
        <v/>
      </c>
      <c r="L101" s="14">
        <f>IF(C101="","",IFERROR(K101-40,0))</f>
        <v/>
      </c>
      <c r="M101" s="12" t="n"/>
    </row>
    <row r="102" ht="22" customHeight="1">
      <c r="B102" s="18">
        <f>IF(C102="","RH-"&amp;TEXT(COUNTA($C$5:C102),"000"))</f>
        <v/>
      </c>
      <c r="C102" s="15" t="n"/>
      <c r="D102" s="15" t="n"/>
      <c r="E102" s="15" t="n"/>
      <c r="F102" s="15" t="n"/>
      <c r="G102" s="17" t="n"/>
      <c r="H102" s="17" t="n"/>
      <c r="I102" s="17" t="n"/>
      <c r="J102" s="17" t="n"/>
      <c r="K102" s="17">
        <f>IF(C102="","",IFERROR(G102+H102+I102+J102,0))</f>
        <v/>
      </c>
      <c r="L102" s="17">
        <f>IF(C102="","",IFERROR(K102-40,0))</f>
        <v/>
      </c>
      <c r="M102" s="15" t="n"/>
    </row>
    <row r="103" ht="22" customHeight="1">
      <c r="B103" s="19">
        <f>IF(C103="","RH-"&amp;TEXT(COUNTA($C$5:C103),"000"))</f>
        <v/>
      </c>
      <c r="C103" s="12" t="n"/>
      <c r="D103" s="12" t="n"/>
      <c r="E103" s="12" t="n"/>
      <c r="F103" s="12" t="n"/>
      <c r="G103" s="14" t="n"/>
      <c r="H103" s="14" t="n"/>
      <c r="I103" s="14" t="n"/>
      <c r="J103" s="14" t="n"/>
      <c r="K103" s="14">
        <f>IF(C103="","",IFERROR(G103+H103+I103+J103,0))</f>
        <v/>
      </c>
      <c r="L103" s="14">
        <f>IF(C103="","",IFERROR(K103-40,0))</f>
        <v/>
      </c>
      <c r="M103" s="12" t="n"/>
    </row>
    <row r="104" ht="22" customHeight="1">
      <c r="B104" s="18">
        <f>IF(C104="","RH-"&amp;TEXT(COUNTA($C$5:C104),"000"))</f>
        <v/>
      </c>
      <c r="C104" s="15" t="n"/>
      <c r="D104" s="15" t="n"/>
      <c r="E104" s="15" t="n"/>
      <c r="F104" s="15" t="n"/>
      <c r="G104" s="17" t="n"/>
      <c r="H104" s="17" t="n"/>
      <c r="I104" s="17" t="n"/>
      <c r="J104" s="17" t="n"/>
      <c r="K104" s="17">
        <f>IF(C104="","",IFERROR(G104+H104+I104+J104,0))</f>
        <v/>
      </c>
      <c r="L104" s="17">
        <f>IF(C104="","",IFERROR(K104-40,0))</f>
        <v/>
      </c>
      <c r="M104" s="15" t="n"/>
    </row>
    <row r="105" ht="22" customHeight="1">
      <c r="B105" s="19">
        <f>IF(C105="","RH-"&amp;TEXT(COUNTA($C$5:C105),"000"))</f>
        <v/>
      </c>
      <c r="C105" s="12" t="n"/>
      <c r="D105" s="12" t="n"/>
      <c r="E105" s="12" t="n"/>
      <c r="F105" s="12" t="n"/>
      <c r="G105" s="14" t="n"/>
      <c r="H105" s="14" t="n"/>
      <c r="I105" s="14" t="n"/>
      <c r="J105" s="14" t="n"/>
      <c r="K105" s="14">
        <f>SUM(G105,H105,I105,J105)</f>
        <v/>
      </c>
      <c r="L105" s="14">
        <f>IF(G105="","",K105-40)</f>
        <v/>
      </c>
      <c r="M105" s="12" t="n"/>
    </row>
    <row r="106" ht="22" customHeight="1">
      <c r="B106" s="18">
        <f>IF(C106="","RH-"&amp;TEXT(COUNTA($C$5:C106),"000"))</f>
        <v/>
      </c>
      <c r="C106" s="15" t="n"/>
      <c r="D106" s="15" t="n"/>
      <c r="E106" s="15" t="n"/>
      <c r="F106" s="15" t="n"/>
      <c r="G106" s="17" t="n"/>
      <c r="H106" s="17" t="n"/>
      <c r="I106" s="17" t="n"/>
      <c r="J106" s="17" t="n"/>
      <c r="K106" s="17">
        <f>SUM(G106,H106,I106,J106)</f>
        <v/>
      </c>
      <c r="L106" s="17">
        <f>IF(G106="","",K106-40)</f>
        <v/>
      </c>
      <c r="M106" s="15" t="n"/>
    </row>
    <row r="107" ht="22" customHeight="1">
      <c r="B107" s="19">
        <f>IF(C107="","RH-"&amp;TEXT(COUNTA($C$5:C107),"000"))</f>
        <v/>
      </c>
      <c r="C107" s="12" t="n"/>
      <c r="D107" s="12" t="n"/>
      <c r="E107" s="12" t="n"/>
      <c r="F107" s="12" t="n"/>
      <c r="G107" s="14" t="n"/>
      <c r="H107" s="14" t="n"/>
      <c r="I107" s="14" t="n"/>
      <c r="J107" s="14" t="n"/>
      <c r="K107" s="14">
        <f>SUM(G107,H107,I107,J107)</f>
        <v/>
      </c>
      <c r="L107" s="14">
        <f>IF(G107="","",K107-40)</f>
        <v/>
      </c>
      <c r="M107" s="12" t="n"/>
    </row>
    <row r="108" ht="22" customHeight="1">
      <c r="B108" s="18">
        <f>IF(C108="","RH-"&amp;TEXT(COUNTA($C$5:C108),"000"))</f>
        <v/>
      </c>
      <c r="C108" s="15" t="n"/>
      <c r="D108" s="15" t="n"/>
      <c r="E108" s="15" t="n"/>
      <c r="F108" s="15" t="n"/>
      <c r="G108" s="17" t="n"/>
      <c r="H108" s="17" t="n"/>
      <c r="I108" s="17" t="n"/>
      <c r="J108" s="17" t="n"/>
      <c r="K108" s="17">
        <f>SUM(G108,H108,I108,J108)</f>
        <v/>
      </c>
      <c r="L108" s="17">
        <f>IF(G108="","",K108-40)</f>
        <v/>
      </c>
      <c r="M108" s="15" t="n"/>
    </row>
    <row r="109" ht="22" customHeight="1">
      <c r="B109" s="19">
        <f>IF(C109="","RH-"&amp;TEXT(COUNTA($C$5:C109),"000"))</f>
        <v/>
      </c>
      <c r="C109" s="12" t="n"/>
      <c r="D109" s="12" t="n"/>
      <c r="E109" s="12" t="n"/>
      <c r="F109" s="12" t="n"/>
      <c r="G109" s="14" t="n"/>
      <c r="H109" s="14" t="n"/>
      <c r="I109" s="14" t="n"/>
      <c r="J109" s="14" t="n"/>
      <c r="K109" s="14">
        <f>SUM(G109,H109,I109,J109)</f>
        <v/>
      </c>
      <c r="L109" s="14">
        <f>IF(G109="","",K109-40)</f>
        <v/>
      </c>
      <c r="M109" s="12" t="n"/>
    </row>
    <row r="110"/>
    <row r="111" ht="26" customHeight="1">
      <c r="B111" s="24" t="inlineStr">
        <is>
          <t>TOTAL</t>
        </is>
      </c>
      <c r="C111" s="25" t="n"/>
      <c r="D111" s="25" t="n"/>
      <c r="E111" s="25" t="n"/>
      <c r="F111" s="25" t="n"/>
      <c r="G111" s="26">
        <f>SUM(G5:G104)</f>
        <v/>
      </c>
      <c r="H111" s="26">
        <f>SUM(H5:H104)</f>
        <v/>
      </c>
      <c r="I111" s="26">
        <f>SUM(I5:I104)</f>
        <v/>
      </c>
      <c r="J111" s="26">
        <f>SUM(J5:J104)</f>
        <v/>
      </c>
      <c r="K111" s="26">
        <f>SUM(K5:K104)</f>
        <v/>
      </c>
      <c r="L111" s="26">
        <f>SUM(L5:L104)</f>
        <v/>
      </c>
      <c r="M111" s="25" t="n"/>
    </row>
    <row r="112"/>
    <row r="113">
      <c r="B113" s="6" t="inlineStr">
        <is>
          <t>INDICATEURS (mis a jour automatiquement)</t>
        </is>
      </c>
    </row>
    <row r="114">
      <c r="B114" s="3" t="inlineStr">
        <is>
          <t>Releves saisis</t>
        </is>
      </c>
      <c r="D114" s="3" t="inlineStr">
        <is>
          <t>Total h. normales</t>
        </is>
      </c>
      <c r="F114" s="3" t="inlineStr">
        <is>
          <t>Total h. supplementaires</t>
        </is>
      </c>
      <c r="H114" s="3" t="inlineStr">
        <is>
          <t>Total h. nuit</t>
        </is>
      </c>
    </row>
    <row r="115">
      <c r="B115" s="4">
        <f>COUNTIF(B5:B104,"&lt;&gt;")</f>
        <v/>
      </c>
      <c r="D115" s="4">
        <f>SUM(G5:G104)</f>
        <v/>
      </c>
      <c r="F115" s="4">
        <f>SUM(H5:H104)</f>
        <v/>
      </c>
      <c r="H115" s="4">
        <f>SUM(I5:I104)</f>
        <v/>
      </c>
    </row>
  </sheetData>
  <mergeCells count="3">
    <mergeCell ref="B3:M3"/>
    <mergeCell ref="B2:M2"/>
    <mergeCell ref="B113:M113"/>
  </mergeCells>
  <conditionalFormatting sqref="M5:M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dataValidations count="3">
    <dataValidation sqref="E5:E109" showDropDown="0" showInputMessage="0" showErrorMessage="0" allowBlank="1" errorTitle="Erreur" error="Valeur invalide" promptTitle="Liste" prompt="Choisir dans la liste" type="list">
      <formula1>'_Lists'!$B$2:$B$14</formula1>
    </dataValidation>
    <dataValidation sqref="F5:F109" showDropDown="0" showInputMessage="0" showErrorMessage="0" allowBlank="1" errorTitle="Erreur" error="Valeur invalide" promptTitle="Liste" prompt="Choisir dans la liste" type="list">
      <formula1>'_Lists'!$Z$2:$Z$6</formula1>
    </dataValidation>
    <dataValidation sqref="M5:M109"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16" customWidth="1" min="3" max="3"/>
    <col width="20" customWidth="1" min="4" max="4"/>
    <col width="18" customWidth="1" min="5" max="5"/>
    <col width="18" customWidth="1" min="6" max="6"/>
    <col width="14" customWidth="1" min="7" max="7"/>
    <col width="12" customWidth="1" min="8" max="8"/>
    <col width="12" customWidth="1" min="9" max="9"/>
    <col width="22" customWidth="1" min="10" max="10"/>
    <col width="16" customWidth="1" min="11" max="11"/>
    <col width="16" customWidth="1" min="12" max="12"/>
    <col width="16" customWidth="1" min="13" max="13"/>
    <col width="14" customWidth="1" min="14" max="14"/>
    <col width="14" customWidth="1" min="15" max="15"/>
  </cols>
  <sheetData>
    <row r="1" ht="15" customHeight="1"/>
    <row r="2" ht="32" customHeight="1">
      <c r="B2" s="1" t="inlineStr">
        <is>
          <t>HEURES SUPPLEMENTAIRES — SUIVI &amp; MAJORATIONS</t>
        </is>
      </c>
    </row>
    <row r="3" ht="8" customHeight="1">
      <c r="B3" s="2" t="inlineStr">
        <is>
          <t>TABLEAU DYNAMIQUE — Saisissez dans la prochaine ligne jaune. Les calculs se mettent a jour automatiquement.</t>
        </is>
      </c>
    </row>
    <row r="4" ht="28" customHeight="1">
      <c r="B4" s="11" t="inlineStr">
        <is>
          <t>N° HS</t>
        </is>
      </c>
      <c r="C4" s="11" t="inlineStr">
        <is>
          <t>Matricule</t>
        </is>
      </c>
      <c r="D4" s="11" t="inlineStr">
        <is>
          <t>Nom Employe</t>
        </is>
      </c>
      <c r="E4" s="11" t="inlineStr">
        <is>
          <t>Departement</t>
        </is>
      </c>
      <c r="F4" s="11" t="inlineStr">
        <is>
          <t>Date</t>
        </is>
      </c>
      <c r="G4" s="11" t="inlineStr">
        <is>
          <t>Heure Debut</t>
        </is>
      </c>
      <c r="H4" s="11" t="inlineStr">
        <is>
          <t>Heure Fin</t>
        </is>
      </c>
      <c r="I4" s="11" t="inlineStr">
        <is>
          <t>Nb Heures</t>
        </is>
      </c>
      <c r="J4" s="11" t="inlineStr">
        <is>
          <t>Type Heure Supp</t>
        </is>
      </c>
      <c r="K4" s="11" t="inlineStr">
        <is>
          <t>Taux Majoration</t>
        </is>
      </c>
      <c r="L4" s="11" t="inlineStr">
        <is>
          <t>Heures Bonifiees</t>
        </is>
      </c>
      <c r="M4" s="11" t="inlineStr">
        <is>
          <t>Montant (FCFA)</t>
        </is>
      </c>
      <c r="N4" s="11" t="inlineStr">
        <is>
          <t>Statut</t>
        </is>
      </c>
      <c r="O4" s="11" t="inlineStr">
        <is>
          <t>Validation</t>
        </is>
      </c>
    </row>
    <row r="5" ht="22" customHeight="1">
      <c r="B5" s="12" t="inlineStr">
        <is>
          <t>HS-001</t>
        </is>
      </c>
      <c r="C5" s="12" t="inlineStr">
        <is>
          <t>EMP-001</t>
        </is>
      </c>
      <c r="D5" s="12">
        <f>IF(C5="","",IFERROR(VLOOKUP(C5,'_Données Employés'!$B$5:$H$18,3,FALSE)&amp;" "&amp;VLOOKUP(C5,'_Données Employés'!$B$5:$H$18,4,FALSE),""))</f>
        <v/>
      </c>
      <c r="E5" s="12">
        <f>IF(C5="","",IFERROR(VLOOKUP(C5,'_Données Employés'!$B$5:$H$18,5,FALSE),""))</f>
        <v/>
      </c>
      <c r="F5" s="33" t="n">
        <v>45813</v>
      </c>
      <c r="G5" s="12" t="inlineStr">
        <is>
          <t>17h00</t>
        </is>
      </c>
      <c r="H5" s="12" t="inlineStr">
        <is>
          <t>19h30</t>
        </is>
      </c>
      <c r="I5" s="14" t="n">
        <v>2.5</v>
      </c>
      <c r="J5" s="12" t="inlineStr">
        <is>
          <t>Heure supplementaire jour</t>
        </is>
      </c>
      <c r="K5" s="12" t="inlineStr">
        <is>
          <t>25%</t>
        </is>
      </c>
      <c r="L5" s="27">
        <f>IF(OR(C5="",I5="",K5=""),"",IFERROR(I5*(1+IF(ISNUMBER(K5),K5,VALUE(SUBSTITUTE(K5,"%",""))/100)),0))</f>
        <v/>
      </c>
      <c r="M5" s="21" t="n">
        <v>7500</v>
      </c>
      <c r="N5" s="12" t="inlineStr">
        <is>
          <t>Valide</t>
        </is>
      </c>
      <c r="O5" s="12" t="inlineStr">
        <is>
          <t>Approuvee</t>
        </is>
      </c>
    </row>
    <row r="6" ht="22" customHeight="1">
      <c r="B6" s="15" t="inlineStr">
        <is>
          <t>HS-002</t>
        </is>
      </c>
      <c r="C6" s="15" t="inlineStr">
        <is>
          <t>EMP-002</t>
        </is>
      </c>
      <c r="D6" s="15">
        <f>IF(C6="","",IFERROR(VLOOKUP(C6,'_Données Employés'!$B$5:$H$18,3,FALSE)&amp;" "&amp;VLOOKUP(C6,'_Données Employés'!$B$5:$H$18,4,FALSE),""))</f>
        <v/>
      </c>
      <c r="E6" s="15">
        <f>IF(C6="","",IFERROR(VLOOKUP(C6,'_Données Employés'!$B$5:$H$18,5,FALSE),""))</f>
        <v/>
      </c>
      <c r="F6" s="34" t="n">
        <v>45815</v>
      </c>
      <c r="G6" s="15" t="inlineStr">
        <is>
          <t>22h00</t>
        </is>
      </c>
      <c r="H6" s="15" t="inlineStr">
        <is>
          <t>02h00</t>
        </is>
      </c>
      <c r="I6" s="17" t="n">
        <v>4</v>
      </c>
      <c r="J6" s="15" t="inlineStr">
        <is>
          <t>Heure nuit supplementaire</t>
        </is>
      </c>
      <c r="K6" s="15" t="inlineStr">
        <is>
          <t>50%</t>
        </is>
      </c>
      <c r="L6" s="28">
        <f>IF(OR(C6="",I6="",K6=""),"",IFERROR(I6*(1+IF(ISNUMBER(K6),K6,VALUE(SUBSTITUTE(K6,"%",""))/100)),0))</f>
        <v/>
      </c>
      <c r="M6" s="23" t="n">
        <v>18000</v>
      </c>
      <c r="N6" s="15" t="inlineStr">
        <is>
          <t>Valide</t>
        </is>
      </c>
      <c r="O6" s="15" t="inlineStr">
        <is>
          <t>Approuvee</t>
        </is>
      </c>
    </row>
    <row r="7" ht="22" customHeight="1">
      <c r="B7" s="12" t="inlineStr">
        <is>
          <t>HS-003</t>
        </is>
      </c>
      <c r="C7" s="12" t="inlineStr">
        <is>
          <t>EMP-004</t>
        </is>
      </c>
      <c r="D7" s="12">
        <f>IF(C7="","",IFERROR(VLOOKUP(C7,'_Données Employés'!$B$5:$H$18,3,FALSE)&amp;" "&amp;VLOOKUP(C7,'_Données Employés'!$B$5:$H$18,4,FALSE),""))</f>
        <v/>
      </c>
      <c r="E7" s="12">
        <f>IF(C7="","",IFERROR(VLOOKUP(C7,'_Données Employés'!$B$5:$H$18,5,FALSE),""))</f>
        <v/>
      </c>
      <c r="F7" s="33" t="n">
        <v>45816</v>
      </c>
      <c r="G7" s="12" t="inlineStr">
        <is>
          <t>08h00</t>
        </is>
      </c>
      <c r="H7" s="12" t="inlineStr">
        <is>
          <t>16h00</t>
        </is>
      </c>
      <c r="I7" s="14" t="n">
        <v>8</v>
      </c>
      <c r="J7" s="12" t="inlineStr">
        <is>
          <t>Heure week-end</t>
        </is>
      </c>
      <c r="K7" s="12" t="inlineStr">
        <is>
          <t>50%</t>
        </is>
      </c>
      <c r="L7" s="27">
        <f>IF(OR(C7="",I7="",K7=""),"",IFERROR(I7*(1+IF(ISNUMBER(K7),K7,VALUE(SUBSTITUTE(K7,"%",""))/100)),0))</f>
        <v/>
      </c>
      <c r="M7" s="21" t="n">
        <v>36000</v>
      </c>
      <c r="N7" s="12" t="inlineStr">
        <is>
          <t>Valide</t>
        </is>
      </c>
      <c r="O7" s="12" t="inlineStr">
        <is>
          <t>Approuvee</t>
        </is>
      </c>
    </row>
    <row r="8" ht="22" customHeight="1">
      <c r="B8" s="15" t="inlineStr">
        <is>
          <t>HS-004</t>
        </is>
      </c>
      <c r="C8" s="15" t="inlineStr">
        <is>
          <t>EMP-005</t>
        </is>
      </c>
      <c r="D8" s="15">
        <f>IF(C8="","",IFERROR(VLOOKUP(C8,'_Données Employés'!$B$5:$H$18,3,FALSE)&amp;" "&amp;VLOOKUP(C8,'_Données Employés'!$B$5:$H$18,4,FALSE),""))</f>
        <v/>
      </c>
      <c r="E8" s="15">
        <f>IF(C8="","",IFERROR(VLOOKUP(C8,'_Données Employés'!$B$5:$H$18,5,FALSE),""))</f>
        <v/>
      </c>
      <c r="F8" s="34" t="n">
        <v>45818</v>
      </c>
      <c r="G8" s="15" t="inlineStr">
        <is>
          <t>14h00</t>
        </is>
      </c>
      <c r="H8" s="15" t="inlineStr">
        <is>
          <t>18h00</t>
        </is>
      </c>
      <c r="I8" s="17" t="n">
        <v>4</v>
      </c>
      <c r="J8" s="15" t="inlineStr">
        <is>
          <t>Heure supplementaire jour</t>
        </is>
      </c>
      <c r="K8" s="15" t="inlineStr">
        <is>
          <t>25%</t>
        </is>
      </c>
      <c r="L8" s="28">
        <f>IF(OR(C8="",I8="",K8=""),"",IFERROR(I8*(1+IF(ISNUMBER(K8),K8,VALUE(SUBSTITUTE(K8,"%",""))/100)),0))</f>
        <v/>
      </c>
      <c r="M8" s="23" t="n">
        <v>15000</v>
      </c>
      <c r="N8" s="15" t="inlineStr">
        <is>
          <t>Valide</t>
        </is>
      </c>
      <c r="O8" s="15" t="inlineStr">
        <is>
          <t>Approuvee</t>
        </is>
      </c>
    </row>
    <row r="9" ht="22" customHeight="1">
      <c r="B9" s="12" t="inlineStr">
        <is>
          <t>HS-005</t>
        </is>
      </c>
      <c r="C9" s="12" t="inlineStr">
        <is>
          <t>EMP-001</t>
        </is>
      </c>
      <c r="D9" s="12">
        <f>IF(C9="","",IFERROR(VLOOKUP(C9,'_Données Employés'!$B$5:$H$18,3,FALSE)&amp;" "&amp;VLOOKUP(C9,'_Données Employés'!$B$5:$H$18,4,FALSE),""))</f>
        <v/>
      </c>
      <c r="E9" s="12">
        <f>IF(C9="","",IFERROR(VLOOKUP(C9,'_Données Employés'!$B$5:$H$18,5,FALSE),""))</f>
        <v/>
      </c>
      <c r="F9" s="33" t="n">
        <v>45820</v>
      </c>
      <c r="G9" s="12" t="inlineStr">
        <is>
          <t>17h00</t>
        </is>
      </c>
      <c r="H9" s="12" t="inlineStr">
        <is>
          <t>20h00</t>
        </is>
      </c>
      <c r="I9" s="14" t="n">
        <v>3</v>
      </c>
      <c r="J9" s="12" t="inlineStr">
        <is>
          <t>Heure supplementaire jour</t>
        </is>
      </c>
      <c r="K9" s="12" t="inlineStr">
        <is>
          <t>25%</t>
        </is>
      </c>
      <c r="L9" s="27">
        <f>IF(OR(C9="",I9="",K9=""),"",IFERROR(I9*(1+IF(ISNUMBER(K9),K9,VALUE(SUBSTITUTE(K9,"%",""))/100)),0))</f>
        <v/>
      </c>
      <c r="M9" s="21" t="n">
        <v>9000</v>
      </c>
      <c r="N9" s="12" t="inlineStr">
        <is>
          <t>En attente</t>
        </is>
      </c>
      <c r="O9" s="12" t="inlineStr">
        <is>
          <t>En attente</t>
        </is>
      </c>
    </row>
    <row r="10" ht="22" customHeight="1">
      <c r="B10" s="18">
        <f>IF(C10="","HS-"&amp;TEXT(COUNTA($C$5:C10),"000"))</f>
        <v/>
      </c>
      <c r="C10" s="15" t="n"/>
      <c r="D10" s="15" t="n"/>
      <c r="E10" s="15" t="n"/>
      <c r="F10" s="34" t="n"/>
      <c r="G10" s="15" t="n"/>
      <c r="H10" s="15" t="n"/>
      <c r="I10" s="17" t="n"/>
      <c r="J10" s="15" t="n"/>
      <c r="K10" s="15" t="n"/>
      <c r="L10" s="28">
        <f>IF(OR(C10="",I10="",K10=""),"",IFERROR(I10*(1+IF(ISNUMBER(K10),K10,VALUE(SUBSTITUTE(K10,"%",""))/100)),0))</f>
        <v/>
      </c>
      <c r="M10" s="23" t="n"/>
      <c r="N10" s="15" t="n"/>
      <c r="O10" s="15" t="n"/>
    </row>
    <row r="11" ht="22" customHeight="1">
      <c r="B11" s="19">
        <f>IF(C11="","HS-"&amp;TEXT(COUNTA($C$5:C11),"000"))</f>
        <v/>
      </c>
      <c r="C11" s="12" t="n"/>
      <c r="D11" s="12" t="n"/>
      <c r="E11" s="12" t="n"/>
      <c r="F11" s="33" t="n"/>
      <c r="G11" s="12" t="n"/>
      <c r="H11" s="12" t="n"/>
      <c r="I11" s="14" t="n"/>
      <c r="J11" s="12" t="n"/>
      <c r="K11" s="12" t="n"/>
      <c r="L11" s="27">
        <f>IF(OR(C11="",I11="",K11=""),"",IFERROR(I11*(1+IF(ISNUMBER(K11),K11,VALUE(SUBSTITUTE(K11,"%",""))/100)),0))</f>
        <v/>
      </c>
      <c r="M11" s="21" t="n"/>
      <c r="N11" s="12" t="n"/>
      <c r="O11" s="12" t="n"/>
    </row>
    <row r="12" ht="22" customHeight="1">
      <c r="B12" s="18">
        <f>IF(C12="","HS-"&amp;TEXT(COUNTA($C$5:C12),"000"))</f>
        <v/>
      </c>
      <c r="C12" s="15" t="n"/>
      <c r="D12" s="15" t="n"/>
      <c r="E12" s="15" t="n"/>
      <c r="F12" s="34" t="n"/>
      <c r="G12" s="15" t="n"/>
      <c r="H12" s="15" t="n"/>
      <c r="I12" s="17" t="n"/>
      <c r="J12" s="15" t="n"/>
      <c r="K12" s="15" t="n"/>
      <c r="L12" s="28">
        <f>IF(OR(C12="",I12="",K12=""),"",IFERROR(I12*(1+IF(ISNUMBER(K12),K12,VALUE(SUBSTITUTE(K12,"%",""))/100)),0))</f>
        <v/>
      </c>
      <c r="M12" s="23" t="n"/>
      <c r="N12" s="15" t="n"/>
      <c r="O12" s="15" t="n"/>
    </row>
    <row r="13" ht="22" customHeight="1">
      <c r="B13" s="19">
        <f>IF(C13="","HS-"&amp;TEXT(COUNTA($C$5:C13),"000"))</f>
        <v/>
      </c>
      <c r="C13" s="12" t="n"/>
      <c r="D13" s="12" t="n"/>
      <c r="E13" s="12" t="n"/>
      <c r="F13" s="33" t="n"/>
      <c r="G13" s="12" t="n"/>
      <c r="H13" s="12" t="n"/>
      <c r="I13" s="14" t="n"/>
      <c r="J13" s="12" t="n"/>
      <c r="K13" s="12" t="n"/>
      <c r="L13" s="27">
        <f>IF(OR(C13="",I13="",K13=""),"",IFERROR(I13*(1+IF(ISNUMBER(K13),K13,VALUE(SUBSTITUTE(K13,"%",""))/100)),0))</f>
        <v/>
      </c>
      <c r="M13" s="21" t="n"/>
      <c r="N13" s="12" t="n"/>
      <c r="O13" s="12" t="n"/>
    </row>
    <row r="14" ht="22" customHeight="1">
      <c r="B14" s="18">
        <f>IF(C14="","HS-"&amp;TEXT(COUNTA($C$5:C14),"000"))</f>
        <v/>
      </c>
      <c r="C14" s="15" t="n"/>
      <c r="D14" s="15" t="n"/>
      <c r="E14" s="15" t="n"/>
      <c r="F14" s="34" t="n"/>
      <c r="G14" s="15" t="n"/>
      <c r="H14" s="15" t="n"/>
      <c r="I14" s="17" t="n"/>
      <c r="J14" s="15" t="n"/>
      <c r="K14" s="15" t="n"/>
      <c r="L14" s="28">
        <f>IF(OR(C14="",I14="",K14=""),"",IFERROR(I14*(1+IF(ISNUMBER(K14),K14,VALUE(SUBSTITUTE(K14,"%",""))/100)),0))</f>
        <v/>
      </c>
      <c r="M14" s="23" t="n"/>
      <c r="N14" s="15" t="n"/>
      <c r="O14" s="15" t="n"/>
    </row>
    <row r="15" ht="22" customHeight="1">
      <c r="B15" s="19">
        <f>IF(C15="","HS-"&amp;TEXT(COUNTA($C$5:C15),"000"))</f>
        <v/>
      </c>
      <c r="C15" s="12" t="n"/>
      <c r="D15" s="12" t="n"/>
      <c r="E15" s="12" t="n"/>
      <c r="F15" s="33" t="n"/>
      <c r="G15" s="12" t="n"/>
      <c r="H15" s="12" t="n"/>
      <c r="I15" s="14" t="n"/>
      <c r="J15" s="12" t="n"/>
      <c r="K15" s="12" t="n"/>
      <c r="L15" s="27">
        <f>IF(OR(C15="",I15="",K15=""),"",IFERROR(I15*(1+IF(ISNUMBER(K15),K15,VALUE(SUBSTITUTE(K15,"%",""))/100)),0))</f>
        <v/>
      </c>
      <c r="M15" s="21" t="n"/>
      <c r="N15" s="12" t="n"/>
      <c r="O15" s="12" t="n"/>
    </row>
    <row r="16" ht="22" customHeight="1">
      <c r="B16" s="18">
        <f>IF(C16="","HS-"&amp;TEXT(COUNTA($C$5:C16),"000"))</f>
        <v/>
      </c>
      <c r="C16" s="15" t="n"/>
      <c r="D16" s="15" t="n"/>
      <c r="E16" s="15" t="n"/>
      <c r="F16" s="34" t="n"/>
      <c r="G16" s="15" t="n"/>
      <c r="H16" s="15" t="n"/>
      <c r="I16" s="17" t="n"/>
      <c r="J16" s="15" t="n"/>
      <c r="K16" s="15" t="n"/>
      <c r="L16" s="28">
        <f>IF(OR(C16="",I16="",K16=""),"",IFERROR(I16*(1+IF(ISNUMBER(K16),K16,VALUE(SUBSTITUTE(K16,"%",""))/100)),0))</f>
        <v/>
      </c>
      <c r="M16" s="23" t="n"/>
      <c r="N16" s="15" t="n"/>
      <c r="O16" s="15" t="n"/>
    </row>
    <row r="17" ht="22" customHeight="1">
      <c r="B17" s="19">
        <f>IF(C17="","HS-"&amp;TEXT(COUNTA($C$5:C17),"000"))</f>
        <v/>
      </c>
      <c r="C17" s="12" t="n"/>
      <c r="D17" s="12" t="n"/>
      <c r="E17" s="12" t="n"/>
      <c r="F17" s="33" t="n"/>
      <c r="G17" s="12" t="n"/>
      <c r="H17" s="12" t="n"/>
      <c r="I17" s="14" t="n"/>
      <c r="J17" s="12" t="n"/>
      <c r="K17" s="12" t="n"/>
      <c r="L17" s="27">
        <f>IF(OR(C17="",I17="",K17=""),"",IFERROR(I17*(1+IF(ISNUMBER(K17),K17,VALUE(SUBSTITUTE(K17,"%",""))/100)),0))</f>
        <v/>
      </c>
      <c r="M17" s="21" t="n"/>
      <c r="N17" s="12" t="n"/>
      <c r="O17" s="12" t="n"/>
    </row>
    <row r="18" ht="22" customHeight="1">
      <c r="B18" s="18">
        <f>IF(C18="","HS-"&amp;TEXT(COUNTA($C$5:C18),"000"))</f>
        <v/>
      </c>
      <c r="C18" s="15" t="n"/>
      <c r="D18" s="15" t="n"/>
      <c r="E18" s="15" t="n"/>
      <c r="F18" s="34" t="n"/>
      <c r="G18" s="15" t="n"/>
      <c r="H18" s="15" t="n"/>
      <c r="I18" s="17" t="n"/>
      <c r="J18" s="15" t="n"/>
      <c r="K18" s="15" t="n"/>
      <c r="L18" s="28">
        <f>IF(OR(C18="",I18="",K18=""),"",IFERROR(I18*(1+IF(ISNUMBER(K18),K18,VALUE(SUBSTITUTE(K18,"%",""))/100)),0))</f>
        <v/>
      </c>
      <c r="M18" s="23" t="n"/>
      <c r="N18" s="15" t="n"/>
      <c r="O18" s="15" t="n"/>
    </row>
    <row r="19" ht="22" customHeight="1">
      <c r="B19" s="19">
        <f>IF(C19="","HS-"&amp;TEXT(COUNTA($C$5:C19),"000"))</f>
        <v/>
      </c>
      <c r="C19" s="12" t="n"/>
      <c r="D19" s="12" t="n"/>
      <c r="E19" s="12" t="n"/>
      <c r="F19" s="33" t="n"/>
      <c r="G19" s="12" t="n"/>
      <c r="H19" s="12" t="n"/>
      <c r="I19" s="14" t="n"/>
      <c r="J19" s="12" t="n"/>
      <c r="K19" s="12" t="n"/>
      <c r="L19" s="27">
        <f>IF(OR(C19="",I19="",K19=""),"",IFERROR(I19*(1+IF(ISNUMBER(K19),K19,VALUE(SUBSTITUTE(K19,"%",""))/100)),0))</f>
        <v/>
      </c>
      <c r="M19" s="21" t="n"/>
      <c r="N19" s="12" t="n"/>
      <c r="O19" s="12" t="n"/>
    </row>
    <row r="20" ht="22" customHeight="1">
      <c r="B20" s="18">
        <f>IF(C20="","HS-"&amp;TEXT(COUNTA($C$5:C20),"000"))</f>
        <v/>
      </c>
      <c r="C20" s="15" t="n"/>
      <c r="D20" s="15" t="n"/>
      <c r="E20" s="15" t="n"/>
      <c r="F20" s="34" t="n"/>
      <c r="G20" s="15" t="n"/>
      <c r="H20" s="15" t="n"/>
      <c r="I20" s="17" t="n"/>
      <c r="J20" s="15" t="n"/>
      <c r="K20" s="15" t="n"/>
      <c r="L20" s="28">
        <f>IF(OR(C20="",I20="",K20=""),"",IFERROR(I20*(1+IF(ISNUMBER(K20),K20,VALUE(SUBSTITUTE(K20,"%",""))/100)),0))</f>
        <v/>
      </c>
      <c r="M20" s="23" t="n"/>
      <c r="N20" s="15" t="n"/>
      <c r="O20" s="15" t="n"/>
    </row>
    <row r="21" ht="22" customHeight="1">
      <c r="B21" s="19">
        <f>IF(C21="","HS-"&amp;TEXT(COUNTA($C$5:C21),"000"))</f>
        <v/>
      </c>
      <c r="C21" s="12" t="n"/>
      <c r="D21" s="12" t="n"/>
      <c r="E21" s="12" t="n"/>
      <c r="F21" s="33" t="n"/>
      <c r="G21" s="12" t="n"/>
      <c r="H21" s="12" t="n"/>
      <c r="I21" s="14" t="n"/>
      <c r="J21" s="12" t="n"/>
      <c r="K21" s="12" t="n"/>
      <c r="L21" s="27">
        <f>IF(OR(C21="",I21="",K21=""),"",IFERROR(I21*(1+IF(ISNUMBER(K21),K21,VALUE(SUBSTITUTE(K21,"%",""))/100)),0))</f>
        <v/>
      </c>
      <c r="M21" s="21" t="n"/>
      <c r="N21" s="12" t="n"/>
      <c r="O21" s="12" t="n"/>
    </row>
    <row r="22" ht="22" customHeight="1">
      <c r="B22" s="18">
        <f>IF(C22="","HS-"&amp;TEXT(COUNTA($C$5:C22),"000"))</f>
        <v/>
      </c>
      <c r="C22" s="15" t="n"/>
      <c r="D22" s="15" t="n"/>
      <c r="E22" s="15" t="n"/>
      <c r="F22" s="34" t="n"/>
      <c r="G22" s="15" t="n"/>
      <c r="H22" s="15" t="n"/>
      <c r="I22" s="17" t="n"/>
      <c r="J22" s="15" t="n"/>
      <c r="K22" s="15" t="n"/>
      <c r="L22" s="28">
        <f>IF(OR(C22="",I22="",K22=""),"",IFERROR(I22*(1+IF(ISNUMBER(K22),K22,VALUE(SUBSTITUTE(K22,"%",""))/100)),0))</f>
        <v/>
      </c>
      <c r="M22" s="23" t="n"/>
      <c r="N22" s="15" t="n"/>
      <c r="O22" s="15" t="n"/>
    </row>
    <row r="23" ht="22" customHeight="1">
      <c r="B23" s="19">
        <f>IF(C23="","HS-"&amp;TEXT(COUNTA($C$5:C23),"000"))</f>
        <v/>
      </c>
      <c r="C23" s="12" t="n"/>
      <c r="D23" s="12" t="n"/>
      <c r="E23" s="12" t="n"/>
      <c r="F23" s="33" t="n"/>
      <c r="G23" s="12" t="n"/>
      <c r="H23" s="12" t="n"/>
      <c r="I23" s="14" t="n"/>
      <c r="J23" s="12" t="n"/>
      <c r="K23" s="12" t="n"/>
      <c r="L23" s="27">
        <f>IF(OR(C23="",I23="",K23=""),"",IFERROR(I23*(1+IF(ISNUMBER(K23),K23,VALUE(SUBSTITUTE(K23,"%",""))/100)),0))</f>
        <v/>
      </c>
      <c r="M23" s="21" t="n"/>
      <c r="N23" s="12" t="n"/>
      <c r="O23" s="12" t="n"/>
    </row>
    <row r="24" ht="22" customHeight="1">
      <c r="B24" s="18">
        <f>IF(C24="","HS-"&amp;TEXT(COUNTA($C$5:C24),"000"))</f>
        <v/>
      </c>
      <c r="C24" s="15" t="n"/>
      <c r="D24" s="15" t="n"/>
      <c r="E24" s="15" t="n"/>
      <c r="F24" s="34" t="n"/>
      <c r="G24" s="15" t="n"/>
      <c r="H24" s="15" t="n"/>
      <c r="I24" s="17" t="n"/>
      <c r="J24" s="15" t="n"/>
      <c r="K24" s="15" t="n"/>
      <c r="L24" s="28">
        <f>IF(OR(C24="",I24="",K24=""),"",IFERROR(I24*(1+IF(ISNUMBER(K24),K24,VALUE(SUBSTITUTE(K24,"%",""))/100)),0))</f>
        <v/>
      </c>
      <c r="M24" s="23" t="n"/>
      <c r="N24" s="15" t="n"/>
      <c r="O24" s="15" t="n"/>
    </row>
    <row r="25" ht="22" customHeight="1">
      <c r="B25" s="19">
        <f>IF(C25="","HS-"&amp;TEXT(COUNTA($C$5:C25),"000"))</f>
        <v/>
      </c>
      <c r="C25" s="12" t="n"/>
      <c r="D25" s="12" t="n"/>
      <c r="E25" s="12" t="n"/>
      <c r="F25" s="33" t="n"/>
      <c r="G25" s="12" t="n"/>
      <c r="H25" s="12" t="n"/>
      <c r="I25" s="14" t="n"/>
      <c r="J25" s="12" t="n"/>
      <c r="K25" s="12" t="n"/>
      <c r="L25" s="27">
        <f>IF(OR(C25="",I25="",K25=""),"",IFERROR(I25*(1+IF(ISNUMBER(K25),K25,VALUE(SUBSTITUTE(K25,"%",""))/100)),0))</f>
        <v/>
      </c>
      <c r="M25" s="21" t="n"/>
      <c r="N25" s="12" t="n"/>
      <c r="O25" s="12" t="n"/>
    </row>
    <row r="26" ht="22" customHeight="1">
      <c r="B26" s="18">
        <f>IF(C26="","HS-"&amp;TEXT(COUNTA($C$5:C26),"000"))</f>
        <v/>
      </c>
      <c r="C26" s="15" t="n"/>
      <c r="D26" s="15" t="n"/>
      <c r="E26" s="15" t="n"/>
      <c r="F26" s="34" t="n"/>
      <c r="G26" s="15" t="n"/>
      <c r="H26" s="15" t="n"/>
      <c r="I26" s="17" t="n"/>
      <c r="J26" s="15" t="n"/>
      <c r="K26" s="15" t="n"/>
      <c r="L26" s="28">
        <f>IF(OR(C26="",I26="",K26=""),"",IFERROR(I26*(1+IF(ISNUMBER(K26),K26,VALUE(SUBSTITUTE(K26,"%",""))/100)),0))</f>
        <v/>
      </c>
      <c r="M26" s="23" t="n"/>
      <c r="N26" s="15" t="n"/>
      <c r="O26" s="15" t="n"/>
    </row>
    <row r="27" ht="22" customHeight="1">
      <c r="B27" s="19">
        <f>IF(C27="","HS-"&amp;TEXT(COUNTA($C$5:C27),"000"))</f>
        <v/>
      </c>
      <c r="C27" s="12" t="n"/>
      <c r="D27" s="12" t="n"/>
      <c r="E27" s="12" t="n"/>
      <c r="F27" s="33" t="n"/>
      <c r="G27" s="12" t="n"/>
      <c r="H27" s="12" t="n"/>
      <c r="I27" s="14" t="n"/>
      <c r="J27" s="12" t="n"/>
      <c r="K27" s="12" t="n"/>
      <c r="L27" s="27">
        <f>IF(OR(C27="",I27="",K27=""),"",IFERROR(I27*(1+IF(ISNUMBER(K27),K27,VALUE(SUBSTITUTE(K27,"%",""))/100)),0))</f>
        <v/>
      </c>
      <c r="M27" s="21" t="n"/>
      <c r="N27" s="12" t="n"/>
      <c r="O27" s="12" t="n"/>
    </row>
    <row r="28" ht="22" customHeight="1">
      <c r="B28" s="18">
        <f>IF(C28="","HS-"&amp;TEXT(COUNTA($C$5:C28),"000"))</f>
        <v/>
      </c>
      <c r="C28" s="15" t="n"/>
      <c r="D28" s="15" t="n"/>
      <c r="E28" s="15" t="n"/>
      <c r="F28" s="34" t="n"/>
      <c r="G28" s="15" t="n"/>
      <c r="H28" s="15" t="n"/>
      <c r="I28" s="17" t="n"/>
      <c r="J28" s="15" t="n"/>
      <c r="K28" s="15" t="n"/>
      <c r="L28" s="28">
        <f>IF(OR(C28="",I28="",K28=""),"",IFERROR(I28*(1+IF(ISNUMBER(K28),K28,VALUE(SUBSTITUTE(K28,"%",""))/100)),0))</f>
        <v/>
      </c>
      <c r="M28" s="23" t="n"/>
      <c r="N28" s="15" t="n"/>
      <c r="O28" s="15" t="n"/>
    </row>
    <row r="29" ht="22" customHeight="1">
      <c r="B29" s="19">
        <f>IF(C29="","HS-"&amp;TEXT(COUNTA($C$5:C29),"000"))</f>
        <v/>
      </c>
      <c r="C29" s="12" t="n"/>
      <c r="D29" s="12" t="n"/>
      <c r="E29" s="12" t="n"/>
      <c r="F29" s="33" t="n"/>
      <c r="G29" s="12" t="n"/>
      <c r="H29" s="12" t="n"/>
      <c r="I29" s="14" t="n"/>
      <c r="J29" s="12" t="n"/>
      <c r="K29" s="12" t="n"/>
      <c r="L29" s="27">
        <f>IF(OR(C29="",I29="",K29=""),"",IFERROR(I29*(1+IF(ISNUMBER(K29),K29,VALUE(SUBSTITUTE(K29,"%",""))/100)),0))</f>
        <v/>
      </c>
      <c r="M29" s="21" t="n"/>
      <c r="N29" s="12" t="n"/>
      <c r="O29" s="12" t="n"/>
    </row>
    <row r="30" ht="22" customHeight="1">
      <c r="B30" s="18">
        <f>IF(C30="","HS-"&amp;TEXT(COUNTA($C$5:C30),"000"))</f>
        <v/>
      </c>
      <c r="C30" s="15" t="n"/>
      <c r="D30" s="15" t="n"/>
      <c r="E30" s="15" t="n"/>
      <c r="F30" s="34" t="n"/>
      <c r="G30" s="15" t="n"/>
      <c r="H30" s="15" t="n"/>
      <c r="I30" s="17" t="n"/>
      <c r="J30" s="15" t="n"/>
      <c r="K30" s="15" t="n"/>
      <c r="L30" s="28">
        <f>IF(OR(C30="",I30="",K30=""),"",IFERROR(I30*(1+IF(ISNUMBER(K30),K30,VALUE(SUBSTITUTE(K30,"%",""))/100)),0))</f>
        <v/>
      </c>
      <c r="M30" s="23" t="n"/>
      <c r="N30" s="15" t="n"/>
      <c r="O30" s="15" t="n"/>
    </row>
    <row r="31" ht="22" customHeight="1">
      <c r="B31" s="19">
        <f>IF(C31="","HS-"&amp;TEXT(COUNTA($C$5:C31),"000"))</f>
        <v/>
      </c>
      <c r="C31" s="12" t="n"/>
      <c r="D31" s="12" t="n"/>
      <c r="E31" s="12" t="n"/>
      <c r="F31" s="33" t="n"/>
      <c r="G31" s="12" t="n"/>
      <c r="H31" s="12" t="n"/>
      <c r="I31" s="14" t="n"/>
      <c r="J31" s="12" t="n"/>
      <c r="K31" s="12" t="n"/>
      <c r="L31" s="27">
        <f>IF(OR(C31="",I31="",K31=""),"",IFERROR(I31*(1+IF(ISNUMBER(K31),K31,VALUE(SUBSTITUTE(K31,"%",""))/100)),0))</f>
        <v/>
      </c>
      <c r="M31" s="21" t="n"/>
      <c r="N31" s="12" t="n"/>
      <c r="O31" s="12" t="n"/>
    </row>
    <row r="32" ht="22" customHeight="1">
      <c r="B32" s="18">
        <f>IF(C32="","HS-"&amp;TEXT(COUNTA($C$5:C32),"000"))</f>
        <v/>
      </c>
      <c r="C32" s="15" t="n"/>
      <c r="D32" s="15" t="n"/>
      <c r="E32" s="15" t="n"/>
      <c r="F32" s="34" t="n"/>
      <c r="G32" s="15" t="n"/>
      <c r="H32" s="15" t="n"/>
      <c r="I32" s="17" t="n"/>
      <c r="J32" s="15" t="n"/>
      <c r="K32" s="15" t="n"/>
      <c r="L32" s="28">
        <f>IF(OR(C32="",I32="",K32=""),"",IFERROR(I32*(1+IF(ISNUMBER(K32),K32,VALUE(SUBSTITUTE(K32,"%",""))/100)),0))</f>
        <v/>
      </c>
      <c r="M32" s="23" t="n"/>
      <c r="N32" s="15" t="n"/>
      <c r="O32" s="15" t="n"/>
    </row>
    <row r="33" ht="22" customHeight="1">
      <c r="B33" s="19">
        <f>IF(C33="","HS-"&amp;TEXT(COUNTA($C$5:C33),"000"))</f>
        <v/>
      </c>
      <c r="C33" s="12" t="n"/>
      <c r="D33" s="12" t="n"/>
      <c r="E33" s="12" t="n"/>
      <c r="F33" s="33" t="n"/>
      <c r="G33" s="12" t="n"/>
      <c r="H33" s="12" t="n"/>
      <c r="I33" s="14" t="n"/>
      <c r="J33" s="12" t="n"/>
      <c r="K33" s="12" t="n"/>
      <c r="L33" s="27">
        <f>IF(OR(C33="",I33="",K33=""),"",IFERROR(I33*(1+IF(ISNUMBER(K33),K33,VALUE(SUBSTITUTE(K33,"%",""))/100)),0))</f>
        <v/>
      </c>
      <c r="M33" s="21" t="n"/>
      <c r="N33" s="12" t="n"/>
      <c r="O33" s="12" t="n"/>
    </row>
    <row r="34" ht="22" customHeight="1">
      <c r="B34" s="18">
        <f>IF(C34="","HS-"&amp;TEXT(COUNTA($C$5:C34),"000"))</f>
        <v/>
      </c>
      <c r="C34" s="15" t="n"/>
      <c r="D34" s="15" t="n"/>
      <c r="E34" s="15" t="n"/>
      <c r="F34" s="34" t="n"/>
      <c r="G34" s="15" t="n"/>
      <c r="H34" s="15" t="n"/>
      <c r="I34" s="17" t="n"/>
      <c r="J34" s="15" t="n"/>
      <c r="K34" s="15" t="n"/>
      <c r="L34" s="28">
        <f>IF(OR(C34="",I34="",K34=""),"",IFERROR(I34*(1+IF(ISNUMBER(K34),K34,VALUE(SUBSTITUTE(K34,"%",""))/100)),0))</f>
        <v/>
      </c>
      <c r="M34" s="23" t="n"/>
      <c r="N34" s="15" t="n"/>
      <c r="O34" s="15" t="n"/>
    </row>
    <row r="35" ht="22" customHeight="1">
      <c r="B35" s="19">
        <f>IF(C35="","HS-"&amp;TEXT(COUNTA($C$5:C35),"000"))</f>
        <v/>
      </c>
      <c r="C35" s="12" t="n"/>
      <c r="D35" s="12" t="n"/>
      <c r="E35" s="12" t="n"/>
      <c r="F35" s="33" t="n"/>
      <c r="G35" s="12" t="n"/>
      <c r="H35" s="12" t="n"/>
      <c r="I35" s="14" t="n"/>
      <c r="J35" s="12" t="n"/>
      <c r="K35" s="12" t="n"/>
      <c r="L35" s="27">
        <f>IF(OR(C35="",I35="",K35=""),"",IFERROR(I35*(1+IF(ISNUMBER(K35),K35,VALUE(SUBSTITUTE(K35,"%",""))/100)),0))</f>
        <v/>
      </c>
      <c r="M35" s="21" t="n"/>
      <c r="N35" s="12" t="n"/>
      <c r="O35" s="12" t="n"/>
    </row>
    <row r="36" ht="22" customHeight="1">
      <c r="B36" s="18">
        <f>IF(C36="","HS-"&amp;TEXT(COUNTA($C$5:C36),"000"))</f>
        <v/>
      </c>
      <c r="C36" s="15" t="n"/>
      <c r="D36" s="15" t="n"/>
      <c r="E36" s="15" t="n"/>
      <c r="F36" s="34" t="n"/>
      <c r="G36" s="15" t="n"/>
      <c r="H36" s="15" t="n"/>
      <c r="I36" s="17" t="n"/>
      <c r="J36" s="15" t="n"/>
      <c r="K36" s="15" t="n"/>
      <c r="L36" s="28">
        <f>IF(OR(C36="",I36="",K36=""),"",IFERROR(I36*(1+IF(ISNUMBER(K36),K36,VALUE(SUBSTITUTE(K36,"%",""))/100)),0))</f>
        <v/>
      </c>
      <c r="M36" s="23" t="n"/>
      <c r="N36" s="15" t="n"/>
      <c r="O36" s="15" t="n"/>
    </row>
    <row r="37" ht="22" customHeight="1">
      <c r="B37" s="19">
        <f>IF(C37="","HS-"&amp;TEXT(COUNTA($C$5:C37),"000"))</f>
        <v/>
      </c>
      <c r="C37" s="12" t="n"/>
      <c r="D37" s="12" t="n"/>
      <c r="E37" s="12" t="n"/>
      <c r="F37" s="33" t="n"/>
      <c r="G37" s="12" t="n"/>
      <c r="H37" s="12" t="n"/>
      <c r="I37" s="14" t="n"/>
      <c r="J37" s="12" t="n"/>
      <c r="K37" s="12" t="n"/>
      <c r="L37" s="27">
        <f>IF(OR(C37="",I37="",K37=""),"",IFERROR(I37*(1+IF(ISNUMBER(K37),K37,VALUE(SUBSTITUTE(K37,"%",""))/100)),0))</f>
        <v/>
      </c>
      <c r="M37" s="21" t="n"/>
      <c r="N37" s="12" t="n"/>
      <c r="O37" s="12" t="n"/>
    </row>
    <row r="38" ht="22" customHeight="1">
      <c r="B38" s="18">
        <f>IF(C38="","HS-"&amp;TEXT(COUNTA($C$5:C38),"000"))</f>
        <v/>
      </c>
      <c r="C38" s="15" t="n"/>
      <c r="D38" s="15" t="n"/>
      <c r="E38" s="15" t="n"/>
      <c r="F38" s="34" t="n"/>
      <c r="G38" s="15" t="n"/>
      <c r="H38" s="15" t="n"/>
      <c r="I38" s="17" t="n"/>
      <c r="J38" s="15" t="n"/>
      <c r="K38" s="15" t="n"/>
      <c r="L38" s="28">
        <f>IF(OR(C38="",I38="",K38=""),"",IFERROR(I38*(1+IF(ISNUMBER(K38),K38,VALUE(SUBSTITUTE(K38,"%",""))/100)),0))</f>
        <v/>
      </c>
      <c r="M38" s="23" t="n"/>
      <c r="N38" s="15" t="n"/>
      <c r="O38" s="15" t="n"/>
    </row>
    <row r="39" ht="22" customHeight="1">
      <c r="B39" s="19">
        <f>IF(C39="","HS-"&amp;TEXT(COUNTA($C$5:C39),"000"))</f>
        <v/>
      </c>
      <c r="C39" s="12" t="n"/>
      <c r="D39" s="12" t="n"/>
      <c r="E39" s="12" t="n"/>
      <c r="F39" s="33" t="n"/>
      <c r="G39" s="12" t="n"/>
      <c r="H39" s="12" t="n"/>
      <c r="I39" s="14" t="n"/>
      <c r="J39" s="12" t="n"/>
      <c r="K39" s="12" t="n"/>
      <c r="L39" s="27">
        <f>IF(OR(C39="",I39="",K39=""),"",IFERROR(I39*(1+IF(ISNUMBER(K39),K39,VALUE(SUBSTITUTE(K39,"%",""))/100)),0))</f>
        <v/>
      </c>
      <c r="M39" s="21" t="n"/>
      <c r="N39" s="12" t="n"/>
      <c r="O39" s="12" t="n"/>
    </row>
    <row r="40" ht="22" customHeight="1">
      <c r="B40" s="18">
        <f>IF(C40="","HS-"&amp;TEXT(COUNTA($C$5:C40),"000"))</f>
        <v/>
      </c>
      <c r="C40" s="15" t="n"/>
      <c r="D40" s="15" t="n"/>
      <c r="E40" s="15" t="n"/>
      <c r="F40" s="34" t="n"/>
      <c r="G40" s="15" t="n"/>
      <c r="H40" s="15" t="n"/>
      <c r="I40" s="17" t="n"/>
      <c r="J40" s="15" t="n"/>
      <c r="K40" s="15" t="n"/>
      <c r="L40" s="28">
        <f>IF(OR(C40="",I40="",K40=""),"",IFERROR(I40*(1+IF(ISNUMBER(K40),K40,VALUE(SUBSTITUTE(K40,"%",""))/100)),0))</f>
        <v/>
      </c>
      <c r="M40" s="23" t="n"/>
      <c r="N40" s="15" t="n"/>
      <c r="O40" s="15" t="n"/>
    </row>
    <row r="41" ht="22" customHeight="1">
      <c r="B41" s="19">
        <f>IF(C41="","HS-"&amp;TEXT(COUNTA($C$5:C41),"000"))</f>
        <v/>
      </c>
      <c r="C41" s="12" t="n"/>
      <c r="D41" s="12" t="n"/>
      <c r="E41" s="12" t="n"/>
      <c r="F41" s="33" t="n"/>
      <c r="G41" s="12" t="n"/>
      <c r="H41" s="12" t="n"/>
      <c r="I41" s="14" t="n"/>
      <c r="J41" s="12" t="n"/>
      <c r="K41" s="12" t="n"/>
      <c r="L41" s="27">
        <f>IF(OR(C41="",I41="",K41=""),"",IFERROR(I41*(1+IF(ISNUMBER(K41),K41,VALUE(SUBSTITUTE(K41,"%",""))/100)),0))</f>
        <v/>
      </c>
      <c r="M41" s="21" t="n"/>
      <c r="N41" s="12" t="n"/>
      <c r="O41" s="12" t="n"/>
    </row>
    <row r="42" ht="22" customHeight="1">
      <c r="B42" s="18">
        <f>IF(C42="","HS-"&amp;TEXT(COUNTA($C$5:C42),"000"))</f>
        <v/>
      </c>
      <c r="C42" s="15" t="n"/>
      <c r="D42" s="15" t="n"/>
      <c r="E42" s="15" t="n"/>
      <c r="F42" s="34" t="n"/>
      <c r="G42" s="15" t="n"/>
      <c r="H42" s="15" t="n"/>
      <c r="I42" s="17" t="n"/>
      <c r="J42" s="15" t="n"/>
      <c r="K42" s="15" t="n"/>
      <c r="L42" s="28">
        <f>IF(OR(C42="",I42="",K42=""),"",IFERROR(I42*(1+IF(ISNUMBER(K42),K42,VALUE(SUBSTITUTE(K42,"%",""))/100)),0))</f>
        <v/>
      </c>
      <c r="M42" s="23" t="n"/>
      <c r="N42" s="15" t="n"/>
      <c r="O42" s="15" t="n"/>
    </row>
    <row r="43" ht="22" customHeight="1">
      <c r="B43" s="19">
        <f>IF(C43="","HS-"&amp;TEXT(COUNTA($C$5:C43),"000"))</f>
        <v/>
      </c>
      <c r="C43" s="12" t="n"/>
      <c r="D43" s="12" t="n"/>
      <c r="E43" s="12" t="n"/>
      <c r="F43" s="33" t="n"/>
      <c r="G43" s="12" t="n"/>
      <c r="H43" s="12" t="n"/>
      <c r="I43" s="14" t="n"/>
      <c r="J43" s="12" t="n"/>
      <c r="K43" s="12" t="n"/>
      <c r="L43" s="27">
        <f>IF(OR(C43="",I43="",K43=""),"",IFERROR(I43*(1+IF(ISNUMBER(K43),K43,VALUE(SUBSTITUTE(K43,"%",""))/100)),0))</f>
        <v/>
      </c>
      <c r="M43" s="21" t="n"/>
      <c r="N43" s="12" t="n"/>
      <c r="O43" s="12" t="n"/>
    </row>
    <row r="44" ht="22" customHeight="1">
      <c r="B44" s="18">
        <f>IF(C44="","HS-"&amp;TEXT(COUNTA($C$5:C44),"000"))</f>
        <v/>
      </c>
      <c r="C44" s="15" t="n"/>
      <c r="D44" s="15" t="n"/>
      <c r="E44" s="15" t="n"/>
      <c r="F44" s="34" t="n"/>
      <c r="G44" s="15" t="n"/>
      <c r="H44" s="15" t="n"/>
      <c r="I44" s="17" t="n"/>
      <c r="J44" s="15" t="n"/>
      <c r="K44" s="15" t="n"/>
      <c r="L44" s="28">
        <f>IF(OR(C44="",I44="",K44=""),"",IFERROR(I44*(1+IF(ISNUMBER(K44),K44,VALUE(SUBSTITUTE(K44,"%",""))/100)),0))</f>
        <v/>
      </c>
      <c r="M44" s="23" t="n"/>
      <c r="N44" s="15" t="n"/>
      <c r="O44" s="15" t="n"/>
    </row>
    <row r="45" ht="22" customHeight="1">
      <c r="B45" s="19">
        <f>IF(C45="","HS-"&amp;TEXT(COUNTA($C$5:C45),"000"))</f>
        <v/>
      </c>
      <c r="C45" s="12" t="n"/>
      <c r="D45" s="12" t="n"/>
      <c r="E45" s="12" t="n"/>
      <c r="F45" s="33" t="n"/>
      <c r="G45" s="12" t="n"/>
      <c r="H45" s="12" t="n"/>
      <c r="I45" s="14" t="n"/>
      <c r="J45" s="12" t="n"/>
      <c r="K45" s="12" t="n"/>
      <c r="L45" s="27">
        <f>IF(OR(C45="",I45="",K45=""),"",IFERROR(I45*(1+IF(ISNUMBER(K45),K45,VALUE(SUBSTITUTE(K45,"%",""))/100)),0))</f>
        <v/>
      </c>
      <c r="M45" s="21" t="n"/>
      <c r="N45" s="12" t="n"/>
      <c r="O45" s="12" t="n"/>
    </row>
    <row r="46" ht="22" customHeight="1">
      <c r="B46" s="18">
        <f>IF(C46="","HS-"&amp;TEXT(COUNTA($C$5:C46),"000"))</f>
        <v/>
      </c>
      <c r="C46" s="15" t="n"/>
      <c r="D46" s="15" t="n"/>
      <c r="E46" s="15" t="n"/>
      <c r="F46" s="34" t="n"/>
      <c r="G46" s="15" t="n"/>
      <c r="H46" s="15" t="n"/>
      <c r="I46" s="17" t="n"/>
      <c r="J46" s="15" t="n"/>
      <c r="K46" s="15" t="n"/>
      <c r="L46" s="28">
        <f>IF(OR(C46="",I46="",K46=""),"",IFERROR(I46*(1+IF(ISNUMBER(K46),K46,VALUE(SUBSTITUTE(K46,"%",""))/100)),0))</f>
        <v/>
      </c>
      <c r="M46" s="23" t="n"/>
      <c r="N46" s="15" t="n"/>
      <c r="O46" s="15" t="n"/>
    </row>
    <row r="47" ht="22" customHeight="1">
      <c r="B47" s="19">
        <f>IF(C47="","HS-"&amp;TEXT(COUNTA($C$5:C47),"000"))</f>
        <v/>
      </c>
      <c r="C47" s="12" t="n"/>
      <c r="D47" s="12" t="n"/>
      <c r="E47" s="12" t="n"/>
      <c r="F47" s="33" t="n"/>
      <c r="G47" s="12" t="n"/>
      <c r="H47" s="12" t="n"/>
      <c r="I47" s="14" t="n"/>
      <c r="J47" s="12" t="n"/>
      <c r="K47" s="12" t="n"/>
      <c r="L47" s="27">
        <f>IF(OR(C47="",I47="",K47=""),"",IFERROR(I47*(1+IF(ISNUMBER(K47),K47,VALUE(SUBSTITUTE(K47,"%",""))/100)),0))</f>
        <v/>
      </c>
      <c r="M47" s="21" t="n"/>
      <c r="N47" s="12" t="n"/>
      <c r="O47" s="12" t="n"/>
    </row>
    <row r="48" ht="22" customHeight="1">
      <c r="B48" s="18">
        <f>IF(C48="","HS-"&amp;TEXT(COUNTA($C$5:C48),"000"))</f>
        <v/>
      </c>
      <c r="C48" s="15" t="n"/>
      <c r="D48" s="15" t="n"/>
      <c r="E48" s="15" t="n"/>
      <c r="F48" s="34" t="n"/>
      <c r="G48" s="15" t="n"/>
      <c r="H48" s="15" t="n"/>
      <c r="I48" s="17" t="n"/>
      <c r="J48" s="15" t="n"/>
      <c r="K48" s="15" t="n"/>
      <c r="L48" s="28">
        <f>IF(OR(C48="",I48="",K48=""),"",IFERROR(I48*(1+IF(ISNUMBER(K48),K48,VALUE(SUBSTITUTE(K48,"%",""))/100)),0))</f>
        <v/>
      </c>
      <c r="M48" s="23" t="n"/>
      <c r="N48" s="15" t="n"/>
      <c r="O48" s="15" t="n"/>
    </row>
    <row r="49" ht="22" customHeight="1">
      <c r="B49" s="19">
        <f>IF(C49="","HS-"&amp;TEXT(COUNTA($C$5:C49),"000"))</f>
        <v/>
      </c>
      <c r="C49" s="12" t="n"/>
      <c r="D49" s="12" t="n"/>
      <c r="E49" s="12" t="n"/>
      <c r="F49" s="33" t="n"/>
      <c r="G49" s="12" t="n"/>
      <c r="H49" s="12" t="n"/>
      <c r="I49" s="14" t="n"/>
      <c r="J49" s="12" t="n"/>
      <c r="K49" s="12" t="n"/>
      <c r="L49" s="27">
        <f>IF(OR(C49="",I49="",K49=""),"",IFERROR(I49*(1+IF(ISNUMBER(K49),K49,VALUE(SUBSTITUTE(K49,"%",""))/100)),0))</f>
        <v/>
      </c>
      <c r="M49" s="21" t="n"/>
      <c r="N49" s="12" t="n"/>
      <c r="O49" s="12" t="n"/>
    </row>
    <row r="50" ht="22" customHeight="1">
      <c r="B50" s="18">
        <f>IF(C50="","HS-"&amp;TEXT(COUNTA($C$5:C50),"000"))</f>
        <v/>
      </c>
      <c r="C50" s="15" t="n"/>
      <c r="D50" s="15" t="n"/>
      <c r="E50" s="15" t="n"/>
      <c r="F50" s="34" t="n"/>
      <c r="G50" s="15" t="n"/>
      <c r="H50" s="15" t="n"/>
      <c r="I50" s="17" t="n"/>
      <c r="J50" s="15" t="n"/>
      <c r="K50" s="15" t="n"/>
      <c r="L50" s="28">
        <f>IF(OR(C50="",I50="",K50=""),"",IFERROR(I50*(1+IF(ISNUMBER(K50),K50,VALUE(SUBSTITUTE(K50,"%",""))/100)),0))</f>
        <v/>
      </c>
      <c r="M50" s="23" t="n"/>
      <c r="N50" s="15" t="n"/>
      <c r="O50" s="15" t="n"/>
    </row>
    <row r="51" ht="22" customHeight="1">
      <c r="B51" s="19">
        <f>IF(C51="","HS-"&amp;TEXT(COUNTA($C$5:C51),"000"))</f>
        <v/>
      </c>
      <c r="C51" s="12" t="n"/>
      <c r="D51" s="12" t="n"/>
      <c r="E51" s="12" t="n"/>
      <c r="F51" s="33" t="n"/>
      <c r="G51" s="12" t="n"/>
      <c r="H51" s="12" t="n"/>
      <c r="I51" s="14" t="n"/>
      <c r="J51" s="12" t="n"/>
      <c r="K51" s="12" t="n"/>
      <c r="L51" s="27">
        <f>IF(OR(C51="",I51="",K51=""),"",IFERROR(I51*(1+IF(ISNUMBER(K51),K51,VALUE(SUBSTITUTE(K51,"%",""))/100)),0))</f>
        <v/>
      </c>
      <c r="M51" s="21" t="n"/>
      <c r="N51" s="12" t="n"/>
      <c r="O51" s="12" t="n"/>
    </row>
    <row r="52" ht="22" customHeight="1">
      <c r="B52" s="18">
        <f>IF(C52="","HS-"&amp;TEXT(COUNTA($C$5:C52),"000"))</f>
        <v/>
      </c>
      <c r="C52" s="15" t="n"/>
      <c r="D52" s="15" t="n"/>
      <c r="E52" s="15" t="n"/>
      <c r="F52" s="34" t="n"/>
      <c r="G52" s="15" t="n"/>
      <c r="H52" s="15" t="n"/>
      <c r="I52" s="17" t="n"/>
      <c r="J52" s="15" t="n"/>
      <c r="K52" s="15" t="n"/>
      <c r="L52" s="28">
        <f>IF(OR(C52="",I52="",K52=""),"",IFERROR(I52*(1+IF(ISNUMBER(K52),K52,VALUE(SUBSTITUTE(K52,"%",""))/100)),0))</f>
        <v/>
      </c>
      <c r="M52" s="23" t="n"/>
      <c r="N52" s="15" t="n"/>
      <c r="O52" s="15" t="n"/>
    </row>
    <row r="53" ht="22" customHeight="1">
      <c r="B53" s="19">
        <f>IF(C53="","HS-"&amp;TEXT(COUNTA($C$5:C53),"000"))</f>
        <v/>
      </c>
      <c r="C53" s="12" t="n"/>
      <c r="D53" s="12" t="n"/>
      <c r="E53" s="12" t="n"/>
      <c r="F53" s="33" t="n"/>
      <c r="G53" s="12" t="n"/>
      <c r="H53" s="12" t="n"/>
      <c r="I53" s="14" t="n"/>
      <c r="J53" s="12" t="n"/>
      <c r="K53" s="12" t="n"/>
      <c r="L53" s="27">
        <f>IF(OR(C53="",I53="",K53=""),"",IFERROR(I53*(1+IF(ISNUMBER(K53),K53,VALUE(SUBSTITUTE(K53,"%",""))/100)),0))</f>
        <v/>
      </c>
      <c r="M53" s="21" t="n"/>
      <c r="N53" s="12" t="n"/>
      <c r="O53" s="12" t="n"/>
    </row>
    <row r="54" ht="22" customHeight="1">
      <c r="B54" s="18">
        <f>IF(C54="","HS-"&amp;TEXT(COUNTA($C$5:C54),"000"))</f>
        <v/>
      </c>
      <c r="C54" s="15" t="n"/>
      <c r="D54" s="15" t="n"/>
      <c r="E54" s="15" t="n"/>
      <c r="F54" s="34" t="n"/>
      <c r="G54" s="15" t="n"/>
      <c r="H54" s="15" t="n"/>
      <c r="I54" s="17" t="n"/>
      <c r="J54" s="15" t="n"/>
      <c r="K54" s="15" t="n"/>
      <c r="L54" s="28">
        <f>IF(OR(C54="",I54="",K54=""),"",IFERROR(I54*(1+IF(ISNUMBER(K54),K54,VALUE(SUBSTITUTE(K54,"%",""))/100)),0))</f>
        <v/>
      </c>
      <c r="M54" s="23" t="n"/>
      <c r="N54" s="15" t="n"/>
      <c r="O54" s="15" t="n"/>
    </row>
    <row r="55" ht="22" customHeight="1">
      <c r="B55" s="19">
        <f>IF(C55="","HS-"&amp;TEXT(COUNTA($C$5:C55),"000"))</f>
        <v/>
      </c>
      <c r="C55" s="12" t="n"/>
      <c r="D55" s="12" t="n"/>
      <c r="E55" s="12" t="n"/>
      <c r="F55" s="33" t="n"/>
      <c r="G55" s="12" t="n"/>
      <c r="H55" s="12" t="n"/>
      <c r="I55" s="14" t="n"/>
      <c r="J55" s="12" t="n"/>
      <c r="K55" s="12" t="n"/>
      <c r="L55" s="27">
        <f>IF(OR(C55="",I55="",K55=""),"",IFERROR(I55*(1+IF(ISNUMBER(K55),K55,VALUE(SUBSTITUTE(K55,"%",""))/100)),0))</f>
        <v/>
      </c>
      <c r="M55" s="21" t="n"/>
      <c r="N55" s="12" t="n"/>
      <c r="O55" s="12" t="n"/>
    </row>
    <row r="56" ht="22" customHeight="1">
      <c r="B56" s="18">
        <f>IF(C56="","HS-"&amp;TEXT(COUNTA($C$5:C56),"000"))</f>
        <v/>
      </c>
      <c r="C56" s="15" t="n"/>
      <c r="D56" s="15" t="n"/>
      <c r="E56" s="15" t="n"/>
      <c r="F56" s="34" t="n"/>
      <c r="G56" s="15" t="n"/>
      <c r="H56" s="15" t="n"/>
      <c r="I56" s="17" t="n"/>
      <c r="J56" s="15" t="n"/>
      <c r="K56" s="15" t="n"/>
      <c r="L56" s="28">
        <f>IF(OR(C56="",I56="",K56=""),"",IFERROR(I56*(1+IF(ISNUMBER(K56),K56,VALUE(SUBSTITUTE(K56,"%",""))/100)),0))</f>
        <v/>
      </c>
      <c r="M56" s="23" t="n"/>
      <c r="N56" s="15" t="n"/>
      <c r="O56" s="15" t="n"/>
    </row>
    <row r="57" ht="22" customHeight="1">
      <c r="B57" s="19">
        <f>IF(C57="","HS-"&amp;TEXT(COUNTA($C$5:C57),"000"))</f>
        <v/>
      </c>
      <c r="C57" s="12" t="n"/>
      <c r="D57" s="12" t="n"/>
      <c r="E57" s="12" t="n"/>
      <c r="F57" s="33" t="n"/>
      <c r="G57" s="12" t="n"/>
      <c r="H57" s="12" t="n"/>
      <c r="I57" s="14" t="n"/>
      <c r="J57" s="12" t="n"/>
      <c r="K57" s="12" t="n"/>
      <c r="L57" s="27">
        <f>IF(OR(C57="",I57="",K57=""),"",IFERROR(I57*(1+IF(ISNUMBER(K57),K57,VALUE(SUBSTITUTE(K57,"%",""))/100)),0))</f>
        <v/>
      </c>
      <c r="M57" s="21" t="n"/>
      <c r="N57" s="12" t="n"/>
      <c r="O57" s="12" t="n"/>
    </row>
    <row r="58" ht="22" customHeight="1">
      <c r="B58" s="18">
        <f>IF(C58="","HS-"&amp;TEXT(COUNTA($C$5:C58),"000"))</f>
        <v/>
      </c>
      <c r="C58" s="15" t="n"/>
      <c r="D58" s="15" t="n"/>
      <c r="E58" s="15" t="n"/>
      <c r="F58" s="34" t="n"/>
      <c r="G58" s="15" t="n"/>
      <c r="H58" s="15" t="n"/>
      <c r="I58" s="17" t="n"/>
      <c r="J58" s="15" t="n"/>
      <c r="K58" s="15" t="n"/>
      <c r="L58" s="28">
        <f>IF(OR(C58="",I58="",K58=""),"",IFERROR(I58*(1+IF(ISNUMBER(K58),K58,VALUE(SUBSTITUTE(K58,"%",""))/100)),0))</f>
        <v/>
      </c>
      <c r="M58" s="23" t="n"/>
      <c r="N58" s="15" t="n"/>
      <c r="O58" s="15" t="n"/>
    </row>
    <row r="59" ht="22" customHeight="1">
      <c r="B59" s="19">
        <f>IF(C59="","HS-"&amp;TEXT(COUNTA($C$5:C59),"000"))</f>
        <v/>
      </c>
      <c r="C59" s="12" t="n"/>
      <c r="D59" s="12" t="n"/>
      <c r="E59" s="12" t="n"/>
      <c r="F59" s="33" t="n"/>
      <c r="G59" s="12" t="n"/>
      <c r="H59" s="12" t="n"/>
      <c r="I59" s="14" t="n"/>
      <c r="J59" s="12" t="n"/>
      <c r="K59" s="12" t="n"/>
      <c r="L59" s="27">
        <f>IF(OR(C59="",I59="",K59=""),"",IFERROR(I59*(1+IF(ISNUMBER(K59),K59,VALUE(SUBSTITUTE(K59,"%",""))/100)),0))</f>
        <v/>
      </c>
      <c r="M59" s="21" t="n"/>
      <c r="N59" s="12" t="n"/>
      <c r="O59" s="12" t="n"/>
    </row>
    <row r="60" ht="22" customHeight="1">
      <c r="B60" s="18">
        <f>IF(C60="","HS-"&amp;TEXT(COUNTA($C$5:C60),"000"))</f>
        <v/>
      </c>
      <c r="C60" s="15" t="n"/>
      <c r="D60" s="15" t="n"/>
      <c r="E60" s="15" t="n"/>
      <c r="F60" s="34" t="n"/>
      <c r="G60" s="15" t="n"/>
      <c r="H60" s="15" t="n"/>
      <c r="I60" s="17" t="n"/>
      <c r="J60" s="15" t="n"/>
      <c r="K60" s="15" t="n"/>
      <c r="L60" s="28">
        <f>IF(OR(C60="",I60="",K60=""),"",IFERROR(I60*(1+IF(ISNUMBER(K60),K60,VALUE(SUBSTITUTE(K60,"%",""))/100)),0))</f>
        <v/>
      </c>
      <c r="M60" s="23" t="n"/>
      <c r="N60" s="15" t="n"/>
      <c r="O60" s="15" t="n"/>
    </row>
    <row r="61" ht="22" customHeight="1">
      <c r="B61" s="19">
        <f>IF(C61="","HS-"&amp;TEXT(COUNTA($C$5:C61),"000"))</f>
        <v/>
      </c>
      <c r="C61" s="12" t="n"/>
      <c r="D61" s="12" t="n"/>
      <c r="E61" s="12" t="n"/>
      <c r="F61" s="33" t="n"/>
      <c r="G61" s="12" t="n"/>
      <c r="H61" s="12" t="n"/>
      <c r="I61" s="14" t="n"/>
      <c r="J61" s="12" t="n"/>
      <c r="K61" s="12" t="n"/>
      <c r="L61" s="27">
        <f>IF(OR(C61="",I61="",K61=""),"",IFERROR(I61*(1+IF(ISNUMBER(K61),K61,VALUE(SUBSTITUTE(K61,"%",""))/100)),0))</f>
        <v/>
      </c>
      <c r="M61" s="21" t="n"/>
      <c r="N61" s="12" t="n"/>
      <c r="O61" s="12" t="n"/>
    </row>
    <row r="62" ht="22" customHeight="1">
      <c r="B62" s="18">
        <f>IF(C62="","HS-"&amp;TEXT(COUNTA($C$5:C62),"000"))</f>
        <v/>
      </c>
      <c r="C62" s="15" t="n"/>
      <c r="D62" s="15" t="n"/>
      <c r="E62" s="15" t="n"/>
      <c r="F62" s="34" t="n"/>
      <c r="G62" s="15" t="n"/>
      <c r="H62" s="15" t="n"/>
      <c r="I62" s="17" t="n"/>
      <c r="J62" s="15" t="n"/>
      <c r="K62" s="15" t="n"/>
      <c r="L62" s="28">
        <f>IF(OR(C62="",I62="",K62=""),"",IFERROR(I62*(1+IF(ISNUMBER(K62),K62,VALUE(SUBSTITUTE(K62,"%",""))/100)),0))</f>
        <v/>
      </c>
      <c r="M62" s="23" t="n"/>
      <c r="N62" s="15" t="n"/>
      <c r="O62" s="15" t="n"/>
    </row>
    <row r="63" ht="22" customHeight="1">
      <c r="B63" s="19">
        <f>IF(C63="","HS-"&amp;TEXT(COUNTA($C$5:C63),"000"))</f>
        <v/>
      </c>
      <c r="C63" s="12" t="n"/>
      <c r="D63" s="12" t="n"/>
      <c r="E63" s="12" t="n"/>
      <c r="F63" s="33" t="n"/>
      <c r="G63" s="12" t="n"/>
      <c r="H63" s="12" t="n"/>
      <c r="I63" s="14" t="n"/>
      <c r="J63" s="12" t="n"/>
      <c r="K63" s="12" t="n"/>
      <c r="L63" s="27">
        <f>IF(OR(C63="",I63="",K63=""),"",IFERROR(I63*(1+IF(ISNUMBER(K63),K63,VALUE(SUBSTITUTE(K63,"%",""))/100)),0))</f>
        <v/>
      </c>
      <c r="M63" s="21" t="n"/>
      <c r="N63" s="12" t="n"/>
      <c r="O63" s="12" t="n"/>
    </row>
    <row r="64" ht="22" customHeight="1">
      <c r="B64" s="18">
        <f>IF(C64="","HS-"&amp;TEXT(COUNTA($C$5:C64),"000"))</f>
        <v/>
      </c>
      <c r="C64" s="15" t="n"/>
      <c r="D64" s="15" t="n"/>
      <c r="E64" s="15" t="n"/>
      <c r="F64" s="34" t="n"/>
      <c r="G64" s="15" t="n"/>
      <c r="H64" s="15" t="n"/>
      <c r="I64" s="17" t="n"/>
      <c r="J64" s="15" t="n"/>
      <c r="K64" s="15" t="n"/>
      <c r="L64" s="28">
        <f>IF(OR(C64="",I64="",K64=""),"",IFERROR(I64*(1+IF(ISNUMBER(K64),K64,VALUE(SUBSTITUTE(K64,"%",""))/100)),0))</f>
        <v/>
      </c>
      <c r="M64" s="23" t="n"/>
      <c r="N64" s="15" t="n"/>
      <c r="O64" s="15" t="n"/>
    </row>
    <row r="65" ht="22" customHeight="1">
      <c r="B65" s="19">
        <f>IF(C65="","HS-"&amp;TEXT(COUNTA($C$5:C65),"000"))</f>
        <v/>
      </c>
      <c r="C65" s="12" t="n"/>
      <c r="D65" s="12" t="n"/>
      <c r="E65" s="12" t="n"/>
      <c r="F65" s="33" t="n"/>
      <c r="G65" s="12" t="n"/>
      <c r="H65" s="12" t="n"/>
      <c r="I65" s="14" t="n"/>
      <c r="J65" s="12" t="n"/>
      <c r="K65" s="12" t="n"/>
      <c r="L65" s="27">
        <f>IF(OR(C65="",I65="",K65=""),"",IFERROR(I65*(1+IF(ISNUMBER(K65),K65,VALUE(SUBSTITUTE(K65,"%",""))/100)),0))</f>
        <v/>
      </c>
      <c r="M65" s="21" t="n"/>
      <c r="N65" s="12" t="n"/>
      <c r="O65" s="12" t="n"/>
    </row>
    <row r="66" ht="22" customHeight="1">
      <c r="B66" s="18">
        <f>IF(C66="","HS-"&amp;TEXT(COUNTA($C$5:C66),"000"))</f>
        <v/>
      </c>
      <c r="C66" s="15" t="n"/>
      <c r="D66" s="15" t="n"/>
      <c r="E66" s="15" t="n"/>
      <c r="F66" s="34" t="n"/>
      <c r="G66" s="15" t="n"/>
      <c r="H66" s="15" t="n"/>
      <c r="I66" s="17" t="n"/>
      <c r="J66" s="15" t="n"/>
      <c r="K66" s="15" t="n"/>
      <c r="L66" s="28">
        <f>IF(OR(C66="",I66="",K66=""),"",IFERROR(I66*(1+IF(ISNUMBER(K66),K66,VALUE(SUBSTITUTE(K66,"%",""))/100)),0))</f>
        <v/>
      </c>
      <c r="M66" s="23" t="n"/>
      <c r="N66" s="15" t="n"/>
      <c r="O66" s="15" t="n"/>
    </row>
    <row r="67" ht="22" customHeight="1">
      <c r="B67" s="19">
        <f>IF(C67="","HS-"&amp;TEXT(COUNTA($C$5:C67),"000"))</f>
        <v/>
      </c>
      <c r="C67" s="12" t="n"/>
      <c r="D67" s="12" t="n"/>
      <c r="E67" s="12" t="n"/>
      <c r="F67" s="33" t="n"/>
      <c r="G67" s="12" t="n"/>
      <c r="H67" s="12" t="n"/>
      <c r="I67" s="14" t="n"/>
      <c r="J67" s="12" t="n"/>
      <c r="K67" s="12" t="n"/>
      <c r="L67" s="27">
        <f>IF(OR(C67="",I67="",K67=""),"",IFERROR(I67*(1+IF(ISNUMBER(K67),K67,VALUE(SUBSTITUTE(K67,"%",""))/100)),0))</f>
        <v/>
      </c>
      <c r="M67" s="21" t="n"/>
      <c r="N67" s="12" t="n"/>
      <c r="O67" s="12" t="n"/>
    </row>
    <row r="68" ht="22" customHeight="1">
      <c r="B68" s="18">
        <f>IF(C68="","HS-"&amp;TEXT(COUNTA($C$5:C68),"000"))</f>
        <v/>
      </c>
      <c r="C68" s="15" t="n"/>
      <c r="D68" s="15" t="n"/>
      <c r="E68" s="15" t="n"/>
      <c r="F68" s="34" t="n"/>
      <c r="G68" s="15" t="n"/>
      <c r="H68" s="15" t="n"/>
      <c r="I68" s="17" t="n"/>
      <c r="J68" s="15" t="n"/>
      <c r="K68" s="15" t="n"/>
      <c r="L68" s="28">
        <f>IF(OR(C68="",I68="",K68=""),"",IFERROR(I68*(1+IF(ISNUMBER(K68),K68,VALUE(SUBSTITUTE(K68,"%",""))/100)),0))</f>
        <v/>
      </c>
      <c r="M68" s="23" t="n"/>
      <c r="N68" s="15" t="n"/>
      <c r="O68" s="15" t="n"/>
    </row>
    <row r="69" ht="22" customHeight="1">
      <c r="B69" s="19">
        <f>IF(C69="","HS-"&amp;TEXT(COUNTA($C$5:C69),"000"))</f>
        <v/>
      </c>
      <c r="C69" s="12" t="n"/>
      <c r="D69" s="12" t="n"/>
      <c r="E69" s="12" t="n"/>
      <c r="F69" s="33" t="n"/>
      <c r="G69" s="12" t="n"/>
      <c r="H69" s="12" t="n"/>
      <c r="I69" s="14" t="n"/>
      <c r="J69" s="12" t="n"/>
      <c r="K69" s="12" t="n"/>
      <c r="L69" s="27">
        <f>IF(OR(C69="",I69="",K69=""),"",IFERROR(I69*(1+IF(ISNUMBER(K69),K69,VALUE(SUBSTITUTE(K69,"%",""))/100)),0))</f>
        <v/>
      </c>
      <c r="M69" s="21" t="n"/>
      <c r="N69" s="12" t="n"/>
      <c r="O69" s="12" t="n"/>
    </row>
    <row r="70" ht="22" customHeight="1">
      <c r="B70" s="18">
        <f>IF(C70="","HS-"&amp;TEXT(COUNTA($C$5:C70),"000"))</f>
        <v/>
      </c>
      <c r="C70" s="15" t="n"/>
      <c r="D70" s="15" t="n"/>
      <c r="E70" s="15" t="n"/>
      <c r="F70" s="34" t="n"/>
      <c r="G70" s="15" t="n"/>
      <c r="H70" s="15" t="n"/>
      <c r="I70" s="17" t="n"/>
      <c r="J70" s="15" t="n"/>
      <c r="K70" s="15" t="n"/>
      <c r="L70" s="28">
        <f>IF(OR(C70="",I70="",K70=""),"",IFERROR(I70*(1+IF(ISNUMBER(K70),K70,VALUE(SUBSTITUTE(K70,"%",""))/100)),0))</f>
        <v/>
      </c>
      <c r="M70" s="23" t="n"/>
      <c r="N70" s="15" t="n"/>
      <c r="O70" s="15" t="n"/>
    </row>
    <row r="71" ht="22" customHeight="1">
      <c r="B71" s="19">
        <f>IF(C71="","HS-"&amp;TEXT(COUNTA($C$5:C71),"000"))</f>
        <v/>
      </c>
      <c r="C71" s="12" t="n"/>
      <c r="D71" s="12" t="n"/>
      <c r="E71" s="12" t="n"/>
      <c r="F71" s="33" t="n"/>
      <c r="G71" s="12" t="n"/>
      <c r="H71" s="12" t="n"/>
      <c r="I71" s="14" t="n"/>
      <c r="J71" s="12" t="n"/>
      <c r="K71" s="12" t="n"/>
      <c r="L71" s="27">
        <f>IF(OR(C71="",I71="",K71=""),"",IFERROR(I71*(1+IF(ISNUMBER(K71),K71,VALUE(SUBSTITUTE(K71,"%",""))/100)),0))</f>
        <v/>
      </c>
      <c r="M71" s="21" t="n"/>
      <c r="N71" s="12" t="n"/>
      <c r="O71" s="12" t="n"/>
    </row>
    <row r="72" ht="22" customHeight="1">
      <c r="B72" s="18">
        <f>IF(C72="","HS-"&amp;TEXT(COUNTA($C$5:C72),"000"))</f>
        <v/>
      </c>
      <c r="C72" s="15" t="n"/>
      <c r="D72" s="15" t="n"/>
      <c r="E72" s="15" t="n"/>
      <c r="F72" s="34" t="n"/>
      <c r="G72" s="15" t="n"/>
      <c r="H72" s="15" t="n"/>
      <c r="I72" s="17" t="n"/>
      <c r="J72" s="15" t="n"/>
      <c r="K72" s="15" t="n"/>
      <c r="L72" s="28">
        <f>IF(OR(C72="",I72="",K72=""),"",IFERROR(I72*(1+IF(ISNUMBER(K72),K72,VALUE(SUBSTITUTE(K72,"%",""))/100)),0))</f>
        <v/>
      </c>
      <c r="M72" s="23" t="n"/>
      <c r="N72" s="15" t="n"/>
      <c r="O72" s="15" t="n"/>
    </row>
    <row r="73" ht="22" customHeight="1">
      <c r="B73" s="19">
        <f>IF(C73="","HS-"&amp;TEXT(COUNTA($C$5:C73),"000"))</f>
        <v/>
      </c>
      <c r="C73" s="12" t="n"/>
      <c r="D73" s="12" t="n"/>
      <c r="E73" s="12" t="n"/>
      <c r="F73" s="33" t="n"/>
      <c r="G73" s="12" t="n"/>
      <c r="H73" s="12" t="n"/>
      <c r="I73" s="14" t="n"/>
      <c r="J73" s="12" t="n"/>
      <c r="K73" s="12" t="n"/>
      <c r="L73" s="27">
        <f>IF(OR(C73="",I73="",K73=""),"",IFERROR(I73*(1+IF(ISNUMBER(K73),K73,VALUE(SUBSTITUTE(K73,"%",""))/100)),0))</f>
        <v/>
      </c>
      <c r="M73" s="21" t="n"/>
      <c r="N73" s="12" t="n"/>
      <c r="O73" s="12" t="n"/>
    </row>
    <row r="74" ht="22" customHeight="1">
      <c r="B74" s="18">
        <f>IF(C74="","HS-"&amp;TEXT(COUNTA($C$5:C74),"000"))</f>
        <v/>
      </c>
      <c r="C74" s="15" t="n"/>
      <c r="D74" s="15" t="n"/>
      <c r="E74" s="15" t="n"/>
      <c r="F74" s="34" t="n"/>
      <c r="G74" s="15" t="n"/>
      <c r="H74" s="15" t="n"/>
      <c r="I74" s="17" t="n"/>
      <c r="J74" s="15" t="n"/>
      <c r="K74" s="15" t="n"/>
      <c r="L74" s="28">
        <f>IF(OR(C74="",I74="",K74=""),"",IFERROR(I74*(1+IF(ISNUMBER(K74),K74,VALUE(SUBSTITUTE(K74,"%",""))/100)),0))</f>
        <v/>
      </c>
      <c r="M74" s="23" t="n"/>
      <c r="N74" s="15" t="n"/>
      <c r="O74" s="15" t="n"/>
    </row>
    <row r="75" ht="22" customHeight="1">
      <c r="B75" s="19">
        <f>IF(C75="","HS-"&amp;TEXT(COUNTA($C$5:C75),"000"))</f>
        <v/>
      </c>
      <c r="C75" s="12" t="n"/>
      <c r="D75" s="12" t="n"/>
      <c r="E75" s="12" t="n"/>
      <c r="F75" s="33" t="n"/>
      <c r="G75" s="12" t="n"/>
      <c r="H75" s="12" t="n"/>
      <c r="I75" s="14" t="n"/>
      <c r="J75" s="12" t="n"/>
      <c r="K75" s="12" t="n"/>
      <c r="L75" s="27">
        <f>IF(OR(C75="",I75="",K75=""),"",IFERROR(I75*(1+IF(ISNUMBER(K75),K75,VALUE(SUBSTITUTE(K75,"%",""))/100)),0))</f>
        <v/>
      </c>
      <c r="M75" s="21" t="n"/>
      <c r="N75" s="12" t="n"/>
      <c r="O75" s="12" t="n"/>
    </row>
    <row r="76" ht="22" customHeight="1">
      <c r="B76" s="18">
        <f>IF(C76="","HS-"&amp;TEXT(COUNTA($C$5:C76),"000"))</f>
        <v/>
      </c>
      <c r="C76" s="15" t="n"/>
      <c r="D76" s="15" t="n"/>
      <c r="E76" s="15" t="n"/>
      <c r="F76" s="34" t="n"/>
      <c r="G76" s="15" t="n"/>
      <c r="H76" s="15" t="n"/>
      <c r="I76" s="17" t="n"/>
      <c r="J76" s="15" t="n"/>
      <c r="K76" s="15" t="n"/>
      <c r="L76" s="28">
        <f>IF(OR(C76="",I76="",K76=""),"",IFERROR(I76*(1+IF(ISNUMBER(K76),K76,VALUE(SUBSTITUTE(K76,"%",""))/100)),0))</f>
        <v/>
      </c>
      <c r="M76" s="23" t="n"/>
      <c r="N76" s="15" t="n"/>
      <c r="O76" s="15" t="n"/>
    </row>
    <row r="77" ht="22" customHeight="1">
      <c r="B77" s="19">
        <f>IF(C77="","HS-"&amp;TEXT(COUNTA($C$5:C77),"000"))</f>
        <v/>
      </c>
      <c r="C77" s="12" t="n"/>
      <c r="D77" s="12" t="n"/>
      <c r="E77" s="12" t="n"/>
      <c r="F77" s="33" t="n"/>
      <c r="G77" s="12" t="n"/>
      <c r="H77" s="12" t="n"/>
      <c r="I77" s="14" t="n"/>
      <c r="J77" s="12" t="n"/>
      <c r="K77" s="12" t="n"/>
      <c r="L77" s="27">
        <f>IF(OR(C77="",I77="",K77=""),"",IFERROR(I77*(1+IF(ISNUMBER(K77),K77,VALUE(SUBSTITUTE(K77,"%",""))/100)),0))</f>
        <v/>
      </c>
      <c r="M77" s="21" t="n"/>
      <c r="N77" s="12" t="n"/>
      <c r="O77" s="12" t="n"/>
    </row>
    <row r="78" ht="22" customHeight="1">
      <c r="B78" s="18">
        <f>IF(C78="","HS-"&amp;TEXT(COUNTA($C$5:C78),"000"))</f>
        <v/>
      </c>
      <c r="C78" s="15" t="n"/>
      <c r="D78" s="15" t="n"/>
      <c r="E78" s="15" t="n"/>
      <c r="F78" s="34" t="n"/>
      <c r="G78" s="15" t="n"/>
      <c r="H78" s="15" t="n"/>
      <c r="I78" s="17" t="n"/>
      <c r="J78" s="15" t="n"/>
      <c r="K78" s="15" t="n"/>
      <c r="L78" s="28">
        <f>IF(OR(C78="",I78="",K78=""),"",IFERROR(I78*(1+IF(ISNUMBER(K78),K78,VALUE(SUBSTITUTE(K78,"%",""))/100)),0))</f>
        <v/>
      </c>
      <c r="M78" s="23" t="n"/>
      <c r="N78" s="15" t="n"/>
      <c r="O78" s="15" t="n"/>
    </row>
    <row r="79" ht="22" customHeight="1">
      <c r="B79" s="19">
        <f>IF(C79="","HS-"&amp;TEXT(COUNTA($C$5:C79),"000"))</f>
        <v/>
      </c>
      <c r="C79" s="12" t="n"/>
      <c r="D79" s="12" t="n"/>
      <c r="E79" s="12" t="n"/>
      <c r="F79" s="33" t="n"/>
      <c r="G79" s="12" t="n"/>
      <c r="H79" s="12" t="n"/>
      <c r="I79" s="14" t="n"/>
      <c r="J79" s="12" t="n"/>
      <c r="K79" s="12" t="n"/>
      <c r="L79" s="27">
        <f>IF(OR(C79="",I79="",K79=""),"",IFERROR(I79*(1+IF(ISNUMBER(K79),K79,VALUE(SUBSTITUTE(K79,"%",""))/100)),0))</f>
        <v/>
      </c>
      <c r="M79" s="21" t="n"/>
      <c r="N79" s="12" t="n"/>
      <c r="O79" s="12" t="n"/>
    </row>
    <row r="80" ht="22" customHeight="1">
      <c r="B80" s="18">
        <f>IF(C80="","HS-"&amp;TEXT(COUNTA($C$5:C80),"000"))</f>
        <v/>
      </c>
      <c r="C80" s="15" t="n"/>
      <c r="D80" s="15" t="n"/>
      <c r="E80" s="15" t="n"/>
      <c r="F80" s="34" t="n"/>
      <c r="G80" s="15" t="n"/>
      <c r="H80" s="15" t="n"/>
      <c r="I80" s="17" t="n"/>
      <c r="J80" s="15" t="n"/>
      <c r="K80" s="15" t="n"/>
      <c r="L80" s="28">
        <f>IF(OR(C80="",I80="",K80=""),"",IFERROR(I80*(1+IF(ISNUMBER(K80),K80,VALUE(SUBSTITUTE(K80,"%",""))/100)),0))</f>
        <v/>
      </c>
      <c r="M80" s="23" t="n"/>
      <c r="N80" s="15" t="n"/>
      <c r="O80" s="15" t="n"/>
    </row>
    <row r="81" ht="22" customHeight="1">
      <c r="B81" s="19">
        <f>IF(C81="","HS-"&amp;TEXT(COUNTA($C$5:C81),"000"))</f>
        <v/>
      </c>
      <c r="C81" s="12" t="n"/>
      <c r="D81" s="12" t="n"/>
      <c r="E81" s="12" t="n"/>
      <c r="F81" s="33" t="n"/>
      <c r="G81" s="12" t="n"/>
      <c r="H81" s="12" t="n"/>
      <c r="I81" s="14" t="n"/>
      <c r="J81" s="12" t="n"/>
      <c r="K81" s="12" t="n"/>
      <c r="L81" s="27">
        <f>IF(OR(C81="",I81="",K81=""),"",IFERROR(I81*(1+IF(ISNUMBER(K81),K81,VALUE(SUBSTITUTE(K81,"%",""))/100)),0))</f>
        <v/>
      </c>
      <c r="M81" s="21" t="n"/>
      <c r="N81" s="12" t="n"/>
      <c r="O81" s="12" t="n"/>
    </row>
    <row r="82" ht="22" customHeight="1">
      <c r="B82" s="18">
        <f>IF(C82="","HS-"&amp;TEXT(COUNTA($C$5:C82),"000"))</f>
        <v/>
      </c>
      <c r="C82" s="15" t="n"/>
      <c r="D82" s="15" t="n"/>
      <c r="E82" s="15" t="n"/>
      <c r="F82" s="34" t="n"/>
      <c r="G82" s="15" t="n"/>
      <c r="H82" s="15" t="n"/>
      <c r="I82" s="17" t="n"/>
      <c r="J82" s="15" t="n"/>
      <c r="K82" s="15" t="n"/>
      <c r="L82" s="28">
        <f>IF(OR(C82="",I82="",K82=""),"",IFERROR(I82*(1+IF(ISNUMBER(K82),K82,VALUE(SUBSTITUTE(K82,"%",""))/100)),0))</f>
        <v/>
      </c>
      <c r="M82" s="23" t="n"/>
      <c r="N82" s="15" t="n"/>
      <c r="O82" s="15" t="n"/>
    </row>
    <row r="83" ht="22" customHeight="1">
      <c r="B83" s="19">
        <f>IF(C83="","HS-"&amp;TEXT(COUNTA($C$5:C83),"000"))</f>
        <v/>
      </c>
      <c r="C83" s="12" t="n"/>
      <c r="D83" s="12" t="n"/>
      <c r="E83" s="12" t="n"/>
      <c r="F83" s="33" t="n"/>
      <c r="G83" s="12" t="n"/>
      <c r="H83" s="12" t="n"/>
      <c r="I83" s="14" t="n"/>
      <c r="J83" s="12" t="n"/>
      <c r="K83" s="12" t="n"/>
      <c r="L83" s="27">
        <f>IF(OR(C83="",I83="",K83=""),"",IFERROR(I83*(1+IF(ISNUMBER(K83),K83,VALUE(SUBSTITUTE(K83,"%",""))/100)),0))</f>
        <v/>
      </c>
      <c r="M83" s="21" t="n"/>
      <c r="N83" s="12" t="n"/>
      <c r="O83" s="12" t="n"/>
    </row>
    <row r="84" ht="22" customHeight="1">
      <c r="B84" s="18">
        <f>IF(C84="","HS-"&amp;TEXT(COUNTA($C$5:C84),"000"))</f>
        <v/>
      </c>
      <c r="C84" s="15" t="n"/>
      <c r="D84" s="15" t="n"/>
      <c r="E84" s="15" t="n"/>
      <c r="F84" s="34" t="n"/>
      <c r="G84" s="15" t="n"/>
      <c r="H84" s="15" t="n"/>
      <c r="I84" s="17" t="n"/>
      <c r="J84" s="15" t="n"/>
      <c r="K84" s="15" t="n"/>
      <c r="L84" s="28">
        <f>IF(OR(C84="",I84="",K84=""),"",IFERROR(I84*(1+IF(ISNUMBER(K84),K84,VALUE(SUBSTITUTE(K84,"%",""))/100)),0))</f>
        <v/>
      </c>
      <c r="M84" s="23" t="n"/>
      <c r="N84" s="15" t="n"/>
      <c r="O84" s="15" t="n"/>
    </row>
    <row r="85" ht="22" customHeight="1">
      <c r="B85" s="19">
        <f>IF(C85="","HS-"&amp;TEXT(COUNTA($C$5:C85),"000"))</f>
        <v/>
      </c>
      <c r="C85" s="12" t="n"/>
      <c r="D85" s="12" t="n"/>
      <c r="E85" s="12" t="n"/>
      <c r="F85" s="33" t="n"/>
      <c r="G85" s="12" t="n"/>
      <c r="H85" s="12" t="n"/>
      <c r="I85" s="14" t="n"/>
      <c r="J85" s="12" t="n"/>
      <c r="K85" s="12" t="n"/>
      <c r="L85" s="27">
        <f>IF(OR(C85="",I85="",K85=""),"",IFERROR(I85*(1+IF(ISNUMBER(K85),K85,VALUE(SUBSTITUTE(K85,"%",""))/100)),0))</f>
        <v/>
      </c>
      <c r="M85" s="21" t="n"/>
      <c r="N85" s="12" t="n"/>
      <c r="O85" s="12" t="n"/>
    </row>
    <row r="86" ht="22" customHeight="1">
      <c r="B86" s="18">
        <f>IF(C86="","HS-"&amp;TEXT(COUNTA($C$5:C86),"000"))</f>
        <v/>
      </c>
      <c r="C86" s="15" t="n"/>
      <c r="D86" s="15" t="n"/>
      <c r="E86" s="15" t="n"/>
      <c r="F86" s="34" t="n"/>
      <c r="G86" s="15" t="n"/>
      <c r="H86" s="15" t="n"/>
      <c r="I86" s="17" t="n"/>
      <c r="J86" s="15" t="n"/>
      <c r="K86" s="15" t="n"/>
      <c r="L86" s="28">
        <f>IF(OR(C86="",I86="",K86=""),"",IFERROR(I86*(1+IF(ISNUMBER(K86),K86,VALUE(SUBSTITUTE(K86,"%",""))/100)),0))</f>
        <v/>
      </c>
      <c r="M86" s="23" t="n"/>
      <c r="N86" s="15" t="n"/>
      <c r="O86" s="15" t="n"/>
    </row>
    <row r="87" ht="22" customHeight="1">
      <c r="B87" s="19">
        <f>IF(C87="","HS-"&amp;TEXT(COUNTA($C$5:C87),"000"))</f>
        <v/>
      </c>
      <c r="C87" s="12" t="n"/>
      <c r="D87" s="12" t="n"/>
      <c r="E87" s="12" t="n"/>
      <c r="F87" s="33" t="n"/>
      <c r="G87" s="12" t="n"/>
      <c r="H87" s="12" t="n"/>
      <c r="I87" s="14" t="n"/>
      <c r="J87" s="12" t="n"/>
      <c r="K87" s="12" t="n"/>
      <c r="L87" s="27">
        <f>IF(OR(C87="",I87="",K87=""),"",IFERROR(I87*(1+IF(ISNUMBER(K87),K87,VALUE(SUBSTITUTE(K87,"%",""))/100)),0))</f>
        <v/>
      </c>
      <c r="M87" s="21" t="n"/>
      <c r="N87" s="12" t="n"/>
      <c r="O87" s="12" t="n"/>
    </row>
    <row r="88" ht="22" customHeight="1">
      <c r="B88" s="18">
        <f>IF(C88="","HS-"&amp;TEXT(COUNTA($C$5:C88),"000"))</f>
        <v/>
      </c>
      <c r="C88" s="15" t="n"/>
      <c r="D88" s="15" t="n"/>
      <c r="E88" s="15" t="n"/>
      <c r="F88" s="34" t="n"/>
      <c r="G88" s="15" t="n"/>
      <c r="H88" s="15" t="n"/>
      <c r="I88" s="17" t="n"/>
      <c r="J88" s="15" t="n"/>
      <c r="K88" s="15" t="n"/>
      <c r="L88" s="28">
        <f>IF(OR(C88="",I88="",K88=""),"",IFERROR(I88*(1+IF(ISNUMBER(K88),K88,VALUE(SUBSTITUTE(K88,"%",""))/100)),0))</f>
        <v/>
      </c>
      <c r="M88" s="23" t="n"/>
      <c r="N88" s="15" t="n"/>
      <c r="O88" s="15" t="n"/>
    </row>
    <row r="89" ht="22" customHeight="1">
      <c r="B89" s="19">
        <f>IF(C89="","HS-"&amp;TEXT(COUNTA($C$5:C89),"000"))</f>
        <v/>
      </c>
      <c r="C89" s="12" t="n"/>
      <c r="D89" s="12" t="n"/>
      <c r="E89" s="12" t="n"/>
      <c r="F89" s="33" t="n"/>
      <c r="G89" s="12" t="n"/>
      <c r="H89" s="12" t="n"/>
      <c r="I89" s="14" t="n"/>
      <c r="J89" s="12" t="n"/>
      <c r="K89" s="12" t="n"/>
      <c r="L89" s="27">
        <f>IF(OR(C89="",I89="",K89=""),"",IFERROR(I89*(1+IF(ISNUMBER(K89),K89,VALUE(SUBSTITUTE(K89,"%",""))/100)),0))</f>
        <v/>
      </c>
      <c r="M89" s="21" t="n"/>
      <c r="N89" s="12" t="n"/>
      <c r="O89" s="12" t="n"/>
    </row>
    <row r="90" ht="22" customHeight="1">
      <c r="B90" s="18">
        <f>IF(C90="","HS-"&amp;TEXT(COUNTA($C$5:C90),"000"))</f>
        <v/>
      </c>
      <c r="C90" s="15" t="n"/>
      <c r="D90" s="15" t="n"/>
      <c r="E90" s="15" t="n"/>
      <c r="F90" s="34" t="n"/>
      <c r="G90" s="15" t="n"/>
      <c r="H90" s="15" t="n"/>
      <c r="I90" s="17" t="n"/>
      <c r="J90" s="15" t="n"/>
      <c r="K90" s="15" t="n"/>
      <c r="L90" s="28">
        <f>IF(OR(C90="",I90="",K90=""),"",IFERROR(I90*(1+IF(ISNUMBER(K90),K90,VALUE(SUBSTITUTE(K90,"%",""))/100)),0))</f>
        <v/>
      </c>
      <c r="M90" s="23" t="n"/>
      <c r="N90" s="15" t="n"/>
      <c r="O90" s="15" t="n"/>
    </row>
    <row r="91" ht="22" customHeight="1">
      <c r="B91" s="19">
        <f>IF(C91="","HS-"&amp;TEXT(COUNTA($C$5:C91),"000"))</f>
        <v/>
      </c>
      <c r="C91" s="12" t="n"/>
      <c r="D91" s="12" t="n"/>
      <c r="E91" s="12" t="n"/>
      <c r="F91" s="33" t="n"/>
      <c r="G91" s="12" t="n"/>
      <c r="H91" s="12" t="n"/>
      <c r="I91" s="14" t="n"/>
      <c r="J91" s="12" t="n"/>
      <c r="K91" s="12" t="n"/>
      <c r="L91" s="27">
        <f>IF(OR(C91="",I91="",K91=""),"",IFERROR(I91*(1+IF(ISNUMBER(K91),K91,VALUE(SUBSTITUTE(K91,"%",""))/100)),0))</f>
        <v/>
      </c>
      <c r="M91" s="21" t="n"/>
      <c r="N91" s="12" t="n"/>
      <c r="O91" s="12" t="n"/>
    </row>
    <row r="92" ht="22" customHeight="1">
      <c r="B92" s="18">
        <f>IF(C92="","HS-"&amp;TEXT(COUNTA($C$5:C92),"000"))</f>
        <v/>
      </c>
      <c r="C92" s="15" t="n"/>
      <c r="D92" s="15" t="n"/>
      <c r="E92" s="15" t="n"/>
      <c r="F92" s="34" t="n"/>
      <c r="G92" s="15" t="n"/>
      <c r="H92" s="15" t="n"/>
      <c r="I92" s="17" t="n"/>
      <c r="J92" s="15" t="n"/>
      <c r="K92" s="15" t="n"/>
      <c r="L92" s="28">
        <f>IF(OR(C92="",I92="",K92=""),"",IFERROR(I92*(1+IF(ISNUMBER(K92),K92,VALUE(SUBSTITUTE(K92,"%",""))/100)),0))</f>
        <v/>
      </c>
      <c r="M92" s="23" t="n"/>
      <c r="N92" s="15" t="n"/>
      <c r="O92" s="15" t="n"/>
    </row>
    <row r="93" ht="22" customHeight="1">
      <c r="B93" s="19">
        <f>IF(C93="","HS-"&amp;TEXT(COUNTA($C$5:C93),"000"))</f>
        <v/>
      </c>
      <c r="C93" s="12" t="n"/>
      <c r="D93" s="12" t="n"/>
      <c r="E93" s="12" t="n"/>
      <c r="F93" s="33" t="n"/>
      <c r="G93" s="12" t="n"/>
      <c r="H93" s="12" t="n"/>
      <c r="I93" s="14" t="n"/>
      <c r="J93" s="12" t="n"/>
      <c r="K93" s="12" t="n"/>
      <c r="L93" s="27">
        <f>IF(OR(C93="",I93="",K93=""),"",IFERROR(I93*(1+IF(ISNUMBER(K93),K93,VALUE(SUBSTITUTE(K93,"%",""))/100)),0))</f>
        <v/>
      </c>
      <c r="M93" s="21" t="n"/>
      <c r="N93" s="12" t="n"/>
      <c r="O93" s="12" t="n"/>
    </row>
    <row r="94" ht="22" customHeight="1">
      <c r="B94" s="18">
        <f>IF(C94="","HS-"&amp;TEXT(COUNTA($C$5:C94),"000"))</f>
        <v/>
      </c>
      <c r="C94" s="15" t="n"/>
      <c r="D94" s="15" t="n"/>
      <c r="E94" s="15" t="n"/>
      <c r="F94" s="34" t="n"/>
      <c r="G94" s="15" t="n"/>
      <c r="H94" s="15" t="n"/>
      <c r="I94" s="17" t="n"/>
      <c r="J94" s="15" t="n"/>
      <c r="K94" s="15" t="n"/>
      <c r="L94" s="28">
        <f>IF(OR(C94="",I94="",K94=""),"",IFERROR(I94*(1+IF(ISNUMBER(K94),K94,VALUE(SUBSTITUTE(K94,"%",""))/100)),0))</f>
        <v/>
      </c>
      <c r="M94" s="23" t="n"/>
      <c r="N94" s="15" t="n"/>
      <c r="O94" s="15" t="n"/>
    </row>
    <row r="95" ht="22" customHeight="1">
      <c r="B95" s="19">
        <f>IF(C95="","HS-"&amp;TEXT(COUNTA($C$5:C95),"000"))</f>
        <v/>
      </c>
      <c r="C95" s="12" t="n"/>
      <c r="D95" s="12" t="n"/>
      <c r="E95" s="12" t="n"/>
      <c r="F95" s="33" t="n"/>
      <c r="G95" s="12" t="n"/>
      <c r="H95" s="12" t="n"/>
      <c r="I95" s="14" t="n"/>
      <c r="J95" s="12" t="n"/>
      <c r="K95" s="12" t="n"/>
      <c r="L95" s="27">
        <f>IF(OR(C95="",I95="",K95=""),"",IFERROR(I95*(1+IF(ISNUMBER(K95),K95,VALUE(SUBSTITUTE(K95,"%",""))/100)),0))</f>
        <v/>
      </c>
      <c r="M95" s="21" t="n"/>
      <c r="N95" s="12" t="n"/>
      <c r="O95" s="12" t="n"/>
    </row>
    <row r="96" ht="22" customHeight="1">
      <c r="B96" s="18">
        <f>IF(C96="","HS-"&amp;TEXT(COUNTA($C$5:C96),"000"))</f>
        <v/>
      </c>
      <c r="C96" s="15" t="n"/>
      <c r="D96" s="15" t="n"/>
      <c r="E96" s="15" t="n"/>
      <c r="F96" s="34" t="n"/>
      <c r="G96" s="15" t="n"/>
      <c r="H96" s="15" t="n"/>
      <c r="I96" s="17" t="n"/>
      <c r="J96" s="15" t="n"/>
      <c r="K96" s="15" t="n"/>
      <c r="L96" s="28">
        <f>IF(OR(C96="",I96="",K96=""),"",IFERROR(I96*(1+IF(ISNUMBER(K96),K96,VALUE(SUBSTITUTE(K96,"%",""))/100)),0))</f>
        <v/>
      </c>
      <c r="M96" s="23" t="n"/>
      <c r="N96" s="15" t="n"/>
      <c r="O96" s="15" t="n"/>
    </row>
    <row r="97" ht="22" customHeight="1">
      <c r="B97" s="19">
        <f>IF(C97="","HS-"&amp;TEXT(COUNTA($C$5:C97),"000"))</f>
        <v/>
      </c>
      <c r="C97" s="12" t="n"/>
      <c r="D97" s="12" t="n"/>
      <c r="E97" s="12" t="n"/>
      <c r="F97" s="33" t="n"/>
      <c r="G97" s="12" t="n"/>
      <c r="H97" s="12" t="n"/>
      <c r="I97" s="14" t="n"/>
      <c r="J97" s="12" t="n"/>
      <c r="K97" s="12" t="n"/>
      <c r="L97" s="27">
        <f>IF(OR(C97="",I97="",K97=""),"",IFERROR(I97*(1+IF(ISNUMBER(K97),K97,VALUE(SUBSTITUTE(K97,"%",""))/100)),0))</f>
        <v/>
      </c>
      <c r="M97" s="21" t="n"/>
      <c r="N97" s="12" t="n"/>
      <c r="O97" s="12" t="n"/>
    </row>
    <row r="98" ht="22" customHeight="1">
      <c r="B98" s="18">
        <f>IF(C98="","HS-"&amp;TEXT(COUNTA($C$5:C98),"000"))</f>
        <v/>
      </c>
      <c r="C98" s="15" t="n"/>
      <c r="D98" s="15" t="n"/>
      <c r="E98" s="15" t="n"/>
      <c r="F98" s="34" t="n"/>
      <c r="G98" s="15" t="n"/>
      <c r="H98" s="15" t="n"/>
      <c r="I98" s="17" t="n"/>
      <c r="J98" s="15" t="n"/>
      <c r="K98" s="15" t="n"/>
      <c r="L98" s="28">
        <f>IF(OR(C98="",I98="",K98=""),"",IFERROR(I98*(1+IF(ISNUMBER(K98),K98,VALUE(SUBSTITUTE(K98,"%",""))/100)),0))</f>
        <v/>
      </c>
      <c r="M98" s="23" t="n"/>
      <c r="N98" s="15" t="n"/>
      <c r="O98" s="15" t="n"/>
    </row>
    <row r="99" ht="22" customHeight="1">
      <c r="B99" s="19">
        <f>IF(C99="","HS-"&amp;TEXT(COUNTA($C$5:C99),"000"))</f>
        <v/>
      </c>
      <c r="C99" s="12" t="n"/>
      <c r="D99" s="12" t="n"/>
      <c r="E99" s="12" t="n"/>
      <c r="F99" s="33" t="n"/>
      <c r="G99" s="12" t="n"/>
      <c r="H99" s="12" t="n"/>
      <c r="I99" s="14" t="n"/>
      <c r="J99" s="12" t="n"/>
      <c r="K99" s="12" t="n"/>
      <c r="L99" s="27">
        <f>IF(OR(C99="",I99="",K99=""),"",IFERROR(I99*(1+IF(ISNUMBER(K99),K99,VALUE(SUBSTITUTE(K99,"%",""))/100)),0))</f>
        <v/>
      </c>
      <c r="M99" s="21" t="n"/>
      <c r="N99" s="12" t="n"/>
      <c r="O99" s="12" t="n"/>
    </row>
    <row r="100" ht="22" customHeight="1">
      <c r="B100" s="18">
        <f>IF(C100="","HS-"&amp;TEXT(COUNTA($C$5:C100),"000"))</f>
        <v/>
      </c>
      <c r="C100" s="15" t="n"/>
      <c r="D100" s="15" t="n"/>
      <c r="E100" s="15" t="n"/>
      <c r="F100" s="34" t="n"/>
      <c r="G100" s="15" t="n"/>
      <c r="H100" s="15" t="n"/>
      <c r="I100" s="17" t="n"/>
      <c r="J100" s="15" t="n"/>
      <c r="K100" s="15" t="n"/>
      <c r="L100" s="28">
        <f>IF(OR(C100="",I100="",K100=""),"",IFERROR(I100*(1+IF(ISNUMBER(K100),K100,VALUE(SUBSTITUTE(K100,"%",""))/100)),0))</f>
        <v/>
      </c>
      <c r="M100" s="23" t="n"/>
      <c r="N100" s="15" t="n"/>
      <c r="O100" s="15" t="n"/>
    </row>
    <row r="101" ht="22" customHeight="1">
      <c r="B101" s="19">
        <f>IF(C101="","HS-"&amp;TEXT(COUNTA($C$5:C101),"000"))</f>
        <v/>
      </c>
      <c r="C101" s="12" t="n"/>
      <c r="D101" s="12" t="n"/>
      <c r="E101" s="12" t="n"/>
      <c r="F101" s="33" t="n"/>
      <c r="G101" s="12" t="n"/>
      <c r="H101" s="12" t="n"/>
      <c r="I101" s="14" t="n"/>
      <c r="J101" s="12" t="n"/>
      <c r="K101" s="12" t="n"/>
      <c r="L101" s="27">
        <f>IF(OR(C101="",I101="",K101=""),"",IFERROR(I101*(1+IF(ISNUMBER(K101),K101,VALUE(SUBSTITUTE(K101,"%",""))/100)),0))</f>
        <v/>
      </c>
      <c r="M101" s="21" t="n"/>
      <c r="N101" s="12" t="n"/>
      <c r="O101" s="12" t="n"/>
    </row>
    <row r="102" ht="22" customHeight="1">
      <c r="B102" s="18">
        <f>IF(C102="","HS-"&amp;TEXT(COUNTA($C$5:C102),"000"))</f>
        <v/>
      </c>
      <c r="C102" s="15" t="n"/>
      <c r="D102" s="15" t="n"/>
      <c r="E102" s="15" t="n"/>
      <c r="F102" s="34" t="n"/>
      <c r="G102" s="15" t="n"/>
      <c r="H102" s="15" t="n"/>
      <c r="I102" s="17" t="n"/>
      <c r="J102" s="15" t="n"/>
      <c r="K102" s="15" t="n"/>
      <c r="L102" s="28">
        <f>IF(OR(C102="",I102="",K102=""),"",IFERROR(I102*(1+IF(ISNUMBER(K102),K102,VALUE(SUBSTITUTE(K102,"%",""))/100)),0))</f>
        <v/>
      </c>
      <c r="M102" s="23" t="n"/>
      <c r="N102" s="15" t="n"/>
      <c r="O102" s="15" t="n"/>
    </row>
    <row r="103" ht="22" customHeight="1">
      <c r="B103" s="19">
        <f>IF(C103="","HS-"&amp;TEXT(COUNTA($C$5:C103),"000"))</f>
        <v/>
      </c>
      <c r="C103" s="12" t="n"/>
      <c r="D103" s="12" t="n"/>
      <c r="E103" s="12" t="n"/>
      <c r="F103" s="33" t="n"/>
      <c r="G103" s="12" t="n"/>
      <c r="H103" s="12" t="n"/>
      <c r="I103" s="14" t="n"/>
      <c r="J103" s="12" t="n"/>
      <c r="K103" s="12" t="n"/>
      <c r="L103" s="27">
        <f>IF(OR(C103="",I103="",K103=""),"",IFERROR(I103*(1+IF(ISNUMBER(K103),K103,VALUE(SUBSTITUTE(K103,"%",""))/100)),0))</f>
        <v/>
      </c>
      <c r="M103" s="21" t="n"/>
      <c r="N103" s="12" t="n"/>
      <c r="O103" s="12" t="n"/>
    </row>
    <row r="104" ht="22" customHeight="1">
      <c r="B104" s="18">
        <f>IF(C104="","HS-"&amp;TEXT(COUNTA($C$5:C104),"000"))</f>
        <v/>
      </c>
      <c r="C104" s="15" t="n"/>
      <c r="D104" s="15" t="n"/>
      <c r="E104" s="15" t="n"/>
      <c r="F104" s="34" t="n"/>
      <c r="G104" s="15" t="n"/>
      <c r="H104" s="15" t="n"/>
      <c r="I104" s="17" t="n"/>
      <c r="J104" s="15" t="n"/>
      <c r="K104" s="15" t="n"/>
      <c r="L104" s="28">
        <f>IF(OR(C104="",I104="",K104=""),"",IFERROR(I104*(1+IF(ISNUMBER(K104),K104,VALUE(SUBSTITUTE(K104,"%",""))/100)),0))</f>
        <v/>
      </c>
      <c r="M104" s="23" t="n"/>
      <c r="N104" s="15" t="n"/>
      <c r="O104" s="15" t="n"/>
    </row>
    <row r="105" ht="22" customHeight="1">
      <c r="B105" s="19">
        <f>IF(C105="","HS-"&amp;TEXT(COUNTA($C$5:C105),"000"))</f>
        <v/>
      </c>
      <c r="C105" s="12" t="n"/>
      <c r="D105" s="12" t="n"/>
      <c r="E105" s="12" t="n"/>
      <c r="F105" s="33" t="n"/>
      <c r="G105" s="12" t="n"/>
      <c r="H105" s="12" t="n"/>
      <c r="I105" s="14" t="n"/>
      <c r="J105" s="12" t="n"/>
      <c r="K105" s="12" t="n"/>
      <c r="L105" s="27" t="n"/>
      <c r="M105" s="21" t="n"/>
      <c r="N105" s="12" t="n"/>
      <c r="O105" s="12" t="n"/>
    </row>
    <row r="106" ht="22" customHeight="1">
      <c r="B106" s="18">
        <f>IF(C106="","HS-"&amp;TEXT(COUNTA($C$5:C106),"000"))</f>
        <v/>
      </c>
      <c r="C106" s="15" t="n"/>
      <c r="D106" s="15" t="n"/>
      <c r="E106" s="15" t="n"/>
      <c r="F106" s="34" t="n"/>
      <c r="G106" s="15" t="n"/>
      <c r="H106" s="15" t="n"/>
      <c r="I106" s="17" t="n"/>
      <c r="J106" s="15" t="n"/>
      <c r="K106" s="15" t="n"/>
      <c r="L106" s="28" t="n"/>
      <c r="M106" s="23" t="n"/>
      <c r="N106" s="15" t="n"/>
      <c r="O106" s="15" t="n"/>
    </row>
    <row r="107" ht="22" customHeight="1">
      <c r="B107" s="19">
        <f>IF(C107="","HS-"&amp;TEXT(COUNTA($C$5:C107),"000"))</f>
        <v/>
      </c>
      <c r="C107" s="12" t="n"/>
      <c r="D107" s="12" t="n"/>
      <c r="E107" s="12" t="n"/>
      <c r="F107" s="33" t="n"/>
      <c r="G107" s="12" t="n"/>
      <c r="H107" s="12" t="n"/>
      <c r="I107" s="14" t="n"/>
      <c r="J107" s="12" t="n"/>
      <c r="K107" s="12" t="n"/>
      <c r="L107" s="27" t="n"/>
      <c r="M107" s="21" t="n"/>
      <c r="N107" s="12" t="n"/>
      <c r="O107" s="12" t="n"/>
    </row>
    <row r="108" ht="22" customHeight="1">
      <c r="B108" s="18">
        <f>IF(C108="","HS-"&amp;TEXT(COUNTA($C$5:C108),"000"))</f>
        <v/>
      </c>
      <c r="C108" s="15" t="n"/>
      <c r="D108" s="15" t="n"/>
      <c r="E108" s="15" t="n"/>
      <c r="F108" s="34" t="n"/>
      <c r="G108" s="15" t="n"/>
      <c r="H108" s="15" t="n"/>
      <c r="I108" s="17" t="n"/>
      <c r="J108" s="15" t="n"/>
      <c r="K108" s="15" t="n"/>
      <c r="L108" s="28" t="n"/>
      <c r="M108" s="23" t="n"/>
      <c r="N108" s="15" t="n"/>
      <c r="O108" s="15" t="n"/>
    </row>
    <row r="109" ht="22" customHeight="1">
      <c r="B109" s="19">
        <f>IF(C109="","HS-"&amp;TEXT(COUNTA($C$5:C109),"000"))</f>
        <v/>
      </c>
      <c r="C109" s="12" t="n"/>
      <c r="D109" s="12" t="n"/>
      <c r="E109" s="12" t="n"/>
      <c r="F109" s="33" t="n"/>
      <c r="G109" s="12" t="n"/>
      <c r="H109" s="12" t="n"/>
      <c r="I109" s="14" t="n"/>
      <c r="J109" s="12" t="n"/>
      <c r="K109" s="12" t="n"/>
      <c r="L109" s="27" t="n"/>
      <c r="M109" s="21" t="n"/>
      <c r="N109" s="12" t="n"/>
      <c r="O109" s="12" t="n"/>
    </row>
    <row r="110"/>
    <row r="111" ht="26" customHeight="1">
      <c r="B111" s="24" t="inlineStr">
        <is>
          <t>TOTAL</t>
        </is>
      </c>
      <c r="C111" s="25" t="n"/>
      <c r="D111" s="25" t="n"/>
      <c r="E111" s="25" t="n"/>
      <c r="F111" s="25" t="n"/>
      <c r="G111" s="25" t="n"/>
      <c r="H111" s="25" t="n"/>
      <c r="I111" s="26">
        <f>SUM(I5:I104)</f>
        <v/>
      </c>
      <c r="J111" s="25" t="n"/>
      <c r="K111" s="25" t="n"/>
      <c r="L111" s="26">
        <f>SUM(L5:L104)</f>
        <v/>
      </c>
      <c r="M111" s="26">
        <f>SUM(M5:M104)</f>
        <v/>
      </c>
      <c r="N111" s="25" t="n"/>
      <c r="O111" s="25" t="n"/>
    </row>
    <row r="112"/>
    <row r="113">
      <c r="B113" s="6" t="inlineStr">
        <is>
          <t>INDICATEURS (mis a jour automatiquement)</t>
        </is>
      </c>
    </row>
    <row r="114">
      <c r="B114" s="3" t="inlineStr">
        <is>
          <t>Total demandes HS</t>
        </is>
      </c>
      <c r="D114" s="3" t="inlineStr">
        <is>
          <t>Total heures supp</t>
        </is>
      </c>
      <c r="F114" s="3" t="inlineStr">
        <is>
          <t>Heures bonifiees</t>
        </is>
      </c>
      <c r="H114" s="3" t="inlineStr">
        <is>
          <t>Cout total HS (FCFA)</t>
        </is>
      </c>
    </row>
    <row r="115">
      <c r="B115" s="4">
        <f>COUNTIF(B5:B104,"&lt;&gt;")</f>
        <v/>
      </c>
      <c r="D115" s="4">
        <f>SUM(I5:I104)</f>
        <v/>
      </c>
      <c r="F115" s="4">
        <f>SUM(L5:L104)</f>
        <v/>
      </c>
      <c r="H115" s="4">
        <f>SUM(M5:M104)</f>
        <v/>
      </c>
    </row>
  </sheetData>
  <mergeCells count="3">
    <mergeCell ref="B3:O3"/>
    <mergeCell ref="B2:O2"/>
    <mergeCell ref="B113:O113"/>
  </mergeCells>
  <conditionalFormatting sqref="N5:N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conditionalFormatting sqref="N10:N109">
    <cfRule type="expression" priority="60" dxfId="3">
      <formula>AND($C10="",$C9&lt;&gt;"")</formula>
    </cfRule>
  </conditionalFormatting>
  <conditionalFormatting sqref="O10:O109">
    <cfRule type="expression" priority="61" dxfId="3">
      <formula>AND($C10="",$C9&lt;&gt;"")</formula>
    </cfRule>
  </conditionalFormatting>
  <dataValidations count="4">
    <dataValidation sqref="E5:E109" showDropDown="0" showInputMessage="0" showErrorMessage="0" allowBlank="1" errorTitle="Erreur" error="Valeur invalide" promptTitle="Liste" prompt="Choisir dans la liste" type="list">
      <formula1>'_Lists'!$B$2:$B$14</formula1>
    </dataValidation>
    <dataValidation sqref="J5:J109" showDropDown="0" showInputMessage="0" showErrorMessage="0" allowBlank="1" errorTitle="Erreur" error="Valeur invalide" promptTitle="Liste" prompt="Choisir dans la liste" type="list">
      <formula1>'_Lists'!$L$2:$L$6</formula1>
    </dataValidation>
    <dataValidation sqref="K5:K109" showDropDown="0" showInputMessage="0" showErrorMessage="0" allowBlank="1" errorTitle="Erreur" error="Valeur invalide" promptTitle="Liste" prompt="Choisir dans la liste" type="list">
      <formula1>'_Lists'!$M$2:$M$6</formula1>
    </dataValidation>
    <dataValidation sqref="N5:N109"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16" customWidth="1" min="3" max="3"/>
    <col width="20" customWidth="1" min="4" max="4"/>
    <col width="18" customWidth="1" min="5" max="5"/>
    <col width="20" customWidth="1" min="6" max="6"/>
    <col width="14" customWidth="1" min="7" max="7"/>
    <col width="12" customWidth="1" min="8" max="8"/>
    <col width="14" customWidth="1" min="9" max="9"/>
    <col width="12" customWidth="1" min="10" max="10"/>
    <col width="16" customWidth="1" min="11" max="11"/>
    <col width="14" customWidth="1" min="12" max="12"/>
    <col width="14" customWidth="1" min="13" max="13"/>
  </cols>
  <sheetData>
    <row r="1" ht="15" customHeight="1"/>
    <row r="2" ht="32" customHeight="1">
      <c r="B2" s="1" t="inlineStr">
        <is>
          <t>HEURES DE NUIT — SUIVI (22h-06h)</t>
        </is>
      </c>
    </row>
    <row r="3" ht="8" customHeight="1">
      <c r="B3" s="2" t="inlineStr">
        <is>
          <t>TABLEAU DYNAMIQUE — Saisissez dans la prochaine ligne jaune. Les calculs se mettent a jour automatiquement.</t>
        </is>
      </c>
    </row>
    <row r="4" ht="28" customHeight="1">
      <c r="B4" s="11" t="inlineStr">
        <is>
          <t>N° Nuit</t>
        </is>
      </c>
      <c r="C4" s="11" t="inlineStr">
        <is>
          <t>Matricule</t>
        </is>
      </c>
      <c r="D4" s="11" t="inlineStr">
        <is>
          <t>Nom Employe</t>
        </is>
      </c>
      <c r="E4" s="11" t="inlineStr">
        <is>
          <t>Departement</t>
        </is>
      </c>
      <c r="F4" s="11" t="inlineStr">
        <is>
          <t>Poste</t>
        </is>
      </c>
      <c r="G4" s="11" t="inlineStr">
        <is>
          <t>Date Debut</t>
        </is>
      </c>
      <c r="H4" s="11" t="inlineStr">
        <is>
          <t>Date Fin</t>
        </is>
      </c>
      <c r="I4" s="11" t="inlineStr">
        <is>
          <t>Heure Debut</t>
        </is>
      </c>
      <c r="J4" s="11" t="inlineStr">
        <is>
          <t>Heure Fin</t>
        </is>
      </c>
      <c r="K4" s="11" t="inlineStr">
        <is>
          <t>Nb Heures Nuit</t>
        </is>
      </c>
      <c r="L4" s="11" t="inlineStr">
        <is>
          <t>Periode Nuit</t>
        </is>
      </c>
      <c r="M4" s="11" t="inlineStr">
        <is>
          <t>Statut</t>
        </is>
      </c>
    </row>
    <row r="5" ht="22" customHeight="1">
      <c r="B5" s="12" t="inlineStr">
        <is>
          <t>NI-001</t>
        </is>
      </c>
      <c r="C5" s="12" t="inlineStr">
        <is>
          <t>EMP-029</t>
        </is>
      </c>
      <c r="D5" s="12">
        <f>IF(C5="","",IFERROR(VLOOKUP(C5,'_Données Employés'!$B$5:$H$18,3,FALSE)&amp;" "&amp;VLOOKUP(C5,'_Données Employés'!$B$5:$H$18,4,FALSE),""))</f>
        <v/>
      </c>
      <c r="E5" s="12">
        <f>IF(C5="","",IFERROR(VLOOKUP(C5,'_Données Employés'!$B$5:$H$18,5,FALSE),""))</f>
        <v/>
      </c>
      <c r="F5" s="12">
        <f>IF(C5="","",IFERROR(VLOOKUP(C5,'_Données Employés'!$B$5:$H$18,6,FALSE),""))</f>
        <v/>
      </c>
      <c r="G5" s="33" t="n">
        <v>45809</v>
      </c>
      <c r="H5" s="33" t="n">
        <v>45810</v>
      </c>
      <c r="I5" s="12" t="inlineStr">
        <is>
          <t>22h00</t>
        </is>
      </c>
      <c r="J5" s="12" t="inlineStr">
        <is>
          <t>06h00</t>
        </is>
      </c>
      <c r="K5" s="14" t="n">
        <v>8</v>
      </c>
      <c r="L5" s="12" t="inlineStr">
        <is>
          <t>22h-06h</t>
        </is>
      </c>
      <c r="M5" s="12" t="inlineStr">
        <is>
          <t>Effectuee</t>
        </is>
      </c>
    </row>
    <row r="6" ht="22" customHeight="1">
      <c r="B6" s="15" t="inlineStr">
        <is>
          <t>NI-002</t>
        </is>
      </c>
      <c r="C6" s="15" t="inlineStr">
        <is>
          <t>EMP-028</t>
        </is>
      </c>
      <c r="D6" s="15">
        <f>IF(C6="","",IFERROR(VLOOKUP(C6,'_Données Employés'!$B$5:$H$18,3,FALSE)&amp;" "&amp;VLOOKUP(C6,'_Données Employés'!$B$5:$H$18,4,FALSE),""))</f>
        <v/>
      </c>
      <c r="E6" s="15">
        <f>IF(C6="","",IFERROR(VLOOKUP(C6,'_Données Employés'!$B$5:$H$18,5,FALSE),""))</f>
        <v/>
      </c>
      <c r="F6" s="15">
        <f>IF(C6="","",IFERROR(VLOOKUP(C6,'_Données Employés'!$B$5:$H$18,6,FALSE),""))</f>
        <v/>
      </c>
      <c r="G6" s="34" t="n">
        <v>45810</v>
      </c>
      <c r="H6" s="34" t="n">
        <v>45811</v>
      </c>
      <c r="I6" s="15" t="inlineStr">
        <is>
          <t>22h00</t>
        </is>
      </c>
      <c r="J6" s="15" t="inlineStr">
        <is>
          <t>06h00</t>
        </is>
      </c>
      <c r="K6" s="17" t="n">
        <v>8</v>
      </c>
      <c r="L6" s="15" t="inlineStr">
        <is>
          <t>22h-06h</t>
        </is>
      </c>
      <c r="M6" s="15" t="inlineStr">
        <is>
          <t>Effectuee</t>
        </is>
      </c>
    </row>
    <row r="7" ht="22" customHeight="1">
      <c r="B7" s="12" t="inlineStr">
        <is>
          <t>NI-003</t>
        </is>
      </c>
      <c r="C7" s="12" t="inlineStr">
        <is>
          <t>EMP-002</t>
        </is>
      </c>
      <c r="D7" s="12">
        <f>IF(C7="","",IFERROR(VLOOKUP(C7,'_Données Employés'!$B$5:$H$18,3,FALSE)&amp;" "&amp;VLOOKUP(C7,'_Données Employés'!$B$5:$H$18,4,FALSE),""))</f>
        <v/>
      </c>
      <c r="E7" s="12">
        <f>IF(C7="","",IFERROR(VLOOKUP(C7,'_Données Employés'!$B$5:$H$18,5,FALSE),""))</f>
        <v/>
      </c>
      <c r="F7" s="12">
        <f>IF(C7="","",IFERROR(VLOOKUP(C7,'_Données Employés'!$B$5:$H$18,6,FALSE),""))</f>
        <v/>
      </c>
      <c r="G7" s="33" t="n">
        <v>45815</v>
      </c>
      <c r="H7" s="33" t="n">
        <v>45816</v>
      </c>
      <c r="I7" s="12" t="inlineStr">
        <is>
          <t>22h00</t>
        </is>
      </c>
      <c r="J7" s="12" t="inlineStr">
        <is>
          <t>02h00</t>
        </is>
      </c>
      <c r="K7" s="14" t="n">
        <v>4</v>
      </c>
      <c r="L7" s="12" t="inlineStr">
        <is>
          <t>22h-06h</t>
        </is>
      </c>
      <c r="M7" s="12" t="inlineStr">
        <is>
          <t>Effectuee</t>
        </is>
      </c>
    </row>
    <row r="8" ht="22" customHeight="1">
      <c r="B8" s="15" t="inlineStr">
        <is>
          <t>NI-004</t>
        </is>
      </c>
      <c r="C8" s="15" t="inlineStr">
        <is>
          <t>EMP-004</t>
        </is>
      </c>
      <c r="D8" s="15">
        <f>IF(C8="","",IFERROR(VLOOKUP(C8,'_Données Employés'!$B$5:$H$18,3,FALSE)&amp;" "&amp;VLOOKUP(C8,'_Données Employés'!$B$5:$H$18,4,FALSE),""))</f>
        <v/>
      </c>
      <c r="E8" s="15">
        <f>IF(C8="","",IFERROR(VLOOKUP(C8,'_Données Employés'!$B$5:$H$18,5,FALSE),""))</f>
        <v/>
      </c>
      <c r="F8" s="15">
        <f>IF(C8="","",IFERROR(VLOOKUP(C8,'_Données Employés'!$B$5:$H$18,6,FALSE),""))</f>
        <v/>
      </c>
      <c r="G8" s="34" t="n">
        <v>45817</v>
      </c>
      <c r="H8" s="34" t="n">
        <v>45818</v>
      </c>
      <c r="I8" s="15" t="inlineStr">
        <is>
          <t>22h00</t>
        </is>
      </c>
      <c r="J8" s="15" t="inlineStr">
        <is>
          <t>06h00</t>
        </is>
      </c>
      <c r="K8" s="17" t="n">
        <v>8</v>
      </c>
      <c r="L8" s="15" t="inlineStr">
        <is>
          <t>22h-06h</t>
        </is>
      </c>
      <c r="M8" s="15" t="inlineStr">
        <is>
          <t>Effectuee</t>
        </is>
      </c>
    </row>
    <row r="9" ht="22" customHeight="1">
      <c r="B9" s="12" t="inlineStr">
        <is>
          <t>NI-005</t>
        </is>
      </c>
      <c r="C9" s="12" t="inlineStr">
        <is>
          <t>EMP-029</t>
        </is>
      </c>
      <c r="D9" s="12">
        <f>IF(C9="","",IFERROR(VLOOKUP(C9,'_Données Employés'!$B$5:$H$18,3,FALSE)&amp;" "&amp;VLOOKUP(C9,'_Données Employés'!$B$5:$H$18,4,FALSE),""))</f>
        <v/>
      </c>
      <c r="E9" s="12">
        <f>IF(C9="","",IFERROR(VLOOKUP(C9,'_Données Employés'!$B$5:$H$18,5,FALSE),""))</f>
        <v/>
      </c>
      <c r="F9" s="12">
        <f>IF(C9="","",IFERROR(VLOOKUP(C9,'_Données Employés'!$B$5:$H$18,6,FALSE),""))</f>
        <v/>
      </c>
      <c r="G9" s="33" t="n">
        <v>45816</v>
      </c>
      <c r="H9" s="33" t="n">
        <v>45817</v>
      </c>
      <c r="I9" s="12" t="inlineStr">
        <is>
          <t>22h00</t>
        </is>
      </c>
      <c r="J9" s="12" t="inlineStr">
        <is>
          <t>06h00</t>
        </is>
      </c>
      <c r="K9" s="14" t="n">
        <v>8</v>
      </c>
      <c r="L9" s="12" t="inlineStr">
        <is>
          <t>22h-06h</t>
        </is>
      </c>
      <c r="M9" s="12" t="inlineStr">
        <is>
          <t>Effectuee</t>
        </is>
      </c>
    </row>
    <row r="10" ht="22" customHeight="1">
      <c r="B10" s="18">
        <f>IF(C10="","NI-"&amp;TEXT(COUNTA($C$5:C10),"000"))</f>
        <v/>
      </c>
      <c r="C10" s="15" t="n"/>
      <c r="D10" s="15" t="n"/>
      <c r="E10" s="15" t="n"/>
      <c r="F10" s="15" t="n"/>
      <c r="G10" s="34" t="n"/>
      <c r="H10" s="34" t="n"/>
      <c r="I10" s="15" t="n"/>
      <c r="J10" s="15" t="n"/>
      <c r="K10" s="17" t="n"/>
      <c r="L10" s="15" t="n"/>
      <c r="M10" s="15" t="n"/>
    </row>
    <row r="11" ht="22" customHeight="1">
      <c r="B11" s="19">
        <f>IF(C11="","NI-"&amp;TEXT(COUNTA($C$5:C11),"000"))</f>
        <v/>
      </c>
      <c r="C11" s="12" t="n"/>
      <c r="D11" s="12" t="n"/>
      <c r="E11" s="12" t="n"/>
      <c r="F11" s="12" t="n"/>
      <c r="G11" s="33" t="n"/>
      <c r="H11" s="33" t="n"/>
      <c r="I11" s="12" t="n"/>
      <c r="J11" s="12" t="n"/>
      <c r="K11" s="14" t="n"/>
      <c r="L11" s="12" t="n"/>
      <c r="M11" s="12" t="n"/>
    </row>
    <row r="12" ht="22" customHeight="1">
      <c r="B12" s="18">
        <f>IF(C12="","NI-"&amp;TEXT(COUNTA($C$5:C12),"000"))</f>
        <v/>
      </c>
      <c r="C12" s="15" t="n"/>
      <c r="D12" s="15" t="n"/>
      <c r="E12" s="15" t="n"/>
      <c r="F12" s="15" t="n"/>
      <c r="G12" s="34" t="n"/>
      <c r="H12" s="34" t="n"/>
      <c r="I12" s="15" t="n"/>
      <c r="J12" s="15" t="n"/>
      <c r="K12" s="17" t="n"/>
      <c r="L12" s="15" t="n"/>
      <c r="M12" s="15" t="n"/>
    </row>
    <row r="13" ht="22" customHeight="1">
      <c r="B13" s="19">
        <f>IF(C13="","NI-"&amp;TEXT(COUNTA($C$5:C13),"000"))</f>
        <v/>
      </c>
      <c r="C13" s="12" t="n"/>
      <c r="D13" s="12" t="n"/>
      <c r="E13" s="12" t="n"/>
      <c r="F13" s="12" t="n"/>
      <c r="G13" s="33" t="n"/>
      <c r="H13" s="33" t="n"/>
      <c r="I13" s="12" t="n"/>
      <c r="J13" s="12" t="n"/>
      <c r="K13" s="14" t="n"/>
      <c r="L13" s="12" t="n"/>
      <c r="M13" s="12" t="n"/>
    </row>
    <row r="14" ht="22" customHeight="1">
      <c r="B14" s="18">
        <f>IF(C14="","NI-"&amp;TEXT(COUNTA($C$5:C14),"000"))</f>
        <v/>
      </c>
      <c r="C14" s="15" t="n"/>
      <c r="D14" s="15" t="n"/>
      <c r="E14" s="15" t="n"/>
      <c r="F14" s="15" t="n"/>
      <c r="G14" s="34" t="n"/>
      <c r="H14" s="34" t="n"/>
      <c r="I14" s="15" t="n"/>
      <c r="J14" s="15" t="n"/>
      <c r="K14" s="17" t="n"/>
      <c r="L14" s="15" t="n"/>
      <c r="M14" s="15" t="n"/>
    </row>
    <row r="15" ht="22" customHeight="1">
      <c r="B15" s="19">
        <f>IF(C15="","NI-"&amp;TEXT(COUNTA($C$5:C15),"000"))</f>
        <v/>
      </c>
      <c r="C15" s="12" t="n"/>
      <c r="D15" s="12" t="n"/>
      <c r="E15" s="12" t="n"/>
      <c r="F15" s="12" t="n"/>
      <c r="G15" s="33" t="n"/>
      <c r="H15" s="33" t="n"/>
      <c r="I15" s="12" t="n"/>
      <c r="J15" s="12" t="n"/>
      <c r="K15" s="14" t="n"/>
      <c r="L15" s="12" t="n"/>
      <c r="M15" s="12" t="n"/>
    </row>
    <row r="16" ht="22" customHeight="1">
      <c r="B16" s="18">
        <f>IF(C16="","NI-"&amp;TEXT(COUNTA($C$5:C16),"000"))</f>
        <v/>
      </c>
      <c r="C16" s="15" t="n"/>
      <c r="D16" s="15" t="n"/>
      <c r="E16" s="15" t="n"/>
      <c r="F16" s="15" t="n"/>
      <c r="G16" s="34" t="n"/>
      <c r="H16" s="34" t="n"/>
      <c r="I16" s="15" t="n"/>
      <c r="J16" s="15" t="n"/>
      <c r="K16" s="17" t="n"/>
      <c r="L16" s="15" t="n"/>
      <c r="M16" s="15" t="n"/>
    </row>
    <row r="17" ht="22" customHeight="1">
      <c r="B17" s="19">
        <f>IF(C17="","NI-"&amp;TEXT(COUNTA($C$5:C17),"000"))</f>
        <v/>
      </c>
      <c r="C17" s="12" t="n"/>
      <c r="D17" s="12" t="n"/>
      <c r="E17" s="12" t="n"/>
      <c r="F17" s="12" t="n"/>
      <c r="G17" s="33" t="n"/>
      <c r="H17" s="33" t="n"/>
      <c r="I17" s="12" t="n"/>
      <c r="J17" s="12" t="n"/>
      <c r="K17" s="14" t="n"/>
      <c r="L17" s="12" t="n"/>
      <c r="M17" s="12" t="n"/>
    </row>
    <row r="18" ht="22" customHeight="1">
      <c r="B18" s="18">
        <f>IF(C18="","NI-"&amp;TEXT(COUNTA($C$5:C18),"000"))</f>
        <v/>
      </c>
      <c r="C18" s="15" t="n"/>
      <c r="D18" s="15" t="n"/>
      <c r="E18" s="15" t="n"/>
      <c r="F18" s="15" t="n"/>
      <c r="G18" s="34" t="n"/>
      <c r="H18" s="34" t="n"/>
      <c r="I18" s="15" t="n"/>
      <c r="J18" s="15" t="n"/>
      <c r="K18" s="17" t="n"/>
      <c r="L18" s="15" t="n"/>
      <c r="M18" s="15" t="n"/>
    </row>
    <row r="19" ht="22" customHeight="1">
      <c r="B19" s="19">
        <f>IF(C19="","NI-"&amp;TEXT(COUNTA($C$5:C19),"000"))</f>
        <v/>
      </c>
      <c r="C19" s="12" t="n"/>
      <c r="D19" s="12" t="n"/>
      <c r="E19" s="12" t="n"/>
      <c r="F19" s="12" t="n"/>
      <c r="G19" s="33" t="n"/>
      <c r="H19" s="33" t="n"/>
      <c r="I19" s="12" t="n"/>
      <c r="J19" s="12" t="n"/>
      <c r="K19" s="14" t="n"/>
      <c r="L19" s="12" t="n"/>
      <c r="M19" s="12" t="n"/>
    </row>
    <row r="20" ht="22" customHeight="1">
      <c r="B20" s="18">
        <f>IF(C20="","NI-"&amp;TEXT(COUNTA($C$5:C20),"000"))</f>
        <v/>
      </c>
      <c r="C20" s="15" t="n"/>
      <c r="D20" s="15" t="n"/>
      <c r="E20" s="15" t="n"/>
      <c r="F20" s="15" t="n"/>
      <c r="G20" s="34" t="n"/>
      <c r="H20" s="34" t="n"/>
      <c r="I20" s="15" t="n"/>
      <c r="J20" s="15" t="n"/>
      <c r="K20" s="17" t="n"/>
      <c r="L20" s="15" t="n"/>
      <c r="M20" s="15" t="n"/>
    </row>
    <row r="21" ht="22" customHeight="1">
      <c r="B21" s="19">
        <f>IF(C21="","NI-"&amp;TEXT(COUNTA($C$5:C21),"000"))</f>
        <v/>
      </c>
      <c r="C21" s="12" t="n"/>
      <c r="D21" s="12" t="n"/>
      <c r="E21" s="12" t="n"/>
      <c r="F21" s="12" t="n"/>
      <c r="G21" s="33" t="n"/>
      <c r="H21" s="33" t="n"/>
      <c r="I21" s="12" t="n"/>
      <c r="J21" s="12" t="n"/>
      <c r="K21" s="14" t="n"/>
      <c r="L21" s="12" t="n"/>
      <c r="M21" s="12" t="n"/>
    </row>
    <row r="22" ht="22" customHeight="1">
      <c r="B22" s="18">
        <f>IF(C22="","NI-"&amp;TEXT(COUNTA($C$5:C22),"000"))</f>
        <v/>
      </c>
      <c r="C22" s="15" t="n"/>
      <c r="D22" s="15" t="n"/>
      <c r="E22" s="15" t="n"/>
      <c r="F22" s="15" t="n"/>
      <c r="G22" s="34" t="n"/>
      <c r="H22" s="34" t="n"/>
      <c r="I22" s="15" t="n"/>
      <c r="J22" s="15" t="n"/>
      <c r="K22" s="17" t="n"/>
      <c r="L22" s="15" t="n"/>
      <c r="M22" s="15" t="n"/>
    </row>
    <row r="23" ht="22" customHeight="1">
      <c r="B23" s="19">
        <f>IF(C23="","NI-"&amp;TEXT(COUNTA($C$5:C23),"000"))</f>
        <v/>
      </c>
      <c r="C23" s="12" t="n"/>
      <c r="D23" s="12" t="n"/>
      <c r="E23" s="12" t="n"/>
      <c r="F23" s="12" t="n"/>
      <c r="G23" s="33" t="n"/>
      <c r="H23" s="33" t="n"/>
      <c r="I23" s="12" t="n"/>
      <c r="J23" s="12" t="n"/>
      <c r="K23" s="14" t="n"/>
      <c r="L23" s="12" t="n"/>
      <c r="M23" s="12" t="n"/>
    </row>
    <row r="24" ht="22" customHeight="1">
      <c r="B24" s="18">
        <f>IF(C24="","NI-"&amp;TEXT(COUNTA($C$5:C24),"000"))</f>
        <v/>
      </c>
      <c r="C24" s="15" t="n"/>
      <c r="D24" s="15" t="n"/>
      <c r="E24" s="15" t="n"/>
      <c r="F24" s="15" t="n"/>
      <c r="G24" s="34" t="n"/>
      <c r="H24" s="34" t="n"/>
      <c r="I24" s="15" t="n"/>
      <c r="J24" s="15" t="n"/>
      <c r="K24" s="17" t="n"/>
      <c r="L24" s="15" t="n"/>
      <c r="M24" s="15" t="n"/>
    </row>
    <row r="25" ht="22" customHeight="1">
      <c r="B25" s="19">
        <f>IF(C25="","NI-"&amp;TEXT(COUNTA($C$5:C25),"000"))</f>
        <v/>
      </c>
      <c r="C25" s="12" t="n"/>
      <c r="D25" s="12" t="n"/>
      <c r="E25" s="12" t="n"/>
      <c r="F25" s="12" t="n"/>
      <c r="G25" s="33" t="n"/>
      <c r="H25" s="33" t="n"/>
      <c r="I25" s="12" t="n"/>
      <c r="J25" s="12" t="n"/>
      <c r="K25" s="14" t="n"/>
      <c r="L25" s="12" t="n"/>
      <c r="M25" s="12" t="n"/>
    </row>
    <row r="26" ht="22" customHeight="1">
      <c r="B26" s="18">
        <f>IF(C26="","NI-"&amp;TEXT(COUNTA($C$5:C26),"000"))</f>
        <v/>
      </c>
      <c r="C26" s="15" t="n"/>
      <c r="D26" s="15" t="n"/>
      <c r="E26" s="15" t="n"/>
      <c r="F26" s="15" t="n"/>
      <c r="G26" s="34" t="n"/>
      <c r="H26" s="34" t="n"/>
      <c r="I26" s="15" t="n"/>
      <c r="J26" s="15" t="n"/>
      <c r="K26" s="17" t="n"/>
      <c r="L26" s="15" t="n"/>
      <c r="M26" s="15" t="n"/>
    </row>
    <row r="27" ht="22" customHeight="1">
      <c r="B27" s="19">
        <f>IF(C27="","NI-"&amp;TEXT(COUNTA($C$5:C27),"000"))</f>
        <v/>
      </c>
      <c r="C27" s="12" t="n"/>
      <c r="D27" s="12" t="n"/>
      <c r="E27" s="12" t="n"/>
      <c r="F27" s="12" t="n"/>
      <c r="G27" s="33" t="n"/>
      <c r="H27" s="33" t="n"/>
      <c r="I27" s="12" t="n"/>
      <c r="J27" s="12" t="n"/>
      <c r="K27" s="14" t="n"/>
      <c r="L27" s="12" t="n"/>
      <c r="M27" s="12" t="n"/>
    </row>
    <row r="28" ht="22" customHeight="1">
      <c r="B28" s="18">
        <f>IF(C28="","NI-"&amp;TEXT(COUNTA($C$5:C28),"000"))</f>
        <v/>
      </c>
      <c r="C28" s="15" t="n"/>
      <c r="D28" s="15" t="n"/>
      <c r="E28" s="15" t="n"/>
      <c r="F28" s="15" t="n"/>
      <c r="G28" s="34" t="n"/>
      <c r="H28" s="34" t="n"/>
      <c r="I28" s="15" t="n"/>
      <c r="J28" s="15" t="n"/>
      <c r="K28" s="17" t="n"/>
      <c r="L28" s="15" t="n"/>
      <c r="M28" s="15" t="n"/>
    </row>
    <row r="29" ht="22" customHeight="1">
      <c r="B29" s="19">
        <f>IF(C29="","NI-"&amp;TEXT(COUNTA($C$5:C29),"000"))</f>
        <v/>
      </c>
      <c r="C29" s="12" t="n"/>
      <c r="D29" s="12" t="n"/>
      <c r="E29" s="12" t="n"/>
      <c r="F29" s="12" t="n"/>
      <c r="G29" s="33" t="n"/>
      <c r="H29" s="33" t="n"/>
      <c r="I29" s="12" t="n"/>
      <c r="J29" s="12" t="n"/>
      <c r="K29" s="14" t="n"/>
      <c r="L29" s="12" t="n"/>
      <c r="M29" s="12" t="n"/>
    </row>
    <row r="30" ht="22" customHeight="1">
      <c r="B30" s="18">
        <f>IF(C30="","NI-"&amp;TEXT(COUNTA($C$5:C30),"000"))</f>
        <v/>
      </c>
      <c r="C30" s="15" t="n"/>
      <c r="D30" s="15" t="n"/>
      <c r="E30" s="15" t="n"/>
      <c r="F30" s="15" t="n"/>
      <c r="G30" s="34" t="n"/>
      <c r="H30" s="34" t="n"/>
      <c r="I30" s="15" t="n"/>
      <c r="J30" s="15" t="n"/>
      <c r="K30" s="17" t="n"/>
      <c r="L30" s="15" t="n"/>
      <c r="M30" s="15" t="n"/>
    </row>
    <row r="31" ht="22" customHeight="1">
      <c r="B31" s="19">
        <f>IF(C31="","NI-"&amp;TEXT(COUNTA($C$5:C31),"000"))</f>
        <v/>
      </c>
      <c r="C31" s="12" t="n"/>
      <c r="D31" s="12" t="n"/>
      <c r="E31" s="12" t="n"/>
      <c r="F31" s="12" t="n"/>
      <c r="G31" s="33" t="n"/>
      <c r="H31" s="33" t="n"/>
      <c r="I31" s="12" t="n"/>
      <c r="J31" s="12" t="n"/>
      <c r="K31" s="14" t="n"/>
      <c r="L31" s="12" t="n"/>
      <c r="M31" s="12" t="n"/>
    </row>
    <row r="32" ht="22" customHeight="1">
      <c r="B32" s="18">
        <f>IF(C32="","NI-"&amp;TEXT(COUNTA($C$5:C32),"000"))</f>
        <v/>
      </c>
      <c r="C32" s="15" t="n"/>
      <c r="D32" s="15" t="n"/>
      <c r="E32" s="15" t="n"/>
      <c r="F32" s="15" t="n"/>
      <c r="G32" s="34" t="n"/>
      <c r="H32" s="34" t="n"/>
      <c r="I32" s="15" t="n"/>
      <c r="J32" s="15" t="n"/>
      <c r="K32" s="17" t="n"/>
      <c r="L32" s="15" t="n"/>
      <c r="M32" s="15" t="n"/>
    </row>
    <row r="33" ht="22" customHeight="1">
      <c r="B33" s="19">
        <f>IF(C33="","NI-"&amp;TEXT(COUNTA($C$5:C33),"000"))</f>
        <v/>
      </c>
      <c r="C33" s="12" t="n"/>
      <c r="D33" s="12" t="n"/>
      <c r="E33" s="12" t="n"/>
      <c r="F33" s="12" t="n"/>
      <c r="G33" s="33" t="n"/>
      <c r="H33" s="33" t="n"/>
      <c r="I33" s="12" t="n"/>
      <c r="J33" s="12" t="n"/>
      <c r="K33" s="14" t="n"/>
      <c r="L33" s="12" t="n"/>
      <c r="M33" s="12" t="n"/>
    </row>
    <row r="34" ht="22" customHeight="1">
      <c r="B34" s="18">
        <f>IF(C34="","NI-"&amp;TEXT(COUNTA($C$5:C34),"000"))</f>
        <v/>
      </c>
      <c r="C34" s="15" t="n"/>
      <c r="D34" s="15" t="n"/>
      <c r="E34" s="15" t="n"/>
      <c r="F34" s="15" t="n"/>
      <c r="G34" s="34" t="n"/>
      <c r="H34" s="34" t="n"/>
      <c r="I34" s="15" t="n"/>
      <c r="J34" s="15" t="n"/>
      <c r="K34" s="17" t="n"/>
      <c r="L34" s="15" t="n"/>
      <c r="M34" s="15" t="n"/>
    </row>
    <row r="35" ht="22" customHeight="1">
      <c r="B35" s="19">
        <f>IF(C35="","NI-"&amp;TEXT(COUNTA($C$5:C35),"000"))</f>
        <v/>
      </c>
      <c r="C35" s="12" t="n"/>
      <c r="D35" s="12" t="n"/>
      <c r="E35" s="12" t="n"/>
      <c r="F35" s="12" t="n"/>
      <c r="G35" s="33" t="n"/>
      <c r="H35" s="33" t="n"/>
      <c r="I35" s="12" t="n"/>
      <c r="J35" s="12" t="n"/>
      <c r="K35" s="14" t="n"/>
      <c r="L35" s="12" t="n"/>
      <c r="M35" s="12" t="n"/>
    </row>
    <row r="36" ht="22" customHeight="1">
      <c r="B36" s="18">
        <f>IF(C36="","NI-"&amp;TEXT(COUNTA($C$5:C36),"000"))</f>
        <v/>
      </c>
      <c r="C36" s="15" t="n"/>
      <c r="D36" s="15" t="n"/>
      <c r="E36" s="15" t="n"/>
      <c r="F36" s="15" t="n"/>
      <c r="G36" s="34" t="n"/>
      <c r="H36" s="34" t="n"/>
      <c r="I36" s="15" t="n"/>
      <c r="J36" s="15" t="n"/>
      <c r="K36" s="17" t="n"/>
      <c r="L36" s="15" t="n"/>
      <c r="M36" s="15" t="n"/>
    </row>
    <row r="37" ht="22" customHeight="1">
      <c r="B37" s="19">
        <f>IF(C37="","NI-"&amp;TEXT(COUNTA($C$5:C37),"000"))</f>
        <v/>
      </c>
      <c r="C37" s="12" t="n"/>
      <c r="D37" s="12" t="n"/>
      <c r="E37" s="12" t="n"/>
      <c r="F37" s="12" t="n"/>
      <c r="G37" s="33" t="n"/>
      <c r="H37" s="33" t="n"/>
      <c r="I37" s="12" t="n"/>
      <c r="J37" s="12" t="n"/>
      <c r="K37" s="14" t="n"/>
      <c r="L37" s="12" t="n"/>
      <c r="M37" s="12" t="n"/>
    </row>
    <row r="38" ht="22" customHeight="1">
      <c r="B38" s="18">
        <f>IF(C38="","NI-"&amp;TEXT(COUNTA($C$5:C38),"000"))</f>
        <v/>
      </c>
      <c r="C38" s="15" t="n"/>
      <c r="D38" s="15" t="n"/>
      <c r="E38" s="15" t="n"/>
      <c r="F38" s="15" t="n"/>
      <c r="G38" s="34" t="n"/>
      <c r="H38" s="34" t="n"/>
      <c r="I38" s="15" t="n"/>
      <c r="J38" s="15" t="n"/>
      <c r="K38" s="17" t="n"/>
      <c r="L38" s="15" t="n"/>
      <c r="M38" s="15" t="n"/>
    </row>
    <row r="39" ht="22" customHeight="1">
      <c r="B39" s="19">
        <f>IF(C39="","NI-"&amp;TEXT(COUNTA($C$5:C39),"000"))</f>
        <v/>
      </c>
      <c r="C39" s="12" t="n"/>
      <c r="D39" s="12" t="n"/>
      <c r="E39" s="12" t="n"/>
      <c r="F39" s="12" t="n"/>
      <c r="G39" s="33" t="n"/>
      <c r="H39" s="33" t="n"/>
      <c r="I39" s="12" t="n"/>
      <c r="J39" s="12" t="n"/>
      <c r="K39" s="14" t="n"/>
      <c r="L39" s="12" t="n"/>
      <c r="M39" s="12" t="n"/>
    </row>
    <row r="40" ht="22" customHeight="1">
      <c r="B40" s="18">
        <f>IF(C40="","NI-"&amp;TEXT(COUNTA($C$5:C40),"000"))</f>
        <v/>
      </c>
      <c r="C40" s="15" t="n"/>
      <c r="D40" s="15" t="n"/>
      <c r="E40" s="15" t="n"/>
      <c r="F40" s="15" t="n"/>
      <c r="G40" s="34" t="n"/>
      <c r="H40" s="34" t="n"/>
      <c r="I40" s="15" t="n"/>
      <c r="J40" s="15" t="n"/>
      <c r="K40" s="17" t="n"/>
      <c r="L40" s="15" t="n"/>
      <c r="M40" s="15" t="n"/>
    </row>
    <row r="41" ht="22" customHeight="1">
      <c r="B41" s="19">
        <f>IF(C41="","NI-"&amp;TEXT(COUNTA($C$5:C41),"000"))</f>
        <v/>
      </c>
      <c r="C41" s="12" t="n"/>
      <c r="D41" s="12" t="n"/>
      <c r="E41" s="12" t="n"/>
      <c r="F41" s="12" t="n"/>
      <c r="G41" s="33" t="n"/>
      <c r="H41" s="33" t="n"/>
      <c r="I41" s="12" t="n"/>
      <c r="J41" s="12" t="n"/>
      <c r="K41" s="14" t="n"/>
      <c r="L41" s="12" t="n"/>
      <c r="M41" s="12" t="n"/>
    </row>
    <row r="42" ht="22" customHeight="1">
      <c r="B42" s="18">
        <f>IF(C42="","NI-"&amp;TEXT(COUNTA($C$5:C42),"000"))</f>
        <v/>
      </c>
      <c r="C42" s="15" t="n"/>
      <c r="D42" s="15" t="n"/>
      <c r="E42" s="15" t="n"/>
      <c r="F42" s="15" t="n"/>
      <c r="G42" s="34" t="n"/>
      <c r="H42" s="34" t="n"/>
      <c r="I42" s="15" t="n"/>
      <c r="J42" s="15" t="n"/>
      <c r="K42" s="17" t="n"/>
      <c r="L42" s="15" t="n"/>
      <c r="M42" s="15" t="n"/>
    </row>
    <row r="43" ht="22" customHeight="1">
      <c r="B43" s="19">
        <f>IF(C43="","NI-"&amp;TEXT(COUNTA($C$5:C43),"000"))</f>
        <v/>
      </c>
      <c r="C43" s="12" t="n"/>
      <c r="D43" s="12" t="n"/>
      <c r="E43" s="12" t="n"/>
      <c r="F43" s="12" t="n"/>
      <c r="G43" s="33" t="n"/>
      <c r="H43" s="33" t="n"/>
      <c r="I43" s="12" t="n"/>
      <c r="J43" s="12" t="n"/>
      <c r="K43" s="14" t="n"/>
      <c r="L43" s="12" t="n"/>
      <c r="M43" s="12" t="n"/>
    </row>
    <row r="44" ht="22" customHeight="1">
      <c r="B44" s="18">
        <f>IF(C44="","NI-"&amp;TEXT(COUNTA($C$5:C44),"000"))</f>
        <v/>
      </c>
      <c r="C44" s="15" t="n"/>
      <c r="D44" s="15" t="n"/>
      <c r="E44" s="15" t="n"/>
      <c r="F44" s="15" t="n"/>
      <c r="G44" s="34" t="n"/>
      <c r="H44" s="34" t="n"/>
      <c r="I44" s="15" t="n"/>
      <c r="J44" s="15" t="n"/>
      <c r="K44" s="17" t="n"/>
      <c r="L44" s="15" t="n"/>
      <c r="M44" s="15" t="n"/>
    </row>
    <row r="45" ht="22" customHeight="1">
      <c r="B45" s="19">
        <f>IF(C45="","NI-"&amp;TEXT(COUNTA($C$5:C45),"000"))</f>
        <v/>
      </c>
      <c r="C45" s="12" t="n"/>
      <c r="D45" s="12" t="n"/>
      <c r="E45" s="12" t="n"/>
      <c r="F45" s="12" t="n"/>
      <c r="G45" s="33" t="n"/>
      <c r="H45" s="33" t="n"/>
      <c r="I45" s="12" t="n"/>
      <c r="J45" s="12" t="n"/>
      <c r="K45" s="14" t="n"/>
      <c r="L45" s="12" t="n"/>
      <c r="M45" s="12" t="n"/>
    </row>
    <row r="46" ht="22" customHeight="1">
      <c r="B46" s="18">
        <f>IF(C46="","NI-"&amp;TEXT(COUNTA($C$5:C46),"000"))</f>
        <v/>
      </c>
      <c r="C46" s="15" t="n"/>
      <c r="D46" s="15" t="n"/>
      <c r="E46" s="15" t="n"/>
      <c r="F46" s="15" t="n"/>
      <c r="G46" s="34" t="n"/>
      <c r="H46" s="34" t="n"/>
      <c r="I46" s="15" t="n"/>
      <c r="J46" s="15" t="n"/>
      <c r="K46" s="17" t="n"/>
      <c r="L46" s="15" t="n"/>
      <c r="M46" s="15" t="n"/>
    </row>
    <row r="47" ht="22" customHeight="1">
      <c r="B47" s="19">
        <f>IF(C47="","NI-"&amp;TEXT(COUNTA($C$5:C47),"000"))</f>
        <v/>
      </c>
      <c r="C47" s="12" t="n"/>
      <c r="D47" s="12" t="n"/>
      <c r="E47" s="12" t="n"/>
      <c r="F47" s="12" t="n"/>
      <c r="G47" s="33" t="n"/>
      <c r="H47" s="33" t="n"/>
      <c r="I47" s="12" t="n"/>
      <c r="J47" s="12" t="n"/>
      <c r="K47" s="14" t="n"/>
      <c r="L47" s="12" t="n"/>
      <c r="M47" s="12" t="n"/>
    </row>
    <row r="48" ht="22" customHeight="1">
      <c r="B48" s="18">
        <f>IF(C48="","NI-"&amp;TEXT(COUNTA($C$5:C48),"000"))</f>
        <v/>
      </c>
      <c r="C48" s="15" t="n"/>
      <c r="D48" s="15" t="n"/>
      <c r="E48" s="15" t="n"/>
      <c r="F48" s="15" t="n"/>
      <c r="G48" s="34" t="n"/>
      <c r="H48" s="34" t="n"/>
      <c r="I48" s="15" t="n"/>
      <c r="J48" s="15" t="n"/>
      <c r="K48" s="17" t="n"/>
      <c r="L48" s="15" t="n"/>
      <c r="M48" s="15" t="n"/>
    </row>
    <row r="49" ht="22" customHeight="1">
      <c r="B49" s="19">
        <f>IF(C49="","NI-"&amp;TEXT(COUNTA($C$5:C49),"000"))</f>
        <v/>
      </c>
      <c r="C49" s="12" t="n"/>
      <c r="D49" s="12" t="n"/>
      <c r="E49" s="12" t="n"/>
      <c r="F49" s="12" t="n"/>
      <c r="G49" s="33" t="n"/>
      <c r="H49" s="33" t="n"/>
      <c r="I49" s="12" t="n"/>
      <c r="J49" s="12" t="n"/>
      <c r="K49" s="14" t="n"/>
      <c r="L49" s="12" t="n"/>
      <c r="M49" s="12" t="n"/>
    </row>
    <row r="50" ht="22" customHeight="1">
      <c r="B50" s="18">
        <f>IF(C50="","NI-"&amp;TEXT(COUNTA($C$5:C50),"000"))</f>
        <v/>
      </c>
      <c r="C50" s="15" t="n"/>
      <c r="D50" s="15" t="n"/>
      <c r="E50" s="15" t="n"/>
      <c r="F50" s="15" t="n"/>
      <c r="G50" s="34" t="n"/>
      <c r="H50" s="34" t="n"/>
      <c r="I50" s="15" t="n"/>
      <c r="J50" s="15" t="n"/>
      <c r="K50" s="17" t="n"/>
      <c r="L50" s="15" t="n"/>
      <c r="M50" s="15" t="n"/>
    </row>
    <row r="51" ht="22" customHeight="1">
      <c r="B51" s="19">
        <f>IF(C51="","NI-"&amp;TEXT(COUNTA($C$5:C51),"000"))</f>
        <v/>
      </c>
      <c r="C51" s="12" t="n"/>
      <c r="D51" s="12" t="n"/>
      <c r="E51" s="12" t="n"/>
      <c r="F51" s="12" t="n"/>
      <c r="G51" s="33" t="n"/>
      <c r="H51" s="33" t="n"/>
      <c r="I51" s="12" t="n"/>
      <c r="J51" s="12" t="n"/>
      <c r="K51" s="14" t="n"/>
      <c r="L51" s="12" t="n"/>
      <c r="M51" s="12" t="n"/>
    </row>
    <row r="52" ht="22" customHeight="1">
      <c r="B52" s="18">
        <f>IF(C52="","NI-"&amp;TEXT(COUNTA($C$5:C52),"000"))</f>
        <v/>
      </c>
      <c r="C52" s="15" t="n"/>
      <c r="D52" s="15" t="n"/>
      <c r="E52" s="15" t="n"/>
      <c r="F52" s="15" t="n"/>
      <c r="G52" s="34" t="n"/>
      <c r="H52" s="34" t="n"/>
      <c r="I52" s="15" t="n"/>
      <c r="J52" s="15" t="n"/>
      <c r="K52" s="17" t="n"/>
      <c r="L52" s="15" t="n"/>
      <c r="M52" s="15" t="n"/>
    </row>
    <row r="53" ht="22" customHeight="1">
      <c r="B53" s="19">
        <f>IF(C53="","NI-"&amp;TEXT(COUNTA($C$5:C53),"000"))</f>
        <v/>
      </c>
      <c r="C53" s="12" t="n"/>
      <c r="D53" s="12" t="n"/>
      <c r="E53" s="12" t="n"/>
      <c r="F53" s="12" t="n"/>
      <c r="G53" s="33" t="n"/>
      <c r="H53" s="33" t="n"/>
      <c r="I53" s="12" t="n"/>
      <c r="J53" s="12" t="n"/>
      <c r="K53" s="14" t="n"/>
      <c r="L53" s="12" t="n"/>
      <c r="M53" s="12" t="n"/>
    </row>
    <row r="54" ht="22" customHeight="1">
      <c r="B54" s="18">
        <f>IF(C54="","NI-"&amp;TEXT(COUNTA($C$5:C54),"000"))</f>
        <v/>
      </c>
      <c r="C54" s="15" t="n"/>
      <c r="D54" s="15" t="n"/>
      <c r="E54" s="15" t="n"/>
      <c r="F54" s="15" t="n"/>
      <c r="G54" s="34" t="n"/>
      <c r="H54" s="34" t="n"/>
      <c r="I54" s="15" t="n"/>
      <c r="J54" s="15" t="n"/>
      <c r="K54" s="17" t="n"/>
      <c r="L54" s="15" t="n"/>
      <c r="M54" s="15" t="n"/>
    </row>
    <row r="55" ht="22" customHeight="1">
      <c r="B55" s="19">
        <f>IF(C55="","NI-"&amp;TEXT(COUNTA($C$5:C55),"000"))</f>
        <v/>
      </c>
      <c r="C55" s="12" t="n"/>
      <c r="D55" s="12" t="n"/>
      <c r="E55" s="12" t="n"/>
      <c r="F55" s="12" t="n"/>
      <c r="G55" s="33" t="n"/>
      <c r="H55" s="33" t="n"/>
      <c r="I55" s="12" t="n"/>
      <c r="J55" s="12" t="n"/>
      <c r="K55" s="14" t="n"/>
      <c r="L55" s="12" t="n"/>
      <c r="M55" s="12" t="n"/>
    </row>
    <row r="56" ht="22" customHeight="1">
      <c r="B56" s="18">
        <f>IF(C56="","NI-"&amp;TEXT(COUNTA($C$5:C56),"000"))</f>
        <v/>
      </c>
      <c r="C56" s="15" t="n"/>
      <c r="D56" s="15" t="n"/>
      <c r="E56" s="15" t="n"/>
      <c r="F56" s="15" t="n"/>
      <c r="G56" s="34" t="n"/>
      <c r="H56" s="34" t="n"/>
      <c r="I56" s="15" t="n"/>
      <c r="J56" s="15" t="n"/>
      <c r="K56" s="17" t="n"/>
      <c r="L56" s="15" t="n"/>
      <c r="M56" s="15" t="n"/>
    </row>
    <row r="57" ht="22" customHeight="1">
      <c r="B57" s="19">
        <f>IF(C57="","NI-"&amp;TEXT(COUNTA($C$5:C57),"000"))</f>
        <v/>
      </c>
      <c r="C57" s="12" t="n"/>
      <c r="D57" s="12" t="n"/>
      <c r="E57" s="12" t="n"/>
      <c r="F57" s="12" t="n"/>
      <c r="G57" s="33" t="n"/>
      <c r="H57" s="33" t="n"/>
      <c r="I57" s="12" t="n"/>
      <c r="J57" s="12" t="n"/>
      <c r="K57" s="14" t="n"/>
      <c r="L57" s="12" t="n"/>
      <c r="M57" s="12" t="n"/>
    </row>
    <row r="58" ht="22" customHeight="1">
      <c r="B58" s="18">
        <f>IF(C58="","NI-"&amp;TEXT(COUNTA($C$5:C58),"000"))</f>
        <v/>
      </c>
      <c r="C58" s="15" t="n"/>
      <c r="D58" s="15" t="n"/>
      <c r="E58" s="15" t="n"/>
      <c r="F58" s="15" t="n"/>
      <c r="G58" s="34" t="n"/>
      <c r="H58" s="34" t="n"/>
      <c r="I58" s="15" t="n"/>
      <c r="J58" s="15" t="n"/>
      <c r="K58" s="17" t="n"/>
      <c r="L58" s="15" t="n"/>
      <c r="M58" s="15" t="n"/>
    </row>
    <row r="59" ht="22" customHeight="1">
      <c r="B59" s="19">
        <f>IF(C59="","NI-"&amp;TEXT(COUNTA($C$5:C59),"000"))</f>
        <v/>
      </c>
      <c r="C59" s="12" t="n"/>
      <c r="D59" s="12" t="n"/>
      <c r="E59" s="12" t="n"/>
      <c r="F59" s="12" t="n"/>
      <c r="G59" s="33" t="n"/>
      <c r="H59" s="33" t="n"/>
      <c r="I59" s="12" t="n"/>
      <c r="J59" s="12" t="n"/>
      <c r="K59" s="14" t="n"/>
      <c r="L59" s="12" t="n"/>
      <c r="M59" s="12" t="n"/>
    </row>
    <row r="60" ht="22" customHeight="1">
      <c r="B60" s="18">
        <f>IF(C60="","NI-"&amp;TEXT(COUNTA($C$5:C60),"000"))</f>
        <v/>
      </c>
      <c r="C60" s="15" t="n"/>
      <c r="D60" s="15" t="n"/>
      <c r="E60" s="15" t="n"/>
      <c r="F60" s="15" t="n"/>
      <c r="G60" s="34" t="n"/>
      <c r="H60" s="34" t="n"/>
      <c r="I60" s="15" t="n"/>
      <c r="J60" s="15" t="n"/>
      <c r="K60" s="17" t="n"/>
      <c r="L60" s="15" t="n"/>
      <c r="M60" s="15" t="n"/>
    </row>
    <row r="61" ht="22" customHeight="1">
      <c r="B61" s="19">
        <f>IF(C61="","NI-"&amp;TEXT(COUNTA($C$5:C61),"000"))</f>
        <v/>
      </c>
      <c r="C61" s="12" t="n"/>
      <c r="D61" s="12" t="n"/>
      <c r="E61" s="12" t="n"/>
      <c r="F61" s="12" t="n"/>
      <c r="G61" s="33" t="n"/>
      <c r="H61" s="33" t="n"/>
      <c r="I61" s="12" t="n"/>
      <c r="J61" s="12" t="n"/>
      <c r="K61" s="14" t="n"/>
      <c r="L61" s="12" t="n"/>
      <c r="M61" s="12" t="n"/>
    </row>
    <row r="62" ht="22" customHeight="1">
      <c r="B62" s="18">
        <f>IF(C62="","NI-"&amp;TEXT(COUNTA($C$5:C62),"000"))</f>
        <v/>
      </c>
      <c r="C62" s="15" t="n"/>
      <c r="D62" s="15" t="n"/>
      <c r="E62" s="15" t="n"/>
      <c r="F62" s="15" t="n"/>
      <c r="G62" s="34" t="n"/>
      <c r="H62" s="34" t="n"/>
      <c r="I62" s="15" t="n"/>
      <c r="J62" s="15" t="n"/>
      <c r="K62" s="17" t="n"/>
      <c r="L62" s="15" t="n"/>
      <c r="M62" s="15" t="n"/>
    </row>
    <row r="63" ht="22" customHeight="1">
      <c r="B63" s="19">
        <f>IF(C63="","NI-"&amp;TEXT(COUNTA($C$5:C63),"000"))</f>
        <v/>
      </c>
      <c r="C63" s="12" t="n"/>
      <c r="D63" s="12" t="n"/>
      <c r="E63" s="12" t="n"/>
      <c r="F63" s="12" t="n"/>
      <c r="G63" s="33" t="n"/>
      <c r="H63" s="33" t="n"/>
      <c r="I63" s="12" t="n"/>
      <c r="J63" s="12" t="n"/>
      <c r="K63" s="14" t="n"/>
      <c r="L63" s="12" t="n"/>
      <c r="M63" s="12" t="n"/>
    </row>
    <row r="64" ht="22" customHeight="1">
      <c r="B64" s="18">
        <f>IF(C64="","NI-"&amp;TEXT(COUNTA($C$5:C64),"000"))</f>
        <v/>
      </c>
      <c r="C64" s="15" t="n"/>
      <c r="D64" s="15" t="n"/>
      <c r="E64" s="15" t="n"/>
      <c r="F64" s="15" t="n"/>
      <c r="G64" s="34" t="n"/>
      <c r="H64" s="34" t="n"/>
      <c r="I64" s="15" t="n"/>
      <c r="J64" s="15" t="n"/>
      <c r="K64" s="17" t="n"/>
      <c r="L64" s="15" t="n"/>
      <c r="M64" s="15" t="n"/>
    </row>
    <row r="65" ht="22" customHeight="1">
      <c r="B65" s="19">
        <f>IF(C65="","NI-"&amp;TEXT(COUNTA($C$5:C65),"000"))</f>
        <v/>
      </c>
      <c r="C65" s="12" t="n"/>
      <c r="D65" s="12" t="n"/>
      <c r="E65" s="12" t="n"/>
      <c r="F65" s="12" t="n"/>
      <c r="G65" s="33" t="n"/>
      <c r="H65" s="33" t="n"/>
      <c r="I65" s="12" t="n"/>
      <c r="J65" s="12" t="n"/>
      <c r="K65" s="14" t="n"/>
      <c r="L65" s="12" t="n"/>
      <c r="M65" s="12" t="n"/>
    </row>
    <row r="66" ht="22" customHeight="1">
      <c r="B66" s="18">
        <f>IF(C66="","NI-"&amp;TEXT(COUNTA($C$5:C66),"000"))</f>
        <v/>
      </c>
      <c r="C66" s="15" t="n"/>
      <c r="D66" s="15" t="n"/>
      <c r="E66" s="15" t="n"/>
      <c r="F66" s="15" t="n"/>
      <c r="G66" s="34" t="n"/>
      <c r="H66" s="34" t="n"/>
      <c r="I66" s="15" t="n"/>
      <c r="J66" s="15" t="n"/>
      <c r="K66" s="17" t="n"/>
      <c r="L66" s="15" t="n"/>
      <c r="M66" s="15" t="n"/>
    </row>
    <row r="67" ht="22" customHeight="1">
      <c r="B67" s="19">
        <f>IF(C67="","NI-"&amp;TEXT(COUNTA($C$5:C67),"000"))</f>
        <v/>
      </c>
      <c r="C67" s="12" t="n"/>
      <c r="D67" s="12" t="n"/>
      <c r="E67" s="12" t="n"/>
      <c r="F67" s="12" t="n"/>
      <c r="G67" s="33" t="n"/>
      <c r="H67" s="33" t="n"/>
      <c r="I67" s="12" t="n"/>
      <c r="J67" s="12" t="n"/>
      <c r="K67" s="14" t="n"/>
      <c r="L67" s="12" t="n"/>
      <c r="M67" s="12" t="n"/>
    </row>
    <row r="68" ht="22" customHeight="1">
      <c r="B68" s="18">
        <f>IF(C68="","NI-"&amp;TEXT(COUNTA($C$5:C68),"000"))</f>
        <v/>
      </c>
      <c r="C68" s="15" t="n"/>
      <c r="D68" s="15" t="n"/>
      <c r="E68" s="15" t="n"/>
      <c r="F68" s="15" t="n"/>
      <c r="G68" s="34" t="n"/>
      <c r="H68" s="34" t="n"/>
      <c r="I68" s="15" t="n"/>
      <c r="J68" s="15" t="n"/>
      <c r="K68" s="17" t="n"/>
      <c r="L68" s="15" t="n"/>
      <c r="M68" s="15" t="n"/>
    </row>
    <row r="69" ht="22" customHeight="1">
      <c r="B69" s="19">
        <f>IF(C69="","NI-"&amp;TEXT(COUNTA($C$5:C69),"000"))</f>
        <v/>
      </c>
      <c r="C69" s="12" t="n"/>
      <c r="D69" s="12" t="n"/>
      <c r="E69" s="12" t="n"/>
      <c r="F69" s="12" t="n"/>
      <c r="G69" s="33" t="n"/>
      <c r="H69" s="33" t="n"/>
      <c r="I69" s="12" t="n"/>
      <c r="J69" s="12" t="n"/>
      <c r="K69" s="14" t="n"/>
      <c r="L69" s="12" t="n"/>
      <c r="M69" s="12" t="n"/>
    </row>
    <row r="70" ht="22" customHeight="1">
      <c r="B70" s="18">
        <f>IF(C70="","NI-"&amp;TEXT(COUNTA($C$5:C70),"000"))</f>
        <v/>
      </c>
      <c r="C70" s="15" t="n"/>
      <c r="D70" s="15" t="n"/>
      <c r="E70" s="15" t="n"/>
      <c r="F70" s="15" t="n"/>
      <c r="G70" s="34" t="n"/>
      <c r="H70" s="34" t="n"/>
      <c r="I70" s="15" t="n"/>
      <c r="J70" s="15" t="n"/>
      <c r="K70" s="17" t="n"/>
      <c r="L70" s="15" t="n"/>
      <c r="M70" s="15" t="n"/>
    </row>
    <row r="71" ht="22" customHeight="1">
      <c r="B71" s="19">
        <f>IF(C71="","NI-"&amp;TEXT(COUNTA($C$5:C71),"000"))</f>
        <v/>
      </c>
      <c r="C71" s="12" t="n"/>
      <c r="D71" s="12" t="n"/>
      <c r="E71" s="12" t="n"/>
      <c r="F71" s="12" t="n"/>
      <c r="G71" s="33" t="n"/>
      <c r="H71" s="33" t="n"/>
      <c r="I71" s="12" t="n"/>
      <c r="J71" s="12" t="n"/>
      <c r="K71" s="14" t="n"/>
      <c r="L71" s="12" t="n"/>
      <c r="M71" s="12" t="n"/>
    </row>
    <row r="72" ht="22" customHeight="1">
      <c r="B72" s="18">
        <f>IF(C72="","NI-"&amp;TEXT(COUNTA($C$5:C72),"000"))</f>
        <v/>
      </c>
      <c r="C72" s="15" t="n"/>
      <c r="D72" s="15" t="n"/>
      <c r="E72" s="15" t="n"/>
      <c r="F72" s="15" t="n"/>
      <c r="G72" s="34" t="n"/>
      <c r="H72" s="34" t="n"/>
      <c r="I72" s="15" t="n"/>
      <c r="J72" s="15" t="n"/>
      <c r="K72" s="17" t="n"/>
      <c r="L72" s="15" t="n"/>
      <c r="M72" s="15" t="n"/>
    </row>
    <row r="73" ht="22" customHeight="1">
      <c r="B73" s="19">
        <f>IF(C73="","NI-"&amp;TEXT(COUNTA($C$5:C73),"000"))</f>
        <v/>
      </c>
      <c r="C73" s="12" t="n"/>
      <c r="D73" s="12" t="n"/>
      <c r="E73" s="12" t="n"/>
      <c r="F73" s="12" t="n"/>
      <c r="G73" s="33" t="n"/>
      <c r="H73" s="33" t="n"/>
      <c r="I73" s="12" t="n"/>
      <c r="J73" s="12" t="n"/>
      <c r="K73" s="14" t="n"/>
      <c r="L73" s="12" t="n"/>
      <c r="M73" s="12" t="n"/>
    </row>
    <row r="74" ht="22" customHeight="1">
      <c r="B74" s="18">
        <f>IF(C74="","NI-"&amp;TEXT(COUNTA($C$5:C74),"000"))</f>
        <v/>
      </c>
      <c r="C74" s="15" t="n"/>
      <c r="D74" s="15" t="n"/>
      <c r="E74" s="15" t="n"/>
      <c r="F74" s="15" t="n"/>
      <c r="G74" s="34" t="n"/>
      <c r="H74" s="34" t="n"/>
      <c r="I74" s="15" t="n"/>
      <c r="J74" s="15" t="n"/>
      <c r="K74" s="17" t="n"/>
      <c r="L74" s="15" t="n"/>
      <c r="M74" s="15" t="n"/>
    </row>
    <row r="75" ht="22" customHeight="1">
      <c r="B75" s="19">
        <f>IF(C75="","NI-"&amp;TEXT(COUNTA($C$5:C75),"000"))</f>
        <v/>
      </c>
      <c r="C75" s="12" t="n"/>
      <c r="D75" s="12" t="n"/>
      <c r="E75" s="12" t="n"/>
      <c r="F75" s="12" t="n"/>
      <c r="G75" s="33" t="n"/>
      <c r="H75" s="33" t="n"/>
      <c r="I75" s="12" t="n"/>
      <c r="J75" s="12" t="n"/>
      <c r="K75" s="14" t="n"/>
      <c r="L75" s="12" t="n"/>
      <c r="M75" s="12" t="n"/>
    </row>
    <row r="76" ht="22" customHeight="1">
      <c r="B76" s="18">
        <f>IF(C76="","NI-"&amp;TEXT(COUNTA($C$5:C76),"000"))</f>
        <v/>
      </c>
      <c r="C76" s="15" t="n"/>
      <c r="D76" s="15" t="n"/>
      <c r="E76" s="15" t="n"/>
      <c r="F76" s="15" t="n"/>
      <c r="G76" s="34" t="n"/>
      <c r="H76" s="34" t="n"/>
      <c r="I76" s="15" t="n"/>
      <c r="J76" s="15" t="n"/>
      <c r="K76" s="17" t="n"/>
      <c r="L76" s="15" t="n"/>
      <c r="M76" s="15" t="n"/>
    </row>
    <row r="77" ht="22" customHeight="1">
      <c r="B77" s="19">
        <f>IF(C77="","NI-"&amp;TEXT(COUNTA($C$5:C77),"000"))</f>
        <v/>
      </c>
      <c r="C77" s="12" t="n"/>
      <c r="D77" s="12" t="n"/>
      <c r="E77" s="12" t="n"/>
      <c r="F77" s="12" t="n"/>
      <c r="G77" s="33" t="n"/>
      <c r="H77" s="33" t="n"/>
      <c r="I77" s="12" t="n"/>
      <c r="J77" s="12" t="n"/>
      <c r="K77" s="14" t="n"/>
      <c r="L77" s="12" t="n"/>
      <c r="M77" s="12" t="n"/>
    </row>
    <row r="78" ht="22" customHeight="1">
      <c r="B78" s="18">
        <f>IF(C78="","NI-"&amp;TEXT(COUNTA($C$5:C78),"000"))</f>
        <v/>
      </c>
      <c r="C78" s="15" t="n"/>
      <c r="D78" s="15" t="n"/>
      <c r="E78" s="15" t="n"/>
      <c r="F78" s="15" t="n"/>
      <c r="G78" s="34" t="n"/>
      <c r="H78" s="34" t="n"/>
      <c r="I78" s="15" t="n"/>
      <c r="J78" s="15" t="n"/>
      <c r="K78" s="17" t="n"/>
      <c r="L78" s="15" t="n"/>
      <c r="M78" s="15" t="n"/>
    </row>
    <row r="79" ht="22" customHeight="1">
      <c r="B79" s="19">
        <f>IF(C79="","NI-"&amp;TEXT(COUNTA($C$5:C79),"000"))</f>
        <v/>
      </c>
      <c r="C79" s="12" t="n"/>
      <c r="D79" s="12" t="n"/>
      <c r="E79" s="12" t="n"/>
      <c r="F79" s="12" t="n"/>
      <c r="G79" s="33" t="n"/>
      <c r="H79" s="33" t="n"/>
      <c r="I79" s="12" t="n"/>
      <c r="J79" s="12" t="n"/>
      <c r="K79" s="14" t="n"/>
      <c r="L79" s="12" t="n"/>
      <c r="M79" s="12" t="n"/>
    </row>
    <row r="80" ht="22" customHeight="1">
      <c r="B80" s="18">
        <f>IF(C80="","NI-"&amp;TEXT(COUNTA($C$5:C80),"000"))</f>
        <v/>
      </c>
      <c r="C80" s="15" t="n"/>
      <c r="D80" s="15" t="n"/>
      <c r="E80" s="15" t="n"/>
      <c r="F80" s="15" t="n"/>
      <c r="G80" s="34" t="n"/>
      <c r="H80" s="34" t="n"/>
      <c r="I80" s="15" t="n"/>
      <c r="J80" s="15" t="n"/>
      <c r="K80" s="17" t="n"/>
      <c r="L80" s="15" t="n"/>
      <c r="M80" s="15" t="n"/>
    </row>
    <row r="81" ht="22" customHeight="1">
      <c r="B81" s="19">
        <f>IF(C81="","NI-"&amp;TEXT(COUNTA($C$5:C81),"000"))</f>
        <v/>
      </c>
      <c r="C81" s="12" t="n"/>
      <c r="D81" s="12" t="n"/>
      <c r="E81" s="12" t="n"/>
      <c r="F81" s="12" t="n"/>
      <c r="G81" s="33" t="n"/>
      <c r="H81" s="33" t="n"/>
      <c r="I81" s="12" t="n"/>
      <c r="J81" s="12" t="n"/>
      <c r="K81" s="14" t="n"/>
      <c r="L81" s="12" t="n"/>
      <c r="M81" s="12" t="n"/>
    </row>
    <row r="82" ht="22" customHeight="1">
      <c r="B82" s="18">
        <f>IF(C82="","NI-"&amp;TEXT(COUNTA($C$5:C82),"000"))</f>
        <v/>
      </c>
      <c r="C82" s="15" t="n"/>
      <c r="D82" s="15" t="n"/>
      <c r="E82" s="15" t="n"/>
      <c r="F82" s="15" t="n"/>
      <c r="G82" s="34" t="n"/>
      <c r="H82" s="34" t="n"/>
      <c r="I82" s="15" t="n"/>
      <c r="J82" s="15" t="n"/>
      <c r="K82" s="17" t="n"/>
      <c r="L82" s="15" t="n"/>
      <c r="M82" s="15" t="n"/>
    </row>
    <row r="83" ht="22" customHeight="1">
      <c r="B83" s="19">
        <f>IF(C83="","NI-"&amp;TEXT(COUNTA($C$5:C83),"000"))</f>
        <v/>
      </c>
      <c r="C83" s="12" t="n"/>
      <c r="D83" s="12" t="n"/>
      <c r="E83" s="12" t="n"/>
      <c r="F83" s="12" t="n"/>
      <c r="G83" s="33" t="n"/>
      <c r="H83" s="33" t="n"/>
      <c r="I83" s="12" t="n"/>
      <c r="J83" s="12" t="n"/>
      <c r="K83" s="14" t="n"/>
      <c r="L83" s="12" t="n"/>
      <c r="M83" s="12" t="n"/>
    </row>
    <row r="84" ht="22" customHeight="1">
      <c r="B84" s="18">
        <f>IF(C84="","NI-"&amp;TEXT(COUNTA($C$5:C84),"000"))</f>
        <v/>
      </c>
      <c r="C84" s="15" t="n"/>
      <c r="D84" s="15" t="n"/>
      <c r="E84" s="15" t="n"/>
      <c r="F84" s="15" t="n"/>
      <c r="G84" s="34" t="n"/>
      <c r="H84" s="34" t="n"/>
      <c r="I84" s="15" t="n"/>
      <c r="J84" s="15" t="n"/>
      <c r="K84" s="17" t="n"/>
      <c r="L84" s="15" t="n"/>
      <c r="M84" s="15" t="n"/>
    </row>
    <row r="85" ht="22" customHeight="1">
      <c r="B85" s="19">
        <f>IF(C85="","NI-"&amp;TEXT(COUNTA($C$5:C85),"000"))</f>
        <v/>
      </c>
      <c r="C85" s="12" t="n"/>
      <c r="D85" s="12" t="n"/>
      <c r="E85" s="12" t="n"/>
      <c r="F85" s="12" t="n"/>
      <c r="G85" s="33" t="n"/>
      <c r="H85" s="33" t="n"/>
      <c r="I85" s="12" t="n"/>
      <c r="J85" s="12" t="n"/>
      <c r="K85" s="14" t="n"/>
      <c r="L85" s="12" t="n"/>
      <c r="M85" s="12" t="n"/>
    </row>
    <row r="86" ht="22" customHeight="1">
      <c r="B86" s="18">
        <f>IF(C86="","NI-"&amp;TEXT(COUNTA($C$5:C86),"000"))</f>
        <v/>
      </c>
      <c r="C86" s="15" t="n"/>
      <c r="D86" s="15" t="n"/>
      <c r="E86" s="15" t="n"/>
      <c r="F86" s="15" t="n"/>
      <c r="G86" s="34" t="n"/>
      <c r="H86" s="34" t="n"/>
      <c r="I86" s="15" t="n"/>
      <c r="J86" s="15" t="n"/>
      <c r="K86" s="17" t="n"/>
      <c r="L86" s="15" t="n"/>
      <c r="M86" s="15" t="n"/>
    </row>
    <row r="87" ht="22" customHeight="1">
      <c r="B87" s="19">
        <f>IF(C87="","NI-"&amp;TEXT(COUNTA($C$5:C87),"000"))</f>
        <v/>
      </c>
      <c r="C87" s="12" t="n"/>
      <c r="D87" s="12" t="n"/>
      <c r="E87" s="12" t="n"/>
      <c r="F87" s="12" t="n"/>
      <c r="G87" s="33" t="n"/>
      <c r="H87" s="33" t="n"/>
      <c r="I87" s="12" t="n"/>
      <c r="J87" s="12" t="n"/>
      <c r="K87" s="14" t="n"/>
      <c r="L87" s="12" t="n"/>
      <c r="M87" s="12" t="n"/>
    </row>
    <row r="88" ht="22" customHeight="1">
      <c r="B88" s="18">
        <f>IF(C88="","NI-"&amp;TEXT(COUNTA($C$5:C88),"000"))</f>
        <v/>
      </c>
      <c r="C88" s="15" t="n"/>
      <c r="D88" s="15" t="n"/>
      <c r="E88" s="15" t="n"/>
      <c r="F88" s="15" t="n"/>
      <c r="G88" s="34" t="n"/>
      <c r="H88" s="34" t="n"/>
      <c r="I88" s="15" t="n"/>
      <c r="J88" s="15" t="n"/>
      <c r="K88" s="17" t="n"/>
      <c r="L88" s="15" t="n"/>
      <c r="M88" s="15" t="n"/>
    </row>
    <row r="89" ht="22" customHeight="1">
      <c r="B89" s="19">
        <f>IF(C89="","NI-"&amp;TEXT(COUNTA($C$5:C89),"000"))</f>
        <v/>
      </c>
      <c r="C89" s="12" t="n"/>
      <c r="D89" s="12" t="n"/>
      <c r="E89" s="12" t="n"/>
      <c r="F89" s="12" t="n"/>
      <c r="G89" s="33" t="n"/>
      <c r="H89" s="33" t="n"/>
      <c r="I89" s="12" t="n"/>
      <c r="J89" s="12" t="n"/>
      <c r="K89" s="14" t="n"/>
      <c r="L89" s="12" t="n"/>
      <c r="M89" s="12" t="n"/>
    </row>
    <row r="90" ht="22" customHeight="1">
      <c r="B90" s="18">
        <f>IF(C90="","NI-"&amp;TEXT(COUNTA($C$5:C90),"000"))</f>
        <v/>
      </c>
      <c r="C90" s="15" t="n"/>
      <c r="D90" s="15" t="n"/>
      <c r="E90" s="15" t="n"/>
      <c r="F90" s="15" t="n"/>
      <c r="G90" s="34" t="n"/>
      <c r="H90" s="34" t="n"/>
      <c r="I90" s="15" t="n"/>
      <c r="J90" s="15" t="n"/>
      <c r="K90" s="17" t="n"/>
      <c r="L90" s="15" t="n"/>
      <c r="M90" s="15" t="n"/>
    </row>
    <row r="91" ht="22" customHeight="1">
      <c r="B91" s="19">
        <f>IF(C91="","NI-"&amp;TEXT(COUNTA($C$5:C91),"000"))</f>
        <v/>
      </c>
      <c r="C91" s="12" t="n"/>
      <c r="D91" s="12" t="n"/>
      <c r="E91" s="12" t="n"/>
      <c r="F91" s="12" t="n"/>
      <c r="G91" s="33" t="n"/>
      <c r="H91" s="33" t="n"/>
      <c r="I91" s="12" t="n"/>
      <c r="J91" s="12" t="n"/>
      <c r="K91" s="14" t="n"/>
      <c r="L91" s="12" t="n"/>
      <c r="M91" s="12" t="n"/>
    </row>
    <row r="92" ht="22" customHeight="1">
      <c r="B92" s="18">
        <f>IF(C92="","NI-"&amp;TEXT(COUNTA($C$5:C92),"000"))</f>
        <v/>
      </c>
      <c r="C92" s="15" t="n"/>
      <c r="D92" s="15" t="n"/>
      <c r="E92" s="15" t="n"/>
      <c r="F92" s="15" t="n"/>
      <c r="G92" s="34" t="n"/>
      <c r="H92" s="34" t="n"/>
      <c r="I92" s="15" t="n"/>
      <c r="J92" s="15" t="n"/>
      <c r="K92" s="17" t="n"/>
      <c r="L92" s="15" t="n"/>
      <c r="M92" s="15" t="n"/>
    </row>
    <row r="93" ht="22" customHeight="1">
      <c r="B93" s="19">
        <f>IF(C93="","NI-"&amp;TEXT(COUNTA($C$5:C93),"000"))</f>
        <v/>
      </c>
      <c r="C93" s="12" t="n"/>
      <c r="D93" s="12" t="n"/>
      <c r="E93" s="12" t="n"/>
      <c r="F93" s="12" t="n"/>
      <c r="G93" s="33" t="n"/>
      <c r="H93" s="33" t="n"/>
      <c r="I93" s="12" t="n"/>
      <c r="J93" s="12" t="n"/>
      <c r="K93" s="14" t="n"/>
      <c r="L93" s="12" t="n"/>
      <c r="M93" s="12" t="n"/>
    </row>
    <row r="94" ht="22" customHeight="1">
      <c r="B94" s="18">
        <f>IF(C94="","NI-"&amp;TEXT(COUNTA($C$5:C94),"000"))</f>
        <v/>
      </c>
      <c r="C94" s="15" t="n"/>
      <c r="D94" s="15" t="n"/>
      <c r="E94" s="15" t="n"/>
      <c r="F94" s="15" t="n"/>
      <c r="G94" s="34" t="n"/>
      <c r="H94" s="34" t="n"/>
      <c r="I94" s="15" t="n"/>
      <c r="J94" s="15" t="n"/>
      <c r="K94" s="17" t="n"/>
      <c r="L94" s="15" t="n"/>
      <c r="M94" s="15" t="n"/>
    </row>
    <row r="95" ht="22" customHeight="1">
      <c r="B95" s="19">
        <f>IF(C95="","NI-"&amp;TEXT(COUNTA($C$5:C95),"000"))</f>
        <v/>
      </c>
      <c r="C95" s="12" t="n"/>
      <c r="D95" s="12" t="n"/>
      <c r="E95" s="12" t="n"/>
      <c r="F95" s="12" t="n"/>
      <c r="G95" s="33" t="n"/>
      <c r="H95" s="33" t="n"/>
      <c r="I95" s="12" t="n"/>
      <c r="J95" s="12" t="n"/>
      <c r="K95" s="14" t="n"/>
      <c r="L95" s="12" t="n"/>
      <c r="M95" s="12" t="n"/>
    </row>
    <row r="96" ht="22" customHeight="1">
      <c r="B96" s="18">
        <f>IF(C96="","NI-"&amp;TEXT(COUNTA($C$5:C96),"000"))</f>
        <v/>
      </c>
      <c r="C96" s="15" t="n"/>
      <c r="D96" s="15" t="n"/>
      <c r="E96" s="15" t="n"/>
      <c r="F96" s="15" t="n"/>
      <c r="G96" s="34" t="n"/>
      <c r="H96" s="34" t="n"/>
      <c r="I96" s="15" t="n"/>
      <c r="J96" s="15" t="n"/>
      <c r="K96" s="17" t="n"/>
      <c r="L96" s="15" t="n"/>
      <c r="M96" s="15" t="n"/>
    </row>
    <row r="97" ht="22" customHeight="1">
      <c r="B97" s="19">
        <f>IF(C97="","NI-"&amp;TEXT(COUNTA($C$5:C97),"000"))</f>
        <v/>
      </c>
      <c r="C97" s="12" t="n"/>
      <c r="D97" s="12" t="n"/>
      <c r="E97" s="12" t="n"/>
      <c r="F97" s="12" t="n"/>
      <c r="G97" s="33" t="n"/>
      <c r="H97" s="33" t="n"/>
      <c r="I97" s="12" t="n"/>
      <c r="J97" s="12" t="n"/>
      <c r="K97" s="14" t="n"/>
      <c r="L97" s="12" t="n"/>
      <c r="M97" s="12" t="n"/>
    </row>
    <row r="98" ht="22" customHeight="1">
      <c r="B98" s="18">
        <f>IF(C98="","NI-"&amp;TEXT(COUNTA($C$5:C98),"000"))</f>
        <v/>
      </c>
      <c r="C98" s="15" t="n"/>
      <c r="D98" s="15" t="n"/>
      <c r="E98" s="15" t="n"/>
      <c r="F98" s="15" t="n"/>
      <c r="G98" s="34" t="n"/>
      <c r="H98" s="34" t="n"/>
      <c r="I98" s="15" t="n"/>
      <c r="J98" s="15" t="n"/>
      <c r="K98" s="17" t="n"/>
      <c r="L98" s="15" t="n"/>
      <c r="M98" s="15" t="n"/>
    </row>
    <row r="99" ht="22" customHeight="1">
      <c r="B99" s="19">
        <f>IF(C99="","NI-"&amp;TEXT(COUNTA($C$5:C99),"000"))</f>
        <v/>
      </c>
      <c r="C99" s="12" t="n"/>
      <c r="D99" s="12" t="n"/>
      <c r="E99" s="12" t="n"/>
      <c r="F99" s="12" t="n"/>
      <c r="G99" s="33" t="n"/>
      <c r="H99" s="33" t="n"/>
      <c r="I99" s="12" t="n"/>
      <c r="J99" s="12" t="n"/>
      <c r="K99" s="14" t="n"/>
      <c r="L99" s="12" t="n"/>
      <c r="M99" s="12" t="n"/>
    </row>
    <row r="100" ht="22" customHeight="1">
      <c r="B100" s="18">
        <f>IF(C100="","NI-"&amp;TEXT(COUNTA($C$5:C100),"000"))</f>
        <v/>
      </c>
      <c r="C100" s="15" t="n"/>
      <c r="D100" s="15" t="n"/>
      <c r="E100" s="15" t="n"/>
      <c r="F100" s="15" t="n"/>
      <c r="G100" s="34" t="n"/>
      <c r="H100" s="34" t="n"/>
      <c r="I100" s="15" t="n"/>
      <c r="J100" s="15" t="n"/>
      <c r="K100" s="17" t="n"/>
      <c r="L100" s="15" t="n"/>
      <c r="M100" s="15" t="n"/>
    </row>
    <row r="101" ht="22" customHeight="1">
      <c r="B101" s="19">
        <f>IF(C101="","NI-"&amp;TEXT(COUNTA($C$5:C101),"000"))</f>
        <v/>
      </c>
      <c r="C101" s="12" t="n"/>
      <c r="D101" s="12" t="n"/>
      <c r="E101" s="12" t="n"/>
      <c r="F101" s="12" t="n"/>
      <c r="G101" s="33" t="n"/>
      <c r="H101" s="33" t="n"/>
      <c r="I101" s="12" t="n"/>
      <c r="J101" s="12" t="n"/>
      <c r="K101" s="14" t="n"/>
      <c r="L101" s="12" t="n"/>
      <c r="M101" s="12" t="n"/>
    </row>
    <row r="102" ht="22" customHeight="1">
      <c r="B102" s="18">
        <f>IF(C102="","NI-"&amp;TEXT(COUNTA($C$5:C102),"000"))</f>
        <v/>
      </c>
      <c r="C102" s="15" t="n"/>
      <c r="D102" s="15" t="n"/>
      <c r="E102" s="15" t="n"/>
      <c r="F102" s="15" t="n"/>
      <c r="G102" s="34" t="n"/>
      <c r="H102" s="34" t="n"/>
      <c r="I102" s="15" t="n"/>
      <c r="J102" s="15" t="n"/>
      <c r="K102" s="17" t="n"/>
      <c r="L102" s="15" t="n"/>
      <c r="M102" s="15" t="n"/>
    </row>
    <row r="103" ht="22" customHeight="1">
      <c r="B103" s="19">
        <f>IF(C103="","NI-"&amp;TEXT(COUNTA($C$5:C103),"000"))</f>
        <v/>
      </c>
      <c r="C103" s="12" t="n"/>
      <c r="D103" s="12" t="n"/>
      <c r="E103" s="12" t="n"/>
      <c r="F103" s="12" t="n"/>
      <c r="G103" s="33" t="n"/>
      <c r="H103" s="33" t="n"/>
      <c r="I103" s="12" t="n"/>
      <c r="J103" s="12" t="n"/>
      <c r="K103" s="14" t="n"/>
      <c r="L103" s="12" t="n"/>
      <c r="M103" s="12" t="n"/>
    </row>
    <row r="104" ht="22" customHeight="1">
      <c r="B104" s="18">
        <f>IF(C104="","NI-"&amp;TEXT(COUNTA($C$5:C104),"000"))</f>
        <v/>
      </c>
      <c r="C104" s="15" t="n"/>
      <c r="D104" s="15" t="n"/>
      <c r="E104" s="15" t="n"/>
      <c r="F104" s="15" t="n"/>
      <c r="G104" s="34" t="n"/>
      <c r="H104" s="34" t="n"/>
      <c r="I104" s="15" t="n"/>
      <c r="J104" s="15" t="n"/>
      <c r="K104" s="17" t="n"/>
      <c r="L104" s="15" t="n"/>
      <c r="M104" s="15" t="n"/>
    </row>
    <row r="105" ht="22" customHeight="1">
      <c r="B105" s="19">
        <f>IF(C105="","NI-"&amp;TEXT(COUNTA($C$5:C105),"000"))</f>
        <v/>
      </c>
      <c r="C105" s="12" t="n"/>
      <c r="D105" s="12" t="n"/>
      <c r="E105" s="12" t="n"/>
      <c r="F105" s="12" t="n"/>
      <c r="G105" s="33" t="n"/>
      <c r="H105" s="33" t="n"/>
      <c r="I105" s="12" t="n"/>
      <c r="J105" s="12" t="n"/>
      <c r="K105" s="14" t="n"/>
      <c r="L105" s="12" t="n"/>
      <c r="M105" s="12" t="n"/>
    </row>
    <row r="106" ht="22" customHeight="1">
      <c r="B106" s="18">
        <f>IF(C106="","NI-"&amp;TEXT(COUNTA($C$5:C106),"000"))</f>
        <v/>
      </c>
      <c r="C106" s="15" t="n"/>
      <c r="D106" s="15" t="n"/>
      <c r="E106" s="15" t="n"/>
      <c r="F106" s="15" t="n"/>
      <c r="G106" s="34" t="n"/>
      <c r="H106" s="34" t="n"/>
      <c r="I106" s="15" t="n"/>
      <c r="J106" s="15" t="n"/>
      <c r="K106" s="17" t="n"/>
      <c r="L106" s="15" t="n"/>
      <c r="M106" s="15" t="n"/>
    </row>
    <row r="107" ht="22" customHeight="1">
      <c r="B107" s="19">
        <f>IF(C107="","NI-"&amp;TEXT(COUNTA($C$5:C107),"000"))</f>
        <v/>
      </c>
      <c r="C107" s="12" t="n"/>
      <c r="D107" s="12" t="n"/>
      <c r="E107" s="12" t="n"/>
      <c r="F107" s="12" t="n"/>
      <c r="G107" s="33" t="n"/>
      <c r="H107" s="33" t="n"/>
      <c r="I107" s="12" t="n"/>
      <c r="J107" s="12" t="n"/>
      <c r="K107" s="14" t="n"/>
      <c r="L107" s="12" t="n"/>
      <c r="M107" s="12" t="n"/>
    </row>
    <row r="108" ht="22" customHeight="1">
      <c r="B108" s="18">
        <f>IF(C108="","NI-"&amp;TEXT(COUNTA($C$5:C108),"000"))</f>
        <v/>
      </c>
      <c r="C108" s="15" t="n"/>
      <c r="D108" s="15" t="n"/>
      <c r="E108" s="15" t="n"/>
      <c r="F108" s="15" t="n"/>
      <c r="G108" s="34" t="n"/>
      <c r="H108" s="34" t="n"/>
      <c r="I108" s="15" t="n"/>
      <c r="J108" s="15" t="n"/>
      <c r="K108" s="17" t="n"/>
      <c r="L108" s="15" t="n"/>
      <c r="M108" s="15" t="n"/>
    </row>
    <row r="109" ht="22" customHeight="1">
      <c r="B109" s="19">
        <f>IF(C109="","NI-"&amp;TEXT(COUNTA($C$5:C109),"000"))</f>
        <v/>
      </c>
      <c r="C109" s="12" t="n"/>
      <c r="D109" s="12" t="n"/>
      <c r="E109" s="12" t="n"/>
      <c r="F109" s="12" t="n"/>
      <c r="G109" s="33" t="n"/>
      <c r="H109" s="33" t="n"/>
      <c r="I109" s="12" t="n"/>
      <c r="J109" s="12" t="n"/>
      <c r="K109" s="14" t="n"/>
      <c r="L109" s="12" t="n"/>
      <c r="M109" s="12" t="n"/>
    </row>
    <row r="110"/>
    <row r="111" ht="26" customHeight="1">
      <c r="B111" s="24" t="inlineStr">
        <is>
          <t>TOTAL</t>
        </is>
      </c>
      <c r="C111" s="25" t="n"/>
      <c r="D111" s="25" t="n"/>
      <c r="E111" s="25" t="n"/>
      <c r="F111" s="25" t="n"/>
      <c r="G111" s="25" t="n"/>
      <c r="H111" s="25" t="n"/>
      <c r="I111" s="25" t="n"/>
      <c r="J111" s="25" t="n"/>
      <c r="K111" s="26">
        <f>SUM(K5:K104)</f>
        <v/>
      </c>
      <c r="L111" s="25" t="n"/>
      <c r="M111" s="25" t="n"/>
    </row>
    <row r="112"/>
    <row r="113">
      <c r="B113" s="6" t="inlineStr">
        <is>
          <t>INDICATEURS (mis a jour automatiquement)</t>
        </is>
      </c>
    </row>
    <row r="114">
      <c r="B114" s="3" t="inlineStr">
        <is>
          <t>Total heures nuit</t>
        </is>
      </c>
      <c r="D114" s="3" t="inlineStr">
        <is>
          <t>Nuits effectuees</t>
        </is>
      </c>
      <c r="F114" s="3" t="inlineStr">
        <is>
          <t>Agents de nuit</t>
        </is>
      </c>
      <c r="H114" s="3" t="inlineStr">
        <is>
          <t>Moyenne h/nuit</t>
        </is>
      </c>
    </row>
    <row r="115">
      <c r="B115" s="4">
        <f>SUM(K5:K104)</f>
        <v/>
      </c>
      <c r="D115" s="4">
        <f>COUNTIF(M5:M104,"Effectuee")</f>
        <v/>
      </c>
      <c r="F115" s="4">
        <f>COUNTA(C5:C104)-COUNTBLANK(C5:C104)</f>
        <v/>
      </c>
      <c r="H115" s="4">
        <f>IFERROR(AVERAGE(K5:K104),0)</f>
        <v/>
      </c>
    </row>
  </sheetData>
  <mergeCells count="3">
    <mergeCell ref="B3:M3"/>
    <mergeCell ref="B2:M2"/>
    <mergeCell ref="B113:M113"/>
  </mergeCells>
  <conditionalFormatting sqref="M5:M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dataValidations count="4">
    <dataValidation sqref="E5:E109" showDropDown="0" showInputMessage="0" showErrorMessage="0" allowBlank="1" errorTitle="Erreur" error="Valeur invalide" promptTitle="Liste" prompt="Choisir dans la liste" type="list">
      <formula1>'_Lists'!$B$2:$B$14</formula1>
    </dataValidation>
    <dataValidation sqref="F5:F109" showDropDown="0" showInputMessage="0" showErrorMessage="0" allowBlank="1" errorTitle="Erreur" error="Valeur invalide" promptTitle="Liste" prompt="Choisir dans la liste" type="list">
      <formula1>'_Lists'!$C$2:$C$30</formula1>
    </dataValidation>
    <dataValidation sqref="L5:L109" showDropDown="0" showInputMessage="0" showErrorMessage="0" allowBlank="1" errorTitle="Erreur" error="Valeur invalide" promptTitle="Liste" prompt="Choisir dans la liste" type="list">
      <formula1>'_Lists'!$N$2:$N$4</formula1>
    </dataValidation>
    <dataValidation sqref="M5:M109" showDropDown="0" showInputMessage="0" showErrorMessage="0" allowBlank="1" errorTitle="Erreur" error="Valeur invalide" promptTitle="Liste" prompt="Choisir dans la liste" type="list">
      <formula1>'_Lists'!$H$2:$H$5</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0" customWidth="1" min="2" max="2"/>
    <col width="16" customWidth="1" min="3" max="3"/>
    <col width="20" customWidth="1" min="4" max="4"/>
    <col width="18" customWidth="1" min="5" max="5"/>
    <col width="20" customWidth="1" min="6" max="6"/>
    <col width="14" customWidth="1" min="7" max="7"/>
    <col width="12" customWidth="1" min="8" max="8"/>
    <col width="12" customWidth="1" min="9" max="9"/>
    <col width="16" customWidth="1" min="10" max="10"/>
    <col width="16" customWidth="1" min="11" max="11"/>
    <col width="16" customWidth="1" min="12" max="12"/>
    <col width="14" customWidth="1" min="13" max="13"/>
  </cols>
  <sheetData>
    <row r="1" ht="15" customHeight="1"/>
    <row r="2" ht="32" customHeight="1">
      <c r="B2" s="1" t="inlineStr">
        <is>
          <t>HEURES WEEK-END &amp; JOURS FERIES</t>
        </is>
      </c>
    </row>
    <row r="3" ht="8" customHeight="1">
      <c r="B3" s="2" t="inlineStr">
        <is>
          <t>TABLEAU DYNAMIQUE — Saisissez dans la prochaine ligne jaune. Les calculs se mettent a jour automatiquement.</t>
        </is>
      </c>
    </row>
    <row r="4" ht="28" customHeight="1">
      <c r="B4" s="11" t="inlineStr">
        <is>
          <t>N° WEF</t>
        </is>
      </c>
      <c r="C4" s="11" t="inlineStr">
        <is>
          <t>Matricule</t>
        </is>
      </c>
      <c r="D4" s="11" t="inlineStr">
        <is>
          <t>Nom Employe</t>
        </is>
      </c>
      <c r="E4" s="11" t="inlineStr">
        <is>
          <t>Departement</t>
        </is>
      </c>
      <c r="F4" s="11" t="inlineStr">
        <is>
          <t>Poste</t>
        </is>
      </c>
      <c r="G4" s="11" t="inlineStr">
        <is>
          <t>Date</t>
        </is>
      </c>
      <c r="H4" s="11" t="inlineStr">
        <is>
          <t>Jour</t>
        </is>
      </c>
      <c r="I4" s="11" t="inlineStr">
        <is>
          <t>Nb Heures</t>
        </is>
      </c>
      <c r="J4" s="11" t="inlineStr">
        <is>
          <t>Taux Majoration</t>
        </is>
      </c>
      <c r="K4" s="11" t="inlineStr">
        <is>
          <t>Heures Bonifiees</t>
        </is>
      </c>
      <c r="L4" s="11" t="inlineStr">
        <is>
          <t>Montant (FCFA)</t>
        </is>
      </c>
      <c r="M4" s="11" t="inlineStr">
        <is>
          <t>Statut</t>
        </is>
      </c>
    </row>
    <row r="5" ht="22" customHeight="1">
      <c r="B5" s="12" t="inlineStr">
        <is>
          <t>WEF-001</t>
        </is>
      </c>
      <c r="C5" s="12" t="inlineStr">
        <is>
          <t>EMP-004</t>
        </is>
      </c>
      <c r="D5" s="12">
        <f>IF(C5="","",IFERROR(VLOOKUP(C5,'_Données Employés'!$B$5:$H$18,3,FALSE)&amp;" "&amp;VLOOKUP(C5,'_Données Employés'!$B$5:$H$18,4,FALSE),""))</f>
        <v/>
      </c>
      <c r="E5" s="12">
        <f>IF(C5="","",IFERROR(VLOOKUP(C5,'_Données Employés'!$B$5:$H$18,5,FALSE),""))</f>
        <v/>
      </c>
      <c r="F5" s="12">
        <f>IF(C5="","",IFERROR(VLOOKUP(C5,'_Données Employés'!$B$5:$H$18,6,FALSE),""))</f>
        <v/>
      </c>
      <c r="G5" s="33" t="n">
        <v>45815</v>
      </c>
      <c r="H5" s="12" t="inlineStr">
        <is>
          <t>Samedi</t>
        </is>
      </c>
      <c r="I5" s="14" t="n">
        <v>8</v>
      </c>
      <c r="J5" s="12" t="inlineStr">
        <is>
          <t>50%</t>
        </is>
      </c>
      <c r="K5" s="27" t="n">
        <v>12</v>
      </c>
      <c r="L5" s="21" t="n">
        <v>36000</v>
      </c>
      <c r="M5" s="12" t="inlineStr">
        <is>
          <t>Valide</t>
        </is>
      </c>
    </row>
    <row r="6" ht="22" customHeight="1">
      <c r="B6" s="15" t="inlineStr">
        <is>
          <t>WEF-002</t>
        </is>
      </c>
      <c r="C6" s="15" t="inlineStr">
        <is>
          <t>EMP-005</t>
        </is>
      </c>
      <c r="D6" s="15">
        <f>IF(C6="","",IFERROR(VLOOKUP(C6,'_Données Employés'!$B$5:$H$18,3,FALSE)&amp;" "&amp;VLOOKUP(C6,'_Données Employés'!$B$5:$H$18,4,FALSE),""))</f>
        <v/>
      </c>
      <c r="E6" s="15">
        <f>IF(C6="","",IFERROR(VLOOKUP(C6,'_Données Employés'!$B$5:$H$18,5,FALSE),""))</f>
        <v/>
      </c>
      <c r="F6" s="15">
        <f>IF(C6="","",IFERROR(VLOOKUP(C6,'_Données Employés'!$B$5:$H$18,6,FALSE),""))</f>
        <v/>
      </c>
      <c r="G6" s="34" t="n">
        <v>45816</v>
      </c>
      <c r="H6" s="15" t="inlineStr">
        <is>
          <t>Dimanche</t>
        </is>
      </c>
      <c r="I6" s="17" t="n">
        <v>8</v>
      </c>
      <c r="J6" s="15" t="inlineStr">
        <is>
          <t>75%</t>
        </is>
      </c>
      <c r="K6" s="28" t="n">
        <v>14</v>
      </c>
      <c r="L6" s="23" t="n">
        <v>42000</v>
      </c>
      <c r="M6" s="15" t="inlineStr">
        <is>
          <t>Valide</t>
        </is>
      </c>
    </row>
    <row r="7" ht="22" customHeight="1">
      <c r="B7" s="12" t="inlineStr">
        <is>
          <t>WEF-003</t>
        </is>
      </c>
      <c r="C7" s="12" t="inlineStr">
        <is>
          <t>EMP-029</t>
        </is>
      </c>
      <c r="D7" s="12">
        <f>IF(C7="","",IFERROR(VLOOKUP(C7,'_Données Employés'!$B$5:$H$18,3,FALSE)&amp;" "&amp;VLOOKUP(C7,'_Données Employés'!$B$5:$H$18,4,FALSE),""))</f>
        <v/>
      </c>
      <c r="E7" s="12">
        <f>IF(C7="","",IFERROR(VLOOKUP(C7,'_Données Employés'!$B$5:$H$18,5,FALSE),""))</f>
        <v/>
      </c>
      <c r="F7" s="12">
        <f>IF(C7="","",IFERROR(VLOOKUP(C7,'_Données Employés'!$B$5:$H$18,6,FALSE),""))</f>
        <v/>
      </c>
      <c r="G7" s="33" t="n">
        <v>45809</v>
      </c>
      <c r="H7" s="12" t="inlineStr">
        <is>
          <t>Ferie</t>
        </is>
      </c>
      <c r="I7" s="14" t="n">
        <v>8</v>
      </c>
      <c r="J7" s="12" t="inlineStr">
        <is>
          <t>100%</t>
        </is>
      </c>
      <c r="K7" s="27" t="n">
        <v>16</v>
      </c>
      <c r="L7" s="21" t="n">
        <v>48000</v>
      </c>
      <c r="M7" s="12" t="inlineStr">
        <is>
          <t>Valide</t>
        </is>
      </c>
    </row>
    <row r="8" ht="22" customHeight="1">
      <c r="B8" s="15" t="inlineStr">
        <is>
          <t>WEF-004</t>
        </is>
      </c>
      <c r="C8" s="15" t="inlineStr">
        <is>
          <t>EMP-028</t>
        </is>
      </c>
      <c r="D8" s="15">
        <f>IF(C8="","",IFERROR(VLOOKUP(C8,'_Données Employés'!$B$5:$H$18,3,FALSE)&amp;" "&amp;VLOOKUP(C8,'_Données Employés'!$B$5:$H$18,4,FALSE),""))</f>
        <v/>
      </c>
      <c r="E8" s="15">
        <f>IF(C8="","",IFERROR(VLOOKUP(C8,'_Données Employés'!$B$5:$H$18,5,FALSE),""))</f>
        <v/>
      </c>
      <c r="F8" s="15">
        <f>IF(C8="","",IFERROR(VLOOKUP(C8,'_Données Employés'!$B$5:$H$18,6,FALSE),""))</f>
        <v/>
      </c>
      <c r="G8" s="34" t="n">
        <v>45815</v>
      </c>
      <c r="H8" s="15" t="inlineStr">
        <is>
          <t>Samedi</t>
        </is>
      </c>
      <c r="I8" s="17" t="n">
        <v>8</v>
      </c>
      <c r="J8" s="15" t="inlineStr">
        <is>
          <t>50%</t>
        </is>
      </c>
      <c r="K8" s="28" t="n">
        <v>12</v>
      </c>
      <c r="L8" s="23" t="n">
        <v>36000</v>
      </c>
      <c r="M8" s="15" t="inlineStr">
        <is>
          <t>Valide</t>
        </is>
      </c>
    </row>
    <row r="9" ht="22" customHeight="1">
      <c r="B9" s="12" t="inlineStr">
        <is>
          <t>WEF-005</t>
        </is>
      </c>
      <c r="C9" s="12" t="inlineStr">
        <is>
          <t>EMP-002</t>
        </is>
      </c>
      <c r="D9" s="12">
        <f>IF(C9="","",IFERROR(VLOOKUP(C9,'_Données Employés'!$B$5:$H$18,3,FALSE)&amp;" "&amp;VLOOKUP(C9,'_Données Employés'!$B$5:$H$18,4,FALSE),""))</f>
        <v/>
      </c>
      <c r="E9" s="12">
        <f>IF(C9="","",IFERROR(VLOOKUP(C9,'_Données Employés'!$B$5:$H$18,5,FALSE),""))</f>
        <v/>
      </c>
      <c r="F9" s="12">
        <f>IF(C9="","",IFERROR(VLOOKUP(C9,'_Données Employés'!$B$5:$H$18,6,FALSE),""))</f>
        <v/>
      </c>
      <c r="G9" s="33" t="n">
        <v>45816</v>
      </c>
      <c r="H9" s="12" t="inlineStr">
        <is>
          <t>Dimanche</t>
        </is>
      </c>
      <c r="I9" s="14" t="n">
        <v>4</v>
      </c>
      <c r="J9" s="12" t="inlineStr">
        <is>
          <t>75%</t>
        </is>
      </c>
      <c r="K9" s="27" t="n">
        <v>7</v>
      </c>
      <c r="L9" s="21" t="n">
        <v>21000</v>
      </c>
      <c r="M9" s="12" t="inlineStr">
        <is>
          <t>En attente</t>
        </is>
      </c>
    </row>
    <row r="10" ht="22" customHeight="1">
      <c r="B10" s="18">
        <f>IF(C10="","WEF-"&amp;TEXT(COUNTA($C$5:C10),"000"))</f>
        <v/>
      </c>
      <c r="C10" s="15" t="n"/>
      <c r="D10" s="15" t="n"/>
      <c r="E10" s="15" t="n"/>
      <c r="F10" s="15" t="n"/>
      <c r="G10" s="34" t="n"/>
      <c r="H10" s="15" t="n"/>
      <c r="I10" s="17" t="n"/>
      <c r="J10" s="15" t="n"/>
      <c r="K10" s="28">
        <f>IF(I10="","",I10*(1+SUBSTITUTE(J10,"%","")/100))</f>
        <v/>
      </c>
      <c r="L10" s="23" t="n"/>
      <c r="M10" s="15" t="n"/>
    </row>
    <row r="11" ht="22" customHeight="1">
      <c r="B11" s="19">
        <f>IF(C11="","WEF-"&amp;TEXT(COUNTA($C$5:C11),"000"))</f>
        <v/>
      </c>
      <c r="C11" s="12" t="n"/>
      <c r="D11" s="12" t="n"/>
      <c r="E11" s="12" t="n"/>
      <c r="F11" s="12" t="n"/>
      <c r="G11" s="33" t="n"/>
      <c r="H11" s="12" t="n"/>
      <c r="I11" s="14" t="n"/>
      <c r="J11" s="12" t="n"/>
      <c r="K11" s="27">
        <f>IF(I11="","",I11*(1+SUBSTITUTE(J11,"%","")/100))</f>
        <v/>
      </c>
      <c r="L11" s="21" t="n"/>
      <c r="M11" s="12" t="n"/>
    </row>
    <row r="12" ht="22" customHeight="1">
      <c r="B12" s="18">
        <f>IF(C12="","WEF-"&amp;TEXT(COUNTA($C$5:C12),"000"))</f>
        <v/>
      </c>
      <c r="C12" s="15" t="n"/>
      <c r="D12" s="15" t="n"/>
      <c r="E12" s="15" t="n"/>
      <c r="F12" s="15" t="n"/>
      <c r="G12" s="34" t="n"/>
      <c r="H12" s="15" t="n"/>
      <c r="I12" s="17" t="n"/>
      <c r="J12" s="15" t="n"/>
      <c r="K12" s="28">
        <f>IF(I12="","",I12*(1+SUBSTITUTE(J12,"%","")/100))</f>
        <v/>
      </c>
      <c r="L12" s="23" t="n"/>
      <c r="M12" s="15" t="n"/>
    </row>
    <row r="13" ht="22" customHeight="1">
      <c r="B13" s="19">
        <f>IF(C13="","WEF-"&amp;TEXT(COUNTA($C$5:C13),"000"))</f>
        <v/>
      </c>
      <c r="C13" s="12" t="n"/>
      <c r="D13" s="12" t="n"/>
      <c r="E13" s="12" t="n"/>
      <c r="F13" s="12" t="n"/>
      <c r="G13" s="33" t="n"/>
      <c r="H13" s="12" t="n"/>
      <c r="I13" s="14" t="n"/>
      <c r="J13" s="12" t="n"/>
      <c r="K13" s="27">
        <f>IF(I13="","",I13*(1+SUBSTITUTE(J13,"%","")/100))</f>
        <v/>
      </c>
      <c r="L13" s="21" t="n"/>
      <c r="M13" s="12" t="n"/>
    </row>
    <row r="14" ht="22" customHeight="1">
      <c r="B14" s="18">
        <f>IF(C14="","WEF-"&amp;TEXT(COUNTA($C$5:C14),"000"))</f>
        <v/>
      </c>
      <c r="C14" s="15" t="n"/>
      <c r="D14" s="15" t="n"/>
      <c r="E14" s="15" t="n"/>
      <c r="F14" s="15" t="n"/>
      <c r="G14" s="34" t="n"/>
      <c r="H14" s="15" t="n"/>
      <c r="I14" s="17" t="n"/>
      <c r="J14" s="15" t="n"/>
      <c r="K14" s="28">
        <f>IF(I14="","",I14*(1+SUBSTITUTE(J14,"%","")/100))</f>
        <v/>
      </c>
      <c r="L14" s="23" t="n"/>
      <c r="M14" s="15" t="n"/>
    </row>
    <row r="15" ht="22" customHeight="1">
      <c r="B15" s="19">
        <f>IF(C15="","WEF-"&amp;TEXT(COUNTA($C$5:C15),"000"))</f>
        <v/>
      </c>
      <c r="C15" s="12" t="n"/>
      <c r="D15" s="12" t="n"/>
      <c r="E15" s="12" t="n"/>
      <c r="F15" s="12" t="n"/>
      <c r="G15" s="33" t="n"/>
      <c r="H15" s="12" t="n"/>
      <c r="I15" s="14" t="n"/>
      <c r="J15" s="12" t="n"/>
      <c r="K15" s="27">
        <f>IF(I15="","",I15*(1+SUBSTITUTE(J15,"%","")/100))</f>
        <v/>
      </c>
      <c r="L15" s="21" t="n"/>
      <c r="M15" s="12" t="n"/>
    </row>
    <row r="16" ht="22" customHeight="1">
      <c r="B16" s="18">
        <f>IF(C16="","WEF-"&amp;TEXT(COUNTA($C$5:C16),"000"))</f>
        <v/>
      </c>
      <c r="C16" s="15" t="n"/>
      <c r="D16" s="15" t="n"/>
      <c r="E16" s="15" t="n"/>
      <c r="F16" s="15" t="n"/>
      <c r="G16" s="34" t="n"/>
      <c r="H16" s="15" t="n"/>
      <c r="I16" s="17" t="n"/>
      <c r="J16" s="15" t="n"/>
      <c r="K16" s="28">
        <f>IF(I16="","",I16*(1+SUBSTITUTE(J16,"%","")/100))</f>
        <v/>
      </c>
      <c r="L16" s="23" t="n"/>
      <c r="M16" s="15" t="n"/>
    </row>
    <row r="17" ht="22" customHeight="1">
      <c r="B17" s="19">
        <f>IF(C17="","WEF-"&amp;TEXT(COUNTA($C$5:C17),"000"))</f>
        <v/>
      </c>
      <c r="C17" s="12" t="n"/>
      <c r="D17" s="12" t="n"/>
      <c r="E17" s="12" t="n"/>
      <c r="F17" s="12" t="n"/>
      <c r="G17" s="33" t="n"/>
      <c r="H17" s="12" t="n"/>
      <c r="I17" s="14" t="n"/>
      <c r="J17" s="12" t="n"/>
      <c r="K17" s="27">
        <f>IF(I17="","",I17*(1+SUBSTITUTE(J17,"%","")/100))</f>
        <v/>
      </c>
      <c r="L17" s="21" t="n"/>
      <c r="M17" s="12" t="n"/>
    </row>
    <row r="18" ht="22" customHeight="1">
      <c r="B18" s="18">
        <f>IF(C18="","WEF-"&amp;TEXT(COUNTA($C$5:C18),"000"))</f>
        <v/>
      </c>
      <c r="C18" s="15" t="n"/>
      <c r="D18" s="15" t="n"/>
      <c r="E18" s="15" t="n"/>
      <c r="F18" s="15" t="n"/>
      <c r="G18" s="34" t="n"/>
      <c r="H18" s="15" t="n"/>
      <c r="I18" s="17" t="n"/>
      <c r="J18" s="15" t="n"/>
      <c r="K18" s="28">
        <f>IF(I18="","",I18*(1+SUBSTITUTE(J18,"%","")/100))</f>
        <v/>
      </c>
      <c r="L18" s="23" t="n"/>
      <c r="M18" s="15" t="n"/>
    </row>
    <row r="19" ht="22" customHeight="1">
      <c r="B19" s="19">
        <f>IF(C19="","WEF-"&amp;TEXT(COUNTA($C$5:C19),"000"))</f>
        <v/>
      </c>
      <c r="C19" s="12" t="n"/>
      <c r="D19" s="12" t="n"/>
      <c r="E19" s="12" t="n"/>
      <c r="F19" s="12" t="n"/>
      <c r="G19" s="33" t="n"/>
      <c r="H19" s="12" t="n"/>
      <c r="I19" s="14" t="n"/>
      <c r="J19" s="12" t="n"/>
      <c r="K19" s="27">
        <f>IF(I19="","",I19*(1+SUBSTITUTE(J19,"%","")/100))</f>
        <v/>
      </c>
      <c r="L19" s="21" t="n"/>
      <c r="M19" s="12" t="n"/>
    </row>
    <row r="20" ht="22" customHeight="1">
      <c r="B20" s="18">
        <f>IF(C20="","WEF-"&amp;TEXT(COUNTA($C$5:C20),"000"))</f>
        <v/>
      </c>
      <c r="C20" s="15" t="n"/>
      <c r="D20" s="15" t="n"/>
      <c r="E20" s="15" t="n"/>
      <c r="F20" s="15" t="n"/>
      <c r="G20" s="34" t="n"/>
      <c r="H20" s="15" t="n"/>
      <c r="I20" s="17" t="n"/>
      <c r="J20" s="15" t="n"/>
      <c r="K20" s="28">
        <f>IF(I20="","",I20*(1+SUBSTITUTE(J20,"%","")/100))</f>
        <v/>
      </c>
      <c r="L20" s="23" t="n"/>
      <c r="M20" s="15" t="n"/>
    </row>
    <row r="21" ht="22" customHeight="1">
      <c r="B21" s="19">
        <f>IF(C21="","WEF-"&amp;TEXT(COUNTA($C$5:C21),"000"))</f>
        <v/>
      </c>
      <c r="C21" s="12" t="n"/>
      <c r="D21" s="12" t="n"/>
      <c r="E21" s="12" t="n"/>
      <c r="F21" s="12" t="n"/>
      <c r="G21" s="33" t="n"/>
      <c r="H21" s="12" t="n"/>
      <c r="I21" s="14" t="n"/>
      <c r="J21" s="12" t="n"/>
      <c r="K21" s="27">
        <f>IF(I21="","",I21*(1+SUBSTITUTE(J21,"%","")/100))</f>
        <v/>
      </c>
      <c r="L21" s="21" t="n"/>
      <c r="M21" s="12" t="n"/>
    </row>
    <row r="22" ht="22" customHeight="1">
      <c r="B22" s="18">
        <f>IF(C22="","WEF-"&amp;TEXT(COUNTA($C$5:C22),"000"))</f>
        <v/>
      </c>
      <c r="C22" s="15" t="n"/>
      <c r="D22" s="15" t="n"/>
      <c r="E22" s="15" t="n"/>
      <c r="F22" s="15" t="n"/>
      <c r="G22" s="34" t="n"/>
      <c r="H22" s="15" t="n"/>
      <c r="I22" s="17" t="n"/>
      <c r="J22" s="15" t="n"/>
      <c r="K22" s="28">
        <f>IF(I22="","",I22*(1+SUBSTITUTE(J22,"%","")/100))</f>
        <v/>
      </c>
      <c r="L22" s="23" t="n"/>
      <c r="M22" s="15" t="n"/>
    </row>
    <row r="23" ht="22" customHeight="1">
      <c r="B23" s="19">
        <f>IF(C23="","WEF-"&amp;TEXT(COUNTA($C$5:C23),"000"))</f>
        <v/>
      </c>
      <c r="C23" s="12" t="n"/>
      <c r="D23" s="12" t="n"/>
      <c r="E23" s="12" t="n"/>
      <c r="F23" s="12" t="n"/>
      <c r="G23" s="33" t="n"/>
      <c r="H23" s="12" t="n"/>
      <c r="I23" s="14" t="n"/>
      <c r="J23" s="12" t="n"/>
      <c r="K23" s="27">
        <f>IF(I23="","",I23*(1+SUBSTITUTE(J23,"%","")/100))</f>
        <v/>
      </c>
      <c r="L23" s="21" t="n"/>
      <c r="M23" s="12" t="n"/>
    </row>
    <row r="24" ht="22" customHeight="1">
      <c r="B24" s="18">
        <f>IF(C24="","WEF-"&amp;TEXT(COUNTA($C$5:C24),"000"))</f>
        <v/>
      </c>
      <c r="C24" s="15" t="n"/>
      <c r="D24" s="15" t="n"/>
      <c r="E24" s="15" t="n"/>
      <c r="F24" s="15" t="n"/>
      <c r="G24" s="34" t="n"/>
      <c r="H24" s="15" t="n"/>
      <c r="I24" s="17" t="n"/>
      <c r="J24" s="15" t="n"/>
      <c r="K24" s="28">
        <f>IF(I24="","",I24*(1+SUBSTITUTE(J24,"%","")/100))</f>
        <v/>
      </c>
      <c r="L24" s="23" t="n"/>
      <c r="M24" s="15" t="n"/>
    </row>
    <row r="25" ht="22" customHeight="1">
      <c r="B25" s="19">
        <f>IF(C25="","WEF-"&amp;TEXT(COUNTA($C$5:C25),"000"))</f>
        <v/>
      </c>
      <c r="C25" s="12" t="n"/>
      <c r="D25" s="12" t="n"/>
      <c r="E25" s="12" t="n"/>
      <c r="F25" s="12" t="n"/>
      <c r="G25" s="33" t="n"/>
      <c r="H25" s="12" t="n"/>
      <c r="I25" s="14" t="n"/>
      <c r="J25" s="12" t="n"/>
      <c r="K25" s="27">
        <f>IF(I25="","",I25*(1+SUBSTITUTE(J25,"%","")/100))</f>
        <v/>
      </c>
      <c r="L25" s="21" t="n"/>
      <c r="M25" s="12" t="n"/>
    </row>
    <row r="26" ht="22" customHeight="1">
      <c r="B26" s="18">
        <f>IF(C26="","WEF-"&amp;TEXT(COUNTA($C$5:C26),"000"))</f>
        <v/>
      </c>
      <c r="C26" s="15" t="n"/>
      <c r="D26" s="15" t="n"/>
      <c r="E26" s="15" t="n"/>
      <c r="F26" s="15" t="n"/>
      <c r="G26" s="34" t="n"/>
      <c r="H26" s="15" t="n"/>
      <c r="I26" s="17" t="n"/>
      <c r="J26" s="15" t="n"/>
      <c r="K26" s="28">
        <f>IF(I26="","",I26*(1+SUBSTITUTE(J26,"%","")/100))</f>
        <v/>
      </c>
      <c r="L26" s="23" t="n"/>
      <c r="M26" s="15" t="n"/>
    </row>
    <row r="27" ht="22" customHeight="1">
      <c r="B27" s="19">
        <f>IF(C27="","WEF-"&amp;TEXT(COUNTA($C$5:C27),"000"))</f>
        <v/>
      </c>
      <c r="C27" s="12" t="n"/>
      <c r="D27" s="12" t="n"/>
      <c r="E27" s="12" t="n"/>
      <c r="F27" s="12" t="n"/>
      <c r="G27" s="33" t="n"/>
      <c r="H27" s="12" t="n"/>
      <c r="I27" s="14" t="n"/>
      <c r="J27" s="12" t="n"/>
      <c r="K27" s="27">
        <f>IF(I27="","",I27*(1+SUBSTITUTE(J27,"%","")/100))</f>
        <v/>
      </c>
      <c r="L27" s="21" t="n"/>
      <c r="M27" s="12" t="n"/>
    </row>
    <row r="28" ht="22" customHeight="1">
      <c r="B28" s="18">
        <f>IF(C28="","WEF-"&amp;TEXT(COUNTA($C$5:C28),"000"))</f>
        <v/>
      </c>
      <c r="C28" s="15" t="n"/>
      <c r="D28" s="15" t="n"/>
      <c r="E28" s="15" t="n"/>
      <c r="F28" s="15" t="n"/>
      <c r="G28" s="34" t="n"/>
      <c r="H28" s="15" t="n"/>
      <c r="I28" s="17" t="n"/>
      <c r="J28" s="15" t="n"/>
      <c r="K28" s="28">
        <f>IF(I28="","",I28*(1+SUBSTITUTE(J28,"%","")/100))</f>
        <v/>
      </c>
      <c r="L28" s="23" t="n"/>
      <c r="M28" s="15" t="n"/>
    </row>
    <row r="29" ht="22" customHeight="1">
      <c r="B29" s="19">
        <f>IF(C29="","WEF-"&amp;TEXT(COUNTA($C$5:C29),"000"))</f>
        <v/>
      </c>
      <c r="C29" s="12" t="n"/>
      <c r="D29" s="12" t="n"/>
      <c r="E29" s="12" t="n"/>
      <c r="F29" s="12" t="n"/>
      <c r="G29" s="33" t="n"/>
      <c r="H29" s="12" t="n"/>
      <c r="I29" s="14" t="n"/>
      <c r="J29" s="12" t="n"/>
      <c r="K29" s="27">
        <f>IF(I29="","",I29*(1+SUBSTITUTE(J29,"%","")/100))</f>
        <v/>
      </c>
      <c r="L29" s="21" t="n"/>
      <c r="M29" s="12" t="n"/>
    </row>
    <row r="30" ht="22" customHeight="1">
      <c r="B30" s="18">
        <f>IF(C30="","WEF-"&amp;TEXT(COUNTA($C$5:C30),"000"))</f>
        <v/>
      </c>
      <c r="C30" s="15" t="n"/>
      <c r="D30" s="15" t="n"/>
      <c r="E30" s="15" t="n"/>
      <c r="F30" s="15" t="n"/>
      <c r="G30" s="34" t="n"/>
      <c r="H30" s="15" t="n"/>
      <c r="I30" s="17" t="n"/>
      <c r="J30" s="15" t="n"/>
      <c r="K30" s="28">
        <f>IF(I30="","",I30*(1+SUBSTITUTE(J30,"%","")/100))</f>
        <v/>
      </c>
      <c r="L30" s="23" t="n"/>
      <c r="M30" s="15" t="n"/>
    </row>
    <row r="31" ht="22" customHeight="1">
      <c r="B31" s="19">
        <f>IF(C31="","WEF-"&amp;TEXT(COUNTA($C$5:C31),"000"))</f>
        <v/>
      </c>
      <c r="C31" s="12" t="n"/>
      <c r="D31" s="12" t="n"/>
      <c r="E31" s="12" t="n"/>
      <c r="F31" s="12" t="n"/>
      <c r="G31" s="33" t="n"/>
      <c r="H31" s="12" t="n"/>
      <c r="I31" s="14" t="n"/>
      <c r="J31" s="12" t="n"/>
      <c r="K31" s="27">
        <f>IF(I31="","",I31*(1+SUBSTITUTE(J31,"%","")/100))</f>
        <v/>
      </c>
      <c r="L31" s="21" t="n"/>
      <c r="M31" s="12" t="n"/>
    </row>
    <row r="32" ht="22" customHeight="1">
      <c r="B32" s="18">
        <f>IF(C32="","WEF-"&amp;TEXT(COUNTA($C$5:C32),"000"))</f>
        <v/>
      </c>
      <c r="C32" s="15" t="n"/>
      <c r="D32" s="15" t="n"/>
      <c r="E32" s="15" t="n"/>
      <c r="F32" s="15" t="n"/>
      <c r="G32" s="34" t="n"/>
      <c r="H32" s="15" t="n"/>
      <c r="I32" s="17" t="n"/>
      <c r="J32" s="15" t="n"/>
      <c r="K32" s="28">
        <f>IF(I32="","",I32*(1+SUBSTITUTE(J32,"%","")/100))</f>
        <v/>
      </c>
      <c r="L32" s="23" t="n"/>
      <c r="M32" s="15" t="n"/>
    </row>
    <row r="33" ht="22" customHeight="1">
      <c r="B33" s="19">
        <f>IF(C33="","WEF-"&amp;TEXT(COUNTA($C$5:C33),"000"))</f>
        <v/>
      </c>
      <c r="C33" s="12" t="n"/>
      <c r="D33" s="12" t="n"/>
      <c r="E33" s="12" t="n"/>
      <c r="F33" s="12" t="n"/>
      <c r="G33" s="33" t="n"/>
      <c r="H33" s="12" t="n"/>
      <c r="I33" s="14" t="n"/>
      <c r="J33" s="12" t="n"/>
      <c r="K33" s="27">
        <f>IF(I33="","",I33*(1+SUBSTITUTE(J33,"%","")/100))</f>
        <v/>
      </c>
      <c r="L33" s="21" t="n"/>
      <c r="M33" s="12" t="n"/>
    </row>
    <row r="34" ht="22" customHeight="1">
      <c r="B34" s="18">
        <f>IF(C34="","WEF-"&amp;TEXT(COUNTA($C$5:C34),"000"))</f>
        <v/>
      </c>
      <c r="C34" s="15" t="n"/>
      <c r="D34" s="15" t="n"/>
      <c r="E34" s="15" t="n"/>
      <c r="F34" s="15" t="n"/>
      <c r="G34" s="34" t="n"/>
      <c r="H34" s="15" t="n"/>
      <c r="I34" s="17" t="n"/>
      <c r="J34" s="15" t="n"/>
      <c r="K34" s="28">
        <f>IF(I34="","",I34*(1+SUBSTITUTE(J34,"%","")/100))</f>
        <v/>
      </c>
      <c r="L34" s="23" t="n"/>
      <c r="M34" s="15" t="n"/>
    </row>
    <row r="35" ht="22" customHeight="1">
      <c r="B35" s="19">
        <f>IF(C35="","WEF-"&amp;TEXT(COUNTA($C$5:C35),"000"))</f>
        <v/>
      </c>
      <c r="C35" s="12" t="n"/>
      <c r="D35" s="12" t="n"/>
      <c r="E35" s="12" t="n"/>
      <c r="F35" s="12" t="n"/>
      <c r="G35" s="33" t="n"/>
      <c r="H35" s="12" t="n"/>
      <c r="I35" s="14" t="n"/>
      <c r="J35" s="12" t="n"/>
      <c r="K35" s="27">
        <f>IF(I35="","",I35*(1+SUBSTITUTE(J35,"%","")/100))</f>
        <v/>
      </c>
      <c r="L35" s="21" t="n"/>
      <c r="M35" s="12" t="n"/>
    </row>
    <row r="36" ht="22" customHeight="1">
      <c r="B36" s="18">
        <f>IF(C36="","WEF-"&amp;TEXT(COUNTA($C$5:C36),"000"))</f>
        <v/>
      </c>
      <c r="C36" s="15" t="n"/>
      <c r="D36" s="15" t="n"/>
      <c r="E36" s="15" t="n"/>
      <c r="F36" s="15" t="n"/>
      <c r="G36" s="34" t="n"/>
      <c r="H36" s="15" t="n"/>
      <c r="I36" s="17" t="n"/>
      <c r="J36" s="15" t="n"/>
      <c r="K36" s="28">
        <f>IF(I36="","",I36*(1+SUBSTITUTE(J36,"%","")/100))</f>
        <v/>
      </c>
      <c r="L36" s="23" t="n"/>
      <c r="M36" s="15" t="n"/>
    </row>
    <row r="37" ht="22" customHeight="1">
      <c r="B37" s="19">
        <f>IF(C37="","WEF-"&amp;TEXT(COUNTA($C$5:C37),"000"))</f>
        <v/>
      </c>
      <c r="C37" s="12" t="n"/>
      <c r="D37" s="12" t="n"/>
      <c r="E37" s="12" t="n"/>
      <c r="F37" s="12" t="n"/>
      <c r="G37" s="33" t="n"/>
      <c r="H37" s="12" t="n"/>
      <c r="I37" s="14" t="n"/>
      <c r="J37" s="12" t="n"/>
      <c r="K37" s="27">
        <f>IF(I37="","",I37*(1+SUBSTITUTE(J37,"%","")/100))</f>
        <v/>
      </c>
      <c r="L37" s="21" t="n"/>
      <c r="M37" s="12" t="n"/>
    </row>
    <row r="38" ht="22" customHeight="1">
      <c r="B38" s="18">
        <f>IF(C38="","WEF-"&amp;TEXT(COUNTA($C$5:C38),"000"))</f>
        <v/>
      </c>
      <c r="C38" s="15" t="n"/>
      <c r="D38" s="15" t="n"/>
      <c r="E38" s="15" t="n"/>
      <c r="F38" s="15" t="n"/>
      <c r="G38" s="34" t="n"/>
      <c r="H38" s="15" t="n"/>
      <c r="I38" s="17" t="n"/>
      <c r="J38" s="15" t="n"/>
      <c r="K38" s="28">
        <f>IF(I38="","",I38*(1+SUBSTITUTE(J38,"%","")/100))</f>
        <v/>
      </c>
      <c r="L38" s="23" t="n"/>
      <c r="M38" s="15" t="n"/>
    </row>
    <row r="39" ht="22" customHeight="1">
      <c r="B39" s="19">
        <f>IF(C39="","WEF-"&amp;TEXT(COUNTA($C$5:C39),"000"))</f>
        <v/>
      </c>
      <c r="C39" s="12" t="n"/>
      <c r="D39" s="12" t="n"/>
      <c r="E39" s="12" t="n"/>
      <c r="F39" s="12" t="n"/>
      <c r="G39" s="33" t="n"/>
      <c r="H39" s="12" t="n"/>
      <c r="I39" s="14" t="n"/>
      <c r="J39" s="12" t="n"/>
      <c r="K39" s="27">
        <f>IF(I39="","",I39*(1+SUBSTITUTE(J39,"%","")/100))</f>
        <v/>
      </c>
      <c r="L39" s="21" t="n"/>
      <c r="M39" s="12" t="n"/>
    </row>
    <row r="40" ht="22" customHeight="1">
      <c r="B40" s="18">
        <f>IF(C40="","WEF-"&amp;TEXT(COUNTA($C$5:C40),"000"))</f>
        <v/>
      </c>
      <c r="C40" s="15" t="n"/>
      <c r="D40" s="15" t="n"/>
      <c r="E40" s="15" t="n"/>
      <c r="F40" s="15" t="n"/>
      <c r="G40" s="34" t="n"/>
      <c r="H40" s="15" t="n"/>
      <c r="I40" s="17" t="n"/>
      <c r="J40" s="15" t="n"/>
      <c r="K40" s="28">
        <f>IF(I40="","",I40*(1+SUBSTITUTE(J40,"%","")/100))</f>
        <v/>
      </c>
      <c r="L40" s="23" t="n"/>
      <c r="M40" s="15" t="n"/>
    </row>
    <row r="41" ht="22" customHeight="1">
      <c r="B41" s="19">
        <f>IF(C41="","WEF-"&amp;TEXT(COUNTA($C$5:C41),"000"))</f>
        <v/>
      </c>
      <c r="C41" s="12" t="n"/>
      <c r="D41" s="12" t="n"/>
      <c r="E41" s="12" t="n"/>
      <c r="F41" s="12" t="n"/>
      <c r="G41" s="33" t="n"/>
      <c r="H41" s="12" t="n"/>
      <c r="I41" s="14" t="n"/>
      <c r="J41" s="12" t="n"/>
      <c r="K41" s="27">
        <f>IF(I41="","",I41*(1+SUBSTITUTE(J41,"%","")/100))</f>
        <v/>
      </c>
      <c r="L41" s="21" t="n"/>
      <c r="M41" s="12" t="n"/>
    </row>
    <row r="42" ht="22" customHeight="1">
      <c r="B42" s="18">
        <f>IF(C42="","WEF-"&amp;TEXT(COUNTA($C$5:C42),"000"))</f>
        <v/>
      </c>
      <c r="C42" s="15" t="n"/>
      <c r="D42" s="15" t="n"/>
      <c r="E42" s="15" t="n"/>
      <c r="F42" s="15" t="n"/>
      <c r="G42" s="34" t="n"/>
      <c r="H42" s="15" t="n"/>
      <c r="I42" s="17" t="n"/>
      <c r="J42" s="15" t="n"/>
      <c r="K42" s="28">
        <f>IF(I42="","",I42*(1+SUBSTITUTE(J42,"%","")/100))</f>
        <v/>
      </c>
      <c r="L42" s="23" t="n"/>
      <c r="M42" s="15" t="n"/>
    </row>
    <row r="43" ht="22" customHeight="1">
      <c r="B43" s="19">
        <f>IF(C43="","WEF-"&amp;TEXT(COUNTA($C$5:C43),"000"))</f>
        <v/>
      </c>
      <c r="C43" s="12" t="n"/>
      <c r="D43" s="12" t="n"/>
      <c r="E43" s="12" t="n"/>
      <c r="F43" s="12" t="n"/>
      <c r="G43" s="33" t="n"/>
      <c r="H43" s="12" t="n"/>
      <c r="I43" s="14" t="n"/>
      <c r="J43" s="12" t="n"/>
      <c r="K43" s="27">
        <f>IF(I43="","",I43*(1+SUBSTITUTE(J43,"%","")/100))</f>
        <v/>
      </c>
      <c r="L43" s="21" t="n"/>
      <c r="M43" s="12" t="n"/>
    </row>
    <row r="44" ht="22" customHeight="1">
      <c r="B44" s="18">
        <f>IF(C44="","WEF-"&amp;TEXT(COUNTA($C$5:C44),"000"))</f>
        <v/>
      </c>
      <c r="C44" s="15" t="n"/>
      <c r="D44" s="15" t="n"/>
      <c r="E44" s="15" t="n"/>
      <c r="F44" s="15" t="n"/>
      <c r="G44" s="34" t="n"/>
      <c r="H44" s="15" t="n"/>
      <c r="I44" s="17" t="n"/>
      <c r="J44" s="15" t="n"/>
      <c r="K44" s="28">
        <f>IF(I44="","",I44*(1+SUBSTITUTE(J44,"%","")/100))</f>
        <v/>
      </c>
      <c r="L44" s="23" t="n"/>
      <c r="M44" s="15" t="n"/>
    </row>
    <row r="45" ht="22" customHeight="1">
      <c r="B45" s="19">
        <f>IF(C45="","WEF-"&amp;TEXT(COUNTA($C$5:C45),"000"))</f>
        <v/>
      </c>
      <c r="C45" s="12" t="n"/>
      <c r="D45" s="12" t="n"/>
      <c r="E45" s="12" t="n"/>
      <c r="F45" s="12" t="n"/>
      <c r="G45" s="33" t="n"/>
      <c r="H45" s="12" t="n"/>
      <c r="I45" s="14" t="n"/>
      <c r="J45" s="12" t="n"/>
      <c r="K45" s="27">
        <f>IF(I45="","",I45*(1+SUBSTITUTE(J45,"%","")/100))</f>
        <v/>
      </c>
      <c r="L45" s="21" t="n"/>
      <c r="M45" s="12" t="n"/>
    </row>
    <row r="46" ht="22" customHeight="1">
      <c r="B46" s="18">
        <f>IF(C46="","WEF-"&amp;TEXT(COUNTA($C$5:C46),"000"))</f>
        <v/>
      </c>
      <c r="C46" s="15" t="n"/>
      <c r="D46" s="15" t="n"/>
      <c r="E46" s="15" t="n"/>
      <c r="F46" s="15" t="n"/>
      <c r="G46" s="34" t="n"/>
      <c r="H46" s="15" t="n"/>
      <c r="I46" s="17" t="n"/>
      <c r="J46" s="15" t="n"/>
      <c r="K46" s="28">
        <f>IF(I46="","",I46*(1+SUBSTITUTE(J46,"%","")/100))</f>
        <v/>
      </c>
      <c r="L46" s="23" t="n"/>
      <c r="M46" s="15" t="n"/>
    </row>
    <row r="47" ht="22" customHeight="1">
      <c r="B47" s="19">
        <f>IF(C47="","WEF-"&amp;TEXT(COUNTA($C$5:C47),"000"))</f>
        <v/>
      </c>
      <c r="C47" s="12" t="n"/>
      <c r="D47" s="12" t="n"/>
      <c r="E47" s="12" t="n"/>
      <c r="F47" s="12" t="n"/>
      <c r="G47" s="33" t="n"/>
      <c r="H47" s="12" t="n"/>
      <c r="I47" s="14" t="n"/>
      <c r="J47" s="12" t="n"/>
      <c r="K47" s="27">
        <f>IF(I47="","",I47*(1+SUBSTITUTE(J47,"%","")/100))</f>
        <v/>
      </c>
      <c r="L47" s="21" t="n"/>
      <c r="M47" s="12" t="n"/>
    </row>
    <row r="48" ht="22" customHeight="1">
      <c r="B48" s="18">
        <f>IF(C48="","WEF-"&amp;TEXT(COUNTA($C$5:C48),"000"))</f>
        <v/>
      </c>
      <c r="C48" s="15" t="n"/>
      <c r="D48" s="15" t="n"/>
      <c r="E48" s="15" t="n"/>
      <c r="F48" s="15" t="n"/>
      <c r="G48" s="34" t="n"/>
      <c r="H48" s="15" t="n"/>
      <c r="I48" s="17" t="n"/>
      <c r="J48" s="15" t="n"/>
      <c r="K48" s="28">
        <f>IF(I48="","",I48*(1+SUBSTITUTE(J48,"%","")/100))</f>
        <v/>
      </c>
      <c r="L48" s="23" t="n"/>
      <c r="M48" s="15" t="n"/>
    </row>
    <row r="49" ht="22" customHeight="1">
      <c r="B49" s="19">
        <f>IF(C49="","WEF-"&amp;TEXT(COUNTA($C$5:C49),"000"))</f>
        <v/>
      </c>
      <c r="C49" s="12" t="n"/>
      <c r="D49" s="12" t="n"/>
      <c r="E49" s="12" t="n"/>
      <c r="F49" s="12" t="n"/>
      <c r="G49" s="33" t="n"/>
      <c r="H49" s="12" t="n"/>
      <c r="I49" s="14" t="n"/>
      <c r="J49" s="12" t="n"/>
      <c r="K49" s="27">
        <f>IF(I49="","",I49*(1+SUBSTITUTE(J49,"%","")/100))</f>
        <v/>
      </c>
      <c r="L49" s="21" t="n"/>
      <c r="M49" s="12" t="n"/>
    </row>
    <row r="50" ht="22" customHeight="1">
      <c r="B50" s="18">
        <f>IF(C50="","WEF-"&amp;TEXT(COUNTA($C$5:C50),"000"))</f>
        <v/>
      </c>
      <c r="C50" s="15" t="n"/>
      <c r="D50" s="15" t="n"/>
      <c r="E50" s="15" t="n"/>
      <c r="F50" s="15" t="n"/>
      <c r="G50" s="34" t="n"/>
      <c r="H50" s="15" t="n"/>
      <c r="I50" s="17" t="n"/>
      <c r="J50" s="15" t="n"/>
      <c r="K50" s="28">
        <f>IF(I50="","",I50*(1+SUBSTITUTE(J50,"%","")/100))</f>
        <v/>
      </c>
      <c r="L50" s="23" t="n"/>
      <c r="M50" s="15" t="n"/>
    </row>
    <row r="51" ht="22" customHeight="1">
      <c r="B51" s="19">
        <f>IF(C51="","WEF-"&amp;TEXT(COUNTA($C$5:C51),"000"))</f>
        <v/>
      </c>
      <c r="C51" s="12" t="n"/>
      <c r="D51" s="12" t="n"/>
      <c r="E51" s="12" t="n"/>
      <c r="F51" s="12" t="n"/>
      <c r="G51" s="33" t="n"/>
      <c r="H51" s="12" t="n"/>
      <c r="I51" s="14" t="n"/>
      <c r="J51" s="12" t="n"/>
      <c r="K51" s="27">
        <f>IF(I51="","",I51*(1+SUBSTITUTE(J51,"%","")/100))</f>
        <v/>
      </c>
      <c r="L51" s="21" t="n"/>
      <c r="M51" s="12" t="n"/>
    </row>
    <row r="52" ht="22" customHeight="1">
      <c r="B52" s="18">
        <f>IF(C52="","WEF-"&amp;TEXT(COUNTA($C$5:C52),"000"))</f>
        <v/>
      </c>
      <c r="C52" s="15" t="n"/>
      <c r="D52" s="15" t="n"/>
      <c r="E52" s="15" t="n"/>
      <c r="F52" s="15" t="n"/>
      <c r="G52" s="34" t="n"/>
      <c r="H52" s="15" t="n"/>
      <c r="I52" s="17" t="n"/>
      <c r="J52" s="15" t="n"/>
      <c r="K52" s="28">
        <f>IF(I52="","",I52*(1+SUBSTITUTE(J52,"%","")/100))</f>
        <v/>
      </c>
      <c r="L52" s="23" t="n"/>
      <c r="M52" s="15" t="n"/>
    </row>
    <row r="53" ht="22" customHeight="1">
      <c r="B53" s="19">
        <f>IF(C53="","WEF-"&amp;TEXT(COUNTA($C$5:C53),"000"))</f>
        <v/>
      </c>
      <c r="C53" s="12" t="n"/>
      <c r="D53" s="12" t="n"/>
      <c r="E53" s="12" t="n"/>
      <c r="F53" s="12" t="n"/>
      <c r="G53" s="33" t="n"/>
      <c r="H53" s="12" t="n"/>
      <c r="I53" s="14" t="n"/>
      <c r="J53" s="12" t="n"/>
      <c r="K53" s="27">
        <f>IF(I53="","",I53*(1+SUBSTITUTE(J53,"%","")/100))</f>
        <v/>
      </c>
      <c r="L53" s="21" t="n"/>
      <c r="M53" s="12" t="n"/>
    </row>
    <row r="54" ht="22" customHeight="1">
      <c r="B54" s="18">
        <f>IF(C54="","WEF-"&amp;TEXT(COUNTA($C$5:C54),"000"))</f>
        <v/>
      </c>
      <c r="C54" s="15" t="n"/>
      <c r="D54" s="15" t="n"/>
      <c r="E54" s="15" t="n"/>
      <c r="F54" s="15" t="n"/>
      <c r="G54" s="34" t="n"/>
      <c r="H54" s="15" t="n"/>
      <c r="I54" s="17" t="n"/>
      <c r="J54" s="15" t="n"/>
      <c r="K54" s="28">
        <f>IF(I54="","",I54*(1+SUBSTITUTE(J54,"%","")/100))</f>
        <v/>
      </c>
      <c r="L54" s="23" t="n"/>
      <c r="M54" s="15" t="n"/>
    </row>
    <row r="55" ht="22" customHeight="1">
      <c r="B55" s="19">
        <f>IF(C55="","WEF-"&amp;TEXT(COUNTA($C$5:C55),"000"))</f>
        <v/>
      </c>
      <c r="C55" s="12" t="n"/>
      <c r="D55" s="12" t="n"/>
      <c r="E55" s="12" t="n"/>
      <c r="F55" s="12" t="n"/>
      <c r="G55" s="33" t="n"/>
      <c r="H55" s="12" t="n"/>
      <c r="I55" s="14" t="n"/>
      <c r="J55" s="12" t="n"/>
      <c r="K55" s="27">
        <f>IF(I55="","",I55*(1+SUBSTITUTE(J55,"%","")/100))</f>
        <v/>
      </c>
      <c r="L55" s="21" t="n"/>
      <c r="M55" s="12" t="n"/>
    </row>
    <row r="56" ht="22" customHeight="1">
      <c r="B56" s="18">
        <f>IF(C56="","WEF-"&amp;TEXT(COUNTA($C$5:C56),"000"))</f>
        <v/>
      </c>
      <c r="C56" s="15" t="n"/>
      <c r="D56" s="15" t="n"/>
      <c r="E56" s="15" t="n"/>
      <c r="F56" s="15" t="n"/>
      <c r="G56" s="34" t="n"/>
      <c r="H56" s="15" t="n"/>
      <c r="I56" s="17" t="n"/>
      <c r="J56" s="15" t="n"/>
      <c r="K56" s="28">
        <f>IF(I56="","",I56*(1+SUBSTITUTE(J56,"%","")/100))</f>
        <v/>
      </c>
      <c r="L56" s="23" t="n"/>
      <c r="M56" s="15" t="n"/>
    </row>
    <row r="57" ht="22" customHeight="1">
      <c r="B57" s="19">
        <f>IF(C57="","WEF-"&amp;TEXT(COUNTA($C$5:C57),"000"))</f>
        <v/>
      </c>
      <c r="C57" s="12" t="n"/>
      <c r="D57" s="12" t="n"/>
      <c r="E57" s="12" t="n"/>
      <c r="F57" s="12" t="n"/>
      <c r="G57" s="33" t="n"/>
      <c r="H57" s="12" t="n"/>
      <c r="I57" s="14" t="n"/>
      <c r="J57" s="12" t="n"/>
      <c r="K57" s="27">
        <f>IF(I57="","",I57*(1+SUBSTITUTE(J57,"%","")/100))</f>
        <v/>
      </c>
      <c r="L57" s="21" t="n"/>
      <c r="M57" s="12" t="n"/>
    </row>
    <row r="58" ht="22" customHeight="1">
      <c r="B58" s="18">
        <f>IF(C58="","WEF-"&amp;TEXT(COUNTA($C$5:C58),"000"))</f>
        <v/>
      </c>
      <c r="C58" s="15" t="n"/>
      <c r="D58" s="15" t="n"/>
      <c r="E58" s="15" t="n"/>
      <c r="F58" s="15" t="n"/>
      <c r="G58" s="34" t="n"/>
      <c r="H58" s="15" t="n"/>
      <c r="I58" s="17" t="n"/>
      <c r="J58" s="15" t="n"/>
      <c r="K58" s="28">
        <f>IF(I58="","",I58*(1+SUBSTITUTE(J58,"%","")/100))</f>
        <v/>
      </c>
      <c r="L58" s="23" t="n"/>
      <c r="M58" s="15" t="n"/>
    </row>
    <row r="59" ht="22" customHeight="1">
      <c r="B59" s="19">
        <f>IF(C59="","WEF-"&amp;TEXT(COUNTA($C$5:C59),"000"))</f>
        <v/>
      </c>
      <c r="C59" s="12" t="n"/>
      <c r="D59" s="12" t="n"/>
      <c r="E59" s="12" t="n"/>
      <c r="F59" s="12" t="n"/>
      <c r="G59" s="33" t="n"/>
      <c r="H59" s="12" t="n"/>
      <c r="I59" s="14" t="n"/>
      <c r="J59" s="12" t="n"/>
      <c r="K59" s="27">
        <f>IF(I59="","",I59*(1+SUBSTITUTE(J59,"%","")/100))</f>
        <v/>
      </c>
      <c r="L59" s="21" t="n"/>
      <c r="M59" s="12" t="n"/>
    </row>
    <row r="60" ht="22" customHeight="1">
      <c r="B60" s="18">
        <f>IF(C60="","WEF-"&amp;TEXT(COUNTA($C$5:C60),"000"))</f>
        <v/>
      </c>
      <c r="C60" s="15" t="n"/>
      <c r="D60" s="15" t="n"/>
      <c r="E60" s="15" t="n"/>
      <c r="F60" s="15" t="n"/>
      <c r="G60" s="34" t="n"/>
      <c r="H60" s="15" t="n"/>
      <c r="I60" s="17" t="n"/>
      <c r="J60" s="15" t="n"/>
      <c r="K60" s="28">
        <f>IF(I60="","",I60*(1+SUBSTITUTE(J60,"%","")/100))</f>
        <v/>
      </c>
      <c r="L60" s="23" t="n"/>
      <c r="M60" s="15" t="n"/>
    </row>
    <row r="61" ht="22" customHeight="1">
      <c r="B61" s="19">
        <f>IF(C61="","WEF-"&amp;TEXT(COUNTA($C$5:C61),"000"))</f>
        <v/>
      </c>
      <c r="C61" s="12" t="n"/>
      <c r="D61" s="12" t="n"/>
      <c r="E61" s="12" t="n"/>
      <c r="F61" s="12" t="n"/>
      <c r="G61" s="33" t="n"/>
      <c r="H61" s="12" t="n"/>
      <c r="I61" s="14" t="n"/>
      <c r="J61" s="12" t="n"/>
      <c r="K61" s="27">
        <f>IF(I61="","",I61*(1+SUBSTITUTE(J61,"%","")/100))</f>
        <v/>
      </c>
      <c r="L61" s="21" t="n"/>
      <c r="M61" s="12" t="n"/>
    </row>
    <row r="62" ht="22" customHeight="1">
      <c r="B62" s="18">
        <f>IF(C62="","WEF-"&amp;TEXT(COUNTA($C$5:C62),"000"))</f>
        <v/>
      </c>
      <c r="C62" s="15" t="n"/>
      <c r="D62" s="15" t="n"/>
      <c r="E62" s="15" t="n"/>
      <c r="F62" s="15" t="n"/>
      <c r="G62" s="34" t="n"/>
      <c r="H62" s="15" t="n"/>
      <c r="I62" s="17" t="n"/>
      <c r="J62" s="15" t="n"/>
      <c r="K62" s="28">
        <f>IF(I62="","",I62*(1+SUBSTITUTE(J62,"%","")/100))</f>
        <v/>
      </c>
      <c r="L62" s="23" t="n"/>
      <c r="M62" s="15" t="n"/>
    </row>
    <row r="63" ht="22" customHeight="1">
      <c r="B63" s="19">
        <f>IF(C63="","WEF-"&amp;TEXT(COUNTA($C$5:C63),"000"))</f>
        <v/>
      </c>
      <c r="C63" s="12" t="n"/>
      <c r="D63" s="12" t="n"/>
      <c r="E63" s="12" t="n"/>
      <c r="F63" s="12" t="n"/>
      <c r="G63" s="33" t="n"/>
      <c r="H63" s="12" t="n"/>
      <c r="I63" s="14" t="n"/>
      <c r="J63" s="12" t="n"/>
      <c r="K63" s="27">
        <f>IF(I63="","",I63*(1+SUBSTITUTE(J63,"%","")/100))</f>
        <v/>
      </c>
      <c r="L63" s="21" t="n"/>
      <c r="M63" s="12" t="n"/>
    </row>
    <row r="64" ht="22" customHeight="1">
      <c r="B64" s="18">
        <f>IF(C64="","WEF-"&amp;TEXT(COUNTA($C$5:C64),"000"))</f>
        <v/>
      </c>
      <c r="C64" s="15" t="n"/>
      <c r="D64" s="15" t="n"/>
      <c r="E64" s="15" t="n"/>
      <c r="F64" s="15" t="n"/>
      <c r="G64" s="34" t="n"/>
      <c r="H64" s="15" t="n"/>
      <c r="I64" s="17" t="n"/>
      <c r="J64" s="15" t="n"/>
      <c r="K64" s="28">
        <f>IF(I64="","",I64*(1+SUBSTITUTE(J64,"%","")/100))</f>
        <v/>
      </c>
      <c r="L64" s="23" t="n"/>
      <c r="M64" s="15" t="n"/>
    </row>
    <row r="65" ht="22" customHeight="1">
      <c r="B65" s="19">
        <f>IF(C65="","WEF-"&amp;TEXT(COUNTA($C$5:C65),"000"))</f>
        <v/>
      </c>
      <c r="C65" s="12" t="n"/>
      <c r="D65" s="12" t="n"/>
      <c r="E65" s="12" t="n"/>
      <c r="F65" s="12" t="n"/>
      <c r="G65" s="33" t="n"/>
      <c r="H65" s="12" t="n"/>
      <c r="I65" s="14" t="n"/>
      <c r="J65" s="12" t="n"/>
      <c r="K65" s="27">
        <f>IF(I65="","",I65*(1+SUBSTITUTE(J65,"%","")/100))</f>
        <v/>
      </c>
      <c r="L65" s="21" t="n"/>
      <c r="M65" s="12" t="n"/>
    </row>
    <row r="66" ht="22" customHeight="1">
      <c r="B66" s="18">
        <f>IF(C66="","WEF-"&amp;TEXT(COUNTA($C$5:C66),"000"))</f>
        <v/>
      </c>
      <c r="C66" s="15" t="n"/>
      <c r="D66" s="15" t="n"/>
      <c r="E66" s="15" t="n"/>
      <c r="F66" s="15" t="n"/>
      <c r="G66" s="34" t="n"/>
      <c r="H66" s="15" t="n"/>
      <c r="I66" s="17" t="n"/>
      <c r="J66" s="15" t="n"/>
      <c r="K66" s="28">
        <f>IF(I66="","",I66*(1+SUBSTITUTE(J66,"%","")/100))</f>
        <v/>
      </c>
      <c r="L66" s="23" t="n"/>
      <c r="M66" s="15" t="n"/>
    </row>
    <row r="67" ht="22" customHeight="1">
      <c r="B67" s="19">
        <f>IF(C67="","WEF-"&amp;TEXT(COUNTA($C$5:C67),"000"))</f>
        <v/>
      </c>
      <c r="C67" s="12" t="n"/>
      <c r="D67" s="12" t="n"/>
      <c r="E67" s="12" t="n"/>
      <c r="F67" s="12" t="n"/>
      <c r="G67" s="33" t="n"/>
      <c r="H67" s="12" t="n"/>
      <c r="I67" s="14" t="n"/>
      <c r="J67" s="12" t="n"/>
      <c r="K67" s="27">
        <f>IF(I67="","",I67*(1+SUBSTITUTE(J67,"%","")/100))</f>
        <v/>
      </c>
      <c r="L67" s="21" t="n"/>
      <c r="M67" s="12" t="n"/>
    </row>
    <row r="68" ht="22" customHeight="1">
      <c r="B68" s="18">
        <f>IF(C68="","WEF-"&amp;TEXT(COUNTA($C$5:C68),"000"))</f>
        <v/>
      </c>
      <c r="C68" s="15" t="n"/>
      <c r="D68" s="15" t="n"/>
      <c r="E68" s="15" t="n"/>
      <c r="F68" s="15" t="n"/>
      <c r="G68" s="34" t="n"/>
      <c r="H68" s="15" t="n"/>
      <c r="I68" s="17" t="n"/>
      <c r="J68" s="15" t="n"/>
      <c r="K68" s="28">
        <f>IF(I68="","",I68*(1+SUBSTITUTE(J68,"%","")/100))</f>
        <v/>
      </c>
      <c r="L68" s="23" t="n"/>
      <c r="M68" s="15" t="n"/>
    </row>
    <row r="69" ht="22" customHeight="1">
      <c r="B69" s="19">
        <f>IF(C69="","WEF-"&amp;TEXT(COUNTA($C$5:C69),"000"))</f>
        <v/>
      </c>
      <c r="C69" s="12" t="n"/>
      <c r="D69" s="12" t="n"/>
      <c r="E69" s="12" t="n"/>
      <c r="F69" s="12" t="n"/>
      <c r="G69" s="33" t="n"/>
      <c r="H69" s="12" t="n"/>
      <c r="I69" s="14" t="n"/>
      <c r="J69" s="12" t="n"/>
      <c r="K69" s="27">
        <f>IF(I69="","",I69*(1+SUBSTITUTE(J69,"%","")/100))</f>
        <v/>
      </c>
      <c r="L69" s="21" t="n"/>
      <c r="M69" s="12" t="n"/>
    </row>
    <row r="70" ht="22" customHeight="1">
      <c r="B70" s="18">
        <f>IF(C70="","WEF-"&amp;TEXT(COUNTA($C$5:C70),"000"))</f>
        <v/>
      </c>
      <c r="C70" s="15" t="n"/>
      <c r="D70" s="15" t="n"/>
      <c r="E70" s="15" t="n"/>
      <c r="F70" s="15" t="n"/>
      <c r="G70" s="34" t="n"/>
      <c r="H70" s="15" t="n"/>
      <c r="I70" s="17" t="n"/>
      <c r="J70" s="15" t="n"/>
      <c r="K70" s="28">
        <f>IF(I70="","",I70*(1+SUBSTITUTE(J70,"%","")/100))</f>
        <v/>
      </c>
      <c r="L70" s="23" t="n"/>
      <c r="M70" s="15" t="n"/>
    </row>
    <row r="71" ht="22" customHeight="1">
      <c r="B71" s="19">
        <f>IF(C71="","WEF-"&amp;TEXT(COUNTA($C$5:C71),"000"))</f>
        <v/>
      </c>
      <c r="C71" s="12" t="n"/>
      <c r="D71" s="12" t="n"/>
      <c r="E71" s="12" t="n"/>
      <c r="F71" s="12" t="n"/>
      <c r="G71" s="33" t="n"/>
      <c r="H71" s="12" t="n"/>
      <c r="I71" s="14" t="n"/>
      <c r="J71" s="12" t="n"/>
      <c r="K71" s="27">
        <f>IF(I71="","",I71*(1+SUBSTITUTE(J71,"%","")/100))</f>
        <v/>
      </c>
      <c r="L71" s="21" t="n"/>
      <c r="M71" s="12" t="n"/>
    </row>
    <row r="72" ht="22" customHeight="1">
      <c r="B72" s="18">
        <f>IF(C72="","WEF-"&amp;TEXT(COUNTA($C$5:C72),"000"))</f>
        <v/>
      </c>
      <c r="C72" s="15" t="n"/>
      <c r="D72" s="15" t="n"/>
      <c r="E72" s="15" t="n"/>
      <c r="F72" s="15" t="n"/>
      <c r="G72" s="34" t="n"/>
      <c r="H72" s="15" t="n"/>
      <c r="I72" s="17" t="n"/>
      <c r="J72" s="15" t="n"/>
      <c r="K72" s="28">
        <f>IF(I72="","",I72*(1+SUBSTITUTE(J72,"%","")/100))</f>
        <v/>
      </c>
      <c r="L72" s="23" t="n"/>
      <c r="M72" s="15" t="n"/>
    </row>
    <row r="73" ht="22" customHeight="1">
      <c r="B73" s="19">
        <f>IF(C73="","WEF-"&amp;TEXT(COUNTA($C$5:C73),"000"))</f>
        <v/>
      </c>
      <c r="C73" s="12" t="n"/>
      <c r="D73" s="12" t="n"/>
      <c r="E73" s="12" t="n"/>
      <c r="F73" s="12" t="n"/>
      <c r="G73" s="33" t="n"/>
      <c r="H73" s="12" t="n"/>
      <c r="I73" s="14" t="n"/>
      <c r="J73" s="12" t="n"/>
      <c r="K73" s="27">
        <f>IF(I73="","",I73*(1+SUBSTITUTE(J73,"%","")/100))</f>
        <v/>
      </c>
      <c r="L73" s="21" t="n"/>
      <c r="M73" s="12" t="n"/>
    </row>
    <row r="74" ht="22" customHeight="1">
      <c r="B74" s="18">
        <f>IF(C74="","WEF-"&amp;TEXT(COUNTA($C$5:C74),"000"))</f>
        <v/>
      </c>
      <c r="C74" s="15" t="n"/>
      <c r="D74" s="15" t="n"/>
      <c r="E74" s="15" t="n"/>
      <c r="F74" s="15" t="n"/>
      <c r="G74" s="34" t="n"/>
      <c r="H74" s="15" t="n"/>
      <c r="I74" s="17" t="n"/>
      <c r="J74" s="15" t="n"/>
      <c r="K74" s="28">
        <f>IF(I74="","",I74*(1+SUBSTITUTE(J74,"%","")/100))</f>
        <v/>
      </c>
      <c r="L74" s="23" t="n"/>
      <c r="M74" s="15" t="n"/>
    </row>
    <row r="75" ht="22" customHeight="1">
      <c r="B75" s="19">
        <f>IF(C75="","WEF-"&amp;TEXT(COUNTA($C$5:C75),"000"))</f>
        <v/>
      </c>
      <c r="C75" s="12" t="n"/>
      <c r="D75" s="12" t="n"/>
      <c r="E75" s="12" t="n"/>
      <c r="F75" s="12" t="n"/>
      <c r="G75" s="33" t="n"/>
      <c r="H75" s="12" t="n"/>
      <c r="I75" s="14" t="n"/>
      <c r="J75" s="12" t="n"/>
      <c r="K75" s="27">
        <f>IF(I75="","",I75*(1+SUBSTITUTE(J75,"%","")/100))</f>
        <v/>
      </c>
      <c r="L75" s="21" t="n"/>
      <c r="M75" s="12" t="n"/>
    </row>
    <row r="76" ht="22" customHeight="1">
      <c r="B76" s="18">
        <f>IF(C76="","WEF-"&amp;TEXT(COUNTA($C$5:C76),"000"))</f>
        <v/>
      </c>
      <c r="C76" s="15" t="n"/>
      <c r="D76" s="15" t="n"/>
      <c r="E76" s="15" t="n"/>
      <c r="F76" s="15" t="n"/>
      <c r="G76" s="34" t="n"/>
      <c r="H76" s="15" t="n"/>
      <c r="I76" s="17" t="n"/>
      <c r="J76" s="15" t="n"/>
      <c r="K76" s="28">
        <f>IF(I76="","",I76*(1+SUBSTITUTE(J76,"%","")/100))</f>
        <v/>
      </c>
      <c r="L76" s="23" t="n"/>
      <c r="M76" s="15" t="n"/>
    </row>
    <row r="77" ht="22" customHeight="1">
      <c r="B77" s="19">
        <f>IF(C77="","WEF-"&amp;TEXT(COUNTA($C$5:C77),"000"))</f>
        <v/>
      </c>
      <c r="C77" s="12" t="n"/>
      <c r="D77" s="12" t="n"/>
      <c r="E77" s="12" t="n"/>
      <c r="F77" s="12" t="n"/>
      <c r="G77" s="33" t="n"/>
      <c r="H77" s="12" t="n"/>
      <c r="I77" s="14" t="n"/>
      <c r="J77" s="12" t="n"/>
      <c r="K77" s="27">
        <f>IF(I77="","",I77*(1+SUBSTITUTE(J77,"%","")/100))</f>
        <v/>
      </c>
      <c r="L77" s="21" t="n"/>
      <c r="M77" s="12" t="n"/>
    </row>
    <row r="78" ht="22" customHeight="1">
      <c r="B78" s="18">
        <f>IF(C78="","WEF-"&amp;TEXT(COUNTA($C$5:C78),"000"))</f>
        <v/>
      </c>
      <c r="C78" s="15" t="n"/>
      <c r="D78" s="15" t="n"/>
      <c r="E78" s="15" t="n"/>
      <c r="F78" s="15" t="n"/>
      <c r="G78" s="34" t="n"/>
      <c r="H78" s="15" t="n"/>
      <c r="I78" s="17" t="n"/>
      <c r="J78" s="15" t="n"/>
      <c r="K78" s="28">
        <f>IF(I78="","",I78*(1+SUBSTITUTE(J78,"%","")/100))</f>
        <v/>
      </c>
      <c r="L78" s="23" t="n"/>
      <c r="M78" s="15" t="n"/>
    </row>
    <row r="79" ht="22" customHeight="1">
      <c r="B79" s="19">
        <f>IF(C79="","WEF-"&amp;TEXT(COUNTA($C$5:C79),"000"))</f>
        <v/>
      </c>
      <c r="C79" s="12" t="n"/>
      <c r="D79" s="12" t="n"/>
      <c r="E79" s="12" t="n"/>
      <c r="F79" s="12" t="n"/>
      <c r="G79" s="33" t="n"/>
      <c r="H79" s="12" t="n"/>
      <c r="I79" s="14" t="n"/>
      <c r="J79" s="12" t="n"/>
      <c r="K79" s="27">
        <f>IF(I79="","",I79*(1+SUBSTITUTE(J79,"%","")/100))</f>
        <v/>
      </c>
      <c r="L79" s="21" t="n"/>
      <c r="M79" s="12" t="n"/>
    </row>
    <row r="80" ht="22" customHeight="1">
      <c r="B80" s="18">
        <f>IF(C80="","WEF-"&amp;TEXT(COUNTA($C$5:C80),"000"))</f>
        <v/>
      </c>
      <c r="C80" s="15" t="n"/>
      <c r="D80" s="15" t="n"/>
      <c r="E80" s="15" t="n"/>
      <c r="F80" s="15" t="n"/>
      <c r="G80" s="34" t="n"/>
      <c r="H80" s="15" t="n"/>
      <c r="I80" s="17" t="n"/>
      <c r="J80" s="15" t="n"/>
      <c r="K80" s="28">
        <f>IF(I80="","",I80*(1+SUBSTITUTE(J80,"%","")/100))</f>
        <v/>
      </c>
      <c r="L80" s="23" t="n"/>
      <c r="M80" s="15" t="n"/>
    </row>
    <row r="81" ht="22" customHeight="1">
      <c r="B81" s="19">
        <f>IF(C81="","WEF-"&amp;TEXT(COUNTA($C$5:C81),"000"))</f>
        <v/>
      </c>
      <c r="C81" s="12" t="n"/>
      <c r="D81" s="12" t="n"/>
      <c r="E81" s="12" t="n"/>
      <c r="F81" s="12" t="n"/>
      <c r="G81" s="33" t="n"/>
      <c r="H81" s="12" t="n"/>
      <c r="I81" s="14" t="n"/>
      <c r="J81" s="12" t="n"/>
      <c r="K81" s="27">
        <f>IF(I81="","",I81*(1+SUBSTITUTE(J81,"%","")/100))</f>
        <v/>
      </c>
      <c r="L81" s="21" t="n"/>
      <c r="M81" s="12" t="n"/>
    </row>
    <row r="82" ht="22" customHeight="1">
      <c r="B82" s="18">
        <f>IF(C82="","WEF-"&amp;TEXT(COUNTA($C$5:C82),"000"))</f>
        <v/>
      </c>
      <c r="C82" s="15" t="n"/>
      <c r="D82" s="15" t="n"/>
      <c r="E82" s="15" t="n"/>
      <c r="F82" s="15" t="n"/>
      <c r="G82" s="34" t="n"/>
      <c r="H82" s="15" t="n"/>
      <c r="I82" s="17" t="n"/>
      <c r="J82" s="15" t="n"/>
      <c r="K82" s="28">
        <f>IF(I82="","",I82*(1+SUBSTITUTE(J82,"%","")/100))</f>
        <v/>
      </c>
      <c r="L82" s="23" t="n"/>
      <c r="M82" s="15" t="n"/>
    </row>
    <row r="83" ht="22" customHeight="1">
      <c r="B83" s="19">
        <f>IF(C83="","WEF-"&amp;TEXT(COUNTA($C$5:C83),"000"))</f>
        <v/>
      </c>
      <c r="C83" s="12" t="n"/>
      <c r="D83" s="12" t="n"/>
      <c r="E83" s="12" t="n"/>
      <c r="F83" s="12" t="n"/>
      <c r="G83" s="33" t="n"/>
      <c r="H83" s="12" t="n"/>
      <c r="I83" s="14" t="n"/>
      <c r="J83" s="12" t="n"/>
      <c r="K83" s="27">
        <f>IF(I83="","",I83*(1+SUBSTITUTE(J83,"%","")/100))</f>
        <v/>
      </c>
      <c r="L83" s="21" t="n"/>
      <c r="M83" s="12" t="n"/>
    </row>
    <row r="84" ht="22" customHeight="1">
      <c r="B84" s="18">
        <f>IF(C84="","WEF-"&amp;TEXT(COUNTA($C$5:C84),"000"))</f>
        <v/>
      </c>
      <c r="C84" s="15" t="n"/>
      <c r="D84" s="15" t="n"/>
      <c r="E84" s="15" t="n"/>
      <c r="F84" s="15" t="n"/>
      <c r="G84" s="34" t="n"/>
      <c r="H84" s="15" t="n"/>
      <c r="I84" s="17" t="n"/>
      <c r="J84" s="15" t="n"/>
      <c r="K84" s="28">
        <f>IF(I84="","",I84*(1+SUBSTITUTE(J84,"%","")/100))</f>
        <v/>
      </c>
      <c r="L84" s="23" t="n"/>
      <c r="M84" s="15" t="n"/>
    </row>
    <row r="85" ht="22" customHeight="1">
      <c r="B85" s="19">
        <f>IF(C85="","WEF-"&amp;TEXT(COUNTA($C$5:C85),"000"))</f>
        <v/>
      </c>
      <c r="C85" s="12" t="n"/>
      <c r="D85" s="12" t="n"/>
      <c r="E85" s="12" t="n"/>
      <c r="F85" s="12" t="n"/>
      <c r="G85" s="33" t="n"/>
      <c r="H85" s="12" t="n"/>
      <c r="I85" s="14" t="n"/>
      <c r="J85" s="12" t="n"/>
      <c r="K85" s="27">
        <f>IF(I85="","",I85*(1+SUBSTITUTE(J85,"%","")/100))</f>
        <v/>
      </c>
      <c r="L85" s="21" t="n"/>
      <c r="M85" s="12" t="n"/>
    </row>
    <row r="86" ht="22" customHeight="1">
      <c r="B86" s="18">
        <f>IF(C86="","WEF-"&amp;TEXT(COUNTA($C$5:C86),"000"))</f>
        <v/>
      </c>
      <c r="C86" s="15" t="n"/>
      <c r="D86" s="15" t="n"/>
      <c r="E86" s="15" t="n"/>
      <c r="F86" s="15" t="n"/>
      <c r="G86" s="34" t="n"/>
      <c r="H86" s="15" t="n"/>
      <c r="I86" s="17" t="n"/>
      <c r="J86" s="15" t="n"/>
      <c r="K86" s="28">
        <f>IF(I86="","",I86*(1+SUBSTITUTE(J86,"%","")/100))</f>
        <v/>
      </c>
      <c r="L86" s="23" t="n"/>
      <c r="M86" s="15" t="n"/>
    </row>
    <row r="87" ht="22" customHeight="1">
      <c r="B87" s="19">
        <f>IF(C87="","WEF-"&amp;TEXT(COUNTA($C$5:C87),"000"))</f>
        <v/>
      </c>
      <c r="C87" s="12" t="n"/>
      <c r="D87" s="12" t="n"/>
      <c r="E87" s="12" t="n"/>
      <c r="F87" s="12" t="n"/>
      <c r="G87" s="33" t="n"/>
      <c r="H87" s="12" t="n"/>
      <c r="I87" s="14" t="n"/>
      <c r="J87" s="12" t="n"/>
      <c r="K87" s="27">
        <f>IF(I87="","",I87*(1+SUBSTITUTE(J87,"%","")/100))</f>
        <v/>
      </c>
      <c r="L87" s="21" t="n"/>
      <c r="M87" s="12" t="n"/>
    </row>
    <row r="88" ht="22" customHeight="1">
      <c r="B88" s="18">
        <f>IF(C88="","WEF-"&amp;TEXT(COUNTA($C$5:C88),"000"))</f>
        <v/>
      </c>
      <c r="C88" s="15" t="n"/>
      <c r="D88" s="15" t="n"/>
      <c r="E88" s="15" t="n"/>
      <c r="F88" s="15" t="n"/>
      <c r="G88" s="34" t="n"/>
      <c r="H88" s="15" t="n"/>
      <c r="I88" s="17" t="n"/>
      <c r="J88" s="15" t="n"/>
      <c r="K88" s="28">
        <f>IF(I88="","",I88*(1+SUBSTITUTE(J88,"%","")/100))</f>
        <v/>
      </c>
      <c r="L88" s="23" t="n"/>
      <c r="M88" s="15" t="n"/>
    </row>
    <row r="89" ht="22" customHeight="1">
      <c r="B89" s="19">
        <f>IF(C89="","WEF-"&amp;TEXT(COUNTA($C$5:C89),"000"))</f>
        <v/>
      </c>
      <c r="C89" s="12" t="n"/>
      <c r="D89" s="12" t="n"/>
      <c r="E89" s="12" t="n"/>
      <c r="F89" s="12" t="n"/>
      <c r="G89" s="33" t="n"/>
      <c r="H89" s="12" t="n"/>
      <c r="I89" s="14" t="n"/>
      <c r="J89" s="12" t="n"/>
      <c r="K89" s="27">
        <f>IF(I89="","",I89*(1+SUBSTITUTE(J89,"%","")/100))</f>
        <v/>
      </c>
      <c r="L89" s="21" t="n"/>
      <c r="M89" s="12" t="n"/>
    </row>
    <row r="90" ht="22" customHeight="1">
      <c r="B90" s="18">
        <f>IF(C90="","WEF-"&amp;TEXT(COUNTA($C$5:C90),"000"))</f>
        <v/>
      </c>
      <c r="C90" s="15" t="n"/>
      <c r="D90" s="15" t="n"/>
      <c r="E90" s="15" t="n"/>
      <c r="F90" s="15" t="n"/>
      <c r="G90" s="34" t="n"/>
      <c r="H90" s="15" t="n"/>
      <c r="I90" s="17" t="n"/>
      <c r="J90" s="15" t="n"/>
      <c r="K90" s="28">
        <f>IF(I90="","",I90*(1+SUBSTITUTE(J90,"%","")/100))</f>
        <v/>
      </c>
      <c r="L90" s="23" t="n"/>
      <c r="M90" s="15" t="n"/>
    </row>
    <row r="91" ht="22" customHeight="1">
      <c r="B91" s="19">
        <f>IF(C91="","WEF-"&amp;TEXT(COUNTA($C$5:C91),"000"))</f>
        <v/>
      </c>
      <c r="C91" s="12" t="n"/>
      <c r="D91" s="12" t="n"/>
      <c r="E91" s="12" t="n"/>
      <c r="F91" s="12" t="n"/>
      <c r="G91" s="33" t="n"/>
      <c r="H91" s="12" t="n"/>
      <c r="I91" s="14" t="n"/>
      <c r="J91" s="12" t="n"/>
      <c r="K91" s="27">
        <f>IF(I91="","",I91*(1+SUBSTITUTE(J91,"%","")/100))</f>
        <v/>
      </c>
      <c r="L91" s="21" t="n"/>
      <c r="M91" s="12" t="n"/>
    </row>
    <row r="92" ht="22" customHeight="1">
      <c r="B92" s="18">
        <f>IF(C92="","WEF-"&amp;TEXT(COUNTA($C$5:C92),"000"))</f>
        <v/>
      </c>
      <c r="C92" s="15" t="n"/>
      <c r="D92" s="15" t="n"/>
      <c r="E92" s="15" t="n"/>
      <c r="F92" s="15" t="n"/>
      <c r="G92" s="34" t="n"/>
      <c r="H92" s="15" t="n"/>
      <c r="I92" s="17" t="n"/>
      <c r="J92" s="15" t="n"/>
      <c r="K92" s="28">
        <f>IF(I92="","",I92*(1+SUBSTITUTE(J92,"%","")/100))</f>
        <v/>
      </c>
      <c r="L92" s="23" t="n"/>
      <c r="M92" s="15" t="n"/>
    </row>
    <row r="93" ht="22" customHeight="1">
      <c r="B93" s="19">
        <f>IF(C93="","WEF-"&amp;TEXT(COUNTA($C$5:C93),"000"))</f>
        <v/>
      </c>
      <c r="C93" s="12" t="n"/>
      <c r="D93" s="12" t="n"/>
      <c r="E93" s="12" t="n"/>
      <c r="F93" s="12" t="n"/>
      <c r="G93" s="33" t="n"/>
      <c r="H93" s="12" t="n"/>
      <c r="I93" s="14" t="n"/>
      <c r="J93" s="12" t="n"/>
      <c r="K93" s="27">
        <f>IF(I93="","",I93*(1+SUBSTITUTE(J93,"%","")/100))</f>
        <v/>
      </c>
      <c r="L93" s="21" t="n"/>
      <c r="M93" s="12" t="n"/>
    </row>
    <row r="94" ht="22" customHeight="1">
      <c r="B94" s="18">
        <f>IF(C94="","WEF-"&amp;TEXT(COUNTA($C$5:C94),"000"))</f>
        <v/>
      </c>
      <c r="C94" s="15" t="n"/>
      <c r="D94" s="15" t="n"/>
      <c r="E94" s="15" t="n"/>
      <c r="F94" s="15" t="n"/>
      <c r="G94" s="34" t="n"/>
      <c r="H94" s="15" t="n"/>
      <c r="I94" s="17" t="n"/>
      <c r="J94" s="15" t="n"/>
      <c r="K94" s="28">
        <f>IF(I94="","",I94*(1+SUBSTITUTE(J94,"%","")/100))</f>
        <v/>
      </c>
      <c r="L94" s="23" t="n"/>
      <c r="M94" s="15" t="n"/>
    </row>
    <row r="95" ht="22" customHeight="1">
      <c r="B95" s="19">
        <f>IF(C95="","WEF-"&amp;TEXT(COUNTA($C$5:C95),"000"))</f>
        <v/>
      </c>
      <c r="C95" s="12" t="n"/>
      <c r="D95" s="12" t="n"/>
      <c r="E95" s="12" t="n"/>
      <c r="F95" s="12" t="n"/>
      <c r="G95" s="33" t="n"/>
      <c r="H95" s="12" t="n"/>
      <c r="I95" s="14" t="n"/>
      <c r="J95" s="12" t="n"/>
      <c r="K95" s="27">
        <f>IF(I95="","",I95*(1+SUBSTITUTE(J95,"%","")/100))</f>
        <v/>
      </c>
      <c r="L95" s="21" t="n"/>
      <c r="M95" s="12" t="n"/>
    </row>
    <row r="96" ht="22" customHeight="1">
      <c r="B96" s="18">
        <f>IF(C96="","WEF-"&amp;TEXT(COUNTA($C$5:C96),"000"))</f>
        <v/>
      </c>
      <c r="C96" s="15" t="n"/>
      <c r="D96" s="15" t="n"/>
      <c r="E96" s="15" t="n"/>
      <c r="F96" s="15" t="n"/>
      <c r="G96" s="34" t="n"/>
      <c r="H96" s="15" t="n"/>
      <c r="I96" s="17" t="n"/>
      <c r="J96" s="15" t="n"/>
      <c r="K96" s="28">
        <f>IF(I96="","",I96*(1+SUBSTITUTE(J96,"%","")/100))</f>
        <v/>
      </c>
      <c r="L96" s="23" t="n"/>
      <c r="M96" s="15" t="n"/>
    </row>
    <row r="97" ht="22" customHeight="1">
      <c r="B97" s="19">
        <f>IF(C97="","WEF-"&amp;TEXT(COUNTA($C$5:C97),"000"))</f>
        <v/>
      </c>
      <c r="C97" s="12" t="n"/>
      <c r="D97" s="12" t="n"/>
      <c r="E97" s="12" t="n"/>
      <c r="F97" s="12" t="n"/>
      <c r="G97" s="33" t="n"/>
      <c r="H97" s="12" t="n"/>
      <c r="I97" s="14" t="n"/>
      <c r="J97" s="12" t="n"/>
      <c r="K97" s="27">
        <f>IF(I97="","",I97*(1+SUBSTITUTE(J97,"%","")/100))</f>
        <v/>
      </c>
      <c r="L97" s="21" t="n"/>
      <c r="M97" s="12" t="n"/>
    </row>
    <row r="98" ht="22" customHeight="1">
      <c r="B98" s="18">
        <f>IF(C98="","WEF-"&amp;TEXT(COUNTA($C$5:C98),"000"))</f>
        <v/>
      </c>
      <c r="C98" s="15" t="n"/>
      <c r="D98" s="15" t="n"/>
      <c r="E98" s="15" t="n"/>
      <c r="F98" s="15" t="n"/>
      <c r="G98" s="34" t="n"/>
      <c r="H98" s="15" t="n"/>
      <c r="I98" s="17" t="n"/>
      <c r="J98" s="15" t="n"/>
      <c r="K98" s="28">
        <f>IF(I98="","",I98*(1+SUBSTITUTE(J98,"%","")/100))</f>
        <v/>
      </c>
      <c r="L98" s="23" t="n"/>
      <c r="M98" s="15" t="n"/>
    </row>
    <row r="99" ht="22" customHeight="1">
      <c r="B99" s="19">
        <f>IF(C99="","WEF-"&amp;TEXT(COUNTA($C$5:C99),"000"))</f>
        <v/>
      </c>
      <c r="C99" s="12" t="n"/>
      <c r="D99" s="12" t="n"/>
      <c r="E99" s="12" t="n"/>
      <c r="F99" s="12" t="n"/>
      <c r="G99" s="33" t="n"/>
      <c r="H99" s="12" t="n"/>
      <c r="I99" s="14" t="n"/>
      <c r="J99" s="12" t="n"/>
      <c r="K99" s="27">
        <f>IF(I99="","",I99*(1+SUBSTITUTE(J99,"%","")/100))</f>
        <v/>
      </c>
      <c r="L99" s="21" t="n"/>
      <c r="M99" s="12" t="n"/>
    </row>
    <row r="100" ht="22" customHeight="1">
      <c r="B100" s="18">
        <f>IF(C100="","WEF-"&amp;TEXT(COUNTA($C$5:C100),"000"))</f>
        <v/>
      </c>
      <c r="C100" s="15" t="n"/>
      <c r="D100" s="15" t="n"/>
      <c r="E100" s="15" t="n"/>
      <c r="F100" s="15" t="n"/>
      <c r="G100" s="34" t="n"/>
      <c r="H100" s="15" t="n"/>
      <c r="I100" s="17" t="n"/>
      <c r="J100" s="15" t="n"/>
      <c r="K100" s="28">
        <f>IF(I100="","",I100*(1+SUBSTITUTE(J100,"%","")/100))</f>
        <v/>
      </c>
      <c r="L100" s="23" t="n"/>
      <c r="M100" s="15" t="n"/>
    </row>
    <row r="101" ht="22" customHeight="1">
      <c r="B101" s="19">
        <f>IF(C101="","WEF-"&amp;TEXT(COUNTA($C$5:C101),"000"))</f>
        <v/>
      </c>
      <c r="C101" s="12" t="n"/>
      <c r="D101" s="12" t="n"/>
      <c r="E101" s="12" t="n"/>
      <c r="F101" s="12" t="n"/>
      <c r="G101" s="33" t="n"/>
      <c r="H101" s="12" t="n"/>
      <c r="I101" s="14" t="n"/>
      <c r="J101" s="12" t="n"/>
      <c r="K101" s="27">
        <f>IF(I101="","",I101*(1+SUBSTITUTE(J101,"%","")/100))</f>
        <v/>
      </c>
      <c r="L101" s="21" t="n"/>
      <c r="M101" s="12" t="n"/>
    </row>
    <row r="102" ht="22" customHeight="1">
      <c r="B102" s="18">
        <f>IF(C102="","WEF-"&amp;TEXT(COUNTA($C$5:C102),"000"))</f>
        <v/>
      </c>
      <c r="C102" s="15" t="n"/>
      <c r="D102" s="15" t="n"/>
      <c r="E102" s="15" t="n"/>
      <c r="F102" s="15" t="n"/>
      <c r="G102" s="34" t="n"/>
      <c r="H102" s="15" t="n"/>
      <c r="I102" s="17" t="n"/>
      <c r="J102" s="15" t="n"/>
      <c r="K102" s="28">
        <f>IF(I102="","",I102*(1+SUBSTITUTE(J102,"%","")/100))</f>
        <v/>
      </c>
      <c r="L102" s="23" t="n"/>
      <c r="M102" s="15" t="n"/>
    </row>
    <row r="103" ht="22" customHeight="1">
      <c r="B103" s="19">
        <f>IF(C103="","WEF-"&amp;TEXT(COUNTA($C$5:C103),"000"))</f>
        <v/>
      </c>
      <c r="C103" s="12" t="n"/>
      <c r="D103" s="12" t="n"/>
      <c r="E103" s="12" t="n"/>
      <c r="F103" s="12" t="n"/>
      <c r="G103" s="33" t="n"/>
      <c r="H103" s="12" t="n"/>
      <c r="I103" s="14" t="n"/>
      <c r="J103" s="12" t="n"/>
      <c r="K103" s="27">
        <f>IF(I103="","",I103*(1+SUBSTITUTE(J103,"%","")/100))</f>
        <v/>
      </c>
      <c r="L103" s="21" t="n"/>
      <c r="M103" s="12" t="n"/>
    </row>
    <row r="104" ht="22" customHeight="1">
      <c r="B104" s="18">
        <f>IF(C104="","WEF-"&amp;TEXT(COUNTA($C$5:C104),"000"))</f>
        <v/>
      </c>
      <c r="C104" s="15" t="n"/>
      <c r="D104" s="15" t="n"/>
      <c r="E104" s="15" t="n"/>
      <c r="F104" s="15" t="n"/>
      <c r="G104" s="34" t="n"/>
      <c r="H104" s="15" t="n"/>
      <c r="I104" s="17" t="n"/>
      <c r="J104" s="15" t="n"/>
      <c r="K104" s="28">
        <f>IF(I104="","",I104*(1+SUBSTITUTE(J104,"%","")/100))</f>
        <v/>
      </c>
      <c r="L104" s="23" t="n"/>
      <c r="M104" s="15" t="n"/>
    </row>
    <row r="105" ht="22" customHeight="1">
      <c r="B105" s="19">
        <f>IF(C105="","WEF-"&amp;TEXT(COUNTA($C$5:C105),"000"))</f>
        <v/>
      </c>
      <c r="C105" s="12" t="n"/>
      <c r="D105" s="12" t="n"/>
      <c r="E105" s="12" t="n"/>
      <c r="F105" s="12" t="n"/>
      <c r="G105" s="33" t="n"/>
      <c r="H105" s="12" t="n"/>
      <c r="I105" s="14" t="n"/>
      <c r="J105" s="12" t="n"/>
      <c r="K105" s="27">
        <f>IF(I105="","",I105*(1+SUBSTITUTE(J105,"%","")/100))</f>
        <v/>
      </c>
      <c r="L105" s="21" t="n"/>
      <c r="M105" s="12" t="n"/>
    </row>
    <row r="106" ht="22" customHeight="1">
      <c r="B106" s="18">
        <f>IF(C106="","WEF-"&amp;TEXT(COUNTA($C$5:C106),"000"))</f>
        <v/>
      </c>
      <c r="C106" s="15" t="n"/>
      <c r="D106" s="15" t="n"/>
      <c r="E106" s="15" t="n"/>
      <c r="F106" s="15" t="n"/>
      <c r="G106" s="34" t="n"/>
      <c r="H106" s="15" t="n"/>
      <c r="I106" s="17" t="n"/>
      <c r="J106" s="15" t="n"/>
      <c r="K106" s="28">
        <f>IF(I106="","",I106*(1+SUBSTITUTE(J106,"%","")/100))</f>
        <v/>
      </c>
      <c r="L106" s="23" t="n"/>
      <c r="M106" s="15" t="n"/>
    </row>
    <row r="107" ht="22" customHeight="1">
      <c r="B107" s="19">
        <f>IF(C107="","WEF-"&amp;TEXT(COUNTA($C$5:C107),"000"))</f>
        <v/>
      </c>
      <c r="C107" s="12" t="n"/>
      <c r="D107" s="12" t="n"/>
      <c r="E107" s="12" t="n"/>
      <c r="F107" s="12" t="n"/>
      <c r="G107" s="33" t="n"/>
      <c r="H107" s="12" t="n"/>
      <c r="I107" s="14" t="n"/>
      <c r="J107" s="12" t="n"/>
      <c r="K107" s="27">
        <f>IF(I107="","",I107*(1+SUBSTITUTE(J107,"%","")/100))</f>
        <v/>
      </c>
      <c r="L107" s="21" t="n"/>
      <c r="M107" s="12" t="n"/>
    </row>
    <row r="108" ht="22" customHeight="1">
      <c r="B108" s="18">
        <f>IF(C108="","WEF-"&amp;TEXT(COUNTA($C$5:C108),"000"))</f>
        <v/>
      </c>
      <c r="C108" s="15" t="n"/>
      <c r="D108" s="15" t="n"/>
      <c r="E108" s="15" t="n"/>
      <c r="F108" s="15" t="n"/>
      <c r="G108" s="34" t="n"/>
      <c r="H108" s="15" t="n"/>
      <c r="I108" s="17" t="n"/>
      <c r="J108" s="15" t="n"/>
      <c r="K108" s="28">
        <f>IF(I108="","",I108*(1+SUBSTITUTE(J108,"%","")/100))</f>
        <v/>
      </c>
      <c r="L108" s="23" t="n"/>
      <c r="M108" s="15" t="n"/>
    </row>
    <row r="109" ht="22" customHeight="1">
      <c r="B109" s="19">
        <f>IF(C109="","WEF-"&amp;TEXT(COUNTA($C$5:C109),"000"))</f>
        <v/>
      </c>
      <c r="C109" s="12" t="n"/>
      <c r="D109" s="12" t="n"/>
      <c r="E109" s="12" t="n"/>
      <c r="F109" s="12" t="n"/>
      <c r="G109" s="33" t="n"/>
      <c r="H109" s="12" t="n"/>
      <c r="I109" s="14" t="n"/>
      <c r="J109" s="12" t="n"/>
      <c r="K109" s="27">
        <f>IF(I109="","",I109*(1+SUBSTITUTE(J109,"%","")/100))</f>
        <v/>
      </c>
      <c r="L109" s="21" t="n"/>
      <c r="M109" s="12" t="n"/>
    </row>
    <row r="110"/>
    <row r="111" ht="26" customHeight="1">
      <c r="B111" s="24" t="inlineStr">
        <is>
          <t>TOTAL</t>
        </is>
      </c>
      <c r="C111" s="25" t="n"/>
      <c r="D111" s="25" t="n"/>
      <c r="E111" s="25" t="n"/>
      <c r="F111" s="25" t="n"/>
      <c r="G111" s="25" t="n"/>
      <c r="H111" s="25" t="n"/>
      <c r="I111" s="26">
        <f>SUM(I5:I104)</f>
        <v/>
      </c>
      <c r="J111" s="25" t="n"/>
      <c r="K111" s="26">
        <f>SUM(K5:K104)</f>
        <v/>
      </c>
      <c r="L111" s="26">
        <f>SUM(L5:L104)</f>
        <v/>
      </c>
      <c r="M111" s="25" t="n"/>
    </row>
    <row r="112"/>
    <row r="113">
      <c r="B113" s="6" t="inlineStr">
        <is>
          <t>INDICATEURS (mis a jour automatiquement)</t>
        </is>
      </c>
    </row>
    <row r="114">
      <c r="B114" s="3" t="inlineStr">
        <is>
          <t>Total heures WE/feries</t>
        </is>
      </c>
      <c r="D114" s="3" t="inlineStr">
        <is>
          <t>Heures bonifiees</t>
        </is>
      </c>
      <c r="F114" s="3" t="inlineStr">
        <is>
          <t>Cout total (FCFA)</t>
        </is>
      </c>
      <c r="H114" s="3" t="inlineStr">
        <is>
          <t>Dossiers valides</t>
        </is>
      </c>
    </row>
    <row r="115">
      <c r="B115" s="4">
        <f>SUM(I5:I104)</f>
        <v/>
      </c>
      <c r="D115" s="4">
        <f>SUM(K5:K104)</f>
        <v/>
      </c>
      <c r="F115" s="4">
        <f>SUM(L5:L104)</f>
        <v/>
      </c>
      <c r="H115" s="4">
        <f>COUNTIF(M5:M104,"Valide")</f>
        <v/>
      </c>
    </row>
  </sheetData>
  <mergeCells count="3">
    <mergeCell ref="B3:M3"/>
    <mergeCell ref="B2:M2"/>
    <mergeCell ref="B113:M113"/>
  </mergeCells>
  <conditionalFormatting sqref="M5:M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dataValidations count="5">
    <dataValidation sqref="E5:E109" showDropDown="0" showInputMessage="0" showErrorMessage="0" allowBlank="1" errorTitle="Erreur" error="Valeur invalide" promptTitle="Liste" prompt="Choisir dans la liste" type="list">
      <formula1>'_Lists'!$B$2:$B$14</formula1>
    </dataValidation>
    <dataValidation sqref="F5:F109" showDropDown="0" showInputMessage="0" showErrorMessage="0" allowBlank="1" errorTitle="Erreur" error="Valeur invalide" promptTitle="Liste" prompt="Choisir dans la liste" type="list">
      <formula1>'_Lists'!$C$2:$C$30</formula1>
    </dataValidation>
    <dataValidation sqref="H5:H109" showDropDown="0" showInputMessage="0" showErrorMessage="0" allowBlank="1" errorTitle="Erreur" error="Valeur invalide" promptTitle="Liste" prompt="Choisir dans la liste" type="list">
      <formula1>'_Lists'!$F$2:$F$8</formula1>
    </dataValidation>
    <dataValidation sqref="J5:J109" showDropDown="0" showInputMessage="0" showErrorMessage="0" allowBlank="1" errorTitle="Erreur" error="Valeur invalide" promptTitle="Liste" prompt="Choisir dans la liste" type="list">
      <formula1>'_Lists'!$M$2:$M$6</formula1>
    </dataValidation>
    <dataValidation sqref="M5:M109"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16" customWidth="1" min="3" max="3"/>
    <col width="20" customWidth="1" min="4" max="4"/>
    <col width="18" customWidth="1" min="5" max="5"/>
    <col width="12" customWidth="1" min="6" max="6"/>
    <col width="10" customWidth="1" min="7" max="7"/>
    <col width="16" customWidth="1" min="8" max="8"/>
    <col width="16" customWidth="1" min="9" max="9"/>
    <col width="14" customWidth="1" min="10" max="10"/>
    <col width="14" customWidth="1" min="11" max="11"/>
    <col width="14" customWidth="1" min="12" max="12"/>
    <col width="14" customWidth="1" min="13" max="13"/>
    <col width="14" customWidth="1" min="14" max="14"/>
    <col width="14" customWidth="1" min="15" max="15"/>
  </cols>
  <sheetData>
    <row r="1" ht="15" customHeight="1"/>
    <row r="2" ht="32" customHeight="1">
      <c r="B2" s="1" t="inlineStr">
        <is>
          <t>COMPTEURS DE TEMPS — BANQUES D'HEURES</t>
        </is>
      </c>
    </row>
    <row r="3" ht="8" customHeight="1">
      <c r="B3" s="2" t="inlineStr">
        <is>
          <t>TABLEAU DYNAMIQUE — Saisissez dans la prochaine ligne jaune. Les calculs se mettent a jour automatiquement.</t>
        </is>
      </c>
    </row>
    <row r="4" ht="28" customHeight="1">
      <c r="B4" s="11" t="inlineStr">
        <is>
          <t>N° Compteur</t>
        </is>
      </c>
      <c r="C4" s="11" t="inlineStr">
        <is>
          <t>Matricule</t>
        </is>
      </c>
      <c r="D4" s="11" t="inlineStr">
        <is>
          <t>Nom Employe</t>
        </is>
      </c>
      <c r="E4" s="11" t="inlineStr">
        <is>
          <t>Departement</t>
        </is>
      </c>
      <c r="F4" s="11" t="inlineStr">
        <is>
          <t>Mois</t>
        </is>
      </c>
      <c r="G4" s="11" t="inlineStr">
        <is>
          <t>Annee</t>
        </is>
      </c>
      <c r="H4" s="11" t="inlineStr">
        <is>
          <t>Heures Theoriques</t>
        </is>
      </c>
      <c r="I4" s="11" t="inlineStr">
        <is>
          <t>Heures Effectives</t>
        </is>
      </c>
      <c r="J4" s="11" t="inlineStr">
        <is>
          <t>Heures Supp</t>
        </is>
      </c>
      <c r="K4" s="11" t="inlineStr">
        <is>
          <t>Heures Nuit</t>
        </is>
      </c>
      <c r="L4" s="11" t="inlineStr">
        <is>
          <t>Absences (h)</t>
        </is>
      </c>
      <c r="M4" s="11" t="inlineStr">
        <is>
          <t>Solde Heures</t>
        </is>
      </c>
      <c r="N4" s="11" t="inlineStr">
        <is>
          <t>Taux Realisation</t>
        </is>
      </c>
      <c r="O4" s="11" t="inlineStr">
        <is>
          <t>Statut</t>
        </is>
      </c>
    </row>
    <row r="5" ht="22" customHeight="1">
      <c r="B5" s="12" t="inlineStr">
        <is>
          <t>CT-001</t>
        </is>
      </c>
      <c r="C5" s="12" t="inlineStr">
        <is>
          <t>EMP-001</t>
        </is>
      </c>
      <c r="D5" s="12">
        <f>IF(C5="","",IFERROR(VLOOKUP(C5,'_Données Employés'!$B$5:$H$18,3,FALSE)&amp;" "&amp;VLOOKUP(C5,'_Données Employés'!$B$5:$H$18,4,FALSE),""))</f>
        <v/>
      </c>
      <c r="E5" s="12">
        <f>IF(C5="","",IFERROR(VLOOKUP(C5,'_Données Employés'!$B$5:$H$18,5,FALSE),""))</f>
        <v/>
      </c>
      <c r="F5" s="12" t="inlineStr">
        <is>
          <t>Juin</t>
        </is>
      </c>
      <c r="G5" s="12" t="inlineStr">
        <is>
          <t>2025</t>
        </is>
      </c>
      <c r="H5" s="14" t="n">
        <v>173</v>
      </c>
      <c r="I5" s="14">
        <f>IF(C5="","",IFERROR(SUMIFS('6-Releve Heures'!K$5:K$104,'6-Releve Heures'!C$5:C$104,C5),0))</f>
        <v/>
      </c>
      <c r="J5" s="14">
        <f>IF(C5="","",IFERROR(SUMIFS('7-Heures Supplementaires'!I$5:I$104,'7-Heures Supplementaires'!C$5:C$104,C5),0))</f>
        <v/>
      </c>
      <c r="K5" s="14">
        <f>IF(C5="","",IFERROR(SUMIFS('8-Heures Nuit'!J$5:J$104,'8-Heures Nuit'!C$5:C$104,C5),0))</f>
        <v/>
      </c>
      <c r="L5" s="14">
        <f>IF(C5="","",IFERROR(SUMIFS('2-Planning Mensuel'!U$5:U$104,'2-Planning Mensuel'!C$5:C$104,C5)*8,0))</f>
        <v/>
      </c>
      <c r="M5" s="14">
        <f>IF(C5="","",IFERROR(I5-H5,0))</f>
        <v/>
      </c>
      <c r="N5" s="29">
        <f>IF(OR(C5="",H5=0,H5=""),"",IFERROR(I5/H5,0))</f>
        <v/>
      </c>
      <c r="O5" s="12" t="inlineStr">
        <is>
          <t>Valide</t>
        </is>
      </c>
    </row>
    <row r="6" ht="22" customHeight="1">
      <c r="B6" s="15" t="inlineStr">
        <is>
          <t>CT-002</t>
        </is>
      </c>
      <c r="C6" s="15" t="inlineStr">
        <is>
          <t>EMP-002</t>
        </is>
      </c>
      <c r="D6" s="15">
        <f>IF(C6="","",IFERROR(VLOOKUP(C6,'_Données Employés'!$B$5:$H$18,3,FALSE)&amp;" "&amp;VLOOKUP(C6,'_Données Employés'!$B$5:$H$18,4,FALSE),""))</f>
        <v/>
      </c>
      <c r="E6" s="15">
        <f>IF(C6="","",IFERROR(VLOOKUP(C6,'_Données Employés'!$B$5:$H$18,5,FALSE),""))</f>
        <v/>
      </c>
      <c r="F6" s="15" t="inlineStr">
        <is>
          <t>Juin</t>
        </is>
      </c>
      <c r="G6" s="15" t="inlineStr">
        <is>
          <t>2025</t>
        </is>
      </c>
      <c r="H6" s="17" t="n">
        <v>173</v>
      </c>
      <c r="I6" s="17">
        <f>IF(C6="","",IFERROR(SUMIFS('6-Releve Heures'!K$5:K$104,'6-Releve Heures'!C$5:C$104,C6),0))</f>
        <v/>
      </c>
      <c r="J6" s="17">
        <f>IF(C6="","",IFERROR(SUMIFS('7-Heures Supplementaires'!I$5:I$104,'7-Heures Supplementaires'!C$5:C$104,C6),0))</f>
        <v/>
      </c>
      <c r="K6" s="17">
        <f>IF(C6="","",IFERROR(SUMIFS('8-Heures Nuit'!J$5:J$104,'8-Heures Nuit'!C$5:C$104,C6),0))</f>
        <v/>
      </c>
      <c r="L6" s="17">
        <f>IF(C6="","",IFERROR(SUMIFS('2-Planning Mensuel'!U$5:U$104,'2-Planning Mensuel'!C$5:C$104,C6)*8,0))</f>
        <v/>
      </c>
      <c r="M6" s="17">
        <f>IF(C6="","",IFERROR(I6-H6,0))</f>
        <v/>
      </c>
      <c r="N6" s="30">
        <f>IF(OR(C6="",H6=0,H6=""),"",IFERROR(I6/H6,0))</f>
        <v/>
      </c>
      <c r="O6" s="15" t="inlineStr">
        <is>
          <t>Valide</t>
        </is>
      </c>
    </row>
    <row r="7" ht="22" customHeight="1">
      <c r="B7" s="12" t="inlineStr">
        <is>
          <t>CT-003</t>
        </is>
      </c>
      <c r="C7" s="12" t="inlineStr">
        <is>
          <t>EMP-003</t>
        </is>
      </c>
      <c r="D7" s="12">
        <f>IF(C7="","",IFERROR(VLOOKUP(C7,'_Données Employés'!$B$5:$H$18,3,FALSE)&amp;" "&amp;VLOOKUP(C7,'_Données Employés'!$B$5:$H$18,4,FALSE),""))</f>
        <v/>
      </c>
      <c r="E7" s="12">
        <f>IF(C7="","",IFERROR(VLOOKUP(C7,'_Données Employés'!$B$5:$H$18,5,FALSE),""))</f>
        <v/>
      </c>
      <c r="F7" s="12" t="inlineStr">
        <is>
          <t>Juin</t>
        </is>
      </c>
      <c r="G7" s="12" t="inlineStr">
        <is>
          <t>2025</t>
        </is>
      </c>
      <c r="H7" s="14" t="n">
        <v>173</v>
      </c>
      <c r="I7" s="14">
        <f>IF(C7="","",IFERROR(SUMIFS('6-Releve Heures'!K$5:K$104,'6-Releve Heures'!C$5:C$104,C7),0))</f>
        <v/>
      </c>
      <c r="J7" s="14">
        <f>IF(C7="","",IFERROR(SUMIFS('7-Heures Supplementaires'!I$5:I$104,'7-Heures Supplementaires'!C$5:C$104,C7),0))</f>
        <v/>
      </c>
      <c r="K7" s="14">
        <f>IF(C7="","",IFERROR(SUMIFS('8-Heures Nuit'!J$5:J$104,'8-Heures Nuit'!C$5:C$104,C7),0))</f>
        <v/>
      </c>
      <c r="L7" s="14">
        <f>IF(C7="","",IFERROR(SUMIFS('2-Planning Mensuel'!U$5:U$104,'2-Planning Mensuel'!C$5:C$104,C7)*8,0))</f>
        <v/>
      </c>
      <c r="M7" s="14">
        <f>IF(C7="","",IFERROR(I7-H7,0))</f>
        <v/>
      </c>
      <c r="N7" s="29">
        <f>IF(OR(C7="",H7=0,H7=""),"",IFERROR(I7/H7,0))</f>
        <v/>
      </c>
      <c r="O7" s="12" t="inlineStr">
        <is>
          <t>Valide</t>
        </is>
      </c>
    </row>
    <row r="8" ht="22" customHeight="1">
      <c r="B8" s="15" t="inlineStr">
        <is>
          <t>CT-004</t>
        </is>
      </c>
      <c r="C8" s="15" t="inlineStr">
        <is>
          <t>EMP-004</t>
        </is>
      </c>
      <c r="D8" s="15">
        <f>IF(C8="","",IFERROR(VLOOKUP(C8,'_Données Employés'!$B$5:$H$18,3,FALSE)&amp;" "&amp;VLOOKUP(C8,'_Données Employés'!$B$5:$H$18,4,FALSE),""))</f>
        <v/>
      </c>
      <c r="E8" s="15">
        <f>IF(C8="","",IFERROR(VLOOKUP(C8,'_Données Employés'!$B$5:$H$18,5,FALSE),""))</f>
        <v/>
      </c>
      <c r="F8" s="15" t="inlineStr">
        <is>
          <t>Juin</t>
        </is>
      </c>
      <c r="G8" s="15" t="inlineStr">
        <is>
          <t>2025</t>
        </is>
      </c>
      <c r="H8" s="17" t="n">
        <v>173</v>
      </c>
      <c r="I8" s="17">
        <f>IF(C8="","",IFERROR(SUMIFS('6-Releve Heures'!K$5:K$104,'6-Releve Heures'!C$5:C$104,C8),0))</f>
        <v/>
      </c>
      <c r="J8" s="17">
        <f>IF(C8="","",IFERROR(SUMIFS('7-Heures Supplementaires'!I$5:I$104,'7-Heures Supplementaires'!C$5:C$104,C8),0))</f>
        <v/>
      </c>
      <c r="K8" s="17">
        <f>IF(C8="","",IFERROR(SUMIFS('8-Heures Nuit'!J$5:J$104,'8-Heures Nuit'!C$5:C$104,C8),0))</f>
        <v/>
      </c>
      <c r="L8" s="17">
        <f>IF(C8="","",IFERROR(SUMIFS('2-Planning Mensuel'!U$5:U$104,'2-Planning Mensuel'!C$5:C$104,C8)*8,0))</f>
        <v/>
      </c>
      <c r="M8" s="17">
        <f>IF(C8="","",IFERROR(I8-H8,0))</f>
        <v/>
      </c>
      <c r="N8" s="30">
        <f>IF(OR(C8="",H8=0,H8=""),"",IFERROR(I8/H8,0))</f>
        <v/>
      </c>
      <c r="O8" s="15" t="inlineStr">
        <is>
          <t>Valide</t>
        </is>
      </c>
    </row>
    <row r="9" ht="22" customHeight="1">
      <c r="B9" s="12" t="inlineStr">
        <is>
          <t>CT-005</t>
        </is>
      </c>
      <c r="C9" s="12" t="inlineStr">
        <is>
          <t>EMP-005</t>
        </is>
      </c>
      <c r="D9" s="12">
        <f>IF(C9="","",IFERROR(VLOOKUP(C9,'_Données Employés'!$B$5:$H$18,3,FALSE)&amp;" "&amp;VLOOKUP(C9,'_Données Employés'!$B$5:$H$18,4,FALSE),""))</f>
        <v/>
      </c>
      <c r="E9" s="12">
        <f>IF(C9="","",IFERROR(VLOOKUP(C9,'_Données Employés'!$B$5:$H$18,5,FALSE),""))</f>
        <v/>
      </c>
      <c r="F9" s="12" t="inlineStr">
        <is>
          <t>Juin</t>
        </is>
      </c>
      <c r="G9" s="12" t="inlineStr">
        <is>
          <t>2025</t>
        </is>
      </c>
      <c r="H9" s="14" t="n">
        <v>173</v>
      </c>
      <c r="I9" s="14">
        <f>IF(C9="","",IFERROR(SUMIFS('6-Releve Heures'!K$5:K$104,'6-Releve Heures'!C$5:C$104,C9),0))</f>
        <v/>
      </c>
      <c r="J9" s="14">
        <f>IF(C9="","",IFERROR(SUMIFS('7-Heures Supplementaires'!I$5:I$104,'7-Heures Supplementaires'!C$5:C$104,C9),0))</f>
        <v/>
      </c>
      <c r="K9" s="14">
        <f>IF(C9="","",IFERROR(SUMIFS('8-Heures Nuit'!J$5:J$104,'8-Heures Nuit'!C$5:C$104,C9),0))</f>
        <v/>
      </c>
      <c r="L9" s="14">
        <f>IF(C9="","",IFERROR(SUMIFS('2-Planning Mensuel'!U$5:U$104,'2-Planning Mensuel'!C$5:C$104,C9)*8,0))</f>
        <v/>
      </c>
      <c r="M9" s="14">
        <f>IF(C9="","",IFERROR(I9-H9,0))</f>
        <v/>
      </c>
      <c r="N9" s="29">
        <f>IF(OR(C9="",H9=0,H9=""),"",IFERROR(I9/H9,0))</f>
        <v/>
      </c>
      <c r="O9" s="12" t="inlineStr">
        <is>
          <t>Valide</t>
        </is>
      </c>
    </row>
    <row r="10" ht="22" customHeight="1">
      <c r="B10" s="12" t="inlineStr">
        <is>
          <t>CT-006</t>
        </is>
      </c>
      <c r="C10" s="12" t="inlineStr">
        <is>
          <t>EMP-006</t>
        </is>
      </c>
      <c r="D10" s="12">
        <f>IF(C10="","",IFERROR(VLOOKUP(C10,'_Données Employés'!$B$5:$H$18,3,FALSE)&amp;" "&amp;VLOOKUP(C10,'_Données Employés'!$B$5:$H$18,4,FALSE),""))</f>
        <v/>
      </c>
      <c r="E10" s="12">
        <f>IF(C10="","",IFERROR(VLOOKUP(C10,'_Données Employés'!$B$5:$H$18,5,FALSE),""))</f>
        <v/>
      </c>
      <c r="F10" s="12" t="inlineStr">
        <is>
          <t>Juin</t>
        </is>
      </c>
      <c r="G10" s="12" t="inlineStr">
        <is>
          <t>2025</t>
        </is>
      </c>
      <c r="H10" s="14" t="n">
        <v>173</v>
      </c>
      <c r="I10" s="14">
        <f>IF(C10="","",IFERROR(SUMIFS('6-Releve Heures'!K$5:K$104,'6-Releve Heures'!C$5:C$104,C10),0))</f>
        <v/>
      </c>
      <c r="J10" s="14">
        <f>IF(C10="","",IFERROR(SUMIFS('7-Heures Supplementaires'!I$5:I$104,'7-Heures Supplementaires'!C$5:C$104,C10),0))</f>
        <v/>
      </c>
      <c r="K10" s="14">
        <f>IF(C10="","",IFERROR(SUMIFS('8-Heures Nuit'!J$5:J$104,'8-Heures Nuit'!C$5:C$104,C10),0))</f>
        <v/>
      </c>
      <c r="L10" s="14">
        <f>IF(C10="","",IFERROR(SUMIFS('2-Planning Mensuel'!U$5:U$104,'2-Planning Mensuel'!C$5:C$104,C10)*8,0))</f>
        <v/>
      </c>
      <c r="M10" s="14">
        <f>IF(C10="","",IFERROR(I10-H10,0))</f>
        <v/>
      </c>
      <c r="N10" s="29">
        <f>IF(OR(C10="",H10=0,H10=""),"",IFERROR(I10/H10,0))</f>
        <v/>
      </c>
      <c r="O10" s="12" t="n"/>
    </row>
    <row r="11" ht="22" customHeight="1">
      <c r="B11" s="12" t="inlineStr">
        <is>
          <t>CT-007</t>
        </is>
      </c>
      <c r="C11" s="12" t="inlineStr">
        <is>
          <t>EMP-007</t>
        </is>
      </c>
      <c r="D11" s="12">
        <f>IF(C11="","",IFERROR(VLOOKUP(C11,'_Données Employés'!$B$5:$H$18,3,FALSE)&amp;" "&amp;VLOOKUP(C11,'_Données Employés'!$B$5:$H$18,4,FALSE),""))</f>
        <v/>
      </c>
      <c r="E11" s="12">
        <f>IF(C11="","",IFERROR(VLOOKUP(C11,'_Données Employés'!$B$5:$H$18,5,FALSE),""))</f>
        <v/>
      </c>
      <c r="F11" s="12" t="inlineStr">
        <is>
          <t>Juin</t>
        </is>
      </c>
      <c r="G11" s="12" t="inlineStr">
        <is>
          <t>2025</t>
        </is>
      </c>
      <c r="H11" s="14" t="n">
        <v>173</v>
      </c>
      <c r="I11" s="14">
        <f>IF(C11="","",IFERROR(SUMIFS('6-Releve Heures'!K$5:K$104,'6-Releve Heures'!C$5:C$104,C11),0))</f>
        <v/>
      </c>
      <c r="J11" s="14">
        <f>IF(C11="","",IFERROR(SUMIFS('7-Heures Supplementaires'!I$5:I$104,'7-Heures Supplementaires'!C$5:C$104,C11),0))</f>
        <v/>
      </c>
      <c r="K11" s="14">
        <f>IF(C11="","",IFERROR(SUMIFS('8-Heures Nuit'!J$5:J$104,'8-Heures Nuit'!C$5:C$104,C11),0))</f>
        <v/>
      </c>
      <c r="L11" s="14">
        <f>IF(C11="","",IFERROR(SUMIFS('2-Planning Mensuel'!U$5:U$104,'2-Planning Mensuel'!C$5:C$104,C11)*8,0))</f>
        <v/>
      </c>
      <c r="M11" s="14">
        <f>IF(C11="","",IFERROR(I11-H11,0))</f>
        <v/>
      </c>
      <c r="N11" s="29">
        <f>IF(OR(C11="",H11=0,H11=""),"",IFERROR(I11/H11,0))</f>
        <v/>
      </c>
      <c r="O11" s="12" t="n"/>
    </row>
    <row r="12" ht="22" customHeight="1">
      <c r="B12" s="12" t="inlineStr">
        <is>
          <t>CT-008</t>
        </is>
      </c>
      <c r="C12" s="12" t="inlineStr">
        <is>
          <t>EMP-008</t>
        </is>
      </c>
      <c r="D12" s="12">
        <f>IF(C12="","",IFERROR(VLOOKUP(C12,'_Données Employés'!$B$5:$H$18,3,FALSE)&amp;" "&amp;VLOOKUP(C12,'_Données Employés'!$B$5:$H$18,4,FALSE),""))</f>
        <v/>
      </c>
      <c r="E12" s="12">
        <f>IF(C12="","",IFERROR(VLOOKUP(C12,'_Données Employés'!$B$5:$H$18,5,FALSE),""))</f>
        <v/>
      </c>
      <c r="F12" s="12" t="inlineStr">
        <is>
          <t>Juin</t>
        </is>
      </c>
      <c r="G12" s="12" t="inlineStr">
        <is>
          <t>2025</t>
        </is>
      </c>
      <c r="H12" s="14" t="n">
        <v>173</v>
      </c>
      <c r="I12" s="14">
        <f>IF(C12="","",IFERROR(SUMIFS('6-Releve Heures'!K$5:K$104,'6-Releve Heures'!C$5:C$104,C12),0))</f>
        <v/>
      </c>
      <c r="J12" s="14">
        <f>IF(C12="","",IFERROR(SUMIFS('7-Heures Supplementaires'!I$5:I$104,'7-Heures Supplementaires'!C$5:C$104,C12),0))</f>
        <v/>
      </c>
      <c r="K12" s="14">
        <f>IF(C12="","",IFERROR(SUMIFS('8-Heures Nuit'!J$5:J$104,'8-Heures Nuit'!C$5:C$104,C12),0))</f>
        <v/>
      </c>
      <c r="L12" s="14">
        <f>IF(C12="","",IFERROR(SUMIFS('2-Planning Mensuel'!U$5:U$104,'2-Planning Mensuel'!C$5:C$104,C12)*8,0))</f>
        <v/>
      </c>
      <c r="M12" s="14">
        <f>IF(C12="","",IFERROR(I12-H12,0))</f>
        <v/>
      </c>
      <c r="N12" s="29">
        <f>IF(OR(C12="",H12=0,H12=""),"",IFERROR(I12/H12,0))</f>
        <v/>
      </c>
      <c r="O12" s="12" t="n"/>
    </row>
    <row r="13" ht="22" customHeight="1">
      <c r="B13" s="12" t="inlineStr">
        <is>
          <t>CT-009</t>
        </is>
      </c>
      <c r="C13" s="12" t="inlineStr">
        <is>
          <t>EMP-009</t>
        </is>
      </c>
      <c r="D13" s="12">
        <f>IF(C13="","",IFERROR(VLOOKUP(C13,'_Données Employés'!$B$5:$H$18,3,FALSE)&amp;" "&amp;VLOOKUP(C13,'_Données Employés'!$B$5:$H$18,4,FALSE),""))</f>
        <v/>
      </c>
      <c r="E13" s="12">
        <f>IF(C13="","",IFERROR(VLOOKUP(C13,'_Données Employés'!$B$5:$H$18,5,FALSE),""))</f>
        <v/>
      </c>
      <c r="F13" s="12" t="inlineStr">
        <is>
          <t>Juin</t>
        </is>
      </c>
      <c r="G13" s="12" t="inlineStr">
        <is>
          <t>2025</t>
        </is>
      </c>
      <c r="H13" s="14" t="n">
        <v>173</v>
      </c>
      <c r="I13" s="14">
        <f>IF(C13="","",IFERROR(SUMIFS('6-Releve Heures'!K$5:K$104,'6-Releve Heures'!C$5:C$104,C13),0))</f>
        <v/>
      </c>
      <c r="J13" s="14">
        <f>IF(C13="","",IFERROR(SUMIFS('7-Heures Supplementaires'!I$5:I$104,'7-Heures Supplementaires'!C$5:C$104,C13),0))</f>
        <v/>
      </c>
      <c r="K13" s="14">
        <f>IF(C13="","",IFERROR(SUMIFS('8-Heures Nuit'!J$5:J$104,'8-Heures Nuit'!C$5:C$104,C13),0))</f>
        <v/>
      </c>
      <c r="L13" s="14">
        <f>IF(C13="","",IFERROR(SUMIFS('2-Planning Mensuel'!U$5:U$104,'2-Planning Mensuel'!C$5:C$104,C13)*8,0))</f>
        <v/>
      </c>
      <c r="M13" s="14">
        <f>IF(C13="","",IFERROR(I13-H13,0))</f>
        <v/>
      </c>
      <c r="N13" s="29">
        <f>IF(OR(C13="",H13=0,H13=""),"",IFERROR(I13/H13,0))</f>
        <v/>
      </c>
      <c r="O13" s="12" t="n"/>
    </row>
    <row r="14" ht="22" customHeight="1">
      <c r="B14" s="12" t="inlineStr">
        <is>
          <t>CT-010</t>
        </is>
      </c>
      <c r="C14" s="12" t="inlineStr">
        <is>
          <t>EMP-010</t>
        </is>
      </c>
      <c r="D14" s="12">
        <f>IF(C14="","",IFERROR(VLOOKUP(C14,'_Données Employés'!$B$5:$H$18,3,FALSE)&amp;" "&amp;VLOOKUP(C14,'_Données Employés'!$B$5:$H$18,4,FALSE),""))</f>
        <v/>
      </c>
      <c r="E14" s="12">
        <f>IF(C14="","",IFERROR(VLOOKUP(C14,'_Données Employés'!$B$5:$H$18,5,FALSE),""))</f>
        <v/>
      </c>
      <c r="F14" s="12" t="inlineStr">
        <is>
          <t>Juin</t>
        </is>
      </c>
      <c r="G14" s="12" t="inlineStr">
        <is>
          <t>2025</t>
        </is>
      </c>
      <c r="H14" s="14" t="n">
        <v>173</v>
      </c>
      <c r="I14" s="14">
        <f>IF(C14="","",IFERROR(SUMIFS('6-Releve Heures'!K$5:K$104,'6-Releve Heures'!C$5:C$104,C14),0))</f>
        <v/>
      </c>
      <c r="J14" s="14">
        <f>IF(C14="","",IFERROR(SUMIFS('7-Heures Supplementaires'!I$5:I$104,'7-Heures Supplementaires'!C$5:C$104,C14),0))</f>
        <v/>
      </c>
      <c r="K14" s="14">
        <f>IF(C14="","",IFERROR(SUMIFS('8-Heures Nuit'!J$5:J$104,'8-Heures Nuit'!C$5:C$104,C14),0))</f>
        <v/>
      </c>
      <c r="L14" s="14">
        <f>IF(C14="","",IFERROR(SUMIFS('2-Planning Mensuel'!U$5:U$104,'2-Planning Mensuel'!C$5:C$104,C14)*8,0))</f>
        <v/>
      </c>
      <c r="M14" s="14">
        <f>IF(C14="","",IFERROR(I14-H14,0))</f>
        <v/>
      </c>
      <c r="N14" s="29">
        <f>IF(OR(C14="",H14=0,H14=""),"",IFERROR(I14/H14,0))</f>
        <v/>
      </c>
      <c r="O14" s="12" t="n"/>
    </row>
    <row r="15" ht="22" customHeight="1">
      <c r="B15" s="12" t="inlineStr">
        <is>
          <t>CT-011</t>
        </is>
      </c>
      <c r="C15" s="12" t="inlineStr">
        <is>
          <t>EMP-011</t>
        </is>
      </c>
      <c r="D15" s="12">
        <f>IF(C15="","",IFERROR(VLOOKUP(C15,'_Données Employés'!$B$5:$H$18,3,FALSE)&amp;" "&amp;VLOOKUP(C15,'_Données Employés'!$B$5:$H$18,4,FALSE),""))</f>
        <v/>
      </c>
      <c r="E15" s="12">
        <f>IF(C15="","",IFERROR(VLOOKUP(C15,'_Données Employés'!$B$5:$H$18,5,FALSE),""))</f>
        <v/>
      </c>
      <c r="F15" s="12" t="inlineStr">
        <is>
          <t>Juin</t>
        </is>
      </c>
      <c r="G15" s="12" t="inlineStr">
        <is>
          <t>2025</t>
        </is>
      </c>
      <c r="H15" s="14" t="n">
        <v>173</v>
      </c>
      <c r="I15" s="14">
        <f>IF(C15="","",IFERROR(SUMIFS('6-Releve Heures'!K$5:K$104,'6-Releve Heures'!C$5:C$104,C15),0))</f>
        <v/>
      </c>
      <c r="J15" s="14">
        <f>IF(C15="","",IFERROR(SUMIFS('7-Heures Supplementaires'!I$5:I$104,'7-Heures Supplementaires'!C$5:C$104,C15),0))</f>
        <v/>
      </c>
      <c r="K15" s="14">
        <f>IF(C15="","",IFERROR(SUMIFS('8-Heures Nuit'!J$5:J$104,'8-Heures Nuit'!C$5:C$104,C15),0))</f>
        <v/>
      </c>
      <c r="L15" s="14">
        <f>IF(C15="","",IFERROR(SUMIFS('2-Planning Mensuel'!U$5:U$104,'2-Planning Mensuel'!C$5:C$104,C15)*8,0))</f>
        <v/>
      </c>
      <c r="M15" s="14">
        <f>IF(C15="","",IFERROR(I15-H15,0))</f>
        <v/>
      </c>
      <c r="N15" s="29">
        <f>IF(OR(C15="",H15=0,H15=""),"",IFERROR(I15/H15,0))</f>
        <v/>
      </c>
      <c r="O15" s="12" t="n"/>
    </row>
    <row r="16" ht="22" customHeight="1">
      <c r="B16" s="12" t="inlineStr">
        <is>
          <t>CT-012</t>
        </is>
      </c>
      <c r="C16" s="12" t="inlineStr">
        <is>
          <t>EMP-012</t>
        </is>
      </c>
      <c r="D16" s="12">
        <f>IF(C16="","",IFERROR(VLOOKUP(C16,'_Données Employés'!$B$5:$H$18,3,FALSE)&amp;" "&amp;VLOOKUP(C16,'_Données Employés'!$B$5:$H$18,4,FALSE),""))</f>
        <v/>
      </c>
      <c r="E16" s="12">
        <f>IF(C16="","",IFERROR(VLOOKUP(C16,'_Données Employés'!$B$5:$H$18,5,FALSE),""))</f>
        <v/>
      </c>
      <c r="F16" s="12" t="inlineStr">
        <is>
          <t>Juin</t>
        </is>
      </c>
      <c r="G16" s="12" t="inlineStr">
        <is>
          <t>2025</t>
        </is>
      </c>
      <c r="H16" s="14" t="n">
        <v>173</v>
      </c>
      <c r="I16" s="14">
        <f>IF(C16="","",IFERROR(SUMIFS('6-Releve Heures'!K$5:K$104,'6-Releve Heures'!C$5:C$104,C16),0))</f>
        <v/>
      </c>
      <c r="J16" s="14">
        <f>IF(C16="","",IFERROR(SUMIFS('7-Heures Supplementaires'!I$5:I$104,'7-Heures Supplementaires'!C$5:C$104,C16),0))</f>
        <v/>
      </c>
      <c r="K16" s="14">
        <f>IF(C16="","",IFERROR(SUMIFS('8-Heures Nuit'!J$5:J$104,'8-Heures Nuit'!C$5:C$104,C16),0))</f>
        <v/>
      </c>
      <c r="L16" s="14">
        <f>IF(C16="","",IFERROR(SUMIFS('2-Planning Mensuel'!U$5:U$104,'2-Planning Mensuel'!C$5:C$104,C16)*8,0))</f>
        <v/>
      </c>
      <c r="M16" s="14">
        <f>IF(C16="","",IFERROR(I16-H16,0))</f>
        <v/>
      </c>
      <c r="N16" s="29">
        <f>IF(OR(C16="",H16=0,H16=""),"",IFERROR(I16/H16,0))</f>
        <v/>
      </c>
      <c r="O16" s="12" t="n"/>
    </row>
    <row r="17" ht="22" customHeight="1">
      <c r="B17" s="12" t="inlineStr">
        <is>
          <t>CT-028</t>
        </is>
      </c>
      <c r="C17" s="12" t="inlineStr">
        <is>
          <t>EMP-028</t>
        </is>
      </c>
      <c r="D17" s="12">
        <f>IF(C17="","",IFERROR(VLOOKUP(C17,'_Données Employés'!$B$5:$H$18,3,FALSE)&amp;" "&amp;VLOOKUP(C17,'_Données Employés'!$B$5:$H$18,4,FALSE),""))</f>
        <v/>
      </c>
      <c r="E17" s="12">
        <f>IF(C17="","",IFERROR(VLOOKUP(C17,'_Données Employés'!$B$5:$H$18,5,FALSE),""))</f>
        <v/>
      </c>
      <c r="F17" s="12" t="inlineStr">
        <is>
          <t>Juin</t>
        </is>
      </c>
      <c r="G17" s="12" t="inlineStr">
        <is>
          <t>2025</t>
        </is>
      </c>
      <c r="H17" s="14" t="n">
        <v>173</v>
      </c>
      <c r="I17" s="14">
        <f>IF(C17="","",IFERROR(SUMIFS('6-Releve Heures'!K$5:K$104,'6-Releve Heures'!C$5:C$104,C17),0))</f>
        <v/>
      </c>
      <c r="J17" s="14">
        <f>IF(C17="","",IFERROR(SUMIFS('7-Heures Supplementaires'!I$5:I$104,'7-Heures Supplementaires'!C$5:C$104,C17),0))</f>
        <v/>
      </c>
      <c r="K17" s="14">
        <f>IF(C17="","",IFERROR(SUMIFS('8-Heures Nuit'!J$5:J$104,'8-Heures Nuit'!C$5:C$104,C17),0))</f>
        <v/>
      </c>
      <c r="L17" s="14">
        <f>IF(C17="","",IFERROR(SUMIFS('2-Planning Mensuel'!U$5:U$104,'2-Planning Mensuel'!C$5:C$104,C17)*8,0))</f>
        <v/>
      </c>
      <c r="M17" s="14">
        <f>IF(C17="","",IFERROR(I17-H17,0))</f>
        <v/>
      </c>
      <c r="N17" s="29">
        <f>IF(OR(C17="",H17=0,H17=""),"",IFERROR(I17/H17,0))</f>
        <v/>
      </c>
      <c r="O17" s="12" t="n"/>
    </row>
    <row r="18" ht="22" customHeight="1">
      <c r="B18" s="12" t="inlineStr">
        <is>
          <t>CT-029</t>
        </is>
      </c>
      <c r="C18" s="12" t="inlineStr">
        <is>
          <t>EMP-029</t>
        </is>
      </c>
      <c r="D18" s="12">
        <f>IF(C18="","",IFERROR(VLOOKUP(C18,'_Données Employés'!$B$5:$H$18,3,FALSE)&amp;" "&amp;VLOOKUP(C18,'_Données Employés'!$B$5:$H$18,4,FALSE),""))</f>
        <v/>
      </c>
      <c r="E18" s="12">
        <f>IF(C18="","",IFERROR(VLOOKUP(C18,'_Données Employés'!$B$5:$H$18,5,FALSE),""))</f>
        <v/>
      </c>
      <c r="F18" s="12" t="inlineStr">
        <is>
          <t>Juin</t>
        </is>
      </c>
      <c r="G18" s="12" t="inlineStr">
        <is>
          <t>2025</t>
        </is>
      </c>
      <c r="H18" s="14" t="n">
        <v>173</v>
      </c>
      <c r="I18" s="14">
        <f>IF(C18="","",IFERROR(SUMIFS('6-Releve Heures'!K$5:K$104,'6-Releve Heures'!C$5:C$104,C18),0))</f>
        <v/>
      </c>
      <c r="J18" s="14">
        <f>IF(C18="","",IFERROR(SUMIFS('7-Heures Supplementaires'!I$5:I$104,'7-Heures Supplementaires'!C$5:C$104,C18),0))</f>
        <v/>
      </c>
      <c r="K18" s="14">
        <f>IF(C18="","",IFERROR(SUMIFS('8-Heures Nuit'!J$5:J$104,'8-Heures Nuit'!C$5:C$104,C18),0))</f>
        <v/>
      </c>
      <c r="L18" s="14">
        <f>IF(C18="","",IFERROR(SUMIFS('2-Planning Mensuel'!U$5:U$104,'2-Planning Mensuel'!C$5:C$104,C18)*8,0))</f>
        <v/>
      </c>
      <c r="M18" s="14">
        <f>IF(C18="","",IFERROR(I18-H18,0))</f>
        <v/>
      </c>
      <c r="N18" s="29">
        <f>IF(OR(C18="",H18=0,H18=""),"",IFERROR(I18/H18,0))</f>
        <v/>
      </c>
      <c r="O18" s="12" t="n"/>
    </row>
    <row r="19" ht="22" customHeight="1">
      <c r="B19" s="19">
        <f>IF(C19="","CT-"&amp;TEXT(COUNTA($C$5:C19),"000"))</f>
        <v/>
      </c>
      <c r="C19" s="12" t="n"/>
      <c r="D19" s="12" t="n"/>
      <c r="E19" s="12" t="n"/>
      <c r="F19" s="12" t="n"/>
      <c r="G19" s="12" t="n"/>
      <c r="H19" s="14" t="n"/>
      <c r="I19" s="14">
        <f>IF(C19="","",IFERROR(SUMIFS('6-Releve Heures'!K$5:K$104,'6-Releve Heures'!C$5:C$104,C19),0))</f>
        <v/>
      </c>
      <c r="J19" s="14">
        <f>IF(C19="","",IFERROR(SUMIFS('7-Heures Supplementaires'!I$5:I$104,'7-Heures Supplementaires'!C$5:C$104,C19),0))</f>
        <v/>
      </c>
      <c r="K19" s="14">
        <f>IF(C19="","",IFERROR(SUMIFS('8-Heures Nuit'!J$5:J$104,'8-Heures Nuit'!C$5:C$104,C19),0))</f>
        <v/>
      </c>
      <c r="L19" s="14">
        <f>IF(C19="","",IFERROR(SUMIFS('2-Planning Mensuel'!U$5:U$104,'2-Planning Mensuel'!C$5:C$104,C19)*8,0))</f>
        <v/>
      </c>
      <c r="M19" s="14">
        <f>IF(C19="","",IFERROR(I19-H19,0))</f>
        <v/>
      </c>
      <c r="N19" s="29">
        <f>IF(OR(C19="",H19=0,H19=""),"",IFERROR(I19/H19,0))</f>
        <v/>
      </c>
      <c r="O19" s="12" t="n"/>
    </row>
    <row r="20" ht="22" customHeight="1">
      <c r="B20" s="18">
        <f>IF(C20="","CT-"&amp;TEXT(COUNTA($C$5:C20),"000"))</f>
        <v/>
      </c>
      <c r="C20" s="15" t="n"/>
      <c r="D20" s="15" t="n"/>
      <c r="E20" s="15" t="n"/>
      <c r="F20" s="15" t="n"/>
      <c r="G20" s="15" t="n"/>
      <c r="H20" s="17" t="n"/>
      <c r="I20" s="17">
        <f>IF(C20="","",IFERROR(SUMIFS('6-Releve Heures'!K$5:K$104,'6-Releve Heures'!C$5:C$104,C20),0))</f>
        <v/>
      </c>
      <c r="J20" s="17">
        <f>IF(C20="","",IFERROR(SUMIFS('7-Heures Supplementaires'!I$5:I$104,'7-Heures Supplementaires'!C$5:C$104,C20),0))</f>
        <v/>
      </c>
      <c r="K20" s="17">
        <f>IF(C20="","",IFERROR(SUMIFS('8-Heures Nuit'!J$5:J$104,'8-Heures Nuit'!C$5:C$104,C20),0))</f>
        <v/>
      </c>
      <c r="L20" s="17">
        <f>IF(C20="","",IFERROR(SUMIFS('2-Planning Mensuel'!U$5:U$104,'2-Planning Mensuel'!C$5:C$104,C20)*8,0))</f>
        <v/>
      </c>
      <c r="M20" s="17">
        <f>IF(C20="","",IFERROR(I20-H20,0))</f>
        <v/>
      </c>
      <c r="N20" s="30">
        <f>IF(OR(C20="",H20=0,H20=""),"",IFERROR(I20/H20,0))</f>
        <v/>
      </c>
      <c r="O20" s="15" t="n"/>
    </row>
    <row r="21" ht="22" customHeight="1">
      <c r="B21" s="19">
        <f>IF(C21="","CT-"&amp;TEXT(COUNTA($C$5:C21),"000"))</f>
        <v/>
      </c>
      <c r="C21" s="12" t="n"/>
      <c r="D21" s="12" t="n"/>
      <c r="E21" s="12" t="n"/>
      <c r="F21" s="12" t="n"/>
      <c r="G21" s="12" t="n"/>
      <c r="H21" s="14" t="n"/>
      <c r="I21" s="14">
        <f>IF(C21="","",IFERROR(SUMIFS('6-Releve Heures'!K$5:K$104,'6-Releve Heures'!C$5:C$104,C21),0))</f>
        <v/>
      </c>
      <c r="J21" s="14">
        <f>IF(C21="","",IFERROR(SUMIFS('7-Heures Supplementaires'!I$5:I$104,'7-Heures Supplementaires'!C$5:C$104,C21),0))</f>
        <v/>
      </c>
      <c r="K21" s="14">
        <f>IF(C21="","",IFERROR(SUMIFS('8-Heures Nuit'!J$5:J$104,'8-Heures Nuit'!C$5:C$104,C21),0))</f>
        <v/>
      </c>
      <c r="L21" s="14">
        <f>IF(C21="","",IFERROR(SUMIFS('2-Planning Mensuel'!U$5:U$104,'2-Planning Mensuel'!C$5:C$104,C21)*8,0))</f>
        <v/>
      </c>
      <c r="M21" s="14">
        <f>IF(C21="","",IFERROR(I21-H21,0))</f>
        <v/>
      </c>
      <c r="N21" s="29">
        <f>IF(OR(C21="",H21=0,H21=""),"",IFERROR(I21/H21,0))</f>
        <v/>
      </c>
      <c r="O21" s="12" t="n"/>
    </row>
    <row r="22" ht="22" customHeight="1">
      <c r="B22" s="18">
        <f>IF(C22="","CT-"&amp;TEXT(COUNTA($C$5:C22),"000"))</f>
        <v/>
      </c>
      <c r="C22" s="15" t="n"/>
      <c r="D22" s="15" t="n"/>
      <c r="E22" s="15" t="n"/>
      <c r="F22" s="15" t="n"/>
      <c r="G22" s="15" t="n"/>
      <c r="H22" s="17" t="n"/>
      <c r="I22" s="17">
        <f>IF(C22="","",IFERROR(SUMIFS('6-Releve Heures'!K$5:K$104,'6-Releve Heures'!C$5:C$104,C22),0))</f>
        <v/>
      </c>
      <c r="J22" s="17">
        <f>IF(C22="","",IFERROR(SUMIFS('7-Heures Supplementaires'!I$5:I$104,'7-Heures Supplementaires'!C$5:C$104,C22),0))</f>
        <v/>
      </c>
      <c r="K22" s="17">
        <f>IF(C22="","",IFERROR(SUMIFS('8-Heures Nuit'!J$5:J$104,'8-Heures Nuit'!C$5:C$104,C22),0))</f>
        <v/>
      </c>
      <c r="L22" s="17">
        <f>IF(C22="","",IFERROR(SUMIFS('2-Planning Mensuel'!U$5:U$104,'2-Planning Mensuel'!C$5:C$104,C22)*8,0))</f>
        <v/>
      </c>
      <c r="M22" s="17">
        <f>IF(C22="","",IFERROR(I22-H22,0))</f>
        <v/>
      </c>
      <c r="N22" s="30">
        <f>IF(OR(C22="",H22=0,H22=""),"",IFERROR(I22/H22,0))</f>
        <v/>
      </c>
      <c r="O22" s="15" t="n"/>
    </row>
    <row r="23" ht="22" customHeight="1">
      <c r="B23" s="19">
        <f>IF(C23="","CT-"&amp;TEXT(COUNTA($C$5:C23),"000"))</f>
        <v/>
      </c>
      <c r="C23" s="12" t="n"/>
      <c r="D23" s="12" t="n"/>
      <c r="E23" s="12" t="n"/>
      <c r="F23" s="12" t="n"/>
      <c r="G23" s="12" t="n"/>
      <c r="H23" s="14" t="n"/>
      <c r="I23" s="14">
        <f>IF(C23="","",IFERROR(SUMIFS('6-Releve Heures'!K$5:K$104,'6-Releve Heures'!C$5:C$104,C23),0))</f>
        <v/>
      </c>
      <c r="J23" s="14">
        <f>IF(C23="","",IFERROR(SUMIFS('7-Heures Supplementaires'!I$5:I$104,'7-Heures Supplementaires'!C$5:C$104,C23),0))</f>
        <v/>
      </c>
      <c r="K23" s="14">
        <f>IF(C23="","",IFERROR(SUMIFS('8-Heures Nuit'!J$5:J$104,'8-Heures Nuit'!C$5:C$104,C23),0))</f>
        <v/>
      </c>
      <c r="L23" s="14">
        <f>IF(C23="","",IFERROR(SUMIFS('2-Planning Mensuel'!U$5:U$104,'2-Planning Mensuel'!C$5:C$104,C23)*8,0))</f>
        <v/>
      </c>
      <c r="M23" s="14">
        <f>IF(C23="","",IFERROR(I23-H23,0))</f>
        <v/>
      </c>
      <c r="N23" s="29">
        <f>IF(OR(C23="",H23=0,H23=""),"",IFERROR(I23/H23,0))</f>
        <v/>
      </c>
      <c r="O23" s="12" t="n"/>
    </row>
    <row r="24" ht="22" customHeight="1">
      <c r="B24" s="18">
        <f>IF(C24="","CT-"&amp;TEXT(COUNTA($C$5:C24),"000"))</f>
        <v/>
      </c>
      <c r="C24" s="15" t="n"/>
      <c r="D24" s="15" t="n"/>
      <c r="E24" s="15" t="n"/>
      <c r="F24" s="15" t="n"/>
      <c r="G24" s="15" t="n"/>
      <c r="H24" s="17" t="n"/>
      <c r="I24" s="17">
        <f>IF(C24="","",IFERROR(SUMIFS('6-Releve Heures'!K$5:K$104,'6-Releve Heures'!C$5:C$104,C24),0))</f>
        <v/>
      </c>
      <c r="J24" s="17">
        <f>IF(C24="","",IFERROR(SUMIFS('7-Heures Supplementaires'!I$5:I$104,'7-Heures Supplementaires'!C$5:C$104,C24),0))</f>
        <v/>
      </c>
      <c r="K24" s="17">
        <f>IF(C24="","",IFERROR(SUMIFS('8-Heures Nuit'!J$5:J$104,'8-Heures Nuit'!C$5:C$104,C24),0))</f>
        <v/>
      </c>
      <c r="L24" s="17">
        <f>IF(C24="","",IFERROR(SUMIFS('2-Planning Mensuel'!U$5:U$104,'2-Planning Mensuel'!C$5:C$104,C24)*8,0))</f>
        <v/>
      </c>
      <c r="M24" s="17">
        <f>IF(C24="","",IFERROR(I24-H24,0))</f>
        <v/>
      </c>
      <c r="N24" s="30">
        <f>IF(OR(C24="",H24=0,H24=""),"",IFERROR(I24/H24,0))</f>
        <v/>
      </c>
      <c r="O24" s="15" t="n"/>
    </row>
    <row r="25" ht="22" customHeight="1">
      <c r="B25" s="19">
        <f>IF(C25="","CT-"&amp;TEXT(COUNTA($C$5:C25),"000"))</f>
        <v/>
      </c>
      <c r="C25" s="12" t="n"/>
      <c r="D25" s="12" t="n"/>
      <c r="E25" s="12" t="n"/>
      <c r="F25" s="12" t="n"/>
      <c r="G25" s="12" t="n"/>
      <c r="H25" s="14" t="n"/>
      <c r="I25" s="14">
        <f>IF(C25="","",IFERROR(SUMIFS('6-Releve Heures'!K$5:K$104,'6-Releve Heures'!C$5:C$104,C25),0))</f>
        <v/>
      </c>
      <c r="J25" s="14">
        <f>IF(C25="","",IFERROR(SUMIFS('7-Heures Supplementaires'!I$5:I$104,'7-Heures Supplementaires'!C$5:C$104,C25),0))</f>
        <v/>
      </c>
      <c r="K25" s="14">
        <f>IF(C25="","",IFERROR(SUMIFS('8-Heures Nuit'!J$5:J$104,'8-Heures Nuit'!C$5:C$104,C25),0))</f>
        <v/>
      </c>
      <c r="L25" s="14">
        <f>IF(C25="","",IFERROR(SUMIFS('2-Planning Mensuel'!U$5:U$104,'2-Planning Mensuel'!C$5:C$104,C25)*8,0))</f>
        <v/>
      </c>
      <c r="M25" s="14">
        <f>IF(C25="","",IFERROR(I25-H25,0))</f>
        <v/>
      </c>
      <c r="N25" s="29">
        <f>IF(OR(C25="",H25=0,H25=""),"",IFERROR(I25/H25,0))</f>
        <v/>
      </c>
      <c r="O25" s="12" t="n"/>
    </row>
    <row r="26" ht="22" customHeight="1">
      <c r="B26" s="18">
        <f>IF(C26="","CT-"&amp;TEXT(COUNTA($C$5:C26),"000"))</f>
        <v/>
      </c>
      <c r="C26" s="15" t="n"/>
      <c r="D26" s="15" t="n"/>
      <c r="E26" s="15" t="n"/>
      <c r="F26" s="15" t="n"/>
      <c r="G26" s="15" t="n"/>
      <c r="H26" s="17" t="n"/>
      <c r="I26" s="17">
        <f>IF(C26="","",IFERROR(SUMIFS('6-Releve Heures'!K$5:K$104,'6-Releve Heures'!C$5:C$104,C26),0))</f>
        <v/>
      </c>
      <c r="J26" s="17">
        <f>IF(C26="","",IFERROR(SUMIFS('7-Heures Supplementaires'!I$5:I$104,'7-Heures Supplementaires'!C$5:C$104,C26),0))</f>
        <v/>
      </c>
      <c r="K26" s="17">
        <f>IF(C26="","",IFERROR(SUMIFS('8-Heures Nuit'!J$5:J$104,'8-Heures Nuit'!C$5:C$104,C26),0))</f>
        <v/>
      </c>
      <c r="L26" s="17">
        <f>IF(C26="","",IFERROR(SUMIFS('2-Planning Mensuel'!U$5:U$104,'2-Planning Mensuel'!C$5:C$104,C26)*8,0))</f>
        <v/>
      </c>
      <c r="M26" s="17">
        <f>IF(C26="","",IFERROR(I26-H26,0))</f>
        <v/>
      </c>
      <c r="N26" s="30">
        <f>IF(OR(C26="",H26=0,H26=""),"",IFERROR(I26/H26,0))</f>
        <v/>
      </c>
      <c r="O26" s="15" t="n"/>
    </row>
    <row r="27" ht="22" customHeight="1">
      <c r="B27" s="19">
        <f>IF(C27="","CT-"&amp;TEXT(COUNTA($C$5:C27),"000"))</f>
        <v/>
      </c>
      <c r="C27" s="12" t="n"/>
      <c r="D27" s="12" t="n"/>
      <c r="E27" s="12" t="n"/>
      <c r="F27" s="12" t="n"/>
      <c r="G27" s="12" t="n"/>
      <c r="H27" s="14" t="n"/>
      <c r="I27" s="14">
        <f>IF(C27="","",IFERROR(SUMIFS('6-Releve Heures'!K$5:K$104,'6-Releve Heures'!C$5:C$104,C27),0))</f>
        <v/>
      </c>
      <c r="J27" s="14">
        <f>IF(C27="","",IFERROR(SUMIFS('7-Heures Supplementaires'!I$5:I$104,'7-Heures Supplementaires'!C$5:C$104,C27),0))</f>
        <v/>
      </c>
      <c r="K27" s="14">
        <f>IF(C27="","",IFERROR(SUMIFS('8-Heures Nuit'!J$5:J$104,'8-Heures Nuit'!C$5:C$104,C27),0))</f>
        <v/>
      </c>
      <c r="L27" s="14">
        <f>IF(C27="","",IFERROR(SUMIFS('2-Planning Mensuel'!U$5:U$104,'2-Planning Mensuel'!C$5:C$104,C27)*8,0))</f>
        <v/>
      </c>
      <c r="M27" s="14">
        <f>IF(C27="","",IFERROR(I27-H27,0))</f>
        <v/>
      </c>
      <c r="N27" s="29">
        <f>IF(OR(C27="",H27=0,H27=""),"",IFERROR(I27/H27,0))</f>
        <v/>
      </c>
      <c r="O27" s="12" t="n"/>
    </row>
    <row r="28" ht="22" customHeight="1">
      <c r="B28" s="18">
        <f>IF(C28="","CT-"&amp;TEXT(COUNTA($C$5:C28),"000"))</f>
        <v/>
      </c>
      <c r="C28" s="15" t="n"/>
      <c r="D28" s="15" t="n"/>
      <c r="E28" s="15" t="n"/>
      <c r="F28" s="15" t="n"/>
      <c r="G28" s="15" t="n"/>
      <c r="H28" s="17" t="n"/>
      <c r="I28" s="17">
        <f>IF(C28="","",IFERROR(SUMIFS('6-Releve Heures'!K$5:K$104,'6-Releve Heures'!C$5:C$104,C28),0))</f>
        <v/>
      </c>
      <c r="J28" s="17">
        <f>IF(C28="","",IFERROR(SUMIFS('7-Heures Supplementaires'!I$5:I$104,'7-Heures Supplementaires'!C$5:C$104,C28),0))</f>
        <v/>
      </c>
      <c r="K28" s="17">
        <f>IF(C28="","",IFERROR(SUMIFS('8-Heures Nuit'!J$5:J$104,'8-Heures Nuit'!C$5:C$104,C28),0))</f>
        <v/>
      </c>
      <c r="L28" s="17">
        <f>IF(C28="","",IFERROR(SUMIFS('2-Planning Mensuel'!U$5:U$104,'2-Planning Mensuel'!C$5:C$104,C28)*8,0))</f>
        <v/>
      </c>
      <c r="M28" s="17">
        <f>IF(C28="","",IFERROR(I28-H28,0))</f>
        <v/>
      </c>
      <c r="N28" s="30">
        <f>IF(OR(C28="",H28=0,H28=""),"",IFERROR(I28/H28,0))</f>
        <v/>
      </c>
      <c r="O28" s="15" t="n"/>
    </row>
    <row r="29" ht="22" customHeight="1">
      <c r="B29" s="19">
        <f>IF(C29="","CT-"&amp;TEXT(COUNTA($C$5:C29),"000"))</f>
        <v/>
      </c>
      <c r="C29" s="12" t="n"/>
      <c r="D29" s="12" t="n"/>
      <c r="E29" s="12" t="n"/>
      <c r="F29" s="12" t="n"/>
      <c r="G29" s="12" t="n"/>
      <c r="H29" s="14" t="n"/>
      <c r="I29" s="14">
        <f>IF(C29="","",IFERROR(SUMIFS('6-Releve Heures'!K$5:K$104,'6-Releve Heures'!C$5:C$104,C29),0))</f>
        <v/>
      </c>
      <c r="J29" s="14">
        <f>IF(C29="","",IFERROR(SUMIFS('7-Heures Supplementaires'!I$5:I$104,'7-Heures Supplementaires'!C$5:C$104,C29),0))</f>
        <v/>
      </c>
      <c r="K29" s="14">
        <f>IF(C29="","",IFERROR(SUMIFS('8-Heures Nuit'!J$5:J$104,'8-Heures Nuit'!C$5:C$104,C29),0))</f>
        <v/>
      </c>
      <c r="L29" s="14">
        <f>IF(C29="","",IFERROR(SUMIFS('2-Planning Mensuel'!U$5:U$104,'2-Planning Mensuel'!C$5:C$104,C29)*8,0))</f>
        <v/>
      </c>
      <c r="M29" s="14">
        <f>IF(C29="","",IFERROR(I29-H29,0))</f>
        <v/>
      </c>
      <c r="N29" s="29">
        <f>IF(OR(C29="",H29=0,H29=""),"",IFERROR(I29/H29,0))</f>
        <v/>
      </c>
      <c r="O29" s="12" t="n"/>
    </row>
    <row r="30" ht="22" customHeight="1">
      <c r="B30" s="18">
        <f>IF(C30="","CT-"&amp;TEXT(COUNTA($C$5:C30),"000"))</f>
        <v/>
      </c>
      <c r="C30" s="15" t="n"/>
      <c r="D30" s="15" t="n"/>
      <c r="E30" s="15" t="n"/>
      <c r="F30" s="15" t="n"/>
      <c r="G30" s="15" t="n"/>
      <c r="H30" s="17" t="n"/>
      <c r="I30" s="17">
        <f>IF(C30="","",IFERROR(SUMIFS('6-Releve Heures'!K$5:K$104,'6-Releve Heures'!C$5:C$104,C30),0))</f>
        <v/>
      </c>
      <c r="J30" s="17">
        <f>IF(C30="","",IFERROR(SUMIFS('7-Heures Supplementaires'!I$5:I$104,'7-Heures Supplementaires'!C$5:C$104,C30),0))</f>
        <v/>
      </c>
      <c r="K30" s="17">
        <f>IF(C30="","",IFERROR(SUMIFS('8-Heures Nuit'!J$5:J$104,'8-Heures Nuit'!C$5:C$104,C30),0))</f>
        <v/>
      </c>
      <c r="L30" s="17">
        <f>IF(C30="","",IFERROR(SUMIFS('2-Planning Mensuel'!U$5:U$104,'2-Planning Mensuel'!C$5:C$104,C30)*8,0))</f>
        <v/>
      </c>
      <c r="M30" s="17">
        <f>IF(C30="","",IFERROR(I30-H30,0))</f>
        <v/>
      </c>
      <c r="N30" s="30">
        <f>IF(OR(C30="",H30=0,H30=""),"",IFERROR(I30/H30,0))</f>
        <v/>
      </c>
      <c r="O30" s="15" t="n"/>
    </row>
    <row r="31" ht="22" customHeight="1">
      <c r="B31" s="19">
        <f>IF(C31="","CT-"&amp;TEXT(COUNTA($C$5:C31),"000"))</f>
        <v/>
      </c>
      <c r="C31" s="12" t="n"/>
      <c r="D31" s="12" t="n"/>
      <c r="E31" s="12" t="n"/>
      <c r="F31" s="12" t="n"/>
      <c r="G31" s="12" t="n"/>
      <c r="H31" s="14" t="n"/>
      <c r="I31" s="14">
        <f>IF(C31="","",IFERROR(SUMIFS('6-Releve Heures'!K$5:K$104,'6-Releve Heures'!C$5:C$104,C31),0))</f>
        <v/>
      </c>
      <c r="J31" s="14">
        <f>IF(C31="","",IFERROR(SUMIFS('7-Heures Supplementaires'!I$5:I$104,'7-Heures Supplementaires'!C$5:C$104,C31),0))</f>
        <v/>
      </c>
      <c r="K31" s="14">
        <f>IF(C31="","",IFERROR(SUMIFS('8-Heures Nuit'!J$5:J$104,'8-Heures Nuit'!C$5:C$104,C31),0))</f>
        <v/>
      </c>
      <c r="L31" s="14">
        <f>IF(C31="","",IFERROR(SUMIFS('2-Planning Mensuel'!U$5:U$104,'2-Planning Mensuel'!C$5:C$104,C31)*8,0))</f>
        <v/>
      </c>
      <c r="M31" s="14">
        <f>IF(C31="","",IFERROR(I31-H31,0))</f>
        <v/>
      </c>
      <c r="N31" s="29">
        <f>IF(OR(C31="",H31=0,H31=""),"",IFERROR(I31/H31,0))</f>
        <v/>
      </c>
      <c r="O31" s="12" t="n"/>
    </row>
    <row r="32" ht="22" customHeight="1">
      <c r="B32" s="18">
        <f>IF(C32="","CT-"&amp;TEXT(COUNTA($C$5:C32),"000"))</f>
        <v/>
      </c>
      <c r="C32" s="15" t="n"/>
      <c r="D32" s="15" t="n"/>
      <c r="E32" s="15" t="n"/>
      <c r="F32" s="15" t="n"/>
      <c r="G32" s="15" t="n"/>
      <c r="H32" s="17" t="n"/>
      <c r="I32" s="17">
        <f>IF(C32="","",IFERROR(SUMIFS('6-Releve Heures'!K$5:K$104,'6-Releve Heures'!C$5:C$104,C32),0))</f>
        <v/>
      </c>
      <c r="J32" s="17">
        <f>IF(C32="","",IFERROR(SUMIFS('7-Heures Supplementaires'!I$5:I$104,'7-Heures Supplementaires'!C$5:C$104,C32),0))</f>
        <v/>
      </c>
      <c r="K32" s="17">
        <f>IF(C32="","",IFERROR(SUMIFS('8-Heures Nuit'!J$5:J$104,'8-Heures Nuit'!C$5:C$104,C32),0))</f>
        <v/>
      </c>
      <c r="L32" s="17">
        <f>IF(C32="","",IFERROR(SUMIFS('2-Planning Mensuel'!U$5:U$104,'2-Planning Mensuel'!C$5:C$104,C32)*8,0))</f>
        <v/>
      </c>
      <c r="M32" s="17">
        <f>IF(C32="","",IFERROR(I32-H32,0))</f>
        <v/>
      </c>
      <c r="N32" s="30">
        <f>IF(OR(C32="",H32=0,H32=""),"",IFERROR(I32/H32,0))</f>
        <v/>
      </c>
      <c r="O32" s="15" t="n"/>
    </row>
    <row r="33" ht="22" customHeight="1">
      <c r="B33" s="19">
        <f>IF(C33="","CT-"&amp;TEXT(COUNTA($C$5:C33),"000"))</f>
        <v/>
      </c>
      <c r="C33" s="12" t="n"/>
      <c r="D33" s="12" t="n"/>
      <c r="E33" s="12" t="n"/>
      <c r="F33" s="12" t="n"/>
      <c r="G33" s="12" t="n"/>
      <c r="H33" s="14" t="n"/>
      <c r="I33" s="14">
        <f>IF(C33="","",IFERROR(SUMIFS('6-Releve Heures'!K$5:K$104,'6-Releve Heures'!C$5:C$104,C33),0))</f>
        <v/>
      </c>
      <c r="J33" s="14">
        <f>IF(C33="","",IFERROR(SUMIFS('7-Heures Supplementaires'!I$5:I$104,'7-Heures Supplementaires'!C$5:C$104,C33),0))</f>
        <v/>
      </c>
      <c r="K33" s="14">
        <f>IF(C33="","",IFERROR(SUMIFS('8-Heures Nuit'!J$5:J$104,'8-Heures Nuit'!C$5:C$104,C33),0))</f>
        <v/>
      </c>
      <c r="L33" s="14">
        <f>IF(C33="","",IFERROR(SUMIFS('2-Planning Mensuel'!U$5:U$104,'2-Planning Mensuel'!C$5:C$104,C33)*8,0))</f>
        <v/>
      </c>
      <c r="M33" s="14">
        <f>IF(C33="","",IFERROR(I33-H33,0))</f>
        <v/>
      </c>
      <c r="N33" s="29">
        <f>IF(OR(C33="",H33=0,H33=""),"",IFERROR(I33/H33,0))</f>
        <v/>
      </c>
      <c r="O33" s="12" t="n"/>
    </row>
    <row r="34" ht="22" customHeight="1">
      <c r="B34" s="18">
        <f>IF(C34="","CT-"&amp;TEXT(COUNTA($C$5:C34),"000"))</f>
        <v/>
      </c>
      <c r="C34" s="15" t="n"/>
      <c r="D34" s="15" t="n"/>
      <c r="E34" s="15" t="n"/>
      <c r="F34" s="15" t="n"/>
      <c r="G34" s="15" t="n"/>
      <c r="H34" s="17" t="n"/>
      <c r="I34" s="17">
        <f>IF(C34="","",IFERROR(SUMIFS('6-Releve Heures'!K$5:K$104,'6-Releve Heures'!C$5:C$104,C34),0))</f>
        <v/>
      </c>
      <c r="J34" s="17">
        <f>IF(C34="","",IFERROR(SUMIFS('7-Heures Supplementaires'!I$5:I$104,'7-Heures Supplementaires'!C$5:C$104,C34),0))</f>
        <v/>
      </c>
      <c r="K34" s="17">
        <f>IF(C34="","",IFERROR(SUMIFS('8-Heures Nuit'!J$5:J$104,'8-Heures Nuit'!C$5:C$104,C34),0))</f>
        <v/>
      </c>
      <c r="L34" s="17">
        <f>IF(C34="","",IFERROR(SUMIFS('2-Planning Mensuel'!U$5:U$104,'2-Planning Mensuel'!C$5:C$104,C34)*8,0))</f>
        <v/>
      </c>
      <c r="M34" s="17">
        <f>IF(C34="","",IFERROR(I34-H34,0))</f>
        <v/>
      </c>
      <c r="N34" s="30">
        <f>IF(OR(C34="",H34=0,H34=""),"",IFERROR(I34/H34,0))</f>
        <v/>
      </c>
      <c r="O34" s="15" t="n"/>
    </row>
    <row r="35" ht="22" customHeight="1">
      <c r="B35" s="19">
        <f>IF(C35="","CT-"&amp;TEXT(COUNTA($C$5:C35),"000"))</f>
        <v/>
      </c>
      <c r="C35" s="12" t="n"/>
      <c r="D35" s="12" t="n"/>
      <c r="E35" s="12" t="n"/>
      <c r="F35" s="12" t="n"/>
      <c r="G35" s="12" t="n"/>
      <c r="H35" s="14" t="n"/>
      <c r="I35" s="14">
        <f>IF(C35="","",IFERROR(SUMIFS('6-Releve Heures'!K$5:K$104,'6-Releve Heures'!C$5:C$104,C35),0))</f>
        <v/>
      </c>
      <c r="J35" s="14">
        <f>IF(C35="","",IFERROR(SUMIFS('7-Heures Supplementaires'!I$5:I$104,'7-Heures Supplementaires'!C$5:C$104,C35),0))</f>
        <v/>
      </c>
      <c r="K35" s="14">
        <f>IF(C35="","",IFERROR(SUMIFS('8-Heures Nuit'!J$5:J$104,'8-Heures Nuit'!C$5:C$104,C35),0))</f>
        <v/>
      </c>
      <c r="L35" s="14">
        <f>IF(C35="","",IFERROR(SUMIFS('2-Planning Mensuel'!U$5:U$104,'2-Planning Mensuel'!C$5:C$104,C35)*8,0))</f>
        <v/>
      </c>
      <c r="M35" s="14">
        <f>IF(C35="","",IFERROR(I35-H35,0))</f>
        <v/>
      </c>
      <c r="N35" s="29">
        <f>IF(OR(C35="",H35=0,H35=""),"",IFERROR(I35/H35,0))</f>
        <v/>
      </c>
      <c r="O35" s="12" t="n"/>
    </row>
    <row r="36" ht="22" customHeight="1">
      <c r="B36" s="18">
        <f>IF(C36="","CT-"&amp;TEXT(COUNTA($C$5:C36),"000"))</f>
        <v/>
      </c>
      <c r="C36" s="15" t="n"/>
      <c r="D36" s="15" t="n"/>
      <c r="E36" s="15" t="n"/>
      <c r="F36" s="15" t="n"/>
      <c r="G36" s="15" t="n"/>
      <c r="H36" s="17" t="n"/>
      <c r="I36" s="17">
        <f>IF(C36="","",IFERROR(SUMIFS('6-Releve Heures'!K$5:K$104,'6-Releve Heures'!C$5:C$104,C36),0))</f>
        <v/>
      </c>
      <c r="J36" s="17">
        <f>IF(C36="","",IFERROR(SUMIFS('7-Heures Supplementaires'!I$5:I$104,'7-Heures Supplementaires'!C$5:C$104,C36),0))</f>
        <v/>
      </c>
      <c r="K36" s="17">
        <f>IF(C36="","",IFERROR(SUMIFS('8-Heures Nuit'!J$5:J$104,'8-Heures Nuit'!C$5:C$104,C36),0))</f>
        <v/>
      </c>
      <c r="L36" s="17">
        <f>IF(C36="","",IFERROR(SUMIFS('2-Planning Mensuel'!U$5:U$104,'2-Planning Mensuel'!C$5:C$104,C36)*8,0))</f>
        <v/>
      </c>
      <c r="M36" s="17">
        <f>IF(C36="","",IFERROR(I36-H36,0))</f>
        <v/>
      </c>
      <c r="N36" s="30">
        <f>IF(OR(C36="",H36=0,H36=""),"",IFERROR(I36/H36,0))</f>
        <v/>
      </c>
      <c r="O36" s="15" t="n"/>
    </row>
    <row r="37" ht="22" customHeight="1">
      <c r="B37" s="19">
        <f>IF(C37="","CT-"&amp;TEXT(COUNTA($C$5:C37),"000"))</f>
        <v/>
      </c>
      <c r="C37" s="12" t="n"/>
      <c r="D37" s="12" t="n"/>
      <c r="E37" s="12" t="n"/>
      <c r="F37" s="12" t="n"/>
      <c r="G37" s="12" t="n"/>
      <c r="H37" s="14" t="n"/>
      <c r="I37" s="14">
        <f>IF(C37="","",IFERROR(SUMIFS('6-Releve Heures'!K$5:K$104,'6-Releve Heures'!C$5:C$104,C37),0))</f>
        <v/>
      </c>
      <c r="J37" s="14">
        <f>IF(C37="","",IFERROR(SUMIFS('7-Heures Supplementaires'!I$5:I$104,'7-Heures Supplementaires'!C$5:C$104,C37),0))</f>
        <v/>
      </c>
      <c r="K37" s="14">
        <f>IF(C37="","",IFERROR(SUMIFS('8-Heures Nuit'!J$5:J$104,'8-Heures Nuit'!C$5:C$104,C37),0))</f>
        <v/>
      </c>
      <c r="L37" s="14">
        <f>IF(C37="","",IFERROR(SUMIFS('2-Planning Mensuel'!U$5:U$104,'2-Planning Mensuel'!C$5:C$104,C37)*8,0))</f>
        <v/>
      </c>
      <c r="M37" s="14">
        <f>IF(C37="","",IFERROR(I37-H37,0))</f>
        <v/>
      </c>
      <c r="N37" s="29">
        <f>IF(OR(C37="",H37=0,H37=""),"",IFERROR(I37/H37,0))</f>
        <v/>
      </c>
      <c r="O37" s="12" t="n"/>
    </row>
    <row r="38" ht="22" customHeight="1">
      <c r="B38" s="18">
        <f>IF(C38="","CT-"&amp;TEXT(COUNTA($C$5:C38),"000"))</f>
        <v/>
      </c>
      <c r="C38" s="15" t="n"/>
      <c r="D38" s="15" t="n"/>
      <c r="E38" s="15" t="n"/>
      <c r="F38" s="15" t="n"/>
      <c r="G38" s="15" t="n"/>
      <c r="H38" s="17" t="n"/>
      <c r="I38" s="17">
        <f>IF(C38="","",IFERROR(SUMIFS('6-Releve Heures'!K$5:K$104,'6-Releve Heures'!C$5:C$104,C38),0))</f>
        <v/>
      </c>
      <c r="J38" s="17">
        <f>IF(C38="","",IFERROR(SUMIFS('7-Heures Supplementaires'!I$5:I$104,'7-Heures Supplementaires'!C$5:C$104,C38),0))</f>
        <v/>
      </c>
      <c r="K38" s="17">
        <f>IF(C38="","",IFERROR(SUMIFS('8-Heures Nuit'!J$5:J$104,'8-Heures Nuit'!C$5:C$104,C38),0))</f>
        <v/>
      </c>
      <c r="L38" s="17">
        <f>IF(C38="","",IFERROR(SUMIFS('2-Planning Mensuel'!U$5:U$104,'2-Planning Mensuel'!C$5:C$104,C38)*8,0))</f>
        <v/>
      </c>
      <c r="M38" s="17">
        <f>IF(C38="","",IFERROR(I38-H38,0))</f>
        <v/>
      </c>
      <c r="N38" s="30">
        <f>IF(OR(C38="",H38=0,H38=""),"",IFERROR(I38/H38,0))</f>
        <v/>
      </c>
      <c r="O38" s="15" t="n"/>
    </row>
    <row r="39" ht="22" customHeight="1">
      <c r="B39" s="19">
        <f>IF(C39="","CT-"&amp;TEXT(COUNTA($C$5:C39),"000"))</f>
        <v/>
      </c>
      <c r="C39" s="12" t="n"/>
      <c r="D39" s="12" t="n"/>
      <c r="E39" s="12" t="n"/>
      <c r="F39" s="12" t="n"/>
      <c r="G39" s="12" t="n"/>
      <c r="H39" s="14" t="n"/>
      <c r="I39" s="14">
        <f>IF(C39="","",IFERROR(SUMIFS('6-Releve Heures'!K$5:K$104,'6-Releve Heures'!C$5:C$104,C39),0))</f>
        <v/>
      </c>
      <c r="J39" s="14">
        <f>IF(C39="","",IFERROR(SUMIFS('7-Heures Supplementaires'!I$5:I$104,'7-Heures Supplementaires'!C$5:C$104,C39),0))</f>
        <v/>
      </c>
      <c r="K39" s="14">
        <f>IF(C39="","",IFERROR(SUMIFS('8-Heures Nuit'!J$5:J$104,'8-Heures Nuit'!C$5:C$104,C39),0))</f>
        <v/>
      </c>
      <c r="L39" s="14">
        <f>IF(C39="","",IFERROR(SUMIFS('2-Planning Mensuel'!U$5:U$104,'2-Planning Mensuel'!C$5:C$104,C39)*8,0))</f>
        <v/>
      </c>
      <c r="M39" s="14">
        <f>IF(C39="","",IFERROR(I39-H39,0))</f>
        <v/>
      </c>
      <c r="N39" s="29">
        <f>IF(OR(C39="",H39=0,H39=""),"",IFERROR(I39/H39,0))</f>
        <v/>
      </c>
      <c r="O39" s="12" t="n"/>
    </row>
    <row r="40" ht="22" customHeight="1">
      <c r="B40" s="18">
        <f>IF(C40="","CT-"&amp;TEXT(COUNTA($C$5:C40),"000"))</f>
        <v/>
      </c>
      <c r="C40" s="15" t="n"/>
      <c r="D40" s="15" t="n"/>
      <c r="E40" s="15" t="n"/>
      <c r="F40" s="15" t="n"/>
      <c r="G40" s="15" t="n"/>
      <c r="H40" s="17" t="n"/>
      <c r="I40" s="17">
        <f>IF(C40="","",IFERROR(SUMIFS('6-Releve Heures'!K$5:K$104,'6-Releve Heures'!C$5:C$104,C40),0))</f>
        <v/>
      </c>
      <c r="J40" s="17">
        <f>IF(C40="","",IFERROR(SUMIFS('7-Heures Supplementaires'!I$5:I$104,'7-Heures Supplementaires'!C$5:C$104,C40),0))</f>
        <v/>
      </c>
      <c r="K40" s="17">
        <f>IF(C40="","",IFERROR(SUMIFS('8-Heures Nuit'!J$5:J$104,'8-Heures Nuit'!C$5:C$104,C40),0))</f>
        <v/>
      </c>
      <c r="L40" s="17">
        <f>IF(C40="","",IFERROR(SUMIFS('2-Planning Mensuel'!U$5:U$104,'2-Planning Mensuel'!C$5:C$104,C40)*8,0))</f>
        <v/>
      </c>
      <c r="M40" s="17">
        <f>IF(C40="","",IFERROR(I40-H40,0))</f>
        <v/>
      </c>
      <c r="N40" s="30">
        <f>IF(OR(C40="",H40=0,H40=""),"",IFERROR(I40/H40,0))</f>
        <v/>
      </c>
      <c r="O40" s="15" t="n"/>
    </row>
    <row r="41" ht="22" customHeight="1">
      <c r="B41" s="19">
        <f>IF(C41="","CT-"&amp;TEXT(COUNTA($C$5:C41),"000"))</f>
        <v/>
      </c>
      <c r="C41" s="12" t="n"/>
      <c r="D41" s="12" t="n"/>
      <c r="E41" s="12" t="n"/>
      <c r="F41" s="12" t="n"/>
      <c r="G41" s="12" t="n"/>
      <c r="H41" s="14" t="n"/>
      <c r="I41" s="14">
        <f>IF(C41="","",IFERROR(SUMIFS('6-Releve Heures'!K$5:K$104,'6-Releve Heures'!C$5:C$104,C41),0))</f>
        <v/>
      </c>
      <c r="J41" s="14">
        <f>IF(C41="","",IFERROR(SUMIFS('7-Heures Supplementaires'!I$5:I$104,'7-Heures Supplementaires'!C$5:C$104,C41),0))</f>
        <v/>
      </c>
      <c r="K41" s="14">
        <f>IF(C41="","",IFERROR(SUMIFS('8-Heures Nuit'!J$5:J$104,'8-Heures Nuit'!C$5:C$104,C41),0))</f>
        <v/>
      </c>
      <c r="L41" s="14">
        <f>IF(C41="","",IFERROR(SUMIFS('2-Planning Mensuel'!U$5:U$104,'2-Planning Mensuel'!C$5:C$104,C41)*8,0))</f>
        <v/>
      </c>
      <c r="M41" s="14">
        <f>IF(C41="","",IFERROR(I41-H41,0))</f>
        <v/>
      </c>
      <c r="N41" s="29">
        <f>IF(OR(C41="",H41=0,H41=""),"",IFERROR(I41/H41,0))</f>
        <v/>
      </c>
      <c r="O41" s="12" t="n"/>
    </row>
    <row r="42" ht="22" customHeight="1">
      <c r="B42" s="18">
        <f>IF(C42="","CT-"&amp;TEXT(COUNTA($C$5:C42),"000"))</f>
        <v/>
      </c>
      <c r="C42" s="15" t="n"/>
      <c r="D42" s="15" t="n"/>
      <c r="E42" s="15" t="n"/>
      <c r="F42" s="15" t="n"/>
      <c r="G42" s="15" t="n"/>
      <c r="H42" s="17" t="n"/>
      <c r="I42" s="17">
        <f>IF(C42="","",IFERROR(SUMIFS('6-Releve Heures'!K$5:K$104,'6-Releve Heures'!C$5:C$104,C42),0))</f>
        <v/>
      </c>
      <c r="J42" s="17">
        <f>IF(C42="","",IFERROR(SUMIFS('7-Heures Supplementaires'!I$5:I$104,'7-Heures Supplementaires'!C$5:C$104,C42),0))</f>
        <v/>
      </c>
      <c r="K42" s="17">
        <f>IF(C42="","",IFERROR(SUMIFS('8-Heures Nuit'!J$5:J$104,'8-Heures Nuit'!C$5:C$104,C42),0))</f>
        <v/>
      </c>
      <c r="L42" s="17">
        <f>IF(C42="","",IFERROR(SUMIFS('2-Planning Mensuel'!U$5:U$104,'2-Planning Mensuel'!C$5:C$104,C42)*8,0))</f>
        <v/>
      </c>
      <c r="M42" s="17">
        <f>IF(C42="","",IFERROR(I42-H42,0))</f>
        <v/>
      </c>
      <c r="N42" s="30">
        <f>IF(OR(C42="",H42=0,H42=""),"",IFERROR(I42/H42,0))</f>
        <v/>
      </c>
      <c r="O42" s="15" t="n"/>
    </row>
    <row r="43" ht="22" customHeight="1">
      <c r="B43" s="19">
        <f>IF(C43="","CT-"&amp;TEXT(COUNTA($C$5:C43),"000"))</f>
        <v/>
      </c>
      <c r="C43" s="12" t="n"/>
      <c r="D43" s="12" t="n"/>
      <c r="E43" s="12" t="n"/>
      <c r="F43" s="12" t="n"/>
      <c r="G43" s="12" t="n"/>
      <c r="H43" s="14" t="n"/>
      <c r="I43" s="14">
        <f>IF(C43="","",IFERROR(SUMIFS('6-Releve Heures'!K$5:K$104,'6-Releve Heures'!C$5:C$104,C43),0))</f>
        <v/>
      </c>
      <c r="J43" s="14">
        <f>IF(C43="","",IFERROR(SUMIFS('7-Heures Supplementaires'!I$5:I$104,'7-Heures Supplementaires'!C$5:C$104,C43),0))</f>
        <v/>
      </c>
      <c r="K43" s="14">
        <f>IF(C43="","",IFERROR(SUMIFS('8-Heures Nuit'!J$5:J$104,'8-Heures Nuit'!C$5:C$104,C43),0))</f>
        <v/>
      </c>
      <c r="L43" s="14">
        <f>IF(C43="","",IFERROR(SUMIFS('2-Planning Mensuel'!U$5:U$104,'2-Planning Mensuel'!C$5:C$104,C43)*8,0))</f>
        <v/>
      </c>
      <c r="M43" s="14">
        <f>IF(C43="","",IFERROR(I43-H43,0))</f>
        <v/>
      </c>
      <c r="N43" s="29">
        <f>IF(OR(C43="",H43=0,H43=""),"",IFERROR(I43/H43,0))</f>
        <v/>
      </c>
      <c r="O43" s="12" t="n"/>
    </row>
    <row r="44" ht="22" customHeight="1">
      <c r="B44" s="18">
        <f>IF(C44="","CT-"&amp;TEXT(COUNTA($C$5:C44),"000"))</f>
        <v/>
      </c>
      <c r="C44" s="15" t="n"/>
      <c r="D44" s="15" t="n"/>
      <c r="E44" s="15" t="n"/>
      <c r="F44" s="15" t="n"/>
      <c r="G44" s="15" t="n"/>
      <c r="H44" s="17" t="n"/>
      <c r="I44" s="17">
        <f>IF(C44="","",IFERROR(SUMIFS('6-Releve Heures'!K$5:K$104,'6-Releve Heures'!C$5:C$104,C44),0))</f>
        <v/>
      </c>
      <c r="J44" s="17">
        <f>IF(C44="","",IFERROR(SUMIFS('7-Heures Supplementaires'!I$5:I$104,'7-Heures Supplementaires'!C$5:C$104,C44),0))</f>
        <v/>
      </c>
      <c r="K44" s="17">
        <f>IF(C44="","",IFERROR(SUMIFS('8-Heures Nuit'!J$5:J$104,'8-Heures Nuit'!C$5:C$104,C44),0))</f>
        <v/>
      </c>
      <c r="L44" s="17">
        <f>IF(C44="","",IFERROR(SUMIFS('2-Planning Mensuel'!U$5:U$104,'2-Planning Mensuel'!C$5:C$104,C44)*8,0))</f>
        <v/>
      </c>
      <c r="M44" s="17">
        <f>IF(C44="","",IFERROR(I44-H44,0))</f>
        <v/>
      </c>
      <c r="N44" s="30">
        <f>IF(OR(C44="",H44=0,H44=""),"",IFERROR(I44/H44,0))</f>
        <v/>
      </c>
      <c r="O44" s="15" t="n"/>
    </row>
    <row r="45" ht="22" customHeight="1">
      <c r="B45" s="19">
        <f>IF(C45="","CT-"&amp;TEXT(COUNTA($C$5:C45),"000"))</f>
        <v/>
      </c>
      <c r="C45" s="12" t="n"/>
      <c r="D45" s="12" t="n"/>
      <c r="E45" s="12" t="n"/>
      <c r="F45" s="12" t="n"/>
      <c r="G45" s="12" t="n"/>
      <c r="H45" s="14" t="n"/>
      <c r="I45" s="14">
        <f>IF(C45="","",IFERROR(SUMIFS('6-Releve Heures'!K$5:K$104,'6-Releve Heures'!C$5:C$104,C45),0))</f>
        <v/>
      </c>
      <c r="J45" s="14">
        <f>IF(C45="","",IFERROR(SUMIFS('7-Heures Supplementaires'!I$5:I$104,'7-Heures Supplementaires'!C$5:C$104,C45),0))</f>
        <v/>
      </c>
      <c r="K45" s="14">
        <f>IF(C45="","",IFERROR(SUMIFS('8-Heures Nuit'!J$5:J$104,'8-Heures Nuit'!C$5:C$104,C45),0))</f>
        <v/>
      </c>
      <c r="L45" s="14">
        <f>IF(C45="","",IFERROR(SUMIFS('2-Planning Mensuel'!U$5:U$104,'2-Planning Mensuel'!C$5:C$104,C45)*8,0))</f>
        <v/>
      </c>
      <c r="M45" s="14">
        <f>IF(C45="","",IFERROR(I45-H45,0))</f>
        <v/>
      </c>
      <c r="N45" s="29">
        <f>IF(OR(C45="",H45=0,H45=""),"",IFERROR(I45/H45,0))</f>
        <v/>
      </c>
      <c r="O45" s="12" t="n"/>
    </row>
    <row r="46" ht="22" customHeight="1">
      <c r="B46" s="18">
        <f>IF(C46="","CT-"&amp;TEXT(COUNTA($C$5:C46),"000"))</f>
        <v/>
      </c>
      <c r="C46" s="15" t="n"/>
      <c r="D46" s="15" t="n"/>
      <c r="E46" s="15" t="n"/>
      <c r="F46" s="15" t="n"/>
      <c r="G46" s="15" t="n"/>
      <c r="H46" s="17" t="n"/>
      <c r="I46" s="17">
        <f>IF(C46="","",IFERROR(SUMIFS('6-Releve Heures'!K$5:K$104,'6-Releve Heures'!C$5:C$104,C46),0))</f>
        <v/>
      </c>
      <c r="J46" s="17">
        <f>IF(C46="","",IFERROR(SUMIFS('7-Heures Supplementaires'!I$5:I$104,'7-Heures Supplementaires'!C$5:C$104,C46),0))</f>
        <v/>
      </c>
      <c r="K46" s="17">
        <f>IF(C46="","",IFERROR(SUMIFS('8-Heures Nuit'!J$5:J$104,'8-Heures Nuit'!C$5:C$104,C46),0))</f>
        <v/>
      </c>
      <c r="L46" s="17">
        <f>IF(C46="","",IFERROR(SUMIFS('2-Planning Mensuel'!U$5:U$104,'2-Planning Mensuel'!C$5:C$104,C46)*8,0))</f>
        <v/>
      </c>
      <c r="M46" s="17">
        <f>IF(C46="","",IFERROR(I46-H46,0))</f>
        <v/>
      </c>
      <c r="N46" s="30">
        <f>IF(OR(C46="",H46=0,H46=""),"",IFERROR(I46/H46,0))</f>
        <v/>
      </c>
      <c r="O46" s="15" t="n"/>
    </row>
    <row r="47" ht="22" customHeight="1">
      <c r="B47" s="19">
        <f>IF(C47="","CT-"&amp;TEXT(COUNTA($C$5:C47),"000"))</f>
        <v/>
      </c>
      <c r="C47" s="12" t="n"/>
      <c r="D47" s="12" t="n"/>
      <c r="E47" s="12" t="n"/>
      <c r="F47" s="12" t="n"/>
      <c r="G47" s="12" t="n"/>
      <c r="H47" s="14" t="n"/>
      <c r="I47" s="14">
        <f>IF(C47="","",IFERROR(SUMIFS('6-Releve Heures'!K$5:K$104,'6-Releve Heures'!C$5:C$104,C47),0))</f>
        <v/>
      </c>
      <c r="J47" s="14">
        <f>IF(C47="","",IFERROR(SUMIFS('7-Heures Supplementaires'!I$5:I$104,'7-Heures Supplementaires'!C$5:C$104,C47),0))</f>
        <v/>
      </c>
      <c r="K47" s="14">
        <f>IF(C47="","",IFERROR(SUMIFS('8-Heures Nuit'!J$5:J$104,'8-Heures Nuit'!C$5:C$104,C47),0))</f>
        <v/>
      </c>
      <c r="L47" s="14">
        <f>IF(C47="","",IFERROR(SUMIFS('2-Planning Mensuel'!U$5:U$104,'2-Planning Mensuel'!C$5:C$104,C47)*8,0))</f>
        <v/>
      </c>
      <c r="M47" s="14">
        <f>IF(C47="","",IFERROR(I47-H47,0))</f>
        <v/>
      </c>
      <c r="N47" s="29">
        <f>IF(OR(C47="",H47=0,H47=""),"",IFERROR(I47/H47,0))</f>
        <v/>
      </c>
      <c r="O47" s="12" t="n"/>
    </row>
    <row r="48" ht="22" customHeight="1">
      <c r="B48" s="18">
        <f>IF(C48="","CT-"&amp;TEXT(COUNTA($C$5:C48),"000"))</f>
        <v/>
      </c>
      <c r="C48" s="15" t="n"/>
      <c r="D48" s="15" t="n"/>
      <c r="E48" s="15" t="n"/>
      <c r="F48" s="15" t="n"/>
      <c r="G48" s="15" t="n"/>
      <c r="H48" s="17" t="n"/>
      <c r="I48" s="17">
        <f>IF(C48="","",IFERROR(SUMIFS('6-Releve Heures'!K$5:K$104,'6-Releve Heures'!C$5:C$104,C48),0))</f>
        <v/>
      </c>
      <c r="J48" s="17">
        <f>IF(C48="","",IFERROR(SUMIFS('7-Heures Supplementaires'!I$5:I$104,'7-Heures Supplementaires'!C$5:C$104,C48),0))</f>
        <v/>
      </c>
      <c r="K48" s="17">
        <f>IF(C48="","",IFERROR(SUMIFS('8-Heures Nuit'!J$5:J$104,'8-Heures Nuit'!C$5:C$104,C48),0))</f>
        <v/>
      </c>
      <c r="L48" s="17">
        <f>IF(C48="","",IFERROR(SUMIFS('2-Planning Mensuel'!U$5:U$104,'2-Planning Mensuel'!C$5:C$104,C48)*8,0))</f>
        <v/>
      </c>
      <c r="M48" s="17">
        <f>IF(C48="","",IFERROR(I48-H48,0))</f>
        <v/>
      </c>
      <c r="N48" s="30">
        <f>IF(OR(C48="",H48=0,H48=""),"",IFERROR(I48/H48,0))</f>
        <v/>
      </c>
      <c r="O48" s="15" t="n"/>
    </row>
    <row r="49" ht="22" customHeight="1">
      <c r="B49" s="19">
        <f>IF(C49="","CT-"&amp;TEXT(COUNTA($C$5:C49),"000"))</f>
        <v/>
      </c>
      <c r="C49" s="12" t="n"/>
      <c r="D49" s="12" t="n"/>
      <c r="E49" s="12" t="n"/>
      <c r="F49" s="12" t="n"/>
      <c r="G49" s="12" t="n"/>
      <c r="H49" s="14" t="n"/>
      <c r="I49" s="14">
        <f>IF(C49="","",IFERROR(SUMIFS('6-Releve Heures'!K$5:K$104,'6-Releve Heures'!C$5:C$104,C49),0))</f>
        <v/>
      </c>
      <c r="J49" s="14">
        <f>IF(C49="","",IFERROR(SUMIFS('7-Heures Supplementaires'!I$5:I$104,'7-Heures Supplementaires'!C$5:C$104,C49),0))</f>
        <v/>
      </c>
      <c r="K49" s="14">
        <f>IF(C49="","",IFERROR(SUMIFS('8-Heures Nuit'!J$5:J$104,'8-Heures Nuit'!C$5:C$104,C49),0))</f>
        <v/>
      </c>
      <c r="L49" s="14">
        <f>IF(C49="","",IFERROR(SUMIFS('2-Planning Mensuel'!U$5:U$104,'2-Planning Mensuel'!C$5:C$104,C49)*8,0))</f>
        <v/>
      </c>
      <c r="M49" s="14">
        <f>IF(C49="","",IFERROR(I49-H49,0))</f>
        <v/>
      </c>
      <c r="N49" s="29">
        <f>IF(OR(C49="",H49=0,H49=""),"",IFERROR(I49/H49,0))</f>
        <v/>
      </c>
      <c r="O49" s="12" t="n"/>
    </row>
    <row r="50" ht="22" customHeight="1">
      <c r="B50" s="18">
        <f>IF(C50="","CT-"&amp;TEXT(COUNTA($C$5:C50),"000"))</f>
        <v/>
      </c>
      <c r="C50" s="15" t="n"/>
      <c r="D50" s="15" t="n"/>
      <c r="E50" s="15" t="n"/>
      <c r="F50" s="15" t="n"/>
      <c r="G50" s="15" t="n"/>
      <c r="H50" s="17" t="n"/>
      <c r="I50" s="17">
        <f>IF(C50="","",IFERROR(SUMIFS('6-Releve Heures'!K$5:K$104,'6-Releve Heures'!C$5:C$104,C50),0))</f>
        <v/>
      </c>
      <c r="J50" s="17">
        <f>IF(C50="","",IFERROR(SUMIFS('7-Heures Supplementaires'!I$5:I$104,'7-Heures Supplementaires'!C$5:C$104,C50),0))</f>
        <v/>
      </c>
      <c r="K50" s="17">
        <f>IF(C50="","",IFERROR(SUMIFS('8-Heures Nuit'!J$5:J$104,'8-Heures Nuit'!C$5:C$104,C50),0))</f>
        <v/>
      </c>
      <c r="L50" s="17">
        <f>IF(C50="","",IFERROR(SUMIFS('2-Planning Mensuel'!U$5:U$104,'2-Planning Mensuel'!C$5:C$104,C50)*8,0))</f>
        <v/>
      </c>
      <c r="M50" s="17">
        <f>IF(C50="","",IFERROR(I50-H50,0))</f>
        <v/>
      </c>
      <c r="N50" s="30">
        <f>IF(OR(C50="",H50=0,H50=""),"",IFERROR(I50/H50,0))</f>
        <v/>
      </c>
      <c r="O50" s="15" t="n"/>
    </row>
    <row r="51" ht="22" customHeight="1">
      <c r="B51" s="19">
        <f>IF(C51="","CT-"&amp;TEXT(COUNTA($C$5:C51),"000"))</f>
        <v/>
      </c>
      <c r="C51" s="12" t="n"/>
      <c r="D51" s="12" t="n"/>
      <c r="E51" s="12" t="n"/>
      <c r="F51" s="12" t="n"/>
      <c r="G51" s="12" t="n"/>
      <c r="H51" s="14" t="n"/>
      <c r="I51" s="14">
        <f>IF(C51="","",IFERROR(SUMIFS('6-Releve Heures'!K$5:K$104,'6-Releve Heures'!C$5:C$104,C51),0))</f>
        <v/>
      </c>
      <c r="J51" s="14">
        <f>IF(C51="","",IFERROR(SUMIFS('7-Heures Supplementaires'!I$5:I$104,'7-Heures Supplementaires'!C$5:C$104,C51),0))</f>
        <v/>
      </c>
      <c r="K51" s="14">
        <f>IF(C51="","",IFERROR(SUMIFS('8-Heures Nuit'!J$5:J$104,'8-Heures Nuit'!C$5:C$104,C51),0))</f>
        <v/>
      </c>
      <c r="L51" s="14">
        <f>IF(C51="","",IFERROR(SUMIFS('2-Planning Mensuel'!U$5:U$104,'2-Planning Mensuel'!C$5:C$104,C51)*8,0))</f>
        <v/>
      </c>
      <c r="M51" s="14">
        <f>IF(C51="","",IFERROR(I51-H51,0))</f>
        <v/>
      </c>
      <c r="N51" s="29">
        <f>IF(OR(C51="",H51=0,H51=""),"",IFERROR(I51/H51,0))</f>
        <v/>
      </c>
      <c r="O51" s="12" t="n"/>
    </row>
    <row r="52" ht="22" customHeight="1">
      <c r="B52" s="18">
        <f>IF(C52="","CT-"&amp;TEXT(COUNTA($C$5:C52),"000"))</f>
        <v/>
      </c>
      <c r="C52" s="15" t="n"/>
      <c r="D52" s="15" t="n"/>
      <c r="E52" s="15" t="n"/>
      <c r="F52" s="15" t="n"/>
      <c r="G52" s="15" t="n"/>
      <c r="H52" s="17" t="n"/>
      <c r="I52" s="17">
        <f>IF(C52="","",IFERROR(SUMIFS('6-Releve Heures'!K$5:K$104,'6-Releve Heures'!C$5:C$104,C52),0))</f>
        <v/>
      </c>
      <c r="J52" s="17">
        <f>IF(C52="","",IFERROR(SUMIFS('7-Heures Supplementaires'!I$5:I$104,'7-Heures Supplementaires'!C$5:C$104,C52),0))</f>
        <v/>
      </c>
      <c r="K52" s="17">
        <f>IF(C52="","",IFERROR(SUMIFS('8-Heures Nuit'!J$5:J$104,'8-Heures Nuit'!C$5:C$104,C52),0))</f>
        <v/>
      </c>
      <c r="L52" s="17">
        <f>IF(C52="","",IFERROR(SUMIFS('2-Planning Mensuel'!U$5:U$104,'2-Planning Mensuel'!C$5:C$104,C52)*8,0))</f>
        <v/>
      </c>
      <c r="M52" s="17">
        <f>IF(C52="","",IFERROR(I52-H52,0))</f>
        <v/>
      </c>
      <c r="N52" s="30">
        <f>IF(OR(C52="",H52=0,H52=""),"",IFERROR(I52/H52,0))</f>
        <v/>
      </c>
      <c r="O52" s="15" t="n"/>
    </row>
    <row r="53" ht="22" customHeight="1">
      <c r="B53" s="19">
        <f>IF(C53="","CT-"&amp;TEXT(COUNTA($C$5:C53),"000"))</f>
        <v/>
      </c>
      <c r="C53" s="12" t="n"/>
      <c r="D53" s="12" t="n"/>
      <c r="E53" s="12" t="n"/>
      <c r="F53" s="12" t="n"/>
      <c r="G53" s="12" t="n"/>
      <c r="H53" s="14" t="n"/>
      <c r="I53" s="14">
        <f>IF(C53="","",IFERROR(SUMIFS('6-Releve Heures'!K$5:K$104,'6-Releve Heures'!C$5:C$104,C53),0))</f>
        <v/>
      </c>
      <c r="J53" s="14">
        <f>IF(C53="","",IFERROR(SUMIFS('7-Heures Supplementaires'!I$5:I$104,'7-Heures Supplementaires'!C$5:C$104,C53),0))</f>
        <v/>
      </c>
      <c r="K53" s="14">
        <f>IF(C53="","",IFERROR(SUMIFS('8-Heures Nuit'!J$5:J$104,'8-Heures Nuit'!C$5:C$104,C53),0))</f>
        <v/>
      </c>
      <c r="L53" s="14">
        <f>IF(C53="","",IFERROR(SUMIFS('2-Planning Mensuel'!U$5:U$104,'2-Planning Mensuel'!C$5:C$104,C53)*8,0))</f>
        <v/>
      </c>
      <c r="M53" s="14">
        <f>IF(C53="","",IFERROR(I53-H53,0))</f>
        <v/>
      </c>
      <c r="N53" s="29">
        <f>IF(OR(C53="",H53=0,H53=""),"",IFERROR(I53/H53,0))</f>
        <v/>
      </c>
      <c r="O53" s="12" t="n"/>
    </row>
    <row r="54" ht="22" customHeight="1">
      <c r="B54" s="18">
        <f>IF(C54="","CT-"&amp;TEXT(COUNTA($C$5:C54),"000"))</f>
        <v/>
      </c>
      <c r="C54" s="15" t="n"/>
      <c r="D54" s="15" t="n"/>
      <c r="E54" s="15" t="n"/>
      <c r="F54" s="15" t="n"/>
      <c r="G54" s="15" t="n"/>
      <c r="H54" s="17" t="n"/>
      <c r="I54" s="17">
        <f>IF(C54="","",IFERROR(SUMIFS('6-Releve Heures'!K$5:K$104,'6-Releve Heures'!C$5:C$104,C54),0))</f>
        <v/>
      </c>
      <c r="J54" s="17">
        <f>IF(C54="","",IFERROR(SUMIFS('7-Heures Supplementaires'!I$5:I$104,'7-Heures Supplementaires'!C$5:C$104,C54),0))</f>
        <v/>
      </c>
      <c r="K54" s="17">
        <f>IF(C54="","",IFERROR(SUMIFS('8-Heures Nuit'!J$5:J$104,'8-Heures Nuit'!C$5:C$104,C54),0))</f>
        <v/>
      </c>
      <c r="L54" s="17">
        <f>IF(C54="","",IFERROR(SUMIFS('2-Planning Mensuel'!U$5:U$104,'2-Planning Mensuel'!C$5:C$104,C54)*8,0))</f>
        <v/>
      </c>
      <c r="M54" s="17">
        <f>IF(C54="","",IFERROR(I54-H54,0))</f>
        <v/>
      </c>
      <c r="N54" s="30">
        <f>IF(OR(C54="",H54=0,H54=""),"",IFERROR(I54/H54,0))</f>
        <v/>
      </c>
      <c r="O54" s="15" t="n"/>
    </row>
    <row r="55" ht="22" customHeight="1">
      <c r="B55" s="19">
        <f>IF(C55="","CT-"&amp;TEXT(COUNTA($C$5:C55),"000"))</f>
        <v/>
      </c>
      <c r="C55" s="12" t="n"/>
      <c r="D55" s="12" t="n"/>
      <c r="E55" s="12" t="n"/>
      <c r="F55" s="12" t="n"/>
      <c r="G55" s="12" t="n"/>
      <c r="H55" s="14" t="n"/>
      <c r="I55" s="14">
        <f>IF(C55="","",IFERROR(SUMIFS('6-Releve Heures'!K$5:K$104,'6-Releve Heures'!C$5:C$104,C55),0))</f>
        <v/>
      </c>
      <c r="J55" s="14">
        <f>IF(C55="","",IFERROR(SUMIFS('7-Heures Supplementaires'!I$5:I$104,'7-Heures Supplementaires'!C$5:C$104,C55),0))</f>
        <v/>
      </c>
      <c r="K55" s="14">
        <f>IF(C55="","",IFERROR(SUMIFS('8-Heures Nuit'!J$5:J$104,'8-Heures Nuit'!C$5:C$104,C55),0))</f>
        <v/>
      </c>
      <c r="L55" s="14">
        <f>IF(C55="","",IFERROR(SUMIFS('2-Planning Mensuel'!U$5:U$104,'2-Planning Mensuel'!C$5:C$104,C55)*8,0))</f>
        <v/>
      </c>
      <c r="M55" s="14">
        <f>IF(C55="","",IFERROR(I55-H55,0))</f>
        <v/>
      </c>
      <c r="N55" s="29">
        <f>IF(OR(C55="",H55=0,H55=""),"",IFERROR(I55/H55,0))</f>
        <v/>
      </c>
      <c r="O55" s="12" t="n"/>
    </row>
    <row r="56" ht="22" customHeight="1">
      <c r="B56" s="18">
        <f>IF(C56="","CT-"&amp;TEXT(COUNTA($C$5:C56),"000"))</f>
        <v/>
      </c>
      <c r="C56" s="15" t="n"/>
      <c r="D56" s="15" t="n"/>
      <c r="E56" s="15" t="n"/>
      <c r="F56" s="15" t="n"/>
      <c r="G56" s="15" t="n"/>
      <c r="H56" s="17" t="n"/>
      <c r="I56" s="17">
        <f>IF(C56="","",IFERROR(SUMIFS('6-Releve Heures'!K$5:K$104,'6-Releve Heures'!C$5:C$104,C56),0))</f>
        <v/>
      </c>
      <c r="J56" s="17">
        <f>IF(C56="","",IFERROR(SUMIFS('7-Heures Supplementaires'!I$5:I$104,'7-Heures Supplementaires'!C$5:C$104,C56),0))</f>
        <v/>
      </c>
      <c r="K56" s="17">
        <f>IF(C56="","",IFERROR(SUMIFS('8-Heures Nuit'!J$5:J$104,'8-Heures Nuit'!C$5:C$104,C56),0))</f>
        <v/>
      </c>
      <c r="L56" s="17">
        <f>IF(C56="","",IFERROR(SUMIFS('2-Planning Mensuel'!U$5:U$104,'2-Planning Mensuel'!C$5:C$104,C56)*8,0))</f>
        <v/>
      </c>
      <c r="M56" s="17">
        <f>IF(C56="","",IFERROR(I56-H56,0))</f>
        <v/>
      </c>
      <c r="N56" s="30">
        <f>IF(OR(C56="",H56=0,H56=""),"",IFERROR(I56/H56,0))</f>
        <v/>
      </c>
      <c r="O56" s="15" t="n"/>
    </row>
    <row r="57" ht="22" customHeight="1">
      <c r="B57" s="19">
        <f>IF(C57="","CT-"&amp;TEXT(COUNTA($C$5:C57),"000"))</f>
        <v/>
      </c>
      <c r="C57" s="12" t="n"/>
      <c r="D57" s="12" t="n"/>
      <c r="E57" s="12" t="n"/>
      <c r="F57" s="12" t="n"/>
      <c r="G57" s="12" t="n"/>
      <c r="H57" s="14" t="n"/>
      <c r="I57" s="14">
        <f>IF(C57="","",IFERROR(SUMIFS('6-Releve Heures'!K$5:K$104,'6-Releve Heures'!C$5:C$104,C57),0))</f>
        <v/>
      </c>
      <c r="J57" s="14">
        <f>IF(C57="","",IFERROR(SUMIFS('7-Heures Supplementaires'!I$5:I$104,'7-Heures Supplementaires'!C$5:C$104,C57),0))</f>
        <v/>
      </c>
      <c r="K57" s="14">
        <f>IF(C57="","",IFERROR(SUMIFS('8-Heures Nuit'!J$5:J$104,'8-Heures Nuit'!C$5:C$104,C57),0))</f>
        <v/>
      </c>
      <c r="L57" s="14">
        <f>IF(C57="","",IFERROR(SUMIFS('2-Planning Mensuel'!U$5:U$104,'2-Planning Mensuel'!C$5:C$104,C57)*8,0))</f>
        <v/>
      </c>
      <c r="M57" s="14">
        <f>IF(C57="","",IFERROR(I57-H57,0))</f>
        <v/>
      </c>
      <c r="N57" s="29">
        <f>IF(OR(C57="",H57=0,H57=""),"",IFERROR(I57/H57,0))</f>
        <v/>
      </c>
      <c r="O57" s="12" t="n"/>
    </row>
    <row r="58" ht="22" customHeight="1">
      <c r="B58" s="18">
        <f>IF(C58="","CT-"&amp;TEXT(COUNTA($C$5:C58),"000"))</f>
        <v/>
      </c>
      <c r="C58" s="15" t="n"/>
      <c r="D58" s="15" t="n"/>
      <c r="E58" s="15" t="n"/>
      <c r="F58" s="15" t="n"/>
      <c r="G58" s="15" t="n"/>
      <c r="H58" s="17" t="n"/>
      <c r="I58" s="17">
        <f>IF(C58="","",IFERROR(SUMIFS('6-Releve Heures'!K$5:K$104,'6-Releve Heures'!C$5:C$104,C58),0))</f>
        <v/>
      </c>
      <c r="J58" s="17">
        <f>IF(C58="","",IFERROR(SUMIFS('7-Heures Supplementaires'!I$5:I$104,'7-Heures Supplementaires'!C$5:C$104,C58),0))</f>
        <v/>
      </c>
      <c r="K58" s="17">
        <f>IF(C58="","",IFERROR(SUMIFS('8-Heures Nuit'!J$5:J$104,'8-Heures Nuit'!C$5:C$104,C58),0))</f>
        <v/>
      </c>
      <c r="L58" s="17">
        <f>IF(C58="","",IFERROR(SUMIFS('2-Planning Mensuel'!U$5:U$104,'2-Planning Mensuel'!C$5:C$104,C58)*8,0))</f>
        <v/>
      </c>
      <c r="M58" s="17">
        <f>IF(C58="","",IFERROR(I58-H58,0))</f>
        <v/>
      </c>
      <c r="N58" s="30">
        <f>IF(OR(C58="",H58=0,H58=""),"",IFERROR(I58/H58,0))</f>
        <v/>
      </c>
      <c r="O58" s="15" t="n"/>
    </row>
    <row r="59" ht="22" customHeight="1">
      <c r="B59" s="19">
        <f>IF(C59="","CT-"&amp;TEXT(COUNTA($C$5:C59),"000"))</f>
        <v/>
      </c>
      <c r="C59" s="12" t="n"/>
      <c r="D59" s="12" t="n"/>
      <c r="E59" s="12" t="n"/>
      <c r="F59" s="12" t="n"/>
      <c r="G59" s="12" t="n"/>
      <c r="H59" s="14" t="n"/>
      <c r="I59" s="14">
        <f>IF(C59="","",IFERROR(SUMIFS('6-Releve Heures'!K$5:K$104,'6-Releve Heures'!C$5:C$104,C59),0))</f>
        <v/>
      </c>
      <c r="J59" s="14">
        <f>IF(C59="","",IFERROR(SUMIFS('7-Heures Supplementaires'!I$5:I$104,'7-Heures Supplementaires'!C$5:C$104,C59),0))</f>
        <v/>
      </c>
      <c r="K59" s="14">
        <f>IF(C59="","",IFERROR(SUMIFS('8-Heures Nuit'!J$5:J$104,'8-Heures Nuit'!C$5:C$104,C59),0))</f>
        <v/>
      </c>
      <c r="L59" s="14">
        <f>IF(C59="","",IFERROR(SUMIFS('2-Planning Mensuel'!U$5:U$104,'2-Planning Mensuel'!C$5:C$104,C59)*8,0))</f>
        <v/>
      </c>
      <c r="M59" s="14">
        <f>IF(C59="","",IFERROR(I59-H59,0))</f>
        <v/>
      </c>
      <c r="N59" s="29">
        <f>IF(OR(C59="",H59=0,H59=""),"",IFERROR(I59/H59,0))</f>
        <v/>
      </c>
      <c r="O59" s="12" t="n"/>
    </row>
    <row r="60" ht="22" customHeight="1">
      <c r="B60" s="18">
        <f>IF(C60="","CT-"&amp;TEXT(COUNTA($C$5:C60),"000"))</f>
        <v/>
      </c>
      <c r="C60" s="15" t="n"/>
      <c r="D60" s="15" t="n"/>
      <c r="E60" s="15" t="n"/>
      <c r="F60" s="15" t="n"/>
      <c r="G60" s="15" t="n"/>
      <c r="H60" s="17" t="n"/>
      <c r="I60" s="17">
        <f>IF(C60="","",IFERROR(SUMIFS('6-Releve Heures'!K$5:K$104,'6-Releve Heures'!C$5:C$104,C60),0))</f>
        <v/>
      </c>
      <c r="J60" s="17">
        <f>IF(C60="","",IFERROR(SUMIFS('7-Heures Supplementaires'!I$5:I$104,'7-Heures Supplementaires'!C$5:C$104,C60),0))</f>
        <v/>
      </c>
      <c r="K60" s="17">
        <f>IF(C60="","",IFERROR(SUMIFS('8-Heures Nuit'!J$5:J$104,'8-Heures Nuit'!C$5:C$104,C60),0))</f>
        <v/>
      </c>
      <c r="L60" s="17">
        <f>IF(C60="","",IFERROR(SUMIFS('2-Planning Mensuel'!U$5:U$104,'2-Planning Mensuel'!C$5:C$104,C60)*8,0))</f>
        <v/>
      </c>
      <c r="M60" s="17">
        <f>IF(C60="","",IFERROR(I60-H60,0))</f>
        <v/>
      </c>
      <c r="N60" s="30">
        <f>IF(OR(C60="",H60=0,H60=""),"",IFERROR(I60/H60,0))</f>
        <v/>
      </c>
      <c r="O60" s="15" t="n"/>
    </row>
    <row r="61" ht="22" customHeight="1">
      <c r="B61" s="19">
        <f>IF(C61="","CT-"&amp;TEXT(COUNTA($C$5:C61),"000"))</f>
        <v/>
      </c>
      <c r="C61" s="12" t="n"/>
      <c r="D61" s="12" t="n"/>
      <c r="E61" s="12" t="n"/>
      <c r="F61" s="12" t="n"/>
      <c r="G61" s="12" t="n"/>
      <c r="H61" s="14" t="n"/>
      <c r="I61" s="14">
        <f>IF(C61="","",IFERROR(SUMIFS('6-Releve Heures'!K$5:K$104,'6-Releve Heures'!C$5:C$104,C61),0))</f>
        <v/>
      </c>
      <c r="J61" s="14">
        <f>IF(C61="","",IFERROR(SUMIFS('7-Heures Supplementaires'!I$5:I$104,'7-Heures Supplementaires'!C$5:C$104,C61),0))</f>
        <v/>
      </c>
      <c r="K61" s="14">
        <f>IF(C61="","",IFERROR(SUMIFS('8-Heures Nuit'!J$5:J$104,'8-Heures Nuit'!C$5:C$104,C61),0))</f>
        <v/>
      </c>
      <c r="L61" s="14">
        <f>IF(C61="","",IFERROR(SUMIFS('2-Planning Mensuel'!U$5:U$104,'2-Planning Mensuel'!C$5:C$104,C61)*8,0))</f>
        <v/>
      </c>
      <c r="M61" s="14">
        <f>IF(C61="","",IFERROR(I61-H61,0))</f>
        <v/>
      </c>
      <c r="N61" s="29">
        <f>IF(OR(C61="",H61=0,H61=""),"",IFERROR(I61/H61,0))</f>
        <v/>
      </c>
      <c r="O61" s="12" t="n"/>
    </row>
    <row r="62" ht="22" customHeight="1">
      <c r="B62" s="18">
        <f>IF(C62="","CT-"&amp;TEXT(COUNTA($C$5:C62),"000"))</f>
        <v/>
      </c>
      <c r="C62" s="15" t="n"/>
      <c r="D62" s="15" t="n"/>
      <c r="E62" s="15" t="n"/>
      <c r="F62" s="15" t="n"/>
      <c r="G62" s="15" t="n"/>
      <c r="H62" s="17" t="n"/>
      <c r="I62" s="17">
        <f>IF(C62="","",IFERROR(SUMIFS('6-Releve Heures'!K$5:K$104,'6-Releve Heures'!C$5:C$104,C62),0))</f>
        <v/>
      </c>
      <c r="J62" s="17">
        <f>IF(C62="","",IFERROR(SUMIFS('7-Heures Supplementaires'!I$5:I$104,'7-Heures Supplementaires'!C$5:C$104,C62),0))</f>
        <v/>
      </c>
      <c r="K62" s="17">
        <f>IF(C62="","",IFERROR(SUMIFS('8-Heures Nuit'!J$5:J$104,'8-Heures Nuit'!C$5:C$104,C62),0))</f>
        <v/>
      </c>
      <c r="L62" s="17">
        <f>IF(C62="","",IFERROR(SUMIFS('2-Planning Mensuel'!U$5:U$104,'2-Planning Mensuel'!C$5:C$104,C62)*8,0))</f>
        <v/>
      </c>
      <c r="M62" s="17">
        <f>IF(C62="","",IFERROR(I62-H62,0))</f>
        <v/>
      </c>
      <c r="N62" s="30">
        <f>IF(OR(C62="",H62=0,H62=""),"",IFERROR(I62/H62,0))</f>
        <v/>
      </c>
      <c r="O62" s="15" t="n"/>
    </row>
    <row r="63" ht="22" customHeight="1">
      <c r="B63" s="19">
        <f>IF(C63="","CT-"&amp;TEXT(COUNTA($C$5:C63),"000"))</f>
        <v/>
      </c>
      <c r="C63" s="12" t="n"/>
      <c r="D63" s="12" t="n"/>
      <c r="E63" s="12" t="n"/>
      <c r="F63" s="12" t="n"/>
      <c r="G63" s="12" t="n"/>
      <c r="H63" s="14" t="n"/>
      <c r="I63" s="14">
        <f>IF(C63="","",IFERROR(SUMIFS('6-Releve Heures'!K$5:K$104,'6-Releve Heures'!C$5:C$104,C63),0))</f>
        <v/>
      </c>
      <c r="J63" s="14">
        <f>IF(C63="","",IFERROR(SUMIFS('7-Heures Supplementaires'!I$5:I$104,'7-Heures Supplementaires'!C$5:C$104,C63),0))</f>
        <v/>
      </c>
      <c r="K63" s="14">
        <f>IF(C63="","",IFERROR(SUMIFS('8-Heures Nuit'!J$5:J$104,'8-Heures Nuit'!C$5:C$104,C63),0))</f>
        <v/>
      </c>
      <c r="L63" s="14">
        <f>IF(C63="","",IFERROR(SUMIFS('2-Planning Mensuel'!U$5:U$104,'2-Planning Mensuel'!C$5:C$104,C63)*8,0))</f>
        <v/>
      </c>
      <c r="M63" s="14">
        <f>IF(C63="","",IFERROR(I63-H63,0))</f>
        <v/>
      </c>
      <c r="N63" s="29">
        <f>IF(OR(C63="",H63=0,H63=""),"",IFERROR(I63/H63,0))</f>
        <v/>
      </c>
      <c r="O63" s="12" t="n"/>
    </row>
    <row r="64" ht="22" customHeight="1">
      <c r="B64" s="18">
        <f>IF(C64="","CT-"&amp;TEXT(COUNTA($C$5:C64),"000"))</f>
        <v/>
      </c>
      <c r="C64" s="15" t="n"/>
      <c r="D64" s="15" t="n"/>
      <c r="E64" s="15" t="n"/>
      <c r="F64" s="15" t="n"/>
      <c r="G64" s="15" t="n"/>
      <c r="H64" s="17" t="n"/>
      <c r="I64" s="17">
        <f>IF(C64="","",IFERROR(SUMIFS('6-Releve Heures'!K$5:K$104,'6-Releve Heures'!C$5:C$104,C64),0))</f>
        <v/>
      </c>
      <c r="J64" s="17">
        <f>IF(C64="","",IFERROR(SUMIFS('7-Heures Supplementaires'!I$5:I$104,'7-Heures Supplementaires'!C$5:C$104,C64),0))</f>
        <v/>
      </c>
      <c r="K64" s="17">
        <f>IF(C64="","",IFERROR(SUMIFS('8-Heures Nuit'!J$5:J$104,'8-Heures Nuit'!C$5:C$104,C64),0))</f>
        <v/>
      </c>
      <c r="L64" s="17">
        <f>IF(C64="","",IFERROR(SUMIFS('2-Planning Mensuel'!U$5:U$104,'2-Planning Mensuel'!C$5:C$104,C64)*8,0))</f>
        <v/>
      </c>
      <c r="M64" s="17">
        <f>IF(C64="","",IFERROR(I64-H64,0))</f>
        <v/>
      </c>
      <c r="N64" s="30">
        <f>IF(OR(C64="",H64=0,H64=""),"",IFERROR(I64/H64,0))</f>
        <v/>
      </c>
      <c r="O64" s="15" t="n"/>
    </row>
    <row r="65" ht="22" customHeight="1">
      <c r="B65" s="19">
        <f>IF(C65="","CT-"&amp;TEXT(COUNTA($C$5:C65),"000"))</f>
        <v/>
      </c>
      <c r="C65" s="12" t="n"/>
      <c r="D65" s="12" t="n"/>
      <c r="E65" s="12" t="n"/>
      <c r="F65" s="12" t="n"/>
      <c r="G65" s="12" t="n"/>
      <c r="H65" s="14" t="n"/>
      <c r="I65" s="14">
        <f>IF(C65="","",IFERROR(SUMIFS('6-Releve Heures'!K$5:K$104,'6-Releve Heures'!C$5:C$104,C65),0))</f>
        <v/>
      </c>
      <c r="J65" s="14">
        <f>IF(C65="","",IFERROR(SUMIFS('7-Heures Supplementaires'!I$5:I$104,'7-Heures Supplementaires'!C$5:C$104,C65),0))</f>
        <v/>
      </c>
      <c r="K65" s="14">
        <f>IF(C65="","",IFERROR(SUMIFS('8-Heures Nuit'!J$5:J$104,'8-Heures Nuit'!C$5:C$104,C65),0))</f>
        <v/>
      </c>
      <c r="L65" s="14">
        <f>IF(C65="","",IFERROR(SUMIFS('2-Planning Mensuel'!U$5:U$104,'2-Planning Mensuel'!C$5:C$104,C65)*8,0))</f>
        <v/>
      </c>
      <c r="M65" s="14">
        <f>IF(C65="","",IFERROR(I65-H65,0))</f>
        <v/>
      </c>
      <c r="N65" s="29">
        <f>IF(OR(C65="",H65=0,H65=""),"",IFERROR(I65/H65,0))</f>
        <v/>
      </c>
      <c r="O65" s="12" t="n"/>
    </row>
    <row r="66" ht="22" customHeight="1">
      <c r="B66" s="18">
        <f>IF(C66="","CT-"&amp;TEXT(COUNTA($C$5:C66),"000"))</f>
        <v/>
      </c>
      <c r="C66" s="15" t="n"/>
      <c r="D66" s="15" t="n"/>
      <c r="E66" s="15" t="n"/>
      <c r="F66" s="15" t="n"/>
      <c r="G66" s="15" t="n"/>
      <c r="H66" s="17" t="n"/>
      <c r="I66" s="17">
        <f>IF(C66="","",IFERROR(SUMIFS('6-Releve Heures'!K$5:K$104,'6-Releve Heures'!C$5:C$104,C66),0))</f>
        <v/>
      </c>
      <c r="J66" s="17">
        <f>IF(C66="","",IFERROR(SUMIFS('7-Heures Supplementaires'!I$5:I$104,'7-Heures Supplementaires'!C$5:C$104,C66),0))</f>
        <v/>
      </c>
      <c r="K66" s="17">
        <f>IF(C66="","",IFERROR(SUMIFS('8-Heures Nuit'!J$5:J$104,'8-Heures Nuit'!C$5:C$104,C66),0))</f>
        <v/>
      </c>
      <c r="L66" s="17">
        <f>IF(C66="","",IFERROR(SUMIFS('2-Planning Mensuel'!U$5:U$104,'2-Planning Mensuel'!C$5:C$104,C66)*8,0))</f>
        <v/>
      </c>
      <c r="M66" s="17">
        <f>IF(C66="","",IFERROR(I66-H66,0))</f>
        <v/>
      </c>
      <c r="N66" s="30">
        <f>IF(OR(C66="",H66=0,H66=""),"",IFERROR(I66/H66,0))</f>
        <v/>
      </c>
      <c r="O66" s="15" t="n"/>
    </row>
    <row r="67" ht="22" customHeight="1">
      <c r="B67" s="19">
        <f>IF(C67="","CT-"&amp;TEXT(COUNTA($C$5:C67),"000"))</f>
        <v/>
      </c>
      <c r="C67" s="12" t="n"/>
      <c r="D67" s="12" t="n"/>
      <c r="E67" s="12" t="n"/>
      <c r="F67" s="12" t="n"/>
      <c r="G67" s="12" t="n"/>
      <c r="H67" s="14" t="n"/>
      <c r="I67" s="14">
        <f>IF(C67="","",IFERROR(SUMIFS('6-Releve Heures'!K$5:K$104,'6-Releve Heures'!C$5:C$104,C67),0))</f>
        <v/>
      </c>
      <c r="J67" s="14">
        <f>IF(C67="","",IFERROR(SUMIFS('7-Heures Supplementaires'!I$5:I$104,'7-Heures Supplementaires'!C$5:C$104,C67),0))</f>
        <v/>
      </c>
      <c r="K67" s="14">
        <f>IF(C67="","",IFERROR(SUMIFS('8-Heures Nuit'!J$5:J$104,'8-Heures Nuit'!C$5:C$104,C67),0))</f>
        <v/>
      </c>
      <c r="L67" s="14">
        <f>IF(C67="","",IFERROR(SUMIFS('2-Planning Mensuel'!U$5:U$104,'2-Planning Mensuel'!C$5:C$104,C67)*8,0))</f>
        <v/>
      </c>
      <c r="M67" s="14">
        <f>IF(C67="","",IFERROR(I67-H67,0))</f>
        <v/>
      </c>
      <c r="N67" s="29">
        <f>IF(OR(C67="",H67=0,H67=""),"",IFERROR(I67/H67,0))</f>
        <v/>
      </c>
      <c r="O67" s="12" t="n"/>
    </row>
    <row r="68" ht="22" customHeight="1">
      <c r="B68" s="18">
        <f>IF(C68="","CT-"&amp;TEXT(COUNTA($C$5:C68),"000"))</f>
        <v/>
      </c>
      <c r="C68" s="15" t="n"/>
      <c r="D68" s="15" t="n"/>
      <c r="E68" s="15" t="n"/>
      <c r="F68" s="15" t="n"/>
      <c r="G68" s="15" t="n"/>
      <c r="H68" s="17" t="n"/>
      <c r="I68" s="17">
        <f>IF(C68="","",IFERROR(SUMIFS('6-Releve Heures'!K$5:K$104,'6-Releve Heures'!C$5:C$104,C68),0))</f>
        <v/>
      </c>
      <c r="J68" s="17">
        <f>IF(C68="","",IFERROR(SUMIFS('7-Heures Supplementaires'!I$5:I$104,'7-Heures Supplementaires'!C$5:C$104,C68),0))</f>
        <v/>
      </c>
      <c r="K68" s="17">
        <f>IF(C68="","",IFERROR(SUMIFS('8-Heures Nuit'!J$5:J$104,'8-Heures Nuit'!C$5:C$104,C68),0))</f>
        <v/>
      </c>
      <c r="L68" s="17">
        <f>IF(C68="","",IFERROR(SUMIFS('2-Planning Mensuel'!U$5:U$104,'2-Planning Mensuel'!C$5:C$104,C68)*8,0))</f>
        <v/>
      </c>
      <c r="M68" s="17">
        <f>IF(C68="","",IFERROR(I68-H68,0))</f>
        <v/>
      </c>
      <c r="N68" s="30">
        <f>IF(OR(C68="",H68=0,H68=""),"",IFERROR(I68/H68,0))</f>
        <v/>
      </c>
      <c r="O68" s="15" t="n"/>
    </row>
    <row r="69" ht="22" customHeight="1">
      <c r="B69" s="19">
        <f>IF(C69="","CT-"&amp;TEXT(COUNTA($C$5:C69),"000"))</f>
        <v/>
      </c>
      <c r="C69" s="12" t="n"/>
      <c r="D69" s="12" t="n"/>
      <c r="E69" s="12" t="n"/>
      <c r="F69" s="12" t="n"/>
      <c r="G69" s="12" t="n"/>
      <c r="H69" s="14" t="n"/>
      <c r="I69" s="14">
        <f>IF(C69="","",IFERROR(SUMIFS('6-Releve Heures'!K$5:K$104,'6-Releve Heures'!C$5:C$104,C69),0))</f>
        <v/>
      </c>
      <c r="J69" s="14">
        <f>IF(C69="","",IFERROR(SUMIFS('7-Heures Supplementaires'!I$5:I$104,'7-Heures Supplementaires'!C$5:C$104,C69),0))</f>
        <v/>
      </c>
      <c r="K69" s="14">
        <f>IF(C69="","",IFERROR(SUMIFS('8-Heures Nuit'!J$5:J$104,'8-Heures Nuit'!C$5:C$104,C69),0))</f>
        <v/>
      </c>
      <c r="L69" s="14">
        <f>IF(C69="","",IFERROR(SUMIFS('2-Planning Mensuel'!U$5:U$104,'2-Planning Mensuel'!C$5:C$104,C69)*8,0))</f>
        <v/>
      </c>
      <c r="M69" s="14">
        <f>IF(C69="","",IFERROR(I69-H69,0))</f>
        <v/>
      </c>
      <c r="N69" s="29">
        <f>IF(OR(C69="",H69=0,H69=""),"",IFERROR(I69/H69,0))</f>
        <v/>
      </c>
      <c r="O69" s="12" t="n"/>
    </row>
    <row r="70" ht="22" customHeight="1">
      <c r="B70" s="18">
        <f>IF(C70="","CT-"&amp;TEXT(COUNTA($C$5:C70),"000"))</f>
        <v/>
      </c>
      <c r="C70" s="15" t="n"/>
      <c r="D70" s="15" t="n"/>
      <c r="E70" s="15" t="n"/>
      <c r="F70" s="15" t="n"/>
      <c r="G70" s="15" t="n"/>
      <c r="H70" s="17" t="n"/>
      <c r="I70" s="17">
        <f>IF(C70="","",IFERROR(SUMIFS('6-Releve Heures'!K$5:K$104,'6-Releve Heures'!C$5:C$104,C70),0))</f>
        <v/>
      </c>
      <c r="J70" s="17">
        <f>IF(C70="","",IFERROR(SUMIFS('7-Heures Supplementaires'!I$5:I$104,'7-Heures Supplementaires'!C$5:C$104,C70),0))</f>
        <v/>
      </c>
      <c r="K70" s="17">
        <f>IF(C70="","",IFERROR(SUMIFS('8-Heures Nuit'!J$5:J$104,'8-Heures Nuit'!C$5:C$104,C70),0))</f>
        <v/>
      </c>
      <c r="L70" s="17">
        <f>IF(C70="","",IFERROR(SUMIFS('2-Planning Mensuel'!U$5:U$104,'2-Planning Mensuel'!C$5:C$104,C70)*8,0))</f>
        <v/>
      </c>
      <c r="M70" s="17">
        <f>IF(C70="","",IFERROR(I70-H70,0))</f>
        <v/>
      </c>
      <c r="N70" s="30">
        <f>IF(OR(C70="",H70=0,H70=""),"",IFERROR(I70/H70,0))</f>
        <v/>
      </c>
      <c r="O70" s="15" t="n"/>
    </row>
    <row r="71" ht="22" customHeight="1">
      <c r="B71" s="19">
        <f>IF(C71="","CT-"&amp;TEXT(COUNTA($C$5:C71),"000"))</f>
        <v/>
      </c>
      <c r="C71" s="12" t="n"/>
      <c r="D71" s="12" t="n"/>
      <c r="E71" s="12" t="n"/>
      <c r="F71" s="12" t="n"/>
      <c r="G71" s="12" t="n"/>
      <c r="H71" s="14" t="n"/>
      <c r="I71" s="14">
        <f>IF(C71="","",IFERROR(SUMIFS('6-Releve Heures'!K$5:K$104,'6-Releve Heures'!C$5:C$104,C71),0))</f>
        <v/>
      </c>
      <c r="J71" s="14">
        <f>IF(C71="","",IFERROR(SUMIFS('7-Heures Supplementaires'!I$5:I$104,'7-Heures Supplementaires'!C$5:C$104,C71),0))</f>
        <v/>
      </c>
      <c r="K71" s="14">
        <f>IF(C71="","",IFERROR(SUMIFS('8-Heures Nuit'!J$5:J$104,'8-Heures Nuit'!C$5:C$104,C71),0))</f>
        <v/>
      </c>
      <c r="L71" s="14">
        <f>IF(C71="","",IFERROR(SUMIFS('2-Planning Mensuel'!U$5:U$104,'2-Planning Mensuel'!C$5:C$104,C71)*8,0))</f>
        <v/>
      </c>
      <c r="M71" s="14">
        <f>IF(C71="","",IFERROR(I71-H71,0))</f>
        <v/>
      </c>
      <c r="N71" s="29">
        <f>IF(OR(C71="",H71=0,H71=""),"",IFERROR(I71/H71,0))</f>
        <v/>
      </c>
      <c r="O71" s="12" t="n"/>
    </row>
    <row r="72" ht="22" customHeight="1">
      <c r="B72" s="18">
        <f>IF(C72="","CT-"&amp;TEXT(COUNTA($C$5:C72),"000"))</f>
        <v/>
      </c>
      <c r="C72" s="15" t="n"/>
      <c r="D72" s="15" t="n"/>
      <c r="E72" s="15" t="n"/>
      <c r="F72" s="15" t="n"/>
      <c r="G72" s="15" t="n"/>
      <c r="H72" s="17" t="n"/>
      <c r="I72" s="17">
        <f>IF(C72="","",IFERROR(SUMIFS('6-Releve Heures'!K$5:K$104,'6-Releve Heures'!C$5:C$104,C72),0))</f>
        <v/>
      </c>
      <c r="J72" s="17">
        <f>IF(C72="","",IFERROR(SUMIFS('7-Heures Supplementaires'!I$5:I$104,'7-Heures Supplementaires'!C$5:C$104,C72),0))</f>
        <v/>
      </c>
      <c r="K72" s="17">
        <f>IF(C72="","",IFERROR(SUMIFS('8-Heures Nuit'!J$5:J$104,'8-Heures Nuit'!C$5:C$104,C72),0))</f>
        <v/>
      </c>
      <c r="L72" s="17">
        <f>IF(C72="","",IFERROR(SUMIFS('2-Planning Mensuel'!U$5:U$104,'2-Planning Mensuel'!C$5:C$104,C72)*8,0))</f>
        <v/>
      </c>
      <c r="M72" s="17">
        <f>IF(C72="","",IFERROR(I72-H72,0))</f>
        <v/>
      </c>
      <c r="N72" s="30">
        <f>IF(OR(C72="",H72=0,H72=""),"",IFERROR(I72/H72,0))</f>
        <v/>
      </c>
      <c r="O72" s="15" t="n"/>
    </row>
    <row r="73" ht="22" customHeight="1">
      <c r="B73" s="19">
        <f>IF(C73="","CT-"&amp;TEXT(COUNTA($C$5:C73),"000"))</f>
        <v/>
      </c>
      <c r="C73" s="12" t="n"/>
      <c r="D73" s="12" t="n"/>
      <c r="E73" s="12" t="n"/>
      <c r="F73" s="12" t="n"/>
      <c r="G73" s="12" t="n"/>
      <c r="H73" s="14" t="n"/>
      <c r="I73" s="14">
        <f>IF(C73="","",IFERROR(SUMIFS('6-Releve Heures'!K$5:K$104,'6-Releve Heures'!C$5:C$104,C73),0))</f>
        <v/>
      </c>
      <c r="J73" s="14">
        <f>IF(C73="","",IFERROR(SUMIFS('7-Heures Supplementaires'!I$5:I$104,'7-Heures Supplementaires'!C$5:C$104,C73),0))</f>
        <v/>
      </c>
      <c r="K73" s="14">
        <f>IF(C73="","",IFERROR(SUMIFS('8-Heures Nuit'!J$5:J$104,'8-Heures Nuit'!C$5:C$104,C73),0))</f>
        <v/>
      </c>
      <c r="L73" s="14">
        <f>IF(C73="","",IFERROR(SUMIFS('2-Planning Mensuel'!U$5:U$104,'2-Planning Mensuel'!C$5:C$104,C73)*8,0))</f>
        <v/>
      </c>
      <c r="M73" s="14">
        <f>IF(C73="","",IFERROR(I73-H73,0))</f>
        <v/>
      </c>
      <c r="N73" s="29">
        <f>IF(OR(C73="",H73=0,H73=""),"",IFERROR(I73/H73,0))</f>
        <v/>
      </c>
      <c r="O73" s="12" t="n"/>
    </row>
    <row r="74" ht="22" customHeight="1">
      <c r="B74" s="18">
        <f>IF(C74="","CT-"&amp;TEXT(COUNTA($C$5:C74),"000"))</f>
        <v/>
      </c>
      <c r="C74" s="15" t="n"/>
      <c r="D74" s="15" t="n"/>
      <c r="E74" s="15" t="n"/>
      <c r="F74" s="15" t="n"/>
      <c r="G74" s="15" t="n"/>
      <c r="H74" s="17" t="n"/>
      <c r="I74" s="17">
        <f>IF(C74="","",IFERROR(SUMIFS('6-Releve Heures'!K$5:K$104,'6-Releve Heures'!C$5:C$104,C74),0))</f>
        <v/>
      </c>
      <c r="J74" s="17">
        <f>IF(C74="","",IFERROR(SUMIFS('7-Heures Supplementaires'!I$5:I$104,'7-Heures Supplementaires'!C$5:C$104,C74),0))</f>
        <v/>
      </c>
      <c r="K74" s="17">
        <f>IF(C74="","",IFERROR(SUMIFS('8-Heures Nuit'!J$5:J$104,'8-Heures Nuit'!C$5:C$104,C74),0))</f>
        <v/>
      </c>
      <c r="L74" s="17">
        <f>IF(C74="","",IFERROR(SUMIFS('2-Planning Mensuel'!U$5:U$104,'2-Planning Mensuel'!C$5:C$104,C74)*8,0))</f>
        <v/>
      </c>
      <c r="M74" s="17">
        <f>IF(C74="","",IFERROR(I74-H74,0))</f>
        <v/>
      </c>
      <c r="N74" s="30">
        <f>IF(OR(C74="",H74=0,H74=""),"",IFERROR(I74/H74,0))</f>
        <v/>
      </c>
      <c r="O74" s="15" t="n"/>
    </row>
    <row r="75" ht="22" customHeight="1">
      <c r="B75" s="19">
        <f>IF(C75="","CT-"&amp;TEXT(COUNTA($C$5:C75),"000"))</f>
        <v/>
      </c>
      <c r="C75" s="12" t="n"/>
      <c r="D75" s="12" t="n"/>
      <c r="E75" s="12" t="n"/>
      <c r="F75" s="12" t="n"/>
      <c r="G75" s="12" t="n"/>
      <c r="H75" s="14" t="n"/>
      <c r="I75" s="14">
        <f>IF(C75="","",IFERROR(SUMIFS('6-Releve Heures'!K$5:K$104,'6-Releve Heures'!C$5:C$104,C75),0))</f>
        <v/>
      </c>
      <c r="J75" s="14">
        <f>IF(C75="","",IFERROR(SUMIFS('7-Heures Supplementaires'!I$5:I$104,'7-Heures Supplementaires'!C$5:C$104,C75),0))</f>
        <v/>
      </c>
      <c r="K75" s="14">
        <f>IF(C75="","",IFERROR(SUMIFS('8-Heures Nuit'!J$5:J$104,'8-Heures Nuit'!C$5:C$104,C75),0))</f>
        <v/>
      </c>
      <c r="L75" s="14">
        <f>IF(C75="","",IFERROR(SUMIFS('2-Planning Mensuel'!U$5:U$104,'2-Planning Mensuel'!C$5:C$104,C75)*8,0))</f>
        <v/>
      </c>
      <c r="M75" s="14">
        <f>IF(C75="","",IFERROR(I75-H75,0))</f>
        <v/>
      </c>
      <c r="N75" s="29">
        <f>IF(OR(C75="",H75=0,H75=""),"",IFERROR(I75/H75,0))</f>
        <v/>
      </c>
      <c r="O75" s="12" t="n"/>
    </row>
    <row r="76" ht="22" customHeight="1">
      <c r="B76" s="18">
        <f>IF(C76="","CT-"&amp;TEXT(COUNTA($C$5:C76),"000"))</f>
        <v/>
      </c>
      <c r="C76" s="15" t="n"/>
      <c r="D76" s="15" t="n"/>
      <c r="E76" s="15" t="n"/>
      <c r="F76" s="15" t="n"/>
      <c r="G76" s="15" t="n"/>
      <c r="H76" s="17" t="n"/>
      <c r="I76" s="17">
        <f>IF(C76="","",IFERROR(SUMIFS('6-Releve Heures'!K$5:K$104,'6-Releve Heures'!C$5:C$104,C76),0))</f>
        <v/>
      </c>
      <c r="J76" s="17">
        <f>IF(C76="","",IFERROR(SUMIFS('7-Heures Supplementaires'!I$5:I$104,'7-Heures Supplementaires'!C$5:C$104,C76),0))</f>
        <v/>
      </c>
      <c r="K76" s="17">
        <f>IF(C76="","",IFERROR(SUMIFS('8-Heures Nuit'!J$5:J$104,'8-Heures Nuit'!C$5:C$104,C76),0))</f>
        <v/>
      </c>
      <c r="L76" s="17">
        <f>IF(C76="","",IFERROR(SUMIFS('2-Planning Mensuel'!U$5:U$104,'2-Planning Mensuel'!C$5:C$104,C76)*8,0))</f>
        <v/>
      </c>
      <c r="M76" s="17">
        <f>IF(C76="","",IFERROR(I76-H76,0))</f>
        <v/>
      </c>
      <c r="N76" s="30">
        <f>IF(OR(C76="",H76=0,H76=""),"",IFERROR(I76/H76,0))</f>
        <v/>
      </c>
      <c r="O76" s="15" t="n"/>
    </row>
    <row r="77" ht="22" customHeight="1">
      <c r="B77" s="19">
        <f>IF(C77="","CT-"&amp;TEXT(COUNTA($C$5:C77),"000"))</f>
        <v/>
      </c>
      <c r="C77" s="12" t="n"/>
      <c r="D77" s="12" t="n"/>
      <c r="E77" s="12" t="n"/>
      <c r="F77" s="12" t="n"/>
      <c r="G77" s="12" t="n"/>
      <c r="H77" s="14" t="n"/>
      <c r="I77" s="14">
        <f>IF(C77="","",IFERROR(SUMIFS('6-Releve Heures'!K$5:K$104,'6-Releve Heures'!C$5:C$104,C77),0))</f>
        <v/>
      </c>
      <c r="J77" s="14">
        <f>IF(C77="","",IFERROR(SUMIFS('7-Heures Supplementaires'!I$5:I$104,'7-Heures Supplementaires'!C$5:C$104,C77),0))</f>
        <v/>
      </c>
      <c r="K77" s="14">
        <f>IF(C77="","",IFERROR(SUMIFS('8-Heures Nuit'!J$5:J$104,'8-Heures Nuit'!C$5:C$104,C77),0))</f>
        <v/>
      </c>
      <c r="L77" s="14">
        <f>IF(C77="","",IFERROR(SUMIFS('2-Planning Mensuel'!U$5:U$104,'2-Planning Mensuel'!C$5:C$104,C77)*8,0))</f>
        <v/>
      </c>
      <c r="M77" s="14">
        <f>IF(C77="","",IFERROR(I77-H77,0))</f>
        <v/>
      </c>
      <c r="N77" s="29">
        <f>IF(OR(C77="",H77=0,H77=""),"",IFERROR(I77/H77,0))</f>
        <v/>
      </c>
      <c r="O77" s="12" t="n"/>
    </row>
    <row r="78" ht="22" customHeight="1">
      <c r="B78" s="18">
        <f>IF(C78="","CT-"&amp;TEXT(COUNTA($C$5:C78),"000"))</f>
        <v/>
      </c>
      <c r="C78" s="15" t="n"/>
      <c r="D78" s="15" t="n"/>
      <c r="E78" s="15" t="n"/>
      <c r="F78" s="15" t="n"/>
      <c r="G78" s="15" t="n"/>
      <c r="H78" s="17" t="n"/>
      <c r="I78" s="17">
        <f>IF(C78="","",IFERROR(SUMIFS('6-Releve Heures'!K$5:K$104,'6-Releve Heures'!C$5:C$104,C78),0))</f>
        <v/>
      </c>
      <c r="J78" s="17">
        <f>IF(C78="","",IFERROR(SUMIFS('7-Heures Supplementaires'!I$5:I$104,'7-Heures Supplementaires'!C$5:C$104,C78),0))</f>
        <v/>
      </c>
      <c r="K78" s="17">
        <f>IF(C78="","",IFERROR(SUMIFS('8-Heures Nuit'!J$5:J$104,'8-Heures Nuit'!C$5:C$104,C78),0))</f>
        <v/>
      </c>
      <c r="L78" s="17">
        <f>IF(C78="","",IFERROR(SUMIFS('2-Planning Mensuel'!U$5:U$104,'2-Planning Mensuel'!C$5:C$104,C78)*8,0))</f>
        <v/>
      </c>
      <c r="M78" s="17">
        <f>IF(C78="","",IFERROR(I78-H78,0))</f>
        <v/>
      </c>
      <c r="N78" s="30">
        <f>IF(OR(C78="",H78=0,H78=""),"",IFERROR(I78/H78,0))</f>
        <v/>
      </c>
      <c r="O78" s="15" t="n"/>
    </row>
    <row r="79" ht="22" customHeight="1">
      <c r="B79" s="19">
        <f>IF(C79="","CT-"&amp;TEXT(COUNTA($C$5:C79),"000"))</f>
        <v/>
      </c>
      <c r="C79" s="12" t="n"/>
      <c r="D79" s="12" t="n"/>
      <c r="E79" s="12" t="n"/>
      <c r="F79" s="12" t="n"/>
      <c r="G79" s="12" t="n"/>
      <c r="H79" s="14" t="n"/>
      <c r="I79" s="14">
        <f>IF(C79="","",IFERROR(SUMIFS('6-Releve Heures'!K$5:K$104,'6-Releve Heures'!C$5:C$104,C79),0))</f>
        <v/>
      </c>
      <c r="J79" s="14">
        <f>IF(C79="","",IFERROR(SUMIFS('7-Heures Supplementaires'!I$5:I$104,'7-Heures Supplementaires'!C$5:C$104,C79),0))</f>
        <v/>
      </c>
      <c r="K79" s="14">
        <f>IF(C79="","",IFERROR(SUMIFS('8-Heures Nuit'!J$5:J$104,'8-Heures Nuit'!C$5:C$104,C79),0))</f>
        <v/>
      </c>
      <c r="L79" s="14">
        <f>IF(C79="","",IFERROR(SUMIFS('2-Planning Mensuel'!U$5:U$104,'2-Planning Mensuel'!C$5:C$104,C79)*8,0))</f>
        <v/>
      </c>
      <c r="M79" s="14">
        <f>IF(C79="","",IFERROR(I79-H79,0))</f>
        <v/>
      </c>
      <c r="N79" s="29">
        <f>IF(OR(C79="",H79=0,H79=""),"",IFERROR(I79/H79,0))</f>
        <v/>
      </c>
      <c r="O79" s="12" t="n"/>
    </row>
    <row r="80" ht="22" customHeight="1">
      <c r="B80" s="18">
        <f>IF(C80="","CT-"&amp;TEXT(COUNTA($C$5:C80),"000"))</f>
        <v/>
      </c>
      <c r="C80" s="15" t="n"/>
      <c r="D80" s="15" t="n"/>
      <c r="E80" s="15" t="n"/>
      <c r="F80" s="15" t="n"/>
      <c r="G80" s="15" t="n"/>
      <c r="H80" s="17" t="n"/>
      <c r="I80" s="17">
        <f>IF(C80="","",IFERROR(SUMIFS('6-Releve Heures'!K$5:K$104,'6-Releve Heures'!C$5:C$104,C80),0))</f>
        <v/>
      </c>
      <c r="J80" s="17">
        <f>IF(C80="","",IFERROR(SUMIFS('7-Heures Supplementaires'!I$5:I$104,'7-Heures Supplementaires'!C$5:C$104,C80),0))</f>
        <v/>
      </c>
      <c r="K80" s="17">
        <f>IF(C80="","",IFERROR(SUMIFS('8-Heures Nuit'!J$5:J$104,'8-Heures Nuit'!C$5:C$104,C80),0))</f>
        <v/>
      </c>
      <c r="L80" s="17">
        <f>IF(C80="","",IFERROR(SUMIFS('2-Planning Mensuel'!U$5:U$104,'2-Planning Mensuel'!C$5:C$104,C80)*8,0))</f>
        <v/>
      </c>
      <c r="M80" s="17">
        <f>IF(C80="","",IFERROR(I80-H80,0))</f>
        <v/>
      </c>
      <c r="N80" s="30">
        <f>IF(OR(C80="",H80=0,H80=""),"",IFERROR(I80/H80,0))</f>
        <v/>
      </c>
      <c r="O80" s="15" t="n"/>
    </row>
    <row r="81" ht="22" customHeight="1">
      <c r="B81" s="19">
        <f>IF(C81="","CT-"&amp;TEXT(COUNTA($C$5:C81),"000"))</f>
        <v/>
      </c>
      <c r="C81" s="12" t="n"/>
      <c r="D81" s="12" t="n"/>
      <c r="E81" s="12" t="n"/>
      <c r="F81" s="12" t="n"/>
      <c r="G81" s="12" t="n"/>
      <c r="H81" s="14" t="n"/>
      <c r="I81" s="14">
        <f>IF(C81="","",IFERROR(SUMIFS('6-Releve Heures'!K$5:K$104,'6-Releve Heures'!C$5:C$104,C81),0))</f>
        <v/>
      </c>
      <c r="J81" s="14">
        <f>IF(C81="","",IFERROR(SUMIFS('7-Heures Supplementaires'!I$5:I$104,'7-Heures Supplementaires'!C$5:C$104,C81),0))</f>
        <v/>
      </c>
      <c r="K81" s="14">
        <f>IF(C81="","",IFERROR(SUMIFS('8-Heures Nuit'!J$5:J$104,'8-Heures Nuit'!C$5:C$104,C81),0))</f>
        <v/>
      </c>
      <c r="L81" s="14">
        <f>IF(C81="","",IFERROR(SUMIFS('2-Planning Mensuel'!U$5:U$104,'2-Planning Mensuel'!C$5:C$104,C81)*8,0))</f>
        <v/>
      </c>
      <c r="M81" s="14">
        <f>IF(C81="","",IFERROR(I81-H81,0))</f>
        <v/>
      </c>
      <c r="N81" s="29">
        <f>IF(OR(C81="",H81=0,H81=""),"",IFERROR(I81/H81,0))</f>
        <v/>
      </c>
      <c r="O81" s="12" t="n"/>
    </row>
    <row r="82" ht="22" customHeight="1">
      <c r="B82" s="18">
        <f>IF(C82="","CT-"&amp;TEXT(COUNTA($C$5:C82),"000"))</f>
        <v/>
      </c>
      <c r="C82" s="15" t="n"/>
      <c r="D82" s="15" t="n"/>
      <c r="E82" s="15" t="n"/>
      <c r="F82" s="15" t="n"/>
      <c r="G82" s="15" t="n"/>
      <c r="H82" s="17" t="n"/>
      <c r="I82" s="17">
        <f>IF(C82="","",IFERROR(SUMIFS('6-Releve Heures'!K$5:K$104,'6-Releve Heures'!C$5:C$104,C82),0))</f>
        <v/>
      </c>
      <c r="J82" s="17">
        <f>IF(C82="","",IFERROR(SUMIFS('7-Heures Supplementaires'!I$5:I$104,'7-Heures Supplementaires'!C$5:C$104,C82),0))</f>
        <v/>
      </c>
      <c r="K82" s="17">
        <f>IF(C82="","",IFERROR(SUMIFS('8-Heures Nuit'!J$5:J$104,'8-Heures Nuit'!C$5:C$104,C82),0))</f>
        <v/>
      </c>
      <c r="L82" s="17">
        <f>IF(C82="","",IFERROR(SUMIFS('2-Planning Mensuel'!U$5:U$104,'2-Planning Mensuel'!C$5:C$104,C82)*8,0))</f>
        <v/>
      </c>
      <c r="M82" s="17">
        <f>IF(C82="","",IFERROR(I82-H82,0))</f>
        <v/>
      </c>
      <c r="N82" s="30">
        <f>IF(OR(C82="",H82=0,H82=""),"",IFERROR(I82/H82,0))</f>
        <v/>
      </c>
      <c r="O82" s="15" t="n"/>
    </row>
    <row r="83" ht="22" customHeight="1">
      <c r="B83" s="19">
        <f>IF(C83="","CT-"&amp;TEXT(COUNTA($C$5:C83),"000"))</f>
        <v/>
      </c>
      <c r="C83" s="12" t="n"/>
      <c r="D83" s="12" t="n"/>
      <c r="E83" s="12" t="n"/>
      <c r="F83" s="12" t="n"/>
      <c r="G83" s="12" t="n"/>
      <c r="H83" s="14" t="n"/>
      <c r="I83" s="14">
        <f>IF(C83="","",IFERROR(SUMIFS('6-Releve Heures'!K$5:K$104,'6-Releve Heures'!C$5:C$104,C83),0))</f>
        <v/>
      </c>
      <c r="J83" s="14">
        <f>IF(C83="","",IFERROR(SUMIFS('7-Heures Supplementaires'!I$5:I$104,'7-Heures Supplementaires'!C$5:C$104,C83),0))</f>
        <v/>
      </c>
      <c r="K83" s="14">
        <f>IF(C83="","",IFERROR(SUMIFS('8-Heures Nuit'!J$5:J$104,'8-Heures Nuit'!C$5:C$104,C83),0))</f>
        <v/>
      </c>
      <c r="L83" s="14">
        <f>IF(C83="","",IFERROR(SUMIFS('2-Planning Mensuel'!U$5:U$104,'2-Planning Mensuel'!C$5:C$104,C83)*8,0))</f>
        <v/>
      </c>
      <c r="M83" s="14">
        <f>IF(C83="","",IFERROR(I83-H83,0))</f>
        <v/>
      </c>
      <c r="N83" s="29">
        <f>IF(OR(C83="",H83=0,H83=""),"",IFERROR(I83/H83,0))</f>
        <v/>
      </c>
      <c r="O83" s="12" t="n"/>
    </row>
    <row r="84" ht="22" customHeight="1">
      <c r="B84" s="18">
        <f>IF(C84="","CT-"&amp;TEXT(COUNTA($C$5:C84),"000"))</f>
        <v/>
      </c>
      <c r="C84" s="15" t="n"/>
      <c r="D84" s="15" t="n"/>
      <c r="E84" s="15" t="n"/>
      <c r="F84" s="15" t="n"/>
      <c r="G84" s="15" t="n"/>
      <c r="H84" s="17" t="n"/>
      <c r="I84" s="17">
        <f>IF(C84="","",IFERROR(SUMIFS('6-Releve Heures'!K$5:K$104,'6-Releve Heures'!C$5:C$104,C84),0))</f>
        <v/>
      </c>
      <c r="J84" s="17">
        <f>IF(C84="","",IFERROR(SUMIFS('7-Heures Supplementaires'!I$5:I$104,'7-Heures Supplementaires'!C$5:C$104,C84),0))</f>
        <v/>
      </c>
      <c r="K84" s="17">
        <f>IF(C84="","",IFERROR(SUMIFS('8-Heures Nuit'!J$5:J$104,'8-Heures Nuit'!C$5:C$104,C84),0))</f>
        <v/>
      </c>
      <c r="L84" s="17">
        <f>IF(C84="","",IFERROR(SUMIFS('2-Planning Mensuel'!U$5:U$104,'2-Planning Mensuel'!C$5:C$104,C84)*8,0))</f>
        <v/>
      </c>
      <c r="M84" s="17">
        <f>IF(C84="","",IFERROR(I84-H84,0))</f>
        <v/>
      </c>
      <c r="N84" s="30">
        <f>IF(OR(C84="",H84=0,H84=""),"",IFERROR(I84/H84,0))</f>
        <v/>
      </c>
      <c r="O84" s="15" t="n"/>
    </row>
    <row r="85" ht="22" customHeight="1">
      <c r="B85" s="19">
        <f>IF(C85="","CT-"&amp;TEXT(COUNTA($C$5:C85),"000"))</f>
        <v/>
      </c>
      <c r="C85" s="12" t="n"/>
      <c r="D85" s="12" t="n"/>
      <c r="E85" s="12" t="n"/>
      <c r="F85" s="12" t="n"/>
      <c r="G85" s="12" t="n"/>
      <c r="H85" s="14" t="n"/>
      <c r="I85" s="14">
        <f>IF(C85="","",IFERROR(SUMIFS('6-Releve Heures'!K$5:K$104,'6-Releve Heures'!C$5:C$104,C85),0))</f>
        <v/>
      </c>
      <c r="J85" s="14">
        <f>IF(C85="","",IFERROR(SUMIFS('7-Heures Supplementaires'!I$5:I$104,'7-Heures Supplementaires'!C$5:C$104,C85),0))</f>
        <v/>
      </c>
      <c r="K85" s="14">
        <f>IF(C85="","",IFERROR(SUMIFS('8-Heures Nuit'!J$5:J$104,'8-Heures Nuit'!C$5:C$104,C85),0))</f>
        <v/>
      </c>
      <c r="L85" s="14">
        <f>IF(C85="","",IFERROR(SUMIFS('2-Planning Mensuel'!U$5:U$104,'2-Planning Mensuel'!C$5:C$104,C85)*8,0))</f>
        <v/>
      </c>
      <c r="M85" s="14">
        <f>IF(C85="","",IFERROR(I85-H85,0))</f>
        <v/>
      </c>
      <c r="N85" s="29">
        <f>IF(OR(C85="",H85=0,H85=""),"",IFERROR(I85/H85,0))</f>
        <v/>
      </c>
      <c r="O85" s="12" t="n"/>
    </row>
    <row r="86" ht="22" customHeight="1">
      <c r="B86" s="18">
        <f>IF(C86="","CT-"&amp;TEXT(COUNTA($C$5:C86),"000"))</f>
        <v/>
      </c>
      <c r="C86" s="15" t="n"/>
      <c r="D86" s="15" t="n"/>
      <c r="E86" s="15" t="n"/>
      <c r="F86" s="15" t="n"/>
      <c r="G86" s="15" t="n"/>
      <c r="H86" s="17" t="n"/>
      <c r="I86" s="17">
        <f>IF(C86="","",IFERROR(SUMIFS('6-Releve Heures'!K$5:K$104,'6-Releve Heures'!C$5:C$104,C86),0))</f>
        <v/>
      </c>
      <c r="J86" s="17">
        <f>IF(C86="","",IFERROR(SUMIFS('7-Heures Supplementaires'!I$5:I$104,'7-Heures Supplementaires'!C$5:C$104,C86),0))</f>
        <v/>
      </c>
      <c r="K86" s="17">
        <f>IF(C86="","",IFERROR(SUMIFS('8-Heures Nuit'!J$5:J$104,'8-Heures Nuit'!C$5:C$104,C86),0))</f>
        <v/>
      </c>
      <c r="L86" s="17">
        <f>IF(C86="","",IFERROR(SUMIFS('2-Planning Mensuel'!U$5:U$104,'2-Planning Mensuel'!C$5:C$104,C86)*8,0))</f>
        <v/>
      </c>
      <c r="M86" s="17">
        <f>IF(C86="","",IFERROR(I86-H86,0))</f>
        <v/>
      </c>
      <c r="N86" s="30">
        <f>IF(OR(C86="",H86=0,H86=""),"",IFERROR(I86/H86,0))</f>
        <v/>
      </c>
      <c r="O86" s="15" t="n"/>
    </row>
    <row r="87" ht="22" customHeight="1">
      <c r="B87" s="19">
        <f>IF(C87="","CT-"&amp;TEXT(COUNTA($C$5:C87),"000"))</f>
        <v/>
      </c>
      <c r="C87" s="12" t="n"/>
      <c r="D87" s="12" t="n"/>
      <c r="E87" s="12" t="n"/>
      <c r="F87" s="12" t="n"/>
      <c r="G87" s="12" t="n"/>
      <c r="H87" s="14" t="n"/>
      <c r="I87" s="14">
        <f>IF(C87="","",IFERROR(SUMIFS('6-Releve Heures'!K$5:K$104,'6-Releve Heures'!C$5:C$104,C87),0))</f>
        <v/>
      </c>
      <c r="J87" s="14">
        <f>IF(C87="","",IFERROR(SUMIFS('7-Heures Supplementaires'!I$5:I$104,'7-Heures Supplementaires'!C$5:C$104,C87),0))</f>
        <v/>
      </c>
      <c r="K87" s="14">
        <f>IF(C87="","",IFERROR(SUMIFS('8-Heures Nuit'!J$5:J$104,'8-Heures Nuit'!C$5:C$104,C87),0))</f>
        <v/>
      </c>
      <c r="L87" s="14">
        <f>IF(C87="","",IFERROR(SUMIFS('2-Planning Mensuel'!U$5:U$104,'2-Planning Mensuel'!C$5:C$104,C87)*8,0))</f>
        <v/>
      </c>
      <c r="M87" s="14">
        <f>IF(C87="","",IFERROR(I87-H87,0))</f>
        <v/>
      </c>
      <c r="N87" s="29">
        <f>IF(OR(C87="",H87=0,H87=""),"",IFERROR(I87/H87,0))</f>
        <v/>
      </c>
      <c r="O87" s="12" t="n"/>
    </row>
    <row r="88" ht="22" customHeight="1">
      <c r="B88" s="18">
        <f>IF(C88="","CT-"&amp;TEXT(COUNTA($C$5:C88),"000"))</f>
        <v/>
      </c>
      <c r="C88" s="15" t="n"/>
      <c r="D88" s="15" t="n"/>
      <c r="E88" s="15" t="n"/>
      <c r="F88" s="15" t="n"/>
      <c r="G88" s="15" t="n"/>
      <c r="H88" s="17" t="n"/>
      <c r="I88" s="17">
        <f>IF(C88="","",IFERROR(SUMIFS('6-Releve Heures'!K$5:K$104,'6-Releve Heures'!C$5:C$104,C88),0))</f>
        <v/>
      </c>
      <c r="J88" s="17">
        <f>IF(C88="","",IFERROR(SUMIFS('7-Heures Supplementaires'!I$5:I$104,'7-Heures Supplementaires'!C$5:C$104,C88),0))</f>
        <v/>
      </c>
      <c r="K88" s="17">
        <f>IF(C88="","",IFERROR(SUMIFS('8-Heures Nuit'!J$5:J$104,'8-Heures Nuit'!C$5:C$104,C88),0))</f>
        <v/>
      </c>
      <c r="L88" s="17">
        <f>IF(C88="","",IFERROR(SUMIFS('2-Planning Mensuel'!U$5:U$104,'2-Planning Mensuel'!C$5:C$104,C88)*8,0))</f>
        <v/>
      </c>
      <c r="M88" s="17">
        <f>IF(C88="","",IFERROR(I88-H88,0))</f>
        <v/>
      </c>
      <c r="N88" s="30">
        <f>IF(OR(C88="",H88=0,H88=""),"",IFERROR(I88/H88,0))</f>
        <v/>
      </c>
      <c r="O88" s="15" t="n"/>
    </row>
    <row r="89" ht="22" customHeight="1">
      <c r="B89" s="19">
        <f>IF(C89="","CT-"&amp;TEXT(COUNTA($C$5:C89),"000"))</f>
        <v/>
      </c>
      <c r="C89" s="12" t="n"/>
      <c r="D89" s="12" t="n"/>
      <c r="E89" s="12" t="n"/>
      <c r="F89" s="12" t="n"/>
      <c r="G89" s="12" t="n"/>
      <c r="H89" s="14" t="n"/>
      <c r="I89" s="14">
        <f>IF(C89="","",IFERROR(SUMIFS('6-Releve Heures'!K$5:K$104,'6-Releve Heures'!C$5:C$104,C89),0))</f>
        <v/>
      </c>
      <c r="J89" s="14">
        <f>IF(C89="","",IFERROR(SUMIFS('7-Heures Supplementaires'!I$5:I$104,'7-Heures Supplementaires'!C$5:C$104,C89),0))</f>
        <v/>
      </c>
      <c r="K89" s="14">
        <f>IF(C89="","",IFERROR(SUMIFS('8-Heures Nuit'!J$5:J$104,'8-Heures Nuit'!C$5:C$104,C89),0))</f>
        <v/>
      </c>
      <c r="L89" s="14">
        <f>IF(C89="","",IFERROR(SUMIFS('2-Planning Mensuel'!U$5:U$104,'2-Planning Mensuel'!C$5:C$104,C89)*8,0))</f>
        <v/>
      </c>
      <c r="M89" s="14">
        <f>IF(C89="","",IFERROR(I89-H89,0))</f>
        <v/>
      </c>
      <c r="N89" s="29">
        <f>IF(OR(C89="",H89=0,H89=""),"",IFERROR(I89/H89,0))</f>
        <v/>
      </c>
      <c r="O89" s="12" t="n"/>
    </row>
    <row r="90" ht="22" customHeight="1">
      <c r="B90" s="18">
        <f>IF(C90="","CT-"&amp;TEXT(COUNTA($C$5:C90),"000"))</f>
        <v/>
      </c>
      <c r="C90" s="15" t="n"/>
      <c r="D90" s="15" t="n"/>
      <c r="E90" s="15" t="n"/>
      <c r="F90" s="15" t="n"/>
      <c r="G90" s="15" t="n"/>
      <c r="H90" s="17" t="n"/>
      <c r="I90" s="17">
        <f>IF(C90="","",IFERROR(SUMIFS('6-Releve Heures'!K$5:K$104,'6-Releve Heures'!C$5:C$104,C90),0))</f>
        <v/>
      </c>
      <c r="J90" s="17">
        <f>IF(C90="","",IFERROR(SUMIFS('7-Heures Supplementaires'!I$5:I$104,'7-Heures Supplementaires'!C$5:C$104,C90),0))</f>
        <v/>
      </c>
      <c r="K90" s="17">
        <f>IF(C90="","",IFERROR(SUMIFS('8-Heures Nuit'!J$5:J$104,'8-Heures Nuit'!C$5:C$104,C90),0))</f>
        <v/>
      </c>
      <c r="L90" s="17">
        <f>IF(C90="","",IFERROR(SUMIFS('2-Planning Mensuel'!U$5:U$104,'2-Planning Mensuel'!C$5:C$104,C90)*8,0))</f>
        <v/>
      </c>
      <c r="M90" s="17">
        <f>IF(C90="","",IFERROR(I90-H90,0))</f>
        <v/>
      </c>
      <c r="N90" s="30">
        <f>IF(OR(C90="",H90=0,H90=""),"",IFERROR(I90/H90,0))</f>
        <v/>
      </c>
      <c r="O90" s="15" t="n"/>
    </row>
    <row r="91" ht="22" customHeight="1">
      <c r="B91" s="19">
        <f>IF(C91="","CT-"&amp;TEXT(COUNTA($C$5:C91),"000"))</f>
        <v/>
      </c>
      <c r="C91" s="12" t="n"/>
      <c r="D91" s="12" t="n"/>
      <c r="E91" s="12" t="n"/>
      <c r="F91" s="12" t="n"/>
      <c r="G91" s="12" t="n"/>
      <c r="H91" s="14" t="n"/>
      <c r="I91" s="14">
        <f>IF(C91="","",IFERROR(SUMIFS('6-Releve Heures'!K$5:K$104,'6-Releve Heures'!C$5:C$104,C91),0))</f>
        <v/>
      </c>
      <c r="J91" s="14">
        <f>IF(C91="","",IFERROR(SUMIFS('7-Heures Supplementaires'!I$5:I$104,'7-Heures Supplementaires'!C$5:C$104,C91),0))</f>
        <v/>
      </c>
      <c r="K91" s="14">
        <f>IF(C91="","",IFERROR(SUMIFS('8-Heures Nuit'!J$5:J$104,'8-Heures Nuit'!C$5:C$104,C91),0))</f>
        <v/>
      </c>
      <c r="L91" s="14">
        <f>IF(C91="","",IFERROR(SUMIFS('2-Planning Mensuel'!U$5:U$104,'2-Planning Mensuel'!C$5:C$104,C91)*8,0))</f>
        <v/>
      </c>
      <c r="M91" s="14">
        <f>IF(C91="","",IFERROR(I91-H91,0))</f>
        <v/>
      </c>
      <c r="N91" s="29">
        <f>IF(OR(C91="",H91=0,H91=""),"",IFERROR(I91/H91,0))</f>
        <v/>
      </c>
      <c r="O91" s="12" t="n"/>
    </row>
    <row r="92" ht="22" customHeight="1">
      <c r="B92" s="18">
        <f>IF(C92="","CT-"&amp;TEXT(COUNTA($C$5:C92),"000"))</f>
        <v/>
      </c>
      <c r="C92" s="15" t="n"/>
      <c r="D92" s="15" t="n"/>
      <c r="E92" s="15" t="n"/>
      <c r="F92" s="15" t="n"/>
      <c r="G92" s="15" t="n"/>
      <c r="H92" s="17" t="n"/>
      <c r="I92" s="17">
        <f>IF(C92="","",IFERROR(SUMIFS('6-Releve Heures'!K$5:K$104,'6-Releve Heures'!C$5:C$104,C92),0))</f>
        <v/>
      </c>
      <c r="J92" s="17">
        <f>IF(C92="","",IFERROR(SUMIFS('7-Heures Supplementaires'!I$5:I$104,'7-Heures Supplementaires'!C$5:C$104,C92),0))</f>
        <v/>
      </c>
      <c r="K92" s="17">
        <f>IF(C92="","",IFERROR(SUMIFS('8-Heures Nuit'!J$5:J$104,'8-Heures Nuit'!C$5:C$104,C92),0))</f>
        <v/>
      </c>
      <c r="L92" s="17">
        <f>IF(C92="","",IFERROR(SUMIFS('2-Planning Mensuel'!U$5:U$104,'2-Planning Mensuel'!C$5:C$104,C92)*8,0))</f>
        <v/>
      </c>
      <c r="M92" s="17">
        <f>IF(C92="","",IFERROR(I92-H92,0))</f>
        <v/>
      </c>
      <c r="N92" s="30">
        <f>IF(OR(C92="",H92=0,H92=""),"",IFERROR(I92/H92,0))</f>
        <v/>
      </c>
      <c r="O92" s="15" t="n"/>
    </row>
    <row r="93" ht="22" customHeight="1">
      <c r="B93" s="19">
        <f>IF(C93="","CT-"&amp;TEXT(COUNTA($C$5:C93),"000"))</f>
        <v/>
      </c>
      <c r="C93" s="12" t="n"/>
      <c r="D93" s="12" t="n"/>
      <c r="E93" s="12" t="n"/>
      <c r="F93" s="12" t="n"/>
      <c r="G93" s="12" t="n"/>
      <c r="H93" s="14" t="n"/>
      <c r="I93" s="14">
        <f>IF(C93="","",IFERROR(SUMIFS('6-Releve Heures'!K$5:K$104,'6-Releve Heures'!C$5:C$104,C93),0))</f>
        <v/>
      </c>
      <c r="J93" s="14">
        <f>IF(C93="","",IFERROR(SUMIFS('7-Heures Supplementaires'!I$5:I$104,'7-Heures Supplementaires'!C$5:C$104,C93),0))</f>
        <v/>
      </c>
      <c r="K93" s="14">
        <f>IF(C93="","",IFERROR(SUMIFS('8-Heures Nuit'!J$5:J$104,'8-Heures Nuit'!C$5:C$104,C93),0))</f>
        <v/>
      </c>
      <c r="L93" s="14">
        <f>IF(C93="","",IFERROR(SUMIFS('2-Planning Mensuel'!U$5:U$104,'2-Planning Mensuel'!C$5:C$104,C93)*8,0))</f>
        <v/>
      </c>
      <c r="M93" s="14">
        <f>IF(C93="","",IFERROR(I93-H93,0))</f>
        <v/>
      </c>
      <c r="N93" s="29">
        <f>IF(OR(C93="",H93=0,H93=""),"",IFERROR(I93/H93,0))</f>
        <v/>
      </c>
      <c r="O93" s="12" t="n"/>
    </row>
    <row r="94" ht="22" customHeight="1">
      <c r="B94" s="18">
        <f>IF(C94="","CT-"&amp;TEXT(COUNTA($C$5:C94),"000"))</f>
        <v/>
      </c>
      <c r="C94" s="15" t="n"/>
      <c r="D94" s="15" t="n"/>
      <c r="E94" s="15" t="n"/>
      <c r="F94" s="15" t="n"/>
      <c r="G94" s="15" t="n"/>
      <c r="H94" s="17" t="n"/>
      <c r="I94" s="17">
        <f>IF(C94="","",IFERROR(SUMIFS('6-Releve Heures'!K$5:K$104,'6-Releve Heures'!C$5:C$104,C94),0))</f>
        <v/>
      </c>
      <c r="J94" s="17">
        <f>IF(C94="","",IFERROR(SUMIFS('7-Heures Supplementaires'!I$5:I$104,'7-Heures Supplementaires'!C$5:C$104,C94),0))</f>
        <v/>
      </c>
      <c r="K94" s="17">
        <f>IF(C94="","",IFERROR(SUMIFS('8-Heures Nuit'!J$5:J$104,'8-Heures Nuit'!C$5:C$104,C94),0))</f>
        <v/>
      </c>
      <c r="L94" s="17">
        <f>IF(C94="","",IFERROR(SUMIFS('2-Planning Mensuel'!U$5:U$104,'2-Planning Mensuel'!C$5:C$104,C94)*8,0))</f>
        <v/>
      </c>
      <c r="M94" s="17">
        <f>IF(C94="","",IFERROR(I94-H94,0))</f>
        <v/>
      </c>
      <c r="N94" s="30">
        <f>IF(OR(C94="",H94=0,H94=""),"",IFERROR(I94/H94,0))</f>
        <v/>
      </c>
      <c r="O94" s="15" t="n"/>
    </row>
    <row r="95" ht="22" customHeight="1">
      <c r="B95" s="19">
        <f>IF(C95="","CT-"&amp;TEXT(COUNTA($C$5:C95),"000"))</f>
        <v/>
      </c>
      <c r="C95" s="12" t="n"/>
      <c r="D95" s="12" t="n"/>
      <c r="E95" s="12" t="n"/>
      <c r="F95" s="12" t="n"/>
      <c r="G95" s="12" t="n"/>
      <c r="H95" s="14" t="n"/>
      <c r="I95" s="14">
        <f>IF(C95="","",IFERROR(SUMIFS('6-Releve Heures'!K$5:K$104,'6-Releve Heures'!C$5:C$104,C95),0))</f>
        <v/>
      </c>
      <c r="J95" s="14">
        <f>IF(C95="","",IFERROR(SUMIFS('7-Heures Supplementaires'!I$5:I$104,'7-Heures Supplementaires'!C$5:C$104,C95),0))</f>
        <v/>
      </c>
      <c r="K95" s="14">
        <f>IF(C95="","",IFERROR(SUMIFS('8-Heures Nuit'!J$5:J$104,'8-Heures Nuit'!C$5:C$104,C95),0))</f>
        <v/>
      </c>
      <c r="L95" s="14">
        <f>IF(C95="","",IFERROR(SUMIFS('2-Planning Mensuel'!U$5:U$104,'2-Planning Mensuel'!C$5:C$104,C95)*8,0))</f>
        <v/>
      </c>
      <c r="M95" s="14">
        <f>IF(C95="","",IFERROR(I95-H95,0))</f>
        <v/>
      </c>
      <c r="N95" s="29">
        <f>IF(OR(C95="",H95=0,H95=""),"",IFERROR(I95/H95,0))</f>
        <v/>
      </c>
      <c r="O95" s="12" t="n"/>
    </row>
    <row r="96" ht="22" customHeight="1">
      <c r="B96" s="18">
        <f>IF(C96="","CT-"&amp;TEXT(COUNTA($C$5:C96),"000"))</f>
        <v/>
      </c>
      <c r="C96" s="15" t="n"/>
      <c r="D96" s="15" t="n"/>
      <c r="E96" s="15" t="n"/>
      <c r="F96" s="15" t="n"/>
      <c r="G96" s="15" t="n"/>
      <c r="H96" s="17" t="n"/>
      <c r="I96" s="17">
        <f>IF(C96="","",IFERROR(SUMIFS('6-Releve Heures'!K$5:K$104,'6-Releve Heures'!C$5:C$104,C96),0))</f>
        <v/>
      </c>
      <c r="J96" s="17">
        <f>IF(C96="","",IFERROR(SUMIFS('7-Heures Supplementaires'!I$5:I$104,'7-Heures Supplementaires'!C$5:C$104,C96),0))</f>
        <v/>
      </c>
      <c r="K96" s="17">
        <f>IF(C96="","",IFERROR(SUMIFS('8-Heures Nuit'!J$5:J$104,'8-Heures Nuit'!C$5:C$104,C96),0))</f>
        <v/>
      </c>
      <c r="L96" s="17">
        <f>IF(C96="","",IFERROR(SUMIFS('2-Planning Mensuel'!U$5:U$104,'2-Planning Mensuel'!C$5:C$104,C96)*8,0))</f>
        <v/>
      </c>
      <c r="M96" s="17">
        <f>IF(C96="","",IFERROR(I96-H96,0))</f>
        <v/>
      </c>
      <c r="N96" s="30">
        <f>IF(OR(C96="",H96=0,H96=""),"",IFERROR(I96/H96,0))</f>
        <v/>
      </c>
      <c r="O96" s="15" t="n"/>
    </row>
    <row r="97" ht="22" customHeight="1">
      <c r="B97" s="19">
        <f>IF(C97="","CT-"&amp;TEXT(COUNTA($C$5:C97),"000"))</f>
        <v/>
      </c>
      <c r="C97" s="12" t="n"/>
      <c r="D97" s="12" t="n"/>
      <c r="E97" s="12" t="n"/>
      <c r="F97" s="12" t="n"/>
      <c r="G97" s="12" t="n"/>
      <c r="H97" s="14" t="n"/>
      <c r="I97" s="14">
        <f>IF(C97="","",IFERROR(SUMIFS('6-Releve Heures'!K$5:K$104,'6-Releve Heures'!C$5:C$104,C97),0))</f>
        <v/>
      </c>
      <c r="J97" s="14">
        <f>IF(C97="","",IFERROR(SUMIFS('7-Heures Supplementaires'!I$5:I$104,'7-Heures Supplementaires'!C$5:C$104,C97),0))</f>
        <v/>
      </c>
      <c r="K97" s="14">
        <f>IF(C97="","",IFERROR(SUMIFS('8-Heures Nuit'!J$5:J$104,'8-Heures Nuit'!C$5:C$104,C97),0))</f>
        <v/>
      </c>
      <c r="L97" s="14">
        <f>IF(C97="","",IFERROR(SUMIFS('2-Planning Mensuel'!U$5:U$104,'2-Planning Mensuel'!C$5:C$104,C97)*8,0))</f>
        <v/>
      </c>
      <c r="M97" s="14">
        <f>IF(C97="","",IFERROR(I97-H97,0))</f>
        <v/>
      </c>
      <c r="N97" s="29">
        <f>IF(OR(C97="",H97=0,H97=""),"",IFERROR(I97/H97,0))</f>
        <v/>
      </c>
      <c r="O97" s="12" t="n"/>
    </row>
    <row r="98" ht="22" customHeight="1">
      <c r="B98" s="18">
        <f>IF(C98="","CT-"&amp;TEXT(COUNTA($C$5:C98),"000"))</f>
        <v/>
      </c>
      <c r="C98" s="15" t="n"/>
      <c r="D98" s="15" t="n"/>
      <c r="E98" s="15" t="n"/>
      <c r="F98" s="15" t="n"/>
      <c r="G98" s="15" t="n"/>
      <c r="H98" s="17" t="n"/>
      <c r="I98" s="17">
        <f>IF(C98="","",IFERROR(SUMIFS('6-Releve Heures'!K$5:K$104,'6-Releve Heures'!C$5:C$104,C98),0))</f>
        <v/>
      </c>
      <c r="J98" s="17">
        <f>IF(C98="","",IFERROR(SUMIFS('7-Heures Supplementaires'!I$5:I$104,'7-Heures Supplementaires'!C$5:C$104,C98),0))</f>
        <v/>
      </c>
      <c r="K98" s="17">
        <f>IF(C98="","",IFERROR(SUMIFS('8-Heures Nuit'!J$5:J$104,'8-Heures Nuit'!C$5:C$104,C98),0))</f>
        <v/>
      </c>
      <c r="L98" s="17">
        <f>IF(C98="","",IFERROR(SUMIFS('2-Planning Mensuel'!U$5:U$104,'2-Planning Mensuel'!C$5:C$104,C98)*8,0))</f>
        <v/>
      </c>
      <c r="M98" s="17">
        <f>IF(C98="","",IFERROR(I98-H98,0))</f>
        <v/>
      </c>
      <c r="N98" s="30">
        <f>IF(OR(C98="",H98=0,H98=""),"",IFERROR(I98/H98,0))</f>
        <v/>
      </c>
      <c r="O98" s="15" t="n"/>
    </row>
    <row r="99" ht="22" customHeight="1">
      <c r="B99" s="19">
        <f>IF(C99="","CT-"&amp;TEXT(COUNTA($C$5:C99),"000"))</f>
        <v/>
      </c>
      <c r="C99" s="12" t="n"/>
      <c r="D99" s="12" t="n"/>
      <c r="E99" s="12" t="n"/>
      <c r="F99" s="12" t="n"/>
      <c r="G99" s="12" t="n"/>
      <c r="H99" s="14" t="n"/>
      <c r="I99" s="14">
        <f>IF(C99="","",IFERROR(SUMIFS('6-Releve Heures'!K$5:K$104,'6-Releve Heures'!C$5:C$104,C99),0))</f>
        <v/>
      </c>
      <c r="J99" s="14">
        <f>IF(C99="","",IFERROR(SUMIFS('7-Heures Supplementaires'!I$5:I$104,'7-Heures Supplementaires'!C$5:C$104,C99),0))</f>
        <v/>
      </c>
      <c r="K99" s="14">
        <f>IF(C99="","",IFERROR(SUMIFS('8-Heures Nuit'!J$5:J$104,'8-Heures Nuit'!C$5:C$104,C99),0))</f>
        <v/>
      </c>
      <c r="L99" s="14">
        <f>IF(C99="","",IFERROR(SUMIFS('2-Planning Mensuel'!U$5:U$104,'2-Planning Mensuel'!C$5:C$104,C99)*8,0))</f>
        <v/>
      </c>
      <c r="M99" s="14">
        <f>IF(C99="","",IFERROR(I99-H99,0))</f>
        <v/>
      </c>
      <c r="N99" s="29">
        <f>IF(OR(C99="",H99=0,H99=""),"",IFERROR(I99/H99,0))</f>
        <v/>
      </c>
      <c r="O99" s="12" t="n"/>
    </row>
    <row r="100" ht="22" customHeight="1">
      <c r="B100" s="18">
        <f>IF(C100="","CT-"&amp;TEXT(COUNTA($C$5:C100),"000"))</f>
        <v/>
      </c>
      <c r="C100" s="15" t="n"/>
      <c r="D100" s="15" t="n"/>
      <c r="E100" s="15" t="n"/>
      <c r="F100" s="15" t="n"/>
      <c r="G100" s="15" t="n"/>
      <c r="H100" s="17" t="n"/>
      <c r="I100" s="17">
        <f>IF(C100="","",IFERROR(SUMIFS('6-Releve Heures'!K$5:K$104,'6-Releve Heures'!C$5:C$104,C100),0))</f>
        <v/>
      </c>
      <c r="J100" s="17">
        <f>IF(C100="","",IFERROR(SUMIFS('7-Heures Supplementaires'!I$5:I$104,'7-Heures Supplementaires'!C$5:C$104,C100),0))</f>
        <v/>
      </c>
      <c r="K100" s="17">
        <f>IF(C100="","",IFERROR(SUMIFS('8-Heures Nuit'!J$5:J$104,'8-Heures Nuit'!C$5:C$104,C100),0))</f>
        <v/>
      </c>
      <c r="L100" s="17">
        <f>IF(C100="","",IFERROR(SUMIFS('2-Planning Mensuel'!U$5:U$104,'2-Planning Mensuel'!C$5:C$104,C100)*8,0))</f>
        <v/>
      </c>
      <c r="M100" s="17">
        <f>IF(C100="","",IFERROR(I100-H100,0))</f>
        <v/>
      </c>
      <c r="N100" s="30">
        <f>IF(OR(C100="",H100=0,H100=""),"",IFERROR(I100/H100,0))</f>
        <v/>
      </c>
      <c r="O100" s="15" t="n"/>
    </row>
    <row r="101" ht="22" customHeight="1">
      <c r="B101" s="19">
        <f>IF(C101="","CT-"&amp;TEXT(COUNTA($C$5:C101),"000"))</f>
        <v/>
      </c>
      <c r="C101" s="12" t="n"/>
      <c r="D101" s="12" t="n"/>
      <c r="E101" s="12" t="n"/>
      <c r="F101" s="12" t="n"/>
      <c r="G101" s="12" t="n"/>
      <c r="H101" s="14" t="n"/>
      <c r="I101" s="14">
        <f>IF(C101="","",IFERROR(SUMIFS('6-Releve Heures'!K$5:K$104,'6-Releve Heures'!C$5:C$104,C101),0))</f>
        <v/>
      </c>
      <c r="J101" s="14">
        <f>IF(C101="","",IFERROR(SUMIFS('7-Heures Supplementaires'!I$5:I$104,'7-Heures Supplementaires'!C$5:C$104,C101),0))</f>
        <v/>
      </c>
      <c r="K101" s="14">
        <f>IF(C101="","",IFERROR(SUMIFS('8-Heures Nuit'!J$5:J$104,'8-Heures Nuit'!C$5:C$104,C101),0))</f>
        <v/>
      </c>
      <c r="L101" s="14">
        <f>IF(C101="","",IFERROR(SUMIFS('2-Planning Mensuel'!U$5:U$104,'2-Planning Mensuel'!C$5:C$104,C101)*8,0))</f>
        <v/>
      </c>
      <c r="M101" s="14">
        <f>IF(C101="","",IFERROR(I101-H101,0))</f>
        <v/>
      </c>
      <c r="N101" s="29">
        <f>IF(OR(C101="",H101=0,H101=""),"",IFERROR(I101/H101,0))</f>
        <v/>
      </c>
      <c r="O101" s="12" t="n"/>
    </row>
    <row r="102" ht="22" customHeight="1">
      <c r="B102" s="18">
        <f>IF(C102="","CT-"&amp;TEXT(COUNTA($C$5:C102),"000"))</f>
        <v/>
      </c>
      <c r="C102" s="15" t="n"/>
      <c r="D102" s="15" t="n"/>
      <c r="E102" s="15" t="n"/>
      <c r="F102" s="15" t="n"/>
      <c r="G102" s="15" t="n"/>
      <c r="H102" s="17" t="n"/>
      <c r="I102" s="17">
        <f>IF(C102="","",IFERROR(SUMIFS('6-Releve Heures'!K$5:K$104,'6-Releve Heures'!C$5:C$104,C102),0))</f>
        <v/>
      </c>
      <c r="J102" s="17">
        <f>IF(C102="","",IFERROR(SUMIFS('7-Heures Supplementaires'!I$5:I$104,'7-Heures Supplementaires'!C$5:C$104,C102),0))</f>
        <v/>
      </c>
      <c r="K102" s="17">
        <f>IF(C102="","",IFERROR(SUMIFS('8-Heures Nuit'!J$5:J$104,'8-Heures Nuit'!C$5:C$104,C102),0))</f>
        <v/>
      </c>
      <c r="L102" s="17">
        <f>IF(C102="","",IFERROR(SUMIFS('2-Planning Mensuel'!U$5:U$104,'2-Planning Mensuel'!C$5:C$104,C102)*8,0))</f>
        <v/>
      </c>
      <c r="M102" s="17">
        <f>IF(C102="","",IFERROR(I102-H102,0))</f>
        <v/>
      </c>
      <c r="N102" s="30">
        <f>IF(OR(C102="",H102=0,H102=""),"",IFERROR(I102/H102,0))</f>
        <v/>
      </c>
      <c r="O102" s="15" t="n"/>
    </row>
    <row r="103" ht="22" customHeight="1">
      <c r="B103" s="19">
        <f>IF(C103="","CT-"&amp;TEXT(COUNTA($C$5:C103),"000"))</f>
        <v/>
      </c>
      <c r="C103" s="12" t="n"/>
      <c r="D103" s="12" t="n"/>
      <c r="E103" s="12" t="n"/>
      <c r="F103" s="12" t="n"/>
      <c r="G103" s="12" t="n"/>
      <c r="H103" s="14" t="n"/>
      <c r="I103" s="14">
        <f>IF(C103="","",IFERROR(SUMIFS('6-Releve Heures'!K$5:K$104,'6-Releve Heures'!C$5:C$104,C103),0))</f>
        <v/>
      </c>
      <c r="J103" s="14">
        <f>IF(C103="","",IFERROR(SUMIFS('7-Heures Supplementaires'!I$5:I$104,'7-Heures Supplementaires'!C$5:C$104,C103),0))</f>
        <v/>
      </c>
      <c r="K103" s="14">
        <f>IF(C103="","",IFERROR(SUMIFS('8-Heures Nuit'!J$5:J$104,'8-Heures Nuit'!C$5:C$104,C103),0))</f>
        <v/>
      </c>
      <c r="L103" s="14">
        <f>IF(C103="","",IFERROR(SUMIFS('2-Planning Mensuel'!U$5:U$104,'2-Planning Mensuel'!C$5:C$104,C103)*8,0))</f>
        <v/>
      </c>
      <c r="M103" s="14">
        <f>IF(C103="","",IFERROR(I103-H103,0))</f>
        <v/>
      </c>
      <c r="N103" s="29">
        <f>IF(OR(C103="",H103=0,H103=""),"",IFERROR(I103/H103,0))</f>
        <v/>
      </c>
      <c r="O103" s="12" t="n"/>
    </row>
    <row r="104" ht="22" customHeight="1">
      <c r="B104" s="18">
        <f>IF(C104="","CT-"&amp;TEXT(COUNTA($C$5:C104),"000"))</f>
        <v/>
      </c>
      <c r="C104" s="15" t="n"/>
      <c r="D104" s="15" t="n"/>
      <c r="E104" s="15" t="n"/>
      <c r="F104" s="15" t="n"/>
      <c r="G104" s="15" t="n"/>
      <c r="H104" s="17" t="n"/>
      <c r="I104" s="17">
        <f>IF(C104="","",IFERROR(SUMIFS('6-Releve Heures'!K$5:K$104,'6-Releve Heures'!C$5:C$104,C104),0))</f>
        <v/>
      </c>
      <c r="J104" s="17">
        <f>IF(C104="","",IFERROR(SUMIFS('7-Heures Supplementaires'!I$5:I$104,'7-Heures Supplementaires'!C$5:C$104,C104),0))</f>
        <v/>
      </c>
      <c r="K104" s="17">
        <f>IF(C104="","",IFERROR(SUMIFS('8-Heures Nuit'!J$5:J$104,'8-Heures Nuit'!C$5:C$104,C104),0))</f>
        <v/>
      </c>
      <c r="L104" s="17">
        <f>IF(C104="","",IFERROR(SUMIFS('2-Planning Mensuel'!U$5:U$104,'2-Planning Mensuel'!C$5:C$104,C104)*8,0))</f>
        <v/>
      </c>
      <c r="M104" s="17">
        <f>IF(C104="","",IFERROR(I104-H104,0))</f>
        <v/>
      </c>
      <c r="N104" s="30">
        <f>IF(OR(C104="",H104=0,H104=""),"",IFERROR(I104/H104,0))</f>
        <v/>
      </c>
      <c r="O104" s="15" t="n"/>
    </row>
    <row r="105" ht="22" customHeight="1">
      <c r="B105" s="19">
        <f>IF(C105="","CT-"&amp;TEXT(COUNTA($C$5:C105),"000"))</f>
        <v/>
      </c>
      <c r="C105" s="12" t="n"/>
      <c r="D105" s="12" t="n"/>
      <c r="E105" s="12" t="n"/>
      <c r="F105" s="12" t="n"/>
      <c r="G105" s="12" t="n"/>
      <c r="H105" s="14" t="n"/>
      <c r="I105" s="14" t="n"/>
      <c r="J105" s="14" t="n"/>
      <c r="K105" s="14" t="n"/>
      <c r="L105" s="14" t="n"/>
      <c r="M105" s="14">
        <f>IF(I105="","",I105-H105+J105-L105)</f>
        <v/>
      </c>
      <c r="N105" s="29">
        <f>IF(H105="","",IF(H105=0,"",I105/H105))</f>
        <v/>
      </c>
      <c r="O105" s="12" t="n"/>
    </row>
    <row r="106" ht="22" customHeight="1">
      <c r="B106" s="18">
        <f>IF(C106="","CT-"&amp;TEXT(COUNTA($C$5:C106),"000"))</f>
        <v/>
      </c>
      <c r="C106" s="15" t="n"/>
      <c r="D106" s="15" t="n"/>
      <c r="E106" s="15" t="n"/>
      <c r="F106" s="15" t="n"/>
      <c r="G106" s="15" t="n"/>
      <c r="H106" s="17" t="n"/>
      <c r="I106" s="17" t="n"/>
      <c r="J106" s="17" t="n"/>
      <c r="K106" s="17" t="n"/>
      <c r="L106" s="17" t="n"/>
      <c r="M106" s="17">
        <f>IF(I106="","",I106-H106+J106-L106)</f>
        <v/>
      </c>
      <c r="N106" s="30">
        <f>IF(H106="","",IF(H106=0,"",I106/H106))</f>
        <v/>
      </c>
      <c r="O106" s="15" t="n"/>
    </row>
    <row r="107" ht="22" customHeight="1">
      <c r="B107" s="19">
        <f>IF(C107="","CT-"&amp;TEXT(COUNTA($C$5:C107),"000"))</f>
        <v/>
      </c>
      <c r="C107" s="12" t="n"/>
      <c r="D107" s="12" t="n"/>
      <c r="E107" s="12" t="n"/>
      <c r="F107" s="12" t="n"/>
      <c r="G107" s="12" t="n"/>
      <c r="H107" s="14" t="n"/>
      <c r="I107" s="14" t="n"/>
      <c r="J107" s="14" t="n"/>
      <c r="K107" s="14" t="n"/>
      <c r="L107" s="14" t="n"/>
      <c r="M107" s="14">
        <f>IF(I107="","",I107-H107+J107-L107)</f>
        <v/>
      </c>
      <c r="N107" s="29">
        <f>IF(H107="","",IF(H107=0,"",I107/H107))</f>
        <v/>
      </c>
      <c r="O107" s="12" t="n"/>
    </row>
    <row r="108" ht="22" customHeight="1">
      <c r="B108" s="18">
        <f>IF(C108="","CT-"&amp;TEXT(COUNTA($C$5:C108),"000"))</f>
        <v/>
      </c>
      <c r="C108" s="15" t="n"/>
      <c r="D108" s="15" t="n"/>
      <c r="E108" s="15" t="n"/>
      <c r="F108" s="15" t="n"/>
      <c r="G108" s="15" t="n"/>
      <c r="H108" s="17" t="n"/>
      <c r="I108" s="17" t="n"/>
      <c r="J108" s="17" t="n"/>
      <c r="K108" s="17" t="n"/>
      <c r="L108" s="17" t="n"/>
      <c r="M108" s="17">
        <f>IF(I108="","",I108-H108+J108-L108)</f>
        <v/>
      </c>
      <c r="N108" s="30">
        <f>IF(H108="","",IF(H108=0,"",I108/H108))</f>
        <v/>
      </c>
      <c r="O108" s="15" t="n"/>
    </row>
    <row r="109" ht="22" customHeight="1">
      <c r="B109" s="19">
        <f>IF(C109="","CT-"&amp;TEXT(COUNTA($C$5:C109),"000"))</f>
        <v/>
      </c>
      <c r="C109" s="12" t="n"/>
      <c r="D109" s="12" t="n"/>
      <c r="E109" s="12" t="n"/>
      <c r="F109" s="12" t="n"/>
      <c r="G109" s="12" t="n"/>
      <c r="H109" s="14" t="n"/>
      <c r="I109" s="14" t="n"/>
      <c r="J109" s="14" t="n"/>
      <c r="K109" s="14" t="n"/>
      <c r="L109" s="14" t="n"/>
      <c r="M109" s="14">
        <f>IF(I109="","",I109-H109+J109-L109)</f>
        <v/>
      </c>
      <c r="N109" s="29">
        <f>IF(H109="","",IF(H109=0,"",I109/H109))</f>
        <v/>
      </c>
      <c r="O109" s="12" t="n"/>
    </row>
    <row r="110"/>
    <row r="111" ht="26" customHeight="1">
      <c r="B111" s="24" t="inlineStr">
        <is>
          <t>TOTAL</t>
        </is>
      </c>
      <c r="C111" s="25" t="n"/>
      <c r="D111" s="25" t="n"/>
      <c r="E111" s="25" t="n"/>
      <c r="F111" s="25" t="n"/>
      <c r="G111" s="25" t="n"/>
      <c r="H111" s="26">
        <f>SUM(H5:H104)</f>
        <v/>
      </c>
      <c r="I111" s="26">
        <f>SUM(I5:I104)</f>
        <v/>
      </c>
      <c r="J111" s="26">
        <f>SUM(J5:J104)</f>
        <v/>
      </c>
      <c r="K111" s="26">
        <f>SUM(K5:K104)</f>
        <v/>
      </c>
      <c r="L111" s="26">
        <f>SUM(L5:L104)</f>
        <v/>
      </c>
      <c r="M111" s="26">
        <f>SUM(M5:M104)</f>
        <v/>
      </c>
      <c r="N111" s="25" t="n"/>
      <c r="O111" s="25" t="n"/>
    </row>
    <row r="112"/>
    <row r="113">
      <c r="B113" s="6" t="inlineStr">
        <is>
          <t>INDICATEURS (mis a jour automatiquement)</t>
        </is>
      </c>
    </row>
    <row r="114">
      <c r="B114" s="3" t="inlineStr">
        <is>
          <t>Compteurs actifs</t>
        </is>
      </c>
      <c r="D114" s="3" t="inlineStr">
        <is>
          <t>Total h. theoriques</t>
        </is>
      </c>
      <c r="F114" s="3" t="inlineStr">
        <is>
          <t>Total h. effectives</t>
        </is>
      </c>
      <c r="H114" s="3" t="inlineStr">
        <is>
          <t>Solde global (h)</t>
        </is>
      </c>
    </row>
    <row r="115">
      <c r="B115" s="4">
        <f>COUNTIF(B5:B104,"&lt;&gt;")</f>
        <v/>
      </c>
      <c r="D115" s="4">
        <f>SUM(H5:H104)</f>
        <v/>
      </c>
      <c r="F115" s="4">
        <f>SUM(I5:I104)</f>
        <v/>
      </c>
      <c r="H115" s="4">
        <f>SUM(M5:M104)</f>
        <v/>
      </c>
    </row>
  </sheetData>
  <mergeCells count="3">
    <mergeCell ref="B3:O3"/>
    <mergeCell ref="B2:O2"/>
    <mergeCell ref="B113:O113"/>
  </mergeCells>
  <conditionalFormatting sqref="O5:O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conditionalFormatting sqref="N10:N109">
    <cfRule type="expression" priority="60" dxfId="3">
      <formula>AND($C10="",$C9&lt;&gt;"")</formula>
    </cfRule>
  </conditionalFormatting>
  <conditionalFormatting sqref="O10:O109">
    <cfRule type="expression" priority="61" dxfId="3">
      <formula>AND($C10="",$C9&lt;&gt;"")</formula>
    </cfRule>
  </conditionalFormatting>
  <dataValidations count="4">
    <dataValidation sqref="E5:E109" showDropDown="0" showInputMessage="0" showErrorMessage="0" allowBlank="1" errorTitle="Erreur" error="Valeur invalide" promptTitle="Liste" prompt="Choisir dans la liste" type="list">
      <formula1>'_Lists'!$B$2:$B$14</formula1>
    </dataValidation>
    <dataValidation sqref="F5:F109" showDropDown="0" showInputMessage="0" showErrorMessage="0" allowBlank="1" errorTitle="Erreur" error="Valeur invalide" promptTitle="Liste" prompt="Choisir dans la liste" type="list">
      <formula1>'_Lists'!$X$2:$X$13</formula1>
    </dataValidation>
    <dataValidation sqref="G5:G109" showDropDown="0" showInputMessage="0" showErrorMessage="0" allowBlank="1" errorTitle="Erreur" error="Valeur invalide" promptTitle="Liste" prompt="Choisir dans la liste" type="list">
      <formula1>'_Lists'!$Y$2:$Y$4</formula1>
    </dataValidation>
    <dataValidation sqref="O5:O109"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H11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8" customWidth="1" min="2" max="2"/>
    <col width="24" customWidth="1" min="3" max="3"/>
    <col width="14" customWidth="1" min="4" max="4"/>
    <col width="14" customWidth="1" min="5" max="5"/>
    <col width="18" customWidth="1" min="6" max="6"/>
    <col width="14" customWidth="1" min="7" max="7"/>
    <col width="14" customWidth="1" min="8" max="8"/>
  </cols>
  <sheetData>
    <row r="1" ht="15" customHeight="1"/>
    <row r="2" ht="32" customHeight="1">
      <c r="B2" s="1" t="inlineStr">
        <is>
          <t>CALENDRIER DES JOURS FERIES &amp; EVENEMENTIELS</t>
        </is>
      </c>
    </row>
    <row r="3" ht="8" customHeight="1">
      <c r="B3" s="2" t="inlineStr">
        <is>
          <t>TABLEAU DYNAMIQUE — Saisissez dans la prochaine ligne jaune. Les calculs se mettent a jour automatiquement.</t>
        </is>
      </c>
    </row>
    <row r="4" ht="28" customHeight="1">
      <c r="B4" s="11" t="inlineStr">
        <is>
          <t>N°</t>
        </is>
      </c>
      <c r="C4" s="11" t="inlineStr">
        <is>
          <t>Jour Ferie</t>
        </is>
      </c>
      <c r="D4" s="11" t="inlineStr">
        <is>
          <t>Date</t>
        </is>
      </c>
      <c r="E4" s="11" t="inlineStr">
        <is>
          <t>Jour Semaine</t>
        </is>
      </c>
      <c r="F4" s="11" t="inlineStr">
        <is>
          <t>Type</t>
        </is>
      </c>
      <c r="G4" s="11" t="inlineStr">
        <is>
          <t>Ferme Hotel</t>
        </is>
      </c>
      <c r="H4" s="11" t="inlineStr">
        <is>
          <t>Statut</t>
        </is>
      </c>
    </row>
    <row r="5" ht="22" customHeight="1">
      <c r="B5" s="12" t="inlineStr">
        <is>
          <t>F-001</t>
        </is>
      </c>
      <c r="C5" s="12" t="inlineStr">
        <is>
          <t>Jour de l'An</t>
        </is>
      </c>
      <c r="D5" s="33" t="n">
        <v>45658</v>
      </c>
      <c r="E5" s="12" t="inlineStr">
        <is>
          <t>Mercredi</t>
        </is>
      </c>
      <c r="F5" s="12" t="inlineStr">
        <is>
          <t>Ferie officiel</t>
        </is>
      </c>
      <c r="G5" s="12" t="inlineStr">
        <is>
          <t>Oui</t>
        </is>
      </c>
      <c r="H5" s="12" t="inlineStr">
        <is>
          <t>Valide</t>
        </is>
      </c>
    </row>
    <row r="6" ht="22" customHeight="1">
      <c r="B6" s="15" t="inlineStr">
        <is>
          <t>F-002</t>
        </is>
      </c>
      <c r="C6" s="15" t="inlineStr">
        <is>
          <t>Fete de la Jeunesse</t>
        </is>
      </c>
      <c r="D6" s="34" t="n">
        <v>45699</v>
      </c>
      <c r="E6" s="15" t="inlineStr">
        <is>
          <t>Mardi</t>
        </is>
      </c>
      <c r="F6" s="15" t="inlineStr">
        <is>
          <t>Ferie officiel</t>
        </is>
      </c>
      <c r="G6" s="15" t="inlineStr">
        <is>
          <t>Non</t>
        </is>
      </c>
      <c r="H6" s="15" t="inlineStr">
        <is>
          <t>Valide</t>
        </is>
      </c>
    </row>
    <row r="7" ht="22" customHeight="1">
      <c r="B7" s="12" t="inlineStr">
        <is>
          <t>F-003</t>
        </is>
      </c>
      <c r="C7" s="12" t="inlineStr">
        <is>
          <t>Fete de la Femme</t>
        </is>
      </c>
      <c r="D7" s="33" t="n">
        <v>45724</v>
      </c>
      <c r="E7" s="12" t="inlineStr">
        <is>
          <t>Samedi</t>
        </is>
      </c>
      <c r="F7" s="12" t="inlineStr">
        <is>
          <t>Ferie officiel</t>
        </is>
      </c>
      <c r="G7" s="12" t="inlineStr">
        <is>
          <t>Non</t>
        </is>
      </c>
      <c r="H7" s="12" t="inlineStr">
        <is>
          <t>Valide</t>
        </is>
      </c>
    </row>
    <row r="8" ht="22" customHeight="1">
      <c r="B8" s="15" t="inlineStr">
        <is>
          <t>F-004</t>
        </is>
      </c>
      <c r="C8" s="15" t="inlineStr">
        <is>
          <t>Fete de Pques</t>
        </is>
      </c>
      <c r="D8" s="34" t="n">
        <v>45767</v>
      </c>
      <c r="E8" s="15" t="inlineStr">
        <is>
          <t>Dimanche</t>
        </is>
      </c>
      <c r="F8" s="15" t="inlineStr">
        <is>
          <t>Ferie religieux</t>
        </is>
      </c>
      <c r="G8" s="15" t="inlineStr">
        <is>
          <t>Non</t>
        </is>
      </c>
      <c r="H8" s="15" t="inlineStr">
        <is>
          <t>Valide</t>
        </is>
      </c>
    </row>
    <row r="9" ht="22" customHeight="1">
      <c r="B9" s="12" t="inlineStr">
        <is>
          <t>F-005</t>
        </is>
      </c>
      <c r="C9" s="12" t="inlineStr">
        <is>
          <t>Fete du Travail</t>
        </is>
      </c>
      <c r="D9" s="33" t="n">
        <v>45778</v>
      </c>
      <c r="E9" s="12" t="inlineStr">
        <is>
          <t>Jeudi</t>
        </is>
      </c>
      <c r="F9" s="12" t="inlineStr">
        <is>
          <t>Ferie officiel</t>
        </is>
      </c>
      <c r="G9" s="12" t="inlineStr">
        <is>
          <t>Oui</t>
        </is>
      </c>
      <c r="H9" s="12" t="inlineStr">
        <is>
          <t>Valide</t>
        </is>
      </c>
    </row>
    <row r="10" ht="22" customHeight="1">
      <c r="B10" s="15" t="inlineStr">
        <is>
          <t>F-006</t>
        </is>
      </c>
      <c r="C10" s="15" t="inlineStr">
        <is>
          <t>Fete Nationale</t>
        </is>
      </c>
      <c r="D10" s="34" t="n">
        <v>45797</v>
      </c>
      <c r="E10" s="15" t="inlineStr">
        <is>
          <t>Mardi</t>
        </is>
      </c>
      <c r="F10" s="15" t="inlineStr">
        <is>
          <t>Ferie officiel</t>
        </is>
      </c>
      <c r="G10" s="15" t="inlineStr">
        <is>
          <t>Oui</t>
        </is>
      </c>
      <c r="H10" s="15" t="inlineStr">
        <is>
          <t>Valide</t>
        </is>
      </c>
    </row>
    <row r="11" ht="22" customHeight="1">
      <c r="B11" s="12" t="inlineStr">
        <is>
          <t>F-007</t>
        </is>
      </c>
      <c r="C11" s="12" t="inlineStr">
        <is>
          <t>Ascension</t>
        </is>
      </c>
      <c r="D11" s="33" t="n">
        <v>45806</v>
      </c>
      <c r="E11" s="12" t="inlineStr">
        <is>
          <t>Jeudi</t>
        </is>
      </c>
      <c r="F11" s="12" t="inlineStr">
        <is>
          <t>Ferie religieux</t>
        </is>
      </c>
      <c r="G11" s="12" t="inlineStr">
        <is>
          <t>Non</t>
        </is>
      </c>
      <c r="H11" s="12" t="inlineStr">
        <is>
          <t>Valide</t>
        </is>
      </c>
    </row>
    <row r="12" ht="22" customHeight="1">
      <c r="B12" s="15" t="inlineStr">
        <is>
          <t>F-008</t>
        </is>
      </c>
      <c r="C12" s="15" t="inlineStr">
        <is>
          <t>Fete de Pentecote</t>
        </is>
      </c>
      <c r="D12" s="34" t="n">
        <v>45816</v>
      </c>
      <c r="E12" s="15" t="inlineStr">
        <is>
          <t>Dimanche</t>
        </is>
      </c>
      <c r="F12" s="15" t="inlineStr">
        <is>
          <t>Ferie religieux</t>
        </is>
      </c>
      <c r="G12" s="15" t="inlineStr">
        <is>
          <t>Non</t>
        </is>
      </c>
      <c r="H12" s="15" t="inlineStr">
        <is>
          <t>Valide</t>
        </is>
      </c>
    </row>
    <row r="13" ht="22" customHeight="1">
      <c r="B13" s="12" t="inlineStr">
        <is>
          <t>F-009</t>
        </is>
      </c>
      <c r="C13" s="12" t="inlineStr">
        <is>
          <t>Fete de l'Independance</t>
        </is>
      </c>
      <c r="D13" s="33" t="n">
        <v>45931</v>
      </c>
      <c r="E13" s="12" t="inlineStr">
        <is>
          <t>Mercredi</t>
        </is>
      </c>
      <c r="F13" s="12" t="inlineStr">
        <is>
          <t>Ferie officiel</t>
        </is>
      </c>
      <c r="G13" s="12" t="inlineStr">
        <is>
          <t>Oui</t>
        </is>
      </c>
      <c r="H13" s="12" t="inlineStr">
        <is>
          <t>Valide</t>
        </is>
      </c>
    </row>
    <row r="14" ht="22" customHeight="1">
      <c r="B14" s="15" t="inlineStr">
        <is>
          <t>F-010</t>
        </is>
      </c>
      <c r="C14" s="15" t="inlineStr">
        <is>
          <t>Noel</t>
        </is>
      </c>
      <c r="D14" s="34" t="n">
        <v>46016</v>
      </c>
      <c r="E14" s="15" t="inlineStr">
        <is>
          <t>Jeudi</t>
        </is>
      </c>
      <c r="F14" s="15" t="inlineStr">
        <is>
          <t>Ferie religieux</t>
        </is>
      </c>
      <c r="G14" s="15" t="inlineStr">
        <is>
          <t>Oui</t>
        </is>
      </c>
      <c r="H14" s="15" t="inlineStr">
        <is>
          <t>Valide</t>
        </is>
      </c>
    </row>
    <row r="15" ht="22" customHeight="1">
      <c r="B15" s="19">
        <f>IF(C15="","F-"&amp;TEXT(COUNTA($C$5:C15),"000"))</f>
        <v/>
      </c>
      <c r="C15" s="12" t="n"/>
      <c r="D15" s="33" t="n"/>
      <c r="E15" s="12" t="n"/>
      <c r="F15" s="12" t="n"/>
      <c r="G15" s="12" t="n"/>
      <c r="H15" s="12" t="n"/>
    </row>
    <row r="16" ht="22" customHeight="1">
      <c r="B16" s="18">
        <f>IF(C16="","F-"&amp;TEXT(COUNTA($C$5:C16),"000"))</f>
        <v/>
      </c>
      <c r="C16" s="15" t="n"/>
      <c r="D16" s="34" t="n"/>
      <c r="E16" s="15" t="n"/>
      <c r="F16" s="15" t="n"/>
      <c r="G16" s="15" t="n"/>
      <c r="H16" s="15" t="n"/>
    </row>
    <row r="17" ht="22" customHeight="1">
      <c r="B17" s="19">
        <f>IF(C17="","F-"&amp;TEXT(COUNTA($C$5:C17),"000"))</f>
        <v/>
      </c>
      <c r="C17" s="12" t="n"/>
      <c r="D17" s="33" t="n"/>
      <c r="E17" s="12" t="n"/>
      <c r="F17" s="12" t="n"/>
      <c r="G17" s="12" t="n"/>
      <c r="H17" s="12" t="n"/>
    </row>
    <row r="18" ht="22" customHeight="1">
      <c r="B18" s="18">
        <f>IF(C18="","F-"&amp;TEXT(COUNTA($C$5:C18),"000"))</f>
        <v/>
      </c>
      <c r="C18" s="15" t="n"/>
      <c r="D18" s="34" t="n"/>
      <c r="E18" s="15" t="n"/>
      <c r="F18" s="15" t="n"/>
      <c r="G18" s="15" t="n"/>
      <c r="H18" s="15" t="n"/>
    </row>
    <row r="19" ht="22" customHeight="1">
      <c r="B19" s="19">
        <f>IF(C19="","F-"&amp;TEXT(COUNTA($C$5:C19),"000"))</f>
        <v/>
      </c>
      <c r="C19" s="12" t="n"/>
      <c r="D19" s="33" t="n"/>
      <c r="E19" s="12" t="n"/>
      <c r="F19" s="12" t="n"/>
      <c r="G19" s="12" t="n"/>
      <c r="H19" s="12" t="n"/>
    </row>
    <row r="20" ht="22" customHeight="1">
      <c r="B20" s="18">
        <f>IF(C20="","F-"&amp;TEXT(COUNTA($C$5:C20),"000"))</f>
        <v/>
      </c>
      <c r="C20" s="15" t="n"/>
      <c r="D20" s="34" t="n"/>
      <c r="E20" s="15" t="n"/>
      <c r="F20" s="15" t="n"/>
      <c r="G20" s="15" t="n"/>
      <c r="H20" s="15" t="n"/>
    </row>
    <row r="21" ht="22" customHeight="1">
      <c r="B21" s="19">
        <f>IF(C21="","F-"&amp;TEXT(COUNTA($C$5:C21),"000"))</f>
        <v/>
      </c>
      <c r="C21" s="12" t="n"/>
      <c r="D21" s="33" t="n"/>
      <c r="E21" s="12" t="n"/>
      <c r="F21" s="12" t="n"/>
      <c r="G21" s="12" t="n"/>
      <c r="H21" s="12" t="n"/>
    </row>
    <row r="22" ht="22" customHeight="1">
      <c r="B22" s="18">
        <f>IF(C22="","F-"&amp;TEXT(COUNTA($C$5:C22),"000"))</f>
        <v/>
      </c>
      <c r="C22" s="15" t="n"/>
      <c r="D22" s="34" t="n"/>
      <c r="E22" s="15" t="n"/>
      <c r="F22" s="15" t="n"/>
      <c r="G22" s="15" t="n"/>
      <c r="H22" s="15" t="n"/>
    </row>
    <row r="23" ht="22" customHeight="1">
      <c r="B23" s="19">
        <f>IF(C23="","F-"&amp;TEXT(COUNTA($C$5:C23),"000"))</f>
        <v/>
      </c>
      <c r="C23" s="12" t="n"/>
      <c r="D23" s="33" t="n"/>
      <c r="E23" s="12" t="n"/>
      <c r="F23" s="12" t="n"/>
      <c r="G23" s="12" t="n"/>
      <c r="H23" s="12" t="n"/>
    </row>
    <row r="24" ht="22" customHeight="1">
      <c r="B24" s="18">
        <f>IF(C24="","F-"&amp;TEXT(COUNTA($C$5:C24),"000"))</f>
        <v/>
      </c>
      <c r="C24" s="15" t="n"/>
      <c r="D24" s="34" t="n"/>
      <c r="E24" s="15" t="n"/>
      <c r="F24" s="15" t="n"/>
      <c r="G24" s="15" t="n"/>
      <c r="H24" s="15" t="n"/>
    </row>
    <row r="25" ht="22" customHeight="1">
      <c r="B25" s="19">
        <f>IF(C25="","F-"&amp;TEXT(COUNTA($C$5:C25),"000"))</f>
        <v/>
      </c>
      <c r="C25" s="12" t="n"/>
      <c r="D25" s="33" t="n"/>
      <c r="E25" s="12" t="n"/>
      <c r="F25" s="12" t="n"/>
      <c r="G25" s="12" t="n"/>
      <c r="H25" s="12" t="n"/>
    </row>
    <row r="26" ht="22" customHeight="1">
      <c r="B26" s="18">
        <f>IF(C26="","F-"&amp;TEXT(COUNTA($C$5:C26),"000"))</f>
        <v/>
      </c>
      <c r="C26" s="15" t="n"/>
      <c r="D26" s="34" t="n"/>
      <c r="E26" s="15" t="n"/>
      <c r="F26" s="15" t="n"/>
      <c r="G26" s="15" t="n"/>
      <c r="H26" s="15" t="n"/>
    </row>
    <row r="27" ht="22" customHeight="1">
      <c r="B27" s="19">
        <f>IF(C27="","F-"&amp;TEXT(COUNTA($C$5:C27),"000"))</f>
        <v/>
      </c>
      <c r="C27" s="12" t="n"/>
      <c r="D27" s="33" t="n"/>
      <c r="E27" s="12" t="n"/>
      <c r="F27" s="12" t="n"/>
      <c r="G27" s="12" t="n"/>
      <c r="H27" s="12" t="n"/>
    </row>
    <row r="28" ht="22" customHeight="1">
      <c r="B28" s="18">
        <f>IF(C28="","F-"&amp;TEXT(COUNTA($C$5:C28),"000"))</f>
        <v/>
      </c>
      <c r="C28" s="15" t="n"/>
      <c r="D28" s="34" t="n"/>
      <c r="E28" s="15" t="n"/>
      <c r="F28" s="15" t="n"/>
      <c r="G28" s="15" t="n"/>
      <c r="H28" s="15" t="n"/>
    </row>
    <row r="29" ht="22" customHeight="1">
      <c r="B29" s="19">
        <f>IF(C29="","F-"&amp;TEXT(COUNTA($C$5:C29),"000"))</f>
        <v/>
      </c>
      <c r="C29" s="12" t="n"/>
      <c r="D29" s="33" t="n"/>
      <c r="E29" s="12" t="n"/>
      <c r="F29" s="12" t="n"/>
      <c r="G29" s="12" t="n"/>
      <c r="H29" s="12" t="n"/>
    </row>
    <row r="30" ht="22" customHeight="1">
      <c r="B30" s="18">
        <f>IF(C30="","F-"&amp;TEXT(COUNTA($C$5:C30),"000"))</f>
        <v/>
      </c>
      <c r="C30" s="15" t="n"/>
      <c r="D30" s="34" t="n"/>
      <c r="E30" s="15" t="n"/>
      <c r="F30" s="15" t="n"/>
      <c r="G30" s="15" t="n"/>
      <c r="H30" s="15" t="n"/>
    </row>
    <row r="31" ht="22" customHeight="1">
      <c r="B31" s="19">
        <f>IF(C31="","F-"&amp;TEXT(COUNTA($C$5:C31),"000"))</f>
        <v/>
      </c>
      <c r="C31" s="12" t="n"/>
      <c r="D31" s="33" t="n"/>
      <c r="E31" s="12" t="n"/>
      <c r="F31" s="12" t="n"/>
      <c r="G31" s="12" t="n"/>
      <c r="H31" s="12" t="n"/>
    </row>
    <row r="32" ht="22" customHeight="1">
      <c r="B32" s="18">
        <f>IF(C32="","F-"&amp;TEXT(COUNTA($C$5:C32),"000"))</f>
        <v/>
      </c>
      <c r="C32" s="15" t="n"/>
      <c r="D32" s="34" t="n"/>
      <c r="E32" s="15" t="n"/>
      <c r="F32" s="15" t="n"/>
      <c r="G32" s="15" t="n"/>
      <c r="H32" s="15" t="n"/>
    </row>
    <row r="33" ht="22" customHeight="1">
      <c r="B33" s="19">
        <f>IF(C33="","F-"&amp;TEXT(COUNTA($C$5:C33),"000"))</f>
        <v/>
      </c>
      <c r="C33" s="12" t="n"/>
      <c r="D33" s="33" t="n"/>
      <c r="E33" s="12" t="n"/>
      <c r="F33" s="12" t="n"/>
      <c r="G33" s="12" t="n"/>
      <c r="H33" s="12" t="n"/>
    </row>
    <row r="34" ht="22" customHeight="1">
      <c r="B34" s="18">
        <f>IF(C34="","F-"&amp;TEXT(COUNTA($C$5:C34),"000"))</f>
        <v/>
      </c>
      <c r="C34" s="15" t="n"/>
      <c r="D34" s="34" t="n"/>
      <c r="E34" s="15" t="n"/>
      <c r="F34" s="15" t="n"/>
      <c r="G34" s="15" t="n"/>
      <c r="H34" s="15" t="n"/>
    </row>
    <row r="35" ht="22" customHeight="1">
      <c r="B35" s="19">
        <f>IF(C35="","F-"&amp;TEXT(COUNTA($C$5:C35),"000"))</f>
        <v/>
      </c>
      <c r="C35" s="12" t="n"/>
      <c r="D35" s="33" t="n"/>
      <c r="E35" s="12" t="n"/>
      <c r="F35" s="12" t="n"/>
      <c r="G35" s="12" t="n"/>
      <c r="H35" s="12" t="n"/>
    </row>
    <row r="36" ht="22" customHeight="1">
      <c r="B36" s="18">
        <f>IF(C36="","F-"&amp;TEXT(COUNTA($C$5:C36),"000"))</f>
        <v/>
      </c>
      <c r="C36" s="15" t="n"/>
      <c r="D36" s="34" t="n"/>
      <c r="E36" s="15" t="n"/>
      <c r="F36" s="15" t="n"/>
      <c r="G36" s="15" t="n"/>
      <c r="H36" s="15" t="n"/>
    </row>
    <row r="37" ht="22" customHeight="1">
      <c r="B37" s="19">
        <f>IF(C37="","F-"&amp;TEXT(COUNTA($C$5:C37),"000"))</f>
        <v/>
      </c>
      <c r="C37" s="12" t="n"/>
      <c r="D37" s="33" t="n"/>
      <c r="E37" s="12" t="n"/>
      <c r="F37" s="12" t="n"/>
      <c r="G37" s="12" t="n"/>
      <c r="H37" s="12" t="n"/>
    </row>
    <row r="38" ht="22" customHeight="1">
      <c r="B38" s="18">
        <f>IF(C38="","F-"&amp;TEXT(COUNTA($C$5:C38),"000"))</f>
        <v/>
      </c>
      <c r="C38" s="15" t="n"/>
      <c r="D38" s="34" t="n"/>
      <c r="E38" s="15" t="n"/>
      <c r="F38" s="15" t="n"/>
      <c r="G38" s="15" t="n"/>
      <c r="H38" s="15" t="n"/>
    </row>
    <row r="39" ht="22" customHeight="1">
      <c r="B39" s="19">
        <f>IF(C39="","F-"&amp;TEXT(COUNTA($C$5:C39),"000"))</f>
        <v/>
      </c>
      <c r="C39" s="12" t="n"/>
      <c r="D39" s="33" t="n"/>
      <c r="E39" s="12" t="n"/>
      <c r="F39" s="12" t="n"/>
      <c r="G39" s="12" t="n"/>
      <c r="H39" s="12" t="n"/>
    </row>
    <row r="40" ht="22" customHeight="1">
      <c r="B40" s="18">
        <f>IF(C40="","F-"&amp;TEXT(COUNTA($C$5:C40),"000"))</f>
        <v/>
      </c>
      <c r="C40" s="15" t="n"/>
      <c r="D40" s="34" t="n"/>
      <c r="E40" s="15" t="n"/>
      <c r="F40" s="15" t="n"/>
      <c r="G40" s="15" t="n"/>
      <c r="H40" s="15" t="n"/>
    </row>
    <row r="41" ht="22" customHeight="1">
      <c r="B41" s="19">
        <f>IF(C41="","F-"&amp;TEXT(COUNTA($C$5:C41),"000"))</f>
        <v/>
      </c>
      <c r="C41" s="12" t="n"/>
      <c r="D41" s="33" t="n"/>
      <c r="E41" s="12" t="n"/>
      <c r="F41" s="12" t="n"/>
      <c r="G41" s="12" t="n"/>
      <c r="H41" s="12" t="n"/>
    </row>
    <row r="42" ht="22" customHeight="1">
      <c r="B42" s="18">
        <f>IF(C42="","F-"&amp;TEXT(COUNTA($C$5:C42),"000"))</f>
        <v/>
      </c>
      <c r="C42" s="15" t="n"/>
      <c r="D42" s="34" t="n"/>
      <c r="E42" s="15" t="n"/>
      <c r="F42" s="15" t="n"/>
      <c r="G42" s="15" t="n"/>
      <c r="H42" s="15" t="n"/>
    </row>
    <row r="43" ht="22" customHeight="1">
      <c r="B43" s="19">
        <f>IF(C43="","F-"&amp;TEXT(COUNTA($C$5:C43),"000"))</f>
        <v/>
      </c>
      <c r="C43" s="12" t="n"/>
      <c r="D43" s="33" t="n"/>
      <c r="E43" s="12" t="n"/>
      <c r="F43" s="12" t="n"/>
      <c r="G43" s="12" t="n"/>
      <c r="H43" s="12" t="n"/>
    </row>
    <row r="44" ht="22" customHeight="1">
      <c r="B44" s="18">
        <f>IF(C44="","F-"&amp;TEXT(COUNTA($C$5:C44),"000"))</f>
        <v/>
      </c>
      <c r="C44" s="15" t="n"/>
      <c r="D44" s="34" t="n"/>
      <c r="E44" s="15" t="n"/>
      <c r="F44" s="15" t="n"/>
      <c r="G44" s="15" t="n"/>
      <c r="H44" s="15" t="n"/>
    </row>
    <row r="45" ht="22" customHeight="1">
      <c r="B45" s="19">
        <f>IF(C45="","F-"&amp;TEXT(COUNTA($C$5:C45),"000"))</f>
        <v/>
      </c>
      <c r="C45" s="12" t="n"/>
      <c r="D45" s="33" t="n"/>
      <c r="E45" s="12" t="n"/>
      <c r="F45" s="12" t="n"/>
      <c r="G45" s="12" t="n"/>
      <c r="H45" s="12" t="n"/>
    </row>
    <row r="46" ht="22" customHeight="1">
      <c r="B46" s="18">
        <f>IF(C46="","F-"&amp;TEXT(COUNTA($C$5:C46),"000"))</f>
        <v/>
      </c>
      <c r="C46" s="15" t="n"/>
      <c r="D46" s="34" t="n"/>
      <c r="E46" s="15" t="n"/>
      <c r="F46" s="15" t="n"/>
      <c r="G46" s="15" t="n"/>
      <c r="H46" s="15" t="n"/>
    </row>
    <row r="47" ht="22" customHeight="1">
      <c r="B47" s="19">
        <f>IF(C47="","F-"&amp;TEXT(COUNTA($C$5:C47),"000"))</f>
        <v/>
      </c>
      <c r="C47" s="12" t="n"/>
      <c r="D47" s="33" t="n"/>
      <c r="E47" s="12" t="n"/>
      <c r="F47" s="12" t="n"/>
      <c r="G47" s="12" t="n"/>
      <c r="H47" s="12" t="n"/>
    </row>
    <row r="48" ht="22" customHeight="1">
      <c r="B48" s="18">
        <f>IF(C48="","F-"&amp;TEXT(COUNTA($C$5:C48),"000"))</f>
        <v/>
      </c>
      <c r="C48" s="15" t="n"/>
      <c r="D48" s="34" t="n"/>
      <c r="E48" s="15" t="n"/>
      <c r="F48" s="15" t="n"/>
      <c r="G48" s="15" t="n"/>
      <c r="H48" s="15" t="n"/>
    </row>
    <row r="49" ht="22" customHeight="1">
      <c r="B49" s="19">
        <f>IF(C49="","F-"&amp;TEXT(COUNTA($C$5:C49),"000"))</f>
        <v/>
      </c>
      <c r="C49" s="12" t="n"/>
      <c r="D49" s="33" t="n"/>
      <c r="E49" s="12" t="n"/>
      <c r="F49" s="12" t="n"/>
      <c r="G49" s="12" t="n"/>
      <c r="H49" s="12" t="n"/>
    </row>
    <row r="50" ht="22" customHeight="1">
      <c r="B50" s="18">
        <f>IF(C50="","F-"&amp;TEXT(COUNTA($C$5:C50),"000"))</f>
        <v/>
      </c>
      <c r="C50" s="15" t="n"/>
      <c r="D50" s="34" t="n"/>
      <c r="E50" s="15" t="n"/>
      <c r="F50" s="15" t="n"/>
      <c r="G50" s="15" t="n"/>
      <c r="H50" s="15" t="n"/>
    </row>
    <row r="51" ht="22" customHeight="1">
      <c r="B51" s="19">
        <f>IF(C51="","F-"&amp;TEXT(COUNTA($C$5:C51),"000"))</f>
        <v/>
      </c>
      <c r="C51" s="12" t="n"/>
      <c r="D51" s="33" t="n"/>
      <c r="E51" s="12" t="n"/>
      <c r="F51" s="12" t="n"/>
      <c r="G51" s="12" t="n"/>
      <c r="H51" s="12" t="n"/>
    </row>
    <row r="52" ht="22" customHeight="1">
      <c r="B52" s="18">
        <f>IF(C52="","F-"&amp;TEXT(COUNTA($C$5:C52),"000"))</f>
        <v/>
      </c>
      <c r="C52" s="15" t="n"/>
      <c r="D52" s="34" t="n"/>
      <c r="E52" s="15" t="n"/>
      <c r="F52" s="15" t="n"/>
      <c r="G52" s="15" t="n"/>
      <c r="H52" s="15" t="n"/>
    </row>
    <row r="53" ht="22" customHeight="1">
      <c r="B53" s="19">
        <f>IF(C53="","F-"&amp;TEXT(COUNTA($C$5:C53),"000"))</f>
        <v/>
      </c>
      <c r="C53" s="12" t="n"/>
      <c r="D53" s="33" t="n"/>
      <c r="E53" s="12" t="n"/>
      <c r="F53" s="12" t="n"/>
      <c r="G53" s="12" t="n"/>
      <c r="H53" s="12" t="n"/>
    </row>
    <row r="54" ht="22" customHeight="1">
      <c r="B54" s="18">
        <f>IF(C54="","F-"&amp;TEXT(COUNTA($C$5:C54),"000"))</f>
        <v/>
      </c>
      <c r="C54" s="15" t="n"/>
      <c r="D54" s="34" t="n"/>
      <c r="E54" s="15" t="n"/>
      <c r="F54" s="15" t="n"/>
      <c r="G54" s="15" t="n"/>
      <c r="H54" s="15" t="n"/>
    </row>
    <row r="55" ht="22" customHeight="1">
      <c r="B55" s="19">
        <f>IF(C55="","F-"&amp;TEXT(COUNTA($C$5:C55),"000"))</f>
        <v/>
      </c>
      <c r="C55" s="12" t="n"/>
      <c r="D55" s="33" t="n"/>
      <c r="E55" s="12" t="n"/>
      <c r="F55" s="12" t="n"/>
      <c r="G55" s="12" t="n"/>
      <c r="H55" s="12" t="n"/>
    </row>
    <row r="56" ht="22" customHeight="1">
      <c r="B56" s="18">
        <f>IF(C56="","F-"&amp;TEXT(COUNTA($C$5:C56),"000"))</f>
        <v/>
      </c>
      <c r="C56" s="15" t="n"/>
      <c r="D56" s="34" t="n"/>
      <c r="E56" s="15" t="n"/>
      <c r="F56" s="15" t="n"/>
      <c r="G56" s="15" t="n"/>
      <c r="H56" s="15" t="n"/>
    </row>
    <row r="57" ht="22" customHeight="1">
      <c r="B57" s="19">
        <f>IF(C57="","F-"&amp;TEXT(COUNTA($C$5:C57),"000"))</f>
        <v/>
      </c>
      <c r="C57" s="12" t="n"/>
      <c r="D57" s="33" t="n"/>
      <c r="E57" s="12" t="n"/>
      <c r="F57" s="12" t="n"/>
      <c r="G57" s="12" t="n"/>
      <c r="H57" s="12" t="n"/>
    </row>
    <row r="58" ht="22" customHeight="1">
      <c r="B58" s="18">
        <f>IF(C58="","F-"&amp;TEXT(COUNTA($C$5:C58),"000"))</f>
        <v/>
      </c>
      <c r="C58" s="15" t="n"/>
      <c r="D58" s="34" t="n"/>
      <c r="E58" s="15" t="n"/>
      <c r="F58" s="15" t="n"/>
      <c r="G58" s="15" t="n"/>
      <c r="H58" s="15" t="n"/>
    </row>
    <row r="59" ht="22" customHeight="1">
      <c r="B59" s="19">
        <f>IF(C59="","F-"&amp;TEXT(COUNTA($C$5:C59),"000"))</f>
        <v/>
      </c>
      <c r="C59" s="12" t="n"/>
      <c r="D59" s="33" t="n"/>
      <c r="E59" s="12" t="n"/>
      <c r="F59" s="12" t="n"/>
      <c r="G59" s="12" t="n"/>
      <c r="H59" s="12" t="n"/>
    </row>
    <row r="60" ht="22" customHeight="1">
      <c r="B60" s="18">
        <f>IF(C60="","F-"&amp;TEXT(COUNTA($C$5:C60),"000"))</f>
        <v/>
      </c>
      <c r="C60" s="15" t="n"/>
      <c r="D60" s="34" t="n"/>
      <c r="E60" s="15" t="n"/>
      <c r="F60" s="15" t="n"/>
      <c r="G60" s="15" t="n"/>
      <c r="H60" s="15" t="n"/>
    </row>
    <row r="61" ht="22" customHeight="1">
      <c r="B61" s="19">
        <f>IF(C61="","F-"&amp;TEXT(COUNTA($C$5:C61),"000"))</f>
        <v/>
      </c>
      <c r="C61" s="12" t="n"/>
      <c r="D61" s="33" t="n"/>
      <c r="E61" s="12" t="n"/>
      <c r="F61" s="12" t="n"/>
      <c r="G61" s="12" t="n"/>
      <c r="H61" s="12" t="n"/>
    </row>
    <row r="62" ht="22" customHeight="1">
      <c r="B62" s="18">
        <f>IF(C62="","F-"&amp;TEXT(COUNTA($C$5:C62),"000"))</f>
        <v/>
      </c>
      <c r="C62" s="15" t="n"/>
      <c r="D62" s="34" t="n"/>
      <c r="E62" s="15" t="n"/>
      <c r="F62" s="15" t="n"/>
      <c r="G62" s="15" t="n"/>
      <c r="H62" s="15" t="n"/>
    </row>
    <row r="63" ht="22" customHeight="1">
      <c r="B63" s="19">
        <f>IF(C63="","F-"&amp;TEXT(COUNTA($C$5:C63),"000"))</f>
        <v/>
      </c>
      <c r="C63" s="12" t="n"/>
      <c r="D63" s="33" t="n"/>
      <c r="E63" s="12" t="n"/>
      <c r="F63" s="12" t="n"/>
      <c r="G63" s="12" t="n"/>
      <c r="H63" s="12" t="n"/>
    </row>
    <row r="64" ht="22" customHeight="1">
      <c r="B64" s="18">
        <f>IF(C64="","F-"&amp;TEXT(COUNTA($C$5:C64),"000"))</f>
        <v/>
      </c>
      <c r="C64" s="15" t="n"/>
      <c r="D64" s="34" t="n"/>
      <c r="E64" s="15" t="n"/>
      <c r="F64" s="15" t="n"/>
      <c r="G64" s="15" t="n"/>
      <c r="H64" s="15" t="n"/>
    </row>
    <row r="65" ht="22" customHeight="1">
      <c r="B65" s="19">
        <f>IF(C65="","F-"&amp;TEXT(COUNTA($C$5:C65),"000"))</f>
        <v/>
      </c>
      <c r="C65" s="12" t="n"/>
      <c r="D65" s="33" t="n"/>
      <c r="E65" s="12" t="n"/>
      <c r="F65" s="12" t="n"/>
      <c r="G65" s="12" t="n"/>
      <c r="H65" s="12" t="n"/>
    </row>
    <row r="66" ht="22" customHeight="1">
      <c r="B66" s="18">
        <f>IF(C66="","F-"&amp;TEXT(COUNTA($C$5:C66),"000"))</f>
        <v/>
      </c>
      <c r="C66" s="15" t="n"/>
      <c r="D66" s="34" t="n"/>
      <c r="E66" s="15" t="n"/>
      <c r="F66" s="15" t="n"/>
      <c r="G66" s="15" t="n"/>
      <c r="H66" s="15" t="n"/>
    </row>
    <row r="67" ht="22" customHeight="1">
      <c r="B67" s="19">
        <f>IF(C67="","F-"&amp;TEXT(COUNTA($C$5:C67),"000"))</f>
        <v/>
      </c>
      <c r="C67" s="12" t="n"/>
      <c r="D67" s="33" t="n"/>
      <c r="E67" s="12" t="n"/>
      <c r="F67" s="12" t="n"/>
      <c r="G67" s="12" t="n"/>
      <c r="H67" s="12" t="n"/>
    </row>
    <row r="68" ht="22" customHeight="1">
      <c r="B68" s="18">
        <f>IF(C68="","F-"&amp;TEXT(COUNTA($C$5:C68),"000"))</f>
        <v/>
      </c>
      <c r="C68" s="15" t="n"/>
      <c r="D68" s="34" t="n"/>
      <c r="E68" s="15" t="n"/>
      <c r="F68" s="15" t="n"/>
      <c r="G68" s="15" t="n"/>
      <c r="H68" s="15" t="n"/>
    </row>
    <row r="69" ht="22" customHeight="1">
      <c r="B69" s="19">
        <f>IF(C69="","F-"&amp;TEXT(COUNTA($C$5:C69),"000"))</f>
        <v/>
      </c>
      <c r="C69" s="12" t="n"/>
      <c r="D69" s="33" t="n"/>
      <c r="E69" s="12" t="n"/>
      <c r="F69" s="12" t="n"/>
      <c r="G69" s="12" t="n"/>
      <c r="H69" s="12" t="n"/>
    </row>
    <row r="70" ht="22" customHeight="1">
      <c r="B70" s="18">
        <f>IF(C70="","F-"&amp;TEXT(COUNTA($C$5:C70),"000"))</f>
        <v/>
      </c>
      <c r="C70" s="15" t="n"/>
      <c r="D70" s="34" t="n"/>
      <c r="E70" s="15" t="n"/>
      <c r="F70" s="15" t="n"/>
      <c r="G70" s="15" t="n"/>
      <c r="H70" s="15" t="n"/>
    </row>
    <row r="71" ht="22" customHeight="1">
      <c r="B71" s="19">
        <f>IF(C71="","F-"&amp;TEXT(COUNTA($C$5:C71),"000"))</f>
        <v/>
      </c>
      <c r="C71" s="12" t="n"/>
      <c r="D71" s="33" t="n"/>
      <c r="E71" s="12" t="n"/>
      <c r="F71" s="12" t="n"/>
      <c r="G71" s="12" t="n"/>
      <c r="H71" s="12" t="n"/>
    </row>
    <row r="72" ht="22" customHeight="1">
      <c r="B72" s="18">
        <f>IF(C72="","F-"&amp;TEXT(COUNTA($C$5:C72),"000"))</f>
        <v/>
      </c>
      <c r="C72" s="15" t="n"/>
      <c r="D72" s="34" t="n"/>
      <c r="E72" s="15" t="n"/>
      <c r="F72" s="15" t="n"/>
      <c r="G72" s="15" t="n"/>
      <c r="H72" s="15" t="n"/>
    </row>
    <row r="73" ht="22" customHeight="1">
      <c r="B73" s="19">
        <f>IF(C73="","F-"&amp;TEXT(COUNTA($C$5:C73),"000"))</f>
        <v/>
      </c>
      <c r="C73" s="12" t="n"/>
      <c r="D73" s="33" t="n"/>
      <c r="E73" s="12" t="n"/>
      <c r="F73" s="12" t="n"/>
      <c r="G73" s="12" t="n"/>
      <c r="H73" s="12" t="n"/>
    </row>
    <row r="74" ht="22" customHeight="1">
      <c r="B74" s="18">
        <f>IF(C74="","F-"&amp;TEXT(COUNTA($C$5:C74),"000"))</f>
        <v/>
      </c>
      <c r="C74" s="15" t="n"/>
      <c r="D74" s="34" t="n"/>
      <c r="E74" s="15" t="n"/>
      <c r="F74" s="15" t="n"/>
      <c r="G74" s="15" t="n"/>
      <c r="H74" s="15" t="n"/>
    </row>
    <row r="75" ht="22" customHeight="1">
      <c r="B75" s="19">
        <f>IF(C75="","F-"&amp;TEXT(COUNTA($C$5:C75),"000"))</f>
        <v/>
      </c>
      <c r="C75" s="12" t="n"/>
      <c r="D75" s="33" t="n"/>
      <c r="E75" s="12" t="n"/>
      <c r="F75" s="12" t="n"/>
      <c r="G75" s="12" t="n"/>
      <c r="H75" s="12" t="n"/>
    </row>
    <row r="76" ht="22" customHeight="1">
      <c r="B76" s="18">
        <f>IF(C76="","F-"&amp;TEXT(COUNTA($C$5:C76),"000"))</f>
        <v/>
      </c>
      <c r="C76" s="15" t="n"/>
      <c r="D76" s="34" t="n"/>
      <c r="E76" s="15" t="n"/>
      <c r="F76" s="15" t="n"/>
      <c r="G76" s="15" t="n"/>
      <c r="H76" s="15" t="n"/>
    </row>
    <row r="77" ht="22" customHeight="1">
      <c r="B77" s="19">
        <f>IF(C77="","F-"&amp;TEXT(COUNTA($C$5:C77),"000"))</f>
        <v/>
      </c>
      <c r="C77" s="12" t="n"/>
      <c r="D77" s="33" t="n"/>
      <c r="E77" s="12" t="n"/>
      <c r="F77" s="12" t="n"/>
      <c r="G77" s="12" t="n"/>
      <c r="H77" s="12" t="n"/>
    </row>
    <row r="78" ht="22" customHeight="1">
      <c r="B78" s="18">
        <f>IF(C78="","F-"&amp;TEXT(COUNTA($C$5:C78),"000"))</f>
        <v/>
      </c>
      <c r="C78" s="15" t="n"/>
      <c r="D78" s="34" t="n"/>
      <c r="E78" s="15" t="n"/>
      <c r="F78" s="15" t="n"/>
      <c r="G78" s="15" t="n"/>
      <c r="H78" s="15" t="n"/>
    </row>
    <row r="79" ht="22" customHeight="1">
      <c r="B79" s="19">
        <f>IF(C79="","F-"&amp;TEXT(COUNTA($C$5:C79),"000"))</f>
        <v/>
      </c>
      <c r="C79" s="12" t="n"/>
      <c r="D79" s="33" t="n"/>
      <c r="E79" s="12" t="n"/>
      <c r="F79" s="12" t="n"/>
      <c r="G79" s="12" t="n"/>
      <c r="H79" s="12" t="n"/>
    </row>
    <row r="80" ht="22" customHeight="1">
      <c r="B80" s="18">
        <f>IF(C80="","F-"&amp;TEXT(COUNTA($C$5:C80),"000"))</f>
        <v/>
      </c>
      <c r="C80" s="15" t="n"/>
      <c r="D80" s="34" t="n"/>
      <c r="E80" s="15" t="n"/>
      <c r="F80" s="15" t="n"/>
      <c r="G80" s="15" t="n"/>
      <c r="H80" s="15" t="n"/>
    </row>
    <row r="81" ht="22" customHeight="1">
      <c r="B81" s="19">
        <f>IF(C81="","F-"&amp;TEXT(COUNTA($C$5:C81),"000"))</f>
        <v/>
      </c>
      <c r="C81" s="12" t="n"/>
      <c r="D81" s="33" t="n"/>
      <c r="E81" s="12" t="n"/>
      <c r="F81" s="12" t="n"/>
      <c r="G81" s="12" t="n"/>
      <c r="H81" s="12" t="n"/>
    </row>
    <row r="82" ht="22" customHeight="1">
      <c r="B82" s="18">
        <f>IF(C82="","F-"&amp;TEXT(COUNTA($C$5:C82),"000"))</f>
        <v/>
      </c>
      <c r="C82" s="15" t="n"/>
      <c r="D82" s="34" t="n"/>
      <c r="E82" s="15" t="n"/>
      <c r="F82" s="15" t="n"/>
      <c r="G82" s="15" t="n"/>
      <c r="H82" s="15" t="n"/>
    </row>
    <row r="83" ht="22" customHeight="1">
      <c r="B83" s="19">
        <f>IF(C83="","F-"&amp;TEXT(COUNTA($C$5:C83),"000"))</f>
        <v/>
      </c>
      <c r="C83" s="12" t="n"/>
      <c r="D83" s="33" t="n"/>
      <c r="E83" s="12" t="n"/>
      <c r="F83" s="12" t="n"/>
      <c r="G83" s="12" t="n"/>
      <c r="H83" s="12" t="n"/>
    </row>
    <row r="84" ht="22" customHeight="1">
      <c r="B84" s="18">
        <f>IF(C84="","F-"&amp;TEXT(COUNTA($C$5:C84),"000"))</f>
        <v/>
      </c>
      <c r="C84" s="15" t="n"/>
      <c r="D84" s="34" t="n"/>
      <c r="E84" s="15" t="n"/>
      <c r="F84" s="15" t="n"/>
      <c r="G84" s="15" t="n"/>
      <c r="H84" s="15" t="n"/>
    </row>
    <row r="85" ht="22" customHeight="1">
      <c r="B85" s="19">
        <f>IF(C85="","F-"&amp;TEXT(COUNTA($C$5:C85),"000"))</f>
        <v/>
      </c>
      <c r="C85" s="12" t="n"/>
      <c r="D85" s="33" t="n"/>
      <c r="E85" s="12" t="n"/>
      <c r="F85" s="12" t="n"/>
      <c r="G85" s="12" t="n"/>
      <c r="H85" s="12" t="n"/>
    </row>
    <row r="86" ht="22" customHeight="1">
      <c r="B86" s="18">
        <f>IF(C86="","F-"&amp;TEXT(COUNTA($C$5:C86),"000"))</f>
        <v/>
      </c>
      <c r="C86" s="15" t="n"/>
      <c r="D86" s="34" t="n"/>
      <c r="E86" s="15" t="n"/>
      <c r="F86" s="15" t="n"/>
      <c r="G86" s="15" t="n"/>
      <c r="H86" s="15" t="n"/>
    </row>
    <row r="87" ht="22" customHeight="1">
      <c r="B87" s="19">
        <f>IF(C87="","F-"&amp;TEXT(COUNTA($C$5:C87),"000"))</f>
        <v/>
      </c>
      <c r="C87" s="12" t="n"/>
      <c r="D87" s="33" t="n"/>
      <c r="E87" s="12" t="n"/>
      <c r="F87" s="12" t="n"/>
      <c r="G87" s="12" t="n"/>
      <c r="H87" s="12" t="n"/>
    </row>
    <row r="88" ht="22" customHeight="1">
      <c r="B88" s="18">
        <f>IF(C88="","F-"&amp;TEXT(COUNTA($C$5:C88),"000"))</f>
        <v/>
      </c>
      <c r="C88" s="15" t="n"/>
      <c r="D88" s="34" t="n"/>
      <c r="E88" s="15" t="n"/>
      <c r="F88" s="15" t="n"/>
      <c r="G88" s="15" t="n"/>
      <c r="H88" s="15" t="n"/>
    </row>
    <row r="89" ht="22" customHeight="1">
      <c r="B89" s="19">
        <f>IF(C89="","F-"&amp;TEXT(COUNTA($C$5:C89),"000"))</f>
        <v/>
      </c>
      <c r="C89" s="12" t="n"/>
      <c r="D89" s="33" t="n"/>
      <c r="E89" s="12" t="n"/>
      <c r="F89" s="12" t="n"/>
      <c r="G89" s="12" t="n"/>
      <c r="H89" s="12" t="n"/>
    </row>
    <row r="90" ht="22" customHeight="1">
      <c r="B90" s="18">
        <f>IF(C90="","F-"&amp;TEXT(COUNTA($C$5:C90),"000"))</f>
        <v/>
      </c>
      <c r="C90" s="15" t="n"/>
      <c r="D90" s="34" t="n"/>
      <c r="E90" s="15" t="n"/>
      <c r="F90" s="15" t="n"/>
      <c r="G90" s="15" t="n"/>
      <c r="H90" s="15" t="n"/>
    </row>
    <row r="91" ht="22" customHeight="1">
      <c r="B91" s="19">
        <f>IF(C91="","F-"&amp;TEXT(COUNTA($C$5:C91),"000"))</f>
        <v/>
      </c>
      <c r="C91" s="12" t="n"/>
      <c r="D91" s="33" t="n"/>
      <c r="E91" s="12" t="n"/>
      <c r="F91" s="12" t="n"/>
      <c r="G91" s="12" t="n"/>
      <c r="H91" s="12" t="n"/>
    </row>
    <row r="92" ht="22" customHeight="1">
      <c r="B92" s="18">
        <f>IF(C92="","F-"&amp;TEXT(COUNTA($C$5:C92),"000"))</f>
        <v/>
      </c>
      <c r="C92" s="15" t="n"/>
      <c r="D92" s="34" t="n"/>
      <c r="E92" s="15" t="n"/>
      <c r="F92" s="15" t="n"/>
      <c r="G92" s="15" t="n"/>
      <c r="H92" s="15" t="n"/>
    </row>
    <row r="93" ht="22" customHeight="1">
      <c r="B93" s="19">
        <f>IF(C93="","F-"&amp;TEXT(COUNTA($C$5:C93),"000"))</f>
        <v/>
      </c>
      <c r="C93" s="12" t="n"/>
      <c r="D93" s="33" t="n"/>
      <c r="E93" s="12" t="n"/>
      <c r="F93" s="12" t="n"/>
      <c r="G93" s="12" t="n"/>
      <c r="H93" s="12" t="n"/>
    </row>
    <row r="94" ht="22" customHeight="1">
      <c r="B94" s="18">
        <f>IF(C94="","F-"&amp;TEXT(COUNTA($C$5:C94),"000"))</f>
        <v/>
      </c>
      <c r="C94" s="15" t="n"/>
      <c r="D94" s="34" t="n"/>
      <c r="E94" s="15" t="n"/>
      <c r="F94" s="15" t="n"/>
      <c r="G94" s="15" t="n"/>
      <c r="H94" s="15" t="n"/>
    </row>
    <row r="95" ht="22" customHeight="1">
      <c r="B95" s="19">
        <f>IF(C95="","F-"&amp;TEXT(COUNTA($C$5:C95),"000"))</f>
        <v/>
      </c>
      <c r="C95" s="12" t="n"/>
      <c r="D95" s="33" t="n"/>
      <c r="E95" s="12" t="n"/>
      <c r="F95" s="12" t="n"/>
      <c r="G95" s="12" t="n"/>
      <c r="H95" s="12" t="n"/>
    </row>
    <row r="96" ht="22" customHeight="1">
      <c r="B96" s="18">
        <f>IF(C96="","F-"&amp;TEXT(COUNTA($C$5:C96),"000"))</f>
        <v/>
      </c>
      <c r="C96" s="15" t="n"/>
      <c r="D96" s="34" t="n"/>
      <c r="E96" s="15" t="n"/>
      <c r="F96" s="15" t="n"/>
      <c r="G96" s="15" t="n"/>
      <c r="H96" s="15" t="n"/>
    </row>
    <row r="97" ht="22" customHeight="1">
      <c r="B97" s="19">
        <f>IF(C97="","F-"&amp;TEXT(COUNTA($C$5:C97),"000"))</f>
        <v/>
      </c>
      <c r="C97" s="12" t="n"/>
      <c r="D97" s="33" t="n"/>
      <c r="E97" s="12" t="n"/>
      <c r="F97" s="12" t="n"/>
      <c r="G97" s="12" t="n"/>
      <c r="H97" s="12" t="n"/>
    </row>
    <row r="98" ht="22" customHeight="1">
      <c r="B98" s="18">
        <f>IF(C98="","F-"&amp;TEXT(COUNTA($C$5:C98),"000"))</f>
        <v/>
      </c>
      <c r="C98" s="15" t="n"/>
      <c r="D98" s="34" t="n"/>
      <c r="E98" s="15" t="n"/>
      <c r="F98" s="15" t="n"/>
      <c r="G98" s="15" t="n"/>
      <c r="H98" s="15" t="n"/>
    </row>
    <row r="99" ht="22" customHeight="1">
      <c r="B99" s="19">
        <f>IF(C99="","F-"&amp;TEXT(COUNTA($C$5:C99),"000"))</f>
        <v/>
      </c>
      <c r="C99" s="12" t="n"/>
      <c r="D99" s="33" t="n"/>
      <c r="E99" s="12" t="n"/>
      <c r="F99" s="12" t="n"/>
      <c r="G99" s="12" t="n"/>
      <c r="H99" s="12" t="n"/>
    </row>
    <row r="100" ht="22" customHeight="1">
      <c r="B100" s="18">
        <f>IF(C100="","F-"&amp;TEXT(COUNTA($C$5:C100),"000"))</f>
        <v/>
      </c>
      <c r="C100" s="15" t="n"/>
      <c r="D100" s="34" t="n"/>
      <c r="E100" s="15" t="n"/>
      <c r="F100" s="15" t="n"/>
      <c r="G100" s="15" t="n"/>
      <c r="H100" s="15" t="n"/>
    </row>
    <row r="101" ht="22" customHeight="1">
      <c r="B101" s="19">
        <f>IF(C101="","F-"&amp;TEXT(COUNTA($C$5:C101),"000"))</f>
        <v/>
      </c>
      <c r="C101" s="12" t="n"/>
      <c r="D101" s="33" t="n"/>
      <c r="E101" s="12" t="n"/>
      <c r="F101" s="12" t="n"/>
      <c r="G101" s="12" t="n"/>
      <c r="H101" s="12" t="n"/>
    </row>
    <row r="102" ht="22" customHeight="1">
      <c r="B102" s="18">
        <f>IF(C102="","F-"&amp;TEXT(COUNTA($C$5:C102),"000"))</f>
        <v/>
      </c>
      <c r="C102" s="15" t="n"/>
      <c r="D102" s="34" t="n"/>
      <c r="E102" s="15" t="n"/>
      <c r="F102" s="15" t="n"/>
      <c r="G102" s="15" t="n"/>
      <c r="H102" s="15" t="n"/>
    </row>
    <row r="103" ht="22" customHeight="1">
      <c r="B103" s="19">
        <f>IF(C103="","F-"&amp;TEXT(COUNTA($C$5:C103),"000"))</f>
        <v/>
      </c>
      <c r="C103" s="12" t="n"/>
      <c r="D103" s="33" t="n"/>
      <c r="E103" s="12" t="n"/>
      <c r="F103" s="12" t="n"/>
      <c r="G103" s="12" t="n"/>
      <c r="H103" s="12" t="n"/>
    </row>
    <row r="104" ht="22" customHeight="1">
      <c r="B104" s="18">
        <f>IF(C104="","F-"&amp;TEXT(COUNTA($C$5:C104),"000"))</f>
        <v/>
      </c>
      <c r="C104" s="15" t="n"/>
      <c r="D104" s="34" t="n"/>
      <c r="E104" s="15" t="n"/>
      <c r="F104" s="15" t="n"/>
      <c r="G104" s="15" t="n"/>
      <c r="H104" s="15" t="n"/>
    </row>
    <row r="105" ht="22" customHeight="1">
      <c r="B105" s="19">
        <f>IF(C105="","F-"&amp;TEXT(COUNTA($C$5:C105),"000"))</f>
        <v/>
      </c>
      <c r="C105" s="12" t="n"/>
      <c r="D105" s="33" t="n"/>
      <c r="E105" s="12" t="n"/>
      <c r="F105" s="12" t="n"/>
      <c r="G105" s="12" t="n"/>
      <c r="H105" s="12" t="n"/>
    </row>
    <row r="106" ht="22" customHeight="1">
      <c r="B106" s="18">
        <f>IF(C106="","F-"&amp;TEXT(COUNTA($C$5:C106),"000"))</f>
        <v/>
      </c>
      <c r="C106" s="15" t="n"/>
      <c r="D106" s="34" t="n"/>
      <c r="E106" s="15" t="n"/>
      <c r="F106" s="15" t="n"/>
      <c r="G106" s="15" t="n"/>
      <c r="H106" s="15" t="n"/>
    </row>
    <row r="107" ht="22" customHeight="1">
      <c r="B107" s="19">
        <f>IF(C107="","F-"&amp;TEXT(COUNTA($C$5:C107),"000"))</f>
        <v/>
      </c>
      <c r="C107" s="12" t="n"/>
      <c r="D107" s="33" t="n"/>
      <c r="E107" s="12" t="n"/>
      <c r="F107" s="12" t="n"/>
      <c r="G107" s="12" t="n"/>
      <c r="H107" s="12" t="n"/>
    </row>
    <row r="108" ht="22" customHeight="1">
      <c r="B108" s="18">
        <f>IF(C108="","F-"&amp;TEXT(COUNTA($C$5:C108),"000"))</f>
        <v/>
      </c>
      <c r="C108" s="15" t="n"/>
      <c r="D108" s="34" t="n"/>
      <c r="E108" s="15" t="n"/>
      <c r="F108" s="15" t="n"/>
      <c r="G108" s="15" t="n"/>
      <c r="H108" s="15" t="n"/>
    </row>
    <row r="109" ht="22" customHeight="1">
      <c r="B109" s="19">
        <f>IF(C109="","F-"&amp;TEXT(COUNTA($C$5:C109),"000"))</f>
        <v/>
      </c>
      <c r="C109" s="12" t="n"/>
      <c r="D109" s="33" t="n"/>
      <c r="E109" s="12" t="n"/>
      <c r="F109" s="12" t="n"/>
      <c r="G109" s="12" t="n"/>
      <c r="H109" s="12" t="n"/>
    </row>
    <row r="110" ht="22" customHeight="1">
      <c r="B110" s="18">
        <f>IF(C110="","F-"&amp;TEXT(COUNTA($C$5:C110),"000"))</f>
        <v/>
      </c>
      <c r="C110" s="15" t="n"/>
      <c r="D110" s="34" t="n"/>
      <c r="E110" s="15" t="n"/>
      <c r="F110" s="15" t="n"/>
      <c r="G110" s="15" t="n"/>
      <c r="H110" s="15" t="n"/>
    </row>
    <row r="111" ht="22" customHeight="1">
      <c r="B111" s="19">
        <f>IF(C111="","F-"&amp;TEXT(COUNTA($C$5:C111),"000"))</f>
        <v/>
      </c>
      <c r="C111" s="12" t="n"/>
      <c r="D111" s="33" t="n"/>
      <c r="E111" s="12" t="n"/>
      <c r="F111" s="12" t="n"/>
      <c r="G111" s="12" t="n"/>
      <c r="H111" s="12" t="n"/>
    </row>
    <row r="112" ht="22" customHeight="1">
      <c r="B112" s="18">
        <f>IF(C112="","F-"&amp;TEXT(COUNTA($C$5:C112),"000"))</f>
        <v/>
      </c>
      <c r="C112" s="15" t="n"/>
      <c r="D112" s="34" t="n"/>
      <c r="E112" s="15" t="n"/>
      <c r="F112" s="15" t="n"/>
      <c r="G112" s="15" t="n"/>
      <c r="H112" s="15" t="n"/>
    </row>
    <row r="113" ht="22" customHeight="1">
      <c r="B113" s="19">
        <f>IF(C113="","F-"&amp;TEXT(COUNTA($C$5:C113),"000"))</f>
        <v/>
      </c>
      <c r="C113" s="12" t="n"/>
      <c r="D113" s="33" t="n"/>
      <c r="E113" s="12" t="n"/>
      <c r="F113" s="12" t="n"/>
      <c r="G113" s="12" t="n"/>
      <c r="H113" s="12" t="n"/>
    </row>
    <row r="114" ht="22" customHeight="1">
      <c r="B114" s="18">
        <f>IF(C114="","F-"&amp;TEXT(COUNTA($C$5:C114),"000"))</f>
        <v/>
      </c>
      <c r="C114" s="15" t="n"/>
      <c r="D114" s="34" t="n"/>
      <c r="E114" s="15" t="n"/>
      <c r="F114" s="15" t="n"/>
      <c r="G114" s="15" t="n"/>
      <c r="H114" s="15" t="n"/>
    </row>
    <row r="116">
      <c r="B116" s="6" t="inlineStr">
        <is>
          <t>INDICATEURS (mis a jour automatiquement)</t>
        </is>
      </c>
    </row>
    <row r="117">
      <c r="B117" s="3" t="inlineStr">
        <is>
          <t>Total jours feriés</t>
        </is>
      </c>
      <c r="D117" s="3" t="inlineStr">
        <is>
          <t>Hotel ferie</t>
        </is>
      </c>
      <c r="F117" s="3" t="inlineStr">
        <is>
          <t>Feries officiels</t>
        </is>
      </c>
      <c r="H117" s="3" t="inlineStr">
        <is>
          <t>Feries religieux</t>
        </is>
      </c>
    </row>
    <row r="118">
      <c r="B118" s="4">
        <f>COUNTIF(B5:B104,"&lt;&gt;")</f>
        <v/>
      </c>
      <c r="D118" s="4">
        <f>COUNTIF(G5:G104,"Oui")</f>
        <v/>
      </c>
      <c r="F118" s="4">
        <f>COUNTIF(F5:F104,"Ferie officiel")</f>
        <v/>
      </c>
      <c r="H118" s="4">
        <f>COUNTIF(F5:F104,"Ferie religieux")</f>
        <v/>
      </c>
    </row>
  </sheetData>
  <mergeCells count="3">
    <mergeCell ref="B3:H3"/>
    <mergeCell ref="B2:H2"/>
    <mergeCell ref="B116:H116"/>
  </mergeCells>
  <conditionalFormatting sqref="H5:H114">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5:B114">
    <cfRule type="expression" priority="48" dxfId="3">
      <formula>AND($C15="",$C14&lt;&gt;"")</formula>
    </cfRule>
  </conditionalFormatting>
  <conditionalFormatting sqref="C15:C114">
    <cfRule type="expression" priority="49" dxfId="3">
      <formula>AND($C15="",$C14&lt;&gt;"")</formula>
    </cfRule>
  </conditionalFormatting>
  <conditionalFormatting sqref="D15:D114">
    <cfRule type="expression" priority="50" dxfId="3">
      <formula>AND($C15="",$C14&lt;&gt;"")</formula>
    </cfRule>
  </conditionalFormatting>
  <conditionalFormatting sqref="E15:E114">
    <cfRule type="expression" priority="51" dxfId="3">
      <formula>AND($C15="",$C14&lt;&gt;"")</formula>
    </cfRule>
  </conditionalFormatting>
  <conditionalFormatting sqref="F15:F114">
    <cfRule type="expression" priority="52" dxfId="3">
      <formula>AND($C15="",$C14&lt;&gt;"")</formula>
    </cfRule>
  </conditionalFormatting>
  <conditionalFormatting sqref="G15:G114">
    <cfRule type="expression" priority="53" dxfId="3">
      <formula>AND($C15="",$C14&lt;&gt;"")</formula>
    </cfRule>
  </conditionalFormatting>
  <conditionalFormatting sqref="H15:H114">
    <cfRule type="expression" priority="54" dxfId="3">
      <formula>AND($C15="",$C14&lt;&gt;"")</formula>
    </cfRule>
  </conditionalFormatting>
  <dataValidations count="3">
    <dataValidation sqref="E5:E114" showDropDown="0" showInputMessage="0" showErrorMessage="0" allowBlank="1" errorTitle="Erreur" error="Valeur invalide" promptTitle="Liste" prompt="Choisir dans la liste" type="list">
      <formula1>'_Lists'!$F$2:$F$8</formula1>
    </dataValidation>
    <dataValidation sqref="G5:G114" showDropDown="0" showInputMessage="0" showErrorMessage="0" allowBlank="1" errorTitle="Erreur" error="Valeur invalide" promptTitle="Liste" prompt="Choisir dans la liste" type="list">
      <formula1>'_Lists'!$F$2:$F$8</formula1>
    </dataValidation>
    <dataValidation sqref="H5:H114"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16" customWidth="1" min="3" max="3"/>
    <col width="20" customWidth="1" min="4" max="4"/>
    <col width="18" customWidth="1" min="5" max="5"/>
    <col width="16" customWidth="1" min="6" max="6"/>
    <col width="22" customWidth="1" min="7" max="7"/>
    <col width="14" customWidth="1" min="8" max="8"/>
    <col width="14" customWidth="1" min="9" max="9"/>
    <col width="14" customWidth="1" min="10" max="10"/>
    <col width="16" customWidth="1" min="11" max="11"/>
    <col width="16" customWidth="1" min="12" max="12"/>
    <col width="14" customWidth="1" min="13" max="13"/>
  </cols>
  <sheetData>
    <row r="1" ht="15" customHeight="1"/>
    <row r="2" ht="32" customHeight="1">
      <c r="B2" s="1" t="inlineStr">
        <is>
          <t>ROULEMENT DES EQUIPES</t>
        </is>
      </c>
    </row>
    <row r="3" ht="8" customHeight="1">
      <c r="B3" s="2" t="inlineStr">
        <is>
          <t>TABLEAU DYNAMIQUE — Saisissez dans la prochaine ligne jaune. Les calculs se mettent a jour automatiquement.</t>
        </is>
      </c>
    </row>
    <row r="4" ht="28" customHeight="1">
      <c r="B4" s="11" t="inlineStr">
        <is>
          <t>N° Rotation</t>
        </is>
      </c>
      <c r="C4" s="11" t="inlineStr">
        <is>
          <t>Matricule</t>
        </is>
      </c>
      <c r="D4" s="11" t="inlineStr">
        <is>
          <t>Nom Employe</t>
        </is>
      </c>
      <c r="E4" s="11" t="inlineStr">
        <is>
          <t>Departement</t>
        </is>
      </c>
      <c r="F4" s="11" t="inlineStr">
        <is>
          <t>Equipe Actuelle</t>
        </is>
      </c>
      <c r="G4" s="11" t="inlineStr">
        <is>
          <t>Type Rotation</t>
        </is>
      </c>
      <c r="H4" s="11" t="inlineStr">
        <is>
          <t>Date Debut Cycle</t>
        </is>
      </c>
      <c r="I4" s="11" t="inlineStr">
        <is>
          <t>Date Fin Cycle</t>
        </is>
      </c>
      <c r="J4" s="11" t="inlineStr">
        <is>
          <t>Duree Cycle (j)</t>
        </is>
      </c>
      <c r="K4" s="11" t="inlineStr">
        <is>
          <t>Prochaine Equipe</t>
        </is>
      </c>
      <c r="L4" s="11" t="inlineStr">
        <is>
          <t>Date Basculement</t>
        </is>
      </c>
      <c r="M4" s="11" t="inlineStr">
        <is>
          <t>Statut</t>
        </is>
      </c>
    </row>
    <row r="5" ht="22" customHeight="1">
      <c r="B5" s="12" t="inlineStr">
        <is>
          <t>ROT-001</t>
        </is>
      </c>
      <c r="C5" s="12" t="inlineStr">
        <is>
          <t>EMP-029</t>
        </is>
      </c>
      <c r="D5" s="12">
        <f>IF(C5="","",IFERROR(VLOOKUP(C5,'_Données Employés'!$B$5:$H$18,3,FALSE)&amp;" "&amp;VLOOKUP(C5,'_Données Employés'!$B$5:$H$18,4,FALSE),""))</f>
        <v/>
      </c>
      <c r="E5" s="12">
        <f>IF(C5="","",IFERROR(VLOOKUP(C5,'_Données Employés'!$B$5:$H$18,5,FALSE),""))</f>
        <v/>
      </c>
      <c r="F5" s="12" t="inlineStr">
        <is>
          <t>Equipe A</t>
        </is>
      </c>
      <c r="G5" s="12" t="inlineStr">
        <is>
          <t>Horaires rotatifs 3x8</t>
        </is>
      </c>
      <c r="H5" s="33" t="n">
        <v>45809</v>
      </c>
      <c r="I5" s="33" t="n">
        <v>45838</v>
      </c>
      <c r="J5" s="13" t="n">
        <v>30</v>
      </c>
      <c r="K5" s="12" t="inlineStr">
        <is>
          <t>Equipe B</t>
        </is>
      </c>
      <c r="L5" s="33" t="n">
        <v>45839</v>
      </c>
      <c r="M5" s="12" t="inlineStr">
        <is>
          <t>Actif</t>
        </is>
      </c>
    </row>
    <row r="6" ht="22" customHeight="1">
      <c r="B6" s="15" t="inlineStr">
        <is>
          <t>ROT-002</t>
        </is>
      </c>
      <c r="C6" s="15" t="inlineStr">
        <is>
          <t>EMP-028</t>
        </is>
      </c>
      <c r="D6" s="15">
        <f>IF(C6="","",IFERROR(VLOOKUP(C6,'_Données Employés'!$B$5:$H$18,3,FALSE)&amp;" "&amp;VLOOKUP(C6,'_Données Employés'!$B$5:$H$18,4,FALSE),""))</f>
        <v/>
      </c>
      <c r="E6" s="15">
        <f>IF(C6="","",IFERROR(VLOOKUP(C6,'_Données Employés'!$B$5:$H$18,5,FALSE),""))</f>
        <v/>
      </c>
      <c r="F6" s="15" t="inlineStr">
        <is>
          <t>Equipe B</t>
        </is>
      </c>
      <c r="G6" s="15" t="inlineStr">
        <is>
          <t>Horaires rotatifs 3x8</t>
        </is>
      </c>
      <c r="H6" s="34" t="n">
        <v>45809</v>
      </c>
      <c r="I6" s="34" t="n">
        <v>45838</v>
      </c>
      <c r="J6" s="16" t="n">
        <v>30</v>
      </c>
      <c r="K6" s="15" t="inlineStr">
        <is>
          <t>Equipe C</t>
        </is>
      </c>
      <c r="L6" s="34" t="n">
        <v>45839</v>
      </c>
      <c r="M6" s="15" t="inlineStr">
        <is>
          <t>Actif</t>
        </is>
      </c>
    </row>
    <row r="7" ht="22" customHeight="1">
      <c r="B7" s="12" t="inlineStr">
        <is>
          <t>ROT-003</t>
        </is>
      </c>
      <c r="C7" s="12" t="inlineStr">
        <is>
          <t>EMP-004</t>
        </is>
      </c>
      <c r="D7" s="12">
        <f>IF(C7="","",IFERROR(VLOOKUP(C7,'_Données Employés'!$B$5:$H$18,3,FALSE)&amp;" "&amp;VLOOKUP(C7,'_Données Employés'!$B$5:$H$18,4,FALSE),""))</f>
        <v/>
      </c>
      <c r="E7" s="12">
        <f>IF(C7="","",IFERROR(VLOOKUP(C7,'_Données Employés'!$B$5:$H$18,5,FALSE),""))</f>
        <v/>
      </c>
      <c r="F7" s="12" t="inlineStr">
        <is>
          <t>Equipe Jour</t>
        </is>
      </c>
      <c r="G7" s="12" t="inlineStr">
        <is>
          <t>Equipe de nuit permanente</t>
        </is>
      </c>
      <c r="H7" s="33" t="n">
        <v>45809</v>
      </c>
      <c r="I7" s="33" t="n">
        <v>45823</v>
      </c>
      <c r="J7" s="13" t="n">
        <v>15</v>
      </c>
      <c r="K7" s="12" t="inlineStr">
        <is>
          <t>Equipe Nuit</t>
        </is>
      </c>
      <c r="L7" s="33" t="n">
        <v>45824</v>
      </c>
      <c r="M7" s="12" t="inlineStr">
        <is>
          <t>Actif</t>
        </is>
      </c>
    </row>
    <row r="8" ht="22" customHeight="1">
      <c r="B8" s="15" t="inlineStr">
        <is>
          <t>ROT-004</t>
        </is>
      </c>
      <c r="C8" s="15" t="inlineStr">
        <is>
          <t>EMP-005</t>
        </is>
      </c>
      <c r="D8" s="15">
        <f>IF(C8="","",IFERROR(VLOOKUP(C8,'_Données Employés'!$B$5:$H$18,3,FALSE)&amp;" "&amp;VLOOKUP(C8,'_Données Employés'!$B$5:$H$18,4,FALSE),""))</f>
        <v/>
      </c>
      <c r="E8" s="15">
        <f>IF(C8="","",IFERROR(VLOOKUP(C8,'_Données Employés'!$B$5:$H$18,5,FALSE),""))</f>
        <v/>
      </c>
      <c r="F8" s="15" t="inlineStr">
        <is>
          <t>Equipe A</t>
        </is>
      </c>
      <c r="G8" s="15" t="inlineStr">
        <is>
          <t>Horaires rotatifs 2x12</t>
        </is>
      </c>
      <c r="H8" s="34" t="n">
        <v>45809</v>
      </c>
      <c r="I8" s="34" t="n">
        <v>45838</v>
      </c>
      <c r="J8" s="16" t="n">
        <v>30</v>
      </c>
      <c r="K8" s="15" t="inlineStr">
        <is>
          <t>Equipe B</t>
        </is>
      </c>
      <c r="L8" s="34" t="n">
        <v>45839</v>
      </c>
      <c r="M8" s="15" t="inlineStr">
        <is>
          <t>Actif</t>
        </is>
      </c>
    </row>
    <row r="9" ht="22" customHeight="1">
      <c r="B9" s="12" t="inlineStr">
        <is>
          <t>ROT-005</t>
        </is>
      </c>
      <c r="C9" s="12" t="inlineStr">
        <is>
          <t>EMP-001</t>
        </is>
      </c>
      <c r="D9" s="12">
        <f>IF(C9="","",IFERROR(VLOOKUP(C9,'_Données Employés'!$B$5:$H$18,3,FALSE)&amp;" "&amp;VLOOKUP(C9,'_Données Employés'!$B$5:$H$18,4,FALSE),""))</f>
        <v/>
      </c>
      <c r="E9" s="12">
        <f>IF(C9="","",IFERROR(VLOOKUP(C9,'_Données Employés'!$B$5:$H$18,5,FALSE),""))</f>
        <v/>
      </c>
      <c r="F9" s="12" t="inlineStr">
        <is>
          <t>Equipe Jour</t>
        </is>
      </c>
      <c r="G9" s="12" t="inlineStr">
        <is>
          <t>Temps plein 45h</t>
        </is>
      </c>
      <c r="H9" s="33" t="n">
        <v>45658</v>
      </c>
      <c r="I9" s="33" t="n"/>
      <c r="J9" s="13" t="n">
        <v>180</v>
      </c>
      <c r="K9" s="12" t="inlineStr">
        <is>
          <t>Equipe Jour</t>
        </is>
      </c>
      <c r="L9" s="33" t="n">
        <v>45839</v>
      </c>
      <c r="M9" s="12" t="inlineStr">
        <is>
          <t>Actif</t>
        </is>
      </c>
    </row>
    <row r="10" ht="22" customHeight="1">
      <c r="B10" s="18">
        <f>IF(C10="","ROT-"&amp;TEXT(COUNTA($C$5:C10),"000"))</f>
        <v/>
      </c>
      <c r="C10" s="15" t="n"/>
      <c r="D10" s="15" t="n"/>
      <c r="E10" s="15" t="n"/>
      <c r="F10" s="15" t="n"/>
      <c r="G10" s="15" t="n"/>
      <c r="H10" s="34" t="n"/>
      <c r="I10" s="34" t="n"/>
      <c r="J10" s="16" t="n"/>
      <c r="K10" s="15" t="n"/>
      <c r="L10" s="34" t="n"/>
      <c r="M10" s="15" t="n"/>
    </row>
    <row r="11" ht="22" customHeight="1">
      <c r="B11" s="19">
        <f>IF(C11="","ROT-"&amp;TEXT(COUNTA($C$5:C11),"000"))</f>
        <v/>
      </c>
      <c r="C11" s="12" t="n"/>
      <c r="D11" s="12" t="n"/>
      <c r="E11" s="12" t="n"/>
      <c r="F11" s="12" t="n"/>
      <c r="G11" s="12" t="n"/>
      <c r="H11" s="33" t="n"/>
      <c r="I11" s="33" t="n"/>
      <c r="J11" s="13" t="n"/>
      <c r="K11" s="12" t="n"/>
      <c r="L11" s="33" t="n"/>
      <c r="M11" s="12" t="n"/>
    </row>
    <row r="12" ht="22" customHeight="1">
      <c r="B12" s="18">
        <f>IF(C12="","ROT-"&amp;TEXT(COUNTA($C$5:C12),"000"))</f>
        <v/>
      </c>
      <c r="C12" s="15" t="n"/>
      <c r="D12" s="15" t="n"/>
      <c r="E12" s="15" t="n"/>
      <c r="F12" s="15" t="n"/>
      <c r="G12" s="15" t="n"/>
      <c r="H12" s="34" t="n"/>
      <c r="I12" s="34" t="n"/>
      <c r="J12" s="16" t="n"/>
      <c r="K12" s="15" t="n"/>
      <c r="L12" s="34" t="n"/>
      <c r="M12" s="15" t="n"/>
    </row>
    <row r="13" ht="22" customHeight="1">
      <c r="B13" s="19">
        <f>IF(C13="","ROT-"&amp;TEXT(COUNTA($C$5:C13),"000"))</f>
        <v/>
      </c>
      <c r="C13" s="12" t="n"/>
      <c r="D13" s="12" t="n"/>
      <c r="E13" s="12" t="n"/>
      <c r="F13" s="12" t="n"/>
      <c r="G13" s="12" t="n"/>
      <c r="H13" s="33" t="n"/>
      <c r="I13" s="33" t="n"/>
      <c r="J13" s="13" t="n"/>
      <c r="K13" s="12" t="n"/>
      <c r="L13" s="33" t="n"/>
      <c r="M13" s="12" t="n"/>
    </row>
    <row r="14" ht="22" customHeight="1">
      <c r="B14" s="18">
        <f>IF(C14="","ROT-"&amp;TEXT(COUNTA($C$5:C14),"000"))</f>
        <v/>
      </c>
      <c r="C14" s="15" t="n"/>
      <c r="D14" s="15" t="n"/>
      <c r="E14" s="15" t="n"/>
      <c r="F14" s="15" t="n"/>
      <c r="G14" s="15" t="n"/>
      <c r="H14" s="34" t="n"/>
      <c r="I14" s="34" t="n"/>
      <c r="J14" s="16" t="n"/>
      <c r="K14" s="15" t="n"/>
      <c r="L14" s="34" t="n"/>
      <c r="M14" s="15" t="n"/>
    </row>
    <row r="15" ht="22" customHeight="1">
      <c r="B15" s="19">
        <f>IF(C15="","ROT-"&amp;TEXT(COUNTA($C$5:C15),"000"))</f>
        <v/>
      </c>
      <c r="C15" s="12" t="n"/>
      <c r="D15" s="12" t="n"/>
      <c r="E15" s="12" t="n"/>
      <c r="F15" s="12" t="n"/>
      <c r="G15" s="12" t="n"/>
      <c r="H15" s="33" t="n"/>
      <c r="I15" s="33" t="n"/>
      <c r="J15" s="13" t="n"/>
      <c r="K15" s="12" t="n"/>
      <c r="L15" s="33" t="n"/>
      <c r="M15" s="12" t="n"/>
    </row>
    <row r="16" ht="22" customHeight="1">
      <c r="B16" s="18">
        <f>IF(C16="","ROT-"&amp;TEXT(COUNTA($C$5:C16),"000"))</f>
        <v/>
      </c>
      <c r="C16" s="15" t="n"/>
      <c r="D16" s="15" t="n"/>
      <c r="E16" s="15" t="n"/>
      <c r="F16" s="15" t="n"/>
      <c r="G16" s="15" t="n"/>
      <c r="H16" s="34" t="n"/>
      <c r="I16" s="34" t="n"/>
      <c r="J16" s="16" t="n"/>
      <c r="K16" s="15" t="n"/>
      <c r="L16" s="34" t="n"/>
      <c r="M16" s="15" t="n"/>
    </row>
    <row r="17" ht="22" customHeight="1">
      <c r="B17" s="19">
        <f>IF(C17="","ROT-"&amp;TEXT(COUNTA($C$5:C17),"000"))</f>
        <v/>
      </c>
      <c r="C17" s="12" t="n"/>
      <c r="D17" s="12" t="n"/>
      <c r="E17" s="12" t="n"/>
      <c r="F17" s="12" t="n"/>
      <c r="G17" s="12" t="n"/>
      <c r="H17" s="33" t="n"/>
      <c r="I17" s="33" t="n"/>
      <c r="J17" s="13" t="n"/>
      <c r="K17" s="12" t="n"/>
      <c r="L17" s="33" t="n"/>
      <c r="M17" s="12" t="n"/>
    </row>
    <row r="18" ht="22" customHeight="1">
      <c r="B18" s="18">
        <f>IF(C18="","ROT-"&amp;TEXT(COUNTA($C$5:C18),"000"))</f>
        <v/>
      </c>
      <c r="C18" s="15" t="n"/>
      <c r="D18" s="15" t="n"/>
      <c r="E18" s="15" t="n"/>
      <c r="F18" s="15" t="n"/>
      <c r="G18" s="15" t="n"/>
      <c r="H18" s="34" t="n"/>
      <c r="I18" s="34" t="n"/>
      <c r="J18" s="16" t="n"/>
      <c r="K18" s="15" t="n"/>
      <c r="L18" s="34" t="n"/>
      <c r="M18" s="15" t="n"/>
    </row>
    <row r="19" ht="22" customHeight="1">
      <c r="B19" s="19">
        <f>IF(C19="","ROT-"&amp;TEXT(COUNTA($C$5:C19),"000"))</f>
        <v/>
      </c>
      <c r="C19" s="12" t="n"/>
      <c r="D19" s="12" t="n"/>
      <c r="E19" s="12" t="n"/>
      <c r="F19" s="12" t="n"/>
      <c r="G19" s="12" t="n"/>
      <c r="H19" s="33" t="n"/>
      <c r="I19" s="33" t="n"/>
      <c r="J19" s="13" t="n"/>
      <c r="K19" s="12" t="n"/>
      <c r="L19" s="33" t="n"/>
      <c r="M19" s="12" t="n"/>
    </row>
    <row r="20" ht="22" customHeight="1">
      <c r="B20" s="18">
        <f>IF(C20="","ROT-"&amp;TEXT(COUNTA($C$5:C20),"000"))</f>
        <v/>
      </c>
      <c r="C20" s="15" t="n"/>
      <c r="D20" s="15" t="n"/>
      <c r="E20" s="15" t="n"/>
      <c r="F20" s="15" t="n"/>
      <c r="G20" s="15" t="n"/>
      <c r="H20" s="34" t="n"/>
      <c r="I20" s="34" t="n"/>
      <c r="J20" s="16" t="n"/>
      <c r="K20" s="15" t="n"/>
      <c r="L20" s="34" t="n"/>
      <c r="M20" s="15" t="n"/>
    </row>
    <row r="21" ht="22" customHeight="1">
      <c r="B21" s="19">
        <f>IF(C21="","ROT-"&amp;TEXT(COUNTA($C$5:C21),"000"))</f>
        <v/>
      </c>
      <c r="C21" s="12" t="n"/>
      <c r="D21" s="12" t="n"/>
      <c r="E21" s="12" t="n"/>
      <c r="F21" s="12" t="n"/>
      <c r="G21" s="12" t="n"/>
      <c r="H21" s="33" t="n"/>
      <c r="I21" s="33" t="n"/>
      <c r="J21" s="13" t="n"/>
      <c r="K21" s="12" t="n"/>
      <c r="L21" s="33" t="n"/>
      <c r="M21" s="12" t="n"/>
    </row>
    <row r="22" ht="22" customHeight="1">
      <c r="B22" s="18">
        <f>IF(C22="","ROT-"&amp;TEXT(COUNTA($C$5:C22),"000"))</f>
        <v/>
      </c>
      <c r="C22" s="15" t="n"/>
      <c r="D22" s="15" t="n"/>
      <c r="E22" s="15" t="n"/>
      <c r="F22" s="15" t="n"/>
      <c r="G22" s="15" t="n"/>
      <c r="H22" s="34" t="n"/>
      <c r="I22" s="34" t="n"/>
      <c r="J22" s="16" t="n"/>
      <c r="K22" s="15" t="n"/>
      <c r="L22" s="34" t="n"/>
      <c r="M22" s="15" t="n"/>
    </row>
    <row r="23" ht="22" customHeight="1">
      <c r="B23" s="19">
        <f>IF(C23="","ROT-"&amp;TEXT(COUNTA($C$5:C23),"000"))</f>
        <v/>
      </c>
      <c r="C23" s="12" t="n"/>
      <c r="D23" s="12" t="n"/>
      <c r="E23" s="12" t="n"/>
      <c r="F23" s="12" t="n"/>
      <c r="G23" s="12" t="n"/>
      <c r="H23" s="33" t="n"/>
      <c r="I23" s="33" t="n"/>
      <c r="J23" s="13" t="n"/>
      <c r="K23" s="12" t="n"/>
      <c r="L23" s="33" t="n"/>
      <c r="M23" s="12" t="n"/>
    </row>
    <row r="24" ht="22" customHeight="1">
      <c r="B24" s="18">
        <f>IF(C24="","ROT-"&amp;TEXT(COUNTA($C$5:C24),"000"))</f>
        <v/>
      </c>
      <c r="C24" s="15" t="n"/>
      <c r="D24" s="15" t="n"/>
      <c r="E24" s="15" t="n"/>
      <c r="F24" s="15" t="n"/>
      <c r="G24" s="15" t="n"/>
      <c r="H24" s="34" t="n"/>
      <c r="I24" s="34" t="n"/>
      <c r="J24" s="16" t="n"/>
      <c r="K24" s="15" t="n"/>
      <c r="L24" s="34" t="n"/>
      <c r="M24" s="15" t="n"/>
    </row>
    <row r="25" ht="22" customHeight="1">
      <c r="B25" s="19">
        <f>IF(C25="","ROT-"&amp;TEXT(COUNTA($C$5:C25),"000"))</f>
        <v/>
      </c>
      <c r="C25" s="12" t="n"/>
      <c r="D25" s="12" t="n"/>
      <c r="E25" s="12" t="n"/>
      <c r="F25" s="12" t="n"/>
      <c r="G25" s="12" t="n"/>
      <c r="H25" s="33" t="n"/>
      <c r="I25" s="33" t="n"/>
      <c r="J25" s="13" t="n"/>
      <c r="K25" s="12" t="n"/>
      <c r="L25" s="33" t="n"/>
      <c r="M25" s="12" t="n"/>
    </row>
    <row r="26" ht="22" customHeight="1">
      <c r="B26" s="18">
        <f>IF(C26="","ROT-"&amp;TEXT(COUNTA($C$5:C26),"000"))</f>
        <v/>
      </c>
      <c r="C26" s="15" t="n"/>
      <c r="D26" s="15" t="n"/>
      <c r="E26" s="15" t="n"/>
      <c r="F26" s="15" t="n"/>
      <c r="G26" s="15" t="n"/>
      <c r="H26" s="34" t="n"/>
      <c r="I26" s="34" t="n"/>
      <c r="J26" s="16" t="n"/>
      <c r="K26" s="15" t="n"/>
      <c r="L26" s="34" t="n"/>
      <c r="M26" s="15" t="n"/>
    </row>
    <row r="27" ht="22" customHeight="1">
      <c r="B27" s="19">
        <f>IF(C27="","ROT-"&amp;TEXT(COUNTA($C$5:C27),"000"))</f>
        <v/>
      </c>
      <c r="C27" s="12" t="n"/>
      <c r="D27" s="12" t="n"/>
      <c r="E27" s="12" t="n"/>
      <c r="F27" s="12" t="n"/>
      <c r="G27" s="12" t="n"/>
      <c r="H27" s="33" t="n"/>
      <c r="I27" s="33" t="n"/>
      <c r="J27" s="13" t="n"/>
      <c r="K27" s="12" t="n"/>
      <c r="L27" s="33" t="n"/>
      <c r="M27" s="12" t="n"/>
    </row>
    <row r="28" ht="22" customHeight="1">
      <c r="B28" s="18">
        <f>IF(C28="","ROT-"&amp;TEXT(COUNTA($C$5:C28),"000"))</f>
        <v/>
      </c>
      <c r="C28" s="15" t="n"/>
      <c r="D28" s="15" t="n"/>
      <c r="E28" s="15" t="n"/>
      <c r="F28" s="15" t="n"/>
      <c r="G28" s="15" t="n"/>
      <c r="H28" s="34" t="n"/>
      <c r="I28" s="34" t="n"/>
      <c r="J28" s="16" t="n"/>
      <c r="K28" s="15" t="n"/>
      <c r="L28" s="34" t="n"/>
      <c r="M28" s="15" t="n"/>
    </row>
    <row r="29" ht="22" customHeight="1">
      <c r="B29" s="19">
        <f>IF(C29="","ROT-"&amp;TEXT(COUNTA($C$5:C29),"000"))</f>
        <v/>
      </c>
      <c r="C29" s="12" t="n"/>
      <c r="D29" s="12" t="n"/>
      <c r="E29" s="12" t="n"/>
      <c r="F29" s="12" t="n"/>
      <c r="G29" s="12" t="n"/>
      <c r="H29" s="33" t="n"/>
      <c r="I29" s="33" t="n"/>
      <c r="J29" s="13" t="n"/>
      <c r="K29" s="12" t="n"/>
      <c r="L29" s="33" t="n"/>
      <c r="M29" s="12" t="n"/>
    </row>
    <row r="30" ht="22" customHeight="1">
      <c r="B30" s="18">
        <f>IF(C30="","ROT-"&amp;TEXT(COUNTA($C$5:C30),"000"))</f>
        <v/>
      </c>
      <c r="C30" s="15" t="n"/>
      <c r="D30" s="15" t="n"/>
      <c r="E30" s="15" t="n"/>
      <c r="F30" s="15" t="n"/>
      <c r="G30" s="15" t="n"/>
      <c r="H30" s="34" t="n"/>
      <c r="I30" s="34" t="n"/>
      <c r="J30" s="16" t="n"/>
      <c r="K30" s="15" t="n"/>
      <c r="L30" s="34" t="n"/>
      <c r="M30" s="15" t="n"/>
    </row>
    <row r="31" ht="22" customHeight="1">
      <c r="B31" s="19">
        <f>IF(C31="","ROT-"&amp;TEXT(COUNTA($C$5:C31),"000"))</f>
        <v/>
      </c>
      <c r="C31" s="12" t="n"/>
      <c r="D31" s="12" t="n"/>
      <c r="E31" s="12" t="n"/>
      <c r="F31" s="12" t="n"/>
      <c r="G31" s="12" t="n"/>
      <c r="H31" s="33" t="n"/>
      <c r="I31" s="33" t="n"/>
      <c r="J31" s="13" t="n"/>
      <c r="K31" s="12" t="n"/>
      <c r="L31" s="33" t="n"/>
      <c r="M31" s="12" t="n"/>
    </row>
    <row r="32" ht="22" customHeight="1">
      <c r="B32" s="18">
        <f>IF(C32="","ROT-"&amp;TEXT(COUNTA($C$5:C32),"000"))</f>
        <v/>
      </c>
      <c r="C32" s="15" t="n"/>
      <c r="D32" s="15" t="n"/>
      <c r="E32" s="15" t="n"/>
      <c r="F32" s="15" t="n"/>
      <c r="G32" s="15" t="n"/>
      <c r="H32" s="34" t="n"/>
      <c r="I32" s="34" t="n"/>
      <c r="J32" s="16" t="n"/>
      <c r="K32" s="15" t="n"/>
      <c r="L32" s="34" t="n"/>
      <c r="M32" s="15" t="n"/>
    </row>
    <row r="33" ht="22" customHeight="1">
      <c r="B33" s="19">
        <f>IF(C33="","ROT-"&amp;TEXT(COUNTA($C$5:C33),"000"))</f>
        <v/>
      </c>
      <c r="C33" s="12" t="n"/>
      <c r="D33" s="12" t="n"/>
      <c r="E33" s="12" t="n"/>
      <c r="F33" s="12" t="n"/>
      <c r="G33" s="12" t="n"/>
      <c r="H33" s="33" t="n"/>
      <c r="I33" s="33" t="n"/>
      <c r="J33" s="13" t="n"/>
      <c r="K33" s="12" t="n"/>
      <c r="L33" s="33" t="n"/>
      <c r="M33" s="12" t="n"/>
    </row>
    <row r="34" ht="22" customHeight="1">
      <c r="B34" s="18">
        <f>IF(C34="","ROT-"&amp;TEXT(COUNTA($C$5:C34),"000"))</f>
        <v/>
      </c>
      <c r="C34" s="15" t="n"/>
      <c r="D34" s="15" t="n"/>
      <c r="E34" s="15" t="n"/>
      <c r="F34" s="15" t="n"/>
      <c r="G34" s="15" t="n"/>
      <c r="H34" s="34" t="n"/>
      <c r="I34" s="34" t="n"/>
      <c r="J34" s="16" t="n"/>
      <c r="K34" s="15" t="n"/>
      <c r="L34" s="34" t="n"/>
      <c r="M34" s="15" t="n"/>
    </row>
    <row r="35" ht="22" customHeight="1">
      <c r="B35" s="19">
        <f>IF(C35="","ROT-"&amp;TEXT(COUNTA($C$5:C35),"000"))</f>
        <v/>
      </c>
      <c r="C35" s="12" t="n"/>
      <c r="D35" s="12" t="n"/>
      <c r="E35" s="12" t="n"/>
      <c r="F35" s="12" t="n"/>
      <c r="G35" s="12" t="n"/>
      <c r="H35" s="33" t="n"/>
      <c r="I35" s="33" t="n"/>
      <c r="J35" s="13" t="n"/>
      <c r="K35" s="12" t="n"/>
      <c r="L35" s="33" t="n"/>
      <c r="M35" s="12" t="n"/>
    </row>
    <row r="36" ht="22" customHeight="1">
      <c r="B36" s="18">
        <f>IF(C36="","ROT-"&amp;TEXT(COUNTA($C$5:C36),"000"))</f>
        <v/>
      </c>
      <c r="C36" s="15" t="n"/>
      <c r="D36" s="15" t="n"/>
      <c r="E36" s="15" t="n"/>
      <c r="F36" s="15" t="n"/>
      <c r="G36" s="15" t="n"/>
      <c r="H36" s="34" t="n"/>
      <c r="I36" s="34" t="n"/>
      <c r="J36" s="16" t="n"/>
      <c r="K36" s="15" t="n"/>
      <c r="L36" s="34" t="n"/>
      <c r="M36" s="15" t="n"/>
    </row>
    <row r="37" ht="22" customHeight="1">
      <c r="B37" s="19">
        <f>IF(C37="","ROT-"&amp;TEXT(COUNTA($C$5:C37),"000"))</f>
        <v/>
      </c>
      <c r="C37" s="12" t="n"/>
      <c r="D37" s="12" t="n"/>
      <c r="E37" s="12" t="n"/>
      <c r="F37" s="12" t="n"/>
      <c r="G37" s="12" t="n"/>
      <c r="H37" s="33" t="n"/>
      <c r="I37" s="33" t="n"/>
      <c r="J37" s="13" t="n"/>
      <c r="K37" s="12" t="n"/>
      <c r="L37" s="33" t="n"/>
      <c r="M37" s="12" t="n"/>
    </row>
    <row r="38" ht="22" customHeight="1">
      <c r="B38" s="18">
        <f>IF(C38="","ROT-"&amp;TEXT(COUNTA($C$5:C38),"000"))</f>
        <v/>
      </c>
      <c r="C38" s="15" t="n"/>
      <c r="D38" s="15" t="n"/>
      <c r="E38" s="15" t="n"/>
      <c r="F38" s="15" t="n"/>
      <c r="G38" s="15" t="n"/>
      <c r="H38" s="34" t="n"/>
      <c r="I38" s="34" t="n"/>
      <c r="J38" s="16" t="n"/>
      <c r="K38" s="15" t="n"/>
      <c r="L38" s="34" t="n"/>
      <c r="M38" s="15" t="n"/>
    </row>
    <row r="39" ht="22" customHeight="1">
      <c r="B39" s="19">
        <f>IF(C39="","ROT-"&amp;TEXT(COUNTA($C$5:C39),"000"))</f>
        <v/>
      </c>
      <c r="C39" s="12" t="n"/>
      <c r="D39" s="12" t="n"/>
      <c r="E39" s="12" t="n"/>
      <c r="F39" s="12" t="n"/>
      <c r="G39" s="12" t="n"/>
      <c r="H39" s="33" t="n"/>
      <c r="I39" s="33" t="n"/>
      <c r="J39" s="13" t="n"/>
      <c r="K39" s="12" t="n"/>
      <c r="L39" s="33" t="n"/>
      <c r="M39" s="12" t="n"/>
    </row>
    <row r="40" ht="22" customHeight="1">
      <c r="B40" s="18">
        <f>IF(C40="","ROT-"&amp;TEXT(COUNTA($C$5:C40),"000"))</f>
        <v/>
      </c>
      <c r="C40" s="15" t="n"/>
      <c r="D40" s="15" t="n"/>
      <c r="E40" s="15" t="n"/>
      <c r="F40" s="15" t="n"/>
      <c r="G40" s="15" t="n"/>
      <c r="H40" s="34" t="n"/>
      <c r="I40" s="34" t="n"/>
      <c r="J40" s="16" t="n"/>
      <c r="K40" s="15" t="n"/>
      <c r="L40" s="34" t="n"/>
      <c r="M40" s="15" t="n"/>
    </row>
    <row r="41" ht="22" customHeight="1">
      <c r="B41" s="19">
        <f>IF(C41="","ROT-"&amp;TEXT(COUNTA($C$5:C41),"000"))</f>
        <v/>
      </c>
      <c r="C41" s="12" t="n"/>
      <c r="D41" s="12" t="n"/>
      <c r="E41" s="12" t="n"/>
      <c r="F41" s="12" t="n"/>
      <c r="G41" s="12" t="n"/>
      <c r="H41" s="33" t="n"/>
      <c r="I41" s="33" t="n"/>
      <c r="J41" s="13" t="n"/>
      <c r="K41" s="12" t="n"/>
      <c r="L41" s="33" t="n"/>
      <c r="M41" s="12" t="n"/>
    </row>
    <row r="42" ht="22" customHeight="1">
      <c r="B42" s="18">
        <f>IF(C42="","ROT-"&amp;TEXT(COUNTA($C$5:C42),"000"))</f>
        <v/>
      </c>
      <c r="C42" s="15" t="n"/>
      <c r="D42" s="15" t="n"/>
      <c r="E42" s="15" t="n"/>
      <c r="F42" s="15" t="n"/>
      <c r="G42" s="15" t="n"/>
      <c r="H42" s="34" t="n"/>
      <c r="I42" s="34" t="n"/>
      <c r="J42" s="16" t="n"/>
      <c r="K42" s="15" t="n"/>
      <c r="L42" s="34" t="n"/>
      <c r="M42" s="15" t="n"/>
    </row>
    <row r="43" ht="22" customHeight="1">
      <c r="B43" s="19">
        <f>IF(C43="","ROT-"&amp;TEXT(COUNTA($C$5:C43),"000"))</f>
        <v/>
      </c>
      <c r="C43" s="12" t="n"/>
      <c r="D43" s="12" t="n"/>
      <c r="E43" s="12" t="n"/>
      <c r="F43" s="12" t="n"/>
      <c r="G43" s="12" t="n"/>
      <c r="H43" s="33" t="n"/>
      <c r="I43" s="33" t="n"/>
      <c r="J43" s="13" t="n"/>
      <c r="K43" s="12" t="n"/>
      <c r="L43" s="33" t="n"/>
      <c r="M43" s="12" t="n"/>
    </row>
    <row r="44" ht="22" customHeight="1">
      <c r="B44" s="18">
        <f>IF(C44="","ROT-"&amp;TEXT(COUNTA($C$5:C44),"000"))</f>
        <v/>
      </c>
      <c r="C44" s="15" t="n"/>
      <c r="D44" s="15" t="n"/>
      <c r="E44" s="15" t="n"/>
      <c r="F44" s="15" t="n"/>
      <c r="G44" s="15" t="n"/>
      <c r="H44" s="34" t="n"/>
      <c r="I44" s="34" t="n"/>
      <c r="J44" s="16" t="n"/>
      <c r="K44" s="15" t="n"/>
      <c r="L44" s="34" t="n"/>
      <c r="M44" s="15" t="n"/>
    </row>
    <row r="45" ht="22" customHeight="1">
      <c r="B45" s="19">
        <f>IF(C45="","ROT-"&amp;TEXT(COUNTA($C$5:C45),"000"))</f>
        <v/>
      </c>
      <c r="C45" s="12" t="n"/>
      <c r="D45" s="12" t="n"/>
      <c r="E45" s="12" t="n"/>
      <c r="F45" s="12" t="n"/>
      <c r="G45" s="12" t="n"/>
      <c r="H45" s="33" t="n"/>
      <c r="I45" s="33" t="n"/>
      <c r="J45" s="13" t="n"/>
      <c r="K45" s="12" t="n"/>
      <c r="L45" s="33" t="n"/>
      <c r="M45" s="12" t="n"/>
    </row>
    <row r="46" ht="22" customHeight="1">
      <c r="B46" s="18">
        <f>IF(C46="","ROT-"&amp;TEXT(COUNTA($C$5:C46),"000"))</f>
        <v/>
      </c>
      <c r="C46" s="15" t="n"/>
      <c r="D46" s="15" t="n"/>
      <c r="E46" s="15" t="n"/>
      <c r="F46" s="15" t="n"/>
      <c r="G46" s="15" t="n"/>
      <c r="H46" s="34" t="n"/>
      <c r="I46" s="34" t="n"/>
      <c r="J46" s="16" t="n"/>
      <c r="K46" s="15" t="n"/>
      <c r="L46" s="34" t="n"/>
      <c r="M46" s="15" t="n"/>
    </row>
    <row r="47" ht="22" customHeight="1">
      <c r="B47" s="19">
        <f>IF(C47="","ROT-"&amp;TEXT(COUNTA($C$5:C47),"000"))</f>
        <v/>
      </c>
      <c r="C47" s="12" t="n"/>
      <c r="D47" s="12" t="n"/>
      <c r="E47" s="12" t="n"/>
      <c r="F47" s="12" t="n"/>
      <c r="G47" s="12" t="n"/>
      <c r="H47" s="33" t="n"/>
      <c r="I47" s="33" t="n"/>
      <c r="J47" s="13" t="n"/>
      <c r="K47" s="12" t="n"/>
      <c r="L47" s="33" t="n"/>
      <c r="M47" s="12" t="n"/>
    </row>
    <row r="48" ht="22" customHeight="1">
      <c r="B48" s="18">
        <f>IF(C48="","ROT-"&amp;TEXT(COUNTA($C$5:C48),"000"))</f>
        <v/>
      </c>
      <c r="C48" s="15" t="n"/>
      <c r="D48" s="15" t="n"/>
      <c r="E48" s="15" t="n"/>
      <c r="F48" s="15" t="n"/>
      <c r="G48" s="15" t="n"/>
      <c r="H48" s="34" t="n"/>
      <c r="I48" s="34" t="n"/>
      <c r="J48" s="16" t="n"/>
      <c r="K48" s="15" t="n"/>
      <c r="L48" s="34" t="n"/>
      <c r="M48" s="15" t="n"/>
    </row>
    <row r="49" ht="22" customHeight="1">
      <c r="B49" s="19">
        <f>IF(C49="","ROT-"&amp;TEXT(COUNTA($C$5:C49),"000"))</f>
        <v/>
      </c>
      <c r="C49" s="12" t="n"/>
      <c r="D49" s="12" t="n"/>
      <c r="E49" s="12" t="n"/>
      <c r="F49" s="12" t="n"/>
      <c r="G49" s="12" t="n"/>
      <c r="H49" s="33" t="n"/>
      <c r="I49" s="33" t="n"/>
      <c r="J49" s="13" t="n"/>
      <c r="K49" s="12" t="n"/>
      <c r="L49" s="33" t="n"/>
      <c r="M49" s="12" t="n"/>
    </row>
    <row r="50" ht="22" customHeight="1">
      <c r="B50" s="18">
        <f>IF(C50="","ROT-"&amp;TEXT(COUNTA($C$5:C50),"000"))</f>
        <v/>
      </c>
      <c r="C50" s="15" t="n"/>
      <c r="D50" s="15" t="n"/>
      <c r="E50" s="15" t="n"/>
      <c r="F50" s="15" t="n"/>
      <c r="G50" s="15" t="n"/>
      <c r="H50" s="34" t="n"/>
      <c r="I50" s="34" t="n"/>
      <c r="J50" s="16" t="n"/>
      <c r="K50" s="15" t="n"/>
      <c r="L50" s="34" t="n"/>
      <c r="M50" s="15" t="n"/>
    </row>
    <row r="51" ht="22" customHeight="1">
      <c r="B51" s="19">
        <f>IF(C51="","ROT-"&amp;TEXT(COUNTA($C$5:C51),"000"))</f>
        <v/>
      </c>
      <c r="C51" s="12" t="n"/>
      <c r="D51" s="12" t="n"/>
      <c r="E51" s="12" t="n"/>
      <c r="F51" s="12" t="n"/>
      <c r="G51" s="12" t="n"/>
      <c r="H51" s="33" t="n"/>
      <c r="I51" s="33" t="n"/>
      <c r="J51" s="13" t="n"/>
      <c r="K51" s="12" t="n"/>
      <c r="L51" s="33" t="n"/>
      <c r="M51" s="12" t="n"/>
    </row>
    <row r="52" ht="22" customHeight="1">
      <c r="B52" s="18">
        <f>IF(C52="","ROT-"&amp;TEXT(COUNTA($C$5:C52),"000"))</f>
        <v/>
      </c>
      <c r="C52" s="15" t="n"/>
      <c r="D52" s="15" t="n"/>
      <c r="E52" s="15" t="n"/>
      <c r="F52" s="15" t="n"/>
      <c r="G52" s="15" t="n"/>
      <c r="H52" s="34" t="n"/>
      <c r="I52" s="34" t="n"/>
      <c r="J52" s="16" t="n"/>
      <c r="K52" s="15" t="n"/>
      <c r="L52" s="34" t="n"/>
      <c r="M52" s="15" t="n"/>
    </row>
    <row r="53" ht="22" customHeight="1">
      <c r="B53" s="19">
        <f>IF(C53="","ROT-"&amp;TEXT(COUNTA($C$5:C53),"000"))</f>
        <v/>
      </c>
      <c r="C53" s="12" t="n"/>
      <c r="D53" s="12" t="n"/>
      <c r="E53" s="12" t="n"/>
      <c r="F53" s="12" t="n"/>
      <c r="G53" s="12" t="n"/>
      <c r="H53" s="33" t="n"/>
      <c r="I53" s="33" t="n"/>
      <c r="J53" s="13" t="n"/>
      <c r="K53" s="12" t="n"/>
      <c r="L53" s="33" t="n"/>
      <c r="M53" s="12" t="n"/>
    </row>
    <row r="54" ht="22" customHeight="1">
      <c r="B54" s="18">
        <f>IF(C54="","ROT-"&amp;TEXT(COUNTA($C$5:C54),"000"))</f>
        <v/>
      </c>
      <c r="C54" s="15" t="n"/>
      <c r="D54" s="15" t="n"/>
      <c r="E54" s="15" t="n"/>
      <c r="F54" s="15" t="n"/>
      <c r="G54" s="15" t="n"/>
      <c r="H54" s="34" t="n"/>
      <c r="I54" s="34" t="n"/>
      <c r="J54" s="16" t="n"/>
      <c r="K54" s="15" t="n"/>
      <c r="L54" s="34" t="n"/>
      <c r="M54" s="15" t="n"/>
    </row>
    <row r="55" ht="22" customHeight="1">
      <c r="B55" s="19">
        <f>IF(C55="","ROT-"&amp;TEXT(COUNTA($C$5:C55),"000"))</f>
        <v/>
      </c>
      <c r="C55" s="12" t="n"/>
      <c r="D55" s="12" t="n"/>
      <c r="E55" s="12" t="n"/>
      <c r="F55" s="12" t="n"/>
      <c r="G55" s="12" t="n"/>
      <c r="H55" s="33" t="n"/>
      <c r="I55" s="33" t="n"/>
      <c r="J55" s="13" t="n"/>
      <c r="K55" s="12" t="n"/>
      <c r="L55" s="33" t="n"/>
      <c r="M55" s="12" t="n"/>
    </row>
    <row r="56" ht="22" customHeight="1">
      <c r="B56" s="18">
        <f>IF(C56="","ROT-"&amp;TEXT(COUNTA($C$5:C56),"000"))</f>
        <v/>
      </c>
      <c r="C56" s="15" t="n"/>
      <c r="D56" s="15" t="n"/>
      <c r="E56" s="15" t="n"/>
      <c r="F56" s="15" t="n"/>
      <c r="G56" s="15" t="n"/>
      <c r="H56" s="34" t="n"/>
      <c r="I56" s="34" t="n"/>
      <c r="J56" s="16" t="n"/>
      <c r="K56" s="15" t="n"/>
      <c r="L56" s="34" t="n"/>
      <c r="M56" s="15" t="n"/>
    </row>
    <row r="57" ht="22" customHeight="1">
      <c r="B57" s="19">
        <f>IF(C57="","ROT-"&amp;TEXT(COUNTA($C$5:C57),"000"))</f>
        <v/>
      </c>
      <c r="C57" s="12" t="n"/>
      <c r="D57" s="12" t="n"/>
      <c r="E57" s="12" t="n"/>
      <c r="F57" s="12" t="n"/>
      <c r="G57" s="12" t="n"/>
      <c r="H57" s="33" t="n"/>
      <c r="I57" s="33" t="n"/>
      <c r="J57" s="13" t="n"/>
      <c r="K57" s="12" t="n"/>
      <c r="L57" s="33" t="n"/>
      <c r="M57" s="12" t="n"/>
    </row>
    <row r="58" ht="22" customHeight="1">
      <c r="B58" s="18">
        <f>IF(C58="","ROT-"&amp;TEXT(COUNTA($C$5:C58),"000"))</f>
        <v/>
      </c>
      <c r="C58" s="15" t="n"/>
      <c r="D58" s="15" t="n"/>
      <c r="E58" s="15" t="n"/>
      <c r="F58" s="15" t="n"/>
      <c r="G58" s="15" t="n"/>
      <c r="H58" s="34" t="n"/>
      <c r="I58" s="34" t="n"/>
      <c r="J58" s="16" t="n"/>
      <c r="K58" s="15" t="n"/>
      <c r="L58" s="34" t="n"/>
      <c r="M58" s="15" t="n"/>
    </row>
    <row r="59" ht="22" customHeight="1">
      <c r="B59" s="19">
        <f>IF(C59="","ROT-"&amp;TEXT(COUNTA($C$5:C59),"000"))</f>
        <v/>
      </c>
      <c r="C59" s="12" t="n"/>
      <c r="D59" s="12" t="n"/>
      <c r="E59" s="12" t="n"/>
      <c r="F59" s="12" t="n"/>
      <c r="G59" s="12" t="n"/>
      <c r="H59" s="33" t="n"/>
      <c r="I59" s="33" t="n"/>
      <c r="J59" s="13" t="n"/>
      <c r="K59" s="12" t="n"/>
      <c r="L59" s="33" t="n"/>
      <c r="M59" s="12" t="n"/>
    </row>
    <row r="60" ht="22" customHeight="1">
      <c r="B60" s="18">
        <f>IF(C60="","ROT-"&amp;TEXT(COUNTA($C$5:C60),"000"))</f>
        <v/>
      </c>
      <c r="C60" s="15" t="n"/>
      <c r="D60" s="15" t="n"/>
      <c r="E60" s="15" t="n"/>
      <c r="F60" s="15" t="n"/>
      <c r="G60" s="15" t="n"/>
      <c r="H60" s="34" t="n"/>
      <c r="I60" s="34" t="n"/>
      <c r="J60" s="16" t="n"/>
      <c r="K60" s="15" t="n"/>
      <c r="L60" s="34" t="n"/>
      <c r="M60" s="15" t="n"/>
    </row>
    <row r="61" ht="22" customHeight="1">
      <c r="B61" s="19">
        <f>IF(C61="","ROT-"&amp;TEXT(COUNTA($C$5:C61),"000"))</f>
        <v/>
      </c>
      <c r="C61" s="12" t="n"/>
      <c r="D61" s="12" t="n"/>
      <c r="E61" s="12" t="n"/>
      <c r="F61" s="12" t="n"/>
      <c r="G61" s="12" t="n"/>
      <c r="H61" s="33" t="n"/>
      <c r="I61" s="33" t="n"/>
      <c r="J61" s="13" t="n"/>
      <c r="K61" s="12" t="n"/>
      <c r="L61" s="33" t="n"/>
      <c r="M61" s="12" t="n"/>
    </row>
    <row r="62" ht="22" customHeight="1">
      <c r="B62" s="18">
        <f>IF(C62="","ROT-"&amp;TEXT(COUNTA($C$5:C62),"000"))</f>
        <v/>
      </c>
      <c r="C62" s="15" t="n"/>
      <c r="D62" s="15" t="n"/>
      <c r="E62" s="15" t="n"/>
      <c r="F62" s="15" t="n"/>
      <c r="G62" s="15" t="n"/>
      <c r="H62" s="34" t="n"/>
      <c r="I62" s="34" t="n"/>
      <c r="J62" s="16" t="n"/>
      <c r="K62" s="15" t="n"/>
      <c r="L62" s="34" t="n"/>
      <c r="M62" s="15" t="n"/>
    </row>
    <row r="63" ht="22" customHeight="1">
      <c r="B63" s="19">
        <f>IF(C63="","ROT-"&amp;TEXT(COUNTA($C$5:C63),"000"))</f>
        <v/>
      </c>
      <c r="C63" s="12" t="n"/>
      <c r="D63" s="12" t="n"/>
      <c r="E63" s="12" t="n"/>
      <c r="F63" s="12" t="n"/>
      <c r="G63" s="12" t="n"/>
      <c r="H63" s="33" t="n"/>
      <c r="I63" s="33" t="n"/>
      <c r="J63" s="13" t="n"/>
      <c r="K63" s="12" t="n"/>
      <c r="L63" s="33" t="n"/>
      <c r="M63" s="12" t="n"/>
    </row>
    <row r="64" ht="22" customHeight="1">
      <c r="B64" s="18">
        <f>IF(C64="","ROT-"&amp;TEXT(COUNTA($C$5:C64),"000"))</f>
        <v/>
      </c>
      <c r="C64" s="15" t="n"/>
      <c r="D64" s="15" t="n"/>
      <c r="E64" s="15" t="n"/>
      <c r="F64" s="15" t="n"/>
      <c r="G64" s="15" t="n"/>
      <c r="H64" s="34" t="n"/>
      <c r="I64" s="34" t="n"/>
      <c r="J64" s="16" t="n"/>
      <c r="K64" s="15" t="n"/>
      <c r="L64" s="34" t="n"/>
      <c r="M64" s="15" t="n"/>
    </row>
    <row r="65" ht="22" customHeight="1">
      <c r="B65" s="19">
        <f>IF(C65="","ROT-"&amp;TEXT(COUNTA($C$5:C65),"000"))</f>
        <v/>
      </c>
      <c r="C65" s="12" t="n"/>
      <c r="D65" s="12" t="n"/>
      <c r="E65" s="12" t="n"/>
      <c r="F65" s="12" t="n"/>
      <c r="G65" s="12" t="n"/>
      <c r="H65" s="33" t="n"/>
      <c r="I65" s="33" t="n"/>
      <c r="J65" s="13" t="n"/>
      <c r="K65" s="12" t="n"/>
      <c r="L65" s="33" t="n"/>
      <c r="M65" s="12" t="n"/>
    </row>
    <row r="66" ht="22" customHeight="1">
      <c r="B66" s="18">
        <f>IF(C66="","ROT-"&amp;TEXT(COUNTA($C$5:C66),"000"))</f>
        <v/>
      </c>
      <c r="C66" s="15" t="n"/>
      <c r="D66" s="15" t="n"/>
      <c r="E66" s="15" t="n"/>
      <c r="F66" s="15" t="n"/>
      <c r="G66" s="15" t="n"/>
      <c r="H66" s="34" t="n"/>
      <c r="I66" s="34" t="n"/>
      <c r="J66" s="16" t="n"/>
      <c r="K66" s="15" t="n"/>
      <c r="L66" s="34" t="n"/>
      <c r="M66" s="15" t="n"/>
    </row>
    <row r="67" ht="22" customHeight="1">
      <c r="B67" s="19">
        <f>IF(C67="","ROT-"&amp;TEXT(COUNTA($C$5:C67),"000"))</f>
        <v/>
      </c>
      <c r="C67" s="12" t="n"/>
      <c r="D67" s="12" t="n"/>
      <c r="E67" s="12" t="n"/>
      <c r="F67" s="12" t="n"/>
      <c r="G67" s="12" t="n"/>
      <c r="H67" s="33" t="n"/>
      <c r="I67" s="33" t="n"/>
      <c r="J67" s="13" t="n"/>
      <c r="K67" s="12" t="n"/>
      <c r="L67" s="33" t="n"/>
      <c r="M67" s="12" t="n"/>
    </row>
    <row r="68" ht="22" customHeight="1">
      <c r="B68" s="18">
        <f>IF(C68="","ROT-"&amp;TEXT(COUNTA($C$5:C68),"000"))</f>
        <v/>
      </c>
      <c r="C68" s="15" t="n"/>
      <c r="D68" s="15" t="n"/>
      <c r="E68" s="15" t="n"/>
      <c r="F68" s="15" t="n"/>
      <c r="G68" s="15" t="n"/>
      <c r="H68" s="34" t="n"/>
      <c r="I68" s="34" t="n"/>
      <c r="J68" s="16" t="n"/>
      <c r="K68" s="15" t="n"/>
      <c r="L68" s="34" t="n"/>
      <c r="M68" s="15" t="n"/>
    </row>
    <row r="69" ht="22" customHeight="1">
      <c r="B69" s="19">
        <f>IF(C69="","ROT-"&amp;TEXT(COUNTA($C$5:C69),"000"))</f>
        <v/>
      </c>
      <c r="C69" s="12" t="n"/>
      <c r="D69" s="12" t="n"/>
      <c r="E69" s="12" t="n"/>
      <c r="F69" s="12" t="n"/>
      <c r="G69" s="12" t="n"/>
      <c r="H69" s="33" t="n"/>
      <c r="I69" s="33" t="n"/>
      <c r="J69" s="13" t="n"/>
      <c r="K69" s="12" t="n"/>
      <c r="L69" s="33" t="n"/>
      <c r="M69" s="12" t="n"/>
    </row>
    <row r="70" ht="22" customHeight="1">
      <c r="B70" s="18">
        <f>IF(C70="","ROT-"&amp;TEXT(COUNTA($C$5:C70),"000"))</f>
        <v/>
      </c>
      <c r="C70" s="15" t="n"/>
      <c r="D70" s="15" t="n"/>
      <c r="E70" s="15" t="n"/>
      <c r="F70" s="15" t="n"/>
      <c r="G70" s="15" t="n"/>
      <c r="H70" s="34" t="n"/>
      <c r="I70" s="34" t="n"/>
      <c r="J70" s="16" t="n"/>
      <c r="K70" s="15" t="n"/>
      <c r="L70" s="34" t="n"/>
      <c r="M70" s="15" t="n"/>
    </row>
    <row r="71" ht="22" customHeight="1">
      <c r="B71" s="19">
        <f>IF(C71="","ROT-"&amp;TEXT(COUNTA($C$5:C71),"000"))</f>
        <v/>
      </c>
      <c r="C71" s="12" t="n"/>
      <c r="D71" s="12" t="n"/>
      <c r="E71" s="12" t="n"/>
      <c r="F71" s="12" t="n"/>
      <c r="G71" s="12" t="n"/>
      <c r="H71" s="33" t="n"/>
      <c r="I71" s="33" t="n"/>
      <c r="J71" s="13" t="n"/>
      <c r="K71" s="12" t="n"/>
      <c r="L71" s="33" t="n"/>
      <c r="M71" s="12" t="n"/>
    </row>
    <row r="72" ht="22" customHeight="1">
      <c r="B72" s="18">
        <f>IF(C72="","ROT-"&amp;TEXT(COUNTA($C$5:C72),"000"))</f>
        <v/>
      </c>
      <c r="C72" s="15" t="n"/>
      <c r="D72" s="15" t="n"/>
      <c r="E72" s="15" t="n"/>
      <c r="F72" s="15" t="n"/>
      <c r="G72" s="15" t="n"/>
      <c r="H72" s="34" t="n"/>
      <c r="I72" s="34" t="n"/>
      <c r="J72" s="16" t="n"/>
      <c r="K72" s="15" t="n"/>
      <c r="L72" s="34" t="n"/>
      <c r="M72" s="15" t="n"/>
    </row>
    <row r="73" ht="22" customHeight="1">
      <c r="B73" s="19">
        <f>IF(C73="","ROT-"&amp;TEXT(COUNTA($C$5:C73),"000"))</f>
        <v/>
      </c>
      <c r="C73" s="12" t="n"/>
      <c r="D73" s="12" t="n"/>
      <c r="E73" s="12" t="n"/>
      <c r="F73" s="12" t="n"/>
      <c r="G73" s="12" t="n"/>
      <c r="H73" s="33" t="n"/>
      <c r="I73" s="33" t="n"/>
      <c r="J73" s="13" t="n"/>
      <c r="K73" s="12" t="n"/>
      <c r="L73" s="33" t="n"/>
      <c r="M73" s="12" t="n"/>
    </row>
    <row r="74" ht="22" customHeight="1">
      <c r="B74" s="18">
        <f>IF(C74="","ROT-"&amp;TEXT(COUNTA($C$5:C74),"000"))</f>
        <v/>
      </c>
      <c r="C74" s="15" t="n"/>
      <c r="D74" s="15" t="n"/>
      <c r="E74" s="15" t="n"/>
      <c r="F74" s="15" t="n"/>
      <c r="G74" s="15" t="n"/>
      <c r="H74" s="34" t="n"/>
      <c r="I74" s="34" t="n"/>
      <c r="J74" s="16" t="n"/>
      <c r="K74" s="15" t="n"/>
      <c r="L74" s="34" t="n"/>
      <c r="M74" s="15" t="n"/>
    </row>
    <row r="75" ht="22" customHeight="1">
      <c r="B75" s="19">
        <f>IF(C75="","ROT-"&amp;TEXT(COUNTA($C$5:C75),"000"))</f>
        <v/>
      </c>
      <c r="C75" s="12" t="n"/>
      <c r="D75" s="12" t="n"/>
      <c r="E75" s="12" t="n"/>
      <c r="F75" s="12" t="n"/>
      <c r="G75" s="12" t="n"/>
      <c r="H75" s="33" t="n"/>
      <c r="I75" s="33" t="n"/>
      <c r="J75" s="13" t="n"/>
      <c r="K75" s="12" t="n"/>
      <c r="L75" s="33" t="n"/>
      <c r="M75" s="12" t="n"/>
    </row>
    <row r="76" ht="22" customHeight="1">
      <c r="B76" s="18">
        <f>IF(C76="","ROT-"&amp;TEXT(COUNTA($C$5:C76),"000"))</f>
        <v/>
      </c>
      <c r="C76" s="15" t="n"/>
      <c r="D76" s="15" t="n"/>
      <c r="E76" s="15" t="n"/>
      <c r="F76" s="15" t="n"/>
      <c r="G76" s="15" t="n"/>
      <c r="H76" s="34" t="n"/>
      <c r="I76" s="34" t="n"/>
      <c r="J76" s="16" t="n"/>
      <c r="K76" s="15" t="n"/>
      <c r="L76" s="34" t="n"/>
      <c r="M76" s="15" t="n"/>
    </row>
    <row r="77" ht="22" customHeight="1">
      <c r="B77" s="19">
        <f>IF(C77="","ROT-"&amp;TEXT(COUNTA($C$5:C77),"000"))</f>
        <v/>
      </c>
      <c r="C77" s="12" t="n"/>
      <c r="D77" s="12" t="n"/>
      <c r="E77" s="12" t="n"/>
      <c r="F77" s="12" t="n"/>
      <c r="G77" s="12" t="n"/>
      <c r="H77" s="33" t="n"/>
      <c r="I77" s="33" t="n"/>
      <c r="J77" s="13" t="n"/>
      <c r="K77" s="12" t="n"/>
      <c r="L77" s="33" t="n"/>
      <c r="M77" s="12" t="n"/>
    </row>
    <row r="78" ht="22" customHeight="1">
      <c r="B78" s="18">
        <f>IF(C78="","ROT-"&amp;TEXT(COUNTA($C$5:C78),"000"))</f>
        <v/>
      </c>
      <c r="C78" s="15" t="n"/>
      <c r="D78" s="15" t="n"/>
      <c r="E78" s="15" t="n"/>
      <c r="F78" s="15" t="n"/>
      <c r="G78" s="15" t="n"/>
      <c r="H78" s="34" t="n"/>
      <c r="I78" s="34" t="n"/>
      <c r="J78" s="16" t="n"/>
      <c r="K78" s="15" t="n"/>
      <c r="L78" s="34" t="n"/>
      <c r="M78" s="15" t="n"/>
    </row>
    <row r="79" ht="22" customHeight="1">
      <c r="B79" s="19">
        <f>IF(C79="","ROT-"&amp;TEXT(COUNTA($C$5:C79),"000"))</f>
        <v/>
      </c>
      <c r="C79" s="12" t="n"/>
      <c r="D79" s="12" t="n"/>
      <c r="E79" s="12" t="n"/>
      <c r="F79" s="12" t="n"/>
      <c r="G79" s="12" t="n"/>
      <c r="H79" s="33" t="n"/>
      <c r="I79" s="33" t="n"/>
      <c r="J79" s="13" t="n"/>
      <c r="K79" s="12" t="n"/>
      <c r="L79" s="33" t="n"/>
      <c r="M79" s="12" t="n"/>
    </row>
    <row r="80" ht="22" customHeight="1">
      <c r="B80" s="18">
        <f>IF(C80="","ROT-"&amp;TEXT(COUNTA($C$5:C80),"000"))</f>
        <v/>
      </c>
      <c r="C80" s="15" t="n"/>
      <c r="D80" s="15" t="n"/>
      <c r="E80" s="15" t="n"/>
      <c r="F80" s="15" t="n"/>
      <c r="G80" s="15" t="n"/>
      <c r="H80" s="34" t="n"/>
      <c r="I80" s="34" t="n"/>
      <c r="J80" s="16" t="n"/>
      <c r="K80" s="15" t="n"/>
      <c r="L80" s="34" t="n"/>
      <c r="M80" s="15" t="n"/>
    </row>
    <row r="81" ht="22" customHeight="1">
      <c r="B81" s="19">
        <f>IF(C81="","ROT-"&amp;TEXT(COUNTA($C$5:C81),"000"))</f>
        <v/>
      </c>
      <c r="C81" s="12" t="n"/>
      <c r="D81" s="12" t="n"/>
      <c r="E81" s="12" t="n"/>
      <c r="F81" s="12" t="n"/>
      <c r="G81" s="12" t="n"/>
      <c r="H81" s="33" t="n"/>
      <c r="I81" s="33" t="n"/>
      <c r="J81" s="13" t="n"/>
      <c r="K81" s="12" t="n"/>
      <c r="L81" s="33" t="n"/>
      <c r="M81" s="12" t="n"/>
    </row>
    <row r="82" ht="22" customHeight="1">
      <c r="B82" s="18">
        <f>IF(C82="","ROT-"&amp;TEXT(COUNTA($C$5:C82),"000"))</f>
        <v/>
      </c>
      <c r="C82" s="15" t="n"/>
      <c r="D82" s="15" t="n"/>
      <c r="E82" s="15" t="n"/>
      <c r="F82" s="15" t="n"/>
      <c r="G82" s="15" t="n"/>
      <c r="H82" s="34" t="n"/>
      <c r="I82" s="34" t="n"/>
      <c r="J82" s="16" t="n"/>
      <c r="K82" s="15" t="n"/>
      <c r="L82" s="34" t="n"/>
      <c r="M82" s="15" t="n"/>
    </row>
    <row r="83" ht="22" customHeight="1">
      <c r="B83" s="19">
        <f>IF(C83="","ROT-"&amp;TEXT(COUNTA($C$5:C83),"000"))</f>
        <v/>
      </c>
      <c r="C83" s="12" t="n"/>
      <c r="D83" s="12" t="n"/>
      <c r="E83" s="12" t="n"/>
      <c r="F83" s="12" t="n"/>
      <c r="G83" s="12" t="n"/>
      <c r="H83" s="33" t="n"/>
      <c r="I83" s="33" t="n"/>
      <c r="J83" s="13" t="n"/>
      <c r="K83" s="12" t="n"/>
      <c r="L83" s="33" t="n"/>
      <c r="M83" s="12" t="n"/>
    </row>
    <row r="84" ht="22" customHeight="1">
      <c r="B84" s="18">
        <f>IF(C84="","ROT-"&amp;TEXT(COUNTA($C$5:C84),"000"))</f>
        <v/>
      </c>
      <c r="C84" s="15" t="n"/>
      <c r="D84" s="15" t="n"/>
      <c r="E84" s="15" t="n"/>
      <c r="F84" s="15" t="n"/>
      <c r="G84" s="15" t="n"/>
      <c r="H84" s="34" t="n"/>
      <c r="I84" s="34" t="n"/>
      <c r="J84" s="16" t="n"/>
      <c r="K84" s="15" t="n"/>
      <c r="L84" s="34" t="n"/>
      <c r="M84" s="15" t="n"/>
    </row>
    <row r="85" ht="22" customHeight="1">
      <c r="B85" s="19">
        <f>IF(C85="","ROT-"&amp;TEXT(COUNTA($C$5:C85),"000"))</f>
        <v/>
      </c>
      <c r="C85" s="12" t="n"/>
      <c r="D85" s="12" t="n"/>
      <c r="E85" s="12" t="n"/>
      <c r="F85" s="12" t="n"/>
      <c r="G85" s="12" t="n"/>
      <c r="H85" s="33" t="n"/>
      <c r="I85" s="33" t="n"/>
      <c r="J85" s="13" t="n"/>
      <c r="K85" s="12" t="n"/>
      <c r="L85" s="33" t="n"/>
      <c r="M85" s="12" t="n"/>
    </row>
    <row r="86" ht="22" customHeight="1">
      <c r="B86" s="18">
        <f>IF(C86="","ROT-"&amp;TEXT(COUNTA($C$5:C86),"000"))</f>
        <v/>
      </c>
      <c r="C86" s="15" t="n"/>
      <c r="D86" s="15" t="n"/>
      <c r="E86" s="15" t="n"/>
      <c r="F86" s="15" t="n"/>
      <c r="G86" s="15" t="n"/>
      <c r="H86" s="34" t="n"/>
      <c r="I86" s="34" t="n"/>
      <c r="J86" s="16" t="n"/>
      <c r="K86" s="15" t="n"/>
      <c r="L86" s="34" t="n"/>
      <c r="M86" s="15" t="n"/>
    </row>
    <row r="87" ht="22" customHeight="1">
      <c r="B87" s="19">
        <f>IF(C87="","ROT-"&amp;TEXT(COUNTA($C$5:C87),"000"))</f>
        <v/>
      </c>
      <c r="C87" s="12" t="n"/>
      <c r="D87" s="12" t="n"/>
      <c r="E87" s="12" t="n"/>
      <c r="F87" s="12" t="n"/>
      <c r="G87" s="12" t="n"/>
      <c r="H87" s="33" t="n"/>
      <c r="I87" s="33" t="n"/>
      <c r="J87" s="13" t="n"/>
      <c r="K87" s="12" t="n"/>
      <c r="L87" s="33" t="n"/>
      <c r="M87" s="12" t="n"/>
    </row>
    <row r="88" ht="22" customHeight="1">
      <c r="B88" s="18">
        <f>IF(C88="","ROT-"&amp;TEXT(COUNTA($C$5:C88),"000"))</f>
        <v/>
      </c>
      <c r="C88" s="15" t="n"/>
      <c r="D88" s="15" t="n"/>
      <c r="E88" s="15" t="n"/>
      <c r="F88" s="15" t="n"/>
      <c r="G88" s="15" t="n"/>
      <c r="H88" s="34" t="n"/>
      <c r="I88" s="34" t="n"/>
      <c r="J88" s="16" t="n"/>
      <c r="K88" s="15" t="n"/>
      <c r="L88" s="34" t="n"/>
      <c r="M88" s="15" t="n"/>
    </row>
    <row r="89" ht="22" customHeight="1">
      <c r="B89" s="19">
        <f>IF(C89="","ROT-"&amp;TEXT(COUNTA($C$5:C89),"000"))</f>
        <v/>
      </c>
      <c r="C89" s="12" t="n"/>
      <c r="D89" s="12" t="n"/>
      <c r="E89" s="12" t="n"/>
      <c r="F89" s="12" t="n"/>
      <c r="G89" s="12" t="n"/>
      <c r="H89" s="33" t="n"/>
      <c r="I89" s="33" t="n"/>
      <c r="J89" s="13" t="n"/>
      <c r="K89" s="12" t="n"/>
      <c r="L89" s="33" t="n"/>
      <c r="M89" s="12" t="n"/>
    </row>
    <row r="90" ht="22" customHeight="1">
      <c r="B90" s="18">
        <f>IF(C90="","ROT-"&amp;TEXT(COUNTA($C$5:C90),"000"))</f>
        <v/>
      </c>
      <c r="C90" s="15" t="n"/>
      <c r="D90" s="15" t="n"/>
      <c r="E90" s="15" t="n"/>
      <c r="F90" s="15" t="n"/>
      <c r="G90" s="15" t="n"/>
      <c r="H90" s="34" t="n"/>
      <c r="I90" s="34" t="n"/>
      <c r="J90" s="16" t="n"/>
      <c r="K90" s="15" t="n"/>
      <c r="L90" s="34" t="n"/>
      <c r="M90" s="15" t="n"/>
    </row>
    <row r="91" ht="22" customHeight="1">
      <c r="B91" s="19">
        <f>IF(C91="","ROT-"&amp;TEXT(COUNTA($C$5:C91),"000"))</f>
        <v/>
      </c>
      <c r="C91" s="12" t="n"/>
      <c r="D91" s="12" t="n"/>
      <c r="E91" s="12" t="n"/>
      <c r="F91" s="12" t="n"/>
      <c r="G91" s="12" t="n"/>
      <c r="H91" s="33" t="n"/>
      <c r="I91" s="33" t="n"/>
      <c r="J91" s="13" t="n"/>
      <c r="K91" s="12" t="n"/>
      <c r="L91" s="33" t="n"/>
      <c r="M91" s="12" t="n"/>
    </row>
    <row r="92" ht="22" customHeight="1">
      <c r="B92" s="18">
        <f>IF(C92="","ROT-"&amp;TEXT(COUNTA($C$5:C92),"000"))</f>
        <v/>
      </c>
      <c r="C92" s="15" t="n"/>
      <c r="D92" s="15" t="n"/>
      <c r="E92" s="15" t="n"/>
      <c r="F92" s="15" t="n"/>
      <c r="G92" s="15" t="n"/>
      <c r="H92" s="34" t="n"/>
      <c r="I92" s="34" t="n"/>
      <c r="J92" s="16" t="n"/>
      <c r="K92" s="15" t="n"/>
      <c r="L92" s="34" t="n"/>
      <c r="M92" s="15" t="n"/>
    </row>
    <row r="93" ht="22" customHeight="1">
      <c r="B93" s="19">
        <f>IF(C93="","ROT-"&amp;TEXT(COUNTA($C$5:C93),"000"))</f>
        <v/>
      </c>
      <c r="C93" s="12" t="n"/>
      <c r="D93" s="12" t="n"/>
      <c r="E93" s="12" t="n"/>
      <c r="F93" s="12" t="n"/>
      <c r="G93" s="12" t="n"/>
      <c r="H93" s="33" t="n"/>
      <c r="I93" s="33" t="n"/>
      <c r="J93" s="13" t="n"/>
      <c r="K93" s="12" t="n"/>
      <c r="L93" s="33" t="n"/>
      <c r="M93" s="12" t="n"/>
    </row>
    <row r="94" ht="22" customHeight="1">
      <c r="B94" s="18">
        <f>IF(C94="","ROT-"&amp;TEXT(COUNTA($C$5:C94),"000"))</f>
        <v/>
      </c>
      <c r="C94" s="15" t="n"/>
      <c r="D94" s="15" t="n"/>
      <c r="E94" s="15" t="n"/>
      <c r="F94" s="15" t="n"/>
      <c r="G94" s="15" t="n"/>
      <c r="H94" s="34" t="n"/>
      <c r="I94" s="34" t="n"/>
      <c r="J94" s="16" t="n"/>
      <c r="K94" s="15" t="n"/>
      <c r="L94" s="34" t="n"/>
      <c r="M94" s="15" t="n"/>
    </row>
    <row r="95" ht="22" customHeight="1">
      <c r="B95" s="19">
        <f>IF(C95="","ROT-"&amp;TEXT(COUNTA($C$5:C95),"000"))</f>
        <v/>
      </c>
      <c r="C95" s="12" t="n"/>
      <c r="D95" s="12" t="n"/>
      <c r="E95" s="12" t="n"/>
      <c r="F95" s="12" t="n"/>
      <c r="G95" s="12" t="n"/>
      <c r="H95" s="33" t="n"/>
      <c r="I95" s="33" t="n"/>
      <c r="J95" s="13" t="n"/>
      <c r="K95" s="12" t="n"/>
      <c r="L95" s="33" t="n"/>
      <c r="M95" s="12" t="n"/>
    </row>
    <row r="96" ht="22" customHeight="1">
      <c r="B96" s="18">
        <f>IF(C96="","ROT-"&amp;TEXT(COUNTA($C$5:C96),"000"))</f>
        <v/>
      </c>
      <c r="C96" s="15" t="n"/>
      <c r="D96" s="15" t="n"/>
      <c r="E96" s="15" t="n"/>
      <c r="F96" s="15" t="n"/>
      <c r="G96" s="15" t="n"/>
      <c r="H96" s="34" t="n"/>
      <c r="I96" s="34" t="n"/>
      <c r="J96" s="16" t="n"/>
      <c r="K96" s="15" t="n"/>
      <c r="L96" s="34" t="n"/>
      <c r="M96" s="15" t="n"/>
    </row>
    <row r="97" ht="22" customHeight="1">
      <c r="B97" s="19">
        <f>IF(C97="","ROT-"&amp;TEXT(COUNTA($C$5:C97),"000"))</f>
        <v/>
      </c>
      <c r="C97" s="12" t="n"/>
      <c r="D97" s="12" t="n"/>
      <c r="E97" s="12" t="n"/>
      <c r="F97" s="12" t="n"/>
      <c r="G97" s="12" t="n"/>
      <c r="H97" s="33" t="n"/>
      <c r="I97" s="33" t="n"/>
      <c r="J97" s="13" t="n"/>
      <c r="K97" s="12" t="n"/>
      <c r="L97" s="33" t="n"/>
      <c r="M97" s="12" t="n"/>
    </row>
    <row r="98" ht="22" customHeight="1">
      <c r="B98" s="18">
        <f>IF(C98="","ROT-"&amp;TEXT(COUNTA($C$5:C98),"000"))</f>
        <v/>
      </c>
      <c r="C98" s="15" t="n"/>
      <c r="D98" s="15" t="n"/>
      <c r="E98" s="15" t="n"/>
      <c r="F98" s="15" t="n"/>
      <c r="G98" s="15" t="n"/>
      <c r="H98" s="34" t="n"/>
      <c r="I98" s="34" t="n"/>
      <c r="J98" s="16" t="n"/>
      <c r="K98" s="15" t="n"/>
      <c r="L98" s="34" t="n"/>
      <c r="M98" s="15" t="n"/>
    </row>
    <row r="99" ht="22" customHeight="1">
      <c r="B99" s="19">
        <f>IF(C99="","ROT-"&amp;TEXT(COUNTA($C$5:C99),"000"))</f>
        <v/>
      </c>
      <c r="C99" s="12" t="n"/>
      <c r="D99" s="12" t="n"/>
      <c r="E99" s="12" t="n"/>
      <c r="F99" s="12" t="n"/>
      <c r="G99" s="12" t="n"/>
      <c r="H99" s="33" t="n"/>
      <c r="I99" s="33" t="n"/>
      <c r="J99" s="13" t="n"/>
      <c r="K99" s="12" t="n"/>
      <c r="L99" s="33" t="n"/>
      <c r="M99" s="12" t="n"/>
    </row>
    <row r="100" ht="22" customHeight="1">
      <c r="B100" s="18">
        <f>IF(C100="","ROT-"&amp;TEXT(COUNTA($C$5:C100),"000"))</f>
        <v/>
      </c>
      <c r="C100" s="15" t="n"/>
      <c r="D100" s="15" t="n"/>
      <c r="E100" s="15" t="n"/>
      <c r="F100" s="15" t="n"/>
      <c r="G100" s="15" t="n"/>
      <c r="H100" s="34" t="n"/>
      <c r="I100" s="34" t="n"/>
      <c r="J100" s="16" t="n"/>
      <c r="K100" s="15" t="n"/>
      <c r="L100" s="34" t="n"/>
      <c r="M100" s="15" t="n"/>
    </row>
    <row r="101" ht="22" customHeight="1">
      <c r="B101" s="19">
        <f>IF(C101="","ROT-"&amp;TEXT(COUNTA($C$5:C101),"000"))</f>
        <v/>
      </c>
      <c r="C101" s="12" t="n"/>
      <c r="D101" s="12" t="n"/>
      <c r="E101" s="12" t="n"/>
      <c r="F101" s="12" t="n"/>
      <c r="G101" s="12" t="n"/>
      <c r="H101" s="33" t="n"/>
      <c r="I101" s="33" t="n"/>
      <c r="J101" s="13" t="n"/>
      <c r="K101" s="12" t="n"/>
      <c r="L101" s="33" t="n"/>
      <c r="M101" s="12" t="n"/>
    </row>
    <row r="102" ht="22" customHeight="1">
      <c r="B102" s="18">
        <f>IF(C102="","ROT-"&amp;TEXT(COUNTA($C$5:C102),"000"))</f>
        <v/>
      </c>
      <c r="C102" s="15" t="n"/>
      <c r="D102" s="15" t="n"/>
      <c r="E102" s="15" t="n"/>
      <c r="F102" s="15" t="n"/>
      <c r="G102" s="15" t="n"/>
      <c r="H102" s="34" t="n"/>
      <c r="I102" s="34" t="n"/>
      <c r="J102" s="16" t="n"/>
      <c r="K102" s="15" t="n"/>
      <c r="L102" s="34" t="n"/>
      <c r="M102" s="15" t="n"/>
    </row>
    <row r="103" ht="22" customHeight="1">
      <c r="B103" s="19">
        <f>IF(C103="","ROT-"&amp;TEXT(COUNTA($C$5:C103),"000"))</f>
        <v/>
      </c>
      <c r="C103" s="12" t="n"/>
      <c r="D103" s="12" t="n"/>
      <c r="E103" s="12" t="n"/>
      <c r="F103" s="12" t="n"/>
      <c r="G103" s="12" t="n"/>
      <c r="H103" s="33" t="n"/>
      <c r="I103" s="33" t="n"/>
      <c r="J103" s="13" t="n"/>
      <c r="K103" s="12" t="n"/>
      <c r="L103" s="33" t="n"/>
      <c r="M103" s="12" t="n"/>
    </row>
    <row r="104" ht="22" customHeight="1">
      <c r="B104" s="18">
        <f>IF(C104="","ROT-"&amp;TEXT(COUNTA($C$5:C104),"000"))</f>
        <v/>
      </c>
      <c r="C104" s="15" t="n"/>
      <c r="D104" s="15" t="n"/>
      <c r="E104" s="15" t="n"/>
      <c r="F104" s="15" t="n"/>
      <c r="G104" s="15" t="n"/>
      <c r="H104" s="34" t="n"/>
      <c r="I104" s="34" t="n"/>
      <c r="J104" s="16" t="n"/>
      <c r="K104" s="15" t="n"/>
      <c r="L104" s="34" t="n"/>
      <c r="M104" s="15" t="n"/>
    </row>
    <row r="105" ht="22" customHeight="1">
      <c r="B105" s="19">
        <f>IF(C105="","ROT-"&amp;TEXT(COUNTA($C$5:C105),"000"))</f>
        <v/>
      </c>
      <c r="C105" s="12" t="n"/>
      <c r="D105" s="12" t="n"/>
      <c r="E105" s="12" t="n"/>
      <c r="F105" s="12" t="n"/>
      <c r="G105" s="12" t="n"/>
      <c r="H105" s="33" t="n"/>
      <c r="I105" s="33" t="n"/>
      <c r="J105" s="13" t="n"/>
      <c r="K105" s="12" t="n"/>
      <c r="L105" s="33" t="n"/>
      <c r="M105" s="12" t="n"/>
    </row>
    <row r="106" ht="22" customHeight="1">
      <c r="B106" s="18">
        <f>IF(C106="","ROT-"&amp;TEXT(COUNTA($C$5:C106),"000"))</f>
        <v/>
      </c>
      <c r="C106" s="15" t="n"/>
      <c r="D106" s="15" t="n"/>
      <c r="E106" s="15" t="n"/>
      <c r="F106" s="15" t="n"/>
      <c r="G106" s="15" t="n"/>
      <c r="H106" s="34" t="n"/>
      <c r="I106" s="34" t="n"/>
      <c r="J106" s="16" t="n"/>
      <c r="K106" s="15" t="n"/>
      <c r="L106" s="34" t="n"/>
      <c r="M106" s="15" t="n"/>
    </row>
    <row r="107" ht="22" customHeight="1">
      <c r="B107" s="19">
        <f>IF(C107="","ROT-"&amp;TEXT(COUNTA($C$5:C107),"000"))</f>
        <v/>
      </c>
      <c r="C107" s="12" t="n"/>
      <c r="D107" s="12" t="n"/>
      <c r="E107" s="12" t="n"/>
      <c r="F107" s="12" t="n"/>
      <c r="G107" s="12" t="n"/>
      <c r="H107" s="33" t="n"/>
      <c r="I107" s="33" t="n"/>
      <c r="J107" s="13" t="n"/>
      <c r="K107" s="12" t="n"/>
      <c r="L107" s="33" t="n"/>
      <c r="M107" s="12" t="n"/>
    </row>
    <row r="108" ht="22" customHeight="1">
      <c r="B108" s="18">
        <f>IF(C108="","ROT-"&amp;TEXT(COUNTA($C$5:C108),"000"))</f>
        <v/>
      </c>
      <c r="C108" s="15" t="n"/>
      <c r="D108" s="15" t="n"/>
      <c r="E108" s="15" t="n"/>
      <c r="F108" s="15" t="n"/>
      <c r="G108" s="15" t="n"/>
      <c r="H108" s="34" t="n"/>
      <c r="I108" s="34" t="n"/>
      <c r="J108" s="16" t="n"/>
      <c r="K108" s="15" t="n"/>
      <c r="L108" s="34" t="n"/>
      <c r="M108" s="15" t="n"/>
    </row>
    <row r="109" ht="22" customHeight="1">
      <c r="B109" s="19">
        <f>IF(C109="","ROT-"&amp;TEXT(COUNTA($C$5:C109),"000"))</f>
        <v/>
      </c>
      <c r="C109" s="12" t="n"/>
      <c r="D109" s="12" t="n"/>
      <c r="E109" s="12" t="n"/>
      <c r="F109" s="12" t="n"/>
      <c r="G109" s="12" t="n"/>
      <c r="H109" s="33" t="n"/>
      <c r="I109" s="33" t="n"/>
      <c r="J109" s="13" t="n"/>
      <c r="K109" s="12" t="n"/>
      <c r="L109" s="33" t="n"/>
      <c r="M109" s="12" t="n"/>
    </row>
    <row r="110"/>
    <row r="111">
      <c r="B111" s="6" t="inlineStr">
        <is>
          <t>INDICATEURS (mis a jour automatiquement)</t>
        </is>
      </c>
    </row>
    <row r="112">
      <c r="B112" s="3" t="inlineStr">
        <is>
          <t>Employes en rotation</t>
        </is>
      </c>
      <c r="D112" s="3" t="inlineStr">
        <is>
          <t>Rotations actives</t>
        </is>
      </c>
      <c r="F112" s="3" t="inlineStr">
        <is>
          <t>Equipe A</t>
        </is>
      </c>
      <c r="H112" s="3" t="inlineStr">
        <is>
          <t>Equipe Nuit</t>
        </is>
      </c>
    </row>
    <row r="113">
      <c r="B113" s="4">
        <f>COUNTIF(B5:B104,"&lt;&gt;")</f>
        <v/>
      </c>
      <c r="D113" s="4">
        <f>COUNTIF(M5:M104,"Actif")</f>
        <v/>
      </c>
      <c r="F113" s="4">
        <f>COUNTIF(F5:F104,"Equipe A")</f>
        <v/>
      </c>
      <c r="H113" s="4">
        <f>COUNTIF(K5:K104,"Equipe Nuit")</f>
        <v/>
      </c>
    </row>
  </sheetData>
  <mergeCells count="3">
    <mergeCell ref="B3:M3"/>
    <mergeCell ref="B2:M2"/>
    <mergeCell ref="B111:M111"/>
  </mergeCells>
  <conditionalFormatting sqref="M5:M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dataValidations count="5">
    <dataValidation sqref="E5:E109" showDropDown="0" showInputMessage="0" showErrorMessage="0" allowBlank="1" errorTitle="Erreur" error="Valeur invalide" promptTitle="Liste" prompt="Choisir dans la liste" type="list">
      <formula1>'_Lists'!$B$2:$B$14</formula1>
    </dataValidation>
    <dataValidation sqref="F5:F109" showDropDown="0" showInputMessage="0" showErrorMessage="0" allowBlank="1" errorTitle="Erreur" error="Valeur invalide" promptTitle="Liste" prompt="Choisir dans la liste" type="list">
      <formula1>'_Lists'!$D$2:$D$6</formula1>
    </dataValidation>
    <dataValidation sqref="G5:G109" showDropDown="0" showInputMessage="0" showErrorMessage="0" allowBlank="1" errorTitle="Erreur" error="Valeur invalide" promptTitle="Liste" prompt="Choisir dans la liste" type="list">
      <formula1>'_Lists'!$R$2:$R$11</formula1>
    </dataValidation>
    <dataValidation sqref="K5:K109" showDropDown="0" showInputMessage="0" showErrorMessage="0" allowBlank="1" errorTitle="Erreur" error="Valeur invalide" promptTitle="Liste" prompt="Choisir dans la liste" type="list">
      <formula1>'_Lists'!$D$2:$D$6</formula1>
    </dataValidation>
    <dataValidation sqref="M5:M109" showDropDown="0" showInputMessage="0" showErrorMessage="0" allowBlank="1" errorTitle="Erreur" error="Valeur invalide" promptTitle="Liste" prompt="Choisir dans la liste" type="list">
      <formula1>'_Lists'!$S$2:$S$4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K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22" customWidth="1" min="3" max="3"/>
    <col width="14" customWidth="1" min="4" max="4"/>
    <col width="14" customWidth="1" min="5" max="5"/>
    <col width="12" customWidth="1" min="6" max="6"/>
    <col width="28" customWidth="1" min="7" max="7"/>
    <col width="14" customWidth="1" min="8" max="8"/>
    <col width="28" customWidth="1" min="9" max="9"/>
    <col width="24" customWidth="1" min="10" max="10"/>
    <col width="14" customWidth="1" min="11" max="11"/>
  </cols>
  <sheetData>
    <row r="1" ht="15" customHeight="1"/>
    <row r="2" ht="32" customHeight="1">
      <c r="B2" s="1" t="inlineStr">
        <is>
          <t>PLANNING DES CONGES COLLECTIFS</t>
        </is>
      </c>
    </row>
    <row r="3" ht="8" customHeight="1">
      <c r="B3" s="2" t="inlineStr">
        <is>
          <t>TABLEAU DYNAMIQUE — Saisissez dans la prochaine ligne jaune. Les calculs se mettent a jour automatiquement.</t>
        </is>
      </c>
    </row>
    <row r="4" ht="28" customHeight="1">
      <c r="B4" s="11" t="inlineStr">
        <is>
          <t>N° Collectif</t>
        </is>
      </c>
      <c r="C4" s="11" t="inlineStr">
        <is>
          <t>Type Conge</t>
        </is>
      </c>
      <c r="D4" s="11" t="inlineStr">
        <is>
          <t>Date Debut</t>
        </is>
      </c>
      <c r="E4" s="11" t="inlineStr">
        <is>
          <t>Date Fin</t>
        </is>
      </c>
      <c r="F4" s="11" t="inlineStr">
        <is>
          <t>Nb Jours</t>
        </is>
      </c>
      <c r="G4" s="11" t="inlineStr">
        <is>
          <t>Departements Concernes</t>
        </is>
      </c>
      <c r="H4" s="11" t="inlineStr">
        <is>
          <t>Nb Employes</t>
        </is>
      </c>
      <c r="I4" s="11" t="inlineStr">
        <is>
          <t>Services Maintenus</t>
        </is>
      </c>
      <c r="J4" s="11" t="inlineStr">
        <is>
          <t>Motif</t>
        </is>
      </c>
      <c r="K4" s="11" t="inlineStr">
        <is>
          <t>Statut</t>
        </is>
      </c>
    </row>
    <row r="5" ht="22" customHeight="1">
      <c r="B5" s="12" t="inlineStr">
        <is>
          <t>CC-001</t>
        </is>
      </c>
      <c r="C5" s="12" t="inlineStr">
        <is>
          <t>Conges de Noel</t>
        </is>
      </c>
      <c r="D5" s="33" t="n">
        <v>46015</v>
      </c>
      <c r="E5" s="33" t="n">
        <v>46022</v>
      </c>
      <c r="F5" s="13" t="n">
        <v>6</v>
      </c>
      <c r="G5" s="12" t="inlineStr">
        <is>
          <t>Tous sauf Securite</t>
        </is>
      </c>
      <c r="H5" s="13" t="n">
        <v>45</v>
      </c>
      <c r="I5" s="12" t="inlineStr">
        <is>
          <t>Securite, Room Service</t>
        </is>
      </c>
      <c r="J5" s="12" t="inlineStr">
        <is>
          <t>Fermeture annuelle</t>
        </is>
      </c>
      <c r="K5" s="12" t="inlineStr">
        <is>
          <t>Planifie</t>
        </is>
      </c>
    </row>
    <row r="6" ht="22" customHeight="1">
      <c r="B6" s="15" t="inlineStr">
        <is>
          <t>CC-002</t>
        </is>
      </c>
      <c r="C6" s="15" t="inlineStr">
        <is>
          <t>Pont</t>
        </is>
      </c>
      <c r="D6" s="34" t="n">
        <v>45796</v>
      </c>
      <c r="E6" s="34" t="n">
        <v>45797</v>
      </c>
      <c r="F6" s="16" t="n">
        <v>1</v>
      </c>
      <c r="G6" s="15" t="inlineStr">
        <is>
          <t>Tous sauf Reception et Securite</t>
        </is>
      </c>
      <c r="H6" s="16" t="n">
        <v>38</v>
      </c>
      <c r="I6" s="15" t="inlineStr">
        <is>
          <t>Reception, Securite, Room Service</t>
        </is>
      </c>
      <c r="J6" s="15" t="inlineStr">
        <is>
          <t>Fete Nationale</t>
        </is>
      </c>
      <c r="K6" s="15" t="inlineStr">
        <is>
          <t>Planifie</t>
        </is>
      </c>
    </row>
    <row r="7" ht="22" customHeight="1">
      <c r="B7" s="12" t="inlineStr">
        <is>
          <t>CC-003</t>
        </is>
      </c>
      <c r="C7" s="12" t="inlineStr">
        <is>
          <t>Jour ferie</t>
        </is>
      </c>
      <c r="D7" s="33" t="n">
        <v>45658</v>
      </c>
      <c r="E7" s="33" t="n">
        <v>45658</v>
      </c>
      <c r="F7" s="13" t="n">
        <v>1</v>
      </c>
      <c r="G7" s="12" t="inlineStr">
        <is>
          <t>Tous sauf Securite et Reception</t>
        </is>
      </c>
      <c r="H7" s="13" t="n">
        <v>40</v>
      </c>
      <c r="I7" s="12" t="inlineStr">
        <is>
          <t>Securite, Reception, Room Service</t>
        </is>
      </c>
      <c r="J7" s="12" t="inlineStr">
        <is>
          <t>Jour de l'An</t>
        </is>
      </c>
      <c r="K7" s="12" t="inlineStr">
        <is>
          <t>Termine</t>
        </is>
      </c>
    </row>
    <row r="8" ht="22" customHeight="1">
      <c r="B8" s="15" t="inlineStr">
        <is>
          <t>CC-004</t>
        </is>
      </c>
      <c r="C8" s="15" t="inlineStr">
        <is>
          <t>Fermeture exceptionnelle</t>
        </is>
      </c>
      <c r="D8" s="34" t="n">
        <v>45880</v>
      </c>
      <c r="E8" s="34" t="n">
        <v>45884</v>
      </c>
      <c r="F8" s="16" t="n">
        <v>3</v>
      </c>
      <c r="G8" s="15" t="inlineStr">
        <is>
          <t>Production</t>
        </is>
      </c>
      <c r="H8" s="16" t="n">
        <v>12</v>
      </c>
      <c r="I8" s="15" t="inlineStr">
        <is>
          <t>Aucun</t>
        </is>
      </c>
      <c r="J8" s="15" t="inlineStr">
        <is>
          <t>Maintenance usine</t>
        </is>
      </c>
      <c r="K8" s="15" t="inlineStr">
        <is>
          <t>Planifie</t>
        </is>
      </c>
    </row>
    <row r="9" ht="22" customHeight="1">
      <c r="B9" s="12" t="inlineStr">
        <is>
          <t>CC-005</t>
        </is>
      </c>
      <c r="C9" s="12" t="inlineStr">
        <is>
          <t>Conges de Paques</t>
        </is>
      </c>
      <c r="D9" s="33" t="n">
        <v>45765</v>
      </c>
      <c r="E9" s="33" t="n">
        <v>45768</v>
      </c>
      <c r="F9" s="13" t="n">
        <v>2</v>
      </c>
      <c r="G9" s="12" t="inlineStr">
        <is>
          <t>Tous sauf Reception, Securite, Cuisine</t>
        </is>
      </c>
      <c r="H9" s="13" t="n">
        <v>30</v>
      </c>
      <c r="I9" s="12" t="inlineStr">
        <is>
          <t>Reception, Securite, Restaurant, Room Service</t>
        </is>
      </c>
      <c r="J9" s="12" t="inlineStr">
        <is>
          <t>Feries religieux</t>
        </is>
      </c>
      <c r="K9" s="12" t="inlineStr">
        <is>
          <t>Termine</t>
        </is>
      </c>
    </row>
    <row r="10" ht="22" customHeight="1">
      <c r="B10" s="18">
        <f>IF(C10="","CC-"&amp;TEXT(COUNTA($C$5:C10),"000"))</f>
        <v/>
      </c>
      <c r="C10" s="15" t="n"/>
      <c r="D10" s="34" t="n"/>
      <c r="E10" s="34" t="n"/>
      <c r="F10" s="16">
        <f>IF(D10="","",E10-D10+1)</f>
        <v/>
      </c>
      <c r="G10" s="15" t="n"/>
      <c r="H10" s="16" t="n"/>
      <c r="I10" s="15" t="n"/>
      <c r="J10" s="15" t="n"/>
      <c r="K10" s="15" t="n"/>
    </row>
    <row r="11" ht="22" customHeight="1">
      <c r="B11" s="19">
        <f>IF(C11="","CC-"&amp;TEXT(COUNTA($C$5:C11),"000"))</f>
        <v/>
      </c>
      <c r="C11" s="12" t="n"/>
      <c r="D11" s="33" t="n"/>
      <c r="E11" s="33" t="n"/>
      <c r="F11" s="13">
        <f>IF(D11="","",E11-D11+1)</f>
        <v/>
      </c>
      <c r="G11" s="12" t="n"/>
      <c r="H11" s="13" t="n"/>
      <c r="I11" s="12" t="n"/>
      <c r="J11" s="12" t="n"/>
      <c r="K11" s="12" t="n"/>
    </row>
    <row r="12" ht="22" customHeight="1">
      <c r="B12" s="18">
        <f>IF(C12="","CC-"&amp;TEXT(COUNTA($C$5:C12),"000"))</f>
        <v/>
      </c>
      <c r="C12" s="15" t="n"/>
      <c r="D12" s="34" t="n"/>
      <c r="E12" s="34" t="n"/>
      <c r="F12" s="16">
        <f>IF(D12="","",E12-D12+1)</f>
        <v/>
      </c>
      <c r="G12" s="15" t="n"/>
      <c r="H12" s="16" t="n"/>
      <c r="I12" s="15" t="n"/>
      <c r="J12" s="15" t="n"/>
      <c r="K12" s="15" t="n"/>
    </row>
    <row r="13" ht="22" customHeight="1">
      <c r="B13" s="19">
        <f>IF(C13="","CC-"&amp;TEXT(COUNTA($C$5:C13),"000"))</f>
        <v/>
      </c>
      <c r="C13" s="12" t="n"/>
      <c r="D13" s="33" t="n"/>
      <c r="E13" s="33" t="n"/>
      <c r="F13" s="13">
        <f>IF(D13="","",E13-D13+1)</f>
        <v/>
      </c>
      <c r="G13" s="12" t="n"/>
      <c r="H13" s="13" t="n"/>
      <c r="I13" s="12" t="n"/>
      <c r="J13" s="12" t="n"/>
      <c r="K13" s="12" t="n"/>
    </row>
    <row r="14" ht="22" customHeight="1">
      <c r="B14" s="18">
        <f>IF(C14="","CC-"&amp;TEXT(COUNTA($C$5:C14),"000"))</f>
        <v/>
      </c>
      <c r="C14" s="15" t="n"/>
      <c r="D14" s="34" t="n"/>
      <c r="E14" s="34" t="n"/>
      <c r="F14" s="16">
        <f>IF(D14="","",E14-D14+1)</f>
        <v/>
      </c>
      <c r="G14" s="15" t="n"/>
      <c r="H14" s="16" t="n"/>
      <c r="I14" s="15" t="n"/>
      <c r="J14" s="15" t="n"/>
      <c r="K14" s="15" t="n"/>
    </row>
    <row r="15" ht="22" customHeight="1">
      <c r="B15" s="19">
        <f>IF(C15="","CC-"&amp;TEXT(COUNTA($C$5:C15),"000"))</f>
        <v/>
      </c>
      <c r="C15" s="12" t="n"/>
      <c r="D15" s="33" t="n"/>
      <c r="E15" s="33" t="n"/>
      <c r="F15" s="13">
        <f>IF(D15="","",E15-D15+1)</f>
        <v/>
      </c>
      <c r="G15" s="12" t="n"/>
      <c r="H15" s="13" t="n"/>
      <c r="I15" s="12" t="n"/>
      <c r="J15" s="12" t="n"/>
      <c r="K15" s="12" t="n"/>
    </row>
    <row r="16" ht="22" customHeight="1">
      <c r="B16" s="18">
        <f>IF(C16="","CC-"&amp;TEXT(COUNTA($C$5:C16),"000"))</f>
        <v/>
      </c>
      <c r="C16" s="15" t="n"/>
      <c r="D16" s="34" t="n"/>
      <c r="E16" s="34" t="n"/>
      <c r="F16" s="16">
        <f>IF(D16="","",E16-D16+1)</f>
        <v/>
      </c>
      <c r="G16" s="15" t="n"/>
      <c r="H16" s="16" t="n"/>
      <c r="I16" s="15" t="n"/>
      <c r="J16" s="15" t="n"/>
      <c r="K16" s="15" t="n"/>
    </row>
    <row r="17" ht="22" customHeight="1">
      <c r="B17" s="19">
        <f>IF(C17="","CC-"&amp;TEXT(COUNTA($C$5:C17),"000"))</f>
        <v/>
      </c>
      <c r="C17" s="12" t="n"/>
      <c r="D17" s="33" t="n"/>
      <c r="E17" s="33" t="n"/>
      <c r="F17" s="13">
        <f>IF(D17="","",E17-D17+1)</f>
        <v/>
      </c>
      <c r="G17" s="12" t="n"/>
      <c r="H17" s="13" t="n"/>
      <c r="I17" s="12" t="n"/>
      <c r="J17" s="12" t="n"/>
      <c r="K17" s="12" t="n"/>
    </row>
    <row r="18" ht="22" customHeight="1">
      <c r="B18" s="18">
        <f>IF(C18="","CC-"&amp;TEXT(COUNTA($C$5:C18),"000"))</f>
        <v/>
      </c>
      <c r="C18" s="15" t="n"/>
      <c r="D18" s="34" t="n"/>
      <c r="E18" s="34" t="n"/>
      <c r="F18" s="16">
        <f>IF(D18="","",E18-D18+1)</f>
        <v/>
      </c>
      <c r="G18" s="15" t="n"/>
      <c r="H18" s="16" t="n"/>
      <c r="I18" s="15" t="n"/>
      <c r="J18" s="15" t="n"/>
      <c r="K18" s="15" t="n"/>
    </row>
    <row r="19" ht="22" customHeight="1">
      <c r="B19" s="19">
        <f>IF(C19="","CC-"&amp;TEXT(COUNTA($C$5:C19),"000"))</f>
        <v/>
      </c>
      <c r="C19" s="12" t="n"/>
      <c r="D19" s="33" t="n"/>
      <c r="E19" s="33" t="n"/>
      <c r="F19" s="13">
        <f>IF(D19="","",E19-D19+1)</f>
        <v/>
      </c>
      <c r="G19" s="12" t="n"/>
      <c r="H19" s="13" t="n"/>
      <c r="I19" s="12" t="n"/>
      <c r="J19" s="12" t="n"/>
      <c r="K19" s="12" t="n"/>
    </row>
    <row r="20" ht="22" customHeight="1">
      <c r="B20" s="18">
        <f>IF(C20="","CC-"&amp;TEXT(COUNTA($C$5:C20),"000"))</f>
        <v/>
      </c>
      <c r="C20" s="15" t="n"/>
      <c r="D20" s="34" t="n"/>
      <c r="E20" s="34" t="n"/>
      <c r="F20" s="16">
        <f>IF(D20="","",E20-D20+1)</f>
        <v/>
      </c>
      <c r="G20" s="15" t="n"/>
      <c r="H20" s="16" t="n"/>
      <c r="I20" s="15" t="n"/>
      <c r="J20" s="15" t="n"/>
      <c r="K20" s="15" t="n"/>
    </row>
    <row r="21" ht="22" customHeight="1">
      <c r="B21" s="19">
        <f>IF(C21="","CC-"&amp;TEXT(COUNTA($C$5:C21),"000"))</f>
        <v/>
      </c>
      <c r="C21" s="12" t="n"/>
      <c r="D21" s="33" t="n"/>
      <c r="E21" s="33" t="n"/>
      <c r="F21" s="13">
        <f>IF(D21="","",E21-D21+1)</f>
        <v/>
      </c>
      <c r="G21" s="12" t="n"/>
      <c r="H21" s="13" t="n"/>
      <c r="I21" s="12" t="n"/>
      <c r="J21" s="12" t="n"/>
      <c r="K21" s="12" t="n"/>
    </row>
    <row r="22" ht="22" customHeight="1">
      <c r="B22" s="18">
        <f>IF(C22="","CC-"&amp;TEXT(COUNTA($C$5:C22),"000"))</f>
        <v/>
      </c>
      <c r="C22" s="15" t="n"/>
      <c r="D22" s="34" t="n"/>
      <c r="E22" s="34" t="n"/>
      <c r="F22" s="16">
        <f>IF(D22="","",E22-D22+1)</f>
        <v/>
      </c>
      <c r="G22" s="15" t="n"/>
      <c r="H22" s="16" t="n"/>
      <c r="I22" s="15" t="n"/>
      <c r="J22" s="15" t="n"/>
      <c r="K22" s="15" t="n"/>
    </row>
    <row r="23" ht="22" customHeight="1">
      <c r="B23" s="19">
        <f>IF(C23="","CC-"&amp;TEXT(COUNTA($C$5:C23),"000"))</f>
        <v/>
      </c>
      <c r="C23" s="12" t="n"/>
      <c r="D23" s="33" t="n"/>
      <c r="E23" s="33" t="n"/>
      <c r="F23" s="13">
        <f>IF(D23="","",E23-D23+1)</f>
        <v/>
      </c>
      <c r="G23" s="12" t="n"/>
      <c r="H23" s="13" t="n"/>
      <c r="I23" s="12" t="n"/>
      <c r="J23" s="12" t="n"/>
      <c r="K23" s="12" t="n"/>
    </row>
    <row r="24" ht="22" customHeight="1">
      <c r="B24" s="18">
        <f>IF(C24="","CC-"&amp;TEXT(COUNTA($C$5:C24),"000"))</f>
        <v/>
      </c>
      <c r="C24" s="15" t="n"/>
      <c r="D24" s="34" t="n"/>
      <c r="E24" s="34" t="n"/>
      <c r="F24" s="16">
        <f>IF(D24="","",E24-D24+1)</f>
        <v/>
      </c>
      <c r="G24" s="15" t="n"/>
      <c r="H24" s="16" t="n"/>
      <c r="I24" s="15" t="n"/>
      <c r="J24" s="15" t="n"/>
      <c r="K24" s="15" t="n"/>
    </row>
    <row r="25" ht="22" customHeight="1">
      <c r="B25" s="19">
        <f>IF(C25="","CC-"&amp;TEXT(COUNTA($C$5:C25),"000"))</f>
        <v/>
      </c>
      <c r="C25" s="12" t="n"/>
      <c r="D25" s="33" t="n"/>
      <c r="E25" s="33" t="n"/>
      <c r="F25" s="13">
        <f>IF(D25="","",E25-D25+1)</f>
        <v/>
      </c>
      <c r="G25" s="12" t="n"/>
      <c r="H25" s="13" t="n"/>
      <c r="I25" s="12" t="n"/>
      <c r="J25" s="12" t="n"/>
      <c r="K25" s="12" t="n"/>
    </row>
    <row r="26" ht="22" customHeight="1">
      <c r="B26" s="18">
        <f>IF(C26="","CC-"&amp;TEXT(COUNTA($C$5:C26),"000"))</f>
        <v/>
      </c>
      <c r="C26" s="15" t="n"/>
      <c r="D26" s="34" t="n"/>
      <c r="E26" s="34" t="n"/>
      <c r="F26" s="16">
        <f>IF(D26="","",E26-D26+1)</f>
        <v/>
      </c>
      <c r="G26" s="15" t="n"/>
      <c r="H26" s="16" t="n"/>
      <c r="I26" s="15" t="n"/>
      <c r="J26" s="15" t="n"/>
      <c r="K26" s="15" t="n"/>
    </row>
    <row r="27" ht="22" customHeight="1">
      <c r="B27" s="19">
        <f>IF(C27="","CC-"&amp;TEXT(COUNTA($C$5:C27),"000"))</f>
        <v/>
      </c>
      <c r="C27" s="12" t="n"/>
      <c r="D27" s="33" t="n"/>
      <c r="E27" s="33" t="n"/>
      <c r="F27" s="13">
        <f>IF(D27="","",E27-D27+1)</f>
        <v/>
      </c>
      <c r="G27" s="12" t="n"/>
      <c r="H27" s="13" t="n"/>
      <c r="I27" s="12" t="n"/>
      <c r="J27" s="12" t="n"/>
      <c r="K27" s="12" t="n"/>
    </row>
    <row r="28" ht="22" customHeight="1">
      <c r="B28" s="18">
        <f>IF(C28="","CC-"&amp;TEXT(COUNTA($C$5:C28),"000"))</f>
        <v/>
      </c>
      <c r="C28" s="15" t="n"/>
      <c r="D28" s="34" t="n"/>
      <c r="E28" s="34" t="n"/>
      <c r="F28" s="16">
        <f>IF(D28="","",E28-D28+1)</f>
        <v/>
      </c>
      <c r="G28" s="15" t="n"/>
      <c r="H28" s="16" t="n"/>
      <c r="I28" s="15" t="n"/>
      <c r="J28" s="15" t="n"/>
      <c r="K28" s="15" t="n"/>
    </row>
    <row r="29" ht="22" customHeight="1">
      <c r="B29" s="19">
        <f>IF(C29="","CC-"&amp;TEXT(COUNTA($C$5:C29),"000"))</f>
        <v/>
      </c>
      <c r="C29" s="12" t="n"/>
      <c r="D29" s="33" t="n"/>
      <c r="E29" s="33" t="n"/>
      <c r="F29" s="13">
        <f>IF(D29="","",E29-D29+1)</f>
        <v/>
      </c>
      <c r="G29" s="12" t="n"/>
      <c r="H29" s="13" t="n"/>
      <c r="I29" s="12" t="n"/>
      <c r="J29" s="12" t="n"/>
      <c r="K29" s="12" t="n"/>
    </row>
    <row r="30" ht="22" customHeight="1">
      <c r="B30" s="18">
        <f>IF(C30="","CC-"&amp;TEXT(COUNTA($C$5:C30),"000"))</f>
        <v/>
      </c>
      <c r="C30" s="15" t="n"/>
      <c r="D30" s="34" t="n"/>
      <c r="E30" s="34" t="n"/>
      <c r="F30" s="16">
        <f>IF(D30="","",E30-D30+1)</f>
        <v/>
      </c>
      <c r="G30" s="15" t="n"/>
      <c r="H30" s="16" t="n"/>
      <c r="I30" s="15" t="n"/>
      <c r="J30" s="15" t="n"/>
      <c r="K30" s="15" t="n"/>
    </row>
    <row r="31" ht="22" customHeight="1">
      <c r="B31" s="19">
        <f>IF(C31="","CC-"&amp;TEXT(COUNTA($C$5:C31),"000"))</f>
        <v/>
      </c>
      <c r="C31" s="12" t="n"/>
      <c r="D31" s="33" t="n"/>
      <c r="E31" s="33" t="n"/>
      <c r="F31" s="13">
        <f>IF(D31="","",E31-D31+1)</f>
        <v/>
      </c>
      <c r="G31" s="12" t="n"/>
      <c r="H31" s="13" t="n"/>
      <c r="I31" s="12" t="n"/>
      <c r="J31" s="12" t="n"/>
      <c r="K31" s="12" t="n"/>
    </row>
    <row r="32" ht="22" customHeight="1">
      <c r="B32" s="18">
        <f>IF(C32="","CC-"&amp;TEXT(COUNTA($C$5:C32),"000"))</f>
        <v/>
      </c>
      <c r="C32" s="15" t="n"/>
      <c r="D32" s="34" t="n"/>
      <c r="E32" s="34" t="n"/>
      <c r="F32" s="16">
        <f>IF(D32="","",E32-D32+1)</f>
        <v/>
      </c>
      <c r="G32" s="15" t="n"/>
      <c r="H32" s="16" t="n"/>
      <c r="I32" s="15" t="n"/>
      <c r="J32" s="15" t="n"/>
      <c r="K32" s="15" t="n"/>
    </row>
    <row r="33" ht="22" customHeight="1">
      <c r="B33" s="19">
        <f>IF(C33="","CC-"&amp;TEXT(COUNTA($C$5:C33),"000"))</f>
        <v/>
      </c>
      <c r="C33" s="12" t="n"/>
      <c r="D33" s="33" t="n"/>
      <c r="E33" s="33" t="n"/>
      <c r="F33" s="13">
        <f>IF(D33="","",E33-D33+1)</f>
        <v/>
      </c>
      <c r="G33" s="12" t="n"/>
      <c r="H33" s="13" t="n"/>
      <c r="I33" s="12" t="n"/>
      <c r="J33" s="12" t="n"/>
      <c r="K33" s="12" t="n"/>
    </row>
    <row r="34" ht="22" customHeight="1">
      <c r="B34" s="18">
        <f>IF(C34="","CC-"&amp;TEXT(COUNTA($C$5:C34),"000"))</f>
        <v/>
      </c>
      <c r="C34" s="15" t="n"/>
      <c r="D34" s="34" t="n"/>
      <c r="E34" s="34" t="n"/>
      <c r="F34" s="16">
        <f>IF(D34="","",E34-D34+1)</f>
        <v/>
      </c>
      <c r="G34" s="15" t="n"/>
      <c r="H34" s="16" t="n"/>
      <c r="I34" s="15" t="n"/>
      <c r="J34" s="15" t="n"/>
      <c r="K34" s="15" t="n"/>
    </row>
    <row r="35" ht="22" customHeight="1">
      <c r="B35" s="19">
        <f>IF(C35="","CC-"&amp;TEXT(COUNTA($C$5:C35),"000"))</f>
        <v/>
      </c>
      <c r="C35" s="12" t="n"/>
      <c r="D35" s="33" t="n"/>
      <c r="E35" s="33" t="n"/>
      <c r="F35" s="13">
        <f>IF(D35="","",E35-D35+1)</f>
        <v/>
      </c>
      <c r="G35" s="12" t="n"/>
      <c r="H35" s="13" t="n"/>
      <c r="I35" s="12" t="n"/>
      <c r="J35" s="12" t="n"/>
      <c r="K35" s="12" t="n"/>
    </row>
    <row r="36" ht="22" customHeight="1">
      <c r="B36" s="18">
        <f>IF(C36="","CC-"&amp;TEXT(COUNTA($C$5:C36),"000"))</f>
        <v/>
      </c>
      <c r="C36" s="15" t="n"/>
      <c r="D36" s="34" t="n"/>
      <c r="E36" s="34" t="n"/>
      <c r="F36" s="16">
        <f>IF(D36="","",E36-D36+1)</f>
        <v/>
      </c>
      <c r="G36" s="15" t="n"/>
      <c r="H36" s="16" t="n"/>
      <c r="I36" s="15" t="n"/>
      <c r="J36" s="15" t="n"/>
      <c r="K36" s="15" t="n"/>
    </row>
    <row r="37" ht="22" customHeight="1">
      <c r="B37" s="19">
        <f>IF(C37="","CC-"&amp;TEXT(COUNTA($C$5:C37),"000"))</f>
        <v/>
      </c>
      <c r="C37" s="12" t="n"/>
      <c r="D37" s="33" t="n"/>
      <c r="E37" s="33" t="n"/>
      <c r="F37" s="13">
        <f>IF(D37="","",E37-D37+1)</f>
        <v/>
      </c>
      <c r="G37" s="12" t="n"/>
      <c r="H37" s="13" t="n"/>
      <c r="I37" s="12" t="n"/>
      <c r="J37" s="12" t="n"/>
      <c r="K37" s="12" t="n"/>
    </row>
    <row r="38" ht="22" customHeight="1">
      <c r="B38" s="18">
        <f>IF(C38="","CC-"&amp;TEXT(COUNTA($C$5:C38),"000"))</f>
        <v/>
      </c>
      <c r="C38" s="15" t="n"/>
      <c r="D38" s="34" t="n"/>
      <c r="E38" s="34" t="n"/>
      <c r="F38" s="16">
        <f>IF(D38="","",E38-D38+1)</f>
        <v/>
      </c>
      <c r="G38" s="15" t="n"/>
      <c r="H38" s="16" t="n"/>
      <c r="I38" s="15" t="n"/>
      <c r="J38" s="15" t="n"/>
      <c r="K38" s="15" t="n"/>
    </row>
    <row r="39" ht="22" customHeight="1">
      <c r="B39" s="19">
        <f>IF(C39="","CC-"&amp;TEXT(COUNTA($C$5:C39),"000"))</f>
        <v/>
      </c>
      <c r="C39" s="12" t="n"/>
      <c r="D39" s="33" t="n"/>
      <c r="E39" s="33" t="n"/>
      <c r="F39" s="13">
        <f>IF(D39="","",E39-D39+1)</f>
        <v/>
      </c>
      <c r="G39" s="12" t="n"/>
      <c r="H39" s="13" t="n"/>
      <c r="I39" s="12" t="n"/>
      <c r="J39" s="12" t="n"/>
      <c r="K39" s="12" t="n"/>
    </row>
    <row r="40" ht="22" customHeight="1">
      <c r="B40" s="18">
        <f>IF(C40="","CC-"&amp;TEXT(COUNTA($C$5:C40),"000"))</f>
        <v/>
      </c>
      <c r="C40" s="15" t="n"/>
      <c r="D40" s="34" t="n"/>
      <c r="E40" s="34" t="n"/>
      <c r="F40" s="16">
        <f>IF(D40="","",E40-D40+1)</f>
        <v/>
      </c>
      <c r="G40" s="15" t="n"/>
      <c r="H40" s="16" t="n"/>
      <c r="I40" s="15" t="n"/>
      <c r="J40" s="15" t="n"/>
      <c r="K40" s="15" t="n"/>
    </row>
    <row r="41" ht="22" customHeight="1">
      <c r="B41" s="19">
        <f>IF(C41="","CC-"&amp;TEXT(COUNTA($C$5:C41),"000"))</f>
        <v/>
      </c>
      <c r="C41" s="12" t="n"/>
      <c r="D41" s="33" t="n"/>
      <c r="E41" s="33" t="n"/>
      <c r="F41" s="13">
        <f>IF(D41="","",E41-D41+1)</f>
        <v/>
      </c>
      <c r="G41" s="12" t="n"/>
      <c r="H41" s="13" t="n"/>
      <c r="I41" s="12" t="n"/>
      <c r="J41" s="12" t="n"/>
      <c r="K41" s="12" t="n"/>
    </row>
    <row r="42" ht="22" customHeight="1">
      <c r="B42" s="18">
        <f>IF(C42="","CC-"&amp;TEXT(COUNTA($C$5:C42),"000"))</f>
        <v/>
      </c>
      <c r="C42" s="15" t="n"/>
      <c r="D42" s="34" t="n"/>
      <c r="E42" s="34" t="n"/>
      <c r="F42" s="16">
        <f>IF(D42="","",E42-D42+1)</f>
        <v/>
      </c>
      <c r="G42" s="15" t="n"/>
      <c r="H42" s="16" t="n"/>
      <c r="I42" s="15" t="n"/>
      <c r="J42" s="15" t="n"/>
      <c r="K42" s="15" t="n"/>
    </row>
    <row r="43" ht="22" customHeight="1">
      <c r="B43" s="19">
        <f>IF(C43="","CC-"&amp;TEXT(COUNTA($C$5:C43),"000"))</f>
        <v/>
      </c>
      <c r="C43" s="12" t="n"/>
      <c r="D43" s="33" t="n"/>
      <c r="E43" s="33" t="n"/>
      <c r="F43" s="13">
        <f>IF(D43="","",E43-D43+1)</f>
        <v/>
      </c>
      <c r="G43" s="12" t="n"/>
      <c r="H43" s="13" t="n"/>
      <c r="I43" s="12" t="n"/>
      <c r="J43" s="12" t="n"/>
      <c r="K43" s="12" t="n"/>
    </row>
    <row r="44" ht="22" customHeight="1">
      <c r="B44" s="18">
        <f>IF(C44="","CC-"&amp;TEXT(COUNTA($C$5:C44),"000"))</f>
        <v/>
      </c>
      <c r="C44" s="15" t="n"/>
      <c r="D44" s="34" t="n"/>
      <c r="E44" s="34" t="n"/>
      <c r="F44" s="16">
        <f>IF(D44="","",E44-D44+1)</f>
        <v/>
      </c>
      <c r="G44" s="15" t="n"/>
      <c r="H44" s="16" t="n"/>
      <c r="I44" s="15" t="n"/>
      <c r="J44" s="15" t="n"/>
      <c r="K44" s="15" t="n"/>
    </row>
    <row r="45" ht="22" customHeight="1">
      <c r="B45" s="19">
        <f>IF(C45="","CC-"&amp;TEXT(COUNTA($C$5:C45),"000"))</f>
        <v/>
      </c>
      <c r="C45" s="12" t="n"/>
      <c r="D45" s="33" t="n"/>
      <c r="E45" s="33" t="n"/>
      <c r="F45" s="13">
        <f>IF(D45="","",E45-D45+1)</f>
        <v/>
      </c>
      <c r="G45" s="12" t="n"/>
      <c r="H45" s="13" t="n"/>
      <c r="I45" s="12" t="n"/>
      <c r="J45" s="12" t="n"/>
      <c r="K45" s="12" t="n"/>
    </row>
    <row r="46" ht="22" customHeight="1">
      <c r="B46" s="18">
        <f>IF(C46="","CC-"&amp;TEXT(COUNTA($C$5:C46),"000"))</f>
        <v/>
      </c>
      <c r="C46" s="15" t="n"/>
      <c r="D46" s="34" t="n"/>
      <c r="E46" s="34" t="n"/>
      <c r="F46" s="16">
        <f>IF(D46="","",E46-D46+1)</f>
        <v/>
      </c>
      <c r="G46" s="15" t="n"/>
      <c r="H46" s="16" t="n"/>
      <c r="I46" s="15" t="n"/>
      <c r="J46" s="15" t="n"/>
      <c r="K46" s="15" t="n"/>
    </row>
    <row r="47" ht="22" customHeight="1">
      <c r="B47" s="19">
        <f>IF(C47="","CC-"&amp;TEXT(COUNTA($C$5:C47),"000"))</f>
        <v/>
      </c>
      <c r="C47" s="12" t="n"/>
      <c r="D47" s="33" t="n"/>
      <c r="E47" s="33" t="n"/>
      <c r="F47" s="13">
        <f>IF(D47="","",E47-D47+1)</f>
        <v/>
      </c>
      <c r="G47" s="12" t="n"/>
      <c r="H47" s="13" t="n"/>
      <c r="I47" s="12" t="n"/>
      <c r="J47" s="12" t="n"/>
      <c r="K47" s="12" t="n"/>
    </row>
    <row r="48" ht="22" customHeight="1">
      <c r="B48" s="18">
        <f>IF(C48="","CC-"&amp;TEXT(COUNTA($C$5:C48),"000"))</f>
        <v/>
      </c>
      <c r="C48" s="15" t="n"/>
      <c r="D48" s="34" t="n"/>
      <c r="E48" s="34" t="n"/>
      <c r="F48" s="16">
        <f>IF(D48="","",E48-D48+1)</f>
        <v/>
      </c>
      <c r="G48" s="15" t="n"/>
      <c r="H48" s="16" t="n"/>
      <c r="I48" s="15" t="n"/>
      <c r="J48" s="15" t="n"/>
      <c r="K48" s="15" t="n"/>
    </row>
    <row r="49" ht="22" customHeight="1">
      <c r="B49" s="19">
        <f>IF(C49="","CC-"&amp;TEXT(COUNTA($C$5:C49),"000"))</f>
        <v/>
      </c>
      <c r="C49" s="12" t="n"/>
      <c r="D49" s="33" t="n"/>
      <c r="E49" s="33" t="n"/>
      <c r="F49" s="13">
        <f>IF(D49="","",E49-D49+1)</f>
        <v/>
      </c>
      <c r="G49" s="12" t="n"/>
      <c r="H49" s="13" t="n"/>
      <c r="I49" s="12" t="n"/>
      <c r="J49" s="12" t="n"/>
      <c r="K49" s="12" t="n"/>
    </row>
    <row r="50" ht="22" customHeight="1">
      <c r="B50" s="18">
        <f>IF(C50="","CC-"&amp;TEXT(COUNTA($C$5:C50),"000"))</f>
        <v/>
      </c>
      <c r="C50" s="15" t="n"/>
      <c r="D50" s="34" t="n"/>
      <c r="E50" s="34" t="n"/>
      <c r="F50" s="16">
        <f>IF(D50="","",E50-D50+1)</f>
        <v/>
      </c>
      <c r="G50" s="15" t="n"/>
      <c r="H50" s="16" t="n"/>
      <c r="I50" s="15" t="n"/>
      <c r="J50" s="15" t="n"/>
      <c r="K50" s="15" t="n"/>
    </row>
    <row r="51" ht="22" customHeight="1">
      <c r="B51" s="19">
        <f>IF(C51="","CC-"&amp;TEXT(COUNTA($C$5:C51),"000"))</f>
        <v/>
      </c>
      <c r="C51" s="12" t="n"/>
      <c r="D51" s="33" t="n"/>
      <c r="E51" s="33" t="n"/>
      <c r="F51" s="13">
        <f>IF(D51="","",E51-D51+1)</f>
        <v/>
      </c>
      <c r="G51" s="12" t="n"/>
      <c r="H51" s="13" t="n"/>
      <c r="I51" s="12" t="n"/>
      <c r="J51" s="12" t="n"/>
      <c r="K51" s="12" t="n"/>
    </row>
    <row r="52" ht="22" customHeight="1">
      <c r="B52" s="18">
        <f>IF(C52="","CC-"&amp;TEXT(COUNTA($C$5:C52),"000"))</f>
        <v/>
      </c>
      <c r="C52" s="15" t="n"/>
      <c r="D52" s="34" t="n"/>
      <c r="E52" s="34" t="n"/>
      <c r="F52" s="16">
        <f>IF(D52="","",E52-D52+1)</f>
        <v/>
      </c>
      <c r="G52" s="15" t="n"/>
      <c r="H52" s="16" t="n"/>
      <c r="I52" s="15" t="n"/>
      <c r="J52" s="15" t="n"/>
      <c r="K52" s="15" t="n"/>
    </row>
    <row r="53" ht="22" customHeight="1">
      <c r="B53" s="19">
        <f>IF(C53="","CC-"&amp;TEXT(COUNTA($C$5:C53),"000"))</f>
        <v/>
      </c>
      <c r="C53" s="12" t="n"/>
      <c r="D53" s="33" t="n"/>
      <c r="E53" s="33" t="n"/>
      <c r="F53" s="13">
        <f>IF(D53="","",E53-D53+1)</f>
        <v/>
      </c>
      <c r="G53" s="12" t="n"/>
      <c r="H53" s="13" t="n"/>
      <c r="I53" s="12" t="n"/>
      <c r="J53" s="12" t="n"/>
      <c r="K53" s="12" t="n"/>
    </row>
    <row r="54" ht="22" customHeight="1">
      <c r="B54" s="18">
        <f>IF(C54="","CC-"&amp;TEXT(COUNTA($C$5:C54),"000"))</f>
        <v/>
      </c>
      <c r="C54" s="15" t="n"/>
      <c r="D54" s="34" t="n"/>
      <c r="E54" s="34" t="n"/>
      <c r="F54" s="16">
        <f>IF(D54="","",E54-D54+1)</f>
        <v/>
      </c>
      <c r="G54" s="15" t="n"/>
      <c r="H54" s="16" t="n"/>
      <c r="I54" s="15" t="n"/>
      <c r="J54" s="15" t="n"/>
      <c r="K54" s="15" t="n"/>
    </row>
    <row r="55" ht="22" customHeight="1">
      <c r="B55" s="19">
        <f>IF(C55="","CC-"&amp;TEXT(COUNTA($C$5:C55),"000"))</f>
        <v/>
      </c>
      <c r="C55" s="12" t="n"/>
      <c r="D55" s="33" t="n"/>
      <c r="E55" s="33" t="n"/>
      <c r="F55" s="13">
        <f>IF(D55="","",E55-D55+1)</f>
        <v/>
      </c>
      <c r="G55" s="12" t="n"/>
      <c r="H55" s="13" t="n"/>
      <c r="I55" s="12" t="n"/>
      <c r="J55" s="12" t="n"/>
      <c r="K55" s="12" t="n"/>
    </row>
    <row r="56" ht="22" customHeight="1">
      <c r="B56" s="18">
        <f>IF(C56="","CC-"&amp;TEXT(COUNTA($C$5:C56),"000"))</f>
        <v/>
      </c>
      <c r="C56" s="15" t="n"/>
      <c r="D56" s="34" t="n"/>
      <c r="E56" s="34" t="n"/>
      <c r="F56" s="16">
        <f>IF(D56="","",E56-D56+1)</f>
        <v/>
      </c>
      <c r="G56" s="15" t="n"/>
      <c r="H56" s="16" t="n"/>
      <c r="I56" s="15" t="n"/>
      <c r="J56" s="15" t="n"/>
      <c r="K56" s="15" t="n"/>
    </row>
    <row r="57" ht="22" customHeight="1">
      <c r="B57" s="19">
        <f>IF(C57="","CC-"&amp;TEXT(COUNTA($C$5:C57),"000"))</f>
        <v/>
      </c>
      <c r="C57" s="12" t="n"/>
      <c r="D57" s="33" t="n"/>
      <c r="E57" s="33" t="n"/>
      <c r="F57" s="13">
        <f>IF(D57="","",E57-D57+1)</f>
        <v/>
      </c>
      <c r="G57" s="12" t="n"/>
      <c r="H57" s="13" t="n"/>
      <c r="I57" s="12" t="n"/>
      <c r="J57" s="12" t="n"/>
      <c r="K57" s="12" t="n"/>
    </row>
    <row r="58" ht="22" customHeight="1">
      <c r="B58" s="18">
        <f>IF(C58="","CC-"&amp;TEXT(COUNTA($C$5:C58),"000"))</f>
        <v/>
      </c>
      <c r="C58" s="15" t="n"/>
      <c r="D58" s="34" t="n"/>
      <c r="E58" s="34" t="n"/>
      <c r="F58" s="16">
        <f>IF(D58="","",E58-D58+1)</f>
        <v/>
      </c>
      <c r="G58" s="15" t="n"/>
      <c r="H58" s="16" t="n"/>
      <c r="I58" s="15" t="n"/>
      <c r="J58" s="15" t="n"/>
      <c r="K58" s="15" t="n"/>
    </row>
    <row r="59" ht="22" customHeight="1">
      <c r="B59" s="19">
        <f>IF(C59="","CC-"&amp;TEXT(COUNTA($C$5:C59),"000"))</f>
        <v/>
      </c>
      <c r="C59" s="12" t="n"/>
      <c r="D59" s="33" t="n"/>
      <c r="E59" s="33" t="n"/>
      <c r="F59" s="13">
        <f>IF(D59="","",E59-D59+1)</f>
        <v/>
      </c>
      <c r="G59" s="12" t="n"/>
      <c r="H59" s="13" t="n"/>
      <c r="I59" s="12" t="n"/>
      <c r="J59" s="12" t="n"/>
      <c r="K59" s="12" t="n"/>
    </row>
    <row r="60" ht="22" customHeight="1">
      <c r="B60" s="18">
        <f>IF(C60="","CC-"&amp;TEXT(COUNTA($C$5:C60),"000"))</f>
        <v/>
      </c>
      <c r="C60" s="15" t="n"/>
      <c r="D60" s="34" t="n"/>
      <c r="E60" s="34" t="n"/>
      <c r="F60" s="16">
        <f>IF(D60="","",E60-D60+1)</f>
        <v/>
      </c>
      <c r="G60" s="15" t="n"/>
      <c r="H60" s="16" t="n"/>
      <c r="I60" s="15" t="n"/>
      <c r="J60" s="15" t="n"/>
      <c r="K60" s="15" t="n"/>
    </row>
    <row r="61" ht="22" customHeight="1">
      <c r="B61" s="19">
        <f>IF(C61="","CC-"&amp;TEXT(COUNTA($C$5:C61),"000"))</f>
        <v/>
      </c>
      <c r="C61" s="12" t="n"/>
      <c r="D61" s="33" t="n"/>
      <c r="E61" s="33" t="n"/>
      <c r="F61" s="13">
        <f>IF(D61="","",E61-D61+1)</f>
        <v/>
      </c>
      <c r="G61" s="12" t="n"/>
      <c r="H61" s="13" t="n"/>
      <c r="I61" s="12" t="n"/>
      <c r="J61" s="12" t="n"/>
      <c r="K61" s="12" t="n"/>
    </row>
    <row r="62" ht="22" customHeight="1">
      <c r="B62" s="18">
        <f>IF(C62="","CC-"&amp;TEXT(COUNTA($C$5:C62),"000"))</f>
        <v/>
      </c>
      <c r="C62" s="15" t="n"/>
      <c r="D62" s="34" t="n"/>
      <c r="E62" s="34" t="n"/>
      <c r="F62" s="16">
        <f>IF(D62="","",E62-D62+1)</f>
        <v/>
      </c>
      <c r="G62" s="15" t="n"/>
      <c r="H62" s="16" t="n"/>
      <c r="I62" s="15" t="n"/>
      <c r="J62" s="15" t="n"/>
      <c r="K62" s="15" t="n"/>
    </row>
    <row r="63" ht="22" customHeight="1">
      <c r="B63" s="19">
        <f>IF(C63="","CC-"&amp;TEXT(COUNTA($C$5:C63),"000"))</f>
        <v/>
      </c>
      <c r="C63" s="12" t="n"/>
      <c r="D63" s="33" t="n"/>
      <c r="E63" s="33" t="n"/>
      <c r="F63" s="13">
        <f>IF(D63="","",E63-D63+1)</f>
        <v/>
      </c>
      <c r="G63" s="12" t="n"/>
      <c r="H63" s="13" t="n"/>
      <c r="I63" s="12" t="n"/>
      <c r="J63" s="12" t="n"/>
      <c r="K63" s="12" t="n"/>
    </row>
    <row r="64" ht="22" customHeight="1">
      <c r="B64" s="18">
        <f>IF(C64="","CC-"&amp;TEXT(COUNTA($C$5:C64),"000"))</f>
        <v/>
      </c>
      <c r="C64" s="15" t="n"/>
      <c r="D64" s="34" t="n"/>
      <c r="E64" s="34" t="n"/>
      <c r="F64" s="16">
        <f>IF(D64="","",E64-D64+1)</f>
        <v/>
      </c>
      <c r="G64" s="15" t="n"/>
      <c r="H64" s="16" t="n"/>
      <c r="I64" s="15" t="n"/>
      <c r="J64" s="15" t="n"/>
      <c r="K64" s="15" t="n"/>
    </row>
    <row r="65" ht="22" customHeight="1">
      <c r="B65" s="19">
        <f>IF(C65="","CC-"&amp;TEXT(COUNTA($C$5:C65),"000"))</f>
        <v/>
      </c>
      <c r="C65" s="12" t="n"/>
      <c r="D65" s="33" t="n"/>
      <c r="E65" s="33" t="n"/>
      <c r="F65" s="13">
        <f>IF(D65="","",E65-D65+1)</f>
        <v/>
      </c>
      <c r="G65" s="12" t="n"/>
      <c r="H65" s="13" t="n"/>
      <c r="I65" s="12" t="n"/>
      <c r="J65" s="12" t="n"/>
      <c r="K65" s="12" t="n"/>
    </row>
    <row r="66" ht="22" customHeight="1">
      <c r="B66" s="18">
        <f>IF(C66="","CC-"&amp;TEXT(COUNTA($C$5:C66),"000"))</f>
        <v/>
      </c>
      <c r="C66" s="15" t="n"/>
      <c r="D66" s="34" t="n"/>
      <c r="E66" s="34" t="n"/>
      <c r="F66" s="16">
        <f>IF(D66="","",E66-D66+1)</f>
        <v/>
      </c>
      <c r="G66" s="15" t="n"/>
      <c r="H66" s="16" t="n"/>
      <c r="I66" s="15" t="n"/>
      <c r="J66" s="15" t="n"/>
      <c r="K66" s="15" t="n"/>
    </row>
    <row r="67" ht="22" customHeight="1">
      <c r="B67" s="19">
        <f>IF(C67="","CC-"&amp;TEXT(COUNTA($C$5:C67),"000"))</f>
        <v/>
      </c>
      <c r="C67" s="12" t="n"/>
      <c r="D67" s="33" t="n"/>
      <c r="E67" s="33" t="n"/>
      <c r="F67" s="13">
        <f>IF(D67="","",E67-D67+1)</f>
        <v/>
      </c>
      <c r="G67" s="12" t="n"/>
      <c r="H67" s="13" t="n"/>
      <c r="I67" s="12" t="n"/>
      <c r="J67" s="12" t="n"/>
      <c r="K67" s="12" t="n"/>
    </row>
    <row r="68" ht="22" customHeight="1">
      <c r="B68" s="18">
        <f>IF(C68="","CC-"&amp;TEXT(COUNTA($C$5:C68),"000"))</f>
        <v/>
      </c>
      <c r="C68" s="15" t="n"/>
      <c r="D68" s="34" t="n"/>
      <c r="E68" s="34" t="n"/>
      <c r="F68" s="16">
        <f>IF(D68="","",E68-D68+1)</f>
        <v/>
      </c>
      <c r="G68" s="15" t="n"/>
      <c r="H68" s="16" t="n"/>
      <c r="I68" s="15" t="n"/>
      <c r="J68" s="15" t="n"/>
      <c r="K68" s="15" t="n"/>
    </row>
    <row r="69" ht="22" customHeight="1">
      <c r="B69" s="19">
        <f>IF(C69="","CC-"&amp;TEXT(COUNTA($C$5:C69),"000"))</f>
        <v/>
      </c>
      <c r="C69" s="12" t="n"/>
      <c r="D69" s="33" t="n"/>
      <c r="E69" s="33" t="n"/>
      <c r="F69" s="13">
        <f>IF(D69="","",E69-D69+1)</f>
        <v/>
      </c>
      <c r="G69" s="12" t="n"/>
      <c r="H69" s="13" t="n"/>
      <c r="I69" s="12" t="n"/>
      <c r="J69" s="12" t="n"/>
      <c r="K69" s="12" t="n"/>
    </row>
    <row r="70" ht="22" customHeight="1">
      <c r="B70" s="18">
        <f>IF(C70="","CC-"&amp;TEXT(COUNTA($C$5:C70),"000"))</f>
        <v/>
      </c>
      <c r="C70" s="15" t="n"/>
      <c r="D70" s="34" t="n"/>
      <c r="E70" s="34" t="n"/>
      <c r="F70" s="16">
        <f>IF(D70="","",E70-D70+1)</f>
        <v/>
      </c>
      <c r="G70" s="15" t="n"/>
      <c r="H70" s="16" t="n"/>
      <c r="I70" s="15" t="n"/>
      <c r="J70" s="15" t="n"/>
      <c r="K70" s="15" t="n"/>
    </row>
    <row r="71" ht="22" customHeight="1">
      <c r="B71" s="19">
        <f>IF(C71="","CC-"&amp;TEXT(COUNTA($C$5:C71),"000"))</f>
        <v/>
      </c>
      <c r="C71" s="12" t="n"/>
      <c r="D71" s="33" t="n"/>
      <c r="E71" s="33" t="n"/>
      <c r="F71" s="13">
        <f>IF(D71="","",E71-D71+1)</f>
        <v/>
      </c>
      <c r="G71" s="12" t="n"/>
      <c r="H71" s="13" t="n"/>
      <c r="I71" s="12" t="n"/>
      <c r="J71" s="12" t="n"/>
      <c r="K71" s="12" t="n"/>
    </row>
    <row r="72" ht="22" customHeight="1">
      <c r="B72" s="18">
        <f>IF(C72="","CC-"&amp;TEXT(COUNTA($C$5:C72),"000"))</f>
        <v/>
      </c>
      <c r="C72" s="15" t="n"/>
      <c r="D72" s="34" t="n"/>
      <c r="E72" s="34" t="n"/>
      <c r="F72" s="16">
        <f>IF(D72="","",E72-D72+1)</f>
        <v/>
      </c>
      <c r="G72" s="15" t="n"/>
      <c r="H72" s="16" t="n"/>
      <c r="I72" s="15" t="n"/>
      <c r="J72" s="15" t="n"/>
      <c r="K72" s="15" t="n"/>
    </row>
    <row r="73" ht="22" customHeight="1">
      <c r="B73" s="19">
        <f>IF(C73="","CC-"&amp;TEXT(COUNTA($C$5:C73),"000"))</f>
        <v/>
      </c>
      <c r="C73" s="12" t="n"/>
      <c r="D73" s="33" t="n"/>
      <c r="E73" s="33" t="n"/>
      <c r="F73" s="13">
        <f>IF(D73="","",E73-D73+1)</f>
        <v/>
      </c>
      <c r="G73" s="12" t="n"/>
      <c r="H73" s="13" t="n"/>
      <c r="I73" s="12" t="n"/>
      <c r="J73" s="12" t="n"/>
      <c r="K73" s="12" t="n"/>
    </row>
    <row r="74" ht="22" customHeight="1">
      <c r="B74" s="18">
        <f>IF(C74="","CC-"&amp;TEXT(COUNTA($C$5:C74),"000"))</f>
        <v/>
      </c>
      <c r="C74" s="15" t="n"/>
      <c r="D74" s="34" t="n"/>
      <c r="E74" s="34" t="n"/>
      <c r="F74" s="16">
        <f>IF(D74="","",E74-D74+1)</f>
        <v/>
      </c>
      <c r="G74" s="15" t="n"/>
      <c r="H74" s="16" t="n"/>
      <c r="I74" s="15" t="n"/>
      <c r="J74" s="15" t="n"/>
      <c r="K74" s="15" t="n"/>
    </row>
    <row r="75" ht="22" customHeight="1">
      <c r="B75" s="19">
        <f>IF(C75="","CC-"&amp;TEXT(COUNTA($C$5:C75),"000"))</f>
        <v/>
      </c>
      <c r="C75" s="12" t="n"/>
      <c r="D75" s="33" t="n"/>
      <c r="E75" s="33" t="n"/>
      <c r="F75" s="13">
        <f>IF(D75="","",E75-D75+1)</f>
        <v/>
      </c>
      <c r="G75" s="12" t="n"/>
      <c r="H75" s="13" t="n"/>
      <c r="I75" s="12" t="n"/>
      <c r="J75" s="12" t="n"/>
      <c r="K75" s="12" t="n"/>
    </row>
    <row r="76" ht="22" customHeight="1">
      <c r="B76" s="18">
        <f>IF(C76="","CC-"&amp;TEXT(COUNTA($C$5:C76),"000"))</f>
        <v/>
      </c>
      <c r="C76" s="15" t="n"/>
      <c r="D76" s="34" t="n"/>
      <c r="E76" s="34" t="n"/>
      <c r="F76" s="16">
        <f>IF(D76="","",E76-D76+1)</f>
        <v/>
      </c>
      <c r="G76" s="15" t="n"/>
      <c r="H76" s="16" t="n"/>
      <c r="I76" s="15" t="n"/>
      <c r="J76" s="15" t="n"/>
      <c r="K76" s="15" t="n"/>
    </row>
    <row r="77" ht="22" customHeight="1">
      <c r="B77" s="19">
        <f>IF(C77="","CC-"&amp;TEXT(COUNTA($C$5:C77),"000"))</f>
        <v/>
      </c>
      <c r="C77" s="12" t="n"/>
      <c r="D77" s="33" t="n"/>
      <c r="E77" s="33" t="n"/>
      <c r="F77" s="13">
        <f>IF(D77="","",E77-D77+1)</f>
        <v/>
      </c>
      <c r="G77" s="12" t="n"/>
      <c r="H77" s="13" t="n"/>
      <c r="I77" s="12" t="n"/>
      <c r="J77" s="12" t="n"/>
      <c r="K77" s="12" t="n"/>
    </row>
    <row r="78" ht="22" customHeight="1">
      <c r="B78" s="18">
        <f>IF(C78="","CC-"&amp;TEXT(COUNTA($C$5:C78),"000"))</f>
        <v/>
      </c>
      <c r="C78" s="15" t="n"/>
      <c r="D78" s="34" t="n"/>
      <c r="E78" s="34" t="n"/>
      <c r="F78" s="16">
        <f>IF(D78="","",E78-D78+1)</f>
        <v/>
      </c>
      <c r="G78" s="15" t="n"/>
      <c r="H78" s="16" t="n"/>
      <c r="I78" s="15" t="n"/>
      <c r="J78" s="15" t="n"/>
      <c r="K78" s="15" t="n"/>
    </row>
    <row r="79" ht="22" customHeight="1">
      <c r="B79" s="19">
        <f>IF(C79="","CC-"&amp;TEXT(COUNTA($C$5:C79),"000"))</f>
        <v/>
      </c>
      <c r="C79" s="12" t="n"/>
      <c r="D79" s="33" t="n"/>
      <c r="E79" s="33" t="n"/>
      <c r="F79" s="13">
        <f>IF(D79="","",E79-D79+1)</f>
        <v/>
      </c>
      <c r="G79" s="12" t="n"/>
      <c r="H79" s="13" t="n"/>
      <c r="I79" s="12" t="n"/>
      <c r="J79" s="12" t="n"/>
      <c r="K79" s="12" t="n"/>
    </row>
    <row r="80" ht="22" customHeight="1">
      <c r="B80" s="18">
        <f>IF(C80="","CC-"&amp;TEXT(COUNTA($C$5:C80),"000"))</f>
        <v/>
      </c>
      <c r="C80" s="15" t="n"/>
      <c r="D80" s="34" t="n"/>
      <c r="E80" s="34" t="n"/>
      <c r="F80" s="16">
        <f>IF(D80="","",E80-D80+1)</f>
        <v/>
      </c>
      <c r="G80" s="15" t="n"/>
      <c r="H80" s="16" t="n"/>
      <c r="I80" s="15" t="n"/>
      <c r="J80" s="15" t="n"/>
      <c r="K80" s="15" t="n"/>
    </row>
    <row r="81" ht="22" customHeight="1">
      <c r="B81" s="19">
        <f>IF(C81="","CC-"&amp;TEXT(COUNTA($C$5:C81),"000"))</f>
        <v/>
      </c>
      <c r="C81" s="12" t="n"/>
      <c r="D81" s="33" t="n"/>
      <c r="E81" s="33" t="n"/>
      <c r="F81" s="13">
        <f>IF(D81="","",E81-D81+1)</f>
        <v/>
      </c>
      <c r="G81" s="12" t="n"/>
      <c r="H81" s="13" t="n"/>
      <c r="I81" s="12" t="n"/>
      <c r="J81" s="12" t="n"/>
      <c r="K81" s="12" t="n"/>
    </row>
    <row r="82" ht="22" customHeight="1">
      <c r="B82" s="18">
        <f>IF(C82="","CC-"&amp;TEXT(COUNTA($C$5:C82),"000"))</f>
        <v/>
      </c>
      <c r="C82" s="15" t="n"/>
      <c r="D82" s="34" t="n"/>
      <c r="E82" s="34" t="n"/>
      <c r="F82" s="16">
        <f>IF(D82="","",E82-D82+1)</f>
        <v/>
      </c>
      <c r="G82" s="15" t="n"/>
      <c r="H82" s="16" t="n"/>
      <c r="I82" s="15" t="n"/>
      <c r="J82" s="15" t="n"/>
      <c r="K82" s="15" t="n"/>
    </row>
    <row r="83" ht="22" customHeight="1">
      <c r="B83" s="19">
        <f>IF(C83="","CC-"&amp;TEXT(COUNTA($C$5:C83),"000"))</f>
        <v/>
      </c>
      <c r="C83" s="12" t="n"/>
      <c r="D83" s="33" t="n"/>
      <c r="E83" s="33" t="n"/>
      <c r="F83" s="13">
        <f>IF(D83="","",E83-D83+1)</f>
        <v/>
      </c>
      <c r="G83" s="12" t="n"/>
      <c r="H83" s="13" t="n"/>
      <c r="I83" s="12" t="n"/>
      <c r="J83" s="12" t="n"/>
      <c r="K83" s="12" t="n"/>
    </row>
    <row r="84" ht="22" customHeight="1">
      <c r="B84" s="18">
        <f>IF(C84="","CC-"&amp;TEXT(COUNTA($C$5:C84),"000"))</f>
        <v/>
      </c>
      <c r="C84" s="15" t="n"/>
      <c r="D84" s="34" t="n"/>
      <c r="E84" s="34" t="n"/>
      <c r="F84" s="16">
        <f>IF(D84="","",E84-D84+1)</f>
        <v/>
      </c>
      <c r="G84" s="15" t="n"/>
      <c r="H84" s="16" t="n"/>
      <c r="I84" s="15" t="n"/>
      <c r="J84" s="15" t="n"/>
      <c r="K84" s="15" t="n"/>
    </row>
    <row r="85" ht="22" customHeight="1">
      <c r="B85" s="19">
        <f>IF(C85="","CC-"&amp;TEXT(COUNTA($C$5:C85),"000"))</f>
        <v/>
      </c>
      <c r="C85" s="12" t="n"/>
      <c r="D85" s="33" t="n"/>
      <c r="E85" s="33" t="n"/>
      <c r="F85" s="13">
        <f>IF(D85="","",E85-D85+1)</f>
        <v/>
      </c>
      <c r="G85" s="12" t="n"/>
      <c r="H85" s="13" t="n"/>
      <c r="I85" s="12" t="n"/>
      <c r="J85" s="12" t="n"/>
      <c r="K85" s="12" t="n"/>
    </row>
    <row r="86" ht="22" customHeight="1">
      <c r="B86" s="18">
        <f>IF(C86="","CC-"&amp;TEXT(COUNTA($C$5:C86),"000"))</f>
        <v/>
      </c>
      <c r="C86" s="15" t="n"/>
      <c r="D86" s="34" t="n"/>
      <c r="E86" s="34" t="n"/>
      <c r="F86" s="16">
        <f>IF(D86="","",E86-D86+1)</f>
        <v/>
      </c>
      <c r="G86" s="15" t="n"/>
      <c r="H86" s="16" t="n"/>
      <c r="I86" s="15" t="n"/>
      <c r="J86" s="15" t="n"/>
      <c r="K86" s="15" t="n"/>
    </row>
    <row r="87" ht="22" customHeight="1">
      <c r="B87" s="19">
        <f>IF(C87="","CC-"&amp;TEXT(COUNTA($C$5:C87),"000"))</f>
        <v/>
      </c>
      <c r="C87" s="12" t="n"/>
      <c r="D87" s="33" t="n"/>
      <c r="E87" s="33" t="n"/>
      <c r="F87" s="13">
        <f>IF(D87="","",E87-D87+1)</f>
        <v/>
      </c>
      <c r="G87" s="12" t="n"/>
      <c r="H87" s="13" t="n"/>
      <c r="I87" s="12" t="n"/>
      <c r="J87" s="12" t="n"/>
      <c r="K87" s="12" t="n"/>
    </row>
    <row r="88" ht="22" customHeight="1">
      <c r="B88" s="18">
        <f>IF(C88="","CC-"&amp;TEXT(COUNTA($C$5:C88),"000"))</f>
        <v/>
      </c>
      <c r="C88" s="15" t="n"/>
      <c r="D88" s="34" t="n"/>
      <c r="E88" s="34" t="n"/>
      <c r="F88" s="16">
        <f>IF(D88="","",E88-D88+1)</f>
        <v/>
      </c>
      <c r="G88" s="15" t="n"/>
      <c r="H88" s="16" t="n"/>
      <c r="I88" s="15" t="n"/>
      <c r="J88" s="15" t="n"/>
      <c r="K88" s="15" t="n"/>
    </row>
    <row r="89" ht="22" customHeight="1">
      <c r="B89" s="19">
        <f>IF(C89="","CC-"&amp;TEXT(COUNTA($C$5:C89),"000"))</f>
        <v/>
      </c>
      <c r="C89" s="12" t="n"/>
      <c r="D89" s="33" t="n"/>
      <c r="E89" s="33" t="n"/>
      <c r="F89" s="13">
        <f>IF(D89="","",E89-D89+1)</f>
        <v/>
      </c>
      <c r="G89" s="12" t="n"/>
      <c r="H89" s="13" t="n"/>
      <c r="I89" s="12" t="n"/>
      <c r="J89" s="12" t="n"/>
      <c r="K89" s="12" t="n"/>
    </row>
    <row r="90" ht="22" customHeight="1">
      <c r="B90" s="18">
        <f>IF(C90="","CC-"&amp;TEXT(COUNTA($C$5:C90),"000"))</f>
        <v/>
      </c>
      <c r="C90" s="15" t="n"/>
      <c r="D90" s="34" t="n"/>
      <c r="E90" s="34" t="n"/>
      <c r="F90" s="16">
        <f>IF(D90="","",E90-D90+1)</f>
        <v/>
      </c>
      <c r="G90" s="15" t="n"/>
      <c r="H90" s="16" t="n"/>
      <c r="I90" s="15" t="n"/>
      <c r="J90" s="15" t="n"/>
      <c r="K90" s="15" t="n"/>
    </row>
    <row r="91" ht="22" customHeight="1">
      <c r="B91" s="19">
        <f>IF(C91="","CC-"&amp;TEXT(COUNTA($C$5:C91),"000"))</f>
        <v/>
      </c>
      <c r="C91" s="12" t="n"/>
      <c r="D91" s="33" t="n"/>
      <c r="E91" s="33" t="n"/>
      <c r="F91" s="13">
        <f>IF(D91="","",E91-D91+1)</f>
        <v/>
      </c>
      <c r="G91" s="12" t="n"/>
      <c r="H91" s="13" t="n"/>
      <c r="I91" s="12" t="n"/>
      <c r="J91" s="12" t="n"/>
      <c r="K91" s="12" t="n"/>
    </row>
    <row r="92" ht="22" customHeight="1">
      <c r="B92" s="18">
        <f>IF(C92="","CC-"&amp;TEXT(COUNTA($C$5:C92),"000"))</f>
        <v/>
      </c>
      <c r="C92" s="15" t="n"/>
      <c r="D92" s="34" t="n"/>
      <c r="E92" s="34" t="n"/>
      <c r="F92" s="16">
        <f>IF(D92="","",E92-D92+1)</f>
        <v/>
      </c>
      <c r="G92" s="15" t="n"/>
      <c r="H92" s="16" t="n"/>
      <c r="I92" s="15" t="n"/>
      <c r="J92" s="15" t="n"/>
      <c r="K92" s="15" t="n"/>
    </row>
    <row r="93" ht="22" customHeight="1">
      <c r="B93" s="19">
        <f>IF(C93="","CC-"&amp;TEXT(COUNTA($C$5:C93),"000"))</f>
        <v/>
      </c>
      <c r="C93" s="12" t="n"/>
      <c r="D93" s="33" t="n"/>
      <c r="E93" s="33" t="n"/>
      <c r="F93" s="13">
        <f>IF(D93="","",E93-D93+1)</f>
        <v/>
      </c>
      <c r="G93" s="12" t="n"/>
      <c r="H93" s="13" t="n"/>
      <c r="I93" s="12" t="n"/>
      <c r="J93" s="12" t="n"/>
      <c r="K93" s="12" t="n"/>
    </row>
    <row r="94" ht="22" customHeight="1">
      <c r="B94" s="18">
        <f>IF(C94="","CC-"&amp;TEXT(COUNTA($C$5:C94),"000"))</f>
        <v/>
      </c>
      <c r="C94" s="15" t="n"/>
      <c r="D94" s="34" t="n"/>
      <c r="E94" s="34" t="n"/>
      <c r="F94" s="16">
        <f>IF(D94="","",E94-D94+1)</f>
        <v/>
      </c>
      <c r="G94" s="15" t="n"/>
      <c r="H94" s="16" t="n"/>
      <c r="I94" s="15" t="n"/>
      <c r="J94" s="15" t="n"/>
      <c r="K94" s="15" t="n"/>
    </row>
    <row r="95" ht="22" customHeight="1">
      <c r="B95" s="19">
        <f>IF(C95="","CC-"&amp;TEXT(COUNTA($C$5:C95),"000"))</f>
        <v/>
      </c>
      <c r="C95" s="12" t="n"/>
      <c r="D95" s="33" t="n"/>
      <c r="E95" s="33" t="n"/>
      <c r="F95" s="13">
        <f>IF(D95="","",E95-D95+1)</f>
        <v/>
      </c>
      <c r="G95" s="12" t="n"/>
      <c r="H95" s="13" t="n"/>
      <c r="I95" s="12" t="n"/>
      <c r="J95" s="12" t="n"/>
      <c r="K95" s="12" t="n"/>
    </row>
    <row r="96" ht="22" customHeight="1">
      <c r="B96" s="18">
        <f>IF(C96="","CC-"&amp;TEXT(COUNTA($C$5:C96),"000"))</f>
        <v/>
      </c>
      <c r="C96" s="15" t="n"/>
      <c r="D96" s="34" t="n"/>
      <c r="E96" s="34" t="n"/>
      <c r="F96" s="16">
        <f>IF(D96="","",E96-D96+1)</f>
        <v/>
      </c>
      <c r="G96" s="15" t="n"/>
      <c r="H96" s="16" t="n"/>
      <c r="I96" s="15" t="n"/>
      <c r="J96" s="15" t="n"/>
      <c r="K96" s="15" t="n"/>
    </row>
    <row r="97" ht="22" customHeight="1">
      <c r="B97" s="19">
        <f>IF(C97="","CC-"&amp;TEXT(COUNTA($C$5:C97),"000"))</f>
        <v/>
      </c>
      <c r="C97" s="12" t="n"/>
      <c r="D97" s="33" t="n"/>
      <c r="E97" s="33" t="n"/>
      <c r="F97" s="13">
        <f>IF(D97="","",E97-D97+1)</f>
        <v/>
      </c>
      <c r="G97" s="12" t="n"/>
      <c r="H97" s="13" t="n"/>
      <c r="I97" s="12" t="n"/>
      <c r="J97" s="12" t="n"/>
      <c r="K97" s="12" t="n"/>
    </row>
    <row r="98" ht="22" customHeight="1">
      <c r="B98" s="18">
        <f>IF(C98="","CC-"&amp;TEXT(COUNTA($C$5:C98),"000"))</f>
        <v/>
      </c>
      <c r="C98" s="15" t="n"/>
      <c r="D98" s="34" t="n"/>
      <c r="E98" s="34" t="n"/>
      <c r="F98" s="16">
        <f>IF(D98="","",E98-D98+1)</f>
        <v/>
      </c>
      <c r="G98" s="15" t="n"/>
      <c r="H98" s="16" t="n"/>
      <c r="I98" s="15" t="n"/>
      <c r="J98" s="15" t="n"/>
      <c r="K98" s="15" t="n"/>
    </row>
    <row r="99" ht="22" customHeight="1">
      <c r="B99" s="19">
        <f>IF(C99="","CC-"&amp;TEXT(COUNTA($C$5:C99),"000"))</f>
        <v/>
      </c>
      <c r="C99" s="12" t="n"/>
      <c r="D99" s="33" t="n"/>
      <c r="E99" s="33" t="n"/>
      <c r="F99" s="13">
        <f>IF(D99="","",E99-D99+1)</f>
        <v/>
      </c>
      <c r="G99" s="12" t="n"/>
      <c r="H99" s="13" t="n"/>
      <c r="I99" s="12" t="n"/>
      <c r="J99" s="12" t="n"/>
      <c r="K99" s="12" t="n"/>
    </row>
    <row r="100" ht="22" customHeight="1">
      <c r="B100" s="18">
        <f>IF(C100="","CC-"&amp;TEXT(COUNTA($C$5:C100),"000"))</f>
        <v/>
      </c>
      <c r="C100" s="15" t="n"/>
      <c r="D100" s="34" t="n"/>
      <c r="E100" s="34" t="n"/>
      <c r="F100" s="16">
        <f>IF(D100="","",E100-D100+1)</f>
        <v/>
      </c>
      <c r="G100" s="15" t="n"/>
      <c r="H100" s="16" t="n"/>
      <c r="I100" s="15" t="n"/>
      <c r="J100" s="15" t="n"/>
      <c r="K100" s="15" t="n"/>
    </row>
    <row r="101" ht="22" customHeight="1">
      <c r="B101" s="19">
        <f>IF(C101="","CC-"&amp;TEXT(COUNTA($C$5:C101),"000"))</f>
        <v/>
      </c>
      <c r="C101" s="12" t="n"/>
      <c r="D101" s="33" t="n"/>
      <c r="E101" s="33" t="n"/>
      <c r="F101" s="13">
        <f>IF(D101="","",E101-D101+1)</f>
        <v/>
      </c>
      <c r="G101" s="12" t="n"/>
      <c r="H101" s="13" t="n"/>
      <c r="I101" s="12" t="n"/>
      <c r="J101" s="12" t="n"/>
      <c r="K101" s="12" t="n"/>
    </row>
    <row r="102" ht="22" customHeight="1">
      <c r="B102" s="18">
        <f>IF(C102="","CC-"&amp;TEXT(COUNTA($C$5:C102),"000"))</f>
        <v/>
      </c>
      <c r="C102" s="15" t="n"/>
      <c r="D102" s="34" t="n"/>
      <c r="E102" s="34" t="n"/>
      <c r="F102" s="16">
        <f>IF(D102="","",E102-D102+1)</f>
        <v/>
      </c>
      <c r="G102" s="15" t="n"/>
      <c r="H102" s="16" t="n"/>
      <c r="I102" s="15" t="n"/>
      <c r="J102" s="15" t="n"/>
      <c r="K102" s="15" t="n"/>
    </row>
    <row r="103" ht="22" customHeight="1">
      <c r="B103" s="19">
        <f>IF(C103="","CC-"&amp;TEXT(COUNTA($C$5:C103),"000"))</f>
        <v/>
      </c>
      <c r="C103" s="12" t="n"/>
      <c r="D103" s="33" t="n"/>
      <c r="E103" s="33" t="n"/>
      <c r="F103" s="13">
        <f>IF(D103="","",E103-D103+1)</f>
        <v/>
      </c>
      <c r="G103" s="12" t="n"/>
      <c r="H103" s="13" t="n"/>
      <c r="I103" s="12" t="n"/>
      <c r="J103" s="12" t="n"/>
      <c r="K103" s="12" t="n"/>
    </row>
    <row r="104" ht="22" customHeight="1">
      <c r="B104" s="18">
        <f>IF(C104="","CC-"&amp;TEXT(COUNTA($C$5:C104),"000"))</f>
        <v/>
      </c>
      <c r="C104" s="15" t="n"/>
      <c r="D104" s="34" t="n"/>
      <c r="E104" s="34" t="n"/>
      <c r="F104" s="16">
        <f>IF(D104="","",E104-D104+1)</f>
        <v/>
      </c>
      <c r="G104" s="15" t="n"/>
      <c r="H104" s="16" t="n"/>
      <c r="I104" s="15" t="n"/>
      <c r="J104" s="15" t="n"/>
      <c r="K104" s="15" t="n"/>
    </row>
    <row r="105" ht="22" customHeight="1">
      <c r="B105" s="19">
        <f>IF(C105="","CC-"&amp;TEXT(COUNTA($C$5:C105),"000"))</f>
        <v/>
      </c>
      <c r="C105" s="12" t="n"/>
      <c r="D105" s="33" t="n"/>
      <c r="E105" s="33" t="n"/>
      <c r="F105" s="13">
        <f>IF(D105="","",E105-D105+1)</f>
        <v/>
      </c>
      <c r="G105" s="12" t="n"/>
      <c r="H105" s="13" t="n"/>
      <c r="I105" s="12" t="n"/>
      <c r="J105" s="12" t="n"/>
      <c r="K105" s="12" t="n"/>
    </row>
    <row r="106" ht="22" customHeight="1">
      <c r="B106" s="18">
        <f>IF(C106="","CC-"&amp;TEXT(COUNTA($C$5:C106),"000"))</f>
        <v/>
      </c>
      <c r="C106" s="15" t="n"/>
      <c r="D106" s="34" t="n"/>
      <c r="E106" s="34" t="n"/>
      <c r="F106" s="16">
        <f>IF(D106="","",E106-D106+1)</f>
        <v/>
      </c>
      <c r="G106" s="15" t="n"/>
      <c r="H106" s="16" t="n"/>
      <c r="I106" s="15" t="n"/>
      <c r="J106" s="15" t="n"/>
      <c r="K106" s="15" t="n"/>
    </row>
    <row r="107" ht="22" customHeight="1">
      <c r="B107" s="19">
        <f>IF(C107="","CC-"&amp;TEXT(COUNTA($C$5:C107),"000"))</f>
        <v/>
      </c>
      <c r="C107" s="12" t="n"/>
      <c r="D107" s="33" t="n"/>
      <c r="E107" s="33" t="n"/>
      <c r="F107" s="13">
        <f>IF(D107="","",E107-D107+1)</f>
        <v/>
      </c>
      <c r="G107" s="12" t="n"/>
      <c r="H107" s="13" t="n"/>
      <c r="I107" s="12" t="n"/>
      <c r="J107" s="12" t="n"/>
      <c r="K107" s="12" t="n"/>
    </row>
    <row r="108" ht="22" customHeight="1">
      <c r="B108" s="18">
        <f>IF(C108="","CC-"&amp;TEXT(COUNTA($C$5:C108),"000"))</f>
        <v/>
      </c>
      <c r="C108" s="15" t="n"/>
      <c r="D108" s="34" t="n"/>
      <c r="E108" s="34" t="n"/>
      <c r="F108" s="16">
        <f>IF(D108="","",E108-D108+1)</f>
        <v/>
      </c>
      <c r="G108" s="15" t="n"/>
      <c r="H108" s="16" t="n"/>
      <c r="I108" s="15" t="n"/>
      <c r="J108" s="15" t="n"/>
      <c r="K108" s="15" t="n"/>
    </row>
    <row r="109" ht="22" customHeight="1">
      <c r="B109" s="19">
        <f>IF(C109="","CC-"&amp;TEXT(COUNTA($C$5:C109),"000"))</f>
        <v/>
      </c>
      <c r="C109" s="12" t="n"/>
      <c r="D109" s="33" t="n"/>
      <c r="E109" s="33" t="n"/>
      <c r="F109" s="13">
        <f>IF(D109="","",E109-D109+1)</f>
        <v/>
      </c>
      <c r="G109" s="12" t="n"/>
      <c r="H109" s="13" t="n"/>
      <c r="I109" s="12" t="n"/>
      <c r="J109" s="12" t="n"/>
      <c r="K109" s="12" t="n"/>
    </row>
    <row r="111" ht="26" customHeight="1">
      <c r="B111" s="24" t="inlineStr">
        <is>
          <t>TOTAL</t>
        </is>
      </c>
      <c r="C111" s="25" t="n"/>
      <c r="D111" s="25" t="n"/>
      <c r="E111" s="25" t="n"/>
      <c r="F111" s="26">
        <f>SUM(F5:F104)</f>
        <v/>
      </c>
      <c r="G111" s="25" t="n"/>
      <c r="H111" s="26">
        <f>SUM(H5:H104)</f>
        <v/>
      </c>
      <c r="I111" s="25" t="n"/>
      <c r="J111" s="25" t="n"/>
      <c r="K111" s="25" t="n"/>
    </row>
    <row r="113">
      <c r="B113" s="6" t="inlineStr">
        <is>
          <t>INDICATEURS (mis a jour automatiquement)</t>
        </is>
      </c>
    </row>
    <row r="114">
      <c r="B114" s="3" t="inlineStr">
        <is>
          <t>Total conges collectifs</t>
        </is>
      </c>
      <c r="D114" s="3" t="inlineStr">
        <is>
          <t>Jours de fermeture</t>
        </is>
      </c>
      <c r="F114" s="3" t="inlineStr">
        <is>
          <t>Employes concernes (max)</t>
        </is>
      </c>
      <c r="H114" s="3" t="inlineStr">
        <is>
          <t>Planifies</t>
        </is>
      </c>
    </row>
    <row r="115">
      <c r="B115" s="4">
        <f>COUNTIF(B5:B104,"&lt;&gt;")</f>
        <v/>
      </c>
      <c r="D115" s="4">
        <f>SUM(F5:F104)</f>
        <v/>
      </c>
      <c r="F115" s="4">
        <f>MAX(H5:H104)</f>
        <v/>
      </c>
      <c r="H115" s="4">
        <f>COUNTIF(K5:K104,"Planifie")</f>
        <v/>
      </c>
    </row>
  </sheetData>
  <mergeCells count="3">
    <mergeCell ref="B113:K113"/>
    <mergeCell ref="B3:K3"/>
    <mergeCell ref="B2:K2"/>
  </mergeCells>
  <conditionalFormatting sqref="K5:K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dataValidations count="2">
    <dataValidation sqref="C5:C109" showDropDown="0" showInputMessage="0" showErrorMessage="0" allowBlank="1" errorTitle="Erreur" error="Valeur invalide" promptTitle="Liste" prompt="Choisir dans la liste" type="list">
      <formula1>'_Lists'!$O$2:$O$7</formula1>
    </dataValidation>
    <dataValidation sqref="K5:K109" showDropDown="0" showInputMessage="0" showErrorMessage="0" allowBlank="1" errorTitle="Erreur" error="Valeur invalide" promptTitle="Liste" prompt="Choisir dans la liste" type="list">
      <formula1>'_Lists'!$P$2:$P$5</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4" customWidth="1" min="2" max="2"/>
    <col width="16" customWidth="1" min="3" max="3"/>
    <col width="20" customWidth="1" min="4" max="4"/>
    <col width="16" customWidth="1" min="5" max="5"/>
    <col width="22" customWidth="1" min="6" max="6"/>
    <col width="14" customWidth="1" min="7" max="7"/>
    <col width="14" customWidth="1" min="8" max="8"/>
    <col width="14" customWidth="1" min="9" max="9"/>
    <col width="12" customWidth="1" min="10" max="10"/>
    <col width="14" customWidth="1" min="11" max="11"/>
    <col width="14" customWidth="1" min="12" max="12"/>
    <col width="24" customWidth="1" min="13" max="13"/>
  </cols>
  <sheetData>
    <row r="1" ht="15" customHeight="1"/>
    <row r="2" ht="32" customHeight="1">
      <c r="B2" s="1" t="inlineStr">
        <is>
          <t>TABLEAU D'AFFECTATION PAR SERVICE</t>
        </is>
      </c>
    </row>
    <row r="3" ht="8" customHeight="1">
      <c r="B3" s="2" t="inlineStr">
        <is>
          <t>TABLEAU DYNAMIQUE — Saisissez dans la prochaine ligne jaune. Les calculs se mettent a jour automatiquement.</t>
        </is>
      </c>
    </row>
    <row r="4" ht="28" customHeight="1">
      <c r="B4" s="11" t="inlineStr">
        <is>
          <t>N° Affectation</t>
        </is>
      </c>
      <c r="C4" s="11" t="inlineStr">
        <is>
          <t>Matricule</t>
        </is>
      </c>
      <c r="D4" s="11" t="inlineStr">
        <is>
          <t>Nom Employe</t>
        </is>
      </c>
      <c r="E4" s="11" t="inlineStr">
        <is>
          <t>Service</t>
        </is>
      </c>
      <c r="F4" s="11" t="inlineStr">
        <is>
          <t>Fonction Service</t>
        </is>
      </c>
      <c r="G4" s="11" t="inlineStr">
        <is>
          <t>Equipe</t>
        </is>
      </c>
      <c r="H4" s="11" t="inlineStr">
        <is>
          <t>Date Debut</t>
        </is>
      </c>
      <c r="I4" s="11" t="inlineStr">
        <is>
          <t>Date Fin</t>
        </is>
      </c>
      <c r="J4" s="11" t="inlineStr">
        <is>
          <t>Horaire</t>
        </is>
      </c>
      <c r="K4" s="11" t="inlineStr">
        <is>
          <t>Jours/Semaine</t>
        </is>
      </c>
      <c r="L4" s="11" t="inlineStr">
        <is>
          <t>Statut</t>
        </is>
      </c>
      <c r="M4" s="11" t="inlineStr">
        <is>
          <t>Observations</t>
        </is>
      </c>
    </row>
    <row r="5" ht="22" customHeight="1">
      <c r="B5" s="12" t="inlineStr">
        <is>
          <t>SVC-001</t>
        </is>
      </c>
      <c r="C5" s="12" t="inlineStr">
        <is>
          <t>EMP-004</t>
        </is>
      </c>
      <c r="D5" s="12">
        <f>IF(C5="","",IFERROR(VLOOKUP(C5,'_Données Employés'!$B$5:$H$18,3,FALSE)&amp;" "&amp;VLOOKUP(C5,'_Données Employés'!$B$5:$H$18,4,FALSE),""))</f>
        <v/>
      </c>
      <c r="E5" s="12">
        <f>IF(C5="","",IFERROR(VLOOKUP(C5,'_Données Employés'!$B$5:$H$18,5,FALSE),""))</f>
        <v/>
      </c>
      <c r="F5" s="12">
        <f>IF(C5="","",IFERROR(VLOOKUP(C5,'_Données Employés'!$B$5:$H$18,6,FALSE),""))</f>
        <v/>
      </c>
      <c r="G5" s="12" t="inlineStr">
        <is>
          <t>Equipe Jour</t>
        </is>
      </c>
      <c r="H5" s="33" t="n">
        <v>45658</v>
      </c>
      <c r="I5" s="33" t="n"/>
      <c r="J5" s="12" t="inlineStr">
        <is>
          <t>06h-14h</t>
        </is>
      </c>
      <c r="K5" s="13" t="n">
        <v>5</v>
      </c>
      <c r="L5" s="12" t="inlineStr">
        <is>
          <t>Actif</t>
        </is>
      </c>
      <c r="M5" s="12" t="inlineStr">
        <is>
          <t>Pont management</t>
        </is>
      </c>
    </row>
    <row r="6" ht="22" customHeight="1">
      <c r="B6" s="15" t="inlineStr">
        <is>
          <t>SVC-002</t>
        </is>
      </c>
      <c r="C6" s="15" t="inlineStr">
        <is>
          <t>EMP-028</t>
        </is>
      </c>
      <c r="D6" s="15">
        <f>IF(C6="","",IFERROR(VLOOKUP(C6,'_Données Employés'!$B$5:$H$18,3,FALSE)&amp;" "&amp;VLOOKUP(C6,'_Données Employés'!$B$5:$H$18,4,FALSE),""))</f>
        <v/>
      </c>
      <c r="E6" s="15">
        <f>IF(C6="","",IFERROR(VLOOKUP(C6,'_Données Employés'!$B$5:$H$18,5,FALSE),""))</f>
        <v/>
      </c>
      <c r="F6" s="15">
        <f>IF(C6="","",IFERROR(VLOOKUP(C6,'_Données Employés'!$B$5:$H$18,6,FALSE),""))</f>
        <v/>
      </c>
      <c r="G6" s="15" t="inlineStr">
        <is>
          <t>Equipe A</t>
        </is>
      </c>
      <c r="H6" s="34" t="n">
        <v>45717</v>
      </c>
      <c r="I6" s="34" t="n"/>
      <c r="J6" s="15" t="inlineStr">
        <is>
          <t>07h-15h</t>
        </is>
      </c>
      <c r="K6" s="16" t="n">
        <v>6</v>
      </c>
      <c r="L6" s="15" t="inlineStr">
        <is>
          <t>Actif</t>
        </is>
      </c>
      <c r="M6" s="15" t="inlineStr"/>
    </row>
    <row r="7" ht="22" customHeight="1">
      <c r="B7" s="12" t="inlineStr">
        <is>
          <t>SVC-003</t>
        </is>
      </c>
      <c r="C7" s="12" t="inlineStr">
        <is>
          <t>EMP-005</t>
        </is>
      </c>
      <c r="D7" s="12">
        <f>IF(C7="","",IFERROR(VLOOKUP(C7,'_Données Employés'!$B$5:$H$18,3,FALSE)&amp;" "&amp;VLOOKUP(C7,'_Données Employés'!$B$5:$H$18,4,FALSE),""))</f>
        <v/>
      </c>
      <c r="E7" s="12">
        <f>IF(C7="","",IFERROR(VLOOKUP(C7,'_Données Employés'!$B$5:$H$18,5,FALSE),""))</f>
        <v/>
      </c>
      <c r="F7" s="12">
        <f>IF(C7="","",IFERROR(VLOOKUP(C7,'_Données Employés'!$B$5:$H$18,6,FALSE),""))</f>
        <v/>
      </c>
      <c r="G7" s="12" t="inlineStr">
        <is>
          <t>Equipe A</t>
        </is>
      </c>
      <c r="H7" s="33" t="n">
        <v>45748</v>
      </c>
      <c r="I7" s="33" t="n"/>
      <c r="J7" s="12" t="inlineStr">
        <is>
          <t>06h-14h</t>
        </is>
      </c>
      <c r="K7" s="13" t="n">
        <v>6</v>
      </c>
      <c r="L7" s="12" t="inlineStr">
        <is>
          <t>Actif</t>
        </is>
      </c>
      <c r="M7" s="12" t="inlineStr">
        <is>
          <t>Spécialité grillades</t>
        </is>
      </c>
    </row>
    <row r="8" ht="22" customHeight="1">
      <c r="B8" s="15" t="inlineStr">
        <is>
          <t>SVC-004</t>
        </is>
      </c>
      <c r="C8" s="15" t="inlineStr">
        <is>
          <t>EMP-001</t>
        </is>
      </c>
      <c r="D8" s="15">
        <f>IF(C8="","",IFERROR(VLOOKUP(C8,'_Données Employés'!$B$5:$H$18,3,FALSE)&amp;" "&amp;VLOOKUP(C8,'_Données Employés'!$B$5:$H$18,4,FALSE),""))</f>
        <v/>
      </c>
      <c r="E8" s="15">
        <f>IF(C8="","",IFERROR(VLOOKUP(C8,'_Données Employés'!$B$5:$H$18,5,FALSE),""))</f>
        <v/>
      </c>
      <c r="F8" s="15">
        <f>IF(C8="","",IFERROR(VLOOKUP(C8,'_Données Employés'!$B$5:$H$18,6,FALSE),""))</f>
        <v/>
      </c>
      <c r="G8" s="15" t="inlineStr">
        <is>
          <t>Equipe Jour</t>
        </is>
      </c>
      <c r="H8" s="34" t="n">
        <v>45809</v>
      </c>
      <c r="I8" s="34" t="n"/>
      <c r="J8" s="15" t="inlineStr">
        <is>
          <t>08h-17h</t>
        </is>
      </c>
      <c r="K8" s="16" t="n">
        <v>5</v>
      </c>
      <c r="L8" s="15" t="inlineStr">
        <is>
          <t>Actif</t>
        </is>
      </c>
      <c r="M8" s="15" t="inlineStr">
        <is>
          <t>Formation en cours</t>
        </is>
      </c>
    </row>
    <row r="9" ht="22" customHeight="1">
      <c r="B9" s="12" t="inlineStr">
        <is>
          <t>SVC-005</t>
        </is>
      </c>
      <c r="C9" s="12" t="inlineStr">
        <is>
          <t>EMP-029</t>
        </is>
      </c>
      <c r="D9" s="12">
        <f>IF(C9="","",IFERROR(VLOOKUP(C9,'_Données Employés'!$B$5:$H$18,3,FALSE)&amp;" "&amp;VLOOKUP(C9,'_Données Employés'!$B$5:$H$18,4,FALSE),""))</f>
        <v/>
      </c>
      <c r="E9" s="12">
        <f>IF(C9="","",IFERROR(VLOOKUP(C9,'_Données Employés'!$B$5:$H$18,5,FALSE),""))</f>
        <v/>
      </c>
      <c r="F9" s="12">
        <f>IF(C9="","",IFERROR(VLOOKUP(C9,'_Données Employés'!$B$5:$H$18,6,FALSE),""))</f>
        <v/>
      </c>
      <c r="G9" s="12" t="inlineStr">
        <is>
          <t>Equipe Nuit</t>
        </is>
      </c>
      <c r="H9" s="33" t="n">
        <v>45292</v>
      </c>
      <c r="I9" s="33" t="n"/>
      <c r="J9" s="12" t="inlineStr">
        <is>
          <t>22h-06h</t>
        </is>
      </c>
      <c r="K9" s="13" t="n">
        <v>5</v>
      </c>
      <c r="L9" s="12" t="inlineStr">
        <is>
          <t>Actif</t>
        </is>
      </c>
      <c r="M9" s="12" t="inlineStr">
        <is>
          <t>Chef sécurité</t>
        </is>
      </c>
    </row>
    <row r="10" ht="22" customHeight="1">
      <c r="B10" s="18">
        <f>IF(C10="","SVC-"&amp;TEXT(COUNTA($C$5:C10),"000"))</f>
        <v/>
      </c>
      <c r="C10" s="15" t="n"/>
      <c r="D10" s="15" t="n"/>
      <c r="E10" s="15" t="n"/>
      <c r="F10" s="15" t="n"/>
      <c r="G10" s="15" t="n"/>
      <c r="H10" s="34" t="n"/>
      <c r="I10" s="34" t="n"/>
      <c r="J10" s="15" t="n"/>
      <c r="K10" s="16" t="n"/>
      <c r="L10" s="15" t="n"/>
      <c r="M10" s="15" t="n"/>
    </row>
    <row r="11" ht="22" customHeight="1">
      <c r="B11" s="19">
        <f>IF(C11="","SVC-"&amp;TEXT(COUNTA($C$5:C11),"000"))</f>
        <v/>
      </c>
      <c r="C11" s="12" t="n"/>
      <c r="D11" s="12" t="n"/>
      <c r="E11" s="12" t="n"/>
      <c r="F11" s="12" t="n"/>
      <c r="G11" s="12" t="n"/>
      <c r="H11" s="33" t="n"/>
      <c r="I11" s="33" t="n"/>
      <c r="J11" s="12" t="n"/>
      <c r="K11" s="13" t="n"/>
      <c r="L11" s="12" t="n"/>
      <c r="M11" s="12" t="n"/>
    </row>
    <row r="12" ht="22" customHeight="1">
      <c r="B12" s="18">
        <f>IF(C12="","SVC-"&amp;TEXT(COUNTA($C$5:C12),"000"))</f>
        <v/>
      </c>
      <c r="C12" s="15" t="n"/>
      <c r="D12" s="15" t="n"/>
      <c r="E12" s="15" t="n"/>
      <c r="F12" s="15" t="n"/>
      <c r="G12" s="15" t="n"/>
      <c r="H12" s="34" t="n"/>
      <c r="I12" s="34" t="n"/>
      <c r="J12" s="15" t="n"/>
      <c r="K12" s="16" t="n"/>
      <c r="L12" s="15" t="n"/>
      <c r="M12" s="15" t="n"/>
    </row>
    <row r="13" ht="22" customHeight="1">
      <c r="B13" s="19">
        <f>IF(C13="","SVC-"&amp;TEXT(COUNTA($C$5:C13),"000"))</f>
        <v/>
      </c>
      <c r="C13" s="12" t="n"/>
      <c r="D13" s="12" t="n"/>
      <c r="E13" s="12" t="n"/>
      <c r="F13" s="12" t="n"/>
      <c r="G13" s="12" t="n"/>
      <c r="H13" s="33" t="n"/>
      <c r="I13" s="33" t="n"/>
      <c r="J13" s="12" t="n"/>
      <c r="K13" s="13" t="n"/>
      <c r="L13" s="12" t="n"/>
      <c r="M13" s="12" t="n"/>
    </row>
    <row r="14" ht="22" customHeight="1">
      <c r="B14" s="18">
        <f>IF(C14="","SVC-"&amp;TEXT(COUNTA($C$5:C14),"000"))</f>
        <v/>
      </c>
      <c r="C14" s="15" t="n"/>
      <c r="D14" s="15" t="n"/>
      <c r="E14" s="15" t="n"/>
      <c r="F14" s="15" t="n"/>
      <c r="G14" s="15" t="n"/>
      <c r="H14" s="34" t="n"/>
      <c r="I14" s="34" t="n"/>
      <c r="J14" s="15" t="n"/>
      <c r="K14" s="16" t="n"/>
      <c r="L14" s="15" t="n"/>
      <c r="M14" s="15" t="n"/>
    </row>
    <row r="15" ht="22" customHeight="1">
      <c r="B15" s="19">
        <f>IF(C15="","SVC-"&amp;TEXT(COUNTA($C$5:C15),"000"))</f>
        <v/>
      </c>
      <c r="C15" s="12" t="n"/>
      <c r="D15" s="12" t="n"/>
      <c r="E15" s="12" t="n"/>
      <c r="F15" s="12" t="n"/>
      <c r="G15" s="12" t="n"/>
      <c r="H15" s="33" t="n"/>
      <c r="I15" s="33" t="n"/>
      <c r="J15" s="12" t="n"/>
      <c r="K15" s="13" t="n"/>
      <c r="L15" s="12" t="n"/>
      <c r="M15" s="12" t="n"/>
    </row>
    <row r="16" ht="22" customHeight="1">
      <c r="B16" s="18">
        <f>IF(C16="","SVC-"&amp;TEXT(COUNTA($C$5:C16),"000"))</f>
        <v/>
      </c>
      <c r="C16" s="15" t="n"/>
      <c r="D16" s="15" t="n"/>
      <c r="E16" s="15" t="n"/>
      <c r="F16" s="15" t="n"/>
      <c r="G16" s="15" t="n"/>
      <c r="H16" s="34" t="n"/>
      <c r="I16" s="34" t="n"/>
      <c r="J16" s="15" t="n"/>
      <c r="K16" s="16" t="n"/>
      <c r="L16" s="15" t="n"/>
      <c r="M16" s="15" t="n"/>
    </row>
    <row r="17" ht="22" customHeight="1">
      <c r="B17" s="19">
        <f>IF(C17="","SVC-"&amp;TEXT(COUNTA($C$5:C17),"000"))</f>
        <v/>
      </c>
      <c r="C17" s="12" t="n"/>
      <c r="D17" s="12" t="n"/>
      <c r="E17" s="12" t="n"/>
      <c r="F17" s="12" t="n"/>
      <c r="G17" s="12" t="n"/>
      <c r="H17" s="33" t="n"/>
      <c r="I17" s="33" t="n"/>
      <c r="J17" s="12" t="n"/>
      <c r="K17" s="13" t="n"/>
      <c r="L17" s="12" t="n"/>
      <c r="M17" s="12" t="n"/>
    </row>
    <row r="18" ht="22" customHeight="1">
      <c r="B18" s="18">
        <f>IF(C18="","SVC-"&amp;TEXT(COUNTA($C$5:C18),"000"))</f>
        <v/>
      </c>
      <c r="C18" s="15" t="n"/>
      <c r="D18" s="15" t="n"/>
      <c r="E18" s="15" t="n"/>
      <c r="F18" s="15" t="n"/>
      <c r="G18" s="15" t="n"/>
      <c r="H18" s="34" t="n"/>
      <c r="I18" s="34" t="n"/>
      <c r="J18" s="15" t="n"/>
      <c r="K18" s="16" t="n"/>
      <c r="L18" s="15" t="n"/>
      <c r="M18" s="15" t="n"/>
    </row>
    <row r="19" ht="22" customHeight="1">
      <c r="B19" s="19">
        <f>IF(C19="","SVC-"&amp;TEXT(COUNTA($C$5:C19),"000"))</f>
        <v/>
      </c>
      <c r="C19" s="12" t="n"/>
      <c r="D19" s="12" t="n"/>
      <c r="E19" s="12" t="n"/>
      <c r="F19" s="12" t="n"/>
      <c r="G19" s="12" t="n"/>
      <c r="H19" s="33" t="n"/>
      <c r="I19" s="33" t="n"/>
      <c r="J19" s="12" t="n"/>
      <c r="K19" s="13" t="n"/>
      <c r="L19" s="12" t="n"/>
      <c r="M19" s="12" t="n"/>
    </row>
    <row r="20" ht="22" customHeight="1">
      <c r="B20" s="18">
        <f>IF(C20="","SVC-"&amp;TEXT(COUNTA($C$5:C20),"000"))</f>
        <v/>
      </c>
      <c r="C20" s="15" t="n"/>
      <c r="D20" s="15" t="n"/>
      <c r="E20" s="15" t="n"/>
      <c r="F20" s="15" t="n"/>
      <c r="G20" s="15" t="n"/>
      <c r="H20" s="34" t="n"/>
      <c r="I20" s="34" t="n"/>
      <c r="J20" s="15" t="n"/>
      <c r="K20" s="16" t="n"/>
      <c r="L20" s="15" t="n"/>
      <c r="M20" s="15" t="n"/>
    </row>
    <row r="21" ht="22" customHeight="1">
      <c r="B21" s="19">
        <f>IF(C21="","SVC-"&amp;TEXT(COUNTA($C$5:C21),"000"))</f>
        <v/>
      </c>
      <c r="C21" s="12" t="n"/>
      <c r="D21" s="12" t="n"/>
      <c r="E21" s="12" t="n"/>
      <c r="F21" s="12" t="n"/>
      <c r="G21" s="12" t="n"/>
      <c r="H21" s="33" t="n"/>
      <c r="I21" s="33" t="n"/>
      <c r="J21" s="12" t="n"/>
      <c r="K21" s="13" t="n"/>
      <c r="L21" s="12" t="n"/>
      <c r="M21" s="12" t="n"/>
    </row>
    <row r="22" ht="22" customHeight="1">
      <c r="B22" s="18">
        <f>IF(C22="","SVC-"&amp;TEXT(COUNTA($C$5:C22),"000"))</f>
        <v/>
      </c>
      <c r="C22" s="15" t="n"/>
      <c r="D22" s="15" t="n"/>
      <c r="E22" s="15" t="n"/>
      <c r="F22" s="15" t="n"/>
      <c r="G22" s="15" t="n"/>
      <c r="H22" s="34" t="n"/>
      <c r="I22" s="34" t="n"/>
      <c r="J22" s="15" t="n"/>
      <c r="K22" s="16" t="n"/>
      <c r="L22" s="15" t="n"/>
      <c r="M22" s="15" t="n"/>
    </row>
    <row r="23" ht="22" customHeight="1">
      <c r="B23" s="19">
        <f>IF(C23="","SVC-"&amp;TEXT(COUNTA($C$5:C23),"000"))</f>
        <v/>
      </c>
      <c r="C23" s="12" t="n"/>
      <c r="D23" s="12" t="n"/>
      <c r="E23" s="12" t="n"/>
      <c r="F23" s="12" t="n"/>
      <c r="G23" s="12" t="n"/>
      <c r="H23" s="33" t="n"/>
      <c r="I23" s="33" t="n"/>
      <c r="J23" s="12" t="n"/>
      <c r="K23" s="13" t="n"/>
      <c r="L23" s="12" t="n"/>
      <c r="M23" s="12" t="n"/>
    </row>
    <row r="24" ht="22" customHeight="1">
      <c r="B24" s="18">
        <f>IF(C24="","SVC-"&amp;TEXT(COUNTA($C$5:C24),"000"))</f>
        <v/>
      </c>
      <c r="C24" s="15" t="n"/>
      <c r="D24" s="15" t="n"/>
      <c r="E24" s="15" t="n"/>
      <c r="F24" s="15" t="n"/>
      <c r="G24" s="15" t="n"/>
      <c r="H24" s="34" t="n"/>
      <c r="I24" s="34" t="n"/>
      <c r="J24" s="15" t="n"/>
      <c r="K24" s="16" t="n"/>
      <c r="L24" s="15" t="n"/>
      <c r="M24" s="15" t="n"/>
    </row>
    <row r="25" ht="22" customHeight="1">
      <c r="B25" s="19">
        <f>IF(C25="","SVC-"&amp;TEXT(COUNTA($C$5:C25),"000"))</f>
        <v/>
      </c>
      <c r="C25" s="12" t="n"/>
      <c r="D25" s="12" t="n"/>
      <c r="E25" s="12" t="n"/>
      <c r="F25" s="12" t="n"/>
      <c r="G25" s="12" t="n"/>
      <c r="H25" s="33" t="n"/>
      <c r="I25" s="33" t="n"/>
      <c r="J25" s="12" t="n"/>
      <c r="K25" s="13" t="n"/>
      <c r="L25" s="12" t="n"/>
      <c r="M25" s="12" t="n"/>
    </row>
    <row r="26" ht="22" customHeight="1">
      <c r="B26" s="18">
        <f>IF(C26="","SVC-"&amp;TEXT(COUNTA($C$5:C26),"000"))</f>
        <v/>
      </c>
      <c r="C26" s="15" t="n"/>
      <c r="D26" s="15" t="n"/>
      <c r="E26" s="15" t="n"/>
      <c r="F26" s="15" t="n"/>
      <c r="G26" s="15" t="n"/>
      <c r="H26" s="34" t="n"/>
      <c r="I26" s="34" t="n"/>
      <c r="J26" s="15" t="n"/>
      <c r="K26" s="16" t="n"/>
      <c r="L26" s="15" t="n"/>
      <c r="M26" s="15" t="n"/>
    </row>
    <row r="27" ht="22" customHeight="1">
      <c r="B27" s="19">
        <f>IF(C27="","SVC-"&amp;TEXT(COUNTA($C$5:C27),"000"))</f>
        <v/>
      </c>
      <c r="C27" s="12" t="n"/>
      <c r="D27" s="12" t="n"/>
      <c r="E27" s="12" t="n"/>
      <c r="F27" s="12" t="n"/>
      <c r="G27" s="12" t="n"/>
      <c r="H27" s="33" t="n"/>
      <c r="I27" s="33" t="n"/>
      <c r="J27" s="12" t="n"/>
      <c r="K27" s="13" t="n"/>
      <c r="L27" s="12" t="n"/>
      <c r="M27" s="12" t="n"/>
    </row>
    <row r="28" ht="22" customHeight="1">
      <c r="B28" s="18">
        <f>IF(C28="","SVC-"&amp;TEXT(COUNTA($C$5:C28),"000"))</f>
        <v/>
      </c>
      <c r="C28" s="15" t="n"/>
      <c r="D28" s="15" t="n"/>
      <c r="E28" s="15" t="n"/>
      <c r="F28" s="15" t="n"/>
      <c r="G28" s="15" t="n"/>
      <c r="H28" s="34" t="n"/>
      <c r="I28" s="34" t="n"/>
      <c r="J28" s="15" t="n"/>
      <c r="K28" s="16" t="n"/>
      <c r="L28" s="15" t="n"/>
      <c r="M28" s="15" t="n"/>
    </row>
    <row r="29" ht="22" customHeight="1">
      <c r="B29" s="19">
        <f>IF(C29="","SVC-"&amp;TEXT(COUNTA($C$5:C29),"000"))</f>
        <v/>
      </c>
      <c r="C29" s="12" t="n"/>
      <c r="D29" s="12" t="n"/>
      <c r="E29" s="12" t="n"/>
      <c r="F29" s="12" t="n"/>
      <c r="G29" s="12" t="n"/>
      <c r="H29" s="33" t="n"/>
      <c r="I29" s="33" t="n"/>
      <c r="J29" s="12" t="n"/>
      <c r="K29" s="13" t="n"/>
      <c r="L29" s="12" t="n"/>
      <c r="M29" s="12" t="n"/>
    </row>
    <row r="30" ht="22" customHeight="1">
      <c r="B30" s="18">
        <f>IF(C30="","SVC-"&amp;TEXT(COUNTA($C$5:C30),"000"))</f>
        <v/>
      </c>
      <c r="C30" s="15" t="n"/>
      <c r="D30" s="15" t="n"/>
      <c r="E30" s="15" t="n"/>
      <c r="F30" s="15" t="n"/>
      <c r="G30" s="15" t="n"/>
      <c r="H30" s="34" t="n"/>
      <c r="I30" s="34" t="n"/>
      <c r="J30" s="15" t="n"/>
      <c r="K30" s="16" t="n"/>
      <c r="L30" s="15" t="n"/>
      <c r="M30" s="15" t="n"/>
    </row>
    <row r="31" ht="22" customHeight="1">
      <c r="B31" s="19">
        <f>IF(C31="","SVC-"&amp;TEXT(COUNTA($C$5:C31),"000"))</f>
        <v/>
      </c>
      <c r="C31" s="12" t="n"/>
      <c r="D31" s="12" t="n"/>
      <c r="E31" s="12" t="n"/>
      <c r="F31" s="12" t="n"/>
      <c r="G31" s="12" t="n"/>
      <c r="H31" s="33" t="n"/>
      <c r="I31" s="33" t="n"/>
      <c r="J31" s="12" t="n"/>
      <c r="K31" s="13" t="n"/>
      <c r="L31" s="12" t="n"/>
      <c r="M31" s="12" t="n"/>
    </row>
    <row r="32" ht="22" customHeight="1">
      <c r="B32" s="18">
        <f>IF(C32="","SVC-"&amp;TEXT(COUNTA($C$5:C32),"000"))</f>
        <v/>
      </c>
      <c r="C32" s="15" t="n"/>
      <c r="D32" s="15" t="n"/>
      <c r="E32" s="15" t="n"/>
      <c r="F32" s="15" t="n"/>
      <c r="G32" s="15" t="n"/>
      <c r="H32" s="34" t="n"/>
      <c r="I32" s="34" t="n"/>
      <c r="J32" s="15" t="n"/>
      <c r="K32" s="16" t="n"/>
      <c r="L32" s="15" t="n"/>
      <c r="M32" s="15" t="n"/>
    </row>
    <row r="33" ht="22" customHeight="1">
      <c r="B33" s="19">
        <f>IF(C33="","SVC-"&amp;TEXT(COUNTA($C$5:C33),"000"))</f>
        <v/>
      </c>
      <c r="C33" s="12" t="n"/>
      <c r="D33" s="12" t="n"/>
      <c r="E33" s="12" t="n"/>
      <c r="F33" s="12" t="n"/>
      <c r="G33" s="12" t="n"/>
      <c r="H33" s="33" t="n"/>
      <c r="I33" s="33" t="n"/>
      <c r="J33" s="12" t="n"/>
      <c r="K33" s="13" t="n"/>
      <c r="L33" s="12" t="n"/>
      <c r="M33" s="12" t="n"/>
    </row>
    <row r="34" ht="22" customHeight="1">
      <c r="B34" s="18">
        <f>IF(C34="","SVC-"&amp;TEXT(COUNTA($C$5:C34),"000"))</f>
        <v/>
      </c>
      <c r="C34" s="15" t="n"/>
      <c r="D34" s="15" t="n"/>
      <c r="E34" s="15" t="n"/>
      <c r="F34" s="15" t="n"/>
      <c r="G34" s="15" t="n"/>
      <c r="H34" s="34" t="n"/>
      <c r="I34" s="34" t="n"/>
      <c r="J34" s="15" t="n"/>
      <c r="K34" s="16" t="n"/>
      <c r="L34" s="15" t="n"/>
      <c r="M34" s="15" t="n"/>
    </row>
    <row r="35" ht="22" customHeight="1">
      <c r="B35" s="19">
        <f>IF(C35="","SVC-"&amp;TEXT(COUNTA($C$5:C35),"000"))</f>
        <v/>
      </c>
      <c r="C35" s="12" t="n"/>
      <c r="D35" s="12" t="n"/>
      <c r="E35" s="12" t="n"/>
      <c r="F35" s="12" t="n"/>
      <c r="G35" s="12" t="n"/>
      <c r="H35" s="33" t="n"/>
      <c r="I35" s="33" t="n"/>
      <c r="J35" s="12" t="n"/>
      <c r="K35" s="13" t="n"/>
      <c r="L35" s="12" t="n"/>
      <c r="M35" s="12" t="n"/>
    </row>
    <row r="36" ht="22" customHeight="1">
      <c r="B36" s="18">
        <f>IF(C36="","SVC-"&amp;TEXT(COUNTA($C$5:C36),"000"))</f>
        <v/>
      </c>
      <c r="C36" s="15" t="n"/>
      <c r="D36" s="15" t="n"/>
      <c r="E36" s="15" t="n"/>
      <c r="F36" s="15" t="n"/>
      <c r="G36" s="15" t="n"/>
      <c r="H36" s="34" t="n"/>
      <c r="I36" s="34" t="n"/>
      <c r="J36" s="15" t="n"/>
      <c r="K36" s="16" t="n"/>
      <c r="L36" s="15" t="n"/>
      <c r="M36" s="15" t="n"/>
    </row>
    <row r="37" ht="22" customHeight="1">
      <c r="B37" s="19">
        <f>IF(C37="","SVC-"&amp;TEXT(COUNTA($C$5:C37),"000"))</f>
        <v/>
      </c>
      <c r="C37" s="12" t="n"/>
      <c r="D37" s="12" t="n"/>
      <c r="E37" s="12" t="n"/>
      <c r="F37" s="12" t="n"/>
      <c r="G37" s="12" t="n"/>
      <c r="H37" s="33" t="n"/>
      <c r="I37" s="33" t="n"/>
      <c r="J37" s="12" t="n"/>
      <c r="K37" s="13" t="n"/>
      <c r="L37" s="12" t="n"/>
      <c r="M37" s="12" t="n"/>
    </row>
    <row r="38" ht="22" customHeight="1">
      <c r="B38" s="18">
        <f>IF(C38="","SVC-"&amp;TEXT(COUNTA($C$5:C38),"000"))</f>
        <v/>
      </c>
      <c r="C38" s="15" t="n"/>
      <c r="D38" s="15" t="n"/>
      <c r="E38" s="15" t="n"/>
      <c r="F38" s="15" t="n"/>
      <c r="G38" s="15" t="n"/>
      <c r="H38" s="34" t="n"/>
      <c r="I38" s="34" t="n"/>
      <c r="J38" s="15" t="n"/>
      <c r="K38" s="16" t="n"/>
      <c r="L38" s="15" t="n"/>
      <c r="M38" s="15" t="n"/>
    </row>
    <row r="39" ht="22" customHeight="1">
      <c r="B39" s="19">
        <f>IF(C39="","SVC-"&amp;TEXT(COUNTA($C$5:C39),"000"))</f>
        <v/>
      </c>
      <c r="C39" s="12" t="n"/>
      <c r="D39" s="12" t="n"/>
      <c r="E39" s="12" t="n"/>
      <c r="F39" s="12" t="n"/>
      <c r="G39" s="12" t="n"/>
      <c r="H39" s="33" t="n"/>
      <c r="I39" s="33" t="n"/>
      <c r="J39" s="12" t="n"/>
      <c r="K39" s="13" t="n"/>
      <c r="L39" s="12" t="n"/>
      <c r="M39" s="12" t="n"/>
    </row>
    <row r="40" ht="22" customHeight="1">
      <c r="B40" s="18">
        <f>IF(C40="","SVC-"&amp;TEXT(COUNTA($C$5:C40),"000"))</f>
        <v/>
      </c>
      <c r="C40" s="15" t="n"/>
      <c r="D40" s="15" t="n"/>
      <c r="E40" s="15" t="n"/>
      <c r="F40" s="15" t="n"/>
      <c r="G40" s="15" t="n"/>
      <c r="H40" s="34" t="n"/>
      <c r="I40" s="34" t="n"/>
      <c r="J40" s="15" t="n"/>
      <c r="K40" s="16" t="n"/>
      <c r="L40" s="15" t="n"/>
      <c r="M40" s="15" t="n"/>
    </row>
    <row r="41" ht="22" customHeight="1">
      <c r="B41" s="19">
        <f>IF(C41="","SVC-"&amp;TEXT(COUNTA($C$5:C41),"000"))</f>
        <v/>
      </c>
      <c r="C41" s="12" t="n"/>
      <c r="D41" s="12" t="n"/>
      <c r="E41" s="12" t="n"/>
      <c r="F41" s="12" t="n"/>
      <c r="G41" s="12" t="n"/>
      <c r="H41" s="33" t="n"/>
      <c r="I41" s="33" t="n"/>
      <c r="J41" s="12" t="n"/>
      <c r="K41" s="13" t="n"/>
      <c r="L41" s="12" t="n"/>
      <c r="M41" s="12" t="n"/>
    </row>
    <row r="42" ht="22" customHeight="1">
      <c r="B42" s="18">
        <f>IF(C42="","SVC-"&amp;TEXT(COUNTA($C$5:C42),"000"))</f>
        <v/>
      </c>
      <c r="C42" s="15" t="n"/>
      <c r="D42" s="15" t="n"/>
      <c r="E42" s="15" t="n"/>
      <c r="F42" s="15" t="n"/>
      <c r="G42" s="15" t="n"/>
      <c r="H42" s="34" t="n"/>
      <c r="I42" s="34" t="n"/>
      <c r="J42" s="15" t="n"/>
      <c r="K42" s="16" t="n"/>
      <c r="L42" s="15" t="n"/>
      <c r="M42" s="15" t="n"/>
    </row>
    <row r="43" ht="22" customHeight="1">
      <c r="B43" s="19">
        <f>IF(C43="","SVC-"&amp;TEXT(COUNTA($C$5:C43),"000"))</f>
        <v/>
      </c>
      <c r="C43" s="12" t="n"/>
      <c r="D43" s="12" t="n"/>
      <c r="E43" s="12" t="n"/>
      <c r="F43" s="12" t="n"/>
      <c r="G43" s="12" t="n"/>
      <c r="H43" s="33" t="n"/>
      <c r="I43" s="33" t="n"/>
      <c r="J43" s="12" t="n"/>
      <c r="K43" s="13" t="n"/>
      <c r="L43" s="12" t="n"/>
      <c r="M43" s="12" t="n"/>
    </row>
    <row r="44" ht="22" customHeight="1">
      <c r="B44" s="18">
        <f>IF(C44="","SVC-"&amp;TEXT(COUNTA($C$5:C44),"000"))</f>
        <v/>
      </c>
      <c r="C44" s="15" t="n"/>
      <c r="D44" s="15" t="n"/>
      <c r="E44" s="15" t="n"/>
      <c r="F44" s="15" t="n"/>
      <c r="G44" s="15" t="n"/>
      <c r="H44" s="34" t="n"/>
      <c r="I44" s="34" t="n"/>
      <c r="J44" s="15" t="n"/>
      <c r="K44" s="16" t="n"/>
      <c r="L44" s="15" t="n"/>
      <c r="M44" s="15" t="n"/>
    </row>
    <row r="45" ht="22" customHeight="1">
      <c r="B45" s="19">
        <f>IF(C45="","SVC-"&amp;TEXT(COUNTA($C$5:C45),"000"))</f>
        <v/>
      </c>
      <c r="C45" s="12" t="n"/>
      <c r="D45" s="12" t="n"/>
      <c r="E45" s="12" t="n"/>
      <c r="F45" s="12" t="n"/>
      <c r="G45" s="12" t="n"/>
      <c r="H45" s="33" t="n"/>
      <c r="I45" s="33" t="n"/>
      <c r="J45" s="12" t="n"/>
      <c r="K45" s="13" t="n"/>
      <c r="L45" s="12" t="n"/>
      <c r="M45" s="12" t="n"/>
    </row>
    <row r="46" ht="22" customHeight="1">
      <c r="B46" s="18">
        <f>IF(C46="","SVC-"&amp;TEXT(COUNTA($C$5:C46),"000"))</f>
        <v/>
      </c>
      <c r="C46" s="15" t="n"/>
      <c r="D46" s="15" t="n"/>
      <c r="E46" s="15" t="n"/>
      <c r="F46" s="15" t="n"/>
      <c r="G46" s="15" t="n"/>
      <c r="H46" s="34" t="n"/>
      <c r="I46" s="34" t="n"/>
      <c r="J46" s="15" t="n"/>
      <c r="K46" s="16" t="n"/>
      <c r="L46" s="15" t="n"/>
      <c r="M46" s="15" t="n"/>
    </row>
    <row r="47" ht="22" customHeight="1">
      <c r="B47" s="19">
        <f>IF(C47="","SVC-"&amp;TEXT(COUNTA($C$5:C47),"000"))</f>
        <v/>
      </c>
      <c r="C47" s="12" t="n"/>
      <c r="D47" s="12" t="n"/>
      <c r="E47" s="12" t="n"/>
      <c r="F47" s="12" t="n"/>
      <c r="G47" s="12" t="n"/>
      <c r="H47" s="33" t="n"/>
      <c r="I47" s="33" t="n"/>
      <c r="J47" s="12" t="n"/>
      <c r="K47" s="13" t="n"/>
      <c r="L47" s="12" t="n"/>
      <c r="M47" s="12" t="n"/>
    </row>
    <row r="48" ht="22" customHeight="1">
      <c r="B48" s="18">
        <f>IF(C48="","SVC-"&amp;TEXT(COUNTA($C$5:C48),"000"))</f>
        <v/>
      </c>
      <c r="C48" s="15" t="n"/>
      <c r="D48" s="15" t="n"/>
      <c r="E48" s="15" t="n"/>
      <c r="F48" s="15" t="n"/>
      <c r="G48" s="15" t="n"/>
      <c r="H48" s="34" t="n"/>
      <c r="I48" s="34" t="n"/>
      <c r="J48" s="15" t="n"/>
      <c r="K48" s="16" t="n"/>
      <c r="L48" s="15" t="n"/>
      <c r="M48" s="15" t="n"/>
    </row>
    <row r="49" ht="22" customHeight="1">
      <c r="B49" s="19">
        <f>IF(C49="","SVC-"&amp;TEXT(COUNTA($C$5:C49),"000"))</f>
        <v/>
      </c>
      <c r="C49" s="12" t="n"/>
      <c r="D49" s="12" t="n"/>
      <c r="E49" s="12" t="n"/>
      <c r="F49" s="12" t="n"/>
      <c r="G49" s="12" t="n"/>
      <c r="H49" s="33" t="n"/>
      <c r="I49" s="33" t="n"/>
      <c r="J49" s="12" t="n"/>
      <c r="K49" s="13" t="n"/>
      <c r="L49" s="12" t="n"/>
      <c r="M49" s="12" t="n"/>
    </row>
    <row r="50" ht="22" customHeight="1">
      <c r="B50" s="18">
        <f>IF(C50="","SVC-"&amp;TEXT(COUNTA($C$5:C50),"000"))</f>
        <v/>
      </c>
      <c r="C50" s="15" t="n"/>
      <c r="D50" s="15" t="n"/>
      <c r="E50" s="15" t="n"/>
      <c r="F50" s="15" t="n"/>
      <c r="G50" s="15" t="n"/>
      <c r="H50" s="34" t="n"/>
      <c r="I50" s="34" t="n"/>
      <c r="J50" s="15" t="n"/>
      <c r="K50" s="16" t="n"/>
      <c r="L50" s="15" t="n"/>
      <c r="M50" s="15" t="n"/>
    </row>
    <row r="51" ht="22" customHeight="1">
      <c r="B51" s="19">
        <f>IF(C51="","SVC-"&amp;TEXT(COUNTA($C$5:C51),"000"))</f>
        <v/>
      </c>
      <c r="C51" s="12" t="n"/>
      <c r="D51" s="12" t="n"/>
      <c r="E51" s="12" t="n"/>
      <c r="F51" s="12" t="n"/>
      <c r="G51" s="12" t="n"/>
      <c r="H51" s="33" t="n"/>
      <c r="I51" s="33" t="n"/>
      <c r="J51" s="12" t="n"/>
      <c r="K51" s="13" t="n"/>
      <c r="L51" s="12" t="n"/>
      <c r="M51" s="12" t="n"/>
    </row>
    <row r="52" ht="22" customHeight="1">
      <c r="B52" s="18">
        <f>IF(C52="","SVC-"&amp;TEXT(COUNTA($C$5:C52),"000"))</f>
        <v/>
      </c>
      <c r="C52" s="15" t="n"/>
      <c r="D52" s="15" t="n"/>
      <c r="E52" s="15" t="n"/>
      <c r="F52" s="15" t="n"/>
      <c r="G52" s="15" t="n"/>
      <c r="H52" s="34" t="n"/>
      <c r="I52" s="34" t="n"/>
      <c r="J52" s="15" t="n"/>
      <c r="K52" s="16" t="n"/>
      <c r="L52" s="15" t="n"/>
      <c r="M52" s="15" t="n"/>
    </row>
    <row r="53" ht="22" customHeight="1">
      <c r="B53" s="19">
        <f>IF(C53="","SVC-"&amp;TEXT(COUNTA($C$5:C53),"000"))</f>
        <v/>
      </c>
      <c r="C53" s="12" t="n"/>
      <c r="D53" s="12" t="n"/>
      <c r="E53" s="12" t="n"/>
      <c r="F53" s="12" t="n"/>
      <c r="G53" s="12" t="n"/>
      <c r="H53" s="33" t="n"/>
      <c r="I53" s="33" t="n"/>
      <c r="J53" s="12" t="n"/>
      <c r="K53" s="13" t="n"/>
      <c r="L53" s="12" t="n"/>
      <c r="M53" s="12" t="n"/>
    </row>
    <row r="54" ht="22" customHeight="1">
      <c r="B54" s="18">
        <f>IF(C54="","SVC-"&amp;TEXT(COUNTA($C$5:C54),"000"))</f>
        <v/>
      </c>
      <c r="C54" s="15" t="n"/>
      <c r="D54" s="15" t="n"/>
      <c r="E54" s="15" t="n"/>
      <c r="F54" s="15" t="n"/>
      <c r="G54" s="15" t="n"/>
      <c r="H54" s="34" t="n"/>
      <c r="I54" s="34" t="n"/>
      <c r="J54" s="15" t="n"/>
      <c r="K54" s="16" t="n"/>
      <c r="L54" s="15" t="n"/>
      <c r="M54" s="15" t="n"/>
    </row>
    <row r="55" ht="22" customHeight="1">
      <c r="B55" s="19">
        <f>IF(C55="","SVC-"&amp;TEXT(COUNTA($C$5:C55),"000"))</f>
        <v/>
      </c>
      <c r="C55" s="12" t="n"/>
      <c r="D55" s="12" t="n"/>
      <c r="E55" s="12" t="n"/>
      <c r="F55" s="12" t="n"/>
      <c r="G55" s="12" t="n"/>
      <c r="H55" s="33" t="n"/>
      <c r="I55" s="33" t="n"/>
      <c r="J55" s="12" t="n"/>
      <c r="K55" s="13" t="n"/>
      <c r="L55" s="12" t="n"/>
      <c r="M55" s="12" t="n"/>
    </row>
    <row r="56" ht="22" customHeight="1">
      <c r="B56" s="18">
        <f>IF(C56="","SVC-"&amp;TEXT(COUNTA($C$5:C56),"000"))</f>
        <v/>
      </c>
      <c r="C56" s="15" t="n"/>
      <c r="D56" s="15" t="n"/>
      <c r="E56" s="15" t="n"/>
      <c r="F56" s="15" t="n"/>
      <c r="G56" s="15" t="n"/>
      <c r="H56" s="34" t="n"/>
      <c r="I56" s="34" t="n"/>
      <c r="J56" s="15" t="n"/>
      <c r="K56" s="16" t="n"/>
      <c r="L56" s="15" t="n"/>
      <c r="M56" s="15" t="n"/>
    </row>
    <row r="57" ht="22" customHeight="1">
      <c r="B57" s="19">
        <f>IF(C57="","SVC-"&amp;TEXT(COUNTA($C$5:C57),"000"))</f>
        <v/>
      </c>
      <c r="C57" s="12" t="n"/>
      <c r="D57" s="12" t="n"/>
      <c r="E57" s="12" t="n"/>
      <c r="F57" s="12" t="n"/>
      <c r="G57" s="12" t="n"/>
      <c r="H57" s="33" t="n"/>
      <c r="I57" s="33" t="n"/>
      <c r="J57" s="12" t="n"/>
      <c r="K57" s="13" t="n"/>
      <c r="L57" s="12" t="n"/>
      <c r="M57" s="12" t="n"/>
    </row>
    <row r="58" ht="22" customHeight="1">
      <c r="B58" s="18">
        <f>IF(C58="","SVC-"&amp;TEXT(COUNTA($C$5:C58),"000"))</f>
        <v/>
      </c>
      <c r="C58" s="15" t="n"/>
      <c r="D58" s="15" t="n"/>
      <c r="E58" s="15" t="n"/>
      <c r="F58" s="15" t="n"/>
      <c r="G58" s="15" t="n"/>
      <c r="H58" s="34" t="n"/>
      <c r="I58" s="34" t="n"/>
      <c r="J58" s="15" t="n"/>
      <c r="K58" s="16" t="n"/>
      <c r="L58" s="15" t="n"/>
      <c r="M58" s="15" t="n"/>
    </row>
    <row r="59" ht="22" customHeight="1">
      <c r="B59" s="19">
        <f>IF(C59="","SVC-"&amp;TEXT(COUNTA($C$5:C59),"000"))</f>
        <v/>
      </c>
      <c r="C59" s="12" t="n"/>
      <c r="D59" s="12" t="n"/>
      <c r="E59" s="12" t="n"/>
      <c r="F59" s="12" t="n"/>
      <c r="G59" s="12" t="n"/>
      <c r="H59" s="33" t="n"/>
      <c r="I59" s="33" t="n"/>
      <c r="J59" s="12" t="n"/>
      <c r="K59" s="13" t="n"/>
      <c r="L59" s="12" t="n"/>
      <c r="M59" s="12" t="n"/>
    </row>
    <row r="60" ht="22" customHeight="1">
      <c r="B60" s="18">
        <f>IF(C60="","SVC-"&amp;TEXT(COUNTA($C$5:C60),"000"))</f>
        <v/>
      </c>
      <c r="C60" s="15" t="n"/>
      <c r="D60" s="15" t="n"/>
      <c r="E60" s="15" t="n"/>
      <c r="F60" s="15" t="n"/>
      <c r="G60" s="15" t="n"/>
      <c r="H60" s="34" t="n"/>
      <c r="I60" s="34" t="n"/>
      <c r="J60" s="15" t="n"/>
      <c r="K60" s="16" t="n"/>
      <c r="L60" s="15" t="n"/>
      <c r="M60" s="15" t="n"/>
    </row>
    <row r="61" ht="22" customHeight="1">
      <c r="B61" s="19">
        <f>IF(C61="","SVC-"&amp;TEXT(COUNTA($C$5:C61),"000"))</f>
        <v/>
      </c>
      <c r="C61" s="12" t="n"/>
      <c r="D61" s="12" t="n"/>
      <c r="E61" s="12" t="n"/>
      <c r="F61" s="12" t="n"/>
      <c r="G61" s="12" t="n"/>
      <c r="H61" s="33" t="n"/>
      <c r="I61" s="33" t="n"/>
      <c r="J61" s="12" t="n"/>
      <c r="K61" s="13" t="n"/>
      <c r="L61" s="12" t="n"/>
      <c r="M61" s="12" t="n"/>
    </row>
    <row r="62" ht="22" customHeight="1">
      <c r="B62" s="18">
        <f>IF(C62="","SVC-"&amp;TEXT(COUNTA($C$5:C62),"000"))</f>
        <v/>
      </c>
      <c r="C62" s="15" t="n"/>
      <c r="D62" s="15" t="n"/>
      <c r="E62" s="15" t="n"/>
      <c r="F62" s="15" t="n"/>
      <c r="G62" s="15" t="n"/>
      <c r="H62" s="34" t="n"/>
      <c r="I62" s="34" t="n"/>
      <c r="J62" s="15" t="n"/>
      <c r="K62" s="16" t="n"/>
      <c r="L62" s="15" t="n"/>
      <c r="M62" s="15" t="n"/>
    </row>
    <row r="63" ht="22" customHeight="1">
      <c r="B63" s="19">
        <f>IF(C63="","SVC-"&amp;TEXT(COUNTA($C$5:C63),"000"))</f>
        <v/>
      </c>
      <c r="C63" s="12" t="n"/>
      <c r="D63" s="12" t="n"/>
      <c r="E63" s="12" t="n"/>
      <c r="F63" s="12" t="n"/>
      <c r="G63" s="12" t="n"/>
      <c r="H63" s="33" t="n"/>
      <c r="I63" s="33" t="n"/>
      <c r="J63" s="12" t="n"/>
      <c r="K63" s="13" t="n"/>
      <c r="L63" s="12" t="n"/>
      <c r="M63" s="12" t="n"/>
    </row>
    <row r="64" ht="22" customHeight="1">
      <c r="B64" s="18">
        <f>IF(C64="","SVC-"&amp;TEXT(COUNTA($C$5:C64),"000"))</f>
        <v/>
      </c>
      <c r="C64" s="15" t="n"/>
      <c r="D64" s="15" t="n"/>
      <c r="E64" s="15" t="n"/>
      <c r="F64" s="15" t="n"/>
      <c r="G64" s="15" t="n"/>
      <c r="H64" s="34" t="n"/>
      <c r="I64" s="34" t="n"/>
      <c r="J64" s="15" t="n"/>
      <c r="K64" s="16" t="n"/>
      <c r="L64" s="15" t="n"/>
      <c r="M64" s="15" t="n"/>
    </row>
    <row r="65" ht="22" customHeight="1">
      <c r="B65" s="19">
        <f>IF(C65="","SVC-"&amp;TEXT(COUNTA($C$5:C65),"000"))</f>
        <v/>
      </c>
      <c r="C65" s="12" t="n"/>
      <c r="D65" s="12" t="n"/>
      <c r="E65" s="12" t="n"/>
      <c r="F65" s="12" t="n"/>
      <c r="G65" s="12" t="n"/>
      <c r="H65" s="33" t="n"/>
      <c r="I65" s="33" t="n"/>
      <c r="J65" s="12" t="n"/>
      <c r="K65" s="13" t="n"/>
      <c r="L65" s="12" t="n"/>
      <c r="M65" s="12" t="n"/>
    </row>
    <row r="66" ht="22" customHeight="1">
      <c r="B66" s="18">
        <f>IF(C66="","SVC-"&amp;TEXT(COUNTA($C$5:C66),"000"))</f>
        <v/>
      </c>
      <c r="C66" s="15" t="n"/>
      <c r="D66" s="15" t="n"/>
      <c r="E66" s="15" t="n"/>
      <c r="F66" s="15" t="n"/>
      <c r="G66" s="15" t="n"/>
      <c r="H66" s="34" t="n"/>
      <c r="I66" s="34" t="n"/>
      <c r="J66" s="15" t="n"/>
      <c r="K66" s="16" t="n"/>
      <c r="L66" s="15" t="n"/>
      <c r="M66" s="15" t="n"/>
    </row>
    <row r="67" ht="22" customHeight="1">
      <c r="B67" s="19">
        <f>IF(C67="","SVC-"&amp;TEXT(COUNTA($C$5:C67),"000"))</f>
        <v/>
      </c>
      <c r="C67" s="12" t="n"/>
      <c r="D67" s="12" t="n"/>
      <c r="E67" s="12" t="n"/>
      <c r="F67" s="12" t="n"/>
      <c r="G67" s="12" t="n"/>
      <c r="H67" s="33" t="n"/>
      <c r="I67" s="33" t="n"/>
      <c r="J67" s="12" t="n"/>
      <c r="K67" s="13" t="n"/>
      <c r="L67" s="12" t="n"/>
      <c r="M67" s="12" t="n"/>
    </row>
    <row r="68" ht="22" customHeight="1">
      <c r="B68" s="18">
        <f>IF(C68="","SVC-"&amp;TEXT(COUNTA($C$5:C68),"000"))</f>
        <v/>
      </c>
      <c r="C68" s="15" t="n"/>
      <c r="D68" s="15" t="n"/>
      <c r="E68" s="15" t="n"/>
      <c r="F68" s="15" t="n"/>
      <c r="G68" s="15" t="n"/>
      <c r="H68" s="34" t="n"/>
      <c r="I68" s="34" t="n"/>
      <c r="J68" s="15" t="n"/>
      <c r="K68" s="16" t="n"/>
      <c r="L68" s="15" t="n"/>
      <c r="M68" s="15" t="n"/>
    </row>
    <row r="69" ht="22" customHeight="1">
      <c r="B69" s="19">
        <f>IF(C69="","SVC-"&amp;TEXT(COUNTA($C$5:C69),"000"))</f>
        <v/>
      </c>
      <c r="C69" s="12" t="n"/>
      <c r="D69" s="12" t="n"/>
      <c r="E69" s="12" t="n"/>
      <c r="F69" s="12" t="n"/>
      <c r="G69" s="12" t="n"/>
      <c r="H69" s="33" t="n"/>
      <c r="I69" s="33" t="n"/>
      <c r="J69" s="12" t="n"/>
      <c r="K69" s="13" t="n"/>
      <c r="L69" s="12" t="n"/>
      <c r="M69" s="12" t="n"/>
    </row>
    <row r="70" ht="22" customHeight="1">
      <c r="B70" s="18">
        <f>IF(C70="","SVC-"&amp;TEXT(COUNTA($C$5:C70),"000"))</f>
        <v/>
      </c>
      <c r="C70" s="15" t="n"/>
      <c r="D70" s="15" t="n"/>
      <c r="E70" s="15" t="n"/>
      <c r="F70" s="15" t="n"/>
      <c r="G70" s="15" t="n"/>
      <c r="H70" s="34" t="n"/>
      <c r="I70" s="34" t="n"/>
      <c r="J70" s="15" t="n"/>
      <c r="K70" s="16" t="n"/>
      <c r="L70" s="15" t="n"/>
      <c r="M70" s="15" t="n"/>
    </row>
    <row r="71" ht="22" customHeight="1">
      <c r="B71" s="19">
        <f>IF(C71="","SVC-"&amp;TEXT(COUNTA($C$5:C71),"000"))</f>
        <v/>
      </c>
      <c r="C71" s="12" t="n"/>
      <c r="D71" s="12" t="n"/>
      <c r="E71" s="12" t="n"/>
      <c r="F71" s="12" t="n"/>
      <c r="G71" s="12" t="n"/>
      <c r="H71" s="33" t="n"/>
      <c r="I71" s="33" t="n"/>
      <c r="J71" s="12" t="n"/>
      <c r="K71" s="13" t="n"/>
      <c r="L71" s="12" t="n"/>
      <c r="M71" s="12" t="n"/>
    </row>
    <row r="72" ht="22" customHeight="1">
      <c r="B72" s="18">
        <f>IF(C72="","SVC-"&amp;TEXT(COUNTA($C$5:C72),"000"))</f>
        <v/>
      </c>
      <c r="C72" s="15" t="n"/>
      <c r="D72" s="15" t="n"/>
      <c r="E72" s="15" t="n"/>
      <c r="F72" s="15" t="n"/>
      <c r="G72" s="15" t="n"/>
      <c r="H72" s="34" t="n"/>
      <c r="I72" s="34" t="n"/>
      <c r="J72" s="15" t="n"/>
      <c r="K72" s="16" t="n"/>
      <c r="L72" s="15" t="n"/>
      <c r="M72" s="15" t="n"/>
    </row>
    <row r="73" ht="22" customHeight="1">
      <c r="B73" s="19">
        <f>IF(C73="","SVC-"&amp;TEXT(COUNTA($C$5:C73),"000"))</f>
        <v/>
      </c>
      <c r="C73" s="12" t="n"/>
      <c r="D73" s="12" t="n"/>
      <c r="E73" s="12" t="n"/>
      <c r="F73" s="12" t="n"/>
      <c r="G73" s="12" t="n"/>
      <c r="H73" s="33" t="n"/>
      <c r="I73" s="33" t="n"/>
      <c r="J73" s="12" t="n"/>
      <c r="K73" s="13" t="n"/>
      <c r="L73" s="12" t="n"/>
      <c r="M73" s="12" t="n"/>
    </row>
    <row r="74" ht="22" customHeight="1">
      <c r="B74" s="18">
        <f>IF(C74="","SVC-"&amp;TEXT(COUNTA($C$5:C74),"000"))</f>
        <v/>
      </c>
      <c r="C74" s="15" t="n"/>
      <c r="D74" s="15" t="n"/>
      <c r="E74" s="15" t="n"/>
      <c r="F74" s="15" t="n"/>
      <c r="G74" s="15" t="n"/>
      <c r="H74" s="34" t="n"/>
      <c r="I74" s="34" t="n"/>
      <c r="J74" s="15" t="n"/>
      <c r="K74" s="16" t="n"/>
      <c r="L74" s="15" t="n"/>
      <c r="M74" s="15" t="n"/>
    </row>
    <row r="75" ht="22" customHeight="1">
      <c r="B75" s="19">
        <f>IF(C75="","SVC-"&amp;TEXT(COUNTA($C$5:C75),"000"))</f>
        <v/>
      </c>
      <c r="C75" s="12" t="n"/>
      <c r="D75" s="12" t="n"/>
      <c r="E75" s="12" t="n"/>
      <c r="F75" s="12" t="n"/>
      <c r="G75" s="12" t="n"/>
      <c r="H75" s="33" t="n"/>
      <c r="I75" s="33" t="n"/>
      <c r="J75" s="12" t="n"/>
      <c r="K75" s="13" t="n"/>
      <c r="L75" s="12" t="n"/>
      <c r="M75" s="12" t="n"/>
    </row>
    <row r="76" ht="22" customHeight="1">
      <c r="B76" s="18">
        <f>IF(C76="","SVC-"&amp;TEXT(COUNTA($C$5:C76),"000"))</f>
        <v/>
      </c>
      <c r="C76" s="15" t="n"/>
      <c r="D76" s="15" t="n"/>
      <c r="E76" s="15" t="n"/>
      <c r="F76" s="15" t="n"/>
      <c r="G76" s="15" t="n"/>
      <c r="H76" s="34" t="n"/>
      <c r="I76" s="34" t="n"/>
      <c r="J76" s="15" t="n"/>
      <c r="K76" s="16" t="n"/>
      <c r="L76" s="15" t="n"/>
      <c r="M76" s="15" t="n"/>
    </row>
    <row r="77" ht="22" customHeight="1">
      <c r="B77" s="19">
        <f>IF(C77="","SVC-"&amp;TEXT(COUNTA($C$5:C77),"000"))</f>
        <v/>
      </c>
      <c r="C77" s="12" t="n"/>
      <c r="D77" s="12" t="n"/>
      <c r="E77" s="12" t="n"/>
      <c r="F77" s="12" t="n"/>
      <c r="G77" s="12" t="n"/>
      <c r="H77" s="33" t="n"/>
      <c r="I77" s="33" t="n"/>
      <c r="J77" s="12" t="n"/>
      <c r="K77" s="13" t="n"/>
      <c r="L77" s="12" t="n"/>
      <c r="M77" s="12" t="n"/>
    </row>
    <row r="78" ht="22" customHeight="1">
      <c r="B78" s="18">
        <f>IF(C78="","SVC-"&amp;TEXT(COUNTA($C$5:C78),"000"))</f>
        <v/>
      </c>
      <c r="C78" s="15" t="n"/>
      <c r="D78" s="15" t="n"/>
      <c r="E78" s="15" t="n"/>
      <c r="F78" s="15" t="n"/>
      <c r="G78" s="15" t="n"/>
      <c r="H78" s="34" t="n"/>
      <c r="I78" s="34" t="n"/>
      <c r="J78" s="15" t="n"/>
      <c r="K78" s="16" t="n"/>
      <c r="L78" s="15" t="n"/>
      <c r="M78" s="15" t="n"/>
    </row>
    <row r="79" ht="22" customHeight="1">
      <c r="B79" s="19">
        <f>IF(C79="","SVC-"&amp;TEXT(COUNTA($C$5:C79),"000"))</f>
        <v/>
      </c>
      <c r="C79" s="12" t="n"/>
      <c r="D79" s="12" t="n"/>
      <c r="E79" s="12" t="n"/>
      <c r="F79" s="12" t="n"/>
      <c r="G79" s="12" t="n"/>
      <c r="H79" s="33" t="n"/>
      <c r="I79" s="33" t="n"/>
      <c r="J79" s="12" t="n"/>
      <c r="K79" s="13" t="n"/>
      <c r="L79" s="12" t="n"/>
      <c r="M79" s="12" t="n"/>
    </row>
    <row r="80" ht="22" customHeight="1">
      <c r="B80" s="18">
        <f>IF(C80="","SVC-"&amp;TEXT(COUNTA($C$5:C80),"000"))</f>
        <v/>
      </c>
      <c r="C80" s="15" t="n"/>
      <c r="D80" s="15" t="n"/>
      <c r="E80" s="15" t="n"/>
      <c r="F80" s="15" t="n"/>
      <c r="G80" s="15" t="n"/>
      <c r="H80" s="34" t="n"/>
      <c r="I80" s="34" t="n"/>
      <c r="J80" s="15" t="n"/>
      <c r="K80" s="16" t="n"/>
      <c r="L80" s="15" t="n"/>
      <c r="M80" s="15" t="n"/>
    </row>
    <row r="81" ht="22" customHeight="1">
      <c r="B81" s="19">
        <f>IF(C81="","SVC-"&amp;TEXT(COUNTA($C$5:C81),"000"))</f>
        <v/>
      </c>
      <c r="C81" s="12" t="n"/>
      <c r="D81" s="12" t="n"/>
      <c r="E81" s="12" t="n"/>
      <c r="F81" s="12" t="n"/>
      <c r="G81" s="12" t="n"/>
      <c r="H81" s="33" t="n"/>
      <c r="I81" s="33" t="n"/>
      <c r="J81" s="12" t="n"/>
      <c r="K81" s="13" t="n"/>
      <c r="L81" s="12" t="n"/>
      <c r="M81" s="12" t="n"/>
    </row>
    <row r="82" ht="22" customHeight="1">
      <c r="B82" s="18">
        <f>IF(C82="","SVC-"&amp;TEXT(COUNTA($C$5:C82),"000"))</f>
        <v/>
      </c>
      <c r="C82" s="15" t="n"/>
      <c r="D82" s="15" t="n"/>
      <c r="E82" s="15" t="n"/>
      <c r="F82" s="15" t="n"/>
      <c r="G82" s="15" t="n"/>
      <c r="H82" s="34" t="n"/>
      <c r="I82" s="34" t="n"/>
      <c r="J82" s="15" t="n"/>
      <c r="K82" s="16" t="n"/>
      <c r="L82" s="15" t="n"/>
      <c r="M82" s="15" t="n"/>
    </row>
    <row r="83" ht="22" customHeight="1">
      <c r="B83" s="19">
        <f>IF(C83="","SVC-"&amp;TEXT(COUNTA($C$5:C83),"000"))</f>
        <v/>
      </c>
      <c r="C83" s="12" t="n"/>
      <c r="D83" s="12" t="n"/>
      <c r="E83" s="12" t="n"/>
      <c r="F83" s="12" t="n"/>
      <c r="G83" s="12" t="n"/>
      <c r="H83" s="33" t="n"/>
      <c r="I83" s="33" t="n"/>
      <c r="J83" s="12" t="n"/>
      <c r="K83" s="13" t="n"/>
      <c r="L83" s="12" t="n"/>
      <c r="M83" s="12" t="n"/>
    </row>
    <row r="84" ht="22" customHeight="1">
      <c r="B84" s="18">
        <f>IF(C84="","SVC-"&amp;TEXT(COUNTA($C$5:C84),"000"))</f>
        <v/>
      </c>
      <c r="C84" s="15" t="n"/>
      <c r="D84" s="15" t="n"/>
      <c r="E84" s="15" t="n"/>
      <c r="F84" s="15" t="n"/>
      <c r="G84" s="15" t="n"/>
      <c r="H84" s="34" t="n"/>
      <c r="I84" s="34" t="n"/>
      <c r="J84" s="15" t="n"/>
      <c r="K84" s="16" t="n"/>
      <c r="L84" s="15" t="n"/>
      <c r="M84" s="15" t="n"/>
    </row>
    <row r="85" ht="22" customHeight="1">
      <c r="B85" s="19">
        <f>IF(C85="","SVC-"&amp;TEXT(COUNTA($C$5:C85),"000"))</f>
        <v/>
      </c>
      <c r="C85" s="12" t="n"/>
      <c r="D85" s="12" t="n"/>
      <c r="E85" s="12" t="n"/>
      <c r="F85" s="12" t="n"/>
      <c r="G85" s="12" t="n"/>
      <c r="H85" s="33" t="n"/>
      <c r="I85" s="33" t="n"/>
      <c r="J85" s="12" t="n"/>
      <c r="K85" s="13" t="n"/>
      <c r="L85" s="12" t="n"/>
      <c r="M85" s="12" t="n"/>
    </row>
    <row r="86" ht="22" customHeight="1">
      <c r="B86" s="18">
        <f>IF(C86="","SVC-"&amp;TEXT(COUNTA($C$5:C86),"000"))</f>
        <v/>
      </c>
      <c r="C86" s="15" t="n"/>
      <c r="D86" s="15" t="n"/>
      <c r="E86" s="15" t="n"/>
      <c r="F86" s="15" t="n"/>
      <c r="G86" s="15" t="n"/>
      <c r="H86" s="34" t="n"/>
      <c r="I86" s="34" t="n"/>
      <c r="J86" s="15" t="n"/>
      <c r="K86" s="16" t="n"/>
      <c r="L86" s="15" t="n"/>
      <c r="M86" s="15" t="n"/>
    </row>
    <row r="87" ht="22" customHeight="1">
      <c r="B87" s="19">
        <f>IF(C87="","SVC-"&amp;TEXT(COUNTA($C$5:C87),"000"))</f>
        <v/>
      </c>
      <c r="C87" s="12" t="n"/>
      <c r="D87" s="12" t="n"/>
      <c r="E87" s="12" t="n"/>
      <c r="F87" s="12" t="n"/>
      <c r="G87" s="12" t="n"/>
      <c r="H87" s="33" t="n"/>
      <c r="I87" s="33" t="n"/>
      <c r="J87" s="12" t="n"/>
      <c r="K87" s="13" t="n"/>
      <c r="L87" s="12" t="n"/>
      <c r="M87" s="12" t="n"/>
    </row>
    <row r="88" ht="22" customHeight="1">
      <c r="B88" s="18">
        <f>IF(C88="","SVC-"&amp;TEXT(COUNTA($C$5:C88),"000"))</f>
        <v/>
      </c>
      <c r="C88" s="15" t="n"/>
      <c r="D88" s="15" t="n"/>
      <c r="E88" s="15" t="n"/>
      <c r="F88" s="15" t="n"/>
      <c r="G88" s="15" t="n"/>
      <c r="H88" s="34" t="n"/>
      <c r="I88" s="34" t="n"/>
      <c r="J88" s="15" t="n"/>
      <c r="K88" s="16" t="n"/>
      <c r="L88" s="15" t="n"/>
      <c r="M88" s="15" t="n"/>
    </row>
    <row r="89" ht="22" customHeight="1">
      <c r="B89" s="19">
        <f>IF(C89="","SVC-"&amp;TEXT(COUNTA($C$5:C89),"000"))</f>
        <v/>
      </c>
      <c r="C89" s="12" t="n"/>
      <c r="D89" s="12" t="n"/>
      <c r="E89" s="12" t="n"/>
      <c r="F89" s="12" t="n"/>
      <c r="G89" s="12" t="n"/>
      <c r="H89" s="33" t="n"/>
      <c r="I89" s="33" t="n"/>
      <c r="J89" s="12" t="n"/>
      <c r="K89" s="13" t="n"/>
      <c r="L89" s="12" t="n"/>
      <c r="M89" s="12" t="n"/>
    </row>
    <row r="90" ht="22" customHeight="1">
      <c r="B90" s="18">
        <f>IF(C90="","SVC-"&amp;TEXT(COUNTA($C$5:C90),"000"))</f>
        <v/>
      </c>
      <c r="C90" s="15" t="n"/>
      <c r="D90" s="15" t="n"/>
      <c r="E90" s="15" t="n"/>
      <c r="F90" s="15" t="n"/>
      <c r="G90" s="15" t="n"/>
      <c r="H90" s="34" t="n"/>
      <c r="I90" s="34" t="n"/>
      <c r="J90" s="15" t="n"/>
      <c r="K90" s="16" t="n"/>
      <c r="L90" s="15" t="n"/>
      <c r="M90" s="15" t="n"/>
    </row>
    <row r="91" ht="22" customHeight="1">
      <c r="B91" s="19">
        <f>IF(C91="","SVC-"&amp;TEXT(COUNTA($C$5:C91),"000"))</f>
        <v/>
      </c>
      <c r="C91" s="12" t="n"/>
      <c r="D91" s="12" t="n"/>
      <c r="E91" s="12" t="n"/>
      <c r="F91" s="12" t="n"/>
      <c r="G91" s="12" t="n"/>
      <c r="H91" s="33" t="n"/>
      <c r="I91" s="33" t="n"/>
      <c r="J91" s="12" t="n"/>
      <c r="K91" s="13" t="n"/>
      <c r="L91" s="12" t="n"/>
      <c r="M91" s="12" t="n"/>
    </row>
    <row r="92" ht="22" customHeight="1">
      <c r="B92" s="18">
        <f>IF(C92="","SVC-"&amp;TEXT(COUNTA($C$5:C92),"000"))</f>
        <v/>
      </c>
      <c r="C92" s="15" t="n"/>
      <c r="D92" s="15" t="n"/>
      <c r="E92" s="15" t="n"/>
      <c r="F92" s="15" t="n"/>
      <c r="G92" s="15" t="n"/>
      <c r="H92" s="34" t="n"/>
      <c r="I92" s="34" t="n"/>
      <c r="J92" s="15" t="n"/>
      <c r="K92" s="16" t="n"/>
      <c r="L92" s="15" t="n"/>
      <c r="M92" s="15" t="n"/>
    </row>
    <row r="93" ht="22" customHeight="1">
      <c r="B93" s="19">
        <f>IF(C93="","SVC-"&amp;TEXT(COUNTA($C$5:C93),"000"))</f>
        <v/>
      </c>
      <c r="C93" s="12" t="n"/>
      <c r="D93" s="12" t="n"/>
      <c r="E93" s="12" t="n"/>
      <c r="F93" s="12" t="n"/>
      <c r="G93" s="12" t="n"/>
      <c r="H93" s="33" t="n"/>
      <c r="I93" s="33" t="n"/>
      <c r="J93" s="12" t="n"/>
      <c r="K93" s="13" t="n"/>
      <c r="L93" s="12" t="n"/>
      <c r="M93" s="12" t="n"/>
    </row>
    <row r="94" ht="22" customHeight="1">
      <c r="B94" s="18">
        <f>IF(C94="","SVC-"&amp;TEXT(COUNTA($C$5:C94),"000"))</f>
        <v/>
      </c>
      <c r="C94" s="15" t="n"/>
      <c r="D94" s="15" t="n"/>
      <c r="E94" s="15" t="n"/>
      <c r="F94" s="15" t="n"/>
      <c r="G94" s="15" t="n"/>
      <c r="H94" s="34" t="n"/>
      <c r="I94" s="34" t="n"/>
      <c r="J94" s="15" t="n"/>
      <c r="K94" s="16" t="n"/>
      <c r="L94" s="15" t="n"/>
      <c r="M94" s="15" t="n"/>
    </row>
    <row r="95" ht="22" customHeight="1">
      <c r="B95" s="19">
        <f>IF(C95="","SVC-"&amp;TEXT(COUNTA($C$5:C95),"000"))</f>
        <v/>
      </c>
      <c r="C95" s="12" t="n"/>
      <c r="D95" s="12" t="n"/>
      <c r="E95" s="12" t="n"/>
      <c r="F95" s="12" t="n"/>
      <c r="G95" s="12" t="n"/>
      <c r="H95" s="33" t="n"/>
      <c r="I95" s="33" t="n"/>
      <c r="J95" s="12" t="n"/>
      <c r="K95" s="13" t="n"/>
      <c r="L95" s="12" t="n"/>
      <c r="M95" s="12" t="n"/>
    </row>
    <row r="96" ht="22" customHeight="1">
      <c r="B96" s="18">
        <f>IF(C96="","SVC-"&amp;TEXT(COUNTA($C$5:C96),"000"))</f>
        <v/>
      </c>
      <c r="C96" s="15" t="n"/>
      <c r="D96" s="15" t="n"/>
      <c r="E96" s="15" t="n"/>
      <c r="F96" s="15" t="n"/>
      <c r="G96" s="15" t="n"/>
      <c r="H96" s="34" t="n"/>
      <c r="I96" s="34" t="n"/>
      <c r="J96" s="15" t="n"/>
      <c r="K96" s="16" t="n"/>
      <c r="L96" s="15" t="n"/>
      <c r="M96" s="15" t="n"/>
    </row>
    <row r="97" ht="22" customHeight="1">
      <c r="B97" s="19">
        <f>IF(C97="","SVC-"&amp;TEXT(COUNTA($C$5:C97),"000"))</f>
        <v/>
      </c>
      <c r="C97" s="12" t="n"/>
      <c r="D97" s="12" t="n"/>
      <c r="E97" s="12" t="n"/>
      <c r="F97" s="12" t="n"/>
      <c r="G97" s="12" t="n"/>
      <c r="H97" s="33" t="n"/>
      <c r="I97" s="33" t="n"/>
      <c r="J97" s="12" t="n"/>
      <c r="K97" s="13" t="n"/>
      <c r="L97" s="12" t="n"/>
      <c r="M97" s="12" t="n"/>
    </row>
    <row r="98" ht="22" customHeight="1">
      <c r="B98" s="18">
        <f>IF(C98="","SVC-"&amp;TEXT(COUNTA($C$5:C98),"000"))</f>
        <v/>
      </c>
      <c r="C98" s="15" t="n"/>
      <c r="D98" s="15" t="n"/>
      <c r="E98" s="15" t="n"/>
      <c r="F98" s="15" t="n"/>
      <c r="G98" s="15" t="n"/>
      <c r="H98" s="34" t="n"/>
      <c r="I98" s="34" t="n"/>
      <c r="J98" s="15" t="n"/>
      <c r="K98" s="16" t="n"/>
      <c r="L98" s="15" t="n"/>
      <c r="M98" s="15" t="n"/>
    </row>
    <row r="99" ht="22" customHeight="1">
      <c r="B99" s="19">
        <f>IF(C99="","SVC-"&amp;TEXT(COUNTA($C$5:C99),"000"))</f>
        <v/>
      </c>
      <c r="C99" s="12" t="n"/>
      <c r="D99" s="12" t="n"/>
      <c r="E99" s="12" t="n"/>
      <c r="F99" s="12" t="n"/>
      <c r="G99" s="12" t="n"/>
      <c r="H99" s="33" t="n"/>
      <c r="I99" s="33" t="n"/>
      <c r="J99" s="12" t="n"/>
      <c r="K99" s="13" t="n"/>
      <c r="L99" s="12" t="n"/>
      <c r="M99" s="12" t="n"/>
    </row>
    <row r="100" ht="22" customHeight="1">
      <c r="B100" s="18">
        <f>IF(C100="","SVC-"&amp;TEXT(COUNTA($C$5:C100),"000"))</f>
        <v/>
      </c>
      <c r="C100" s="15" t="n"/>
      <c r="D100" s="15" t="n"/>
      <c r="E100" s="15" t="n"/>
      <c r="F100" s="15" t="n"/>
      <c r="G100" s="15" t="n"/>
      <c r="H100" s="34" t="n"/>
      <c r="I100" s="34" t="n"/>
      <c r="J100" s="15" t="n"/>
      <c r="K100" s="16" t="n"/>
      <c r="L100" s="15" t="n"/>
      <c r="M100" s="15" t="n"/>
    </row>
    <row r="101" ht="22" customHeight="1">
      <c r="B101" s="19">
        <f>IF(C101="","SVC-"&amp;TEXT(COUNTA($C$5:C101),"000"))</f>
        <v/>
      </c>
      <c r="C101" s="12" t="n"/>
      <c r="D101" s="12" t="n"/>
      <c r="E101" s="12" t="n"/>
      <c r="F101" s="12" t="n"/>
      <c r="G101" s="12" t="n"/>
      <c r="H101" s="33" t="n"/>
      <c r="I101" s="33" t="n"/>
      <c r="J101" s="12" t="n"/>
      <c r="K101" s="13" t="n"/>
      <c r="L101" s="12" t="n"/>
      <c r="M101" s="12" t="n"/>
    </row>
    <row r="102" ht="22" customHeight="1">
      <c r="B102" s="18">
        <f>IF(C102="","SVC-"&amp;TEXT(COUNTA($C$5:C102),"000"))</f>
        <v/>
      </c>
      <c r="C102" s="15" t="n"/>
      <c r="D102" s="15" t="n"/>
      <c r="E102" s="15" t="n"/>
      <c r="F102" s="15" t="n"/>
      <c r="G102" s="15" t="n"/>
      <c r="H102" s="34" t="n"/>
      <c r="I102" s="34" t="n"/>
      <c r="J102" s="15" t="n"/>
      <c r="K102" s="16" t="n"/>
      <c r="L102" s="15" t="n"/>
      <c r="M102" s="15" t="n"/>
    </row>
    <row r="103" ht="22" customHeight="1">
      <c r="B103" s="19">
        <f>IF(C103="","SVC-"&amp;TEXT(COUNTA($C$5:C103),"000"))</f>
        <v/>
      </c>
      <c r="C103" s="12" t="n"/>
      <c r="D103" s="12" t="n"/>
      <c r="E103" s="12" t="n"/>
      <c r="F103" s="12" t="n"/>
      <c r="G103" s="12" t="n"/>
      <c r="H103" s="33" t="n"/>
      <c r="I103" s="33" t="n"/>
      <c r="J103" s="12" t="n"/>
      <c r="K103" s="13" t="n"/>
      <c r="L103" s="12" t="n"/>
      <c r="M103" s="12" t="n"/>
    </row>
    <row r="104" ht="22" customHeight="1">
      <c r="B104" s="18">
        <f>IF(C104="","SVC-"&amp;TEXT(COUNTA($C$5:C104),"000"))</f>
        <v/>
      </c>
      <c r="C104" s="15" t="n"/>
      <c r="D104" s="15" t="n"/>
      <c r="E104" s="15" t="n"/>
      <c r="F104" s="15" t="n"/>
      <c r="G104" s="15" t="n"/>
      <c r="H104" s="34" t="n"/>
      <c r="I104" s="34" t="n"/>
      <c r="J104" s="15" t="n"/>
      <c r="K104" s="16" t="n"/>
      <c r="L104" s="15" t="n"/>
      <c r="M104" s="15" t="n"/>
    </row>
    <row r="105" ht="22" customHeight="1">
      <c r="B105" s="19">
        <f>IF(C105="","SVC-"&amp;TEXT(COUNTA($C$5:C105),"000"))</f>
        <v/>
      </c>
      <c r="C105" s="12" t="n"/>
      <c r="D105" s="12" t="n"/>
      <c r="E105" s="12" t="n"/>
      <c r="F105" s="12" t="n"/>
      <c r="G105" s="12" t="n"/>
      <c r="H105" s="33" t="n"/>
      <c r="I105" s="33" t="n"/>
      <c r="J105" s="12" t="n"/>
      <c r="K105" s="13" t="n"/>
      <c r="L105" s="12" t="n"/>
      <c r="M105" s="12" t="n"/>
    </row>
    <row r="106" ht="22" customHeight="1">
      <c r="B106" s="18">
        <f>IF(C106="","SVC-"&amp;TEXT(COUNTA($C$5:C106),"000"))</f>
        <v/>
      </c>
      <c r="C106" s="15" t="n"/>
      <c r="D106" s="15" t="n"/>
      <c r="E106" s="15" t="n"/>
      <c r="F106" s="15" t="n"/>
      <c r="G106" s="15" t="n"/>
      <c r="H106" s="34" t="n"/>
      <c r="I106" s="34" t="n"/>
      <c r="J106" s="15" t="n"/>
      <c r="K106" s="16" t="n"/>
      <c r="L106" s="15" t="n"/>
      <c r="M106" s="15" t="n"/>
    </row>
    <row r="107" ht="22" customHeight="1">
      <c r="B107" s="19">
        <f>IF(C107="","SVC-"&amp;TEXT(COUNTA($C$5:C107),"000"))</f>
        <v/>
      </c>
      <c r="C107" s="12" t="n"/>
      <c r="D107" s="12" t="n"/>
      <c r="E107" s="12" t="n"/>
      <c r="F107" s="12" t="n"/>
      <c r="G107" s="12" t="n"/>
      <c r="H107" s="33" t="n"/>
      <c r="I107" s="33" t="n"/>
      <c r="J107" s="12" t="n"/>
      <c r="K107" s="13" t="n"/>
      <c r="L107" s="12" t="n"/>
      <c r="M107" s="12" t="n"/>
    </row>
    <row r="108" ht="22" customHeight="1">
      <c r="B108" s="18">
        <f>IF(C108="","SVC-"&amp;TEXT(COUNTA($C$5:C108),"000"))</f>
        <v/>
      </c>
      <c r="C108" s="15" t="n"/>
      <c r="D108" s="15" t="n"/>
      <c r="E108" s="15" t="n"/>
      <c r="F108" s="15" t="n"/>
      <c r="G108" s="15" t="n"/>
      <c r="H108" s="34" t="n"/>
      <c r="I108" s="34" t="n"/>
      <c r="J108" s="15" t="n"/>
      <c r="K108" s="16" t="n"/>
      <c r="L108" s="15" t="n"/>
      <c r="M108" s="15" t="n"/>
    </row>
    <row r="109" ht="22" customHeight="1">
      <c r="B109" s="19">
        <f>IF(C109="","SVC-"&amp;TEXT(COUNTA($C$5:C109),"000"))</f>
        <v/>
      </c>
      <c r="C109" s="12" t="n"/>
      <c r="D109" s="12" t="n"/>
      <c r="E109" s="12" t="n"/>
      <c r="F109" s="12" t="n"/>
      <c r="G109" s="12" t="n"/>
      <c r="H109" s="33" t="n"/>
      <c r="I109" s="33" t="n"/>
      <c r="J109" s="12" t="n"/>
      <c r="K109" s="13" t="n"/>
      <c r="L109" s="12" t="n"/>
      <c r="M109" s="12" t="n"/>
    </row>
    <row r="110"/>
    <row r="111">
      <c r="B111" s="6" t="inlineStr">
        <is>
          <t>INDICATEURS (mis a jour automatiquement)</t>
        </is>
      </c>
    </row>
    <row r="112">
      <c r="B112" s="3" t="inlineStr">
        <is>
          <t>Affectations actives</t>
        </is>
      </c>
      <c r="D112" s="3" t="inlineStr">
        <is>
          <t>Services couverts</t>
        </is>
      </c>
      <c r="F112" s="3" t="inlineStr">
        <is>
          <t>Equipe Nuit</t>
        </is>
      </c>
      <c r="H112" s="3" t="inlineStr">
        <is>
          <t>Equipe Jour</t>
        </is>
      </c>
    </row>
    <row r="113">
      <c r="B113" s="4">
        <f>COUNTIF(B5:B104,"&lt;&gt;")</f>
        <v/>
      </c>
      <c r="D113" s="4">
        <f>COUNTA(E5:E104)-SUMPRODUCT(--(COUNTIF(E5:E104,E5:E104)&gt;1))</f>
        <v/>
      </c>
      <c r="F113" s="4">
        <f>COUNTIF(G5:G104,"Equipe Nuit")</f>
        <v/>
      </c>
      <c r="H113" s="4">
        <f>COUNTIF(G5:G104,"Equipe Jour")</f>
        <v/>
      </c>
    </row>
  </sheetData>
  <mergeCells count="3">
    <mergeCell ref="B3:M3"/>
    <mergeCell ref="B2:M2"/>
    <mergeCell ref="B111:M111"/>
  </mergeCells>
  <conditionalFormatting sqref="L5:L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dataValidations count="4">
    <dataValidation sqref="E5:E109" showDropDown="0" showInputMessage="0" showErrorMessage="0" allowBlank="1" errorTitle="Erreur" error="Valeur invalide" promptTitle="Liste" prompt="Choisir dans la liste" type="list">
      <formula1>'_Lists'!$Q$2:$Q$12</formula1>
    </dataValidation>
    <dataValidation sqref="F5:F109" showDropDown="0" showInputMessage="0" showErrorMessage="0" allowBlank="1" errorTitle="Erreur" error="Valeur invalide" promptTitle="Liste" prompt="Choisir dans la liste" type="list">
      <formula1>'_Lists'!$C$2:$C$30</formula1>
    </dataValidation>
    <dataValidation sqref="G5:G109" showDropDown="0" showInputMessage="0" showErrorMessage="0" allowBlank="1" errorTitle="Erreur" error="Valeur invalide" promptTitle="Liste" prompt="Choisir dans la liste" type="list">
      <formula1>'_Lists'!$D$2:$D$6</formula1>
    </dataValidation>
    <dataValidation sqref="L5:L109" showDropDown="0" showInputMessage="0" showErrorMessage="0" allowBlank="1" errorTitle="Erreur" error="Valeur invalide" promptTitle="Liste" prompt="Choisir dans la liste" type="list">
      <formula1>'_Lists'!$S$2:$S$4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L11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22" customWidth="1" min="3" max="3"/>
    <col width="24" customWidth="1" min="4" max="4"/>
    <col width="14" customWidth="1" min="5" max="5"/>
    <col width="16" customWidth="1" min="6" max="6"/>
    <col width="22" customWidth="1" min="7" max="7"/>
    <col width="16" customWidth="1" min="8" max="8"/>
    <col width="14" customWidth="1" min="9" max="9"/>
    <col width="12" customWidth="1" min="10" max="10"/>
    <col width="16" customWidth="1" min="11" max="11"/>
    <col width="14" customWidth="1" min="12" max="12"/>
  </cols>
  <sheetData>
    <row r="1" ht="15" customHeight="1"/>
    <row r="2" ht="32" customHeight="1">
      <c r="B2" s="1" t="inlineStr">
        <is>
          <t>REGIMES HORAIRES — CONFIGURATION</t>
        </is>
      </c>
    </row>
    <row r="3" ht="8" customHeight="1">
      <c r="B3" s="2" t="inlineStr">
        <is>
          <t>TABLEAU DYNAMIQUE — Saisissez dans la prochaine ligne jaune. Les calculs se mettent a jour automatiquement.</t>
        </is>
      </c>
    </row>
    <row r="4" ht="28" customHeight="1">
      <c r="B4" s="11" t="inlineStr">
        <is>
          <t>N° Regime</t>
        </is>
      </c>
      <c r="C4" s="11" t="inlineStr">
        <is>
          <t>Designation</t>
        </is>
      </c>
      <c r="D4" s="11" t="inlineStr">
        <is>
          <t>Type Regime</t>
        </is>
      </c>
      <c r="E4" s="11" t="inlineStr">
        <is>
          <t>Heures Hebdo</t>
        </is>
      </c>
      <c r="F4" s="11" t="inlineStr">
        <is>
          <t>Heures Mensuelles</t>
        </is>
      </c>
      <c r="G4" s="11" t="inlineStr">
        <is>
          <t>Horaire Type</t>
        </is>
      </c>
      <c r="H4" s="11" t="inlineStr">
        <is>
          <t>Pause Dejeuner</t>
        </is>
      </c>
      <c r="I4" s="11" t="inlineStr">
        <is>
          <t>Jours/Semaine</t>
        </is>
      </c>
      <c r="J4" s="11" t="inlineStr">
        <is>
          <t>Nb Postes</t>
        </is>
      </c>
      <c r="K4" s="11" t="inlineStr">
        <is>
          <t>Majoration Nuit</t>
        </is>
      </c>
      <c r="L4" s="11" t="inlineStr">
        <is>
          <t>Statut</t>
        </is>
      </c>
    </row>
    <row r="5" ht="22" customHeight="1">
      <c r="B5" s="12" t="inlineStr">
        <is>
          <t>REG-001</t>
        </is>
      </c>
      <c r="C5" s="12" t="inlineStr">
        <is>
          <t>Standard jour</t>
        </is>
      </c>
      <c r="D5" s="12" t="inlineStr">
        <is>
          <t>Temps plein 40h</t>
        </is>
      </c>
      <c r="E5" s="13" t="n">
        <v>40</v>
      </c>
      <c r="F5" s="14" t="n">
        <v>173.3</v>
      </c>
      <c r="G5" s="12" t="inlineStr">
        <is>
          <t>08h-17h</t>
        </is>
      </c>
      <c r="H5" s="12" t="inlineStr">
        <is>
          <t>1h (12h-13h)</t>
        </is>
      </c>
      <c r="I5" s="35" t="n">
        <v>5</v>
      </c>
      <c r="J5" s="13" t="n">
        <v>25</v>
      </c>
      <c r="K5" s="12" t="inlineStr">
        <is>
          <t>25%</t>
        </is>
      </c>
      <c r="L5" s="12" t="inlineStr">
        <is>
          <t>Actif</t>
        </is>
      </c>
    </row>
    <row r="6" ht="22" customHeight="1">
      <c r="B6" s="15" t="inlineStr">
        <is>
          <t>REG-002</t>
        </is>
      </c>
      <c r="C6" s="15" t="inlineStr">
        <is>
          <t>Standard etendu</t>
        </is>
      </c>
      <c r="D6" s="15" t="inlineStr">
        <is>
          <t>Temps plein 45h</t>
        </is>
      </c>
      <c r="E6" s="16" t="n">
        <v>45</v>
      </c>
      <c r="F6" s="17" t="n">
        <v>195</v>
      </c>
      <c r="G6" s="15" t="inlineStr">
        <is>
          <t>08h-18h</t>
        </is>
      </c>
      <c r="H6" s="15" t="inlineStr">
        <is>
          <t>1h (12h-13h)</t>
        </is>
      </c>
      <c r="I6" s="36" t="n">
        <v>5</v>
      </c>
      <c r="J6" s="16" t="n">
        <v>15</v>
      </c>
      <c r="K6" s="15" t="inlineStr">
        <is>
          <t>25%</t>
        </is>
      </c>
      <c r="L6" s="15" t="inlineStr">
        <is>
          <t>Actif</t>
        </is>
      </c>
    </row>
    <row r="7" ht="22" customHeight="1">
      <c r="B7" s="12" t="inlineStr">
        <is>
          <t>REG-003</t>
        </is>
      </c>
      <c r="C7" s="12" t="inlineStr">
        <is>
          <t>Mi-temps 20h</t>
        </is>
      </c>
      <c r="D7" s="12" t="inlineStr">
        <is>
          <t>Temps partiel 20h</t>
        </is>
      </c>
      <c r="E7" s="13" t="n">
        <v>20</v>
      </c>
      <c r="F7" s="14" t="n">
        <v>86.7</v>
      </c>
      <c r="G7" s="12" t="inlineStr">
        <is>
          <t>08h-12h</t>
        </is>
      </c>
      <c r="H7" s="12" t="inlineStr">
        <is>
          <t>0h</t>
        </is>
      </c>
      <c r="I7" s="35" t="n">
        <v>5</v>
      </c>
      <c r="J7" s="13" t="n">
        <v>8</v>
      </c>
      <c r="K7" s="12" t="inlineStr">
        <is>
          <t>0%</t>
        </is>
      </c>
      <c r="L7" s="12" t="inlineStr">
        <is>
          <t>Actif</t>
        </is>
      </c>
    </row>
    <row r="8" ht="22" customHeight="1">
      <c r="B8" s="15" t="inlineStr">
        <is>
          <t>REG-004</t>
        </is>
      </c>
      <c r="C8" s="15" t="inlineStr">
        <is>
          <t>Mi-temps 25h</t>
        </is>
      </c>
      <c r="D8" s="15" t="inlineStr">
        <is>
          <t>Temps partiel 25h</t>
        </is>
      </c>
      <c r="E8" s="16" t="n">
        <v>25</v>
      </c>
      <c r="F8" s="17" t="n">
        <v>108.3</v>
      </c>
      <c r="G8" s="15" t="inlineStr">
        <is>
          <t>08h-13h</t>
        </is>
      </c>
      <c r="H8" s="15" t="inlineStr">
        <is>
          <t>0.5h (12h-12h30)</t>
        </is>
      </c>
      <c r="I8" s="36" t="n">
        <v>5</v>
      </c>
      <c r="J8" s="16" t="n">
        <v>5</v>
      </c>
      <c r="K8" s="15" t="inlineStr">
        <is>
          <t>0%</t>
        </is>
      </c>
      <c r="L8" s="15" t="inlineStr">
        <is>
          <t>Actif</t>
        </is>
      </c>
    </row>
    <row r="9" ht="22" customHeight="1">
      <c r="B9" s="12" t="inlineStr">
        <is>
          <t>REG-005</t>
        </is>
      </c>
      <c r="C9" s="12" t="inlineStr">
        <is>
          <t>Rotation 3x8</t>
        </is>
      </c>
      <c r="D9" s="12" t="inlineStr">
        <is>
          <t>Horaires rotatifs 3x8</t>
        </is>
      </c>
      <c r="E9" s="13" t="n">
        <v>40</v>
      </c>
      <c r="F9" s="14" t="n">
        <v>173.3</v>
      </c>
      <c r="G9" s="12" t="inlineStr">
        <is>
          <t>06-14/14-22/22-06</t>
        </is>
      </c>
      <c r="H9" s="12" t="inlineStr">
        <is>
          <t>0.5h</t>
        </is>
      </c>
      <c r="I9" s="35" t="n">
        <v>5</v>
      </c>
      <c r="J9" s="13" t="n">
        <v>30</v>
      </c>
      <c r="K9" s="12" t="inlineStr">
        <is>
          <t>50%</t>
        </is>
      </c>
      <c r="L9" s="12" t="inlineStr">
        <is>
          <t>Actif</t>
        </is>
      </c>
    </row>
    <row r="10" ht="22" customHeight="1">
      <c r="B10" s="15" t="inlineStr">
        <is>
          <t>REG-006</t>
        </is>
      </c>
      <c r="C10" s="15" t="inlineStr">
        <is>
          <t>Rotation 2x12</t>
        </is>
      </c>
      <c r="D10" s="15" t="inlineStr">
        <is>
          <t>Horaires rotatifs 2x12</t>
        </is>
      </c>
      <c r="E10" s="16" t="n">
        <v>42</v>
      </c>
      <c r="F10" s="17" t="n">
        <v>182</v>
      </c>
      <c r="G10" s="15" t="inlineStr">
        <is>
          <t>06-18/18-06</t>
        </is>
      </c>
      <c r="H10" s="15" t="inlineStr">
        <is>
          <t>1h</t>
        </is>
      </c>
      <c r="I10" s="36" t="n">
        <v>3.5</v>
      </c>
      <c r="J10" s="16" t="n">
        <v>12</v>
      </c>
      <c r="K10" s="15" t="inlineStr">
        <is>
          <t>50%</t>
        </is>
      </c>
      <c r="L10" s="15" t="inlineStr">
        <is>
          <t>Actif</t>
        </is>
      </c>
    </row>
    <row r="11" ht="22" customHeight="1">
      <c r="B11" s="12" t="inlineStr">
        <is>
          <t>REG-007</t>
        </is>
      </c>
      <c r="C11" s="12" t="inlineStr">
        <is>
          <t>Nuit permanente</t>
        </is>
      </c>
      <c r="D11" s="12" t="inlineStr">
        <is>
          <t>Equipe de nuit permanente</t>
        </is>
      </c>
      <c r="E11" s="13" t="n">
        <v>35</v>
      </c>
      <c r="F11" s="14" t="n">
        <v>151.7</v>
      </c>
      <c r="G11" s="12" t="inlineStr">
        <is>
          <t>22h-06h</t>
        </is>
      </c>
      <c r="H11" s="12" t="inlineStr">
        <is>
          <t>0h</t>
        </is>
      </c>
      <c r="I11" s="35" t="n">
        <v>5</v>
      </c>
      <c r="J11" s="13" t="n">
        <v>10</v>
      </c>
      <c r="K11" s="12" t="inlineStr">
        <is>
          <t>50%</t>
        </is>
      </c>
      <c r="L11" s="12" t="inlineStr">
        <is>
          <t>Actif</t>
        </is>
      </c>
    </row>
    <row r="12" ht="22" customHeight="1">
      <c r="B12" s="15" t="inlineStr">
        <is>
          <t>REG-008</t>
        </is>
      </c>
      <c r="C12" s="15" t="inlineStr">
        <is>
          <t>Forfait jour 173h</t>
        </is>
      </c>
      <c r="D12" s="15" t="inlineStr">
        <is>
          <t>Forfait jour 173h/mois</t>
        </is>
      </c>
      <c r="E12" s="16" t="n">
        <v>0</v>
      </c>
      <c r="F12" s="17" t="n">
        <v>173</v>
      </c>
      <c r="G12" s="15" t="inlineStr">
        <is>
          <t>Libre (forfait)</t>
        </is>
      </c>
      <c r="H12" s="15" t="inlineStr">
        <is>
          <t>1h</t>
        </is>
      </c>
      <c r="I12" s="36" t="n">
        <v>5</v>
      </c>
      <c r="J12" s="16" t="n">
        <v>10</v>
      </c>
      <c r="K12" s="15" t="inlineStr">
        <is>
          <t>0%</t>
        </is>
      </c>
      <c r="L12" s="15" t="inlineStr">
        <is>
          <t>Actif</t>
        </is>
      </c>
    </row>
    <row r="13" ht="22" customHeight="1">
      <c r="B13" s="19">
        <f>IF(C13="","REG-"&amp;TEXT(COUNTA($C$5:C13),"000"))</f>
        <v/>
      </c>
      <c r="C13" s="12" t="n"/>
      <c r="D13" s="12" t="n"/>
      <c r="E13" s="13" t="n"/>
      <c r="F13" s="14" t="n"/>
      <c r="G13" s="12" t="n"/>
      <c r="H13" s="12" t="n"/>
      <c r="I13" s="35" t="n"/>
      <c r="J13" s="13" t="n"/>
      <c r="K13" s="12" t="n"/>
      <c r="L13" s="12" t="n"/>
    </row>
    <row r="14" ht="22" customHeight="1">
      <c r="B14" s="18">
        <f>IF(C14="","REG-"&amp;TEXT(COUNTA($C$5:C14),"000"))</f>
        <v/>
      </c>
      <c r="C14" s="15" t="n"/>
      <c r="D14" s="15" t="n"/>
      <c r="E14" s="16" t="n"/>
      <c r="F14" s="17" t="n"/>
      <c r="G14" s="15" t="n"/>
      <c r="H14" s="15" t="n"/>
      <c r="I14" s="36" t="n"/>
      <c r="J14" s="16" t="n"/>
      <c r="K14" s="15" t="n"/>
      <c r="L14" s="15" t="n"/>
    </row>
    <row r="15" ht="22" customHeight="1">
      <c r="B15" s="19">
        <f>IF(C15="","REG-"&amp;TEXT(COUNTA($C$5:C15),"000"))</f>
        <v/>
      </c>
      <c r="C15" s="12" t="n"/>
      <c r="D15" s="12" t="n"/>
      <c r="E15" s="13" t="n"/>
      <c r="F15" s="14" t="n"/>
      <c r="G15" s="12" t="n"/>
      <c r="H15" s="12" t="n"/>
      <c r="I15" s="35" t="n"/>
      <c r="J15" s="13" t="n"/>
      <c r="K15" s="12" t="n"/>
      <c r="L15" s="12" t="n"/>
    </row>
    <row r="16" ht="22" customHeight="1">
      <c r="B16" s="18">
        <f>IF(C16="","REG-"&amp;TEXT(COUNTA($C$5:C16),"000"))</f>
        <v/>
      </c>
      <c r="C16" s="15" t="n"/>
      <c r="D16" s="15" t="n"/>
      <c r="E16" s="16" t="n"/>
      <c r="F16" s="17" t="n"/>
      <c r="G16" s="15" t="n"/>
      <c r="H16" s="15" t="n"/>
      <c r="I16" s="36" t="n"/>
      <c r="J16" s="16" t="n"/>
      <c r="K16" s="15" t="n"/>
      <c r="L16" s="15" t="n"/>
    </row>
    <row r="17" ht="22" customHeight="1">
      <c r="B17" s="19">
        <f>IF(C17="","REG-"&amp;TEXT(COUNTA($C$5:C17),"000"))</f>
        <v/>
      </c>
      <c r="C17" s="12" t="n"/>
      <c r="D17" s="12" t="n"/>
      <c r="E17" s="13" t="n"/>
      <c r="F17" s="14" t="n"/>
      <c r="G17" s="12" t="n"/>
      <c r="H17" s="12" t="n"/>
      <c r="I17" s="35" t="n"/>
      <c r="J17" s="13" t="n"/>
      <c r="K17" s="12" t="n"/>
      <c r="L17" s="12" t="n"/>
    </row>
    <row r="18" ht="22" customHeight="1">
      <c r="B18" s="18">
        <f>IF(C18="","REG-"&amp;TEXT(COUNTA($C$5:C18),"000"))</f>
        <v/>
      </c>
      <c r="C18" s="15" t="n"/>
      <c r="D18" s="15" t="n"/>
      <c r="E18" s="16" t="n"/>
      <c r="F18" s="17" t="n"/>
      <c r="G18" s="15" t="n"/>
      <c r="H18" s="15" t="n"/>
      <c r="I18" s="36" t="n"/>
      <c r="J18" s="16" t="n"/>
      <c r="K18" s="15" t="n"/>
      <c r="L18" s="15" t="n"/>
    </row>
    <row r="19" ht="22" customHeight="1">
      <c r="B19" s="19">
        <f>IF(C19="","REG-"&amp;TEXT(COUNTA($C$5:C19),"000"))</f>
        <v/>
      </c>
      <c r="C19" s="12" t="n"/>
      <c r="D19" s="12" t="n"/>
      <c r="E19" s="13" t="n"/>
      <c r="F19" s="14" t="n"/>
      <c r="G19" s="12" t="n"/>
      <c r="H19" s="12" t="n"/>
      <c r="I19" s="35" t="n"/>
      <c r="J19" s="13" t="n"/>
      <c r="K19" s="12" t="n"/>
      <c r="L19" s="12" t="n"/>
    </row>
    <row r="20" ht="22" customHeight="1">
      <c r="B20" s="18">
        <f>IF(C20="","REG-"&amp;TEXT(COUNTA($C$5:C20),"000"))</f>
        <v/>
      </c>
      <c r="C20" s="15" t="n"/>
      <c r="D20" s="15" t="n"/>
      <c r="E20" s="16" t="n"/>
      <c r="F20" s="17" t="n"/>
      <c r="G20" s="15" t="n"/>
      <c r="H20" s="15" t="n"/>
      <c r="I20" s="36" t="n"/>
      <c r="J20" s="16" t="n"/>
      <c r="K20" s="15" t="n"/>
      <c r="L20" s="15" t="n"/>
    </row>
    <row r="21" ht="22" customHeight="1">
      <c r="B21" s="19">
        <f>IF(C21="","REG-"&amp;TEXT(COUNTA($C$5:C21),"000"))</f>
        <v/>
      </c>
      <c r="C21" s="12" t="n"/>
      <c r="D21" s="12" t="n"/>
      <c r="E21" s="13" t="n"/>
      <c r="F21" s="14" t="n"/>
      <c r="G21" s="12" t="n"/>
      <c r="H21" s="12" t="n"/>
      <c r="I21" s="35" t="n"/>
      <c r="J21" s="13" t="n"/>
      <c r="K21" s="12" t="n"/>
      <c r="L21" s="12" t="n"/>
    </row>
    <row r="22" ht="22" customHeight="1">
      <c r="B22" s="18">
        <f>IF(C22="","REG-"&amp;TEXT(COUNTA($C$5:C22),"000"))</f>
        <v/>
      </c>
      <c r="C22" s="15" t="n"/>
      <c r="D22" s="15" t="n"/>
      <c r="E22" s="16" t="n"/>
      <c r="F22" s="17" t="n"/>
      <c r="G22" s="15" t="n"/>
      <c r="H22" s="15" t="n"/>
      <c r="I22" s="36" t="n"/>
      <c r="J22" s="16" t="n"/>
      <c r="K22" s="15" t="n"/>
      <c r="L22" s="15" t="n"/>
    </row>
    <row r="23" ht="22" customHeight="1">
      <c r="B23" s="19">
        <f>IF(C23="","REG-"&amp;TEXT(COUNTA($C$5:C23),"000"))</f>
        <v/>
      </c>
      <c r="C23" s="12" t="n"/>
      <c r="D23" s="12" t="n"/>
      <c r="E23" s="13" t="n"/>
      <c r="F23" s="14" t="n"/>
      <c r="G23" s="12" t="n"/>
      <c r="H23" s="12" t="n"/>
      <c r="I23" s="35" t="n"/>
      <c r="J23" s="13" t="n"/>
      <c r="K23" s="12" t="n"/>
      <c r="L23" s="12" t="n"/>
    </row>
    <row r="24" ht="22" customHeight="1">
      <c r="B24" s="18">
        <f>IF(C24="","REG-"&amp;TEXT(COUNTA($C$5:C24),"000"))</f>
        <v/>
      </c>
      <c r="C24" s="15" t="n"/>
      <c r="D24" s="15" t="n"/>
      <c r="E24" s="16" t="n"/>
      <c r="F24" s="17" t="n"/>
      <c r="G24" s="15" t="n"/>
      <c r="H24" s="15" t="n"/>
      <c r="I24" s="36" t="n"/>
      <c r="J24" s="16" t="n"/>
      <c r="K24" s="15" t="n"/>
      <c r="L24" s="15" t="n"/>
    </row>
    <row r="25" ht="22" customHeight="1">
      <c r="B25" s="19">
        <f>IF(C25="","REG-"&amp;TEXT(COUNTA($C$5:C25),"000"))</f>
        <v/>
      </c>
      <c r="C25" s="12" t="n"/>
      <c r="D25" s="12" t="n"/>
      <c r="E25" s="13" t="n"/>
      <c r="F25" s="14" t="n"/>
      <c r="G25" s="12" t="n"/>
      <c r="H25" s="12" t="n"/>
      <c r="I25" s="35" t="n"/>
      <c r="J25" s="13" t="n"/>
      <c r="K25" s="12" t="n"/>
      <c r="L25" s="12" t="n"/>
    </row>
    <row r="26" ht="22" customHeight="1">
      <c r="B26" s="18">
        <f>IF(C26="","REG-"&amp;TEXT(COUNTA($C$5:C26),"000"))</f>
        <v/>
      </c>
      <c r="C26" s="15" t="n"/>
      <c r="D26" s="15" t="n"/>
      <c r="E26" s="16" t="n"/>
      <c r="F26" s="17" t="n"/>
      <c r="G26" s="15" t="n"/>
      <c r="H26" s="15" t="n"/>
      <c r="I26" s="36" t="n"/>
      <c r="J26" s="16" t="n"/>
      <c r="K26" s="15" t="n"/>
      <c r="L26" s="15" t="n"/>
    </row>
    <row r="27" ht="22" customHeight="1">
      <c r="B27" s="19">
        <f>IF(C27="","REG-"&amp;TEXT(COUNTA($C$5:C27),"000"))</f>
        <v/>
      </c>
      <c r="C27" s="12" t="n"/>
      <c r="D27" s="12" t="n"/>
      <c r="E27" s="13" t="n"/>
      <c r="F27" s="14" t="n"/>
      <c r="G27" s="12" t="n"/>
      <c r="H27" s="12" t="n"/>
      <c r="I27" s="35" t="n"/>
      <c r="J27" s="13" t="n"/>
      <c r="K27" s="12" t="n"/>
      <c r="L27" s="12" t="n"/>
    </row>
    <row r="28" ht="22" customHeight="1">
      <c r="B28" s="18">
        <f>IF(C28="","REG-"&amp;TEXT(COUNTA($C$5:C28),"000"))</f>
        <v/>
      </c>
      <c r="C28" s="15" t="n"/>
      <c r="D28" s="15" t="n"/>
      <c r="E28" s="16" t="n"/>
      <c r="F28" s="17" t="n"/>
      <c r="G28" s="15" t="n"/>
      <c r="H28" s="15" t="n"/>
      <c r="I28" s="36" t="n"/>
      <c r="J28" s="16" t="n"/>
      <c r="K28" s="15" t="n"/>
      <c r="L28" s="15" t="n"/>
    </row>
    <row r="29" ht="22" customHeight="1">
      <c r="B29" s="19">
        <f>IF(C29="","REG-"&amp;TEXT(COUNTA($C$5:C29),"000"))</f>
        <v/>
      </c>
      <c r="C29" s="12" t="n"/>
      <c r="D29" s="12" t="n"/>
      <c r="E29" s="13" t="n"/>
      <c r="F29" s="14" t="n"/>
      <c r="G29" s="12" t="n"/>
      <c r="H29" s="12" t="n"/>
      <c r="I29" s="35" t="n"/>
      <c r="J29" s="13" t="n"/>
      <c r="K29" s="12" t="n"/>
      <c r="L29" s="12" t="n"/>
    </row>
    <row r="30" ht="22" customHeight="1">
      <c r="B30" s="18">
        <f>IF(C30="","REG-"&amp;TEXT(COUNTA($C$5:C30),"000"))</f>
        <v/>
      </c>
      <c r="C30" s="15" t="n"/>
      <c r="D30" s="15" t="n"/>
      <c r="E30" s="16" t="n"/>
      <c r="F30" s="17" t="n"/>
      <c r="G30" s="15" t="n"/>
      <c r="H30" s="15" t="n"/>
      <c r="I30" s="36" t="n"/>
      <c r="J30" s="16" t="n"/>
      <c r="K30" s="15" t="n"/>
      <c r="L30" s="15" t="n"/>
    </row>
    <row r="31" ht="22" customHeight="1">
      <c r="B31" s="19">
        <f>IF(C31="","REG-"&amp;TEXT(COUNTA($C$5:C31),"000"))</f>
        <v/>
      </c>
      <c r="C31" s="12" t="n"/>
      <c r="D31" s="12" t="n"/>
      <c r="E31" s="13" t="n"/>
      <c r="F31" s="14" t="n"/>
      <c r="G31" s="12" t="n"/>
      <c r="H31" s="12" t="n"/>
      <c r="I31" s="35" t="n"/>
      <c r="J31" s="13" t="n"/>
      <c r="K31" s="12" t="n"/>
      <c r="L31" s="12" t="n"/>
    </row>
    <row r="32" ht="22" customHeight="1">
      <c r="B32" s="18">
        <f>IF(C32="","REG-"&amp;TEXT(COUNTA($C$5:C32),"000"))</f>
        <v/>
      </c>
      <c r="C32" s="15" t="n"/>
      <c r="D32" s="15" t="n"/>
      <c r="E32" s="16" t="n"/>
      <c r="F32" s="17" t="n"/>
      <c r="G32" s="15" t="n"/>
      <c r="H32" s="15" t="n"/>
      <c r="I32" s="36" t="n"/>
      <c r="J32" s="16" t="n"/>
      <c r="K32" s="15" t="n"/>
      <c r="L32" s="15" t="n"/>
    </row>
    <row r="33" ht="22" customHeight="1">
      <c r="B33" s="19">
        <f>IF(C33="","REG-"&amp;TEXT(COUNTA($C$5:C33),"000"))</f>
        <v/>
      </c>
      <c r="C33" s="12" t="n"/>
      <c r="D33" s="12" t="n"/>
      <c r="E33" s="13" t="n"/>
      <c r="F33" s="14" t="n"/>
      <c r="G33" s="12" t="n"/>
      <c r="H33" s="12" t="n"/>
      <c r="I33" s="35" t="n"/>
      <c r="J33" s="13" t="n"/>
      <c r="K33" s="12" t="n"/>
      <c r="L33" s="12" t="n"/>
    </row>
    <row r="34" ht="22" customHeight="1">
      <c r="B34" s="18">
        <f>IF(C34="","REG-"&amp;TEXT(COUNTA($C$5:C34),"000"))</f>
        <v/>
      </c>
      <c r="C34" s="15" t="n"/>
      <c r="D34" s="15" t="n"/>
      <c r="E34" s="16" t="n"/>
      <c r="F34" s="17" t="n"/>
      <c r="G34" s="15" t="n"/>
      <c r="H34" s="15" t="n"/>
      <c r="I34" s="36" t="n"/>
      <c r="J34" s="16" t="n"/>
      <c r="K34" s="15" t="n"/>
      <c r="L34" s="15" t="n"/>
    </row>
    <row r="35" ht="22" customHeight="1">
      <c r="B35" s="19">
        <f>IF(C35="","REG-"&amp;TEXT(COUNTA($C$5:C35),"000"))</f>
        <v/>
      </c>
      <c r="C35" s="12" t="n"/>
      <c r="D35" s="12" t="n"/>
      <c r="E35" s="13" t="n"/>
      <c r="F35" s="14" t="n"/>
      <c r="G35" s="12" t="n"/>
      <c r="H35" s="12" t="n"/>
      <c r="I35" s="35" t="n"/>
      <c r="J35" s="13" t="n"/>
      <c r="K35" s="12" t="n"/>
      <c r="L35" s="12" t="n"/>
    </row>
    <row r="36" ht="22" customHeight="1">
      <c r="B36" s="18">
        <f>IF(C36="","REG-"&amp;TEXT(COUNTA($C$5:C36),"000"))</f>
        <v/>
      </c>
      <c r="C36" s="15" t="n"/>
      <c r="D36" s="15" t="n"/>
      <c r="E36" s="16" t="n"/>
      <c r="F36" s="17" t="n"/>
      <c r="G36" s="15" t="n"/>
      <c r="H36" s="15" t="n"/>
      <c r="I36" s="36" t="n"/>
      <c r="J36" s="16" t="n"/>
      <c r="K36" s="15" t="n"/>
      <c r="L36" s="15" t="n"/>
    </row>
    <row r="37" ht="22" customHeight="1">
      <c r="B37" s="19">
        <f>IF(C37="","REG-"&amp;TEXT(COUNTA($C$5:C37),"000"))</f>
        <v/>
      </c>
      <c r="C37" s="12" t="n"/>
      <c r="D37" s="12" t="n"/>
      <c r="E37" s="13" t="n"/>
      <c r="F37" s="14" t="n"/>
      <c r="G37" s="12" t="n"/>
      <c r="H37" s="12" t="n"/>
      <c r="I37" s="35" t="n"/>
      <c r="J37" s="13" t="n"/>
      <c r="K37" s="12" t="n"/>
      <c r="L37" s="12" t="n"/>
    </row>
    <row r="38" ht="22" customHeight="1">
      <c r="B38" s="18">
        <f>IF(C38="","REG-"&amp;TEXT(COUNTA($C$5:C38),"000"))</f>
        <v/>
      </c>
      <c r="C38" s="15" t="n"/>
      <c r="D38" s="15" t="n"/>
      <c r="E38" s="16" t="n"/>
      <c r="F38" s="17" t="n"/>
      <c r="G38" s="15" t="n"/>
      <c r="H38" s="15" t="n"/>
      <c r="I38" s="36" t="n"/>
      <c r="J38" s="16" t="n"/>
      <c r="K38" s="15" t="n"/>
      <c r="L38" s="15" t="n"/>
    </row>
    <row r="39" ht="22" customHeight="1">
      <c r="B39" s="19">
        <f>IF(C39="","REG-"&amp;TEXT(COUNTA($C$5:C39),"000"))</f>
        <v/>
      </c>
      <c r="C39" s="12" t="n"/>
      <c r="D39" s="12" t="n"/>
      <c r="E39" s="13" t="n"/>
      <c r="F39" s="14" t="n"/>
      <c r="G39" s="12" t="n"/>
      <c r="H39" s="12" t="n"/>
      <c r="I39" s="35" t="n"/>
      <c r="J39" s="13" t="n"/>
      <c r="K39" s="12" t="n"/>
      <c r="L39" s="12" t="n"/>
    </row>
    <row r="40" ht="22" customHeight="1">
      <c r="B40" s="18">
        <f>IF(C40="","REG-"&amp;TEXT(COUNTA($C$5:C40),"000"))</f>
        <v/>
      </c>
      <c r="C40" s="15" t="n"/>
      <c r="D40" s="15" t="n"/>
      <c r="E40" s="16" t="n"/>
      <c r="F40" s="17" t="n"/>
      <c r="G40" s="15" t="n"/>
      <c r="H40" s="15" t="n"/>
      <c r="I40" s="36" t="n"/>
      <c r="J40" s="16" t="n"/>
      <c r="K40" s="15" t="n"/>
      <c r="L40" s="15" t="n"/>
    </row>
    <row r="41" ht="22" customHeight="1">
      <c r="B41" s="19">
        <f>IF(C41="","REG-"&amp;TEXT(COUNTA($C$5:C41),"000"))</f>
        <v/>
      </c>
      <c r="C41" s="12" t="n"/>
      <c r="D41" s="12" t="n"/>
      <c r="E41" s="13" t="n"/>
      <c r="F41" s="14" t="n"/>
      <c r="G41" s="12" t="n"/>
      <c r="H41" s="12" t="n"/>
      <c r="I41" s="35" t="n"/>
      <c r="J41" s="13" t="n"/>
      <c r="K41" s="12" t="n"/>
      <c r="L41" s="12" t="n"/>
    </row>
    <row r="42" ht="22" customHeight="1">
      <c r="B42" s="18">
        <f>IF(C42="","REG-"&amp;TEXT(COUNTA($C$5:C42),"000"))</f>
        <v/>
      </c>
      <c r="C42" s="15" t="n"/>
      <c r="D42" s="15" t="n"/>
      <c r="E42" s="16" t="n"/>
      <c r="F42" s="17" t="n"/>
      <c r="G42" s="15" t="n"/>
      <c r="H42" s="15" t="n"/>
      <c r="I42" s="36" t="n"/>
      <c r="J42" s="16" t="n"/>
      <c r="K42" s="15" t="n"/>
      <c r="L42" s="15" t="n"/>
    </row>
    <row r="43" ht="22" customHeight="1">
      <c r="B43" s="19">
        <f>IF(C43="","REG-"&amp;TEXT(COUNTA($C$5:C43),"000"))</f>
        <v/>
      </c>
      <c r="C43" s="12" t="n"/>
      <c r="D43" s="12" t="n"/>
      <c r="E43" s="13" t="n"/>
      <c r="F43" s="14" t="n"/>
      <c r="G43" s="12" t="n"/>
      <c r="H43" s="12" t="n"/>
      <c r="I43" s="35" t="n"/>
      <c r="J43" s="13" t="n"/>
      <c r="K43" s="12" t="n"/>
      <c r="L43" s="12" t="n"/>
    </row>
    <row r="44" ht="22" customHeight="1">
      <c r="B44" s="18">
        <f>IF(C44="","REG-"&amp;TEXT(COUNTA($C$5:C44),"000"))</f>
        <v/>
      </c>
      <c r="C44" s="15" t="n"/>
      <c r="D44" s="15" t="n"/>
      <c r="E44" s="16" t="n"/>
      <c r="F44" s="17" t="n"/>
      <c r="G44" s="15" t="n"/>
      <c r="H44" s="15" t="n"/>
      <c r="I44" s="36" t="n"/>
      <c r="J44" s="16" t="n"/>
      <c r="K44" s="15" t="n"/>
      <c r="L44" s="15" t="n"/>
    </row>
    <row r="45" ht="22" customHeight="1">
      <c r="B45" s="19">
        <f>IF(C45="","REG-"&amp;TEXT(COUNTA($C$5:C45),"000"))</f>
        <v/>
      </c>
      <c r="C45" s="12" t="n"/>
      <c r="D45" s="12" t="n"/>
      <c r="E45" s="13" t="n"/>
      <c r="F45" s="14" t="n"/>
      <c r="G45" s="12" t="n"/>
      <c r="H45" s="12" t="n"/>
      <c r="I45" s="35" t="n"/>
      <c r="J45" s="13" t="n"/>
      <c r="K45" s="12" t="n"/>
      <c r="L45" s="12" t="n"/>
    </row>
    <row r="46" ht="22" customHeight="1">
      <c r="B46" s="18">
        <f>IF(C46="","REG-"&amp;TEXT(COUNTA($C$5:C46),"000"))</f>
        <v/>
      </c>
      <c r="C46" s="15" t="n"/>
      <c r="D46" s="15" t="n"/>
      <c r="E46" s="16" t="n"/>
      <c r="F46" s="17" t="n"/>
      <c r="G46" s="15" t="n"/>
      <c r="H46" s="15" t="n"/>
      <c r="I46" s="36" t="n"/>
      <c r="J46" s="16" t="n"/>
      <c r="K46" s="15" t="n"/>
      <c r="L46" s="15" t="n"/>
    </row>
    <row r="47" ht="22" customHeight="1">
      <c r="B47" s="19">
        <f>IF(C47="","REG-"&amp;TEXT(COUNTA($C$5:C47),"000"))</f>
        <v/>
      </c>
      <c r="C47" s="12" t="n"/>
      <c r="D47" s="12" t="n"/>
      <c r="E47" s="13" t="n"/>
      <c r="F47" s="14" t="n"/>
      <c r="G47" s="12" t="n"/>
      <c r="H47" s="12" t="n"/>
      <c r="I47" s="35" t="n"/>
      <c r="J47" s="13" t="n"/>
      <c r="K47" s="12" t="n"/>
      <c r="L47" s="12" t="n"/>
    </row>
    <row r="48" ht="22" customHeight="1">
      <c r="B48" s="18">
        <f>IF(C48="","REG-"&amp;TEXT(COUNTA($C$5:C48),"000"))</f>
        <v/>
      </c>
      <c r="C48" s="15" t="n"/>
      <c r="D48" s="15" t="n"/>
      <c r="E48" s="16" t="n"/>
      <c r="F48" s="17" t="n"/>
      <c r="G48" s="15" t="n"/>
      <c r="H48" s="15" t="n"/>
      <c r="I48" s="36" t="n"/>
      <c r="J48" s="16" t="n"/>
      <c r="K48" s="15" t="n"/>
      <c r="L48" s="15" t="n"/>
    </row>
    <row r="49" ht="22" customHeight="1">
      <c r="B49" s="19">
        <f>IF(C49="","REG-"&amp;TEXT(COUNTA($C$5:C49),"000"))</f>
        <v/>
      </c>
      <c r="C49" s="12" t="n"/>
      <c r="D49" s="12" t="n"/>
      <c r="E49" s="13" t="n"/>
      <c r="F49" s="14" t="n"/>
      <c r="G49" s="12" t="n"/>
      <c r="H49" s="12" t="n"/>
      <c r="I49" s="35" t="n"/>
      <c r="J49" s="13" t="n"/>
      <c r="K49" s="12" t="n"/>
      <c r="L49" s="12" t="n"/>
    </row>
    <row r="50" ht="22" customHeight="1">
      <c r="B50" s="18">
        <f>IF(C50="","REG-"&amp;TEXT(COUNTA($C$5:C50),"000"))</f>
        <v/>
      </c>
      <c r="C50" s="15" t="n"/>
      <c r="D50" s="15" t="n"/>
      <c r="E50" s="16" t="n"/>
      <c r="F50" s="17" t="n"/>
      <c r="G50" s="15" t="n"/>
      <c r="H50" s="15" t="n"/>
      <c r="I50" s="36" t="n"/>
      <c r="J50" s="16" t="n"/>
      <c r="K50" s="15" t="n"/>
      <c r="L50" s="15" t="n"/>
    </row>
    <row r="51" ht="22" customHeight="1">
      <c r="B51" s="19">
        <f>IF(C51="","REG-"&amp;TEXT(COUNTA($C$5:C51),"000"))</f>
        <v/>
      </c>
      <c r="C51" s="12" t="n"/>
      <c r="D51" s="12" t="n"/>
      <c r="E51" s="13" t="n"/>
      <c r="F51" s="14" t="n"/>
      <c r="G51" s="12" t="n"/>
      <c r="H51" s="12" t="n"/>
      <c r="I51" s="35" t="n"/>
      <c r="J51" s="13" t="n"/>
      <c r="K51" s="12" t="n"/>
      <c r="L51" s="12" t="n"/>
    </row>
    <row r="52" ht="22" customHeight="1">
      <c r="B52" s="18">
        <f>IF(C52="","REG-"&amp;TEXT(COUNTA($C$5:C52),"000"))</f>
        <v/>
      </c>
      <c r="C52" s="15" t="n"/>
      <c r="D52" s="15" t="n"/>
      <c r="E52" s="16" t="n"/>
      <c r="F52" s="17" t="n"/>
      <c r="G52" s="15" t="n"/>
      <c r="H52" s="15" t="n"/>
      <c r="I52" s="36" t="n"/>
      <c r="J52" s="16" t="n"/>
      <c r="K52" s="15" t="n"/>
      <c r="L52" s="15" t="n"/>
    </row>
    <row r="53" ht="22" customHeight="1">
      <c r="B53" s="19">
        <f>IF(C53="","REG-"&amp;TEXT(COUNTA($C$5:C53),"000"))</f>
        <v/>
      </c>
      <c r="C53" s="12" t="n"/>
      <c r="D53" s="12" t="n"/>
      <c r="E53" s="13" t="n"/>
      <c r="F53" s="14" t="n"/>
      <c r="G53" s="12" t="n"/>
      <c r="H53" s="12" t="n"/>
      <c r="I53" s="35" t="n"/>
      <c r="J53" s="13" t="n"/>
      <c r="K53" s="12" t="n"/>
      <c r="L53" s="12" t="n"/>
    </row>
    <row r="54" ht="22" customHeight="1">
      <c r="B54" s="18">
        <f>IF(C54="","REG-"&amp;TEXT(COUNTA($C$5:C54),"000"))</f>
        <v/>
      </c>
      <c r="C54" s="15" t="n"/>
      <c r="D54" s="15" t="n"/>
      <c r="E54" s="16" t="n"/>
      <c r="F54" s="17" t="n"/>
      <c r="G54" s="15" t="n"/>
      <c r="H54" s="15" t="n"/>
      <c r="I54" s="36" t="n"/>
      <c r="J54" s="16" t="n"/>
      <c r="K54" s="15" t="n"/>
      <c r="L54" s="15" t="n"/>
    </row>
    <row r="55" ht="22" customHeight="1">
      <c r="B55" s="19">
        <f>IF(C55="","REG-"&amp;TEXT(COUNTA($C$5:C55),"000"))</f>
        <v/>
      </c>
      <c r="C55" s="12" t="n"/>
      <c r="D55" s="12" t="n"/>
      <c r="E55" s="13" t="n"/>
      <c r="F55" s="14" t="n"/>
      <c r="G55" s="12" t="n"/>
      <c r="H55" s="12" t="n"/>
      <c r="I55" s="35" t="n"/>
      <c r="J55" s="13" t="n"/>
      <c r="K55" s="12" t="n"/>
      <c r="L55" s="12" t="n"/>
    </row>
    <row r="56" ht="22" customHeight="1">
      <c r="B56" s="18">
        <f>IF(C56="","REG-"&amp;TEXT(COUNTA($C$5:C56),"000"))</f>
        <v/>
      </c>
      <c r="C56" s="15" t="n"/>
      <c r="D56" s="15" t="n"/>
      <c r="E56" s="16" t="n"/>
      <c r="F56" s="17" t="n"/>
      <c r="G56" s="15" t="n"/>
      <c r="H56" s="15" t="n"/>
      <c r="I56" s="36" t="n"/>
      <c r="J56" s="16" t="n"/>
      <c r="K56" s="15" t="n"/>
      <c r="L56" s="15" t="n"/>
    </row>
    <row r="57" ht="22" customHeight="1">
      <c r="B57" s="19">
        <f>IF(C57="","REG-"&amp;TEXT(COUNTA($C$5:C57),"000"))</f>
        <v/>
      </c>
      <c r="C57" s="12" t="n"/>
      <c r="D57" s="12" t="n"/>
      <c r="E57" s="13" t="n"/>
      <c r="F57" s="14" t="n"/>
      <c r="G57" s="12" t="n"/>
      <c r="H57" s="12" t="n"/>
      <c r="I57" s="35" t="n"/>
      <c r="J57" s="13" t="n"/>
      <c r="K57" s="12" t="n"/>
      <c r="L57" s="12" t="n"/>
    </row>
    <row r="58" ht="22" customHeight="1">
      <c r="B58" s="18">
        <f>IF(C58="","REG-"&amp;TEXT(COUNTA($C$5:C58),"000"))</f>
        <v/>
      </c>
      <c r="C58" s="15" t="n"/>
      <c r="D58" s="15" t="n"/>
      <c r="E58" s="16" t="n"/>
      <c r="F58" s="17" t="n"/>
      <c r="G58" s="15" t="n"/>
      <c r="H58" s="15" t="n"/>
      <c r="I58" s="36" t="n"/>
      <c r="J58" s="16" t="n"/>
      <c r="K58" s="15" t="n"/>
      <c r="L58" s="15" t="n"/>
    </row>
    <row r="59" ht="22" customHeight="1">
      <c r="B59" s="19">
        <f>IF(C59="","REG-"&amp;TEXT(COUNTA($C$5:C59),"000"))</f>
        <v/>
      </c>
      <c r="C59" s="12" t="n"/>
      <c r="D59" s="12" t="n"/>
      <c r="E59" s="13" t="n"/>
      <c r="F59" s="14" t="n"/>
      <c r="G59" s="12" t="n"/>
      <c r="H59" s="12" t="n"/>
      <c r="I59" s="35" t="n"/>
      <c r="J59" s="13" t="n"/>
      <c r="K59" s="12" t="n"/>
      <c r="L59" s="12" t="n"/>
    </row>
    <row r="60" ht="22" customHeight="1">
      <c r="B60" s="18">
        <f>IF(C60="","REG-"&amp;TEXT(COUNTA($C$5:C60),"000"))</f>
        <v/>
      </c>
      <c r="C60" s="15" t="n"/>
      <c r="D60" s="15" t="n"/>
      <c r="E60" s="16" t="n"/>
      <c r="F60" s="17" t="n"/>
      <c r="G60" s="15" t="n"/>
      <c r="H60" s="15" t="n"/>
      <c r="I60" s="36" t="n"/>
      <c r="J60" s="16" t="n"/>
      <c r="K60" s="15" t="n"/>
      <c r="L60" s="15" t="n"/>
    </row>
    <row r="61" ht="22" customHeight="1">
      <c r="B61" s="19">
        <f>IF(C61="","REG-"&amp;TEXT(COUNTA($C$5:C61),"000"))</f>
        <v/>
      </c>
      <c r="C61" s="12" t="n"/>
      <c r="D61" s="12" t="n"/>
      <c r="E61" s="13" t="n"/>
      <c r="F61" s="14" t="n"/>
      <c r="G61" s="12" t="n"/>
      <c r="H61" s="12" t="n"/>
      <c r="I61" s="35" t="n"/>
      <c r="J61" s="13" t="n"/>
      <c r="K61" s="12" t="n"/>
      <c r="L61" s="12" t="n"/>
    </row>
    <row r="62" ht="22" customHeight="1">
      <c r="B62" s="18">
        <f>IF(C62="","REG-"&amp;TEXT(COUNTA($C$5:C62),"000"))</f>
        <v/>
      </c>
      <c r="C62" s="15" t="n"/>
      <c r="D62" s="15" t="n"/>
      <c r="E62" s="16" t="n"/>
      <c r="F62" s="17" t="n"/>
      <c r="G62" s="15" t="n"/>
      <c r="H62" s="15" t="n"/>
      <c r="I62" s="36" t="n"/>
      <c r="J62" s="16" t="n"/>
      <c r="K62" s="15" t="n"/>
      <c r="L62" s="15" t="n"/>
    </row>
    <row r="63" ht="22" customHeight="1">
      <c r="B63" s="19">
        <f>IF(C63="","REG-"&amp;TEXT(COUNTA($C$5:C63),"000"))</f>
        <v/>
      </c>
      <c r="C63" s="12" t="n"/>
      <c r="D63" s="12" t="n"/>
      <c r="E63" s="13" t="n"/>
      <c r="F63" s="14" t="n"/>
      <c r="G63" s="12" t="n"/>
      <c r="H63" s="12" t="n"/>
      <c r="I63" s="35" t="n"/>
      <c r="J63" s="13" t="n"/>
      <c r="K63" s="12" t="n"/>
      <c r="L63" s="12" t="n"/>
    </row>
    <row r="64" ht="22" customHeight="1">
      <c r="B64" s="18">
        <f>IF(C64="","REG-"&amp;TEXT(COUNTA($C$5:C64),"000"))</f>
        <v/>
      </c>
      <c r="C64" s="15" t="n"/>
      <c r="D64" s="15" t="n"/>
      <c r="E64" s="16" t="n"/>
      <c r="F64" s="17" t="n"/>
      <c r="G64" s="15" t="n"/>
      <c r="H64" s="15" t="n"/>
      <c r="I64" s="36" t="n"/>
      <c r="J64" s="16" t="n"/>
      <c r="K64" s="15" t="n"/>
      <c r="L64" s="15" t="n"/>
    </row>
    <row r="65" ht="22" customHeight="1">
      <c r="B65" s="19">
        <f>IF(C65="","REG-"&amp;TEXT(COUNTA($C$5:C65),"000"))</f>
        <v/>
      </c>
      <c r="C65" s="12" t="n"/>
      <c r="D65" s="12" t="n"/>
      <c r="E65" s="13" t="n"/>
      <c r="F65" s="14" t="n"/>
      <c r="G65" s="12" t="n"/>
      <c r="H65" s="12" t="n"/>
      <c r="I65" s="35" t="n"/>
      <c r="J65" s="13" t="n"/>
      <c r="K65" s="12" t="n"/>
      <c r="L65" s="12" t="n"/>
    </row>
    <row r="66" ht="22" customHeight="1">
      <c r="B66" s="18">
        <f>IF(C66="","REG-"&amp;TEXT(COUNTA($C$5:C66),"000"))</f>
        <v/>
      </c>
      <c r="C66" s="15" t="n"/>
      <c r="D66" s="15" t="n"/>
      <c r="E66" s="16" t="n"/>
      <c r="F66" s="17" t="n"/>
      <c r="G66" s="15" t="n"/>
      <c r="H66" s="15" t="n"/>
      <c r="I66" s="36" t="n"/>
      <c r="J66" s="16" t="n"/>
      <c r="K66" s="15" t="n"/>
      <c r="L66" s="15" t="n"/>
    </row>
    <row r="67" ht="22" customHeight="1">
      <c r="B67" s="19">
        <f>IF(C67="","REG-"&amp;TEXT(COUNTA($C$5:C67),"000"))</f>
        <v/>
      </c>
      <c r="C67" s="12" t="n"/>
      <c r="D67" s="12" t="n"/>
      <c r="E67" s="13" t="n"/>
      <c r="F67" s="14" t="n"/>
      <c r="G67" s="12" t="n"/>
      <c r="H67" s="12" t="n"/>
      <c r="I67" s="35" t="n"/>
      <c r="J67" s="13" t="n"/>
      <c r="K67" s="12" t="n"/>
      <c r="L67" s="12" t="n"/>
    </row>
    <row r="68" ht="22" customHeight="1">
      <c r="B68" s="18">
        <f>IF(C68="","REG-"&amp;TEXT(COUNTA($C$5:C68),"000"))</f>
        <v/>
      </c>
      <c r="C68" s="15" t="n"/>
      <c r="D68" s="15" t="n"/>
      <c r="E68" s="16" t="n"/>
      <c r="F68" s="17" t="n"/>
      <c r="G68" s="15" t="n"/>
      <c r="H68" s="15" t="n"/>
      <c r="I68" s="36" t="n"/>
      <c r="J68" s="16" t="n"/>
      <c r="K68" s="15" t="n"/>
      <c r="L68" s="15" t="n"/>
    </row>
    <row r="69" ht="22" customHeight="1">
      <c r="B69" s="19">
        <f>IF(C69="","REG-"&amp;TEXT(COUNTA($C$5:C69),"000"))</f>
        <v/>
      </c>
      <c r="C69" s="12" t="n"/>
      <c r="D69" s="12" t="n"/>
      <c r="E69" s="13" t="n"/>
      <c r="F69" s="14" t="n"/>
      <c r="G69" s="12" t="n"/>
      <c r="H69" s="12" t="n"/>
      <c r="I69" s="35" t="n"/>
      <c r="J69" s="13" t="n"/>
      <c r="K69" s="12" t="n"/>
      <c r="L69" s="12" t="n"/>
    </row>
    <row r="70" ht="22" customHeight="1">
      <c r="B70" s="18">
        <f>IF(C70="","REG-"&amp;TEXT(COUNTA($C$5:C70),"000"))</f>
        <v/>
      </c>
      <c r="C70" s="15" t="n"/>
      <c r="D70" s="15" t="n"/>
      <c r="E70" s="16" t="n"/>
      <c r="F70" s="17" t="n"/>
      <c r="G70" s="15" t="n"/>
      <c r="H70" s="15" t="n"/>
      <c r="I70" s="36" t="n"/>
      <c r="J70" s="16" t="n"/>
      <c r="K70" s="15" t="n"/>
      <c r="L70" s="15" t="n"/>
    </row>
    <row r="71" ht="22" customHeight="1">
      <c r="B71" s="19">
        <f>IF(C71="","REG-"&amp;TEXT(COUNTA($C$5:C71),"000"))</f>
        <v/>
      </c>
      <c r="C71" s="12" t="n"/>
      <c r="D71" s="12" t="n"/>
      <c r="E71" s="13" t="n"/>
      <c r="F71" s="14" t="n"/>
      <c r="G71" s="12" t="n"/>
      <c r="H71" s="12" t="n"/>
      <c r="I71" s="35" t="n"/>
      <c r="J71" s="13" t="n"/>
      <c r="K71" s="12" t="n"/>
      <c r="L71" s="12" t="n"/>
    </row>
    <row r="72" ht="22" customHeight="1">
      <c r="B72" s="18">
        <f>IF(C72="","REG-"&amp;TEXT(COUNTA($C$5:C72),"000"))</f>
        <v/>
      </c>
      <c r="C72" s="15" t="n"/>
      <c r="D72" s="15" t="n"/>
      <c r="E72" s="16" t="n"/>
      <c r="F72" s="17" t="n"/>
      <c r="G72" s="15" t="n"/>
      <c r="H72" s="15" t="n"/>
      <c r="I72" s="36" t="n"/>
      <c r="J72" s="16" t="n"/>
      <c r="K72" s="15" t="n"/>
      <c r="L72" s="15" t="n"/>
    </row>
    <row r="73" ht="22" customHeight="1">
      <c r="B73" s="19">
        <f>IF(C73="","REG-"&amp;TEXT(COUNTA($C$5:C73),"000"))</f>
        <v/>
      </c>
      <c r="C73" s="12" t="n"/>
      <c r="D73" s="12" t="n"/>
      <c r="E73" s="13" t="n"/>
      <c r="F73" s="14" t="n"/>
      <c r="G73" s="12" t="n"/>
      <c r="H73" s="12" t="n"/>
      <c r="I73" s="35" t="n"/>
      <c r="J73" s="13" t="n"/>
      <c r="K73" s="12" t="n"/>
      <c r="L73" s="12" t="n"/>
    </row>
    <row r="74" ht="22" customHeight="1">
      <c r="B74" s="18">
        <f>IF(C74="","REG-"&amp;TEXT(COUNTA($C$5:C74),"000"))</f>
        <v/>
      </c>
      <c r="C74" s="15" t="n"/>
      <c r="D74" s="15" t="n"/>
      <c r="E74" s="16" t="n"/>
      <c r="F74" s="17" t="n"/>
      <c r="G74" s="15" t="n"/>
      <c r="H74" s="15" t="n"/>
      <c r="I74" s="36" t="n"/>
      <c r="J74" s="16" t="n"/>
      <c r="K74" s="15" t="n"/>
      <c r="L74" s="15" t="n"/>
    </row>
    <row r="75" ht="22" customHeight="1">
      <c r="B75" s="19">
        <f>IF(C75="","REG-"&amp;TEXT(COUNTA($C$5:C75),"000"))</f>
        <v/>
      </c>
      <c r="C75" s="12" t="n"/>
      <c r="D75" s="12" t="n"/>
      <c r="E75" s="13" t="n"/>
      <c r="F75" s="14" t="n"/>
      <c r="G75" s="12" t="n"/>
      <c r="H75" s="12" t="n"/>
      <c r="I75" s="35" t="n"/>
      <c r="J75" s="13" t="n"/>
      <c r="K75" s="12" t="n"/>
      <c r="L75" s="12" t="n"/>
    </row>
    <row r="76" ht="22" customHeight="1">
      <c r="B76" s="18">
        <f>IF(C76="","REG-"&amp;TEXT(COUNTA($C$5:C76),"000"))</f>
        <v/>
      </c>
      <c r="C76" s="15" t="n"/>
      <c r="D76" s="15" t="n"/>
      <c r="E76" s="16" t="n"/>
      <c r="F76" s="17" t="n"/>
      <c r="G76" s="15" t="n"/>
      <c r="H76" s="15" t="n"/>
      <c r="I76" s="36" t="n"/>
      <c r="J76" s="16" t="n"/>
      <c r="K76" s="15" t="n"/>
      <c r="L76" s="15" t="n"/>
    </row>
    <row r="77" ht="22" customHeight="1">
      <c r="B77" s="19">
        <f>IF(C77="","REG-"&amp;TEXT(COUNTA($C$5:C77),"000"))</f>
        <v/>
      </c>
      <c r="C77" s="12" t="n"/>
      <c r="D77" s="12" t="n"/>
      <c r="E77" s="13" t="n"/>
      <c r="F77" s="14" t="n"/>
      <c r="G77" s="12" t="n"/>
      <c r="H77" s="12" t="n"/>
      <c r="I77" s="35" t="n"/>
      <c r="J77" s="13" t="n"/>
      <c r="K77" s="12" t="n"/>
      <c r="L77" s="12" t="n"/>
    </row>
    <row r="78" ht="22" customHeight="1">
      <c r="B78" s="18">
        <f>IF(C78="","REG-"&amp;TEXT(COUNTA($C$5:C78),"000"))</f>
        <v/>
      </c>
      <c r="C78" s="15" t="n"/>
      <c r="D78" s="15" t="n"/>
      <c r="E78" s="16" t="n"/>
      <c r="F78" s="17" t="n"/>
      <c r="G78" s="15" t="n"/>
      <c r="H78" s="15" t="n"/>
      <c r="I78" s="36" t="n"/>
      <c r="J78" s="16" t="n"/>
      <c r="K78" s="15" t="n"/>
      <c r="L78" s="15" t="n"/>
    </row>
    <row r="79" ht="22" customHeight="1">
      <c r="B79" s="19">
        <f>IF(C79="","REG-"&amp;TEXT(COUNTA($C$5:C79),"000"))</f>
        <v/>
      </c>
      <c r="C79" s="12" t="n"/>
      <c r="D79" s="12" t="n"/>
      <c r="E79" s="13" t="n"/>
      <c r="F79" s="14" t="n"/>
      <c r="G79" s="12" t="n"/>
      <c r="H79" s="12" t="n"/>
      <c r="I79" s="35" t="n"/>
      <c r="J79" s="13" t="n"/>
      <c r="K79" s="12" t="n"/>
      <c r="L79" s="12" t="n"/>
    </row>
    <row r="80" ht="22" customHeight="1">
      <c r="B80" s="18">
        <f>IF(C80="","REG-"&amp;TEXT(COUNTA($C$5:C80),"000"))</f>
        <v/>
      </c>
      <c r="C80" s="15" t="n"/>
      <c r="D80" s="15" t="n"/>
      <c r="E80" s="16" t="n"/>
      <c r="F80" s="17" t="n"/>
      <c r="G80" s="15" t="n"/>
      <c r="H80" s="15" t="n"/>
      <c r="I80" s="36" t="n"/>
      <c r="J80" s="16" t="n"/>
      <c r="K80" s="15" t="n"/>
      <c r="L80" s="15" t="n"/>
    </row>
    <row r="81" ht="22" customHeight="1">
      <c r="B81" s="19">
        <f>IF(C81="","REG-"&amp;TEXT(COUNTA($C$5:C81),"000"))</f>
        <v/>
      </c>
      <c r="C81" s="12" t="n"/>
      <c r="D81" s="12" t="n"/>
      <c r="E81" s="13" t="n"/>
      <c r="F81" s="14" t="n"/>
      <c r="G81" s="12" t="n"/>
      <c r="H81" s="12" t="n"/>
      <c r="I81" s="35" t="n"/>
      <c r="J81" s="13" t="n"/>
      <c r="K81" s="12" t="n"/>
      <c r="L81" s="12" t="n"/>
    </row>
    <row r="82" ht="22" customHeight="1">
      <c r="B82" s="18">
        <f>IF(C82="","REG-"&amp;TEXT(COUNTA($C$5:C82),"000"))</f>
        <v/>
      </c>
      <c r="C82" s="15" t="n"/>
      <c r="D82" s="15" t="n"/>
      <c r="E82" s="16" t="n"/>
      <c r="F82" s="17" t="n"/>
      <c r="G82" s="15" t="n"/>
      <c r="H82" s="15" t="n"/>
      <c r="I82" s="36" t="n"/>
      <c r="J82" s="16" t="n"/>
      <c r="K82" s="15" t="n"/>
      <c r="L82" s="15" t="n"/>
    </row>
    <row r="83" ht="22" customHeight="1">
      <c r="B83" s="19">
        <f>IF(C83="","REG-"&amp;TEXT(COUNTA($C$5:C83),"000"))</f>
        <v/>
      </c>
      <c r="C83" s="12" t="n"/>
      <c r="D83" s="12" t="n"/>
      <c r="E83" s="13" t="n"/>
      <c r="F83" s="14" t="n"/>
      <c r="G83" s="12" t="n"/>
      <c r="H83" s="12" t="n"/>
      <c r="I83" s="35" t="n"/>
      <c r="J83" s="13" t="n"/>
      <c r="K83" s="12" t="n"/>
      <c r="L83" s="12" t="n"/>
    </row>
    <row r="84" ht="22" customHeight="1">
      <c r="B84" s="18">
        <f>IF(C84="","REG-"&amp;TEXT(COUNTA($C$5:C84),"000"))</f>
        <v/>
      </c>
      <c r="C84" s="15" t="n"/>
      <c r="D84" s="15" t="n"/>
      <c r="E84" s="16" t="n"/>
      <c r="F84" s="17" t="n"/>
      <c r="G84" s="15" t="n"/>
      <c r="H84" s="15" t="n"/>
      <c r="I84" s="36" t="n"/>
      <c r="J84" s="16" t="n"/>
      <c r="K84" s="15" t="n"/>
      <c r="L84" s="15" t="n"/>
    </row>
    <row r="85" ht="22" customHeight="1">
      <c r="B85" s="19">
        <f>IF(C85="","REG-"&amp;TEXT(COUNTA($C$5:C85),"000"))</f>
        <v/>
      </c>
      <c r="C85" s="12" t="n"/>
      <c r="D85" s="12" t="n"/>
      <c r="E85" s="13" t="n"/>
      <c r="F85" s="14" t="n"/>
      <c r="G85" s="12" t="n"/>
      <c r="H85" s="12" t="n"/>
      <c r="I85" s="35" t="n"/>
      <c r="J85" s="13" t="n"/>
      <c r="K85" s="12" t="n"/>
      <c r="L85" s="12" t="n"/>
    </row>
    <row r="86" ht="22" customHeight="1">
      <c r="B86" s="18">
        <f>IF(C86="","REG-"&amp;TEXT(COUNTA($C$5:C86),"000"))</f>
        <v/>
      </c>
      <c r="C86" s="15" t="n"/>
      <c r="D86" s="15" t="n"/>
      <c r="E86" s="16" t="n"/>
      <c r="F86" s="17" t="n"/>
      <c r="G86" s="15" t="n"/>
      <c r="H86" s="15" t="n"/>
      <c r="I86" s="36" t="n"/>
      <c r="J86" s="16" t="n"/>
      <c r="K86" s="15" t="n"/>
      <c r="L86" s="15" t="n"/>
    </row>
    <row r="87" ht="22" customHeight="1">
      <c r="B87" s="19">
        <f>IF(C87="","REG-"&amp;TEXT(COUNTA($C$5:C87),"000"))</f>
        <v/>
      </c>
      <c r="C87" s="12" t="n"/>
      <c r="D87" s="12" t="n"/>
      <c r="E87" s="13" t="n"/>
      <c r="F87" s="14" t="n"/>
      <c r="G87" s="12" t="n"/>
      <c r="H87" s="12" t="n"/>
      <c r="I87" s="35" t="n"/>
      <c r="J87" s="13" t="n"/>
      <c r="K87" s="12" t="n"/>
      <c r="L87" s="12" t="n"/>
    </row>
    <row r="88" ht="22" customHeight="1">
      <c r="B88" s="18">
        <f>IF(C88="","REG-"&amp;TEXT(COUNTA($C$5:C88),"000"))</f>
        <v/>
      </c>
      <c r="C88" s="15" t="n"/>
      <c r="D88" s="15" t="n"/>
      <c r="E88" s="16" t="n"/>
      <c r="F88" s="17" t="n"/>
      <c r="G88" s="15" t="n"/>
      <c r="H88" s="15" t="n"/>
      <c r="I88" s="36" t="n"/>
      <c r="J88" s="16" t="n"/>
      <c r="K88" s="15" t="n"/>
      <c r="L88" s="15" t="n"/>
    </row>
    <row r="89" ht="22" customHeight="1">
      <c r="B89" s="19">
        <f>IF(C89="","REG-"&amp;TEXT(COUNTA($C$5:C89),"000"))</f>
        <v/>
      </c>
      <c r="C89" s="12" t="n"/>
      <c r="D89" s="12" t="n"/>
      <c r="E89" s="13" t="n"/>
      <c r="F89" s="14" t="n"/>
      <c r="G89" s="12" t="n"/>
      <c r="H89" s="12" t="n"/>
      <c r="I89" s="35" t="n"/>
      <c r="J89" s="13" t="n"/>
      <c r="K89" s="12" t="n"/>
      <c r="L89" s="12" t="n"/>
    </row>
    <row r="90" ht="22" customHeight="1">
      <c r="B90" s="18">
        <f>IF(C90="","REG-"&amp;TEXT(COUNTA($C$5:C90),"000"))</f>
        <v/>
      </c>
      <c r="C90" s="15" t="n"/>
      <c r="D90" s="15" t="n"/>
      <c r="E90" s="16" t="n"/>
      <c r="F90" s="17" t="n"/>
      <c r="G90" s="15" t="n"/>
      <c r="H90" s="15" t="n"/>
      <c r="I90" s="36" t="n"/>
      <c r="J90" s="16" t="n"/>
      <c r="K90" s="15" t="n"/>
      <c r="L90" s="15" t="n"/>
    </row>
    <row r="91" ht="22" customHeight="1">
      <c r="B91" s="19">
        <f>IF(C91="","REG-"&amp;TEXT(COUNTA($C$5:C91),"000"))</f>
        <v/>
      </c>
      <c r="C91" s="12" t="n"/>
      <c r="D91" s="12" t="n"/>
      <c r="E91" s="13" t="n"/>
      <c r="F91" s="14" t="n"/>
      <c r="G91" s="12" t="n"/>
      <c r="H91" s="12" t="n"/>
      <c r="I91" s="35" t="n"/>
      <c r="J91" s="13" t="n"/>
      <c r="K91" s="12" t="n"/>
      <c r="L91" s="12" t="n"/>
    </row>
    <row r="92" ht="22" customHeight="1">
      <c r="B92" s="18">
        <f>IF(C92="","REG-"&amp;TEXT(COUNTA($C$5:C92),"000"))</f>
        <v/>
      </c>
      <c r="C92" s="15" t="n"/>
      <c r="D92" s="15" t="n"/>
      <c r="E92" s="16" t="n"/>
      <c r="F92" s="17" t="n"/>
      <c r="G92" s="15" t="n"/>
      <c r="H92" s="15" t="n"/>
      <c r="I92" s="36" t="n"/>
      <c r="J92" s="16" t="n"/>
      <c r="K92" s="15" t="n"/>
      <c r="L92" s="15" t="n"/>
    </row>
    <row r="93" ht="22" customHeight="1">
      <c r="B93" s="19">
        <f>IF(C93="","REG-"&amp;TEXT(COUNTA($C$5:C93),"000"))</f>
        <v/>
      </c>
      <c r="C93" s="12" t="n"/>
      <c r="D93" s="12" t="n"/>
      <c r="E93" s="13" t="n"/>
      <c r="F93" s="14" t="n"/>
      <c r="G93" s="12" t="n"/>
      <c r="H93" s="12" t="n"/>
      <c r="I93" s="35" t="n"/>
      <c r="J93" s="13" t="n"/>
      <c r="K93" s="12" t="n"/>
      <c r="L93" s="12" t="n"/>
    </row>
    <row r="94" ht="22" customHeight="1">
      <c r="B94" s="18">
        <f>IF(C94="","REG-"&amp;TEXT(COUNTA($C$5:C94),"000"))</f>
        <v/>
      </c>
      <c r="C94" s="15" t="n"/>
      <c r="D94" s="15" t="n"/>
      <c r="E94" s="16" t="n"/>
      <c r="F94" s="17" t="n"/>
      <c r="G94" s="15" t="n"/>
      <c r="H94" s="15" t="n"/>
      <c r="I94" s="36" t="n"/>
      <c r="J94" s="16" t="n"/>
      <c r="K94" s="15" t="n"/>
      <c r="L94" s="15" t="n"/>
    </row>
    <row r="95" ht="22" customHeight="1">
      <c r="B95" s="19">
        <f>IF(C95="","REG-"&amp;TEXT(COUNTA($C$5:C95),"000"))</f>
        <v/>
      </c>
      <c r="C95" s="12" t="n"/>
      <c r="D95" s="12" t="n"/>
      <c r="E95" s="13" t="n"/>
      <c r="F95" s="14" t="n"/>
      <c r="G95" s="12" t="n"/>
      <c r="H95" s="12" t="n"/>
      <c r="I95" s="35" t="n"/>
      <c r="J95" s="13" t="n"/>
      <c r="K95" s="12" t="n"/>
      <c r="L95" s="12" t="n"/>
    </row>
    <row r="96" ht="22" customHeight="1">
      <c r="B96" s="18">
        <f>IF(C96="","REG-"&amp;TEXT(COUNTA($C$5:C96),"000"))</f>
        <v/>
      </c>
      <c r="C96" s="15" t="n"/>
      <c r="D96" s="15" t="n"/>
      <c r="E96" s="16" t="n"/>
      <c r="F96" s="17" t="n"/>
      <c r="G96" s="15" t="n"/>
      <c r="H96" s="15" t="n"/>
      <c r="I96" s="36" t="n"/>
      <c r="J96" s="16" t="n"/>
      <c r="K96" s="15" t="n"/>
      <c r="L96" s="15" t="n"/>
    </row>
    <row r="97" ht="22" customHeight="1">
      <c r="B97" s="19">
        <f>IF(C97="","REG-"&amp;TEXT(COUNTA($C$5:C97),"000"))</f>
        <v/>
      </c>
      <c r="C97" s="12" t="n"/>
      <c r="D97" s="12" t="n"/>
      <c r="E97" s="13" t="n"/>
      <c r="F97" s="14" t="n"/>
      <c r="G97" s="12" t="n"/>
      <c r="H97" s="12" t="n"/>
      <c r="I97" s="35" t="n"/>
      <c r="J97" s="13" t="n"/>
      <c r="K97" s="12" t="n"/>
      <c r="L97" s="12" t="n"/>
    </row>
    <row r="98" ht="22" customHeight="1">
      <c r="B98" s="18">
        <f>IF(C98="","REG-"&amp;TEXT(COUNTA($C$5:C98),"000"))</f>
        <v/>
      </c>
      <c r="C98" s="15" t="n"/>
      <c r="D98" s="15" t="n"/>
      <c r="E98" s="16" t="n"/>
      <c r="F98" s="17" t="n"/>
      <c r="G98" s="15" t="n"/>
      <c r="H98" s="15" t="n"/>
      <c r="I98" s="36" t="n"/>
      <c r="J98" s="16" t="n"/>
      <c r="K98" s="15" t="n"/>
      <c r="L98" s="15" t="n"/>
    </row>
    <row r="99" ht="22" customHeight="1">
      <c r="B99" s="19">
        <f>IF(C99="","REG-"&amp;TEXT(COUNTA($C$5:C99),"000"))</f>
        <v/>
      </c>
      <c r="C99" s="12" t="n"/>
      <c r="D99" s="12" t="n"/>
      <c r="E99" s="13" t="n"/>
      <c r="F99" s="14" t="n"/>
      <c r="G99" s="12" t="n"/>
      <c r="H99" s="12" t="n"/>
      <c r="I99" s="35" t="n"/>
      <c r="J99" s="13" t="n"/>
      <c r="K99" s="12" t="n"/>
      <c r="L99" s="12" t="n"/>
    </row>
    <row r="100" ht="22" customHeight="1">
      <c r="B100" s="18">
        <f>IF(C100="","REG-"&amp;TEXT(COUNTA($C$5:C100),"000"))</f>
        <v/>
      </c>
      <c r="C100" s="15" t="n"/>
      <c r="D100" s="15" t="n"/>
      <c r="E100" s="16" t="n"/>
      <c r="F100" s="17" t="n"/>
      <c r="G100" s="15" t="n"/>
      <c r="H100" s="15" t="n"/>
      <c r="I100" s="36" t="n"/>
      <c r="J100" s="16" t="n"/>
      <c r="K100" s="15" t="n"/>
      <c r="L100" s="15" t="n"/>
    </row>
    <row r="101" ht="22" customHeight="1">
      <c r="B101" s="19">
        <f>IF(C101="","REG-"&amp;TEXT(COUNTA($C$5:C101),"000"))</f>
        <v/>
      </c>
      <c r="C101" s="12" t="n"/>
      <c r="D101" s="12" t="n"/>
      <c r="E101" s="13" t="n"/>
      <c r="F101" s="14" t="n"/>
      <c r="G101" s="12" t="n"/>
      <c r="H101" s="12" t="n"/>
      <c r="I101" s="35" t="n"/>
      <c r="J101" s="13" t="n"/>
      <c r="K101" s="12" t="n"/>
      <c r="L101" s="12" t="n"/>
    </row>
    <row r="102" ht="22" customHeight="1">
      <c r="B102" s="18">
        <f>IF(C102="","REG-"&amp;TEXT(COUNTA($C$5:C102),"000"))</f>
        <v/>
      </c>
      <c r="C102" s="15" t="n"/>
      <c r="D102" s="15" t="n"/>
      <c r="E102" s="16" t="n"/>
      <c r="F102" s="17" t="n"/>
      <c r="G102" s="15" t="n"/>
      <c r="H102" s="15" t="n"/>
      <c r="I102" s="36" t="n"/>
      <c r="J102" s="16" t="n"/>
      <c r="K102" s="15" t="n"/>
      <c r="L102" s="15" t="n"/>
    </row>
    <row r="103" ht="22" customHeight="1">
      <c r="B103" s="19">
        <f>IF(C103="","REG-"&amp;TEXT(COUNTA($C$5:C103),"000"))</f>
        <v/>
      </c>
      <c r="C103" s="12" t="n"/>
      <c r="D103" s="12" t="n"/>
      <c r="E103" s="13" t="n"/>
      <c r="F103" s="14" t="n"/>
      <c r="G103" s="12" t="n"/>
      <c r="H103" s="12" t="n"/>
      <c r="I103" s="35" t="n"/>
      <c r="J103" s="13" t="n"/>
      <c r="K103" s="12" t="n"/>
      <c r="L103" s="12" t="n"/>
    </row>
    <row r="104" ht="22" customHeight="1">
      <c r="B104" s="18">
        <f>IF(C104="","REG-"&amp;TEXT(COUNTA($C$5:C104),"000"))</f>
        <v/>
      </c>
      <c r="C104" s="15" t="n"/>
      <c r="D104" s="15" t="n"/>
      <c r="E104" s="16" t="n"/>
      <c r="F104" s="17" t="n"/>
      <c r="G104" s="15" t="n"/>
      <c r="H104" s="15" t="n"/>
      <c r="I104" s="36" t="n"/>
      <c r="J104" s="16" t="n"/>
      <c r="K104" s="15" t="n"/>
      <c r="L104" s="15" t="n"/>
    </row>
    <row r="105" ht="22" customHeight="1">
      <c r="B105" s="19">
        <f>IF(C105="","REG-"&amp;TEXT(COUNTA($C$5:C105),"000"))</f>
        <v/>
      </c>
      <c r="C105" s="12" t="n"/>
      <c r="D105" s="12" t="n"/>
      <c r="E105" s="13" t="n"/>
      <c r="F105" s="14" t="n"/>
      <c r="G105" s="12" t="n"/>
      <c r="H105" s="12" t="n"/>
      <c r="I105" s="35" t="n"/>
      <c r="J105" s="13" t="n"/>
      <c r="K105" s="12" t="n"/>
      <c r="L105" s="12" t="n"/>
    </row>
    <row r="106" ht="22" customHeight="1">
      <c r="B106" s="18">
        <f>IF(C106="","REG-"&amp;TEXT(COUNTA($C$5:C106),"000"))</f>
        <v/>
      </c>
      <c r="C106" s="15" t="n"/>
      <c r="D106" s="15" t="n"/>
      <c r="E106" s="16" t="n"/>
      <c r="F106" s="17" t="n"/>
      <c r="G106" s="15" t="n"/>
      <c r="H106" s="15" t="n"/>
      <c r="I106" s="36" t="n"/>
      <c r="J106" s="16" t="n"/>
      <c r="K106" s="15" t="n"/>
      <c r="L106" s="15" t="n"/>
    </row>
    <row r="107" ht="22" customHeight="1">
      <c r="B107" s="19">
        <f>IF(C107="","REG-"&amp;TEXT(COUNTA($C$5:C107),"000"))</f>
        <v/>
      </c>
      <c r="C107" s="12" t="n"/>
      <c r="D107" s="12" t="n"/>
      <c r="E107" s="13" t="n"/>
      <c r="F107" s="14" t="n"/>
      <c r="G107" s="12" t="n"/>
      <c r="H107" s="12" t="n"/>
      <c r="I107" s="35" t="n"/>
      <c r="J107" s="13" t="n"/>
      <c r="K107" s="12" t="n"/>
      <c r="L107" s="12" t="n"/>
    </row>
    <row r="108" ht="22" customHeight="1">
      <c r="B108" s="18">
        <f>IF(C108="","REG-"&amp;TEXT(COUNTA($C$5:C108),"000"))</f>
        <v/>
      </c>
      <c r="C108" s="15" t="n"/>
      <c r="D108" s="15" t="n"/>
      <c r="E108" s="16" t="n"/>
      <c r="F108" s="17" t="n"/>
      <c r="G108" s="15" t="n"/>
      <c r="H108" s="15" t="n"/>
      <c r="I108" s="36" t="n"/>
      <c r="J108" s="16" t="n"/>
      <c r="K108" s="15" t="n"/>
      <c r="L108" s="15" t="n"/>
    </row>
    <row r="109" ht="22" customHeight="1">
      <c r="B109" s="19">
        <f>IF(C109="","REG-"&amp;TEXT(COUNTA($C$5:C109),"000"))</f>
        <v/>
      </c>
      <c r="C109" s="12" t="n"/>
      <c r="D109" s="12" t="n"/>
      <c r="E109" s="13" t="n"/>
      <c r="F109" s="14" t="n"/>
      <c r="G109" s="12" t="n"/>
      <c r="H109" s="12" t="n"/>
      <c r="I109" s="35" t="n"/>
      <c r="J109" s="13" t="n"/>
      <c r="K109" s="12" t="n"/>
      <c r="L109" s="12" t="n"/>
    </row>
    <row r="110" ht="22" customHeight="1">
      <c r="B110" s="18">
        <f>IF(C110="","REG-"&amp;TEXT(COUNTA($C$5:C110),"000"))</f>
        <v/>
      </c>
      <c r="C110" s="15" t="n"/>
      <c r="D110" s="15" t="n"/>
      <c r="E110" s="16" t="n"/>
      <c r="F110" s="17" t="n"/>
      <c r="G110" s="15" t="n"/>
      <c r="H110" s="15" t="n"/>
      <c r="I110" s="36" t="n"/>
      <c r="J110" s="16" t="n"/>
      <c r="K110" s="15" t="n"/>
      <c r="L110" s="15" t="n"/>
    </row>
    <row r="111" ht="22" customHeight="1">
      <c r="B111" s="19">
        <f>IF(C111="","REG-"&amp;TEXT(COUNTA($C$5:C111),"000"))</f>
        <v/>
      </c>
      <c r="C111" s="12" t="n"/>
      <c r="D111" s="12" t="n"/>
      <c r="E111" s="13" t="n"/>
      <c r="F111" s="14" t="n"/>
      <c r="G111" s="12" t="n"/>
      <c r="H111" s="12" t="n"/>
      <c r="I111" s="35" t="n"/>
      <c r="J111" s="13" t="n"/>
      <c r="K111" s="12" t="n"/>
      <c r="L111" s="12" t="n"/>
    </row>
    <row r="112" ht="22" customHeight="1">
      <c r="B112" s="18">
        <f>IF(C112="","REG-"&amp;TEXT(COUNTA($C$5:C112),"000"))</f>
        <v/>
      </c>
      <c r="C112" s="15" t="n"/>
      <c r="D112" s="15" t="n"/>
      <c r="E112" s="16" t="n"/>
      <c r="F112" s="17" t="n"/>
      <c r="G112" s="15" t="n"/>
      <c r="H112" s="15" t="n"/>
      <c r="I112" s="36" t="n"/>
      <c r="J112" s="16" t="n"/>
      <c r="K112" s="15" t="n"/>
      <c r="L112" s="15" t="n"/>
    </row>
    <row r="114" ht="26" customHeight="1">
      <c r="B114" s="24" t="inlineStr">
        <is>
          <t>TOTAL</t>
        </is>
      </c>
      <c r="C114" s="25" t="n"/>
      <c r="D114" s="25" t="n"/>
      <c r="E114" s="25" t="n"/>
      <c r="F114" s="25" t="n"/>
      <c r="G114" s="25" t="n"/>
      <c r="H114" s="25" t="n"/>
      <c r="I114" s="25" t="n"/>
      <c r="J114" s="26">
        <f>SUM(J5:J104)</f>
        <v/>
      </c>
      <c r="K114" s="25" t="n"/>
      <c r="L114" s="25" t="n"/>
    </row>
    <row r="116">
      <c r="B116" s="6" t="inlineStr">
        <is>
          <t>INDICATEURS (mis a jour automatiquement)</t>
        </is>
      </c>
    </row>
    <row r="117">
      <c r="B117" s="3" t="inlineStr">
        <is>
          <t>Regimes configures</t>
        </is>
      </c>
      <c r="D117" s="3" t="inlineStr">
        <is>
          <t>Total postes couverts</t>
        </is>
      </c>
      <c r="F117" s="3" t="inlineStr">
        <is>
          <t>Regimes actifs</t>
        </is>
      </c>
      <c r="H117" s="3" t="inlineStr">
        <is>
          <t>Temps partiel</t>
        </is>
      </c>
    </row>
    <row r="118">
      <c r="B118" s="4">
        <f>COUNTIF(B5:B104,"&lt;&gt;")</f>
        <v/>
      </c>
      <c r="D118" s="4">
        <f>SUM(J5:J104)</f>
        <v/>
      </c>
      <c r="F118" s="4">
        <f>COUNTIF(L5:L104,"Actif")</f>
        <v/>
      </c>
      <c r="H118" s="4">
        <f>COUNTIF(D5:D104,"Temps partiel 20h")+COUNTIF(D5:D104,"Temps partiel 25h")+COUNTIF(D5:D104,"Temps partiel 30h")</f>
        <v/>
      </c>
    </row>
  </sheetData>
  <mergeCells count="3">
    <mergeCell ref="B2:L2"/>
    <mergeCell ref="B116:L116"/>
    <mergeCell ref="B3:L3"/>
  </mergeCells>
  <conditionalFormatting sqref="L5:L112">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3:B112">
    <cfRule type="expression" priority="48" dxfId="3">
      <formula>AND($C13="",$C12&lt;&gt;"")</formula>
    </cfRule>
  </conditionalFormatting>
  <conditionalFormatting sqref="C13:C112">
    <cfRule type="expression" priority="49" dxfId="3">
      <formula>AND($C13="",$C12&lt;&gt;"")</formula>
    </cfRule>
  </conditionalFormatting>
  <conditionalFormatting sqref="D13:D112">
    <cfRule type="expression" priority="50" dxfId="3">
      <formula>AND($C13="",$C12&lt;&gt;"")</formula>
    </cfRule>
  </conditionalFormatting>
  <conditionalFormatting sqref="E13:E112">
    <cfRule type="expression" priority="51" dxfId="3">
      <formula>AND($C13="",$C12&lt;&gt;"")</formula>
    </cfRule>
  </conditionalFormatting>
  <conditionalFormatting sqref="F13:F112">
    <cfRule type="expression" priority="52" dxfId="3">
      <formula>AND($C13="",$C12&lt;&gt;"")</formula>
    </cfRule>
  </conditionalFormatting>
  <conditionalFormatting sqref="G13:G112">
    <cfRule type="expression" priority="53" dxfId="3">
      <formula>AND($C13="",$C12&lt;&gt;"")</formula>
    </cfRule>
  </conditionalFormatting>
  <conditionalFormatting sqref="H13:H112">
    <cfRule type="expression" priority="54" dxfId="3">
      <formula>AND($C13="",$C12&lt;&gt;"")</formula>
    </cfRule>
  </conditionalFormatting>
  <conditionalFormatting sqref="I13:I112">
    <cfRule type="expression" priority="55" dxfId="3">
      <formula>AND($C13="",$C12&lt;&gt;"")</formula>
    </cfRule>
  </conditionalFormatting>
  <conditionalFormatting sqref="J13:J112">
    <cfRule type="expression" priority="56" dxfId="3">
      <formula>AND($C13="",$C12&lt;&gt;"")</formula>
    </cfRule>
  </conditionalFormatting>
  <conditionalFormatting sqref="K13:K112">
    <cfRule type="expression" priority="57" dxfId="3">
      <formula>AND($C13="",$C12&lt;&gt;"")</formula>
    </cfRule>
  </conditionalFormatting>
  <conditionalFormatting sqref="L13:L112">
    <cfRule type="expression" priority="58" dxfId="3">
      <formula>AND($C13="",$C12&lt;&gt;"")</formula>
    </cfRule>
  </conditionalFormatting>
  <dataValidations count="2">
    <dataValidation sqref="D5:D112" showDropDown="0" showInputMessage="0" showErrorMessage="0" allowBlank="1" errorTitle="Erreur" error="Valeur invalide" promptTitle="Liste" prompt="Choisir dans la liste" type="list">
      <formula1>'_Lists'!$R$2:$R$11</formula1>
    </dataValidation>
    <dataValidation sqref="L5:L112" showDropDown="0" showInputMessage="0" showErrorMessage="0" allowBlank="1" errorTitle="Erreur" error="Valeur invalide" promptTitle="Liste" prompt="Choisir dans la liste" type="list">
      <formula1>'_Lists'!$S$2:$S$4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16" customWidth="1" min="3" max="3"/>
    <col width="20" customWidth="1" min="4" max="4"/>
    <col width="18" customWidth="1" min="5" max="5"/>
    <col width="14" customWidth="1" min="6" max="6"/>
    <col width="22" customWidth="1" min="7" max="7"/>
    <col width="30" customWidth="1" min="8" max="8"/>
    <col width="14" customWidth="1" min="9" max="9"/>
    <col width="16" customWidth="1" min="10" max="10"/>
    <col width="28" customWidth="1" min="11" max="11"/>
    <col width="14" customWidth="1" min="12" max="12"/>
    <col width="14" customWidth="1" min="13" max="13"/>
  </cols>
  <sheetData>
    <row r="1" ht="15" customHeight="1"/>
    <row r="2" ht="32" customHeight="1">
      <c r="B2" s="1" t="inlineStr">
        <is>
          <t>ECARTS DE POINTAGE — ANOMALIES DETECTEES</t>
        </is>
      </c>
    </row>
    <row r="3" ht="8" customHeight="1">
      <c r="B3" s="2" t="inlineStr">
        <is>
          <t>TABLEAU DYNAMIQUE — Saisissez dans la prochaine ligne jaune. Les calculs se mettent a jour automatiquement.</t>
        </is>
      </c>
    </row>
    <row r="4" ht="28" customHeight="1">
      <c r="B4" s="11" t="inlineStr">
        <is>
          <t>N° Ecart</t>
        </is>
      </c>
      <c r="C4" s="11" t="inlineStr">
        <is>
          <t>Matricule</t>
        </is>
      </c>
      <c r="D4" s="11" t="inlineStr">
        <is>
          <t>Nom Employe</t>
        </is>
      </c>
      <c r="E4" s="11" t="inlineStr">
        <is>
          <t>Departement</t>
        </is>
      </c>
      <c r="F4" s="11" t="inlineStr">
        <is>
          <t>Date</t>
        </is>
      </c>
      <c r="G4" s="11" t="inlineStr">
        <is>
          <t>Type Ecart</t>
        </is>
      </c>
      <c r="H4" s="11" t="inlineStr">
        <is>
          <t>Description</t>
        </is>
      </c>
      <c r="I4" s="11" t="inlineStr">
        <is>
          <t>Heure Constatee</t>
        </is>
      </c>
      <c r="J4" s="11" t="inlineStr">
        <is>
          <t>Duree Ecart (min)</t>
        </is>
      </c>
      <c r="K4" s="11" t="inlineStr">
        <is>
          <t>Justification</t>
        </is>
      </c>
      <c r="L4" s="11" t="inlineStr">
        <is>
          <t>Date Traitement</t>
        </is>
      </c>
      <c r="M4" s="11" t="inlineStr">
        <is>
          <t>Statut</t>
        </is>
      </c>
    </row>
    <row r="5" ht="22" customHeight="1">
      <c r="B5" s="12" t="inlineStr">
        <is>
          <t>EC-001</t>
        </is>
      </c>
      <c r="C5" s="12" t="inlineStr">
        <is>
          <t>EMP-005</t>
        </is>
      </c>
      <c r="D5" s="12">
        <f>IF(C5="","",IFERROR(VLOOKUP(C5,'_Données Employés'!$B$5:$H$18,3,FALSE)&amp;" "&amp;VLOOKUP(C5,'_Données Employés'!$B$5:$H$18,4,FALSE),""))</f>
        <v/>
      </c>
      <c r="E5" s="12">
        <f>IF(C5="","",IFERROR(VLOOKUP(C5,'_Données Employés'!$B$5:$H$18,5,FALSE),""))</f>
        <v/>
      </c>
      <c r="F5" s="33" t="n">
        <v>45810</v>
      </c>
      <c r="G5" s="12" t="inlineStr">
        <is>
          <t>Absence non justifiee</t>
        </is>
      </c>
      <c r="H5" s="12" t="inlineStr">
        <is>
          <t>Aucun badgeage constate</t>
        </is>
      </c>
      <c r="I5" s="12" t="inlineStr">
        <is>
          <t>08h00</t>
        </is>
      </c>
      <c r="J5" s="13" t="n">
        <v>480</v>
      </c>
      <c r="K5" s="12" t="inlineStr"/>
      <c r="L5" s="33" t="n"/>
      <c r="M5" s="12" t="inlineStr">
        <is>
          <t>En attente</t>
        </is>
      </c>
    </row>
    <row r="6" ht="22" customHeight="1">
      <c r="B6" s="15" t="inlineStr">
        <is>
          <t>EC-002</t>
        </is>
      </c>
      <c r="C6" s="15" t="inlineStr">
        <is>
          <t>EMP-002</t>
        </is>
      </c>
      <c r="D6" s="15">
        <f>IF(C6="","",IFERROR(VLOOKUP(C6,'_Données Employés'!$B$5:$H$18,3,FALSE)&amp;" "&amp;VLOOKUP(C6,'_Données Employés'!$B$5:$H$18,4,FALSE),""))</f>
        <v/>
      </c>
      <c r="E6" s="15">
        <f>IF(C6="","",IFERROR(VLOOKUP(C6,'_Données Employés'!$B$5:$H$18,5,FALSE),""))</f>
        <v/>
      </c>
      <c r="F6" s="34" t="n">
        <v>45810</v>
      </c>
      <c r="G6" s="15" t="inlineStr">
        <is>
          <t>Retard arrivee</t>
        </is>
      </c>
      <c r="H6" s="15" t="inlineStr">
        <is>
          <t>Arrivee a 08h15 au lieu de 08h00</t>
        </is>
      </c>
      <c r="I6" s="15" t="inlineStr">
        <is>
          <t>08h15</t>
        </is>
      </c>
      <c r="J6" s="16" t="n">
        <v>15</v>
      </c>
      <c r="K6" s="15" t="inlineStr">
        <is>
          <t>Retard transport</t>
        </is>
      </c>
      <c r="L6" s="34" t="n">
        <v>45811</v>
      </c>
      <c r="M6" s="15" t="inlineStr">
        <is>
          <t>Justifie</t>
        </is>
      </c>
    </row>
    <row r="7" ht="22" customHeight="1">
      <c r="B7" s="12" t="inlineStr">
        <is>
          <t>EC-003</t>
        </is>
      </c>
      <c r="C7" s="12" t="inlineStr">
        <is>
          <t>EMP-003</t>
        </is>
      </c>
      <c r="D7" s="12">
        <f>IF(C7="","",IFERROR(VLOOKUP(C7,'_Données Employés'!$B$5:$H$18,3,FALSE)&amp;" "&amp;VLOOKUP(C7,'_Données Employés'!$B$5:$H$18,4,FALSE),""))</f>
        <v/>
      </c>
      <c r="E7" s="12">
        <f>IF(C7="","",IFERROR(VLOOKUP(C7,'_Données Employés'!$B$5:$H$18,5,FALSE),""))</f>
        <v/>
      </c>
      <c r="F7" s="33" t="n">
        <v>45812</v>
      </c>
      <c r="G7" s="12" t="inlineStr">
        <is>
          <t>Depart anticipe</t>
        </is>
      </c>
      <c r="H7" s="12" t="inlineStr">
        <is>
          <t>Depart a 16h00 pour rdv medical</t>
        </is>
      </c>
      <c r="I7" s="12" t="inlineStr">
        <is>
          <t>16h00</t>
        </is>
      </c>
      <c r="J7" s="13" t="n">
        <v>60</v>
      </c>
      <c r="K7" s="12" t="inlineStr">
        <is>
          <t>Certificat medical fourni</t>
        </is>
      </c>
      <c r="L7" s="33" t="n">
        <v>45813</v>
      </c>
      <c r="M7" s="12" t="inlineStr">
        <is>
          <t>Traite</t>
        </is>
      </c>
    </row>
    <row r="8" ht="22" customHeight="1">
      <c r="B8" s="15" t="inlineStr">
        <is>
          <t>EC-004</t>
        </is>
      </c>
      <c r="C8" s="15" t="inlineStr">
        <is>
          <t>EMP-004</t>
        </is>
      </c>
      <c r="D8" s="15">
        <f>IF(C8="","",IFERROR(VLOOKUP(C8,'_Données Employés'!$B$5:$H$18,3,FALSE)&amp;" "&amp;VLOOKUP(C8,'_Données Employés'!$B$5:$H$18,4,FALSE),""))</f>
        <v/>
      </c>
      <c r="E8" s="15">
        <f>IF(C8="","",IFERROR(VLOOKUP(C8,'_Données Employés'!$B$5:$H$18,5,FALSE),""))</f>
        <v/>
      </c>
      <c r="F8" s="34" t="n">
        <v>45815</v>
      </c>
      <c r="G8" s="15" t="inlineStr">
        <is>
          <t>Heure supp non validee</t>
        </is>
      </c>
      <c r="H8" s="15" t="inlineStr">
        <is>
          <t>Heures week-end non autorisees par N+1</t>
        </is>
      </c>
      <c r="I8" s="15" t="inlineStr">
        <is>
          <t>08h00</t>
        </is>
      </c>
      <c r="J8" s="16" t="n">
        <v>480</v>
      </c>
      <c r="K8" s="15" t="inlineStr">
        <is>
          <t>Autorisation a posteriori</t>
        </is>
      </c>
      <c r="L8" s="34" t="n"/>
      <c r="M8" s="15" t="inlineStr">
        <is>
          <t>En attente</t>
        </is>
      </c>
    </row>
    <row r="9" ht="22" customHeight="1">
      <c r="B9" s="12" t="inlineStr">
        <is>
          <t>EC-005</t>
        </is>
      </c>
      <c r="C9" s="12" t="inlineStr">
        <is>
          <t>EMP-001</t>
        </is>
      </c>
      <c r="D9" s="12">
        <f>IF(C9="","",IFERROR(VLOOKUP(C9,'_Données Employés'!$B$5:$H$18,3,FALSE)&amp;" "&amp;VLOOKUP(C9,'_Données Employés'!$B$5:$H$18,4,FALSE),""))</f>
        <v/>
      </c>
      <c r="E9" s="12">
        <f>IF(C9="","",IFERROR(VLOOKUP(C9,'_Données Employés'!$B$5:$H$18,5,FALSE),""))</f>
        <v/>
      </c>
      <c r="F9" s="33" t="n">
        <v>45817</v>
      </c>
      <c r="G9" s="12" t="inlineStr">
        <is>
          <t>Oubli badgeage</t>
        </is>
      </c>
      <c r="H9" s="12" t="inlineStr">
        <is>
          <t>Badgeage matin et midi manquants</t>
        </is>
      </c>
      <c r="I9" s="12" t="inlineStr">
        <is>
          <t>08h00</t>
        </is>
      </c>
      <c r="J9" s="13" t="n">
        <v>540</v>
      </c>
      <c r="K9" s="12" t="inlineStr">
        <is>
          <t>Pointage manuel confirme par N+1</t>
        </is>
      </c>
      <c r="L9" s="33" t="n">
        <v>45818</v>
      </c>
      <c r="M9" s="12" t="inlineStr">
        <is>
          <t>Traite</t>
        </is>
      </c>
    </row>
    <row r="10" ht="22" customHeight="1">
      <c r="B10" s="18">
        <f>IF(C10="","EC-"&amp;TEXT(COUNTA($C$5:C10),"000"))</f>
        <v/>
      </c>
      <c r="C10" s="15" t="n"/>
      <c r="D10" s="15" t="n"/>
      <c r="E10" s="15" t="n"/>
      <c r="F10" s="34" t="n"/>
      <c r="G10" s="15" t="n"/>
      <c r="H10" s="15" t="n"/>
      <c r="I10" s="15" t="n"/>
      <c r="J10" s="16" t="n"/>
      <c r="K10" s="15" t="n"/>
      <c r="L10" s="34" t="n"/>
      <c r="M10" s="15" t="n"/>
    </row>
    <row r="11" ht="22" customHeight="1">
      <c r="B11" s="19">
        <f>IF(C11="","EC-"&amp;TEXT(COUNTA($C$5:C11),"000"))</f>
        <v/>
      </c>
      <c r="C11" s="12" t="n"/>
      <c r="D11" s="12" t="n"/>
      <c r="E11" s="12" t="n"/>
      <c r="F11" s="33" t="n"/>
      <c r="G11" s="12" t="n"/>
      <c r="H11" s="12" t="n"/>
      <c r="I11" s="12" t="n"/>
      <c r="J11" s="13" t="n"/>
      <c r="K11" s="12" t="n"/>
      <c r="L11" s="33" t="n"/>
      <c r="M11" s="12" t="n"/>
    </row>
    <row r="12" ht="22" customHeight="1">
      <c r="B12" s="18">
        <f>IF(C12="","EC-"&amp;TEXT(COUNTA($C$5:C12),"000"))</f>
        <v/>
      </c>
      <c r="C12" s="15" t="n"/>
      <c r="D12" s="15" t="n"/>
      <c r="E12" s="15" t="n"/>
      <c r="F12" s="34" t="n"/>
      <c r="G12" s="15" t="n"/>
      <c r="H12" s="15" t="n"/>
      <c r="I12" s="15" t="n"/>
      <c r="J12" s="16" t="n"/>
      <c r="K12" s="15" t="n"/>
      <c r="L12" s="34" t="n"/>
      <c r="M12" s="15" t="n"/>
    </row>
    <row r="13" ht="22" customHeight="1">
      <c r="B13" s="19">
        <f>IF(C13="","EC-"&amp;TEXT(COUNTA($C$5:C13),"000"))</f>
        <v/>
      </c>
      <c r="C13" s="12" t="n"/>
      <c r="D13" s="12" t="n"/>
      <c r="E13" s="12" t="n"/>
      <c r="F13" s="33" t="n"/>
      <c r="G13" s="12" t="n"/>
      <c r="H13" s="12" t="n"/>
      <c r="I13" s="12" t="n"/>
      <c r="J13" s="13" t="n"/>
      <c r="K13" s="12" t="n"/>
      <c r="L13" s="33" t="n"/>
      <c r="M13" s="12" t="n"/>
    </row>
    <row r="14" ht="22" customHeight="1">
      <c r="B14" s="18">
        <f>IF(C14="","EC-"&amp;TEXT(COUNTA($C$5:C14),"000"))</f>
        <v/>
      </c>
      <c r="C14" s="15" t="n"/>
      <c r="D14" s="15" t="n"/>
      <c r="E14" s="15" t="n"/>
      <c r="F14" s="34" t="n"/>
      <c r="G14" s="15" t="n"/>
      <c r="H14" s="15" t="n"/>
      <c r="I14" s="15" t="n"/>
      <c r="J14" s="16" t="n"/>
      <c r="K14" s="15" t="n"/>
      <c r="L14" s="34" t="n"/>
      <c r="M14" s="15" t="n"/>
    </row>
    <row r="15" ht="22" customHeight="1">
      <c r="B15" s="19">
        <f>IF(C15="","EC-"&amp;TEXT(COUNTA($C$5:C15),"000"))</f>
        <v/>
      </c>
      <c r="C15" s="12" t="n"/>
      <c r="D15" s="12" t="n"/>
      <c r="E15" s="12" t="n"/>
      <c r="F15" s="33" t="n"/>
      <c r="G15" s="12" t="n"/>
      <c r="H15" s="12" t="n"/>
      <c r="I15" s="12" t="n"/>
      <c r="J15" s="13" t="n"/>
      <c r="K15" s="12" t="n"/>
      <c r="L15" s="33" t="n"/>
      <c r="M15" s="12" t="n"/>
    </row>
    <row r="16" ht="22" customHeight="1">
      <c r="B16" s="18">
        <f>IF(C16="","EC-"&amp;TEXT(COUNTA($C$5:C16),"000"))</f>
        <v/>
      </c>
      <c r="C16" s="15" t="n"/>
      <c r="D16" s="15" t="n"/>
      <c r="E16" s="15" t="n"/>
      <c r="F16" s="34" t="n"/>
      <c r="G16" s="15" t="n"/>
      <c r="H16" s="15" t="n"/>
      <c r="I16" s="15" t="n"/>
      <c r="J16" s="16" t="n"/>
      <c r="K16" s="15" t="n"/>
      <c r="L16" s="34" t="n"/>
      <c r="M16" s="15" t="n"/>
    </row>
    <row r="17" ht="22" customHeight="1">
      <c r="B17" s="19">
        <f>IF(C17="","EC-"&amp;TEXT(COUNTA($C$5:C17),"000"))</f>
        <v/>
      </c>
      <c r="C17" s="12" t="n"/>
      <c r="D17" s="12" t="n"/>
      <c r="E17" s="12" t="n"/>
      <c r="F17" s="33" t="n"/>
      <c r="G17" s="12" t="n"/>
      <c r="H17" s="12" t="n"/>
      <c r="I17" s="12" t="n"/>
      <c r="J17" s="13" t="n"/>
      <c r="K17" s="12" t="n"/>
      <c r="L17" s="33" t="n"/>
      <c r="M17" s="12" t="n"/>
    </row>
    <row r="18" ht="22" customHeight="1">
      <c r="B18" s="18">
        <f>IF(C18="","EC-"&amp;TEXT(COUNTA($C$5:C18),"000"))</f>
        <v/>
      </c>
      <c r="C18" s="15" t="n"/>
      <c r="D18" s="15" t="n"/>
      <c r="E18" s="15" t="n"/>
      <c r="F18" s="34" t="n"/>
      <c r="G18" s="15" t="n"/>
      <c r="H18" s="15" t="n"/>
      <c r="I18" s="15" t="n"/>
      <c r="J18" s="16" t="n"/>
      <c r="K18" s="15" t="n"/>
      <c r="L18" s="34" t="n"/>
      <c r="M18" s="15" t="n"/>
    </row>
    <row r="19" ht="22" customHeight="1">
      <c r="B19" s="19">
        <f>IF(C19="","EC-"&amp;TEXT(COUNTA($C$5:C19),"000"))</f>
        <v/>
      </c>
      <c r="C19" s="12" t="n"/>
      <c r="D19" s="12" t="n"/>
      <c r="E19" s="12" t="n"/>
      <c r="F19" s="33" t="n"/>
      <c r="G19" s="12" t="n"/>
      <c r="H19" s="12" t="n"/>
      <c r="I19" s="12" t="n"/>
      <c r="J19" s="13" t="n"/>
      <c r="K19" s="12" t="n"/>
      <c r="L19" s="33" t="n"/>
      <c r="M19" s="12" t="n"/>
    </row>
    <row r="20" ht="22" customHeight="1">
      <c r="B20" s="18">
        <f>IF(C20="","EC-"&amp;TEXT(COUNTA($C$5:C20),"000"))</f>
        <v/>
      </c>
      <c r="C20" s="15" t="n"/>
      <c r="D20" s="15" t="n"/>
      <c r="E20" s="15" t="n"/>
      <c r="F20" s="34" t="n"/>
      <c r="G20" s="15" t="n"/>
      <c r="H20" s="15" t="n"/>
      <c r="I20" s="15" t="n"/>
      <c r="J20" s="16" t="n"/>
      <c r="K20" s="15" t="n"/>
      <c r="L20" s="34" t="n"/>
      <c r="M20" s="15" t="n"/>
    </row>
    <row r="21" ht="22" customHeight="1">
      <c r="B21" s="19">
        <f>IF(C21="","EC-"&amp;TEXT(COUNTA($C$5:C21),"000"))</f>
        <v/>
      </c>
      <c r="C21" s="12" t="n"/>
      <c r="D21" s="12" t="n"/>
      <c r="E21" s="12" t="n"/>
      <c r="F21" s="33" t="n"/>
      <c r="G21" s="12" t="n"/>
      <c r="H21" s="12" t="n"/>
      <c r="I21" s="12" t="n"/>
      <c r="J21" s="13" t="n"/>
      <c r="K21" s="12" t="n"/>
      <c r="L21" s="33" t="n"/>
      <c r="M21" s="12" t="n"/>
    </row>
    <row r="22" ht="22" customHeight="1">
      <c r="B22" s="18">
        <f>IF(C22="","EC-"&amp;TEXT(COUNTA($C$5:C22),"000"))</f>
        <v/>
      </c>
      <c r="C22" s="15" t="n"/>
      <c r="D22" s="15" t="n"/>
      <c r="E22" s="15" t="n"/>
      <c r="F22" s="34" t="n"/>
      <c r="G22" s="15" t="n"/>
      <c r="H22" s="15" t="n"/>
      <c r="I22" s="15" t="n"/>
      <c r="J22" s="16" t="n"/>
      <c r="K22" s="15" t="n"/>
      <c r="L22" s="34" t="n"/>
      <c r="M22" s="15" t="n"/>
    </row>
    <row r="23" ht="22" customHeight="1">
      <c r="B23" s="19">
        <f>IF(C23="","EC-"&amp;TEXT(COUNTA($C$5:C23),"000"))</f>
        <v/>
      </c>
      <c r="C23" s="12" t="n"/>
      <c r="D23" s="12" t="n"/>
      <c r="E23" s="12" t="n"/>
      <c r="F23" s="33" t="n"/>
      <c r="G23" s="12" t="n"/>
      <c r="H23" s="12" t="n"/>
      <c r="I23" s="12" t="n"/>
      <c r="J23" s="13" t="n"/>
      <c r="K23" s="12" t="n"/>
      <c r="L23" s="33" t="n"/>
      <c r="M23" s="12" t="n"/>
    </row>
    <row r="24" ht="22" customHeight="1">
      <c r="B24" s="18">
        <f>IF(C24="","EC-"&amp;TEXT(COUNTA($C$5:C24),"000"))</f>
        <v/>
      </c>
      <c r="C24" s="15" t="n"/>
      <c r="D24" s="15" t="n"/>
      <c r="E24" s="15" t="n"/>
      <c r="F24" s="34" t="n"/>
      <c r="G24" s="15" t="n"/>
      <c r="H24" s="15" t="n"/>
      <c r="I24" s="15" t="n"/>
      <c r="J24" s="16" t="n"/>
      <c r="K24" s="15" t="n"/>
      <c r="L24" s="34" t="n"/>
      <c r="M24" s="15" t="n"/>
    </row>
    <row r="25" ht="22" customHeight="1">
      <c r="B25" s="19">
        <f>IF(C25="","EC-"&amp;TEXT(COUNTA($C$5:C25),"000"))</f>
        <v/>
      </c>
      <c r="C25" s="12" t="n"/>
      <c r="D25" s="12" t="n"/>
      <c r="E25" s="12" t="n"/>
      <c r="F25" s="33" t="n"/>
      <c r="G25" s="12" t="n"/>
      <c r="H25" s="12" t="n"/>
      <c r="I25" s="12" t="n"/>
      <c r="J25" s="13" t="n"/>
      <c r="K25" s="12" t="n"/>
      <c r="L25" s="33" t="n"/>
      <c r="M25" s="12" t="n"/>
    </row>
    <row r="26" ht="22" customHeight="1">
      <c r="B26" s="18">
        <f>IF(C26="","EC-"&amp;TEXT(COUNTA($C$5:C26),"000"))</f>
        <v/>
      </c>
      <c r="C26" s="15" t="n"/>
      <c r="D26" s="15" t="n"/>
      <c r="E26" s="15" t="n"/>
      <c r="F26" s="34" t="n"/>
      <c r="G26" s="15" t="n"/>
      <c r="H26" s="15" t="n"/>
      <c r="I26" s="15" t="n"/>
      <c r="J26" s="16" t="n"/>
      <c r="K26" s="15" t="n"/>
      <c r="L26" s="34" t="n"/>
      <c r="M26" s="15" t="n"/>
    </row>
    <row r="27" ht="22" customHeight="1">
      <c r="B27" s="19">
        <f>IF(C27="","EC-"&amp;TEXT(COUNTA($C$5:C27),"000"))</f>
        <v/>
      </c>
      <c r="C27" s="12" t="n"/>
      <c r="D27" s="12" t="n"/>
      <c r="E27" s="12" t="n"/>
      <c r="F27" s="33" t="n"/>
      <c r="G27" s="12" t="n"/>
      <c r="H27" s="12" t="n"/>
      <c r="I27" s="12" t="n"/>
      <c r="J27" s="13" t="n"/>
      <c r="K27" s="12" t="n"/>
      <c r="L27" s="33" t="n"/>
      <c r="M27" s="12" t="n"/>
    </row>
    <row r="28" ht="22" customHeight="1">
      <c r="B28" s="18">
        <f>IF(C28="","EC-"&amp;TEXT(COUNTA($C$5:C28),"000"))</f>
        <v/>
      </c>
      <c r="C28" s="15" t="n"/>
      <c r="D28" s="15" t="n"/>
      <c r="E28" s="15" t="n"/>
      <c r="F28" s="34" t="n"/>
      <c r="G28" s="15" t="n"/>
      <c r="H28" s="15" t="n"/>
      <c r="I28" s="15" t="n"/>
      <c r="J28" s="16" t="n"/>
      <c r="K28" s="15" t="n"/>
      <c r="L28" s="34" t="n"/>
      <c r="M28" s="15" t="n"/>
    </row>
    <row r="29" ht="22" customHeight="1">
      <c r="B29" s="19">
        <f>IF(C29="","EC-"&amp;TEXT(COUNTA($C$5:C29),"000"))</f>
        <v/>
      </c>
      <c r="C29" s="12" t="n"/>
      <c r="D29" s="12" t="n"/>
      <c r="E29" s="12" t="n"/>
      <c r="F29" s="33" t="n"/>
      <c r="G29" s="12" t="n"/>
      <c r="H29" s="12" t="n"/>
      <c r="I29" s="12" t="n"/>
      <c r="J29" s="13" t="n"/>
      <c r="K29" s="12" t="n"/>
      <c r="L29" s="33" t="n"/>
      <c r="M29" s="12" t="n"/>
    </row>
    <row r="30" ht="22" customHeight="1">
      <c r="B30" s="18">
        <f>IF(C30="","EC-"&amp;TEXT(COUNTA($C$5:C30),"000"))</f>
        <v/>
      </c>
      <c r="C30" s="15" t="n"/>
      <c r="D30" s="15" t="n"/>
      <c r="E30" s="15" t="n"/>
      <c r="F30" s="34" t="n"/>
      <c r="G30" s="15" t="n"/>
      <c r="H30" s="15" t="n"/>
      <c r="I30" s="15" t="n"/>
      <c r="J30" s="16" t="n"/>
      <c r="K30" s="15" t="n"/>
      <c r="L30" s="34" t="n"/>
      <c r="M30" s="15" t="n"/>
    </row>
    <row r="31" ht="22" customHeight="1">
      <c r="B31" s="19">
        <f>IF(C31="","EC-"&amp;TEXT(COUNTA($C$5:C31),"000"))</f>
        <v/>
      </c>
      <c r="C31" s="12" t="n"/>
      <c r="D31" s="12" t="n"/>
      <c r="E31" s="12" t="n"/>
      <c r="F31" s="33" t="n"/>
      <c r="G31" s="12" t="n"/>
      <c r="H31" s="12" t="n"/>
      <c r="I31" s="12" t="n"/>
      <c r="J31" s="13" t="n"/>
      <c r="K31" s="12" t="n"/>
      <c r="L31" s="33" t="n"/>
      <c r="M31" s="12" t="n"/>
    </row>
    <row r="32" ht="22" customHeight="1">
      <c r="B32" s="18">
        <f>IF(C32="","EC-"&amp;TEXT(COUNTA($C$5:C32),"000"))</f>
        <v/>
      </c>
      <c r="C32" s="15" t="n"/>
      <c r="D32" s="15" t="n"/>
      <c r="E32" s="15" t="n"/>
      <c r="F32" s="34" t="n"/>
      <c r="G32" s="15" t="n"/>
      <c r="H32" s="15" t="n"/>
      <c r="I32" s="15" t="n"/>
      <c r="J32" s="16" t="n"/>
      <c r="K32" s="15" t="n"/>
      <c r="L32" s="34" t="n"/>
      <c r="M32" s="15" t="n"/>
    </row>
    <row r="33" ht="22" customHeight="1">
      <c r="B33" s="19">
        <f>IF(C33="","EC-"&amp;TEXT(COUNTA($C$5:C33),"000"))</f>
        <v/>
      </c>
      <c r="C33" s="12" t="n"/>
      <c r="D33" s="12" t="n"/>
      <c r="E33" s="12" t="n"/>
      <c r="F33" s="33" t="n"/>
      <c r="G33" s="12" t="n"/>
      <c r="H33" s="12" t="n"/>
      <c r="I33" s="12" t="n"/>
      <c r="J33" s="13" t="n"/>
      <c r="K33" s="12" t="n"/>
      <c r="L33" s="33" t="n"/>
      <c r="M33" s="12" t="n"/>
    </row>
    <row r="34" ht="22" customHeight="1">
      <c r="B34" s="18">
        <f>IF(C34="","EC-"&amp;TEXT(COUNTA($C$5:C34),"000"))</f>
        <v/>
      </c>
      <c r="C34" s="15" t="n"/>
      <c r="D34" s="15" t="n"/>
      <c r="E34" s="15" t="n"/>
      <c r="F34" s="34" t="n"/>
      <c r="G34" s="15" t="n"/>
      <c r="H34" s="15" t="n"/>
      <c r="I34" s="15" t="n"/>
      <c r="J34" s="16" t="n"/>
      <c r="K34" s="15" t="n"/>
      <c r="L34" s="34" t="n"/>
      <c r="M34" s="15" t="n"/>
    </row>
    <row r="35" ht="22" customHeight="1">
      <c r="B35" s="19">
        <f>IF(C35="","EC-"&amp;TEXT(COUNTA($C$5:C35),"000"))</f>
        <v/>
      </c>
      <c r="C35" s="12" t="n"/>
      <c r="D35" s="12" t="n"/>
      <c r="E35" s="12" t="n"/>
      <c r="F35" s="33" t="n"/>
      <c r="G35" s="12" t="n"/>
      <c r="H35" s="12" t="n"/>
      <c r="I35" s="12" t="n"/>
      <c r="J35" s="13" t="n"/>
      <c r="K35" s="12" t="n"/>
      <c r="L35" s="33" t="n"/>
      <c r="M35" s="12" t="n"/>
    </row>
    <row r="36" ht="22" customHeight="1">
      <c r="B36" s="18">
        <f>IF(C36="","EC-"&amp;TEXT(COUNTA($C$5:C36),"000"))</f>
        <v/>
      </c>
      <c r="C36" s="15" t="n"/>
      <c r="D36" s="15" t="n"/>
      <c r="E36" s="15" t="n"/>
      <c r="F36" s="34" t="n"/>
      <c r="G36" s="15" t="n"/>
      <c r="H36" s="15" t="n"/>
      <c r="I36" s="15" t="n"/>
      <c r="J36" s="16" t="n"/>
      <c r="K36" s="15" t="n"/>
      <c r="L36" s="34" t="n"/>
      <c r="M36" s="15" t="n"/>
    </row>
    <row r="37" ht="22" customHeight="1">
      <c r="B37" s="19">
        <f>IF(C37="","EC-"&amp;TEXT(COUNTA($C$5:C37),"000"))</f>
        <v/>
      </c>
      <c r="C37" s="12" t="n"/>
      <c r="D37" s="12" t="n"/>
      <c r="E37" s="12" t="n"/>
      <c r="F37" s="33" t="n"/>
      <c r="G37" s="12" t="n"/>
      <c r="H37" s="12" t="n"/>
      <c r="I37" s="12" t="n"/>
      <c r="J37" s="13" t="n"/>
      <c r="K37" s="12" t="n"/>
      <c r="L37" s="33" t="n"/>
      <c r="M37" s="12" t="n"/>
    </row>
    <row r="38" ht="22" customHeight="1">
      <c r="B38" s="18">
        <f>IF(C38="","EC-"&amp;TEXT(COUNTA($C$5:C38),"000"))</f>
        <v/>
      </c>
      <c r="C38" s="15" t="n"/>
      <c r="D38" s="15" t="n"/>
      <c r="E38" s="15" t="n"/>
      <c r="F38" s="34" t="n"/>
      <c r="G38" s="15" t="n"/>
      <c r="H38" s="15" t="n"/>
      <c r="I38" s="15" t="n"/>
      <c r="J38" s="16" t="n"/>
      <c r="K38" s="15" t="n"/>
      <c r="L38" s="34" t="n"/>
      <c r="M38" s="15" t="n"/>
    </row>
    <row r="39" ht="22" customHeight="1">
      <c r="B39" s="19">
        <f>IF(C39="","EC-"&amp;TEXT(COUNTA($C$5:C39),"000"))</f>
        <v/>
      </c>
      <c r="C39" s="12" t="n"/>
      <c r="D39" s="12" t="n"/>
      <c r="E39" s="12" t="n"/>
      <c r="F39" s="33" t="n"/>
      <c r="G39" s="12" t="n"/>
      <c r="H39" s="12" t="n"/>
      <c r="I39" s="12" t="n"/>
      <c r="J39" s="13" t="n"/>
      <c r="K39" s="12" t="n"/>
      <c r="L39" s="33" t="n"/>
      <c r="M39" s="12" t="n"/>
    </row>
    <row r="40" ht="22" customHeight="1">
      <c r="B40" s="18">
        <f>IF(C40="","EC-"&amp;TEXT(COUNTA($C$5:C40),"000"))</f>
        <v/>
      </c>
      <c r="C40" s="15" t="n"/>
      <c r="D40" s="15" t="n"/>
      <c r="E40" s="15" t="n"/>
      <c r="F40" s="34" t="n"/>
      <c r="G40" s="15" t="n"/>
      <c r="H40" s="15" t="n"/>
      <c r="I40" s="15" t="n"/>
      <c r="J40" s="16" t="n"/>
      <c r="K40" s="15" t="n"/>
      <c r="L40" s="34" t="n"/>
      <c r="M40" s="15" t="n"/>
    </row>
    <row r="41" ht="22" customHeight="1">
      <c r="B41" s="19">
        <f>IF(C41="","EC-"&amp;TEXT(COUNTA($C$5:C41),"000"))</f>
        <v/>
      </c>
      <c r="C41" s="12" t="n"/>
      <c r="D41" s="12" t="n"/>
      <c r="E41" s="12" t="n"/>
      <c r="F41" s="33" t="n"/>
      <c r="G41" s="12" t="n"/>
      <c r="H41" s="12" t="n"/>
      <c r="I41" s="12" t="n"/>
      <c r="J41" s="13" t="n"/>
      <c r="K41" s="12" t="n"/>
      <c r="L41" s="33" t="n"/>
      <c r="M41" s="12" t="n"/>
    </row>
    <row r="42" ht="22" customHeight="1">
      <c r="B42" s="18">
        <f>IF(C42="","EC-"&amp;TEXT(COUNTA($C$5:C42),"000"))</f>
        <v/>
      </c>
      <c r="C42" s="15" t="n"/>
      <c r="D42" s="15" t="n"/>
      <c r="E42" s="15" t="n"/>
      <c r="F42" s="34" t="n"/>
      <c r="G42" s="15" t="n"/>
      <c r="H42" s="15" t="n"/>
      <c r="I42" s="15" t="n"/>
      <c r="J42" s="16" t="n"/>
      <c r="K42" s="15" t="n"/>
      <c r="L42" s="34" t="n"/>
      <c r="M42" s="15" t="n"/>
    </row>
    <row r="43" ht="22" customHeight="1">
      <c r="B43" s="19">
        <f>IF(C43="","EC-"&amp;TEXT(COUNTA($C$5:C43),"000"))</f>
        <v/>
      </c>
      <c r="C43" s="12" t="n"/>
      <c r="D43" s="12" t="n"/>
      <c r="E43" s="12" t="n"/>
      <c r="F43" s="33" t="n"/>
      <c r="G43" s="12" t="n"/>
      <c r="H43" s="12" t="n"/>
      <c r="I43" s="12" t="n"/>
      <c r="J43" s="13" t="n"/>
      <c r="K43" s="12" t="n"/>
      <c r="L43" s="33" t="n"/>
      <c r="M43" s="12" t="n"/>
    </row>
    <row r="44" ht="22" customHeight="1">
      <c r="B44" s="18">
        <f>IF(C44="","EC-"&amp;TEXT(COUNTA($C$5:C44),"000"))</f>
        <v/>
      </c>
      <c r="C44" s="15" t="n"/>
      <c r="D44" s="15" t="n"/>
      <c r="E44" s="15" t="n"/>
      <c r="F44" s="34" t="n"/>
      <c r="G44" s="15" t="n"/>
      <c r="H44" s="15" t="n"/>
      <c r="I44" s="15" t="n"/>
      <c r="J44" s="16" t="n"/>
      <c r="K44" s="15" t="n"/>
      <c r="L44" s="34" t="n"/>
      <c r="M44" s="15" t="n"/>
    </row>
    <row r="45" ht="22" customHeight="1">
      <c r="B45" s="19">
        <f>IF(C45="","EC-"&amp;TEXT(COUNTA($C$5:C45),"000"))</f>
        <v/>
      </c>
      <c r="C45" s="12" t="n"/>
      <c r="D45" s="12" t="n"/>
      <c r="E45" s="12" t="n"/>
      <c r="F45" s="33" t="n"/>
      <c r="G45" s="12" t="n"/>
      <c r="H45" s="12" t="n"/>
      <c r="I45" s="12" t="n"/>
      <c r="J45" s="13" t="n"/>
      <c r="K45" s="12" t="n"/>
      <c r="L45" s="33" t="n"/>
      <c r="M45" s="12" t="n"/>
    </row>
    <row r="46" ht="22" customHeight="1">
      <c r="B46" s="18">
        <f>IF(C46="","EC-"&amp;TEXT(COUNTA($C$5:C46),"000"))</f>
        <v/>
      </c>
      <c r="C46" s="15" t="n"/>
      <c r="D46" s="15" t="n"/>
      <c r="E46" s="15" t="n"/>
      <c r="F46" s="34" t="n"/>
      <c r="G46" s="15" t="n"/>
      <c r="H46" s="15" t="n"/>
      <c r="I46" s="15" t="n"/>
      <c r="J46" s="16" t="n"/>
      <c r="K46" s="15" t="n"/>
      <c r="L46" s="34" t="n"/>
      <c r="M46" s="15" t="n"/>
    </row>
    <row r="47" ht="22" customHeight="1">
      <c r="B47" s="19">
        <f>IF(C47="","EC-"&amp;TEXT(COUNTA($C$5:C47),"000"))</f>
        <v/>
      </c>
      <c r="C47" s="12" t="n"/>
      <c r="D47" s="12" t="n"/>
      <c r="E47" s="12" t="n"/>
      <c r="F47" s="33" t="n"/>
      <c r="G47" s="12" t="n"/>
      <c r="H47" s="12" t="n"/>
      <c r="I47" s="12" t="n"/>
      <c r="J47" s="13" t="n"/>
      <c r="K47" s="12" t="n"/>
      <c r="L47" s="33" t="n"/>
      <c r="M47" s="12" t="n"/>
    </row>
    <row r="48" ht="22" customHeight="1">
      <c r="B48" s="18">
        <f>IF(C48="","EC-"&amp;TEXT(COUNTA($C$5:C48),"000"))</f>
        <v/>
      </c>
      <c r="C48" s="15" t="n"/>
      <c r="D48" s="15" t="n"/>
      <c r="E48" s="15" t="n"/>
      <c r="F48" s="34" t="n"/>
      <c r="G48" s="15" t="n"/>
      <c r="H48" s="15" t="n"/>
      <c r="I48" s="15" t="n"/>
      <c r="J48" s="16" t="n"/>
      <c r="K48" s="15" t="n"/>
      <c r="L48" s="34" t="n"/>
      <c r="M48" s="15" t="n"/>
    </row>
    <row r="49" ht="22" customHeight="1">
      <c r="B49" s="19">
        <f>IF(C49="","EC-"&amp;TEXT(COUNTA($C$5:C49),"000"))</f>
        <v/>
      </c>
      <c r="C49" s="12" t="n"/>
      <c r="D49" s="12" t="n"/>
      <c r="E49" s="12" t="n"/>
      <c r="F49" s="33" t="n"/>
      <c r="G49" s="12" t="n"/>
      <c r="H49" s="12" t="n"/>
      <c r="I49" s="12" t="n"/>
      <c r="J49" s="13" t="n"/>
      <c r="K49" s="12" t="n"/>
      <c r="L49" s="33" t="n"/>
      <c r="M49" s="12" t="n"/>
    </row>
    <row r="50" ht="22" customHeight="1">
      <c r="B50" s="18">
        <f>IF(C50="","EC-"&amp;TEXT(COUNTA($C$5:C50),"000"))</f>
        <v/>
      </c>
      <c r="C50" s="15" t="n"/>
      <c r="D50" s="15" t="n"/>
      <c r="E50" s="15" t="n"/>
      <c r="F50" s="34" t="n"/>
      <c r="G50" s="15" t="n"/>
      <c r="H50" s="15" t="n"/>
      <c r="I50" s="15" t="n"/>
      <c r="J50" s="16" t="n"/>
      <c r="K50" s="15" t="n"/>
      <c r="L50" s="34" t="n"/>
      <c r="M50" s="15" t="n"/>
    </row>
    <row r="51" ht="22" customHeight="1">
      <c r="B51" s="19">
        <f>IF(C51="","EC-"&amp;TEXT(COUNTA($C$5:C51),"000"))</f>
        <v/>
      </c>
      <c r="C51" s="12" t="n"/>
      <c r="D51" s="12" t="n"/>
      <c r="E51" s="12" t="n"/>
      <c r="F51" s="33" t="n"/>
      <c r="G51" s="12" t="n"/>
      <c r="H51" s="12" t="n"/>
      <c r="I51" s="12" t="n"/>
      <c r="J51" s="13" t="n"/>
      <c r="K51" s="12" t="n"/>
      <c r="L51" s="33" t="n"/>
      <c r="M51" s="12" t="n"/>
    </row>
    <row r="52" ht="22" customHeight="1">
      <c r="B52" s="18">
        <f>IF(C52="","EC-"&amp;TEXT(COUNTA($C$5:C52),"000"))</f>
        <v/>
      </c>
      <c r="C52" s="15" t="n"/>
      <c r="D52" s="15" t="n"/>
      <c r="E52" s="15" t="n"/>
      <c r="F52" s="34" t="n"/>
      <c r="G52" s="15" t="n"/>
      <c r="H52" s="15" t="n"/>
      <c r="I52" s="15" t="n"/>
      <c r="J52" s="16" t="n"/>
      <c r="K52" s="15" t="n"/>
      <c r="L52" s="34" t="n"/>
      <c r="M52" s="15" t="n"/>
    </row>
    <row r="53" ht="22" customHeight="1">
      <c r="B53" s="19">
        <f>IF(C53="","EC-"&amp;TEXT(COUNTA($C$5:C53),"000"))</f>
        <v/>
      </c>
      <c r="C53" s="12" t="n"/>
      <c r="D53" s="12" t="n"/>
      <c r="E53" s="12" t="n"/>
      <c r="F53" s="33" t="n"/>
      <c r="G53" s="12" t="n"/>
      <c r="H53" s="12" t="n"/>
      <c r="I53" s="12" t="n"/>
      <c r="J53" s="13" t="n"/>
      <c r="K53" s="12" t="n"/>
      <c r="L53" s="33" t="n"/>
      <c r="M53" s="12" t="n"/>
    </row>
    <row r="54" ht="22" customHeight="1">
      <c r="B54" s="18">
        <f>IF(C54="","EC-"&amp;TEXT(COUNTA($C$5:C54),"000"))</f>
        <v/>
      </c>
      <c r="C54" s="15" t="n"/>
      <c r="D54" s="15" t="n"/>
      <c r="E54" s="15" t="n"/>
      <c r="F54" s="34" t="n"/>
      <c r="G54" s="15" t="n"/>
      <c r="H54" s="15" t="n"/>
      <c r="I54" s="15" t="n"/>
      <c r="J54" s="16" t="n"/>
      <c r="K54" s="15" t="n"/>
      <c r="L54" s="34" t="n"/>
      <c r="M54" s="15" t="n"/>
    </row>
    <row r="55" ht="22" customHeight="1">
      <c r="B55" s="19">
        <f>IF(C55="","EC-"&amp;TEXT(COUNTA($C$5:C55),"000"))</f>
        <v/>
      </c>
      <c r="C55" s="12" t="n"/>
      <c r="D55" s="12" t="n"/>
      <c r="E55" s="12" t="n"/>
      <c r="F55" s="33" t="n"/>
      <c r="G55" s="12" t="n"/>
      <c r="H55" s="12" t="n"/>
      <c r="I55" s="12" t="n"/>
      <c r="J55" s="13" t="n"/>
      <c r="K55" s="12" t="n"/>
      <c r="L55" s="33" t="n"/>
      <c r="M55" s="12" t="n"/>
    </row>
    <row r="56" ht="22" customHeight="1">
      <c r="B56" s="18">
        <f>IF(C56="","EC-"&amp;TEXT(COUNTA($C$5:C56),"000"))</f>
        <v/>
      </c>
      <c r="C56" s="15" t="n"/>
      <c r="D56" s="15" t="n"/>
      <c r="E56" s="15" t="n"/>
      <c r="F56" s="34" t="n"/>
      <c r="G56" s="15" t="n"/>
      <c r="H56" s="15" t="n"/>
      <c r="I56" s="15" t="n"/>
      <c r="J56" s="16" t="n"/>
      <c r="K56" s="15" t="n"/>
      <c r="L56" s="34" t="n"/>
      <c r="M56" s="15" t="n"/>
    </row>
    <row r="57" ht="22" customHeight="1">
      <c r="B57" s="19">
        <f>IF(C57="","EC-"&amp;TEXT(COUNTA($C$5:C57),"000"))</f>
        <v/>
      </c>
      <c r="C57" s="12" t="n"/>
      <c r="D57" s="12" t="n"/>
      <c r="E57" s="12" t="n"/>
      <c r="F57" s="33" t="n"/>
      <c r="G57" s="12" t="n"/>
      <c r="H57" s="12" t="n"/>
      <c r="I57" s="12" t="n"/>
      <c r="J57" s="13" t="n"/>
      <c r="K57" s="12" t="n"/>
      <c r="L57" s="33" t="n"/>
      <c r="M57" s="12" t="n"/>
    </row>
    <row r="58" ht="22" customHeight="1">
      <c r="B58" s="18">
        <f>IF(C58="","EC-"&amp;TEXT(COUNTA($C$5:C58),"000"))</f>
        <v/>
      </c>
      <c r="C58" s="15" t="n"/>
      <c r="D58" s="15" t="n"/>
      <c r="E58" s="15" t="n"/>
      <c r="F58" s="34" t="n"/>
      <c r="G58" s="15" t="n"/>
      <c r="H58" s="15" t="n"/>
      <c r="I58" s="15" t="n"/>
      <c r="J58" s="16" t="n"/>
      <c r="K58" s="15" t="n"/>
      <c r="L58" s="34" t="n"/>
      <c r="M58" s="15" t="n"/>
    </row>
    <row r="59" ht="22" customHeight="1">
      <c r="B59" s="19">
        <f>IF(C59="","EC-"&amp;TEXT(COUNTA($C$5:C59),"000"))</f>
        <v/>
      </c>
      <c r="C59" s="12" t="n"/>
      <c r="D59" s="12" t="n"/>
      <c r="E59" s="12" t="n"/>
      <c r="F59" s="33" t="n"/>
      <c r="G59" s="12" t="n"/>
      <c r="H59" s="12" t="n"/>
      <c r="I59" s="12" t="n"/>
      <c r="J59" s="13" t="n"/>
      <c r="K59" s="12" t="n"/>
      <c r="L59" s="33" t="n"/>
      <c r="M59" s="12" t="n"/>
    </row>
    <row r="60" ht="22" customHeight="1">
      <c r="B60" s="18">
        <f>IF(C60="","EC-"&amp;TEXT(COUNTA($C$5:C60),"000"))</f>
        <v/>
      </c>
      <c r="C60" s="15" t="n"/>
      <c r="D60" s="15" t="n"/>
      <c r="E60" s="15" t="n"/>
      <c r="F60" s="34" t="n"/>
      <c r="G60" s="15" t="n"/>
      <c r="H60" s="15" t="n"/>
      <c r="I60" s="15" t="n"/>
      <c r="J60" s="16" t="n"/>
      <c r="K60" s="15" t="n"/>
      <c r="L60" s="34" t="n"/>
      <c r="M60" s="15" t="n"/>
    </row>
    <row r="61" ht="22" customHeight="1">
      <c r="B61" s="19">
        <f>IF(C61="","EC-"&amp;TEXT(COUNTA($C$5:C61),"000"))</f>
        <v/>
      </c>
      <c r="C61" s="12" t="n"/>
      <c r="D61" s="12" t="n"/>
      <c r="E61" s="12" t="n"/>
      <c r="F61" s="33" t="n"/>
      <c r="G61" s="12" t="n"/>
      <c r="H61" s="12" t="n"/>
      <c r="I61" s="12" t="n"/>
      <c r="J61" s="13" t="n"/>
      <c r="K61" s="12" t="n"/>
      <c r="L61" s="33" t="n"/>
      <c r="M61" s="12" t="n"/>
    </row>
    <row r="62" ht="22" customHeight="1">
      <c r="B62" s="18">
        <f>IF(C62="","EC-"&amp;TEXT(COUNTA($C$5:C62),"000"))</f>
        <v/>
      </c>
      <c r="C62" s="15" t="n"/>
      <c r="D62" s="15" t="n"/>
      <c r="E62" s="15" t="n"/>
      <c r="F62" s="34" t="n"/>
      <c r="G62" s="15" t="n"/>
      <c r="H62" s="15" t="n"/>
      <c r="I62" s="15" t="n"/>
      <c r="J62" s="16" t="n"/>
      <c r="K62" s="15" t="n"/>
      <c r="L62" s="34" t="n"/>
      <c r="M62" s="15" t="n"/>
    </row>
    <row r="63" ht="22" customHeight="1">
      <c r="B63" s="19">
        <f>IF(C63="","EC-"&amp;TEXT(COUNTA($C$5:C63),"000"))</f>
        <v/>
      </c>
      <c r="C63" s="12" t="n"/>
      <c r="D63" s="12" t="n"/>
      <c r="E63" s="12" t="n"/>
      <c r="F63" s="33" t="n"/>
      <c r="G63" s="12" t="n"/>
      <c r="H63" s="12" t="n"/>
      <c r="I63" s="12" t="n"/>
      <c r="J63" s="13" t="n"/>
      <c r="K63" s="12" t="n"/>
      <c r="L63" s="33" t="n"/>
      <c r="M63" s="12" t="n"/>
    </row>
    <row r="64" ht="22" customHeight="1">
      <c r="B64" s="18">
        <f>IF(C64="","EC-"&amp;TEXT(COUNTA($C$5:C64),"000"))</f>
        <v/>
      </c>
      <c r="C64" s="15" t="n"/>
      <c r="D64" s="15" t="n"/>
      <c r="E64" s="15" t="n"/>
      <c r="F64" s="34" t="n"/>
      <c r="G64" s="15" t="n"/>
      <c r="H64" s="15" t="n"/>
      <c r="I64" s="15" t="n"/>
      <c r="J64" s="16" t="n"/>
      <c r="K64" s="15" t="n"/>
      <c r="L64" s="34" t="n"/>
      <c r="M64" s="15" t="n"/>
    </row>
    <row r="65" ht="22" customHeight="1">
      <c r="B65" s="19">
        <f>IF(C65="","EC-"&amp;TEXT(COUNTA($C$5:C65),"000"))</f>
        <v/>
      </c>
      <c r="C65" s="12" t="n"/>
      <c r="D65" s="12" t="n"/>
      <c r="E65" s="12" t="n"/>
      <c r="F65" s="33" t="n"/>
      <c r="G65" s="12" t="n"/>
      <c r="H65" s="12" t="n"/>
      <c r="I65" s="12" t="n"/>
      <c r="J65" s="13" t="n"/>
      <c r="K65" s="12" t="n"/>
      <c r="L65" s="33" t="n"/>
      <c r="M65" s="12" t="n"/>
    </row>
    <row r="66" ht="22" customHeight="1">
      <c r="B66" s="18">
        <f>IF(C66="","EC-"&amp;TEXT(COUNTA($C$5:C66),"000"))</f>
        <v/>
      </c>
      <c r="C66" s="15" t="n"/>
      <c r="D66" s="15" t="n"/>
      <c r="E66" s="15" t="n"/>
      <c r="F66" s="34" t="n"/>
      <c r="G66" s="15" t="n"/>
      <c r="H66" s="15" t="n"/>
      <c r="I66" s="15" t="n"/>
      <c r="J66" s="16" t="n"/>
      <c r="K66" s="15" t="n"/>
      <c r="L66" s="34" t="n"/>
      <c r="M66" s="15" t="n"/>
    </row>
    <row r="67" ht="22" customHeight="1">
      <c r="B67" s="19">
        <f>IF(C67="","EC-"&amp;TEXT(COUNTA($C$5:C67),"000"))</f>
        <v/>
      </c>
      <c r="C67" s="12" t="n"/>
      <c r="D67" s="12" t="n"/>
      <c r="E67" s="12" t="n"/>
      <c r="F67" s="33" t="n"/>
      <c r="G67" s="12" t="n"/>
      <c r="H67" s="12" t="n"/>
      <c r="I67" s="12" t="n"/>
      <c r="J67" s="13" t="n"/>
      <c r="K67" s="12" t="n"/>
      <c r="L67" s="33" t="n"/>
      <c r="M67" s="12" t="n"/>
    </row>
    <row r="68" ht="22" customHeight="1">
      <c r="B68" s="18">
        <f>IF(C68="","EC-"&amp;TEXT(COUNTA($C$5:C68),"000"))</f>
        <v/>
      </c>
      <c r="C68" s="15" t="n"/>
      <c r="D68" s="15" t="n"/>
      <c r="E68" s="15" t="n"/>
      <c r="F68" s="34" t="n"/>
      <c r="G68" s="15" t="n"/>
      <c r="H68" s="15" t="n"/>
      <c r="I68" s="15" t="n"/>
      <c r="J68" s="16" t="n"/>
      <c r="K68" s="15" t="n"/>
      <c r="L68" s="34" t="n"/>
      <c r="M68" s="15" t="n"/>
    </row>
    <row r="69" ht="22" customHeight="1">
      <c r="B69" s="19">
        <f>IF(C69="","EC-"&amp;TEXT(COUNTA($C$5:C69),"000"))</f>
        <v/>
      </c>
      <c r="C69" s="12" t="n"/>
      <c r="D69" s="12" t="n"/>
      <c r="E69" s="12" t="n"/>
      <c r="F69" s="33" t="n"/>
      <c r="G69" s="12" t="n"/>
      <c r="H69" s="12" t="n"/>
      <c r="I69" s="12" t="n"/>
      <c r="J69" s="13" t="n"/>
      <c r="K69" s="12" t="n"/>
      <c r="L69" s="33" t="n"/>
      <c r="M69" s="12" t="n"/>
    </row>
    <row r="70" ht="22" customHeight="1">
      <c r="B70" s="18">
        <f>IF(C70="","EC-"&amp;TEXT(COUNTA($C$5:C70),"000"))</f>
        <v/>
      </c>
      <c r="C70" s="15" t="n"/>
      <c r="D70" s="15" t="n"/>
      <c r="E70" s="15" t="n"/>
      <c r="F70" s="34" t="n"/>
      <c r="G70" s="15" t="n"/>
      <c r="H70" s="15" t="n"/>
      <c r="I70" s="15" t="n"/>
      <c r="J70" s="16" t="n"/>
      <c r="K70" s="15" t="n"/>
      <c r="L70" s="34" t="n"/>
      <c r="M70" s="15" t="n"/>
    </row>
    <row r="71" ht="22" customHeight="1">
      <c r="B71" s="19">
        <f>IF(C71="","EC-"&amp;TEXT(COUNTA($C$5:C71),"000"))</f>
        <v/>
      </c>
      <c r="C71" s="12" t="n"/>
      <c r="D71" s="12" t="n"/>
      <c r="E71" s="12" t="n"/>
      <c r="F71" s="33" t="n"/>
      <c r="G71" s="12" t="n"/>
      <c r="H71" s="12" t="n"/>
      <c r="I71" s="12" t="n"/>
      <c r="J71" s="13" t="n"/>
      <c r="K71" s="12" t="n"/>
      <c r="L71" s="33" t="n"/>
      <c r="M71" s="12" t="n"/>
    </row>
    <row r="72" ht="22" customHeight="1">
      <c r="B72" s="18">
        <f>IF(C72="","EC-"&amp;TEXT(COUNTA($C$5:C72),"000"))</f>
        <v/>
      </c>
      <c r="C72" s="15" t="n"/>
      <c r="D72" s="15" t="n"/>
      <c r="E72" s="15" t="n"/>
      <c r="F72" s="34" t="n"/>
      <c r="G72" s="15" t="n"/>
      <c r="H72" s="15" t="n"/>
      <c r="I72" s="15" t="n"/>
      <c r="J72" s="16" t="n"/>
      <c r="K72" s="15" t="n"/>
      <c r="L72" s="34" t="n"/>
      <c r="M72" s="15" t="n"/>
    </row>
    <row r="73" ht="22" customHeight="1">
      <c r="B73" s="19">
        <f>IF(C73="","EC-"&amp;TEXT(COUNTA($C$5:C73),"000"))</f>
        <v/>
      </c>
      <c r="C73" s="12" t="n"/>
      <c r="D73" s="12" t="n"/>
      <c r="E73" s="12" t="n"/>
      <c r="F73" s="33" t="n"/>
      <c r="G73" s="12" t="n"/>
      <c r="H73" s="12" t="n"/>
      <c r="I73" s="12" t="n"/>
      <c r="J73" s="13" t="n"/>
      <c r="K73" s="12" t="n"/>
      <c r="L73" s="33" t="n"/>
      <c r="M73" s="12" t="n"/>
    </row>
    <row r="74" ht="22" customHeight="1">
      <c r="B74" s="18">
        <f>IF(C74="","EC-"&amp;TEXT(COUNTA($C$5:C74),"000"))</f>
        <v/>
      </c>
      <c r="C74" s="15" t="n"/>
      <c r="D74" s="15" t="n"/>
      <c r="E74" s="15" t="n"/>
      <c r="F74" s="34" t="n"/>
      <c r="G74" s="15" t="n"/>
      <c r="H74" s="15" t="n"/>
      <c r="I74" s="15" t="n"/>
      <c r="J74" s="16" t="n"/>
      <c r="K74" s="15" t="n"/>
      <c r="L74" s="34" t="n"/>
      <c r="M74" s="15" t="n"/>
    </row>
    <row r="75" ht="22" customHeight="1">
      <c r="B75" s="19">
        <f>IF(C75="","EC-"&amp;TEXT(COUNTA($C$5:C75),"000"))</f>
        <v/>
      </c>
      <c r="C75" s="12" t="n"/>
      <c r="D75" s="12" t="n"/>
      <c r="E75" s="12" t="n"/>
      <c r="F75" s="33" t="n"/>
      <c r="G75" s="12" t="n"/>
      <c r="H75" s="12" t="n"/>
      <c r="I75" s="12" t="n"/>
      <c r="J75" s="13" t="n"/>
      <c r="K75" s="12" t="n"/>
      <c r="L75" s="33" t="n"/>
      <c r="M75" s="12" t="n"/>
    </row>
    <row r="76" ht="22" customHeight="1">
      <c r="B76" s="18">
        <f>IF(C76="","EC-"&amp;TEXT(COUNTA($C$5:C76),"000"))</f>
        <v/>
      </c>
      <c r="C76" s="15" t="n"/>
      <c r="D76" s="15" t="n"/>
      <c r="E76" s="15" t="n"/>
      <c r="F76" s="34" t="n"/>
      <c r="G76" s="15" t="n"/>
      <c r="H76" s="15" t="n"/>
      <c r="I76" s="15" t="n"/>
      <c r="J76" s="16" t="n"/>
      <c r="K76" s="15" t="n"/>
      <c r="L76" s="34" t="n"/>
      <c r="M76" s="15" t="n"/>
    </row>
    <row r="77" ht="22" customHeight="1">
      <c r="B77" s="19">
        <f>IF(C77="","EC-"&amp;TEXT(COUNTA($C$5:C77),"000"))</f>
        <v/>
      </c>
      <c r="C77" s="12" t="n"/>
      <c r="D77" s="12" t="n"/>
      <c r="E77" s="12" t="n"/>
      <c r="F77" s="33" t="n"/>
      <c r="G77" s="12" t="n"/>
      <c r="H77" s="12" t="n"/>
      <c r="I77" s="12" t="n"/>
      <c r="J77" s="13" t="n"/>
      <c r="K77" s="12" t="n"/>
      <c r="L77" s="33" t="n"/>
      <c r="M77" s="12" t="n"/>
    </row>
    <row r="78" ht="22" customHeight="1">
      <c r="B78" s="18">
        <f>IF(C78="","EC-"&amp;TEXT(COUNTA($C$5:C78),"000"))</f>
        <v/>
      </c>
      <c r="C78" s="15" t="n"/>
      <c r="D78" s="15" t="n"/>
      <c r="E78" s="15" t="n"/>
      <c r="F78" s="34" t="n"/>
      <c r="G78" s="15" t="n"/>
      <c r="H78" s="15" t="n"/>
      <c r="I78" s="15" t="n"/>
      <c r="J78" s="16" t="n"/>
      <c r="K78" s="15" t="n"/>
      <c r="L78" s="34" t="n"/>
      <c r="M78" s="15" t="n"/>
    </row>
    <row r="79" ht="22" customHeight="1">
      <c r="B79" s="19">
        <f>IF(C79="","EC-"&amp;TEXT(COUNTA($C$5:C79),"000"))</f>
        <v/>
      </c>
      <c r="C79" s="12" t="n"/>
      <c r="D79" s="12" t="n"/>
      <c r="E79" s="12" t="n"/>
      <c r="F79" s="33" t="n"/>
      <c r="G79" s="12" t="n"/>
      <c r="H79" s="12" t="n"/>
      <c r="I79" s="12" t="n"/>
      <c r="J79" s="13" t="n"/>
      <c r="K79" s="12" t="n"/>
      <c r="L79" s="33" t="n"/>
      <c r="M79" s="12" t="n"/>
    </row>
    <row r="80" ht="22" customHeight="1">
      <c r="B80" s="18">
        <f>IF(C80="","EC-"&amp;TEXT(COUNTA($C$5:C80),"000"))</f>
        <v/>
      </c>
      <c r="C80" s="15" t="n"/>
      <c r="D80" s="15" t="n"/>
      <c r="E80" s="15" t="n"/>
      <c r="F80" s="34" t="n"/>
      <c r="G80" s="15" t="n"/>
      <c r="H80" s="15" t="n"/>
      <c r="I80" s="15" t="n"/>
      <c r="J80" s="16" t="n"/>
      <c r="K80" s="15" t="n"/>
      <c r="L80" s="34" t="n"/>
      <c r="M80" s="15" t="n"/>
    </row>
    <row r="81" ht="22" customHeight="1">
      <c r="B81" s="19">
        <f>IF(C81="","EC-"&amp;TEXT(COUNTA($C$5:C81),"000"))</f>
        <v/>
      </c>
      <c r="C81" s="12" t="n"/>
      <c r="D81" s="12" t="n"/>
      <c r="E81" s="12" t="n"/>
      <c r="F81" s="33" t="n"/>
      <c r="G81" s="12" t="n"/>
      <c r="H81" s="12" t="n"/>
      <c r="I81" s="12" t="n"/>
      <c r="J81" s="13" t="n"/>
      <c r="K81" s="12" t="n"/>
      <c r="L81" s="33" t="n"/>
      <c r="M81" s="12" t="n"/>
    </row>
    <row r="82" ht="22" customHeight="1">
      <c r="B82" s="18">
        <f>IF(C82="","EC-"&amp;TEXT(COUNTA($C$5:C82),"000"))</f>
        <v/>
      </c>
      <c r="C82" s="15" t="n"/>
      <c r="D82" s="15" t="n"/>
      <c r="E82" s="15" t="n"/>
      <c r="F82" s="34" t="n"/>
      <c r="G82" s="15" t="n"/>
      <c r="H82" s="15" t="n"/>
      <c r="I82" s="15" t="n"/>
      <c r="J82" s="16" t="n"/>
      <c r="K82" s="15" t="n"/>
      <c r="L82" s="34" t="n"/>
      <c r="M82" s="15" t="n"/>
    </row>
    <row r="83" ht="22" customHeight="1">
      <c r="B83" s="19">
        <f>IF(C83="","EC-"&amp;TEXT(COUNTA($C$5:C83),"000"))</f>
        <v/>
      </c>
      <c r="C83" s="12" t="n"/>
      <c r="D83" s="12" t="n"/>
      <c r="E83" s="12" t="n"/>
      <c r="F83" s="33" t="n"/>
      <c r="G83" s="12" t="n"/>
      <c r="H83" s="12" t="n"/>
      <c r="I83" s="12" t="n"/>
      <c r="J83" s="13" t="n"/>
      <c r="K83" s="12" t="n"/>
      <c r="L83" s="33" t="n"/>
      <c r="M83" s="12" t="n"/>
    </row>
    <row r="84" ht="22" customHeight="1">
      <c r="B84" s="18">
        <f>IF(C84="","EC-"&amp;TEXT(COUNTA($C$5:C84),"000"))</f>
        <v/>
      </c>
      <c r="C84" s="15" t="n"/>
      <c r="D84" s="15" t="n"/>
      <c r="E84" s="15" t="n"/>
      <c r="F84" s="34" t="n"/>
      <c r="G84" s="15" t="n"/>
      <c r="H84" s="15" t="n"/>
      <c r="I84" s="15" t="n"/>
      <c r="J84" s="16" t="n"/>
      <c r="K84" s="15" t="n"/>
      <c r="L84" s="34" t="n"/>
      <c r="M84" s="15" t="n"/>
    </row>
    <row r="85" ht="22" customHeight="1">
      <c r="B85" s="19">
        <f>IF(C85="","EC-"&amp;TEXT(COUNTA($C$5:C85),"000"))</f>
        <v/>
      </c>
      <c r="C85" s="12" t="n"/>
      <c r="D85" s="12" t="n"/>
      <c r="E85" s="12" t="n"/>
      <c r="F85" s="33" t="n"/>
      <c r="G85" s="12" t="n"/>
      <c r="H85" s="12" t="n"/>
      <c r="I85" s="12" t="n"/>
      <c r="J85" s="13" t="n"/>
      <c r="K85" s="12" t="n"/>
      <c r="L85" s="33" t="n"/>
      <c r="M85" s="12" t="n"/>
    </row>
    <row r="86" ht="22" customHeight="1">
      <c r="B86" s="18">
        <f>IF(C86="","EC-"&amp;TEXT(COUNTA($C$5:C86),"000"))</f>
        <v/>
      </c>
      <c r="C86" s="15" t="n"/>
      <c r="D86" s="15" t="n"/>
      <c r="E86" s="15" t="n"/>
      <c r="F86" s="34" t="n"/>
      <c r="G86" s="15" t="n"/>
      <c r="H86" s="15" t="n"/>
      <c r="I86" s="15" t="n"/>
      <c r="J86" s="16" t="n"/>
      <c r="K86" s="15" t="n"/>
      <c r="L86" s="34" t="n"/>
      <c r="M86" s="15" t="n"/>
    </row>
    <row r="87" ht="22" customHeight="1">
      <c r="B87" s="19">
        <f>IF(C87="","EC-"&amp;TEXT(COUNTA($C$5:C87),"000"))</f>
        <v/>
      </c>
      <c r="C87" s="12" t="n"/>
      <c r="D87" s="12" t="n"/>
      <c r="E87" s="12" t="n"/>
      <c r="F87" s="33" t="n"/>
      <c r="G87" s="12" t="n"/>
      <c r="H87" s="12" t="n"/>
      <c r="I87" s="12" t="n"/>
      <c r="J87" s="13" t="n"/>
      <c r="K87" s="12" t="n"/>
      <c r="L87" s="33" t="n"/>
      <c r="M87" s="12" t="n"/>
    </row>
    <row r="88" ht="22" customHeight="1">
      <c r="B88" s="18">
        <f>IF(C88="","EC-"&amp;TEXT(COUNTA($C$5:C88),"000"))</f>
        <v/>
      </c>
      <c r="C88" s="15" t="n"/>
      <c r="D88" s="15" t="n"/>
      <c r="E88" s="15" t="n"/>
      <c r="F88" s="34" t="n"/>
      <c r="G88" s="15" t="n"/>
      <c r="H88" s="15" t="n"/>
      <c r="I88" s="15" t="n"/>
      <c r="J88" s="16" t="n"/>
      <c r="K88" s="15" t="n"/>
      <c r="L88" s="34" t="n"/>
      <c r="M88" s="15" t="n"/>
    </row>
    <row r="89" ht="22" customHeight="1">
      <c r="B89" s="19">
        <f>IF(C89="","EC-"&amp;TEXT(COUNTA($C$5:C89),"000"))</f>
        <v/>
      </c>
      <c r="C89" s="12" t="n"/>
      <c r="D89" s="12" t="n"/>
      <c r="E89" s="12" t="n"/>
      <c r="F89" s="33" t="n"/>
      <c r="G89" s="12" t="n"/>
      <c r="H89" s="12" t="n"/>
      <c r="I89" s="12" t="n"/>
      <c r="J89" s="13" t="n"/>
      <c r="K89" s="12" t="n"/>
      <c r="L89" s="33" t="n"/>
      <c r="M89" s="12" t="n"/>
    </row>
    <row r="90" ht="22" customHeight="1">
      <c r="B90" s="18">
        <f>IF(C90="","EC-"&amp;TEXT(COUNTA($C$5:C90),"000"))</f>
        <v/>
      </c>
      <c r="C90" s="15" t="n"/>
      <c r="D90" s="15" t="n"/>
      <c r="E90" s="15" t="n"/>
      <c r="F90" s="34" t="n"/>
      <c r="G90" s="15" t="n"/>
      <c r="H90" s="15" t="n"/>
      <c r="I90" s="15" t="n"/>
      <c r="J90" s="16" t="n"/>
      <c r="K90" s="15" t="n"/>
      <c r="L90" s="34" t="n"/>
      <c r="M90" s="15" t="n"/>
    </row>
    <row r="91" ht="22" customHeight="1">
      <c r="B91" s="19">
        <f>IF(C91="","EC-"&amp;TEXT(COUNTA($C$5:C91),"000"))</f>
        <v/>
      </c>
      <c r="C91" s="12" t="n"/>
      <c r="D91" s="12" t="n"/>
      <c r="E91" s="12" t="n"/>
      <c r="F91" s="33" t="n"/>
      <c r="G91" s="12" t="n"/>
      <c r="H91" s="12" t="n"/>
      <c r="I91" s="12" t="n"/>
      <c r="J91" s="13" t="n"/>
      <c r="K91" s="12" t="n"/>
      <c r="L91" s="33" t="n"/>
      <c r="M91" s="12" t="n"/>
    </row>
    <row r="92" ht="22" customHeight="1">
      <c r="B92" s="18">
        <f>IF(C92="","EC-"&amp;TEXT(COUNTA($C$5:C92),"000"))</f>
        <v/>
      </c>
      <c r="C92" s="15" t="n"/>
      <c r="D92" s="15" t="n"/>
      <c r="E92" s="15" t="n"/>
      <c r="F92" s="34" t="n"/>
      <c r="G92" s="15" t="n"/>
      <c r="H92" s="15" t="n"/>
      <c r="I92" s="15" t="n"/>
      <c r="J92" s="16" t="n"/>
      <c r="K92" s="15" t="n"/>
      <c r="L92" s="34" t="n"/>
      <c r="M92" s="15" t="n"/>
    </row>
    <row r="93" ht="22" customHeight="1">
      <c r="B93" s="19">
        <f>IF(C93="","EC-"&amp;TEXT(COUNTA($C$5:C93),"000"))</f>
        <v/>
      </c>
      <c r="C93" s="12" t="n"/>
      <c r="D93" s="12" t="n"/>
      <c r="E93" s="12" t="n"/>
      <c r="F93" s="33" t="n"/>
      <c r="G93" s="12" t="n"/>
      <c r="H93" s="12" t="n"/>
      <c r="I93" s="12" t="n"/>
      <c r="J93" s="13" t="n"/>
      <c r="K93" s="12" t="n"/>
      <c r="L93" s="33" t="n"/>
      <c r="M93" s="12" t="n"/>
    </row>
    <row r="94" ht="22" customHeight="1">
      <c r="B94" s="18">
        <f>IF(C94="","EC-"&amp;TEXT(COUNTA($C$5:C94),"000"))</f>
        <v/>
      </c>
      <c r="C94" s="15" t="n"/>
      <c r="D94" s="15" t="n"/>
      <c r="E94" s="15" t="n"/>
      <c r="F94" s="34" t="n"/>
      <c r="G94" s="15" t="n"/>
      <c r="H94" s="15" t="n"/>
      <c r="I94" s="15" t="n"/>
      <c r="J94" s="16" t="n"/>
      <c r="K94" s="15" t="n"/>
      <c r="L94" s="34" t="n"/>
      <c r="M94" s="15" t="n"/>
    </row>
    <row r="95" ht="22" customHeight="1">
      <c r="B95" s="19">
        <f>IF(C95="","EC-"&amp;TEXT(COUNTA($C$5:C95),"000"))</f>
        <v/>
      </c>
      <c r="C95" s="12" t="n"/>
      <c r="D95" s="12" t="n"/>
      <c r="E95" s="12" t="n"/>
      <c r="F95" s="33" t="n"/>
      <c r="G95" s="12" t="n"/>
      <c r="H95" s="12" t="n"/>
      <c r="I95" s="12" t="n"/>
      <c r="J95" s="13" t="n"/>
      <c r="K95" s="12" t="n"/>
      <c r="L95" s="33" t="n"/>
      <c r="M95" s="12" t="n"/>
    </row>
    <row r="96" ht="22" customHeight="1">
      <c r="B96" s="18">
        <f>IF(C96="","EC-"&amp;TEXT(COUNTA($C$5:C96),"000"))</f>
        <v/>
      </c>
      <c r="C96" s="15" t="n"/>
      <c r="D96" s="15" t="n"/>
      <c r="E96" s="15" t="n"/>
      <c r="F96" s="34" t="n"/>
      <c r="G96" s="15" t="n"/>
      <c r="H96" s="15" t="n"/>
      <c r="I96" s="15" t="n"/>
      <c r="J96" s="16" t="n"/>
      <c r="K96" s="15" t="n"/>
      <c r="L96" s="34" t="n"/>
      <c r="M96" s="15" t="n"/>
    </row>
    <row r="97" ht="22" customHeight="1">
      <c r="B97" s="19">
        <f>IF(C97="","EC-"&amp;TEXT(COUNTA($C$5:C97),"000"))</f>
        <v/>
      </c>
      <c r="C97" s="12" t="n"/>
      <c r="D97" s="12" t="n"/>
      <c r="E97" s="12" t="n"/>
      <c r="F97" s="33" t="n"/>
      <c r="G97" s="12" t="n"/>
      <c r="H97" s="12" t="n"/>
      <c r="I97" s="12" t="n"/>
      <c r="J97" s="13" t="n"/>
      <c r="K97" s="12" t="n"/>
      <c r="L97" s="33" t="n"/>
      <c r="M97" s="12" t="n"/>
    </row>
    <row r="98" ht="22" customHeight="1">
      <c r="B98" s="18">
        <f>IF(C98="","EC-"&amp;TEXT(COUNTA($C$5:C98),"000"))</f>
        <v/>
      </c>
      <c r="C98" s="15" t="n"/>
      <c r="D98" s="15" t="n"/>
      <c r="E98" s="15" t="n"/>
      <c r="F98" s="34" t="n"/>
      <c r="G98" s="15" t="n"/>
      <c r="H98" s="15" t="n"/>
      <c r="I98" s="15" t="n"/>
      <c r="J98" s="16" t="n"/>
      <c r="K98" s="15" t="n"/>
      <c r="L98" s="34" t="n"/>
      <c r="M98" s="15" t="n"/>
    </row>
    <row r="99" ht="22" customHeight="1">
      <c r="B99" s="19">
        <f>IF(C99="","EC-"&amp;TEXT(COUNTA($C$5:C99),"000"))</f>
        <v/>
      </c>
      <c r="C99" s="12" t="n"/>
      <c r="D99" s="12" t="n"/>
      <c r="E99" s="12" t="n"/>
      <c r="F99" s="33" t="n"/>
      <c r="G99" s="12" t="n"/>
      <c r="H99" s="12" t="n"/>
      <c r="I99" s="12" t="n"/>
      <c r="J99" s="13" t="n"/>
      <c r="K99" s="12" t="n"/>
      <c r="L99" s="33" t="n"/>
      <c r="M99" s="12" t="n"/>
    </row>
    <row r="100" ht="22" customHeight="1">
      <c r="B100" s="18">
        <f>IF(C100="","EC-"&amp;TEXT(COUNTA($C$5:C100),"000"))</f>
        <v/>
      </c>
      <c r="C100" s="15" t="n"/>
      <c r="D100" s="15" t="n"/>
      <c r="E100" s="15" t="n"/>
      <c r="F100" s="34" t="n"/>
      <c r="G100" s="15" t="n"/>
      <c r="H100" s="15" t="n"/>
      <c r="I100" s="15" t="n"/>
      <c r="J100" s="16" t="n"/>
      <c r="K100" s="15" t="n"/>
      <c r="L100" s="34" t="n"/>
      <c r="M100" s="15" t="n"/>
    </row>
    <row r="101" ht="22" customHeight="1">
      <c r="B101" s="19">
        <f>IF(C101="","EC-"&amp;TEXT(COUNTA($C$5:C101),"000"))</f>
        <v/>
      </c>
      <c r="C101" s="12" t="n"/>
      <c r="D101" s="12" t="n"/>
      <c r="E101" s="12" t="n"/>
      <c r="F101" s="33" t="n"/>
      <c r="G101" s="12" t="n"/>
      <c r="H101" s="12" t="n"/>
      <c r="I101" s="12" t="n"/>
      <c r="J101" s="13" t="n"/>
      <c r="K101" s="12" t="n"/>
      <c r="L101" s="33" t="n"/>
      <c r="M101" s="12" t="n"/>
    </row>
    <row r="102" ht="22" customHeight="1">
      <c r="B102" s="18">
        <f>IF(C102="","EC-"&amp;TEXT(COUNTA($C$5:C102),"000"))</f>
        <v/>
      </c>
      <c r="C102" s="15" t="n"/>
      <c r="D102" s="15" t="n"/>
      <c r="E102" s="15" t="n"/>
      <c r="F102" s="34" t="n"/>
      <c r="G102" s="15" t="n"/>
      <c r="H102" s="15" t="n"/>
      <c r="I102" s="15" t="n"/>
      <c r="J102" s="16" t="n"/>
      <c r="K102" s="15" t="n"/>
      <c r="L102" s="34" t="n"/>
      <c r="M102" s="15" t="n"/>
    </row>
    <row r="103" ht="22" customHeight="1">
      <c r="B103" s="19">
        <f>IF(C103="","EC-"&amp;TEXT(COUNTA($C$5:C103),"000"))</f>
        <v/>
      </c>
      <c r="C103" s="12" t="n"/>
      <c r="D103" s="12" t="n"/>
      <c r="E103" s="12" t="n"/>
      <c r="F103" s="33" t="n"/>
      <c r="G103" s="12" t="n"/>
      <c r="H103" s="12" t="n"/>
      <c r="I103" s="12" t="n"/>
      <c r="J103" s="13" t="n"/>
      <c r="K103" s="12" t="n"/>
      <c r="L103" s="33" t="n"/>
      <c r="M103" s="12" t="n"/>
    </row>
    <row r="104" ht="22" customHeight="1">
      <c r="B104" s="18">
        <f>IF(C104="","EC-"&amp;TEXT(COUNTA($C$5:C104),"000"))</f>
        <v/>
      </c>
      <c r="C104" s="15" t="n"/>
      <c r="D104" s="15" t="n"/>
      <c r="E104" s="15" t="n"/>
      <c r="F104" s="34" t="n"/>
      <c r="G104" s="15" t="n"/>
      <c r="H104" s="15" t="n"/>
      <c r="I104" s="15" t="n"/>
      <c r="J104" s="16" t="n"/>
      <c r="K104" s="15" t="n"/>
      <c r="L104" s="34" t="n"/>
      <c r="M104" s="15" t="n"/>
    </row>
    <row r="105" ht="22" customHeight="1">
      <c r="B105" s="19">
        <f>IF(C105="","EC-"&amp;TEXT(COUNTA($C$5:C105),"000"))</f>
        <v/>
      </c>
      <c r="C105" s="12" t="n"/>
      <c r="D105" s="12" t="n"/>
      <c r="E105" s="12" t="n"/>
      <c r="F105" s="33" t="n"/>
      <c r="G105" s="12" t="n"/>
      <c r="H105" s="12" t="n"/>
      <c r="I105" s="12" t="n"/>
      <c r="J105" s="13" t="n"/>
      <c r="K105" s="12" t="n"/>
      <c r="L105" s="33" t="n"/>
      <c r="M105" s="12" t="n"/>
    </row>
    <row r="106" ht="22" customHeight="1">
      <c r="B106" s="18">
        <f>IF(C106="","EC-"&amp;TEXT(COUNTA($C$5:C106),"000"))</f>
        <v/>
      </c>
      <c r="C106" s="15" t="n"/>
      <c r="D106" s="15" t="n"/>
      <c r="E106" s="15" t="n"/>
      <c r="F106" s="34" t="n"/>
      <c r="G106" s="15" t="n"/>
      <c r="H106" s="15" t="n"/>
      <c r="I106" s="15" t="n"/>
      <c r="J106" s="16" t="n"/>
      <c r="K106" s="15" t="n"/>
      <c r="L106" s="34" t="n"/>
      <c r="M106" s="15" t="n"/>
    </row>
    <row r="107" ht="22" customHeight="1">
      <c r="B107" s="19">
        <f>IF(C107="","EC-"&amp;TEXT(COUNTA($C$5:C107),"000"))</f>
        <v/>
      </c>
      <c r="C107" s="12" t="n"/>
      <c r="D107" s="12" t="n"/>
      <c r="E107" s="12" t="n"/>
      <c r="F107" s="33" t="n"/>
      <c r="G107" s="12" t="n"/>
      <c r="H107" s="12" t="n"/>
      <c r="I107" s="12" t="n"/>
      <c r="J107" s="13" t="n"/>
      <c r="K107" s="12" t="n"/>
      <c r="L107" s="33" t="n"/>
      <c r="M107" s="12" t="n"/>
    </row>
    <row r="108" ht="22" customHeight="1">
      <c r="B108" s="18">
        <f>IF(C108="","EC-"&amp;TEXT(COUNTA($C$5:C108),"000"))</f>
        <v/>
      </c>
      <c r="C108" s="15" t="n"/>
      <c r="D108" s="15" t="n"/>
      <c r="E108" s="15" t="n"/>
      <c r="F108" s="34" t="n"/>
      <c r="G108" s="15" t="n"/>
      <c r="H108" s="15" t="n"/>
      <c r="I108" s="15" t="n"/>
      <c r="J108" s="16" t="n"/>
      <c r="K108" s="15" t="n"/>
      <c r="L108" s="34" t="n"/>
      <c r="M108" s="15" t="n"/>
    </row>
    <row r="109" ht="22" customHeight="1">
      <c r="B109" s="19">
        <f>IF(C109="","EC-"&amp;TEXT(COUNTA($C$5:C109),"000"))</f>
        <v/>
      </c>
      <c r="C109" s="12" t="n"/>
      <c r="D109" s="12" t="n"/>
      <c r="E109" s="12" t="n"/>
      <c r="F109" s="33" t="n"/>
      <c r="G109" s="12" t="n"/>
      <c r="H109" s="12" t="n"/>
      <c r="I109" s="12" t="n"/>
      <c r="J109" s="13" t="n"/>
      <c r="K109" s="12" t="n"/>
      <c r="L109" s="33" t="n"/>
      <c r="M109" s="12" t="n"/>
    </row>
    <row r="110"/>
    <row r="111">
      <c r="B111" s="6" t="inlineStr">
        <is>
          <t>INDICATEURS (mis a jour automatiquement)</t>
        </is>
      </c>
    </row>
    <row r="112">
      <c r="B112" s="3" t="inlineStr">
        <is>
          <t>Total ecarts</t>
        </is>
      </c>
      <c r="D112" s="3" t="inlineStr">
        <is>
          <t>Ecarts en attente</t>
        </is>
      </c>
      <c r="F112" s="3" t="inlineStr">
        <is>
          <t>Ecarts justifies</t>
        </is>
      </c>
      <c r="H112" s="3" t="inlineStr">
        <is>
          <t>Non justifies</t>
        </is>
      </c>
    </row>
    <row r="113">
      <c r="B113" s="4">
        <f>COUNTIF(B5:B104,"&lt;&gt;")</f>
        <v/>
      </c>
      <c r="D113" s="4">
        <f>COUNTIF(M5:M104,"En attente")</f>
        <v/>
      </c>
      <c r="F113" s="4">
        <f>COUNTIF(M5:M104,"Justifie")</f>
        <v/>
      </c>
      <c r="H113" s="4">
        <f>COUNTIF(M5:M104,"Non justifie")</f>
        <v/>
      </c>
    </row>
  </sheetData>
  <mergeCells count="3">
    <mergeCell ref="B3:M3"/>
    <mergeCell ref="B2:M2"/>
    <mergeCell ref="B111:M111"/>
  </mergeCells>
  <conditionalFormatting sqref="M5:M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dataValidations count="3">
    <dataValidation sqref="E5:E109" showDropDown="0" showInputMessage="0" showErrorMessage="0" allowBlank="1" errorTitle="Erreur" error="Valeur invalide" promptTitle="Liste" prompt="Choisir dans la liste" type="list">
      <formula1>'_Lists'!$B$2:$B$14</formula1>
    </dataValidation>
    <dataValidation sqref="G5:G109" showDropDown="0" showInputMessage="0" showErrorMessage="0" allowBlank="1" errorTitle="Erreur" error="Valeur invalide" promptTitle="Liste" prompt="Choisir dans la liste" type="list">
      <formula1>'_Lists'!$T$2:$T$8</formula1>
    </dataValidation>
    <dataValidation sqref="M5:M109" showDropDown="0" showInputMessage="0" showErrorMessage="0" allowBlank="1" errorTitle="Erreur" error="Valeur invalide" promptTitle="Liste" prompt="Choisir dans la liste" type="list">
      <formula1>'_Lists'!$U$2:$U$6</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Q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22" customWidth="1" min="3" max="3"/>
    <col width="12" customWidth="1" min="4" max="4"/>
    <col width="10" customWidth="1" min="5" max="5"/>
    <col width="12" customWidth="1" min="6" max="6"/>
    <col width="16" customWidth="1" min="7" max="7"/>
    <col width="16" customWidth="1" min="8" max="8"/>
    <col width="14" customWidth="1" min="9" max="9"/>
    <col width="14" customWidth="1" min="10" max="10"/>
    <col width="16" customWidth="1" min="11" max="11"/>
    <col width="12" customWidth="1" min="12" max="12"/>
    <col width="10" customWidth="1" min="13" max="13"/>
    <col width="14" customWidth="1" min="14" max="14"/>
    <col width="16" customWidth="1" min="15" max="15"/>
    <col width="16" customWidth="1" min="16" max="16"/>
    <col width="14" customWidth="1" min="17" max="17"/>
  </cols>
  <sheetData>
    <row r="1" ht="15" customHeight="1"/>
    <row r="2" ht="32" customHeight="1">
      <c r="B2" s="1" t="inlineStr">
        <is>
          <t>BILAN MENSUEL DU TEMPS DE TRAVAIL</t>
        </is>
      </c>
    </row>
    <row r="3" ht="8" customHeight="1">
      <c r="B3" s="2" t="inlineStr">
        <is>
          <t>TABLEAU DYNAMIQUE — Saisissez dans la prochaine ligne jaune. Les calculs se mettent a jour automatiquement.</t>
        </is>
      </c>
    </row>
    <row r="4" ht="28" customHeight="1">
      <c r="B4" s="11" t="inlineStr">
        <is>
          <t>N° Bilan</t>
        </is>
      </c>
      <c r="C4" s="11" t="inlineStr">
        <is>
          <t>Departement</t>
        </is>
      </c>
      <c r="D4" s="11" t="inlineStr">
        <is>
          <t>Mois</t>
        </is>
      </c>
      <c r="E4" s="11" t="inlineStr">
        <is>
          <t>Annee</t>
        </is>
      </c>
      <c r="F4" s="11" t="inlineStr">
        <is>
          <t>Effectif</t>
        </is>
      </c>
      <c r="G4" s="11" t="inlineStr">
        <is>
          <t>Heures Theoriques</t>
        </is>
      </c>
      <c r="H4" s="11" t="inlineStr">
        <is>
          <t>Heures Effectives</t>
        </is>
      </c>
      <c r="I4" s="11" t="inlineStr">
        <is>
          <t>Heures Supp</t>
        </is>
      </c>
      <c r="J4" s="11" t="inlineStr">
        <is>
          <t>Heures Nuit</t>
        </is>
      </c>
      <c r="K4" s="11" t="inlineStr">
        <is>
          <t>Heures WE/Feries</t>
        </is>
      </c>
      <c r="L4" s="11" t="inlineStr">
        <is>
          <t>Absences (j)</t>
        </is>
      </c>
      <c r="M4" s="11" t="inlineStr">
        <is>
          <t>Retards</t>
        </is>
      </c>
      <c r="N4" s="11" t="inlineStr">
        <is>
          <t>Taux Presence</t>
        </is>
      </c>
      <c r="O4" s="11" t="inlineStr">
        <is>
          <t>Ecart Global (h)</t>
        </is>
      </c>
      <c r="P4" s="11" t="inlineStr">
        <is>
          <t>Cout Supp (FCFA)</t>
        </is>
      </c>
      <c r="Q4" s="11" t="inlineStr">
        <is>
          <t>Statut</t>
        </is>
      </c>
    </row>
    <row r="5" ht="22" customHeight="1">
      <c r="B5" s="12" t="inlineStr">
        <is>
          <t>BMT-001</t>
        </is>
      </c>
      <c r="C5" s="12" t="inlineStr">
        <is>
          <t>Ressources Humaines</t>
        </is>
      </c>
      <c r="D5" s="12" t="inlineStr">
        <is>
          <t>Juin</t>
        </is>
      </c>
      <c r="E5" s="12" t="inlineStr">
        <is>
          <t>2025</t>
        </is>
      </c>
      <c r="F5" s="13">
        <f>IF(C5="","",IFERROR(COUNTIFS('10-Compteurs Temps'!E$5:E$104,C5,'10-Compteurs Temps'!F$5:F$104,D5,'10-Compteurs Temps'!G$5:G$104,E5),0))</f>
        <v/>
      </c>
      <c r="G5" s="21">
        <f>IF(C5="","",IFERROR(SUMIFS('10-Compteurs Temps'!H$5:H$104,'10-Compteurs Temps'!E$5:E$104,C5,'10-Compteurs Temps'!F$5:F$104,D5,'10-Compteurs Temps'!G$5:G$104,E5),0))</f>
        <v/>
      </c>
      <c r="H5" s="21">
        <f>IF(C5="","",IFERROR(SUMIFS('10-Compteurs Temps'!I$5:I$104,'10-Compteurs Temps'!E$5:E$104,C5,'10-Compteurs Temps'!F$5:F$104,D5,'10-Compteurs Temps'!G$5:G$104,E5),0))</f>
        <v/>
      </c>
      <c r="I5" s="14">
        <f>IF(C5="","",IFERROR(SUMIFS('10-Compteurs Temps'!J$5:J$104,'10-Compteurs Temps'!E$5:E$104,C5,'10-Compteurs Temps'!F$5:F$104,D5,'10-Compteurs Temps'!G$5:G$104,E5),0))</f>
        <v/>
      </c>
      <c r="J5" s="14">
        <f>IF(C5="","",IFERROR(SUMIFS('10-Compteurs Temps'!K$5:K$104,'10-Compteurs Temps'!E$5:E$104,C5,'10-Compteurs Temps'!F$5:F$104,D5,'10-Compteurs Temps'!G$5:G$104,E5),0))</f>
        <v/>
      </c>
      <c r="K5" s="14">
        <f>IF(C5="","",IFERROR(SUMIFS('9-Heures WE &amp; Feries'!I$5:I$104,'9-Heures WE &amp; Feries'!E$5:E$104,C5),0))</f>
        <v/>
      </c>
      <c r="L5" s="13">
        <f>IF(C5="","",IFERROR(SUMIFS('10-Compteurs Temps'!L$5:L$104,'10-Compteurs Temps'!E$5:E$104,C5,'10-Compteurs Temps'!F$5:F$104,D5,'10-Compteurs Temps'!G$5:G$104,E5)/8,0))</f>
        <v/>
      </c>
      <c r="M5" s="13" t="n">
        <v>3</v>
      </c>
      <c r="N5" s="29">
        <f>IF(OR(C5="",G5=0,G5=""),"",IFERROR(H5/G5,0))</f>
        <v/>
      </c>
      <c r="O5" s="14">
        <f>IF(C5="","",IFERROR(H5-G5,0))</f>
        <v/>
      </c>
      <c r="P5" s="21">
        <f>IF(C5="","",IFERROR(SUMIFS('7-Heures Supplementaires'!M$5:M$104,'7-Heures Supplementaires'!E$5:E$104,C5),0))</f>
        <v/>
      </c>
      <c r="Q5" s="12" t="inlineStr">
        <is>
          <t>Valide</t>
        </is>
      </c>
    </row>
    <row r="6" ht="22" customHeight="1">
      <c r="B6" s="15" t="inlineStr">
        <is>
          <t>BMT-002</t>
        </is>
      </c>
      <c r="C6" s="15" t="inlineStr">
        <is>
          <t>Informatique</t>
        </is>
      </c>
      <c r="D6" s="15" t="inlineStr">
        <is>
          <t>Juin</t>
        </is>
      </c>
      <c r="E6" s="15" t="inlineStr">
        <is>
          <t>2025</t>
        </is>
      </c>
      <c r="F6" s="16">
        <f>IF(C6="","",IFERROR(COUNTIFS('10-Compteurs Temps'!E$5:E$104,C6,'10-Compteurs Temps'!F$5:F$104,D6,'10-Compteurs Temps'!G$5:G$104,E6),0))</f>
        <v/>
      </c>
      <c r="G6" s="23">
        <f>IF(C6="","",IFERROR(SUMIFS('10-Compteurs Temps'!H$5:H$104,'10-Compteurs Temps'!E$5:E$104,C6,'10-Compteurs Temps'!F$5:F$104,D6,'10-Compteurs Temps'!G$5:G$104,E6),0))</f>
        <v/>
      </c>
      <c r="H6" s="23">
        <f>IF(C6="","",IFERROR(SUMIFS('10-Compteurs Temps'!I$5:I$104,'10-Compteurs Temps'!E$5:E$104,C6,'10-Compteurs Temps'!F$5:F$104,D6,'10-Compteurs Temps'!G$5:G$104,E6),0))</f>
        <v/>
      </c>
      <c r="I6" s="17">
        <f>IF(C6="","",IFERROR(SUMIFS('10-Compteurs Temps'!J$5:J$104,'10-Compteurs Temps'!E$5:E$104,C6,'10-Compteurs Temps'!F$5:F$104,D6,'10-Compteurs Temps'!G$5:G$104,E6),0))</f>
        <v/>
      </c>
      <c r="J6" s="17">
        <f>IF(C6="","",IFERROR(SUMIFS('10-Compteurs Temps'!K$5:K$104,'10-Compteurs Temps'!E$5:E$104,C6,'10-Compteurs Temps'!F$5:F$104,D6,'10-Compteurs Temps'!G$5:G$104,E6),0))</f>
        <v/>
      </c>
      <c r="K6" s="17">
        <f>IF(C6="","",IFERROR(SUMIFS('9-Heures WE &amp; Feries'!I$5:I$104,'9-Heures WE &amp; Feries'!E$5:E$104,C6),0))</f>
        <v/>
      </c>
      <c r="L6" s="16">
        <f>IF(C6="","",IFERROR(SUMIFS('10-Compteurs Temps'!L$5:L$104,'10-Compteurs Temps'!E$5:E$104,C6,'10-Compteurs Temps'!F$5:F$104,D6,'10-Compteurs Temps'!G$5:G$104,E6)/8,0))</f>
        <v/>
      </c>
      <c r="M6" s="16" t="n">
        <v>2</v>
      </c>
      <c r="N6" s="30">
        <f>IF(OR(C6="",G6=0,G6=""),"",IFERROR(H6/G6,0))</f>
        <v/>
      </c>
      <c r="O6" s="17">
        <f>IF(C6="","",IFERROR(H6-G6,0))</f>
        <v/>
      </c>
      <c r="P6" s="23">
        <f>IF(C6="","",IFERROR(SUMIFS('7-Heures Supplementaires'!M$5:M$104,'7-Heures Supplementaires'!E$5:E$104,C6),0))</f>
        <v/>
      </c>
      <c r="Q6" s="15" t="inlineStr">
        <is>
          <t>Valide</t>
        </is>
      </c>
    </row>
    <row r="7" ht="22" customHeight="1">
      <c r="B7" s="12" t="inlineStr">
        <is>
          <t>BMT-003</t>
        </is>
      </c>
      <c r="C7" s="12" t="inlineStr">
        <is>
          <t>Finance &amp; Comptabilite</t>
        </is>
      </c>
      <c r="D7" s="12" t="inlineStr">
        <is>
          <t>Juin</t>
        </is>
      </c>
      <c r="E7" s="12" t="inlineStr">
        <is>
          <t>2025</t>
        </is>
      </c>
      <c r="F7" s="13">
        <f>IF(C7="","",IFERROR(COUNTIFS('10-Compteurs Temps'!E$5:E$104,C7,'10-Compteurs Temps'!F$5:F$104,D7,'10-Compteurs Temps'!G$5:G$104,E7),0))</f>
        <v/>
      </c>
      <c r="G7" s="21">
        <f>IF(C7="","",IFERROR(SUMIFS('10-Compteurs Temps'!H$5:H$104,'10-Compteurs Temps'!E$5:E$104,C7,'10-Compteurs Temps'!F$5:F$104,D7,'10-Compteurs Temps'!G$5:G$104,E7),0))</f>
        <v/>
      </c>
      <c r="H7" s="21">
        <f>IF(C7="","",IFERROR(SUMIFS('10-Compteurs Temps'!I$5:I$104,'10-Compteurs Temps'!E$5:E$104,C7,'10-Compteurs Temps'!F$5:F$104,D7,'10-Compteurs Temps'!G$5:G$104,E7),0))</f>
        <v/>
      </c>
      <c r="I7" s="14">
        <f>IF(C7="","",IFERROR(SUMIFS('10-Compteurs Temps'!J$5:J$104,'10-Compteurs Temps'!E$5:E$104,C7,'10-Compteurs Temps'!F$5:F$104,D7,'10-Compteurs Temps'!G$5:G$104,E7),0))</f>
        <v/>
      </c>
      <c r="J7" s="14">
        <f>IF(C7="","",IFERROR(SUMIFS('10-Compteurs Temps'!K$5:K$104,'10-Compteurs Temps'!E$5:E$104,C7,'10-Compteurs Temps'!F$5:F$104,D7,'10-Compteurs Temps'!G$5:G$104,E7),0))</f>
        <v/>
      </c>
      <c r="K7" s="14">
        <f>IF(C7="","",IFERROR(SUMIFS('9-Heures WE &amp; Feries'!I$5:I$104,'9-Heures WE &amp; Feries'!E$5:E$104,C7),0))</f>
        <v/>
      </c>
      <c r="L7" s="13">
        <f>IF(C7="","",IFERROR(SUMIFS('10-Compteurs Temps'!L$5:L$104,'10-Compteurs Temps'!E$5:E$104,C7,'10-Compteurs Temps'!F$5:F$104,D7,'10-Compteurs Temps'!G$5:G$104,E7)/8,0))</f>
        <v/>
      </c>
      <c r="M7" s="13" t="n">
        <v>1</v>
      </c>
      <c r="N7" s="29">
        <f>IF(OR(C7="",G7=0,G7=""),"",IFERROR(H7/G7,0))</f>
        <v/>
      </c>
      <c r="O7" s="14">
        <f>IF(C7="","",IFERROR(H7-G7,0))</f>
        <v/>
      </c>
      <c r="P7" s="21">
        <f>IF(C7="","",IFERROR(SUMIFS('7-Heures Supplementaires'!M$5:M$104,'7-Heures Supplementaires'!E$5:E$104,C7),0))</f>
        <v/>
      </c>
      <c r="Q7" s="12" t="inlineStr">
        <is>
          <t>Valide</t>
        </is>
      </c>
    </row>
    <row r="8" ht="22" customHeight="1">
      <c r="B8" s="15" t="inlineStr">
        <is>
          <t>BMT-004</t>
        </is>
      </c>
      <c r="C8" s="15" t="inlineStr">
        <is>
          <t>Reception &amp; Front Office</t>
        </is>
      </c>
      <c r="D8" s="15" t="inlineStr">
        <is>
          <t>Juin</t>
        </is>
      </c>
      <c r="E8" s="15" t="inlineStr">
        <is>
          <t>2025</t>
        </is>
      </c>
      <c r="F8" s="16">
        <f>IF(C8="","",IFERROR(COUNTIFS('10-Compteurs Temps'!E$5:E$104,C8,'10-Compteurs Temps'!F$5:F$104,D8,'10-Compteurs Temps'!G$5:G$104,E8),0))</f>
        <v/>
      </c>
      <c r="G8" s="23">
        <f>IF(C8="","",IFERROR(SUMIFS('10-Compteurs Temps'!H$5:H$104,'10-Compteurs Temps'!E$5:E$104,C8,'10-Compteurs Temps'!F$5:F$104,D8,'10-Compteurs Temps'!G$5:G$104,E8),0))</f>
        <v/>
      </c>
      <c r="H8" s="23">
        <f>IF(C8="","",IFERROR(SUMIFS('10-Compteurs Temps'!I$5:I$104,'10-Compteurs Temps'!E$5:E$104,C8,'10-Compteurs Temps'!F$5:F$104,D8,'10-Compteurs Temps'!G$5:G$104,E8),0))</f>
        <v/>
      </c>
      <c r="I8" s="17">
        <f>IF(C8="","",IFERROR(SUMIFS('10-Compteurs Temps'!J$5:J$104,'10-Compteurs Temps'!E$5:E$104,C8,'10-Compteurs Temps'!F$5:F$104,D8,'10-Compteurs Temps'!G$5:G$104,E8),0))</f>
        <v/>
      </c>
      <c r="J8" s="17">
        <f>IF(C8="","",IFERROR(SUMIFS('10-Compteurs Temps'!K$5:K$104,'10-Compteurs Temps'!E$5:E$104,C8,'10-Compteurs Temps'!F$5:F$104,D8,'10-Compteurs Temps'!G$5:G$104,E8),0))</f>
        <v/>
      </c>
      <c r="K8" s="17">
        <f>IF(C8="","",IFERROR(SUMIFS('9-Heures WE &amp; Feries'!I$5:I$104,'9-Heures WE &amp; Feries'!E$5:E$104,C8),0))</f>
        <v/>
      </c>
      <c r="L8" s="16">
        <f>IF(C8="","",IFERROR(SUMIFS('10-Compteurs Temps'!L$5:L$104,'10-Compteurs Temps'!E$5:E$104,C8,'10-Compteurs Temps'!F$5:F$104,D8,'10-Compteurs Temps'!G$5:G$104,E8)/8,0))</f>
        <v/>
      </c>
      <c r="M8" s="16" t="n">
        <v>5</v>
      </c>
      <c r="N8" s="30">
        <f>IF(OR(C8="",G8=0,G8=""),"",IFERROR(H8/G8,0))</f>
        <v/>
      </c>
      <c r="O8" s="17">
        <f>IF(C8="","",IFERROR(H8-G8,0))</f>
        <v/>
      </c>
      <c r="P8" s="23">
        <f>IF(C8="","",IFERROR(SUMIFS('7-Heures Supplementaires'!M$5:M$104,'7-Heures Supplementaires'!E$5:E$104,C8),0))</f>
        <v/>
      </c>
      <c r="Q8" s="15" t="inlineStr">
        <is>
          <t>Valide</t>
        </is>
      </c>
    </row>
    <row r="9" ht="22" customHeight="1">
      <c r="B9" s="12" t="inlineStr">
        <is>
          <t>BMT-005</t>
        </is>
      </c>
      <c r="C9" s="12" t="inlineStr">
        <is>
          <t>Cuisine &amp; Restauration</t>
        </is>
      </c>
      <c r="D9" s="12" t="inlineStr">
        <is>
          <t>Juin</t>
        </is>
      </c>
      <c r="E9" s="12" t="inlineStr">
        <is>
          <t>2025</t>
        </is>
      </c>
      <c r="F9" s="13">
        <f>IF(C9="","",IFERROR(COUNTIFS('10-Compteurs Temps'!E$5:E$104,C9,'10-Compteurs Temps'!F$5:F$104,D9,'10-Compteurs Temps'!G$5:G$104,E9),0))</f>
        <v/>
      </c>
      <c r="G9" s="21">
        <f>IF(C9="","",IFERROR(SUMIFS('10-Compteurs Temps'!H$5:H$104,'10-Compteurs Temps'!E$5:E$104,C9,'10-Compteurs Temps'!F$5:F$104,D9,'10-Compteurs Temps'!G$5:G$104,E9),0))</f>
        <v/>
      </c>
      <c r="H9" s="21">
        <f>IF(C9="","",IFERROR(SUMIFS('10-Compteurs Temps'!I$5:I$104,'10-Compteurs Temps'!E$5:E$104,C9,'10-Compteurs Temps'!F$5:F$104,D9,'10-Compteurs Temps'!G$5:G$104,E9),0))</f>
        <v/>
      </c>
      <c r="I9" s="14">
        <f>IF(C9="","",IFERROR(SUMIFS('10-Compteurs Temps'!J$5:J$104,'10-Compteurs Temps'!E$5:E$104,C9,'10-Compteurs Temps'!F$5:F$104,D9,'10-Compteurs Temps'!G$5:G$104,E9),0))</f>
        <v/>
      </c>
      <c r="J9" s="14">
        <f>IF(C9="","",IFERROR(SUMIFS('10-Compteurs Temps'!K$5:K$104,'10-Compteurs Temps'!E$5:E$104,C9,'10-Compteurs Temps'!F$5:F$104,D9,'10-Compteurs Temps'!G$5:G$104,E9),0))</f>
        <v/>
      </c>
      <c r="K9" s="14">
        <f>IF(C9="","",IFERROR(SUMIFS('9-Heures WE &amp; Feries'!I$5:I$104,'9-Heures WE &amp; Feries'!E$5:E$104,C9),0))</f>
        <v/>
      </c>
      <c r="L9" s="13">
        <f>IF(C9="","",IFERROR(SUMIFS('10-Compteurs Temps'!L$5:L$104,'10-Compteurs Temps'!E$5:E$104,C9,'10-Compteurs Temps'!F$5:F$104,D9,'10-Compteurs Temps'!G$5:G$104,E9)/8,0))</f>
        <v/>
      </c>
      <c r="M9" s="13" t="n">
        <v>8</v>
      </c>
      <c r="N9" s="29">
        <f>IF(OR(C9="",G9=0,G9=""),"",IFERROR(H9/G9,0))</f>
        <v/>
      </c>
      <c r="O9" s="14">
        <f>IF(C9="","",IFERROR(H9-G9,0))</f>
        <v/>
      </c>
      <c r="P9" s="21">
        <f>IF(C9="","",IFERROR(SUMIFS('7-Heures Supplementaires'!M$5:M$104,'7-Heures Supplementaires'!E$5:E$104,C9),0))</f>
        <v/>
      </c>
      <c r="Q9" s="12" t="inlineStr">
        <is>
          <t>Valide</t>
        </is>
      </c>
    </row>
    <row r="10" ht="22" customHeight="1">
      <c r="B10" s="18">
        <f>IF(C10="","BMT-"&amp;TEXT(COUNTA($C$5:C10),"000"))</f>
        <v/>
      </c>
      <c r="C10" s="15" t="n"/>
      <c r="D10" s="15" t="n"/>
      <c r="E10" s="15" t="n"/>
      <c r="F10" s="16">
        <f>IF(C10="","",IFERROR(COUNTIFS('10-Compteurs Temps'!E$5:E$104,C10,'10-Compteurs Temps'!F$5:F$104,D10,'10-Compteurs Temps'!G$5:G$104,E10),0))</f>
        <v/>
      </c>
      <c r="G10" s="23">
        <f>IF(C10="","",IFERROR(SUMIFS('10-Compteurs Temps'!H$5:H$104,'10-Compteurs Temps'!E$5:E$104,C10,'10-Compteurs Temps'!F$5:F$104,D10,'10-Compteurs Temps'!G$5:G$104,E10),0))</f>
        <v/>
      </c>
      <c r="H10" s="23">
        <f>IF(C10="","",IFERROR(SUMIFS('10-Compteurs Temps'!I$5:I$104,'10-Compteurs Temps'!E$5:E$104,C10,'10-Compteurs Temps'!F$5:F$104,D10,'10-Compteurs Temps'!G$5:G$104,E10),0))</f>
        <v/>
      </c>
      <c r="I10" s="17">
        <f>IF(C10="","",IFERROR(SUMIFS('10-Compteurs Temps'!J$5:J$104,'10-Compteurs Temps'!E$5:E$104,C10,'10-Compteurs Temps'!F$5:F$104,D10,'10-Compteurs Temps'!G$5:G$104,E10),0))</f>
        <v/>
      </c>
      <c r="J10" s="17">
        <f>IF(C10="","",IFERROR(SUMIFS('10-Compteurs Temps'!K$5:K$104,'10-Compteurs Temps'!E$5:E$104,C10,'10-Compteurs Temps'!F$5:F$104,D10,'10-Compteurs Temps'!G$5:G$104,E10),0))</f>
        <v/>
      </c>
      <c r="K10" s="17">
        <f>IF(C10="","",IFERROR(SUMIFS('9-Heures WE &amp; Feries'!I$5:I$104,'9-Heures WE &amp; Feries'!E$5:E$104,C10),0))</f>
        <v/>
      </c>
      <c r="L10" s="16">
        <f>IF(C10="","",IFERROR(SUMIFS('10-Compteurs Temps'!L$5:L$104,'10-Compteurs Temps'!E$5:E$104,C10,'10-Compteurs Temps'!F$5:F$104,D10,'10-Compteurs Temps'!G$5:G$104,E10)/8,0))</f>
        <v/>
      </c>
      <c r="M10" s="16" t="n"/>
      <c r="N10" s="30">
        <f>IF(OR(C10="",G10=0,G10=""),"",IFERROR(H10/G10,0))</f>
        <v/>
      </c>
      <c r="O10" s="17">
        <f>IF(C10="","",IFERROR(H10-G10,0))</f>
        <v/>
      </c>
      <c r="P10" s="23">
        <f>IF(C10="","",IFERROR(SUMIFS('7-Heures Supplementaires'!M$5:M$104,'7-Heures Supplementaires'!E$5:E$104,C10),0))</f>
        <v/>
      </c>
      <c r="Q10" s="15" t="n"/>
    </row>
    <row r="11" ht="22" customHeight="1">
      <c r="B11" s="19">
        <f>IF(C11="","BMT-"&amp;TEXT(COUNTA($C$5:C11),"000"))</f>
        <v/>
      </c>
      <c r="C11" s="12" t="n"/>
      <c r="D11" s="12" t="n"/>
      <c r="E11" s="12" t="n"/>
      <c r="F11" s="13">
        <f>IF(C11="","",IFERROR(COUNTIFS('10-Compteurs Temps'!E$5:E$104,C11,'10-Compteurs Temps'!F$5:F$104,D11,'10-Compteurs Temps'!G$5:G$104,E11),0))</f>
        <v/>
      </c>
      <c r="G11" s="21">
        <f>IF(C11="","",IFERROR(SUMIFS('10-Compteurs Temps'!H$5:H$104,'10-Compteurs Temps'!E$5:E$104,C11,'10-Compteurs Temps'!F$5:F$104,D11,'10-Compteurs Temps'!G$5:G$104,E11),0))</f>
        <v/>
      </c>
      <c r="H11" s="21">
        <f>IF(C11="","",IFERROR(SUMIFS('10-Compteurs Temps'!I$5:I$104,'10-Compteurs Temps'!E$5:E$104,C11,'10-Compteurs Temps'!F$5:F$104,D11,'10-Compteurs Temps'!G$5:G$104,E11),0))</f>
        <v/>
      </c>
      <c r="I11" s="14">
        <f>IF(C11="","",IFERROR(SUMIFS('10-Compteurs Temps'!J$5:J$104,'10-Compteurs Temps'!E$5:E$104,C11,'10-Compteurs Temps'!F$5:F$104,D11,'10-Compteurs Temps'!G$5:G$104,E11),0))</f>
        <v/>
      </c>
      <c r="J11" s="14">
        <f>IF(C11="","",IFERROR(SUMIFS('10-Compteurs Temps'!K$5:K$104,'10-Compteurs Temps'!E$5:E$104,C11,'10-Compteurs Temps'!F$5:F$104,D11,'10-Compteurs Temps'!G$5:G$104,E11),0))</f>
        <v/>
      </c>
      <c r="K11" s="14">
        <f>IF(C11="","",IFERROR(SUMIFS('9-Heures WE &amp; Feries'!I$5:I$104,'9-Heures WE &amp; Feries'!E$5:E$104,C11),0))</f>
        <v/>
      </c>
      <c r="L11" s="13">
        <f>IF(C11="","",IFERROR(SUMIFS('10-Compteurs Temps'!L$5:L$104,'10-Compteurs Temps'!E$5:E$104,C11,'10-Compteurs Temps'!F$5:F$104,D11,'10-Compteurs Temps'!G$5:G$104,E11)/8,0))</f>
        <v/>
      </c>
      <c r="M11" s="13" t="n"/>
      <c r="N11" s="29">
        <f>IF(OR(C11="",G11=0,G11=""),"",IFERROR(H11/G11,0))</f>
        <v/>
      </c>
      <c r="O11" s="14">
        <f>IF(C11="","",IFERROR(H11-G11,0))</f>
        <v/>
      </c>
      <c r="P11" s="21">
        <f>IF(C11="","",IFERROR(SUMIFS('7-Heures Supplementaires'!M$5:M$104,'7-Heures Supplementaires'!E$5:E$104,C11),0))</f>
        <v/>
      </c>
      <c r="Q11" s="12" t="n"/>
    </row>
    <row r="12" ht="22" customHeight="1">
      <c r="B12" s="18">
        <f>IF(C12="","BMT-"&amp;TEXT(COUNTA($C$5:C12),"000"))</f>
        <v/>
      </c>
      <c r="C12" s="15" t="n"/>
      <c r="D12" s="15" t="n"/>
      <c r="E12" s="15" t="n"/>
      <c r="F12" s="16">
        <f>IF(C12="","",IFERROR(COUNTIFS('10-Compteurs Temps'!E$5:E$104,C12,'10-Compteurs Temps'!F$5:F$104,D12,'10-Compteurs Temps'!G$5:G$104,E12),0))</f>
        <v/>
      </c>
      <c r="G12" s="23">
        <f>IF(C12="","",IFERROR(SUMIFS('10-Compteurs Temps'!H$5:H$104,'10-Compteurs Temps'!E$5:E$104,C12,'10-Compteurs Temps'!F$5:F$104,D12,'10-Compteurs Temps'!G$5:G$104,E12),0))</f>
        <v/>
      </c>
      <c r="H12" s="23">
        <f>IF(C12="","",IFERROR(SUMIFS('10-Compteurs Temps'!I$5:I$104,'10-Compteurs Temps'!E$5:E$104,C12,'10-Compteurs Temps'!F$5:F$104,D12,'10-Compteurs Temps'!G$5:G$104,E12),0))</f>
        <v/>
      </c>
      <c r="I12" s="17">
        <f>IF(C12="","",IFERROR(SUMIFS('10-Compteurs Temps'!J$5:J$104,'10-Compteurs Temps'!E$5:E$104,C12,'10-Compteurs Temps'!F$5:F$104,D12,'10-Compteurs Temps'!G$5:G$104,E12),0))</f>
        <v/>
      </c>
      <c r="J12" s="17">
        <f>IF(C12="","",IFERROR(SUMIFS('10-Compteurs Temps'!K$5:K$104,'10-Compteurs Temps'!E$5:E$104,C12,'10-Compteurs Temps'!F$5:F$104,D12,'10-Compteurs Temps'!G$5:G$104,E12),0))</f>
        <v/>
      </c>
      <c r="K12" s="17">
        <f>IF(C12="","",IFERROR(SUMIFS('9-Heures WE &amp; Feries'!I$5:I$104,'9-Heures WE &amp; Feries'!E$5:E$104,C12),0))</f>
        <v/>
      </c>
      <c r="L12" s="16">
        <f>IF(C12="","",IFERROR(SUMIFS('10-Compteurs Temps'!L$5:L$104,'10-Compteurs Temps'!E$5:E$104,C12,'10-Compteurs Temps'!F$5:F$104,D12,'10-Compteurs Temps'!G$5:G$104,E12)/8,0))</f>
        <v/>
      </c>
      <c r="M12" s="16" t="n"/>
      <c r="N12" s="30">
        <f>IF(OR(C12="",G12=0,G12=""),"",IFERROR(H12/G12,0))</f>
        <v/>
      </c>
      <c r="O12" s="17">
        <f>IF(C12="","",IFERROR(H12-G12,0))</f>
        <v/>
      </c>
      <c r="P12" s="23">
        <f>IF(C12="","",IFERROR(SUMIFS('7-Heures Supplementaires'!M$5:M$104,'7-Heures Supplementaires'!E$5:E$104,C12),0))</f>
        <v/>
      </c>
      <c r="Q12" s="15" t="n"/>
    </row>
    <row r="13" ht="22" customHeight="1">
      <c r="B13" s="19">
        <f>IF(C13="","BMT-"&amp;TEXT(COUNTA($C$5:C13),"000"))</f>
        <v/>
      </c>
      <c r="C13" s="12" t="n"/>
      <c r="D13" s="12" t="n"/>
      <c r="E13" s="12" t="n"/>
      <c r="F13" s="13">
        <f>IF(C13="","",IFERROR(COUNTIFS('10-Compteurs Temps'!E$5:E$104,C13,'10-Compteurs Temps'!F$5:F$104,D13,'10-Compteurs Temps'!G$5:G$104,E13),0))</f>
        <v/>
      </c>
      <c r="G13" s="21">
        <f>IF(C13="","",IFERROR(SUMIFS('10-Compteurs Temps'!H$5:H$104,'10-Compteurs Temps'!E$5:E$104,C13,'10-Compteurs Temps'!F$5:F$104,D13,'10-Compteurs Temps'!G$5:G$104,E13),0))</f>
        <v/>
      </c>
      <c r="H13" s="21">
        <f>IF(C13="","",IFERROR(SUMIFS('10-Compteurs Temps'!I$5:I$104,'10-Compteurs Temps'!E$5:E$104,C13,'10-Compteurs Temps'!F$5:F$104,D13,'10-Compteurs Temps'!G$5:G$104,E13),0))</f>
        <v/>
      </c>
      <c r="I13" s="14">
        <f>IF(C13="","",IFERROR(SUMIFS('10-Compteurs Temps'!J$5:J$104,'10-Compteurs Temps'!E$5:E$104,C13,'10-Compteurs Temps'!F$5:F$104,D13,'10-Compteurs Temps'!G$5:G$104,E13),0))</f>
        <v/>
      </c>
      <c r="J13" s="14">
        <f>IF(C13="","",IFERROR(SUMIFS('10-Compteurs Temps'!K$5:K$104,'10-Compteurs Temps'!E$5:E$104,C13,'10-Compteurs Temps'!F$5:F$104,D13,'10-Compteurs Temps'!G$5:G$104,E13),0))</f>
        <v/>
      </c>
      <c r="K13" s="14">
        <f>IF(C13="","",IFERROR(SUMIFS('9-Heures WE &amp; Feries'!I$5:I$104,'9-Heures WE &amp; Feries'!E$5:E$104,C13),0))</f>
        <v/>
      </c>
      <c r="L13" s="13">
        <f>IF(C13="","",IFERROR(SUMIFS('10-Compteurs Temps'!L$5:L$104,'10-Compteurs Temps'!E$5:E$104,C13,'10-Compteurs Temps'!F$5:F$104,D13,'10-Compteurs Temps'!G$5:G$104,E13)/8,0))</f>
        <v/>
      </c>
      <c r="M13" s="13" t="n"/>
      <c r="N13" s="29">
        <f>IF(OR(C13="",G13=0,G13=""),"",IFERROR(H13/G13,0))</f>
        <v/>
      </c>
      <c r="O13" s="14">
        <f>IF(C13="","",IFERROR(H13-G13,0))</f>
        <v/>
      </c>
      <c r="P13" s="21">
        <f>IF(C13="","",IFERROR(SUMIFS('7-Heures Supplementaires'!M$5:M$104,'7-Heures Supplementaires'!E$5:E$104,C13),0))</f>
        <v/>
      </c>
      <c r="Q13" s="12" t="n"/>
    </row>
    <row r="14" ht="22" customHeight="1">
      <c r="B14" s="18">
        <f>IF(C14="","BMT-"&amp;TEXT(COUNTA($C$5:C14),"000"))</f>
        <v/>
      </c>
      <c r="C14" s="15" t="n"/>
      <c r="D14" s="15" t="n"/>
      <c r="E14" s="15" t="n"/>
      <c r="F14" s="16">
        <f>IF(C14="","",IFERROR(COUNTIFS('10-Compteurs Temps'!E$5:E$104,C14,'10-Compteurs Temps'!F$5:F$104,D14,'10-Compteurs Temps'!G$5:G$104,E14),0))</f>
        <v/>
      </c>
      <c r="G14" s="23">
        <f>IF(C14="","",IFERROR(SUMIFS('10-Compteurs Temps'!H$5:H$104,'10-Compteurs Temps'!E$5:E$104,C14,'10-Compteurs Temps'!F$5:F$104,D14,'10-Compteurs Temps'!G$5:G$104,E14),0))</f>
        <v/>
      </c>
      <c r="H14" s="23">
        <f>IF(C14="","",IFERROR(SUMIFS('10-Compteurs Temps'!I$5:I$104,'10-Compteurs Temps'!E$5:E$104,C14,'10-Compteurs Temps'!F$5:F$104,D14,'10-Compteurs Temps'!G$5:G$104,E14),0))</f>
        <v/>
      </c>
      <c r="I14" s="17">
        <f>IF(C14="","",IFERROR(SUMIFS('10-Compteurs Temps'!J$5:J$104,'10-Compteurs Temps'!E$5:E$104,C14,'10-Compteurs Temps'!F$5:F$104,D14,'10-Compteurs Temps'!G$5:G$104,E14),0))</f>
        <v/>
      </c>
      <c r="J14" s="17">
        <f>IF(C14="","",IFERROR(SUMIFS('10-Compteurs Temps'!K$5:K$104,'10-Compteurs Temps'!E$5:E$104,C14,'10-Compteurs Temps'!F$5:F$104,D14,'10-Compteurs Temps'!G$5:G$104,E14),0))</f>
        <v/>
      </c>
      <c r="K14" s="17">
        <f>IF(C14="","",IFERROR(SUMIFS('9-Heures WE &amp; Feries'!I$5:I$104,'9-Heures WE &amp; Feries'!E$5:E$104,C14),0))</f>
        <v/>
      </c>
      <c r="L14" s="16">
        <f>IF(C14="","",IFERROR(SUMIFS('10-Compteurs Temps'!L$5:L$104,'10-Compteurs Temps'!E$5:E$104,C14,'10-Compteurs Temps'!F$5:F$104,D14,'10-Compteurs Temps'!G$5:G$104,E14)/8,0))</f>
        <v/>
      </c>
      <c r="M14" s="16" t="n"/>
      <c r="N14" s="30">
        <f>IF(OR(C14="",G14=0,G14=""),"",IFERROR(H14/G14,0))</f>
        <v/>
      </c>
      <c r="O14" s="17">
        <f>IF(C14="","",IFERROR(H14-G14,0))</f>
        <v/>
      </c>
      <c r="P14" s="23">
        <f>IF(C14="","",IFERROR(SUMIFS('7-Heures Supplementaires'!M$5:M$104,'7-Heures Supplementaires'!E$5:E$104,C14),0))</f>
        <v/>
      </c>
      <c r="Q14" s="15" t="n"/>
    </row>
    <row r="15" ht="22" customHeight="1">
      <c r="B15" s="19">
        <f>IF(C15="","BMT-"&amp;TEXT(COUNTA($C$5:C15),"000"))</f>
        <v/>
      </c>
      <c r="C15" s="12" t="n"/>
      <c r="D15" s="12" t="n"/>
      <c r="E15" s="12" t="n"/>
      <c r="F15" s="13">
        <f>IF(C15="","",IFERROR(COUNTIFS('10-Compteurs Temps'!E$5:E$104,C15,'10-Compteurs Temps'!F$5:F$104,D15,'10-Compteurs Temps'!G$5:G$104,E15),0))</f>
        <v/>
      </c>
      <c r="G15" s="21">
        <f>IF(C15="","",IFERROR(SUMIFS('10-Compteurs Temps'!H$5:H$104,'10-Compteurs Temps'!E$5:E$104,C15,'10-Compteurs Temps'!F$5:F$104,D15,'10-Compteurs Temps'!G$5:G$104,E15),0))</f>
        <v/>
      </c>
      <c r="H15" s="21">
        <f>IF(C15="","",IFERROR(SUMIFS('10-Compteurs Temps'!I$5:I$104,'10-Compteurs Temps'!E$5:E$104,C15,'10-Compteurs Temps'!F$5:F$104,D15,'10-Compteurs Temps'!G$5:G$104,E15),0))</f>
        <v/>
      </c>
      <c r="I15" s="14">
        <f>IF(C15="","",IFERROR(SUMIFS('10-Compteurs Temps'!J$5:J$104,'10-Compteurs Temps'!E$5:E$104,C15,'10-Compteurs Temps'!F$5:F$104,D15,'10-Compteurs Temps'!G$5:G$104,E15),0))</f>
        <v/>
      </c>
      <c r="J15" s="14">
        <f>IF(C15="","",IFERROR(SUMIFS('10-Compteurs Temps'!K$5:K$104,'10-Compteurs Temps'!E$5:E$104,C15,'10-Compteurs Temps'!F$5:F$104,D15,'10-Compteurs Temps'!G$5:G$104,E15),0))</f>
        <v/>
      </c>
      <c r="K15" s="14">
        <f>IF(C15="","",IFERROR(SUMIFS('9-Heures WE &amp; Feries'!I$5:I$104,'9-Heures WE &amp; Feries'!E$5:E$104,C15),0))</f>
        <v/>
      </c>
      <c r="L15" s="13">
        <f>IF(C15="","",IFERROR(SUMIFS('10-Compteurs Temps'!L$5:L$104,'10-Compteurs Temps'!E$5:E$104,C15,'10-Compteurs Temps'!F$5:F$104,D15,'10-Compteurs Temps'!G$5:G$104,E15)/8,0))</f>
        <v/>
      </c>
      <c r="M15" s="13" t="n"/>
      <c r="N15" s="29">
        <f>IF(OR(C15="",G15=0,G15=""),"",IFERROR(H15/G15,0))</f>
        <v/>
      </c>
      <c r="O15" s="14">
        <f>IF(C15="","",IFERROR(H15-G15,0))</f>
        <v/>
      </c>
      <c r="P15" s="21">
        <f>IF(C15="","",IFERROR(SUMIFS('7-Heures Supplementaires'!M$5:M$104,'7-Heures Supplementaires'!E$5:E$104,C15),0))</f>
        <v/>
      </c>
      <c r="Q15" s="12" t="n"/>
    </row>
    <row r="16" ht="22" customHeight="1">
      <c r="B16" s="18">
        <f>IF(C16="","BMT-"&amp;TEXT(COUNTA($C$5:C16),"000"))</f>
        <v/>
      </c>
      <c r="C16" s="15" t="n"/>
      <c r="D16" s="15" t="n"/>
      <c r="E16" s="15" t="n"/>
      <c r="F16" s="16">
        <f>IF(C16="","",IFERROR(COUNTIFS('10-Compteurs Temps'!E$5:E$104,C16,'10-Compteurs Temps'!F$5:F$104,D16,'10-Compteurs Temps'!G$5:G$104,E16),0))</f>
        <v/>
      </c>
      <c r="G16" s="23">
        <f>IF(C16="","",IFERROR(SUMIFS('10-Compteurs Temps'!H$5:H$104,'10-Compteurs Temps'!E$5:E$104,C16,'10-Compteurs Temps'!F$5:F$104,D16,'10-Compteurs Temps'!G$5:G$104,E16),0))</f>
        <v/>
      </c>
      <c r="H16" s="23">
        <f>IF(C16="","",IFERROR(SUMIFS('10-Compteurs Temps'!I$5:I$104,'10-Compteurs Temps'!E$5:E$104,C16,'10-Compteurs Temps'!F$5:F$104,D16,'10-Compteurs Temps'!G$5:G$104,E16),0))</f>
        <v/>
      </c>
      <c r="I16" s="17">
        <f>IF(C16="","",IFERROR(SUMIFS('10-Compteurs Temps'!J$5:J$104,'10-Compteurs Temps'!E$5:E$104,C16,'10-Compteurs Temps'!F$5:F$104,D16,'10-Compteurs Temps'!G$5:G$104,E16),0))</f>
        <v/>
      </c>
      <c r="J16" s="17">
        <f>IF(C16="","",IFERROR(SUMIFS('10-Compteurs Temps'!K$5:K$104,'10-Compteurs Temps'!E$5:E$104,C16,'10-Compteurs Temps'!F$5:F$104,D16,'10-Compteurs Temps'!G$5:G$104,E16),0))</f>
        <v/>
      </c>
      <c r="K16" s="17">
        <f>IF(C16="","",IFERROR(SUMIFS('9-Heures WE &amp; Feries'!I$5:I$104,'9-Heures WE &amp; Feries'!E$5:E$104,C16),0))</f>
        <v/>
      </c>
      <c r="L16" s="16">
        <f>IF(C16="","",IFERROR(SUMIFS('10-Compteurs Temps'!L$5:L$104,'10-Compteurs Temps'!E$5:E$104,C16,'10-Compteurs Temps'!F$5:F$104,D16,'10-Compteurs Temps'!G$5:G$104,E16)/8,0))</f>
        <v/>
      </c>
      <c r="M16" s="16" t="n"/>
      <c r="N16" s="30">
        <f>IF(OR(C16="",G16=0,G16=""),"",IFERROR(H16/G16,0))</f>
        <v/>
      </c>
      <c r="O16" s="17">
        <f>IF(C16="","",IFERROR(H16-G16,0))</f>
        <v/>
      </c>
      <c r="P16" s="23">
        <f>IF(C16="","",IFERROR(SUMIFS('7-Heures Supplementaires'!M$5:M$104,'7-Heures Supplementaires'!E$5:E$104,C16),0))</f>
        <v/>
      </c>
      <c r="Q16" s="15" t="n"/>
    </row>
    <row r="17" ht="22" customHeight="1">
      <c r="B17" s="19">
        <f>IF(C17="","BMT-"&amp;TEXT(COUNTA($C$5:C17),"000"))</f>
        <v/>
      </c>
      <c r="C17" s="12" t="n"/>
      <c r="D17" s="12" t="n"/>
      <c r="E17" s="12" t="n"/>
      <c r="F17" s="13">
        <f>IF(C17="","",IFERROR(COUNTIFS('10-Compteurs Temps'!E$5:E$104,C17,'10-Compteurs Temps'!F$5:F$104,D17,'10-Compteurs Temps'!G$5:G$104,E17),0))</f>
        <v/>
      </c>
      <c r="G17" s="21">
        <f>IF(C17="","",IFERROR(SUMIFS('10-Compteurs Temps'!H$5:H$104,'10-Compteurs Temps'!E$5:E$104,C17,'10-Compteurs Temps'!F$5:F$104,D17,'10-Compteurs Temps'!G$5:G$104,E17),0))</f>
        <v/>
      </c>
      <c r="H17" s="21">
        <f>IF(C17="","",IFERROR(SUMIFS('10-Compteurs Temps'!I$5:I$104,'10-Compteurs Temps'!E$5:E$104,C17,'10-Compteurs Temps'!F$5:F$104,D17,'10-Compteurs Temps'!G$5:G$104,E17),0))</f>
        <v/>
      </c>
      <c r="I17" s="14">
        <f>IF(C17="","",IFERROR(SUMIFS('10-Compteurs Temps'!J$5:J$104,'10-Compteurs Temps'!E$5:E$104,C17,'10-Compteurs Temps'!F$5:F$104,D17,'10-Compteurs Temps'!G$5:G$104,E17),0))</f>
        <v/>
      </c>
      <c r="J17" s="14">
        <f>IF(C17="","",IFERROR(SUMIFS('10-Compteurs Temps'!K$5:K$104,'10-Compteurs Temps'!E$5:E$104,C17,'10-Compteurs Temps'!F$5:F$104,D17,'10-Compteurs Temps'!G$5:G$104,E17),0))</f>
        <v/>
      </c>
      <c r="K17" s="14">
        <f>IF(C17="","",IFERROR(SUMIFS('9-Heures WE &amp; Feries'!I$5:I$104,'9-Heures WE &amp; Feries'!E$5:E$104,C17),0))</f>
        <v/>
      </c>
      <c r="L17" s="13">
        <f>IF(C17="","",IFERROR(SUMIFS('10-Compteurs Temps'!L$5:L$104,'10-Compteurs Temps'!E$5:E$104,C17,'10-Compteurs Temps'!F$5:F$104,D17,'10-Compteurs Temps'!G$5:G$104,E17)/8,0))</f>
        <v/>
      </c>
      <c r="M17" s="13" t="n"/>
      <c r="N17" s="29">
        <f>IF(OR(C17="",G17=0,G17=""),"",IFERROR(H17/G17,0))</f>
        <v/>
      </c>
      <c r="O17" s="14">
        <f>IF(C17="","",IFERROR(H17-G17,0))</f>
        <v/>
      </c>
      <c r="P17" s="21">
        <f>IF(C17="","",IFERROR(SUMIFS('7-Heures Supplementaires'!M$5:M$104,'7-Heures Supplementaires'!E$5:E$104,C17),0))</f>
        <v/>
      </c>
      <c r="Q17" s="12" t="n"/>
    </row>
    <row r="18" ht="22" customHeight="1">
      <c r="B18" s="18">
        <f>IF(C18="","BMT-"&amp;TEXT(COUNTA($C$5:C18),"000"))</f>
        <v/>
      </c>
      <c r="C18" s="15" t="n"/>
      <c r="D18" s="15" t="n"/>
      <c r="E18" s="15" t="n"/>
      <c r="F18" s="16">
        <f>IF(C18="","",IFERROR(COUNTIFS('10-Compteurs Temps'!E$5:E$104,C18,'10-Compteurs Temps'!F$5:F$104,D18,'10-Compteurs Temps'!G$5:G$104,E18),0))</f>
        <v/>
      </c>
      <c r="G18" s="23">
        <f>IF(C18="","",IFERROR(SUMIFS('10-Compteurs Temps'!H$5:H$104,'10-Compteurs Temps'!E$5:E$104,C18,'10-Compteurs Temps'!F$5:F$104,D18,'10-Compteurs Temps'!G$5:G$104,E18),0))</f>
        <v/>
      </c>
      <c r="H18" s="23">
        <f>IF(C18="","",IFERROR(SUMIFS('10-Compteurs Temps'!I$5:I$104,'10-Compteurs Temps'!E$5:E$104,C18,'10-Compteurs Temps'!F$5:F$104,D18,'10-Compteurs Temps'!G$5:G$104,E18),0))</f>
        <v/>
      </c>
      <c r="I18" s="17">
        <f>IF(C18="","",IFERROR(SUMIFS('10-Compteurs Temps'!J$5:J$104,'10-Compteurs Temps'!E$5:E$104,C18,'10-Compteurs Temps'!F$5:F$104,D18,'10-Compteurs Temps'!G$5:G$104,E18),0))</f>
        <v/>
      </c>
      <c r="J18" s="17">
        <f>IF(C18="","",IFERROR(SUMIFS('10-Compteurs Temps'!K$5:K$104,'10-Compteurs Temps'!E$5:E$104,C18,'10-Compteurs Temps'!F$5:F$104,D18,'10-Compteurs Temps'!G$5:G$104,E18),0))</f>
        <v/>
      </c>
      <c r="K18" s="17">
        <f>IF(C18="","",IFERROR(SUMIFS('9-Heures WE &amp; Feries'!I$5:I$104,'9-Heures WE &amp; Feries'!E$5:E$104,C18),0))</f>
        <v/>
      </c>
      <c r="L18" s="16">
        <f>IF(C18="","",IFERROR(SUMIFS('10-Compteurs Temps'!L$5:L$104,'10-Compteurs Temps'!E$5:E$104,C18,'10-Compteurs Temps'!F$5:F$104,D18,'10-Compteurs Temps'!G$5:G$104,E18)/8,0))</f>
        <v/>
      </c>
      <c r="M18" s="16" t="n"/>
      <c r="N18" s="30">
        <f>IF(OR(C18="",G18=0,G18=""),"",IFERROR(H18/G18,0))</f>
        <v/>
      </c>
      <c r="O18" s="17">
        <f>IF(C18="","",IFERROR(H18-G18,0))</f>
        <v/>
      </c>
      <c r="P18" s="23">
        <f>IF(C18="","",IFERROR(SUMIFS('7-Heures Supplementaires'!M$5:M$104,'7-Heures Supplementaires'!E$5:E$104,C18),0))</f>
        <v/>
      </c>
      <c r="Q18" s="15" t="n"/>
    </row>
    <row r="19" ht="22" customHeight="1">
      <c r="B19" s="19">
        <f>IF(C19="","BMT-"&amp;TEXT(COUNTA($C$5:C19),"000"))</f>
        <v/>
      </c>
      <c r="C19" s="12" t="n"/>
      <c r="D19" s="12" t="n"/>
      <c r="E19" s="12" t="n"/>
      <c r="F19" s="13">
        <f>IF(C19="","",IFERROR(COUNTIFS('10-Compteurs Temps'!E$5:E$104,C19,'10-Compteurs Temps'!F$5:F$104,D19,'10-Compteurs Temps'!G$5:G$104,E19),0))</f>
        <v/>
      </c>
      <c r="G19" s="21">
        <f>IF(C19="","",IFERROR(SUMIFS('10-Compteurs Temps'!H$5:H$104,'10-Compteurs Temps'!E$5:E$104,C19,'10-Compteurs Temps'!F$5:F$104,D19,'10-Compteurs Temps'!G$5:G$104,E19),0))</f>
        <v/>
      </c>
      <c r="H19" s="21">
        <f>IF(C19="","",IFERROR(SUMIFS('10-Compteurs Temps'!I$5:I$104,'10-Compteurs Temps'!E$5:E$104,C19,'10-Compteurs Temps'!F$5:F$104,D19,'10-Compteurs Temps'!G$5:G$104,E19),0))</f>
        <v/>
      </c>
      <c r="I19" s="14">
        <f>IF(C19="","",IFERROR(SUMIFS('10-Compteurs Temps'!J$5:J$104,'10-Compteurs Temps'!E$5:E$104,C19,'10-Compteurs Temps'!F$5:F$104,D19,'10-Compteurs Temps'!G$5:G$104,E19),0))</f>
        <v/>
      </c>
      <c r="J19" s="14">
        <f>IF(C19="","",IFERROR(SUMIFS('10-Compteurs Temps'!K$5:K$104,'10-Compteurs Temps'!E$5:E$104,C19,'10-Compteurs Temps'!F$5:F$104,D19,'10-Compteurs Temps'!G$5:G$104,E19),0))</f>
        <v/>
      </c>
      <c r="K19" s="14">
        <f>IF(C19="","",IFERROR(SUMIFS('9-Heures WE &amp; Feries'!I$5:I$104,'9-Heures WE &amp; Feries'!E$5:E$104,C19),0))</f>
        <v/>
      </c>
      <c r="L19" s="13">
        <f>IF(C19="","",IFERROR(SUMIFS('10-Compteurs Temps'!L$5:L$104,'10-Compteurs Temps'!E$5:E$104,C19,'10-Compteurs Temps'!F$5:F$104,D19,'10-Compteurs Temps'!G$5:G$104,E19)/8,0))</f>
        <v/>
      </c>
      <c r="M19" s="13" t="n"/>
      <c r="N19" s="29">
        <f>IF(OR(C19="",G19=0,G19=""),"",IFERROR(H19/G19,0))</f>
        <v/>
      </c>
      <c r="O19" s="14">
        <f>IF(C19="","",IFERROR(H19-G19,0))</f>
        <v/>
      </c>
      <c r="P19" s="21">
        <f>IF(C19="","",IFERROR(SUMIFS('7-Heures Supplementaires'!M$5:M$104,'7-Heures Supplementaires'!E$5:E$104,C19),0))</f>
        <v/>
      </c>
      <c r="Q19" s="12" t="n"/>
    </row>
    <row r="20" ht="22" customHeight="1">
      <c r="B20" s="18">
        <f>IF(C20="","BMT-"&amp;TEXT(COUNTA($C$5:C20),"000"))</f>
        <v/>
      </c>
      <c r="C20" s="15" t="n"/>
      <c r="D20" s="15" t="n"/>
      <c r="E20" s="15" t="n"/>
      <c r="F20" s="16">
        <f>IF(C20="","",IFERROR(COUNTIFS('10-Compteurs Temps'!E$5:E$104,C20,'10-Compteurs Temps'!F$5:F$104,D20,'10-Compteurs Temps'!G$5:G$104,E20),0))</f>
        <v/>
      </c>
      <c r="G20" s="23">
        <f>IF(C20="","",IFERROR(SUMIFS('10-Compteurs Temps'!H$5:H$104,'10-Compteurs Temps'!E$5:E$104,C20,'10-Compteurs Temps'!F$5:F$104,D20,'10-Compteurs Temps'!G$5:G$104,E20),0))</f>
        <v/>
      </c>
      <c r="H20" s="23">
        <f>IF(C20="","",IFERROR(SUMIFS('10-Compteurs Temps'!I$5:I$104,'10-Compteurs Temps'!E$5:E$104,C20,'10-Compteurs Temps'!F$5:F$104,D20,'10-Compteurs Temps'!G$5:G$104,E20),0))</f>
        <v/>
      </c>
      <c r="I20" s="17">
        <f>IF(C20="","",IFERROR(SUMIFS('10-Compteurs Temps'!J$5:J$104,'10-Compteurs Temps'!E$5:E$104,C20,'10-Compteurs Temps'!F$5:F$104,D20,'10-Compteurs Temps'!G$5:G$104,E20),0))</f>
        <v/>
      </c>
      <c r="J20" s="17">
        <f>IF(C20="","",IFERROR(SUMIFS('10-Compteurs Temps'!K$5:K$104,'10-Compteurs Temps'!E$5:E$104,C20,'10-Compteurs Temps'!F$5:F$104,D20,'10-Compteurs Temps'!G$5:G$104,E20),0))</f>
        <v/>
      </c>
      <c r="K20" s="17">
        <f>IF(C20="","",IFERROR(SUMIFS('9-Heures WE &amp; Feries'!I$5:I$104,'9-Heures WE &amp; Feries'!E$5:E$104,C20),0))</f>
        <v/>
      </c>
      <c r="L20" s="16">
        <f>IF(C20="","",IFERROR(SUMIFS('10-Compteurs Temps'!L$5:L$104,'10-Compteurs Temps'!E$5:E$104,C20,'10-Compteurs Temps'!F$5:F$104,D20,'10-Compteurs Temps'!G$5:G$104,E20)/8,0))</f>
        <v/>
      </c>
      <c r="M20" s="16" t="n"/>
      <c r="N20" s="30">
        <f>IF(OR(C20="",G20=0,G20=""),"",IFERROR(H20/G20,0))</f>
        <v/>
      </c>
      <c r="O20" s="17">
        <f>IF(C20="","",IFERROR(H20-G20,0))</f>
        <v/>
      </c>
      <c r="P20" s="23">
        <f>IF(C20="","",IFERROR(SUMIFS('7-Heures Supplementaires'!M$5:M$104,'7-Heures Supplementaires'!E$5:E$104,C20),0))</f>
        <v/>
      </c>
      <c r="Q20" s="15" t="n"/>
    </row>
    <row r="21" ht="22" customHeight="1">
      <c r="B21" s="19">
        <f>IF(C21="","BMT-"&amp;TEXT(COUNTA($C$5:C21),"000"))</f>
        <v/>
      </c>
      <c r="C21" s="12" t="n"/>
      <c r="D21" s="12" t="n"/>
      <c r="E21" s="12" t="n"/>
      <c r="F21" s="13">
        <f>IF(C21="","",IFERROR(COUNTIFS('10-Compteurs Temps'!E$5:E$104,C21,'10-Compteurs Temps'!F$5:F$104,D21,'10-Compteurs Temps'!G$5:G$104,E21),0))</f>
        <v/>
      </c>
      <c r="G21" s="21">
        <f>IF(C21="","",IFERROR(SUMIFS('10-Compteurs Temps'!H$5:H$104,'10-Compteurs Temps'!E$5:E$104,C21,'10-Compteurs Temps'!F$5:F$104,D21,'10-Compteurs Temps'!G$5:G$104,E21),0))</f>
        <v/>
      </c>
      <c r="H21" s="21">
        <f>IF(C21="","",IFERROR(SUMIFS('10-Compteurs Temps'!I$5:I$104,'10-Compteurs Temps'!E$5:E$104,C21,'10-Compteurs Temps'!F$5:F$104,D21,'10-Compteurs Temps'!G$5:G$104,E21),0))</f>
        <v/>
      </c>
      <c r="I21" s="14">
        <f>IF(C21="","",IFERROR(SUMIFS('10-Compteurs Temps'!J$5:J$104,'10-Compteurs Temps'!E$5:E$104,C21,'10-Compteurs Temps'!F$5:F$104,D21,'10-Compteurs Temps'!G$5:G$104,E21),0))</f>
        <v/>
      </c>
      <c r="J21" s="14">
        <f>IF(C21="","",IFERROR(SUMIFS('10-Compteurs Temps'!K$5:K$104,'10-Compteurs Temps'!E$5:E$104,C21,'10-Compteurs Temps'!F$5:F$104,D21,'10-Compteurs Temps'!G$5:G$104,E21),0))</f>
        <v/>
      </c>
      <c r="K21" s="14">
        <f>IF(C21="","",IFERROR(SUMIFS('9-Heures WE &amp; Feries'!I$5:I$104,'9-Heures WE &amp; Feries'!E$5:E$104,C21),0))</f>
        <v/>
      </c>
      <c r="L21" s="13">
        <f>IF(C21="","",IFERROR(SUMIFS('10-Compteurs Temps'!L$5:L$104,'10-Compteurs Temps'!E$5:E$104,C21,'10-Compteurs Temps'!F$5:F$104,D21,'10-Compteurs Temps'!G$5:G$104,E21)/8,0))</f>
        <v/>
      </c>
      <c r="M21" s="13" t="n"/>
      <c r="N21" s="29">
        <f>IF(OR(C21="",G21=0,G21=""),"",IFERROR(H21/G21,0))</f>
        <v/>
      </c>
      <c r="O21" s="14">
        <f>IF(C21="","",IFERROR(H21-G21,0))</f>
        <v/>
      </c>
      <c r="P21" s="21">
        <f>IF(C21="","",IFERROR(SUMIFS('7-Heures Supplementaires'!M$5:M$104,'7-Heures Supplementaires'!E$5:E$104,C21),0))</f>
        <v/>
      </c>
      <c r="Q21" s="12" t="n"/>
    </row>
    <row r="22" ht="22" customHeight="1">
      <c r="B22" s="18">
        <f>IF(C22="","BMT-"&amp;TEXT(COUNTA($C$5:C22),"000"))</f>
        <v/>
      </c>
      <c r="C22" s="15" t="n"/>
      <c r="D22" s="15" t="n"/>
      <c r="E22" s="15" t="n"/>
      <c r="F22" s="16">
        <f>IF(C22="","",IFERROR(COUNTIFS('10-Compteurs Temps'!E$5:E$104,C22,'10-Compteurs Temps'!F$5:F$104,D22,'10-Compteurs Temps'!G$5:G$104,E22),0))</f>
        <v/>
      </c>
      <c r="G22" s="23">
        <f>IF(C22="","",IFERROR(SUMIFS('10-Compteurs Temps'!H$5:H$104,'10-Compteurs Temps'!E$5:E$104,C22,'10-Compteurs Temps'!F$5:F$104,D22,'10-Compteurs Temps'!G$5:G$104,E22),0))</f>
        <v/>
      </c>
      <c r="H22" s="23">
        <f>IF(C22="","",IFERROR(SUMIFS('10-Compteurs Temps'!I$5:I$104,'10-Compteurs Temps'!E$5:E$104,C22,'10-Compteurs Temps'!F$5:F$104,D22,'10-Compteurs Temps'!G$5:G$104,E22),0))</f>
        <v/>
      </c>
      <c r="I22" s="17">
        <f>IF(C22="","",IFERROR(SUMIFS('10-Compteurs Temps'!J$5:J$104,'10-Compteurs Temps'!E$5:E$104,C22,'10-Compteurs Temps'!F$5:F$104,D22,'10-Compteurs Temps'!G$5:G$104,E22),0))</f>
        <v/>
      </c>
      <c r="J22" s="17">
        <f>IF(C22="","",IFERROR(SUMIFS('10-Compteurs Temps'!K$5:K$104,'10-Compteurs Temps'!E$5:E$104,C22,'10-Compteurs Temps'!F$5:F$104,D22,'10-Compteurs Temps'!G$5:G$104,E22),0))</f>
        <v/>
      </c>
      <c r="K22" s="17">
        <f>IF(C22="","",IFERROR(SUMIFS('9-Heures WE &amp; Feries'!I$5:I$104,'9-Heures WE &amp; Feries'!E$5:E$104,C22),0))</f>
        <v/>
      </c>
      <c r="L22" s="16">
        <f>IF(C22="","",IFERROR(SUMIFS('10-Compteurs Temps'!L$5:L$104,'10-Compteurs Temps'!E$5:E$104,C22,'10-Compteurs Temps'!F$5:F$104,D22,'10-Compteurs Temps'!G$5:G$104,E22)/8,0))</f>
        <v/>
      </c>
      <c r="M22" s="16" t="n"/>
      <c r="N22" s="30">
        <f>IF(OR(C22="",G22=0,G22=""),"",IFERROR(H22/G22,0))</f>
        <v/>
      </c>
      <c r="O22" s="17">
        <f>IF(C22="","",IFERROR(H22-G22,0))</f>
        <v/>
      </c>
      <c r="P22" s="23">
        <f>IF(C22="","",IFERROR(SUMIFS('7-Heures Supplementaires'!M$5:M$104,'7-Heures Supplementaires'!E$5:E$104,C22),0))</f>
        <v/>
      </c>
      <c r="Q22" s="15" t="n"/>
    </row>
    <row r="23" ht="22" customHeight="1">
      <c r="B23" s="19">
        <f>IF(C23="","BMT-"&amp;TEXT(COUNTA($C$5:C23),"000"))</f>
        <v/>
      </c>
      <c r="C23" s="12" t="n"/>
      <c r="D23" s="12" t="n"/>
      <c r="E23" s="12" t="n"/>
      <c r="F23" s="13">
        <f>IF(C23="","",IFERROR(COUNTIFS('10-Compteurs Temps'!E$5:E$104,C23,'10-Compteurs Temps'!F$5:F$104,D23,'10-Compteurs Temps'!G$5:G$104,E23),0))</f>
        <v/>
      </c>
      <c r="G23" s="21">
        <f>IF(C23="","",IFERROR(SUMIFS('10-Compteurs Temps'!H$5:H$104,'10-Compteurs Temps'!E$5:E$104,C23,'10-Compteurs Temps'!F$5:F$104,D23,'10-Compteurs Temps'!G$5:G$104,E23),0))</f>
        <v/>
      </c>
      <c r="H23" s="21">
        <f>IF(C23="","",IFERROR(SUMIFS('10-Compteurs Temps'!I$5:I$104,'10-Compteurs Temps'!E$5:E$104,C23,'10-Compteurs Temps'!F$5:F$104,D23,'10-Compteurs Temps'!G$5:G$104,E23),0))</f>
        <v/>
      </c>
      <c r="I23" s="14">
        <f>IF(C23="","",IFERROR(SUMIFS('10-Compteurs Temps'!J$5:J$104,'10-Compteurs Temps'!E$5:E$104,C23,'10-Compteurs Temps'!F$5:F$104,D23,'10-Compteurs Temps'!G$5:G$104,E23),0))</f>
        <v/>
      </c>
      <c r="J23" s="14">
        <f>IF(C23="","",IFERROR(SUMIFS('10-Compteurs Temps'!K$5:K$104,'10-Compteurs Temps'!E$5:E$104,C23,'10-Compteurs Temps'!F$5:F$104,D23,'10-Compteurs Temps'!G$5:G$104,E23),0))</f>
        <v/>
      </c>
      <c r="K23" s="14">
        <f>IF(C23="","",IFERROR(SUMIFS('9-Heures WE &amp; Feries'!I$5:I$104,'9-Heures WE &amp; Feries'!E$5:E$104,C23),0))</f>
        <v/>
      </c>
      <c r="L23" s="13">
        <f>IF(C23="","",IFERROR(SUMIFS('10-Compteurs Temps'!L$5:L$104,'10-Compteurs Temps'!E$5:E$104,C23,'10-Compteurs Temps'!F$5:F$104,D23,'10-Compteurs Temps'!G$5:G$104,E23)/8,0))</f>
        <v/>
      </c>
      <c r="M23" s="13" t="n"/>
      <c r="N23" s="29">
        <f>IF(OR(C23="",G23=0,G23=""),"",IFERROR(H23/G23,0))</f>
        <v/>
      </c>
      <c r="O23" s="14">
        <f>IF(C23="","",IFERROR(H23-G23,0))</f>
        <v/>
      </c>
      <c r="P23" s="21">
        <f>IF(C23="","",IFERROR(SUMIFS('7-Heures Supplementaires'!M$5:M$104,'7-Heures Supplementaires'!E$5:E$104,C23),0))</f>
        <v/>
      </c>
      <c r="Q23" s="12" t="n"/>
    </row>
    <row r="24" ht="22" customHeight="1">
      <c r="B24" s="18">
        <f>IF(C24="","BMT-"&amp;TEXT(COUNTA($C$5:C24),"000"))</f>
        <v/>
      </c>
      <c r="C24" s="15" t="n"/>
      <c r="D24" s="15" t="n"/>
      <c r="E24" s="15" t="n"/>
      <c r="F24" s="16">
        <f>IF(C24="","",IFERROR(COUNTIFS('10-Compteurs Temps'!E$5:E$104,C24,'10-Compteurs Temps'!F$5:F$104,D24,'10-Compteurs Temps'!G$5:G$104,E24),0))</f>
        <v/>
      </c>
      <c r="G24" s="23">
        <f>IF(C24="","",IFERROR(SUMIFS('10-Compteurs Temps'!H$5:H$104,'10-Compteurs Temps'!E$5:E$104,C24,'10-Compteurs Temps'!F$5:F$104,D24,'10-Compteurs Temps'!G$5:G$104,E24),0))</f>
        <v/>
      </c>
      <c r="H24" s="23">
        <f>IF(C24="","",IFERROR(SUMIFS('10-Compteurs Temps'!I$5:I$104,'10-Compteurs Temps'!E$5:E$104,C24,'10-Compteurs Temps'!F$5:F$104,D24,'10-Compteurs Temps'!G$5:G$104,E24),0))</f>
        <v/>
      </c>
      <c r="I24" s="17">
        <f>IF(C24="","",IFERROR(SUMIFS('10-Compteurs Temps'!J$5:J$104,'10-Compteurs Temps'!E$5:E$104,C24,'10-Compteurs Temps'!F$5:F$104,D24,'10-Compteurs Temps'!G$5:G$104,E24),0))</f>
        <v/>
      </c>
      <c r="J24" s="17">
        <f>IF(C24="","",IFERROR(SUMIFS('10-Compteurs Temps'!K$5:K$104,'10-Compteurs Temps'!E$5:E$104,C24,'10-Compteurs Temps'!F$5:F$104,D24,'10-Compteurs Temps'!G$5:G$104,E24),0))</f>
        <v/>
      </c>
      <c r="K24" s="17">
        <f>IF(C24="","",IFERROR(SUMIFS('9-Heures WE &amp; Feries'!I$5:I$104,'9-Heures WE &amp; Feries'!E$5:E$104,C24),0))</f>
        <v/>
      </c>
      <c r="L24" s="16">
        <f>IF(C24="","",IFERROR(SUMIFS('10-Compteurs Temps'!L$5:L$104,'10-Compteurs Temps'!E$5:E$104,C24,'10-Compteurs Temps'!F$5:F$104,D24,'10-Compteurs Temps'!G$5:G$104,E24)/8,0))</f>
        <v/>
      </c>
      <c r="M24" s="16" t="n"/>
      <c r="N24" s="30">
        <f>IF(OR(C24="",G24=0,G24=""),"",IFERROR(H24/G24,0))</f>
        <v/>
      </c>
      <c r="O24" s="17">
        <f>IF(C24="","",IFERROR(H24-G24,0))</f>
        <v/>
      </c>
      <c r="P24" s="23">
        <f>IF(C24="","",IFERROR(SUMIFS('7-Heures Supplementaires'!M$5:M$104,'7-Heures Supplementaires'!E$5:E$104,C24),0))</f>
        <v/>
      </c>
      <c r="Q24" s="15" t="n"/>
    </row>
    <row r="25" ht="22" customHeight="1">
      <c r="B25" s="19">
        <f>IF(C25="","BMT-"&amp;TEXT(COUNTA($C$5:C25),"000"))</f>
        <v/>
      </c>
      <c r="C25" s="12" t="n"/>
      <c r="D25" s="12" t="n"/>
      <c r="E25" s="12" t="n"/>
      <c r="F25" s="13">
        <f>IF(C25="","",IFERROR(COUNTIFS('10-Compteurs Temps'!E$5:E$104,C25,'10-Compteurs Temps'!F$5:F$104,D25,'10-Compteurs Temps'!G$5:G$104,E25),0))</f>
        <v/>
      </c>
      <c r="G25" s="21">
        <f>IF(C25="","",IFERROR(SUMIFS('10-Compteurs Temps'!H$5:H$104,'10-Compteurs Temps'!E$5:E$104,C25,'10-Compteurs Temps'!F$5:F$104,D25,'10-Compteurs Temps'!G$5:G$104,E25),0))</f>
        <v/>
      </c>
      <c r="H25" s="21">
        <f>IF(C25="","",IFERROR(SUMIFS('10-Compteurs Temps'!I$5:I$104,'10-Compteurs Temps'!E$5:E$104,C25,'10-Compteurs Temps'!F$5:F$104,D25,'10-Compteurs Temps'!G$5:G$104,E25),0))</f>
        <v/>
      </c>
      <c r="I25" s="14">
        <f>IF(C25="","",IFERROR(SUMIFS('10-Compteurs Temps'!J$5:J$104,'10-Compteurs Temps'!E$5:E$104,C25,'10-Compteurs Temps'!F$5:F$104,D25,'10-Compteurs Temps'!G$5:G$104,E25),0))</f>
        <v/>
      </c>
      <c r="J25" s="14">
        <f>IF(C25="","",IFERROR(SUMIFS('10-Compteurs Temps'!K$5:K$104,'10-Compteurs Temps'!E$5:E$104,C25,'10-Compteurs Temps'!F$5:F$104,D25,'10-Compteurs Temps'!G$5:G$104,E25),0))</f>
        <v/>
      </c>
      <c r="K25" s="14">
        <f>IF(C25="","",IFERROR(SUMIFS('9-Heures WE &amp; Feries'!I$5:I$104,'9-Heures WE &amp; Feries'!E$5:E$104,C25),0))</f>
        <v/>
      </c>
      <c r="L25" s="13">
        <f>IF(C25="","",IFERROR(SUMIFS('10-Compteurs Temps'!L$5:L$104,'10-Compteurs Temps'!E$5:E$104,C25,'10-Compteurs Temps'!F$5:F$104,D25,'10-Compteurs Temps'!G$5:G$104,E25)/8,0))</f>
        <v/>
      </c>
      <c r="M25" s="13" t="n"/>
      <c r="N25" s="29">
        <f>IF(OR(C25="",G25=0,G25=""),"",IFERROR(H25/G25,0))</f>
        <v/>
      </c>
      <c r="O25" s="14">
        <f>IF(C25="","",IFERROR(H25-G25,0))</f>
        <v/>
      </c>
      <c r="P25" s="21">
        <f>IF(C25="","",IFERROR(SUMIFS('7-Heures Supplementaires'!M$5:M$104,'7-Heures Supplementaires'!E$5:E$104,C25),0))</f>
        <v/>
      </c>
      <c r="Q25" s="12" t="n"/>
    </row>
    <row r="26" ht="22" customHeight="1">
      <c r="B26" s="18">
        <f>IF(C26="","BMT-"&amp;TEXT(COUNTA($C$5:C26),"000"))</f>
        <v/>
      </c>
      <c r="C26" s="15" t="n"/>
      <c r="D26" s="15" t="n"/>
      <c r="E26" s="15" t="n"/>
      <c r="F26" s="16">
        <f>IF(C26="","",IFERROR(COUNTIFS('10-Compteurs Temps'!E$5:E$104,C26,'10-Compteurs Temps'!F$5:F$104,D26,'10-Compteurs Temps'!G$5:G$104,E26),0))</f>
        <v/>
      </c>
      <c r="G26" s="23">
        <f>IF(C26="","",IFERROR(SUMIFS('10-Compteurs Temps'!H$5:H$104,'10-Compteurs Temps'!E$5:E$104,C26,'10-Compteurs Temps'!F$5:F$104,D26,'10-Compteurs Temps'!G$5:G$104,E26),0))</f>
        <v/>
      </c>
      <c r="H26" s="23">
        <f>IF(C26="","",IFERROR(SUMIFS('10-Compteurs Temps'!I$5:I$104,'10-Compteurs Temps'!E$5:E$104,C26,'10-Compteurs Temps'!F$5:F$104,D26,'10-Compteurs Temps'!G$5:G$104,E26),0))</f>
        <v/>
      </c>
      <c r="I26" s="17">
        <f>IF(C26="","",IFERROR(SUMIFS('10-Compteurs Temps'!J$5:J$104,'10-Compteurs Temps'!E$5:E$104,C26,'10-Compteurs Temps'!F$5:F$104,D26,'10-Compteurs Temps'!G$5:G$104,E26),0))</f>
        <v/>
      </c>
      <c r="J26" s="17">
        <f>IF(C26="","",IFERROR(SUMIFS('10-Compteurs Temps'!K$5:K$104,'10-Compteurs Temps'!E$5:E$104,C26,'10-Compteurs Temps'!F$5:F$104,D26,'10-Compteurs Temps'!G$5:G$104,E26),0))</f>
        <v/>
      </c>
      <c r="K26" s="17">
        <f>IF(C26="","",IFERROR(SUMIFS('9-Heures WE &amp; Feries'!I$5:I$104,'9-Heures WE &amp; Feries'!E$5:E$104,C26),0))</f>
        <v/>
      </c>
      <c r="L26" s="16">
        <f>IF(C26="","",IFERROR(SUMIFS('10-Compteurs Temps'!L$5:L$104,'10-Compteurs Temps'!E$5:E$104,C26,'10-Compteurs Temps'!F$5:F$104,D26,'10-Compteurs Temps'!G$5:G$104,E26)/8,0))</f>
        <v/>
      </c>
      <c r="M26" s="16" t="n"/>
      <c r="N26" s="30">
        <f>IF(OR(C26="",G26=0,G26=""),"",IFERROR(H26/G26,0))</f>
        <v/>
      </c>
      <c r="O26" s="17">
        <f>IF(C26="","",IFERROR(H26-G26,0))</f>
        <v/>
      </c>
      <c r="P26" s="23">
        <f>IF(C26="","",IFERROR(SUMIFS('7-Heures Supplementaires'!M$5:M$104,'7-Heures Supplementaires'!E$5:E$104,C26),0))</f>
        <v/>
      </c>
      <c r="Q26" s="15" t="n"/>
    </row>
    <row r="27" ht="22" customHeight="1">
      <c r="B27" s="19">
        <f>IF(C27="","BMT-"&amp;TEXT(COUNTA($C$5:C27),"000"))</f>
        <v/>
      </c>
      <c r="C27" s="12" t="n"/>
      <c r="D27" s="12" t="n"/>
      <c r="E27" s="12" t="n"/>
      <c r="F27" s="13">
        <f>IF(C27="","",IFERROR(COUNTIFS('10-Compteurs Temps'!E$5:E$104,C27,'10-Compteurs Temps'!F$5:F$104,D27,'10-Compteurs Temps'!G$5:G$104,E27),0))</f>
        <v/>
      </c>
      <c r="G27" s="21">
        <f>IF(C27="","",IFERROR(SUMIFS('10-Compteurs Temps'!H$5:H$104,'10-Compteurs Temps'!E$5:E$104,C27,'10-Compteurs Temps'!F$5:F$104,D27,'10-Compteurs Temps'!G$5:G$104,E27),0))</f>
        <v/>
      </c>
      <c r="H27" s="21">
        <f>IF(C27="","",IFERROR(SUMIFS('10-Compteurs Temps'!I$5:I$104,'10-Compteurs Temps'!E$5:E$104,C27,'10-Compteurs Temps'!F$5:F$104,D27,'10-Compteurs Temps'!G$5:G$104,E27),0))</f>
        <v/>
      </c>
      <c r="I27" s="14">
        <f>IF(C27="","",IFERROR(SUMIFS('10-Compteurs Temps'!J$5:J$104,'10-Compteurs Temps'!E$5:E$104,C27,'10-Compteurs Temps'!F$5:F$104,D27,'10-Compteurs Temps'!G$5:G$104,E27),0))</f>
        <v/>
      </c>
      <c r="J27" s="14">
        <f>IF(C27="","",IFERROR(SUMIFS('10-Compteurs Temps'!K$5:K$104,'10-Compteurs Temps'!E$5:E$104,C27,'10-Compteurs Temps'!F$5:F$104,D27,'10-Compteurs Temps'!G$5:G$104,E27),0))</f>
        <v/>
      </c>
      <c r="K27" s="14">
        <f>IF(C27="","",IFERROR(SUMIFS('9-Heures WE &amp; Feries'!I$5:I$104,'9-Heures WE &amp; Feries'!E$5:E$104,C27),0))</f>
        <v/>
      </c>
      <c r="L27" s="13">
        <f>IF(C27="","",IFERROR(SUMIFS('10-Compteurs Temps'!L$5:L$104,'10-Compteurs Temps'!E$5:E$104,C27,'10-Compteurs Temps'!F$5:F$104,D27,'10-Compteurs Temps'!G$5:G$104,E27)/8,0))</f>
        <v/>
      </c>
      <c r="M27" s="13" t="n"/>
      <c r="N27" s="29">
        <f>IF(OR(C27="",G27=0,G27=""),"",IFERROR(H27/G27,0))</f>
        <v/>
      </c>
      <c r="O27" s="14">
        <f>IF(C27="","",IFERROR(H27-G27,0))</f>
        <v/>
      </c>
      <c r="P27" s="21">
        <f>IF(C27="","",IFERROR(SUMIFS('7-Heures Supplementaires'!M$5:M$104,'7-Heures Supplementaires'!E$5:E$104,C27),0))</f>
        <v/>
      </c>
      <c r="Q27" s="12" t="n"/>
    </row>
    <row r="28" ht="22" customHeight="1">
      <c r="B28" s="18">
        <f>IF(C28="","BMT-"&amp;TEXT(COUNTA($C$5:C28),"000"))</f>
        <v/>
      </c>
      <c r="C28" s="15" t="n"/>
      <c r="D28" s="15" t="n"/>
      <c r="E28" s="15" t="n"/>
      <c r="F28" s="16">
        <f>IF(C28="","",IFERROR(COUNTIFS('10-Compteurs Temps'!E$5:E$104,C28,'10-Compteurs Temps'!F$5:F$104,D28,'10-Compteurs Temps'!G$5:G$104,E28),0))</f>
        <v/>
      </c>
      <c r="G28" s="23">
        <f>IF(C28="","",IFERROR(SUMIFS('10-Compteurs Temps'!H$5:H$104,'10-Compteurs Temps'!E$5:E$104,C28,'10-Compteurs Temps'!F$5:F$104,D28,'10-Compteurs Temps'!G$5:G$104,E28),0))</f>
        <v/>
      </c>
      <c r="H28" s="23">
        <f>IF(C28="","",IFERROR(SUMIFS('10-Compteurs Temps'!I$5:I$104,'10-Compteurs Temps'!E$5:E$104,C28,'10-Compteurs Temps'!F$5:F$104,D28,'10-Compteurs Temps'!G$5:G$104,E28),0))</f>
        <v/>
      </c>
      <c r="I28" s="17">
        <f>IF(C28="","",IFERROR(SUMIFS('10-Compteurs Temps'!J$5:J$104,'10-Compteurs Temps'!E$5:E$104,C28,'10-Compteurs Temps'!F$5:F$104,D28,'10-Compteurs Temps'!G$5:G$104,E28),0))</f>
        <v/>
      </c>
      <c r="J28" s="17">
        <f>IF(C28="","",IFERROR(SUMIFS('10-Compteurs Temps'!K$5:K$104,'10-Compteurs Temps'!E$5:E$104,C28,'10-Compteurs Temps'!F$5:F$104,D28,'10-Compteurs Temps'!G$5:G$104,E28),0))</f>
        <v/>
      </c>
      <c r="K28" s="17">
        <f>IF(C28="","",IFERROR(SUMIFS('9-Heures WE &amp; Feries'!I$5:I$104,'9-Heures WE &amp; Feries'!E$5:E$104,C28),0))</f>
        <v/>
      </c>
      <c r="L28" s="16">
        <f>IF(C28="","",IFERROR(SUMIFS('10-Compteurs Temps'!L$5:L$104,'10-Compteurs Temps'!E$5:E$104,C28,'10-Compteurs Temps'!F$5:F$104,D28,'10-Compteurs Temps'!G$5:G$104,E28)/8,0))</f>
        <v/>
      </c>
      <c r="M28" s="16" t="n"/>
      <c r="N28" s="30">
        <f>IF(OR(C28="",G28=0,G28=""),"",IFERROR(H28/G28,0))</f>
        <v/>
      </c>
      <c r="O28" s="17">
        <f>IF(C28="","",IFERROR(H28-G28,0))</f>
        <v/>
      </c>
      <c r="P28" s="23">
        <f>IF(C28="","",IFERROR(SUMIFS('7-Heures Supplementaires'!M$5:M$104,'7-Heures Supplementaires'!E$5:E$104,C28),0))</f>
        <v/>
      </c>
      <c r="Q28" s="15" t="n"/>
    </row>
    <row r="29" ht="22" customHeight="1">
      <c r="B29" s="19">
        <f>IF(C29="","BMT-"&amp;TEXT(COUNTA($C$5:C29),"000"))</f>
        <v/>
      </c>
      <c r="C29" s="12" t="n"/>
      <c r="D29" s="12" t="n"/>
      <c r="E29" s="12" t="n"/>
      <c r="F29" s="13">
        <f>IF(C29="","",IFERROR(COUNTIFS('10-Compteurs Temps'!E$5:E$104,C29,'10-Compteurs Temps'!F$5:F$104,D29,'10-Compteurs Temps'!G$5:G$104,E29),0))</f>
        <v/>
      </c>
      <c r="G29" s="21">
        <f>IF(C29="","",IFERROR(SUMIFS('10-Compteurs Temps'!H$5:H$104,'10-Compteurs Temps'!E$5:E$104,C29,'10-Compteurs Temps'!F$5:F$104,D29,'10-Compteurs Temps'!G$5:G$104,E29),0))</f>
        <v/>
      </c>
      <c r="H29" s="21">
        <f>IF(C29="","",IFERROR(SUMIFS('10-Compteurs Temps'!I$5:I$104,'10-Compteurs Temps'!E$5:E$104,C29,'10-Compteurs Temps'!F$5:F$104,D29,'10-Compteurs Temps'!G$5:G$104,E29),0))</f>
        <v/>
      </c>
      <c r="I29" s="14">
        <f>IF(C29="","",IFERROR(SUMIFS('10-Compteurs Temps'!J$5:J$104,'10-Compteurs Temps'!E$5:E$104,C29,'10-Compteurs Temps'!F$5:F$104,D29,'10-Compteurs Temps'!G$5:G$104,E29),0))</f>
        <v/>
      </c>
      <c r="J29" s="14">
        <f>IF(C29="","",IFERROR(SUMIFS('10-Compteurs Temps'!K$5:K$104,'10-Compteurs Temps'!E$5:E$104,C29,'10-Compteurs Temps'!F$5:F$104,D29,'10-Compteurs Temps'!G$5:G$104,E29),0))</f>
        <v/>
      </c>
      <c r="K29" s="14">
        <f>IF(C29="","",IFERROR(SUMIFS('9-Heures WE &amp; Feries'!I$5:I$104,'9-Heures WE &amp; Feries'!E$5:E$104,C29),0))</f>
        <v/>
      </c>
      <c r="L29" s="13">
        <f>IF(C29="","",IFERROR(SUMIFS('10-Compteurs Temps'!L$5:L$104,'10-Compteurs Temps'!E$5:E$104,C29,'10-Compteurs Temps'!F$5:F$104,D29,'10-Compteurs Temps'!G$5:G$104,E29)/8,0))</f>
        <v/>
      </c>
      <c r="M29" s="13" t="n"/>
      <c r="N29" s="29">
        <f>IF(OR(C29="",G29=0,G29=""),"",IFERROR(H29/G29,0))</f>
        <v/>
      </c>
      <c r="O29" s="14">
        <f>IF(C29="","",IFERROR(H29-G29,0))</f>
        <v/>
      </c>
      <c r="P29" s="21">
        <f>IF(C29="","",IFERROR(SUMIFS('7-Heures Supplementaires'!M$5:M$104,'7-Heures Supplementaires'!E$5:E$104,C29),0))</f>
        <v/>
      </c>
      <c r="Q29" s="12" t="n"/>
    </row>
    <row r="30" ht="22" customHeight="1">
      <c r="B30" s="18">
        <f>IF(C30="","BMT-"&amp;TEXT(COUNTA($C$5:C30),"000"))</f>
        <v/>
      </c>
      <c r="C30" s="15" t="n"/>
      <c r="D30" s="15" t="n"/>
      <c r="E30" s="15" t="n"/>
      <c r="F30" s="16">
        <f>IF(C30="","",IFERROR(COUNTIFS('10-Compteurs Temps'!E$5:E$104,C30,'10-Compteurs Temps'!F$5:F$104,D30,'10-Compteurs Temps'!G$5:G$104,E30),0))</f>
        <v/>
      </c>
      <c r="G30" s="23">
        <f>IF(C30="","",IFERROR(SUMIFS('10-Compteurs Temps'!H$5:H$104,'10-Compteurs Temps'!E$5:E$104,C30,'10-Compteurs Temps'!F$5:F$104,D30,'10-Compteurs Temps'!G$5:G$104,E30),0))</f>
        <v/>
      </c>
      <c r="H30" s="23">
        <f>IF(C30="","",IFERROR(SUMIFS('10-Compteurs Temps'!I$5:I$104,'10-Compteurs Temps'!E$5:E$104,C30,'10-Compteurs Temps'!F$5:F$104,D30,'10-Compteurs Temps'!G$5:G$104,E30),0))</f>
        <v/>
      </c>
      <c r="I30" s="17">
        <f>IF(C30="","",IFERROR(SUMIFS('10-Compteurs Temps'!J$5:J$104,'10-Compteurs Temps'!E$5:E$104,C30,'10-Compteurs Temps'!F$5:F$104,D30,'10-Compteurs Temps'!G$5:G$104,E30),0))</f>
        <v/>
      </c>
      <c r="J30" s="17">
        <f>IF(C30="","",IFERROR(SUMIFS('10-Compteurs Temps'!K$5:K$104,'10-Compteurs Temps'!E$5:E$104,C30,'10-Compteurs Temps'!F$5:F$104,D30,'10-Compteurs Temps'!G$5:G$104,E30),0))</f>
        <v/>
      </c>
      <c r="K30" s="17">
        <f>IF(C30="","",IFERROR(SUMIFS('9-Heures WE &amp; Feries'!I$5:I$104,'9-Heures WE &amp; Feries'!E$5:E$104,C30),0))</f>
        <v/>
      </c>
      <c r="L30" s="16">
        <f>IF(C30="","",IFERROR(SUMIFS('10-Compteurs Temps'!L$5:L$104,'10-Compteurs Temps'!E$5:E$104,C30,'10-Compteurs Temps'!F$5:F$104,D30,'10-Compteurs Temps'!G$5:G$104,E30)/8,0))</f>
        <v/>
      </c>
      <c r="M30" s="16" t="n"/>
      <c r="N30" s="30">
        <f>IF(OR(C30="",G30=0,G30=""),"",IFERROR(H30/G30,0))</f>
        <v/>
      </c>
      <c r="O30" s="17">
        <f>IF(C30="","",IFERROR(H30-G30,0))</f>
        <v/>
      </c>
      <c r="P30" s="23">
        <f>IF(C30="","",IFERROR(SUMIFS('7-Heures Supplementaires'!M$5:M$104,'7-Heures Supplementaires'!E$5:E$104,C30),0))</f>
        <v/>
      </c>
      <c r="Q30" s="15" t="n"/>
    </row>
    <row r="31" ht="22" customHeight="1">
      <c r="B31" s="19">
        <f>IF(C31="","BMT-"&amp;TEXT(COUNTA($C$5:C31),"000"))</f>
        <v/>
      </c>
      <c r="C31" s="12" t="n"/>
      <c r="D31" s="12" t="n"/>
      <c r="E31" s="12" t="n"/>
      <c r="F31" s="13">
        <f>IF(C31="","",IFERROR(COUNTIFS('10-Compteurs Temps'!E$5:E$104,C31,'10-Compteurs Temps'!F$5:F$104,D31,'10-Compteurs Temps'!G$5:G$104,E31),0))</f>
        <v/>
      </c>
      <c r="G31" s="21">
        <f>IF(C31="","",IFERROR(SUMIFS('10-Compteurs Temps'!H$5:H$104,'10-Compteurs Temps'!E$5:E$104,C31,'10-Compteurs Temps'!F$5:F$104,D31,'10-Compteurs Temps'!G$5:G$104,E31),0))</f>
        <v/>
      </c>
      <c r="H31" s="21">
        <f>IF(C31="","",IFERROR(SUMIFS('10-Compteurs Temps'!I$5:I$104,'10-Compteurs Temps'!E$5:E$104,C31,'10-Compteurs Temps'!F$5:F$104,D31,'10-Compteurs Temps'!G$5:G$104,E31),0))</f>
        <v/>
      </c>
      <c r="I31" s="14">
        <f>IF(C31="","",IFERROR(SUMIFS('10-Compteurs Temps'!J$5:J$104,'10-Compteurs Temps'!E$5:E$104,C31,'10-Compteurs Temps'!F$5:F$104,D31,'10-Compteurs Temps'!G$5:G$104,E31),0))</f>
        <v/>
      </c>
      <c r="J31" s="14">
        <f>IF(C31="","",IFERROR(SUMIFS('10-Compteurs Temps'!K$5:K$104,'10-Compteurs Temps'!E$5:E$104,C31,'10-Compteurs Temps'!F$5:F$104,D31,'10-Compteurs Temps'!G$5:G$104,E31),0))</f>
        <v/>
      </c>
      <c r="K31" s="14">
        <f>IF(C31="","",IFERROR(SUMIFS('9-Heures WE &amp; Feries'!I$5:I$104,'9-Heures WE &amp; Feries'!E$5:E$104,C31),0))</f>
        <v/>
      </c>
      <c r="L31" s="13">
        <f>IF(C31="","",IFERROR(SUMIFS('10-Compteurs Temps'!L$5:L$104,'10-Compteurs Temps'!E$5:E$104,C31,'10-Compteurs Temps'!F$5:F$104,D31,'10-Compteurs Temps'!G$5:G$104,E31)/8,0))</f>
        <v/>
      </c>
      <c r="M31" s="13" t="n"/>
      <c r="N31" s="29">
        <f>IF(OR(C31="",G31=0,G31=""),"",IFERROR(H31/G31,0))</f>
        <v/>
      </c>
      <c r="O31" s="14">
        <f>IF(C31="","",IFERROR(H31-G31,0))</f>
        <v/>
      </c>
      <c r="P31" s="21">
        <f>IF(C31="","",IFERROR(SUMIFS('7-Heures Supplementaires'!M$5:M$104,'7-Heures Supplementaires'!E$5:E$104,C31),0))</f>
        <v/>
      </c>
      <c r="Q31" s="12" t="n"/>
    </row>
    <row r="32" ht="22" customHeight="1">
      <c r="B32" s="18">
        <f>IF(C32="","BMT-"&amp;TEXT(COUNTA($C$5:C32),"000"))</f>
        <v/>
      </c>
      <c r="C32" s="15" t="n"/>
      <c r="D32" s="15" t="n"/>
      <c r="E32" s="15" t="n"/>
      <c r="F32" s="16">
        <f>IF(C32="","",IFERROR(COUNTIFS('10-Compteurs Temps'!E$5:E$104,C32,'10-Compteurs Temps'!F$5:F$104,D32,'10-Compteurs Temps'!G$5:G$104,E32),0))</f>
        <v/>
      </c>
      <c r="G32" s="23">
        <f>IF(C32="","",IFERROR(SUMIFS('10-Compteurs Temps'!H$5:H$104,'10-Compteurs Temps'!E$5:E$104,C32,'10-Compteurs Temps'!F$5:F$104,D32,'10-Compteurs Temps'!G$5:G$104,E32),0))</f>
        <v/>
      </c>
      <c r="H32" s="23">
        <f>IF(C32="","",IFERROR(SUMIFS('10-Compteurs Temps'!I$5:I$104,'10-Compteurs Temps'!E$5:E$104,C32,'10-Compteurs Temps'!F$5:F$104,D32,'10-Compteurs Temps'!G$5:G$104,E32),0))</f>
        <v/>
      </c>
      <c r="I32" s="17">
        <f>IF(C32="","",IFERROR(SUMIFS('10-Compteurs Temps'!J$5:J$104,'10-Compteurs Temps'!E$5:E$104,C32,'10-Compteurs Temps'!F$5:F$104,D32,'10-Compteurs Temps'!G$5:G$104,E32),0))</f>
        <v/>
      </c>
      <c r="J32" s="17">
        <f>IF(C32="","",IFERROR(SUMIFS('10-Compteurs Temps'!K$5:K$104,'10-Compteurs Temps'!E$5:E$104,C32,'10-Compteurs Temps'!F$5:F$104,D32,'10-Compteurs Temps'!G$5:G$104,E32),0))</f>
        <v/>
      </c>
      <c r="K32" s="17">
        <f>IF(C32="","",IFERROR(SUMIFS('9-Heures WE &amp; Feries'!I$5:I$104,'9-Heures WE &amp; Feries'!E$5:E$104,C32),0))</f>
        <v/>
      </c>
      <c r="L32" s="16">
        <f>IF(C32="","",IFERROR(SUMIFS('10-Compteurs Temps'!L$5:L$104,'10-Compteurs Temps'!E$5:E$104,C32,'10-Compteurs Temps'!F$5:F$104,D32,'10-Compteurs Temps'!G$5:G$104,E32)/8,0))</f>
        <v/>
      </c>
      <c r="M32" s="16" t="n"/>
      <c r="N32" s="30">
        <f>IF(OR(C32="",G32=0,G32=""),"",IFERROR(H32/G32,0))</f>
        <v/>
      </c>
      <c r="O32" s="17">
        <f>IF(C32="","",IFERROR(H32-G32,0))</f>
        <v/>
      </c>
      <c r="P32" s="23">
        <f>IF(C32="","",IFERROR(SUMIFS('7-Heures Supplementaires'!M$5:M$104,'7-Heures Supplementaires'!E$5:E$104,C32),0))</f>
        <v/>
      </c>
      <c r="Q32" s="15" t="n"/>
    </row>
    <row r="33" ht="22" customHeight="1">
      <c r="B33" s="19">
        <f>IF(C33="","BMT-"&amp;TEXT(COUNTA($C$5:C33),"000"))</f>
        <v/>
      </c>
      <c r="C33" s="12" t="n"/>
      <c r="D33" s="12" t="n"/>
      <c r="E33" s="12" t="n"/>
      <c r="F33" s="13">
        <f>IF(C33="","",IFERROR(COUNTIFS('10-Compteurs Temps'!E$5:E$104,C33,'10-Compteurs Temps'!F$5:F$104,D33,'10-Compteurs Temps'!G$5:G$104,E33),0))</f>
        <v/>
      </c>
      <c r="G33" s="21">
        <f>IF(C33="","",IFERROR(SUMIFS('10-Compteurs Temps'!H$5:H$104,'10-Compteurs Temps'!E$5:E$104,C33,'10-Compteurs Temps'!F$5:F$104,D33,'10-Compteurs Temps'!G$5:G$104,E33),0))</f>
        <v/>
      </c>
      <c r="H33" s="21">
        <f>IF(C33="","",IFERROR(SUMIFS('10-Compteurs Temps'!I$5:I$104,'10-Compteurs Temps'!E$5:E$104,C33,'10-Compteurs Temps'!F$5:F$104,D33,'10-Compteurs Temps'!G$5:G$104,E33),0))</f>
        <v/>
      </c>
      <c r="I33" s="14">
        <f>IF(C33="","",IFERROR(SUMIFS('10-Compteurs Temps'!J$5:J$104,'10-Compteurs Temps'!E$5:E$104,C33,'10-Compteurs Temps'!F$5:F$104,D33,'10-Compteurs Temps'!G$5:G$104,E33),0))</f>
        <v/>
      </c>
      <c r="J33" s="14">
        <f>IF(C33="","",IFERROR(SUMIFS('10-Compteurs Temps'!K$5:K$104,'10-Compteurs Temps'!E$5:E$104,C33,'10-Compteurs Temps'!F$5:F$104,D33,'10-Compteurs Temps'!G$5:G$104,E33),0))</f>
        <v/>
      </c>
      <c r="K33" s="14">
        <f>IF(C33="","",IFERROR(SUMIFS('9-Heures WE &amp; Feries'!I$5:I$104,'9-Heures WE &amp; Feries'!E$5:E$104,C33),0))</f>
        <v/>
      </c>
      <c r="L33" s="13">
        <f>IF(C33="","",IFERROR(SUMIFS('10-Compteurs Temps'!L$5:L$104,'10-Compteurs Temps'!E$5:E$104,C33,'10-Compteurs Temps'!F$5:F$104,D33,'10-Compteurs Temps'!G$5:G$104,E33)/8,0))</f>
        <v/>
      </c>
      <c r="M33" s="13" t="n"/>
      <c r="N33" s="29">
        <f>IF(OR(C33="",G33=0,G33=""),"",IFERROR(H33/G33,0))</f>
        <v/>
      </c>
      <c r="O33" s="14">
        <f>IF(C33="","",IFERROR(H33-G33,0))</f>
        <v/>
      </c>
      <c r="P33" s="21">
        <f>IF(C33="","",IFERROR(SUMIFS('7-Heures Supplementaires'!M$5:M$104,'7-Heures Supplementaires'!E$5:E$104,C33),0))</f>
        <v/>
      </c>
      <c r="Q33" s="12" t="n"/>
    </row>
    <row r="34" ht="22" customHeight="1">
      <c r="B34" s="18">
        <f>IF(C34="","BMT-"&amp;TEXT(COUNTA($C$5:C34),"000"))</f>
        <v/>
      </c>
      <c r="C34" s="15" t="n"/>
      <c r="D34" s="15" t="n"/>
      <c r="E34" s="15" t="n"/>
      <c r="F34" s="16">
        <f>IF(C34="","",IFERROR(COUNTIFS('10-Compteurs Temps'!E$5:E$104,C34,'10-Compteurs Temps'!F$5:F$104,D34,'10-Compteurs Temps'!G$5:G$104,E34),0))</f>
        <v/>
      </c>
      <c r="G34" s="23">
        <f>IF(C34="","",IFERROR(SUMIFS('10-Compteurs Temps'!H$5:H$104,'10-Compteurs Temps'!E$5:E$104,C34,'10-Compteurs Temps'!F$5:F$104,D34,'10-Compteurs Temps'!G$5:G$104,E34),0))</f>
        <v/>
      </c>
      <c r="H34" s="23">
        <f>IF(C34="","",IFERROR(SUMIFS('10-Compteurs Temps'!I$5:I$104,'10-Compteurs Temps'!E$5:E$104,C34,'10-Compteurs Temps'!F$5:F$104,D34,'10-Compteurs Temps'!G$5:G$104,E34),0))</f>
        <v/>
      </c>
      <c r="I34" s="17">
        <f>IF(C34="","",IFERROR(SUMIFS('10-Compteurs Temps'!J$5:J$104,'10-Compteurs Temps'!E$5:E$104,C34,'10-Compteurs Temps'!F$5:F$104,D34,'10-Compteurs Temps'!G$5:G$104,E34),0))</f>
        <v/>
      </c>
      <c r="J34" s="17">
        <f>IF(C34="","",IFERROR(SUMIFS('10-Compteurs Temps'!K$5:K$104,'10-Compteurs Temps'!E$5:E$104,C34,'10-Compteurs Temps'!F$5:F$104,D34,'10-Compteurs Temps'!G$5:G$104,E34),0))</f>
        <v/>
      </c>
      <c r="K34" s="17">
        <f>IF(C34="","",IFERROR(SUMIFS('9-Heures WE &amp; Feries'!I$5:I$104,'9-Heures WE &amp; Feries'!E$5:E$104,C34),0))</f>
        <v/>
      </c>
      <c r="L34" s="16">
        <f>IF(C34="","",IFERROR(SUMIFS('10-Compteurs Temps'!L$5:L$104,'10-Compteurs Temps'!E$5:E$104,C34,'10-Compteurs Temps'!F$5:F$104,D34,'10-Compteurs Temps'!G$5:G$104,E34)/8,0))</f>
        <v/>
      </c>
      <c r="M34" s="16" t="n"/>
      <c r="N34" s="30">
        <f>IF(OR(C34="",G34=0,G34=""),"",IFERROR(H34/G34,0))</f>
        <v/>
      </c>
      <c r="O34" s="17">
        <f>IF(C34="","",IFERROR(H34-G34,0))</f>
        <v/>
      </c>
      <c r="P34" s="23">
        <f>IF(C34="","",IFERROR(SUMIFS('7-Heures Supplementaires'!M$5:M$104,'7-Heures Supplementaires'!E$5:E$104,C34),0))</f>
        <v/>
      </c>
      <c r="Q34" s="15" t="n"/>
    </row>
    <row r="35" ht="22" customHeight="1">
      <c r="B35" s="19">
        <f>IF(C35="","BMT-"&amp;TEXT(COUNTA($C$5:C35),"000"))</f>
        <v/>
      </c>
      <c r="C35" s="12" t="n"/>
      <c r="D35" s="12" t="n"/>
      <c r="E35" s="12" t="n"/>
      <c r="F35" s="13">
        <f>IF(C35="","",IFERROR(COUNTIFS('10-Compteurs Temps'!E$5:E$104,C35,'10-Compteurs Temps'!F$5:F$104,D35,'10-Compteurs Temps'!G$5:G$104,E35),0))</f>
        <v/>
      </c>
      <c r="G35" s="21">
        <f>IF(C35="","",IFERROR(SUMIFS('10-Compteurs Temps'!H$5:H$104,'10-Compteurs Temps'!E$5:E$104,C35,'10-Compteurs Temps'!F$5:F$104,D35,'10-Compteurs Temps'!G$5:G$104,E35),0))</f>
        <v/>
      </c>
      <c r="H35" s="21">
        <f>IF(C35="","",IFERROR(SUMIFS('10-Compteurs Temps'!I$5:I$104,'10-Compteurs Temps'!E$5:E$104,C35,'10-Compteurs Temps'!F$5:F$104,D35,'10-Compteurs Temps'!G$5:G$104,E35),0))</f>
        <v/>
      </c>
      <c r="I35" s="14">
        <f>IF(C35="","",IFERROR(SUMIFS('10-Compteurs Temps'!J$5:J$104,'10-Compteurs Temps'!E$5:E$104,C35,'10-Compteurs Temps'!F$5:F$104,D35,'10-Compteurs Temps'!G$5:G$104,E35),0))</f>
        <v/>
      </c>
      <c r="J35" s="14">
        <f>IF(C35="","",IFERROR(SUMIFS('10-Compteurs Temps'!K$5:K$104,'10-Compteurs Temps'!E$5:E$104,C35,'10-Compteurs Temps'!F$5:F$104,D35,'10-Compteurs Temps'!G$5:G$104,E35),0))</f>
        <v/>
      </c>
      <c r="K35" s="14">
        <f>IF(C35="","",IFERROR(SUMIFS('9-Heures WE &amp; Feries'!I$5:I$104,'9-Heures WE &amp; Feries'!E$5:E$104,C35),0))</f>
        <v/>
      </c>
      <c r="L35" s="13">
        <f>IF(C35="","",IFERROR(SUMIFS('10-Compteurs Temps'!L$5:L$104,'10-Compteurs Temps'!E$5:E$104,C35,'10-Compteurs Temps'!F$5:F$104,D35,'10-Compteurs Temps'!G$5:G$104,E35)/8,0))</f>
        <v/>
      </c>
      <c r="M35" s="13" t="n"/>
      <c r="N35" s="29">
        <f>IF(OR(C35="",G35=0,G35=""),"",IFERROR(H35/G35,0))</f>
        <v/>
      </c>
      <c r="O35" s="14">
        <f>IF(C35="","",IFERROR(H35-G35,0))</f>
        <v/>
      </c>
      <c r="P35" s="21">
        <f>IF(C35="","",IFERROR(SUMIFS('7-Heures Supplementaires'!M$5:M$104,'7-Heures Supplementaires'!E$5:E$104,C35),0))</f>
        <v/>
      </c>
      <c r="Q35" s="12" t="n"/>
    </row>
    <row r="36" ht="22" customHeight="1">
      <c r="B36" s="18">
        <f>IF(C36="","BMT-"&amp;TEXT(COUNTA($C$5:C36),"000"))</f>
        <v/>
      </c>
      <c r="C36" s="15" t="n"/>
      <c r="D36" s="15" t="n"/>
      <c r="E36" s="15" t="n"/>
      <c r="F36" s="16">
        <f>IF(C36="","",IFERROR(COUNTIFS('10-Compteurs Temps'!E$5:E$104,C36,'10-Compteurs Temps'!F$5:F$104,D36,'10-Compteurs Temps'!G$5:G$104,E36),0))</f>
        <v/>
      </c>
      <c r="G36" s="23">
        <f>IF(C36="","",IFERROR(SUMIFS('10-Compteurs Temps'!H$5:H$104,'10-Compteurs Temps'!E$5:E$104,C36,'10-Compteurs Temps'!F$5:F$104,D36,'10-Compteurs Temps'!G$5:G$104,E36),0))</f>
        <v/>
      </c>
      <c r="H36" s="23">
        <f>IF(C36="","",IFERROR(SUMIFS('10-Compteurs Temps'!I$5:I$104,'10-Compteurs Temps'!E$5:E$104,C36,'10-Compteurs Temps'!F$5:F$104,D36,'10-Compteurs Temps'!G$5:G$104,E36),0))</f>
        <v/>
      </c>
      <c r="I36" s="17">
        <f>IF(C36="","",IFERROR(SUMIFS('10-Compteurs Temps'!J$5:J$104,'10-Compteurs Temps'!E$5:E$104,C36,'10-Compteurs Temps'!F$5:F$104,D36,'10-Compteurs Temps'!G$5:G$104,E36),0))</f>
        <v/>
      </c>
      <c r="J36" s="17">
        <f>IF(C36="","",IFERROR(SUMIFS('10-Compteurs Temps'!K$5:K$104,'10-Compteurs Temps'!E$5:E$104,C36,'10-Compteurs Temps'!F$5:F$104,D36,'10-Compteurs Temps'!G$5:G$104,E36),0))</f>
        <v/>
      </c>
      <c r="K36" s="17">
        <f>IF(C36="","",IFERROR(SUMIFS('9-Heures WE &amp; Feries'!I$5:I$104,'9-Heures WE &amp; Feries'!E$5:E$104,C36),0))</f>
        <v/>
      </c>
      <c r="L36" s="16">
        <f>IF(C36="","",IFERROR(SUMIFS('10-Compteurs Temps'!L$5:L$104,'10-Compteurs Temps'!E$5:E$104,C36,'10-Compteurs Temps'!F$5:F$104,D36,'10-Compteurs Temps'!G$5:G$104,E36)/8,0))</f>
        <v/>
      </c>
      <c r="M36" s="16" t="n"/>
      <c r="N36" s="30">
        <f>IF(OR(C36="",G36=0,G36=""),"",IFERROR(H36/G36,0))</f>
        <v/>
      </c>
      <c r="O36" s="17">
        <f>IF(C36="","",IFERROR(H36-G36,0))</f>
        <v/>
      </c>
      <c r="P36" s="23">
        <f>IF(C36="","",IFERROR(SUMIFS('7-Heures Supplementaires'!M$5:M$104,'7-Heures Supplementaires'!E$5:E$104,C36),0))</f>
        <v/>
      </c>
      <c r="Q36" s="15" t="n"/>
    </row>
    <row r="37" ht="22" customHeight="1">
      <c r="B37" s="19">
        <f>IF(C37="","BMT-"&amp;TEXT(COUNTA($C$5:C37),"000"))</f>
        <v/>
      </c>
      <c r="C37" s="12" t="n"/>
      <c r="D37" s="12" t="n"/>
      <c r="E37" s="12" t="n"/>
      <c r="F37" s="13">
        <f>IF(C37="","",IFERROR(COUNTIFS('10-Compteurs Temps'!E$5:E$104,C37,'10-Compteurs Temps'!F$5:F$104,D37,'10-Compteurs Temps'!G$5:G$104,E37),0))</f>
        <v/>
      </c>
      <c r="G37" s="21">
        <f>IF(C37="","",IFERROR(SUMIFS('10-Compteurs Temps'!H$5:H$104,'10-Compteurs Temps'!E$5:E$104,C37,'10-Compteurs Temps'!F$5:F$104,D37,'10-Compteurs Temps'!G$5:G$104,E37),0))</f>
        <v/>
      </c>
      <c r="H37" s="21">
        <f>IF(C37="","",IFERROR(SUMIFS('10-Compteurs Temps'!I$5:I$104,'10-Compteurs Temps'!E$5:E$104,C37,'10-Compteurs Temps'!F$5:F$104,D37,'10-Compteurs Temps'!G$5:G$104,E37),0))</f>
        <v/>
      </c>
      <c r="I37" s="14">
        <f>IF(C37="","",IFERROR(SUMIFS('10-Compteurs Temps'!J$5:J$104,'10-Compteurs Temps'!E$5:E$104,C37,'10-Compteurs Temps'!F$5:F$104,D37,'10-Compteurs Temps'!G$5:G$104,E37),0))</f>
        <v/>
      </c>
      <c r="J37" s="14">
        <f>IF(C37="","",IFERROR(SUMIFS('10-Compteurs Temps'!K$5:K$104,'10-Compteurs Temps'!E$5:E$104,C37,'10-Compteurs Temps'!F$5:F$104,D37,'10-Compteurs Temps'!G$5:G$104,E37),0))</f>
        <v/>
      </c>
      <c r="K37" s="14">
        <f>IF(C37="","",IFERROR(SUMIFS('9-Heures WE &amp; Feries'!I$5:I$104,'9-Heures WE &amp; Feries'!E$5:E$104,C37),0))</f>
        <v/>
      </c>
      <c r="L37" s="13">
        <f>IF(C37="","",IFERROR(SUMIFS('10-Compteurs Temps'!L$5:L$104,'10-Compteurs Temps'!E$5:E$104,C37,'10-Compteurs Temps'!F$5:F$104,D37,'10-Compteurs Temps'!G$5:G$104,E37)/8,0))</f>
        <v/>
      </c>
      <c r="M37" s="13" t="n"/>
      <c r="N37" s="29">
        <f>IF(OR(C37="",G37=0,G37=""),"",IFERROR(H37/G37,0))</f>
        <v/>
      </c>
      <c r="O37" s="14">
        <f>IF(C37="","",IFERROR(H37-G37,0))</f>
        <v/>
      </c>
      <c r="P37" s="21">
        <f>IF(C37="","",IFERROR(SUMIFS('7-Heures Supplementaires'!M$5:M$104,'7-Heures Supplementaires'!E$5:E$104,C37),0))</f>
        <v/>
      </c>
      <c r="Q37" s="12" t="n"/>
    </row>
    <row r="38" ht="22" customHeight="1">
      <c r="B38" s="18">
        <f>IF(C38="","BMT-"&amp;TEXT(COUNTA($C$5:C38),"000"))</f>
        <v/>
      </c>
      <c r="C38" s="15" t="n"/>
      <c r="D38" s="15" t="n"/>
      <c r="E38" s="15" t="n"/>
      <c r="F38" s="16">
        <f>IF(C38="","",IFERROR(COUNTIFS('10-Compteurs Temps'!E$5:E$104,C38,'10-Compteurs Temps'!F$5:F$104,D38,'10-Compteurs Temps'!G$5:G$104,E38),0))</f>
        <v/>
      </c>
      <c r="G38" s="23">
        <f>IF(C38="","",IFERROR(SUMIFS('10-Compteurs Temps'!H$5:H$104,'10-Compteurs Temps'!E$5:E$104,C38,'10-Compteurs Temps'!F$5:F$104,D38,'10-Compteurs Temps'!G$5:G$104,E38),0))</f>
        <v/>
      </c>
      <c r="H38" s="23">
        <f>IF(C38="","",IFERROR(SUMIFS('10-Compteurs Temps'!I$5:I$104,'10-Compteurs Temps'!E$5:E$104,C38,'10-Compteurs Temps'!F$5:F$104,D38,'10-Compteurs Temps'!G$5:G$104,E38),0))</f>
        <v/>
      </c>
      <c r="I38" s="17">
        <f>IF(C38="","",IFERROR(SUMIFS('10-Compteurs Temps'!J$5:J$104,'10-Compteurs Temps'!E$5:E$104,C38,'10-Compteurs Temps'!F$5:F$104,D38,'10-Compteurs Temps'!G$5:G$104,E38),0))</f>
        <v/>
      </c>
      <c r="J38" s="17">
        <f>IF(C38="","",IFERROR(SUMIFS('10-Compteurs Temps'!K$5:K$104,'10-Compteurs Temps'!E$5:E$104,C38,'10-Compteurs Temps'!F$5:F$104,D38,'10-Compteurs Temps'!G$5:G$104,E38),0))</f>
        <v/>
      </c>
      <c r="K38" s="17">
        <f>IF(C38="","",IFERROR(SUMIFS('9-Heures WE &amp; Feries'!I$5:I$104,'9-Heures WE &amp; Feries'!E$5:E$104,C38),0))</f>
        <v/>
      </c>
      <c r="L38" s="16">
        <f>IF(C38="","",IFERROR(SUMIFS('10-Compteurs Temps'!L$5:L$104,'10-Compteurs Temps'!E$5:E$104,C38,'10-Compteurs Temps'!F$5:F$104,D38,'10-Compteurs Temps'!G$5:G$104,E38)/8,0))</f>
        <v/>
      </c>
      <c r="M38" s="16" t="n"/>
      <c r="N38" s="30">
        <f>IF(OR(C38="",G38=0,G38=""),"",IFERROR(H38/G38,0))</f>
        <v/>
      </c>
      <c r="O38" s="17">
        <f>IF(C38="","",IFERROR(H38-G38,0))</f>
        <v/>
      </c>
      <c r="P38" s="23">
        <f>IF(C38="","",IFERROR(SUMIFS('7-Heures Supplementaires'!M$5:M$104,'7-Heures Supplementaires'!E$5:E$104,C38),0))</f>
        <v/>
      </c>
      <c r="Q38" s="15" t="n"/>
    </row>
    <row r="39" ht="22" customHeight="1">
      <c r="B39" s="19">
        <f>IF(C39="","BMT-"&amp;TEXT(COUNTA($C$5:C39),"000"))</f>
        <v/>
      </c>
      <c r="C39" s="12" t="n"/>
      <c r="D39" s="12" t="n"/>
      <c r="E39" s="12" t="n"/>
      <c r="F39" s="13">
        <f>IF(C39="","",IFERROR(COUNTIFS('10-Compteurs Temps'!E$5:E$104,C39,'10-Compteurs Temps'!F$5:F$104,D39,'10-Compteurs Temps'!G$5:G$104,E39),0))</f>
        <v/>
      </c>
      <c r="G39" s="21">
        <f>IF(C39="","",IFERROR(SUMIFS('10-Compteurs Temps'!H$5:H$104,'10-Compteurs Temps'!E$5:E$104,C39,'10-Compteurs Temps'!F$5:F$104,D39,'10-Compteurs Temps'!G$5:G$104,E39),0))</f>
        <v/>
      </c>
      <c r="H39" s="21">
        <f>IF(C39="","",IFERROR(SUMIFS('10-Compteurs Temps'!I$5:I$104,'10-Compteurs Temps'!E$5:E$104,C39,'10-Compteurs Temps'!F$5:F$104,D39,'10-Compteurs Temps'!G$5:G$104,E39),0))</f>
        <v/>
      </c>
      <c r="I39" s="14">
        <f>IF(C39="","",IFERROR(SUMIFS('10-Compteurs Temps'!J$5:J$104,'10-Compteurs Temps'!E$5:E$104,C39,'10-Compteurs Temps'!F$5:F$104,D39,'10-Compteurs Temps'!G$5:G$104,E39),0))</f>
        <v/>
      </c>
      <c r="J39" s="14">
        <f>IF(C39="","",IFERROR(SUMIFS('10-Compteurs Temps'!K$5:K$104,'10-Compteurs Temps'!E$5:E$104,C39,'10-Compteurs Temps'!F$5:F$104,D39,'10-Compteurs Temps'!G$5:G$104,E39),0))</f>
        <v/>
      </c>
      <c r="K39" s="14">
        <f>IF(C39="","",IFERROR(SUMIFS('9-Heures WE &amp; Feries'!I$5:I$104,'9-Heures WE &amp; Feries'!E$5:E$104,C39),0))</f>
        <v/>
      </c>
      <c r="L39" s="13">
        <f>IF(C39="","",IFERROR(SUMIFS('10-Compteurs Temps'!L$5:L$104,'10-Compteurs Temps'!E$5:E$104,C39,'10-Compteurs Temps'!F$5:F$104,D39,'10-Compteurs Temps'!G$5:G$104,E39)/8,0))</f>
        <v/>
      </c>
      <c r="M39" s="13" t="n"/>
      <c r="N39" s="29">
        <f>IF(OR(C39="",G39=0,G39=""),"",IFERROR(H39/G39,0))</f>
        <v/>
      </c>
      <c r="O39" s="14">
        <f>IF(C39="","",IFERROR(H39-G39,0))</f>
        <v/>
      </c>
      <c r="P39" s="21">
        <f>IF(C39="","",IFERROR(SUMIFS('7-Heures Supplementaires'!M$5:M$104,'7-Heures Supplementaires'!E$5:E$104,C39),0))</f>
        <v/>
      </c>
      <c r="Q39" s="12" t="n"/>
    </row>
    <row r="40" ht="22" customHeight="1">
      <c r="B40" s="18">
        <f>IF(C40="","BMT-"&amp;TEXT(COUNTA($C$5:C40),"000"))</f>
        <v/>
      </c>
      <c r="C40" s="15" t="n"/>
      <c r="D40" s="15" t="n"/>
      <c r="E40" s="15" t="n"/>
      <c r="F40" s="16">
        <f>IF(C40="","",IFERROR(COUNTIFS('10-Compteurs Temps'!E$5:E$104,C40,'10-Compteurs Temps'!F$5:F$104,D40,'10-Compteurs Temps'!G$5:G$104,E40),0))</f>
        <v/>
      </c>
      <c r="G40" s="23">
        <f>IF(C40="","",IFERROR(SUMIFS('10-Compteurs Temps'!H$5:H$104,'10-Compteurs Temps'!E$5:E$104,C40,'10-Compteurs Temps'!F$5:F$104,D40,'10-Compteurs Temps'!G$5:G$104,E40),0))</f>
        <v/>
      </c>
      <c r="H40" s="23">
        <f>IF(C40="","",IFERROR(SUMIFS('10-Compteurs Temps'!I$5:I$104,'10-Compteurs Temps'!E$5:E$104,C40,'10-Compteurs Temps'!F$5:F$104,D40,'10-Compteurs Temps'!G$5:G$104,E40),0))</f>
        <v/>
      </c>
      <c r="I40" s="17">
        <f>IF(C40="","",IFERROR(SUMIFS('10-Compteurs Temps'!J$5:J$104,'10-Compteurs Temps'!E$5:E$104,C40,'10-Compteurs Temps'!F$5:F$104,D40,'10-Compteurs Temps'!G$5:G$104,E40),0))</f>
        <v/>
      </c>
      <c r="J40" s="17">
        <f>IF(C40="","",IFERROR(SUMIFS('10-Compteurs Temps'!K$5:K$104,'10-Compteurs Temps'!E$5:E$104,C40,'10-Compteurs Temps'!F$5:F$104,D40,'10-Compteurs Temps'!G$5:G$104,E40),0))</f>
        <v/>
      </c>
      <c r="K40" s="17">
        <f>IF(C40="","",IFERROR(SUMIFS('9-Heures WE &amp; Feries'!I$5:I$104,'9-Heures WE &amp; Feries'!E$5:E$104,C40),0))</f>
        <v/>
      </c>
      <c r="L40" s="16">
        <f>IF(C40="","",IFERROR(SUMIFS('10-Compteurs Temps'!L$5:L$104,'10-Compteurs Temps'!E$5:E$104,C40,'10-Compteurs Temps'!F$5:F$104,D40,'10-Compteurs Temps'!G$5:G$104,E40)/8,0))</f>
        <v/>
      </c>
      <c r="M40" s="16" t="n"/>
      <c r="N40" s="30">
        <f>IF(OR(C40="",G40=0,G40=""),"",IFERROR(H40/G40,0))</f>
        <v/>
      </c>
      <c r="O40" s="17">
        <f>IF(C40="","",IFERROR(H40-G40,0))</f>
        <v/>
      </c>
      <c r="P40" s="23">
        <f>IF(C40="","",IFERROR(SUMIFS('7-Heures Supplementaires'!M$5:M$104,'7-Heures Supplementaires'!E$5:E$104,C40),0))</f>
        <v/>
      </c>
      <c r="Q40" s="15" t="n"/>
    </row>
    <row r="41" ht="22" customHeight="1">
      <c r="B41" s="19">
        <f>IF(C41="","BMT-"&amp;TEXT(COUNTA($C$5:C41),"000"))</f>
        <v/>
      </c>
      <c r="C41" s="12" t="n"/>
      <c r="D41" s="12" t="n"/>
      <c r="E41" s="12" t="n"/>
      <c r="F41" s="13">
        <f>IF(C41="","",IFERROR(COUNTIFS('10-Compteurs Temps'!E$5:E$104,C41,'10-Compteurs Temps'!F$5:F$104,D41,'10-Compteurs Temps'!G$5:G$104,E41),0))</f>
        <v/>
      </c>
      <c r="G41" s="21">
        <f>IF(C41="","",IFERROR(SUMIFS('10-Compteurs Temps'!H$5:H$104,'10-Compteurs Temps'!E$5:E$104,C41,'10-Compteurs Temps'!F$5:F$104,D41,'10-Compteurs Temps'!G$5:G$104,E41),0))</f>
        <v/>
      </c>
      <c r="H41" s="21">
        <f>IF(C41="","",IFERROR(SUMIFS('10-Compteurs Temps'!I$5:I$104,'10-Compteurs Temps'!E$5:E$104,C41,'10-Compteurs Temps'!F$5:F$104,D41,'10-Compteurs Temps'!G$5:G$104,E41),0))</f>
        <v/>
      </c>
      <c r="I41" s="14">
        <f>IF(C41="","",IFERROR(SUMIFS('10-Compteurs Temps'!J$5:J$104,'10-Compteurs Temps'!E$5:E$104,C41,'10-Compteurs Temps'!F$5:F$104,D41,'10-Compteurs Temps'!G$5:G$104,E41),0))</f>
        <v/>
      </c>
      <c r="J41" s="14">
        <f>IF(C41="","",IFERROR(SUMIFS('10-Compteurs Temps'!K$5:K$104,'10-Compteurs Temps'!E$5:E$104,C41,'10-Compteurs Temps'!F$5:F$104,D41,'10-Compteurs Temps'!G$5:G$104,E41),0))</f>
        <v/>
      </c>
      <c r="K41" s="14">
        <f>IF(C41="","",IFERROR(SUMIFS('9-Heures WE &amp; Feries'!I$5:I$104,'9-Heures WE &amp; Feries'!E$5:E$104,C41),0))</f>
        <v/>
      </c>
      <c r="L41" s="13">
        <f>IF(C41="","",IFERROR(SUMIFS('10-Compteurs Temps'!L$5:L$104,'10-Compteurs Temps'!E$5:E$104,C41,'10-Compteurs Temps'!F$5:F$104,D41,'10-Compteurs Temps'!G$5:G$104,E41)/8,0))</f>
        <v/>
      </c>
      <c r="M41" s="13" t="n"/>
      <c r="N41" s="29">
        <f>IF(OR(C41="",G41=0,G41=""),"",IFERROR(H41/G41,0))</f>
        <v/>
      </c>
      <c r="O41" s="14">
        <f>IF(C41="","",IFERROR(H41-G41,0))</f>
        <v/>
      </c>
      <c r="P41" s="21">
        <f>IF(C41="","",IFERROR(SUMIFS('7-Heures Supplementaires'!M$5:M$104,'7-Heures Supplementaires'!E$5:E$104,C41),0))</f>
        <v/>
      </c>
      <c r="Q41" s="12" t="n"/>
    </row>
    <row r="42" ht="22" customHeight="1">
      <c r="B42" s="18">
        <f>IF(C42="","BMT-"&amp;TEXT(COUNTA($C$5:C42),"000"))</f>
        <v/>
      </c>
      <c r="C42" s="15" t="n"/>
      <c r="D42" s="15" t="n"/>
      <c r="E42" s="15" t="n"/>
      <c r="F42" s="16">
        <f>IF(C42="","",IFERROR(COUNTIFS('10-Compteurs Temps'!E$5:E$104,C42,'10-Compteurs Temps'!F$5:F$104,D42,'10-Compteurs Temps'!G$5:G$104,E42),0))</f>
        <v/>
      </c>
      <c r="G42" s="23">
        <f>IF(C42="","",IFERROR(SUMIFS('10-Compteurs Temps'!H$5:H$104,'10-Compteurs Temps'!E$5:E$104,C42,'10-Compteurs Temps'!F$5:F$104,D42,'10-Compteurs Temps'!G$5:G$104,E42),0))</f>
        <v/>
      </c>
      <c r="H42" s="23">
        <f>IF(C42="","",IFERROR(SUMIFS('10-Compteurs Temps'!I$5:I$104,'10-Compteurs Temps'!E$5:E$104,C42,'10-Compteurs Temps'!F$5:F$104,D42,'10-Compteurs Temps'!G$5:G$104,E42),0))</f>
        <v/>
      </c>
      <c r="I42" s="17">
        <f>IF(C42="","",IFERROR(SUMIFS('10-Compteurs Temps'!J$5:J$104,'10-Compteurs Temps'!E$5:E$104,C42,'10-Compteurs Temps'!F$5:F$104,D42,'10-Compteurs Temps'!G$5:G$104,E42),0))</f>
        <v/>
      </c>
      <c r="J42" s="17">
        <f>IF(C42="","",IFERROR(SUMIFS('10-Compteurs Temps'!K$5:K$104,'10-Compteurs Temps'!E$5:E$104,C42,'10-Compteurs Temps'!F$5:F$104,D42,'10-Compteurs Temps'!G$5:G$104,E42),0))</f>
        <v/>
      </c>
      <c r="K42" s="17">
        <f>IF(C42="","",IFERROR(SUMIFS('9-Heures WE &amp; Feries'!I$5:I$104,'9-Heures WE &amp; Feries'!E$5:E$104,C42),0))</f>
        <v/>
      </c>
      <c r="L42" s="16">
        <f>IF(C42="","",IFERROR(SUMIFS('10-Compteurs Temps'!L$5:L$104,'10-Compteurs Temps'!E$5:E$104,C42,'10-Compteurs Temps'!F$5:F$104,D42,'10-Compteurs Temps'!G$5:G$104,E42)/8,0))</f>
        <v/>
      </c>
      <c r="M42" s="16" t="n"/>
      <c r="N42" s="30">
        <f>IF(OR(C42="",G42=0,G42=""),"",IFERROR(H42/G42,0))</f>
        <v/>
      </c>
      <c r="O42" s="17">
        <f>IF(C42="","",IFERROR(H42-G42,0))</f>
        <v/>
      </c>
      <c r="P42" s="23">
        <f>IF(C42="","",IFERROR(SUMIFS('7-Heures Supplementaires'!M$5:M$104,'7-Heures Supplementaires'!E$5:E$104,C42),0))</f>
        <v/>
      </c>
      <c r="Q42" s="15" t="n"/>
    </row>
    <row r="43" ht="22" customHeight="1">
      <c r="B43" s="19">
        <f>IF(C43="","BMT-"&amp;TEXT(COUNTA($C$5:C43),"000"))</f>
        <v/>
      </c>
      <c r="C43" s="12" t="n"/>
      <c r="D43" s="12" t="n"/>
      <c r="E43" s="12" t="n"/>
      <c r="F43" s="13">
        <f>IF(C43="","",IFERROR(COUNTIFS('10-Compteurs Temps'!E$5:E$104,C43,'10-Compteurs Temps'!F$5:F$104,D43,'10-Compteurs Temps'!G$5:G$104,E43),0))</f>
        <v/>
      </c>
      <c r="G43" s="21">
        <f>IF(C43="","",IFERROR(SUMIFS('10-Compteurs Temps'!H$5:H$104,'10-Compteurs Temps'!E$5:E$104,C43,'10-Compteurs Temps'!F$5:F$104,D43,'10-Compteurs Temps'!G$5:G$104,E43),0))</f>
        <v/>
      </c>
      <c r="H43" s="21">
        <f>IF(C43="","",IFERROR(SUMIFS('10-Compteurs Temps'!I$5:I$104,'10-Compteurs Temps'!E$5:E$104,C43,'10-Compteurs Temps'!F$5:F$104,D43,'10-Compteurs Temps'!G$5:G$104,E43),0))</f>
        <v/>
      </c>
      <c r="I43" s="14">
        <f>IF(C43="","",IFERROR(SUMIFS('10-Compteurs Temps'!J$5:J$104,'10-Compteurs Temps'!E$5:E$104,C43,'10-Compteurs Temps'!F$5:F$104,D43,'10-Compteurs Temps'!G$5:G$104,E43),0))</f>
        <v/>
      </c>
      <c r="J43" s="14">
        <f>IF(C43="","",IFERROR(SUMIFS('10-Compteurs Temps'!K$5:K$104,'10-Compteurs Temps'!E$5:E$104,C43,'10-Compteurs Temps'!F$5:F$104,D43,'10-Compteurs Temps'!G$5:G$104,E43),0))</f>
        <v/>
      </c>
      <c r="K43" s="14">
        <f>IF(C43="","",IFERROR(SUMIFS('9-Heures WE &amp; Feries'!I$5:I$104,'9-Heures WE &amp; Feries'!E$5:E$104,C43),0))</f>
        <v/>
      </c>
      <c r="L43" s="13">
        <f>IF(C43="","",IFERROR(SUMIFS('10-Compteurs Temps'!L$5:L$104,'10-Compteurs Temps'!E$5:E$104,C43,'10-Compteurs Temps'!F$5:F$104,D43,'10-Compteurs Temps'!G$5:G$104,E43)/8,0))</f>
        <v/>
      </c>
      <c r="M43" s="13" t="n"/>
      <c r="N43" s="29">
        <f>IF(OR(C43="",G43=0,G43=""),"",IFERROR(H43/G43,0))</f>
        <v/>
      </c>
      <c r="O43" s="14">
        <f>IF(C43="","",IFERROR(H43-G43,0))</f>
        <v/>
      </c>
      <c r="P43" s="21">
        <f>IF(C43="","",IFERROR(SUMIFS('7-Heures Supplementaires'!M$5:M$104,'7-Heures Supplementaires'!E$5:E$104,C43),0))</f>
        <v/>
      </c>
      <c r="Q43" s="12" t="n"/>
    </row>
    <row r="44" ht="22" customHeight="1">
      <c r="B44" s="18">
        <f>IF(C44="","BMT-"&amp;TEXT(COUNTA($C$5:C44),"000"))</f>
        <v/>
      </c>
      <c r="C44" s="15" t="n"/>
      <c r="D44" s="15" t="n"/>
      <c r="E44" s="15" t="n"/>
      <c r="F44" s="16">
        <f>IF(C44="","",IFERROR(COUNTIFS('10-Compteurs Temps'!E$5:E$104,C44,'10-Compteurs Temps'!F$5:F$104,D44,'10-Compteurs Temps'!G$5:G$104,E44),0))</f>
        <v/>
      </c>
      <c r="G44" s="23">
        <f>IF(C44="","",IFERROR(SUMIFS('10-Compteurs Temps'!H$5:H$104,'10-Compteurs Temps'!E$5:E$104,C44,'10-Compteurs Temps'!F$5:F$104,D44,'10-Compteurs Temps'!G$5:G$104,E44),0))</f>
        <v/>
      </c>
      <c r="H44" s="23">
        <f>IF(C44="","",IFERROR(SUMIFS('10-Compteurs Temps'!I$5:I$104,'10-Compteurs Temps'!E$5:E$104,C44,'10-Compteurs Temps'!F$5:F$104,D44,'10-Compteurs Temps'!G$5:G$104,E44),0))</f>
        <v/>
      </c>
      <c r="I44" s="17">
        <f>IF(C44="","",IFERROR(SUMIFS('10-Compteurs Temps'!J$5:J$104,'10-Compteurs Temps'!E$5:E$104,C44,'10-Compteurs Temps'!F$5:F$104,D44,'10-Compteurs Temps'!G$5:G$104,E44),0))</f>
        <v/>
      </c>
      <c r="J44" s="17">
        <f>IF(C44="","",IFERROR(SUMIFS('10-Compteurs Temps'!K$5:K$104,'10-Compteurs Temps'!E$5:E$104,C44,'10-Compteurs Temps'!F$5:F$104,D44,'10-Compteurs Temps'!G$5:G$104,E44),0))</f>
        <v/>
      </c>
      <c r="K44" s="17">
        <f>IF(C44="","",IFERROR(SUMIFS('9-Heures WE &amp; Feries'!I$5:I$104,'9-Heures WE &amp; Feries'!E$5:E$104,C44),0))</f>
        <v/>
      </c>
      <c r="L44" s="16">
        <f>IF(C44="","",IFERROR(SUMIFS('10-Compteurs Temps'!L$5:L$104,'10-Compteurs Temps'!E$5:E$104,C44,'10-Compteurs Temps'!F$5:F$104,D44,'10-Compteurs Temps'!G$5:G$104,E44)/8,0))</f>
        <v/>
      </c>
      <c r="M44" s="16" t="n"/>
      <c r="N44" s="30">
        <f>IF(OR(C44="",G44=0,G44=""),"",IFERROR(H44/G44,0))</f>
        <v/>
      </c>
      <c r="O44" s="17">
        <f>IF(C44="","",IFERROR(H44-G44,0))</f>
        <v/>
      </c>
      <c r="P44" s="23">
        <f>IF(C44="","",IFERROR(SUMIFS('7-Heures Supplementaires'!M$5:M$104,'7-Heures Supplementaires'!E$5:E$104,C44),0))</f>
        <v/>
      </c>
      <c r="Q44" s="15" t="n"/>
    </row>
    <row r="45" ht="22" customHeight="1">
      <c r="B45" s="19">
        <f>IF(C45="","BMT-"&amp;TEXT(COUNTA($C$5:C45),"000"))</f>
        <v/>
      </c>
      <c r="C45" s="12" t="n"/>
      <c r="D45" s="12" t="n"/>
      <c r="E45" s="12" t="n"/>
      <c r="F45" s="13">
        <f>IF(C45="","",IFERROR(COUNTIFS('10-Compteurs Temps'!E$5:E$104,C45,'10-Compteurs Temps'!F$5:F$104,D45,'10-Compteurs Temps'!G$5:G$104,E45),0))</f>
        <v/>
      </c>
      <c r="G45" s="21">
        <f>IF(C45="","",IFERROR(SUMIFS('10-Compteurs Temps'!H$5:H$104,'10-Compteurs Temps'!E$5:E$104,C45,'10-Compteurs Temps'!F$5:F$104,D45,'10-Compteurs Temps'!G$5:G$104,E45),0))</f>
        <v/>
      </c>
      <c r="H45" s="21">
        <f>IF(C45="","",IFERROR(SUMIFS('10-Compteurs Temps'!I$5:I$104,'10-Compteurs Temps'!E$5:E$104,C45,'10-Compteurs Temps'!F$5:F$104,D45,'10-Compteurs Temps'!G$5:G$104,E45),0))</f>
        <v/>
      </c>
      <c r="I45" s="14">
        <f>IF(C45="","",IFERROR(SUMIFS('10-Compteurs Temps'!J$5:J$104,'10-Compteurs Temps'!E$5:E$104,C45,'10-Compteurs Temps'!F$5:F$104,D45,'10-Compteurs Temps'!G$5:G$104,E45),0))</f>
        <v/>
      </c>
      <c r="J45" s="14">
        <f>IF(C45="","",IFERROR(SUMIFS('10-Compteurs Temps'!K$5:K$104,'10-Compteurs Temps'!E$5:E$104,C45,'10-Compteurs Temps'!F$5:F$104,D45,'10-Compteurs Temps'!G$5:G$104,E45),0))</f>
        <v/>
      </c>
      <c r="K45" s="14">
        <f>IF(C45="","",IFERROR(SUMIFS('9-Heures WE &amp; Feries'!I$5:I$104,'9-Heures WE &amp; Feries'!E$5:E$104,C45),0))</f>
        <v/>
      </c>
      <c r="L45" s="13">
        <f>IF(C45="","",IFERROR(SUMIFS('10-Compteurs Temps'!L$5:L$104,'10-Compteurs Temps'!E$5:E$104,C45,'10-Compteurs Temps'!F$5:F$104,D45,'10-Compteurs Temps'!G$5:G$104,E45)/8,0))</f>
        <v/>
      </c>
      <c r="M45" s="13" t="n"/>
      <c r="N45" s="29">
        <f>IF(OR(C45="",G45=0,G45=""),"",IFERROR(H45/G45,0))</f>
        <v/>
      </c>
      <c r="O45" s="14">
        <f>IF(C45="","",IFERROR(H45-G45,0))</f>
        <v/>
      </c>
      <c r="P45" s="21">
        <f>IF(C45="","",IFERROR(SUMIFS('7-Heures Supplementaires'!M$5:M$104,'7-Heures Supplementaires'!E$5:E$104,C45),0))</f>
        <v/>
      </c>
      <c r="Q45" s="12" t="n"/>
    </row>
    <row r="46" ht="22" customHeight="1">
      <c r="B46" s="18">
        <f>IF(C46="","BMT-"&amp;TEXT(COUNTA($C$5:C46),"000"))</f>
        <v/>
      </c>
      <c r="C46" s="15" t="n"/>
      <c r="D46" s="15" t="n"/>
      <c r="E46" s="15" t="n"/>
      <c r="F46" s="16">
        <f>IF(C46="","",IFERROR(COUNTIFS('10-Compteurs Temps'!E$5:E$104,C46,'10-Compteurs Temps'!F$5:F$104,D46,'10-Compteurs Temps'!G$5:G$104,E46),0))</f>
        <v/>
      </c>
      <c r="G46" s="23">
        <f>IF(C46="","",IFERROR(SUMIFS('10-Compteurs Temps'!H$5:H$104,'10-Compteurs Temps'!E$5:E$104,C46,'10-Compteurs Temps'!F$5:F$104,D46,'10-Compteurs Temps'!G$5:G$104,E46),0))</f>
        <v/>
      </c>
      <c r="H46" s="23">
        <f>IF(C46="","",IFERROR(SUMIFS('10-Compteurs Temps'!I$5:I$104,'10-Compteurs Temps'!E$5:E$104,C46,'10-Compteurs Temps'!F$5:F$104,D46,'10-Compteurs Temps'!G$5:G$104,E46),0))</f>
        <v/>
      </c>
      <c r="I46" s="17">
        <f>IF(C46="","",IFERROR(SUMIFS('10-Compteurs Temps'!J$5:J$104,'10-Compteurs Temps'!E$5:E$104,C46,'10-Compteurs Temps'!F$5:F$104,D46,'10-Compteurs Temps'!G$5:G$104,E46),0))</f>
        <v/>
      </c>
      <c r="J46" s="17">
        <f>IF(C46="","",IFERROR(SUMIFS('10-Compteurs Temps'!K$5:K$104,'10-Compteurs Temps'!E$5:E$104,C46,'10-Compteurs Temps'!F$5:F$104,D46,'10-Compteurs Temps'!G$5:G$104,E46),0))</f>
        <v/>
      </c>
      <c r="K46" s="17">
        <f>IF(C46="","",IFERROR(SUMIFS('9-Heures WE &amp; Feries'!I$5:I$104,'9-Heures WE &amp; Feries'!E$5:E$104,C46),0))</f>
        <v/>
      </c>
      <c r="L46" s="16">
        <f>IF(C46="","",IFERROR(SUMIFS('10-Compteurs Temps'!L$5:L$104,'10-Compteurs Temps'!E$5:E$104,C46,'10-Compteurs Temps'!F$5:F$104,D46,'10-Compteurs Temps'!G$5:G$104,E46)/8,0))</f>
        <v/>
      </c>
      <c r="M46" s="16" t="n"/>
      <c r="N46" s="30">
        <f>IF(OR(C46="",G46=0,G46=""),"",IFERROR(H46/G46,0))</f>
        <v/>
      </c>
      <c r="O46" s="17">
        <f>IF(C46="","",IFERROR(H46-G46,0))</f>
        <v/>
      </c>
      <c r="P46" s="23">
        <f>IF(C46="","",IFERROR(SUMIFS('7-Heures Supplementaires'!M$5:M$104,'7-Heures Supplementaires'!E$5:E$104,C46),0))</f>
        <v/>
      </c>
      <c r="Q46" s="15" t="n"/>
    </row>
    <row r="47" ht="22" customHeight="1">
      <c r="B47" s="19">
        <f>IF(C47="","BMT-"&amp;TEXT(COUNTA($C$5:C47),"000"))</f>
        <v/>
      </c>
      <c r="C47" s="12" t="n"/>
      <c r="D47" s="12" t="n"/>
      <c r="E47" s="12" t="n"/>
      <c r="F47" s="13">
        <f>IF(C47="","",IFERROR(COUNTIFS('10-Compteurs Temps'!E$5:E$104,C47,'10-Compteurs Temps'!F$5:F$104,D47,'10-Compteurs Temps'!G$5:G$104,E47),0))</f>
        <v/>
      </c>
      <c r="G47" s="21">
        <f>IF(C47="","",IFERROR(SUMIFS('10-Compteurs Temps'!H$5:H$104,'10-Compteurs Temps'!E$5:E$104,C47,'10-Compteurs Temps'!F$5:F$104,D47,'10-Compteurs Temps'!G$5:G$104,E47),0))</f>
        <v/>
      </c>
      <c r="H47" s="21">
        <f>IF(C47="","",IFERROR(SUMIFS('10-Compteurs Temps'!I$5:I$104,'10-Compteurs Temps'!E$5:E$104,C47,'10-Compteurs Temps'!F$5:F$104,D47,'10-Compteurs Temps'!G$5:G$104,E47),0))</f>
        <v/>
      </c>
      <c r="I47" s="14">
        <f>IF(C47="","",IFERROR(SUMIFS('10-Compteurs Temps'!J$5:J$104,'10-Compteurs Temps'!E$5:E$104,C47,'10-Compteurs Temps'!F$5:F$104,D47,'10-Compteurs Temps'!G$5:G$104,E47),0))</f>
        <v/>
      </c>
      <c r="J47" s="14">
        <f>IF(C47="","",IFERROR(SUMIFS('10-Compteurs Temps'!K$5:K$104,'10-Compteurs Temps'!E$5:E$104,C47,'10-Compteurs Temps'!F$5:F$104,D47,'10-Compteurs Temps'!G$5:G$104,E47),0))</f>
        <v/>
      </c>
      <c r="K47" s="14">
        <f>IF(C47="","",IFERROR(SUMIFS('9-Heures WE &amp; Feries'!I$5:I$104,'9-Heures WE &amp; Feries'!E$5:E$104,C47),0))</f>
        <v/>
      </c>
      <c r="L47" s="13">
        <f>IF(C47="","",IFERROR(SUMIFS('10-Compteurs Temps'!L$5:L$104,'10-Compteurs Temps'!E$5:E$104,C47,'10-Compteurs Temps'!F$5:F$104,D47,'10-Compteurs Temps'!G$5:G$104,E47)/8,0))</f>
        <v/>
      </c>
      <c r="M47" s="13" t="n"/>
      <c r="N47" s="29">
        <f>IF(OR(C47="",G47=0,G47=""),"",IFERROR(H47/G47,0))</f>
        <v/>
      </c>
      <c r="O47" s="14">
        <f>IF(C47="","",IFERROR(H47-G47,0))</f>
        <v/>
      </c>
      <c r="P47" s="21">
        <f>IF(C47="","",IFERROR(SUMIFS('7-Heures Supplementaires'!M$5:M$104,'7-Heures Supplementaires'!E$5:E$104,C47),0))</f>
        <v/>
      </c>
      <c r="Q47" s="12" t="n"/>
    </row>
    <row r="48" ht="22" customHeight="1">
      <c r="B48" s="18">
        <f>IF(C48="","BMT-"&amp;TEXT(COUNTA($C$5:C48),"000"))</f>
        <v/>
      </c>
      <c r="C48" s="15" t="n"/>
      <c r="D48" s="15" t="n"/>
      <c r="E48" s="15" t="n"/>
      <c r="F48" s="16">
        <f>IF(C48="","",IFERROR(COUNTIFS('10-Compteurs Temps'!E$5:E$104,C48,'10-Compteurs Temps'!F$5:F$104,D48,'10-Compteurs Temps'!G$5:G$104,E48),0))</f>
        <v/>
      </c>
      <c r="G48" s="23">
        <f>IF(C48="","",IFERROR(SUMIFS('10-Compteurs Temps'!H$5:H$104,'10-Compteurs Temps'!E$5:E$104,C48,'10-Compteurs Temps'!F$5:F$104,D48,'10-Compteurs Temps'!G$5:G$104,E48),0))</f>
        <v/>
      </c>
      <c r="H48" s="23">
        <f>IF(C48="","",IFERROR(SUMIFS('10-Compteurs Temps'!I$5:I$104,'10-Compteurs Temps'!E$5:E$104,C48,'10-Compteurs Temps'!F$5:F$104,D48,'10-Compteurs Temps'!G$5:G$104,E48),0))</f>
        <v/>
      </c>
      <c r="I48" s="17">
        <f>IF(C48="","",IFERROR(SUMIFS('10-Compteurs Temps'!J$5:J$104,'10-Compteurs Temps'!E$5:E$104,C48,'10-Compteurs Temps'!F$5:F$104,D48,'10-Compteurs Temps'!G$5:G$104,E48),0))</f>
        <v/>
      </c>
      <c r="J48" s="17">
        <f>IF(C48="","",IFERROR(SUMIFS('10-Compteurs Temps'!K$5:K$104,'10-Compteurs Temps'!E$5:E$104,C48,'10-Compteurs Temps'!F$5:F$104,D48,'10-Compteurs Temps'!G$5:G$104,E48),0))</f>
        <v/>
      </c>
      <c r="K48" s="17">
        <f>IF(C48="","",IFERROR(SUMIFS('9-Heures WE &amp; Feries'!I$5:I$104,'9-Heures WE &amp; Feries'!E$5:E$104,C48),0))</f>
        <v/>
      </c>
      <c r="L48" s="16">
        <f>IF(C48="","",IFERROR(SUMIFS('10-Compteurs Temps'!L$5:L$104,'10-Compteurs Temps'!E$5:E$104,C48,'10-Compteurs Temps'!F$5:F$104,D48,'10-Compteurs Temps'!G$5:G$104,E48)/8,0))</f>
        <v/>
      </c>
      <c r="M48" s="16" t="n"/>
      <c r="N48" s="30">
        <f>IF(OR(C48="",G48=0,G48=""),"",IFERROR(H48/G48,0))</f>
        <v/>
      </c>
      <c r="O48" s="17">
        <f>IF(C48="","",IFERROR(H48-G48,0))</f>
        <v/>
      </c>
      <c r="P48" s="23">
        <f>IF(C48="","",IFERROR(SUMIFS('7-Heures Supplementaires'!M$5:M$104,'7-Heures Supplementaires'!E$5:E$104,C48),0))</f>
        <v/>
      </c>
      <c r="Q48" s="15" t="n"/>
    </row>
    <row r="49" ht="22" customHeight="1">
      <c r="B49" s="19">
        <f>IF(C49="","BMT-"&amp;TEXT(COUNTA($C$5:C49),"000"))</f>
        <v/>
      </c>
      <c r="C49" s="12" t="n"/>
      <c r="D49" s="12" t="n"/>
      <c r="E49" s="12" t="n"/>
      <c r="F49" s="13">
        <f>IF(C49="","",IFERROR(COUNTIFS('10-Compteurs Temps'!E$5:E$104,C49,'10-Compteurs Temps'!F$5:F$104,D49,'10-Compteurs Temps'!G$5:G$104,E49),0))</f>
        <v/>
      </c>
      <c r="G49" s="21">
        <f>IF(C49="","",IFERROR(SUMIFS('10-Compteurs Temps'!H$5:H$104,'10-Compteurs Temps'!E$5:E$104,C49,'10-Compteurs Temps'!F$5:F$104,D49,'10-Compteurs Temps'!G$5:G$104,E49),0))</f>
        <v/>
      </c>
      <c r="H49" s="21">
        <f>IF(C49="","",IFERROR(SUMIFS('10-Compteurs Temps'!I$5:I$104,'10-Compteurs Temps'!E$5:E$104,C49,'10-Compteurs Temps'!F$5:F$104,D49,'10-Compteurs Temps'!G$5:G$104,E49),0))</f>
        <v/>
      </c>
      <c r="I49" s="14">
        <f>IF(C49="","",IFERROR(SUMIFS('10-Compteurs Temps'!J$5:J$104,'10-Compteurs Temps'!E$5:E$104,C49,'10-Compteurs Temps'!F$5:F$104,D49,'10-Compteurs Temps'!G$5:G$104,E49),0))</f>
        <v/>
      </c>
      <c r="J49" s="14">
        <f>IF(C49="","",IFERROR(SUMIFS('10-Compteurs Temps'!K$5:K$104,'10-Compteurs Temps'!E$5:E$104,C49,'10-Compteurs Temps'!F$5:F$104,D49,'10-Compteurs Temps'!G$5:G$104,E49),0))</f>
        <v/>
      </c>
      <c r="K49" s="14">
        <f>IF(C49="","",IFERROR(SUMIFS('9-Heures WE &amp; Feries'!I$5:I$104,'9-Heures WE &amp; Feries'!E$5:E$104,C49),0))</f>
        <v/>
      </c>
      <c r="L49" s="13">
        <f>IF(C49="","",IFERROR(SUMIFS('10-Compteurs Temps'!L$5:L$104,'10-Compteurs Temps'!E$5:E$104,C49,'10-Compteurs Temps'!F$5:F$104,D49,'10-Compteurs Temps'!G$5:G$104,E49)/8,0))</f>
        <v/>
      </c>
      <c r="M49" s="13" t="n"/>
      <c r="N49" s="29">
        <f>IF(OR(C49="",G49=0,G49=""),"",IFERROR(H49/G49,0))</f>
        <v/>
      </c>
      <c r="O49" s="14">
        <f>IF(C49="","",IFERROR(H49-G49,0))</f>
        <v/>
      </c>
      <c r="P49" s="21">
        <f>IF(C49="","",IFERROR(SUMIFS('7-Heures Supplementaires'!M$5:M$104,'7-Heures Supplementaires'!E$5:E$104,C49),0))</f>
        <v/>
      </c>
      <c r="Q49" s="12" t="n"/>
    </row>
    <row r="50" ht="22" customHeight="1">
      <c r="B50" s="18">
        <f>IF(C50="","BMT-"&amp;TEXT(COUNTA($C$5:C50),"000"))</f>
        <v/>
      </c>
      <c r="C50" s="15" t="n"/>
      <c r="D50" s="15" t="n"/>
      <c r="E50" s="15" t="n"/>
      <c r="F50" s="16">
        <f>IF(C50="","",IFERROR(COUNTIFS('10-Compteurs Temps'!E$5:E$104,C50,'10-Compteurs Temps'!F$5:F$104,D50,'10-Compteurs Temps'!G$5:G$104,E50),0))</f>
        <v/>
      </c>
      <c r="G50" s="23">
        <f>IF(C50="","",IFERROR(SUMIFS('10-Compteurs Temps'!H$5:H$104,'10-Compteurs Temps'!E$5:E$104,C50,'10-Compteurs Temps'!F$5:F$104,D50,'10-Compteurs Temps'!G$5:G$104,E50),0))</f>
        <v/>
      </c>
      <c r="H50" s="23">
        <f>IF(C50="","",IFERROR(SUMIFS('10-Compteurs Temps'!I$5:I$104,'10-Compteurs Temps'!E$5:E$104,C50,'10-Compteurs Temps'!F$5:F$104,D50,'10-Compteurs Temps'!G$5:G$104,E50),0))</f>
        <v/>
      </c>
      <c r="I50" s="17">
        <f>IF(C50="","",IFERROR(SUMIFS('10-Compteurs Temps'!J$5:J$104,'10-Compteurs Temps'!E$5:E$104,C50,'10-Compteurs Temps'!F$5:F$104,D50,'10-Compteurs Temps'!G$5:G$104,E50),0))</f>
        <v/>
      </c>
      <c r="J50" s="17">
        <f>IF(C50="","",IFERROR(SUMIFS('10-Compteurs Temps'!K$5:K$104,'10-Compteurs Temps'!E$5:E$104,C50,'10-Compteurs Temps'!F$5:F$104,D50,'10-Compteurs Temps'!G$5:G$104,E50),0))</f>
        <v/>
      </c>
      <c r="K50" s="17">
        <f>IF(C50="","",IFERROR(SUMIFS('9-Heures WE &amp; Feries'!I$5:I$104,'9-Heures WE &amp; Feries'!E$5:E$104,C50),0))</f>
        <v/>
      </c>
      <c r="L50" s="16">
        <f>IF(C50="","",IFERROR(SUMIFS('10-Compteurs Temps'!L$5:L$104,'10-Compteurs Temps'!E$5:E$104,C50,'10-Compteurs Temps'!F$5:F$104,D50,'10-Compteurs Temps'!G$5:G$104,E50)/8,0))</f>
        <v/>
      </c>
      <c r="M50" s="16" t="n"/>
      <c r="N50" s="30">
        <f>IF(OR(C50="",G50=0,G50=""),"",IFERROR(H50/G50,0))</f>
        <v/>
      </c>
      <c r="O50" s="17">
        <f>IF(C50="","",IFERROR(H50-G50,0))</f>
        <v/>
      </c>
      <c r="P50" s="23">
        <f>IF(C50="","",IFERROR(SUMIFS('7-Heures Supplementaires'!M$5:M$104,'7-Heures Supplementaires'!E$5:E$104,C50),0))</f>
        <v/>
      </c>
      <c r="Q50" s="15" t="n"/>
    </row>
    <row r="51" ht="22" customHeight="1">
      <c r="B51" s="19">
        <f>IF(C51="","BMT-"&amp;TEXT(COUNTA($C$5:C51),"000"))</f>
        <v/>
      </c>
      <c r="C51" s="12" t="n"/>
      <c r="D51" s="12" t="n"/>
      <c r="E51" s="12" t="n"/>
      <c r="F51" s="13">
        <f>IF(C51="","",IFERROR(COUNTIFS('10-Compteurs Temps'!E$5:E$104,C51,'10-Compteurs Temps'!F$5:F$104,D51,'10-Compteurs Temps'!G$5:G$104,E51),0))</f>
        <v/>
      </c>
      <c r="G51" s="21">
        <f>IF(C51="","",IFERROR(SUMIFS('10-Compteurs Temps'!H$5:H$104,'10-Compteurs Temps'!E$5:E$104,C51,'10-Compteurs Temps'!F$5:F$104,D51,'10-Compteurs Temps'!G$5:G$104,E51),0))</f>
        <v/>
      </c>
      <c r="H51" s="21">
        <f>IF(C51="","",IFERROR(SUMIFS('10-Compteurs Temps'!I$5:I$104,'10-Compteurs Temps'!E$5:E$104,C51,'10-Compteurs Temps'!F$5:F$104,D51,'10-Compteurs Temps'!G$5:G$104,E51),0))</f>
        <v/>
      </c>
      <c r="I51" s="14">
        <f>IF(C51="","",IFERROR(SUMIFS('10-Compteurs Temps'!J$5:J$104,'10-Compteurs Temps'!E$5:E$104,C51,'10-Compteurs Temps'!F$5:F$104,D51,'10-Compteurs Temps'!G$5:G$104,E51),0))</f>
        <v/>
      </c>
      <c r="J51" s="14">
        <f>IF(C51="","",IFERROR(SUMIFS('10-Compteurs Temps'!K$5:K$104,'10-Compteurs Temps'!E$5:E$104,C51,'10-Compteurs Temps'!F$5:F$104,D51,'10-Compteurs Temps'!G$5:G$104,E51),0))</f>
        <v/>
      </c>
      <c r="K51" s="14">
        <f>IF(C51="","",IFERROR(SUMIFS('9-Heures WE &amp; Feries'!I$5:I$104,'9-Heures WE &amp; Feries'!E$5:E$104,C51),0))</f>
        <v/>
      </c>
      <c r="L51" s="13">
        <f>IF(C51="","",IFERROR(SUMIFS('10-Compteurs Temps'!L$5:L$104,'10-Compteurs Temps'!E$5:E$104,C51,'10-Compteurs Temps'!F$5:F$104,D51,'10-Compteurs Temps'!G$5:G$104,E51)/8,0))</f>
        <v/>
      </c>
      <c r="M51" s="13" t="n"/>
      <c r="N51" s="29">
        <f>IF(OR(C51="",G51=0,G51=""),"",IFERROR(H51/G51,0))</f>
        <v/>
      </c>
      <c r="O51" s="14">
        <f>IF(C51="","",IFERROR(H51-G51,0))</f>
        <v/>
      </c>
      <c r="P51" s="21">
        <f>IF(C51="","",IFERROR(SUMIFS('7-Heures Supplementaires'!M$5:M$104,'7-Heures Supplementaires'!E$5:E$104,C51),0))</f>
        <v/>
      </c>
      <c r="Q51" s="12" t="n"/>
    </row>
    <row r="52" ht="22" customHeight="1">
      <c r="B52" s="18">
        <f>IF(C52="","BMT-"&amp;TEXT(COUNTA($C$5:C52),"000"))</f>
        <v/>
      </c>
      <c r="C52" s="15" t="n"/>
      <c r="D52" s="15" t="n"/>
      <c r="E52" s="15" t="n"/>
      <c r="F52" s="16">
        <f>IF(C52="","",IFERROR(COUNTIFS('10-Compteurs Temps'!E$5:E$104,C52,'10-Compteurs Temps'!F$5:F$104,D52,'10-Compteurs Temps'!G$5:G$104,E52),0))</f>
        <v/>
      </c>
      <c r="G52" s="23">
        <f>IF(C52="","",IFERROR(SUMIFS('10-Compteurs Temps'!H$5:H$104,'10-Compteurs Temps'!E$5:E$104,C52,'10-Compteurs Temps'!F$5:F$104,D52,'10-Compteurs Temps'!G$5:G$104,E52),0))</f>
        <v/>
      </c>
      <c r="H52" s="23">
        <f>IF(C52="","",IFERROR(SUMIFS('10-Compteurs Temps'!I$5:I$104,'10-Compteurs Temps'!E$5:E$104,C52,'10-Compteurs Temps'!F$5:F$104,D52,'10-Compteurs Temps'!G$5:G$104,E52),0))</f>
        <v/>
      </c>
      <c r="I52" s="17">
        <f>IF(C52="","",IFERROR(SUMIFS('10-Compteurs Temps'!J$5:J$104,'10-Compteurs Temps'!E$5:E$104,C52,'10-Compteurs Temps'!F$5:F$104,D52,'10-Compteurs Temps'!G$5:G$104,E52),0))</f>
        <v/>
      </c>
      <c r="J52" s="17">
        <f>IF(C52="","",IFERROR(SUMIFS('10-Compteurs Temps'!K$5:K$104,'10-Compteurs Temps'!E$5:E$104,C52,'10-Compteurs Temps'!F$5:F$104,D52,'10-Compteurs Temps'!G$5:G$104,E52),0))</f>
        <v/>
      </c>
      <c r="K52" s="17">
        <f>IF(C52="","",IFERROR(SUMIFS('9-Heures WE &amp; Feries'!I$5:I$104,'9-Heures WE &amp; Feries'!E$5:E$104,C52),0))</f>
        <v/>
      </c>
      <c r="L52" s="16">
        <f>IF(C52="","",IFERROR(SUMIFS('10-Compteurs Temps'!L$5:L$104,'10-Compteurs Temps'!E$5:E$104,C52,'10-Compteurs Temps'!F$5:F$104,D52,'10-Compteurs Temps'!G$5:G$104,E52)/8,0))</f>
        <v/>
      </c>
      <c r="M52" s="16" t="n"/>
      <c r="N52" s="30">
        <f>IF(OR(C52="",G52=0,G52=""),"",IFERROR(H52/G52,0))</f>
        <v/>
      </c>
      <c r="O52" s="17">
        <f>IF(C52="","",IFERROR(H52-G52,0))</f>
        <v/>
      </c>
      <c r="P52" s="23">
        <f>IF(C52="","",IFERROR(SUMIFS('7-Heures Supplementaires'!M$5:M$104,'7-Heures Supplementaires'!E$5:E$104,C52),0))</f>
        <v/>
      </c>
      <c r="Q52" s="15" t="n"/>
    </row>
    <row r="53" ht="22" customHeight="1">
      <c r="B53" s="19">
        <f>IF(C53="","BMT-"&amp;TEXT(COUNTA($C$5:C53),"000"))</f>
        <v/>
      </c>
      <c r="C53" s="12" t="n"/>
      <c r="D53" s="12" t="n"/>
      <c r="E53" s="12" t="n"/>
      <c r="F53" s="13">
        <f>IF(C53="","",IFERROR(COUNTIFS('10-Compteurs Temps'!E$5:E$104,C53,'10-Compteurs Temps'!F$5:F$104,D53,'10-Compteurs Temps'!G$5:G$104,E53),0))</f>
        <v/>
      </c>
      <c r="G53" s="21">
        <f>IF(C53="","",IFERROR(SUMIFS('10-Compteurs Temps'!H$5:H$104,'10-Compteurs Temps'!E$5:E$104,C53,'10-Compteurs Temps'!F$5:F$104,D53,'10-Compteurs Temps'!G$5:G$104,E53),0))</f>
        <v/>
      </c>
      <c r="H53" s="21">
        <f>IF(C53="","",IFERROR(SUMIFS('10-Compteurs Temps'!I$5:I$104,'10-Compteurs Temps'!E$5:E$104,C53,'10-Compteurs Temps'!F$5:F$104,D53,'10-Compteurs Temps'!G$5:G$104,E53),0))</f>
        <v/>
      </c>
      <c r="I53" s="14">
        <f>IF(C53="","",IFERROR(SUMIFS('10-Compteurs Temps'!J$5:J$104,'10-Compteurs Temps'!E$5:E$104,C53,'10-Compteurs Temps'!F$5:F$104,D53,'10-Compteurs Temps'!G$5:G$104,E53),0))</f>
        <v/>
      </c>
      <c r="J53" s="14">
        <f>IF(C53="","",IFERROR(SUMIFS('10-Compteurs Temps'!K$5:K$104,'10-Compteurs Temps'!E$5:E$104,C53,'10-Compteurs Temps'!F$5:F$104,D53,'10-Compteurs Temps'!G$5:G$104,E53),0))</f>
        <v/>
      </c>
      <c r="K53" s="14">
        <f>IF(C53="","",IFERROR(SUMIFS('9-Heures WE &amp; Feries'!I$5:I$104,'9-Heures WE &amp; Feries'!E$5:E$104,C53),0))</f>
        <v/>
      </c>
      <c r="L53" s="13">
        <f>IF(C53="","",IFERROR(SUMIFS('10-Compteurs Temps'!L$5:L$104,'10-Compteurs Temps'!E$5:E$104,C53,'10-Compteurs Temps'!F$5:F$104,D53,'10-Compteurs Temps'!G$5:G$104,E53)/8,0))</f>
        <v/>
      </c>
      <c r="M53" s="13" t="n"/>
      <c r="N53" s="29">
        <f>IF(OR(C53="",G53=0,G53=""),"",IFERROR(H53/G53,0))</f>
        <v/>
      </c>
      <c r="O53" s="14">
        <f>IF(C53="","",IFERROR(H53-G53,0))</f>
        <v/>
      </c>
      <c r="P53" s="21">
        <f>IF(C53="","",IFERROR(SUMIFS('7-Heures Supplementaires'!M$5:M$104,'7-Heures Supplementaires'!E$5:E$104,C53),0))</f>
        <v/>
      </c>
      <c r="Q53" s="12" t="n"/>
    </row>
    <row r="54" ht="22" customHeight="1">
      <c r="B54" s="18">
        <f>IF(C54="","BMT-"&amp;TEXT(COUNTA($C$5:C54),"000"))</f>
        <v/>
      </c>
      <c r="C54" s="15" t="n"/>
      <c r="D54" s="15" t="n"/>
      <c r="E54" s="15" t="n"/>
      <c r="F54" s="16">
        <f>IF(C54="","",IFERROR(COUNTIFS('10-Compteurs Temps'!E$5:E$104,C54,'10-Compteurs Temps'!F$5:F$104,D54,'10-Compteurs Temps'!G$5:G$104,E54),0))</f>
        <v/>
      </c>
      <c r="G54" s="23">
        <f>IF(C54="","",IFERROR(SUMIFS('10-Compteurs Temps'!H$5:H$104,'10-Compteurs Temps'!E$5:E$104,C54,'10-Compteurs Temps'!F$5:F$104,D54,'10-Compteurs Temps'!G$5:G$104,E54),0))</f>
        <v/>
      </c>
      <c r="H54" s="23">
        <f>IF(C54="","",IFERROR(SUMIFS('10-Compteurs Temps'!I$5:I$104,'10-Compteurs Temps'!E$5:E$104,C54,'10-Compteurs Temps'!F$5:F$104,D54,'10-Compteurs Temps'!G$5:G$104,E54),0))</f>
        <v/>
      </c>
      <c r="I54" s="17">
        <f>IF(C54="","",IFERROR(SUMIFS('10-Compteurs Temps'!J$5:J$104,'10-Compteurs Temps'!E$5:E$104,C54,'10-Compteurs Temps'!F$5:F$104,D54,'10-Compteurs Temps'!G$5:G$104,E54),0))</f>
        <v/>
      </c>
      <c r="J54" s="17">
        <f>IF(C54="","",IFERROR(SUMIFS('10-Compteurs Temps'!K$5:K$104,'10-Compteurs Temps'!E$5:E$104,C54,'10-Compteurs Temps'!F$5:F$104,D54,'10-Compteurs Temps'!G$5:G$104,E54),0))</f>
        <v/>
      </c>
      <c r="K54" s="17">
        <f>IF(C54="","",IFERROR(SUMIFS('9-Heures WE &amp; Feries'!I$5:I$104,'9-Heures WE &amp; Feries'!E$5:E$104,C54),0))</f>
        <v/>
      </c>
      <c r="L54" s="16">
        <f>IF(C54="","",IFERROR(SUMIFS('10-Compteurs Temps'!L$5:L$104,'10-Compteurs Temps'!E$5:E$104,C54,'10-Compteurs Temps'!F$5:F$104,D54,'10-Compteurs Temps'!G$5:G$104,E54)/8,0))</f>
        <v/>
      </c>
      <c r="M54" s="16" t="n"/>
      <c r="N54" s="30">
        <f>IF(OR(C54="",G54=0,G54=""),"",IFERROR(H54/G54,0))</f>
        <v/>
      </c>
      <c r="O54" s="17">
        <f>IF(C54="","",IFERROR(H54-G54,0))</f>
        <v/>
      </c>
      <c r="P54" s="23">
        <f>IF(C54="","",IFERROR(SUMIFS('7-Heures Supplementaires'!M$5:M$104,'7-Heures Supplementaires'!E$5:E$104,C54),0))</f>
        <v/>
      </c>
      <c r="Q54" s="15" t="n"/>
    </row>
    <row r="55" ht="22" customHeight="1">
      <c r="B55" s="19">
        <f>IF(C55="","BMT-"&amp;TEXT(COUNTA($C$5:C55),"000"))</f>
        <v/>
      </c>
      <c r="C55" s="12" t="n"/>
      <c r="D55" s="12" t="n"/>
      <c r="E55" s="12" t="n"/>
      <c r="F55" s="13">
        <f>IF(C55="","",IFERROR(COUNTIFS('10-Compteurs Temps'!E$5:E$104,C55,'10-Compteurs Temps'!F$5:F$104,D55,'10-Compteurs Temps'!G$5:G$104,E55),0))</f>
        <v/>
      </c>
      <c r="G55" s="21">
        <f>IF(C55="","",IFERROR(SUMIFS('10-Compteurs Temps'!H$5:H$104,'10-Compteurs Temps'!E$5:E$104,C55,'10-Compteurs Temps'!F$5:F$104,D55,'10-Compteurs Temps'!G$5:G$104,E55),0))</f>
        <v/>
      </c>
      <c r="H55" s="21">
        <f>IF(C55="","",IFERROR(SUMIFS('10-Compteurs Temps'!I$5:I$104,'10-Compteurs Temps'!E$5:E$104,C55,'10-Compteurs Temps'!F$5:F$104,D55,'10-Compteurs Temps'!G$5:G$104,E55),0))</f>
        <v/>
      </c>
      <c r="I55" s="14">
        <f>IF(C55="","",IFERROR(SUMIFS('10-Compteurs Temps'!J$5:J$104,'10-Compteurs Temps'!E$5:E$104,C55,'10-Compteurs Temps'!F$5:F$104,D55,'10-Compteurs Temps'!G$5:G$104,E55),0))</f>
        <v/>
      </c>
      <c r="J55" s="14">
        <f>IF(C55="","",IFERROR(SUMIFS('10-Compteurs Temps'!K$5:K$104,'10-Compteurs Temps'!E$5:E$104,C55,'10-Compteurs Temps'!F$5:F$104,D55,'10-Compteurs Temps'!G$5:G$104,E55),0))</f>
        <v/>
      </c>
      <c r="K55" s="14">
        <f>IF(C55="","",IFERROR(SUMIFS('9-Heures WE &amp; Feries'!I$5:I$104,'9-Heures WE &amp; Feries'!E$5:E$104,C55),0))</f>
        <v/>
      </c>
      <c r="L55" s="13">
        <f>IF(C55="","",IFERROR(SUMIFS('10-Compteurs Temps'!L$5:L$104,'10-Compteurs Temps'!E$5:E$104,C55,'10-Compteurs Temps'!F$5:F$104,D55,'10-Compteurs Temps'!G$5:G$104,E55)/8,0))</f>
        <v/>
      </c>
      <c r="M55" s="13" t="n"/>
      <c r="N55" s="29">
        <f>IF(OR(C55="",G55=0,G55=""),"",IFERROR(H55/G55,0))</f>
        <v/>
      </c>
      <c r="O55" s="14">
        <f>IF(C55="","",IFERROR(H55-G55,0))</f>
        <v/>
      </c>
      <c r="P55" s="21">
        <f>IF(C55="","",IFERROR(SUMIFS('7-Heures Supplementaires'!M$5:M$104,'7-Heures Supplementaires'!E$5:E$104,C55),0))</f>
        <v/>
      </c>
      <c r="Q55" s="12" t="n"/>
    </row>
    <row r="56" ht="22" customHeight="1">
      <c r="B56" s="18">
        <f>IF(C56="","BMT-"&amp;TEXT(COUNTA($C$5:C56),"000"))</f>
        <v/>
      </c>
      <c r="C56" s="15" t="n"/>
      <c r="D56" s="15" t="n"/>
      <c r="E56" s="15" t="n"/>
      <c r="F56" s="16">
        <f>IF(C56="","",IFERROR(COUNTIFS('10-Compteurs Temps'!E$5:E$104,C56,'10-Compteurs Temps'!F$5:F$104,D56,'10-Compteurs Temps'!G$5:G$104,E56),0))</f>
        <v/>
      </c>
      <c r="G56" s="23">
        <f>IF(C56="","",IFERROR(SUMIFS('10-Compteurs Temps'!H$5:H$104,'10-Compteurs Temps'!E$5:E$104,C56,'10-Compteurs Temps'!F$5:F$104,D56,'10-Compteurs Temps'!G$5:G$104,E56),0))</f>
        <v/>
      </c>
      <c r="H56" s="23">
        <f>IF(C56="","",IFERROR(SUMIFS('10-Compteurs Temps'!I$5:I$104,'10-Compteurs Temps'!E$5:E$104,C56,'10-Compteurs Temps'!F$5:F$104,D56,'10-Compteurs Temps'!G$5:G$104,E56),0))</f>
        <v/>
      </c>
      <c r="I56" s="17">
        <f>IF(C56="","",IFERROR(SUMIFS('10-Compteurs Temps'!J$5:J$104,'10-Compteurs Temps'!E$5:E$104,C56,'10-Compteurs Temps'!F$5:F$104,D56,'10-Compteurs Temps'!G$5:G$104,E56),0))</f>
        <v/>
      </c>
      <c r="J56" s="17">
        <f>IF(C56="","",IFERROR(SUMIFS('10-Compteurs Temps'!K$5:K$104,'10-Compteurs Temps'!E$5:E$104,C56,'10-Compteurs Temps'!F$5:F$104,D56,'10-Compteurs Temps'!G$5:G$104,E56),0))</f>
        <v/>
      </c>
      <c r="K56" s="17">
        <f>IF(C56="","",IFERROR(SUMIFS('9-Heures WE &amp; Feries'!I$5:I$104,'9-Heures WE &amp; Feries'!E$5:E$104,C56),0))</f>
        <v/>
      </c>
      <c r="L56" s="16">
        <f>IF(C56="","",IFERROR(SUMIFS('10-Compteurs Temps'!L$5:L$104,'10-Compteurs Temps'!E$5:E$104,C56,'10-Compteurs Temps'!F$5:F$104,D56,'10-Compteurs Temps'!G$5:G$104,E56)/8,0))</f>
        <v/>
      </c>
      <c r="M56" s="16" t="n"/>
      <c r="N56" s="30">
        <f>IF(OR(C56="",G56=0,G56=""),"",IFERROR(H56/G56,0))</f>
        <v/>
      </c>
      <c r="O56" s="17">
        <f>IF(C56="","",IFERROR(H56-G56,0))</f>
        <v/>
      </c>
      <c r="P56" s="23">
        <f>IF(C56="","",IFERROR(SUMIFS('7-Heures Supplementaires'!M$5:M$104,'7-Heures Supplementaires'!E$5:E$104,C56),0))</f>
        <v/>
      </c>
      <c r="Q56" s="15" t="n"/>
    </row>
    <row r="57" ht="22" customHeight="1">
      <c r="B57" s="19">
        <f>IF(C57="","BMT-"&amp;TEXT(COUNTA($C$5:C57),"000"))</f>
        <v/>
      </c>
      <c r="C57" s="12" t="n"/>
      <c r="D57" s="12" t="n"/>
      <c r="E57" s="12" t="n"/>
      <c r="F57" s="13">
        <f>IF(C57="","",IFERROR(COUNTIFS('10-Compteurs Temps'!E$5:E$104,C57,'10-Compteurs Temps'!F$5:F$104,D57,'10-Compteurs Temps'!G$5:G$104,E57),0))</f>
        <v/>
      </c>
      <c r="G57" s="21">
        <f>IF(C57="","",IFERROR(SUMIFS('10-Compteurs Temps'!H$5:H$104,'10-Compteurs Temps'!E$5:E$104,C57,'10-Compteurs Temps'!F$5:F$104,D57,'10-Compteurs Temps'!G$5:G$104,E57),0))</f>
        <v/>
      </c>
      <c r="H57" s="21">
        <f>IF(C57="","",IFERROR(SUMIFS('10-Compteurs Temps'!I$5:I$104,'10-Compteurs Temps'!E$5:E$104,C57,'10-Compteurs Temps'!F$5:F$104,D57,'10-Compteurs Temps'!G$5:G$104,E57),0))</f>
        <v/>
      </c>
      <c r="I57" s="14">
        <f>IF(C57="","",IFERROR(SUMIFS('10-Compteurs Temps'!J$5:J$104,'10-Compteurs Temps'!E$5:E$104,C57,'10-Compteurs Temps'!F$5:F$104,D57,'10-Compteurs Temps'!G$5:G$104,E57),0))</f>
        <v/>
      </c>
      <c r="J57" s="14">
        <f>IF(C57="","",IFERROR(SUMIFS('10-Compteurs Temps'!K$5:K$104,'10-Compteurs Temps'!E$5:E$104,C57,'10-Compteurs Temps'!F$5:F$104,D57,'10-Compteurs Temps'!G$5:G$104,E57),0))</f>
        <v/>
      </c>
      <c r="K57" s="14">
        <f>IF(C57="","",IFERROR(SUMIFS('9-Heures WE &amp; Feries'!I$5:I$104,'9-Heures WE &amp; Feries'!E$5:E$104,C57),0))</f>
        <v/>
      </c>
      <c r="L57" s="13">
        <f>IF(C57="","",IFERROR(SUMIFS('10-Compteurs Temps'!L$5:L$104,'10-Compteurs Temps'!E$5:E$104,C57,'10-Compteurs Temps'!F$5:F$104,D57,'10-Compteurs Temps'!G$5:G$104,E57)/8,0))</f>
        <v/>
      </c>
      <c r="M57" s="13" t="n"/>
      <c r="N57" s="29">
        <f>IF(OR(C57="",G57=0,G57=""),"",IFERROR(H57/G57,0))</f>
        <v/>
      </c>
      <c r="O57" s="14">
        <f>IF(C57="","",IFERROR(H57-G57,0))</f>
        <v/>
      </c>
      <c r="P57" s="21">
        <f>IF(C57="","",IFERROR(SUMIFS('7-Heures Supplementaires'!M$5:M$104,'7-Heures Supplementaires'!E$5:E$104,C57),0))</f>
        <v/>
      </c>
      <c r="Q57" s="12" t="n"/>
    </row>
    <row r="58" ht="22" customHeight="1">
      <c r="B58" s="18">
        <f>IF(C58="","BMT-"&amp;TEXT(COUNTA($C$5:C58),"000"))</f>
        <v/>
      </c>
      <c r="C58" s="15" t="n"/>
      <c r="D58" s="15" t="n"/>
      <c r="E58" s="15" t="n"/>
      <c r="F58" s="16">
        <f>IF(C58="","",IFERROR(COUNTIFS('10-Compteurs Temps'!E$5:E$104,C58,'10-Compteurs Temps'!F$5:F$104,D58,'10-Compteurs Temps'!G$5:G$104,E58),0))</f>
        <v/>
      </c>
      <c r="G58" s="23">
        <f>IF(C58="","",IFERROR(SUMIFS('10-Compteurs Temps'!H$5:H$104,'10-Compteurs Temps'!E$5:E$104,C58,'10-Compteurs Temps'!F$5:F$104,D58,'10-Compteurs Temps'!G$5:G$104,E58),0))</f>
        <v/>
      </c>
      <c r="H58" s="23">
        <f>IF(C58="","",IFERROR(SUMIFS('10-Compteurs Temps'!I$5:I$104,'10-Compteurs Temps'!E$5:E$104,C58,'10-Compteurs Temps'!F$5:F$104,D58,'10-Compteurs Temps'!G$5:G$104,E58),0))</f>
        <v/>
      </c>
      <c r="I58" s="17">
        <f>IF(C58="","",IFERROR(SUMIFS('10-Compteurs Temps'!J$5:J$104,'10-Compteurs Temps'!E$5:E$104,C58,'10-Compteurs Temps'!F$5:F$104,D58,'10-Compteurs Temps'!G$5:G$104,E58),0))</f>
        <v/>
      </c>
      <c r="J58" s="17">
        <f>IF(C58="","",IFERROR(SUMIFS('10-Compteurs Temps'!K$5:K$104,'10-Compteurs Temps'!E$5:E$104,C58,'10-Compteurs Temps'!F$5:F$104,D58,'10-Compteurs Temps'!G$5:G$104,E58),0))</f>
        <v/>
      </c>
      <c r="K58" s="17">
        <f>IF(C58="","",IFERROR(SUMIFS('9-Heures WE &amp; Feries'!I$5:I$104,'9-Heures WE &amp; Feries'!E$5:E$104,C58),0))</f>
        <v/>
      </c>
      <c r="L58" s="16">
        <f>IF(C58="","",IFERROR(SUMIFS('10-Compteurs Temps'!L$5:L$104,'10-Compteurs Temps'!E$5:E$104,C58,'10-Compteurs Temps'!F$5:F$104,D58,'10-Compteurs Temps'!G$5:G$104,E58)/8,0))</f>
        <v/>
      </c>
      <c r="M58" s="16" t="n"/>
      <c r="N58" s="30">
        <f>IF(OR(C58="",G58=0,G58=""),"",IFERROR(H58/G58,0))</f>
        <v/>
      </c>
      <c r="O58" s="17">
        <f>IF(C58="","",IFERROR(H58-G58,0))</f>
        <v/>
      </c>
      <c r="P58" s="23">
        <f>IF(C58="","",IFERROR(SUMIFS('7-Heures Supplementaires'!M$5:M$104,'7-Heures Supplementaires'!E$5:E$104,C58),0))</f>
        <v/>
      </c>
      <c r="Q58" s="15" t="n"/>
    </row>
    <row r="59" ht="22" customHeight="1">
      <c r="B59" s="19">
        <f>IF(C59="","BMT-"&amp;TEXT(COUNTA($C$5:C59),"000"))</f>
        <v/>
      </c>
      <c r="C59" s="12" t="n"/>
      <c r="D59" s="12" t="n"/>
      <c r="E59" s="12" t="n"/>
      <c r="F59" s="13">
        <f>IF(C59="","",IFERROR(COUNTIFS('10-Compteurs Temps'!E$5:E$104,C59,'10-Compteurs Temps'!F$5:F$104,D59,'10-Compteurs Temps'!G$5:G$104,E59),0))</f>
        <v/>
      </c>
      <c r="G59" s="21">
        <f>IF(C59="","",IFERROR(SUMIFS('10-Compteurs Temps'!H$5:H$104,'10-Compteurs Temps'!E$5:E$104,C59,'10-Compteurs Temps'!F$5:F$104,D59,'10-Compteurs Temps'!G$5:G$104,E59),0))</f>
        <v/>
      </c>
      <c r="H59" s="21">
        <f>IF(C59="","",IFERROR(SUMIFS('10-Compteurs Temps'!I$5:I$104,'10-Compteurs Temps'!E$5:E$104,C59,'10-Compteurs Temps'!F$5:F$104,D59,'10-Compteurs Temps'!G$5:G$104,E59),0))</f>
        <v/>
      </c>
      <c r="I59" s="14">
        <f>IF(C59="","",IFERROR(SUMIFS('10-Compteurs Temps'!J$5:J$104,'10-Compteurs Temps'!E$5:E$104,C59,'10-Compteurs Temps'!F$5:F$104,D59,'10-Compteurs Temps'!G$5:G$104,E59),0))</f>
        <v/>
      </c>
      <c r="J59" s="14">
        <f>IF(C59="","",IFERROR(SUMIFS('10-Compteurs Temps'!K$5:K$104,'10-Compteurs Temps'!E$5:E$104,C59,'10-Compteurs Temps'!F$5:F$104,D59,'10-Compteurs Temps'!G$5:G$104,E59),0))</f>
        <v/>
      </c>
      <c r="K59" s="14">
        <f>IF(C59="","",IFERROR(SUMIFS('9-Heures WE &amp; Feries'!I$5:I$104,'9-Heures WE &amp; Feries'!E$5:E$104,C59),0))</f>
        <v/>
      </c>
      <c r="L59" s="13">
        <f>IF(C59="","",IFERROR(SUMIFS('10-Compteurs Temps'!L$5:L$104,'10-Compteurs Temps'!E$5:E$104,C59,'10-Compteurs Temps'!F$5:F$104,D59,'10-Compteurs Temps'!G$5:G$104,E59)/8,0))</f>
        <v/>
      </c>
      <c r="M59" s="13" t="n"/>
      <c r="N59" s="29">
        <f>IF(OR(C59="",G59=0,G59=""),"",IFERROR(H59/G59,0))</f>
        <v/>
      </c>
      <c r="O59" s="14">
        <f>IF(C59="","",IFERROR(H59-G59,0))</f>
        <v/>
      </c>
      <c r="P59" s="21">
        <f>IF(C59="","",IFERROR(SUMIFS('7-Heures Supplementaires'!M$5:M$104,'7-Heures Supplementaires'!E$5:E$104,C59),0))</f>
        <v/>
      </c>
      <c r="Q59" s="12" t="n"/>
    </row>
    <row r="60" ht="22" customHeight="1">
      <c r="B60" s="18">
        <f>IF(C60="","BMT-"&amp;TEXT(COUNTA($C$5:C60),"000"))</f>
        <v/>
      </c>
      <c r="C60" s="15" t="n"/>
      <c r="D60" s="15" t="n"/>
      <c r="E60" s="15" t="n"/>
      <c r="F60" s="16">
        <f>IF(C60="","",IFERROR(COUNTIFS('10-Compteurs Temps'!E$5:E$104,C60,'10-Compteurs Temps'!F$5:F$104,D60,'10-Compteurs Temps'!G$5:G$104,E60),0))</f>
        <v/>
      </c>
      <c r="G60" s="23">
        <f>IF(C60="","",IFERROR(SUMIFS('10-Compteurs Temps'!H$5:H$104,'10-Compteurs Temps'!E$5:E$104,C60,'10-Compteurs Temps'!F$5:F$104,D60,'10-Compteurs Temps'!G$5:G$104,E60),0))</f>
        <v/>
      </c>
      <c r="H60" s="23">
        <f>IF(C60="","",IFERROR(SUMIFS('10-Compteurs Temps'!I$5:I$104,'10-Compteurs Temps'!E$5:E$104,C60,'10-Compteurs Temps'!F$5:F$104,D60,'10-Compteurs Temps'!G$5:G$104,E60),0))</f>
        <v/>
      </c>
      <c r="I60" s="17">
        <f>IF(C60="","",IFERROR(SUMIFS('10-Compteurs Temps'!J$5:J$104,'10-Compteurs Temps'!E$5:E$104,C60,'10-Compteurs Temps'!F$5:F$104,D60,'10-Compteurs Temps'!G$5:G$104,E60),0))</f>
        <v/>
      </c>
      <c r="J60" s="17">
        <f>IF(C60="","",IFERROR(SUMIFS('10-Compteurs Temps'!K$5:K$104,'10-Compteurs Temps'!E$5:E$104,C60,'10-Compteurs Temps'!F$5:F$104,D60,'10-Compteurs Temps'!G$5:G$104,E60),0))</f>
        <v/>
      </c>
      <c r="K60" s="17">
        <f>IF(C60="","",IFERROR(SUMIFS('9-Heures WE &amp; Feries'!I$5:I$104,'9-Heures WE &amp; Feries'!E$5:E$104,C60),0))</f>
        <v/>
      </c>
      <c r="L60" s="16">
        <f>IF(C60="","",IFERROR(SUMIFS('10-Compteurs Temps'!L$5:L$104,'10-Compteurs Temps'!E$5:E$104,C60,'10-Compteurs Temps'!F$5:F$104,D60,'10-Compteurs Temps'!G$5:G$104,E60)/8,0))</f>
        <v/>
      </c>
      <c r="M60" s="16" t="n"/>
      <c r="N60" s="30">
        <f>IF(OR(C60="",G60=0,G60=""),"",IFERROR(H60/G60,0))</f>
        <v/>
      </c>
      <c r="O60" s="17">
        <f>IF(C60="","",IFERROR(H60-G60,0))</f>
        <v/>
      </c>
      <c r="P60" s="23">
        <f>IF(C60="","",IFERROR(SUMIFS('7-Heures Supplementaires'!M$5:M$104,'7-Heures Supplementaires'!E$5:E$104,C60),0))</f>
        <v/>
      </c>
      <c r="Q60" s="15" t="n"/>
    </row>
    <row r="61" ht="22" customHeight="1">
      <c r="B61" s="19">
        <f>IF(C61="","BMT-"&amp;TEXT(COUNTA($C$5:C61),"000"))</f>
        <v/>
      </c>
      <c r="C61" s="12" t="n"/>
      <c r="D61" s="12" t="n"/>
      <c r="E61" s="12" t="n"/>
      <c r="F61" s="13">
        <f>IF(C61="","",IFERROR(COUNTIFS('10-Compteurs Temps'!E$5:E$104,C61,'10-Compteurs Temps'!F$5:F$104,D61,'10-Compteurs Temps'!G$5:G$104,E61),0))</f>
        <v/>
      </c>
      <c r="G61" s="21">
        <f>IF(C61="","",IFERROR(SUMIFS('10-Compteurs Temps'!H$5:H$104,'10-Compteurs Temps'!E$5:E$104,C61,'10-Compteurs Temps'!F$5:F$104,D61,'10-Compteurs Temps'!G$5:G$104,E61),0))</f>
        <v/>
      </c>
      <c r="H61" s="21">
        <f>IF(C61="","",IFERROR(SUMIFS('10-Compteurs Temps'!I$5:I$104,'10-Compteurs Temps'!E$5:E$104,C61,'10-Compteurs Temps'!F$5:F$104,D61,'10-Compteurs Temps'!G$5:G$104,E61),0))</f>
        <v/>
      </c>
      <c r="I61" s="14">
        <f>IF(C61="","",IFERROR(SUMIFS('10-Compteurs Temps'!J$5:J$104,'10-Compteurs Temps'!E$5:E$104,C61,'10-Compteurs Temps'!F$5:F$104,D61,'10-Compteurs Temps'!G$5:G$104,E61),0))</f>
        <v/>
      </c>
      <c r="J61" s="14">
        <f>IF(C61="","",IFERROR(SUMIFS('10-Compteurs Temps'!K$5:K$104,'10-Compteurs Temps'!E$5:E$104,C61,'10-Compteurs Temps'!F$5:F$104,D61,'10-Compteurs Temps'!G$5:G$104,E61),0))</f>
        <v/>
      </c>
      <c r="K61" s="14">
        <f>IF(C61="","",IFERROR(SUMIFS('9-Heures WE &amp; Feries'!I$5:I$104,'9-Heures WE &amp; Feries'!E$5:E$104,C61),0))</f>
        <v/>
      </c>
      <c r="L61" s="13">
        <f>IF(C61="","",IFERROR(SUMIFS('10-Compteurs Temps'!L$5:L$104,'10-Compteurs Temps'!E$5:E$104,C61,'10-Compteurs Temps'!F$5:F$104,D61,'10-Compteurs Temps'!G$5:G$104,E61)/8,0))</f>
        <v/>
      </c>
      <c r="M61" s="13" t="n"/>
      <c r="N61" s="29">
        <f>IF(OR(C61="",G61=0,G61=""),"",IFERROR(H61/G61,0))</f>
        <v/>
      </c>
      <c r="O61" s="14">
        <f>IF(C61="","",IFERROR(H61-G61,0))</f>
        <v/>
      </c>
      <c r="P61" s="21">
        <f>IF(C61="","",IFERROR(SUMIFS('7-Heures Supplementaires'!M$5:M$104,'7-Heures Supplementaires'!E$5:E$104,C61),0))</f>
        <v/>
      </c>
      <c r="Q61" s="12" t="n"/>
    </row>
    <row r="62" ht="22" customHeight="1">
      <c r="B62" s="18">
        <f>IF(C62="","BMT-"&amp;TEXT(COUNTA($C$5:C62),"000"))</f>
        <v/>
      </c>
      <c r="C62" s="15" t="n"/>
      <c r="D62" s="15" t="n"/>
      <c r="E62" s="15" t="n"/>
      <c r="F62" s="16">
        <f>IF(C62="","",IFERROR(COUNTIFS('10-Compteurs Temps'!E$5:E$104,C62,'10-Compteurs Temps'!F$5:F$104,D62,'10-Compteurs Temps'!G$5:G$104,E62),0))</f>
        <v/>
      </c>
      <c r="G62" s="23">
        <f>IF(C62="","",IFERROR(SUMIFS('10-Compteurs Temps'!H$5:H$104,'10-Compteurs Temps'!E$5:E$104,C62,'10-Compteurs Temps'!F$5:F$104,D62,'10-Compteurs Temps'!G$5:G$104,E62),0))</f>
        <v/>
      </c>
      <c r="H62" s="23">
        <f>IF(C62="","",IFERROR(SUMIFS('10-Compteurs Temps'!I$5:I$104,'10-Compteurs Temps'!E$5:E$104,C62,'10-Compteurs Temps'!F$5:F$104,D62,'10-Compteurs Temps'!G$5:G$104,E62),0))</f>
        <v/>
      </c>
      <c r="I62" s="17">
        <f>IF(C62="","",IFERROR(SUMIFS('10-Compteurs Temps'!J$5:J$104,'10-Compteurs Temps'!E$5:E$104,C62,'10-Compteurs Temps'!F$5:F$104,D62,'10-Compteurs Temps'!G$5:G$104,E62),0))</f>
        <v/>
      </c>
      <c r="J62" s="17">
        <f>IF(C62="","",IFERROR(SUMIFS('10-Compteurs Temps'!K$5:K$104,'10-Compteurs Temps'!E$5:E$104,C62,'10-Compteurs Temps'!F$5:F$104,D62,'10-Compteurs Temps'!G$5:G$104,E62),0))</f>
        <v/>
      </c>
      <c r="K62" s="17">
        <f>IF(C62="","",IFERROR(SUMIFS('9-Heures WE &amp; Feries'!I$5:I$104,'9-Heures WE &amp; Feries'!E$5:E$104,C62),0))</f>
        <v/>
      </c>
      <c r="L62" s="16">
        <f>IF(C62="","",IFERROR(SUMIFS('10-Compteurs Temps'!L$5:L$104,'10-Compteurs Temps'!E$5:E$104,C62,'10-Compteurs Temps'!F$5:F$104,D62,'10-Compteurs Temps'!G$5:G$104,E62)/8,0))</f>
        <v/>
      </c>
      <c r="M62" s="16" t="n"/>
      <c r="N62" s="30">
        <f>IF(OR(C62="",G62=0,G62=""),"",IFERROR(H62/G62,0))</f>
        <v/>
      </c>
      <c r="O62" s="17">
        <f>IF(C62="","",IFERROR(H62-G62,0))</f>
        <v/>
      </c>
      <c r="P62" s="23">
        <f>IF(C62="","",IFERROR(SUMIFS('7-Heures Supplementaires'!M$5:M$104,'7-Heures Supplementaires'!E$5:E$104,C62),0))</f>
        <v/>
      </c>
      <c r="Q62" s="15" t="n"/>
    </row>
    <row r="63" ht="22" customHeight="1">
      <c r="B63" s="19">
        <f>IF(C63="","BMT-"&amp;TEXT(COUNTA($C$5:C63),"000"))</f>
        <v/>
      </c>
      <c r="C63" s="12" t="n"/>
      <c r="D63" s="12" t="n"/>
      <c r="E63" s="12" t="n"/>
      <c r="F63" s="13">
        <f>IF(C63="","",IFERROR(COUNTIFS('10-Compteurs Temps'!E$5:E$104,C63,'10-Compteurs Temps'!F$5:F$104,D63,'10-Compteurs Temps'!G$5:G$104,E63),0))</f>
        <v/>
      </c>
      <c r="G63" s="21">
        <f>IF(C63="","",IFERROR(SUMIFS('10-Compteurs Temps'!H$5:H$104,'10-Compteurs Temps'!E$5:E$104,C63,'10-Compteurs Temps'!F$5:F$104,D63,'10-Compteurs Temps'!G$5:G$104,E63),0))</f>
        <v/>
      </c>
      <c r="H63" s="21">
        <f>IF(C63="","",IFERROR(SUMIFS('10-Compteurs Temps'!I$5:I$104,'10-Compteurs Temps'!E$5:E$104,C63,'10-Compteurs Temps'!F$5:F$104,D63,'10-Compteurs Temps'!G$5:G$104,E63),0))</f>
        <v/>
      </c>
      <c r="I63" s="14">
        <f>IF(C63="","",IFERROR(SUMIFS('10-Compteurs Temps'!J$5:J$104,'10-Compteurs Temps'!E$5:E$104,C63,'10-Compteurs Temps'!F$5:F$104,D63,'10-Compteurs Temps'!G$5:G$104,E63),0))</f>
        <v/>
      </c>
      <c r="J63" s="14">
        <f>IF(C63="","",IFERROR(SUMIFS('10-Compteurs Temps'!K$5:K$104,'10-Compteurs Temps'!E$5:E$104,C63,'10-Compteurs Temps'!F$5:F$104,D63,'10-Compteurs Temps'!G$5:G$104,E63),0))</f>
        <v/>
      </c>
      <c r="K63" s="14">
        <f>IF(C63="","",IFERROR(SUMIFS('9-Heures WE &amp; Feries'!I$5:I$104,'9-Heures WE &amp; Feries'!E$5:E$104,C63),0))</f>
        <v/>
      </c>
      <c r="L63" s="13">
        <f>IF(C63="","",IFERROR(SUMIFS('10-Compteurs Temps'!L$5:L$104,'10-Compteurs Temps'!E$5:E$104,C63,'10-Compteurs Temps'!F$5:F$104,D63,'10-Compteurs Temps'!G$5:G$104,E63)/8,0))</f>
        <v/>
      </c>
      <c r="M63" s="13" t="n"/>
      <c r="N63" s="29">
        <f>IF(OR(C63="",G63=0,G63=""),"",IFERROR(H63/G63,0))</f>
        <v/>
      </c>
      <c r="O63" s="14">
        <f>IF(C63="","",IFERROR(H63-G63,0))</f>
        <v/>
      </c>
      <c r="P63" s="21">
        <f>IF(C63="","",IFERROR(SUMIFS('7-Heures Supplementaires'!M$5:M$104,'7-Heures Supplementaires'!E$5:E$104,C63),0))</f>
        <v/>
      </c>
      <c r="Q63" s="12" t="n"/>
    </row>
    <row r="64" ht="22" customHeight="1">
      <c r="B64" s="18">
        <f>IF(C64="","BMT-"&amp;TEXT(COUNTA($C$5:C64),"000"))</f>
        <v/>
      </c>
      <c r="C64" s="15" t="n"/>
      <c r="D64" s="15" t="n"/>
      <c r="E64" s="15" t="n"/>
      <c r="F64" s="16">
        <f>IF(C64="","",IFERROR(COUNTIFS('10-Compteurs Temps'!E$5:E$104,C64,'10-Compteurs Temps'!F$5:F$104,D64,'10-Compteurs Temps'!G$5:G$104,E64),0))</f>
        <v/>
      </c>
      <c r="G64" s="23">
        <f>IF(C64="","",IFERROR(SUMIFS('10-Compteurs Temps'!H$5:H$104,'10-Compteurs Temps'!E$5:E$104,C64,'10-Compteurs Temps'!F$5:F$104,D64,'10-Compteurs Temps'!G$5:G$104,E64),0))</f>
        <v/>
      </c>
      <c r="H64" s="23">
        <f>IF(C64="","",IFERROR(SUMIFS('10-Compteurs Temps'!I$5:I$104,'10-Compteurs Temps'!E$5:E$104,C64,'10-Compteurs Temps'!F$5:F$104,D64,'10-Compteurs Temps'!G$5:G$104,E64),0))</f>
        <v/>
      </c>
      <c r="I64" s="17">
        <f>IF(C64="","",IFERROR(SUMIFS('10-Compteurs Temps'!J$5:J$104,'10-Compteurs Temps'!E$5:E$104,C64,'10-Compteurs Temps'!F$5:F$104,D64,'10-Compteurs Temps'!G$5:G$104,E64),0))</f>
        <v/>
      </c>
      <c r="J64" s="17">
        <f>IF(C64="","",IFERROR(SUMIFS('10-Compteurs Temps'!K$5:K$104,'10-Compteurs Temps'!E$5:E$104,C64,'10-Compteurs Temps'!F$5:F$104,D64,'10-Compteurs Temps'!G$5:G$104,E64),0))</f>
        <v/>
      </c>
      <c r="K64" s="17">
        <f>IF(C64="","",IFERROR(SUMIFS('9-Heures WE &amp; Feries'!I$5:I$104,'9-Heures WE &amp; Feries'!E$5:E$104,C64),0))</f>
        <v/>
      </c>
      <c r="L64" s="16">
        <f>IF(C64="","",IFERROR(SUMIFS('10-Compteurs Temps'!L$5:L$104,'10-Compteurs Temps'!E$5:E$104,C64,'10-Compteurs Temps'!F$5:F$104,D64,'10-Compteurs Temps'!G$5:G$104,E64)/8,0))</f>
        <v/>
      </c>
      <c r="M64" s="16" t="n"/>
      <c r="N64" s="30">
        <f>IF(OR(C64="",G64=0,G64=""),"",IFERROR(H64/G64,0))</f>
        <v/>
      </c>
      <c r="O64" s="17">
        <f>IF(C64="","",IFERROR(H64-G64,0))</f>
        <v/>
      </c>
      <c r="P64" s="23">
        <f>IF(C64="","",IFERROR(SUMIFS('7-Heures Supplementaires'!M$5:M$104,'7-Heures Supplementaires'!E$5:E$104,C64),0))</f>
        <v/>
      </c>
      <c r="Q64" s="15" t="n"/>
    </row>
    <row r="65" ht="22" customHeight="1">
      <c r="B65" s="19">
        <f>IF(C65="","BMT-"&amp;TEXT(COUNTA($C$5:C65),"000"))</f>
        <v/>
      </c>
      <c r="C65" s="12" t="n"/>
      <c r="D65" s="12" t="n"/>
      <c r="E65" s="12" t="n"/>
      <c r="F65" s="13">
        <f>IF(C65="","",IFERROR(COUNTIFS('10-Compteurs Temps'!E$5:E$104,C65,'10-Compteurs Temps'!F$5:F$104,D65,'10-Compteurs Temps'!G$5:G$104,E65),0))</f>
        <v/>
      </c>
      <c r="G65" s="21">
        <f>IF(C65="","",IFERROR(SUMIFS('10-Compteurs Temps'!H$5:H$104,'10-Compteurs Temps'!E$5:E$104,C65,'10-Compteurs Temps'!F$5:F$104,D65,'10-Compteurs Temps'!G$5:G$104,E65),0))</f>
        <v/>
      </c>
      <c r="H65" s="21">
        <f>IF(C65="","",IFERROR(SUMIFS('10-Compteurs Temps'!I$5:I$104,'10-Compteurs Temps'!E$5:E$104,C65,'10-Compteurs Temps'!F$5:F$104,D65,'10-Compteurs Temps'!G$5:G$104,E65),0))</f>
        <v/>
      </c>
      <c r="I65" s="14">
        <f>IF(C65="","",IFERROR(SUMIFS('10-Compteurs Temps'!J$5:J$104,'10-Compteurs Temps'!E$5:E$104,C65,'10-Compteurs Temps'!F$5:F$104,D65,'10-Compteurs Temps'!G$5:G$104,E65),0))</f>
        <v/>
      </c>
      <c r="J65" s="14">
        <f>IF(C65="","",IFERROR(SUMIFS('10-Compteurs Temps'!K$5:K$104,'10-Compteurs Temps'!E$5:E$104,C65,'10-Compteurs Temps'!F$5:F$104,D65,'10-Compteurs Temps'!G$5:G$104,E65),0))</f>
        <v/>
      </c>
      <c r="K65" s="14">
        <f>IF(C65="","",IFERROR(SUMIFS('9-Heures WE &amp; Feries'!I$5:I$104,'9-Heures WE &amp; Feries'!E$5:E$104,C65),0))</f>
        <v/>
      </c>
      <c r="L65" s="13">
        <f>IF(C65="","",IFERROR(SUMIFS('10-Compteurs Temps'!L$5:L$104,'10-Compteurs Temps'!E$5:E$104,C65,'10-Compteurs Temps'!F$5:F$104,D65,'10-Compteurs Temps'!G$5:G$104,E65)/8,0))</f>
        <v/>
      </c>
      <c r="M65" s="13" t="n"/>
      <c r="N65" s="29">
        <f>IF(OR(C65="",G65=0,G65=""),"",IFERROR(H65/G65,0))</f>
        <v/>
      </c>
      <c r="O65" s="14">
        <f>IF(C65="","",IFERROR(H65-G65,0))</f>
        <v/>
      </c>
      <c r="P65" s="21">
        <f>IF(C65="","",IFERROR(SUMIFS('7-Heures Supplementaires'!M$5:M$104,'7-Heures Supplementaires'!E$5:E$104,C65),0))</f>
        <v/>
      </c>
      <c r="Q65" s="12" t="n"/>
    </row>
    <row r="66" ht="22" customHeight="1">
      <c r="B66" s="18">
        <f>IF(C66="","BMT-"&amp;TEXT(COUNTA($C$5:C66),"000"))</f>
        <v/>
      </c>
      <c r="C66" s="15" t="n"/>
      <c r="D66" s="15" t="n"/>
      <c r="E66" s="15" t="n"/>
      <c r="F66" s="16">
        <f>IF(C66="","",IFERROR(COUNTIFS('10-Compteurs Temps'!E$5:E$104,C66,'10-Compteurs Temps'!F$5:F$104,D66,'10-Compteurs Temps'!G$5:G$104,E66),0))</f>
        <v/>
      </c>
      <c r="G66" s="23">
        <f>IF(C66="","",IFERROR(SUMIFS('10-Compteurs Temps'!H$5:H$104,'10-Compteurs Temps'!E$5:E$104,C66,'10-Compteurs Temps'!F$5:F$104,D66,'10-Compteurs Temps'!G$5:G$104,E66),0))</f>
        <v/>
      </c>
      <c r="H66" s="23">
        <f>IF(C66="","",IFERROR(SUMIFS('10-Compteurs Temps'!I$5:I$104,'10-Compteurs Temps'!E$5:E$104,C66,'10-Compteurs Temps'!F$5:F$104,D66,'10-Compteurs Temps'!G$5:G$104,E66),0))</f>
        <v/>
      </c>
      <c r="I66" s="17">
        <f>IF(C66="","",IFERROR(SUMIFS('10-Compteurs Temps'!J$5:J$104,'10-Compteurs Temps'!E$5:E$104,C66,'10-Compteurs Temps'!F$5:F$104,D66,'10-Compteurs Temps'!G$5:G$104,E66),0))</f>
        <v/>
      </c>
      <c r="J66" s="17">
        <f>IF(C66="","",IFERROR(SUMIFS('10-Compteurs Temps'!K$5:K$104,'10-Compteurs Temps'!E$5:E$104,C66,'10-Compteurs Temps'!F$5:F$104,D66,'10-Compteurs Temps'!G$5:G$104,E66),0))</f>
        <v/>
      </c>
      <c r="K66" s="17">
        <f>IF(C66="","",IFERROR(SUMIFS('9-Heures WE &amp; Feries'!I$5:I$104,'9-Heures WE &amp; Feries'!E$5:E$104,C66),0))</f>
        <v/>
      </c>
      <c r="L66" s="16">
        <f>IF(C66="","",IFERROR(SUMIFS('10-Compteurs Temps'!L$5:L$104,'10-Compteurs Temps'!E$5:E$104,C66,'10-Compteurs Temps'!F$5:F$104,D66,'10-Compteurs Temps'!G$5:G$104,E66)/8,0))</f>
        <v/>
      </c>
      <c r="M66" s="16" t="n"/>
      <c r="N66" s="30">
        <f>IF(OR(C66="",G66=0,G66=""),"",IFERROR(H66/G66,0))</f>
        <v/>
      </c>
      <c r="O66" s="17">
        <f>IF(C66="","",IFERROR(H66-G66,0))</f>
        <v/>
      </c>
      <c r="P66" s="23">
        <f>IF(C66="","",IFERROR(SUMIFS('7-Heures Supplementaires'!M$5:M$104,'7-Heures Supplementaires'!E$5:E$104,C66),0))</f>
        <v/>
      </c>
      <c r="Q66" s="15" t="n"/>
    </row>
    <row r="67" ht="22" customHeight="1">
      <c r="B67" s="19">
        <f>IF(C67="","BMT-"&amp;TEXT(COUNTA($C$5:C67),"000"))</f>
        <v/>
      </c>
      <c r="C67" s="12" t="n"/>
      <c r="D67" s="12" t="n"/>
      <c r="E67" s="12" t="n"/>
      <c r="F67" s="13">
        <f>IF(C67="","",IFERROR(COUNTIFS('10-Compteurs Temps'!E$5:E$104,C67,'10-Compteurs Temps'!F$5:F$104,D67,'10-Compteurs Temps'!G$5:G$104,E67),0))</f>
        <v/>
      </c>
      <c r="G67" s="21">
        <f>IF(C67="","",IFERROR(SUMIFS('10-Compteurs Temps'!H$5:H$104,'10-Compteurs Temps'!E$5:E$104,C67,'10-Compteurs Temps'!F$5:F$104,D67,'10-Compteurs Temps'!G$5:G$104,E67),0))</f>
        <v/>
      </c>
      <c r="H67" s="21">
        <f>IF(C67="","",IFERROR(SUMIFS('10-Compteurs Temps'!I$5:I$104,'10-Compteurs Temps'!E$5:E$104,C67,'10-Compteurs Temps'!F$5:F$104,D67,'10-Compteurs Temps'!G$5:G$104,E67),0))</f>
        <v/>
      </c>
      <c r="I67" s="14">
        <f>IF(C67="","",IFERROR(SUMIFS('10-Compteurs Temps'!J$5:J$104,'10-Compteurs Temps'!E$5:E$104,C67,'10-Compteurs Temps'!F$5:F$104,D67,'10-Compteurs Temps'!G$5:G$104,E67),0))</f>
        <v/>
      </c>
      <c r="J67" s="14">
        <f>IF(C67="","",IFERROR(SUMIFS('10-Compteurs Temps'!K$5:K$104,'10-Compteurs Temps'!E$5:E$104,C67,'10-Compteurs Temps'!F$5:F$104,D67,'10-Compteurs Temps'!G$5:G$104,E67),0))</f>
        <v/>
      </c>
      <c r="K67" s="14">
        <f>IF(C67="","",IFERROR(SUMIFS('9-Heures WE &amp; Feries'!I$5:I$104,'9-Heures WE &amp; Feries'!E$5:E$104,C67),0))</f>
        <v/>
      </c>
      <c r="L67" s="13">
        <f>IF(C67="","",IFERROR(SUMIFS('10-Compteurs Temps'!L$5:L$104,'10-Compteurs Temps'!E$5:E$104,C67,'10-Compteurs Temps'!F$5:F$104,D67,'10-Compteurs Temps'!G$5:G$104,E67)/8,0))</f>
        <v/>
      </c>
      <c r="M67" s="13" t="n"/>
      <c r="N67" s="29">
        <f>IF(OR(C67="",G67=0,G67=""),"",IFERROR(H67/G67,0))</f>
        <v/>
      </c>
      <c r="O67" s="14">
        <f>IF(C67="","",IFERROR(H67-G67,0))</f>
        <v/>
      </c>
      <c r="P67" s="21">
        <f>IF(C67="","",IFERROR(SUMIFS('7-Heures Supplementaires'!M$5:M$104,'7-Heures Supplementaires'!E$5:E$104,C67),0))</f>
        <v/>
      </c>
      <c r="Q67" s="12" t="n"/>
    </row>
    <row r="68" ht="22" customHeight="1">
      <c r="B68" s="18">
        <f>IF(C68="","BMT-"&amp;TEXT(COUNTA($C$5:C68),"000"))</f>
        <v/>
      </c>
      <c r="C68" s="15" t="n"/>
      <c r="D68" s="15" t="n"/>
      <c r="E68" s="15" t="n"/>
      <c r="F68" s="16">
        <f>IF(C68="","",IFERROR(COUNTIFS('10-Compteurs Temps'!E$5:E$104,C68,'10-Compteurs Temps'!F$5:F$104,D68,'10-Compteurs Temps'!G$5:G$104,E68),0))</f>
        <v/>
      </c>
      <c r="G68" s="23">
        <f>IF(C68="","",IFERROR(SUMIFS('10-Compteurs Temps'!H$5:H$104,'10-Compteurs Temps'!E$5:E$104,C68,'10-Compteurs Temps'!F$5:F$104,D68,'10-Compteurs Temps'!G$5:G$104,E68),0))</f>
        <v/>
      </c>
      <c r="H68" s="23">
        <f>IF(C68="","",IFERROR(SUMIFS('10-Compteurs Temps'!I$5:I$104,'10-Compteurs Temps'!E$5:E$104,C68,'10-Compteurs Temps'!F$5:F$104,D68,'10-Compteurs Temps'!G$5:G$104,E68),0))</f>
        <v/>
      </c>
      <c r="I68" s="17">
        <f>IF(C68="","",IFERROR(SUMIFS('10-Compteurs Temps'!J$5:J$104,'10-Compteurs Temps'!E$5:E$104,C68,'10-Compteurs Temps'!F$5:F$104,D68,'10-Compteurs Temps'!G$5:G$104,E68),0))</f>
        <v/>
      </c>
      <c r="J68" s="17">
        <f>IF(C68="","",IFERROR(SUMIFS('10-Compteurs Temps'!K$5:K$104,'10-Compteurs Temps'!E$5:E$104,C68,'10-Compteurs Temps'!F$5:F$104,D68,'10-Compteurs Temps'!G$5:G$104,E68),0))</f>
        <v/>
      </c>
      <c r="K68" s="17">
        <f>IF(C68="","",IFERROR(SUMIFS('9-Heures WE &amp; Feries'!I$5:I$104,'9-Heures WE &amp; Feries'!E$5:E$104,C68),0))</f>
        <v/>
      </c>
      <c r="L68" s="16">
        <f>IF(C68="","",IFERROR(SUMIFS('10-Compteurs Temps'!L$5:L$104,'10-Compteurs Temps'!E$5:E$104,C68,'10-Compteurs Temps'!F$5:F$104,D68,'10-Compteurs Temps'!G$5:G$104,E68)/8,0))</f>
        <v/>
      </c>
      <c r="M68" s="16" t="n"/>
      <c r="N68" s="30">
        <f>IF(OR(C68="",G68=0,G68=""),"",IFERROR(H68/G68,0))</f>
        <v/>
      </c>
      <c r="O68" s="17">
        <f>IF(C68="","",IFERROR(H68-G68,0))</f>
        <v/>
      </c>
      <c r="P68" s="23">
        <f>IF(C68="","",IFERROR(SUMIFS('7-Heures Supplementaires'!M$5:M$104,'7-Heures Supplementaires'!E$5:E$104,C68),0))</f>
        <v/>
      </c>
      <c r="Q68" s="15" t="n"/>
    </row>
    <row r="69" ht="22" customHeight="1">
      <c r="B69" s="19">
        <f>IF(C69="","BMT-"&amp;TEXT(COUNTA($C$5:C69),"000"))</f>
        <v/>
      </c>
      <c r="C69" s="12" t="n"/>
      <c r="D69" s="12" t="n"/>
      <c r="E69" s="12" t="n"/>
      <c r="F69" s="13">
        <f>IF(C69="","",IFERROR(COUNTIFS('10-Compteurs Temps'!E$5:E$104,C69,'10-Compteurs Temps'!F$5:F$104,D69,'10-Compteurs Temps'!G$5:G$104,E69),0))</f>
        <v/>
      </c>
      <c r="G69" s="21">
        <f>IF(C69="","",IFERROR(SUMIFS('10-Compteurs Temps'!H$5:H$104,'10-Compteurs Temps'!E$5:E$104,C69,'10-Compteurs Temps'!F$5:F$104,D69,'10-Compteurs Temps'!G$5:G$104,E69),0))</f>
        <v/>
      </c>
      <c r="H69" s="21">
        <f>IF(C69="","",IFERROR(SUMIFS('10-Compteurs Temps'!I$5:I$104,'10-Compteurs Temps'!E$5:E$104,C69,'10-Compteurs Temps'!F$5:F$104,D69,'10-Compteurs Temps'!G$5:G$104,E69),0))</f>
        <v/>
      </c>
      <c r="I69" s="14">
        <f>IF(C69="","",IFERROR(SUMIFS('10-Compteurs Temps'!J$5:J$104,'10-Compteurs Temps'!E$5:E$104,C69,'10-Compteurs Temps'!F$5:F$104,D69,'10-Compteurs Temps'!G$5:G$104,E69),0))</f>
        <v/>
      </c>
      <c r="J69" s="14">
        <f>IF(C69="","",IFERROR(SUMIFS('10-Compteurs Temps'!K$5:K$104,'10-Compteurs Temps'!E$5:E$104,C69,'10-Compteurs Temps'!F$5:F$104,D69,'10-Compteurs Temps'!G$5:G$104,E69),0))</f>
        <v/>
      </c>
      <c r="K69" s="14">
        <f>IF(C69="","",IFERROR(SUMIFS('9-Heures WE &amp; Feries'!I$5:I$104,'9-Heures WE &amp; Feries'!E$5:E$104,C69),0))</f>
        <v/>
      </c>
      <c r="L69" s="13">
        <f>IF(C69="","",IFERROR(SUMIFS('10-Compteurs Temps'!L$5:L$104,'10-Compteurs Temps'!E$5:E$104,C69,'10-Compteurs Temps'!F$5:F$104,D69,'10-Compteurs Temps'!G$5:G$104,E69)/8,0))</f>
        <v/>
      </c>
      <c r="M69" s="13" t="n"/>
      <c r="N69" s="29">
        <f>IF(OR(C69="",G69=0,G69=""),"",IFERROR(H69/G69,0))</f>
        <v/>
      </c>
      <c r="O69" s="14">
        <f>IF(C69="","",IFERROR(H69-G69,0))</f>
        <v/>
      </c>
      <c r="P69" s="21">
        <f>IF(C69="","",IFERROR(SUMIFS('7-Heures Supplementaires'!M$5:M$104,'7-Heures Supplementaires'!E$5:E$104,C69),0))</f>
        <v/>
      </c>
      <c r="Q69" s="12" t="n"/>
    </row>
    <row r="70" ht="22" customHeight="1">
      <c r="B70" s="18">
        <f>IF(C70="","BMT-"&amp;TEXT(COUNTA($C$5:C70),"000"))</f>
        <v/>
      </c>
      <c r="C70" s="15" t="n"/>
      <c r="D70" s="15" t="n"/>
      <c r="E70" s="15" t="n"/>
      <c r="F70" s="16">
        <f>IF(C70="","",IFERROR(COUNTIFS('10-Compteurs Temps'!E$5:E$104,C70,'10-Compteurs Temps'!F$5:F$104,D70,'10-Compteurs Temps'!G$5:G$104,E70),0))</f>
        <v/>
      </c>
      <c r="G70" s="23">
        <f>IF(C70="","",IFERROR(SUMIFS('10-Compteurs Temps'!H$5:H$104,'10-Compteurs Temps'!E$5:E$104,C70,'10-Compteurs Temps'!F$5:F$104,D70,'10-Compteurs Temps'!G$5:G$104,E70),0))</f>
        <v/>
      </c>
      <c r="H70" s="23">
        <f>IF(C70="","",IFERROR(SUMIFS('10-Compteurs Temps'!I$5:I$104,'10-Compteurs Temps'!E$5:E$104,C70,'10-Compteurs Temps'!F$5:F$104,D70,'10-Compteurs Temps'!G$5:G$104,E70),0))</f>
        <v/>
      </c>
      <c r="I70" s="17">
        <f>IF(C70="","",IFERROR(SUMIFS('10-Compteurs Temps'!J$5:J$104,'10-Compteurs Temps'!E$5:E$104,C70,'10-Compteurs Temps'!F$5:F$104,D70,'10-Compteurs Temps'!G$5:G$104,E70),0))</f>
        <v/>
      </c>
      <c r="J70" s="17">
        <f>IF(C70="","",IFERROR(SUMIFS('10-Compteurs Temps'!K$5:K$104,'10-Compteurs Temps'!E$5:E$104,C70,'10-Compteurs Temps'!F$5:F$104,D70,'10-Compteurs Temps'!G$5:G$104,E70),0))</f>
        <v/>
      </c>
      <c r="K70" s="17">
        <f>IF(C70="","",IFERROR(SUMIFS('9-Heures WE &amp; Feries'!I$5:I$104,'9-Heures WE &amp; Feries'!E$5:E$104,C70),0))</f>
        <v/>
      </c>
      <c r="L70" s="16">
        <f>IF(C70="","",IFERROR(SUMIFS('10-Compteurs Temps'!L$5:L$104,'10-Compteurs Temps'!E$5:E$104,C70,'10-Compteurs Temps'!F$5:F$104,D70,'10-Compteurs Temps'!G$5:G$104,E70)/8,0))</f>
        <v/>
      </c>
      <c r="M70" s="16" t="n"/>
      <c r="N70" s="30">
        <f>IF(OR(C70="",G70=0,G70=""),"",IFERROR(H70/G70,0))</f>
        <v/>
      </c>
      <c r="O70" s="17">
        <f>IF(C70="","",IFERROR(H70-G70,0))</f>
        <v/>
      </c>
      <c r="P70" s="23">
        <f>IF(C70="","",IFERROR(SUMIFS('7-Heures Supplementaires'!M$5:M$104,'7-Heures Supplementaires'!E$5:E$104,C70),0))</f>
        <v/>
      </c>
      <c r="Q70" s="15" t="n"/>
    </row>
    <row r="71" ht="22" customHeight="1">
      <c r="B71" s="19">
        <f>IF(C71="","BMT-"&amp;TEXT(COUNTA($C$5:C71),"000"))</f>
        <v/>
      </c>
      <c r="C71" s="12" t="n"/>
      <c r="D71" s="12" t="n"/>
      <c r="E71" s="12" t="n"/>
      <c r="F71" s="13">
        <f>IF(C71="","",IFERROR(COUNTIFS('10-Compteurs Temps'!E$5:E$104,C71,'10-Compteurs Temps'!F$5:F$104,D71,'10-Compteurs Temps'!G$5:G$104,E71),0))</f>
        <v/>
      </c>
      <c r="G71" s="21">
        <f>IF(C71="","",IFERROR(SUMIFS('10-Compteurs Temps'!H$5:H$104,'10-Compteurs Temps'!E$5:E$104,C71,'10-Compteurs Temps'!F$5:F$104,D71,'10-Compteurs Temps'!G$5:G$104,E71),0))</f>
        <v/>
      </c>
      <c r="H71" s="21">
        <f>IF(C71="","",IFERROR(SUMIFS('10-Compteurs Temps'!I$5:I$104,'10-Compteurs Temps'!E$5:E$104,C71,'10-Compteurs Temps'!F$5:F$104,D71,'10-Compteurs Temps'!G$5:G$104,E71),0))</f>
        <v/>
      </c>
      <c r="I71" s="14">
        <f>IF(C71="","",IFERROR(SUMIFS('10-Compteurs Temps'!J$5:J$104,'10-Compteurs Temps'!E$5:E$104,C71,'10-Compteurs Temps'!F$5:F$104,D71,'10-Compteurs Temps'!G$5:G$104,E71),0))</f>
        <v/>
      </c>
      <c r="J71" s="14">
        <f>IF(C71="","",IFERROR(SUMIFS('10-Compteurs Temps'!K$5:K$104,'10-Compteurs Temps'!E$5:E$104,C71,'10-Compteurs Temps'!F$5:F$104,D71,'10-Compteurs Temps'!G$5:G$104,E71),0))</f>
        <v/>
      </c>
      <c r="K71" s="14">
        <f>IF(C71="","",IFERROR(SUMIFS('9-Heures WE &amp; Feries'!I$5:I$104,'9-Heures WE &amp; Feries'!E$5:E$104,C71),0))</f>
        <v/>
      </c>
      <c r="L71" s="13">
        <f>IF(C71="","",IFERROR(SUMIFS('10-Compteurs Temps'!L$5:L$104,'10-Compteurs Temps'!E$5:E$104,C71,'10-Compteurs Temps'!F$5:F$104,D71,'10-Compteurs Temps'!G$5:G$104,E71)/8,0))</f>
        <v/>
      </c>
      <c r="M71" s="13" t="n"/>
      <c r="N71" s="29">
        <f>IF(OR(C71="",G71=0,G71=""),"",IFERROR(H71/G71,0))</f>
        <v/>
      </c>
      <c r="O71" s="14">
        <f>IF(C71="","",IFERROR(H71-G71,0))</f>
        <v/>
      </c>
      <c r="P71" s="21">
        <f>IF(C71="","",IFERROR(SUMIFS('7-Heures Supplementaires'!M$5:M$104,'7-Heures Supplementaires'!E$5:E$104,C71),0))</f>
        <v/>
      </c>
      <c r="Q71" s="12" t="n"/>
    </row>
    <row r="72" ht="22" customHeight="1">
      <c r="B72" s="18">
        <f>IF(C72="","BMT-"&amp;TEXT(COUNTA($C$5:C72),"000"))</f>
        <v/>
      </c>
      <c r="C72" s="15" t="n"/>
      <c r="D72" s="15" t="n"/>
      <c r="E72" s="15" t="n"/>
      <c r="F72" s="16">
        <f>IF(C72="","",IFERROR(COUNTIFS('10-Compteurs Temps'!E$5:E$104,C72,'10-Compteurs Temps'!F$5:F$104,D72,'10-Compteurs Temps'!G$5:G$104,E72),0))</f>
        <v/>
      </c>
      <c r="G72" s="23">
        <f>IF(C72="","",IFERROR(SUMIFS('10-Compteurs Temps'!H$5:H$104,'10-Compteurs Temps'!E$5:E$104,C72,'10-Compteurs Temps'!F$5:F$104,D72,'10-Compteurs Temps'!G$5:G$104,E72),0))</f>
        <v/>
      </c>
      <c r="H72" s="23">
        <f>IF(C72="","",IFERROR(SUMIFS('10-Compteurs Temps'!I$5:I$104,'10-Compteurs Temps'!E$5:E$104,C72,'10-Compteurs Temps'!F$5:F$104,D72,'10-Compteurs Temps'!G$5:G$104,E72),0))</f>
        <v/>
      </c>
      <c r="I72" s="17">
        <f>IF(C72="","",IFERROR(SUMIFS('10-Compteurs Temps'!J$5:J$104,'10-Compteurs Temps'!E$5:E$104,C72,'10-Compteurs Temps'!F$5:F$104,D72,'10-Compteurs Temps'!G$5:G$104,E72),0))</f>
        <v/>
      </c>
      <c r="J72" s="17">
        <f>IF(C72="","",IFERROR(SUMIFS('10-Compteurs Temps'!K$5:K$104,'10-Compteurs Temps'!E$5:E$104,C72,'10-Compteurs Temps'!F$5:F$104,D72,'10-Compteurs Temps'!G$5:G$104,E72),0))</f>
        <v/>
      </c>
      <c r="K72" s="17">
        <f>IF(C72="","",IFERROR(SUMIFS('9-Heures WE &amp; Feries'!I$5:I$104,'9-Heures WE &amp; Feries'!E$5:E$104,C72),0))</f>
        <v/>
      </c>
      <c r="L72" s="16">
        <f>IF(C72="","",IFERROR(SUMIFS('10-Compteurs Temps'!L$5:L$104,'10-Compteurs Temps'!E$5:E$104,C72,'10-Compteurs Temps'!F$5:F$104,D72,'10-Compteurs Temps'!G$5:G$104,E72)/8,0))</f>
        <v/>
      </c>
      <c r="M72" s="16" t="n"/>
      <c r="N72" s="30">
        <f>IF(OR(C72="",G72=0,G72=""),"",IFERROR(H72/G72,0))</f>
        <v/>
      </c>
      <c r="O72" s="17">
        <f>IF(C72="","",IFERROR(H72-G72,0))</f>
        <v/>
      </c>
      <c r="P72" s="23">
        <f>IF(C72="","",IFERROR(SUMIFS('7-Heures Supplementaires'!M$5:M$104,'7-Heures Supplementaires'!E$5:E$104,C72),0))</f>
        <v/>
      </c>
      <c r="Q72" s="15" t="n"/>
    </row>
    <row r="73" ht="22" customHeight="1">
      <c r="B73" s="19">
        <f>IF(C73="","BMT-"&amp;TEXT(COUNTA($C$5:C73),"000"))</f>
        <v/>
      </c>
      <c r="C73" s="12" t="n"/>
      <c r="D73" s="12" t="n"/>
      <c r="E73" s="12" t="n"/>
      <c r="F73" s="13">
        <f>IF(C73="","",IFERROR(COUNTIFS('10-Compteurs Temps'!E$5:E$104,C73,'10-Compteurs Temps'!F$5:F$104,D73,'10-Compteurs Temps'!G$5:G$104,E73),0))</f>
        <v/>
      </c>
      <c r="G73" s="21">
        <f>IF(C73="","",IFERROR(SUMIFS('10-Compteurs Temps'!H$5:H$104,'10-Compteurs Temps'!E$5:E$104,C73,'10-Compteurs Temps'!F$5:F$104,D73,'10-Compteurs Temps'!G$5:G$104,E73),0))</f>
        <v/>
      </c>
      <c r="H73" s="21">
        <f>IF(C73="","",IFERROR(SUMIFS('10-Compteurs Temps'!I$5:I$104,'10-Compteurs Temps'!E$5:E$104,C73,'10-Compteurs Temps'!F$5:F$104,D73,'10-Compteurs Temps'!G$5:G$104,E73),0))</f>
        <v/>
      </c>
      <c r="I73" s="14">
        <f>IF(C73="","",IFERROR(SUMIFS('10-Compteurs Temps'!J$5:J$104,'10-Compteurs Temps'!E$5:E$104,C73,'10-Compteurs Temps'!F$5:F$104,D73,'10-Compteurs Temps'!G$5:G$104,E73),0))</f>
        <v/>
      </c>
      <c r="J73" s="14">
        <f>IF(C73="","",IFERROR(SUMIFS('10-Compteurs Temps'!K$5:K$104,'10-Compteurs Temps'!E$5:E$104,C73,'10-Compteurs Temps'!F$5:F$104,D73,'10-Compteurs Temps'!G$5:G$104,E73),0))</f>
        <v/>
      </c>
      <c r="K73" s="14">
        <f>IF(C73="","",IFERROR(SUMIFS('9-Heures WE &amp; Feries'!I$5:I$104,'9-Heures WE &amp; Feries'!E$5:E$104,C73),0))</f>
        <v/>
      </c>
      <c r="L73" s="13">
        <f>IF(C73="","",IFERROR(SUMIFS('10-Compteurs Temps'!L$5:L$104,'10-Compteurs Temps'!E$5:E$104,C73,'10-Compteurs Temps'!F$5:F$104,D73,'10-Compteurs Temps'!G$5:G$104,E73)/8,0))</f>
        <v/>
      </c>
      <c r="M73" s="13" t="n"/>
      <c r="N73" s="29">
        <f>IF(OR(C73="",G73=0,G73=""),"",IFERROR(H73/G73,0))</f>
        <v/>
      </c>
      <c r="O73" s="14">
        <f>IF(C73="","",IFERROR(H73-G73,0))</f>
        <v/>
      </c>
      <c r="P73" s="21">
        <f>IF(C73="","",IFERROR(SUMIFS('7-Heures Supplementaires'!M$5:M$104,'7-Heures Supplementaires'!E$5:E$104,C73),0))</f>
        <v/>
      </c>
      <c r="Q73" s="12" t="n"/>
    </row>
    <row r="74" ht="22" customHeight="1">
      <c r="B74" s="18">
        <f>IF(C74="","BMT-"&amp;TEXT(COUNTA($C$5:C74),"000"))</f>
        <v/>
      </c>
      <c r="C74" s="15" t="n"/>
      <c r="D74" s="15" t="n"/>
      <c r="E74" s="15" t="n"/>
      <c r="F74" s="16">
        <f>IF(C74="","",IFERROR(COUNTIFS('10-Compteurs Temps'!E$5:E$104,C74,'10-Compteurs Temps'!F$5:F$104,D74,'10-Compteurs Temps'!G$5:G$104,E74),0))</f>
        <v/>
      </c>
      <c r="G74" s="23">
        <f>IF(C74="","",IFERROR(SUMIFS('10-Compteurs Temps'!H$5:H$104,'10-Compteurs Temps'!E$5:E$104,C74,'10-Compteurs Temps'!F$5:F$104,D74,'10-Compteurs Temps'!G$5:G$104,E74),0))</f>
        <v/>
      </c>
      <c r="H74" s="23">
        <f>IF(C74="","",IFERROR(SUMIFS('10-Compteurs Temps'!I$5:I$104,'10-Compteurs Temps'!E$5:E$104,C74,'10-Compteurs Temps'!F$5:F$104,D74,'10-Compteurs Temps'!G$5:G$104,E74),0))</f>
        <v/>
      </c>
      <c r="I74" s="17">
        <f>IF(C74="","",IFERROR(SUMIFS('10-Compteurs Temps'!J$5:J$104,'10-Compteurs Temps'!E$5:E$104,C74,'10-Compteurs Temps'!F$5:F$104,D74,'10-Compteurs Temps'!G$5:G$104,E74),0))</f>
        <v/>
      </c>
      <c r="J74" s="17">
        <f>IF(C74="","",IFERROR(SUMIFS('10-Compteurs Temps'!K$5:K$104,'10-Compteurs Temps'!E$5:E$104,C74,'10-Compteurs Temps'!F$5:F$104,D74,'10-Compteurs Temps'!G$5:G$104,E74),0))</f>
        <v/>
      </c>
      <c r="K74" s="17">
        <f>IF(C74="","",IFERROR(SUMIFS('9-Heures WE &amp; Feries'!I$5:I$104,'9-Heures WE &amp; Feries'!E$5:E$104,C74),0))</f>
        <v/>
      </c>
      <c r="L74" s="16">
        <f>IF(C74="","",IFERROR(SUMIFS('10-Compteurs Temps'!L$5:L$104,'10-Compteurs Temps'!E$5:E$104,C74,'10-Compteurs Temps'!F$5:F$104,D74,'10-Compteurs Temps'!G$5:G$104,E74)/8,0))</f>
        <v/>
      </c>
      <c r="M74" s="16" t="n"/>
      <c r="N74" s="30">
        <f>IF(OR(C74="",G74=0,G74=""),"",IFERROR(H74/G74,0))</f>
        <v/>
      </c>
      <c r="O74" s="17">
        <f>IF(C74="","",IFERROR(H74-G74,0))</f>
        <v/>
      </c>
      <c r="P74" s="23">
        <f>IF(C74="","",IFERROR(SUMIFS('7-Heures Supplementaires'!M$5:M$104,'7-Heures Supplementaires'!E$5:E$104,C74),0))</f>
        <v/>
      </c>
      <c r="Q74" s="15" t="n"/>
    </row>
    <row r="75" ht="22" customHeight="1">
      <c r="B75" s="19">
        <f>IF(C75="","BMT-"&amp;TEXT(COUNTA($C$5:C75),"000"))</f>
        <v/>
      </c>
      <c r="C75" s="12" t="n"/>
      <c r="D75" s="12" t="n"/>
      <c r="E75" s="12" t="n"/>
      <c r="F75" s="13">
        <f>IF(C75="","",IFERROR(COUNTIFS('10-Compteurs Temps'!E$5:E$104,C75,'10-Compteurs Temps'!F$5:F$104,D75,'10-Compteurs Temps'!G$5:G$104,E75),0))</f>
        <v/>
      </c>
      <c r="G75" s="21">
        <f>IF(C75="","",IFERROR(SUMIFS('10-Compteurs Temps'!H$5:H$104,'10-Compteurs Temps'!E$5:E$104,C75,'10-Compteurs Temps'!F$5:F$104,D75,'10-Compteurs Temps'!G$5:G$104,E75),0))</f>
        <v/>
      </c>
      <c r="H75" s="21">
        <f>IF(C75="","",IFERROR(SUMIFS('10-Compteurs Temps'!I$5:I$104,'10-Compteurs Temps'!E$5:E$104,C75,'10-Compteurs Temps'!F$5:F$104,D75,'10-Compteurs Temps'!G$5:G$104,E75),0))</f>
        <v/>
      </c>
      <c r="I75" s="14">
        <f>IF(C75="","",IFERROR(SUMIFS('10-Compteurs Temps'!J$5:J$104,'10-Compteurs Temps'!E$5:E$104,C75,'10-Compteurs Temps'!F$5:F$104,D75,'10-Compteurs Temps'!G$5:G$104,E75),0))</f>
        <v/>
      </c>
      <c r="J75" s="14">
        <f>IF(C75="","",IFERROR(SUMIFS('10-Compteurs Temps'!K$5:K$104,'10-Compteurs Temps'!E$5:E$104,C75,'10-Compteurs Temps'!F$5:F$104,D75,'10-Compteurs Temps'!G$5:G$104,E75),0))</f>
        <v/>
      </c>
      <c r="K75" s="14">
        <f>IF(C75="","",IFERROR(SUMIFS('9-Heures WE &amp; Feries'!I$5:I$104,'9-Heures WE &amp; Feries'!E$5:E$104,C75),0))</f>
        <v/>
      </c>
      <c r="L75" s="13">
        <f>IF(C75="","",IFERROR(SUMIFS('10-Compteurs Temps'!L$5:L$104,'10-Compteurs Temps'!E$5:E$104,C75,'10-Compteurs Temps'!F$5:F$104,D75,'10-Compteurs Temps'!G$5:G$104,E75)/8,0))</f>
        <v/>
      </c>
      <c r="M75" s="13" t="n"/>
      <c r="N75" s="29">
        <f>IF(OR(C75="",G75=0,G75=""),"",IFERROR(H75/G75,0))</f>
        <v/>
      </c>
      <c r="O75" s="14">
        <f>IF(C75="","",IFERROR(H75-G75,0))</f>
        <v/>
      </c>
      <c r="P75" s="21">
        <f>IF(C75="","",IFERROR(SUMIFS('7-Heures Supplementaires'!M$5:M$104,'7-Heures Supplementaires'!E$5:E$104,C75),0))</f>
        <v/>
      </c>
      <c r="Q75" s="12" t="n"/>
    </row>
    <row r="76" ht="22" customHeight="1">
      <c r="B76" s="18">
        <f>IF(C76="","BMT-"&amp;TEXT(COUNTA($C$5:C76),"000"))</f>
        <v/>
      </c>
      <c r="C76" s="15" t="n"/>
      <c r="D76" s="15" t="n"/>
      <c r="E76" s="15" t="n"/>
      <c r="F76" s="16">
        <f>IF(C76="","",IFERROR(COUNTIFS('10-Compteurs Temps'!E$5:E$104,C76,'10-Compteurs Temps'!F$5:F$104,D76,'10-Compteurs Temps'!G$5:G$104,E76),0))</f>
        <v/>
      </c>
      <c r="G76" s="23">
        <f>IF(C76="","",IFERROR(SUMIFS('10-Compteurs Temps'!H$5:H$104,'10-Compteurs Temps'!E$5:E$104,C76,'10-Compteurs Temps'!F$5:F$104,D76,'10-Compteurs Temps'!G$5:G$104,E76),0))</f>
        <v/>
      </c>
      <c r="H76" s="23">
        <f>IF(C76="","",IFERROR(SUMIFS('10-Compteurs Temps'!I$5:I$104,'10-Compteurs Temps'!E$5:E$104,C76,'10-Compteurs Temps'!F$5:F$104,D76,'10-Compteurs Temps'!G$5:G$104,E76),0))</f>
        <v/>
      </c>
      <c r="I76" s="17">
        <f>IF(C76="","",IFERROR(SUMIFS('10-Compteurs Temps'!J$5:J$104,'10-Compteurs Temps'!E$5:E$104,C76,'10-Compteurs Temps'!F$5:F$104,D76,'10-Compteurs Temps'!G$5:G$104,E76),0))</f>
        <v/>
      </c>
      <c r="J76" s="17">
        <f>IF(C76="","",IFERROR(SUMIFS('10-Compteurs Temps'!K$5:K$104,'10-Compteurs Temps'!E$5:E$104,C76,'10-Compteurs Temps'!F$5:F$104,D76,'10-Compteurs Temps'!G$5:G$104,E76),0))</f>
        <v/>
      </c>
      <c r="K76" s="17">
        <f>IF(C76="","",IFERROR(SUMIFS('9-Heures WE &amp; Feries'!I$5:I$104,'9-Heures WE &amp; Feries'!E$5:E$104,C76),0))</f>
        <v/>
      </c>
      <c r="L76" s="16">
        <f>IF(C76="","",IFERROR(SUMIFS('10-Compteurs Temps'!L$5:L$104,'10-Compteurs Temps'!E$5:E$104,C76,'10-Compteurs Temps'!F$5:F$104,D76,'10-Compteurs Temps'!G$5:G$104,E76)/8,0))</f>
        <v/>
      </c>
      <c r="M76" s="16" t="n"/>
      <c r="N76" s="30">
        <f>IF(OR(C76="",G76=0,G76=""),"",IFERROR(H76/G76,0))</f>
        <v/>
      </c>
      <c r="O76" s="17">
        <f>IF(C76="","",IFERROR(H76-G76,0))</f>
        <v/>
      </c>
      <c r="P76" s="23">
        <f>IF(C76="","",IFERROR(SUMIFS('7-Heures Supplementaires'!M$5:M$104,'7-Heures Supplementaires'!E$5:E$104,C76),0))</f>
        <v/>
      </c>
      <c r="Q76" s="15" t="n"/>
    </row>
    <row r="77" ht="22" customHeight="1">
      <c r="B77" s="19">
        <f>IF(C77="","BMT-"&amp;TEXT(COUNTA($C$5:C77),"000"))</f>
        <v/>
      </c>
      <c r="C77" s="12" t="n"/>
      <c r="D77" s="12" t="n"/>
      <c r="E77" s="12" t="n"/>
      <c r="F77" s="13">
        <f>IF(C77="","",IFERROR(COUNTIFS('10-Compteurs Temps'!E$5:E$104,C77,'10-Compteurs Temps'!F$5:F$104,D77,'10-Compteurs Temps'!G$5:G$104,E77),0))</f>
        <v/>
      </c>
      <c r="G77" s="21">
        <f>IF(C77="","",IFERROR(SUMIFS('10-Compteurs Temps'!H$5:H$104,'10-Compteurs Temps'!E$5:E$104,C77,'10-Compteurs Temps'!F$5:F$104,D77,'10-Compteurs Temps'!G$5:G$104,E77),0))</f>
        <v/>
      </c>
      <c r="H77" s="21">
        <f>IF(C77="","",IFERROR(SUMIFS('10-Compteurs Temps'!I$5:I$104,'10-Compteurs Temps'!E$5:E$104,C77,'10-Compteurs Temps'!F$5:F$104,D77,'10-Compteurs Temps'!G$5:G$104,E77),0))</f>
        <v/>
      </c>
      <c r="I77" s="14">
        <f>IF(C77="","",IFERROR(SUMIFS('10-Compteurs Temps'!J$5:J$104,'10-Compteurs Temps'!E$5:E$104,C77,'10-Compteurs Temps'!F$5:F$104,D77,'10-Compteurs Temps'!G$5:G$104,E77),0))</f>
        <v/>
      </c>
      <c r="J77" s="14">
        <f>IF(C77="","",IFERROR(SUMIFS('10-Compteurs Temps'!K$5:K$104,'10-Compteurs Temps'!E$5:E$104,C77,'10-Compteurs Temps'!F$5:F$104,D77,'10-Compteurs Temps'!G$5:G$104,E77),0))</f>
        <v/>
      </c>
      <c r="K77" s="14">
        <f>IF(C77="","",IFERROR(SUMIFS('9-Heures WE &amp; Feries'!I$5:I$104,'9-Heures WE &amp; Feries'!E$5:E$104,C77),0))</f>
        <v/>
      </c>
      <c r="L77" s="13">
        <f>IF(C77="","",IFERROR(SUMIFS('10-Compteurs Temps'!L$5:L$104,'10-Compteurs Temps'!E$5:E$104,C77,'10-Compteurs Temps'!F$5:F$104,D77,'10-Compteurs Temps'!G$5:G$104,E77)/8,0))</f>
        <v/>
      </c>
      <c r="M77" s="13" t="n"/>
      <c r="N77" s="29">
        <f>IF(OR(C77="",G77=0,G77=""),"",IFERROR(H77/G77,0))</f>
        <v/>
      </c>
      <c r="O77" s="14">
        <f>IF(C77="","",IFERROR(H77-G77,0))</f>
        <v/>
      </c>
      <c r="P77" s="21">
        <f>IF(C77="","",IFERROR(SUMIFS('7-Heures Supplementaires'!M$5:M$104,'7-Heures Supplementaires'!E$5:E$104,C77),0))</f>
        <v/>
      </c>
      <c r="Q77" s="12" t="n"/>
    </row>
    <row r="78" ht="22" customHeight="1">
      <c r="B78" s="18">
        <f>IF(C78="","BMT-"&amp;TEXT(COUNTA($C$5:C78),"000"))</f>
        <v/>
      </c>
      <c r="C78" s="15" t="n"/>
      <c r="D78" s="15" t="n"/>
      <c r="E78" s="15" t="n"/>
      <c r="F78" s="16">
        <f>IF(C78="","",IFERROR(COUNTIFS('10-Compteurs Temps'!E$5:E$104,C78,'10-Compteurs Temps'!F$5:F$104,D78,'10-Compteurs Temps'!G$5:G$104,E78),0))</f>
        <v/>
      </c>
      <c r="G78" s="23">
        <f>IF(C78="","",IFERROR(SUMIFS('10-Compteurs Temps'!H$5:H$104,'10-Compteurs Temps'!E$5:E$104,C78,'10-Compteurs Temps'!F$5:F$104,D78,'10-Compteurs Temps'!G$5:G$104,E78),0))</f>
        <v/>
      </c>
      <c r="H78" s="23">
        <f>IF(C78="","",IFERROR(SUMIFS('10-Compteurs Temps'!I$5:I$104,'10-Compteurs Temps'!E$5:E$104,C78,'10-Compteurs Temps'!F$5:F$104,D78,'10-Compteurs Temps'!G$5:G$104,E78),0))</f>
        <v/>
      </c>
      <c r="I78" s="17">
        <f>IF(C78="","",IFERROR(SUMIFS('10-Compteurs Temps'!J$5:J$104,'10-Compteurs Temps'!E$5:E$104,C78,'10-Compteurs Temps'!F$5:F$104,D78,'10-Compteurs Temps'!G$5:G$104,E78),0))</f>
        <v/>
      </c>
      <c r="J78" s="17">
        <f>IF(C78="","",IFERROR(SUMIFS('10-Compteurs Temps'!K$5:K$104,'10-Compteurs Temps'!E$5:E$104,C78,'10-Compteurs Temps'!F$5:F$104,D78,'10-Compteurs Temps'!G$5:G$104,E78),0))</f>
        <v/>
      </c>
      <c r="K78" s="17">
        <f>IF(C78="","",IFERROR(SUMIFS('9-Heures WE &amp; Feries'!I$5:I$104,'9-Heures WE &amp; Feries'!E$5:E$104,C78),0))</f>
        <v/>
      </c>
      <c r="L78" s="16">
        <f>IF(C78="","",IFERROR(SUMIFS('10-Compteurs Temps'!L$5:L$104,'10-Compteurs Temps'!E$5:E$104,C78,'10-Compteurs Temps'!F$5:F$104,D78,'10-Compteurs Temps'!G$5:G$104,E78)/8,0))</f>
        <v/>
      </c>
      <c r="M78" s="16" t="n"/>
      <c r="N78" s="30">
        <f>IF(OR(C78="",G78=0,G78=""),"",IFERROR(H78/G78,0))</f>
        <v/>
      </c>
      <c r="O78" s="17">
        <f>IF(C78="","",IFERROR(H78-G78,0))</f>
        <v/>
      </c>
      <c r="P78" s="23">
        <f>IF(C78="","",IFERROR(SUMIFS('7-Heures Supplementaires'!M$5:M$104,'7-Heures Supplementaires'!E$5:E$104,C78),0))</f>
        <v/>
      </c>
      <c r="Q78" s="15" t="n"/>
    </row>
    <row r="79" ht="22" customHeight="1">
      <c r="B79" s="19">
        <f>IF(C79="","BMT-"&amp;TEXT(COUNTA($C$5:C79),"000"))</f>
        <v/>
      </c>
      <c r="C79" s="12" t="n"/>
      <c r="D79" s="12" t="n"/>
      <c r="E79" s="12" t="n"/>
      <c r="F79" s="13">
        <f>IF(C79="","",IFERROR(COUNTIFS('10-Compteurs Temps'!E$5:E$104,C79,'10-Compteurs Temps'!F$5:F$104,D79,'10-Compteurs Temps'!G$5:G$104,E79),0))</f>
        <v/>
      </c>
      <c r="G79" s="21">
        <f>IF(C79="","",IFERROR(SUMIFS('10-Compteurs Temps'!H$5:H$104,'10-Compteurs Temps'!E$5:E$104,C79,'10-Compteurs Temps'!F$5:F$104,D79,'10-Compteurs Temps'!G$5:G$104,E79),0))</f>
        <v/>
      </c>
      <c r="H79" s="21">
        <f>IF(C79="","",IFERROR(SUMIFS('10-Compteurs Temps'!I$5:I$104,'10-Compteurs Temps'!E$5:E$104,C79,'10-Compteurs Temps'!F$5:F$104,D79,'10-Compteurs Temps'!G$5:G$104,E79),0))</f>
        <v/>
      </c>
      <c r="I79" s="14">
        <f>IF(C79="","",IFERROR(SUMIFS('10-Compteurs Temps'!J$5:J$104,'10-Compteurs Temps'!E$5:E$104,C79,'10-Compteurs Temps'!F$5:F$104,D79,'10-Compteurs Temps'!G$5:G$104,E79),0))</f>
        <v/>
      </c>
      <c r="J79" s="14">
        <f>IF(C79="","",IFERROR(SUMIFS('10-Compteurs Temps'!K$5:K$104,'10-Compteurs Temps'!E$5:E$104,C79,'10-Compteurs Temps'!F$5:F$104,D79,'10-Compteurs Temps'!G$5:G$104,E79),0))</f>
        <v/>
      </c>
      <c r="K79" s="14">
        <f>IF(C79="","",IFERROR(SUMIFS('9-Heures WE &amp; Feries'!I$5:I$104,'9-Heures WE &amp; Feries'!E$5:E$104,C79),0))</f>
        <v/>
      </c>
      <c r="L79" s="13">
        <f>IF(C79="","",IFERROR(SUMIFS('10-Compteurs Temps'!L$5:L$104,'10-Compteurs Temps'!E$5:E$104,C79,'10-Compteurs Temps'!F$5:F$104,D79,'10-Compteurs Temps'!G$5:G$104,E79)/8,0))</f>
        <v/>
      </c>
      <c r="M79" s="13" t="n"/>
      <c r="N79" s="29">
        <f>IF(OR(C79="",G79=0,G79=""),"",IFERROR(H79/G79,0))</f>
        <v/>
      </c>
      <c r="O79" s="14">
        <f>IF(C79="","",IFERROR(H79-G79,0))</f>
        <v/>
      </c>
      <c r="P79" s="21">
        <f>IF(C79="","",IFERROR(SUMIFS('7-Heures Supplementaires'!M$5:M$104,'7-Heures Supplementaires'!E$5:E$104,C79),0))</f>
        <v/>
      </c>
      <c r="Q79" s="12" t="n"/>
    </row>
    <row r="80" ht="22" customHeight="1">
      <c r="B80" s="18">
        <f>IF(C80="","BMT-"&amp;TEXT(COUNTA($C$5:C80),"000"))</f>
        <v/>
      </c>
      <c r="C80" s="15" t="n"/>
      <c r="D80" s="15" t="n"/>
      <c r="E80" s="15" t="n"/>
      <c r="F80" s="16">
        <f>IF(C80="","",IFERROR(COUNTIFS('10-Compteurs Temps'!E$5:E$104,C80,'10-Compteurs Temps'!F$5:F$104,D80,'10-Compteurs Temps'!G$5:G$104,E80),0))</f>
        <v/>
      </c>
      <c r="G80" s="23">
        <f>IF(C80="","",IFERROR(SUMIFS('10-Compteurs Temps'!H$5:H$104,'10-Compteurs Temps'!E$5:E$104,C80,'10-Compteurs Temps'!F$5:F$104,D80,'10-Compteurs Temps'!G$5:G$104,E80),0))</f>
        <v/>
      </c>
      <c r="H80" s="23">
        <f>IF(C80="","",IFERROR(SUMIFS('10-Compteurs Temps'!I$5:I$104,'10-Compteurs Temps'!E$5:E$104,C80,'10-Compteurs Temps'!F$5:F$104,D80,'10-Compteurs Temps'!G$5:G$104,E80),0))</f>
        <v/>
      </c>
      <c r="I80" s="17">
        <f>IF(C80="","",IFERROR(SUMIFS('10-Compteurs Temps'!J$5:J$104,'10-Compteurs Temps'!E$5:E$104,C80,'10-Compteurs Temps'!F$5:F$104,D80,'10-Compteurs Temps'!G$5:G$104,E80),0))</f>
        <v/>
      </c>
      <c r="J80" s="17">
        <f>IF(C80="","",IFERROR(SUMIFS('10-Compteurs Temps'!K$5:K$104,'10-Compteurs Temps'!E$5:E$104,C80,'10-Compteurs Temps'!F$5:F$104,D80,'10-Compteurs Temps'!G$5:G$104,E80),0))</f>
        <v/>
      </c>
      <c r="K80" s="17">
        <f>IF(C80="","",IFERROR(SUMIFS('9-Heures WE &amp; Feries'!I$5:I$104,'9-Heures WE &amp; Feries'!E$5:E$104,C80),0))</f>
        <v/>
      </c>
      <c r="L80" s="16">
        <f>IF(C80="","",IFERROR(SUMIFS('10-Compteurs Temps'!L$5:L$104,'10-Compteurs Temps'!E$5:E$104,C80,'10-Compteurs Temps'!F$5:F$104,D80,'10-Compteurs Temps'!G$5:G$104,E80)/8,0))</f>
        <v/>
      </c>
      <c r="M80" s="16" t="n"/>
      <c r="N80" s="30">
        <f>IF(OR(C80="",G80=0,G80=""),"",IFERROR(H80/G80,0))</f>
        <v/>
      </c>
      <c r="O80" s="17">
        <f>IF(C80="","",IFERROR(H80-G80,0))</f>
        <v/>
      </c>
      <c r="P80" s="23">
        <f>IF(C80="","",IFERROR(SUMIFS('7-Heures Supplementaires'!M$5:M$104,'7-Heures Supplementaires'!E$5:E$104,C80),0))</f>
        <v/>
      </c>
      <c r="Q80" s="15" t="n"/>
    </row>
    <row r="81" ht="22" customHeight="1">
      <c r="B81" s="19">
        <f>IF(C81="","BMT-"&amp;TEXT(COUNTA($C$5:C81),"000"))</f>
        <v/>
      </c>
      <c r="C81" s="12" t="n"/>
      <c r="D81" s="12" t="n"/>
      <c r="E81" s="12" t="n"/>
      <c r="F81" s="13">
        <f>IF(C81="","",IFERROR(COUNTIFS('10-Compteurs Temps'!E$5:E$104,C81,'10-Compteurs Temps'!F$5:F$104,D81,'10-Compteurs Temps'!G$5:G$104,E81),0))</f>
        <v/>
      </c>
      <c r="G81" s="21">
        <f>IF(C81="","",IFERROR(SUMIFS('10-Compteurs Temps'!H$5:H$104,'10-Compteurs Temps'!E$5:E$104,C81,'10-Compteurs Temps'!F$5:F$104,D81,'10-Compteurs Temps'!G$5:G$104,E81),0))</f>
        <v/>
      </c>
      <c r="H81" s="21">
        <f>IF(C81="","",IFERROR(SUMIFS('10-Compteurs Temps'!I$5:I$104,'10-Compteurs Temps'!E$5:E$104,C81,'10-Compteurs Temps'!F$5:F$104,D81,'10-Compteurs Temps'!G$5:G$104,E81),0))</f>
        <v/>
      </c>
      <c r="I81" s="14">
        <f>IF(C81="","",IFERROR(SUMIFS('10-Compteurs Temps'!J$5:J$104,'10-Compteurs Temps'!E$5:E$104,C81,'10-Compteurs Temps'!F$5:F$104,D81,'10-Compteurs Temps'!G$5:G$104,E81),0))</f>
        <v/>
      </c>
      <c r="J81" s="14">
        <f>IF(C81="","",IFERROR(SUMIFS('10-Compteurs Temps'!K$5:K$104,'10-Compteurs Temps'!E$5:E$104,C81,'10-Compteurs Temps'!F$5:F$104,D81,'10-Compteurs Temps'!G$5:G$104,E81),0))</f>
        <v/>
      </c>
      <c r="K81" s="14">
        <f>IF(C81="","",IFERROR(SUMIFS('9-Heures WE &amp; Feries'!I$5:I$104,'9-Heures WE &amp; Feries'!E$5:E$104,C81),0))</f>
        <v/>
      </c>
      <c r="L81" s="13">
        <f>IF(C81="","",IFERROR(SUMIFS('10-Compteurs Temps'!L$5:L$104,'10-Compteurs Temps'!E$5:E$104,C81,'10-Compteurs Temps'!F$5:F$104,D81,'10-Compteurs Temps'!G$5:G$104,E81)/8,0))</f>
        <v/>
      </c>
      <c r="M81" s="13" t="n"/>
      <c r="N81" s="29">
        <f>IF(OR(C81="",G81=0,G81=""),"",IFERROR(H81/G81,0))</f>
        <v/>
      </c>
      <c r="O81" s="14">
        <f>IF(C81="","",IFERROR(H81-G81,0))</f>
        <v/>
      </c>
      <c r="P81" s="21">
        <f>IF(C81="","",IFERROR(SUMIFS('7-Heures Supplementaires'!M$5:M$104,'7-Heures Supplementaires'!E$5:E$104,C81),0))</f>
        <v/>
      </c>
      <c r="Q81" s="12" t="n"/>
    </row>
    <row r="82" ht="22" customHeight="1">
      <c r="B82" s="18">
        <f>IF(C82="","BMT-"&amp;TEXT(COUNTA($C$5:C82),"000"))</f>
        <v/>
      </c>
      <c r="C82" s="15" t="n"/>
      <c r="D82" s="15" t="n"/>
      <c r="E82" s="15" t="n"/>
      <c r="F82" s="16">
        <f>IF(C82="","",IFERROR(COUNTIFS('10-Compteurs Temps'!E$5:E$104,C82,'10-Compteurs Temps'!F$5:F$104,D82,'10-Compteurs Temps'!G$5:G$104,E82),0))</f>
        <v/>
      </c>
      <c r="G82" s="23">
        <f>IF(C82="","",IFERROR(SUMIFS('10-Compteurs Temps'!H$5:H$104,'10-Compteurs Temps'!E$5:E$104,C82,'10-Compteurs Temps'!F$5:F$104,D82,'10-Compteurs Temps'!G$5:G$104,E82),0))</f>
        <v/>
      </c>
      <c r="H82" s="23">
        <f>IF(C82="","",IFERROR(SUMIFS('10-Compteurs Temps'!I$5:I$104,'10-Compteurs Temps'!E$5:E$104,C82,'10-Compteurs Temps'!F$5:F$104,D82,'10-Compteurs Temps'!G$5:G$104,E82),0))</f>
        <v/>
      </c>
      <c r="I82" s="17">
        <f>IF(C82="","",IFERROR(SUMIFS('10-Compteurs Temps'!J$5:J$104,'10-Compteurs Temps'!E$5:E$104,C82,'10-Compteurs Temps'!F$5:F$104,D82,'10-Compteurs Temps'!G$5:G$104,E82),0))</f>
        <v/>
      </c>
      <c r="J82" s="17">
        <f>IF(C82="","",IFERROR(SUMIFS('10-Compteurs Temps'!K$5:K$104,'10-Compteurs Temps'!E$5:E$104,C82,'10-Compteurs Temps'!F$5:F$104,D82,'10-Compteurs Temps'!G$5:G$104,E82),0))</f>
        <v/>
      </c>
      <c r="K82" s="17">
        <f>IF(C82="","",IFERROR(SUMIFS('9-Heures WE &amp; Feries'!I$5:I$104,'9-Heures WE &amp; Feries'!E$5:E$104,C82),0))</f>
        <v/>
      </c>
      <c r="L82" s="16">
        <f>IF(C82="","",IFERROR(SUMIFS('10-Compteurs Temps'!L$5:L$104,'10-Compteurs Temps'!E$5:E$104,C82,'10-Compteurs Temps'!F$5:F$104,D82,'10-Compteurs Temps'!G$5:G$104,E82)/8,0))</f>
        <v/>
      </c>
      <c r="M82" s="16" t="n"/>
      <c r="N82" s="30">
        <f>IF(OR(C82="",G82=0,G82=""),"",IFERROR(H82/G82,0))</f>
        <v/>
      </c>
      <c r="O82" s="17">
        <f>IF(C82="","",IFERROR(H82-G82,0))</f>
        <v/>
      </c>
      <c r="P82" s="23">
        <f>IF(C82="","",IFERROR(SUMIFS('7-Heures Supplementaires'!M$5:M$104,'7-Heures Supplementaires'!E$5:E$104,C82),0))</f>
        <v/>
      </c>
      <c r="Q82" s="15" t="n"/>
    </row>
    <row r="83" ht="22" customHeight="1">
      <c r="B83" s="19">
        <f>IF(C83="","BMT-"&amp;TEXT(COUNTA($C$5:C83),"000"))</f>
        <v/>
      </c>
      <c r="C83" s="12" t="n"/>
      <c r="D83" s="12" t="n"/>
      <c r="E83" s="12" t="n"/>
      <c r="F83" s="13">
        <f>IF(C83="","",IFERROR(COUNTIFS('10-Compteurs Temps'!E$5:E$104,C83,'10-Compteurs Temps'!F$5:F$104,D83,'10-Compteurs Temps'!G$5:G$104,E83),0))</f>
        <v/>
      </c>
      <c r="G83" s="21">
        <f>IF(C83="","",IFERROR(SUMIFS('10-Compteurs Temps'!H$5:H$104,'10-Compteurs Temps'!E$5:E$104,C83,'10-Compteurs Temps'!F$5:F$104,D83,'10-Compteurs Temps'!G$5:G$104,E83),0))</f>
        <v/>
      </c>
      <c r="H83" s="21">
        <f>IF(C83="","",IFERROR(SUMIFS('10-Compteurs Temps'!I$5:I$104,'10-Compteurs Temps'!E$5:E$104,C83,'10-Compteurs Temps'!F$5:F$104,D83,'10-Compteurs Temps'!G$5:G$104,E83),0))</f>
        <v/>
      </c>
      <c r="I83" s="14">
        <f>IF(C83="","",IFERROR(SUMIFS('10-Compteurs Temps'!J$5:J$104,'10-Compteurs Temps'!E$5:E$104,C83,'10-Compteurs Temps'!F$5:F$104,D83,'10-Compteurs Temps'!G$5:G$104,E83),0))</f>
        <v/>
      </c>
      <c r="J83" s="14">
        <f>IF(C83="","",IFERROR(SUMIFS('10-Compteurs Temps'!K$5:K$104,'10-Compteurs Temps'!E$5:E$104,C83,'10-Compteurs Temps'!F$5:F$104,D83,'10-Compteurs Temps'!G$5:G$104,E83),0))</f>
        <v/>
      </c>
      <c r="K83" s="14">
        <f>IF(C83="","",IFERROR(SUMIFS('9-Heures WE &amp; Feries'!I$5:I$104,'9-Heures WE &amp; Feries'!E$5:E$104,C83),0))</f>
        <v/>
      </c>
      <c r="L83" s="13">
        <f>IF(C83="","",IFERROR(SUMIFS('10-Compteurs Temps'!L$5:L$104,'10-Compteurs Temps'!E$5:E$104,C83,'10-Compteurs Temps'!F$5:F$104,D83,'10-Compteurs Temps'!G$5:G$104,E83)/8,0))</f>
        <v/>
      </c>
      <c r="M83" s="13" t="n"/>
      <c r="N83" s="29">
        <f>IF(OR(C83="",G83=0,G83=""),"",IFERROR(H83/G83,0))</f>
        <v/>
      </c>
      <c r="O83" s="14">
        <f>IF(C83="","",IFERROR(H83-G83,0))</f>
        <v/>
      </c>
      <c r="P83" s="21">
        <f>IF(C83="","",IFERROR(SUMIFS('7-Heures Supplementaires'!M$5:M$104,'7-Heures Supplementaires'!E$5:E$104,C83),0))</f>
        <v/>
      </c>
      <c r="Q83" s="12" t="n"/>
    </row>
    <row r="84" ht="22" customHeight="1">
      <c r="B84" s="18">
        <f>IF(C84="","BMT-"&amp;TEXT(COUNTA($C$5:C84),"000"))</f>
        <v/>
      </c>
      <c r="C84" s="15" t="n"/>
      <c r="D84" s="15" t="n"/>
      <c r="E84" s="15" t="n"/>
      <c r="F84" s="16">
        <f>IF(C84="","",IFERROR(COUNTIFS('10-Compteurs Temps'!E$5:E$104,C84,'10-Compteurs Temps'!F$5:F$104,D84,'10-Compteurs Temps'!G$5:G$104,E84),0))</f>
        <v/>
      </c>
      <c r="G84" s="23">
        <f>IF(C84="","",IFERROR(SUMIFS('10-Compteurs Temps'!H$5:H$104,'10-Compteurs Temps'!E$5:E$104,C84,'10-Compteurs Temps'!F$5:F$104,D84,'10-Compteurs Temps'!G$5:G$104,E84),0))</f>
        <v/>
      </c>
      <c r="H84" s="23">
        <f>IF(C84="","",IFERROR(SUMIFS('10-Compteurs Temps'!I$5:I$104,'10-Compteurs Temps'!E$5:E$104,C84,'10-Compteurs Temps'!F$5:F$104,D84,'10-Compteurs Temps'!G$5:G$104,E84),0))</f>
        <v/>
      </c>
      <c r="I84" s="17">
        <f>IF(C84="","",IFERROR(SUMIFS('10-Compteurs Temps'!J$5:J$104,'10-Compteurs Temps'!E$5:E$104,C84,'10-Compteurs Temps'!F$5:F$104,D84,'10-Compteurs Temps'!G$5:G$104,E84),0))</f>
        <v/>
      </c>
      <c r="J84" s="17">
        <f>IF(C84="","",IFERROR(SUMIFS('10-Compteurs Temps'!K$5:K$104,'10-Compteurs Temps'!E$5:E$104,C84,'10-Compteurs Temps'!F$5:F$104,D84,'10-Compteurs Temps'!G$5:G$104,E84),0))</f>
        <v/>
      </c>
      <c r="K84" s="17">
        <f>IF(C84="","",IFERROR(SUMIFS('9-Heures WE &amp; Feries'!I$5:I$104,'9-Heures WE &amp; Feries'!E$5:E$104,C84),0))</f>
        <v/>
      </c>
      <c r="L84" s="16">
        <f>IF(C84="","",IFERROR(SUMIFS('10-Compteurs Temps'!L$5:L$104,'10-Compteurs Temps'!E$5:E$104,C84,'10-Compteurs Temps'!F$5:F$104,D84,'10-Compteurs Temps'!G$5:G$104,E84)/8,0))</f>
        <v/>
      </c>
      <c r="M84" s="16" t="n"/>
      <c r="N84" s="30">
        <f>IF(OR(C84="",G84=0,G84=""),"",IFERROR(H84/G84,0))</f>
        <v/>
      </c>
      <c r="O84" s="17">
        <f>IF(C84="","",IFERROR(H84-G84,0))</f>
        <v/>
      </c>
      <c r="P84" s="23">
        <f>IF(C84="","",IFERROR(SUMIFS('7-Heures Supplementaires'!M$5:M$104,'7-Heures Supplementaires'!E$5:E$104,C84),0))</f>
        <v/>
      </c>
      <c r="Q84" s="15" t="n"/>
    </row>
    <row r="85" ht="22" customHeight="1">
      <c r="B85" s="19">
        <f>IF(C85="","BMT-"&amp;TEXT(COUNTA($C$5:C85),"000"))</f>
        <v/>
      </c>
      <c r="C85" s="12" t="n"/>
      <c r="D85" s="12" t="n"/>
      <c r="E85" s="12" t="n"/>
      <c r="F85" s="13">
        <f>IF(C85="","",IFERROR(COUNTIFS('10-Compteurs Temps'!E$5:E$104,C85,'10-Compteurs Temps'!F$5:F$104,D85,'10-Compteurs Temps'!G$5:G$104,E85),0))</f>
        <v/>
      </c>
      <c r="G85" s="21">
        <f>IF(C85="","",IFERROR(SUMIFS('10-Compteurs Temps'!H$5:H$104,'10-Compteurs Temps'!E$5:E$104,C85,'10-Compteurs Temps'!F$5:F$104,D85,'10-Compteurs Temps'!G$5:G$104,E85),0))</f>
        <v/>
      </c>
      <c r="H85" s="21">
        <f>IF(C85="","",IFERROR(SUMIFS('10-Compteurs Temps'!I$5:I$104,'10-Compteurs Temps'!E$5:E$104,C85,'10-Compteurs Temps'!F$5:F$104,D85,'10-Compteurs Temps'!G$5:G$104,E85),0))</f>
        <v/>
      </c>
      <c r="I85" s="14">
        <f>IF(C85="","",IFERROR(SUMIFS('10-Compteurs Temps'!J$5:J$104,'10-Compteurs Temps'!E$5:E$104,C85,'10-Compteurs Temps'!F$5:F$104,D85,'10-Compteurs Temps'!G$5:G$104,E85),0))</f>
        <v/>
      </c>
      <c r="J85" s="14">
        <f>IF(C85="","",IFERROR(SUMIFS('10-Compteurs Temps'!K$5:K$104,'10-Compteurs Temps'!E$5:E$104,C85,'10-Compteurs Temps'!F$5:F$104,D85,'10-Compteurs Temps'!G$5:G$104,E85),0))</f>
        <v/>
      </c>
      <c r="K85" s="14">
        <f>IF(C85="","",IFERROR(SUMIFS('9-Heures WE &amp; Feries'!I$5:I$104,'9-Heures WE &amp; Feries'!E$5:E$104,C85),0))</f>
        <v/>
      </c>
      <c r="L85" s="13">
        <f>IF(C85="","",IFERROR(SUMIFS('10-Compteurs Temps'!L$5:L$104,'10-Compteurs Temps'!E$5:E$104,C85,'10-Compteurs Temps'!F$5:F$104,D85,'10-Compteurs Temps'!G$5:G$104,E85)/8,0))</f>
        <v/>
      </c>
      <c r="M85" s="13" t="n"/>
      <c r="N85" s="29">
        <f>IF(OR(C85="",G85=0,G85=""),"",IFERROR(H85/G85,0))</f>
        <v/>
      </c>
      <c r="O85" s="14">
        <f>IF(C85="","",IFERROR(H85-G85,0))</f>
        <v/>
      </c>
      <c r="P85" s="21">
        <f>IF(C85="","",IFERROR(SUMIFS('7-Heures Supplementaires'!M$5:M$104,'7-Heures Supplementaires'!E$5:E$104,C85),0))</f>
        <v/>
      </c>
      <c r="Q85" s="12" t="n"/>
    </row>
    <row r="86" ht="22" customHeight="1">
      <c r="B86" s="18">
        <f>IF(C86="","BMT-"&amp;TEXT(COUNTA($C$5:C86),"000"))</f>
        <v/>
      </c>
      <c r="C86" s="15" t="n"/>
      <c r="D86" s="15" t="n"/>
      <c r="E86" s="15" t="n"/>
      <c r="F86" s="16">
        <f>IF(C86="","",IFERROR(COUNTIFS('10-Compteurs Temps'!E$5:E$104,C86,'10-Compteurs Temps'!F$5:F$104,D86,'10-Compteurs Temps'!G$5:G$104,E86),0))</f>
        <v/>
      </c>
      <c r="G86" s="23">
        <f>IF(C86="","",IFERROR(SUMIFS('10-Compteurs Temps'!H$5:H$104,'10-Compteurs Temps'!E$5:E$104,C86,'10-Compteurs Temps'!F$5:F$104,D86,'10-Compteurs Temps'!G$5:G$104,E86),0))</f>
        <v/>
      </c>
      <c r="H86" s="23">
        <f>IF(C86="","",IFERROR(SUMIFS('10-Compteurs Temps'!I$5:I$104,'10-Compteurs Temps'!E$5:E$104,C86,'10-Compteurs Temps'!F$5:F$104,D86,'10-Compteurs Temps'!G$5:G$104,E86),0))</f>
        <v/>
      </c>
      <c r="I86" s="17">
        <f>IF(C86="","",IFERROR(SUMIFS('10-Compteurs Temps'!J$5:J$104,'10-Compteurs Temps'!E$5:E$104,C86,'10-Compteurs Temps'!F$5:F$104,D86,'10-Compteurs Temps'!G$5:G$104,E86),0))</f>
        <v/>
      </c>
      <c r="J86" s="17">
        <f>IF(C86="","",IFERROR(SUMIFS('10-Compteurs Temps'!K$5:K$104,'10-Compteurs Temps'!E$5:E$104,C86,'10-Compteurs Temps'!F$5:F$104,D86,'10-Compteurs Temps'!G$5:G$104,E86),0))</f>
        <v/>
      </c>
      <c r="K86" s="17">
        <f>IF(C86="","",IFERROR(SUMIFS('9-Heures WE &amp; Feries'!I$5:I$104,'9-Heures WE &amp; Feries'!E$5:E$104,C86),0))</f>
        <v/>
      </c>
      <c r="L86" s="16">
        <f>IF(C86="","",IFERROR(SUMIFS('10-Compteurs Temps'!L$5:L$104,'10-Compteurs Temps'!E$5:E$104,C86,'10-Compteurs Temps'!F$5:F$104,D86,'10-Compteurs Temps'!G$5:G$104,E86)/8,0))</f>
        <v/>
      </c>
      <c r="M86" s="16" t="n"/>
      <c r="N86" s="30">
        <f>IF(OR(C86="",G86=0,G86=""),"",IFERROR(H86/G86,0))</f>
        <v/>
      </c>
      <c r="O86" s="17">
        <f>IF(C86="","",IFERROR(H86-G86,0))</f>
        <v/>
      </c>
      <c r="P86" s="23">
        <f>IF(C86="","",IFERROR(SUMIFS('7-Heures Supplementaires'!M$5:M$104,'7-Heures Supplementaires'!E$5:E$104,C86),0))</f>
        <v/>
      </c>
      <c r="Q86" s="15" t="n"/>
    </row>
    <row r="87" ht="22" customHeight="1">
      <c r="B87" s="19">
        <f>IF(C87="","BMT-"&amp;TEXT(COUNTA($C$5:C87),"000"))</f>
        <v/>
      </c>
      <c r="C87" s="12" t="n"/>
      <c r="D87" s="12" t="n"/>
      <c r="E87" s="12" t="n"/>
      <c r="F87" s="13">
        <f>IF(C87="","",IFERROR(COUNTIFS('10-Compteurs Temps'!E$5:E$104,C87,'10-Compteurs Temps'!F$5:F$104,D87,'10-Compteurs Temps'!G$5:G$104,E87),0))</f>
        <v/>
      </c>
      <c r="G87" s="21">
        <f>IF(C87="","",IFERROR(SUMIFS('10-Compteurs Temps'!H$5:H$104,'10-Compteurs Temps'!E$5:E$104,C87,'10-Compteurs Temps'!F$5:F$104,D87,'10-Compteurs Temps'!G$5:G$104,E87),0))</f>
        <v/>
      </c>
      <c r="H87" s="21">
        <f>IF(C87="","",IFERROR(SUMIFS('10-Compteurs Temps'!I$5:I$104,'10-Compteurs Temps'!E$5:E$104,C87,'10-Compteurs Temps'!F$5:F$104,D87,'10-Compteurs Temps'!G$5:G$104,E87),0))</f>
        <v/>
      </c>
      <c r="I87" s="14">
        <f>IF(C87="","",IFERROR(SUMIFS('10-Compteurs Temps'!J$5:J$104,'10-Compteurs Temps'!E$5:E$104,C87,'10-Compteurs Temps'!F$5:F$104,D87,'10-Compteurs Temps'!G$5:G$104,E87),0))</f>
        <v/>
      </c>
      <c r="J87" s="14">
        <f>IF(C87="","",IFERROR(SUMIFS('10-Compteurs Temps'!K$5:K$104,'10-Compteurs Temps'!E$5:E$104,C87,'10-Compteurs Temps'!F$5:F$104,D87,'10-Compteurs Temps'!G$5:G$104,E87),0))</f>
        <v/>
      </c>
      <c r="K87" s="14">
        <f>IF(C87="","",IFERROR(SUMIFS('9-Heures WE &amp; Feries'!I$5:I$104,'9-Heures WE &amp; Feries'!E$5:E$104,C87),0))</f>
        <v/>
      </c>
      <c r="L87" s="13">
        <f>IF(C87="","",IFERROR(SUMIFS('10-Compteurs Temps'!L$5:L$104,'10-Compteurs Temps'!E$5:E$104,C87,'10-Compteurs Temps'!F$5:F$104,D87,'10-Compteurs Temps'!G$5:G$104,E87)/8,0))</f>
        <v/>
      </c>
      <c r="M87" s="13" t="n"/>
      <c r="N87" s="29">
        <f>IF(OR(C87="",G87=0,G87=""),"",IFERROR(H87/G87,0))</f>
        <v/>
      </c>
      <c r="O87" s="14">
        <f>IF(C87="","",IFERROR(H87-G87,0))</f>
        <v/>
      </c>
      <c r="P87" s="21">
        <f>IF(C87="","",IFERROR(SUMIFS('7-Heures Supplementaires'!M$5:M$104,'7-Heures Supplementaires'!E$5:E$104,C87),0))</f>
        <v/>
      </c>
      <c r="Q87" s="12" t="n"/>
    </row>
    <row r="88" ht="22" customHeight="1">
      <c r="B88" s="18">
        <f>IF(C88="","BMT-"&amp;TEXT(COUNTA($C$5:C88),"000"))</f>
        <v/>
      </c>
      <c r="C88" s="15" t="n"/>
      <c r="D88" s="15" t="n"/>
      <c r="E88" s="15" t="n"/>
      <c r="F88" s="16">
        <f>IF(C88="","",IFERROR(COUNTIFS('10-Compteurs Temps'!E$5:E$104,C88,'10-Compteurs Temps'!F$5:F$104,D88,'10-Compteurs Temps'!G$5:G$104,E88),0))</f>
        <v/>
      </c>
      <c r="G88" s="23">
        <f>IF(C88="","",IFERROR(SUMIFS('10-Compteurs Temps'!H$5:H$104,'10-Compteurs Temps'!E$5:E$104,C88,'10-Compteurs Temps'!F$5:F$104,D88,'10-Compteurs Temps'!G$5:G$104,E88),0))</f>
        <v/>
      </c>
      <c r="H88" s="23">
        <f>IF(C88="","",IFERROR(SUMIFS('10-Compteurs Temps'!I$5:I$104,'10-Compteurs Temps'!E$5:E$104,C88,'10-Compteurs Temps'!F$5:F$104,D88,'10-Compteurs Temps'!G$5:G$104,E88),0))</f>
        <v/>
      </c>
      <c r="I88" s="17">
        <f>IF(C88="","",IFERROR(SUMIFS('10-Compteurs Temps'!J$5:J$104,'10-Compteurs Temps'!E$5:E$104,C88,'10-Compteurs Temps'!F$5:F$104,D88,'10-Compteurs Temps'!G$5:G$104,E88),0))</f>
        <v/>
      </c>
      <c r="J88" s="17">
        <f>IF(C88="","",IFERROR(SUMIFS('10-Compteurs Temps'!K$5:K$104,'10-Compteurs Temps'!E$5:E$104,C88,'10-Compteurs Temps'!F$5:F$104,D88,'10-Compteurs Temps'!G$5:G$104,E88),0))</f>
        <v/>
      </c>
      <c r="K88" s="17">
        <f>IF(C88="","",IFERROR(SUMIFS('9-Heures WE &amp; Feries'!I$5:I$104,'9-Heures WE &amp; Feries'!E$5:E$104,C88),0))</f>
        <v/>
      </c>
      <c r="L88" s="16">
        <f>IF(C88="","",IFERROR(SUMIFS('10-Compteurs Temps'!L$5:L$104,'10-Compteurs Temps'!E$5:E$104,C88,'10-Compteurs Temps'!F$5:F$104,D88,'10-Compteurs Temps'!G$5:G$104,E88)/8,0))</f>
        <v/>
      </c>
      <c r="M88" s="16" t="n"/>
      <c r="N88" s="30">
        <f>IF(OR(C88="",G88=0,G88=""),"",IFERROR(H88/G88,0))</f>
        <v/>
      </c>
      <c r="O88" s="17">
        <f>IF(C88="","",IFERROR(H88-G88,0))</f>
        <v/>
      </c>
      <c r="P88" s="23">
        <f>IF(C88="","",IFERROR(SUMIFS('7-Heures Supplementaires'!M$5:M$104,'7-Heures Supplementaires'!E$5:E$104,C88),0))</f>
        <v/>
      </c>
      <c r="Q88" s="15" t="n"/>
    </row>
    <row r="89" ht="22" customHeight="1">
      <c r="B89" s="19">
        <f>IF(C89="","BMT-"&amp;TEXT(COUNTA($C$5:C89),"000"))</f>
        <v/>
      </c>
      <c r="C89" s="12" t="n"/>
      <c r="D89" s="12" t="n"/>
      <c r="E89" s="12" t="n"/>
      <c r="F89" s="13">
        <f>IF(C89="","",IFERROR(COUNTIFS('10-Compteurs Temps'!E$5:E$104,C89,'10-Compteurs Temps'!F$5:F$104,D89,'10-Compteurs Temps'!G$5:G$104,E89),0))</f>
        <v/>
      </c>
      <c r="G89" s="21">
        <f>IF(C89="","",IFERROR(SUMIFS('10-Compteurs Temps'!H$5:H$104,'10-Compteurs Temps'!E$5:E$104,C89,'10-Compteurs Temps'!F$5:F$104,D89,'10-Compteurs Temps'!G$5:G$104,E89),0))</f>
        <v/>
      </c>
      <c r="H89" s="21">
        <f>IF(C89="","",IFERROR(SUMIFS('10-Compteurs Temps'!I$5:I$104,'10-Compteurs Temps'!E$5:E$104,C89,'10-Compteurs Temps'!F$5:F$104,D89,'10-Compteurs Temps'!G$5:G$104,E89),0))</f>
        <v/>
      </c>
      <c r="I89" s="14">
        <f>IF(C89="","",IFERROR(SUMIFS('10-Compteurs Temps'!J$5:J$104,'10-Compteurs Temps'!E$5:E$104,C89,'10-Compteurs Temps'!F$5:F$104,D89,'10-Compteurs Temps'!G$5:G$104,E89),0))</f>
        <v/>
      </c>
      <c r="J89" s="14">
        <f>IF(C89="","",IFERROR(SUMIFS('10-Compteurs Temps'!K$5:K$104,'10-Compteurs Temps'!E$5:E$104,C89,'10-Compteurs Temps'!F$5:F$104,D89,'10-Compteurs Temps'!G$5:G$104,E89),0))</f>
        <v/>
      </c>
      <c r="K89" s="14">
        <f>IF(C89="","",IFERROR(SUMIFS('9-Heures WE &amp; Feries'!I$5:I$104,'9-Heures WE &amp; Feries'!E$5:E$104,C89),0))</f>
        <v/>
      </c>
      <c r="L89" s="13">
        <f>IF(C89="","",IFERROR(SUMIFS('10-Compteurs Temps'!L$5:L$104,'10-Compteurs Temps'!E$5:E$104,C89,'10-Compteurs Temps'!F$5:F$104,D89,'10-Compteurs Temps'!G$5:G$104,E89)/8,0))</f>
        <v/>
      </c>
      <c r="M89" s="13" t="n"/>
      <c r="N89" s="29">
        <f>IF(OR(C89="",G89=0,G89=""),"",IFERROR(H89/G89,0))</f>
        <v/>
      </c>
      <c r="O89" s="14">
        <f>IF(C89="","",IFERROR(H89-G89,0))</f>
        <v/>
      </c>
      <c r="P89" s="21">
        <f>IF(C89="","",IFERROR(SUMIFS('7-Heures Supplementaires'!M$5:M$104,'7-Heures Supplementaires'!E$5:E$104,C89),0))</f>
        <v/>
      </c>
      <c r="Q89" s="12" t="n"/>
    </row>
    <row r="90" ht="22" customHeight="1">
      <c r="B90" s="18">
        <f>IF(C90="","BMT-"&amp;TEXT(COUNTA($C$5:C90),"000"))</f>
        <v/>
      </c>
      <c r="C90" s="15" t="n"/>
      <c r="D90" s="15" t="n"/>
      <c r="E90" s="15" t="n"/>
      <c r="F90" s="16">
        <f>IF(C90="","",IFERROR(COUNTIFS('10-Compteurs Temps'!E$5:E$104,C90,'10-Compteurs Temps'!F$5:F$104,D90,'10-Compteurs Temps'!G$5:G$104,E90),0))</f>
        <v/>
      </c>
      <c r="G90" s="23">
        <f>IF(C90="","",IFERROR(SUMIFS('10-Compteurs Temps'!H$5:H$104,'10-Compteurs Temps'!E$5:E$104,C90,'10-Compteurs Temps'!F$5:F$104,D90,'10-Compteurs Temps'!G$5:G$104,E90),0))</f>
        <v/>
      </c>
      <c r="H90" s="23">
        <f>IF(C90="","",IFERROR(SUMIFS('10-Compteurs Temps'!I$5:I$104,'10-Compteurs Temps'!E$5:E$104,C90,'10-Compteurs Temps'!F$5:F$104,D90,'10-Compteurs Temps'!G$5:G$104,E90),0))</f>
        <v/>
      </c>
      <c r="I90" s="17">
        <f>IF(C90="","",IFERROR(SUMIFS('10-Compteurs Temps'!J$5:J$104,'10-Compteurs Temps'!E$5:E$104,C90,'10-Compteurs Temps'!F$5:F$104,D90,'10-Compteurs Temps'!G$5:G$104,E90),0))</f>
        <v/>
      </c>
      <c r="J90" s="17">
        <f>IF(C90="","",IFERROR(SUMIFS('10-Compteurs Temps'!K$5:K$104,'10-Compteurs Temps'!E$5:E$104,C90,'10-Compteurs Temps'!F$5:F$104,D90,'10-Compteurs Temps'!G$5:G$104,E90),0))</f>
        <v/>
      </c>
      <c r="K90" s="17">
        <f>IF(C90="","",IFERROR(SUMIFS('9-Heures WE &amp; Feries'!I$5:I$104,'9-Heures WE &amp; Feries'!E$5:E$104,C90),0))</f>
        <v/>
      </c>
      <c r="L90" s="16">
        <f>IF(C90="","",IFERROR(SUMIFS('10-Compteurs Temps'!L$5:L$104,'10-Compteurs Temps'!E$5:E$104,C90,'10-Compteurs Temps'!F$5:F$104,D90,'10-Compteurs Temps'!G$5:G$104,E90)/8,0))</f>
        <v/>
      </c>
      <c r="M90" s="16" t="n"/>
      <c r="N90" s="30">
        <f>IF(OR(C90="",G90=0,G90=""),"",IFERROR(H90/G90,0))</f>
        <v/>
      </c>
      <c r="O90" s="17">
        <f>IF(C90="","",IFERROR(H90-G90,0))</f>
        <v/>
      </c>
      <c r="P90" s="23">
        <f>IF(C90="","",IFERROR(SUMIFS('7-Heures Supplementaires'!M$5:M$104,'7-Heures Supplementaires'!E$5:E$104,C90),0))</f>
        <v/>
      </c>
      <c r="Q90" s="15" t="n"/>
    </row>
    <row r="91" ht="22" customHeight="1">
      <c r="B91" s="19">
        <f>IF(C91="","BMT-"&amp;TEXT(COUNTA($C$5:C91),"000"))</f>
        <v/>
      </c>
      <c r="C91" s="12" t="n"/>
      <c r="D91" s="12" t="n"/>
      <c r="E91" s="12" t="n"/>
      <c r="F91" s="13">
        <f>IF(C91="","",IFERROR(COUNTIFS('10-Compteurs Temps'!E$5:E$104,C91,'10-Compteurs Temps'!F$5:F$104,D91,'10-Compteurs Temps'!G$5:G$104,E91),0))</f>
        <v/>
      </c>
      <c r="G91" s="21">
        <f>IF(C91="","",IFERROR(SUMIFS('10-Compteurs Temps'!H$5:H$104,'10-Compteurs Temps'!E$5:E$104,C91,'10-Compteurs Temps'!F$5:F$104,D91,'10-Compteurs Temps'!G$5:G$104,E91),0))</f>
        <v/>
      </c>
      <c r="H91" s="21">
        <f>IF(C91="","",IFERROR(SUMIFS('10-Compteurs Temps'!I$5:I$104,'10-Compteurs Temps'!E$5:E$104,C91,'10-Compteurs Temps'!F$5:F$104,D91,'10-Compteurs Temps'!G$5:G$104,E91),0))</f>
        <v/>
      </c>
      <c r="I91" s="14">
        <f>IF(C91="","",IFERROR(SUMIFS('10-Compteurs Temps'!J$5:J$104,'10-Compteurs Temps'!E$5:E$104,C91,'10-Compteurs Temps'!F$5:F$104,D91,'10-Compteurs Temps'!G$5:G$104,E91),0))</f>
        <v/>
      </c>
      <c r="J91" s="14">
        <f>IF(C91="","",IFERROR(SUMIFS('10-Compteurs Temps'!K$5:K$104,'10-Compteurs Temps'!E$5:E$104,C91,'10-Compteurs Temps'!F$5:F$104,D91,'10-Compteurs Temps'!G$5:G$104,E91),0))</f>
        <v/>
      </c>
      <c r="K91" s="14">
        <f>IF(C91="","",IFERROR(SUMIFS('9-Heures WE &amp; Feries'!I$5:I$104,'9-Heures WE &amp; Feries'!E$5:E$104,C91),0))</f>
        <v/>
      </c>
      <c r="L91" s="13">
        <f>IF(C91="","",IFERROR(SUMIFS('10-Compteurs Temps'!L$5:L$104,'10-Compteurs Temps'!E$5:E$104,C91,'10-Compteurs Temps'!F$5:F$104,D91,'10-Compteurs Temps'!G$5:G$104,E91)/8,0))</f>
        <v/>
      </c>
      <c r="M91" s="13" t="n"/>
      <c r="N91" s="29">
        <f>IF(OR(C91="",G91=0,G91=""),"",IFERROR(H91/G91,0))</f>
        <v/>
      </c>
      <c r="O91" s="14">
        <f>IF(C91="","",IFERROR(H91-G91,0))</f>
        <v/>
      </c>
      <c r="P91" s="21">
        <f>IF(C91="","",IFERROR(SUMIFS('7-Heures Supplementaires'!M$5:M$104,'7-Heures Supplementaires'!E$5:E$104,C91),0))</f>
        <v/>
      </c>
      <c r="Q91" s="12" t="n"/>
    </row>
    <row r="92" ht="22" customHeight="1">
      <c r="B92" s="18">
        <f>IF(C92="","BMT-"&amp;TEXT(COUNTA($C$5:C92),"000"))</f>
        <v/>
      </c>
      <c r="C92" s="15" t="n"/>
      <c r="D92" s="15" t="n"/>
      <c r="E92" s="15" t="n"/>
      <c r="F92" s="16">
        <f>IF(C92="","",IFERROR(COUNTIFS('10-Compteurs Temps'!E$5:E$104,C92,'10-Compteurs Temps'!F$5:F$104,D92,'10-Compteurs Temps'!G$5:G$104,E92),0))</f>
        <v/>
      </c>
      <c r="G92" s="23">
        <f>IF(C92="","",IFERROR(SUMIFS('10-Compteurs Temps'!H$5:H$104,'10-Compteurs Temps'!E$5:E$104,C92,'10-Compteurs Temps'!F$5:F$104,D92,'10-Compteurs Temps'!G$5:G$104,E92),0))</f>
        <v/>
      </c>
      <c r="H92" s="23">
        <f>IF(C92="","",IFERROR(SUMIFS('10-Compteurs Temps'!I$5:I$104,'10-Compteurs Temps'!E$5:E$104,C92,'10-Compteurs Temps'!F$5:F$104,D92,'10-Compteurs Temps'!G$5:G$104,E92),0))</f>
        <v/>
      </c>
      <c r="I92" s="17">
        <f>IF(C92="","",IFERROR(SUMIFS('10-Compteurs Temps'!J$5:J$104,'10-Compteurs Temps'!E$5:E$104,C92,'10-Compteurs Temps'!F$5:F$104,D92,'10-Compteurs Temps'!G$5:G$104,E92),0))</f>
        <v/>
      </c>
      <c r="J92" s="17">
        <f>IF(C92="","",IFERROR(SUMIFS('10-Compteurs Temps'!K$5:K$104,'10-Compteurs Temps'!E$5:E$104,C92,'10-Compteurs Temps'!F$5:F$104,D92,'10-Compteurs Temps'!G$5:G$104,E92),0))</f>
        <v/>
      </c>
      <c r="K92" s="17">
        <f>IF(C92="","",IFERROR(SUMIFS('9-Heures WE &amp; Feries'!I$5:I$104,'9-Heures WE &amp; Feries'!E$5:E$104,C92),0))</f>
        <v/>
      </c>
      <c r="L92" s="16">
        <f>IF(C92="","",IFERROR(SUMIFS('10-Compteurs Temps'!L$5:L$104,'10-Compteurs Temps'!E$5:E$104,C92,'10-Compteurs Temps'!F$5:F$104,D92,'10-Compteurs Temps'!G$5:G$104,E92)/8,0))</f>
        <v/>
      </c>
      <c r="M92" s="16" t="n"/>
      <c r="N92" s="30">
        <f>IF(OR(C92="",G92=0,G92=""),"",IFERROR(H92/G92,0))</f>
        <v/>
      </c>
      <c r="O92" s="17">
        <f>IF(C92="","",IFERROR(H92-G92,0))</f>
        <v/>
      </c>
      <c r="P92" s="23">
        <f>IF(C92="","",IFERROR(SUMIFS('7-Heures Supplementaires'!M$5:M$104,'7-Heures Supplementaires'!E$5:E$104,C92),0))</f>
        <v/>
      </c>
      <c r="Q92" s="15" t="n"/>
    </row>
    <row r="93" ht="22" customHeight="1">
      <c r="B93" s="19">
        <f>IF(C93="","BMT-"&amp;TEXT(COUNTA($C$5:C93),"000"))</f>
        <v/>
      </c>
      <c r="C93" s="12" t="n"/>
      <c r="D93" s="12" t="n"/>
      <c r="E93" s="12" t="n"/>
      <c r="F93" s="13">
        <f>IF(C93="","",IFERROR(COUNTIFS('10-Compteurs Temps'!E$5:E$104,C93,'10-Compteurs Temps'!F$5:F$104,D93,'10-Compteurs Temps'!G$5:G$104,E93),0))</f>
        <v/>
      </c>
      <c r="G93" s="21">
        <f>IF(C93="","",IFERROR(SUMIFS('10-Compteurs Temps'!H$5:H$104,'10-Compteurs Temps'!E$5:E$104,C93,'10-Compteurs Temps'!F$5:F$104,D93,'10-Compteurs Temps'!G$5:G$104,E93),0))</f>
        <v/>
      </c>
      <c r="H93" s="21">
        <f>IF(C93="","",IFERROR(SUMIFS('10-Compteurs Temps'!I$5:I$104,'10-Compteurs Temps'!E$5:E$104,C93,'10-Compteurs Temps'!F$5:F$104,D93,'10-Compteurs Temps'!G$5:G$104,E93),0))</f>
        <v/>
      </c>
      <c r="I93" s="14">
        <f>IF(C93="","",IFERROR(SUMIFS('10-Compteurs Temps'!J$5:J$104,'10-Compteurs Temps'!E$5:E$104,C93,'10-Compteurs Temps'!F$5:F$104,D93,'10-Compteurs Temps'!G$5:G$104,E93),0))</f>
        <v/>
      </c>
      <c r="J93" s="14">
        <f>IF(C93="","",IFERROR(SUMIFS('10-Compteurs Temps'!K$5:K$104,'10-Compteurs Temps'!E$5:E$104,C93,'10-Compteurs Temps'!F$5:F$104,D93,'10-Compteurs Temps'!G$5:G$104,E93),0))</f>
        <v/>
      </c>
      <c r="K93" s="14">
        <f>IF(C93="","",IFERROR(SUMIFS('9-Heures WE &amp; Feries'!I$5:I$104,'9-Heures WE &amp; Feries'!E$5:E$104,C93),0))</f>
        <v/>
      </c>
      <c r="L93" s="13">
        <f>IF(C93="","",IFERROR(SUMIFS('10-Compteurs Temps'!L$5:L$104,'10-Compteurs Temps'!E$5:E$104,C93,'10-Compteurs Temps'!F$5:F$104,D93,'10-Compteurs Temps'!G$5:G$104,E93)/8,0))</f>
        <v/>
      </c>
      <c r="M93" s="13" t="n"/>
      <c r="N93" s="29">
        <f>IF(OR(C93="",G93=0,G93=""),"",IFERROR(H93/G93,0))</f>
        <v/>
      </c>
      <c r="O93" s="14">
        <f>IF(C93="","",IFERROR(H93-G93,0))</f>
        <v/>
      </c>
      <c r="P93" s="21">
        <f>IF(C93="","",IFERROR(SUMIFS('7-Heures Supplementaires'!M$5:M$104,'7-Heures Supplementaires'!E$5:E$104,C93),0))</f>
        <v/>
      </c>
      <c r="Q93" s="12" t="n"/>
    </row>
    <row r="94" ht="22" customHeight="1">
      <c r="B94" s="18">
        <f>IF(C94="","BMT-"&amp;TEXT(COUNTA($C$5:C94),"000"))</f>
        <v/>
      </c>
      <c r="C94" s="15" t="n"/>
      <c r="D94" s="15" t="n"/>
      <c r="E94" s="15" t="n"/>
      <c r="F94" s="16">
        <f>IF(C94="","",IFERROR(COUNTIFS('10-Compteurs Temps'!E$5:E$104,C94,'10-Compteurs Temps'!F$5:F$104,D94,'10-Compteurs Temps'!G$5:G$104,E94),0))</f>
        <v/>
      </c>
      <c r="G94" s="23">
        <f>IF(C94="","",IFERROR(SUMIFS('10-Compteurs Temps'!H$5:H$104,'10-Compteurs Temps'!E$5:E$104,C94,'10-Compteurs Temps'!F$5:F$104,D94,'10-Compteurs Temps'!G$5:G$104,E94),0))</f>
        <v/>
      </c>
      <c r="H94" s="23">
        <f>IF(C94="","",IFERROR(SUMIFS('10-Compteurs Temps'!I$5:I$104,'10-Compteurs Temps'!E$5:E$104,C94,'10-Compteurs Temps'!F$5:F$104,D94,'10-Compteurs Temps'!G$5:G$104,E94),0))</f>
        <v/>
      </c>
      <c r="I94" s="17">
        <f>IF(C94="","",IFERROR(SUMIFS('10-Compteurs Temps'!J$5:J$104,'10-Compteurs Temps'!E$5:E$104,C94,'10-Compteurs Temps'!F$5:F$104,D94,'10-Compteurs Temps'!G$5:G$104,E94),0))</f>
        <v/>
      </c>
      <c r="J94" s="17">
        <f>IF(C94="","",IFERROR(SUMIFS('10-Compteurs Temps'!K$5:K$104,'10-Compteurs Temps'!E$5:E$104,C94,'10-Compteurs Temps'!F$5:F$104,D94,'10-Compteurs Temps'!G$5:G$104,E94),0))</f>
        <v/>
      </c>
      <c r="K94" s="17">
        <f>IF(C94="","",IFERROR(SUMIFS('9-Heures WE &amp; Feries'!I$5:I$104,'9-Heures WE &amp; Feries'!E$5:E$104,C94),0))</f>
        <v/>
      </c>
      <c r="L94" s="16">
        <f>IF(C94="","",IFERROR(SUMIFS('10-Compteurs Temps'!L$5:L$104,'10-Compteurs Temps'!E$5:E$104,C94,'10-Compteurs Temps'!F$5:F$104,D94,'10-Compteurs Temps'!G$5:G$104,E94)/8,0))</f>
        <v/>
      </c>
      <c r="M94" s="16" t="n"/>
      <c r="N94" s="30">
        <f>IF(OR(C94="",G94=0,G94=""),"",IFERROR(H94/G94,0))</f>
        <v/>
      </c>
      <c r="O94" s="17">
        <f>IF(C94="","",IFERROR(H94-G94,0))</f>
        <v/>
      </c>
      <c r="P94" s="23">
        <f>IF(C94="","",IFERROR(SUMIFS('7-Heures Supplementaires'!M$5:M$104,'7-Heures Supplementaires'!E$5:E$104,C94),0))</f>
        <v/>
      </c>
      <c r="Q94" s="15" t="n"/>
    </row>
    <row r="95" ht="22" customHeight="1">
      <c r="B95" s="19">
        <f>IF(C95="","BMT-"&amp;TEXT(COUNTA($C$5:C95),"000"))</f>
        <v/>
      </c>
      <c r="C95" s="12" t="n"/>
      <c r="D95" s="12" t="n"/>
      <c r="E95" s="12" t="n"/>
      <c r="F95" s="13">
        <f>IF(C95="","",IFERROR(COUNTIFS('10-Compteurs Temps'!E$5:E$104,C95,'10-Compteurs Temps'!F$5:F$104,D95,'10-Compteurs Temps'!G$5:G$104,E95),0))</f>
        <v/>
      </c>
      <c r="G95" s="21">
        <f>IF(C95="","",IFERROR(SUMIFS('10-Compteurs Temps'!H$5:H$104,'10-Compteurs Temps'!E$5:E$104,C95,'10-Compteurs Temps'!F$5:F$104,D95,'10-Compteurs Temps'!G$5:G$104,E95),0))</f>
        <v/>
      </c>
      <c r="H95" s="21">
        <f>IF(C95="","",IFERROR(SUMIFS('10-Compteurs Temps'!I$5:I$104,'10-Compteurs Temps'!E$5:E$104,C95,'10-Compteurs Temps'!F$5:F$104,D95,'10-Compteurs Temps'!G$5:G$104,E95),0))</f>
        <v/>
      </c>
      <c r="I95" s="14">
        <f>IF(C95="","",IFERROR(SUMIFS('10-Compteurs Temps'!J$5:J$104,'10-Compteurs Temps'!E$5:E$104,C95,'10-Compteurs Temps'!F$5:F$104,D95,'10-Compteurs Temps'!G$5:G$104,E95),0))</f>
        <v/>
      </c>
      <c r="J95" s="14">
        <f>IF(C95="","",IFERROR(SUMIFS('10-Compteurs Temps'!K$5:K$104,'10-Compteurs Temps'!E$5:E$104,C95,'10-Compteurs Temps'!F$5:F$104,D95,'10-Compteurs Temps'!G$5:G$104,E95),0))</f>
        <v/>
      </c>
      <c r="K95" s="14">
        <f>IF(C95="","",IFERROR(SUMIFS('9-Heures WE &amp; Feries'!I$5:I$104,'9-Heures WE &amp; Feries'!E$5:E$104,C95),0))</f>
        <v/>
      </c>
      <c r="L95" s="13">
        <f>IF(C95="","",IFERROR(SUMIFS('10-Compteurs Temps'!L$5:L$104,'10-Compteurs Temps'!E$5:E$104,C95,'10-Compteurs Temps'!F$5:F$104,D95,'10-Compteurs Temps'!G$5:G$104,E95)/8,0))</f>
        <v/>
      </c>
      <c r="M95" s="13" t="n"/>
      <c r="N95" s="29">
        <f>IF(OR(C95="",G95=0,G95=""),"",IFERROR(H95/G95,0))</f>
        <v/>
      </c>
      <c r="O95" s="14">
        <f>IF(C95="","",IFERROR(H95-G95,0))</f>
        <v/>
      </c>
      <c r="P95" s="21">
        <f>IF(C95="","",IFERROR(SUMIFS('7-Heures Supplementaires'!M$5:M$104,'7-Heures Supplementaires'!E$5:E$104,C95),0))</f>
        <v/>
      </c>
      <c r="Q95" s="12" t="n"/>
    </row>
    <row r="96" ht="22" customHeight="1">
      <c r="B96" s="18">
        <f>IF(C96="","BMT-"&amp;TEXT(COUNTA($C$5:C96),"000"))</f>
        <v/>
      </c>
      <c r="C96" s="15" t="n"/>
      <c r="D96" s="15" t="n"/>
      <c r="E96" s="15" t="n"/>
      <c r="F96" s="16">
        <f>IF(C96="","",IFERROR(COUNTIFS('10-Compteurs Temps'!E$5:E$104,C96,'10-Compteurs Temps'!F$5:F$104,D96,'10-Compteurs Temps'!G$5:G$104,E96),0))</f>
        <v/>
      </c>
      <c r="G96" s="23">
        <f>IF(C96="","",IFERROR(SUMIFS('10-Compteurs Temps'!H$5:H$104,'10-Compteurs Temps'!E$5:E$104,C96,'10-Compteurs Temps'!F$5:F$104,D96,'10-Compteurs Temps'!G$5:G$104,E96),0))</f>
        <v/>
      </c>
      <c r="H96" s="23">
        <f>IF(C96="","",IFERROR(SUMIFS('10-Compteurs Temps'!I$5:I$104,'10-Compteurs Temps'!E$5:E$104,C96,'10-Compteurs Temps'!F$5:F$104,D96,'10-Compteurs Temps'!G$5:G$104,E96),0))</f>
        <v/>
      </c>
      <c r="I96" s="17">
        <f>IF(C96="","",IFERROR(SUMIFS('10-Compteurs Temps'!J$5:J$104,'10-Compteurs Temps'!E$5:E$104,C96,'10-Compteurs Temps'!F$5:F$104,D96,'10-Compteurs Temps'!G$5:G$104,E96),0))</f>
        <v/>
      </c>
      <c r="J96" s="17">
        <f>IF(C96="","",IFERROR(SUMIFS('10-Compteurs Temps'!K$5:K$104,'10-Compteurs Temps'!E$5:E$104,C96,'10-Compteurs Temps'!F$5:F$104,D96,'10-Compteurs Temps'!G$5:G$104,E96),0))</f>
        <v/>
      </c>
      <c r="K96" s="17">
        <f>IF(C96="","",IFERROR(SUMIFS('9-Heures WE &amp; Feries'!I$5:I$104,'9-Heures WE &amp; Feries'!E$5:E$104,C96),0))</f>
        <v/>
      </c>
      <c r="L96" s="16">
        <f>IF(C96="","",IFERROR(SUMIFS('10-Compteurs Temps'!L$5:L$104,'10-Compteurs Temps'!E$5:E$104,C96,'10-Compteurs Temps'!F$5:F$104,D96,'10-Compteurs Temps'!G$5:G$104,E96)/8,0))</f>
        <v/>
      </c>
      <c r="M96" s="16" t="n"/>
      <c r="N96" s="30">
        <f>IF(OR(C96="",G96=0,G96=""),"",IFERROR(H96/G96,0))</f>
        <v/>
      </c>
      <c r="O96" s="17">
        <f>IF(C96="","",IFERROR(H96-G96,0))</f>
        <v/>
      </c>
      <c r="P96" s="23">
        <f>IF(C96="","",IFERROR(SUMIFS('7-Heures Supplementaires'!M$5:M$104,'7-Heures Supplementaires'!E$5:E$104,C96),0))</f>
        <v/>
      </c>
      <c r="Q96" s="15" t="n"/>
    </row>
    <row r="97" ht="22" customHeight="1">
      <c r="B97" s="19">
        <f>IF(C97="","BMT-"&amp;TEXT(COUNTA($C$5:C97),"000"))</f>
        <v/>
      </c>
      <c r="C97" s="12" t="n"/>
      <c r="D97" s="12" t="n"/>
      <c r="E97" s="12" t="n"/>
      <c r="F97" s="13">
        <f>IF(C97="","",IFERROR(COUNTIFS('10-Compteurs Temps'!E$5:E$104,C97,'10-Compteurs Temps'!F$5:F$104,D97,'10-Compteurs Temps'!G$5:G$104,E97),0))</f>
        <v/>
      </c>
      <c r="G97" s="21">
        <f>IF(C97="","",IFERROR(SUMIFS('10-Compteurs Temps'!H$5:H$104,'10-Compteurs Temps'!E$5:E$104,C97,'10-Compteurs Temps'!F$5:F$104,D97,'10-Compteurs Temps'!G$5:G$104,E97),0))</f>
        <v/>
      </c>
      <c r="H97" s="21">
        <f>IF(C97="","",IFERROR(SUMIFS('10-Compteurs Temps'!I$5:I$104,'10-Compteurs Temps'!E$5:E$104,C97,'10-Compteurs Temps'!F$5:F$104,D97,'10-Compteurs Temps'!G$5:G$104,E97),0))</f>
        <v/>
      </c>
      <c r="I97" s="14">
        <f>IF(C97="","",IFERROR(SUMIFS('10-Compteurs Temps'!J$5:J$104,'10-Compteurs Temps'!E$5:E$104,C97,'10-Compteurs Temps'!F$5:F$104,D97,'10-Compteurs Temps'!G$5:G$104,E97),0))</f>
        <v/>
      </c>
      <c r="J97" s="14">
        <f>IF(C97="","",IFERROR(SUMIFS('10-Compteurs Temps'!K$5:K$104,'10-Compteurs Temps'!E$5:E$104,C97,'10-Compteurs Temps'!F$5:F$104,D97,'10-Compteurs Temps'!G$5:G$104,E97),0))</f>
        <v/>
      </c>
      <c r="K97" s="14">
        <f>IF(C97="","",IFERROR(SUMIFS('9-Heures WE &amp; Feries'!I$5:I$104,'9-Heures WE &amp; Feries'!E$5:E$104,C97),0))</f>
        <v/>
      </c>
      <c r="L97" s="13">
        <f>IF(C97="","",IFERROR(SUMIFS('10-Compteurs Temps'!L$5:L$104,'10-Compteurs Temps'!E$5:E$104,C97,'10-Compteurs Temps'!F$5:F$104,D97,'10-Compteurs Temps'!G$5:G$104,E97)/8,0))</f>
        <v/>
      </c>
      <c r="M97" s="13" t="n"/>
      <c r="N97" s="29">
        <f>IF(OR(C97="",G97=0,G97=""),"",IFERROR(H97/G97,0))</f>
        <v/>
      </c>
      <c r="O97" s="14">
        <f>IF(C97="","",IFERROR(H97-G97,0))</f>
        <v/>
      </c>
      <c r="P97" s="21">
        <f>IF(C97="","",IFERROR(SUMIFS('7-Heures Supplementaires'!M$5:M$104,'7-Heures Supplementaires'!E$5:E$104,C97),0))</f>
        <v/>
      </c>
      <c r="Q97" s="12" t="n"/>
    </row>
    <row r="98" ht="22" customHeight="1">
      <c r="B98" s="18">
        <f>IF(C98="","BMT-"&amp;TEXT(COUNTA($C$5:C98),"000"))</f>
        <v/>
      </c>
      <c r="C98" s="15" t="n"/>
      <c r="D98" s="15" t="n"/>
      <c r="E98" s="15" t="n"/>
      <c r="F98" s="16">
        <f>IF(C98="","",IFERROR(COUNTIFS('10-Compteurs Temps'!E$5:E$104,C98,'10-Compteurs Temps'!F$5:F$104,D98,'10-Compteurs Temps'!G$5:G$104,E98),0))</f>
        <v/>
      </c>
      <c r="G98" s="23">
        <f>IF(C98="","",IFERROR(SUMIFS('10-Compteurs Temps'!H$5:H$104,'10-Compteurs Temps'!E$5:E$104,C98,'10-Compteurs Temps'!F$5:F$104,D98,'10-Compteurs Temps'!G$5:G$104,E98),0))</f>
        <v/>
      </c>
      <c r="H98" s="23">
        <f>IF(C98="","",IFERROR(SUMIFS('10-Compteurs Temps'!I$5:I$104,'10-Compteurs Temps'!E$5:E$104,C98,'10-Compteurs Temps'!F$5:F$104,D98,'10-Compteurs Temps'!G$5:G$104,E98),0))</f>
        <v/>
      </c>
      <c r="I98" s="17">
        <f>IF(C98="","",IFERROR(SUMIFS('10-Compteurs Temps'!J$5:J$104,'10-Compteurs Temps'!E$5:E$104,C98,'10-Compteurs Temps'!F$5:F$104,D98,'10-Compteurs Temps'!G$5:G$104,E98),0))</f>
        <v/>
      </c>
      <c r="J98" s="17">
        <f>IF(C98="","",IFERROR(SUMIFS('10-Compteurs Temps'!K$5:K$104,'10-Compteurs Temps'!E$5:E$104,C98,'10-Compteurs Temps'!F$5:F$104,D98,'10-Compteurs Temps'!G$5:G$104,E98),0))</f>
        <v/>
      </c>
      <c r="K98" s="17">
        <f>IF(C98="","",IFERROR(SUMIFS('9-Heures WE &amp; Feries'!I$5:I$104,'9-Heures WE &amp; Feries'!E$5:E$104,C98),0))</f>
        <v/>
      </c>
      <c r="L98" s="16">
        <f>IF(C98="","",IFERROR(SUMIFS('10-Compteurs Temps'!L$5:L$104,'10-Compteurs Temps'!E$5:E$104,C98,'10-Compteurs Temps'!F$5:F$104,D98,'10-Compteurs Temps'!G$5:G$104,E98)/8,0))</f>
        <v/>
      </c>
      <c r="M98" s="16" t="n"/>
      <c r="N98" s="30">
        <f>IF(OR(C98="",G98=0,G98=""),"",IFERROR(H98/G98,0))</f>
        <v/>
      </c>
      <c r="O98" s="17">
        <f>IF(C98="","",IFERROR(H98-G98,0))</f>
        <v/>
      </c>
      <c r="P98" s="23">
        <f>IF(C98="","",IFERROR(SUMIFS('7-Heures Supplementaires'!M$5:M$104,'7-Heures Supplementaires'!E$5:E$104,C98),0))</f>
        <v/>
      </c>
      <c r="Q98" s="15" t="n"/>
    </row>
    <row r="99" ht="22" customHeight="1">
      <c r="B99" s="19">
        <f>IF(C99="","BMT-"&amp;TEXT(COUNTA($C$5:C99),"000"))</f>
        <v/>
      </c>
      <c r="C99" s="12" t="n"/>
      <c r="D99" s="12" t="n"/>
      <c r="E99" s="12" t="n"/>
      <c r="F99" s="13">
        <f>IF(C99="","",IFERROR(COUNTIFS('10-Compteurs Temps'!E$5:E$104,C99,'10-Compteurs Temps'!F$5:F$104,D99,'10-Compteurs Temps'!G$5:G$104,E99),0))</f>
        <v/>
      </c>
      <c r="G99" s="21">
        <f>IF(C99="","",IFERROR(SUMIFS('10-Compteurs Temps'!H$5:H$104,'10-Compteurs Temps'!E$5:E$104,C99,'10-Compteurs Temps'!F$5:F$104,D99,'10-Compteurs Temps'!G$5:G$104,E99),0))</f>
        <v/>
      </c>
      <c r="H99" s="21">
        <f>IF(C99="","",IFERROR(SUMIFS('10-Compteurs Temps'!I$5:I$104,'10-Compteurs Temps'!E$5:E$104,C99,'10-Compteurs Temps'!F$5:F$104,D99,'10-Compteurs Temps'!G$5:G$104,E99),0))</f>
        <v/>
      </c>
      <c r="I99" s="14">
        <f>IF(C99="","",IFERROR(SUMIFS('10-Compteurs Temps'!J$5:J$104,'10-Compteurs Temps'!E$5:E$104,C99,'10-Compteurs Temps'!F$5:F$104,D99,'10-Compteurs Temps'!G$5:G$104,E99),0))</f>
        <v/>
      </c>
      <c r="J99" s="14">
        <f>IF(C99="","",IFERROR(SUMIFS('10-Compteurs Temps'!K$5:K$104,'10-Compteurs Temps'!E$5:E$104,C99,'10-Compteurs Temps'!F$5:F$104,D99,'10-Compteurs Temps'!G$5:G$104,E99),0))</f>
        <v/>
      </c>
      <c r="K99" s="14">
        <f>IF(C99="","",IFERROR(SUMIFS('9-Heures WE &amp; Feries'!I$5:I$104,'9-Heures WE &amp; Feries'!E$5:E$104,C99),0))</f>
        <v/>
      </c>
      <c r="L99" s="13">
        <f>IF(C99="","",IFERROR(SUMIFS('10-Compteurs Temps'!L$5:L$104,'10-Compteurs Temps'!E$5:E$104,C99,'10-Compteurs Temps'!F$5:F$104,D99,'10-Compteurs Temps'!G$5:G$104,E99)/8,0))</f>
        <v/>
      </c>
      <c r="M99" s="13" t="n"/>
      <c r="N99" s="29">
        <f>IF(OR(C99="",G99=0,G99=""),"",IFERROR(H99/G99,0))</f>
        <v/>
      </c>
      <c r="O99" s="14">
        <f>IF(C99="","",IFERROR(H99-G99,0))</f>
        <v/>
      </c>
      <c r="P99" s="21">
        <f>IF(C99="","",IFERROR(SUMIFS('7-Heures Supplementaires'!M$5:M$104,'7-Heures Supplementaires'!E$5:E$104,C99),0))</f>
        <v/>
      </c>
      <c r="Q99" s="12" t="n"/>
    </row>
    <row r="100" ht="22" customHeight="1">
      <c r="B100" s="18">
        <f>IF(C100="","BMT-"&amp;TEXT(COUNTA($C$5:C100),"000"))</f>
        <v/>
      </c>
      <c r="C100" s="15" t="n"/>
      <c r="D100" s="15" t="n"/>
      <c r="E100" s="15" t="n"/>
      <c r="F100" s="16">
        <f>IF(C100="","",IFERROR(COUNTIFS('10-Compteurs Temps'!E$5:E$104,C100,'10-Compteurs Temps'!F$5:F$104,D100,'10-Compteurs Temps'!G$5:G$104,E100),0))</f>
        <v/>
      </c>
      <c r="G100" s="23">
        <f>IF(C100="","",IFERROR(SUMIFS('10-Compteurs Temps'!H$5:H$104,'10-Compteurs Temps'!E$5:E$104,C100,'10-Compteurs Temps'!F$5:F$104,D100,'10-Compteurs Temps'!G$5:G$104,E100),0))</f>
        <v/>
      </c>
      <c r="H100" s="23">
        <f>IF(C100="","",IFERROR(SUMIFS('10-Compteurs Temps'!I$5:I$104,'10-Compteurs Temps'!E$5:E$104,C100,'10-Compteurs Temps'!F$5:F$104,D100,'10-Compteurs Temps'!G$5:G$104,E100),0))</f>
        <v/>
      </c>
      <c r="I100" s="17">
        <f>IF(C100="","",IFERROR(SUMIFS('10-Compteurs Temps'!J$5:J$104,'10-Compteurs Temps'!E$5:E$104,C100,'10-Compteurs Temps'!F$5:F$104,D100,'10-Compteurs Temps'!G$5:G$104,E100),0))</f>
        <v/>
      </c>
      <c r="J100" s="17">
        <f>IF(C100="","",IFERROR(SUMIFS('10-Compteurs Temps'!K$5:K$104,'10-Compteurs Temps'!E$5:E$104,C100,'10-Compteurs Temps'!F$5:F$104,D100,'10-Compteurs Temps'!G$5:G$104,E100),0))</f>
        <v/>
      </c>
      <c r="K100" s="17">
        <f>IF(C100="","",IFERROR(SUMIFS('9-Heures WE &amp; Feries'!I$5:I$104,'9-Heures WE &amp; Feries'!E$5:E$104,C100),0))</f>
        <v/>
      </c>
      <c r="L100" s="16">
        <f>IF(C100="","",IFERROR(SUMIFS('10-Compteurs Temps'!L$5:L$104,'10-Compteurs Temps'!E$5:E$104,C100,'10-Compteurs Temps'!F$5:F$104,D100,'10-Compteurs Temps'!G$5:G$104,E100)/8,0))</f>
        <v/>
      </c>
      <c r="M100" s="16" t="n"/>
      <c r="N100" s="30">
        <f>IF(OR(C100="",G100=0,G100=""),"",IFERROR(H100/G100,0))</f>
        <v/>
      </c>
      <c r="O100" s="17">
        <f>IF(C100="","",IFERROR(H100-G100,0))</f>
        <v/>
      </c>
      <c r="P100" s="23">
        <f>IF(C100="","",IFERROR(SUMIFS('7-Heures Supplementaires'!M$5:M$104,'7-Heures Supplementaires'!E$5:E$104,C100),0))</f>
        <v/>
      </c>
      <c r="Q100" s="15" t="n"/>
    </row>
    <row r="101" ht="22" customHeight="1">
      <c r="B101" s="19">
        <f>IF(C101="","BMT-"&amp;TEXT(COUNTA($C$5:C101),"000"))</f>
        <v/>
      </c>
      <c r="C101" s="12" t="n"/>
      <c r="D101" s="12" t="n"/>
      <c r="E101" s="12" t="n"/>
      <c r="F101" s="13">
        <f>IF(C101="","",IFERROR(COUNTIFS('10-Compteurs Temps'!E$5:E$104,C101,'10-Compteurs Temps'!F$5:F$104,D101,'10-Compteurs Temps'!G$5:G$104,E101),0))</f>
        <v/>
      </c>
      <c r="G101" s="21">
        <f>IF(C101="","",IFERROR(SUMIFS('10-Compteurs Temps'!H$5:H$104,'10-Compteurs Temps'!E$5:E$104,C101,'10-Compteurs Temps'!F$5:F$104,D101,'10-Compteurs Temps'!G$5:G$104,E101),0))</f>
        <v/>
      </c>
      <c r="H101" s="21">
        <f>IF(C101="","",IFERROR(SUMIFS('10-Compteurs Temps'!I$5:I$104,'10-Compteurs Temps'!E$5:E$104,C101,'10-Compteurs Temps'!F$5:F$104,D101,'10-Compteurs Temps'!G$5:G$104,E101),0))</f>
        <v/>
      </c>
      <c r="I101" s="14">
        <f>IF(C101="","",IFERROR(SUMIFS('10-Compteurs Temps'!J$5:J$104,'10-Compteurs Temps'!E$5:E$104,C101,'10-Compteurs Temps'!F$5:F$104,D101,'10-Compteurs Temps'!G$5:G$104,E101),0))</f>
        <v/>
      </c>
      <c r="J101" s="14">
        <f>IF(C101="","",IFERROR(SUMIFS('10-Compteurs Temps'!K$5:K$104,'10-Compteurs Temps'!E$5:E$104,C101,'10-Compteurs Temps'!F$5:F$104,D101,'10-Compteurs Temps'!G$5:G$104,E101),0))</f>
        <v/>
      </c>
      <c r="K101" s="14">
        <f>IF(C101="","",IFERROR(SUMIFS('9-Heures WE &amp; Feries'!I$5:I$104,'9-Heures WE &amp; Feries'!E$5:E$104,C101),0))</f>
        <v/>
      </c>
      <c r="L101" s="13">
        <f>IF(C101="","",IFERROR(SUMIFS('10-Compteurs Temps'!L$5:L$104,'10-Compteurs Temps'!E$5:E$104,C101,'10-Compteurs Temps'!F$5:F$104,D101,'10-Compteurs Temps'!G$5:G$104,E101)/8,0))</f>
        <v/>
      </c>
      <c r="M101" s="13" t="n"/>
      <c r="N101" s="29">
        <f>IF(OR(C101="",G101=0,G101=""),"",IFERROR(H101/G101,0))</f>
        <v/>
      </c>
      <c r="O101" s="14">
        <f>IF(C101="","",IFERROR(H101-G101,0))</f>
        <v/>
      </c>
      <c r="P101" s="21">
        <f>IF(C101="","",IFERROR(SUMIFS('7-Heures Supplementaires'!M$5:M$104,'7-Heures Supplementaires'!E$5:E$104,C101),0))</f>
        <v/>
      </c>
      <c r="Q101" s="12" t="n"/>
    </row>
    <row r="102" ht="22" customHeight="1">
      <c r="B102" s="18">
        <f>IF(C102="","BMT-"&amp;TEXT(COUNTA($C$5:C102),"000"))</f>
        <v/>
      </c>
      <c r="C102" s="15" t="n"/>
      <c r="D102" s="15" t="n"/>
      <c r="E102" s="15" t="n"/>
      <c r="F102" s="16">
        <f>IF(C102="","",IFERROR(COUNTIFS('10-Compteurs Temps'!E$5:E$104,C102,'10-Compteurs Temps'!F$5:F$104,D102,'10-Compteurs Temps'!G$5:G$104,E102),0))</f>
        <v/>
      </c>
      <c r="G102" s="23">
        <f>IF(C102="","",IFERROR(SUMIFS('10-Compteurs Temps'!H$5:H$104,'10-Compteurs Temps'!E$5:E$104,C102,'10-Compteurs Temps'!F$5:F$104,D102,'10-Compteurs Temps'!G$5:G$104,E102),0))</f>
        <v/>
      </c>
      <c r="H102" s="23">
        <f>IF(C102="","",IFERROR(SUMIFS('10-Compteurs Temps'!I$5:I$104,'10-Compteurs Temps'!E$5:E$104,C102,'10-Compteurs Temps'!F$5:F$104,D102,'10-Compteurs Temps'!G$5:G$104,E102),0))</f>
        <v/>
      </c>
      <c r="I102" s="17">
        <f>IF(C102="","",IFERROR(SUMIFS('10-Compteurs Temps'!J$5:J$104,'10-Compteurs Temps'!E$5:E$104,C102,'10-Compteurs Temps'!F$5:F$104,D102,'10-Compteurs Temps'!G$5:G$104,E102),0))</f>
        <v/>
      </c>
      <c r="J102" s="17">
        <f>IF(C102="","",IFERROR(SUMIFS('10-Compteurs Temps'!K$5:K$104,'10-Compteurs Temps'!E$5:E$104,C102,'10-Compteurs Temps'!F$5:F$104,D102,'10-Compteurs Temps'!G$5:G$104,E102),0))</f>
        <v/>
      </c>
      <c r="K102" s="17">
        <f>IF(C102="","",IFERROR(SUMIFS('9-Heures WE &amp; Feries'!I$5:I$104,'9-Heures WE &amp; Feries'!E$5:E$104,C102),0))</f>
        <v/>
      </c>
      <c r="L102" s="16">
        <f>IF(C102="","",IFERROR(SUMIFS('10-Compteurs Temps'!L$5:L$104,'10-Compteurs Temps'!E$5:E$104,C102,'10-Compteurs Temps'!F$5:F$104,D102,'10-Compteurs Temps'!G$5:G$104,E102)/8,0))</f>
        <v/>
      </c>
      <c r="M102" s="16" t="n"/>
      <c r="N102" s="30">
        <f>IF(OR(C102="",G102=0,G102=""),"",IFERROR(H102/G102,0))</f>
        <v/>
      </c>
      <c r="O102" s="17">
        <f>IF(C102="","",IFERROR(H102-G102,0))</f>
        <v/>
      </c>
      <c r="P102" s="23">
        <f>IF(C102="","",IFERROR(SUMIFS('7-Heures Supplementaires'!M$5:M$104,'7-Heures Supplementaires'!E$5:E$104,C102),0))</f>
        <v/>
      </c>
      <c r="Q102" s="15" t="n"/>
    </row>
    <row r="103" ht="22" customHeight="1">
      <c r="B103" s="19">
        <f>IF(C103="","BMT-"&amp;TEXT(COUNTA($C$5:C103),"000"))</f>
        <v/>
      </c>
      <c r="C103" s="12" t="n"/>
      <c r="D103" s="12" t="n"/>
      <c r="E103" s="12" t="n"/>
      <c r="F103" s="13">
        <f>IF(C103="","",IFERROR(COUNTIFS('10-Compteurs Temps'!E$5:E$104,C103,'10-Compteurs Temps'!F$5:F$104,D103,'10-Compteurs Temps'!G$5:G$104,E103),0))</f>
        <v/>
      </c>
      <c r="G103" s="21">
        <f>IF(C103="","",IFERROR(SUMIFS('10-Compteurs Temps'!H$5:H$104,'10-Compteurs Temps'!E$5:E$104,C103,'10-Compteurs Temps'!F$5:F$104,D103,'10-Compteurs Temps'!G$5:G$104,E103),0))</f>
        <v/>
      </c>
      <c r="H103" s="21">
        <f>IF(C103="","",IFERROR(SUMIFS('10-Compteurs Temps'!I$5:I$104,'10-Compteurs Temps'!E$5:E$104,C103,'10-Compteurs Temps'!F$5:F$104,D103,'10-Compteurs Temps'!G$5:G$104,E103),0))</f>
        <v/>
      </c>
      <c r="I103" s="14">
        <f>IF(C103="","",IFERROR(SUMIFS('10-Compteurs Temps'!J$5:J$104,'10-Compteurs Temps'!E$5:E$104,C103,'10-Compteurs Temps'!F$5:F$104,D103,'10-Compteurs Temps'!G$5:G$104,E103),0))</f>
        <v/>
      </c>
      <c r="J103" s="14">
        <f>IF(C103="","",IFERROR(SUMIFS('10-Compteurs Temps'!K$5:K$104,'10-Compteurs Temps'!E$5:E$104,C103,'10-Compteurs Temps'!F$5:F$104,D103,'10-Compteurs Temps'!G$5:G$104,E103),0))</f>
        <v/>
      </c>
      <c r="K103" s="14">
        <f>IF(C103="","",IFERROR(SUMIFS('9-Heures WE &amp; Feries'!I$5:I$104,'9-Heures WE &amp; Feries'!E$5:E$104,C103),0))</f>
        <v/>
      </c>
      <c r="L103" s="13">
        <f>IF(C103="","",IFERROR(SUMIFS('10-Compteurs Temps'!L$5:L$104,'10-Compteurs Temps'!E$5:E$104,C103,'10-Compteurs Temps'!F$5:F$104,D103,'10-Compteurs Temps'!G$5:G$104,E103)/8,0))</f>
        <v/>
      </c>
      <c r="M103" s="13" t="n"/>
      <c r="N103" s="29">
        <f>IF(OR(C103="",G103=0,G103=""),"",IFERROR(H103/G103,0))</f>
        <v/>
      </c>
      <c r="O103" s="14">
        <f>IF(C103="","",IFERROR(H103-G103,0))</f>
        <v/>
      </c>
      <c r="P103" s="21">
        <f>IF(C103="","",IFERROR(SUMIFS('7-Heures Supplementaires'!M$5:M$104,'7-Heures Supplementaires'!E$5:E$104,C103),0))</f>
        <v/>
      </c>
      <c r="Q103" s="12" t="n"/>
    </row>
    <row r="104" ht="22" customHeight="1">
      <c r="B104" s="18">
        <f>IF(C104="","BMT-"&amp;TEXT(COUNTA($C$5:C104),"000"))</f>
        <v/>
      </c>
      <c r="C104" s="15" t="n"/>
      <c r="D104" s="15" t="n"/>
      <c r="E104" s="15" t="n"/>
      <c r="F104" s="16">
        <f>IF(C104="","",IFERROR(COUNTIFS('10-Compteurs Temps'!E$5:E$104,C104,'10-Compteurs Temps'!F$5:F$104,D104,'10-Compteurs Temps'!G$5:G$104,E104),0))</f>
        <v/>
      </c>
      <c r="G104" s="23">
        <f>IF(C104="","",IFERROR(SUMIFS('10-Compteurs Temps'!H$5:H$104,'10-Compteurs Temps'!E$5:E$104,C104,'10-Compteurs Temps'!F$5:F$104,D104,'10-Compteurs Temps'!G$5:G$104,E104),0))</f>
        <v/>
      </c>
      <c r="H104" s="23">
        <f>IF(C104="","",IFERROR(SUMIFS('10-Compteurs Temps'!I$5:I$104,'10-Compteurs Temps'!E$5:E$104,C104,'10-Compteurs Temps'!F$5:F$104,D104,'10-Compteurs Temps'!G$5:G$104,E104),0))</f>
        <v/>
      </c>
      <c r="I104" s="17">
        <f>IF(C104="","",IFERROR(SUMIFS('10-Compteurs Temps'!J$5:J$104,'10-Compteurs Temps'!E$5:E$104,C104,'10-Compteurs Temps'!F$5:F$104,D104,'10-Compteurs Temps'!G$5:G$104,E104),0))</f>
        <v/>
      </c>
      <c r="J104" s="17">
        <f>IF(C104="","",IFERROR(SUMIFS('10-Compteurs Temps'!K$5:K$104,'10-Compteurs Temps'!E$5:E$104,C104,'10-Compteurs Temps'!F$5:F$104,D104,'10-Compteurs Temps'!G$5:G$104,E104),0))</f>
        <v/>
      </c>
      <c r="K104" s="17">
        <f>IF(C104="","",IFERROR(SUMIFS('9-Heures WE &amp; Feries'!I$5:I$104,'9-Heures WE &amp; Feries'!E$5:E$104,C104),0))</f>
        <v/>
      </c>
      <c r="L104" s="16">
        <f>IF(C104="","",IFERROR(SUMIFS('10-Compteurs Temps'!L$5:L$104,'10-Compteurs Temps'!E$5:E$104,C104,'10-Compteurs Temps'!F$5:F$104,D104,'10-Compteurs Temps'!G$5:G$104,E104)/8,0))</f>
        <v/>
      </c>
      <c r="M104" s="16" t="n"/>
      <c r="N104" s="30">
        <f>IF(OR(C104="",G104=0,G104=""),"",IFERROR(H104/G104,0))</f>
        <v/>
      </c>
      <c r="O104" s="17">
        <f>IF(C104="","",IFERROR(H104-G104,0))</f>
        <v/>
      </c>
      <c r="P104" s="23">
        <f>IF(C104="","",IFERROR(SUMIFS('7-Heures Supplementaires'!M$5:M$104,'7-Heures Supplementaires'!E$5:E$104,C104),0))</f>
        <v/>
      </c>
      <c r="Q104" s="15" t="n"/>
    </row>
    <row r="105" ht="22" customHeight="1">
      <c r="B105" s="19">
        <f>IF(C105="","BMT-"&amp;TEXT(COUNTA($C$5:C105),"000"))</f>
        <v/>
      </c>
      <c r="C105" s="12" t="n"/>
      <c r="D105" s="12" t="n"/>
      <c r="E105" s="12" t="n"/>
      <c r="F105" s="13" t="n"/>
      <c r="G105" s="21" t="n"/>
      <c r="H105" s="21" t="n"/>
      <c r="I105" s="14" t="n"/>
      <c r="J105" s="14" t="n"/>
      <c r="K105" s="14" t="n"/>
      <c r="L105" s="13" t="n"/>
      <c r="M105" s="13" t="n"/>
      <c r="N105" s="29">
        <f>IF(G105="","",IF(G105=0,"",(H105+I105)/G105))</f>
        <v/>
      </c>
      <c r="O105" s="14">
        <f>IF(H105="","",H105-G105+I105+J105+K105-L105*8)</f>
        <v/>
      </c>
      <c r="P105" s="21" t="n"/>
      <c r="Q105" s="12" t="n"/>
    </row>
    <row r="106" ht="22" customHeight="1">
      <c r="B106" s="18">
        <f>IF(C106="","BMT-"&amp;TEXT(COUNTA($C$5:C106),"000"))</f>
        <v/>
      </c>
      <c r="C106" s="15" t="n"/>
      <c r="D106" s="15" t="n"/>
      <c r="E106" s="15" t="n"/>
      <c r="F106" s="16" t="n"/>
      <c r="G106" s="23" t="n"/>
      <c r="H106" s="23" t="n"/>
      <c r="I106" s="17" t="n"/>
      <c r="J106" s="17" t="n"/>
      <c r="K106" s="17" t="n"/>
      <c r="L106" s="16" t="n"/>
      <c r="M106" s="16" t="n"/>
      <c r="N106" s="30">
        <f>IF(G106="","",IF(G106=0,"",(H106+I106)/G106))</f>
        <v/>
      </c>
      <c r="O106" s="17">
        <f>IF(H106="","",H106-G106+I106+J106+K106-L106*8)</f>
        <v/>
      </c>
      <c r="P106" s="23" t="n"/>
      <c r="Q106" s="15" t="n"/>
    </row>
    <row r="107" ht="22" customHeight="1">
      <c r="B107" s="19">
        <f>IF(C107="","BMT-"&amp;TEXT(COUNTA($C$5:C107),"000"))</f>
        <v/>
      </c>
      <c r="C107" s="12" t="n"/>
      <c r="D107" s="12" t="n"/>
      <c r="E107" s="12" t="n"/>
      <c r="F107" s="13" t="n"/>
      <c r="G107" s="21" t="n"/>
      <c r="H107" s="21" t="n"/>
      <c r="I107" s="14" t="n"/>
      <c r="J107" s="14" t="n"/>
      <c r="K107" s="14" t="n"/>
      <c r="L107" s="13" t="n"/>
      <c r="M107" s="13" t="n"/>
      <c r="N107" s="29">
        <f>IF(G107="","",IF(G107=0,"",(H107+I107)/G107))</f>
        <v/>
      </c>
      <c r="O107" s="14">
        <f>IF(H107="","",H107-G107+I107+J107+K107-L107*8)</f>
        <v/>
      </c>
      <c r="P107" s="21" t="n"/>
      <c r="Q107" s="12" t="n"/>
    </row>
    <row r="108" ht="22" customHeight="1">
      <c r="B108" s="18">
        <f>IF(C108="","BMT-"&amp;TEXT(COUNTA($C$5:C108),"000"))</f>
        <v/>
      </c>
      <c r="C108" s="15" t="n"/>
      <c r="D108" s="15" t="n"/>
      <c r="E108" s="15" t="n"/>
      <c r="F108" s="16" t="n"/>
      <c r="G108" s="23" t="n"/>
      <c r="H108" s="23" t="n"/>
      <c r="I108" s="17" t="n"/>
      <c r="J108" s="17" t="n"/>
      <c r="K108" s="17" t="n"/>
      <c r="L108" s="16" t="n"/>
      <c r="M108" s="16" t="n"/>
      <c r="N108" s="30">
        <f>IF(G108="","",IF(G108=0,"",(H108+I108)/G108))</f>
        <v/>
      </c>
      <c r="O108" s="17">
        <f>IF(H108="","",H108-G108+I108+J108+K108-L108*8)</f>
        <v/>
      </c>
      <c r="P108" s="23" t="n"/>
      <c r="Q108" s="15" t="n"/>
    </row>
    <row r="109" ht="22" customHeight="1">
      <c r="B109" s="19">
        <f>IF(C109="","BMT-"&amp;TEXT(COUNTA($C$5:C109),"000"))</f>
        <v/>
      </c>
      <c r="C109" s="12" t="n"/>
      <c r="D109" s="12" t="n"/>
      <c r="E109" s="12" t="n"/>
      <c r="F109" s="13" t="n"/>
      <c r="G109" s="21" t="n"/>
      <c r="H109" s="21" t="n"/>
      <c r="I109" s="14" t="n"/>
      <c r="J109" s="14" t="n"/>
      <c r="K109" s="14" t="n"/>
      <c r="L109" s="13" t="n"/>
      <c r="M109" s="13" t="n"/>
      <c r="N109" s="29">
        <f>IF(G109="","",IF(G109=0,"",(H109+I109)/G109))</f>
        <v/>
      </c>
      <c r="O109" s="14">
        <f>IF(H109="","",H109-G109+I109+J109+K109-L109*8)</f>
        <v/>
      </c>
      <c r="P109" s="21" t="n"/>
      <c r="Q109" s="12" t="n"/>
    </row>
    <row r="111" ht="26" customHeight="1">
      <c r="B111" s="24" t="inlineStr">
        <is>
          <t>TOTAL</t>
        </is>
      </c>
      <c r="C111" s="25" t="n"/>
      <c r="D111" s="25" t="n"/>
      <c r="E111" s="25" t="n"/>
      <c r="F111" s="26">
        <f>SUM(F5:F104)</f>
        <v/>
      </c>
      <c r="G111" s="26">
        <f>SUM(G5:G104)</f>
        <v/>
      </c>
      <c r="H111" s="26">
        <f>SUM(H5:H104)</f>
        <v/>
      </c>
      <c r="I111" s="26">
        <f>SUM(I5:I104)</f>
        <v/>
      </c>
      <c r="J111" s="26">
        <f>SUM(J5:J104)</f>
        <v/>
      </c>
      <c r="K111" s="26">
        <f>SUM(K5:K104)</f>
        <v/>
      </c>
      <c r="L111" s="26">
        <f>SUM(L5:L104)</f>
        <v/>
      </c>
      <c r="M111" s="26">
        <f>SUM(M5:M104)</f>
        <v/>
      </c>
      <c r="N111" s="25" t="n"/>
      <c r="O111" s="25" t="n"/>
      <c r="P111" s="26">
        <f>SUM(P5:P104)</f>
        <v/>
      </c>
      <c r="Q111" s="25" t="n"/>
    </row>
    <row r="113">
      <c r="B113" s="6" t="inlineStr">
        <is>
          <t>INDICATEURS (mis a jour automatiquement)</t>
        </is>
      </c>
    </row>
    <row r="114">
      <c r="B114" s="3" t="inlineStr">
        <is>
          <t>Bilans mensuels</t>
        </is>
      </c>
      <c r="D114" s="3" t="inlineStr">
        <is>
          <t>Total heures eff.</t>
        </is>
      </c>
      <c r="F114" s="3" t="inlineStr">
        <is>
          <t>Total h. supp</t>
        </is>
      </c>
      <c r="H114" s="3" t="inlineStr">
        <is>
          <t>Cout total supp (FCFA)</t>
        </is>
      </c>
    </row>
    <row r="115">
      <c r="B115" s="4">
        <f>COUNTIF(B5:B104,"&lt;&gt;")</f>
        <v/>
      </c>
      <c r="D115" s="4">
        <f>SUM(H5:H104)</f>
        <v/>
      </c>
      <c r="F115" s="4">
        <f>SUM(I5:I104)</f>
        <v/>
      </c>
      <c r="H115" s="4">
        <f>SUM(P5:P104)</f>
        <v/>
      </c>
    </row>
  </sheetData>
  <mergeCells count="3">
    <mergeCell ref="B2:Q2"/>
    <mergeCell ref="B113:Q113"/>
    <mergeCell ref="B3:Q3"/>
  </mergeCells>
  <conditionalFormatting sqref="Q5:Q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conditionalFormatting sqref="M10:M109">
    <cfRule type="expression" priority="59" dxfId="3">
      <formula>AND($C10="",$C9&lt;&gt;"")</formula>
    </cfRule>
  </conditionalFormatting>
  <conditionalFormatting sqref="N10:N109">
    <cfRule type="expression" priority="60" dxfId="3">
      <formula>AND($C10="",$C9&lt;&gt;"")</formula>
    </cfRule>
  </conditionalFormatting>
  <conditionalFormatting sqref="O10:O109">
    <cfRule type="expression" priority="61" dxfId="3">
      <formula>AND($C10="",$C9&lt;&gt;"")</formula>
    </cfRule>
  </conditionalFormatting>
  <conditionalFormatting sqref="P10:P109">
    <cfRule type="expression" priority="62" dxfId="3">
      <formula>AND($C10="",$C9&lt;&gt;"")</formula>
    </cfRule>
  </conditionalFormatting>
  <conditionalFormatting sqref="Q10:Q109">
    <cfRule type="expression" priority="63" dxfId="3">
      <formula>AND($C10="",$C9&lt;&gt;"")</formula>
    </cfRule>
  </conditionalFormatting>
  <dataValidations count="4">
    <dataValidation sqref="C5:C109" showDropDown="0" showInputMessage="0" showErrorMessage="0" allowBlank="1" errorTitle="Erreur" error="Valeur invalide" promptTitle="Liste" prompt="Choisir dans la liste" type="list">
      <formula1>'_Lists'!$B$2:$B$14</formula1>
    </dataValidation>
    <dataValidation sqref="D5:D109" showDropDown="0" showInputMessage="0" showErrorMessage="0" allowBlank="1" errorTitle="Erreur" error="Valeur invalide" promptTitle="Liste" prompt="Choisir dans la liste" type="list">
      <formula1>'_Lists'!$X$2:$X$13</formula1>
    </dataValidation>
    <dataValidation sqref="E5:E109" showDropDown="0" showInputMessage="0" showErrorMessage="0" allowBlank="1" errorTitle="Erreur" error="Valeur invalide" promptTitle="Liste" prompt="Choisir dans la liste" type="list">
      <formula1>'_Lists'!$Y$2:$Y$4</formula1>
    </dataValidation>
    <dataValidation sqref="Q5:Q109" showDropDown="0" showInputMessage="0" showErrorMessage="0" allowBlank="1" errorTitle="Erreur" error="Valeur invalide" promptTitle="Liste" prompt="Choisir dans la liste" type="list">
      <formula1>'_Lists'!$J$2:$J$6</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L11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30" customWidth="1" min="4" max="4"/>
    <col width="14" customWidth="1" min="5" max="5"/>
    <col width="14" customWidth="1" min="6" max="6"/>
    <col width="18" customWidth="1" min="7" max="7"/>
    <col width="18" customWidth="1" min="8" max="8"/>
    <col width="18" customWidth="1" min="9" max="9"/>
    <col width="20" customWidth="1" min="10" max="10"/>
    <col width="34" customWidth="1" min="11" max="11"/>
    <col width="14" customWidth="1" min="12" max="12"/>
  </cols>
  <sheetData>
    <row r="1" ht="15" customHeight="1"/>
    <row r="2" ht="32" customHeight="1">
      <c r="B2" s="1" t="inlineStr">
        <is>
          <t>RAPPORTS &amp; AUDIT DU TEMPS DE TRAVAIL</t>
        </is>
      </c>
    </row>
    <row r="3" ht="8" customHeight="1">
      <c r="B3" s="2" t="inlineStr">
        <is>
          <t>TABLEAU DYNAMIQUE — Saisissez dans la prochaine ligne jaune. Les calculs se mettent a jour automatiquement.</t>
        </is>
      </c>
    </row>
    <row r="4" ht="28" customHeight="1">
      <c r="B4" s="11" t="inlineStr">
        <is>
          <t>N° Rapport</t>
        </is>
      </c>
      <c r="C4" s="11" t="inlineStr">
        <is>
          <t>Type Rapport</t>
        </is>
      </c>
      <c r="D4" s="11" t="inlineStr">
        <is>
          <t>Titre</t>
        </is>
      </c>
      <c r="E4" s="11" t="inlineStr">
        <is>
          <t>Periode Debut</t>
        </is>
      </c>
      <c r="F4" s="11" t="inlineStr">
        <is>
          <t>Periode Fin</t>
        </is>
      </c>
      <c r="G4" s="11" t="inlineStr">
        <is>
          <t>Departement</t>
        </is>
      </c>
      <c r="H4" s="11" t="inlineStr">
        <is>
          <t>Auteur</t>
        </is>
      </c>
      <c r="I4" s="11" t="inlineStr">
        <is>
          <t>Anomalies Detectees</t>
        </is>
      </c>
      <c r="J4" s="11" t="inlineStr">
        <is>
          <t>Ecart Financier (FCFA)</t>
        </is>
      </c>
      <c r="K4" s="11" t="inlineStr">
        <is>
          <t>Recommandations</t>
        </is>
      </c>
      <c r="L4" s="11" t="inlineStr">
        <is>
          <t>Statut</t>
        </is>
      </c>
    </row>
    <row r="5" ht="22" customHeight="1">
      <c r="B5" s="12" t="inlineStr">
        <is>
          <t>RAP-001</t>
        </is>
      </c>
      <c r="C5" s="12" t="inlineStr">
        <is>
          <t>Bilan mensuel</t>
        </is>
      </c>
      <c r="D5" s="12" t="inlineStr">
        <is>
          <t>Bilan Temps Juin 2025</t>
        </is>
      </c>
      <c r="E5" s="33" t="n">
        <v>45809</v>
      </c>
      <c r="F5" s="33" t="n">
        <v>45838</v>
      </c>
      <c r="G5" s="12" t="inlineStr">
        <is>
          <t>Tous</t>
        </is>
      </c>
      <c r="H5" s="12" t="inlineStr">
        <is>
          <t>DRH Nganou</t>
        </is>
      </c>
      <c r="I5" s="13" t="n">
        <v>15</v>
      </c>
      <c r="J5" s="21" t="n">
        <v>75000</v>
      </c>
      <c r="K5" s="12" t="inlineStr">
        <is>
          <t>Renforcer controles pointage service nuit</t>
        </is>
      </c>
      <c r="L5" s="12" t="inlineStr">
        <is>
          <t>Valide</t>
        </is>
      </c>
    </row>
    <row r="6" ht="22" customHeight="1">
      <c r="B6" s="15" t="inlineStr">
        <is>
          <t>RAP-002</t>
        </is>
      </c>
      <c r="C6" s="15" t="inlineStr">
        <is>
          <t>Audit heures supp</t>
        </is>
      </c>
      <c r="D6" s="15" t="inlineStr">
        <is>
          <t>Audit HS Q2 2025</t>
        </is>
      </c>
      <c r="E6" s="34" t="n">
        <v>45748</v>
      </c>
      <c r="F6" s="34" t="n">
        <v>45838</v>
      </c>
      <c r="G6" s="15" t="inlineStr">
        <is>
          <t>Reception &amp; Front Office</t>
        </is>
      </c>
      <c r="H6" s="15" t="inlineStr">
        <is>
          <t>Chef Comptable</t>
        </is>
      </c>
      <c r="I6" s="16" t="n">
        <v>8</v>
      </c>
      <c r="J6" s="23" t="n">
        <v>120000</v>
      </c>
      <c r="K6" s="15" t="inlineStr">
        <is>
          <t>Revoir plannings equipe nuit reception</t>
        </is>
      </c>
      <c r="L6" s="15" t="inlineStr">
        <is>
          <t>Valide</t>
        </is>
      </c>
    </row>
    <row r="7" ht="22" customHeight="1">
      <c r="B7" s="12" t="inlineStr">
        <is>
          <t>RAP-003</t>
        </is>
      </c>
      <c r="C7" s="12" t="inlineStr">
        <is>
          <t>Conformite horaires</t>
        </is>
      </c>
      <c r="D7" s="12" t="inlineStr">
        <is>
          <t>Controle conformite Juin</t>
        </is>
      </c>
      <c r="E7" s="33" t="n">
        <v>45809</v>
      </c>
      <c r="F7" s="33" t="n">
        <v>45838</v>
      </c>
      <c r="G7" s="12" t="inlineStr">
        <is>
          <t>Cuisine &amp; Restauration</t>
        </is>
      </c>
      <c r="H7" s="12" t="inlineStr">
        <is>
          <t>Assistante RH</t>
        </is>
      </c>
      <c r="I7" s="13" t="n">
        <v>22</v>
      </c>
      <c r="J7" s="21" t="n">
        <v>45000</v>
      </c>
      <c r="K7" s="12" t="inlineStr">
        <is>
          <t>Former equipe sur regles pointage</t>
        </is>
      </c>
      <c r="L7" s="12" t="inlineStr">
        <is>
          <t>Approuve</t>
        </is>
      </c>
    </row>
    <row r="8" ht="22" customHeight="1">
      <c r="B8" s="15" t="inlineStr">
        <is>
          <t>RAP-004</t>
        </is>
      </c>
      <c r="C8" s="15" t="inlineStr">
        <is>
          <t>Rapport anomalie</t>
        </is>
      </c>
      <c r="D8" s="15" t="inlineStr">
        <is>
          <t>Rapport ecarts pointage semaine 24</t>
        </is>
      </c>
      <c r="E8" s="34" t="n">
        <v>45817</v>
      </c>
      <c r="F8" s="34" t="n">
        <v>45823</v>
      </c>
      <c r="G8" s="15" t="inlineStr">
        <is>
          <t>Informatique</t>
        </is>
      </c>
      <c r="H8" s="15" t="inlineStr">
        <is>
          <t>Chef de service IT</t>
        </is>
      </c>
      <c r="I8" s="16" t="n">
        <v>3</v>
      </c>
      <c r="J8" s="23" t="n">
        <v>0</v>
      </c>
      <c r="K8" s="15" t="inlineStr">
        <is>
          <t>Remplacer badgeuse defaillante</t>
        </is>
      </c>
      <c r="L8" s="15" t="inlineStr">
        <is>
          <t>Brouillon</t>
        </is>
      </c>
    </row>
    <row r="9" ht="22" customHeight="1">
      <c r="B9" s="12" t="inlineStr">
        <is>
          <t>RAP-005</t>
        </is>
      </c>
      <c r="C9" s="12" t="inlineStr">
        <is>
          <t>Bilan trimestriel</t>
        </is>
      </c>
      <c r="D9" s="12" t="inlineStr">
        <is>
          <t>Bilan Temps T2 2025</t>
        </is>
      </c>
      <c r="E9" s="33" t="n">
        <v>45748</v>
      </c>
      <c r="F9" s="33" t="n">
        <v>45838</v>
      </c>
      <c r="G9" s="12" t="inlineStr">
        <is>
          <t>Tous</t>
        </is>
      </c>
      <c r="H9" s="12" t="inlineStr">
        <is>
          <t>DRH Nganou</t>
        </is>
      </c>
      <c r="I9" s="13" t="n">
        <v>48</v>
      </c>
      <c r="J9" s="21" t="n">
        <v>240000</v>
      </c>
      <c r="K9" s="12" t="inlineStr">
        <is>
          <t>Generaliser pointeur mobile</t>
        </is>
      </c>
      <c r="L9" s="12" t="inlineStr">
        <is>
          <t>Brouillon</t>
        </is>
      </c>
    </row>
    <row r="10" ht="22" customHeight="1">
      <c r="B10" s="18">
        <f>IF(C10="","RAP-"&amp;TEXT(COUNTA($C$5:C10),"000"))</f>
        <v/>
      </c>
      <c r="C10" s="15" t="n"/>
      <c r="D10" s="15" t="n"/>
      <c r="E10" s="34" t="n"/>
      <c r="F10" s="34" t="n"/>
      <c r="G10" s="15" t="n"/>
      <c r="H10" s="15" t="n"/>
      <c r="I10" s="16" t="n"/>
      <c r="J10" s="23" t="n"/>
      <c r="K10" s="15" t="n"/>
      <c r="L10" s="15" t="n"/>
    </row>
    <row r="11" ht="22" customHeight="1">
      <c r="B11" s="19">
        <f>IF(C11="","RAP-"&amp;TEXT(COUNTA($C$5:C11),"000"))</f>
        <v/>
      </c>
      <c r="C11" s="12" t="n"/>
      <c r="D11" s="12" t="n"/>
      <c r="E11" s="33" t="n"/>
      <c r="F11" s="33" t="n"/>
      <c r="G11" s="12" t="n"/>
      <c r="H11" s="12" t="n"/>
      <c r="I11" s="13" t="n"/>
      <c r="J11" s="21" t="n"/>
      <c r="K11" s="12" t="n"/>
      <c r="L11" s="12" t="n"/>
    </row>
    <row r="12" ht="22" customHeight="1">
      <c r="B12" s="18">
        <f>IF(C12="","RAP-"&amp;TEXT(COUNTA($C$5:C12),"000"))</f>
        <v/>
      </c>
      <c r="C12" s="15" t="n"/>
      <c r="D12" s="15" t="n"/>
      <c r="E12" s="34" t="n"/>
      <c r="F12" s="34" t="n"/>
      <c r="G12" s="15" t="n"/>
      <c r="H12" s="15" t="n"/>
      <c r="I12" s="16" t="n"/>
      <c r="J12" s="23" t="n"/>
      <c r="K12" s="15" t="n"/>
      <c r="L12" s="15" t="n"/>
    </row>
    <row r="13" ht="22" customHeight="1">
      <c r="B13" s="19">
        <f>IF(C13="","RAP-"&amp;TEXT(COUNTA($C$5:C13),"000"))</f>
        <v/>
      </c>
      <c r="C13" s="12" t="n"/>
      <c r="D13" s="12" t="n"/>
      <c r="E13" s="33" t="n"/>
      <c r="F13" s="33" t="n"/>
      <c r="G13" s="12" t="n"/>
      <c r="H13" s="12" t="n"/>
      <c r="I13" s="13" t="n"/>
      <c r="J13" s="21" t="n"/>
      <c r="K13" s="12" t="n"/>
      <c r="L13" s="12" t="n"/>
    </row>
    <row r="14" ht="22" customHeight="1">
      <c r="B14" s="18">
        <f>IF(C14="","RAP-"&amp;TEXT(COUNTA($C$5:C14),"000"))</f>
        <v/>
      </c>
      <c r="C14" s="15" t="n"/>
      <c r="D14" s="15" t="n"/>
      <c r="E14" s="34" t="n"/>
      <c r="F14" s="34" t="n"/>
      <c r="G14" s="15" t="n"/>
      <c r="H14" s="15" t="n"/>
      <c r="I14" s="16" t="n"/>
      <c r="J14" s="23" t="n"/>
      <c r="K14" s="15" t="n"/>
      <c r="L14" s="15" t="n"/>
    </row>
    <row r="15" ht="22" customHeight="1">
      <c r="B15" s="19">
        <f>IF(C15="","RAP-"&amp;TEXT(COUNTA($C$5:C15),"000"))</f>
        <v/>
      </c>
      <c r="C15" s="12" t="n"/>
      <c r="D15" s="12" t="n"/>
      <c r="E15" s="33" t="n"/>
      <c r="F15" s="33" t="n"/>
      <c r="G15" s="12" t="n"/>
      <c r="H15" s="12" t="n"/>
      <c r="I15" s="13" t="n"/>
      <c r="J15" s="21" t="n"/>
      <c r="K15" s="12" t="n"/>
      <c r="L15" s="12" t="n"/>
    </row>
    <row r="16" ht="22" customHeight="1">
      <c r="B16" s="18">
        <f>IF(C16="","RAP-"&amp;TEXT(COUNTA($C$5:C16),"000"))</f>
        <v/>
      </c>
      <c r="C16" s="15" t="n"/>
      <c r="D16" s="15" t="n"/>
      <c r="E16" s="34" t="n"/>
      <c r="F16" s="34" t="n"/>
      <c r="G16" s="15" t="n"/>
      <c r="H16" s="15" t="n"/>
      <c r="I16" s="16" t="n"/>
      <c r="J16" s="23" t="n"/>
      <c r="K16" s="15" t="n"/>
      <c r="L16" s="15" t="n"/>
    </row>
    <row r="17" ht="22" customHeight="1">
      <c r="B17" s="19">
        <f>IF(C17="","RAP-"&amp;TEXT(COUNTA($C$5:C17),"000"))</f>
        <v/>
      </c>
      <c r="C17" s="12" t="n"/>
      <c r="D17" s="12" t="n"/>
      <c r="E17" s="33" t="n"/>
      <c r="F17" s="33" t="n"/>
      <c r="G17" s="12" t="n"/>
      <c r="H17" s="12" t="n"/>
      <c r="I17" s="13" t="n"/>
      <c r="J17" s="21" t="n"/>
      <c r="K17" s="12" t="n"/>
      <c r="L17" s="12" t="n"/>
    </row>
    <row r="18" ht="22" customHeight="1">
      <c r="B18" s="18">
        <f>IF(C18="","RAP-"&amp;TEXT(COUNTA($C$5:C18),"000"))</f>
        <v/>
      </c>
      <c r="C18" s="15" t="n"/>
      <c r="D18" s="15" t="n"/>
      <c r="E18" s="34" t="n"/>
      <c r="F18" s="34" t="n"/>
      <c r="G18" s="15" t="n"/>
      <c r="H18" s="15" t="n"/>
      <c r="I18" s="16" t="n"/>
      <c r="J18" s="23" t="n"/>
      <c r="K18" s="15" t="n"/>
      <c r="L18" s="15" t="n"/>
    </row>
    <row r="19" ht="22" customHeight="1">
      <c r="B19" s="19">
        <f>IF(C19="","RAP-"&amp;TEXT(COUNTA($C$5:C19),"000"))</f>
        <v/>
      </c>
      <c r="C19" s="12" t="n"/>
      <c r="D19" s="12" t="n"/>
      <c r="E19" s="33" t="n"/>
      <c r="F19" s="33" t="n"/>
      <c r="G19" s="12" t="n"/>
      <c r="H19" s="12" t="n"/>
      <c r="I19" s="13" t="n"/>
      <c r="J19" s="21" t="n"/>
      <c r="K19" s="12" t="n"/>
      <c r="L19" s="12" t="n"/>
    </row>
    <row r="20" ht="22" customHeight="1">
      <c r="B20" s="18">
        <f>IF(C20="","RAP-"&amp;TEXT(COUNTA($C$5:C20),"000"))</f>
        <v/>
      </c>
      <c r="C20" s="15" t="n"/>
      <c r="D20" s="15" t="n"/>
      <c r="E20" s="34" t="n"/>
      <c r="F20" s="34" t="n"/>
      <c r="G20" s="15" t="n"/>
      <c r="H20" s="15" t="n"/>
      <c r="I20" s="16" t="n"/>
      <c r="J20" s="23" t="n"/>
      <c r="K20" s="15" t="n"/>
      <c r="L20" s="15" t="n"/>
    </row>
    <row r="21" ht="22" customHeight="1">
      <c r="B21" s="19">
        <f>IF(C21="","RAP-"&amp;TEXT(COUNTA($C$5:C21),"000"))</f>
        <v/>
      </c>
      <c r="C21" s="12" t="n"/>
      <c r="D21" s="12" t="n"/>
      <c r="E21" s="33" t="n"/>
      <c r="F21" s="33" t="n"/>
      <c r="G21" s="12" t="n"/>
      <c r="H21" s="12" t="n"/>
      <c r="I21" s="13" t="n"/>
      <c r="J21" s="21" t="n"/>
      <c r="K21" s="12" t="n"/>
      <c r="L21" s="12" t="n"/>
    </row>
    <row r="22" ht="22" customHeight="1">
      <c r="B22" s="18">
        <f>IF(C22="","RAP-"&amp;TEXT(COUNTA($C$5:C22),"000"))</f>
        <v/>
      </c>
      <c r="C22" s="15" t="n"/>
      <c r="D22" s="15" t="n"/>
      <c r="E22" s="34" t="n"/>
      <c r="F22" s="34" t="n"/>
      <c r="G22" s="15" t="n"/>
      <c r="H22" s="15" t="n"/>
      <c r="I22" s="16" t="n"/>
      <c r="J22" s="23" t="n"/>
      <c r="K22" s="15" t="n"/>
      <c r="L22" s="15" t="n"/>
    </row>
    <row r="23" ht="22" customHeight="1">
      <c r="B23" s="19">
        <f>IF(C23="","RAP-"&amp;TEXT(COUNTA($C$5:C23),"000"))</f>
        <v/>
      </c>
      <c r="C23" s="12" t="n"/>
      <c r="D23" s="12" t="n"/>
      <c r="E23" s="33" t="n"/>
      <c r="F23" s="33" t="n"/>
      <c r="G23" s="12" t="n"/>
      <c r="H23" s="12" t="n"/>
      <c r="I23" s="13" t="n"/>
      <c r="J23" s="21" t="n"/>
      <c r="K23" s="12" t="n"/>
      <c r="L23" s="12" t="n"/>
    </row>
    <row r="24" ht="22" customHeight="1">
      <c r="B24" s="18">
        <f>IF(C24="","RAP-"&amp;TEXT(COUNTA($C$5:C24),"000"))</f>
        <v/>
      </c>
      <c r="C24" s="15" t="n"/>
      <c r="D24" s="15" t="n"/>
      <c r="E24" s="34" t="n"/>
      <c r="F24" s="34" t="n"/>
      <c r="G24" s="15" t="n"/>
      <c r="H24" s="15" t="n"/>
      <c r="I24" s="16" t="n"/>
      <c r="J24" s="23" t="n"/>
      <c r="K24" s="15" t="n"/>
      <c r="L24" s="15" t="n"/>
    </row>
    <row r="25" ht="22" customHeight="1">
      <c r="B25" s="19">
        <f>IF(C25="","RAP-"&amp;TEXT(COUNTA($C$5:C25),"000"))</f>
        <v/>
      </c>
      <c r="C25" s="12" t="n"/>
      <c r="D25" s="12" t="n"/>
      <c r="E25" s="33" t="n"/>
      <c r="F25" s="33" t="n"/>
      <c r="G25" s="12" t="n"/>
      <c r="H25" s="12" t="n"/>
      <c r="I25" s="13" t="n"/>
      <c r="J25" s="21" t="n"/>
      <c r="K25" s="12" t="n"/>
      <c r="L25" s="12" t="n"/>
    </row>
    <row r="26" ht="22" customHeight="1">
      <c r="B26" s="18">
        <f>IF(C26="","RAP-"&amp;TEXT(COUNTA($C$5:C26),"000"))</f>
        <v/>
      </c>
      <c r="C26" s="15" t="n"/>
      <c r="D26" s="15" t="n"/>
      <c r="E26" s="34" t="n"/>
      <c r="F26" s="34" t="n"/>
      <c r="G26" s="15" t="n"/>
      <c r="H26" s="15" t="n"/>
      <c r="I26" s="16" t="n"/>
      <c r="J26" s="23" t="n"/>
      <c r="K26" s="15" t="n"/>
      <c r="L26" s="15" t="n"/>
    </row>
    <row r="27" ht="22" customHeight="1">
      <c r="B27" s="19">
        <f>IF(C27="","RAP-"&amp;TEXT(COUNTA($C$5:C27),"000"))</f>
        <v/>
      </c>
      <c r="C27" s="12" t="n"/>
      <c r="D27" s="12" t="n"/>
      <c r="E27" s="33" t="n"/>
      <c r="F27" s="33" t="n"/>
      <c r="G27" s="12" t="n"/>
      <c r="H27" s="12" t="n"/>
      <c r="I27" s="13" t="n"/>
      <c r="J27" s="21" t="n"/>
      <c r="K27" s="12" t="n"/>
      <c r="L27" s="12" t="n"/>
    </row>
    <row r="28" ht="22" customHeight="1">
      <c r="B28" s="18">
        <f>IF(C28="","RAP-"&amp;TEXT(COUNTA($C$5:C28),"000"))</f>
        <v/>
      </c>
      <c r="C28" s="15" t="n"/>
      <c r="D28" s="15" t="n"/>
      <c r="E28" s="34" t="n"/>
      <c r="F28" s="34" t="n"/>
      <c r="G28" s="15" t="n"/>
      <c r="H28" s="15" t="n"/>
      <c r="I28" s="16" t="n"/>
      <c r="J28" s="23" t="n"/>
      <c r="K28" s="15" t="n"/>
      <c r="L28" s="15" t="n"/>
    </row>
    <row r="29" ht="22" customHeight="1">
      <c r="B29" s="19">
        <f>IF(C29="","RAP-"&amp;TEXT(COUNTA($C$5:C29),"000"))</f>
        <v/>
      </c>
      <c r="C29" s="12" t="n"/>
      <c r="D29" s="12" t="n"/>
      <c r="E29" s="33" t="n"/>
      <c r="F29" s="33" t="n"/>
      <c r="G29" s="12" t="n"/>
      <c r="H29" s="12" t="n"/>
      <c r="I29" s="13" t="n"/>
      <c r="J29" s="21" t="n"/>
      <c r="K29" s="12" t="n"/>
      <c r="L29" s="12" t="n"/>
    </row>
    <row r="30" ht="22" customHeight="1">
      <c r="B30" s="18">
        <f>IF(C30="","RAP-"&amp;TEXT(COUNTA($C$5:C30),"000"))</f>
        <v/>
      </c>
      <c r="C30" s="15" t="n"/>
      <c r="D30" s="15" t="n"/>
      <c r="E30" s="34" t="n"/>
      <c r="F30" s="34" t="n"/>
      <c r="G30" s="15" t="n"/>
      <c r="H30" s="15" t="n"/>
      <c r="I30" s="16" t="n"/>
      <c r="J30" s="23" t="n"/>
      <c r="K30" s="15" t="n"/>
      <c r="L30" s="15" t="n"/>
    </row>
    <row r="31" ht="22" customHeight="1">
      <c r="B31" s="19">
        <f>IF(C31="","RAP-"&amp;TEXT(COUNTA($C$5:C31),"000"))</f>
        <v/>
      </c>
      <c r="C31" s="12" t="n"/>
      <c r="D31" s="12" t="n"/>
      <c r="E31" s="33" t="n"/>
      <c r="F31" s="33" t="n"/>
      <c r="G31" s="12" t="n"/>
      <c r="H31" s="12" t="n"/>
      <c r="I31" s="13" t="n"/>
      <c r="J31" s="21" t="n"/>
      <c r="K31" s="12" t="n"/>
      <c r="L31" s="12" t="n"/>
    </row>
    <row r="32" ht="22" customHeight="1">
      <c r="B32" s="18">
        <f>IF(C32="","RAP-"&amp;TEXT(COUNTA($C$5:C32),"000"))</f>
        <v/>
      </c>
      <c r="C32" s="15" t="n"/>
      <c r="D32" s="15" t="n"/>
      <c r="E32" s="34" t="n"/>
      <c r="F32" s="34" t="n"/>
      <c r="G32" s="15" t="n"/>
      <c r="H32" s="15" t="n"/>
      <c r="I32" s="16" t="n"/>
      <c r="J32" s="23" t="n"/>
      <c r="K32" s="15" t="n"/>
      <c r="L32" s="15" t="n"/>
    </row>
    <row r="33" ht="22" customHeight="1">
      <c r="B33" s="19">
        <f>IF(C33="","RAP-"&amp;TEXT(COUNTA($C$5:C33),"000"))</f>
        <v/>
      </c>
      <c r="C33" s="12" t="n"/>
      <c r="D33" s="12" t="n"/>
      <c r="E33" s="33" t="n"/>
      <c r="F33" s="33" t="n"/>
      <c r="G33" s="12" t="n"/>
      <c r="H33" s="12" t="n"/>
      <c r="I33" s="13" t="n"/>
      <c r="J33" s="21" t="n"/>
      <c r="K33" s="12" t="n"/>
      <c r="L33" s="12" t="n"/>
    </row>
    <row r="34" ht="22" customHeight="1">
      <c r="B34" s="18">
        <f>IF(C34="","RAP-"&amp;TEXT(COUNTA($C$5:C34),"000"))</f>
        <v/>
      </c>
      <c r="C34" s="15" t="n"/>
      <c r="D34" s="15" t="n"/>
      <c r="E34" s="34" t="n"/>
      <c r="F34" s="34" t="n"/>
      <c r="G34" s="15" t="n"/>
      <c r="H34" s="15" t="n"/>
      <c r="I34" s="16" t="n"/>
      <c r="J34" s="23" t="n"/>
      <c r="K34" s="15" t="n"/>
      <c r="L34" s="15" t="n"/>
    </row>
    <row r="35" ht="22" customHeight="1">
      <c r="B35" s="19">
        <f>IF(C35="","RAP-"&amp;TEXT(COUNTA($C$5:C35),"000"))</f>
        <v/>
      </c>
      <c r="C35" s="12" t="n"/>
      <c r="D35" s="12" t="n"/>
      <c r="E35" s="33" t="n"/>
      <c r="F35" s="33" t="n"/>
      <c r="G35" s="12" t="n"/>
      <c r="H35" s="12" t="n"/>
      <c r="I35" s="13" t="n"/>
      <c r="J35" s="21" t="n"/>
      <c r="K35" s="12" t="n"/>
      <c r="L35" s="12" t="n"/>
    </row>
    <row r="36" ht="22" customHeight="1">
      <c r="B36" s="18">
        <f>IF(C36="","RAP-"&amp;TEXT(COUNTA($C$5:C36),"000"))</f>
        <v/>
      </c>
      <c r="C36" s="15" t="n"/>
      <c r="D36" s="15" t="n"/>
      <c r="E36" s="34" t="n"/>
      <c r="F36" s="34" t="n"/>
      <c r="G36" s="15" t="n"/>
      <c r="H36" s="15" t="n"/>
      <c r="I36" s="16" t="n"/>
      <c r="J36" s="23" t="n"/>
      <c r="K36" s="15" t="n"/>
      <c r="L36" s="15" t="n"/>
    </row>
    <row r="37" ht="22" customHeight="1">
      <c r="B37" s="19">
        <f>IF(C37="","RAP-"&amp;TEXT(COUNTA($C$5:C37),"000"))</f>
        <v/>
      </c>
      <c r="C37" s="12" t="n"/>
      <c r="D37" s="12" t="n"/>
      <c r="E37" s="33" t="n"/>
      <c r="F37" s="33" t="n"/>
      <c r="G37" s="12" t="n"/>
      <c r="H37" s="12" t="n"/>
      <c r="I37" s="13" t="n"/>
      <c r="J37" s="21" t="n"/>
      <c r="K37" s="12" t="n"/>
      <c r="L37" s="12" t="n"/>
    </row>
    <row r="38" ht="22" customHeight="1">
      <c r="B38" s="18">
        <f>IF(C38="","RAP-"&amp;TEXT(COUNTA($C$5:C38),"000"))</f>
        <v/>
      </c>
      <c r="C38" s="15" t="n"/>
      <c r="D38" s="15" t="n"/>
      <c r="E38" s="34" t="n"/>
      <c r="F38" s="34" t="n"/>
      <c r="G38" s="15" t="n"/>
      <c r="H38" s="15" t="n"/>
      <c r="I38" s="16" t="n"/>
      <c r="J38" s="23" t="n"/>
      <c r="K38" s="15" t="n"/>
      <c r="L38" s="15" t="n"/>
    </row>
    <row r="39" ht="22" customHeight="1">
      <c r="B39" s="19">
        <f>IF(C39="","RAP-"&amp;TEXT(COUNTA($C$5:C39),"000"))</f>
        <v/>
      </c>
      <c r="C39" s="12" t="n"/>
      <c r="D39" s="12" t="n"/>
      <c r="E39" s="33" t="n"/>
      <c r="F39" s="33" t="n"/>
      <c r="G39" s="12" t="n"/>
      <c r="H39" s="12" t="n"/>
      <c r="I39" s="13" t="n"/>
      <c r="J39" s="21" t="n"/>
      <c r="K39" s="12" t="n"/>
      <c r="L39" s="12" t="n"/>
    </row>
    <row r="40" ht="22" customHeight="1">
      <c r="B40" s="18">
        <f>IF(C40="","RAP-"&amp;TEXT(COUNTA($C$5:C40),"000"))</f>
        <v/>
      </c>
      <c r="C40" s="15" t="n"/>
      <c r="D40" s="15" t="n"/>
      <c r="E40" s="34" t="n"/>
      <c r="F40" s="34" t="n"/>
      <c r="G40" s="15" t="n"/>
      <c r="H40" s="15" t="n"/>
      <c r="I40" s="16" t="n"/>
      <c r="J40" s="23" t="n"/>
      <c r="K40" s="15" t="n"/>
      <c r="L40" s="15" t="n"/>
    </row>
    <row r="41" ht="22" customHeight="1">
      <c r="B41" s="19">
        <f>IF(C41="","RAP-"&amp;TEXT(COUNTA($C$5:C41),"000"))</f>
        <v/>
      </c>
      <c r="C41" s="12" t="n"/>
      <c r="D41" s="12" t="n"/>
      <c r="E41" s="33" t="n"/>
      <c r="F41" s="33" t="n"/>
      <c r="G41" s="12" t="n"/>
      <c r="H41" s="12" t="n"/>
      <c r="I41" s="13" t="n"/>
      <c r="J41" s="21" t="n"/>
      <c r="K41" s="12" t="n"/>
      <c r="L41" s="12" t="n"/>
    </row>
    <row r="42" ht="22" customHeight="1">
      <c r="B42" s="18">
        <f>IF(C42="","RAP-"&amp;TEXT(COUNTA($C$5:C42),"000"))</f>
        <v/>
      </c>
      <c r="C42" s="15" t="n"/>
      <c r="D42" s="15" t="n"/>
      <c r="E42" s="34" t="n"/>
      <c r="F42" s="34" t="n"/>
      <c r="G42" s="15" t="n"/>
      <c r="H42" s="15" t="n"/>
      <c r="I42" s="16" t="n"/>
      <c r="J42" s="23" t="n"/>
      <c r="K42" s="15" t="n"/>
      <c r="L42" s="15" t="n"/>
    </row>
    <row r="43" ht="22" customHeight="1">
      <c r="B43" s="19">
        <f>IF(C43="","RAP-"&amp;TEXT(COUNTA($C$5:C43),"000"))</f>
        <v/>
      </c>
      <c r="C43" s="12" t="n"/>
      <c r="D43" s="12" t="n"/>
      <c r="E43" s="33" t="n"/>
      <c r="F43" s="33" t="n"/>
      <c r="G43" s="12" t="n"/>
      <c r="H43" s="12" t="n"/>
      <c r="I43" s="13" t="n"/>
      <c r="J43" s="21" t="n"/>
      <c r="K43" s="12" t="n"/>
      <c r="L43" s="12" t="n"/>
    </row>
    <row r="44" ht="22" customHeight="1">
      <c r="B44" s="18">
        <f>IF(C44="","RAP-"&amp;TEXT(COUNTA($C$5:C44),"000"))</f>
        <v/>
      </c>
      <c r="C44" s="15" t="n"/>
      <c r="D44" s="15" t="n"/>
      <c r="E44" s="34" t="n"/>
      <c r="F44" s="34" t="n"/>
      <c r="G44" s="15" t="n"/>
      <c r="H44" s="15" t="n"/>
      <c r="I44" s="16" t="n"/>
      <c r="J44" s="23" t="n"/>
      <c r="K44" s="15" t="n"/>
      <c r="L44" s="15" t="n"/>
    </row>
    <row r="45" ht="22" customHeight="1">
      <c r="B45" s="19">
        <f>IF(C45="","RAP-"&amp;TEXT(COUNTA($C$5:C45),"000"))</f>
        <v/>
      </c>
      <c r="C45" s="12" t="n"/>
      <c r="D45" s="12" t="n"/>
      <c r="E45" s="33" t="n"/>
      <c r="F45" s="33" t="n"/>
      <c r="G45" s="12" t="n"/>
      <c r="H45" s="12" t="n"/>
      <c r="I45" s="13" t="n"/>
      <c r="J45" s="21" t="n"/>
      <c r="K45" s="12" t="n"/>
      <c r="L45" s="12" t="n"/>
    </row>
    <row r="46" ht="22" customHeight="1">
      <c r="B46" s="18">
        <f>IF(C46="","RAP-"&amp;TEXT(COUNTA($C$5:C46),"000"))</f>
        <v/>
      </c>
      <c r="C46" s="15" t="n"/>
      <c r="D46" s="15" t="n"/>
      <c r="E46" s="34" t="n"/>
      <c r="F46" s="34" t="n"/>
      <c r="G46" s="15" t="n"/>
      <c r="H46" s="15" t="n"/>
      <c r="I46" s="16" t="n"/>
      <c r="J46" s="23" t="n"/>
      <c r="K46" s="15" t="n"/>
      <c r="L46" s="15" t="n"/>
    </row>
    <row r="47" ht="22" customHeight="1">
      <c r="B47" s="19">
        <f>IF(C47="","RAP-"&amp;TEXT(COUNTA($C$5:C47),"000"))</f>
        <v/>
      </c>
      <c r="C47" s="12" t="n"/>
      <c r="D47" s="12" t="n"/>
      <c r="E47" s="33" t="n"/>
      <c r="F47" s="33" t="n"/>
      <c r="G47" s="12" t="n"/>
      <c r="H47" s="12" t="n"/>
      <c r="I47" s="13" t="n"/>
      <c r="J47" s="21" t="n"/>
      <c r="K47" s="12" t="n"/>
      <c r="L47" s="12" t="n"/>
    </row>
    <row r="48" ht="22" customHeight="1">
      <c r="B48" s="18">
        <f>IF(C48="","RAP-"&amp;TEXT(COUNTA($C$5:C48),"000"))</f>
        <v/>
      </c>
      <c r="C48" s="15" t="n"/>
      <c r="D48" s="15" t="n"/>
      <c r="E48" s="34" t="n"/>
      <c r="F48" s="34" t="n"/>
      <c r="G48" s="15" t="n"/>
      <c r="H48" s="15" t="n"/>
      <c r="I48" s="16" t="n"/>
      <c r="J48" s="23" t="n"/>
      <c r="K48" s="15" t="n"/>
      <c r="L48" s="15" t="n"/>
    </row>
    <row r="49" ht="22" customHeight="1">
      <c r="B49" s="19">
        <f>IF(C49="","RAP-"&amp;TEXT(COUNTA($C$5:C49),"000"))</f>
        <v/>
      </c>
      <c r="C49" s="12" t="n"/>
      <c r="D49" s="12" t="n"/>
      <c r="E49" s="33" t="n"/>
      <c r="F49" s="33" t="n"/>
      <c r="G49" s="12" t="n"/>
      <c r="H49" s="12" t="n"/>
      <c r="I49" s="13" t="n"/>
      <c r="J49" s="21" t="n"/>
      <c r="K49" s="12" t="n"/>
      <c r="L49" s="12" t="n"/>
    </row>
    <row r="50" ht="22" customHeight="1">
      <c r="B50" s="18">
        <f>IF(C50="","RAP-"&amp;TEXT(COUNTA($C$5:C50),"000"))</f>
        <v/>
      </c>
      <c r="C50" s="15" t="n"/>
      <c r="D50" s="15" t="n"/>
      <c r="E50" s="34" t="n"/>
      <c r="F50" s="34" t="n"/>
      <c r="G50" s="15" t="n"/>
      <c r="H50" s="15" t="n"/>
      <c r="I50" s="16" t="n"/>
      <c r="J50" s="23" t="n"/>
      <c r="K50" s="15" t="n"/>
      <c r="L50" s="15" t="n"/>
    </row>
    <row r="51" ht="22" customHeight="1">
      <c r="B51" s="19">
        <f>IF(C51="","RAP-"&amp;TEXT(COUNTA($C$5:C51),"000"))</f>
        <v/>
      </c>
      <c r="C51" s="12" t="n"/>
      <c r="D51" s="12" t="n"/>
      <c r="E51" s="33" t="n"/>
      <c r="F51" s="33" t="n"/>
      <c r="G51" s="12" t="n"/>
      <c r="H51" s="12" t="n"/>
      <c r="I51" s="13" t="n"/>
      <c r="J51" s="21" t="n"/>
      <c r="K51" s="12" t="n"/>
      <c r="L51" s="12" t="n"/>
    </row>
    <row r="52" ht="22" customHeight="1">
      <c r="B52" s="18">
        <f>IF(C52="","RAP-"&amp;TEXT(COUNTA($C$5:C52),"000"))</f>
        <v/>
      </c>
      <c r="C52" s="15" t="n"/>
      <c r="D52" s="15" t="n"/>
      <c r="E52" s="34" t="n"/>
      <c r="F52" s="34" t="n"/>
      <c r="G52" s="15" t="n"/>
      <c r="H52" s="15" t="n"/>
      <c r="I52" s="16" t="n"/>
      <c r="J52" s="23" t="n"/>
      <c r="K52" s="15" t="n"/>
      <c r="L52" s="15" t="n"/>
    </row>
    <row r="53" ht="22" customHeight="1">
      <c r="B53" s="19">
        <f>IF(C53="","RAP-"&amp;TEXT(COUNTA($C$5:C53),"000"))</f>
        <v/>
      </c>
      <c r="C53" s="12" t="n"/>
      <c r="D53" s="12" t="n"/>
      <c r="E53" s="33" t="n"/>
      <c r="F53" s="33" t="n"/>
      <c r="G53" s="12" t="n"/>
      <c r="H53" s="12" t="n"/>
      <c r="I53" s="13" t="n"/>
      <c r="J53" s="21" t="n"/>
      <c r="K53" s="12" t="n"/>
      <c r="L53" s="12" t="n"/>
    </row>
    <row r="54" ht="22" customHeight="1">
      <c r="B54" s="18">
        <f>IF(C54="","RAP-"&amp;TEXT(COUNTA($C$5:C54),"000"))</f>
        <v/>
      </c>
      <c r="C54" s="15" t="n"/>
      <c r="D54" s="15" t="n"/>
      <c r="E54" s="34" t="n"/>
      <c r="F54" s="34" t="n"/>
      <c r="G54" s="15" t="n"/>
      <c r="H54" s="15" t="n"/>
      <c r="I54" s="16" t="n"/>
      <c r="J54" s="23" t="n"/>
      <c r="K54" s="15" t="n"/>
      <c r="L54" s="15" t="n"/>
    </row>
    <row r="55" ht="22" customHeight="1">
      <c r="B55" s="19">
        <f>IF(C55="","RAP-"&amp;TEXT(COUNTA($C$5:C55),"000"))</f>
        <v/>
      </c>
      <c r="C55" s="12" t="n"/>
      <c r="D55" s="12" t="n"/>
      <c r="E55" s="33" t="n"/>
      <c r="F55" s="33" t="n"/>
      <c r="G55" s="12" t="n"/>
      <c r="H55" s="12" t="n"/>
      <c r="I55" s="13" t="n"/>
      <c r="J55" s="21" t="n"/>
      <c r="K55" s="12" t="n"/>
      <c r="L55" s="12" t="n"/>
    </row>
    <row r="56" ht="22" customHeight="1">
      <c r="B56" s="18">
        <f>IF(C56="","RAP-"&amp;TEXT(COUNTA($C$5:C56),"000"))</f>
        <v/>
      </c>
      <c r="C56" s="15" t="n"/>
      <c r="D56" s="15" t="n"/>
      <c r="E56" s="34" t="n"/>
      <c r="F56" s="34" t="n"/>
      <c r="G56" s="15" t="n"/>
      <c r="H56" s="15" t="n"/>
      <c r="I56" s="16" t="n"/>
      <c r="J56" s="23" t="n"/>
      <c r="K56" s="15" t="n"/>
      <c r="L56" s="15" t="n"/>
    </row>
    <row r="57" ht="22" customHeight="1">
      <c r="B57" s="19">
        <f>IF(C57="","RAP-"&amp;TEXT(COUNTA($C$5:C57),"000"))</f>
        <v/>
      </c>
      <c r="C57" s="12" t="n"/>
      <c r="D57" s="12" t="n"/>
      <c r="E57" s="33" t="n"/>
      <c r="F57" s="33" t="n"/>
      <c r="G57" s="12" t="n"/>
      <c r="H57" s="12" t="n"/>
      <c r="I57" s="13" t="n"/>
      <c r="J57" s="21" t="n"/>
      <c r="K57" s="12" t="n"/>
      <c r="L57" s="12" t="n"/>
    </row>
    <row r="58" ht="22" customHeight="1">
      <c r="B58" s="18">
        <f>IF(C58="","RAP-"&amp;TEXT(COUNTA($C$5:C58),"000"))</f>
        <v/>
      </c>
      <c r="C58" s="15" t="n"/>
      <c r="D58" s="15" t="n"/>
      <c r="E58" s="34" t="n"/>
      <c r="F58" s="34" t="n"/>
      <c r="G58" s="15" t="n"/>
      <c r="H58" s="15" t="n"/>
      <c r="I58" s="16" t="n"/>
      <c r="J58" s="23" t="n"/>
      <c r="K58" s="15" t="n"/>
      <c r="L58" s="15" t="n"/>
    </row>
    <row r="59" ht="22" customHeight="1">
      <c r="B59" s="19">
        <f>IF(C59="","RAP-"&amp;TEXT(COUNTA($C$5:C59),"000"))</f>
        <v/>
      </c>
      <c r="C59" s="12" t="n"/>
      <c r="D59" s="12" t="n"/>
      <c r="E59" s="33" t="n"/>
      <c r="F59" s="33" t="n"/>
      <c r="G59" s="12" t="n"/>
      <c r="H59" s="12" t="n"/>
      <c r="I59" s="13" t="n"/>
      <c r="J59" s="21" t="n"/>
      <c r="K59" s="12" t="n"/>
      <c r="L59" s="12" t="n"/>
    </row>
    <row r="60" ht="22" customHeight="1">
      <c r="B60" s="18">
        <f>IF(C60="","RAP-"&amp;TEXT(COUNTA($C$5:C60),"000"))</f>
        <v/>
      </c>
      <c r="C60" s="15" t="n"/>
      <c r="D60" s="15" t="n"/>
      <c r="E60" s="34" t="n"/>
      <c r="F60" s="34" t="n"/>
      <c r="G60" s="15" t="n"/>
      <c r="H60" s="15" t="n"/>
      <c r="I60" s="16" t="n"/>
      <c r="J60" s="23" t="n"/>
      <c r="K60" s="15" t="n"/>
      <c r="L60" s="15" t="n"/>
    </row>
    <row r="61" ht="22" customHeight="1">
      <c r="B61" s="19">
        <f>IF(C61="","RAP-"&amp;TEXT(COUNTA($C$5:C61),"000"))</f>
        <v/>
      </c>
      <c r="C61" s="12" t="n"/>
      <c r="D61" s="12" t="n"/>
      <c r="E61" s="33" t="n"/>
      <c r="F61" s="33" t="n"/>
      <c r="G61" s="12" t="n"/>
      <c r="H61" s="12" t="n"/>
      <c r="I61" s="13" t="n"/>
      <c r="J61" s="21" t="n"/>
      <c r="K61" s="12" t="n"/>
      <c r="L61" s="12" t="n"/>
    </row>
    <row r="62" ht="22" customHeight="1">
      <c r="B62" s="18">
        <f>IF(C62="","RAP-"&amp;TEXT(COUNTA($C$5:C62),"000"))</f>
        <v/>
      </c>
      <c r="C62" s="15" t="n"/>
      <c r="D62" s="15" t="n"/>
      <c r="E62" s="34" t="n"/>
      <c r="F62" s="34" t="n"/>
      <c r="G62" s="15" t="n"/>
      <c r="H62" s="15" t="n"/>
      <c r="I62" s="16" t="n"/>
      <c r="J62" s="23" t="n"/>
      <c r="K62" s="15" t="n"/>
      <c r="L62" s="15" t="n"/>
    </row>
    <row r="63" ht="22" customHeight="1">
      <c r="B63" s="19">
        <f>IF(C63="","RAP-"&amp;TEXT(COUNTA($C$5:C63),"000"))</f>
        <v/>
      </c>
      <c r="C63" s="12" t="n"/>
      <c r="D63" s="12" t="n"/>
      <c r="E63" s="33" t="n"/>
      <c r="F63" s="33" t="n"/>
      <c r="G63" s="12" t="n"/>
      <c r="H63" s="12" t="n"/>
      <c r="I63" s="13" t="n"/>
      <c r="J63" s="21" t="n"/>
      <c r="K63" s="12" t="n"/>
      <c r="L63" s="12" t="n"/>
    </row>
    <row r="64" ht="22" customHeight="1">
      <c r="B64" s="18">
        <f>IF(C64="","RAP-"&amp;TEXT(COUNTA($C$5:C64),"000"))</f>
        <v/>
      </c>
      <c r="C64" s="15" t="n"/>
      <c r="D64" s="15" t="n"/>
      <c r="E64" s="34" t="n"/>
      <c r="F64" s="34" t="n"/>
      <c r="G64" s="15" t="n"/>
      <c r="H64" s="15" t="n"/>
      <c r="I64" s="16" t="n"/>
      <c r="J64" s="23" t="n"/>
      <c r="K64" s="15" t="n"/>
      <c r="L64" s="15" t="n"/>
    </row>
    <row r="65" ht="22" customHeight="1">
      <c r="B65" s="19">
        <f>IF(C65="","RAP-"&amp;TEXT(COUNTA($C$5:C65),"000"))</f>
        <v/>
      </c>
      <c r="C65" s="12" t="n"/>
      <c r="D65" s="12" t="n"/>
      <c r="E65" s="33" t="n"/>
      <c r="F65" s="33" t="n"/>
      <c r="G65" s="12" t="n"/>
      <c r="H65" s="12" t="n"/>
      <c r="I65" s="13" t="n"/>
      <c r="J65" s="21" t="n"/>
      <c r="K65" s="12" t="n"/>
      <c r="L65" s="12" t="n"/>
    </row>
    <row r="66" ht="22" customHeight="1">
      <c r="B66" s="18">
        <f>IF(C66="","RAP-"&amp;TEXT(COUNTA($C$5:C66),"000"))</f>
        <v/>
      </c>
      <c r="C66" s="15" t="n"/>
      <c r="D66" s="15" t="n"/>
      <c r="E66" s="34" t="n"/>
      <c r="F66" s="34" t="n"/>
      <c r="G66" s="15" t="n"/>
      <c r="H66" s="15" t="n"/>
      <c r="I66" s="16" t="n"/>
      <c r="J66" s="23" t="n"/>
      <c r="K66" s="15" t="n"/>
      <c r="L66" s="15" t="n"/>
    </row>
    <row r="67" ht="22" customHeight="1">
      <c r="B67" s="19">
        <f>IF(C67="","RAP-"&amp;TEXT(COUNTA($C$5:C67),"000"))</f>
        <v/>
      </c>
      <c r="C67" s="12" t="n"/>
      <c r="D67" s="12" t="n"/>
      <c r="E67" s="33" t="n"/>
      <c r="F67" s="33" t="n"/>
      <c r="G67" s="12" t="n"/>
      <c r="H67" s="12" t="n"/>
      <c r="I67" s="13" t="n"/>
      <c r="J67" s="21" t="n"/>
      <c r="K67" s="12" t="n"/>
      <c r="L67" s="12" t="n"/>
    </row>
    <row r="68" ht="22" customHeight="1">
      <c r="B68" s="18">
        <f>IF(C68="","RAP-"&amp;TEXT(COUNTA($C$5:C68),"000"))</f>
        <v/>
      </c>
      <c r="C68" s="15" t="n"/>
      <c r="D68" s="15" t="n"/>
      <c r="E68" s="34" t="n"/>
      <c r="F68" s="34" t="n"/>
      <c r="G68" s="15" t="n"/>
      <c r="H68" s="15" t="n"/>
      <c r="I68" s="16" t="n"/>
      <c r="J68" s="23" t="n"/>
      <c r="K68" s="15" t="n"/>
      <c r="L68" s="15" t="n"/>
    </row>
    <row r="69" ht="22" customHeight="1">
      <c r="B69" s="19">
        <f>IF(C69="","RAP-"&amp;TEXT(COUNTA($C$5:C69),"000"))</f>
        <v/>
      </c>
      <c r="C69" s="12" t="n"/>
      <c r="D69" s="12" t="n"/>
      <c r="E69" s="33" t="n"/>
      <c r="F69" s="33" t="n"/>
      <c r="G69" s="12" t="n"/>
      <c r="H69" s="12" t="n"/>
      <c r="I69" s="13" t="n"/>
      <c r="J69" s="21" t="n"/>
      <c r="K69" s="12" t="n"/>
      <c r="L69" s="12" t="n"/>
    </row>
    <row r="70" ht="22" customHeight="1">
      <c r="B70" s="18">
        <f>IF(C70="","RAP-"&amp;TEXT(COUNTA($C$5:C70),"000"))</f>
        <v/>
      </c>
      <c r="C70" s="15" t="n"/>
      <c r="D70" s="15" t="n"/>
      <c r="E70" s="34" t="n"/>
      <c r="F70" s="34" t="n"/>
      <c r="G70" s="15" t="n"/>
      <c r="H70" s="15" t="n"/>
      <c r="I70" s="16" t="n"/>
      <c r="J70" s="23" t="n"/>
      <c r="K70" s="15" t="n"/>
      <c r="L70" s="15" t="n"/>
    </row>
    <row r="71" ht="22" customHeight="1">
      <c r="B71" s="19">
        <f>IF(C71="","RAP-"&amp;TEXT(COUNTA($C$5:C71),"000"))</f>
        <v/>
      </c>
      <c r="C71" s="12" t="n"/>
      <c r="D71" s="12" t="n"/>
      <c r="E71" s="33" t="n"/>
      <c r="F71" s="33" t="n"/>
      <c r="G71" s="12" t="n"/>
      <c r="H71" s="12" t="n"/>
      <c r="I71" s="13" t="n"/>
      <c r="J71" s="21" t="n"/>
      <c r="K71" s="12" t="n"/>
      <c r="L71" s="12" t="n"/>
    </row>
    <row r="72" ht="22" customHeight="1">
      <c r="B72" s="18">
        <f>IF(C72="","RAP-"&amp;TEXT(COUNTA($C$5:C72),"000"))</f>
        <v/>
      </c>
      <c r="C72" s="15" t="n"/>
      <c r="D72" s="15" t="n"/>
      <c r="E72" s="34" t="n"/>
      <c r="F72" s="34" t="n"/>
      <c r="G72" s="15" t="n"/>
      <c r="H72" s="15" t="n"/>
      <c r="I72" s="16" t="n"/>
      <c r="J72" s="23" t="n"/>
      <c r="K72" s="15" t="n"/>
      <c r="L72" s="15" t="n"/>
    </row>
    <row r="73" ht="22" customHeight="1">
      <c r="B73" s="19">
        <f>IF(C73="","RAP-"&amp;TEXT(COUNTA($C$5:C73),"000"))</f>
        <v/>
      </c>
      <c r="C73" s="12" t="n"/>
      <c r="D73" s="12" t="n"/>
      <c r="E73" s="33" t="n"/>
      <c r="F73" s="33" t="n"/>
      <c r="G73" s="12" t="n"/>
      <c r="H73" s="12" t="n"/>
      <c r="I73" s="13" t="n"/>
      <c r="J73" s="21" t="n"/>
      <c r="K73" s="12" t="n"/>
      <c r="L73" s="12" t="n"/>
    </row>
    <row r="74" ht="22" customHeight="1">
      <c r="B74" s="18">
        <f>IF(C74="","RAP-"&amp;TEXT(COUNTA($C$5:C74),"000"))</f>
        <v/>
      </c>
      <c r="C74" s="15" t="n"/>
      <c r="D74" s="15" t="n"/>
      <c r="E74" s="34" t="n"/>
      <c r="F74" s="34" t="n"/>
      <c r="G74" s="15" t="n"/>
      <c r="H74" s="15" t="n"/>
      <c r="I74" s="16" t="n"/>
      <c r="J74" s="23" t="n"/>
      <c r="K74" s="15" t="n"/>
      <c r="L74" s="15" t="n"/>
    </row>
    <row r="75" ht="22" customHeight="1">
      <c r="B75" s="19">
        <f>IF(C75="","RAP-"&amp;TEXT(COUNTA($C$5:C75),"000"))</f>
        <v/>
      </c>
      <c r="C75" s="12" t="n"/>
      <c r="D75" s="12" t="n"/>
      <c r="E75" s="33" t="n"/>
      <c r="F75" s="33" t="n"/>
      <c r="G75" s="12" t="n"/>
      <c r="H75" s="12" t="n"/>
      <c r="I75" s="13" t="n"/>
      <c r="J75" s="21" t="n"/>
      <c r="K75" s="12" t="n"/>
      <c r="L75" s="12" t="n"/>
    </row>
    <row r="76" ht="22" customHeight="1">
      <c r="B76" s="18">
        <f>IF(C76="","RAP-"&amp;TEXT(COUNTA($C$5:C76),"000"))</f>
        <v/>
      </c>
      <c r="C76" s="15" t="n"/>
      <c r="D76" s="15" t="n"/>
      <c r="E76" s="34" t="n"/>
      <c r="F76" s="34" t="n"/>
      <c r="G76" s="15" t="n"/>
      <c r="H76" s="15" t="n"/>
      <c r="I76" s="16" t="n"/>
      <c r="J76" s="23" t="n"/>
      <c r="K76" s="15" t="n"/>
      <c r="L76" s="15" t="n"/>
    </row>
    <row r="77" ht="22" customHeight="1">
      <c r="B77" s="19">
        <f>IF(C77="","RAP-"&amp;TEXT(COUNTA($C$5:C77),"000"))</f>
        <v/>
      </c>
      <c r="C77" s="12" t="n"/>
      <c r="D77" s="12" t="n"/>
      <c r="E77" s="33" t="n"/>
      <c r="F77" s="33" t="n"/>
      <c r="G77" s="12" t="n"/>
      <c r="H77" s="12" t="n"/>
      <c r="I77" s="13" t="n"/>
      <c r="J77" s="21" t="n"/>
      <c r="K77" s="12" t="n"/>
      <c r="L77" s="12" t="n"/>
    </row>
    <row r="78" ht="22" customHeight="1">
      <c r="B78" s="18">
        <f>IF(C78="","RAP-"&amp;TEXT(COUNTA($C$5:C78),"000"))</f>
        <v/>
      </c>
      <c r="C78" s="15" t="n"/>
      <c r="D78" s="15" t="n"/>
      <c r="E78" s="34" t="n"/>
      <c r="F78" s="34" t="n"/>
      <c r="G78" s="15" t="n"/>
      <c r="H78" s="15" t="n"/>
      <c r="I78" s="16" t="n"/>
      <c r="J78" s="23" t="n"/>
      <c r="K78" s="15" t="n"/>
      <c r="L78" s="15" t="n"/>
    </row>
    <row r="79" ht="22" customHeight="1">
      <c r="B79" s="19">
        <f>IF(C79="","RAP-"&amp;TEXT(COUNTA($C$5:C79),"000"))</f>
        <v/>
      </c>
      <c r="C79" s="12" t="n"/>
      <c r="D79" s="12" t="n"/>
      <c r="E79" s="33" t="n"/>
      <c r="F79" s="33" t="n"/>
      <c r="G79" s="12" t="n"/>
      <c r="H79" s="12" t="n"/>
      <c r="I79" s="13" t="n"/>
      <c r="J79" s="21" t="n"/>
      <c r="K79" s="12" t="n"/>
      <c r="L79" s="12" t="n"/>
    </row>
    <row r="80" ht="22" customHeight="1">
      <c r="B80" s="18">
        <f>IF(C80="","RAP-"&amp;TEXT(COUNTA($C$5:C80),"000"))</f>
        <v/>
      </c>
      <c r="C80" s="15" t="n"/>
      <c r="D80" s="15" t="n"/>
      <c r="E80" s="34" t="n"/>
      <c r="F80" s="34" t="n"/>
      <c r="G80" s="15" t="n"/>
      <c r="H80" s="15" t="n"/>
      <c r="I80" s="16" t="n"/>
      <c r="J80" s="23" t="n"/>
      <c r="K80" s="15" t="n"/>
      <c r="L80" s="15" t="n"/>
    </row>
    <row r="81" ht="22" customHeight="1">
      <c r="B81" s="19">
        <f>IF(C81="","RAP-"&amp;TEXT(COUNTA($C$5:C81),"000"))</f>
        <v/>
      </c>
      <c r="C81" s="12" t="n"/>
      <c r="D81" s="12" t="n"/>
      <c r="E81" s="33" t="n"/>
      <c r="F81" s="33" t="n"/>
      <c r="G81" s="12" t="n"/>
      <c r="H81" s="12" t="n"/>
      <c r="I81" s="13" t="n"/>
      <c r="J81" s="21" t="n"/>
      <c r="K81" s="12" t="n"/>
      <c r="L81" s="12" t="n"/>
    </row>
    <row r="82" ht="22" customHeight="1">
      <c r="B82" s="18">
        <f>IF(C82="","RAP-"&amp;TEXT(COUNTA($C$5:C82),"000"))</f>
        <v/>
      </c>
      <c r="C82" s="15" t="n"/>
      <c r="D82" s="15" t="n"/>
      <c r="E82" s="34" t="n"/>
      <c r="F82" s="34" t="n"/>
      <c r="G82" s="15" t="n"/>
      <c r="H82" s="15" t="n"/>
      <c r="I82" s="16" t="n"/>
      <c r="J82" s="23" t="n"/>
      <c r="K82" s="15" t="n"/>
      <c r="L82" s="15" t="n"/>
    </row>
    <row r="83" ht="22" customHeight="1">
      <c r="B83" s="19">
        <f>IF(C83="","RAP-"&amp;TEXT(COUNTA($C$5:C83),"000"))</f>
        <v/>
      </c>
      <c r="C83" s="12" t="n"/>
      <c r="D83" s="12" t="n"/>
      <c r="E83" s="33" t="n"/>
      <c r="F83" s="33" t="n"/>
      <c r="G83" s="12" t="n"/>
      <c r="H83" s="12" t="n"/>
      <c r="I83" s="13" t="n"/>
      <c r="J83" s="21" t="n"/>
      <c r="K83" s="12" t="n"/>
      <c r="L83" s="12" t="n"/>
    </row>
    <row r="84" ht="22" customHeight="1">
      <c r="B84" s="18">
        <f>IF(C84="","RAP-"&amp;TEXT(COUNTA($C$5:C84),"000"))</f>
        <v/>
      </c>
      <c r="C84" s="15" t="n"/>
      <c r="D84" s="15" t="n"/>
      <c r="E84" s="34" t="n"/>
      <c r="F84" s="34" t="n"/>
      <c r="G84" s="15" t="n"/>
      <c r="H84" s="15" t="n"/>
      <c r="I84" s="16" t="n"/>
      <c r="J84" s="23" t="n"/>
      <c r="K84" s="15" t="n"/>
      <c r="L84" s="15" t="n"/>
    </row>
    <row r="85" ht="22" customHeight="1">
      <c r="B85" s="19">
        <f>IF(C85="","RAP-"&amp;TEXT(COUNTA($C$5:C85),"000"))</f>
        <v/>
      </c>
      <c r="C85" s="12" t="n"/>
      <c r="D85" s="12" t="n"/>
      <c r="E85" s="33" t="n"/>
      <c r="F85" s="33" t="n"/>
      <c r="G85" s="12" t="n"/>
      <c r="H85" s="12" t="n"/>
      <c r="I85" s="13" t="n"/>
      <c r="J85" s="21" t="n"/>
      <c r="K85" s="12" t="n"/>
      <c r="L85" s="12" t="n"/>
    </row>
    <row r="86" ht="22" customHeight="1">
      <c r="B86" s="18">
        <f>IF(C86="","RAP-"&amp;TEXT(COUNTA($C$5:C86),"000"))</f>
        <v/>
      </c>
      <c r="C86" s="15" t="n"/>
      <c r="D86" s="15" t="n"/>
      <c r="E86" s="34" t="n"/>
      <c r="F86" s="34" t="n"/>
      <c r="G86" s="15" t="n"/>
      <c r="H86" s="15" t="n"/>
      <c r="I86" s="16" t="n"/>
      <c r="J86" s="23" t="n"/>
      <c r="K86" s="15" t="n"/>
      <c r="L86" s="15" t="n"/>
    </row>
    <row r="87" ht="22" customHeight="1">
      <c r="B87" s="19">
        <f>IF(C87="","RAP-"&amp;TEXT(COUNTA($C$5:C87),"000"))</f>
        <v/>
      </c>
      <c r="C87" s="12" t="n"/>
      <c r="D87" s="12" t="n"/>
      <c r="E87" s="33" t="n"/>
      <c r="F87" s="33" t="n"/>
      <c r="G87" s="12" t="n"/>
      <c r="H87" s="12" t="n"/>
      <c r="I87" s="13" t="n"/>
      <c r="J87" s="21" t="n"/>
      <c r="K87" s="12" t="n"/>
      <c r="L87" s="12" t="n"/>
    </row>
    <row r="88" ht="22" customHeight="1">
      <c r="B88" s="18">
        <f>IF(C88="","RAP-"&amp;TEXT(COUNTA($C$5:C88),"000"))</f>
        <v/>
      </c>
      <c r="C88" s="15" t="n"/>
      <c r="D88" s="15" t="n"/>
      <c r="E88" s="34" t="n"/>
      <c r="F88" s="34" t="n"/>
      <c r="G88" s="15" t="n"/>
      <c r="H88" s="15" t="n"/>
      <c r="I88" s="16" t="n"/>
      <c r="J88" s="23" t="n"/>
      <c r="K88" s="15" t="n"/>
      <c r="L88" s="15" t="n"/>
    </row>
    <row r="89" ht="22" customHeight="1">
      <c r="B89" s="19">
        <f>IF(C89="","RAP-"&amp;TEXT(COUNTA($C$5:C89),"000"))</f>
        <v/>
      </c>
      <c r="C89" s="12" t="n"/>
      <c r="D89" s="12" t="n"/>
      <c r="E89" s="33" t="n"/>
      <c r="F89" s="33" t="n"/>
      <c r="G89" s="12" t="n"/>
      <c r="H89" s="12" t="n"/>
      <c r="I89" s="13" t="n"/>
      <c r="J89" s="21" t="n"/>
      <c r="K89" s="12" t="n"/>
      <c r="L89" s="12" t="n"/>
    </row>
    <row r="90" ht="22" customHeight="1">
      <c r="B90" s="18">
        <f>IF(C90="","RAP-"&amp;TEXT(COUNTA($C$5:C90),"000"))</f>
        <v/>
      </c>
      <c r="C90" s="15" t="n"/>
      <c r="D90" s="15" t="n"/>
      <c r="E90" s="34" t="n"/>
      <c r="F90" s="34" t="n"/>
      <c r="G90" s="15" t="n"/>
      <c r="H90" s="15" t="n"/>
      <c r="I90" s="16" t="n"/>
      <c r="J90" s="23" t="n"/>
      <c r="K90" s="15" t="n"/>
      <c r="L90" s="15" t="n"/>
    </row>
    <row r="91" ht="22" customHeight="1">
      <c r="B91" s="19">
        <f>IF(C91="","RAP-"&amp;TEXT(COUNTA($C$5:C91),"000"))</f>
        <v/>
      </c>
      <c r="C91" s="12" t="n"/>
      <c r="D91" s="12" t="n"/>
      <c r="E91" s="33" t="n"/>
      <c r="F91" s="33" t="n"/>
      <c r="G91" s="12" t="n"/>
      <c r="H91" s="12" t="n"/>
      <c r="I91" s="13" t="n"/>
      <c r="J91" s="21" t="n"/>
      <c r="K91" s="12" t="n"/>
      <c r="L91" s="12" t="n"/>
    </row>
    <row r="92" ht="22" customHeight="1">
      <c r="B92" s="18">
        <f>IF(C92="","RAP-"&amp;TEXT(COUNTA($C$5:C92),"000"))</f>
        <v/>
      </c>
      <c r="C92" s="15" t="n"/>
      <c r="D92" s="15" t="n"/>
      <c r="E92" s="34" t="n"/>
      <c r="F92" s="34" t="n"/>
      <c r="G92" s="15" t="n"/>
      <c r="H92" s="15" t="n"/>
      <c r="I92" s="16" t="n"/>
      <c r="J92" s="23" t="n"/>
      <c r="K92" s="15" t="n"/>
      <c r="L92" s="15" t="n"/>
    </row>
    <row r="93" ht="22" customHeight="1">
      <c r="B93" s="19">
        <f>IF(C93="","RAP-"&amp;TEXT(COUNTA($C$5:C93),"000"))</f>
        <v/>
      </c>
      <c r="C93" s="12" t="n"/>
      <c r="D93" s="12" t="n"/>
      <c r="E93" s="33" t="n"/>
      <c r="F93" s="33" t="n"/>
      <c r="G93" s="12" t="n"/>
      <c r="H93" s="12" t="n"/>
      <c r="I93" s="13" t="n"/>
      <c r="J93" s="21" t="n"/>
      <c r="K93" s="12" t="n"/>
      <c r="L93" s="12" t="n"/>
    </row>
    <row r="94" ht="22" customHeight="1">
      <c r="B94" s="18">
        <f>IF(C94="","RAP-"&amp;TEXT(COUNTA($C$5:C94),"000"))</f>
        <v/>
      </c>
      <c r="C94" s="15" t="n"/>
      <c r="D94" s="15" t="n"/>
      <c r="E94" s="34" t="n"/>
      <c r="F94" s="34" t="n"/>
      <c r="G94" s="15" t="n"/>
      <c r="H94" s="15" t="n"/>
      <c r="I94" s="16" t="n"/>
      <c r="J94" s="23" t="n"/>
      <c r="K94" s="15" t="n"/>
      <c r="L94" s="15" t="n"/>
    </row>
    <row r="95" ht="22" customHeight="1">
      <c r="B95" s="19">
        <f>IF(C95="","RAP-"&amp;TEXT(COUNTA($C$5:C95),"000"))</f>
        <v/>
      </c>
      <c r="C95" s="12" t="n"/>
      <c r="D95" s="12" t="n"/>
      <c r="E95" s="33" t="n"/>
      <c r="F95" s="33" t="n"/>
      <c r="G95" s="12" t="n"/>
      <c r="H95" s="12" t="n"/>
      <c r="I95" s="13" t="n"/>
      <c r="J95" s="21" t="n"/>
      <c r="K95" s="12" t="n"/>
      <c r="L95" s="12" t="n"/>
    </row>
    <row r="96" ht="22" customHeight="1">
      <c r="B96" s="18">
        <f>IF(C96="","RAP-"&amp;TEXT(COUNTA($C$5:C96),"000"))</f>
        <v/>
      </c>
      <c r="C96" s="15" t="n"/>
      <c r="D96" s="15" t="n"/>
      <c r="E96" s="34" t="n"/>
      <c r="F96" s="34" t="n"/>
      <c r="G96" s="15" t="n"/>
      <c r="H96" s="15" t="n"/>
      <c r="I96" s="16" t="n"/>
      <c r="J96" s="23" t="n"/>
      <c r="K96" s="15" t="n"/>
      <c r="L96" s="15" t="n"/>
    </row>
    <row r="97" ht="22" customHeight="1">
      <c r="B97" s="19">
        <f>IF(C97="","RAP-"&amp;TEXT(COUNTA($C$5:C97),"000"))</f>
        <v/>
      </c>
      <c r="C97" s="12" t="n"/>
      <c r="D97" s="12" t="n"/>
      <c r="E97" s="33" t="n"/>
      <c r="F97" s="33" t="n"/>
      <c r="G97" s="12" t="n"/>
      <c r="H97" s="12" t="n"/>
      <c r="I97" s="13" t="n"/>
      <c r="J97" s="21" t="n"/>
      <c r="K97" s="12" t="n"/>
      <c r="L97" s="12" t="n"/>
    </row>
    <row r="98" ht="22" customHeight="1">
      <c r="B98" s="18">
        <f>IF(C98="","RAP-"&amp;TEXT(COUNTA($C$5:C98),"000"))</f>
        <v/>
      </c>
      <c r="C98" s="15" t="n"/>
      <c r="D98" s="15" t="n"/>
      <c r="E98" s="34" t="n"/>
      <c r="F98" s="34" t="n"/>
      <c r="G98" s="15" t="n"/>
      <c r="H98" s="15" t="n"/>
      <c r="I98" s="16" t="n"/>
      <c r="J98" s="23" t="n"/>
      <c r="K98" s="15" t="n"/>
      <c r="L98" s="15" t="n"/>
    </row>
    <row r="99" ht="22" customHeight="1">
      <c r="B99" s="19">
        <f>IF(C99="","RAP-"&amp;TEXT(COUNTA($C$5:C99),"000"))</f>
        <v/>
      </c>
      <c r="C99" s="12" t="n"/>
      <c r="D99" s="12" t="n"/>
      <c r="E99" s="33" t="n"/>
      <c r="F99" s="33" t="n"/>
      <c r="G99" s="12" t="n"/>
      <c r="H99" s="12" t="n"/>
      <c r="I99" s="13" t="n"/>
      <c r="J99" s="21" t="n"/>
      <c r="K99" s="12" t="n"/>
      <c r="L99" s="12" t="n"/>
    </row>
    <row r="100" ht="22" customHeight="1">
      <c r="B100" s="18">
        <f>IF(C100="","RAP-"&amp;TEXT(COUNTA($C$5:C100),"000"))</f>
        <v/>
      </c>
      <c r="C100" s="15" t="n"/>
      <c r="D100" s="15" t="n"/>
      <c r="E100" s="34" t="n"/>
      <c r="F100" s="34" t="n"/>
      <c r="G100" s="15" t="n"/>
      <c r="H100" s="15" t="n"/>
      <c r="I100" s="16" t="n"/>
      <c r="J100" s="23" t="n"/>
      <c r="K100" s="15" t="n"/>
      <c r="L100" s="15" t="n"/>
    </row>
    <row r="101" ht="22" customHeight="1">
      <c r="B101" s="19">
        <f>IF(C101="","RAP-"&amp;TEXT(COUNTA($C$5:C101),"000"))</f>
        <v/>
      </c>
      <c r="C101" s="12" t="n"/>
      <c r="D101" s="12" t="n"/>
      <c r="E101" s="33" t="n"/>
      <c r="F101" s="33" t="n"/>
      <c r="G101" s="12" t="n"/>
      <c r="H101" s="12" t="n"/>
      <c r="I101" s="13" t="n"/>
      <c r="J101" s="21" t="n"/>
      <c r="K101" s="12" t="n"/>
      <c r="L101" s="12" t="n"/>
    </row>
    <row r="102" ht="22" customHeight="1">
      <c r="B102" s="18">
        <f>IF(C102="","RAP-"&amp;TEXT(COUNTA($C$5:C102),"000"))</f>
        <v/>
      </c>
      <c r="C102" s="15" t="n"/>
      <c r="D102" s="15" t="n"/>
      <c r="E102" s="34" t="n"/>
      <c r="F102" s="34" t="n"/>
      <c r="G102" s="15" t="n"/>
      <c r="H102" s="15" t="n"/>
      <c r="I102" s="16" t="n"/>
      <c r="J102" s="23" t="n"/>
      <c r="K102" s="15" t="n"/>
      <c r="L102" s="15" t="n"/>
    </row>
    <row r="103" ht="22" customHeight="1">
      <c r="B103" s="19">
        <f>IF(C103="","RAP-"&amp;TEXT(COUNTA($C$5:C103),"000"))</f>
        <v/>
      </c>
      <c r="C103" s="12" t="n"/>
      <c r="D103" s="12" t="n"/>
      <c r="E103" s="33" t="n"/>
      <c r="F103" s="33" t="n"/>
      <c r="G103" s="12" t="n"/>
      <c r="H103" s="12" t="n"/>
      <c r="I103" s="13" t="n"/>
      <c r="J103" s="21" t="n"/>
      <c r="K103" s="12" t="n"/>
      <c r="L103" s="12" t="n"/>
    </row>
    <row r="104" ht="22" customHeight="1">
      <c r="B104" s="18">
        <f>IF(C104="","RAP-"&amp;TEXT(COUNTA($C$5:C104),"000"))</f>
        <v/>
      </c>
      <c r="C104" s="15" t="n"/>
      <c r="D104" s="15" t="n"/>
      <c r="E104" s="34" t="n"/>
      <c r="F104" s="34" t="n"/>
      <c r="G104" s="15" t="n"/>
      <c r="H104" s="15" t="n"/>
      <c r="I104" s="16" t="n"/>
      <c r="J104" s="23" t="n"/>
      <c r="K104" s="15" t="n"/>
      <c r="L104" s="15" t="n"/>
    </row>
    <row r="105" ht="22" customHeight="1">
      <c r="B105" s="19">
        <f>IF(C105="","RAP-"&amp;TEXT(COUNTA($C$5:C105),"000"))</f>
        <v/>
      </c>
      <c r="C105" s="12" t="n"/>
      <c r="D105" s="12" t="n"/>
      <c r="E105" s="33" t="n"/>
      <c r="F105" s="33" t="n"/>
      <c r="G105" s="12" t="n"/>
      <c r="H105" s="12" t="n"/>
      <c r="I105" s="13" t="n"/>
      <c r="J105" s="21" t="n"/>
      <c r="K105" s="12" t="n"/>
      <c r="L105" s="12" t="n"/>
    </row>
    <row r="106" ht="22" customHeight="1">
      <c r="B106" s="18">
        <f>IF(C106="","RAP-"&amp;TEXT(COUNTA($C$5:C106),"000"))</f>
        <v/>
      </c>
      <c r="C106" s="15" t="n"/>
      <c r="D106" s="15" t="n"/>
      <c r="E106" s="34" t="n"/>
      <c r="F106" s="34" t="n"/>
      <c r="G106" s="15" t="n"/>
      <c r="H106" s="15" t="n"/>
      <c r="I106" s="16" t="n"/>
      <c r="J106" s="23" t="n"/>
      <c r="K106" s="15" t="n"/>
      <c r="L106" s="15" t="n"/>
    </row>
    <row r="107" ht="22" customHeight="1">
      <c r="B107" s="19">
        <f>IF(C107="","RAP-"&amp;TEXT(COUNTA($C$5:C107),"000"))</f>
        <v/>
      </c>
      <c r="C107" s="12" t="n"/>
      <c r="D107" s="12" t="n"/>
      <c r="E107" s="33" t="n"/>
      <c r="F107" s="33" t="n"/>
      <c r="G107" s="12" t="n"/>
      <c r="H107" s="12" t="n"/>
      <c r="I107" s="13" t="n"/>
      <c r="J107" s="21" t="n"/>
      <c r="K107" s="12" t="n"/>
      <c r="L107" s="12" t="n"/>
    </row>
    <row r="108" ht="22" customHeight="1">
      <c r="B108" s="18">
        <f>IF(C108="","RAP-"&amp;TEXT(COUNTA($C$5:C108),"000"))</f>
        <v/>
      </c>
      <c r="C108" s="15" t="n"/>
      <c r="D108" s="15" t="n"/>
      <c r="E108" s="34" t="n"/>
      <c r="F108" s="34" t="n"/>
      <c r="G108" s="15" t="n"/>
      <c r="H108" s="15" t="n"/>
      <c r="I108" s="16" t="n"/>
      <c r="J108" s="23" t="n"/>
      <c r="K108" s="15" t="n"/>
      <c r="L108" s="15" t="n"/>
    </row>
    <row r="109" ht="22" customHeight="1">
      <c r="B109" s="19">
        <f>IF(C109="","RAP-"&amp;TEXT(COUNTA($C$5:C109),"000"))</f>
        <v/>
      </c>
      <c r="C109" s="12" t="n"/>
      <c r="D109" s="12" t="n"/>
      <c r="E109" s="33" t="n"/>
      <c r="F109" s="33" t="n"/>
      <c r="G109" s="12" t="n"/>
      <c r="H109" s="12" t="n"/>
      <c r="I109" s="13" t="n"/>
      <c r="J109" s="21" t="n"/>
      <c r="K109" s="12" t="n"/>
      <c r="L109" s="12" t="n"/>
    </row>
    <row r="111" ht="26" customHeight="1">
      <c r="B111" s="24" t="inlineStr">
        <is>
          <t>TOTAL</t>
        </is>
      </c>
      <c r="C111" s="25" t="n"/>
      <c r="D111" s="25" t="n"/>
      <c r="E111" s="25" t="n"/>
      <c r="F111" s="25" t="n"/>
      <c r="G111" s="25" t="n"/>
      <c r="H111" s="25" t="n"/>
      <c r="I111" s="26">
        <f>SUM(I5:I104)</f>
        <v/>
      </c>
      <c r="J111" s="26">
        <f>SUM(J5:J104)</f>
        <v/>
      </c>
      <c r="K111" s="25" t="n"/>
      <c r="L111" s="25" t="n"/>
    </row>
    <row r="113">
      <c r="B113" s="6" t="inlineStr">
        <is>
          <t>INDICATEURS (mis a jour automatiquement)</t>
        </is>
      </c>
    </row>
    <row r="114">
      <c r="B114" s="3" t="inlineStr">
        <is>
          <t>Total rapports</t>
        </is>
      </c>
      <c r="D114" s="3" t="inlineStr">
        <is>
          <t>Anomalies totales</t>
        </is>
      </c>
      <c r="F114" s="3" t="inlineStr">
        <is>
          <t>Ecart financier (FCFA)</t>
        </is>
      </c>
      <c r="H114" s="3" t="inlineStr">
        <is>
          <t>Rapports approuves</t>
        </is>
      </c>
    </row>
    <row r="115">
      <c r="B115" s="4">
        <f>COUNTIF(B5:B104,"&lt;&gt;")</f>
        <v/>
      </c>
      <c r="D115" s="4">
        <f>SUM(I5:I104)</f>
        <v/>
      </c>
      <c r="F115" s="4">
        <f>SUM(J5:J104)</f>
        <v/>
      </c>
      <c r="H115" s="4">
        <f>COUNTIF(L5:L104,"Approuve")</f>
        <v/>
      </c>
    </row>
  </sheetData>
  <mergeCells count="3">
    <mergeCell ref="B2:L2"/>
    <mergeCell ref="B113:L113"/>
    <mergeCell ref="B3:L3"/>
  </mergeCells>
  <conditionalFormatting sqref="L5:L109">
    <cfRule type="cellIs" priority="1" operator="equal" dxfId="0">
      <formula>"Valide"</formula>
    </cfRule>
    <cfRule type="cellIs" priority="2" operator="equal" dxfId="0">
      <formula>"Approuve"</formula>
    </cfRule>
    <cfRule type="cellIs" priority="3" operator="equal" dxfId="0">
      <formula>"Approuvee"</formula>
    </cfRule>
    <cfRule type="cellIs" priority="4" operator="equal" dxfId="0">
      <formula>"Actif"</formula>
    </cfRule>
    <cfRule type="cellIs" priority="5" operator="equal" dxfId="0">
      <formula>"En vigueur"</formula>
    </cfRule>
    <cfRule type="cellIs" priority="6" operator="equal" dxfId="0">
      <formula>"Validee"</formula>
    </cfRule>
    <cfRule type="cellIs" priority="7" operator="equal" dxfId="0">
      <formula>"Payee"</formula>
    </cfRule>
    <cfRule type="cellIs" priority="8" operator="equal" dxfId="0">
      <formula>"Soumise"</formula>
    </cfRule>
    <cfRule type="cellIs" priority="9" operator="equal" dxfId="0">
      <formula>"Traite"</formula>
    </cfRule>
    <cfRule type="cellIs" priority="10" operator="equal" dxfId="0">
      <formula>"Clos"</formula>
    </cfRule>
    <cfRule type="cellIs" priority="11" operator="equal" dxfId="0">
      <formula>"Solde"</formula>
    </cfRule>
    <cfRule type="cellIs" priority="12" operator="equal" dxfId="0">
      <formula>"Pris"</formula>
    </cfRule>
    <cfRule type="cellIs" priority="13" operator="equal" dxfId="0">
      <formula>"Effectuee"</formula>
    </cfRule>
    <cfRule type="cellIs" priority="14" operator="equal" dxfId="0">
      <formula>"Termine"</formula>
    </cfRule>
    <cfRule type="cellIs" priority="15" operator="equal" dxfId="0">
      <formula>"Justifie"</formula>
    </cfRule>
    <cfRule type="cellIs" priority="16" operator="equal" dxfId="1">
      <formula>"En attente"</formula>
    </cfRule>
    <cfRule type="cellIs" priority="17" operator="equal" dxfId="1">
      <formula>"A renouveler"</formula>
    </cfRule>
    <cfRule type="cellIs" priority="18" operator="equal" dxfId="1">
      <formula>"En renouvellement"</formula>
    </cfRule>
    <cfRule type="cellIs" priority="19" operator="equal" dxfId="1">
      <formula>"En cours"</formula>
    </cfRule>
    <cfRule type="cellIs" priority="20" operator="equal" dxfId="1">
      <formula>"En traitement"</formula>
    </cfRule>
    <cfRule type="cellIs" priority="21" operator="equal" dxfId="1">
      <formula>"En retard"</formula>
    </cfRule>
    <cfRule type="cellIs" priority="22" operator="equal" dxfId="1">
      <formula>"Suspendu"</formula>
    </cfRule>
    <cfRule type="cellIs" priority="23" operator="equal" dxfId="1">
      <formula>"A verifier"</formula>
    </cfRule>
    <cfRule type="cellIs" priority="24" operator="equal" dxfId="1">
      <formula>"Planifiee"</formula>
    </cfRule>
    <cfRule type="cellIs" priority="25" operator="equal" dxfId="1">
      <formula>"Planifie"</formula>
    </cfRule>
    <cfRule type="cellIs" priority="26" operator="equal" dxfId="1">
      <formula>"Anomalie detectee"</formula>
    </cfRule>
    <cfRule type="cellIs" priority="27" operator="equal" dxfId="1">
      <formula>"Modifie"</formula>
    </cfRule>
    <cfRule type="cellIs" priority="28" operator="equal" dxfId="1">
      <formula>"Brouillon"</formula>
    </cfRule>
    <cfRule type="cellIs" priority="29" operator="equal" dxfId="1">
      <formula>"En modification"</formula>
    </cfRule>
    <cfRule type="cellIs" priority="30" operator="equal" dxfId="2">
      <formula>"Expire"</formula>
    </cfRule>
    <cfRule type="cellIs" priority="31" operator="equal" dxfId="2">
      <formula>"Rejete"</formula>
    </cfRule>
    <cfRule type="cellIs" priority="32" operator="equal" dxfId="2">
      <formula>"Rejetee"</formula>
    </cfRule>
    <cfRule type="cellIs" priority="33" operator="equal" dxfId="2">
      <formula>"Resilie"</formula>
    </cfRule>
    <cfRule type="cellIs" priority="34" operator="equal" dxfId="2">
      <formula>"Echu"</formula>
    </cfRule>
    <cfRule type="cellIs" priority="35" operator="equal" dxfId="2">
      <formula>"Refuse"</formula>
    </cfRule>
    <cfRule type="cellIs" priority="36" operator="equal" dxfId="2">
      <formula>"Annulee"</formula>
    </cfRule>
    <cfRule type="cellIs" priority="37" operator="equal" dxfId="2">
      <formula>"Annule"</formula>
    </cfRule>
    <cfRule type="cellIs" priority="38" operator="equal" dxfId="2">
      <formula>"Departi"</formula>
    </cfRule>
    <cfRule type="cellIs" priority="39" operator="equal" dxfId="2">
      <formula>"Cloture"</formula>
    </cfRule>
    <cfRule type="cellIs" priority="40" operator="equal" dxfId="2">
      <formula>"Non justifie"</formula>
    </cfRule>
    <cfRule type="cellIs" priority="41" operator="equal" dxfId="2">
      <formula>"Manquant"</formula>
    </cfRule>
    <cfRule type="cellIs" priority="42" operator="equal" dxfId="2">
      <formula>"Absent injustifie"</formula>
    </cfRule>
    <cfRule type="cellIs" priority="43" operator="equal" dxfId="2">
      <formula>"Retard injustifie"</formula>
    </cfRule>
    <cfRule type="cellIs" priority="44" operator="equal" dxfId="2">
      <formula>"Ignore"</formula>
    </cfRule>
    <cfRule type="cellIs" priority="45" operator="equal" dxfId="2">
      <formula>"Depart anticipe"</formula>
    </cfRule>
    <cfRule type="cellIs" priority="46" operator="equal" dxfId="2">
      <formula>"Badge defaillant"</formula>
    </cfRule>
    <cfRule type="cellIs" priority="47" operator="equal" dxfId="2">
      <formula>"Oubli badgeage"</formula>
    </cfRule>
  </conditionalFormatting>
  <conditionalFormatting sqref="B10:B109">
    <cfRule type="expression" priority="48" dxfId="3">
      <formula>AND($C10="",$C9&lt;&gt;"")</formula>
    </cfRule>
  </conditionalFormatting>
  <conditionalFormatting sqref="C10:C109">
    <cfRule type="expression" priority="49" dxfId="3">
      <formula>AND($C10="",$C9&lt;&gt;"")</formula>
    </cfRule>
  </conditionalFormatting>
  <conditionalFormatting sqref="D10:D109">
    <cfRule type="expression" priority="50" dxfId="3">
      <formula>AND($C10="",$C9&lt;&gt;"")</formula>
    </cfRule>
  </conditionalFormatting>
  <conditionalFormatting sqref="E10:E109">
    <cfRule type="expression" priority="51" dxfId="3">
      <formula>AND($C10="",$C9&lt;&gt;"")</formula>
    </cfRule>
  </conditionalFormatting>
  <conditionalFormatting sqref="F10:F109">
    <cfRule type="expression" priority="52" dxfId="3">
      <formula>AND($C10="",$C9&lt;&gt;"")</formula>
    </cfRule>
  </conditionalFormatting>
  <conditionalFormatting sqref="G10:G109">
    <cfRule type="expression" priority="53" dxfId="3">
      <formula>AND($C10="",$C9&lt;&gt;"")</formula>
    </cfRule>
  </conditionalFormatting>
  <conditionalFormatting sqref="H10:H109">
    <cfRule type="expression" priority="54" dxfId="3">
      <formula>AND($C10="",$C9&lt;&gt;"")</formula>
    </cfRule>
  </conditionalFormatting>
  <conditionalFormatting sqref="I10:I109">
    <cfRule type="expression" priority="55" dxfId="3">
      <formula>AND($C10="",$C9&lt;&gt;"")</formula>
    </cfRule>
  </conditionalFormatting>
  <conditionalFormatting sqref="J10:J109">
    <cfRule type="expression" priority="56" dxfId="3">
      <formula>AND($C10="",$C9&lt;&gt;"")</formula>
    </cfRule>
  </conditionalFormatting>
  <conditionalFormatting sqref="K10:K109">
    <cfRule type="expression" priority="57" dxfId="3">
      <formula>AND($C10="",$C9&lt;&gt;"")</formula>
    </cfRule>
  </conditionalFormatting>
  <conditionalFormatting sqref="L10:L109">
    <cfRule type="expression" priority="58" dxfId="3">
      <formula>AND($C10="",$C9&lt;&gt;"")</formula>
    </cfRule>
  </conditionalFormatting>
  <dataValidations count="3">
    <dataValidation sqref="C5:C109" showDropDown="0" showInputMessage="0" showErrorMessage="0" allowBlank="1" errorTitle="Erreur" error="Valeur invalide" promptTitle="Liste" prompt="Choisir dans la liste" type="list">
      <formula1>'_Lists'!$V$2:$V$7</formula1>
    </dataValidation>
    <dataValidation sqref="G5:G109" showDropDown="0" showInputMessage="0" showErrorMessage="0" allowBlank="1" errorTitle="Erreur" error="Valeur invalide" promptTitle="Liste" prompt="Choisir dans la liste" type="list">
      <formula1>'_Lists'!$B$2:$B$14</formula1>
    </dataValidation>
    <dataValidation sqref="L5:L109" showDropDown="0" showInputMessage="0" showErrorMessage="0" allowBlank="1" errorTitle="Erreur" error="Valeur invalide" promptTitle="Liste" prompt="Choisir dans la liste" type="list">
      <formula1>'_Lists'!$W$2:$W$5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2026-07-05T19:51:45Z</dcterms:created>
  <dcterms:modified xmlns:dcterms="http://purl.org/dc/terms/" xmlns:xsi="http://www.w3.org/2001/XMLSchema-instance" xsi:type="dcterms:W3CDTF">2026-07-09T13:26:48Z</dcterms:modified>
</cp:coreProperties>
</file>