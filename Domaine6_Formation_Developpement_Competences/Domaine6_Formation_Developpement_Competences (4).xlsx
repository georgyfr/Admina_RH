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Données Employés" sheetId="1" state="visible" r:id="rId1"/>
    <sheet xmlns:r="http://schemas.openxmlformats.org/officeDocument/2006/relationships" name="1-Tableau de Bord" sheetId="2" state="visible" r:id="rId2"/>
    <sheet xmlns:r="http://schemas.openxmlformats.org/officeDocument/2006/relationships" name="_Lists" sheetId="3" state="hidden" r:id="rId3"/>
    <sheet xmlns:r="http://schemas.openxmlformats.org/officeDocument/2006/relationships" name="2-Plan Annuel Formation (PAF)" sheetId="4" state="visible" r:id="rId4"/>
    <sheet xmlns:r="http://schemas.openxmlformats.org/officeDocument/2006/relationships" name="3-Besoins en Formation" sheetId="5" state="visible" r:id="rId5"/>
    <sheet xmlns:r="http://schemas.openxmlformats.org/officeDocument/2006/relationships" name="4-Inscriptions Formation" sheetId="6" state="visible" r:id="rId6"/>
    <sheet xmlns:r="http://schemas.openxmlformats.org/officeDocument/2006/relationships" name="5-Presence Formation" sheetId="7" state="visible" r:id="rId7"/>
    <sheet xmlns:r="http://schemas.openxmlformats.org/officeDocument/2006/relationships" name="6-Evaluation a Chaud" sheetId="8" state="visible" r:id="rId8"/>
    <sheet xmlns:r="http://schemas.openxmlformats.org/officeDocument/2006/relationships" name="7-Evaluation a Froid" sheetId="9" state="visible" r:id="rId9"/>
    <sheet xmlns:r="http://schemas.openxmlformats.org/officeDocument/2006/relationships" name="8-Budget Formation" sheetId="10" state="visible" r:id="rId10"/>
    <sheet xmlns:r="http://schemas.openxmlformats.org/officeDocument/2006/relationships" name="9-Catalogue Formations" sheetId="11" state="visible" r:id="rId11"/>
    <sheet xmlns:r="http://schemas.openxmlformats.org/officeDocument/2006/relationships" name="10-Gestion Formateurs" sheetId="12" state="visible" r:id="rId12"/>
    <sheet xmlns:r="http://schemas.openxmlformats.org/officeDocument/2006/relationships" name="11-Conventions Formation" sheetId="13" state="visible" r:id="rId13"/>
    <sheet xmlns:r="http://schemas.openxmlformats.org/officeDocument/2006/relationships" name="12-Plan Individuel Dev." sheetId="14" state="visible" r:id="rId14"/>
    <sheet xmlns:r="http://schemas.openxmlformats.org/officeDocument/2006/relationships" name="13-Matrice Competences" sheetId="15" state="visible" r:id="rId15"/>
    <sheet xmlns:r="http://schemas.openxmlformats.org/officeDocument/2006/relationships" name="14-Bilan Competences par Dept" sheetId="16" state="visible" r:id="rId16"/>
    <sheet xmlns:r="http://schemas.openxmlformats.org/officeDocument/2006/relationships" name="15-Certifications &amp; Qualif." sheetId="17" state="visible" r:id="rId17"/>
    <sheet xmlns:r="http://schemas.openxmlformats.org/officeDocument/2006/relationships" name="16-Historique Form. Employé" sheetId="18" state="visible" r:id="rId18"/>
    <sheet xmlns:r="http://schemas.openxmlformats.org/officeDocument/2006/relationships" name="17-Suivi Mensuel Formations" sheetId="19" state="visible" r:id="rId19"/>
    <sheet xmlns:r="http://schemas.openxmlformats.org/officeDocument/2006/relationships" name="18-Rapports &amp; Stat Formation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DD/MM/YYYY"/>
    <numFmt numFmtId="166" formatCode="0.0"/>
  </numFmts>
  <fonts count="12">
    <font>
      <name val="Calibri"/>
      <family val="2"/>
      <color theme="1"/>
      <sz val="11"/>
      <scheme val="minor"/>
    </font>
    <font>
      <name val="Noto Sans CJK SC"/>
      <b val="1"/>
      <color rgb="001B2A4A"/>
      <sz val="9"/>
    </font>
    <font>
      <name val="Noto Sans CJK SC"/>
      <sz val="9"/>
    </font>
    <font>
      <name val="Noto Sans CJK SC"/>
      <color rgb="001B2A4A"/>
      <sz val="16"/>
    </font>
    <font>
      <name val="Noto Sans CJK SC"/>
      <b val="1"/>
      <color rgb="001B7D46"/>
      <sz val="10"/>
    </font>
    <font>
      <name val="Noto Sans CJK SC"/>
      <color rgb="008C8A84"/>
      <sz val="9"/>
    </font>
    <font>
      <name val="Noto Sans CJK SC"/>
      <color rgb="001B2A4A"/>
      <sz val="22"/>
    </font>
    <font>
      <name val="Noto Sans CJK SC"/>
      <color rgb="001B2A4A"/>
      <sz val="12"/>
    </font>
    <font>
      <name val="Noto Sans CJK SC"/>
      <color rgb="0037352F"/>
      <sz val="11"/>
    </font>
    <font>
      <name val="Noto Sans CJK SC"/>
      <color rgb="00FFFFFF"/>
      <sz val="11"/>
    </font>
    <font>
      <name val="Noto Sans CJK SC"/>
      <color rgb="001B2A4A"/>
      <sz val="1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  <fill>
      <patternFill patternType="solid">
        <fgColor rgb="002F5496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8" fillId="3" borderId="0" pivotButton="0" quotePrefix="0" xfId="0"/>
    <xf numFmtId="1" fontId="8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center" vertical="center"/>
    </xf>
    <xf numFmtId="3" fontId="8" fillId="3" borderId="0" applyAlignment="1" pivotButton="0" quotePrefix="0" xfId="0">
      <alignment horizontal="right" vertical="center"/>
    </xf>
    <xf numFmtId="0" fontId="8" fillId="4" borderId="0" pivotButton="0" quotePrefix="0" xfId="0"/>
    <xf numFmtId="1" fontId="8" fillId="4" borderId="0" applyAlignment="1" pivotButton="0" quotePrefix="0" xfId="0">
      <alignment horizontal="right" vertical="center"/>
    </xf>
    <xf numFmtId="165" fontId="8" fillId="4" borderId="0" applyAlignment="1" pivotButton="0" quotePrefix="0" xfId="0">
      <alignment horizontal="center" vertical="center"/>
    </xf>
    <xf numFmtId="3" fontId="8" fillId="4" borderId="0" applyAlignment="1" pivotButton="0" quotePrefix="0" xfId="0">
      <alignment horizontal="right" vertical="center"/>
    </xf>
    <xf numFmtId="0" fontId="8" fillId="4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10" fillId="5" borderId="2" applyAlignment="1" pivotButton="0" quotePrefix="0" xfId="0">
      <alignment horizontal="left" vertical="center"/>
    </xf>
    <xf numFmtId="0" fontId="10" fillId="5" borderId="2" pivotButton="0" quotePrefix="0" xfId="0"/>
    <xf numFmtId="3" fontId="10" fillId="5" borderId="2" applyAlignment="1" pivotButton="0" quotePrefix="0" xfId="0">
      <alignment horizontal="right" vertical="center"/>
    </xf>
    <xf numFmtId="166" fontId="8" fillId="3" borderId="0" applyAlignment="1" pivotButton="0" quotePrefix="0" xfId="0">
      <alignment horizontal="right" vertical="center"/>
    </xf>
    <xf numFmtId="166" fontId="8" fillId="4" borderId="0" applyAlignment="1" pivotButton="0" quotePrefix="0" xfId="0">
      <alignment horizontal="right" vertical="center"/>
    </xf>
    <xf numFmtId="164" fontId="8" fillId="3" borderId="0" applyAlignment="1" pivotButton="0" quotePrefix="0" xfId="0">
      <alignment horizontal="right" vertical="center"/>
    </xf>
    <xf numFmtId="164" fontId="8" fillId="4" borderId="0" applyAlignment="1" pivotButton="0" quotePrefix="0" xfId="0">
      <alignment horizontal="right" vertical="center"/>
    </xf>
    <xf numFmtId="9" fontId="8" fillId="3" borderId="0" applyAlignment="1" pivotButton="0" quotePrefix="0" xfId="0">
      <alignment horizontal="right" vertical="center"/>
    </xf>
    <xf numFmtId="9" fontId="8" fillId="4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center" vertical="center"/>
    </xf>
    <xf numFmtId="165" fontId="8" fillId="4" borderId="0" applyAlignment="1" pivotButton="0" quotePrefix="0" xfId="0">
      <alignment horizontal="center" vertical="center"/>
    </xf>
    <xf numFmtId="166" fontId="8" fillId="3" borderId="0" applyAlignment="1" pivotButton="0" quotePrefix="0" xfId="0">
      <alignment horizontal="right" vertical="center"/>
    </xf>
    <xf numFmtId="166" fontId="8" fillId="4" borderId="0" applyAlignment="1" pivotButton="0" quotePrefix="0" xfId="0">
      <alignment horizontal="right" vertical="center"/>
    </xf>
    <xf numFmtId="0" fontId="11" fillId="6" borderId="0" applyAlignment="1" pivotButton="0" quotePrefix="0" xfId="0">
      <alignment horizontal="center"/>
    </xf>
  </cellXfs>
  <cellStyles count="1">
    <cellStyle name="Normal" xfId="0" builtinId="0" hidden="0"/>
  </cellStyles>
  <dxfs count="5">
    <dxf>
      <font>
        <color rgb="001B7D46"/>
      </font>
      <fill>
        <patternFill>
          <bgColor rgb="00E8F5E9"/>
        </patternFill>
      </fill>
    </dxf>
    <dxf>
      <font>
        <color rgb="00D4820A"/>
      </font>
      <fill>
        <patternFill>
          <bgColor rgb="00FEF9E7"/>
        </patternFill>
      </fill>
    </dxf>
    <dxf>
      <font>
        <color rgb="00C0392B"/>
      </font>
      <fill>
        <patternFill>
          <bgColor rgb="00FDEDEC"/>
        </patternFill>
      </fill>
    </dxf>
    <dxf>
      <fill>
        <patternFill patternType="solid">
          <fgColor rgb="00FFFDE7"/>
        </patternFill>
      </fill>
    </dxf>
    <dxf>
      <font>
        <b val="1"/>
        <color rgb="001F4E79"/>
      </font>
      <fill>
        <patternFill patternType="solid">
          <fgColor rgb="00D6E4F0"/>
          <bgColor rgb="00D6E4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Heures Formation par Service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'1-Tableau de Bord'!C23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'1-Tableau de Bord'!$B$24:$B$31</f>
            </numRef>
          </cat>
          <val>
            <numRef>
              <f>'1-Tableau de Bord'!$C$24:$C$31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Repartition par Type de Formation</a:t>
            </a:r>
          </a:p>
        </rich>
      </tx>
    </title>
    <plotArea>
      <pieChart>
        <varyColors val="1"/>
        <ser>
          <idx val="0"/>
          <order val="0"/>
          <tx>
            <strRef>
              <f>'1-Tableau de Bord'!I33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B7D4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4820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C8A84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1B7D46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D4820A"/>
              </a:solidFill>
              <a:ln xmlns:a="http://schemas.openxmlformats.org/drawingml/2006/main">
                <a:prstDash val="solid"/>
              </a:ln>
            </spPr>
          </dPt>
          <cat>
            <numRef>
              <f>'1-Tableau de Bord'!$H$34:$H$41</f>
            </numRef>
          </cat>
          <val>
            <numRef>
              <f>'1-Tableau de Bord'!$I$34:$I$41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32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32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H18"/>
  <sheetViews>
    <sheetView workbookViewId="0">
      <selection activeCell="A1" sqref="A1"/>
    </sheetView>
  </sheetViews>
  <sheetFormatPr baseColWidth="8" defaultRowHeight="15"/>
  <cols>
    <col width="14" customWidth="1" min="2" max="2"/>
    <col width="8" customWidth="1" min="3" max="3"/>
    <col width="14" customWidth="1" min="4" max="4"/>
    <col width="14" customWidth="1" min="5" max="5"/>
    <col width="28" customWidth="1" min="6" max="6"/>
    <col width="24" customWidth="1" min="7" max="7"/>
    <col width="18" customWidth="1" min="8" max="8"/>
  </cols>
  <sheetData>
    <row r="4">
      <c r="B4" s="35" t="inlineStr">
        <is>
          <t>Matricule</t>
        </is>
      </c>
      <c r="C4" s="35" t="inlineStr">
        <is>
          <t>Civilité</t>
        </is>
      </c>
      <c r="D4" s="35" t="inlineStr">
        <is>
          <t>Nom</t>
        </is>
      </c>
      <c r="E4" s="35" t="inlineStr">
        <is>
          <t>Prénom</t>
        </is>
      </c>
      <c r="F4" s="35" t="inlineStr">
        <is>
          <t>Département</t>
        </is>
      </c>
      <c r="G4" s="35" t="inlineStr">
        <is>
          <t>Poste</t>
        </is>
      </c>
      <c r="H4" s="35" t="inlineStr">
        <is>
          <t>Salaire Base (FCFA)</t>
        </is>
      </c>
    </row>
    <row r="5">
      <c r="B5" t="inlineStr">
        <is>
          <t>EMP-001</t>
        </is>
      </c>
      <c r="C5" t="inlineStr">
        <is>
          <t>M.</t>
        </is>
      </c>
      <c r="D5" t="inlineStr">
        <is>
          <t>Nganou</t>
        </is>
      </c>
      <c r="E5" t="inlineStr">
        <is>
          <t>Clarisse</t>
        </is>
      </c>
      <c r="F5" t="inlineStr">
        <is>
          <t>Cuisine &amp; Restauration</t>
        </is>
      </c>
      <c r="G5" t="inlineStr">
        <is>
          <t>Chef cuisinier</t>
        </is>
      </c>
      <c r="H5" t="n">
        <v>450000</v>
      </c>
    </row>
    <row r="6">
      <c r="B6" t="inlineStr">
        <is>
          <t>EMP-002</t>
        </is>
      </c>
      <c r="C6" t="inlineStr">
        <is>
          <t>M.</t>
        </is>
      </c>
      <c r="D6" t="inlineStr">
        <is>
          <t>Tchinda</t>
        </is>
      </c>
      <c r="E6" t="inlineStr">
        <is>
          <t>Armand</t>
        </is>
      </c>
      <c r="F6" t="inlineStr">
        <is>
          <t>Réception &amp; Front Office</t>
        </is>
      </c>
      <c r="G6" t="inlineStr">
        <is>
          <t>Réceptionniste</t>
        </is>
      </c>
      <c r="H6" t="n">
        <v>220000</v>
      </c>
    </row>
    <row r="7">
      <c r="B7" t="inlineStr">
        <is>
          <t>EMP-003</t>
        </is>
      </c>
      <c r="C7" t="inlineStr">
        <is>
          <t>Mme</t>
        </is>
      </c>
      <c r="D7" t="inlineStr">
        <is>
          <t>Fotso</t>
        </is>
      </c>
      <c r="E7" t="inlineStr">
        <is>
          <t>Marguerite</t>
        </is>
      </c>
      <c r="F7" t="inlineStr">
        <is>
          <t>Finance &amp; Comptabilité</t>
        </is>
      </c>
      <c r="G7" t="inlineStr">
        <is>
          <t>Comptable senior</t>
        </is>
      </c>
      <c r="H7" t="n">
        <v>380000</v>
      </c>
    </row>
    <row r="8">
      <c r="B8" t="inlineStr">
        <is>
          <t>EMP-004</t>
        </is>
      </c>
      <c r="C8" t="inlineStr">
        <is>
          <t>M.</t>
        </is>
      </c>
      <c r="D8" t="inlineStr">
        <is>
          <t>Nkoulou</t>
        </is>
      </c>
      <c r="E8" t="inlineStr">
        <is>
          <t>Mbarga</t>
        </is>
      </c>
      <c r="F8" t="inlineStr">
        <is>
          <t>Étage &amp; Housekeeping</t>
        </is>
      </c>
      <c r="G8" t="inlineStr">
        <is>
          <t>Gouvernant</t>
        </is>
      </c>
      <c r="H8" t="n">
        <v>195000</v>
      </c>
    </row>
    <row r="9">
      <c r="B9" t="inlineStr">
        <is>
          <t>EMP-005</t>
        </is>
      </c>
      <c r="C9" t="inlineStr">
        <is>
          <t>M.</t>
        </is>
      </c>
      <c r="D9" t="inlineStr">
        <is>
          <t>Kamga</t>
        </is>
      </c>
      <c r="E9" t="inlineStr">
        <is>
          <t>Paul</t>
        </is>
      </c>
      <c r="F9" t="inlineStr">
        <is>
          <t>Maintenance</t>
        </is>
      </c>
      <c r="G9" t="inlineStr">
        <is>
          <t>Technicien maintenance</t>
        </is>
      </c>
      <c r="H9" t="n">
        <v>165000</v>
      </c>
    </row>
    <row r="10">
      <c r="B10" t="inlineStr">
        <is>
          <t>EMP-006</t>
        </is>
      </c>
      <c r="C10" t="inlineStr">
        <is>
          <t>Mme</t>
        </is>
      </c>
      <c r="D10" t="inlineStr">
        <is>
          <t>Ngo</t>
        </is>
      </c>
      <c r="E10" t="inlineStr">
        <is>
          <t>Delphine</t>
        </is>
      </c>
      <c r="F10" t="inlineStr">
        <is>
          <t>Service Client</t>
        </is>
      </c>
      <c r="G10" t="inlineStr">
        <is>
          <t>Conseiller clientèle</t>
        </is>
      </c>
      <c r="H10" t="n">
        <v>160000</v>
      </c>
    </row>
    <row r="11">
      <c r="B11" t="inlineStr">
        <is>
          <t>EMP-007</t>
        </is>
      </c>
      <c r="C11" t="inlineStr">
        <is>
          <t>M.</t>
        </is>
      </c>
      <c r="D11" t="inlineStr">
        <is>
          <t>Essomba</t>
        </is>
      </c>
      <c r="E11" t="inlineStr">
        <is>
          <t>Serge</t>
        </is>
      </c>
      <c r="F11" t="inlineStr">
        <is>
          <t>Maintenance</t>
        </is>
      </c>
      <c r="G11" t="inlineStr">
        <is>
          <t>Agent entretien</t>
        </is>
      </c>
      <c r="H11" t="n">
        <v>130000</v>
      </c>
    </row>
    <row r="12">
      <c r="B12" t="inlineStr">
        <is>
          <t>EMP-008</t>
        </is>
      </c>
      <c r="C12" t="inlineStr">
        <is>
          <t>M.</t>
        </is>
      </c>
      <c r="D12" t="inlineStr">
        <is>
          <t>Tchouankou</t>
        </is>
      </c>
      <c r="E12" t="inlineStr">
        <is>
          <t>Paul</t>
        </is>
      </c>
      <c r="F12" t="inlineStr">
        <is>
          <t>Commercial</t>
        </is>
      </c>
      <c r="G12" t="inlineStr">
        <is>
          <t>Commercial</t>
        </is>
      </c>
      <c r="H12" t="n">
        <v>150000</v>
      </c>
    </row>
    <row r="13">
      <c r="B13" t="inlineStr">
        <is>
          <t>EMP-009</t>
        </is>
      </c>
      <c r="C13" t="inlineStr">
        <is>
          <t>M.</t>
        </is>
      </c>
      <c r="D13" t="inlineStr">
        <is>
          <t>Fokam</t>
        </is>
      </c>
      <c r="E13" t="inlineStr">
        <is>
          <t>Eric</t>
        </is>
      </c>
      <c r="F13" t="inlineStr">
        <is>
          <t>Maintenance</t>
        </is>
      </c>
      <c r="G13" t="inlineStr">
        <is>
          <t>Technicien</t>
        </is>
      </c>
      <c r="H13" t="n">
        <v>140000</v>
      </c>
    </row>
    <row r="14">
      <c r="B14" t="inlineStr">
        <is>
          <t>EMP-010</t>
        </is>
      </c>
      <c r="C14" t="inlineStr">
        <is>
          <t>M.</t>
        </is>
      </c>
      <c r="D14" t="inlineStr">
        <is>
          <t>Tagne</t>
        </is>
      </c>
      <c r="E14" t="inlineStr">
        <is>
          <t>René</t>
        </is>
      </c>
      <c r="F14" t="inlineStr">
        <is>
          <t>Cuisine &amp; Restauration</t>
        </is>
      </c>
      <c r="G14" t="inlineStr">
        <is>
          <t>Plongeur</t>
        </is>
      </c>
      <c r="H14" t="n">
        <v>90000</v>
      </c>
    </row>
    <row r="15">
      <c r="B15" t="inlineStr">
        <is>
          <t>EMP-011</t>
        </is>
      </c>
      <c r="C15" t="inlineStr">
        <is>
          <t>M.</t>
        </is>
      </c>
      <c r="D15" t="inlineStr">
        <is>
          <t>Bouba</t>
        </is>
      </c>
      <c r="E15" t="inlineStr">
        <is>
          <t>Ahmed</t>
        </is>
      </c>
      <c r="F15" t="inlineStr">
        <is>
          <t>Sécurité</t>
        </is>
      </c>
      <c r="G15" t="inlineStr">
        <is>
          <t>Agent Sécurité</t>
        </is>
      </c>
      <c r="H15" t="n">
        <v>120000</v>
      </c>
    </row>
    <row r="16">
      <c r="B16" t="inlineStr">
        <is>
          <t>EMP-012</t>
        </is>
      </c>
      <c r="C16" t="inlineStr">
        <is>
          <t>Mme</t>
        </is>
      </c>
      <c r="D16" t="inlineStr">
        <is>
          <t>Awa</t>
        </is>
      </c>
      <c r="E16" t="inlineStr">
        <is>
          <t>Fatou</t>
        </is>
      </c>
      <c r="F16" t="inlineStr">
        <is>
          <t>Réception &amp; Front Office</t>
        </is>
      </c>
      <c r="G16" t="inlineStr">
        <is>
          <t>Standardiste</t>
        </is>
      </c>
      <c r="H16" t="n">
        <v>155000</v>
      </c>
    </row>
    <row r="17">
      <c r="B17" t="inlineStr">
        <is>
          <t>EMP-028</t>
        </is>
      </c>
      <c r="C17" t="inlineStr">
        <is>
          <t>M.</t>
        </is>
      </c>
      <c r="D17" t="inlineStr">
        <is>
          <t>Nkoulou</t>
        </is>
      </c>
      <c r="E17" t="inlineStr">
        <is>
          <t>Joel</t>
        </is>
      </c>
      <c r="F17" t="inlineStr">
        <is>
          <t>Sécurité</t>
        </is>
      </c>
      <c r="G17" t="inlineStr">
        <is>
          <t>Agent Sécurité</t>
        </is>
      </c>
      <c r="H17" t="n">
        <v>140000</v>
      </c>
    </row>
    <row r="18">
      <c r="B18" t="inlineStr">
        <is>
          <t>EMP-029</t>
        </is>
      </c>
      <c r="C18" t="inlineStr">
        <is>
          <t>M.</t>
        </is>
      </c>
      <c r="D18" t="inlineStr">
        <is>
          <t>Kamga</t>
        </is>
      </c>
      <c r="E18" t="inlineStr">
        <is>
          <t>Patrice</t>
        </is>
      </c>
      <c r="F18" t="inlineStr">
        <is>
          <t>Sécurité</t>
        </is>
      </c>
      <c r="G18" t="inlineStr">
        <is>
          <t>Chef Sécurité</t>
        </is>
      </c>
      <c r="H18" t="n">
        <v>210000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4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15" customHeight="1"/>
    <row r="2" ht="32" customHeight="1">
      <c r="B2" s="1" t="inlineStr">
        <is>
          <t>DOMAINE 6 — FORMATION, DEVELOPPEMENT &amp; COMPETENCES</t>
        </is>
      </c>
    </row>
    <row r="3" ht="8" customHeight="1">
      <c r="B3" s="2" t="inlineStr">
        <is>
          <t>TABLEAU DE BORD — Vue synthetique de tous les indicateurs du domaine (mis a jour automatiquement)</t>
        </is>
      </c>
    </row>
    <row r="5">
      <c r="B5" s="3" t="inlineStr">
        <is>
          <t>Actions PAF</t>
        </is>
      </c>
      <c r="E5" s="3" t="inlineStr">
        <is>
          <t>Heures formation (h)</t>
        </is>
      </c>
      <c r="H5" s="3" t="inlineStr">
        <is>
          <t>Cout prevu (FCFA)</t>
        </is>
      </c>
      <c r="K5" s="3" t="inlineStr">
        <is>
          <t>Besoins identifies</t>
        </is>
      </c>
    </row>
    <row r="6">
      <c r="B6" s="4">
        <f>COUNTIF('2-Plan Annuel Formation (PAF)'!B5:B104,"&lt;&gt;")</f>
        <v/>
      </c>
      <c r="E6" s="4">
        <f>SUM('2-Plan Annuel Formation (PAF)'!I5:I104)</f>
        <v/>
      </c>
      <c r="H6" s="4">
        <f>SUM('2-Plan Annuel Formation (PAF)'!L5:L104)</f>
        <v/>
      </c>
      <c r="K6" s="4">
        <f>COUNTIF('3-Besoins en Formation'!B5:B104,"&lt;&gt;")</f>
        <v/>
      </c>
    </row>
    <row r="9">
      <c r="B9" s="3" t="inlineStr">
        <is>
          <t>Inscriptions</t>
        </is>
      </c>
      <c r="E9" s="3" t="inlineStr">
        <is>
          <t>Cout reel inscriptions</t>
        </is>
      </c>
      <c r="H9" s="3" t="inlineStr">
        <is>
          <t>Presences formation</t>
        </is>
      </c>
      <c r="K9" s="3" t="inlineStr">
        <is>
          <t>Taux presence (%)</t>
        </is>
      </c>
    </row>
    <row r="10">
      <c r="B10" s="4">
        <f>COUNTIF('4-Inscriptions Formation'!B5:B104,"&lt;&gt;")</f>
        <v/>
      </c>
      <c r="E10" s="4">
        <f>SUM('4-Inscriptions Formation'!I5:I104)</f>
        <v/>
      </c>
      <c r="H10" s="4">
        <f>COUNTIF('5-Presence Formation'!B5:B104,"&lt;&gt;")</f>
        <v/>
      </c>
      <c r="K10" s="5">
        <f>IFERROR(COUNTIF('5-Presence Formation'!I5:I104,"Present")/COUNTA('5-Presence Formation'!I5:I104),0)</f>
        <v/>
      </c>
    </row>
    <row r="13">
      <c r="B13" s="3" t="inlineStr">
        <is>
          <t>Eval a chaud (nb)</t>
        </is>
      </c>
      <c r="E13" s="3" t="inlineStr">
        <is>
          <t>Score chaud moyen</t>
        </is>
      </c>
      <c r="H13" s="3" t="inlineStr">
        <is>
          <t>Eval a froid (nb)</t>
        </is>
      </c>
      <c r="K13" s="3" t="inlineStr">
        <is>
          <t>Score froid moyen</t>
        </is>
      </c>
    </row>
    <row r="14">
      <c r="B14" s="4">
        <f>COUNTIF('6-Evaluation a Chaud'!B5:B104,"&lt;&gt;")</f>
        <v/>
      </c>
      <c r="E14" s="5">
        <f>IFERROR(AVERAGE('6-Evaluation a Chaud'!J5:J104),0)</f>
        <v/>
      </c>
      <c r="H14" s="4">
        <f>COUNTIF('7-Evaluation a Froid'!B5:B104,"&lt;&gt;")</f>
        <v/>
      </c>
      <c r="K14" s="5">
        <f>IFERROR(AVERAGE('7-Evaluation a Froid'!I5:I104),0)</f>
        <v/>
      </c>
    </row>
    <row r="17">
      <c r="B17" s="3" t="inlineStr">
        <is>
          <t>Budget alloue (FCFA)</t>
        </is>
      </c>
      <c r="E17" s="3" t="inlineStr">
        <is>
          <t>Cout reel (FCFA)</t>
        </is>
      </c>
      <c r="H17" s="3" t="inlineStr">
        <is>
          <t>PID suivis</t>
        </is>
      </c>
      <c r="K17" s="3" t="inlineStr">
        <is>
          <t>Certifications</t>
        </is>
      </c>
    </row>
    <row r="18">
      <c r="B18" s="4">
        <f>SUM('8-Budget Formation'!F5:F104)</f>
        <v/>
      </c>
      <c r="E18" s="4">
        <f>SUM('8-Budget Formation'!G5:G104)</f>
        <v/>
      </c>
      <c r="H18" s="4">
        <f>COUNTIF('12-Plan Individuel Dev.'!B5:B104,"&lt;&gt;")</f>
        <v/>
      </c>
      <c r="K18" s="4">
        <f>COUNTIF('15-Certifications &amp; Qualif.'!B5:B104,"&lt;&gt;")</f>
        <v/>
      </c>
    </row>
    <row r="22">
      <c r="B22" s="6" t="inlineStr">
        <is>
          <t>FORMATION PAR DEPARTEMENT &amp; PAR TYPE</t>
        </is>
      </c>
    </row>
    <row r="23" ht="15" customHeight="1">
      <c r="B23" s="3" t="inlineStr">
        <is>
          <t>Service</t>
        </is>
      </c>
      <c r="C23" s="3" t="inlineStr">
        <is>
          <t>Heures (h)</t>
        </is>
      </c>
    </row>
    <row r="24" ht="15" customHeight="1">
      <c r="B24" s="7" t="inlineStr">
        <is>
          <t>RH</t>
        </is>
      </c>
      <c r="C24" s="8">
        <f>SUMIF('14-Bilan Competences par Dept'!C5:C104,"*RH*",'14-Bilan Competences par Dept'!F5:F104)</f>
        <v/>
      </c>
    </row>
    <row r="25" ht="15" customHeight="1">
      <c r="B25" s="7" t="inlineStr">
        <is>
          <t>Informatique</t>
        </is>
      </c>
      <c r="C25" s="8">
        <f>SUMIF('14-Bilan Competences par Dept'!C5:C104,"*Informatique*",'14-Bilan Competences par Dept'!F5:F104)</f>
        <v/>
      </c>
    </row>
    <row r="26" ht="15" customHeight="1">
      <c r="B26" s="7" t="inlineStr">
        <is>
          <t>Finance</t>
        </is>
      </c>
      <c r="C26" s="8">
        <f>SUMIF('14-Bilan Competences par Dept'!C5:C104,"*Finance*",'14-Bilan Competences par Dept'!F5:F104)</f>
        <v/>
      </c>
    </row>
    <row r="27" ht="15" customHeight="1">
      <c r="B27" s="7" t="inlineStr">
        <is>
          <t>Reception</t>
        </is>
      </c>
      <c r="C27" s="8">
        <f>SUMIF('14-Bilan Competences par Dept'!C5:C104,"*Reception*",'14-Bilan Competences par Dept'!F5:F104)</f>
        <v/>
      </c>
    </row>
    <row r="28" ht="15" customHeight="1">
      <c r="B28" s="7" t="inlineStr">
        <is>
          <t>Cuisine</t>
        </is>
      </c>
      <c r="C28" s="8">
        <f>SUMIF('14-Bilan Competences par Dept'!C5:C104,"*Cuisine*",'14-Bilan Competences par Dept'!F5:F104)</f>
        <v/>
      </c>
    </row>
    <row r="29" ht="15" customHeight="1">
      <c r="B29" s="7" t="inlineStr">
        <is>
          <t>Entretien</t>
        </is>
      </c>
      <c r="C29" s="8">
        <f>SUMIF('14-Bilan Competences par Dept'!C5:C104,"*Entretien*",'14-Bilan Competences par Dept'!F5:F104)</f>
        <v/>
      </c>
    </row>
    <row r="30" ht="15" customHeight="1">
      <c r="B30" s="7" t="inlineStr">
        <is>
          <t>Sécurité</t>
        </is>
      </c>
      <c r="C30" s="8">
        <f>SUMIF('14-Bilan Competences par Dept'!C5:C104,"*Securite*",'14-Bilan Competences par Dept'!F5:F104)</f>
        <v/>
      </c>
    </row>
    <row r="31" ht="15" customHeight="1">
      <c r="B31" s="7" t="inlineStr">
        <is>
          <t>SC</t>
        </is>
      </c>
      <c r="C31" s="8">
        <f>SUMIF('14-Bilan Competences par Dept'!C5:C104,"*Service Client*",'14-Bilan Competences par Dept'!F5:F104)</f>
        <v/>
      </c>
    </row>
    <row r="32" ht="15" customHeight="1"/>
    <row r="33" ht="15" customHeight="1">
      <c r="H33" s="3" t="inlineStr">
        <is>
          <t>Type Formation</t>
        </is>
      </c>
      <c r="I33" s="3" t="inlineStr">
        <is>
          <t>Nb Actions</t>
        </is>
      </c>
    </row>
    <row r="34" ht="15" customHeight="1">
      <c r="H34" s="7" t="inlineStr">
        <is>
          <t>Technique metier</t>
        </is>
      </c>
      <c r="I34" s="8">
        <f>COUNTIF('2-Plan Annuel Formation (PAF)'!D5:D104,"*technique*")</f>
        <v/>
      </c>
    </row>
    <row r="35" ht="15" customHeight="1">
      <c r="H35" s="7" t="inlineStr">
        <is>
          <t>Langue</t>
        </is>
      </c>
      <c r="I35" s="8">
        <f>COUNTIF('2-Plan Annuel Formation (PAF)'!D5:D104,"*langue*")</f>
        <v/>
      </c>
    </row>
    <row r="36" ht="15" customHeight="1">
      <c r="H36" s="7" t="inlineStr">
        <is>
          <t>Informatique</t>
        </is>
      </c>
      <c r="I36" s="8">
        <f>COUNTIF('2-Plan Annuel Formation (PAF)'!D5:D104,"*informatique*")</f>
        <v/>
      </c>
    </row>
    <row r="37" ht="15" customHeight="1">
      <c r="H37" s="7" t="inlineStr">
        <is>
          <t>Service client</t>
        </is>
      </c>
      <c r="I37" s="8">
        <f>COUNTIF('2-Plan Annuel Formation (PAF)'!D5:D104,"*accueil*")</f>
        <v/>
      </c>
    </row>
    <row r="38" ht="15" customHeight="1">
      <c r="H38" s="7" t="inlineStr">
        <is>
          <t>Securite &amp; HACCP</t>
        </is>
      </c>
      <c r="I38" s="8">
        <f>COUNTIF('2-Plan Annuel Formation (PAF)'!D5:D104,"*securite*")+COUNTIF('2-Plan Annuel Formation (PAF)'!D5:D104,"*HACCP*")</f>
        <v/>
      </c>
    </row>
    <row r="39" ht="15" customHeight="1">
      <c r="H39" s="7" t="inlineStr">
        <is>
          <t>Management</t>
        </is>
      </c>
      <c r="I39" s="8">
        <f>COUNTIF('2-Plan Annuel Formation (PAF)'!D5:D104,"*management*")</f>
        <v/>
      </c>
    </row>
    <row r="40" ht="15" customHeight="1">
      <c r="H40" s="7" t="inlineStr">
        <is>
          <t>Hygiene securite</t>
        </is>
      </c>
      <c r="I40" s="8">
        <f>COUNTIF('2-Plan Annuel Formation (PAF)'!D5:D104,"*hygiene*")</f>
        <v/>
      </c>
    </row>
    <row r="41" ht="15" customHeight="1">
      <c r="H41" s="7" t="inlineStr">
        <is>
          <t>Autre</t>
        </is>
      </c>
      <c r="I41" s="8">
        <f>COUNTIF('2-Plan Annuel Formation (PAF)'!B5:B104,"&lt;&gt;")-SUM(H34:H40)</f>
        <v/>
      </c>
    </row>
  </sheetData>
  <mergeCells count="35">
    <mergeCell ref="H10:I10"/>
    <mergeCell ref="B3:L3"/>
    <mergeCell ref="K9:L9"/>
    <mergeCell ref="E5:F5"/>
    <mergeCell ref="K5:L5"/>
    <mergeCell ref="E14:F14"/>
    <mergeCell ref="B22:L22"/>
    <mergeCell ref="B18:C18"/>
    <mergeCell ref="E17:F17"/>
    <mergeCell ref="H9:I9"/>
    <mergeCell ref="H6:I6"/>
    <mergeCell ref="E10:F10"/>
    <mergeCell ref="B2:L2"/>
    <mergeCell ref="B14:C14"/>
    <mergeCell ref="E13:F13"/>
    <mergeCell ref="B17:C17"/>
    <mergeCell ref="E9:F9"/>
    <mergeCell ref="H17:I17"/>
    <mergeCell ref="B13:C13"/>
    <mergeCell ref="E6:F6"/>
    <mergeCell ref="B10:C10"/>
    <mergeCell ref="B9:C9"/>
    <mergeCell ref="H13:I13"/>
    <mergeCell ref="K14:L14"/>
    <mergeCell ref="K17:L17"/>
    <mergeCell ref="B6:C6"/>
    <mergeCell ref="B5:C5"/>
    <mergeCell ref="K10:L10"/>
    <mergeCell ref="H18:I18"/>
    <mergeCell ref="H5:I5"/>
    <mergeCell ref="H14:I14"/>
    <mergeCell ref="K6:L6"/>
    <mergeCell ref="K13:L13"/>
    <mergeCell ref="E18:F18"/>
    <mergeCell ref="K18:L18"/>
  </mergeCells>
  <conditionalFormatting sqref="B6">
    <cfRule type="cellIs" priority="1" operator="greaterThan" dxfId="4">
      <formula>0</formula>
    </cfRule>
  </conditionalFormatting>
  <conditionalFormatting sqref="E6">
    <cfRule type="cellIs" priority="2" operator="greaterThan" dxfId="4">
      <formula>0</formula>
    </cfRule>
  </conditionalFormatting>
  <conditionalFormatting sqref="H6">
    <cfRule type="cellIs" priority="3" operator="greaterThan" dxfId="4">
      <formula>0</formula>
    </cfRule>
  </conditionalFormatting>
  <conditionalFormatting sqref="K6">
    <cfRule type="cellIs" priority="4" operator="greaterThan" dxfId="4">
      <formula>0</formula>
    </cfRule>
  </conditionalFormatting>
  <conditionalFormatting sqref="B10">
    <cfRule type="cellIs" priority="5" operator="greaterThan" dxfId="4">
      <formula>0</formula>
    </cfRule>
  </conditionalFormatting>
  <conditionalFormatting sqref="E10">
    <cfRule type="cellIs" priority="6" operator="greaterThan" dxfId="4">
      <formula>0</formula>
    </cfRule>
  </conditionalFormatting>
  <conditionalFormatting sqref="H10">
    <cfRule type="cellIs" priority="7" operator="greaterThan" dxfId="4">
      <formula>0</formula>
    </cfRule>
  </conditionalFormatting>
  <conditionalFormatting sqref="K10">
    <cfRule type="cellIs" priority="8" operator="greaterThan" dxfId="4">
      <formula>0</formula>
    </cfRule>
  </conditionalFormatting>
  <conditionalFormatting sqref="B14">
    <cfRule type="cellIs" priority="9" operator="greaterThan" dxfId="4">
      <formula>0</formula>
    </cfRule>
  </conditionalFormatting>
  <conditionalFormatting sqref="E14">
    <cfRule type="cellIs" priority="10" operator="greaterThan" dxfId="4">
      <formula>0</formula>
    </cfRule>
  </conditionalFormatting>
  <conditionalFormatting sqref="H14">
    <cfRule type="cellIs" priority="11" operator="greaterThan" dxfId="4">
      <formula>0</formula>
    </cfRule>
  </conditionalFormatting>
  <conditionalFormatting sqref="K14">
    <cfRule type="cellIs" priority="12" operator="greaterThan" dxfId="4">
      <formula>0</formula>
    </cfRule>
  </conditionalFormatting>
  <conditionalFormatting sqref="B18">
    <cfRule type="cellIs" priority="13" operator="greaterThan" dxfId="4">
      <formula>0</formula>
    </cfRule>
  </conditionalFormatting>
  <conditionalFormatting sqref="E18">
    <cfRule type="cellIs" priority="14" operator="greaterThan" dxfId="4">
      <formula>0</formula>
    </cfRule>
  </conditionalFormatting>
  <conditionalFormatting sqref="H18">
    <cfRule type="cellIs" priority="15" operator="greaterThan" dxfId="4">
      <formula>0</formula>
    </cfRule>
  </conditionalFormatting>
  <conditionalFormatting sqref="K18">
    <cfRule type="cellIs" priority="16" operator="greaterThan" dxfId="4">
      <formula>0</formula>
    </cfRule>
  </conditionalFormatting>
  <conditionalFormatting sqref="C24">
    <cfRule type="cellIs" priority="17" operator="greaterThan" dxfId="4">
      <formula>0</formula>
    </cfRule>
  </conditionalFormatting>
  <conditionalFormatting sqref="C25">
    <cfRule type="cellIs" priority="18" operator="greaterThan" dxfId="4">
      <formula>0</formula>
    </cfRule>
  </conditionalFormatting>
  <conditionalFormatting sqref="C26">
    <cfRule type="cellIs" priority="19" operator="greaterThan" dxfId="4">
      <formula>0</formula>
    </cfRule>
  </conditionalFormatting>
  <conditionalFormatting sqref="C27">
    <cfRule type="cellIs" priority="20" operator="greaterThan" dxfId="4">
      <formula>0</formula>
    </cfRule>
  </conditionalFormatting>
  <conditionalFormatting sqref="C28">
    <cfRule type="cellIs" priority="21" operator="greaterThan" dxfId="4">
      <formula>0</formula>
    </cfRule>
  </conditionalFormatting>
  <conditionalFormatting sqref="C29">
    <cfRule type="cellIs" priority="22" operator="greaterThan" dxfId="4">
      <formula>0</formula>
    </cfRule>
  </conditionalFormatting>
  <conditionalFormatting sqref="C30">
    <cfRule type="cellIs" priority="23" operator="greaterThan" dxfId="4">
      <formula>0</formula>
    </cfRule>
  </conditionalFormatting>
  <conditionalFormatting sqref="C31">
    <cfRule type="cellIs" priority="24" operator="greaterThan" dxfId="4">
      <formula>0</formula>
    </cfRule>
  </conditionalFormatting>
  <conditionalFormatting sqref="I34">
    <cfRule type="cellIs" priority="25" operator="greaterThan" dxfId="4">
      <formula>0</formula>
    </cfRule>
  </conditionalFormatting>
  <conditionalFormatting sqref="I35">
    <cfRule type="cellIs" priority="26" operator="greaterThan" dxfId="4">
      <formula>0</formula>
    </cfRule>
  </conditionalFormatting>
  <conditionalFormatting sqref="I36">
    <cfRule type="cellIs" priority="27" operator="greaterThan" dxfId="4">
      <formula>0</formula>
    </cfRule>
  </conditionalFormatting>
  <conditionalFormatting sqref="I37">
    <cfRule type="cellIs" priority="28" operator="greaterThan" dxfId="4">
      <formula>0</formula>
    </cfRule>
  </conditionalFormatting>
  <conditionalFormatting sqref="I38">
    <cfRule type="cellIs" priority="29" operator="greaterThan" dxfId="4">
      <formula>0</formula>
    </cfRule>
  </conditionalFormatting>
  <conditionalFormatting sqref="I39">
    <cfRule type="cellIs" priority="30" operator="greaterThan" dxfId="4">
      <formula>0</formula>
    </cfRule>
  </conditionalFormatting>
  <conditionalFormatting sqref="I40">
    <cfRule type="cellIs" priority="31" operator="greaterThan" dxfId="4">
      <formula>0</formula>
    </cfRule>
  </conditionalFormatting>
  <conditionalFormatting sqref="I41">
    <cfRule type="cellIs" priority="32" operator="greaterThan" dxfId="4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T25"/>
  <sheetViews>
    <sheetView workbookViewId="0">
      <selection activeCell="A1" sqref="A1"/>
    </sheetView>
  </sheetViews>
  <sheetFormatPr baseColWidth="8" defaultRowHeight="15"/>
  <sheetData>
    <row r="1">
      <c r="B1" s="9" t="inlineStr">
        <is>
          <t>departement</t>
        </is>
      </c>
      <c r="C1" s="9" t="inlineStr">
        <is>
          <t>poste_hotel</t>
        </is>
      </c>
      <c r="D1" s="9" t="inlineStr">
        <is>
          <t>type_formation</t>
        </is>
      </c>
      <c r="E1" s="9" t="inlineStr">
        <is>
          <t>modalite_formation</t>
        </is>
      </c>
      <c r="F1" s="9" t="inlineStr">
        <is>
          <t>niveau_competence</t>
        </is>
      </c>
      <c r="G1" s="9" t="inlineStr">
        <is>
          <t>statut_formation</t>
        </is>
      </c>
      <c r="H1" s="9" t="inlineStr">
        <is>
          <t>statut_evaluation</t>
        </is>
      </c>
      <c r="I1" s="9" t="inlineStr">
        <is>
          <t>statut_besoin</t>
        </is>
      </c>
      <c r="J1" s="9" t="inlineStr">
        <is>
          <t>statut_budget</t>
        </is>
      </c>
      <c r="K1" s="9" t="inlineStr">
        <is>
          <t>statut_pid</t>
        </is>
      </c>
      <c r="L1" s="9" t="inlineStr">
        <is>
          <t>source_formation</t>
        </is>
      </c>
      <c r="M1" s="9" t="inlineStr">
        <is>
          <t>type_formateur</t>
        </is>
      </c>
      <c r="N1" s="9" t="inlineStr">
        <is>
          <t>priorite_formation</t>
        </is>
      </c>
      <c r="O1" s="9" t="inlineStr">
        <is>
          <t>mois</t>
        </is>
      </c>
      <c r="P1" s="9" t="inlineStr">
        <is>
          <t>annee</t>
        </is>
      </c>
      <c r="Q1" s="9" t="inlineStr">
        <is>
          <t>statut_rapport</t>
        </is>
      </c>
      <c r="R1" s="9" t="inlineStr">
        <is>
          <t>jour_semaine</t>
        </is>
      </c>
      <c r="S1" t="inlineStr">
        <is>
          <t>appreciation</t>
        </is>
      </c>
      <c r="T1" t="inlineStr">
        <is>
          <t>statut_convention</t>
        </is>
      </c>
    </row>
    <row r="2">
      <c r="B2" s="10" t="inlineStr">
        <is>
          <t>Direction Générale</t>
        </is>
      </c>
      <c r="C2" s="10" t="inlineStr">
        <is>
          <t>DG</t>
        </is>
      </c>
      <c r="D2" s="10" t="inlineStr">
        <is>
          <t>Formation technique metier</t>
        </is>
      </c>
      <c r="E2" s="10" t="inlineStr">
        <is>
          <t>Presentiel interne</t>
        </is>
      </c>
      <c r="F2" s="10" t="inlineStr">
        <is>
          <t>Debutant</t>
        </is>
      </c>
      <c r="G2" s="10" t="inlineStr">
        <is>
          <t>Planifiee</t>
        </is>
      </c>
      <c r="H2" s="10" t="inlineStr">
        <is>
          <t>Non realisee</t>
        </is>
      </c>
      <c r="I2" s="10" t="inlineStr">
        <is>
          <t>Identifie</t>
        </is>
      </c>
      <c r="J2" s="10" t="inlineStr">
        <is>
          <t>Provisionne</t>
        </is>
      </c>
      <c r="K2" s="10" t="inlineStr">
        <is>
          <t>En elaboration</t>
        </is>
      </c>
      <c r="L2" s="10" t="inlineStr">
        <is>
          <t>Entretien annuel</t>
        </is>
      </c>
      <c r="M2" s="10" t="inlineStr">
        <is>
          <t>Formateur interne</t>
        </is>
      </c>
      <c r="N2" s="10" t="inlineStr">
        <is>
          <t>Haute</t>
        </is>
      </c>
      <c r="O2" s="10" t="inlineStr">
        <is>
          <t>Janvier</t>
        </is>
      </c>
      <c r="P2" s="10" t="inlineStr">
        <is>
          <t>2024</t>
        </is>
      </c>
      <c r="Q2" s="10" t="inlineStr">
        <is>
          <t>Brouillon</t>
        </is>
      </c>
      <c r="R2" s="10" t="inlineStr">
        <is>
          <t>Oui</t>
        </is>
      </c>
      <c r="S2" t="inlineStr">
        <is>
          <t>Excellent</t>
        </is>
      </c>
      <c r="T2" t="inlineStr">
        <is>
          <t>En vigueur</t>
        </is>
      </c>
    </row>
    <row r="3">
      <c r="B3" s="10" t="inlineStr">
        <is>
          <t>Service Client</t>
        </is>
      </c>
      <c r="C3" s="10" t="inlineStr">
        <is>
          <t>DRH</t>
        </is>
      </c>
      <c r="D3" s="10" t="inlineStr">
        <is>
          <t>Formation securite &amp; HACCP</t>
        </is>
      </c>
      <c r="E3" s="10" t="inlineStr">
        <is>
          <t>Presentiel externe</t>
        </is>
      </c>
      <c r="F3" s="10" t="inlineStr">
        <is>
          <t>Intermediaire</t>
        </is>
      </c>
      <c r="G3" s="10" t="inlineStr">
        <is>
          <t>En cours</t>
        </is>
      </c>
      <c r="H3" s="10" t="inlineStr">
        <is>
          <t>En cours</t>
        </is>
      </c>
      <c r="I3" s="10" t="inlineStr">
        <is>
          <t>Priorise</t>
        </is>
      </c>
      <c r="J3" s="10" t="inlineStr">
        <is>
          <t>Consomme partiel</t>
        </is>
      </c>
      <c r="K3" s="10" t="inlineStr">
        <is>
          <t>Valide par N+1</t>
        </is>
      </c>
      <c r="L3" s="10" t="inlineStr">
        <is>
          <t>Demande employe</t>
        </is>
      </c>
      <c r="M3" s="10" t="inlineStr">
        <is>
          <t>Formateur externe</t>
        </is>
      </c>
      <c r="N3" s="10" t="inlineStr">
        <is>
          <t>Moyenne</t>
        </is>
      </c>
      <c r="O3" s="10" t="inlineStr">
        <is>
          <t>Fevrier</t>
        </is>
      </c>
      <c r="P3" s="10" t="inlineStr">
        <is>
          <t>2025</t>
        </is>
      </c>
      <c r="Q3" s="10" t="inlineStr">
        <is>
          <t>Valide</t>
        </is>
      </c>
      <c r="R3" s="10" t="inlineStr">
        <is>
          <t>Non</t>
        </is>
      </c>
      <c r="S3" t="inlineStr">
        <is>
          <t>Tres satisfaisant</t>
        </is>
      </c>
      <c r="T3" t="inlineStr">
        <is>
          <t>Echu</t>
        </is>
      </c>
    </row>
    <row r="4">
      <c r="B4" s="10" t="inlineStr">
        <is>
          <t>Finance &amp; Comptabilité</t>
        </is>
      </c>
      <c r="C4" s="10" t="inlineStr">
        <is>
          <t>Assistante RH</t>
        </is>
      </c>
      <c r="D4" s="10" t="inlineStr">
        <is>
          <t>Formation langue etrangere</t>
        </is>
      </c>
      <c r="E4" s="10" t="inlineStr">
        <is>
          <t>En ligne (e-learning)</t>
        </is>
      </c>
      <c r="F4" s="10" t="inlineStr">
        <is>
          <t>Avance</t>
        </is>
      </c>
      <c r="G4" s="10" t="inlineStr">
        <is>
          <t>Terminee</t>
        </is>
      </c>
      <c r="H4" s="10" t="inlineStr">
        <is>
          <t>Completee</t>
        </is>
      </c>
      <c r="I4" s="10" t="inlineStr">
        <is>
          <t>Planifie</t>
        </is>
      </c>
      <c r="J4" s="10" t="inlineStr">
        <is>
          <t>Consomme total</t>
        </is>
      </c>
      <c r="K4" s="10" t="inlineStr">
        <is>
          <t>En cours de realisation</t>
        </is>
      </c>
      <c r="L4" s="10" t="inlineStr">
        <is>
          <t>Audit interne</t>
        </is>
      </c>
      <c r="M4" s="10" t="inlineStr">
        <is>
          <t>Consultant</t>
        </is>
      </c>
      <c r="N4" s="10" t="inlineStr">
        <is>
          <t>Basse</t>
        </is>
      </c>
      <c r="O4" s="10" t="inlineStr">
        <is>
          <t>Mars</t>
        </is>
      </c>
      <c r="P4" s="10" t="inlineStr">
        <is>
          <t>2026</t>
        </is>
      </c>
      <c r="Q4" s="10" t="inlineStr">
        <is>
          <t>Approuve</t>
        </is>
      </c>
      <c r="S4" t="inlineStr">
        <is>
          <t>Satisfaisant</t>
        </is>
      </c>
      <c r="T4" t="inlineStr">
        <is>
          <t>En negociation</t>
        </is>
      </c>
    </row>
    <row r="5">
      <c r="B5" s="10" t="inlineStr">
        <is>
          <t>Marketing &amp; Communication</t>
        </is>
      </c>
      <c r="C5" s="10" t="inlineStr">
        <is>
          <t>DAF</t>
        </is>
      </c>
      <c r="D5" s="10" t="inlineStr">
        <is>
          <t>Formation management &amp; leadership</t>
        </is>
      </c>
      <c r="E5" s="10" t="inlineStr">
        <is>
          <t>Mixte (blended learning)</t>
        </is>
      </c>
      <c r="F5" s="10" t="inlineStr">
        <is>
          <t>Expert</t>
        </is>
      </c>
      <c r="G5" s="10" t="inlineStr">
        <is>
          <t>Annulee</t>
        </is>
      </c>
      <c r="H5" s="10" t="inlineStr">
        <is>
          <t>Non applicable</t>
        </is>
      </c>
      <c r="I5" s="10" t="inlineStr">
        <is>
          <t>En cours</t>
        </is>
      </c>
      <c r="J5" s="10" t="inlineStr">
        <is>
          <t>Depasse</t>
        </is>
      </c>
      <c r="K5" s="10" t="inlineStr">
        <is>
          <t>Bilan realise</t>
        </is>
      </c>
      <c r="L5" s="10" t="inlineStr">
        <is>
          <t>Plan strategique hotel</t>
        </is>
      </c>
      <c r="M5" s="10" t="inlineStr">
        <is>
          <t>Enseignant</t>
        </is>
      </c>
      <c r="N5" s="10" t="inlineStr">
        <is>
          <t>Urgente</t>
        </is>
      </c>
      <c r="O5" s="10" t="inlineStr">
        <is>
          <t>Avril</t>
        </is>
      </c>
      <c r="Q5" s="10" t="inlineStr">
        <is>
          <t>Rejete</t>
        </is>
      </c>
      <c r="S5" t="inlineStr">
        <is>
          <t>Insuffisant</t>
        </is>
      </c>
      <c r="T5" t="inlineStr">
        <is>
          <t>Resilie</t>
        </is>
      </c>
    </row>
    <row r="6">
      <c r="B6" s="10" t="inlineStr">
        <is>
          <t>Maintenance</t>
        </is>
      </c>
      <c r="C6" s="10" t="inlineStr">
        <is>
          <t>Comptable senior</t>
        </is>
      </c>
      <c r="D6" s="10" t="inlineStr">
        <is>
          <t>Formation informatique &amp; bureautique</t>
        </is>
      </c>
      <c r="E6" s="10" t="inlineStr">
        <is>
          <t>Sur le tas (coaching)</t>
        </is>
      </c>
      <c r="F6" s="10" t="inlineStr">
        <is>
          <t>Non evalue</t>
        </is>
      </c>
      <c r="G6" s="10" t="inlineStr">
        <is>
          <t>Reportee</t>
        </is>
      </c>
      <c r="I6" s="10" t="inlineStr">
        <is>
          <t>Satisfait</t>
        </is>
      </c>
      <c r="J6" s="10" t="inlineStr">
        <is>
          <t>Non utilise</t>
        </is>
      </c>
      <c r="K6" s="10" t="inlineStr">
        <is>
          <t>Archive</t>
        </is>
      </c>
      <c r="L6" s="10" t="inlineStr">
        <is>
          <t>Non conformite detectee</t>
        </is>
      </c>
      <c r="M6" s="10" t="inlineStr">
        <is>
          <t>Coach interne</t>
        </is>
      </c>
      <c r="O6" s="10" t="inlineStr">
        <is>
          <t>Mai</t>
        </is>
      </c>
      <c r="S6" t="inlineStr">
        <is>
          <t>Non satisfaisant</t>
        </is>
      </c>
      <c r="T6" t="inlineStr">
        <is>
          <t>Suspendu</t>
        </is>
      </c>
    </row>
    <row r="7">
      <c r="B7" s="10" t="inlineStr">
        <is>
          <t>Commercial</t>
        </is>
      </c>
      <c r="C7" s="10" t="inlineStr">
        <is>
          <t>Chef Comptable</t>
        </is>
      </c>
      <c r="D7" s="10" t="inlineStr">
        <is>
          <t>Formation accueil &amp; service client</t>
        </is>
      </c>
      <c r="E7" s="10" t="inlineStr">
        <is>
          <t>Conference / seminaire</t>
        </is>
      </c>
      <c r="G7" s="10" t="inlineStr">
        <is>
          <t>En attente</t>
        </is>
      </c>
      <c r="I7" s="10" t="inlineStr">
        <is>
          <t>Non satisfait</t>
        </is>
      </c>
      <c r="L7" s="10" t="inlineStr">
        <is>
          <t>Evolution reglementaire</t>
        </is>
      </c>
      <c r="M7" s="10" t="inlineStr">
        <is>
          <t>Expert metier</t>
        </is>
      </c>
      <c r="O7" s="10" t="inlineStr">
        <is>
          <t>Juin</t>
        </is>
      </c>
      <c r="T7" t="inlineStr">
        <is>
          <t>Renouvele</t>
        </is>
      </c>
    </row>
    <row r="8">
      <c r="B8" s="10" t="inlineStr">
        <is>
          <t>Logistique &amp; Approvisionnement</t>
        </is>
      </c>
      <c r="C8" s="10" t="inlineStr">
        <is>
          <t>Chef Marketing</t>
        </is>
      </c>
      <c r="D8" s="10" t="inlineStr">
        <is>
          <t>Formation developpement personnel</t>
        </is>
      </c>
      <c r="E8" s="10" t="inlineStr">
        <is>
          <t>Stage pratique</t>
        </is>
      </c>
      <c r="L8" s="10" t="inlineStr">
        <is>
          <t>Incident / accident</t>
        </is>
      </c>
      <c r="O8" s="10" t="inlineStr">
        <is>
          <t>Juillet</t>
        </is>
      </c>
    </row>
    <row r="9">
      <c r="B9" s="10" t="inlineStr">
        <is>
          <t>Cuisine &amp; Restauration</t>
        </is>
      </c>
      <c r="C9" s="10" t="inlineStr">
        <is>
          <t>Chef de service IT</t>
        </is>
      </c>
      <c r="D9" s="10" t="inlineStr">
        <is>
          <t>Formation hygiene &amp; securite</t>
        </is>
      </c>
      <c r="E9" s="10" t="inlineStr">
        <is>
          <t>Formation action</t>
        </is>
      </c>
      <c r="L9" s="10" t="inlineStr">
        <is>
          <t>Initiative DRH</t>
        </is>
      </c>
      <c r="O9" s="10" t="inlineStr">
        <is>
          <t>Aout</t>
        </is>
      </c>
    </row>
    <row r="10">
      <c r="B10" s="10" t="inlineStr">
        <is>
          <t>Réception &amp; Front Office</t>
        </is>
      </c>
      <c r="C10" s="10" t="inlineStr">
        <is>
          <t>Technicien IT</t>
        </is>
      </c>
      <c r="D10" s="10" t="inlineStr">
        <is>
          <t>Formation reglementation travail</t>
        </is>
      </c>
      <c r="O10" s="10" t="inlineStr">
        <is>
          <t>Septembre</t>
        </is>
      </c>
    </row>
    <row r="11">
      <c r="B11" s="10" t="inlineStr">
        <is>
          <t>Sécurité</t>
        </is>
      </c>
      <c r="C11" s="10" t="inlineStr">
        <is>
          <t>Chef Commercial</t>
        </is>
      </c>
      <c r="D11" s="10" t="inlineStr">
        <is>
          <t>Formation certificative / diplome</t>
        </is>
      </c>
      <c r="O11" s="10" t="inlineStr">
        <is>
          <t>Octobre</t>
        </is>
      </c>
    </row>
    <row r="12">
      <c r="B12" s="10" t="inlineStr">
        <is>
          <t>Étage &amp; Housekeeping</t>
        </is>
      </c>
      <c r="C12" s="10" t="inlineStr">
        <is>
          <t>Agent Commercial</t>
        </is>
      </c>
      <c r="O12" s="10" t="inlineStr">
        <is>
          <t>Novembre</t>
        </is>
      </c>
    </row>
    <row r="13">
      <c r="B13" s="10" t="n"/>
      <c r="C13" s="10" t="inlineStr">
        <is>
          <t>Chef Logistique</t>
        </is>
      </c>
      <c r="O13" s="10" t="inlineStr">
        <is>
          <t>Decembre</t>
        </is>
      </c>
    </row>
    <row r="14">
      <c r="B14" s="10" t="n"/>
      <c r="C14" s="10" t="inlineStr">
        <is>
          <t>Magasinier</t>
        </is>
      </c>
    </row>
    <row r="15">
      <c r="C15" s="10" t="inlineStr">
        <is>
          <t>Chef Reception</t>
        </is>
      </c>
    </row>
    <row r="16">
      <c r="C16" s="10" t="inlineStr">
        <is>
          <t>Receptionniste</t>
        </is>
      </c>
    </row>
    <row r="17">
      <c r="C17" s="10" t="inlineStr">
        <is>
          <t>Concierge</t>
        </is>
      </c>
    </row>
    <row r="18">
      <c r="C18" s="10" t="inlineStr">
        <is>
          <t>Chef Cuisine</t>
        </is>
      </c>
    </row>
    <row r="19">
      <c r="C19" s="10" t="inlineStr">
        <is>
          <t>Sous-Chef</t>
        </is>
      </c>
    </row>
    <row r="20">
      <c r="C20" s="10" t="inlineStr">
        <is>
          <t>Cuisinier</t>
        </is>
      </c>
    </row>
    <row r="21">
      <c r="C21" s="10" t="inlineStr">
        <is>
          <t>Plongeur</t>
        </is>
      </c>
    </row>
    <row r="22">
      <c r="C22" s="10" t="inlineStr">
        <is>
          <t>Chef Entretien</t>
        </is>
      </c>
    </row>
    <row r="23">
      <c r="C23" s="10" t="inlineStr">
        <is>
          <t>Agent Entretien</t>
        </is>
      </c>
    </row>
    <row r="24">
      <c r="C24" s="10" t="inlineStr">
        <is>
          <t>Chef Securite</t>
        </is>
      </c>
    </row>
    <row r="25">
      <c r="C25" s="10" t="inlineStr">
        <is>
          <t>Agent Securite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30" customWidth="1" min="3" max="3"/>
    <col width="28" customWidth="1" min="4" max="4"/>
    <col width="22" customWidth="1" min="5" max="5"/>
    <col width="18" customWidth="1" min="6" max="6"/>
    <col width="14" customWidth="1" min="7" max="7"/>
    <col width="14" customWidth="1" min="8" max="8"/>
    <col width="12" customWidth="1" min="9" max="9"/>
    <col width="22" customWidth="1" min="10" max="10"/>
    <col width="18" customWidth="1" min="11" max="11"/>
    <col width="18" customWidth="1" min="12" max="12"/>
    <col width="14" customWidth="1" min="13" max="13"/>
  </cols>
  <sheetData>
    <row r="1" ht="15" customHeight="1"/>
    <row r="2" ht="32" customHeight="1">
      <c r="B2" s="1" t="inlineStr">
        <is>
          <t>PLAN ANNUEL DE FORMATION - PAF (#64)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 Action</t>
        </is>
      </c>
      <c r="C4" s="11" t="inlineStr">
        <is>
          <t>Theme Formation</t>
        </is>
      </c>
      <c r="D4" s="11" t="inlineStr">
        <is>
          <t>Type Formation</t>
        </is>
      </c>
      <c r="E4" s="11" t="inlineStr">
        <is>
          <t>Departement Cible</t>
        </is>
      </c>
      <c r="F4" s="11" t="inlineStr">
        <is>
          <t>Nb Participants Prevu</t>
        </is>
      </c>
      <c r="G4" s="11" t="inlineStr">
        <is>
          <t>Date Debut</t>
        </is>
      </c>
      <c r="H4" s="11" t="inlineStr">
        <is>
          <t>Date Fin</t>
        </is>
      </c>
      <c r="I4" s="11" t="inlineStr">
        <is>
          <t>Duree (h)</t>
        </is>
      </c>
      <c r="J4" s="11" t="inlineStr">
        <is>
          <t>Formateur</t>
        </is>
      </c>
      <c r="K4" s="11" t="inlineStr">
        <is>
          <t>Lieu</t>
        </is>
      </c>
      <c r="L4" s="11" t="inlineStr">
        <is>
          <t>Cout Prevu (FCFA)</t>
        </is>
      </c>
      <c r="M4" s="11" t="inlineStr">
        <is>
          <t>Statut</t>
        </is>
      </c>
    </row>
    <row r="5" ht="22" customHeight="1">
      <c r="B5" s="12" t="inlineStr">
        <is>
          <t>PAF-001</t>
        </is>
      </c>
      <c r="C5" s="12" t="inlineStr">
        <is>
          <t>HACCP &amp; Hygiene alimentaire</t>
        </is>
      </c>
      <c r="D5" s="12" t="inlineStr">
        <is>
          <t>Formation securite &amp; HACCP</t>
        </is>
      </c>
      <c r="E5" s="12" t="inlineStr">
        <is>
          <t>Cuisine &amp; Restauration</t>
        </is>
      </c>
      <c r="F5" s="13" t="n">
        <v>8</v>
      </c>
      <c r="G5" s="31" t="n">
        <v>45726</v>
      </c>
      <c r="H5" s="31" t="n">
        <v>45730</v>
      </c>
      <c r="I5" s="13" t="n">
        <v>20</v>
      </c>
      <c r="J5" s="12" t="inlineStr">
        <is>
          <t>Dr. Ngassa (CNPS)</t>
        </is>
      </c>
      <c r="K5" s="12" t="inlineStr">
        <is>
          <t>Salle conference A</t>
        </is>
      </c>
      <c r="L5" s="15" t="n">
        <v>250000</v>
      </c>
      <c r="M5" s="12" t="inlineStr">
        <is>
          <t>Terminee</t>
        </is>
      </c>
    </row>
    <row r="6" ht="22" customHeight="1">
      <c r="B6" s="16" t="inlineStr">
        <is>
          <t>PAF-002</t>
        </is>
      </c>
      <c r="C6" s="16" t="inlineStr">
        <is>
          <t>Anglais hotellerie niveau 2</t>
        </is>
      </c>
      <c r="D6" s="16" t="inlineStr">
        <is>
          <t>Formation langue etrangere</t>
        </is>
      </c>
      <c r="E6" s="16" t="inlineStr">
        <is>
          <t>Réception &amp; Front Office</t>
        </is>
      </c>
      <c r="F6" s="17" t="n">
        <v>6</v>
      </c>
      <c r="G6" s="32" t="n">
        <v>45754</v>
      </c>
      <c r="H6" s="32" t="n">
        <v>45772</v>
      </c>
      <c r="I6" s="17" t="n">
        <v>30</v>
      </c>
      <c r="J6" s="16" t="inlineStr">
        <is>
          <t>British Council</t>
        </is>
      </c>
      <c r="K6" s="16" t="inlineStr">
        <is>
          <t>En ligne</t>
        </is>
      </c>
      <c r="L6" s="19" t="n">
        <v>180000</v>
      </c>
      <c r="M6" s="16" t="inlineStr">
        <is>
          <t>Terminee</t>
        </is>
      </c>
    </row>
    <row r="7" ht="22" customHeight="1">
      <c r="B7" s="12" t="inlineStr">
        <is>
          <t>PAF-003</t>
        </is>
      </c>
      <c r="C7" s="12" t="inlineStr">
        <is>
          <t>Gestion des conflits clients</t>
        </is>
      </c>
      <c r="D7" s="12" t="inlineStr">
        <is>
          <t>Formation accueil &amp; service client</t>
        </is>
      </c>
      <c r="E7" s="12" t="inlineStr">
        <is>
          <t>Service Client</t>
        </is>
      </c>
      <c r="F7" s="13" t="n">
        <v>5</v>
      </c>
      <c r="G7" s="31" t="n">
        <v>45810</v>
      </c>
      <c r="H7" s="31" t="n">
        <v>45812</v>
      </c>
      <c r="I7" s="13" t="n">
        <v>12</v>
      </c>
      <c r="J7" s="12" t="inlineStr">
        <is>
          <t>Coach Kamga</t>
        </is>
      </c>
      <c r="K7" s="12" t="inlineStr">
        <is>
          <t>Salle formation</t>
        </is>
      </c>
      <c r="L7" s="15" t="n">
        <v>96000</v>
      </c>
      <c r="M7" s="12" t="inlineStr">
        <is>
          <t>En cours</t>
        </is>
      </c>
    </row>
    <row r="8" ht="22" customHeight="1">
      <c r="B8" s="16" t="inlineStr">
        <is>
          <t>PAF-004</t>
        </is>
      </c>
      <c r="C8" s="16" t="inlineStr">
        <is>
          <t>Excel avance &amp; tableaux croises</t>
        </is>
      </c>
      <c r="D8" s="16" t="inlineStr">
        <is>
          <t>Formation informatique &amp; bureautique</t>
        </is>
      </c>
      <c r="E8" s="16" t="inlineStr">
        <is>
          <t>Finance &amp; Comptabilité</t>
        </is>
      </c>
      <c r="F8" s="17" t="n">
        <v>4</v>
      </c>
      <c r="G8" s="32" t="n">
        <v>45852</v>
      </c>
      <c r="H8" s="32" t="n">
        <v>45854</v>
      </c>
      <c r="I8" s="17" t="n">
        <v>15</v>
      </c>
      <c r="J8" s="16" t="inlineStr">
        <is>
          <t>Formateur interne IT</t>
        </is>
      </c>
      <c r="K8" s="16" t="inlineStr">
        <is>
          <t>Salle info</t>
        </is>
      </c>
      <c r="L8" s="19" t="n">
        <v>45000</v>
      </c>
      <c r="M8" s="16" t="inlineStr">
        <is>
          <t>Planifiee</t>
        </is>
      </c>
    </row>
    <row r="9" ht="22" customHeight="1">
      <c r="B9" s="12" t="inlineStr">
        <is>
          <t>PAF-005</t>
        </is>
      </c>
      <c r="C9" s="12" t="inlineStr">
        <is>
          <t>Securite incendie &amp; evacuation</t>
        </is>
      </c>
      <c r="D9" s="12" t="inlineStr">
        <is>
          <t>Formation hygiene &amp; securite</t>
        </is>
      </c>
      <c r="E9" s="12" t="inlineStr">
        <is>
          <t>Tous</t>
        </is>
      </c>
      <c r="F9" s="13" t="n">
        <v>30</v>
      </c>
      <c r="G9" s="31" t="n">
        <v>45901</v>
      </c>
      <c r="H9" s="31" t="n">
        <v>45901</v>
      </c>
      <c r="I9" s="13" t="n">
        <v>4</v>
      </c>
      <c r="J9" s="12" t="inlineStr">
        <is>
          <t>Sapeurs-pompiers Douala</t>
        </is>
      </c>
      <c r="K9" s="12" t="inlineStr">
        <is>
          <t>Terrain hotel</t>
        </is>
      </c>
      <c r="L9" s="15" t="n">
        <v>150000</v>
      </c>
      <c r="M9" s="12" t="inlineStr">
        <is>
          <t>Planifiee</t>
        </is>
      </c>
    </row>
    <row r="10" ht="22" customHeight="1">
      <c r="B10" s="20">
        <f>IF(C10="","PAF-"&amp;TEXT(COUNTA($C$5:C10),"000"))</f>
        <v/>
      </c>
      <c r="C10" s="16" t="n"/>
      <c r="D10" s="16" t="n"/>
      <c r="E10" s="16" t="n"/>
      <c r="F10" s="17" t="n"/>
      <c r="G10" s="32" t="n"/>
      <c r="H10" s="32" t="n"/>
      <c r="I10" s="17">
        <f>IF(G10="","",(H10-G10)*8)</f>
        <v/>
      </c>
      <c r="J10" s="16" t="n"/>
      <c r="K10" s="16" t="n"/>
      <c r="L10" s="19" t="n"/>
      <c r="M10" s="16" t="n"/>
    </row>
    <row r="11" ht="22" customHeight="1">
      <c r="B11" s="21">
        <f>IF(C11="","PAF-"&amp;TEXT(COUNTA($C$5:C11),"000"))</f>
        <v/>
      </c>
      <c r="C11" s="12" t="n"/>
      <c r="D11" s="12" t="n"/>
      <c r="E11" s="12" t="n"/>
      <c r="F11" s="13" t="n"/>
      <c r="G11" s="31" t="n"/>
      <c r="H11" s="31" t="n"/>
      <c r="I11" s="13">
        <f>IF(G11="","",(H11-G11)*8)</f>
        <v/>
      </c>
      <c r="J11" s="12" t="n"/>
      <c r="K11" s="12" t="n"/>
      <c r="L11" s="15" t="n"/>
      <c r="M11" s="12" t="n"/>
    </row>
    <row r="12" ht="22" customHeight="1">
      <c r="B12" s="20">
        <f>IF(C12="","PAF-"&amp;TEXT(COUNTA($C$5:C12),"000"))</f>
        <v/>
      </c>
      <c r="C12" s="16" t="n"/>
      <c r="D12" s="16" t="n"/>
      <c r="E12" s="16" t="n"/>
      <c r="F12" s="17" t="n"/>
      <c r="G12" s="32" t="n"/>
      <c r="H12" s="32" t="n"/>
      <c r="I12" s="17">
        <f>IF(G12="","",(H12-G12)*8)</f>
        <v/>
      </c>
      <c r="J12" s="16" t="n"/>
      <c r="K12" s="16" t="n"/>
      <c r="L12" s="19" t="n"/>
      <c r="M12" s="16" t="n"/>
    </row>
    <row r="13" ht="22" customHeight="1">
      <c r="B13" s="21">
        <f>IF(C13="","PAF-"&amp;TEXT(COUNTA($C$5:C13),"000"))</f>
        <v/>
      </c>
      <c r="C13" s="12" t="n"/>
      <c r="D13" s="12" t="n"/>
      <c r="E13" s="12" t="n"/>
      <c r="F13" s="13" t="n"/>
      <c r="G13" s="31" t="n"/>
      <c r="H13" s="31" t="n"/>
      <c r="I13" s="13">
        <f>IF(G13="","",(H13-G13)*8)</f>
        <v/>
      </c>
      <c r="J13" s="12" t="n"/>
      <c r="K13" s="12" t="n"/>
      <c r="L13" s="15" t="n"/>
      <c r="M13" s="12" t="n"/>
    </row>
    <row r="14" ht="22" customHeight="1">
      <c r="B14" s="20">
        <f>IF(C14="","PAF-"&amp;TEXT(COUNTA($C$5:C14),"000"))</f>
        <v/>
      </c>
      <c r="C14" s="16" t="n"/>
      <c r="D14" s="16" t="n"/>
      <c r="E14" s="16" t="n"/>
      <c r="F14" s="17" t="n"/>
      <c r="G14" s="32" t="n"/>
      <c r="H14" s="32" t="n"/>
      <c r="I14" s="17">
        <f>IF(G14="","",(H14-G14)*8)</f>
        <v/>
      </c>
      <c r="J14" s="16" t="n"/>
      <c r="K14" s="16" t="n"/>
      <c r="L14" s="19" t="n"/>
      <c r="M14" s="16" t="n"/>
    </row>
    <row r="15" ht="22" customHeight="1">
      <c r="B15" s="21">
        <f>IF(C15="","PAF-"&amp;TEXT(COUNTA($C$5:C15),"000"))</f>
        <v/>
      </c>
      <c r="C15" s="12" t="n"/>
      <c r="D15" s="12" t="n"/>
      <c r="E15" s="12" t="n"/>
      <c r="F15" s="13" t="n"/>
      <c r="G15" s="31" t="n"/>
      <c r="H15" s="31" t="n"/>
      <c r="I15" s="13">
        <f>IF(G15="","",(H15-G15)*8)</f>
        <v/>
      </c>
      <c r="J15" s="12" t="n"/>
      <c r="K15" s="12" t="n"/>
      <c r="L15" s="15" t="n"/>
      <c r="M15" s="12" t="n"/>
    </row>
    <row r="16" ht="22" customHeight="1">
      <c r="B16" s="20">
        <f>IF(C16="","PAF-"&amp;TEXT(COUNTA($C$5:C16),"000"))</f>
        <v/>
      </c>
      <c r="C16" s="16" t="n"/>
      <c r="D16" s="16" t="n"/>
      <c r="E16" s="16" t="n"/>
      <c r="F16" s="17" t="n"/>
      <c r="G16" s="32" t="n"/>
      <c r="H16" s="32" t="n"/>
      <c r="I16" s="17">
        <f>IF(G16="","",(H16-G16)*8)</f>
        <v/>
      </c>
      <c r="J16" s="16" t="n"/>
      <c r="K16" s="16" t="n"/>
      <c r="L16" s="19" t="n"/>
      <c r="M16" s="16" t="n"/>
    </row>
    <row r="17" ht="22" customHeight="1">
      <c r="B17" s="21">
        <f>IF(C17="","PAF-"&amp;TEXT(COUNTA($C$5:C17),"000"))</f>
        <v/>
      </c>
      <c r="C17" s="12" t="n"/>
      <c r="D17" s="12" t="n"/>
      <c r="E17" s="12" t="n"/>
      <c r="F17" s="13" t="n"/>
      <c r="G17" s="31" t="n"/>
      <c r="H17" s="31" t="n"/>
      <c r="I17" s="13">
        <f>IF(G17="","",(H17-G17)*8)</f>
        <v/>
      </c>
      <c r="J17" s="12" t="n"/>
      <c r="K17" s="12" t="n"/>
      <c r="L17" s="15" t="n"/>
      <c r="M17" s="12" t="n"/>
    </row>
    <row r="18" ht="22" customHeight="1">
      <c r="B18" s="20">
        <f>IF(C18="","PAF-"&amp;TEXT(COUNTA($C$5:C18),"000"))</f>
        <v/>
      </c>
      <c r="C18" s="16" t="n"/>
      <c r="D18" s="16" t="n"/>
      <c r="E18" s="16" t="n"/>
      <c r="F18" s="17" t="n"/>
      <c r="G18" s="32" t="n"/>
      <c r="H18" s="32" t="n"/>
      <c r="I18" s="17">
        <f>IF(G18="","",(H18-G18)*8)</f>
        <v/>
      </c>
      <c r="J18" s="16" t="n"/>
      <c r="K18" s="16" t="n"/>
      <c r="L18" s="19" t="n"/>
      <c r="M18" s="16" t="n"/>
    </row>
    <row r="19" ht="22" customHeight="1">
      <c r="B19" s="21">
        <f>IF(C19="","PAF-"&amp;TEXT(COUNTA($C$5:C19),"000"))</f>
        <v/>
      </c>
      <c r="C19" s="12" t="n"/>
      <c r="D19" s="12" t="n"/>
      <c r="E19" s="12" t="n"/>
      <c r="F19" s="13" t="n"/>
      <c r="G19" s="31" t="n"/>
      <c r="H19" s="31" t="n"/>
      <c r="I19" s="13">
        <f>IF(G19="","",(H19-G19)*8)</f>
        <v/>
      </c>
      <c r="J19" s="12" t="n"/>
      <c r="K19" s="12" t="n"/>
      <c r="L19" s="15" t="n"/>
      <c r="M19" s="12" t="n"/>
    </row>
    <row r="20" ht="22" customHeight="1">
      <c r="B20" s="20">
        <f>IF(C20="","PAF-"&amp;TEXT(COUNTA($C$5:C20),"000"))</f>
        <v/>
      </c>
      <c r="C20" s="16" t="n"/>
      <c r="D20" s="16" t="n"/>
      <c r="E20" s="16" t="n"/>
      <c r="F20" s="17" t="n"/>
      <c r="G20" s="32" t="n"/>
      <c r="H20" s="32" t="n"/>
      <c r="I20" s="17">
        <f>IF(G20="","",(H20-G20)*8)</f>
        <v/>
      </c>
      <c r="J20" s="16" t="n"/>
      <c r="K20" s="16" t="n"/>
      <c r="L20" s="19" t="n"/>
      <c r="M20" s="16" t="n"/>
    </row>
    <row r="21" ht="22" customHeight="1">
      <c r="B21" s="21">
        <f>IF(C21="","PAF-"&amp;TEXT(COUNTA($C$5:C21),"000"))</f>
        <v/>
      </c>
      <c r="C21" s="12" t="n"/>
      <c r="D21" s="12" t="n"/>
      <c r="E21" s="12" t="n"/>
      <c r="F21" s="13" t="n"/>
      <c r="G21" s="31" t="n"/>
      <c r="H21" s="31" t="n"/>
      <c r="I21" s="13">
        <f>IF(G21="","",(H21-G21)*8)</f>
        <v/>
      </c>
      <c r="J21" s="12" t="n"/>
      <c r="K21" s="12" t="n"/>
      <c r="L21" s="15" t="n"/>
      <c r="M21" s="12" t="n"/>
    </row>
    <row r="22" ht="22" customHeight="1">
      <c r="B22" s="20">
        <f>IF(C22="","PAF-"&amp;TEXT(COUNTA($C$5:C22),"000"))</f>
        <v/>
      </c>
      <c r="C22" s="16" t="n"/>
      <c r="D22" s="16" t="n"/>
      <c r="E22" s="16" t="n"/>
      <c r="F22" s="17" t="n"/>
      <c r="G22" s="32" t="n"/>
      <c r="H22" s="32" t="n"/>
      <c r="I22" s="17">
        <f>IF(G22="","",(H22-G22)*8)</f>
        <v/>
      </c>
      <c r="J22" s="16" t="n"/>
      <c r="K22" s="16" t="n"/>
      <c r="L22" s="19" t="n"/>
      <c r="M22" s="16" t="n"/>
    </row>
    <row r="23" ht="22" customHeight="1">
      <c r="B23" s="21">
        <f>IF(C23="","PAF-"&amp;TEXT(COUNTA($C$5:C23),"000"))</f>
        <v/>
      </c>
      <c r="C23" s="12" t="n"/>
      <c r="D23" s="12" t="n"/>
      <c r="E23" s="12" t="n"/>
      <c r="F23" s="13" t="n"/>
      <c r="G23" s="31" t="n"/>
      <c r="H23" s="31" t="n"/>
      <c r="I23" s="13">
        <f>IF(G23="","",(H23-G23)*8)</f>
        <v/>
      </c>
      <c r="J23" s="12" t="n"/>
      <c r="K23" s="12" t="n"/>
      <c r="L23" s="15" t="n"/>
      <c r="M23" s="12" t="n"/>
    </row>
    <row r="24" ht="22" customHeight="1">
      <c r="B24" s="20">
        <f>IF(C24="","PAF-"&amp;TEXT(COUNTA($C$5:C24),"000"))</f>
        <v/>
      </c>
      <c r="C24" s="16" t="n"/>
      <c r="D24" s="16" t="n"/>
      <c r="E24" s="16" t="n"/>
      <c r="F24" s="17" t="n"/>
      <c r="G24" s="32" t="n"/>
      <c r="H24" s="32" t="n"/>
      <c r="I24" s="17">
        <f>IF(G24="","",(H24-G24)*8)</f>
        <v/>
      </c>
      <c r="J24" s="16" t="n"/>
      <c r="K24" s="16" t="n"/>
      <c r="L24" s="19" t="n"/>
      <c r="M24" s="16" t="n"/>
    </row>
    <row r="25" ht="22" customHeight="1">
      <c r="B25" s="21">
        <f>IF(C25="","PAF-"&amp;TEXT(COUNTA($C$5:C25),"000"))</f>
        <v/>
      </c>
      <c r="C25" s="12" t="n"/>
      <c r="D25" s="12" t="n"/>
      <c r="E25" s="12" t="n"/>
      <c r="F25" s="13" t="n"/>
      <c r="G25" s="31" t="n"/>
      <c r="H25" s="31" t="n"/>
      <c r="I25" s="13">
        <f>IF(G25="","",(H25-G25)*8)</f>
        <v/>
      </c>
      <c r="J25" s="12" t="n"/>
      <c r="K25" s="12" t="n"/>
      <c r="L25" s="15" t="n"/>
      <c r="M25" s="12" t="n"/>
    </row>
    <row r="26" ht="22" customHeight="1">
      <c r="B26" s="20">
        <f>IF(C26="","PAF-"&amp;TEXT(COUNTA($C$5:C26),"000"))</f>
        <v/>
      </c>
      <c r="C26" s="16" t="n"/>
      <c r="D26" s="16" t="n"/>
      <c r="E26" s="16" t="n"/>
      <c r="F26" s="17" t="n"/>
      <c r="G26" s="32" t="n"/>
      <c r="H26" s="32" t="n"/>
      <c r="I26" s="17">
        <f>IF(G26="","",(H26-G26)*8)</f>
        <v/>
      </c>
      <c r="J26" s="16" t="n"/>
      <c r="K26" s="16" t="n"/>
      <c r="L26" s="19" t="n"/>
      <c r="M26" s="16" t="n"/>
    </row>
    <row r="27" ht="22" customHeight="1">
      <c r="B27" s="21">
        <f>IF(C27="","PAF-"&amp;TEXT(COUNTA($C$5:C27),"000"))</f>
        <v/>
      </c>
      <c r="C27" s="12" t="n"/>
      <c r="D27" s="12" t="n"/>
      <c r="E27" s="12" t="n"/>
      <c r="F27" s="13" t="n"/>
      <c r="G27" s="31" t="n"/>
      <c r="H27" s="31" t="n"/>
      <c r="I27" s="13">
        <f>IF(G27="","",(H27-G27)*8)</f>
        <v/>
      </c>
      <c r="J27" s="12" t="n"/>
      <c r="K27" s="12" t="n"/>
      <c r="L27" s="15" t="n"/>
      <c r="M27" s="12" t="n"/>
    </row>
    <row r="28" ht="22" customHeight="1">
      <c r="B28" s="20">
        <f>IF(C28="","PAF-"&amp;TEXT(COUNTA($C$5:C28),"000"))</f>
        <v/>
      </c>
      <c r="C28" s="16" t="n"/>
      <c r="D28" s="16" t="n"/>
      <c r="E28" s="16" t="n"/>
      <c r="F28" s="17" t="n"/>
      <c r="G28" s="32" t="n"/>
      <c r="H28" s="32" t="n"/>
      <c r="I28" s="17">
        <f>IF(G28="","",(H28-G28)*8)</f>
        <v/>
      </c>
      <c r="J28" s="16" t="n"/>
      <c r="K28" s="16" t="n"/>
      <c r="L28" s="19" t="n"/>
      <c r="M28" s="16" t="n"/>
    </row>
    <row r="29" ht="22" customHeight="1">
      <c r="B29" s="21">
        <f>IF(C29="","PAF-"&amp;TEXT(COUNTA($C$5:C29),"000"))</f>
        <v/>
      </c>
      <c r="C29" s="12" t="n"/>
      <c r="D29" s="12" t="n"/>
      <c r="E29" s="12" t="n"/>
      <c r="F29" s="13" t="n"/>
      <c r="G29" s="31" t="n"/>
      <c r="H29" s="31" t="n"/>
      <c r="I29" s="13">
        <f>IF(G29="","",(H29-G29)*8)</f>
        <v/>
      </c>
      <c r="J29" s="12" t="n"/>
      <c r="K29" s="12" t="n"/>
      <c r="L29" s="15" t="n"/>
      <c r="M29" s="12" t="n"/>
    </row>
    <row r="30" ht="22" customHeight="1">
      <c r="B30" s="20">
        <f>IF(C30="","PAF-"&amp;TEXT(COUNTA($C$5:C30),"000"))</f>
        <v/>
      </c>
      <c r="C30" s="16" t="n"/>
      <c r="D30" s="16" t="n"/>
      <c r="E30" s="16" t="n"/>
      <c r="F30" s="17" t="n"/>
      <c r="G30" s="32" t="n"/>
      <c r="H30" s="32" t="n"/>
      <c r="I30" s="17">
        <f>IF(G30="","",(H30-G30)*8)</f>
        <v/>
      </c>
      <c r="J30" s="16" t="n"/>
      <c r="K30" s="16" t="n"/>
      <c r="L30" s="19" t="n"/>
      <c r="M30" s="16" t="n"/>
    </row>
    <row r="31" ht="22" customHeight="1">
      <c r="B31" s="21">
        <f>IF(C31="","PAF-"&amp;TEXT(COUNTA($C$5:C31),"000"))</f>
        <v/>
      </c>
      <c r="C31" s="12" t="n"/>
      <c r="D31" s="12" t="n"/>
      <c r="E31" s="12" t="n"/>
      <c r="F31" s="13" t="n"/>
      <c r="G31" s="31" t="n"/>
      <c r="H31" s="31" t="n"/>
      <c r="I31" s="13">
        <f>IF(G31="","",(H31-G31)*8)</f>
        <v/>
      </c>
      <c r="J31" s="12" t="n"/>
      <c r="K31" s="12" t="n"/>
      <c r="L31" s="15" t="n"/>
      <c r="M31" s="12" t="n"/>
    </row>
    <row r="32" ht="22" customHeight="1">
      <c r="B32" s="20">
        <f>IF(C32="","PAF-"&amp;TEXT(COUNTA($C$5:C32),"000"))</f>
        <v/>
      </c>
      <c r="C32" s="16" t="n"/>
      <c r="D32" s="16" t="n"/>
      <c r="E32" s="16" t="n"/>
      <c r="F32" s="17" t="n"/>
      <c r="G32" s="32" t="n"/>
      <c r="H32" s="32" t="n"/>
      <c r="I32" s="17">
        <f>IF(G32="","",(H32-G32)*8)</f>
        <v/>
      </c>
      <c r="J32" s="16" t="n"/>
      <c r="K32" s="16" t="n"/>
      <c r="L32" s="19" t="n"/>
      <c r="M32" s="16" t="n"/>
    </row>
    <row r="33" ht="22" customHeight="1">
      <c r="B33" s="21">
        <f>IF(C33="","PAF-"&amp;TEXT(COUNTA($C$5:C33),"000"))</f>
        <v/>
      </c>
      <c r="C33" s="12" t="n"/>
      <c r="D33" s="12" t="n"/>
      <c r="E33" s="12" t="n"/>
      <c r="F33" s="13" t="n"/>
      <c r="G33" s="31" t="n"/>
      <c r="H33" s="31" t="n"/>
      <c r="I33" s="13">
        <f>IF(G33="","",(H33-G33)*8)</f>
        <v/>
      </c>
      <c r="J33" s="12" t="n"/>
      <c r="K33" s="12" t="n"/>
      <c r="L33" s="15" t="n"/>
      <c r="M33" s="12" t="n"/>
    </row>
    <row r="34" ht="22" customHeight="1">
      <c r="B34" s="20">
        <f>IF(C34="","PAF-"&amp;TEXT(COUNTA($C$5:C34),"000"))</f>
        <v/>
      </c>
      <c r="C34" s="16" t="n"/>
      <c r="D34" s="16" t="n"/>
      <c r="E34" s="16" t="n"/>
      <c r="F34" s="17" t="n"/>
      <c r="G34" s="32" t="n"/>
      <c r="H34" s="32" t="n"/>
      <c r="I34" s="17">
        <f>IF(G34="","",(H34-G34)*8)</f>
        <v/>
      </c>
      <c r="J34" s="16" t="n"/>
      <c r="K34" s="16" t="n"/>
      <c r="L34" s="19" t="n"/>
      <c r="M34" s="16" t="n"/>
    </row>
    <row r="35" ht="22" customHeight="1">
      <c r="B35" s="21">
        <f>IF(C35="","PAF-"&amp;TEXT(COUNTA($C$5:C35),"000"))</f>
        <v/>
      </c>
      <c r="C35" s="12" t="n"/>
      <c r="D35" s="12" t="n"/>
      <c r="E35" s="12" t="n"/>
      <c r="F35" s="13" t="n"/>
      <c r="G35" s="31" t="n"/>
      <c r="H35" s="31" t="n"/>
      <c r="I35" s="13">
        <f>IF(G35="","",(H35-G35)*8)</f>
        <v/>
      </c>
      <c r="J35" s="12" t="n"/>
      <c r="K35" s="12" t="n"/>
      <c r="L35" s="15" t="n"/>
      <c r="M35" s="12" t="n"/>
    </row>
    <row r="36" ht="22" customHeight="1">
      <c r="B36" s="20">
        <f>IF(C36="","PAF-"&amp;TEXT(COUNTA($C$5:C36),"000"))</f>
        <v/>
      </c>
      <c r="C36" s="16" t="n"/>
      <c r="D36" s="16" t="n"/>
      <c r="E36" s="16" t="n"/>
      <c r="F36" s="17" t="n"/>
      <c r="G36" s="32" t="n"/>
      <c r="H36" s="32" t="n"/>
      <c r="I36" s="17">
        <f>IF(G36="","",(H36-G36)*8)</f>
        <v/>
      </c>
      <c r="J36" s="16" t="n"/>
      <c r="K36" s="16" t="n"/>
      <c r="L36" s="19" t="n"/>
      <c r="M36" s="16" t="n"/>
    </row>
    <row r="37" ht="22" customHeight="1">
      <c r="B37" s="21">
        <f>IF(C37="","PAF-"&amp;TEXT(COUNTA($C$5:C37),"000"))</f>
        <v/>
      </c>
      <c r="C37" s="12" t="n"/>
      <c r="D37" s="12" t="n"/>
      <c r="E37" s="12" t="n"/>
      <c r="F37" s="13" t="n"/>
      <c r="G37" s="31" t="n"/>
      <c r="H37" s="31" t="n"/>
      <c r="I37" s="13">
        <f>IF(G37="","",(H37-G37)*8)</f>
        <v/>
      </c>
      <c r="J37" s="12" t="n"/>
      <c r="K37" s="12" t="n"/>
      <c r="L37" s="15" t="n"/>
      <c r="M37" s="12" t="n"/>
    </row>
    <row r="38" ht="22" customHeight="1">
      <c r="B38" s="20">
        <f>IF(C38="","PAF-"&amp;TEXT(COUNTA($C$5:C38),"000"))</f>
        <v/>
      </c>
      <c r="C38" s="16" t="n"/>
      <c r="D38" s="16" t="n"/>
      <c r="E38" s="16" t="n"/>
      <c r="F38" s="17" t="n"/>
      <c r="G38" s="32" t="n"/>
      <c r="H38" s="32" t="n"/>
      <c r="I38" s="17">
        <f>IF(G38="","",(H38-G38)*8)</f>
        <v/>
      </c>
      <c r="J38" s="16" t="n"/>
      <c r="K38" s="16" t="n"/>
      <c r="L38" s="19" t="n"/>
      <c r="M38" s="16" t="n"/>
    </row>
    <row r="39" ht="22" customHeight="1">
      <c r="B39" s="21">
        <f>IF(C39="","PAF-"&amp;TEXT(COUNTA($C$5:C39),"000"))</f>
        <v/>
      </c>
      <c r="C39" s="12" t="n"/>
      <c r="D39" s="12" t="n"/>
      <c r="E39" s="12" t="n"/>
      <c r="F39" s="13" t="n"/>
      <c r="G39" s="31" t="n"/>
      <c r="H39" s="31" t="n"/>
      <c r="I39" s="13">
        <f>IF(G39="","",(H39-G39)*8)</f>
        <v/>
      </c>
      <c r="J39" s="12" t="n"/>
      <c r="K39" s="12" t="n"/>
      <c r="L39" s="15" t="n"/>
      <c r="M39" s="12" t="n"/>
    </row>
    <row r="40" ht="22" customHeight="1">
      <c r="B40" s="20">
        <f>IF(C40="","PAF-"&amp;TEXT(COUNTA($C$5:C40),"000"))</f>
        <v/>
      </c>
      <c r="C40" s="16" t="n"/>
      <c r="D40" s="16" t="n"/>
      <c r="E40" s="16" t="n"/>
      <c r="F40" s="17" t="n"/>
      <c r="G40" s="32" t="n"/>
      <c r="H40" s="32" t="n"/>
      <c r="I40" s="17">
        <f>IF(G40="","",(H40-G40)*8)</f>
        <v/>
      </c>
      <c r="J40" s="16" t="n"/>
      <c r="K40" s="16" t="n"/>
      <c r="L40" s="19" t="n"/>
      <c r="M40" s="16" t="n"/>
    </row>
    <row r="41" ht="22" customHeight="1">
      <c r="B41" s="21">
        <f>IF(C41="","PAF-"&amp;TEXT(COUNTA($C$5:C41),"000"))</f>
        <v/>
      </c>
      <c r="C41" s="12" t="n"/>
      <c r="D41" s="12" t="n"/>
      <c r="E41" s="12" t="n"/>
      <c r="F41" s="13" t="n"/>
      <c r="G41" s="31" t="n"/>
      <c r="H41" s="31" t="n"/>
      <c r="I41" s="13">
        <f>IF(G41="","",(H41-G41)*8)</f>
        <v/>
      </c>
      <c r="J41" s="12" t="n"/>
      <c r="K41" s="12" t="n"/>
      <c r="L41" s="15" t="n"/>
      <c r="M41" s="12" t="n"/>
    </row>
    <row r="42" ht="22" customHeight="1">
      <c r="B42" s="20">
        <f>IF(C42="","PAF-"&amp;TEXT(COUNTA($C$5:C42),"000"))</f>
        <v/>
      </c>
      <c r="C42" s="16" t="n"/>
      <c r="D42" s="16" t="n"/>
      <c r="E42" s="16" t="n"/>
      <c r="F42" s="17" t="n"/>
      <c r="G42" s="32" t="n"/>
      <c r="H42" s="32" t="n"/>
      <c r="I42" s="17">
        <f>IF(G42="","",(H42-G42)*8)</f>
        <v/>
      </c>
      <c r="J42" s="16" t="n"/>
      <c r="K42" s="16" t="n"/>
      <c r="L42" s="19" t="n"/>
      <c r="M42" s="16" t="n"/>
    </row>
    <row r="43" ht="22" customHeight="1">
      <c r="B43" s="21">
        <f>IF(C43="","PAF-"&amp;TEXT(COUNTA($C$5:C43),"000"))</f>
        <v/>
      </c>
      <c r="C43" s="12" t="n"/>
      <c r="D43" s="12" t="n"/>
      <c r="E43" s="12" t="n"/>
      <c r="F43" s="13" t="n"/>
      <c r="G43" s="31" t="n"/>
      <c r="H43" s="31" t="n"/>
      <c r="I43" s="13">
        <f>IF(G43="","",(H43-G43)*8)</f>
        <v/>
      </c>
      <c r="J43" s="12" t="n"/>
      <c r="K43" s="12" t="n"/>
      <c r="L43" s="15" t="n"/>
      <c r="M43" s="12" t="n"/>
    </row>
    <row r="44" ht="22" customHeight="1">
      <c r="B44" s="20">
        <f>IF(C44="","PAF-"&amp;TEXT(COUNTA($C$5:C44),"000"))</f>
        <v/>
      </c>
      <c r="C44" s="16" t="n"/>
      <c r="D44" s="16" t="n"/>
      <c r="E44" s="16" t="n"/>
      <c r="F44" s="17" t="n"/>
      <c r="G44" s="32" t="n"/>
      <c r="H44" s="32" t="n"/>
      <c r="I44" s="17">
        <f>IF(G44="","",(H44-G44)*8)</f>
        <v/>
      </c>
      <c r="J44" s="16" t="n"/>
      <c r="K44" s="16" t="n"/>
      <c r="L44" s="19" t="n"/>
      <c r="M44" s="16" t="n"/>
    </row>
    <row r="45" ht="22" customHeight="1">
      <c r="B45" s="21">
        <f>IF(C45="","PAF-"&amp;TEXT(COUNTA($C$5:C45),"000"))</f>
        <v/>
      </c>
      <c r="C45" s="12" t="n"/>
      <c r="D45" s="12" t="n"/>
      <c r="E45" s="12" t="n"/>
      <c r="F45" s="13" t="n"/>
      <c r="G45" s="31" t="n"/>
      <c r="H45" s="31" t="n"/>
      <c r="I45" s="13">
        <f>IF(G45="","",(H45-G45)*8)</f>
        <v/>
      </c>
      <c r="J45" s="12" t="n"/>
      <c r="K45" s="12" t="n"/>
      <c r="L45" s="15" t="n"/>
      <c r="M45" s="12" t="n"/>
    </row>
    <row r="46" ht="22" customHeight="1">
      <c r="B46" s="20">
        <f>IF(C46="","PAF-"&amp;TEXT(COUNTA($C$5:C46),"000"))</f>
        <v/>
      </c>
      <c r="C46" s="16" t="n"/>
      <c r="D46" s="16" t="n"/>
      <c r="E46" s="16" t="n"/>
      <c r="F46" s="17" t="n"/>
      <c r="G46" s="32" t="n"/>
      <c r="H46" s="32" t="n"/>
      <c r="I46" s="17">
        <f>IF(G46="","",(H46-G46)*8)</f>
        <v/>
      </c>
      <c r="J46" s="16" t="n"/>
      <c r="K46" s="16" t="n"/>
      <c r="L46" s="19" t="n"/>
      <c r="M46" s="16" t="n"/>
    </row>
    <row r="47" ht="22" customHeight="1">
      <c r="B47" s="21">
        <f>IF(C47="","PAF-"&amp;TEXT(COUNTA($C$5:C47),"000"))</f>
        <v/>
      </c>
      <c r="C47" s="12" t="n"/>
      <c r="D47" s="12" t="n"/>
      <c r="E47" s="12" t="n"/>
      <c r="F47" s="13" t="n"/>
      <c r="G47" s="31" t="n"/>
      <c r="H47" s="31" t="n"/>
      <c r="I47" s="13">
        <f>IF(G47="","",(H47-G47)*8)</f>
        <v/>
      </c>
      <c r="J47" s="12" t="n"/>
      <c r="K47" s="12" t="n"/>
      <c r="L47" s="15" t="n"/>
      <c r="M47" s="12" t="n"/>
    </row>
    <row r="48" ht="22" customHeight="1">
      <c r="B48" s="20">
        <f>IF(C48="","PAF-"&amp;TEXT(COUNTA($C$5:C48),"000"))</f>
        <v/>
      </c>
      <c r="C48" s="16" t="n"/>
      <c r="D48" s="16" t="n"/>
      <c r="E48" s="16" t="n"/>
      <c r="F48" s="17" t="n"/>
      <c r="G48" s="32" t="n"/>
      <c r="H48" s="32" t="n"/>
      <c r="I48" s="17">
        <f>IF(G48="","",(H48-G48)*8)</f>
        <v/>
      </c>
      <c r="J48" s="16" t="n"/>
      <c r="K48" s="16" t="n"/>
      <c r="L48" s="19" t="n"/>
      <c r="M48" s="16" t="n"/>
    </row>
    <row r="49" ht="22" customHeight="1">
      <c r="B49" s="21">
        <f>IF(C49="","PAF-"&amp;TEXT(COUNTA($C$5:C49),"000"))</f>
        <v/>
      </c>
      <c r="C49" s="12" t="n"/>
      <c r="D49" s="12" t="n"/>
      <c r="E49" s="12" t="n"/>
      <c r="F49" s="13" t="n"/>
      <c r="G49" s="31" t="n"/>
      <c r="H49" s="31" t="n"/>
      <c r="I49" s="13">
        <f>IF(G49="","",(H49-G49)*8)</f>
        <v/>
      </c>
      <c r="J49" s="12" t="n"/>
      <c r="K49" s="12" t="n"/>
      <c r="L49" s="15" t="n"/>
      <c r="M49" s="12" t="n"/>
    </row>
    <row r="50" ht="22" customHeight="1">
      <c r="B50" s="20">
        <f>IF(C50="","PAF-"&amp;TEXT(COUNTA($C$5:C50),"000"))</f>
        <v/>
      </c>
      <c r="C50" s="16" t="n"/>
      <c r="D50" s="16" t="n"/>
      <c r="E50" s="16" t="n"/>
      <c r="F50" s="17" t="n"/>
      <c r="G50" s="32" t="n"/>
      <c r="H50" s="32" t="n"/>
      <c r="I50" s="17">
        <f>IF(G50="","",(H50-G50)*8)</f>
        <v/>
      </c>
      <c r="J50" s="16" t="n"/>
      <c r="K50" s="16" t="n"/>
      <c r="L50" s="19" t="n"/>
      <c r="M50" s="16" t="n"/>
    </row>
    <row r="51" ht="22" customHeight="1">
      <c r="B51" s="21">
        <f>IF(C51="","PAF-"&amp;TEXT(COUNTA($C$5:C51),"000"))</f>
        <v/>
      </c>
      <c r="C51" s="12" t="n"/>
      <c r="D51" s="12" t="n"/>
      <c r="E51" s="12" t="n"/>
      <c r="F51" s="13" t="n"/>
      <c r="G51" s="31" t="n"/>
      <c r="H51" s="31" t="n"/>
      <c r="I51" s="13">
        <f>IF(G51="","",(H51-G51)*8)</f>
        <v/>
      </c>
      <c r="J51" s="12" t="n"/>
      <c r="K51" s="12" t="n"/>
      <c r="L51" s="15" t="n"/>
      <c r="M51" s="12" t="n"/>
    </row>
    <row r="52" ht="22" customHeight="1">
      <c r="B52" s="20">
        <f>IF(C52="","PAF-"&amp;TEXT(COUNTA($C$5:C52),"000"))</f>
        <v/>
      </c>
      <c r="C52" s="16" t="n"/>
      <c r="D52" s="16" t="n"/>
      <c r="E52" s="16" t="n"/>
      <c r="F52" s="17" t="n"/>
      <c r="G52" s="32" t="n"/>
      <c r="H52" s="32" t="n"/>
      <c r="I52" s="17">
        <f>IF(G52="","",(H52-G52)*8)</f>
        <v/>
      </c>
      <c r="J52" s="16" t="n"/>
      <c r="K52" s="16" t="n"/>
      <c r="L52" s="19" t="n"/>
      <c r="M52" s="16" t="n"/>
    </row>
    <row r="53" ht="22" customHeight="1">
      <c r="B53" s="21">
        <f>IF(C53="","PAF-"&amp;TEXT(COUNTA($C$5:C53),"000"))</f>
        <v/>
      </c>
      <c r="C53" s="12" t="n"/>
      <c r="D53" s="12" t="n"/>
      <c r="E53" s="12" t="n"/>
      <c r="F53" s="13" t="n"/>
      <c r="G53" s="31" t="n"/>
      <c r="H53" s="31" t="n"/>
      <c r="I53" s="13">
        <f>IF(G53="","",(H53-G53)*8)</f>
        <v/>
      </c>
      <c r="J53" s="12" t="n"/>
      <c r="K53" s="12" t="n"/>
      <c r="L53" s="15" t="n"/>
      <c r="M53" s="12" t="n"/>
    </row>
    <row r="54" ht="22" customHeight="1">
      <c r="B54" s="20">
        <f>IF(C54="","PAF-"&amp;TEXT(COUNTA($C$5:C54),"000"))</f>
        <v/>
      </c>
      <c r="C54" s="16" t="n"/>
      <c r="D54" s="16" t="n"/>
      <c r="E54" s="16" t="n"/>
      <c r="F54" s="17" t="n"/>
      <c r="G54" s="32" t="n"/>
      <c r="H54" s="32" t="n"/>
      <c r="I54" s="17">
        <f>IF(G54="","",(H54-G54)*8)</f>
        <v/>
      </c>
      <c r="J54" s="16" t="n"/>
      <c r="K54" s="16" t="n"/>
      <c r="L54" s="19" t="n"/>
      <c r="M54" s="16" t="n"/>
    </row>
    <row r="55" ht="22" customHeight="1">
      <c r="B55" s="21">
        <f>IF(C55="","PAF-"&amp;TEXT(COUNTA($C$5:C55),"000"))</f>
        <v/>
      </c>
      <c r="C55" s="12" t="n"/>
      <c r="D55" s="12" t="n"/>
      <c r="E55" s="12" t="n"/>
      <c r="F55" s="13" t="n"/>
      <c r="G55" s="31" t="n"/>
      <c r="H55" s="31" t="n"/>
      <c r="I55" s="13">
        <f>IF(G55="","",(H55-G55)*8)</f>
        <v/>
      </c>
      <c r="J55" s="12" t="n"/>
      <c r="K55" s="12" t="n"/>
      <c r="L55" s="15" t="n"/>
      <c r="M55" s="12" t="n"/>
    </row>
    <row r="56" ht="22" customHeight="1">
      <c r="B56" s="20">
        <f>IF(C56="","PAF-"&amp;TEXT(COUNTA($C$5:C56),"000"))</f>
        <v/>
      </c>
      <c r="C56" s="16" t="n"/>
      <c r="D56" s="16" t="n"/>
      <c r="E56" s="16" t="n"/>
      <c r="F56" s="17" t="n"/>
      <c r="G56" s="32" t="n"/>
      <c r="H56" s="32" t="n"/>
      <c r="I56" s="17">
        <f>IF(G56="","",(H56-G56)*8)</f>
        <v/>
      </c>
      <c r="J56" s="16" t="n"/>
      <c r="K56" s="16" t="n"/>
      <c r="L56" s="19" t="n"/>
      <c r="M56" s="16" t="n"/>
    </row>
    <row r="57" ht="22" customHeight="1">
      <c r="B57" s="21">
        <f>IF(C57="","PAF-"&amp;TEXT(COUNTA($C$5:C57),"000"))</f>
        <v/>
      </c>
      <c r="C57" s="12" t="n"/>
      <c r="D57" s="12" t="n"/>
      <c r="E57" s="12" t="n"/>
      <c r="F57" s="13" t="n"/>
      <c r="G57" s="31" t="n"/>
      <c r="H57" s="31" t="n"/>
      <c r="I57" s="13">
        <f>IF(G57="","",(H57-G57)*8)</f>
        <v/>
      </c>
      <c r="J57" s="12" t="n"/>
      <c r="K57" s="12" t="n"/>
      <c r="L57" s="15" t="n"/>
      <c r="M57" s="12" t="n"/>
    </row>
    <row r="58" ht="22" customHeight="1">
      <c r="B58" s="20">
        <f>IF(C58="","PAF-"&amp;TEXT(COUNTA($C$5:C58),"000"))</f>
        <v/>
      </c>
      <c r="C58" s="16" t="n"/>
      <c r="D58" s="16" t="n"/>
      <c r="E58" s="16" t="n"/>
      <c r="F58" s="17" t="n"/>
      <c r="G58" s="32" t="n"/>
      <c r="H58" s="32" t="n"/>
      <c r="I58" s="17">
        <f>IF(G58="","",(H58-G58)*8)</f>
        <v/>
      </c>
      <c r="J58" s="16" t="n"/>
      <c r="K58" s="16" t="n"/>
      <c r="L58" s="19" t="n"/>
      <c r="M58" s="16" t="n"/>
    </row>
    <row r="59" ht="22" customHeight="1">
      <c r="B59" s="21">
        <f>IF(C59="","PAF-"&amp;TEXT(COUNTA($C$5:C59),"000"))</f>
        <v/>
      </c>
      <c r="C59" s="12" t="n"/>
      <c r="D59" s="12" t="n"/>
      <c r="E59" s="12" t="n"/>
      <c r="F59" s="13" t="n"/>
      <c r="G59" s="31" t="n"/>
      <c r="H59" s="31" t="n"/>
      <c r="I59" s="13">
        <f>IF(G59="","",(H59-G59)*8)</f>
        <v/>
      </c>
      <c r="J59" s="12" t="n"/>
      <c r="K59" s="12" t="n"/>
      <c r="L59" s="15" t="n"/>
      <c r="M59" s="12" t="n"/>
    </row>
    <row r="60" ht="22" customHeight="1">
      <c r="B60" s="20">
        <f>IF(C60="","PAF-"&amp;TEXT(COUNTA($C$5:C60),"000"))</f>
        <v/>
      </c>
      <c r="C60" s="16" t="n"/>
      <c r="D60" s="16" t="n"/>
      <c r="E60" s="16" t="n"/>
      <c r="F60" s="17" t="n"/>
      <c r="G60" s="32" t="n"/>
      <c r="H60" s="32" t="n"/>
      <c r="I60" s="17">
        <f>IF(G60="","",(H60-G60)*8)</f>
        <v/>
      </c>
      <c r="J60" s="16" t="n"/>
      <c r="K60" s="16" t="n"/>
      <c r="L60" s="19" t="n"/>
      <c r="M60" s="16" t="n"/>
    </row>
    <row r="61" ht="22" customHeight="1">
      <c r="B61" s="21">
        <f>IF(C61="","PAF-"&amp;TEXT(COUNTA($C$5:C61),"000"))</f>
        <v/>
      </c>
      <c r="C61" s="12" t="n"/>
      <c r="D61" s="12" t="n"/>
      <c r="E61" s="12" t="n"/>
      <c r="F61" s="13" t="n"/>
      <c r="G61" s="31" t="n"/>
      <c r="H61" s="31" t="n"/>
      <c r="I61" s="13">
        <f>IF(G61="","",(H61-G61)*8)</f>
        <v/>
      </c>
      <c r="J61" s="12" t="n"/>
      <c r="K61" s="12" t="n"/>
      <c r="L61" s="15" t="n"/>
      <c r="M61" s="12" t="n"/>
    </row>
    <row r="62" ht="22" customHeight="1">
      <c r="B62" s="20">
        <f>IF(C62="","PAF-"&amp;TEXT(COUNTA($C$5:C62),"000"))</f>
        <v/>
      </c>
      <c r="C62" s="16" t="n"/>
      <c r="D62" s="16" t="n"/>
      <c r="E62" s="16" t="n"/>
      <c r="F62" s="17" t="n"/>
      <c r="G62" s="32" t="n"/>
      <c r="H62" s="32" t="n"/>
      <c r="I62" s="17">
        <f>IF(G62="","",(H62-G62)*8)</f>
        <v/>
      </c>
      <c r="J62" s="16" t="n"/>
      <c r="K62" s="16" t="n"/>
      <c r="L62" s="19" t="n"/>
      <c r="M62" s="16" t="n"/>
    </row>
    <row r="63" ht="22" customHeight="1">
      <c r="B63" s="21">
        <f>IF(C63="","PAF-"&amp;TEXT(COUNTA($C$5:C63),"000"))</f>
        <v/>
      </c>
      <c r="C63" s="12" t="n"/>
      <c r="D63" s="12" t="n"/>
      <c r="E63" s="12" t="n"/>
      <c r="F63" s="13" t="n"/>
      <c r="G63" s="31" t="n"/>
      <c r="H63" s="31" t="n"/>
      <c r="I63" s="13">
        <f>IF(G63="","",(H63-G63)*8)</f>
        <v/>
      </c>
      <c r="J63" s="12" t="n"/>
      <c r="K63" s="12" t="n"/>
      <c r="L63" s="15" t="n"/>
      <c r="M63" s="12" t="n"/>
    </row>
    <row r="64" ht="22" customHeight="1">
      <c r="B64" s="20">
        <f>IF(C64="","PAF-"&amp;TEXT(COUNTA($C$5:C64),"000"))</f>
        <v/>
      </c>
      <c r="C64" s="16" t="n"/>
      <c r="D64" s="16" t="n"/>
      <c r="E64" s="16" t="n"/>
      <c r="F64" s="17" t="n"/>
      <c r="G64" s="32" t="n"/>
      <c r="H64" s="32" t="n"/>
      <c r="I64" s="17">
        <f>IF(G64="","",(H64-G64)*8)</f>
        <v/>
      </c>
      <c r="J64" s="16" t="n"/>
      <c r="K64" s="16" t="n"/>
      <c r="L64" s="19" t="n"/>
      <c r="M64" s="16" t="n"/>
    </row>
    <row r="65" ht="22" customHeight="1">
      <c r="B65" s="21">
        <f>IF(C65="","PAF-"&amp;TEXT(COUNTA($C$5:C65),"000"))</f>
        <v/>
      </c>
      <c r="C65" s="12" t="n"/>
      <c r="D65" s="12" t="n"/>
      <c r="E65" s="12" t="n"/>
      <c r="F65" s="13" t="n"/>
      <c r="G65" s="31" t="n"/>
      <c r="H65" s="31" t="n"/>
      <c r="I65" s="13">
        <f>IF(G65="","",(H65-G65)*8)</f>
        <v/>
      </c>
      <c r="J65" s="12" t="n"/>
      <c r="K65" s="12" t="n"/>
      <c r="L65" s="15" t="n"/>
      <c r="M65" s="12" t="n"/>
    </row>
    <row r="66" ht="22" customHeight="1">
      <c r="B66" s="20">
        <f>IF(C66="","PAF-"&amp;TEXT(COUNTA($C$5:C66),"000"))</f>
        <v/>
      </c>
      <c r="C66" s="16" t="n"/>
      <c r="D66" s="16" t="n"/>
      <c r="E66" s="16" t="n"/>
      <c r="F66" s="17" t="n"/>
      <c r="G66" s="32" t="n"/>
      <c r="H66" s="32" t="n"/>
      <c r="I66" s="17">
        <f>IF(G66="","",(H66-G66)*8)</f>
        <v/>
      </c>
      <c r="J66" s="16" t="n"/>
      <c r="K66" s="16" t="n"/>
      <c r="L66" s="19" t="n"/>
      <c r="M66" s="16" t="n"/>
    </row>
    <row r="67" ht="22" customHeight="1">
      <c r="B67" s="21">
        <f>IF(C67="","PAF-"&amp;TEXT(COUNTA($C$5:C67),"000"))</f>
        <v/>
      </c>
      <c r="C67" s="12" t="n"/>
      <c r="D67" s="12" t="n"/>
      <c r="E67" s="12" t="n"/>
      <c r="F67" s="13" t="n"/>
      <c r="G67" s="31" t="n"/>
      <c r="H67" s="31" t="n"/>
      <c r="I67" s="13">
        <f>IF(G67="","",(H67-G67)*8)</f>
        <v/>
      </c>
      <c r="J67" s="12" t="n"/>
      <c r="K67" s="12" t="n"/>
      <c r="L67" s="15" t="n"/>
      <c r="M67" s="12" t="n"/>
    </row>
    <row r="68" ht="22" customHeight="1">
      <c r="B68" s="20">
        <f>IF(C68="","PAF-"&amp;TEXT(COUNTA($C$5:C68),"000"))</f>
        <v/>
      </c>
      <c r="C68" s="16" t="n"/>
      <c r="D68" s="16" t="n"/>
      <c r="E68" s="16" t="n"/>
      <c r="F68" s="17" t="n"/>
      <c r="G68" s="32" t="n"/>
      <c r="H68" s="32" t="n"/>
      <c r="I68" s="17">
        <f>IF(G68="","",(H68-G68)*8)</f>
        <v/>
      </c>
      <c r="J68" s="16" t="n"/>
      <c r="K68" s="16" t="n"/>
      <c r="L68" s="19" t="n"/>
      <c r="M68" s="16" t="n"/>
    </row>
    <row r="69" ht="22" customHeight="1">
      <c r="B69" s="21">
        <f>IF(C69="","PAF-"&amp;TEXT(COUNTA($C$5:C69),"000"))</f>
        <v/>
      </c>
      <c r="C69" s="12" t="n"/>
      <c r="D69" s="12" t="n"/>
      <c r="E69" s="12" t="n"/>
      <c r="F69" s="13" t="n"/>
      <c r="G69" s="31" t="n"/>
      <c r="H69" s="31" t="n"/>
      <c r="I69" s="13">
        <f>IF(G69="","",(H69-G69)*8)</f>
        <v/>
      </c>
      <c r="J69" s="12" t="n"/>
      <c r="K69" s="12" t="n"/>
      <c r="L69" s="15" t="n"/>
      <c r="M69" s="12" t="n"/>
    </row>
    <row r="70" ht="22" customHeight="1">
      <c r="B70" s="20">
        <f>IF(C70="","PAF-"&amp;TEXT(COUNTA($C$5:C70),"000"))</f>
        <v/>
      </c>
      <c r="C70" s="16" t="n"/>
      <c r="D70" s="16" t="n"/>
      <c r="E70" s="16" t="n"/>
      <c r="F70" s="17" t="n"/>
      <c r="G70" s="32" t="n"/>
      <c r="H70" s="32" t="n"/>
      <c r="I70" s="17">
        <f>IF(G70="","",(H70-G70)*8)</f>
        <v/>
      </c>
      <c r="J70" s="16" t="n"/>
      <c r="K70" s="16" t="n"/>
      <c r="L70" s="19" t="n"/>
      <c r="M70" s="16" t="n"/>
    </row>
    <row r="71" ht="22" customHeight="1">
      <c r="B71" s="21">
        <f>IF(C71="","PAF-"&amp;TEXT(COUNTA($C$5:C71),"000"))</f>
        <v/>
      </c>
      <c r="C71" s="12" t="n"/>
      <c r="D71" s="12" t="n"/>
      <c r="E71" s="12" t="n"/>
      <c r="F71" s="13" t="n"/>
      <c r="G71" s="31" t="n"/>
      <c r="H71" s="31" t="n"/>
      <c r="I71" s="13">
        <f>IF(G71="","",(H71-G71)*8)</f>
        <v/>
      </c>
      <c r="J71" s="12" t="n"/>
      <c r="K71" s="12" t="n"/>
      <c r="L71" s="15" t="n"/>
      <c r="M71" s="12" t="n"/>
    </row>
    <row r="72" ht="22" customHeight="1">
      <c r="B72" s="20">
        <f>IF(C72="","PAF-"&amp;TEXT(COUNTA($C$5:C72),"000"))</f>
        <v/>
      </c>
      <c r="C72" s="16" t="n"/>
      <c r="D72" s="16" t="n"/>
      <c r="E72" s="16" t="n"/>
      <c r="F72" s="17" t="n"/>
      <c r="G72" s="32" t="n"/>
      <c r="H72" s="32" t="n"/>
      <c r="I72" s="17">
        <f>IF(G72="","",(H72-G72)*8)</f>
        <v/>
      </c>
      <c r="J72" s="16" t="n"/>
      <c r="K72" s="16" t="n"/>
      <c r="L72" s="19" t="n"/>
      <c r="M72" s="16" t="n"/>
    </row>
    <row r="73" ht="22" customHeight="1">
      <c r="B73" s="21">
        <f>IF(C73="","PAF-"&amp;TEXT(COUNTA($C$5:C73),"000"))</f>
        <v/>
      </c>
      <c r="C73" s="12" t="n"/>
      <c r="D73" s="12" t="n"/>
      <c r="E73" s="12" t="n"/>
      <c r="F73" s="13" t="n"/>
      <c r="G73" s="31" t="n"/>
      <c r="H73" s="31" t="n"/>
      <c r="I73" s="13">
        <f>IF(G73="","",(H73-G73)*8)</f>
        <v/>
      </c>
      <c r="J73" s="12" t="n"/>
      <c r="K73" s="12" t="n"/>
      <c r="L73" s="15" t="n"/>
      <c r="M73" s="12" t="n"/>
    </row>
    <row r="74" ht="22" customHeight="1">
      <c r="B74" s="20">
        <f>IF(C74="","PAF-"&amp;TEXT(COUNTA($C$5:C74),"000"))</f>
        <v/>
      </c>
      <c r="C74" s="16" t="n"/>
      <c r="D74" s="16" t="n"/>
      <c r="E74" s="16" t="n"/>
      <c r="F74" s="17" t="n"/>
      <c r="G74" s="32" t="n"/>
      <c r="H74" s="32" t="n"/>
      <c r="I74" s="17">
        <f>IF(G74="","",(H74-G74)*8)</f>
        <v/>
      </c>
      <c r="J74" s="16" t="n"/>
      <c r="K74" s="16" t="n"/>
      <c r="L74" s="19" t="n"/>
      <c r="M74" s="16" t="n"/>
    </row>
    <row r="75" ht="22" customHeight="1">
      <c r="B75" s="21">
        <f>IF(C75="","PAF-"&amp;TEXT(COUNTA($C$5:C75),"000"))</f>
        <v/>
      </c>
      <c r="C75" s="12" t="n"/>
      <c r="D75" s="12" t="n"/>
      <c r="E75" s="12" t="n"/>
      <c r="F75" s="13" t="n"/>
      <c r="G75" s="31" t="n"/>
      <c r="H75" s="31" t="n"/>
      <c r="I75" s="13">
        <f>IF(G75="","",(H75-G75)*8)</f>
        <v/>
      </c>
      <c r="J75" s="12" t="n"/>
      <c r="K75" s="12" t="n"/>
      <c r="L75" s="15" t="n"/>
      <c r="M75" s="12" t="n"/>
    </row>
    <row r="76" ht="22" customHeight="1">
      <c r="B76" s="20">
        <f>IF(C76="","PAF-"&amp;TEXT(COUNTA($C$5:C76),"000"))</f>
        <v/>
      </c>
      <c r="C76" s="16" t="n"/>
      <c r="D76" s="16" t="n"/>
      <c r="E76" s="16" t="n"/>
      <c r="F76" s="17" t="n"/>
      <c r="G76" s="32" t="n"/>
      <c r="H76" s="32" t="n"/>
      <c r="I76" s="17">
        <f>IF(G76="","",(H76-G76)*8)</f>
        <v/>
      </c>
      <c r="J76" s="16" t="n"/>
      <c r="K76" s="16" t="n"/>
      <c r="L76" s="19" t="n"/>
      <c r="M76" s="16" t="n"/>
    </row>
    <row r="77" ht="22" customHeight="1">
      <c r="B77" s="21">
        <f>IF(C77="","PAF-"&amp;TEXT(COUNTA($C$5:C77),"000"))</f>
        <v/>
      </c>
      <c r="C77" s="12" t="n"/>
      <c r="D77" s="12" t="n"/>
      <c r="E77" s="12" t="n"/>
      <c r="F77" s="13" t="n"/>
      <c r="G77" s="31" t="n"/>
      <c r="H77" s="31" t="n"/>
      <c r="I77" s="13">
        <f>IF(G77="","",(H77-G77)*8)</f>
        <v/>
      </c>
      <c r="J77" s="12" t="n"/>
      <c r="K77" s="12" t="n"/>
      <c r="L77" s="15" t="n"/>
      <c r="M77" s="12" t="n"/>
    </row>
    <row r="78" ht="22" customHeight="1">
      <c r="B78" s="20">
        <f>IF(C78="","PAF-"&amp;TEXT(COUNTA($C$5:C78),"000"))</f>
        <v/>
      </c>
      <c r="C78" s="16" t="n"/>
      <c r="D78" s="16" t="n"/>
      <c r="E78" s="16" t="n"/>
      <c r="F78" s="17" t="n"/>
      <c r="G78" s="32" t="n"/>
      <c r="H78" s="32" t="n"/>
      <c r="I78" s="17">
        <f>IF(G78="","",(H78-G78)*8)</f>
        <v/>
      </c>
      <c r="J78" s="16" t="n"/>
      <c r="K78" s="16" t="n"/>
      <c r="L78" s="19" t="n"/>
      <c r="M78" s="16" t="n"/>
    </row>
    <row r="79" ht="22" customHeight="1">
      <c r="B79" s="21">
        <f>IF(C79="","PAF-"&amp;TEXT(COUNTA($C$5:C79),"000"))</f>
        <v/>
      </c>
      <c r="C79" s="12" t="n"/>
      <c r="D79" s="12" t="n"/>
      <c r="E79" s="12" t="n"/>
      <c r="F79" s="13" t="n"/>
      <c r="G79" s="31" t="n"/>
      <c r="H79" s="31" t="n"/>
      <c r="I79" s="13">
        <f>IF(G79="","",(H79-G79)*8)</f>
        <v/>
      </c>
      <c r="J79" s="12" t="n"/>
      <c r="K79" s="12" t="n"/>
      <c r="L79" s="15" t="n"/>
      <c r="M79" s="12" t="n"/>
    </row>
    <row r="80" ht="22" customHeight="1">
      <c r="B80" s="20">
        <f>IF(C80="","PAF-"&amp;TEXT(COUNTA($C$5:C80),"000"))</f>
        <v/>
      </c>
      <c r="C80" s="16" t="n"/>
      <c r="D80" s="16" t="n"/>
      <c r="E80" s="16" t="n"/>
      <c r="F80" s="17" t="n"/>
      <c r="G80" s="32" t="n"/>
      <c r="H80" s="32" t="n"/>
      <c r="I80" s="17">
        <f>IF(G80="","",(H80-G80)*8)</f>
        <v/>
      </c>
      <c r="J80" s="16" t="n"/>
      <c r="K80" s="16" t="n"/>
      <c r="L80" s="19" t="n"/>
      <c r="M80" s="16" t="n"/>
    </row>
    <row r="81" ht="22" customHeight="1">
      <c r="B81" s="21">
        <f>IF(C81="","PAF-"&amp;TEXT(COUNTA($C$5:C81),"000"))</f>
        <v/>
      </c>
      <c r="C81" s="12" t="n"/>
      <c r="D81" s="12" t="n"/>
      <c r="E81" s="12" t="n"/>
      <c r="F81" s="13" t="n"/>
      <c r="G81" s="31" t="n"/>
      <c r="H81" s="31" t="n"/>
      <c r="I81" s="13">
        <f>IF(G81="","",(H81-G81)*8)</f>
        <v/>
      </c>
      <c r="J81" s="12" t="n"/>
      <c r="K81" s="12" t="n"/>
      <c r="L81" s="15" t="n"/>
      <c r="M81" s="12" t="n"/>
    </row>
    <row r="82" ht="22" customHeight="1">
      <c r="B82" s="20">
        <f>IF(C82="","PAF-"&amp;TEXT(COUNTA($C$5:C82),"000"))</f>
        <v/>
      </c>
      <c r="C82" s="16" t="n"/>
      <c r="D82" s="16" t="n"/>
      <c r="E82" s="16" t="n"/>
      <c r="F82" s="17" t="n"/>
      <c r="G82" s="32" t="n"/>
      <c r="H82" s="32" t="n"/>
      <c r="I82" s="17">
        <f>IF(G82="","",(H82-G82)*8)</f>
        <v/>
      </c>
      <c r="J82" s="16" t="n"/>
      <c r="K82" s="16" t="n"/>
      <c r="L82" s="19" t="n"/>
      <c r="M82" s="16" t="n"/>
    </row>
    <row r="83" ht="22" customHeight="1">
      <c r="B83" s="21">
        <f>IF(C83="","PAF-"&amp;TEXT(COUNTA($C$5:C83),"000"))</f>
        <v/>
      </c>
      <c r="C83" s="12" t="n"/>
      <c r="D83" s="12" t="n"/>
      <c r="E83" s="12" t="n"/>
      <c r="F83" s="13" t="n"/>
      <c r="G83" s="31" t="n"/>
      <c r="H83" s="31" t="n"/>
      <c r="I83" s="13">
        <f>IF(G83="","",(H83-G83)*8)</f>
        <v/>
      </c>
      <c r="J83" s="12" t="n"/>
      <c r="K83" s="12" t="n"/>
      <c r="L83" s="15" t="n"/>
      <c r="M83" s="12" t="n"/>
    </row>
    <row r="84" ht="22" customHeight="1">
      <c r="B84" s="20">
        <f>IF(C84="","PAF-"&amp;TEXT(COUNTA($C$5:C84),"000"))</f>
        <v/>
      </c>
      <c r="C84" s="16" t="n"/>
      <c r="D84" s="16" t="n"/>
      <c r="E84" s="16" t="n"/>
      <c r="F84" s="17" t="n"/>
      <c r="G84" s="32" t="n"/>
      <c r="H84" s="32" t="n"/>
      <c r="I84" s="17">
        <f>IF(G84="","",(H84-G84)*8)</f>
        <v/>
      </c>
      <c r="J84" s="16" t="n"/>
      <c r="K84" s="16" t="n"/>
      <c r="L84" s="19" t="n"/>
      <c r="M84" s="16" t="n"/>
    </row>
    <row r="85" ht="22" customHeight="1">
      <c r="B85" s="21">
        <f>IF(C85="","PAF-"&amp;TEXT(COUNTA($C$5:C85),"000"))</f>
        <v/>
      </c>
      <c r="C85" s="12" t="n"/>
      <c r="D85" s="12" t="n"/>
      <c r="E85" s="12" t="n"/>
      <c r="F85" s="13" t="n"/>
      <c r="G85" s="31" t="n"/>
      <c r="H85" s="31" t="n"/>
      <c r="I85" s="13">
        <f>IF(G85="","",(H85-G85)*8)</f>
        <v/>
      </c>
      <c r="J85" s="12" t="n"/>
      <c r="K85" s="12" t="n"/>
      <c r="L85" s="15" t="n"/>
      <c r="M85" s="12" t="n"/>
    </row>
    <row r="86" ht="22" customHeight="1">
      <c r="B86" s="20">
        <f>IF(C86="","PAF-"&amp;TEXT(COUNTA($C$5:C86),"000"))</f>
        <v/>
      </c>
      <c r="C86" s="16" t="n"/>
      <c r="D86" s="16" t="n"/>
      <c r="E86" s="16" t="n"/>
      <c r="F86" s="17" t="n"/>
      <c r="G86" s="32" t="n"/>
      <c r="H86" s="32" t="n"/>
      <c r="I86" s="17">
        <f>IF(G86="","",(H86-G86)*8)</f>
        <v/>
      </c>
      <c r="J86" s="16" t="n"/>
      <c r="K86" s="16" t="n"/>
      <c r="L86" s="19" t="n"/>
      <c r="M86" s="16" t="n"/>
    </row>
    <row r="87" ht="22" customHeight="1">
      <c r="B87" s="21">
        <f>IF(C87="","PAF-"&amp;TEXT(COUNTA($C$5:C87),"000"))</f>
        <v/>
      </c>
      <c r="C87" s="12" t="n"/>
      <c r="D87" s="12" t="n"/>
      <c r="E87" s="12" t="n"/>
      <c r="F87" s="13" t="n"/>
      <c r="G87" s="31" t="n"/>
      <c r="H87" s="31" t="n"/>
      <c r="I87" s="13">
        <f>IF(G87="","",(H87-G87)*8)</f>
        <v/>
      </c>
      <c r="J87" s="12" t="n"/>
      <c r="K87" s="12" t="n"/>
      <c r="L87" s="15" t="n"/>
      <c r="M87" s="12" t="n"/>
    </row>
    <row r="88" ht="22" customHeight="1">
      <c r="B88" s="20">
        <f>IF(C88="","PAF-"&amp;TEXT(COUNTA($C$5:C88),"000"))</f>
        <v/>
      </c>
      <c r="C88" s="16" t="n"/>
      <c r="D88" s="16" t="n"/>
      <c r="E88" s="16" t="n"/>
      <c r="F88" s="17" t="n"/>
      <c r="G88" s="32" t="n"/>
      <c r="H88" s="32" t="n"/>
      <c r="I88" s="17">
        <f>IF(G88="","",(H88-G88)*8)</f>
        <v/>
      </c>
      <c r="J88" s="16" t="n"/>
      <c r="K88" s="16" t="n"/>
      <c r="L88" s="19" t="n"/>
      <c r="M88" s="16" t="n"/>
    </row>
    <row r="89" ht="22" customHeight="1">
      <c r="B89" s="21">
        <f>IF(C89="","PAF-"&amp;TEXT(COUNTA($C$5:C89),"000"))</f>
        <v/>
      </c>
      <c r="C89" s="12" t="n"/>
      <c r="D89" s="12" t="n"/>
      <c r="E89" s="12" t="n"/>
      <c r="F89" s="13" t="n"/>
      <c r="G89" s="31" t="n"/>
      <c r="H89" s="31" t="n"/>
      <c r="I89" s="13">
        <f>IF(G89="","",(H89-G89)*8)</f>
        <v/>
      </c>
      <c r="J89" s="12" t="n"/>
      <c r="K89" s="12" t="n"/>
      <c r="L89" s="15" t="n"/>
      <c r="M89" s="12" t="n"/>
    </row>
    <row r="90" ht="22" customHeight="1">
      <c r="B90" s="20">
        <f>IF(C90="","PAF-"&amp;TEXT(COUNTA($C$5:C90),"000"))</f>
        <v/>
      </c>
      <c r="C90" s="16" t="n"/>
      <c r="D90" s="16" t="n"/>
      <c r="E90" s="16" t="n"/>
      <c r="F90" s="17" t="n"/>
      <c r="G90" s="32" t="n"/>
      <c r="H90" s="32" t="n"/>
      <c r="I90" s="17">
        <f>IF(G90="","",(H90-G90)*8)</f>
        <v/>
      </c>
      <c r="J90" s="16" t="n"/>
      <c r="K90" s="16" t="n"/>
      <c r="L90" s="19" t="n"/>
      <c r="M90" s="16" t="n"/>
    </row>
    <row r="91" ht="22" customHeight="1">
      <c r="B91" s="21">
        <f>IF(C91="","PAF-"&amp;TEXT(COUNTA($C$5:C91),"000"))</f>
        <v/>
      </c>
      <c r="C91" s="12" t="n"/>
      <c r="D91" s="12" t="n"/>
      <c r="E91" s="12" t="n"/>
      <c r="F91" s="13" t="n"/>
      <c r="G91" s="31" t="n"/>
      <c r="H91" s="31" t="n"/>
      <c r="I91" s="13">
        <f>IF(G91="","",(H91-G91)*8)</f>
        <v/>
      </c>
      <c r="J91" s="12" t="n"/>
      <c r="K91" s="12" t="n"/>
      <c r="L91" s="15" t="n"/>
      <c r="M91" s="12" t="n"/>
    </row>
    <row r="92" ht="22" customHeight="1">
      <c r="B92" s="20">
        <f>IF(C92="","PAF-"&amp;TEXT(COUNTA($C$5:C92),"000"))</f>
        <v/>
      </c>
      <c r="C92" s="16" t="n"/>
      <c r="D92" s="16" t="n"/>
      <c r="E92" s="16" t="n"/>
      <c r="F92" s="17" t="n"/>
      <c r="G92" s="32" t="n"/>
      <c r="H92" s="32" t="n"/>
      <c r="I92" s="17">
        <f>IF(G92="","",(H92-G92)*8)</f>
        <v/>
      </c>
      <c r="J92" s="16" t="n"/>
      <c r="K92" s="16" t="n"/>
      <c r="L92" s="19" t="n"/>
      <c r="M92" s="16" t="n"/>
    </row>
    <row r="93" ht="22" customHeight="1">
      <c r="B93" s="21">
        <f>IF(C93="","PAF-"&amp;TEXT(COUNTA($C$5:C93),"000"))</f>
        <v/>
      </c>
      <c r="C93" s="12" t="n"/>
      <c r="D93" s="12" t="n"/>
      <c r="E93" s="12" t="n"/>
      <c r="F93" s="13" t="n"/>
      <c r="G93" s="31" t="n"/>
      <c r="H93" s="31" t="n"/>
      <c r="I93" s="13">
        <f>IF(G93="","",(H93-G93)*8)</f>
        <v/>
      </c>
      <c r="J93" s="12" t="n"/>
      <c r="K93" s="12" t="n"/>
      <c r="L93" s="15" t="n"/>
      <c r="M93" s="12" t="n"/>
    </row>
    <row r="94" ht="22" customHeight="1">
      <c r="B94" s="20">
        <f>IF(C94="","PAF-"&amp;TEXT(COUNTA($C$5:C94),"000"))</f>
        <v/>
      </c>
      <c r="C94" s="16" t="n"/>
      <c r="D94" s="16" t="n"/>
      <c r="E94" s="16" t="n"/>
      <c r="F94" s="17" t="n"/>
      <c r="G94" s="32" t="n"/>
      <c r="H94" s="32" t="n"/>
      <c r="I94" s="17">
        <f>IF(G94="","",(H94-G94)*8)</f>
        <v/>
      </c>
      <c r="J94" s="16" t="n"/>
      <c r="K94" s="16" t="n"/>
      <c r="L94" s="19" t="n"/>
      <c r="M94" s="16" t="n"/>
    </row>
    <row r="95" ht="22" customHeight="1">
      <c r="B95" s="21">
        <f>IF(C95="","PAF-"&amp;TEXT(COUNTA($C$5:C95),"000"))</f>
        <v/>
      </c>
      <c r="C95" s="12" t="n"/>
      <c r="D95" s="12" t="n"/>
      <c r="E95" s="12" t="n"/>
      <c r="F95" s="13" t="n"/>
      <c r="G95" s="31" t="n"/>
      <c r="H95" s="31" t="n"/>
      <c r="I95" s="13">
        <f>IF(G95="","",(H95-G95)*8)</f>
        <v/>
      </c>
      <c r="J95" s="12" t="n"/>
      <c r="K95" s="12" t="n"/>
      <c r="L95" s="15" t="n"/>
      <c r="M95" s="12" t="n"/>
    </row>
    <row r="96" ht="22" customHeight="1">
      <c r="B96" s="20">
        <f>IF(C96="","PAF-"&amp;TEXT(COUNTA($C$5:C96),"000"))</f>
        <v/>
      </c>
      <c r="C96" s="16" t="n"/>
      <c r="D96" s="16" t="n"/>
      <c r="E96" s="16" t="n"/>
      <c r="F96" s="17" t="n"/>
      <c r="G96" s="32" t="n"/>
      <c r="H96" s="32" t="n"/>
      <c r="I96" s="17">
        <f>IF(G96="","",(H96-G96)*8)</f>
        <v/>
      </c>
      <c r="J96" s="16" t="n"/>
      <c r="K96" s="16" t="n"/>
      <c r="L96" s="19" t="n"/>
      <c r="M96" s="16" t="n"/>
    </row>
    <row r="97" ht="22" customHeight="1">
      <c r="B97" s="21">
        <f>IF(C97="","PAF-"&amp;TEXT(COUNTA($C$5:C97),"000"))</f>
        <v/>
      </c>
      <c r="C97" s="12" t="n"/>
      <c r="D97" s="12" t="n"/>
      <c r="E97" s="12" t="n"/>
      <c r="F97" s="13" t="n"/>
      <c r="G97" s="31" t="n"/>
      <c r="H97" s="31" t="n"/>
      <c r="I97" s="13">
        <f>IF(G97="","",(H97-G97)*8)</f>
        <v/>
      </c>
      <c r="J97" s="12" t="n"/>
      <c r="K97" s="12" t="n"/>
      <c r="L97" s="15" t="n"/>
      <c r="M97" s="12" t="n"/>
    </row>
    <row r="98" ht="22" customHeight="1">
      <c r="B98" s="20">
        <f>IF(C98="","PAF-"&amp;TEXT(COUNTA($C$5:C98),"000"))</f>
        <v/>
      </c>
      <c r="C98" s="16" t="n"/>
      <c r="D98" s="16" t="n"/>
      <c r="E98" s="16" t="n"/>
      <c r="F98" s="17" t="n"/>
      <c r="G98" s="32" t="n"/>
      <c r="H98" s="32" t="n"/>
      <c r="I98" s="17">
        <f>IF(G98="","",(H98-G98)*8)</f>
        <v/>
      </c>
      <c r="J98" s="16" t="n"/>
      <c r="K98" s="16" t="n"/>
      <c r="L98" s="19" t="n"/>
      <c r="M98" s="16" t="n"/>
    </row>
    <row r="99" ht="22" customHeight="1">
      <c r="B99" s="21">
        <f>IF(C99="","PAF-"&amp;TEXT(COUNTA($C$5:C99),"000"))</f>
        <v/>
      </c>
      <c r="C99" s="12" t="n"/>
      <c r="D99" s="12" t="n"/>
      <c r="E99" s="12" t="n"/>
      <c r="F99" s="13" t="n"/>
      <c r="G99" s="31" t="n"/>
      <c r="H99" s="31" t="n"/>
      <c r="I99" s="13">
        <f>IF(G99="","",(H99-G99)*8)</f>
        <v/>
      </c>
      <c r="J99" s="12" t="n"/>
      <c r="K99" s="12" t="n"/>
      <c r="L99" s="15" t="n"/>
      <c r="M99" s="12" t="n"/>
    </row>
    <row r="100" ht="22" customHeight="1">
      <c r="B100" s="20">
        <f>IF(C100="","PAF-"&amp;TEXT(COUNTA($C$5:C100),"000"))</f>
        <v/>
      </c>
      <c r="C100" s="16" t="n"/>
      <c r="D100" s="16" t="n"/>
      <c r="E100" s="16" t="n"/>
      <c r="F100" s="17" t="n"/>
      <c r="G100" s="32" t="n"/>
      <c r="H100" s="32" t="n"/>
      <c r="I100" s="17">
        <f>IF(G100="","",(H100-G100)*8)</f>
        <v/>
      </c>
      <c r="J100" s="16" t="n"/>
      <c r="K100" s="16" t="n"/>
      <c r="L100" s="19" t="n"/>
      <c r="M100" s="16" t="n"/>
    </row>
    <row r="101" ht="22" customHeight="1">
      <c r="B101" s="21">
        <f>IF(C101="","PAF-"&amp;TEXT(COUNTA($C$5:C101),"000"))</f>
        <v/>
      </c>
      <c r="C101" s="12" t="n"/>
      <c r="D101" s="12" t="n"/>
      <c r="E101" s="12" t="n"/>
      <c r="F101" s="13" t="n"/>
      <c r="G101" s="31" t="n"/>
      <c r="H101" s="31" t="n"/>
      <c r="I101" s="13">
        <f>IF(G101="","",(H101-G101)*8)</f>
        <v/>
      </c>
      <c r="J101" s="12" t="n"/>
      <c r="K101" s="12" t="n"/>
      <c r="L101" s="15" t="n"/>
      <c r="M101" s="12" t="n"/>
    </row>
    <row r="102" ht="22" customHeight="1">
      <c r="B102" s="20">
        <f>IF(C102="","PAF-"&amp;TEXT(COUNTA($C$5:C102),"000"))</f>
        <v/>
      </c>
      <c r="C102" s="16" t="n"/>
      <c r="D102" s="16" t="n"/>
      <c r="E102" s="16" t="n"/>
      <c r="F102" s="17" t="n"/>
      <c r="G102" s="32" t="n"/>
      <c r="H102" s="32" t="n"/>
      <c r="I102" s="17">
        <f>IF(G102="","",(H102-G102)*8)</f>
        <v/>
      </c>
      <c r="J102" s="16" t="n"/>
      <c r="K102" s="16" t="n"/>
      <c r="L102" s="19" t="n"/>
      <c r="M102" s="16" t="n"/>
    </row>
    <row r="103" ht="22" customHeight="1">
      <c r="B103" s="21">
        <f>IF(C103="","PAF-"&amp;TEXT(COUNTA($C$5:C103),"000"))</f>
        <v/>
      </c>
      <c r="C103" s="12" t="n"/>
      <c r="D103" s="12" t="n"/>
      <c r="E103" s="12" t="n"/>
      <c r="F103" s="13" t="n"/>
      <c r="G103" s="31" t="n"/>
      <c r="H103" s="31" t="n"/>
      <c r="I103" s="13">
        <f>IF(G103="","",(H103-G103)*8)</f>
        <v/>
      </c>
      <c r="J103" s="12" t="n"/>
      <c r="K103" s="12" t="n"/>
      <c r="L103" s="15" t="n"/>
      <c r="M103" s="12" t="n"/>
    </row>
    <row r="104" ht="22" customHeight="1">
      <c r="B104" s="20">
        <f>IF(C104="","PAF-"&amp;TEXT(COUNTA($C$5:C104),"000"))</f>
        <v/>
      </c>
      <c r="C104" s="16" t="n"/>
      <c r="D104" s="16" t="n"/>
      <c r="E104" s="16" t="n"/>
      <c r="F104" s="17" t="n"/>
      <c r="G104" s="32" t="n"/>
      <c r="H104" s="32" t="n"/>
      <c r="I104" s="17">
        <f>IF(G104="","",(H104-G104)*8)</f>
        <v/>
      </c>
      <c r="J104" s="16" t="n"/>
      <c r="K104" s="16" t="n"/>
      <c r="L104" s="19" t="n"/>
      <c r="M104" s="16" t="n"/>
    </row>
    <row r="105" ht="22" customHeight="1">
      <c r="B105" s="21">
        <f>IF(C105="","PAF-"&amp;TEXT(COUNTA($C$5:C105),"000"))</f>
        <v/>
      </c>
      <c r="C105" s="12" t="n"/>
      <c r="D105" s="12" t="n"/>
      <c r="E105" s="12" t="n"/>
      <c r="F105" s="13" t="n"/>
      <c r="G105" s="31" t="n"/>
      <c r="H105" s="31" t="n"/>
      <c r="I105" s="13">
        <f>IF(G105="","",(H105-G105)*8)</f>
        <v/>
      </c>
      <c r="J105" s="12" t="n"/>
      <c r="K105" s="12" t="n"/>
      <c r="L105" s="15" t="n"/>
      <c r="M105" s="12" t="n"/>
    </row>
    <row r="106" ht="22" customHeight="1">
      <c r="B106" s="20">
        <f>IF(C106="","PAF-"&amp;TEXT(COUNTA($C$5:C106),"000"))</f>
        <v/>
      </c>
      <c r="C106" s="16" t="n"/>
      <c r="D106" s="16" t="n"/>
      <c r="E106" s="16" t="n"/>
      <c r="F106" s="17" t="n"/>
      <c r="G106" s="32" t="n"/>
      <c r="H106" s="32" t="n"/>
      <c r="I106" s="17">
        <f>IF(G106="","",(H106-G106)*8)</f>
        <v/>
      </c>
      <c r="J106" s="16" t="n"/>
      <c r="K106" s="16" t="n"/>
      <c r="L106" s="19" t="n"/>
      <c r="M106" s="16" t="n"/>
    </row>
    <row r="107" ht="22" customHeight="1">
      <c r="B107" s="21">
        <f>IF(C107="","PAF-"&amp;TEXT(COUNTA($C$5:C107),"000"))</f>
        <v/>
      </c>
      <c r="C107" s="12" t="n"/>
      <c r="D107" s="12" t="n"/>
      <c r="E107" s="12" t="n"/>
      <c r="F107" s="13" t="n"/>
      <c r="G107" s="31" t="n"/>
      <c r="H107" s="31" t="n"/>
      <c r="I107" s="13">
        <f>IF(G107="","",(H107-G107)*8)</f>
        <v/>
      </c>
      <c r="J107" s="12" t="n"/>
      <c r="K107" s="12" t="n"/>
      <c r="L107" s="15" t="n"/>
      <c r="M107" s="12" t="n"/>
    </row>
    <row r="108" ht="22" customHeight="1">
      <c r="B108" s="20">
        <f>IF(C108="","PAF-"&amp;TEXT(COUNTA($C$5:C108),"000"))</f>
        <v/>
      </c>
      <c r="C108" s="16" t="n"/>
      <c r="D108" s="16" t="n"/>
      <c r="E108" s="16" t="n"/>
      <c r="F108" s="17" t="n"/>
      <c r="G108" s="32" t="n"/>
      <c r="H108" s="32" t="n"/>
      <c r="I108" s="17">
        <f>IF(G108="","",(H108-G108)*8)</f>
        <v/>
      </c>
      <c r="J108" s="16" t="n"/>
      <c r="K108" s="16" t="n"/>
      <c r="L108" s="19" t="n"/>
      <c r="M108" s="16" t="n"/>
    </row>
    <row r="109" ht="22" customHeight="1">
      <c r="B109" s="21">
        <f>IF(C109="","PAF-"&amp;TEXT(COUNTA($C$5:C109),"000"))</f>
        <v/>
      </c>
      <c r="C109" s="12" t="n"/>
      <c r="D109" s="12" t="n"/>
      <c r="E109" s="12" t="n"/>
      <c r="F109" s="13" t="n"/>
      <c r="G109" s="31" t="n"/>
      <c r="H109" s="31" t="n"/>
      <c r="I109" s="13">
        <f>IF(G109="","",(H109-G109)*8)</f>
        <v/>
      </c>
      <c r="J109" s="12" t="n"/>
      <c r="K109" s="12" t="n"/>
      <c r="L109" s="15" t="n"/>
      <c r="M109" s="12" t="n"/>
    </row>
    <row r="110"/>
    <row r="111" ht="26" customHeight="1">
      <c r="B111" s="22" t="inlineStr">
        <is>
          <t>TOTAL</t>
        </is>
      </c>
      <c r="C111" s="23" t="n"/>
      <c r="D111" s="23" t="n"/>
      <c r="E111" s="23" t="n"/>
      <c r="F111" s="24">
        <f>SUM(F5:F104)</f>
        <v/>
      </c>
      <c r="G111" s="23" t="n"/>
      <c r="H111" s="23" t="n"/>
      <c r="I111" s="24">
        <f>SUM(I5:I104)</f>
        <v/>
      </c>
      <c r="J111" s="23" t="n"/>
      <c r="K111" s="23" t="n"/>
      <c r="L111" s="24">
        <f>SUM(L5:L104)</f>
        <v/>
      </c>
      <c r="M111" s="23" t="n"/>
    </row>
    <row r="112"/>
    <row r="113">
      <c r="B113" s="6" t="inlineStr">
        <is>
          <t>INDICATEURS (mis a jour automatiquement)</t>
        </is>
      </c>
    </row>
    <row r="114">
      <c r="B114" s="3" t="inlineStr">
        <is>
          <t>Actions planifiees</t>
        </is>
      </c>
      <c r="D114" s="3" t="inlineStr">
        <is>
          <t>Total heures (h)</t>
        </is>
      </c>
      <c r="F114" s="3" t="inlineStr">
        <is>
          <t>Cout total prevu (FCFA)</t>
        </is>
      </c>
      <c r="H114" s="3" t="inlineStr">
        <is>
          <t>En cours</t>
        </is>
      </c>
    </row>
    <row r="115">
      <c r="B115" s="4">
        <f>COUNTIF(B5:B104,"&lt;&gt;")</f>
        <v/>
      </c>
      <c r="D115" s="4">
        <f>SUM(I5:I104)</f>
        <v/>
      </c>
      <c r="F115" s="4">
        <f>SUM(L5:L104)</f>
        <v/>
      </c>
      <c r="H115" s="4">
        <f>COUNTIF(M5:M104,"En cours")</f>
        <v/>
      </c>
    </row>
  </sheetData>
  <mergeCells count="3">
    <mergeCell ref="B3:M3"/>
    <mergeCell ref="B2:M2"/>
    <mergeCell ref="B113:M113"/>
  </mergeCells>
  <conditionalFormatting sqref="M5:M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1">
      <formula>"En attente"</formula>
    </cfRule>
    <cfRule type="cellIs" priority="28" operator="equal" dxfId="1">
      <formula>"A renouveler"</formula>
    </cfRule>
    <cfRule type="cellIs" priority="29" operator="equal" dxfId="1">
      <formula>"En cours"</formula>
    </cfRule>
    <cfRule type="cellIs" priority="30" operator="equal" dxfId="1">
      <formula>"En traitement"</formula>
    </cfRule>
    <cfRule type="cellIs" priority="31" operator="equal" dxfId="1">
      <formula>"En retard"</formula>
    </cfRule>
    <cfRule type="cellIs" priority="32" operator="equal" dxfId="1">
      <formula>"Suspendu"</formula>
    </cfRule>
    <cfRule type="cellIs" priority="33" operator="equal" dxfId="1">
      <formula>"Planifie"</formula>
    </cfRule>
    <cfRule type="cellIs" priority="34" operator="equal" dxfId="1">
      <formula>"Planifiee"</formula>
    </cfRule>
    <cfRule type="cellIs" priority="35" operator="equal" dxfId="1">
      <formula>"Brouillon"</formula>
    </cfRule>
    <cfRule type="cellIs" priority="36" operator="equal" dxfId="1">
      <formula>"En attente de justification"</formula>
    </cfRule>
    <cfRule type="cellIs" priority="37" operator="equal" dxfId="1">
      <formula>"Tolere"</formula>
    </cfRule>
    <cfRule type="cellIs" priority="38" operator="equal" dxfId="1">
      <formula>"Variable"</formula>
    </cfRule>
    <cfRule type="cellIs" priority="39" operator="equal" dxfId="1">
      <formula>"En elaboration"</formula>
    </cfRule>
    <cfRule type="cellIs" priority="40" operator="equal" dxfId="1">
      <formula>"Provisionne"</formula>
    </cfRule>
    <cfRule type="cellIs" priority="41" operator="equal" dxfId="1">
      <formula>"Consomme partiel"</formula>
    </cfRule>
    <cfRule type="cellIs" priority="42" operator="equal" dxfId="1">
      <formula>"Identifie"</formula>
    </cfRule>
    <cfRule type="cellIs" priority="43" operator="equal" dxfId="1">
      <formula>"Priorise"</formula>
    </cfRule>
    <cfRule type="cellIs" priority="44" operator="equal" dxfId="1">
      <formula>"Intermediaire"</formula>
    </cfRule>
    <cfRule type="cellIs" priority="45" operator="equal" dxfId="1">
      <formula>"Non evalue"</formula>
    </cfRule>
    <cfRule type="cellIs" priority="46" operator="equal" dxfId="1">
      <formula>"En cours de realisation"</formula>
    </cfRule>
    <cfRule type="cellIs" priority="47" operator="equal" dxfId="2">
      <formula>"Expire"</formula>
    </cfRule>
    <cfRule type="cellIs" priority="48" operator="equal" dxfId="2">
      <formula>"Rejete"</formula>
    </cfRule>
    <cfRule type="cellIs" priority="49" operator="equal" dxfId="2">
      <formula>"Rejetee"</formula>
    </cfRule>
    <cfRule type="cellIs" priority="50" operator="equal" dxfId="2">
      <formula>"Resilie"</formula>
    </cfRule>
    <cfRule type="cellIs" priority="51" operator="equal" dxfId="2">
      <formula>"Annule"</formula>
    </cfRule>
    <cfRule type="cellIs" priority="52" operator="equal" dxfId="2">
      <formula>"Annulee"</formula>
    </cfRule>
    <cfRule type="cellIs" priority="53" operator="equal" dxfId="2">
      <formula>"Refuse"</formula>
    </cfRule>
    <cfRule type="cellIs" priority="54" operator="equal" dxfId="2">
      <formula>"Non justifie"</formula>
    </cfRule>
    <cfRule type="cellIs" priority="55" operator="equal" dxfId="2">
      <formula>"Non justifiee"</formula>
    </cfRule>
    <cfRule type="cellIs" priority="56" operator="equal" dxfId="2">
      <formula>"Sanctionne"</formula>
    </cfRule>
    <cfRule type="cellIs" priority="57" operator="equal" dxfId="2">
      <formula>"Inaptitude"</formula>
    </cfRule>
    <cfRule type="cellIs" priority="58" operator="equal" dxfId="2">
      <formula>"Absent sans autorisation"</formula>
    </cfRule>
    <cfRule type="cellIs" priority="59" operator="equal" dxfId="2">
      <formula>"Abandon de poste"</formula>
    </cfRule>
    <cfRule type="cellIs" priority="60" operator="equal" dxfId="2">
      <formula>"Non satisfait"</formula>
    </cfRule>
    <cfRule type="cellIs" priority="61" operator="equal" dxfId="2">
      <formula>"Reportee"</formula>
    </cfRule>
    <cfRule type="cellIs" priority="62" operator="equal" dxfId="2">
      <formula>"Depasse"</formula>
    </cfRule>
    <cfRule type="cellIs" priority="63" operator="equal" dxfId="2">
      <formula>"Non utilise"</formula>
    </cfRule>
    <cfRule type="cellIs" priority="64" operator="equal" dxfId="2">
      <formula>"Non applicable"</formula>
    </cfRule>
    <cfRule type="cellIs" priority="65" operator="equal" dxfId="2">
      <formula>"Debutant"</formula>
    </cfRule>
  </conditionalFormatting>
  <conditionalFormatting sqref="B10:B109">
    <cfRule type="expression" priority="66" dxfId="3">
      <formula>AND($C10="",$C9&lt;&gt;"")</formula>
    </cfRule>
  </conditionalFormatting>
  <conditionalFormatting sqref="C10:C109">
    <cfRule type="expression" priority="67" dxfId="3">
      <formula>AND($C10="",$C9&lt;&gt;"")</formula>
    </cfRule>
  </conditionalFormatting>
  <conditionalFormatting sqref="D10:D109">
    <cfRule type="expression" priority="68" dxfId="3">
      <formula>AND($C10="",$C9&lt;&gt;"")</formula>
    </cfRule>
  </conditionalFormatting>
  <conditionalFormatting sqref="E10:E109">
    <cfRule type="expression" priority="69" dxfId="3">
      <formula>AND($C10="",$C9&lt;&gt;"")</formula>
    </cfRule>
  </conditionalFormatting>
  <conditionalFormatting sqref="F10:F109">
    <cfRule type="expression" priority="70" dxfId="3">
      <formula>AND($C10="",$C9&lt;&gt;"")</formula>
    </cfRule>
  </conditionalFormatting>
  <conditionalFormatting sqref="G10:G109">
    <cfRule type="expression" priority="71" dxfId="3">
      <formula>AND($C10="",$C9&lt;&gt;"")</formula>
    </cfRule>
  </conditionalFormatting>
  <conditionalFormatting sqref="H10:H109">
    <cfRule type="expression" priority="72" dxfId="3">
      <formula>AND($C10="",$C9&lt;&gt;"")</formula>
    </cfRule>
  </conditionalFormatting>
  <conditionalFormatting sqref="I10:I109">
    <cfRule type="expression" priority="73" dxfId="3">
      <formula>AND($C10="",$C9&lt;&gt;"")</formula>
    </cfRule>
  </conditionalFormatting>
  <conditionalFormatting sqref="J10:J109">
    <cfRule type="expression" priority="74" dxfId="3">
      <formula>AND($C10="",$C9&lt;&gt;"")</formula>
    </cfRule>
  </conditionalFormatting>
  <conditionalFormatting sqref="K10:K109">
    <cfRule type="expression" priority="75" dxfId="3">
      <formula>AND($C10="",$C9&lt;&gt;"")</formula>
    </cfRule>
  </conditionalFormatting>
  <conditionalFormatting sqref="L10:L109">
    <cfRule type="expression" priority="76" dxfId="3">
      <formula>AND($C10="",$C9&lt;&gt;"")</formula>
    </cfRule>
  </conditionalFormatting>
  <conditionalFormatting sqref="M10:M109">
    <cfRule type="expression" priority="77" dxfId="3">
      <formula>AND($C10="",$C9&lt;&gt;"")</formula>
    </cfRule>
  </conditionalFormatting>
  <dataValidations count="3">
    <dataValidation sqref="D5:D109" showDropDown="0" showInputMessage="0" showErrorMessage="0" allowBlank="1" errorTitle="Erreur" error="Valeur invalide" promptTitle="Liste" prompt="Choisir dans la liste" type="list">
      <formula1>'_Lists'!$D$2:$D$11</formula1>
    </dataValidation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M5:M109" showDropDown="0" showInputMessage="0" showErrorMessage="0" allowBlank="1" errorTitle="Erreur" error="Valeur invalide" promptTitle="Liste" prompt="Choisir dans la liste" type="list">
      <formula1>'_Lists'!$G$2:$G$7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2" customWidth="1" min="3" max="3"/>
    <col width="20" customWidth="1" min="4" max="4"/>
    <col width="28" customWidth="1" min="5" max="5"/>
    <col width="22" customWidth="1" min="6" max="6"/>
    <col width="14" customWidth="1" min="7" max="7"/>
    <col width="16" customWidth="1" min="8" max="8"/>
    <col width="14" customWidth="1" min="9" max="9"/>
    <col width="18" customWidth="1" min="10" max="10"/>
    <col width="16" customWidth="1" min="11" max="11"/>
    <col width="14" customWidth="1" min="12" max="12"/>
  </cols>
  <sheetData>
    <row r="1" ht="15" customHeight="1"/>
    <row r="2" ht="32" customHeight="1">
      <c r="B2" s="1" t="inlineStr">
        <is>
          <t>IDENTIFICATION DES BESOINS EN FORMATION (#65)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 Besoin</t>
        </is>
      </c>
      <c r="C4" s="11" t="inlineStr">
        <is>
          <t>Departement</t>
        </is>
      </c>
      <c r="D4" s="11" t="inlineStr">
        <is>
          <t>Poste Concerne</t>
        </is>
      </c>
      <c r="E4" s="11" t="inlineStr">
        <is>
          <t>Theme Souhaite</t>
        </is>
      </c>
      <c r="F4" s="11" t="inlineStr">
        <is>
          <t>Source Identification</t>
        </is>
      </c>
      <c r="G4" s="11" t="inlineStr">
        <is>
          <t>Priorite</t>
        </is>
      </c>
      <c r="H4" s="11" t="inlineStr">
        <is>
          <t>Nb Beneficiaires</t>
        </is>
      </c>
      <c r="I4" s="11" t="inlineStr">
        <is>
          <t>Date Souhaite</t>
        </is>
      </c>
      <c r="J4" s="11" t="inlineStr">
        <is>
          <t>Cout Estime (FCFA)</t>
        </is>
      </c>
      <c r="K4" s="11" t="inlineStr">
        <is>
          <t>Action PAF Liee</t>
        </is>
      </c>
      <c r="L4" s="11" t="inlineStr">
        <is>
          <t>Statut</t>
        </is>
      </c>
    </row>
    <row r="5" ht="22" customHeight="1">
      <c r="B5" s="12" t="inlineStr">
        <is>
          <t>BF-001</t>
        </is>
      </c>
      <c r="C5" s="12" t="inlineStr">
        <is>
          <t>Cuisine &amp; Restauration</t>
        </is>
      </c>
      <c r="D5" s="12" t="inlineStr">
        <is>
          <t>Cuisinier</t>
        </is>
      </c>
      <c r="E5" s="12" t="inlineStr">
        <is>
          <t>Techniques de cuisson avancees</t>
        </is>
      </c>
      <c r="F5" s="12" t="inlineStr">
        <is>
          <t>Audit interne</t>
        </is>
      </c>
      <c r="G5" s="12" t="inlineStr">
        <is>
          <t>Haute</t>
        </is>
      </c>
      <c r="H5" s="13" t="n">
        <v>4</v>
      </c>
      <c r="I5" s="31" t="n">
        <v>45870</v>
      </c>
      <c r="J5" s="15" t="n">
        <v>120000</v>
      </c>
      <c r="K5" s="12" t="inlineStr">
        <is>
          <t>PAF-006</t>
        </is>
      </c>
      <c r="L5" s="12" t="inlineStr">
        <is>
          <t>Planifie</t>
        </is>
      </c>
    </row>
    <row r="6" ht="22" customHeight="1">
      <c r="B6" s="16" t="inlineStr">
        <is>
          <t>BF-002</t>
        </is>
      </c>
      <c r="C6" s="16" t="inlineStr">
        <is>
          <t>Réception &amp; Front Office</t>
        </is>
      </c>
      <c r="D6" s="16" t="inlineStr">
        <is>
          <t>Receptionniste</t>
        </is>
      </c>
      <c r="E6" s="16" t="inlineStr">
        <is>
          <t>Gestion PMS Opera</t>
        </is>
      </c>
      <c r="F6" s="16" t="inlineStr">
        <is>
          <t>Entretien annuel</t>
        </is>
      </c>
      <c r="G6" s="16" t="inlineStr">
        <is>
          <t>Haute</t>
        </is>
      </c>
      <c r="H6" s="17" t="n">
        <v>6</v>
      </c>
      <c r="I6" s="32" t="n">
        <v>45839</v>
      </c>
      <c r="J6" s="19" t="n">
        <v>200000</v>
      </c>
      <c r="K6" s="16" t="inlineStr">
        <is>
          <t>PAF-004</t>
        </is>
      </c>
      <c r="L6" s="16" t="inlineStr">
        <is>
          <t>Priorise</t>
        </is>
      </c>
    </row>
    <row r="7" ht="22" customHeight="1">
      <c r="B7" s="12" t="inlineStr">
        <is>
          <t>BF-003</t>
        </is>
      </c>
      <c r="C7" s="12" t="inlineStr">
        <is>
          <t>Service Client</t>
        </is>
      </c>
      <c r="D7" s="12" t="inlineStr">
        <is>
          <t>Conseiller</t>
        </is>
      </c>
      <c r="E7" s="12" t="inlineStr">
        <is>
          <t>Techniques de vente croisee</t>
        </is>
      </c>
      <c r="F7" s="12" t="inlineStr">
        <is>
          <t>Plan strategique hotel</t>
        </is>
      </c>
      <c r="G7" s="12" t="inlineStr">
        <is>
          <t>Moyenne</t>
        </is>
      </c>
      <c r="H7" s="13" t="n">
        <v>5</v>
      </c>
      <c r="I7" s="31" t="n">
        <v>45931</v>
      </c>
      <c r="J7" s="15" t="n">
        <v>75000</v>
      </c>
      <c r="K7" s="12" t="inlineStr">
        <is>
          <t>PAF-007</t>
        </is>
      </c>
      <c r="L7" s="12" t="inlineStr">
        <is>
          <t>Identifie</t>
        </is>
      </c>
    </row>
    <row r="8" ht="22" customHeight="1">
      <c r="B8" s="16" t="inlineStr">
        <is>
          <t>BF-004</t>
        </is>
      </c>
      <c r="C8" s="16" t="inlineStr">
        <is>
          <t>Sécurité</t>
        </is>
      </c>
      <c r="D8" s="16" t="inlineStr">
        <is>
          <t>Agent Securite</t>
        </is>
      </c>
      <c r="E8" s="16" t="inlineStr">
        <is>
          <t>Gestion des acces &amp; CCTV</t>
        </is>
      </c>
      <c r="F8" s="16" t="inlineStr">
        <is>
          <t>Non conformite detectee</t>
        </is>
      </c>
      <c r="G8" s="16" t="inlineStr">
        <is>
          <t>Urgente</t>
        </is>
      </c>
      <c r="H8" s="17" t="n">
        <v>4</v>
      </c>
      <c r="I8" s="32" t="n">
        <v>45823</v>
      </c>
      <c r="J8" s="19" t="n">
        <v>50000</v>
      </c>
      <c r="K8" s="16" t="inlineStr">
        <is>
          <t>PAF-008</t>
        </is>
      </c>
      <c r="L8" s="16" t="inlineStr">
        <is>
          <t>En cours</t>
        </is>
      </c>
    </row>
    <row r="9" ht="22" customHeight="1">
      <c r="B9" s="12" t="inlineStr">
        <is>
          <t>BF-005</t>
        </is>
      </c>
      <c r="C9" s="12" t="inlineStr">
        <is>
          <t>Maintenance</t>
        </is>
      </c>
      <c r="D9" s="12" t="inlineStr">
        <is>
          <t>Agent Entretien</t>
        </is>
      </c>
      <c r="E9" s="12" t="inlineStr">
        <is>
          <t>Climatisation &amp; CVC</t>
        </is>
      </c>
      <c r="F9" s="12" t="inlineStr">
        <is>
          <t>Demande employe</t>
        </is>
      </c>
      <c r="G9" s="12" t="inlineStr">
        <is>
          <t>Moyenne</t>
        </is>
      </c>
      <c r="H9" s="13" t="n">
        <v>3</v>
      </c>
      <c r="I9" s="31" t="n">
        <v>45915</v>
      </c>
      <c r="J9" s="15" t="n">
        <v>90000</v>
      </c>
      <c r="K9" s="12" t="inlineStr"/>
      <c r="L9" s="12" t="inlineStr">
        <is>
          <t>Identifie</t>
        </is>
      </c>
    </row>
    <row r="10" ht="22" customHeight="1">
      <c r="B10" s="20">
        <f>IF(C10="","BF-"&amp;TEXT(COUNTA($C$5:C10),"000"))</f>
        <v/>
      </c>
      <c r="C10" s="16" t="n"/>
      <c r="D10" s="16" t="n"/>
      <c r="E10" s="16" t="n"/>
      <c r="F10" s="16" t="n"/>
      <c r="G10" s="16" t="n"/>
      <c r="H10" s="17" t="n"/>
      <c r="I10" s="32" t="n"/>
      <c r="J10" s="19" t="n"/>
      <c r="K10" s="16" t="n"/>
      <c r="L10" s="16" t="n"/>
    </row>
    <row r="11" ht="22" customHeight="1">
      <c r="B11" s="21">
        <f>IF(C11="","BF-"&amp;TEXT(COUNTA($C$5:C11),"000"))</f>
        <v/>
      </c>
      <c r="C11" s="12" t="n"/>
      <c r="D11" s="12" t="n"/>
      <c r="E11" s="12" t="n"/>
      <c r="F11" s="12" t="n"/>
      <c r="G11" s="12" t="n"/>
      <c r="H11" s="13" t="n"/>
      <c r="I11" s="31" t="n"/>
      <c r="J11" s="15" t="n"/>
      <c r="K11" s="12" t="n"/>
      <c r="L11" s="12" t="n"/>
    </row>
    <row r="12" ht="22" customHeight="1">
      <c r="B12" s="20">
        <f>IF(C12="","BF-"&amp;TEXT(COUNTA($C$5:C12),"000"))</f>
        <v/>
      </c>
      <c r="C12" s="16" t="n"/>
      <c r="D12" s="16" t="n"/>
      <c r="E12" s="16" t="n"/>
      <c r="F12" s="16" t="n"/>
      <c r="G12" s="16" t="n"/>
      <c r="H12" s="17" t="n"/>
      <c r="I12" s="32" t="n"/>
      <c r="J12" s="19" t="n"/>
      <c r="K12" s="16" t="n"/>
      <c r="L12" s="16" t="n"/>
    </row>
    <row r="13" ht="22" customHeight="1">
      <c r="B13" s="21">
        <f>IF(C13="","BF-"&amp;TEXT(COUNTA($C$5:C13),"000"))</f>
        <v/>
      </c>
      <c r="C13" s="12" t="n"/>
      <c r="D13" s="12" t="n"/>
      <c r="E13" s="12" t="n"/>
      <c r="F13" s="12" t="n"/>
      <c r="G13" s="12" t="n"/>
      <c r="H13" s="13" t="n"/>
      <c r="I13" s="31" t="n"/>
      <c r="J13" s="15" t="n"/>
      <c r="K13" s="12" t="n"/>
      <c r="L13" s="12" t="n"/>
    </row>
    <row r="14" ht="22" customHeight="1">
      <c r="B14" s="20">
        <f>IF(C14="","BF-"&amp;TEXT(COUNTA($C$5:C14),"000"))</f>
        <v/>
      </c>
      <c r="C14" s="16" t="n"/>
      <c r="D14" s="16" t="n"/>
      <c r="E14" s="16" t="n"/>
      <c r="F14" s="16" t="n"/>
      <c r="G14" s="16" t="n"/>
      <c r="H14" s="17" t="n"/>
      <c r="I14" s="32" t="n"/>
      <c r="J14" s="19" t="n"/>
      <c r="K14" s="16" t="n"/>
      <c r="L14" s="16" t="n"/>
    </row>
    <row r="15" ht="22" customHeight="1">
      <c r="B15" s="21">
        <f>IF(C15="","BF-"&amp;TEXT(COUNTA($C$5:C15),"000"))</f>
        <v/>
      </c>
      <c r="C15" s="12" t="n"/>
      <c r="D15" s="12" t="n"/>
      <c r="E15" s="12" t="n"/>
      <c r="F15" s="12" t="n"/>
      <c r="G15" s="12" t="n"/>
      <c r="H15" s="13" t="n"/>
      <c r="I15" s="31" t="n"/>
      <c r="J15" s="15" t="n"/>
      <c r="K15" s="12" t="n"/>
      <c r="L15" s="12" t="n"/>
    </row>
    <row r="16" ht="22" customHeight="1">
      <c r="B16" s="20">
        <f>IF(C16="","BF-"&amp;TEXT(COUNTA($C$5:C16),"000"))</f>
        <v/>
      </c>
      <c r="C16" s="16" t="n"/>
      <c r="D16" s="16" t="n"/>
      <c r="E16" s="16" t="n"/>
      <c r="F16" s="16" t="n"/>
      <c r="G16" s="16" t="n"/>
      <c r="H16" s="17" t="n"/>
      <c r="I16" s="32" t="n"/>
      <c r="J16" s="19" t="n"/>
      <c r="K16" s="16" t="n"/>
      <c r="L16" s="16" t="n"/>
    </row>
    <row r="17" ht="22" customHeight="1">
      <c r="B17" s="21">
        <f>IF(C17="","BF-"&amp;TEXT(COUNTA($C$5:C17),"000"))</f>
        <v/>
      </c>
      <c r="C17" s="12" t="n"/>
      <c r="D17" s="12" t="n"/>
      <c r="E17" s="12" t="n"/>
      <c r="F17" s="12" t="n"/>
      <c r="G17" s="12" t="n"/>
      <c r="H17" s="13" t="n"/>
      <c r="I17" s="31" t="n"/>
      <c r="J17" s="15" t="n"/>
      <c r="K17" s="12" t="n"/>
      <c r="L17" s="12" t="n"/>
    </row>
    <row r="18" ht="22" customHeight="1">
      <c r="B18" s="20">
        <f>IF(C18="","BF-"&amp;TEXT(COUNTA($C$5:C18),"000"))</f>
        <v/>
      </c>
      <c r="C18" s="16" t="n"/>
      <c r="D18" s="16" t="n"/>
      <c r="E18" s="16" t="n"/>
      <c r="F18" s="16" t="n"/>
      <c r="G18" s="16" t="n"/>
      <c r="H18" s="17" t="n"/>
      <c r="I18" s="32" t="n"/>
      <c r="J18" s="19" t="n"/>
      <c r="K18" s="16" t="n"/>
      <c r="L18" s="16" t="n"/>
    </row>
    <row r="19" ht="22" customHeight="1">
      <c r="B19" s="21">
        <f>IF(C19="","BF-"&amp;TEXT(COUNTA($C$5:C19),"000"))</f>
        <v/>
      </c>
      <c r="C19" s="12" t="n"/>
      <c r="D19" s="12" t="n"/>
      <c r="E19" s="12" t="n"/>
      <c r="F19" s="12" t="n"/>
      <c r="G19" s="12" t="n"/>
      <c r="H19" s="13" t="n"/>
      <c r="I19" s="31" t="n"/>
      <c r="J19" s="15" t="n"/>
      <c r="K19" s="12" t="n"/>
      <c r="L19" s="12" t="n"/>
    </row>
    <row r="20" ht="22" customHeight="1">
      <c r="B20" s="20">
        <f>IF(C20="","BF-"&amp;TEXT(COUNTA($C$5:C20),"000"))</f>
        <v/>
      </c>
      <c r="C20" s="16" t="n"/>
      <c r="D20" s="16" t="n"/>
      <c r="E20" s="16" t="n"/>
      <c r="F20" s="16" t="n"/>
      <c r="G20" s="16" t="n"/>
      <c r="H20" s="17" t="n"/>
      <c r="I20" s="32" t="n"/>
      <c r="J20" s="19" t="n"/>
      <c r="K20" s="16" t="n"/>
      <c r="L20" s="16" t="n"/>
    </row>
    <row r="21" ht="22" customHeight="1">
      <c r="B21" s="21">
        <f>IF(C21="","BF-"&amp;TEXT(COUNTA($C$5:C21),"000"))</f>
        <v/>
      </c>
      <c r="C21" s="12" t="n"/>
      <c r="D21" s="12" t="n"/>
      <c r="E21" s="12" t="n"/>
      <c r="F21" s="12" t="n"/>
      <c r="G21" s="12" t="n"/>
      <c r="H21" s="13" t="n"/>
      <c r="I21" s="31" t="n"/>
      <c r="J21" s="15" t="n"/>
      <c r="K21" s="12" t="n"/>
      <c r="L21" s="12" t="n"/>
    </row>
    <row r="22" ht="22" customHeight="1">
      <c r="B22" s="20">
        <f>IF(C22="","BF-"&amp;TEXT(COUNTA($C$5:C22),"000"))</f>
        <v/>
      </c>
      <c r="C22" s="16" t="n"/>
      <c r="D22" s="16" t="n"/>
      <c r="E22" s="16" t="n"/>
      <c r="F22" s="16" t="n"/>
      <c r="G22" s="16" t="n"/>
      <c r="H22" s="17" t="n"/>
      <c r="I22" s="32" t="n"/>
      <c r="J22" s="19" t="n"/>
      <c r="K22" s="16" t="n"/>
      <c r="L22" s="16" t="n"/>
    </row>
    <row r="23" ht="22" customHeight="1">
      <c r="B23" s="21">
        <f>IF(C23="","BF-"&amp;TEXT(COUNTA($C$5:C23),"000"))</f>
        <v/>
      </c>
      <c r="C23" s="12" t="n"/>
      <c r="D23" s="12" t="n"/>
      <c r="E23" s="12" t="n"/>
      <c r="F23" s="12" t="n"/>
      <c r="G23" s="12" t="n"/>
      <c r="H23" s="13" t="n"/>
      <c r="I23" s="31" t="n"/>
      <c r="J23" s="15" t="n"/>
      <c r="K23" s="12" t="n"/>
      <c r="L23" s="12" t="n"/>
    </row>
    <row r="24" ht="22" customHeight="1">
      <c r="B24" s="20">
        <f>IF(C24="","BF-"&amp;TEXT(COUNTA($C$5:C24),"000"))</f>
        <v/>
      </c>
      <c r="C24" s="16" t="n"/>
      <c r="D24" s="16" t="n"/>
      <c r="E24" s="16" t="n"/>
      <c r="F24" s="16" t="n"/>
      <c r="G24" s="16" t="n"/>
      <c r="H24" s="17" t="n"/>
      <c r="I24" s="32" t="n"/>
      <c r="J24" s="19" t="n"/>
      <c r="K24" s="16" t="n"/>
      <c r="L24" s="16" t="n"/>
    </row>
    <row r="25" ht="22" customHeight="1">
      <c r="B25" s="21">
        <f>IF(C25="","BF-"&amp;TEXT(COUNTA($C$5:C25),"000"))</f>
        <v/>
      </c>
      <c r="C25" s="12" t="n"/>
      <c r="D25" s="12" t="n"/>
      <c r="E25" s="12" t="n"/>
      <c r="F25" s="12" t="n"/>
      <c r="G25" s="12" t="n"/>
      <c r="H25" s="13" t="n"/>
      <c r="I25" s="31" t="n"/>
      <c r="J25" s="15" t="n"/>
      <c r="K25" s="12" t="n"/>
      <c r="L25" s="12" t="n"/>
    </row>
    <row r="26" ht="22" customHeight="1">
      <c r="B26" s="20">
        <f>IF(C26="","BF-"&amp;TEXT(COUNTA($C$5:C26),"000"))</f>
        <v/>
      </c>
      <c r="C26" s="16" t="n"/>
      <c r="D26" s="16" t="n"/>
      <c r="E26" s="16" t="n"/>
      <c r="F26" s="16" t="n"/>
      <c r="G26" s="16" t="n"/>
      <c r="H26" s="17" t="n"/>
      <c r="I26" s="32" t="n"/>
      <c r="J26" s="19" t="n"/>
      <c r="K26" s="16" t="n"/>
      <c r="L26" s="16" t="n"/>
    </row>
    <row r="27" ht="22" customHeight="1">
      <c r="B27" s="21">
        <f>IF(C27="","BF-"&amp;TEXT(COUNTA($C$5:C27),"000"))</f>
        <v/>
      </c>
      <c r="C27" s="12" t="n"/>
      <c r="D27" s="12" t="n"/>
      <c r="E27" s="12" t="n"/>
      <c r="F27" s="12" t="n"/>
      <c r="G27" s="12" t="n"/>
      <c r="H27" s="13" t="n"/>
      <c r="I27" s="31" t="n"/>
      <c r="J27" s="15" t="n"/>
      <c r="K27" s="12" t="n"/>
      <c r="L27" s="12" t="n"/>
    </row>
    <row r="28" ht="22" customHeight="1">
      <c r="B28" s="20">
        <f>IF(C28="","BF-"&amp;TEXT(COUNTA($C$5:C28),"000"))</f>
        <v/>
      </c>
      <c r="C28" s="16" t="n"/>
      <c r="D28" s="16" t="n"/>
      <c r="E28" s="16" t="n"/>
      <c r="F28" s="16" t="n"/>
      <c r="G28" s="16" t="n"/>
      <c r="H28" s="17" t="n"/>
      <c r="I28" s="32" t="n"/>
      <c r="J28" s="19" t="n"/>
      <c r="K28" s="16" t="n"/>
      <c r="L28" s="16" t="n"/>
    </row>
    <row r="29" ht="22" customHeight="1">
      <c r="B29" s="21">
        <f>IF(C29="","BF-"&amp;TEXT(COUNTA($C$5:C29),"000"))</f>
        <v/>
      </c>
      <c r="C29" s="12" t="n"/>
      <c r="D29" s="12" t="n"/>
      <c r="E29" s="12" t="n"/>
      <c r="F29" s="12" t="n"/>
      <c r="G29" s="12" t="n"/>
      <c r="H29" s="13" t="n"/>
      <c r="I29" s="31" t="n"/>
      <c r="J29" s="15" t="n"/>
      <c r="K29" s="12" t="n"/>
      <c r="L29" s="12" t="n"/>
    </row>
    <row r="30" ht="22" customHeight="1">
      <c r="B30" s="20">
        <f>IF(C30="","BF-"&amp;TEXT(COUNTA($C$5:C30),"000"))</f>
        <v/>
      </c>
      <c r="C30" s="16" t="n"/>
      <c r="D30" s="16" t="n"/>
      <c r="E30" s="16" t="n"/>
      <c r="F30" s="16" t="n"/>
      <c r="G30" s="16" t="n"/>
      <c r="H30" s="17" t="n"/>
      <c r="I30" s="32" t="n"/>
      <c r="J30" s="19" t="n"/>
      <c r="K30" s="16" t="n"/>
      <c r="L30" s="16" t="n"/>
    </row>
    <row r="31" ht="22" customHeight="1">
      <c r="B31" s="21">
        <f>IF(C31="","BF-"&amp;TEXT(COUNTA($C$5:C31),"000"))</f>
        <v/>
      </c>
      <c r="C31" s="12" t="n"/>
      <c r="D31" s="12" t="n"/>
      <c r="E31" s="12" t="n"/>
      <c r="F31" s="12" t="n"/>
      <c r="G31" s="12" t="n"/>
      <c r="H31" s="13" t="n"/>
      <c r="I31" s="31" t="n"/>
      <c r="J31" s="15" t="n"/>
      <c r="K31" s="12" t="n"/>
      <c r="L31" s="12" t="n"/>
    </row>
    <row r="32" ht="22" customHeight="1">
      <c r="B32" s="20">
        <f>IF(C32="","BF-"&amp;TEXT(COUNTA($C$5:C32),"000"))</f>
        <v/>
      </c>
      <c r="C32" s="16" t="n"/>
      <c r="D32" s="16" t="n"/>
      <c r="E32" s="16" t="n"/>
      <c r="F32" s="16" t="n"/>
      <c r="G32" s="16" t="n"/>
      <c r="H32" s="17" t="n"/>
      <c r="I32" s="32" t="n"/>
      <c r="J32" s="19" t="n"/>
      <c r="K32" s="16" t="n"/>
      <c r="L32" s="16" t="n"/>
    </row>
    <row r="33" ht="22" customHeight="1">
      <c r="B33" s="21">
        <f>IF(C33="","BF-"&amp;TEXT(COUNTA($C$5:C33),"000"))</f>
        <v/>
      </c>
      <c r="C33" s="12" t="n"/>
      <c r="D33" s="12" t="n"/>
      <c r="E33" s="12" t="n"/>
      <c r="F33" s="12" t="n"/>
      <c r="G33" s="12" t="n"/>
      <c r="H33" s="13" t="n"/>
      <c r="I33" s="31" t="n"/>
      <c r="J33" s="15" t="n"/>
      <c r="K33" s="12" t="n"/>
      <c r="L33" s="12" t="n"/>
    </row>
    <row r="34" ht="22" customHeight="1">
      <c r="B34" s="20">
        <f>IF(C34="","BF-"&amp;TEXT(COUNTA($C$5:C34),"000"))</f>
        <v/>
      </c>
      <c r="C34" s="16" t="n"/>
      <c r="D34" s="16" t="n"/>
      <c r="E34" s="16" t="n"/>
      <c r="F34" s="16" t="n"/>
      <c r="G34" s="16" t="n"/>
      <c r="H34" s="17" t="n"/>
      <c r="I34" s="32" t="n"/>
      <c r="J34" s="19" t="n"/>
      <c r="K34" s="16" t="n"/>
      <c r="L34" s="16" t="n"/>
    </row>
    <row r="35" ht="22" customHeight="1">
      <c r="B35" s="21">
        <f>IF(C35="","BF-"&amp;TEXT(COUNTA($C$5:C35),"000"))</f>
        <v/>
      </c>
      <c r="C35" s="12" t="n"/>
      <c r="D35" s="12" t="n"/>
      <c r="E35" s="12" t="n"/>
      <c r="F35" s="12" t="n"/>
      <c r="G35" s="12" t="n"/>
      <c r="H35" s="13" t="n"/>
      <c r="I35" s="31" t="n"/>
      <c r="J35" s="15" t="n"/>
      <c r="K35" s="12" t="n"/>
      <c r="L35" s="12" t="n"/>
    </row>
    <row r="36" ht="22" customHeight="1">
      <c r="B36" s="20">
        <f>IF(C36="","BF-"&amp;TEXT(COUNTA($C$5:C36),"000"))</f>
        <v/>
      </c>
      <c r="C36" s="16" t="n"/>
      <c r="D36" s="16" t="n"/>
      <c r="E36" s="16" t="n"/>
      <c r="F36" s="16" t="n"/>
      <c r="G36" s="16" t="n"/>
      <c r="H36" s="17" t="n"/>
      <c r="I36" s="32" t="n"/>
      <c r="J36" s="19" t="n"/>
      <c r="K36" s="16" t="n"/>
      <c r="L36" s="16" t="n"/>
    </row>
    <row r="37" ht="22" customHeight="1">
      <c r="B37" s="21">
        <f>IF(C37="","BF-"&amp;TEXT(COUNTA($C$5:C37),"000"))</f>
        <v/>
      </c>
      <c r="C37" s="12" t="n"/>
      <c r="D37" s="12" t="n"/>
      <c r="E37" s="12" t="n"/>
      <c r="F37" s="12" t="n"/>
      <c r="G37" s="12" t="n"/>
      <c r="H37" s="13" t="n"/>
      <c r="I37" s="31" t="n"/>
      <c r="J37" s="15" t="n"/>
      <c r="K37" s="12" t="n"/>
      <c r="L37" s="12" t="n"/>
    </row>
    <row r="38" ht="22" customHeight="1">
      <c r="B38" s="20">
        <f>IF(C38="","BF-"&amp;TEXT(COUNTA($C$5:C38),"000"))</f>
        <v/>
      </c>
      <c r="C38" s="16" t="n"/>
      <c r="D38" s="16" t="n"/>
      <c r="E38" s="16" t="n"/>
      <c r="F38" s="16" t="n"/>
      <c r="G38" s="16" t="n"/>
      <c r="H38" s="17" t="n"/>
      <c r="I38" s="32" t="n"/>
      <c r="J38" s="19" t="n"/>
      <c r="K38" s="16" t="n"/>
      <c r="L38" s="16" t="n"/>
    </row>
    <row r="39" ht="22" customHeight="1">
      <c r="B39" s="21">
        <f>IF(C39="","BF-"&amp;TEXT(COUNTA($C$5:C39),"000"))</f>
        <v/>
      </c>
      <c r="C39" s="12" t="n"/>
      <c r="D39" s="12" t="n"/>
      <c r="E39" s="12" t="n"/>
      <c r="F39" s="12" t="n"/>
      <c r="G39" s="12" t="n"/>
      <c r="H39" s="13" t="n"/>
      <c r="I39" s="31" t="n"/>
      <c r="J39" s="15" t="n"/>
      <c r="K39" s="12" t="n"/>
      <c r="L39" s="12" t="n"/>
    </row>
    <row r="40" ht="22" customHeight="1">
      <c r="B40" s="20">
        <f>IF(C40="","BF-"&amp;TEXT(COUNTA($C$5:C40),"000"))</f>
        <v/>
      </c>
      <c r="C40" s="16" t="n"/>
      <c r="D40" s="16" t="n"/>
      <c r="E40" s="16" t="n"/>
      <c r="F40" s="16" t="n"/>
      <c r="G40" s="16" t="n"/>
      <c r="H40" s="17" t="n"/>
      <c r="I40" s="32" t="n"/>
      <c r="J40" s="19" t="n"/>
      <c r="K40" s="16" t="n"/>
      <c r="L40" s="16" t="n"/>
    </row>
    <row r="41" ht="22" customHeight="1">
      <c r="B41" s="21">
        <f>IF(C41="","BF-"&amp;TEXT(COUNTA($C$5:C41),"000"))</f>
        <v/>
      </c>
      <c r="C41" s="12" t="n"/>
      <c r="D41" s="12" t="n"/>
      <c r="E41" s="12" t="n"/>
      <c r="F41" s="12" t="n"/>
      <c r="G41" s="12" t="n"/>
      <c r="H41" s="13" t="n"/>
      <c r="I41" s="31" t="n"/>
      <c r="J41" s="15" t="n"/>
      <c r="K41" s="12" t="n"/>
      <c r="L41" s="12" t="n"/>
    </row>
    <row r="42" ht="22" customHeight="1">
      <c r="B42" s="20">
        <f>IF(C42="","BF-"&amp;TEXT(COUNTA($C$5:C42),"000"))</f>
        <v/>
      </c>
      <c r="C42" s="16" t="n"/>
      <c r="D42" s="16" t="n"/>
      <c r="E42" s="16" t="n"/>
      <c r="F42" s="16" t="n"/>
      <c r="G42" s="16" t="n"/>
      <c r="H42" s="17" t="n"/>
      <c r="I42" s="32" t="n"/>
      <c r="J42" s="19" t="n"/>
      <c r="K42" s="16" t="n"/>
      <c r="L42" s="16" t="n"/>
    </row>
    <row r="43" ht="22" customHeight="1">
      <c r="B43" s="21">
        <f>IF(C43="","BF-"&amp;TEXT(COUNTA($C$5:C43),"000"))</f>
        <v/>
      </c>
      <c r="C43" s="12" t="n"/>
      <c r="D43" s="12" t="n"/>
      <c r="E43" s="12" t="n"/>
      <c r="F43" s="12" t="n"/>
      <c r="G43" s="12" t="n"/>
      <c r="H43" s="13" t="n"/>
      <c r="I43" s="31" t="n"/>
      <c r="J43" s="15" t="n"/>
      <c r="K43" s="12" t="n"/>
      <c r="L43" s="12" t="n"/>
    </row>
    <row r="44" ht="22" customHeight="1">
      <c r="B44" s="20">
        <f>IF(C44="","BF-"&amp;TEXT(COUNTA($C$5:C44),"000"))</f>
        <v/>
      </c>
      <c r="C44" s="16" t="n"/>
      <c r="D44" s="16" t="n"/>
      <c r="E44" s="16" t="n"/>
      <c r="F44" s="16" t="n"/>
      <c r="G44" s="16" t="n"/>
      <c r="H44" s="17" t="n"/>
      <c r="I44" s="32" t="n"/>
      <c r="J44" s="19" t="n"/>
      <c r="K44" s="16" t="n"/>
      <c r="L44" s="16" t="n"/>
    </row>
    <row r="45" ht="22" customHeight="1">
      <c r="B45" s="21">
        <f>IF(C45="","BF-"&amp;TEXT(COUNTA($C$5:C45),"000"))</f>
        <v/>
      </c>
      <c r="C45" s="12" t="n"/>
      <c r="D45" s="12" t="n"/>
      <c r="E45" s="12" t="n"/>
      <c r="F45" s="12" t="n"/>
      <c r="G45" s="12" t="n"/>
      <c r="H45" s="13" t="n"/>
      <c r="I45" s="31" t="n"/>
      <c r="J45" s="15" t="n"/>
      <c r="K45" s="12" t="n"/>
      <c r="L45" s="12" t="n"/>
    </row>
    <row r="46" ht="22" customHeight="1">
      <c r="B46" s="20">
        <f>IF(C46="","BF-"&amp;TEXT(COUNTA($C$5:C46),"000"))</f>
        <v/>
      </c>
      <c r="C46" s="16" t="n"/>
      <c r="D46" s="16" t="n"/>
      <c r="E46" s="16" t="n"/>
      <c r="F46" s="16" t="n"/>
      <c r="G46" s="16" t="n"/>
      <c r="H46" s="17" t="n"/>
      <c r="I46" s="32" t="n"/>
      <c r="J46" s="19" t="n"/>
      <c r="K46" s="16" t="n"/>
      <c r="L46" s="16" t="n"/>
    </row>
    <row r="47" ht="22" customHeight="1">
      <c r="B47" s="21">
        <f>IF(C47="","BF-"&amp;TEXT(COUNTA($C$5:C47),"000"))</f>
        <v/>
      </c>
      <c r="C47" s="12" t="n"/>
      <c r="D47" s="12" t="n"/>
      <c r="E47" s="12" t="n"/>
      <c r="F47" s="12" t="n"/>
      <c r="G47" s="12" t="n"/>
      <c r="H47" s="13" t="n"/>
      <c r="I47" s="31" t="n"/>
      <c r="J47" s="15" t="n"/>
      <c r="K47" s="12" t="n"/>
      <c r="L47" s="12" t="n"/>
    </row>
    <row r="48" ht="22" customHeight="1">
      <c r="B48" s="20">
        <f>IF(C48="","BF-"&amp;TEXT(COUNTA($C$5:C48),"000"))</f>
        <v/>
      </c>
      <c r="C48" s="16" t="n"/>
      <c r="D48" s="16" t="n"/>
      <c r="E48" s="16" t="n"/>
      <c r="F48" s="16" t="n"/>
      <c r="G48" s="16" t="n"/>
      <c r="H48" s="17" t="n"/>
      <c r="I48" s="32" t="n"/>
      <c r="J48" s="19" t="n"/>
      <c r="K48" s="16" t="n"/>
      <c r="L48" s="16" t="n"/>
    </row>
    <row r="49" ht="22" customHeight="1">
      <c r="B49" s="21">
        <f>IF(C49="","BF-"&amp;TEXT(COUNTA($C$5:C49),"000"))</f>
        <v/>
      </c>
      <c r="C49" s="12" t="n"/>
      <c r="D49" s="12" t="n"/>
      <c r="E49" s="12" t="n"/>
      <c r="F49" s="12" t="n"/>
      <c r="G49" s="12" t="n"/>
      <c r="H49" s="13" t="n"/>
      <c r="I49" s="31" t="n"/>
      <c r="J49" s="15" t="n"/>
      <c r="K49" s="12" t="n"/>
      <c r="L49" s="12" t="n"/>
    </row>
    <row r="50" ht="22" customHeight="1">
      <c r="B50" s="20">
        <f>IF(C50="","BF-"&amp;TEXT(COUNTA($C$5:C50),"000"))</f>
        <v/>
      </c>
      <c r="C50" s="16" t="n"/>
      <c r="D50" s="16" t="n"/>
      <c r="E50" s="16" t="n"/>
      <c r="F50" s="16" t="n"/>
      <c r="G50" s="16" t="n"/>
      <c r="H50" s="17" t="n"/>
      <c r="I50" s="32" t="n"/>
      <c r="J50" s="19" t="n"/>
      <c r="K50" s="16" t="n"/>
      <c r="L50" s="16" t="n"/>
    </row>
    <row r="51" ht="22" customHeight="1">
      <c r="B51" s="21">
        <f>IF(C51="","BF-"&amp;TEXT(COUNTA($C$5:C51),"000"))</f>
        <v/>
      </c>
      <c r="C51" s="12" t="n"/>
      <c r="D51" s="12" t="n"/>
      <c r="E51" s="12" t="n"/>
      <c r="F51" s="12" t="n"/>
      <c r="G51" s="12" t="n"/>
      <c r="H51" s="13" t="n"/>
      <c r="I51" s="31" t="n"/>
      <c r="J51" s="15" t="n"/>
      <c r="K51" s="12" t="n"/>
      <c r="L51" s="12" t="n"/>
    </row>
    <row r="52" ht="22" customHeight="1">
      <c r="B52" s="20">
        <f>IF(C52="","BF-"&amp;TEXT(COUNTA($C$5:C52),"000"))</f>
        <v/>
      </c>
      <c r="C52" s="16" t="n"/>
      <c r="D52" s="16" t="n"/>
      <c r="E52" s="16" t="n"/>
      <c r="F52" s="16" t="n"/>
      <c r="G52" s="16" t="n"/>
      <c r="H52" s="17" t="n"/>
      <c r="I52" s="32" t="n"/>
      <c r="J52" s="19" t="n"/>
      <c r="K52" s="16" t="n"/>
      <c r="L52" s="16" t="n"/>
    </row>
    <row r="53" ht="22" customHeight="1">
      <c r="B53" s="21">
        <f>IF(C53="","BF-"&amp;TEXT(COUNTA($C$5:C53),"000"))</f>
        <v/>
      </c>
      <c r="C53" s="12" t="n"/>
      <c r="D53" s="12" t="n"/>
      <c r="E53" s="12" t="n"/>
      <c r="F53" s="12" t="n"/>
      <c r="G53" s="12" t="n"/>
      <c r="H53" s="13" t="n"/>
      <c r="I53" s="31" t="n"/>
      <c r="J53" s="15" t="n"/>
      <c r="K53" s="12" t="n"/>
      <c r="L53" s="12" t="n"/>
    </row>
    <row r="54" ht="22" customHeight="1">
      <c r="B54" s="20">
        <f>IF(C54="","BF-"&amp;TEXT(COUNTA($C$5:C54),"000"))</f>
        <v/>
      </c>
      <c r="C54" s="16" t="n"/>
      <c r="D54" s="16" t="n"/>
      <c r="E54" s="16" t="n"/>
      <c r="F54" s="16" t="n"/>
      <c r="G54" s="16" t="n"/>
      <c r="H54" s="17" t="n"/>
      <c r="I54" s="32" t="n"/>
      <c r="J54" s="19" t="n"/>
      <c r="K54" s="16" t="n"/>
      <c r="L54" s="16" t="n"/>
    </row>
    <row r="55" ht="22" customHeight="1">
      <c r="B55" s="21">
        <f>IF(C55="","BF-"&amp;TEXT(COUNTA($C$5:C55),"000"))</f>
        <v/>
      </c>
      <c r="C55" s="12" t="n"/>
      <c r="D55" s="12" t="n"/>
      <c r="E55" s="12" t="n"/>
      <c r="F55" s="12" t="n"/>
      <c r="G55" s="12" t="n"/>
      <c r="H55" s="13" t="n"/>
      <c r="I55" s="31" t="n"/>
      <c r="J55" s="15" t="n"/>
      <c r="K55" s="12" t="n"/>
      <c r="L55" s="12" t="n"/>
    </row>
    <row r="56" ht="22" customHeight="1">
      <c r="B56" s="20">
        <f>IF(C56="","BF-"&amp;TEXT(COUNTA($C$5:C56),"000"))</f>
        <v/>
      </c>
      <c r="C56" s="16" t="n"/>
      <c r="D56" s="16" t="n"/>
      <c r="E56" s="16" t="n"/>
      <c r="F56" s="16" t="n"/>
      <c r="G56" s="16" t="n"/>
      <c r="H56" s="17" t="n"/>
      <c r="I56" s="32" t="n"/>
      <c r="J56" s="19" t="n"/>
      <c r="K56" s="16" t="n"/>
      <c r="L56" s="16" t="n"/>
    </row>
    <row r="57" ht="22" customHeight="1">
      <c r="B57" s="21">
        <f>IF(C57="","BF-"&amp;TEXT(COUNTA($C$5:C57),"000"))</f>
        <v/>
      </c>
      <c r="C57" s="12" t="n"/>
      <c r="D57" s="12" t="n"/>
      <c r="E57" s="12" t="n"/>
      <c r="F57" s="12" t="n"/>
      <c r="G57" s="12" t="n"/>
      <c r="H57" s="13" t="n"/>
      <c r="I57" s="31" t="n"/>
      <c r="J57" s="15" t="n"/>
      <c r="K57" s="12" t="n"/>
      <c r="L57" s="12" t="n"/>
    </row>
    <row r="58" ht="22" customHeight="1">
      <c r="B58" s="20">
        <f>IF(C58="","BF-"&amp;TEXT(COUNTA($C$5:C58),"000"))</f>
        <v/>
      </c>
      <c r="C58" s="16" t="n"/>
      <c r="D58" s="16" t="n"/>
      <c r="E58" s="16" t="n"/>
      <c r="F58" s="16" t="n"/>
      <c r="G58" s="16" t="n"/>
      <c r="H58" s="17" t="n"/>
      <c r="I58" s="32" t="n"/>
      <c r="J58" s="19" t="n"/>
      <c r="K58" s="16" t="n"/>
      <c r="L58" s="16" t="n"/>
    </row>
    <row r="59" ht="22" customHeight="1">
      <c r="B59" s="21">
        <f>IF(C59="","BF-"&amp;TEXT(COUNTA($C$5:C59),"000"))</f>
        <v/>
      </c>
      <c r="C59" s="12" t="n"/>
      <c r="D59" s="12" t="n"/>
      <c r="E59" s="12" t="n"/>
      <c r="F59" s="12" t="n"/>
      <c r="G59" s="12" t="n"/>
      <c r="H59" s="13" t="n"/>
      <c r="I59" s="31" t="n"/>
      <c r="J59" s="15" t="n"/>
      <c r="K59" s="12" t="n"/>
      <c r="L59" s="12" t="n"/>
    </row>
    <row r="60" ht="22" customHeight="1">
      <c r="B60" s="20">
        <f>IF(C60="","BF-"&amp;TEXT(COUNTA($C$5:C60),"000"))</f>
        <v/>
      </c>
      <c r="C60" s="16" t="n"/>
      <c r="D60" s="16" t="n"/>
      <c r="E60" s="16" t="n"/>
      <c r="F60" s="16" t="n"/>
      <c r="G60" s="16" t="n"/>
      <c r="H60" s="17" t="n"/>
      <c r="I60" s="32" t="n"/>
      <c r="J60" s="19" t="n"/>
      <c r="K60" s="16" t="n"/>
      <c r="L60" s="16" t="n"/>
    </row>
    <row r="61" ht="22" customHeight="1">
      <c r="B61" s="21">
        <f>IF(C61="","BF-"&amp;TEXT(COUNTA($C$5:C61),"000"))</f>
        <v/>
      </c>
      <c r="C61" s="12" t="n"/>
      <c r="D61" s="12" t="n"/>
      <c r="E61" s="12" t="n"/>
      <c r="F61" s="12" t="n"/>
      <c r="G61" s="12" t="n"/>
      <c r="H61" s="13" t="n"/>
      <c r="I61" s="31" t="n"/>
      <c r="J61" s="15" t="n"/>
      <c r="K61" s="12" t="n"/>
      <c r="L61" s="12" t="n"/>
    </row>
    <row r="62" ht="22" customHeight="1">
      <c r="B62" s="20">
        <f>IF(C62="","BF-"&amp;TEXT(COUNTA($C$5:C62),"000"))</f>
        <v/>
      </c>
      <c r="C62" s="16" t="n"/>
      <c r="D62" s="16" t="n"/>
      <c r="E62" s="16" t="n"/>
      <c r="F62" s="16" t="n"/>
      <c r="G62" s="16" t="n"/>
      <c r="H62" s="17" t="n"/>
      <c r="I62" s="32" t="n"/>
      <c r="J62" s="19" t="n"/>
      <c r="K62" s="16" t="n"/>
      <c r="L62" s="16" t="n"/>
    </row>
    <row r="63" ht="22" customHeight="1">
      <c r="B63" s="21">
        <f>IF(C63="","BF-"&amp;TEXT(COUNTA($C$5:C63),"000"))</f>
        <v/>
      </c>
      <c r="C63" s="12" t="n"/>
      <c r="D63" s="12" t="n"/>
      <c r="E63" s="12" t="n"/>
      <c r="F63" s="12" t="n"/>
      <c r="G63" s="12" t="n"/>
      <c r="H63" s="13" t="n"/>
      <c r="I63" s="31" t="n"/>
      <c r="J63" s="15" t="n"/>
      <c r="K63" s="12" t="n"/>
      <c r="L63" s="12" t="n"/>
    </row>
    <row r="64" ht="22" customHeight="1">
      <c r="B64" s="20">
        <f>IF(C64="","BF-"&amp;TEXT(COUNTA($C$5:C64),"000"))</f>
        <v/>
      </c>
      <c r="C64" s="16" t="n"/>
      <c r="D64" s="16" t="n"/>
      <c r="E64" s="16" t="n"/>
      <c r="F64" s="16" t="n"/>
      <c r="G64" s="16" t="n"/>
      <c r="H64" s="17" t="n"/>
      <c r="I64" s="32" t="n"/>
      <c r="J64" s="19" t="n"/>
      <c r="K64" s="16" t="n"/>
      <c r="L64" s="16" t="n"/>
    </row>
    <row r="65" ht="22" customHeight="1">
      <c r="B65" s="21">
        <f>IF(C65="","BF-"&amp;TEXT(COUNTA($C$5:C65),"000"))</f>
        <v/>
      </c>
      <c r="C65" s="12" t="n"/>
      <c r="D65" s="12" t="n"/>
      <c r="E65" s="12" t="n"/>
      <c r="F65" s="12" t="n"/>
      <c r="G65" s="12" t="n"/>
      <c r="H65" s="13" t="n"/>
      <c r="I65" s="31" t="n"/>
      <c r="J65" s="15" t="n"/>
      <c r="K65" s="12" t="n"/>
      <c r="L65" s="12" t="n"/>
    </row>
    <row r="66" ht="22" customHeight="1">
      <c r="B66" s="20">
        <f>IF(C66="","BF-"&amp;TEXT(COUNTA($C$5:C66),"000"))</f>
        <v/>
      </c>
      <c r="C66" s="16" t="n"/>
      <c r="D66" s="16" t="n"/>
      <c r="E66" s="16" t="n"/>
      <c r="F66" s="16" t="n"/>
      <c r="G66" s="16" t="n"/>
      <c r="H66" s="17" t="n"/>
      <c r="I66" s="32" t="n"/>
      <c r="J66" s="19" t="n"/>
      <c r="K66" s="16" t="n"/>
      <c r="L66" s="16" t="n"/>
    </row>
    <row r="67" ht="22" customHeight="1">
      <c r="B67" s="21">
        <f>IF(C67="","BF-"&amp;TEXT(COUNTA($C$5:C67),"000"))</f>
        <v/>
      </c>
      <c r="C67" s="12" t="n"/>
      <c r="D67" s="12" t="n"/>
      <c r="E67" s="12" t="n"/>
      <c r="F67" s="12" t="n"/>
      <c r="G67" s="12" t="n"/>
      <c r="H67" s="13" t="n"/>
      <c r="I67" s="31" t="n"/>
      <c r="J67" s="15" t="n"/>
      <c r="K67" s="12" t="n"/>
      <c r="L67" s="12" t="n"/>
    </row>
    <row r="68" ht="22" customHeight="1">
      <c r="B68" s="20">
        <f>IF(C68="","BF-"&amp;TEXT(COUNTA($C$5:C68),"000"))</f>
        <v/>
      </c>
      <c r="C68" s="16" t="n"/>
      <c r="D68" s="16" t="n"/>
      <c r="E68" s="16" t="n"/>
      <c r="F68" s="16" t="n"/>
      <c r="G68" s="16" t="n"/>
      <c r="H68" s="17" t="n"/>
      <c r="I68" s="32" t="n"/>
      <c r="J68" s="19" t="n"/>
      <c r="K68" s="16" t="n"/>
      <c r="L68" s="16" t="n"/>
    </row>
    <row r="69" ht="22" customHeight="1">
      <c r="B69" s="21">
        <f>IF(C69="","BF-"&amp;TEXT(COUNTA($C$5:C69),"000"))</f>
        <v/>
      </c>
      <c r="C69" s="12" t="n"/>
      <c r="D69" s="12" t="n"/>
      <c r="E69" s="12" t="n"/>
      <c r="F69" s="12" t="n"/>
      <c r="G69" s="12" t="n"/>
      <c r="H69" s="13" t="n"/>
      <c r="I69" s="31" t="n"/>
      <c r="J69" s="15" t="n"/>
      <c r="K69" s="12" t="n"/>
      <c r="L69" s="12" t="n"/>
    </row>
    <row r="70" ht="22" customHeight="1">
      <c r="B70" s="20">
        <f>IF(C70="","BF-"&amp;TEXT(COUNTA($C$5:C70),"000"))</f>
        <v/>
      </c>
      <c r="C70" s="16" t="n"/>
      <c r="D70" s="16" t="n"/>
      <c r="E70" s="16" t="n"/>
      <c r="F70" s="16" t="n"/>
      <c r="G70" s="16" t="n"/>
      <c r="H70" s="17" t="n"/>
      <c r="I70" s="32" t="n"/>
      <c r="J70" s="19" t="n"/>
      <c r="K70" s="16" t="n"/>
      <c r="L70" s="16" t="n"/>
    </row>
    <row r="71" ht="22" customHeight="1">
      <c r="B71" s="21">
        <f>IF(C71="","BF-"&amp;TEXT(COUNTA($C$5:C71),"000"))</f>
        <v/>
      </c>
      <c r="C71" s="12" t="n"/>
      <c r="D71" s="12" t="n"/>
      <c r="E71" s="12" t="n"/>
      <c r="F71" s="12" t="n"/>
      <c r="G71" s="12" t="n"/>
      <c r="H71" s="13" t="n"/>
      <c r="I71" s="31" t="n"/>
      <c r="J71" s="15" t="n"/>
      <c r="K71" s="12" t="n"/>
      <c r="L71" s="12" t="n"/>
    </row>
    <row r="72" ht="22" customHeight="1">
      <c r="B72" s="20">
        <f>IF(C72="","BF-"&amp;TEXT(COUNTA($C$5:C72),"000"))</f>
        <v/>
      </c>
      <c r="C72" s="16" t="n"/>
      <c r="D72" s="16" t="n"/>
      <c r="E72" s="16" t="n"/>
      <c r="F72" s="16" t="n"/>
      <c r="G72" s="16" t="n"/>
      <c r="H72" s="17" t="n"/>
      <c r="I72" s="32" t="n"/>
      <c r="J72" s="19" t="n"/>
      <c r="K72" s="16" t="n"/>
      <c r="L72" s="16" t="n"/>
    </row>
    <row r="73" ht="22" customHeight="1">
      <c r="B73" s="21">
        <f>IF(C73="","BF-"&amp;TEXT(COUNTA($C$5:C73),"000"))</f>
        <v/>
      </c>
      <c r="C73" s="12" t="n"/>
      <c r="D73" s="12" t="n"/>
      <c r="E73" s="12" t="n"/>
      <c r="F73" s="12" t="n"/>
      <c r="G73" s="12" t="n"/>
      <c r="H73" s="13" t="n"/>
      <c r="I73" s="31" t="n"/>
      <c r="J73" s="15" t="n"/>
      <c r="K73" s="12" t="n"/>
      <c r="L73" s="12" t="n"/>
    </row>
    <row r="74" ht="22" customHeight="1">
      <c r="B74" s="20">
        <f>IF(C74="","BF-"&amp;TEXT(COUNTA($C$5:C74),"000"))</f>
        <v/>
      </c>
      <c r="C74" s="16" t="n"/>
      <c r="D74" s="16" t="n"/>
      <c r="E74" s="16" t="n"/>
      <c r="F74" s="16" t="n"/>
      <c r="G74" s="16" t="n"/>
      <c r="H74" s="17" t="n"/>
      <c r="I74" s="32" t="n"/>
      <c r="J74" s="19" t="n"/>
      <c r="K74" s="16" t="n"/>
      <c r="L74" s="16" t="n"/>
    </row>
    <row r="75" ht="22" customHeight="1">
      <c r="B75" s="21">
        <f>IF(C75="","BF-"&amp;TEXT(COUNTA($C$5:C75),"000"))</f>
        <v/>
      </c>
      <c r="C75" s="12" t="n"/>
      <c r="D75" s="12" t="n"/>
      <c r="E75" s="12" t="n"/>
      <c r="F75" s="12" t="n"/>
      <c r="G75" s="12" t="n"/>
      <c r="H75" s="13" t="n"/>
      <c r="I75" s="31" t="n"/>
      <c r="J75" s="15" t="n"/>
      <c r="K75" s="12" t="n"/>
      <c r="L75" s="12" t="n"/>
    </row>
    <row r="76" ht="22" customHeight="1">
      <c r="B76" s="20">
        <f>IF(C76="","BF-"&amp;TEXT(COUNTA($C$5:C76),"000"))</f>
        <v/>
      </c>
      <c r="C76" s="16" t="n"/>
      <c r="D76" s="16" t="n"/>
      <c r="E76" s="16" t="n"/>
      <c r="F76" s="16" t="n"/>
      <c r="G76" s="16" t="n"/>
      <c r="H76" s="17" t="n"/>
      <c r="I76" s="32" t="n"/>
      <c r="J76" s="19" t="n"/>
      <c r="K76" s="16" t="n"/>
      <c r="L76" s="16" t="n"/>
    </row>
    <row r="77" ht="22" customHeight="1">
      <c r="B77" s="21">
        <f>IF(C77="","BF-"&amp;TEXT(COUNTA($C$5:C77),"000"))</f>
        <v/>
      </c>
      <c r="C77" s="12" t="n"/>
      <c r="D77" s="12" t="n"/>
      <c r="E77" s="12" t="n"/>
      <c r="F77" s="12" t="n"/>
      <c r="G77" s="12" t="n"/>
      <c r="H77" s="13" t="n"/>
      <c r="I77" s="31" t="n"/>
      <c r="J77" s="15" t="n"/>
      <c r="K77" s="12" t="n"/>
      <c r="L77" s="12" t="n"/>
    </row>
    <row r="78" ht="22" customHeight="1">
      <c r="B78" s="20">
        <f>IF(C78="","BF-"&amp;TEXT(COUNTA($C$5:C78),"000"))</f>
        <v/>
      </c>
      <c r="C78" s="16" t="n"/>
      <c r="D78" s="16" t="n"/>
      <c r="E78" s="16" t="n"/>
      <c r="F78" s="16" t="n"/>
      <c r="G78" s="16" t="n"/>
      <c r="H78" s="17" t="n"/>
      <c r="I78" s="32" t="n"/>
      <c r="J78" s="19" t="n"/>
      <c r="K78" s="16" t="n"/>
      <c r="L78" s="16" t="n"/>
    </row>
    <row r="79" ht="22" customHeight="1">
      <c r="B79" s="21">
        <f>IF(C79="","BF-"&amp;TEXT(COUNTA($C$5:C79),"000"))</f>
        <v/>
      </c>
      <c r="C79" s="12" t="n"/>
      <c r="D79" s="12" t="n"/>
      <c r="E79" s="12" t="n"/>
      <c r="F79" s="12" t="n"/>
      <c r="G79" s="12" t="n"/>
      <c r="H79" s="13" t="n"/>
      <c r="I79" s="31" t="n"/>
      <c r="J79" s="15" t="n"/>
      <c r="K79" s="12" t="n"/>
      <c r="L79" s="12" t="n"/>
    </row>
    <row r="80" ht="22" customHeight="1">
      <c r="B80" s="20">
        <f>IF(C80="","BF-"&amp;TEXT(COUNTA($C$5:C80),"000"))</f>
        <v/>
      </c>
      <c r="C80" s="16" t="n"/>
      <c r="D80" s="16" t="n"/>
      <c r="E80" s="16" t="n"/>
      <c r="F80" s="16" t="n"/>
      <c r="G80" s="16" t="n"/>
      <c r="H80" s="17" t="n"/>
      <c r="I80" s="32" t="n"/>
      <c r="J80" s="19" t="n"/>
      <c r="K80" s="16" t="n"/>
      <c r="L80" s="16" t="n"/>
    </row>
    <row r="81" ht="22" customHeight="1">
      <c r="B81" s="21">
        <f>IF(C81="","BF-"&amp;TEXT(COUNTA($C$5:C81),"000"))</f>
        <v/>
      </c>
      <c r="C81" s="12" t="n"/>
      <c r="D81" s="12" t="n"/>
      <c r="E81" s="12" t="n"/>
      <c r="F81" s="12" t="n"/>
      <c r="G81" s="12" t="n"/>
      <c r="H81" s="13" t="n"/>
      <c r="I81" s="31" t="n"/>
      <c r="J81" s="15" t="n"/>
      <c r="K81" s="12" t="n"/>
      <c r="L81" s="12" t="n"/>
    </row>
    <row r="82" ht="22" customHeight="1">
      <c r="B82" s="20">
        <f>IF(C82="","BF-"&amp;TEXT(COUNTA($C$5:C82),"000"))</f>
        <v/>
      </c>
      <c r="C82" s="16" t="n"/>
      <c r="D82" s="16" t="n"/>
      <c r="E82" s="16" t="n"/>
      <c r="F82" s="16" t="n"/>
      <c r="G82" s="16" t="n"/>
      <c r="H82" s="17" t="n"/>
      <c r="I82" s="32" t="n"/>
      <c r="J82" s="19" t="n"/>
      <c r="K82" s="16" t="n"/>
      <c r="L82" s="16" t="n"/>
    </row>
    <row r="83" ht="22" customHeight="1">
      <c r="B83" s="21">
        <f>IF(C83="","BF-"&amp;TEXT(COUNTA($C$5:C83),"000"))</f>
        <v/>
      </c>
      <c r="C83" s="12" t="n"/>
      <c r="D83" s="12" t="n"/>
      <c r="E83" s="12" t="n"/>
      <c r="F83" s="12" t="n"/>
      <c r="G83" s="12" t="n"/>
      <c r="H83" s="13" t="n"/>
      <c r="I83" s="31" t="n"/>
      <c r="J83" s="15" t="n"/>
      <c r="K83" s="12" t="n"/>
      <c r="L83" s="12" t="n"/>
    </row>
    <row r="84" ht="22" customHeight="1">
      <c r="B84" s="20">
        <f>IF(C84="","BF-"&amp;TEXT(COUNTA($C$5:C84),"000"))</f>
        <v/>
      </c>
      <c r="C84" s="16" t="n"/>
      <c r="D84" s="16" t="n"/>
      <c r="E84" s="16" t="n"/>
      <c r="F84" s="16" t="n"/>
      <c r="G84" s="16" t="n"/>
      <c r="H84" s="17" t="n"/>
      <c r="I84" s="32" t="n"/>
      <c r="J84" s="19" t="n"/>
      <c r="K84" s="16" t="n"/>
      <c r="L84" s="16" t="n"/>
    </row>
    <row r="85" ht="22" customHeight="1">
      <c r="B85" s="21">
        <f>IF(C85="","BF-"&amp;TEXT(COUNTA($C$5:C85),"000"))</f>
        <v/>
      </c>
      <c r="C85" s="12" t="n"/>
      <c r="D85" s="12" t="n"/>
      <c r="E85" s="12" t="n"/>
      <c r="F85" s="12" t="n"/>
      <c r="G85" s="12" t="n"/>
      <c r="H85" s="13" t="n"/>
      <c r="I85" s="31" t="n"/>
      <c r="J85" s="15" t="n"/>
      <c r="K85" s="12" t="n"/>
      <c r="L85" s="12" t="n"/>
    </row>
    <row r="86" ht="22" customHeight="1">
      <c r="B86" s="20">
        <f>IF(C86="","BF-"&amp;TEXT(COUNTA($C$5:C86),"000"))</f>
        <v/>
      </c>
      <c r="C86" s="16" t="n"/>
      <c r="D86" s="16" t="n"/>
      <c r="E86" s="16" t="n"/>
      <c r="F86" s="16" t="n"/>
      <c r="G86" s="16" t="n"/>
      <c r="H86" s="17" t="n"/>
      <c r="I86" s="32" t="n"/>
      <c r="J86" s="19" t="n"/>
      <c r="K86" s="16" t="n"/>
      <c r="L86" s="16" t="n"/>
    </row>
    <row r="87" ht="22" customHeight="1">
      <c r="B87" s="21">
        <f>IF(C87="","BF-"&amp;TEXT(COUNTA($C$5:C87),"000"))</f>
        <v/>
      </c>
      <c r="C87" s="12" t="n"/>
      <c r="D87" s="12" t="n"/>
      <c r="E87" s="12" t="n"/>
      <c r="F87" s="12" t="n"/>
      <c r="G87" s="12" t="n"/>
      <c r="H87" s="13" t="n"/>
      <c r="I87" s="31" t="n"/>
      <c r="J87" s="15" t="n"/>
      <c r="K87" s="12" t="n"/>
      <c r="L87" s="12" t="n"/>
    </row>
    <row r="88" ht="22" customHeight="1">
      <c r="B88" s="20">
        <f>IF(C88="","BF-"&amp;TEXT(COUNTA($C$5:C88),"000"))</f>
        <v/>
      </c>
      <c r="C88" s="16" t="n"/>
      <c r="D88" s="16" t="n"/>
      <c r="E88" s="16" t="n"/>
      <c r="F88" s="16" t="n"/>
      <c r="G88" s="16" t="n"/>
      <c r="H88" s="17" t="n"/>
      <c r="I88" s="32" t="n"/>
      <c r="J88" s="19" t="n"/>
      <c r="K88" s="16" t="n"/>
      <c r="L88" s="16" t="n"/>
    </row>
    <row r="89" ht="22" customHeight="1">
      <c r="B89" s="21">
        <f>IF(C89="","BF-"&amp;TEXT(COUNTA($C$5:C89),"000"))</f>
        <v/>
      </c>
      <c r="C89" s="12" t="n"/>
      <c r="D89" s="12" t="n"/>
      <c r="E89" s="12" t="n"/>
      <c r="F89" s="12" t="n"/>
      <c r="G89" s="12" t="n"/>
      <c r="H89" s="13" t="n"/>
      <c r="I89" s="31" t="n"/>
      <c r="J89" s="15" t="n"/>
      <c r="K89" s="12" t="n"/>
      <c r="L89" s="12" t="n"/>
    </row>
    <row r="90" ht="22" customHeight="1">
      <c r="B90" s="20">
        <f>IF(C90="","BF-"&amp;TEXT(COUNTA($C$5:C90),"000"))</f>
        <v/>
      </c>
      <c r="C90" s="16" t="n"/>
      <c r="D90" s="16" t="n"/>
      <c r="E90" s="16" t="n"/>
      <c r="F90" s="16" t="n"/>
      <c r="G90" s="16" t="n"/>
      <c r="H90" s="17" t="n"/>
      <c r="I90" s="32" t="n"/>
      <c r="J90" s="19" t="n"/>
      <c r="K90" s="16" t="n"/>
      <c r="L90" s="16" t="n"/>
    </row>
    <row r="91" ht="22" customHeight="1">
      <c r="B91" s="21">
        <f>IF(C91="","BF-"&amp;TEXT(COUNTA($C$5:C91),"000"))</f>
        <v/>
      </c>
      <c r="C91" s="12" t="n"/>
      <c r="D91" s="12" t="n"/>
      <c r="E91" s="12" t="n"/>
      <c r="F91" s="12" t="n"/>
      <c r="G91" s="12" t="n"/>
      <c r="H91" s="13" t="n"/>
      <c r="I91" s="31" t="n"/>
      <c r="J91" s="15" t="n"/>
      <c r="K91" s="12" t="n"/>
      <c r="L91" s="12" t="n"/>
    </row>
    <row r="92" ht="22" customHeight="1">
      <c r="B92" s="20">
        <f>IF(C92="","BF-"&amp;TEXT(COUNTA($C$5:C92),"000"))</f>
        <v/>
      </c>
      <c r="C92" s="16" t="n"/>
      <c r="D92" s="16" t="n"/>
      <c r="E92" s="16" t="n"/>
      <c r="F92" s="16" t="n"/>
      <c r="G92" s="16" t="n"/>
      <c r="H92" s="17" t="n"/>
      <c r="I92" s="32" t="n"/>
      <c r="J92" s="19" t="n"/>
      <c r="K92" s="16" t="n"/>
      <c r="L92" s="16" t="n"/>
    </row>
    <row r="93" ht="22" customHeight="1">
      <c r="B93" s="21">
        <f>IF(C93="","BF-"&amp;TEXT(COUNTA($C$5:C93),"000"))</f>
        <v/>
      </c>
      <c r="C93" s="12" t="n"/>
      <c r="D93" s="12" t="n"/>
      <c r="E93" s="12" t="n"/>
      <c r="F93" s="12" t="n"/>
      <c r="G93" s="12" t="n"/>
      <c r="H93" s="13" t="n"/>
      <c r="I93" s="31" t="n"/>
      <c r="J93" s="15" t="n"/>
      <c r="K93" s="12" t="n"/>
      <c r="L93" s="12" t="n"/>
    </row>
    <row r="94" ht="22" customHeight="1">
      <c r="B94" s="20">
        <f>IF(C94="","BF-"&amp;TEXT(COUNTA($C$5:C94),"000"))</f>
        <v/>
      </c>
      <c r="C94" s="16" t="n"/>
      <c r="D94" s="16" t="n"/>
      <c r="E94" s="16" t="n"/>
      <c r="F94" s="16" t="n"/>
      <c r="G94" s="16" t="n"/>
      <c r="H94" s="17" t="n"/>
      <c r="I94" s="32" t="n"/>
      <c r="J94" s="19" t="n"/>
      <c r="K94" s="16" t="n"/>
      <c r="L94" s="16" t="n"/>
    </row>
    <row r="95" ht="22" customHeight="1">
      <c r="B95" s="21">
        <f>IF(C95="","BF-"&amp;TEXT(COUNTA($C$5:C95),"000"))</f>
        <v/>
      </c>
      <c r="C95" s="12" t="n"/>
      <c r="D95" s="12" t="n"/>
      <c r="E95" s="12" t="n"/>
      <c r="F95" s="12" t="n"/>
      <c r="G95" s="12" t="n"/>
      <c r="H95" s="13" t="n"/>
      <c r="I95" s="31" t="n"/>
      <c r="J95" s="15" t="n"/>
      <c r="K95" s="12" t="n"/>
      <c r="L95" s="12" t="n"/>
    </row>
    <row r="96" ht="22" customHeight="1">
      <c r="B96" s="20">
        <f>IF(C96="","BF-"&amp;TEXT(COUNTA($C$5:C96),"000"))</f>
        <v/>
      </c>
      <c r="C96" s="16" t="n"/>
      <c r="D96" s="16" t="n"/>
      <c r="E96" s="16" t="n"/>
      <c r="F96" s="16" t="n"/>
      <c r="G96" s="16" t="n"/>
      <c r="H96" s="17" t="n"/>
      <c r="I96" s="32" t="n"/>
      <c r="J96" s="19" t="n"/>
      <c r="K96" s="16" t="n"/>
      <c r="L96" s="16" t="n"/>
    </row>
    <row r="97" ht="22" customHeight="1">
      <c r="B97" s="21">
        <f>IF(C97="","BF-"&amp;TEXT(COUNTA($C$5:C97),"000"))</f>
        <v/>
      </c>
      <c r="C97" s="12" t="n"/>
      <c r="D97" s="12" t="n"/>
      <c r="E97" s="12" t="n"/>
      <c r="F97" s="12" t="n"/>
      <c r="G97" s="12" t="n"/>
      <c r="H97" s="13" t="n"/>
      <c r="I97" s="31" t="n"/>
      <c r="J97" s="15" t="n"/>
      <c r="K97" s="12" t="n"/>
      <c r="L97" s="12" t="n"/>
    </row>
    <row r="98" ht="22" customHeight="1">
      <c r="B98" s="20">
        <f>IF(C98="","BF-"&amp;TEXT(COUNTA($C$5:C98),"000"))</f>
        <v/>
      </c>
      <c r="C98" s="16" t="n"/>
      <c r="D98" s="16" t="n"/>
      <c r="E98" s="16" t="n"/>
      <c r="F98" s="16" t="n"/>
      <c r="G98" s="16" t="n"/>
      <c r="H98" s="17" t="n"/>
      <c r="I98" s="32" t="n"/>
      <c r="J98" s="19" t="n"/>
      <c r="K98" s="16" t="n"/>
      <c r="L98" s="16" t="n"/>
    </row>
    <row r="99" ht="22" customHeight="1">
      <c r="B99" s="21">
        <f>IF(C99="","BF-"&amp;TEXT(COUNTA($C$5:C99),"000"))</f>
        <v/>
      </c>
      <c r="C99" s="12" t="n"/>
      <c r="D99" s="12" t="n"/>
      <c r="E99" s="12" t="n"/>
      <c r="F99" s="12" t="n"/>
      <c r="G99" s="12" t="n"/>
      <c r="H99" s="13" t="n"/>
      <c r="I99" s="31" t="n"/>
      <c r="J99" s="15" t="n"/>
      <c r="K99" s="12" t="n"/>
      <c r="L99" s="12" t="n"/>
    </row>
    <row r="100" ht="22" customHeight="1">
      <c r="B100" s="20">
        <f>IF(C100="","BF-"&amp;TEXT(COUNTA($C$5:C100),"000"))</f>
        <v/>
      </c>
      <c r="C100" s="16" t="n"/>
      <c r="D100" s="16" t="n"/>
      <c r="E100" s="16" t="n"/>
      <c r="F100" s="16" t="n"/>
      <c r="G100" s="16" t="n"/>
      <c r="H100" s="17" t="n"/>
      <c r="I100" s="32" t="n"/>
      <c r="J100" s="19" t="n"/>
      <c r="K100" s="16" t="n"/>
      <c r="L100" s="16" t="n"/>
    </row>
    <row r="101" ht="22" customHeight="1">
      <c r="B101" s="21">
        <f>IF(C101="","BF-"&amp;TEXT(COUNTA($C$5:C101),"000"))</f>
        <v/>
      </c>
      <c r="C101" s="12" t="n"/>
      <c r="D101" s="12" t="n"/>
      <c r="E101" s="12" t="n"/>
      <c r="F101" s="12" t="n"/>
      <c r="G101" s="12" t="n"/>
      <c r="H101" s="13" t="n"/>
      <c r="I101" s="31" t="n"/>
      <c r="J101" s="15" t="n"/>
      <c r="K101" s="12" t="n"/>
      <c r="L101" s="12" t="n"/>
    </row>
    <row r="102" ht="22" customHeight="1">
      <c r="B102" s="20">
        <f>IF(C102="","BF-"&amp;TEXT(COUNTA($C$5:C102),"000"))</f>
        <v/>
      </c>
      <c r="C102" s="16" t="n"/>
      <c r="D102" s="16" t="n"/>
      <c r="E102" s="16" t="n"/>
      <c r="F102" s="16" t="n"/>
      <c r="G102" s="16" t="n"/>
      <c r="H102" s="17" t="n"/>
      <c r="I102" s="32" t="n"/>
      <c r="J102" s="19" t="n"/>
      <c r="K102" s="16" t="n"/>
      <c r="L102" s="16" t="n"/>
    </row>
    <row r="103" ht="22" customHeight="1">
      <c r="B103" s="21">
        <f>IF(C103="","BF-"&amp;TEXT(COUNTA($C$5:C103),"000"))</f>
        <v/>
      </c>
      <c r="C103" s="12" t="n"/>
      <c r="D103" s="12" t="n"/>
      <c r="E103" s="12" t="n"/>
      <c r="F103" s="12" t="n"/>
      <c r="G103" s="12" t="n"/>
      <c r="H103" s="13" t="n"/>
      <c r="I103" s="31" t="n"/>
      <c r="J103" s="15" t="n"/>
      <c r="K103" s="12" t="n"/>
      <c r="L103" s="12" t="n"/>
    </row>
    <row r="104" ht="22" customHeight="1">
      <c r="B104" s="20">
        <f>IF(C104="","BF-"&amp;TEXT(COUNTA($C$5:C104),"000"))</f>
        <v/>
      </c>
      <c r="C104" s="16" t="n"/>
      <c r="D104" s="16" t="n"/>
      <c r="E104" s="16" t="n"/>
      <c r="F104" s="16" t="n"/>
      <c r="G104" s="16" t="n"/>
      <c r="H104" s="17" t="n"/>
      <c r="I104" s="32" t="n"/>
      <c r="J104" s="19" t="n"/>
      <c r="K104" s="16" t="n"/>
      <c r="L104" s="16" t="n"/>
    </row>
    <row r="105" ht="22" customHeight="1">
      <c r="B105" s="21">
        <f>IF(C105="","BF-"&amp;TEXT(COUNTA($C$5:C105),"000"))</f>
        <v/>
      </c>
      <c r="C105" s="12" t="n"/>
      <c r="D105" s="12" t="n"/>
      <c r="E105" s="12" t="n"/>
      <c r="F105" s="12" t="n"/>
      <c r="G105" s="12" t="n"/>
      <c r="H105" s="13" t="n"/>
      <c r="I105" s="31" t="n"/>
      <c r="J105" s="15" t="n"/>
      <c r="K105" s="12" t="n"/>
      <c r="L105" s="12" t="n"/>
    </row>
    <row r="106" ht="22" customHeight="1">
      <c r="B106" s="20">
        <f>IF(C106="","BF-"&amp;TEXT(COUNTA($C$5:C106),"000"))</f>
        <v/>
      </c>
      <c r="C106" s="16" t="n"/>
      <c r="D106" s="16" t="n"/>
      <c r="E106" s="16" t="n"/>
      <c r="F106" s="16" t="n"/>
      <c r="G106" s="16" t="n"/>
      <c r="H106" s="17" t="n"/>
      <c r="I106" s="32" t="n"/>
      <c r="J106" s="19" t="n"/>
      <c r="K106" s="16" t="n"/>
      <c r="L106" s="16" t="n"/>
    </row>
    <row r="107" ht="22" customHeight="1">
      <c r="B107" s="21">
        <f>IF(C107="","BF-"&amp;TEXT(COUNTA($C$5:C107),"000"))</f>
        <v/>
      </c>
      <c r="C107" s="12" t="n"/>
      <c r="D107" s="12" t="n"/>
      <c r="E107" s="12" t="n"/>
      <c r="F107" s="12" t="n"/>
      <c r="G107" s="12" t="n"/>
      <c r="H107" s="13" t="n"/>
      <c r="I107" s="31" t="n"/>
      <c r="J107" s="15" t="n"/>
      <c r="K107" s="12" t="n"/>
      <c r="L107" s="12" t="n"/>
    </row>
    <row r="108" ht="22" customHeight="1">
      <c r="B108" s="20">
        <f>IF(C108="","BF-"&amp;TEXT(COUNTA($C$5:C108),"000"))</f>
        <v/>
      </c>
      <c r="C108" s="16" t="n"/>
      <c r="D108" s="16" t="n"/>
      <c r="E108" s="16" t="n"/>
      <c r="F108" s="16" t="n"/>
      <c r="G108" s="16" t="n"/>
      <c r="H108" s="17" t="n"/>
      <c r="I108" s="32" t="n"/>
      <c r="J108" s="19" t="n"/>
      <c r="K108" s="16" t="n"/>
      <c r="L108" s="16" t="n"/>
    </row>
    <row r="109" ht="22" customHeight="1">
      <c r="B109" s="21">
        <f>IF(C109="","BF-"&amp;TEXT(COUNTA($C$5:C109),"000"))</f>
        <v/>
      </c>
      <c r="C109" s="12" t="n"/>
      <c r="D109" s="12" t="n"/>
      <c r="E109" s="12" t="n"/>
      <c r="F109" s="12" t="n"/>
      <c r="G109" s="12" t="n"/>
      <c r="H109" s="13" t="n"/>
      <c r="I109" s="31" t="n"/>
      <c r="J109" s="15" t="n"/>
      <c r="K109" s="12" t="n"/>
      <c r="L109" s="12" t="n"/>
    </row>
    <row r="111" ht="26" customHeight="1">
      <c r="B111" s="22" t="inlineStr">
        <is>
          <t>TOTAL</t>
        </is>
      </c>
      <c r="C111" s="23" t="n"/>
      <c r="D111" s="23" t="n"/>
      <c r="E111" s="23" t="n"/>
      <c r="F111" s="23" t="n"/>
      <c r="G111" s="23" t="n"/>
      <c r="H111" s="24">
        <f>SUM(H5:H104)</f>
        <v/>
      </c>
      <c r="I111" s="23" t="n"/>
      <c r="J111" s="24">
        <f>SUM(J5:J104)</f>
        <v/>
      </c>
      <c r="K111" s="23" t="n"/>
      <c r="L111" s="23" t="n"/>
    </row>
    <row r="113">
      <c r="B113" s="6" t="inlineStr">
        <is>
          <t>INDICATEURS (mis a jour automatiquement)</t>
        </is>
      </c>
    </row>
    <row r="114">
      <c r="B114" s="3" t="inlineStr">
        <is>
          <t>Total besoins</t>
        </is>
      </c>
      <c r="D114" s="3" t="inlineStr">
        <is>
          <t>Haute priorite</t>
        </is>
      </c>
      <c r="F114" s="3" t="inlineStr">
        <is>
          <t>Cout total estime (FCFA)</t>
        </is>
      </c>
      <c r="H114" s="3" t="inlineStr">
        <is>
          <t>Satisfaits</t>
        </is>
      </c>
    </row>
    <row r="115">
      <c r="B115" s="4">
        <f>COUNTIF(B5:B104,"&lt;&gt;")</f>
        <v/>
      </c>
      <c r="D115" s="4">
        <f>COUNTIF(G5:G104,"Haute")</f>
        <v/>
      </c>
      <c r="F115" s="4">
        <f>SUM(J5:J104)</f>
        <v/>
      </c>
      <c r="H115" s="4">
        <f>COUNTIF(L5:L104,"Satisfait")</f>
        <v/>
      </c>
    </row>
  </sheetData>
  <mergeCells count="3">
    <mergeCell ref="B2:L2"/>
    <mergeCell ref="B113:L113"/>
    <mergeCell ref="B3:L3"/>
  </mergeCells>
  <conditionalFormatting sqref="L5:L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1">
      <formula>"En attente"</formula>
    </cfRule>
    <cfRule type="cellIs" priority="28" operator="equal" dxfId="1">
      <formula>"A renouveler"</formula>
    </cfRule>
    <cfRule type="cellIs" priority="29" operator="equal" dxfId="1">
      <formula>"En cours"</formula>
    </cfRule>
    <cfRule type="cellIs" priority="30" operator="equal" dxfId="1">
      <formula>"En traitement"</formula>
    </cfRule>
    <cfRule type="cellIs" priority="31" operator="equal" dxfId="1">
      <formula>"En retard"</formula>
    </cfRule>
    <cfRule type="cellIs" priority="32" operator="equal" dxfId="1">
      <formula>"Suspendu"</formula>
    </cfRule>
    <cfRule type="cellIs" priority="33" operator="equal" dxfId="1">
      <formula>"Planifie"</formula>
    </cfRule>
    <cfRule type="cellIs" priority="34" operator="equal" dxfId="1">
      <formula>"Planifiee"</formula>
    </cfRule>
    <cfRule type="cellIs" priority="35" operator="equal" dxfId="1">
      <formula>"Brouillon"</formula>
    </cfRule>
    <cfRule type="cellIs" priority="36" operator="equal" dxfId="1">
      <formula>"En attente de justification"</formula>
    </cfRule>
    <cfRule type="cellIs" priority="37" operator="equal" dxfId="1">
      <formula>"Tolere"</formula>
    </cfRule>
    <cfRule type="cellIs" priority="38" operator="equal" dxfId="1">
      <formula>"Variable"</formula>
    </cfRule>
    <cfRule type="cellIs" priority="39" operator="equal" dxfId="1">
      <formula>"En elaboration"</formula>
    </cfRule>
    <cfRule type="cellIs" priority="40" operator="equal" dxfId="1">
      <formula>"Provisionne"</formula>
    </cfRule>
    <cfRule type="cellIs" priority="41" operator="equal" dxfId="1">
      <formula>"Consomme partiel"</formula>
    </cfRule>
    <cfRule type="cellIs" priority="42" operator="equal" dxfId="1">
      <formula>"Identifie"</formula>
    </cfRule>
    <cfRule type="cellIs" priority="43" operator="equal" dxfId="1">
      <formula>"Priorise"</formula>
    </cfRule>
    <cfRule type="cellIs" priority="44" operator="equal" dxfId="1">
      <formula>"Intermediaire"</formula>
    </cfRule>
    <cfRule type="cellIs" priority="45" operator="equal" dxfId="1">
      <formula>"Non evalue"</formula>
    </cfRule>
    <cfRule type="cellIs" priority="46" operator="equal" dxfId="1">
      <formula>"En cours de realisation"</formula>
    </cfRule>
    <cfRule type="cellIs" priority="47" operator="equal" dxfId="2">
      <formula>"Expire"</formula>
    </cfRule>
    <cfRule type="cellIs" priority="48" operator="equal" dxfId="2">
      <formula>"Rejete"</formula>
    </cfRule>
    <cfRule type="cellIs" priority="49" operator="equal" dxfId="2">
      <formula>"Rejetee"</formula>
    </cfRule>
    <cfRule type="cellIs" priority="50" operator="equal" dxfId="2">
      <formula>"Resilie"</formula>
    </cfRule>
    <cfRule type="cellIs" priority="51" operator="equal" dxfId="2">
      <formula>"Annule"</formula>
    </cfRule>
    <cfRule type="cellIs" priority="52" operator="equal" dxfId="2">
      <formula>"Annulee"</formula>
    </cfRule>
    <cfRule type="cellIs" priority="53" operator="equal" dxfId="2">
      <formula>"Refuse"</formula>
    </cfRule>
    <cfRule type="cellIs" priority="54" operator="equal" dxfId="2">
      <formula>"Non justifie"</formula>
    </cfRule>
    <cfRule type="cellIs" priority="55" operator="equal" dxfId="2">
      <formula>"Non justifiee"</formula>
    </cfRule>
    <cfRule type="cellIs" priority="56" operator="equal" dxfId="2">
      <formula>"Sanctionne"</formula>
    </cfRule>
    <cfRule type="cellIs" priority="57" operator="equal" dxfId="2">
      <formula>"Inaptitude"</formula>
    </cfRule>
    <cfRule type="cellIs" priority="58" operator="equal" dxfId="2">
      <formula>"Absent sans autorisation"</formula>
    </cfRule>
    <cfRule type="cellIs" priority="59" operator="equal" dxfId="2">
      <formula>"Abandon de poste"</formula>
    </cfRule>
    <cfRule type="cellIs" priority="60" operator="equal" dxfId="2">
      <formula>"Non satisfait"</formula>
    </cfRule>
    <cfRule type="cellIs" priority="61" operator="equal" dxfId="2">
      <formula>"Reportee"</formula>
    </cfRule>
    <cfRule type="cellIs" priority="62" operator="equal" dxfId="2">
      <formula>"Depasse"</formula>
    </cfRule>
    <cfRule type="cellIs" priority="63" operator="equal" dxfId="2">
      <formula>"Non utilise"</formula>
    </cfRule>
    <cfRule type="cellIs" priority="64" operator="equal" dxfId="2">
      <formula>"Non applicable"</formula>
    </cfRule>
    <cfRule type="cellIs" priority="65" operator="equal" dxfId="2">
      <formula>"Debutant"</formula>
    </cfRule>
  </conditionalFormatting>
  <conditionalFormatting sqref="B10:B109">
    <cfRule type="expression" priority="66" dxfId="3">
      <formula>AND($C10="",$C9&lt;&gt;"")</formula>
    </cfRule>
  </conditionalFormatting>
  <conditionalFormatting sqref="C10:C109">
    <cfRule type="expression" priority="67" dxfId="3">
      <formula>AND($C10="",$C9&lt;&gt;"")</formula>
    </cfRule>
  </conditionalFormatting>
  <conditionalFormatting sqref="D10:D109">
    <cfRule type="expression" priority="68" dxfId="3">
      <formula>AND($C10="",$C9&lt;&gt;"")</formula>
    </cfRule>
  </conditionalFormatting>
  <conditionalFormatting sqref="E10:E109">
    <cfRule type="expression" priority="69" dxfId="3">
      <formula>AND($C10="",$C9&lt;&gt;"")</formula>
    </cfRule>
  </conditionalFormatting>
  <conditionalFormatting sqref="F10:F109">
    <cfRule type="expression" priority="70" dxfId="3">
      <formula>AND($C10="",$C9&lt;&gt;"")</formula>
    </cfRule>
  </conditionalFormatting>
  <conditionalFormatting sqref="G10:G109">
    <cfRule type="expression" priority="71" dxfId="3">
      <formula>AND($C10="",$C9&lt;&gt;"")</formula>
    </cfRule>
  </conditionalFormatting>
  <conditionalFormatting sqref="H10:H109">
    <cfRule type="expression" priority="72" dxfId="3">
      <formula>AND($C10="",$C9&lt;&gt;"")</formula>
    </cfRule>
  </conditionalFormatting>
  <conditionalFormatting sqref="I10:I109">
    <cfRule type="expression" priority="73" dxfId="3">
      <formula>AND($C10="",$C9&lt;&gt;"")</formula>
    </cfRule>
  </conditionalFormatting>
  <conditionalFormatting sqref="J10:J109">
    <cfRule type="expression" priority="74" dxfId="3">
      <formula>AND($C10="",$C9&lt;&gt;"")</formula>
    </cfRule>
  </conditionalFormatting>
  <conditionalFormatting sqref="K10:K109">
    <cfRule type="expression" priority="75" dxfId="3">
      <formula>AND($C10="",$C9&lt;&gt;"")</formula>
    </cfRule>
  </conditionalFormatting>
  <conditionalFormatting sqref="L10:L109">
    <cfRule type="expression" priority="76" dxfId="3">
      <formula>AND($C10="",$C9&lt;&gt;"")</formula>
    </cfRule>
  </conditionalFormatting>
  <dataValidations count="5">
    <dataValidation sqref="C5:C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D5:D109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F5:F109" showDropDown="0" showInputMessage="0" showErrorMessage="0" allowBlank="1" errorTitle="Erreur" error="Valeur invalide" promptTitle="Liste" prompt="Choisir dans la liste" type="list">
      <formula1>'_Lists'!$L$2:$L$9</formula1>
    </dataValidation>
    <dataValidation sqref="G5:G109" showDropDown="0" showInputMessage="0" showErrorMessage="0" allowBlank="1" errorTitle="Erreur" error="Valeur invalide" promptTitle="Liste" prompt="Choisir dans la liste" type="list">
      <formula1>'_Lists'!$N$2:$N$5</formula1>
    </dataValidation>
    <dataValidation sqref="L5:L109" showDropDown="0" showInputMessage="0" showErrorMessage="0" allowBlank="1" errorTitle="Erreur" error="Valeur invalide" promptTitle="Liste" prompt="Choisir dans la liste" type="list">
      <formula1>'_Lists'!$I$2:$I$7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20" customWidth="1" min="4" max="4"/>
    <col width="22" customWidth="1" min="5" max="5"/>
    <col width="18" customWidth="1" min="6" max="6"/>
    <col width="16" customWidth="1" min="7" max="7"/>
    <col width="16" customWidth="1" min="8" max="8"/>
    <col width="18" customWidth="1" min="9" max="9"/>
    <col width="14" customWidth="1" min="10" max="10"/>
  </cols>
  <sheetData>
    <row r="1" ht="15" customHeight="1"/>
    <row r="2" ht="32" customHeight="1">
      <c r="B2" s="1" t="inlineStr">
        <is>
          <t>FICHE D'INSCRIPTION A UNE FORMATION (#66)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 Inscription</t>
        </is>
      </c>
      <c r="C4" s="11" t="inlineStr">
        <is>
          <t>Matricule</t>
        </is>
      </c>
      <c r="D4" s="11" t="inlineStr">
        <is>
          <t>Nom Employe</t>
        </is>
      </c>
      <c r="E4" s="11" t="inlineStr">
        <is>
          <t>Departement</t>
        </is>
      </c>
      <c r="F4" s="11" t="inlineStr">
        <is>
          <t>Poste</t>
        </is>
      </c>
      <c r="G4" s="11" t="inlineStr">
        <is>
          <t>Action Formation</t>
        </is>
      </c>
      <c r="H4" s="11" t="inlineStr">
        <is>
          <t>Date Inscription</t>
        </is>
      </c>
      <c r="I4" s="11" t="inlineStr">
        <is>
          <t>Cout Indiv. (FCFA)</t>
        </is>
      </c>
      <c r="J4" s="11" t="inlineStr">
        <is>
          <t>Statut</t>
        </is>
      </c>
    </row>
    <row r="5" ht="22" customHeight="1">
      <c r="B5" s="12" t="inlineStr">
        <is>
          <t>INS-001</t>
        </is>
      </c>
      <c r="C5" s="12" t="inlineStr">
        <is>
          <t>EMP-010</t>
        </is>
      </c>
      <c r="D5" s="12">
        <f>IF(C5="","",VLOOKUP(C5,'_Données Employés'!$B$5:$H$18,4,FALSE)&amp;" "&amp;VLOOKUP(C5,'_Données Employés'!$B$5:$H$18,5,FALSE))</f>
        <v/>
      </c>
      <c r="E5" s="12">
        <f>IF(C5="","",VLOOKUP(C5,'_Données Employés'!$B$5:$H$18,6,FALSE))</f>
        <v/>
      </c>
      <c r="F5" s="12">
        <f>IF(C5="","",VLOOKUP(C5,'_Données Employés'!$B$5:$H$18,7,FALSE))</f>
        <v/>
      </c>
      <c r="G5" s="12" t="inlineStr">
        <is>
          <t>PAF-001</t>
        </is>
      </c>
      <c r="H5" s="31" t="n">
        <v>45721</v>
      </c>
      <c r="I5" s="15" t="n">
        <v>31250</v>
      </c>
      <c r="J5" s="12" t="inlineStr">
        <is>
          <t>Terminee</t>
        </is>
      </c>
    </row>
    <row r="6" ht="22" customHeight="1">
      <c r="B6" s="16" t="inlineStr">
        <is>
          <t>INS-002</t>
        </is>
      </c>
      <c r="C6" s="16" t="inlineStr">
        <is>
          <t>EMP-004</t>
        </is>
      </c>
      <c r="D6" s="16">
        <f>IF(C6="","",VLOOKUP(C6,'_Données Employés'!$B$5:$H$18,4,FALSE)&amp;" "&amp;VLOOKUP(C6,'_Données Employés'!$B$5:$H$18,5,FALSE))</f>
        <v/>
      </c>
      <c r="E6" s="16">
        <f>IF(C6="","",VLOOKUP(C6,'_Données Employés'!$B$5:$H$18,6,FALSE))</f>
        <v/>
      </c>
      <c r="F6" s="16">
        <f>IF(C6="","",VLOOKUP(C6,'_Données Employés'!$B$5:$H$18,7,FALSE))</f>
        <v/>
      </c>
      <c r="G6" s="16" t="inlineStr">
        <is>
          <t>PAF-002</t>
        </is>
      </c>
      <c r="H6" s="32" t="n">
        <v>45748</v>
      </c>
      <c r="I6" s="19" t="n">
        <v>30000</v>
      </c>
      <c r="J6" s="16" t="inlineStr">
        <is>
          <t>Terminee</t>
        </is>
      </c>
    </row>
    <row r="7" ht="22" customHeight="1">
      <c r="B7" s="12" t="inlineStr">
        <is>
          <t>INS-003</t>
        </is>
      </c>
      <c r="C7" s="12" t="inlineStr">
        <is>
          <t>EMP-006</t>
        </is>
      </c>
      <c r="D7" s="12">
        <f>IF(C7="","",VLOOKUP(C7,'_Données Employés'!$B$5:$H$18,4,FALSE)&amp;" "&amp;VLOOKUP(C7,'_Données Employés'!$B$5:$H$18,5,FALSE))</f>
        <v/>
      </c>
      <c r="E7" s="12">
        <f>IF(C7="","",VLOOKUP(C7,'_Données Employés'!$B$5:$H$18,6,FALSE))</f>
        <v/>
      </c>
      <c r="F7" s="12">
        <f>IF(C7="","",VLOOKUP(C7,'_Données Employés'!$B$5:$H$18,7,FALSE))</f>
        <v/>
      </c>
      <c r="G7" s="12" t="inlineStr">
        <is>
          <t>PAF-003</t>
        </is>
      </c>
      <c r="H7" s="31" t="n">
        <v>45805</v>
      </c>
      <c r="I7" s="15" t="n">
        <v>19200</v>
      </c>
      <c r="J7" s="12" t="inlineStr">
        <is>
          <t>En cours</t>
        </is>
      </c>
    </row>
    <row r="8" ht="22" customHeight="1">
      <c r="B8" s="16" t="inlineStr">
        <is>
          <t>INS-004</t>
        </is>
      </c>
      <c r="C8" s="16" t="inlineStr">
        <is>
          <t>EMP-003</t>
        </is>
      </c>
      <c r="D8" s="16">
        <f>IF(C8="","",VLOOKUP(C8,'_Données Employés'!$B$5:$H$18,4,FALSE)&amp;" "&amp;VLOOKUP(C8,'_Données Employés'!$B$5:$H$18,5,FALSE))</f>
        <v/>
      </c>
      <c r="E8" s="16">
        <f>IF(C8="","",VLOOKUP(C8,'_Données Employés'!$B$5:$H$18,6,FALSE))</f>
        <v/>
      </c>
      <c r="F8" s="16">
        <f>IF(C8="","",VLOOKUP(C8,'_Données Employés'!$B$5:$H$18,7,FALSE))</f>
        <v/>
      </c>
      <c r="G8" s="16" t="inlineStr">
        <is>
          <t>PAF-004</t>
        </is>
      </c>
      <c r="H8" s="32" t="n">
        <v>45839</v>
      </c>
      <c r="I8" s="19" t="n">
        <v>11250</v>
      </c>
      <c r="J8" s="16" t="inlineStr">
        <is>
          <t>Planifiee</t>
        </is>
      </c>
    </row>
    <row r="9" ht="22" customHeight="1">
      <c r="B9" s="12" t="inlineStr">
        <is>
          <t>INS-005</t>
        </is>
      </c>
      <c r="C9" s="12" t="inlineStr">
        <is>
          <t>EMP-001</t>
        </is>
      </c>
      <c r="D9" s="12">
        <f>IF(C9="","",VLOOKUP(C9,'_Données Employés'!$B$5:$H$18,4,FALSE)&amp;" "&amp;VLOOKUP(C9,'_Données Employés'!$B$5:$H$18,5,FALSE))</f>
        <v/>
      </c>
      <c r="E9" s="12">
        <f>IF(C9="","",VLOOKUP(C9,'_Données Employés'!$B$5:$H$18,6,FALSE))</f>
        <v/>
      </c>
      <c r="F9" s="12">
        <f>IF(C9="","",VLOOKUP(C9,'_Données Employés'!$B$5:$H$18,7,FALSE))</f>
        <v/>
      </c>
      <c r="G9" s="12" t="inlineStr">
        <is>
          <t>PAF-005</t>
        </is>
      </c>
      <c r="H9" s="31" t="n">
        <v>45894</v>
      </c>
      <c r="I9" s="15" t="n">
        <v>5000</v>
      </c>
      <c r="J9" s="12" t="inlineStr">
        <is>
          <t>Planifiee</t>
        </is>
      </c>
    </row>
    <row r="10" ht="22" customHeight="1">
      <c r="B10" s="20">
        <f>IF(C10="","INS-"&amp;TEXT(COUNTA($C$5:C10),"000"))</f>
        <v/>
      </c>
      <c r="C10" s="16" t="n"/>
      <c r="D10" s="16" t="n"/>
      <c r="E10" s="16" t="n"/>
      <c r="F10" s="16" t="n"/>
      <c r="G10" s="16" t="n"/>
      <c r="H10" s="32" t="n"/>
      <c r="I10" s="19" t="n"/>
      <c r="J10" s="16" t="n"/>
    </row>
    <row r="11" ht="22" customHeight="1">
      <c r="B11" s="21">
        <f>IF(C11="","INS-"&amp;TEXT(COUNTA($C$5:C11),"000"))</f>
        <v/>
      </c>
      <c r="C11" s="12" t="n"/>
      <c r="D11" s="12" t="n"/>
      <c r="E11" s="12" t="n"/>
      <c r="F11" s="12" t="n"/>
      <c r="G11" s="12" t="n"/>
      <c r="H11" s="31" t="n"/>
      <c r="I11" s="15" t="n"/>
      <c r="J11" s="12" t="n"/>
    </row>
    <row r="12" ht="22" customHeight="1">
      <c r="B12" s="20">
        <f>IF(C12="","INS-"&amp;TEXT(COUNTA($C$5:C12),"000"))</f>
        <v/>
      </c>
      <c r="C12" s="16" t="n"/>
      <c r="D12" s="16" t="n"/>
      <c r="E12" s="16" t="n"/>
      <c r="F12" s="16" t="n"/>
      <c r="G12" s="16" t="n"/>
      <c r="H12" s="32" t="n"/>
      <c r="I12" s="19" t="n"/>
      <c r="J12" s="16" t="n"/>
    </row>
    <row r="13" ht="22" customHeight="1">
      <c r="B13" s="21">
        <f>IF(C13="","INS-"&amp;TEXT(COUNTA($C$5:C13),"000"))</f>
        <v/>
      </c>
      <c r="C13" s="12" t="n"/>
      <c r="D13" s="12" t="n"/>
      <c r="E13" s="12" t="n"/>
      <c r="F13" s="12" t="n"/>
      <c r="G13" s="12" t="n"/>
      <c r="H13" s="31" t="n"/>
      <c r="I13" s="15" t="n"/>
      <c r="J13" s="12" t="n"/>
    </row>
    <row r="14" ht="22" customHeight="1">
      <c r="B14" s="20">
        <f>IF(C14="","INS-"&amp;TEXT(COUNTA($C$5:C14),"000"))</f>
        <v/>
      </c>
      <c r="C14" s="16" t="n"/>
      <c r="D14" s="16" t="n"/>
      <c r="E14" s="16" t="n"/>
      <c r="F14" s="16" t="n"/>
      <c r="G14" s="16" t="n"/>
      <c r="H14" s="32" t="n"/>
      <c r="I14" s="19" t="n"/>
      <c r="J14" s="16" t="n"/>
    </row>
    <row r="15" ht="22" customHeight="1">
      <c r="B15" s="21">
        <f>IF(C15="","INS-"&amp;TEXT(COUNTA($C$5:C15),"000"))</f>
        <v/>
      </c>
      <c r="C15" s="12" t="n"/>
      <c r="D15" s="12" t="n"/>
      <c r="E15" s="12" t="n"/>
      <c r="F15" s="12" t="n"/>
      <c r="G15" s="12" t="n"/>
      <c r="H15" s="31" t="n"/>
      <c r="I15" s="15" t="n"/>
      <c r="J15" s="12" t="n"/>
    </row>
    <row r="16" ht="22" customHeight="1">
      <c r="B16" s="20">
        <f>IF(C16="","INS-"&amp;TEXT(COUNTA($C$5:C16),"000"))</f>
        <v/>
      </c>
      <c r="C16" s="16" t="n"/>
      <c r="D16" s="16" t="n"/>
      <c r="E16" s="16" t="n"/>
      <c r="F16" s="16" t="n"/>
      <c r="G16" s="16" t="n"/>
      <c r="H16" s="32" t="n"/>
      <c r="I16" s="19" t="n"/>
      <c r="J16" s="16" t="n"/>
    </row>
    <row r="17" ht="22" customHeight="1">
      <c r="B17" s="21">
        <f>IF(C17="","INS-"&amp;TEXT(COUNTA($C$5:C17),"000"))</f>
        <v/>
      </c>
      <c r="C17" s="12" t="n"/>
      <c r="D17" s="12" t="n"/>
      <c r="E17" s="12" t="n"/>
      <c r="F17" s="12" t="n"/>
      <c r="G17" s="12" t="n"/>
      <c r="H17" s="31" t="n"/>
      <c r="I17" s="15" t="n"/>
      <c r="J17" s="12" t="n"/>
    </row>
    <row r="18" ht="22" customHeight="1">
      <c r="B18" s="20">
        <f>IF(C18="","INS-"&amp;TEXT(COUNTA($C$5:C18),"000"))</f>
        <v/>
      </c>
      <c r="C18" s="16" t="n"/>
      <c r="D18" s="16" t="n"/>
      <c r="E18" s="16" t="n"/>
      <c r="F18" s="16" t="n"/>
      <c r="G18" s="16" t="n"/>
      <c r="H18" s="32" t="n"/>
      <c r="I18" s="19" t="n"/>
      <c r="J18" s="16" t="n"/>
    </row>
    <row r="19" ht="22" customHeight="1">
      <c r="B19" s="21">
        <f>IF(C19="","INS-"&amp;TEXT(COUNTA($C$5:C19),"000"))</f>
        <v/>
      </c>
      <c r="C19" s="12" t="n"/>
      <c r="D19" s="12" t="n"/>
      <c r="E19" s="12" t="n"/>
      <c r="F19" s="12" t="n"/>
      <c r="G19" s="12" t="n"/>
      <c r="H19" s="31" t="n"/>
      <c r="I19" s="15" t="n"/>
      <c r="J19" s="12" t="n"/>
    </row>
    <row r="20" ht="22" customHeight="1">
      <c r="B20" s="20">
        <f>IF(C20="","INS-"&amp;TEXT(COUNTA($C$5:C20),"000"))</f>
        <v/>
      </c>
      <c r="C20" s="16" t="n"/>
      <c r="D20" s="16" t="n"/>
      <c r="E20" s="16" t="n"/>
      <c r="F20" s="16" t="n"/>
      <c r="G20" s="16" t="n"/>
      <c r="H20" s="32" t="n"/>
      <c r="I20" s="19" t="n"/>
      <c r="J20" s="16" t="n"/>
    </row>
    <row r="21" ht="22" customHeight="1">
      <c r="B21" s="21">
        <f>IF(C21="","INS-"&amp;TEXT(COUNTA($C$5:C21),"000"))</f>
        <v/>
      </c>
      <c r="C21" s="12" t="n"/>
      <c r="D21" s="12" t="n"/>
      <c r="E21" s="12" t="n"/>
      <c r="F21" s="12" t="n"/>
      <c r="G21" s="12" t="n"/>
      <c r="H21" s="31" t="n"/>
      <c r="I21" s="15" t="n"/>
      <c r="J21" s="12" t="n"/>
    </row>
    <row r="22" ht="22" customHeight="1">
      <c r="B22" s="20">
        <f>IF(C22="","INS-"&amp;TEXT(COUNTA($C$5:C22),"000"))</f>
        <v/>
      </c>
      <c r="C22" s="16" t="n"/>
      <c r="D22" s="16" t="n"/>
      <c r="E22" s="16" t="n"/>
      <c r="F22" s="16" t="n"/>
      <c r="G22" s="16" t="n"/>
      <c r="H22" s="32" t="n"/>
      <c r="I22" s="19" t="n"/>
      <c r="J22" s="16" t="n"/>
    </row>
    <row r="23" ht="22" customHeight="1">
      <c r="B23" s="21">
        <f>IF(C23="","INS-"&amp;TEXT(COUNTA($C$5:C23),"000"))</f>
        <v/>
      </c>
      <c r="C23" s="12" t="n"/>
      <c r="D23" s="12" t="n"/>
      <c r="E23" s="12" t="n"/>
      <c r="F23" s="12" t="n"/>
      <c r="G23" s="12" t="n"/>
      <c r="H23" s="31" t="n"/>
      <c r="I23" s="15" t="n"/>
      <c r="J23" s="12" t="n"/>
    </row>
    <row r="24" ht="22" customHeight="1">
      <c r="B24" s="20">
        <f>IF(C24="","INS-"&amp;TEXT(COUNTA($C$5:C24),"000"))</f>
        <v/>
      </c>
      <c r="C24" s="16" t="n"/>
      <c r="D24" s="16" t="n"/>
      <c r="E24" s="16" t="n"/>
      <c r="F24" s="16" t="n"/>
      <c r="G24" s="16" t="n"/>
      <c r="H24" s="32" t="n"/>
      <c r="I24" s="19" t="n"/>
      <c r="J24" s="16" t="n"/>
    </row>
    <row r="25" ht="22" customHeight="1">
      <c r="B25" s="21">
        <f>IF(C25="","INS-"&amp;TEXT(COUNTA($C$5:C25),"000"))</f>
        <v/>
      </c>
      <c r="C25" s="12" t="n"/>
      <c r="D25" s="12" t="n"/>
      <c r="E25" s="12" t="n"/>
      <c r="F25" s="12" t="n"/>
      <c r="G25" s="12" t="n"/>
      <c r="H25" s="31" t="n"/>
      <c r="I25" s="15" t="n"/>
      <c r="J25" s="12" t="n"/>
    </row>
    <row r="26" ht="22" customHeight="1">
      <c r="B26" s="20">
        <f>IF(C26="","INS-"&amp;TEXT(COUNTA($C$5:C26),"000"))</f>
        <v/>
      </c>
      <c r="C26" s="16" t="n"/>
      <c r="D26" s="16" t="n"/>
      <c r="E26" s="16" t="n"/>
      <c r="F26" s="16" t="n"/>
      <c r="G26" s="16" t="n"/>
      <c r="H26" s="32" t="n"/>
      <c r="I26" s="19" t="n"/>
      <c r="J26" s="16" t="n"/>
    </row>
    <row r="27" ht="22" customHeight="1">
      <c r="B27" s="21">
        <f>IF(C27="","INS-"&amp;TEXT(COUNTA($C$5:C27),"000"))</f>
        <v/>
      </c>
      <c r="C27" s="12" t="n"/>
      <c r="D27" s="12" t="n"/>
      <c r="E27" s="12" t="n"/>
      <c r="F27" s="12" t="n"/>
      <c r="G27" s="12" t="n"/>
      <c r="H27" s="31" t="n"/>
      <c r="I27" s="15" t="n"/>
      <c r="J27" s="12" t="n"/>
    </row>
    <row r="28" ht="22" customHeight="1">
      <c r="B28" s="20">
        <f>IF(C28="","INS-"&amp;TEXT(COUNTA($C$5:C28),"000"))</f>
        <v/>
      </c>
      <c r="C28" s="16" t="n"/>
      <c r="D28" s="16" t="n"/>
      <c r="E28" s="16" t="n"/>
      <c r="F28" s="16" t="n"/>
      <c r="G28" s="16" t="n"/>
      <c r="H28" s="32" t="n"/>
      <c r="I28" s="19" t="n"/>
      <c r="J28" s="16" t="n"/>
    </row>
    <row r="29" ht="22" customHeight="1">
      <c r="B29" s="21">
        <f>IF(C29="","INS-"&amp;TEXT(COUNTA($C$5:C29),"000"))</f>
        <v/>
      </c>
      <c r="C29" s="12" t="n"/>
      <c r="D29" s="12" t="n"/>
      <c r="E29" s="12" t="n"/>
      <c r="F29" s="12" t="n"/>
      <c r="G29" s="12" t="n"/>
      <c r="H29" s="31" t="n"/>
      <c r="I29" s="15" t="n"/>
      <c r="J29" s="12" t="n"/>
    </row>
    <row r="30" ht="22" customHeight="1">
      <c r="B30" s="20">
        <f>IF(C30="","INS-"&amp;TEXT(COUNTA($C$5:C30),"000"))</f>
        <v/>
      </c>
      <c r="C30" s="16" t="n"/>
      <c r="D30" s="16" t="n"/>
      <c r="E30" s="16" t="n"/>
      <c r="F30" s="16" t="n"/>
      <c r="G30" s="16" t="n"/>
      <c r="H30" s="32" t="n"/>
      <c r="I30" s="19" t="n"/>
      <c r="J30" s="16" t="n"/>
    </row>
    <row r="31" ht="22" customHeight="1">
      <c r="B31" s="21">
        <f>IF(C31="","INS-"&amp;TEXT(COUNTA($C$5:C31),"000"))</f>
        <v/>
      </c>
      <c r="C31" s="12" t="n"/>
      <c r="D31" s="12" t="n"/>
      <c r="E31" s="12" t="n"/>
      <c r="F31" s="12" t="n"/>
      <c r="G31" s="12" t="n"/>
      <c r="H31" s="31" t="n"/>
      <c r="I31" s="15" t="n"/>
      <c r="J31" s="12" t="n"/>
    </row>
    <row r="32" ht="22" customHeight="1">
      <c r="B32" s="20">
        <f>IF(C32="","INS-"&amp;TEXT(COUNTA($C$5:C32),"000"))</f>
        <v/>
      </c>
      <c r="C32" s="16" t="n"/>
      <c r="D32" s="16" t="n"/>
      <c r="E32" s="16" t="n"/>
      <c r="F32" s="16" t="n"/>
      <c r="G32" s="16" t="n"/>
      <c r="H32" s="32" t="n"/>
      <c r="I32" s="19" t="n"/>
      <c r="J32" s="16" t="n"/>
    </row>
    <row r="33" ht="22" customHeight="1">
      <c r="B33" s="21">
        <f>IF(C33="","INS-"&amp;TEXT(COUNTA($C$5:C33),"000"))</f>
        <v/>
      </c>
      <c r="C33" s="12" t="n"/>
      <c r="D33" s="12" t="n"/>
      <c r="E33" s="12" t="n"/>
      <c r="F33" s="12" t="n"/>
      <c r="G33" s="12" t="n"/>
      <c r="H33" s="31" t="n"/>
      <c r="I33" s="15" t="n"/>
      <c r="J33" s="12" t="n"/>
    </row>
    <row r="34" ht="22" customHeight="1">
      <c r="B34" s="20">
        <f>IF(C34="","INS-"&amp;TEXT(COUNTA($C$5:C34),"000"))</f>
        <v/>
      </c>
      <c r="C34" s="16" t="n"/>
      <c r="D34" s="16" t="n"/>
      <c r="E34" s="16" t="n"/>
      <c r="F34" s="16" t="n"/>
      <c r="G34" s="16" t="n"/>
      <c r="H34" s="32" t="n"/>
      <c r="I34" s="19" t="n"/>
      <c r="J34" s="16" t="n"/>
    </row>
    <row r="35" ht="22" customHeight="1">
      <c r="B35" s="21">
        <f>IF(C35="","INS-"&amp;TEXT(COUNTA($C$5:C35),"000"))</f>
        <v/>
      </c>
      <c r="C35" s="12" t="n"/>
      <c r="D35" s="12" t="n"/>
      <c r="E35" s="12" t="n"/>
      <c r="F35" s="12" t="n"/>
      <c r="G35" s="12" t="n"/>
      <c r="H35" s="31" t="n"/>
      <c r="I35" s="15" t="n"/>
      <c r="J35" s="12" t="n"/>
    </row>
    <row r="36" ht="22" customHeight="1">
      <c r="B36" s="20">
        <f>IF(C36="","INS-"&amp;TEXT(COUNTA($C$5:C36),"000"))</f>
        <v/>
      </c>
      <c r="C36" s="16" t="n"/>
      <c r="D36" s="16" t="n"/>
      <c r="E36" s="16" t="n"/>
      <c r="F36" s="16" t="n"/>
      <c r="G36" s="16" t="n"/>
      <c r="H36" s="32" t="n"/>
      <c r="I36" s="19" t="n"/>
      <c r="J36" s="16" t="n"/>
    </row>
    <row r="37" ht="22" customHeight="1">
      <c r="B37" s="21">
        <f>IF(C37="","INS-"&amp;TEXT(COUNTA($C$5:C37),"000"))</f>
        <v/>
      </c>
      <c r="C37" s="12" t="n"/>
      <c r="D37" s="12" t="n"/>
      <c r="E37" s="12" t="n"/>
      <c r="F37" s="12" t="n"/>
      <c r="G37" s="12" t="n"/>
      <c r="H37" s="31" t="n"/>
      <c r="I37" s="15" t="n"/>
      <c r="J37" s="12" t="n"/>
    </row>
    <row r="38" ht="22" customHeight="1">
      <c r="B38" s="20">
        <f>IF(C38="","INS-"&amp;TEXT(COUNTA($C$5:C38),"000"))</f>
        <v/>
      </c>
      <c r="C38" s="16" t="n"/>
      <c r="D38" s="16" t="n"/>
      <c r="E38" s="16" t="n"/>
      <c r="F38" s="16" t="n"/>
      <c r="G38" s="16" t="n"/>
      <c r="H38" s="32" t="n"/>
      <c r="I38" s="19" t="n"/>
      <c r="J38" s="16" t="n"/>
    </row>
    <row r="39" ht="22" customHeight="1">
      <c r="B39" s="21">
        <f>IF(C39="","INS-"&amp;TEXT(COUNTA($C$5:C39),"000"))</f>
        <v/>
      </c>
      <c r="C39" s="12" t="n"/>
      <c r="D39" s="12" t="n"/>
      <c r="E39" s="12" t="n"/>
      <c r="F39" s="12" t="n"/>
      <c r="G39" s="12" t="n"/>
      <c r="H39" s="31" t="n"/>
      <c r="I39" s="15" t="n"/>
      <c r="J39" s="12" t="n"/>
    </row>
    <row r="40" ht="22" customHeight="1">
      <c r="B40" s="20">
        <f>IF(C40="","INS-"&amp;TEXT(COUNTA($C$5:C40),"000"))</f>
        <v/>
      </c>
      <c r="C40" s="16" t="n"/>
      <c r="D40" s="16" t="n"/>
      <c r="E40" s="16" t="n"/>
      <c r="F40" s="16" t="n"/>
      <c r="G40" s="16" t="n"/>
      <c r="H40" s="32" t="n"/>
      <c r="I40" s="19" t="n"/>
      <c r="J40" s="16" t="n"/>
    </row>
    <row r="41" ht="22" customHeight="1">
      <c r="B41" s="21">
        <f>IF(C41="","INS-"&amp;TEXT(COUNTA($C$5:C41),"000"))</f>
        <v/>
      </c>
      <c r="C41" s="12" t="n"/>
      <c r="D41" s="12" t="n"/>
      <c r="E41" s="12" t="n"/>
      <c r="F41" s="12" t="n"/>
      <c r="G41" s="12" t="n"/>
      <c r="H41" s="31" t="n"/>
      <c r="I41" s="15" t="n"/>
      <c r="J41" s="12" t="n"/>
    </row>
    <row r="42" ht="22" customHeight="1">
      <c r="B42" s="20">
        <f>IF(C42="","INS-"&amp;TEXT(COUNTA($C$5:C42),"000"))</f>
        <v/>
      </c>
      <c r="C42" s="16" t="n"/>
      <c r="D42" s="16" t="n"/>
      <c r="E42" s="16" t="n"/>
      <c r="F42" s="16" t="n"/>
      <c r="G42" s="16" t="n"/>
      <c r="H42" s="32" t="n"/>
      <c r="I42" s="19" t="n"/>
      <c r="J42" s="16" t="n"/>
    </row>
    <row r="43" ht="22" customHeight="1">
      <c r="B43" s="21">
        <f>IF(C43="","INS-"&amp;TEXT(COUNTA($C$5:C43),"000"))</f>
        <v/>
      </c>
      <c r="C43" s="12" t="n"/>
      <c r="D43" s="12" t="n"/>
      <c r="E43" s="12" t="n"/>
      <c r="F43" s="12" t="n"/>
      <c r="G43" s="12" t="n"/>
      <c r="H43" s="31" t="n"/>
      <c r="I43" s="15" t="n"/>
      <c r="J43" s="12" t="n"/>
    </row>
    <row r="44" ht="22" customHeight="1">
      <c r="B44" s="20">
        <f>IF(C44="","INS-"&amp;TEXT(COUNTA($C$5:C44),"000"))</f>
        <v/>
      </c>
      <c r="C44" s="16" t="n"/>
      <c r="D44" s="16" t="n"/>
      <c r="E44" s="16" t="n"/>
      <c r="F44" s="16" t="n"/>
      <c r="G44" s="16" t="n"/>
      <c r="H44" s="32" t="n"/>
      <c r="I44" s="19" t="n"/>
      <c r="J44" s="16" t="n"/>
    </row>
    <row r="45" ht="22" customHeight="1">
      <c r="B45" s="21">
        <f>IF(C45="","INS-"&amp;TEXT(COUNTA($C$5:C45),"000"))</f>
        <v/>
      </c>
      <c r="C45" s="12" t="n"/>
      <c r="D45" s="12" t="n"/>
      <c r="E45" s="12" t="n"/>
      <c r="F45" s="12" t="n"/>
      <c r="G45" s="12" t="n"/>
      <c r="H45" s="31" t="n"/>
      <c r="I45" s="15" t="n"/>
      <c r="J45" s="12" t="n"/>
    </row>
    <row r="46" ht="22" customHeight="1">
      <c r="B46" s="20">
        <f>IF(C46="","INS-"&amp;TEXT(COUNTA($C$5:C46),"000"))</f>
        <v/>
      </c>
      <c r="C46" s="16" t="n"/>
      <c r="D46" s="16" t="n"/>
      <c r="E46" s="16" t="n"/>
      <c r="F46" s="16" t="n"/>
      <c r="G46" s="16" t="n"/>
      <c r="H46" s="32" t="n"/>
      <c r="I46" s="19" t="n"/>
      <c r="J46" s="16" t="n"/>
    </row>
    <row r="47" ht="22" customHeight="1">
      <c r="B47" s="21">
        <f>IF(C47="","INS-"&amp;TEXT(COUNTA($C$5:C47),"000"))</f>
        <v/>
      </c>
      <c r="C47" s="12" t="n"/>
      <c r="D47" s="12" t="n"/>
      <c r="E47" s="12" t="n"/>
      <c r="F47" s="12" t="n"/>
      <c r="G47" s="12" t="n"/>
      <c r="H47" s="31" t="n"/>
      <c r="I47" s="15" t="n"/>
      <c r="J47" s="12" t="n"/>
    </row>
    <row r="48" ht="22" customHeight="1">
      <c r="B48" s="20">
        <f>IF(C48="","INS-"&amp;TEXT(COUNTA($C$5:C48),"000"))</f>
        <v/>
      </c>
      <c r="C48" s="16" t="n"/>
      <c r="D48" s="16" t="n"/>
      <c r="E48" s="16" t="n"/>
      <c r="F48" s="16" t="n"/>
      <c r="G48" s="16" t="n"/>
      <c r="H48" s="32" t="n"/>
      <c r="I48" s="19" t="n"/>
      <c r="J48" s="16" t="n"/>
    </row>
    <row r="49" ht="22" customHeight="1">
      <c r="B49" s="21">
        <f>IF(C49="","INS-"&amp;TEXT(COUNTA($C$5:C49),"000"))</f>
        <v/>
      </c>
      <c r="C49" s="12" t="n"/>
      <c r="D49" s="12" t="n"/>
      <c r="E49" s="12" t="n"/>
      <c r="F49" s="12" t="n"/>
      <c r="G49" s="12" t="n"/>
      <c r="H49" s="31" t="n"/>
      <c r="I49" s="15" t="n"/>
      <c r="J49" s="12" t="n"/>
    </row>
    <row r="50" ht="22" customHeight="1">
      <c r="B50" s="20">
        <f>IF(C50="","INS-"&amp;TEXT(COUNTA($C$5:C50),"000"))</f>
        <v/>
      </c>
      <c r="C50" s="16" t="n"/>
      <c r="D50" s="16" t="n"/>
      <c r="E50" s="16" t="n"/>
      <c r="F50" s="16" t="n"/>
      <c r="G50" s="16" t="n"/>
      <c r="H50" s="32" t="n"/>
      <c r="I50" s="19" t="n"/>
      <c r="J50" s="16" t="n"/>
    </row>
    <row r="51" ht="22" customHeight="1">
      <c r="B51" s="21">
        <f>IF(C51="","INS-"&amp;TEXT(COUNTA($C$5:C51),"000"))</f>
        <v/>
      </c>
      <c r="C51" s="12" t="n"/>
      <c r="D51" s="12" t="n"/>
      <c r="E51" s="12" t="n"/>
      <c r="F51" s="12" t="n"/>
      <c r="G51" s="12" t="n"/>
      <c r="H51" s="31" t="n"/>
      <c r="I51" s="15" t="n"/>
      <c r="J51" s="12" t="n"/>
    </row>
    <row r="52" ht="22" customHeight="1">
      <c r="B52" s="20">
        <f>IF(C52="","INS-"&amp;TEXT(COUNTA($C$5:C52),"000"))</f>
        <v/>
      </c>
      <c r="C52" s="16" t="n"/>
      <c r="D52" s="16" t="n"/>
      <c r="E52" s="16" t="n"/>
      <c r="F52" s="16" t="n"/>
      <c r="G52" s="16" t="n"/>
      <c r="H52" s="32" t="n"/>
      <c r="I52" s="19" t="n"/>
      <c r="J52" s="16" t="n"/>
    </row>
    <row r="53" ht="22" customHeight="1">
      <c r="B53" s="21">
        <f>IF(C53="","INS-"&amp;TEXT(COUNTA($C$5:C53),"000"))</f>
        <v/>
      </c>
      <c r="C53" s="12" t="n"/>
      <c r="D53" s="12" t="n"/>
      <c r="E53" s="12" t="n"/>
      <c r="F53" s="12" t="n"/>
      <c r="G53" s="12" t="n"/>
      <c r="H53" s="31" t="n"/>
      <c r="I53" s="15" t="n"/>
      <c r="J53" s="12" t="n"/>
    </row>
    <row r="54" ht="22" customHeight="1">
      <c r="B54" s="20">
        <f>IF(C54="","INS-"&amp;TEXT(COUNTA($C$5:C54),"000"))</f>
        <v/>
      </c>
      <c r="C54" s="16" t="n"/>
      <c r="D54" s="16" t="n"/>
      <c r="E54" s="16" t="n"/>
      <c r="F54" s="16" t="n"/>
      <c r="G54" s="16" t="n"/>
      <c r="H54" s="32" t="n"/>
      <c r="I54" s="19" t="n"/>
      <c r="J54" s="16" t="n"/>
    </row>
    <row r="55" ht="22" customHeight="1">
      <c r="B55" s="21">
        <f>IF(C55="","INS-"&amp;TEXT(COUNTA($C$5:C55),"000"))</f>
        <v/>
      </c>
      <c r="C55" s="12" t="n"/>
      <c r="D55" s="12" t="n"/>
      <c r="E55" s="12" t="n"/>
      <c r="F55" s="12" t="n"/>
      <c r="G55" s="12" t="n"/>
      <c r="H55" s="31" t="n"/>
      <c r="I55" s="15" t="n"/>
      <c r="J55" s="12" t="n"/>
    </row>
    <row r="56" ht="22" customHeight="1">
      <c r="B56" s="20">
        <f>IF(C56="","INS-"&amp;TEXT(COUNTA($C$5:C56),"000"))</f>
        <v/>
      </c>
      <c r="C56" s="16" t="n"/>
      <c r="D56" s="16" t="n"/>
      <c r="E56" s="16" t="n"/>
      <c r="F56" s="16" t="n"/>
      <c r="G56" s="16" t="n"/>
      <c r="H56" s="32" t="n"/>
      <c r="I56" s="19" t="n"/>
      <c r="J56" s="16" t="n"/>
    </row>
    <row r="57" ht="22" customHeight="1">
      <c r="B57" s="21">
        <f>IF(C57="","INS-"&amp;TEXT(COUNTA($C$5:C57),"000"))</f>
        <v/>
      </c>
      <c r="C57" s="12" t="n"/>
      <c r="D57" s="12" t="n"/>
      <c r="E57" s="12" t="n"/>
      <c r="F57" s="12" t="n"/>
      <c r="G57" s="12" t="n"/>
      <c r="H57" s="31" t="n"/>
      <c r="I57" s="15" t="n"/>
      <c r="J57" s="12" t="n"/>
    </row>
    <row r="58" ht="22" customHeight="1">
      <c r="B58" s="20">
        <f>IF(C58="","INS-"&amp;TEXT(COUNTA($C$5:C58),"000"))</f>
        <v/>
      </c>
      <c r="C58" s="16" t="n"/>
      <c r="D58" s="16" t="n"/>
      <c r="E58" s="16" t="n"/>
      <c r="F58" s="16" t="n"/>
      <c r="G58" s="16" t="n"/>
      <c r="H58" s="32" t="n"/>
      <c r="I58" s="19" t="n"/>
      <c r="J58" s="16" t="n"/>
    </row>
    <row r="59" ht="22" customHeight="1">
      <c r="B59" s="21">
        <f>IF(C59="","INS-"&amp;TEXT(COUNTA($C$5:C59),"000"))</f>
        <v/>
      </c>
      <c r="C59" s="12" t="n"/>
      <c r="D59" s="12" t="n"/>
      <c r="E59" s="12" t="n"/>
      <c r="F59" s="12" t="n"/>
      <c r="G59" s="12" t="n"/>
      <c r="H59" s="31" t="n"/>
      <c r="I59" s="15" t="n"/>
      <c r="J59" s="12" t="n"/>
    </row>
    <row r="60" ht="22" customHeight="1">
      <c r="B60" s="20">
        <f>IF(C60="","INS-"&amp;TEXT(COUNTA($C$5:C60),"000"))</f>
        <v/>
      </c>
      <c r="C60" s="16" t="n"/>
      <c r="D60" s="16" t="n"/>
      <c r="E60" s="16" t="n"/>
      <c r="F60" s="16" t="n"/>
      <c r="G60" s="16" t="n"/>
      <c r="H60" s="32" t="n"/>
      <c r="I60" s="19" t="n"/>
      <c r="J60" s="16" t="n"/>
    </row>
    <row r="61" ht="22" customHeight="1">
      <c r="B61" s="21">
        <f>IF(C61="","INS-"&amp;TEXT(COUNTA($C$5:C61),"000"))</f>
        <v/>
      </c>
      <c r="C61" s="12" t="n"/>
      <c r="D61" s="12" t="n"/>
      <c r="E61" s="12" t="n"/>
      <c r="F61" s="12" t="n"/>
      <c r="G61" s="12" t="n"/>
      <c r="H61" s="31" t="n"/>
      <c r="I61" s="15" t="n"/>
      <c r="J61" s="12" t="n"/>
    </row>
    <row r="62" ht="22" customHeight="1">
      <c r="B62" s="20">
        <f>IF(C62="","INS-"&amp;TEXT(COUNTA($C$5:C62),"000"))</f>
        <v/>
      </c>
      <c r="C62" s="16" t="n"/>
      <c r="D62" s="16" t="n"/>
      <c r="E62" s="16" t="n"/>
      <c r="F62" s="16" t="n"/>
      <c r="G62" s="16" t="n"/>
      <c r="H62" s="32" t="n"/>
      <c r="I62" s="19" t="n"/>
      <c r="J62" s="16" t="n"/>
    </row>
    <row r="63" ht="22" customHeight="1">
      <c r="B63" s="21">
        <f>IF(C63="","INS-"&amp;TEXT(COUNTA($C$5:C63),"000"))</f>
        <v/>
      </c>
      <c r="C63" s="12" t="n"/>
      <c r="D63" s="12" t="n"/>
      <c r="E63" s="12" t="n"/>
      <c r="F63" s="12" t="n"/>
      <c r="G63" s="12" t="n"/>
      <c r="H63" s="31" t="n"/>
      <c r="I63" s="15" t="n"/>
      <c r="J63" s="12" t="n"/>
    </row>
    <row r="64" ht="22" customHeight="1">
      <c r="B64" s="20">
        <f>IF(C64="","INS-"&amp;TEXT(COUNTA($C$5:C64),"000"))</f>
        <v/>
      </c>
      <c r="C64" s="16" t="n"/>
      <c r="D64" s="16" t="n"/>
      <c r="E64" s="16" t="n"/>
      <c r="F64" s="16" t="n"/>
      <c r="G64" s="16" t="n"/>
      <c r="H64" s="32" t="n"/>
      <c r="I64" s="19" t="n"/>
      <c r="J64" s="16" t="n"/>
    </row>
    <row r="65" ht="22" customHeight="1">
      <c r="B65" s="21">
        <f>IF(C65="","INS-"&amp;TEXT(COUNTA($C$5:C65),"000"))</f>
        <v/>
      </c>
      <c r="C65" s="12" t="n"/>
      <c r="D65" s="12" t="n"/>
      <c r="E65" s="12" t="n"/>
      <c r="F65" s="12" t="n"/>
      <c r="G65" s="12" t="n"/>
      <c r="H65" s="31" t="n"/>
      <c r="I65" s="15" t="n"/>
      <c r="J65" s="12" t="n"/>
    </row>
    <row r="66" ht="22" customHeight="1">
      <c r="B66" s="20">
        <f>IF(C66="","INS-"&amp;TEXT(COUNTA($C$5:C66),"000"))</f>
        <v/>
      </c>
      <c r="C66" s="16" t="n"/>
      <c r="D66" s="16" t="n"/>
      <c r="E66" s="16" t="n"/>
      <c r="F66" s="16" t="n"/>
      <c r="G66" s="16" t="n"/>
      <c r="H66" s="32" t="n"/>
      <c r="I66" s="19" t="n"/>
      <c r="J66" s="16" t="n"/>
    </row>
    <row r="67" ht="22" customHeight="1">
      <c r="B67" s="21">
        <f>IF(C67="","INS-"&amp;TEXT(COUNTA($C$5:C67),"000"))</f>
        <v/>
      </c>
      <c r="C67" s="12" t="n"/>
      <c r="D67" s="12" t="n"/>
      <c r="E67" s="12" t="n"/>
      <c r="F67" s="12" t="n"/>
      <c r="G67" s="12" t="n"/>
      <c r="H67" s="31" t="n"/>
      <c r="I67" s="15" t="n"/>
      <c r="J67" s="12" t="n"/>
    </row>
    <row r="68" ht="22" customHeight="1">
      <c r="B68" s="20">
        <f>IF(C68="","INS-"&amp;TEXT(COUNTA($C$5:C68),"000"))</f>
        <v/>
      </c>
      <c r="C68" s="16" t="n"/>
      <c r="D68" s="16" t="n"/>
      <c r="E68" s="16" t="n"/>
      <c r="F68" s="16" t="n"/>
      <c r="G68" s="16" t="n"/>
      <c r="H68" s="32" t="n"/>
      <c r="I68" s="19" t="n"/>
      <c r="J68" s="16" t="n"/>
    </row>
    <row r="69" ht="22" customHeight="1">
      <c r="B69" s="21">
        <f>IF(C69="","INS-"&amp;TEXT(COUNTA($C$5:C69),"000"))</f>
        <v/>
      </c>
      <c r="C69" s="12" t="n"/>
      <c r="D69" s="12" t="n"/>
      <c r="E69" s="12" t="n"/>
      <c r="F69" s="12" t="n"/>
      <c r="G69" s="12" t="n"/>
      <c r="H69" s="31" t="n"/>
      <c r="I69" s="15" t="n"/>
      <c r="J69" s="12" t="n"/>
    </row>
    <row r="70" ht="22" customHeight="1">
      <c r="B70" s="20">
        <f>IF(C70="","INS-"&amp;TEXT(COUNTA($C$5:C70),"000"))</f>
        <v/>
      </c>
      <c r="C70" s="16" t="n"/>
      <c r="D70" s="16" t="n"/>
      <c r="E70" s="16" t="n"/>
      <c r="F70" s="16" t="n"/>
      <c r="G70" s="16" t="n"/>
      <c r="H70" s="32" t="n"/>
      <c r="I70" s="19" t="n"/>
      <c r="J70" s="16" t="n"/>
    </row>
    <row r="71" ht="22" customHeight="1">
      <c r="B71" s="21">
        <f>IF(C71="","INS-"&amp;TEXT(COUNTA($C$5:C71),"000"))</f>
        <v/>
      </c>
      <c r="C71" s="12" t="n"/>
      <c r="D71" s="12" t="n"/>
      <c r="E71" s="12" t="n"/>
      <c r="F71" s="12" t="n"/>
      <c r="G71" s="12" t="n"/>
      <c r="H71" s="31" t="n"/>
      <c r="I71" s="15" t="n"/>
      <c r="J71" s="12" t="n"/>
    </row>
    <row r="72" ht="22" customHeight="1">
      <c r="B72" s="20">
        <f>IF(C72="","INS-"&amp;TEXT(COUNTA($C$5:C72),"000"))</f>
        <v/>
      </c>
      <c r="C72" s="16" t="n"/>
      <c r="D72" s="16" t="n"/>
      <c r="E72" s="16" t="n"/>
      <c r="F72" s="16" t="n"/>
      <c r="G72" s="16" t="n"/>
      <c r="H72" s="32" t="n"/>
      <c r="I72" s="19" t="n"/>
      <c r="J72" s="16" t="n"/>
    </row>
    <row r="73" ht="22" customHeight="1">
      <c r="B73" s="21">
        <f>IF(C73="","INS-"&amp;TEXT(COUNTA($C$5:C73),"000"))</f>
        <v/>
      </c>
      <c r="C73" s="12" t="n"/>
      <c r="D73" s="12" t="n"/>
      <c r="E73" s="12" t="n"/>
      <c r="F73" s="12" t="n"/>
      <c r="G73" s="12" t="n"/>
      <c r="H73" s="31" t="n"/>
      <c r="I73" s="15" t="n"/>
      <c r="J73" s="12" t="n"/>
    </row>
    <row r="74" ht="22" customHeight="1">
      <c r="B74" s="20">
        <f>IF(C74="","INS-"&amp;TEXT(COUNTA($C$5:C74),"000"))</f>
        <v/>
      </c>
      <c r="C74" s="16" t="n"/>
      <c r="D74" s="16" t="n"/>
      <c r="E74" s="16" t="n"/>
      <c r="F74" s="16" t="n"/>
      <c r="G74" s="16" t="n"/>
      <c r="H74" s="32" t="n"/>
      <c r="I74" s="19" t="n"/>
      <c r="J74" s="16" t="n"/>
    </row>
    <row r="75" ht="22" customHeight="1">
      <c r="B75" s="21">
        <f>IF(C75="","INS-"&amp;TEXT(COUNTA($C$5:C75),"000"))</f>
        <v/>
      </c>
      <c r="C75" s="12" t="n"/>
      <c r="D75" s="12" t="n"/>
      <c r="E75" s="12" t="n"/>
      <c r="F75" s="12" t="n"/>
      <c r="G75" s="12" t="n"/>
      <c r="H75" s="31" t="n"/>
      <c r="I75" s="15" t="n"/>
      <c r="J75" s="12" t="n"/>
    </row>
    <row r="76" ht="22" customHeight="1">
      <c r="B76" s="20">
        <f>IF(C76="","INS-"&amp;TEXT(COUNTA($C$5:C76),"000"))</f>
        <v/>
      </c>
      <c r="C76" s="16" t="n"/>
      <c r="D76" s="16" t="n"/>
      <c r="E76" s="16" t="n"/>
      <c r="F76" s="16" t="n"/>
      <c r="G76" s="16" t="n"/>
      <c r="H76" s="32" t="n"/>
      <c r="I76" s="19" t="n"/>
      <c r="J76" s="16" t="n"/>
    </row>
    <row r="77" ht="22" customHeight="1">
      <c r="B77" s="21">
        <f>IF(C77="","INS-"&amp;TEXT(COUNTA($C$5:C77),"000"))</f>
        <v/>
      </c>
      <c r="C77" s="12" t="n"/>
      <c r="D77" s="12" t="n"/>
      <c r="E77" s="12" t="n"/>
      <c r="F77" s="12" t="n"/>
      <c r="G77" s="12" t="n"/>
      <c r="H77" s="31" t="n"/>
      <c r="I77" s="15" t="n"/>
      <c r="J77" s="12" t="n"/>
    </row>
    <row r="78" ht="22" customHeight="1">
      <c r="B78" s="20">
        <f>IF(C78="","INS-"&amp;TEXT(COUNTA($C$5:C78),"000"))</f>
        <v/>
      </c>
      <c r="C78" s="16" t="n"/>
      <c r="D78" s="16" t="n"/>
      <c r="E78" s="16" t="n"/>
      <c r="F78" s="16" t="n"/>
      <c r="G78" s="16" t="n"/>
      <c r="H78" s="32" t="n"/>
      <c r="I78" s="19" t="n"/>
      <c r="J78" s="16" t="n"/>
    </row>
    <row r="79" ht="22" customHeight="1">
      <c r="B79" s="21">
        <f>IF(C79="","INS-"&amp;TEXT(COUNTA($C$5:C79),"000"))</f>
        <v/>
      </c>
      <c r="C79" s="12" t="n"/>
      <c r="D79" s="12" t="n"/>
      <c r="E79" s="12" t="n"/>
      <c r="F79" s="12" t="n"/>
      <c r="G79" s="12" t="n"/>
      <c r="H79" s="31" t="n"/>
      <c r="I79" s="15" t="n"/>
      <c r="J79" s="12" t="n"/>
    </row>
    <row r="80" ht="22" customHeight="1">
      <c r="B80" s="20">
        <f>IF(C80="","INS-"&amp;TEXT(COUNTA($C$5:C80),"000"))</f>
        <v/>
      </c>
      <c r="C80" s="16" t="n"/>
      <c r="D80" s="16" t="n"/>
      <c r="E80" s="16" t="n"/>
      <c r="F80" s="16" t="n"/>
      <c r="G80" s="16" t="n"/>
      <c r="H80" s="32" t="n"/>
      <c r="I80" s="19" t="n"/>
      <c r="J80" s="16" t="n"/>
    </row>
    <row r="81" ht="22" customHeight="1">
      <c r="B81" s="21">
        <f>IF(C81="","INS-"&amp;TEXT(COUNTA($C$5:C81),"000"))</f>
        <v/>
      </c>
      <c r="C81" s="12" t="n"/>
      <c r="D81" s="12" t="n"/>
      <c r="E81" s="12" t="n"/>
      <c r="F81" s="12" t="n"/>
      <c r="G81" s="12" t="n"/>
      <c r="H81" s="31" t="n"/>
      <c r="I81" s="15" t="n"/>
      <c r="J81" s="12" t="n"/>
    </row>
    <row r="82" ht="22" customHeight="1">
      <c r="B82" s="20">
        <f>IF(C82="","INS-"&amp;TEXT(COUNTA($C$5:C82),"000"))</f>
        <v/>
      </c>
      <c r="C82" s="16" t="n"/>
      <c r="D82" s="16" t="n"/>
      <c r="E82" s="16" t="n"/>
      <c r="F82" s="16" t="n"/>
      <c r="G82" s="16" t="n"/>
      <c r="H82" s="32" t="n"/>
      <c r="I82" s="19" t="n"/>
      <c r="J82" s="16" t="n"/>
    </row>
    <row r="83" ht="22" customHeight="1">
      <c r="B83" s="21">
        <f>IF(C83="","INS-"&amp;TEXT(COUNTA($C$5:C83),"000"))</f>
        <v/>
      </c>
      <c r="C83" s="12" t="n"/>
      <c r="D83" s="12" t="n"/>
      <c r="E83" s="12" t="n"/>
      <c r="F83" s="12" t="n"/>
      <c r="G83" s="12" t="n"/>
      <c r="H83" s="31" t="n"/>
      <c r="I83" s="15" t="n"/>
      <c r="J83" s="12" t="n"/>
    </row>
    <row r="84" ht="22" customHeight="1">
      <c r="B84" s="20">
        <f>IF(C84="","INS-"&amp;TEXT(COUNTA($C$5:C84),"000"))</f>
        <v/>
      </c>
      <c r="C84" s="16" t="n"/>
      <c r="D84" s="16" t="n"/>
      <c r="E84" s="16" t="n"/>
      <c r="F84" s="16" t="n"/>
      <c r="G84" s="16" t="n"/>
      <c r="H84" s="32" t="n"/>
      <c r="I84" s="19" t="n"/>
      <c r="J84" s="16" t="n"/>
    </row>
    <row r="85" ht="22" customHeight="1">
      <c r="B85" s="21">
        <f>IF(C85="","INS-"&amp;TEXT(COUNTA($C$5:C85),"000"))</f>
        <v/>
      </c>
      <c r="C85" s="12" t="n"/>
      <c r="D85" s="12" t="n"/>
      <c r="E85" s="12" t="n"/>
      <c r="F85" s="12" t="n"/>
      <c r="G85" s="12" t="n"/>
      <c r="H85" s="31" t="n"/>
      <c r="I85" s="15" t="n"/>
      <c r="J85" s="12" t="n"/>
    </row>
    <row r="86" ht="22" customHeight="1">
      <c r="B86" s="20">
        <f>IF(C86="","INS-"&amp;TEXT(COUNTA($C$5:C86),"000"))</f>
        <v/>
      </c>
      <c r="C86" s="16" t="n"/>
      <c r="D86" s="16" t="n"/>
      <c r="E86" s="16" t="n"/>
      <c r="F86" s="16" t="n"/>
      <c r="G86" s="16" t="n"/>
      <c r="H86" s="32" t="n"/>
      <c r="I86" s="19" t="n"/>
      <c r="J86" s="16" t="n"/>
    </row>
    <row r="87" ht="22" customHeight="1">
      <c r="B87" s="21">
        <f>IF(C87="","INS-"&amp;TEXT(COUNTA($C$5:C87),"000"))</f>
        <v/>
      </c>
      <c r="C87" s="12" t="n"/>
      <c r="D87" s="12" t="n"/>
      <c r="E87" s="12" t="n"/>
      <c r="F87" s="12" t="n"/>
      <c r="G87" s="12" t="n"/>
      <c r="H87" s="31" t="n"/>
      <c r="I87" s="15" t="n"/>
      <c r="J87" s="12" t="n"/>
    </row>
    <row r="88" ht="22" customHeight="1">
      <c r="B88" s="20">
        <f>IF(C88="","INS-"&amp;TEXT(COUNTA($C$5:C88),"000"))</f>
        <v/>
      </c>
      <c r="C88" s="16" t="n"/>
      <c r="D88" s="16" t="n"/>
      <c r="E88" s="16" t="n"/>
      <c r="F88" s="16" t="n"/>
      <c r="G88" s="16" t="n"/>
      <c r="H88" s="32" t="n"/>
      <c r="I88" s="19" t="n"/>
      <c r="J88" s="16" t="n"/>
    </row>
    <row r="89" ht="22" customHeight="1">
      <c r="B89" s="21">
        <f>IF(C89="","INS-"&amp;TEXT(COUNTA($C$5:C89),"000"))</f>
        <v/>
      </c>
      <c r="C89" s="12" t="n"/>
      <c r="D89" s="12" t="n"/>
      <c r="E89" s="12" t="n"/>
      <c r="F89" s="12" t="n"/>
      <c r="G89" s="12" t="n"/>
      <c r="H89" s="31" t="n"/>
      <c r="I89" s="15" t="n"/>
      <c r="J89" s="12" t="n"/>
    </row>
    <row r="90" ht="22" customHeight="1">
      <c r="B90" s="20">
        <f>IF(C90="","INS-"&amp;TEXT(COUNTA($C$5:C90),"000"))</f>
        <v/>
      </c>
      <c r="C90" s="16" t="n"/>
      <c r="D90" s="16" t="n"/>
      <c r="E90" s="16" t="n"/>
      <c r="F90" s="16" t="n"/>
      <c r="G90" s="16" t="n"/>
      <c r="H90" s="32" t="n"/>
      <c r="I90" s="19" t="n"/>
      <c r="J90" s="16" t="n"/>
    </row>
    <row r="91" ht="22" customHeight="1">
      <c r="B91" s="21">
        <f>IF(C91="","INS-"&amp;TEXT(COUNTA($C$5:C91),"000"))</f>
        <v/>
      </c>
      <c r="C91" s="12" t="n"/>
      <c r="D91" s="12" t="n"/>
      <c r="E91" s="12" t="n"/>
      <c r="F91" s="12" t="n"/>
      <c r="G91" s="12" t="n"/>
      <c r="H91" s="31" t="n"/>
      <c r="I91" s="15" t="n"/>
      <c r="J91" s="12" t="n"/>
    </row>
    <row r="92" ht="22" customHeight="1">
      <c r="B92" s="20">
        <f>IF(C92="","INS-"&amp;TEXT(COUNTA($C$5:C92),"000"))</f>
        <v/>
      </c>
      <c r="C92" s="16" t="n"/>
      <c r="D92" s="16" t="n"/>
      <c r="E92" s="16" t="n"/>
      <c r="F92" s="16" t="n"/>
      <c r="G92" s="16" t="n"/>
      <c r="H92" s="32" t="n"/>
      <c r="I92" s="19" t="n"/>
      <c r="J92" s="16" t="n"/>
    </row>
    <row r="93" ht="22" customHeight="1">
      <c r="B93" s="21">
        <f>IF(C93="","INS-"&amp;TEXT(COUNTA($C$5:C93),"000"))</f>
        <v/>
      </c>
      <c r="C93" s="12" t="n"/>
      <c r="D93" s="12" t="n"/>
      <c r="E93" s="12" t="n"/>
      <c r="F93" s="12" t="n"/>
      <c r="G93" s="12" t="n"/>
      <c r="H93" s="31" t="n"/>
      <c r="I93" s="15" t="n"/>
      <c r="J93" s="12" t="n"/>
    </row>
    <row r="94" ht="22" customHeight="1">
      <c r="B94" s="20">
        <f>IF(C94="","INS-"&amp;TEXT(COUNTA($C$5:C94),"000"))</f>
        <v/>
      </c>
      <c r="C94" s="16" t="n"/>
      <c r="D94" s="16" t="n"/>
      <c r="E94" s="16" t="n"/>
      <c r="F94" s="16" t="n"/>
      <c r="G94" s="16" t="n"/>
      <c r="H94" s="32" t="n"/>
      <c r="I94" s="19" t="n"/>
      <c r="J94" s="16" t="n"/>
    </row>
    <row r="95" ht="22" customHeight="1">
      <c r="B95" s="21">
        <f>IF(C95="","INS-"&amp;TEXT(COUNTA($C$5:C95),"000"))</f>
        <v/>
      </c>
      <c r="C95" s="12" t="n"/>
      <c r="D95" s="12" t="n"/>
      <c r="E95" s="12" t="n"/>
      <c r="F95" s="12" t="n"/>
      <c r="G95" s="12" t="n"/>
      <c r="H95" s="31" t="n"/>
      <c r="I95" s="15" t="n"/>
      <c r="J95" s="12" t="n"/>
    </row>
    <row r="96" ht="22" customHeight="1">
      <c r="B96" s="20">
        <f>IF(C96="","INS-"&amp;TEXT(COUNTA($C$5:C96),"000"))</f>
        <v/>
      </c>
      <c r="C96" s="16" t="n"/>
      <c r="D96" s="16" t="n"/>
      <c r="E96" s="16" t="n"/>
      <c r="F96" s="16" t="n"/>
      <c r="G96" s="16" t="n"/>
      <c r="H96" s="32" t="n"/>
      <c r="I96" s="19" t="n"/>
      <c r="J96" s="16" t="n"/>
    </row>
    <row r="97" ht="22" customHeight="1">
      <c r="B97" s="21">
        <f>IF(C97="","INS-"&amp;TEXT(COUNTA($C$5:C97),"000"))</f>
        <v/>
      </c>
      <c r="C97" s="12" t="n"/>
      <c r="D97" s="12" t="n"/>
      <c r="E97" s="12" t="n"/>
      <c r="F97" s="12" t="n"/>
      <c r="G97" s="12" t="n"/>
      <c r="H97" s="31" t="n"/>
      <c r="I97" s="15" t="n"/>
      <c r="J97" s="12" t="n"/>
    </row>
    <row r="98" ht="22" customHeight="1">
      <c r="B98" s="20">
        <f>IF(C98="","INS-"&amp;TEXT(COUNTA($C$5:C98),"000"))</f>
        <v/>
      </c>
      <c r="C98" s="16" t="n"/>
      <c r="D98" s="16" t="n"/>
      <c r="E98" s="16" t="n"/>
      <c r="F98" s="16" t="n"/>
      <c r="G98" s="16" t="n"/>
      <c r="H98" s="32" t="n"/>
      <c r="I98" s="19" t="n"/>
      <c r="J98" s="16" t="n"/>
    </row>
    <row r="99" ht="22" customHeight="1">
      <c r="B99" s="21">
        <f>IF(C99="","INS-"&amp;TEXT(COUNTA($C$5:C99),"000"))</f>
        <v/>
      </c>
      <c r="C99" s="12" t="n"/>
      <c r="D99" s="12" t="n"/>
      <c r="E99" s="12" t="n"/>
      <c r="F99" s="12" t="n"/>
      <c r="G99" s="12" t="n"/>
      <c r="H99" s="31" t="n"/>
      <c r="I99" s="15" t="n"/>
      <c r="J99" s="12" t="n"/>
    </row>
    <row r="100" ht="22" customHeight="1">
      <c r="B100" s="20">
        <f>IF(C100="","INS-"&amp;TEXT(COUNTA($C$5:C100),"000"))</f>
        <v/>
      </c>
      <c r="C100" s="16" t="n"/>
      <c r="D100" s="16" t="n"/>
      <c r="E100" s="16" t="n"/>
      <c r="F100" s="16" t="n"/>
      <c r="G100" s="16" t="n"/>
      <c r="H100" s="32" t="n"/>
      <c r="I100" s="19" t="n"/>
      <c r="J100" s="16" t="n"/>
    </row>
    <row r="101" ht="22" customHeight="1">
      <c r="B101" s="21">
        <f>IF(C101="","INS-"&amp;TEXT(COUNTA($C$5:C101),"000"))</f>
        <v/>
      </c>
      <c r="C101" s="12" t="n"/>
      <c r="D101" s="12" t="n"/>
      <c r="E101" s="12" t="n"/>
      <c r="F101" s="12" t="n"/>
      <c r="G101" s="12" t="n"/>
      <c r="H101" s="31" t="n"/>
      <c r="I101" s="15" t="n"/>
      <c r="J101" s="12" t="n"/>
    </row>
    <row r="102" ht="22" customHeight="1">
      <c r="B102" s="20">
        <f>IF(C102="","INS-"&amp;TEXT(COUNTA($C$5:C102),"000"))</f>
        <v/>
      </c>
      <c r="C102" s="16" t="n"/>
      <c r="D102" s="16" t="n"/>
      <c r="E102" s="16" t="n"/>
      <c r="F102" s="16" t="n"/>
      <c r="G102" s="16" t="n"/>
      <c r="H102" s="32" t="n"/>
      <c r="I102" s="19" t="n"/>
      <c r="J102" s="16" t="n"/>
    </row>
    <row r="103" ht="22" customHeight="1">
      <c r="B103" s="21">
        <f>IF(C103="","INS-"&amp;TEXT(COUNTA($C$5:C103),"000"))</f>
        <v/>
      </c>
      <c r="C103" s="12" t="n"/>
      <c r="D103" s="12" t="n"/>
      <c r="E103" s="12" t="n"/>
      <c r="F103" s="12" t="n"/>
      <c r="G103" s="12" t="n"/>
      <c r="H103" s="31" t="n"/>
      <c r="I103" s="15" t="n"/>
      <c r="J103" s="12" t="n"/>
    </row>
    <row r="104" ht="22" customHeight="1">
      <c r="B104" s="20">
        <f>IF(C104="","INS-"&amp;TEXT(COUNTA($C$5:C104),"000"))</f>
        <v/>
      </c>
      <c r="C104" s="16" t="n"/>
      <c r="D104" s="16" t="n"/>
      <c r="E104" s="16" t="n"/>
      <c r="F104" s="16" t="n"/>
      <c r="G104" s="16" t="n"/>
      <c r="H104" s="32" t="n"/>
      <c r="I104" s="19" t="n"/>
      <c r="J104" s="16" t="n"/>
    </row>
    <row r="105" ht="22" customHeight="1">
      <c r="B105" s="21">
        <f>IF(C105="","INS-"&amp;TEXT(COUNTA($C$5:C105),"000"))</f>
        <v/>
      </c>
      <c r="C105" s="12" t="n"/>
      <c r="D105" s="12" t="n"/>
      <c r="E105" s="12" t="n"/>
      <c r="F105" s="12" t="n"/>
      <c r="G105" s="12" t="n"/>
      <c r="H105" s="31" t="n"/>
      <c r="I105" s="15" t="n"/>
      <c r="J105" s="12" t="n"/>
    </row>
    <row r="106" ht="22" customHeight="1">
      <c r="B106" s="20">
        <f>IF(C106="","INS-"&amp;TEXT(COUNTA($C$5:C106),"000"))</f>
        <v/>
      </c>
      <c r="C106" s="16" t="n"/>
      <c r="D106" s="16" t="n"/>
      <c r="E106" s="16" t="n"/>
      <c r="F106" s="16" t="n"/>
      <c r="G106" s="16" t="n"/>
      <c r="H106" s="32" t="n"/>
      <c r="I106" s="19" t="n"/>
      <c r="J106" s="16" t="n"/>
    </row>
    <row r="107" ht="22" customHeight="1">
      <c r="B107" s="21">
        <f>IF(C107="","INS-"&amp;TEXT(COUNTA($C$5:C107),"000"))</f>
        <v/>
      </c>
      <c r="C107" s="12" t="n"/>
      <c r="D107" s="12" t="n"/>
      <c r="E107" s="12" t="n"/>
      <c r="F107" s="12" t="n"/>
      <c r="G107" s="12" t="n"/>
      <c r="H107" s="31" t="n"/>
      <c r="I107" s="15" t="n"/>
      <c r="J107" s="12" t="n"/>
    </row>
    <row r="108" ht="22" customHeight="1">
      <c r="B108" s="20">
        <f>IF(C108="","INS-"&amp;TEXT(COUNTA($C$5:C108),"000"))</f>
        <v/>
      </c>
      <c r="C108" s="16" t="n"/>
      <c r="D108" s="16" t="n"/>
      <c r="E108" s="16" t="n"/>
      <c r="F108" s="16" t="n"/>
      <c r="G108" s="16" t="n"/>
      <c r="H108" s="32" t="n"/>
      <c r="I108" s="19" t="n"/>
      <c r="J108" s="16" t="n"/>
    </row>
    <row r="109" ht="22" customHeight="1">
      <c r="B109" s="21">
        <f>IF(C109="","INS-"&amp;TEXT(COUNTA($C$5:C109),"000"))</f>
        <v/>
      </c>
      <c r="C109" s="12" t="n"/>
      <c r="D109" s="12" t="n"/>
      <c r="E109" s="12" t="n"/>
      <c r="F109" s="12" t="n"/>
      <c r="G109" s="12" t="n"/>
      <c r="H109" s="31" t="n"/>
      <c r="I109" s="15" t="n"/>
      <c r="J109" s="12" t="n"/>
    </row>
    <row r="111" ht="26" customHeight="1">
      <c r="B111" s="22" t="inlineStr">
        <is>
          <t>TOTAL</t>
        </is>
      </c>
      <c r="C111" s="23" t="n"/>
      <c r="D111" s="23" t="n"/>
      <c r="E111" s="23" t="n"/>
      <c r="F111" s="23" t="n"/>
      <c r="G111" s="23" t="n"/>
      <c r="H111" s="23" t="n"/>
      <c r="I111" s="24">
        <f>SUM(I5:I104)</f>
        <v/>
      </c>
      <c r="J111" s="23" t="n"/>
    </row>
    <row r="113">
      <c r="B113" s="6" t="inlineStr">
        <is>
          <t>INDICATEURS (mis a jour automatiquement)</t>
        </is>
      </c>
    </row>
    <row r="114">
      <c r="B114" s="3" t="inlineStr">
        <is>
          <t>Inscriptions</t>
        </is>
      </c>
      <c r="D114" s="3" t="inlineStr">
        <is>
          <t>Cout total (FCFA)</t>
        </is>
      </c>
      <c r="F114" s="3" t="inlineStr">
        <is>
          <t>En cours</t>
        </is>
      </c>
      <c r="H114" s="3" t="inlineStr">
        <is>
          <t>Terminees</t>
        </is>
      </c>
    </row>
    <row r="115">
      <c r="B115" s="4">
        <f>COUNTIF(B5:B104,"&lt;&gt;")</f>
        <v/>
      </c>
      <c r="D115" s="4">
        <f>SUM(I5:I104)</f>
        <v/>
      </c>
      <c r="F115" s="4">
        <f>COUNTIF(J5:J104,"En cours")</f>
        <v/>
      </c>
      <c r="H115" s="4">
        <f>COUNTIF(J5:J104,"Terminee")</f>
        <v/>
      </c>
    </row>
  </sheetData>
  <mergeCells count="3">
    <mergeCell ref="B113:J113"/>
    <mergeCell ref="B3:J3"/>
    <mergeCell ref="B2:J2"/>
  </mergeCells>
  <conditionalFormatting sqref="J5:J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1">
      <formula>"En attente"</formula>
    </cfRule>
    <cfRule type="cellIs" priority="28" operator="equal" dxfId="1">
      <formula>"A renouveler"</formula>
    </cfRule>
    <cfRule type="cellIs" priority="29" operator="equal" dxfId="1">
      <formula>"En cours"</formula>
    </cfRule>
    <cfRule type="cellIs" priority="30" operator="equal" dxfId="1">
      <formula>"En traitement"</formula>
    </cfRule>
    <cfRule type="cellIs" priority="31" operator="equal" dxfId="1">
      <formula>"En retard"</formula>
    </cfRule>
    <cfRule type="cellIs" priority="32" operator="equal" dxfId="1">
      <formula>"Suspendu"</formula>
    </cfRule>
    <cfRule type="cellIs" priority="33" operator="equal" dxfId="1">
      <formula>"Planifie"</formula>
    </cfRule>
    <cfRule type="cellIs" priority="34" operator="equal" dxfId="1">
      <formula>"Planifiee"</formula>
    </cfRule>
    <cfRule type="cellIs" priority="35" operator="equal" dxfId="1">
      <formula>"Brouillon"</formula>
    </cfRule>
    <cfRule type="cellIs" priority="36" operator="equal" dxfId="1">
      <formula>"En attente de justification"</formula>
    </cfRule>
    <cfRule type="cellIs" priority="37" operator="equal" dxfId="1">
      <formula>"Tolere"</formula>
    </cfRule>
    <cfRule type="cellIs" priority="38" operator="equal" dxfId="1">
      <formula>"Variable"</formula>
    </cfRule>
    <cfRule type="cellIs" priority="39" operator="equal" dxfId="1">
      <formula>"En elaboration"</formula>
    </cfRule>
    <cfRule type="cellIs" priority="40" operator="equal" dxfId="1">
      <formula>"Provisionne"</formula>
    </cfRule>
    <cfRule type="cellIs" priority="41" operator="equal" dxfId="1">
      <formula>"Consomme partiel"</formula>
    </cfRule>
    <cfRule type="cellIs" priority="42" operator="equal" dxfId="1">
      <formula>"Identifie"</formula>
    </cfRule>
    <cfRule type="cellIs" priority="43" operator="equal" dxfId="1">
      <formula>"Priorise"</formula>
    </cfRule>
    <cfRule type="cellIs" priority="44" operator="equal" dxfId="1">
      <formula>"Intermediaire"</formula>
    </cfRule>
    <cfRule type="cellIs" priority="45" operator="equal" dxfId="1">
      <formula>"Non evalue"</formula>
    </cfRule>
    <cfRule type="cellIs" priority="46" operator="equal" dxfId="1">
      <formula>"En cours de realisation"</formula>
    </cfRule>
    <cfRule type="cellIs" priority="47" operator="equal" dxfId="2">
      <formula>"Expire"</formula>
    </cfRule>
    <cfRule type="cellIs" priority="48" operator="equal" dxfId="2">
      <formula>"Rejete"</formula>
    </cfRule>
    <cfRule type="cellIs" priority="49" operator="equal" dxfId="2">
      <formula>"Rejetee"</formula>
    </cfRule>
    <cfRule type="cellIs" priority="50" operator="equal" dxfId="2">
      <formula>"Resilie"</formula>
    </cfRule>
    <cfRule type="cellIs" priority="51" operator="equal" dxfId="2">
      <formula>"Annule"</formula>
    </cfRule>
    <cfRule type="cellIs" priority="52" operator="equal" dxfId="2">
      <formula>"Annulee"</formula>
    </cfRule>
    <cfRule type="cellIs" priority="53" operator="equal" dxfId="2">
      <formula>"Refuse"</formula>
    </cfRule>
    <cfRule type="cellIs" priority="54" operator="equal" dxfId="2">
      <formula>"Non justifie"</formula>
    </cfRule>
    <cfRule type="cellIs" priority="55" operator="equal" dxfId="2">
      <formula>"Non justifiee"</formula>
    </cfRule>
    <cfRule type="cellIs" priority="56" operator="equal" dxfId="2">
      <formula>"Sanctionne"</formula>
    </cfRule>
    <cfRule type="cellIs" priority="57" operator="equal" dxfId="2">
      <formula>"Inaptitude"</formula>
    </cfRule>
    <cfRule type="cellIs" priority="58" operator="equal" dxfId="2">
      <formula>"Absent sans autorisation"</formula>
    </cfRule>
    <cfRule type="cellIs" priority="59" operator="equal" dxfId="2">
      <formula>"Abandon de poste"</formula>
    </cfRule>
    <cfRule type="cellIs" priority="60" operator="equal" dxfId="2">
      <formula>"Non satisfait"</formula>
    </cfRule>
    <cfRule type="cellIs" priority="61" operator="equal" dxfId="2">
      <formula>"Reportee"</formula>
    </cfRule>
    <cfRule type="cellIs" priority="62" operator="equal" dxfId="2">
      <formula>"Depasse"</formula>
    </cfRule>
    <cfRule type="cellIs" priority="63" operator="equal" dxfId="2">
      <formula>"Non utilise"</formula>
    </cfRule>
    <cfRule type="cellIs" priority="64" operator="equal" dxfId="2">
      <formula>"Non applicable"</formula>
    </cfRule>
    <cfRule type="cellIs" priority="65" operator="equal" dxfId="2">
      <formula>"Debutant"</formula>
    </cfRule>
  </conditionalFormatting>
  <conditionalFormatting sqref="B10:B109">
    <cfRule type="expression" priority="66" dxfId="3">
      <formula>AND($C10="",$C9&lt;&gt;"")</formula>
    </cfRule>
  </conditionalFormatting>
  <conditionalFormatting sqref="C10:C109">
    <cfRule type="expression" priority="67" dxfId="3">
      <formula>AND($C10="",$C9&lt;&gt;"")</formula>
    </cfRule>
  </conditionalFormatting>
  <conditionalFormatting sqref="D10:D109">
    <cfRule type="expression" priority="68" dxfId="3">
      <formula>AND($C10="",$C9&lt;&gt;"")</formula>
    </cfRule>
  </conditionalFormatting>
  <conditionalFormatting sqref="E10:E109">
    <cfRule type="expression" priority="69" dxfId="3">
      <formula>AND($C10="",$C9&lt;&gt;"")</formula>
    </cfRule>
  </conditionalFormatting>
  <conditionalFormatting sqref="F10:F109">
    <cfRule type="expression" priority="70" dxfId="3">
      <formula>AND($C10="",$C9&lt;&gt;"")</formula>
    </cfRule>
  </conditionalFormatting>
  <conditionalFormatting sqref="G10:G109">
    <cfRule type="expression" priority="71" dxfId="3">
      <formula>AND($C10="",$C9&lt;&gt;"")</formula>
    </cfRule>
  </conditionalFormatting>
  <conditionalFormatting sqref="H10:H109">
    <cfRule type="expression" priority="72" dxfId="3">
      <formula>AND($C10="",$C9&lt;&gt;"")</formula>
    </cfRule>
  </conditionalFormatting>
  <conditionalFormatting sqref="I10:I109">
    <cfRule type="expression" priority="73" dxfId="3">
      <formula>AND($C10="",$C9&lt;&gt;"")</formula>
    </cfRule>
  </conditionalFormatting>
  <conditionalFormatting sqref="J10:J109">
    <cfRule type="expression" priority="74" dxfId="3">
      <formula>AND($C10="",$C9&lt;&gt;"")</formula>
    </cfRule>
  </conditionalFormatting>
  <dataValidations count="3"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9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J5:J109" showDropDown="0" showInputMessage="0" showErrorMessage="0" allowBlank="1" errorTitle="Erreur" error="Valeur invalide" promptTitle="Liste" prompt="Choisir dans la liste" type="list">
      <formula1>'_Lists'!$G$2:$G$7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16" customWidth="1" min="4" max="4"/>
    <col width="20" customWidth="1" min="5" max="5"/>
    <col width="22" customWidth="1" min="6" max="6"/>
    <col width="14" customWidth="1" min="7" max="7"/>
    <col width="14" customWidth="1" min="8" max="8"/>
    <col width="14" customWidth="1" min="9" max="9"/>
  </cols>
  <sheetData>
    <row r="1" ht="15" customHeight="1"/>
    <row r="2" ht="32" customHeight="1">
      <c r="B2" s="1" t="inlineStr">
        <is>
          <t>FEUILLE DE PRESENCE EN FORMATION (#67)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Action Formation</t>
        </is>
      </c>
      <c r="D4" s="11" t="inlineStr">
        <is>
          <t>Matricule</t>
        </is>
      </c>
      <c r="E4" s="11" t="inlineStr">
        <is>
          <t>Nom Employe</t>
        </is>
      </c>
      <c r="F4" s="11" t="inlineStr">
        <is>
          <t>Departement</t>
        </is>
      </c>
      <c r="G4" s="11" t="inlineStr">
        <is>
          <t>Date Session</t>
        </is>
      </c>
      <c r="H4" s="11" t="inlineStr">
        <is>
          <t>Heure Arrivee</t>
        </is>
      </c>
      <c r="I4" s="11" t="inlineStr">
        <is>
          <t>Presence</t>
        </is>
      </c>
    </row>
    <row r="5" ht="22" customHeight="1">
      <c r="B5" s="12" t="inlineStr">
        <is>
          <t>PRES-001</t>
        </is>
      </c>
      <c r="C5" s="12" t="inlineStr">
        <is>
          <t>PAF-001</t>
        </is>
      </c>
      <c r="D5" s="12" t="inlineStr">
        <is>
          <t>EMP-010</t>
        </is>
      </c>
      <c r="E5" s="12">
        <f>IF(D5="","",VLOOKUP(D5,'_Données Employés'!$B$5:$H$18,4,FALSE)&amp;" "&amp;VLOOKUP(D5,'_Données Employés'!$B$5:$H$18,5,FALSE))</f>
        <v/>
      </c>
      <c r="F5" s="12">
        <f>IF(D5="","",VLOOKUP(D5,'_Données Employés'!$B$5:$H$18,6,FALSE))</f>
        <v/>
      </c>
      <c r="G5" s="31" t="n">
        <v>45726</v>
      </c>
      <c r="H5" s="12" t="inlineStr">
        <is>
          <t>08h00</t>
        </is>
      </c>
      <c r="I5" s="12" t="inlineStr">
        <is>
          <t>Present</t>
        </is>
      </c>
    </row>
    <row r="6" ht="22" customHeight="1">
      <c r="B6" s="16" t="inlineStr">
        <is>
          <t>PRES-002</t>
        </is>
      </c>
      <c r="C6" s="16" t="inlineStr">
        <is>
          <t>PAF-001</t>
        </is>
      </c>
      <c r="D6" s="16" t="inlineStr">
        <is>
          <t>EMP-001</t>
        </is>
      </c>
      <c r="E6" s="16">
        <f>IF(D6="","",VLOOKUP(D6,'_Données Employés'!$B$5:$H$18,4,FALSE)&amp;" "&amp;VLOOKUP(D6,'_Données Employés'!$B$5:$H$18,5,FALSE))</f>
        <v/>
      </c>
      <c r="F6" s="16">
        <f>IF(D6="","",VLOOKUP(D6,'_Données Employés'!$B$5:$H$18,6,FALSE))</f>
        <v/>
      </c>
      <c r="G6" s="32" t="n">
        <v>45726</v>
      </c>
      <c r="H6" s="16" t="inlineStr">
        <is>
          <t>08h05</t>
        </is>
      </c>
      <c r="I6" s="16" t="inlineStr">
        <is>
          <t>Present</t>
        </is>
      </c>
    </row>
    <row r="7" ht="22" customHeight="1">
      <c r="B7" s="12" t="inlineStr">
        <is>
          <t>PRES-003</t>
        </is>
      </c>
      <c r="C7" s="12" t="inlineStr">
        <is>
          <t>PAF-001</t>
        </is>
      </c>
      <c r="D7" s="12" t="inlineStr">
        <is>
          <t>EMP-011</t>
        </is>
      </c>
      <c r="E7" s="12">
        <f>IF(D7="","",VLOOKUP(D7,'_Données Employés'!$B$5:$H$18,4,FALSE)&amp;" "&amp;VLOOKUP(D7,'_Données Employés'!$B$5:$H$18,5,FALSE))</f>
        <v/>
      </c>
      <c r="F7" s="12">
        <f>IF(D7="","",VLOOKUP(D7,'_Données Employés'!$B$5:$H$18,6,FALSE))</f>
        <v/>
      </c>
      <c r="G7" s="31" t="n">
        <v>45726</v>
      </c>
      <c r="H7" s="12" t="inlineStr"/>
      <c r="I7" s="12" t="inlineStr">
        <is>
          <t>Absent</t>
        </is>
      </c>
    </row>
    <row r="8" ht="22" customHeight="1">
      <c r="B8" s="16" t="inlineStr">
        <is>
          <t>PRES-004</t>
        </is>
      </c>
      <c r="C8" s="16" t="inlineStr">
        <is>
          <t>PAF-002</t>
        </is>
      </c>
      <c r="D8" s="16" t="inlineStr">
        <is>
          <t>EMP-004</t>
        </is>
      </c>
      <c r="E8" s="16">
        <f>IF(D8="","",VLOOKUP(D8,'_Données Employés'!$B$5:$H$18,4,FALSE)&amp;" "&amp;VLOOKUP(D8,'_Données Employés'!$B$5:$H$18,5,FALSE))</f>
        <v/>
      </c>
      <c r="F8" s="16">
        <f>IF(D8="","",VLOOKUP(D8,'_Données Employés'!$B$5:$H$18,6,FALSE))</f>
        <v/>
      </c>
      <c r="G8" s="32" t="n">
        <v>45754</v>
      </c>
      <c r="H8" s="16" t="inlineStr">
        <is>
          <t>09h00</t>
        </is>
      </c>
      <c r="I8" s="16" t="inlineStr">
        <is>
          <t>Present</t>
        </is>
      </c>
    </row>
    <row r="9" ht="22" customHeight="1">
      <c r="B9" s="12" t="inlineStr">
        <is>
          <t>PRES-005</t>
        </is>
      </c>
      <c r="C9" s="12" t="inlineStr">
        <is>
          <t>PAF-003</t>
        </is>
      </c>
      <c r="D9" s="12" t="inlineStr">
        <is>
          <t>EMP-006</t>
        </is>
      </c>
      <c r="E9" s="12">
        <f>IF(D9="","",VLOOKUP(D9,'_Données Employés'!$B$5:$H$18,4,FALSE)&amp;" "&amp;VLOOKUP(D9,'_Données Employés'!$B$5:$H$18,5,FALSE))</f>
        <v/>
      </c>
      <c r="F9" s="12">
        <f>IF(D9="","",VLOOKUP(D9,'_Données Employés'!$B$5:$H$18,6,FALSE))</f>
        <v/>
      </c>
      <c r="G9" s="31" t="n">
        <v>45810</v>
      </c>
      <c r="H9" s="12" t="inlineStr">
        <is>
          <t>08h10</t>
        </is>
      </c>
      <c r="I9" s="12" t="inlineStr">
        <is>
          <t>Retard</t>
        </is>
      </c>
    </row>
    <row r="10" ht="22" customHeight="1">
      <c r="B10" s="20">
        <f>IF(C10="","PRES-"&amp;TEXT(COUNTA($C$5:C10),"000"))</f>
        <v/>
      </c>
      <c r="C10" s="16" t="n"/>
      <c r="D10" s="16" t="n"/>
      <c r="E10" s="16" t="n"/>
      <c r="F10" s="16" t="n"/>
      <c r="G10" s="32" t="n"/>
      <c r="H10" s="16" t="n"/>
      <c r="I10" s="16" t="n"/>
    </row>
    <row r="11" ht="22" customHeight="1">
      <c r="B11" s="21">
        <f>IF(C11="","PRES-"&amp;TEXT(COUNTA($C$5:C11),"000"))</f>
        <v/>
      </c>
      <c r="C11" s="12" t="n"/>
      <c r="D11" s="12" t="n"/>
      <c r="E11" s="12" t="n"/>
      <c r="F11" s="12" t="n"/>
      <c r="G11" s="31" t="n"/>
      <c r="H11" s="12" t="n"/>
      <c r="I11" s="12" t="n"/>
    </row>
    <row r="12" ht="22" customHeight="1">
      <c r="B12" s="20">
        <f>IF(C12="","PRES-"&amp;TEXT(COUNTA($C$5:C12),"000"))</f>
        <v/>
      </c>
      <c r="C12" s="16" t="n"/>
      <c r="D12" s="16" t="n"/>
      <c r="E12" s="16" t="n"/>
      <c r="F12" s="16" t="n"/>
      <c r="G12" s="32" t="n"/>
      <c r="H12" s="16" t="n"/>
      <c r="I12" s="16" t="n"/>
    </row>
    <row r="13" ht="22" customHeight="1">
      <c r="B13" s="21">
        <f>IF(C13="","PRES-"&amp;TEXT(COUNTA($C$5:C13),"000"))</f>
        <v/>
      </c>
      <c r="C13" s="12" t="n"/>
      <c r="D13" s="12" t="n"/>
      <c r="E13" s="12" t="n"/>
      <c r="F13" s="12" t="n"/>
      <c r="G13" s="31" t="n"/>
      <c r="H13" s="12" t="n"/>
      <c r="I13" s="12" t="n"/>
    </row>
    <row r="14" ht="22" customHeight="1">
      <c r="B14" s="20">
        <f>IF(C14="","PRES-"&amp;TEXT(COUNTA($C$5:C14),"000"))</f>
        <v/>
      </c>
      <c r="C14" s="16" t="n"/>
      <c r="D14" s="16" t="n"/>
      <c r="E14" s="16" t="n"/>
      <c r="F14" s="16" t="n"/>
      <c r="G14" s="32" t="n"/>
      <c r="H14" s="16" t="n"/>
      <c r="I14" s="16" t="n"/>
    </row>
    <row r="15" ht="22" customHeight="1">
      <c r="B15" s="21">
        <f>IF(C15="","PRES-"&amp;TEXT(COUNTA($C$5:C15),"000"))</f>
        <v/>
      </c>
      <c r="C15" s="12" t="n"/>
      <c r="D15" s="12" t="n"/>
      <c r="E15" s="12" t="n"/>
      <c r="F15" s="12" t="n"/>
      <c r="G15" s="31" t="n"/>
      <c r="H15" s="12" t="n"/>
      <c r="I15" s="12" t="n"/>
    </row>
    <row r="16" ht="22" customHeight="1">
      <c r="B16" s="20">
        <f>IF(C16="","PRES-"&amp;TEXT(COUNTA($C$5:C16),"000"))</f>
        <v/>
      </c>
      <c r="C16" s="16" t="n"/>
      <c r="D16" s="16" t="n"/>
      <c r="E16" s="16" t="n"/>
      <c r="F16" s="16" t="n"/>
      <c r="G16" s="32" t="n"/>
      <c r="H16" s="16" t="n"/>
      <c r="I16" s="16" t="n"/>
    </row>
    <row r="17" ht="22" customHeight="1">
      <c r="B17" s="21">
        <f>IF(C17="","PRES-"&amp;TEXT(COUNTA($C$5:C17),"000"))</f>
        <v/>
      </c>
      <c r="C17" s="12" t="n"/>
      <c r="D17" s="12" t="n"/>
      <c r="E17" s="12" t="n"/>
      <c r="F17" s="12" t="n"/>
      <c r="G17" s="31" t="n"/>
      <c r="H17" s="12" t="n"/>
      <c r="I17" s="12" t="n"/>
    </row>
    <row r="18" ht="22" customHeight="1">
      <c r="B18" s="20">
        <f>IF(C18="","PRES-"&amp;TEXT(COUNTA($C$5:C18),"000"))</f>
        <v/>
      </c>
      <c r="C18" s="16" t="n"/>
      <c r="D18" s="16" t="n"/>
      <c r="E18" s="16" t="n"/>
      <c r="F18" s="16" t="n"/>
      <c r="G18" s="32" t="n"/>
      <c r="H18" s="16" t="n"/>
      <c r="I18" s="16" t="n"/>
    </row>
    <row r="19" ht="22" customHeight="1">
      <c r="B19" s="21">
        <f>IF(C19="","PRES-"&amp;TEXT(COUNTA($C$5:C19),"000"))</f>
        <v/>
      </c>
      <c r="C19" s="12" t="n"/>
      <c r="D19" s="12" t="n"/>
      <c r="E19" s="12" t="n"/>
      <c r="F19" s="12" t="n"/>
      <c r="G19" s="31" t="n"/>
      <c r="H19" s="12" t="n"/>
      <c r="I19" s="12" t="n"/>
    </row>
    <row r="20" ht="22" customHeight="1">
      <c r="B20" s="20">
        <f>IF(C20="","PRES-"&amp;TEXT(COUNTA($C$5:C20),"000"))</f>
        <v/>
      </c>
      <c r="C20" s="16" t="n"/>
      <c r="D20" s="16" t="n"/>
      <c r="E20" s="16" t="n"/>
      <c r="F20" s="16" t="n"/>
      <c r="G20" s="32" t="n"/>
      <c r="H20" s="16" t="n"/>
      <c r="I20" s="16" t="n"/>
    </row>
    <row r="21" ht="22" customHeight="1">
      <c r="B21" s="21">
        <f>IF(C21="","PRES-"&amp;TEXT(COUNTA($C$5:C21),"000"))</f>
        <v/>
      </c>
      <c r="C21" s="12" t="n"/>
      <c r="D21" s="12" t="n"/>
      <c r="E21" s="12" t="n"/>
      <c r="F21" s="12" t="n"/>
      <c r="G21" s="31" t="n"/>
      <c r="H21" s="12" t="n"/>
      <c r="I21" s="12" t="n"/>
    </row>
    <row r="22" ht="22" customHeight="1">
      <c r="B22" s="20">
        <f>IF(C22="","PRES-"&amp;TEXT(COUNTA($C$5:C22),"000"))</f>
        <v/>
      </c>
      <c r="C22" s="16" t="n"/>
      <c r="D22" s="16" t="n"/>
      <c r="E22" s="16" t="n"/>
      <c r="F22" s="16" t="n"/>
      <c r="G22" s="32" t="n"/>
      <c r="H22" s="16" t="n"/>
      <c r="I22" s="16" t="n"/>
    </row>
    <row r="23" ht="22" customHeight="1">
      <c r="B23" s="21">
        <f>IF(C23="","PRES-"&amp;TEXT(COUNTA($C$5:C23),"000"))</f>
        <v/>
      </c>
      <c r="C23" s="12" t="n"/>
      <c r="D23" s="12" t="n"/>
      <c r="E23" s="12" t="n"/>
      <c r="F23" s="12" t="n"/>
      <c r="G23" s="31" t="n"/>
      <c r="H23" s="12" t="n"/>
      <c r="I23" s="12" t="n"/>
    </row>
    <row r="24" ht="22" customHeight="1">
      <c r="B24" s="20">
        <f>IF(C24="","PRES-"&amp;TEXT(COUNTA($C$5:C24),"000"))</f>
        <v/>
      </c>
      <c r="C24" s="16" t="n"/>
      <c r="D24" s="16" t="n"/>
      <c r="E24" s="16" t="n"/>
      <c r="F24" s="16" t="n"/>
      <c r="G24" s="32" t="n"/>
      <c r="H24" s="16" t="n"/>
      <c r="I24" s="16" t="n"/>
    </row>
    <row r="25" ht="22" customHeight="1">
      <c r="B25" s="21">
        <f>IF(C25="","PRES-"&amp;TEXT(COUNTA($C$5:C25),"000"))</f>
        <v/>
      </c>
      <c r="C25" s="12" t="n"/>
      <c r="D25" s="12" t="n"/>
      <c r="E25" s="12" t="n"/>
      <c r="F25" s="12" t="n"/>
      <c r="G25" s="31" t="n"/>
      <c r="H25" s="12" t="n"/>
      <c r="I25" s="12" t="n"/>
    </row>
    <row r="26" ht="22" customHeight="1">
      <c r="B26" s="20">
        <f>IF(C26="","PRES-"&amp;TEXT(COUNTA($C$5:C26),"000"))</f>
        <v/>
      </c>
      <c r="C26" s="16" t="n"/>
      <c r="D26" s="16" t="n"/>
      <c r="E26" s="16" t="n"/>
      <c r="F26" s="16" t="n"/>
      <c r="G26" s="32" t="n"/>
      <c r="H26" s="16" t="n"/>
      <c r="I26" s="16" t="n"/>
    </row>
    <row r="27" ht="22" customHeight="1">
      <c r="B27" s="21">
        <f>IF(C27="","PRES-"&amp;TEXT(COUNTA($C$5:C27),"000"))</f>
        <v/>
      </c>
      <c r="C27" s="12" t="n"/>
      <c r="D27" s="12" t="n"/>
      <c r="E27" s="12" t="n"/>
      <c r="F27" s="12" t="n"/>
      <c r="G27" s="31" t="n"/>
      <c r="H27" s="12" t="n"/>
      <c r="I27" s="12" t="n"/>
    </row>
    <row r="28" ht="22" customHeight="1">
      <c r="B28" s="20">
        <f>IF(C28="","PRES-"&amp;TEXT(COUNTA($C$5:C28),"000"))</f>
        <v/>
      </c>
      <c r="C28" s="16" t="n"/>
      <c r="D28" s="16" t="n"/>
      <c r="E28" s="16" t="n"/>
      <c r="F28" s="16" t="n"/>
      <c r="G28" s="32" t="n"/>
      <c r="H28" s="16" t="n"/>
      <c r="I28" s="16" t="n"/>
    </row>
    <row r="29" ht="22" customHeight="1">
      <c r="B29" s="21">
        <f>IF(C29="","PRES-"&amp;TEXT(COUNTA($C$5:C29),"000"))</f>
        <v/>
      </c>
      <c r="C29" s="12" t="n"/>
      <c r="D29" s="12" t="n"/>
      <c r="E29" s="12" t="n"/>
      <c r="F29" s="12" t="n"/>
      <c r="G29" s="31" t="n"/>
      <c r="H29" s="12" t="n"/>
      <c r="I29" s="12" t="n"/>
    </row>
    <row r="30" ht="22" customHeight="1">
      <c r="B30" s="20">
        <f>IF(C30="","PRES-"&amp;TEXT(COUNTA($C$5:C30),"000"))</f>
        <v/>
      </c>
      <c r="C30" s="16" t="n"/>
      <c r="D30" s="16" t="n"/>
      <c r="E30" s="16" t="n"/>
      <c r="F30" s="16" t="n"/>
      <c r="G30" s="32" t="n"/>
      <c r="H30" s="16" t="n"/>
      <c r="I30" s="16" t="n"/>
    </row>
    <row r="31" ht="22" customHeight="1">
      <c r="B31" s="21">
        <f>IF(C31="","PRES-"&amp;TEXT(COUNTA($C$5:C31),"000"))</f>
        <v/>
      </c>
      <c r="C31" s="12" t="n"/>
      <c r="D31" s="12" t="n"/>
      <c r="E31" s="12" t="n"/>
      <c r="F31" s="12" t="n"/>
      <c r="G31" s="31" t="n"/>
      <c r="H31" s="12" t="n"/>
      <c r="I31" s="12" t="n"/>
    </row>
    <row r="32" ht="22" customHeight="1">
      <c r="B32" s="20">
        <f>IF(C32="","PRES-"&amp;TEXT(COUNTA($C$5:C32),"000"))</f>
        <v/>
      </c>
      <c r="C32" s="16" t="n"/>
      <c r="D32" s="16" t="n"/>
      <c r="E32" s="16" t="n"/>
      <c r="F32" s="16" t="n"/>
      <c r="G32" s="32" t="n"/>
      <c r="H32" s="16" t="n"/>
      <c r="I32" s="16" t="n"/>
    </row>
    <row r="33" ht="22" customHeight="1">
      <c r="B33" s="21">
        <f>IF(C33="","PRES-"&amp;TEXT(COUNTA($C$5:C33),"000"))</f>
        <v/>
      </c>
      <c r="C33" s="12" t="n"/>
      <c r="D33" s="12" t="n"/>
      <c r="E33" s="12" t="n"/>
      <c r="F33" s="12" t="n"/>
      <c r="G33" s="31" t="n"/>
      <c r="H33" s="12" t="n"/>
      <c r="I33" s="12" t="n"/>
    </row>
    <row r="34" ht="22" customHeight="1">
      <c r="B34" s="20">
        <f>IF(C34="","PRES-"&amp;TEXT(COUNTA($C$5:C34),"000"))</f>
        <v/>
      </c>
      <c r="C34" s="16" t="n"/>
      <c r="D34" s="16" t="n"/>
      <c r="E34" s="16" t="n"/>
      <c r="F34" s="16" t="n"/>
      <c r="G34" s="32" t="n"/>
      <c r="H34" s="16" t="n"/>
      <c r="I34" s="16" t="n"/>
    </row>
    <row r="35" ht="22" customHeight="1">
      <c r="B35" s="21">
        <f>IF(C35="","PRES-"&amp;TEXT(COUNTA($C$5:C35),"000"))</f>
        <v/>
      </c>
      <c r="C35" s="12" t="n"/>
      <c r="D35" s="12" t="n"/>
      <c r="E35" s="12" t="n"/>
      <c r="F35" s="12" t="n"/>
      <c r="G35" s="31" t="n"/>
      <c r="H35" s="12" t="n"/>
      <c r="I35" s="12" t="n"/>
    </row>
    <row r="36" ht="22" customHeight="1">
      <c r="B36" s="20">
        <f>IF(C36="","PRES-"&amp;TEXT(COUNTA($C$5:C36),"000"))</f>
        <v/>
      </c>
      <c r="C36" s="16" t="n"/>
      <c r="D36" s="16" t="n"/>
      <c r="E36" s="16" t="n"/>
      <c r="F36" s="16" t="n"/>
      <c r="G36" s="32" t="n"/>
      <c r="H36" s="16" t="n"/>
      <c r="I36" s="16" t="n"/>
    </row>
    <row r="37" ht="22" customHeight="1">
      <c r="B37" s="21">
        <f>IF(C37="","PRES-"&amp;TEXT(COUNTA($C$5:C37),"000"))</f>
        <v/>
      </c>
      <c r="C37" s="12" t="n"/>
      <c r="D37" s="12" t="n"/>
      <c r="E37" s="12" t="n"/>
      <c r="F37" s="12" t="n"/>
      <c r="G37" s="31" t="n"/>
      <c r="H37" s="12" t="n"/>
      <c r="I37" s="12" t="n"/>
    </row>
    <row r="38" ht="22" customHeight="1">
      <c r="B38" s="20">
        <f>IF(C38="","PRES-"&amp;TEXT(COUNTA($C$5:C38),"000"))</f>
        <v/>
      </c>
      <c r="C38" s="16" t="n"/>
      <c r="D38" s="16" t="n"/>
      <c r="E38" s="16" t="n"/>
      <c r="F38" s="16" t="n"/>
      <c r="G38" s="32" t="n"/>
      <c r="H38" s="16" t="n"/>
      <c r="I38" s="16" t="n"/>
    </row>
    <row r="39" ht="22" customHeight="1">
      <c r="B39" s="21">
        <f>IF(C39="","PRES-"&amp;TEXT(COUNTA($C$5:C39),"000"))</f>
        <v/>
      </c>
      <c r="C39" s="12" t="n"/>
      <c r="D39" s="12" t="n"/>
      <c r="E39" s="12" t="n"/>
      <c r="F39" s="12" t="n"/>
      <c r="G39" s="31" t="n"/>
      <c r="H39" s="12" t="n"/>
      <c r="I39" s="12" t="n"/>
    </row>
    <row r="40" ht="22" customHeight="1">
      <c r="B40" s="20">
        <f>IF(C40="","PRES-"&amp;TEXT(COUNTA($C$5:C40),"000"))</f>
        <v/>
      </c>
      <c r="C40" s="16" t="n"/>
      <c r="D40" s="16" t="n"/>
      <c r="E40" s="16" t="n"/>
      <c r="F40" s="16" t="n"/>
      <c r="G40" s="32" t="n"/>
      <c r="H40" s="16" t="n"/>
      <c r="I40" s="16" t="n"/>
    </row>
    <row r="41" ht="22" customHeight="1">
      <c r="B41" s="21">
        <f>IF(C41="","PRES-"&amp;TEXT(COUNTA($C$5:C41),"000"))</f>
        <v/>
      </c>
      <c r="C41" s="12" t="n"/>
      <c r="D41" s="12" t="n"/>
      <c r="E41" s="12" t="n"/>
      <c r="F41" s="12" t="n"/>
      <c r="G41" s="31" t="n"/>
      <c r="H41" s="12" t="n"/>
      <c r="I41" s="12" t="n"/>
    </row>
    <row r="42" ht="22" customHeight="1">
      <c r="B42" s="20">
        <f>IF(C42="","PRES-"&amp;TEXT(COUNTA($C$5:C42),"000"))</f>
        <v/>
      </c>
      <c r="C42" s="16" t="n"/>
      <c r="D42" s="16" t="n"/>
      <c r="E42" s="16" t="n"/>
      <c r="F42" s="16" t="n"/>
      <c r="G42" s="32" t="n"/>
      <c r="H42" s="16" t="n"/>
      <c r="I42" s="16" t="n"/>
    </row>
    <row r="43" ht="22" customHeight="1">
      <c r="B43" s="21">
        <f>IF(C43="","PRES-"&amp;TEXT(COUNTA($C$5:C43),"000"))</f>
        <v/>
      </c>
      <c r="C43" s="12" t="n"/>
      <c r="D43" s="12" t="n"/>
      <c r="E43" s="12" t="n"/>
      <c r="F43" s="12" t="n"/>
      <c r="G43" s="31" t="n"/>
      <c r="H43" s="12" t="n"/>
      <c r="I43" s="12" t="n"/>
    </row>
    <row r="44" ht="22" customHeight="1">
      <c r="B44" s="20">
        <f>IF(C44="","PRES-"&amp;TEXT(COUNTA($C$5:C44),"000"))</f>
        <v/>
      </c>
      <c r="C44" s="16" t="n"/>
      <c r="D44" s="16" t="n"/>
      <c r="E44" s="16" t="n"/>
      <c r="F44" s="16" t="n"/>
      <c r="G44" s="32" t="n"/>
      <c r="H44" s="16" t="n"/>
      <c r="I44" s="16" t="n"/>
    </row>
    <row r="45" ht="22" customHeight="1">
      <c r="B45" s="21">
        <f>IF(C45="","PRES-"&amp;TEXT(COUNTA($C$5:C45),"000"))</f>
        <v/>
      </c>
      <c r="C45" s="12" t="n"/>
      <c r="D45" s="12" t="n"/>
      <c r="E45" s="12" t="n"/>
      <c r="F45" s="12" t="n"/>
      <c r="G45" s="31" t="n"/>
      <c r="H45" s="12" t="n"/>
      <c r="I45" s="12" t="n"/>
    </row>
    <row r="46" ht="22" customHeight="1">
      <c r="B46" s="20">
        <f>IF(C46="","PRES-"&amp;TEXT(COUNTA($C$5:C46),"000"))</f>
        <v/>
      </c>
      <c r="C46" s="16" t="n"/>
      <c r="D46" s="16" t="n"/>
      <c r="E46" s="16" t="n"/>
      <c r="F46" s="16" t="n"/>
      <c r="G46" s="32" t="n"/>
      <c r="H46" s="16" t="n"/>
      <c r="I46" s="16" t="n"/>
    </row>
    <row r="47" ht="22" customHeight="1">
      <c r="B47" s="21">
        <f>IF(C47="","PRES-"&amp;TEXT(COUNTA($C$5:C47),"000"))</f>
        <v/>
      </c>
      <c r="C47" s="12" t="n"/>
      <c r="D47" s="12" t="n"/>
      <c r="E47" s="12" t="n"/>
      <c r="F47" s="12" t="n"/>
      <c r="G47" s="31" t="n"/>
      <c r="H47" s="12" t="n"/>
      <c r="I47" s="12" t="n"/>
    </row>
    <row r="48" ht="22" customHeight="1">
      <c r="B48" s="20">
        <f>IF(C48="","PRES-"&amp;TEXT(COUNTA($C$5:C48),"000"))</f>
        <v/>
      </c>
      <c r="C48" s="16" t="n"/>
      <c r="D48" s="16" t="n"/>
      <c r="E48" s="16" t="n"/>
      <c r="F48" s="16" t="n"/>
      <c r="G48" s="32" t="n"/>
      <c r="H48" s="16" t="n"/>
      <c r="I48" s="16" t="n"/>
    </row>
    <row r="49" ht="22" customHeight="1">
      <c r="B49" s="21">
        <f>IF(C49="","PRES-"&amp;TEXT(COUNTA($C$5:C49),"000"))</f>
        <v/>
      </c>
      <c r="C49" s="12" t="n"/>
      <c r="D49" s="12" t="n"/>
      <c r="E49" s="12" t="n"/>
      <c r="F49" s="12" t="n"/>
      <c r="G49" s="31" t="n"/>
      <c r="H49" s="12" t="n"/>
      <c r="I49" s="12" t="n"/>
    </row>
    <row r="50" ht="22" customHeight="1">
      <c r="B50" s="20">
        <f>IF(C50="","PRES-"&amp;TEXT(COUNTA($C$5:C50),"000"))</f>
        <v/>
      </c>
      <c r="C50" s="16" t="n"/>
      <c r="D50" s="16" t="n"/>
      <c r="E50" s="16" t="n"/>
      <c r="F50" s="16" t="n"/>
      <c r="G50" s="32" t="n"/>
      <c r="H50" s="16" t="n"/>
      <c r="I50" s="16" t="n"/>
    </row>
    <row r="51" ht="22" customHeight="1">
      <c r="B51" s="21">
        <f>IF(C51="","PRES-"&amp;TEXT(COUNTA($C$5:C51),"000"))</f>
        <v/>
      </c>
      <c r="C51" s="12" t="n"/>
      <c r="D51" s="12" t="n"/>
      <c r="E51" s="12" t="n"/>
      <c r="F51" s="12" t="n"/>
      <c r="G51" s="31" t="n"/>
      <c r="H51" s="12" t="n"/>
      <c r="I51" s="12" t="n"/>
    </row>
    <row r="52" ht="22" customHeight="1">
      <c r="B52" s="20">
        <f>IF(C52="","PRES-"&amp;TEXT(COUNTA($C$5:C52),"000"))</f>
        <v/>
      </c>
      <c r="C52" s="16" t="n"/>
      <c r="D52" s="16" t="n"/>
      <c r="E52" s="16" t="n"/>
      <c r="F52" s="16" t="n"/>
      <c r="G52" s="32" t="n"/>
      <c r="H52" s="16" t="n"/>
      <c r="I52" s="16" t="n"/>
    </row>
    <row r="53" ht="22" customHeight="1">
      <c r="B53" s="21">
        <f>IF(C53="","PRES-"&amp;TEXT(COUNTA($C$5:C53),"000"))</f>
        <v/>
      </c>
      <c r="C53" s="12" t="n"/>
      <c r="D53" s="12" t="n"/>
      <c r="E53" s="12" t="n"/>
      <c r="F53" s="12" t="n"/>
      <c r="G53" s="31" t="n"/>
      <c r="H53" s="12" t="n"/>
      <c r="I53" s="12" t="n"/>
    </row>
    <row r="54" ht="22" customHeight="1">
      <c r="B54" s="20">
        <f>IF(C54="","PRES-"&amp;TEXT(COUNTA($C$5:C54),"000"))</f>
        <v/>
      </c>
      <c r="C54" s="16" t="n"/>
      <c r="D54" s="16" t="n"/>
      <c r="E54" s="16" t="n"/>
      <c r="F54" s="16" t="n"/>
      <c r="G54" s="32" t="n"/>
      <c r="H54" s="16" t="n"/>
      <c r="I54" s="16" t="n"/>
    </row>
    <row r="55" ht="22" customHeight="1">
      <c r="B55" s="21">
        <f>IF(C55="","PRES-"&amp;TEXT(COUNTA($C$5:C55),"000"))</f>
        <v/>
      </c>
      <c r="C55" s="12" t="n"/>
      <c r="D55" s="12" t="n"/>
      <c r="E55" s="12" t="n"/>
      <c r="F55" s="12" t="n"/>
      <c r="G55" s="31" t="n"/>
      <c r="H55" s="12" t="n"/>
      <c r="I55" s="12" t="n"/>
    </row>
    <row r="56" ht="22" customHeight="1">
      <c r="B56" s="20">
        <f>IF(C56="","PRES-"&amp;TEXT(COUNTA($C$5:C56),"000"))</f>
        <v/>
      </c>
      <c r="C56" s="16" t="n"/>
      <c r="D56" s="16" t="n"/>
      <c r="E56" s="16" t="n"/>
      <c r="F56" s="16" t="n"/>
      <c r="G56" s="32" t="n"/>
      <c r="H56" s="16" t="n"/>
      <c r="I56" s="16" t="n"/>
    </row>
    <row r="57" ht="22" customHeight="1">
      <c r="B57" s="21">
        <f>IF(C57="","PRES-"&amp;TEXT(COUNTA($C$5:C57),"000"))</f>
        <v/>
      </c>
      <c r="C57" s="12" t="n"/>
      <c r="D57" s="12" t="n"/>
      <c r="E57" s="12" t="n"/>
      <c r="F57" s="12" t="n"/>
      <c r="G57" s="31" t="n"/>
      <c r="H57" s="12" t="n"/>
      <c r="I57" s="12" t="n"/>
    </row>
    <row r="58" ht="22" customHeight="1">
      <c r="B58" s="20">
        <f>IF(C58="","PRES-"&amp;TEXT(COUNTA($C$5:C58),"000"))</f>
        <v/>
      </c>
      <c r="C58" s="16" t="n"/>
      <c r="D58" s="16" t="n"/>
      <c r="E58" s="16" t="n"/>
      <c r="F58" s="16" t="n"/>
      <c r="G58" s="32" t="n"/>
      <c r="H58" s="16" t="n"/>
      <c r="I58" s="16" t="n"/>
    </row>
    <row r="59" ht="22" customHeight="1">
      <c r="B59" s="21">
        <f>IF(C59="","PRES-"&amp;TEXT(COUNTA($C$5:C59),"000"))</f>
        <v/>
      </c>
      <c r="C59" s="12" t="n"/>
      <c r="D59" s="12" t="n"/>
      <c r="E59" s="12" t="n"/>
      <c r="F59" s="12" t="n"/>
      <c r="G59" s="31" t="n"/>
      <c r="H59" s="12" t="n"/>
      <c r="I59" s="12" t="n"/>
    </row>
    <row r="60" ht="22" customHeight="1">
      <c r="B60" s="20">
        <f>IF(C60="","PRES-"&amp;TEXT(COUNTA($C$5:C60),"000"))</f>
        <v/>
      </c>
      <c r="C60" s="16" t="n"/>
      <c r="D60" s="16" t="n"/>
      <c r="E60" s="16" t="n"/>
      <c r="F60" s="16" t="n"/>
      <c r="G60" s="32" t="n"/>
      <c r="H60" s="16" t="n"/>
      <c r="I60" s="16" t="n"/>
    </row>
    <row r="61" ht="22" customHeight="1">
      <c r="B61" s="21">
        <f>IF(C61="","PRES-"&amp;TEXT(COUNTA($C$5:C61),"000"))</f>
        <v/>
      </c>
      <c r="C61" s="12" t="n"/>
      <c r="D61" s="12" t="n"/>
      <c r="E61" s="12" t="n"/>
      <c r="F61" s="12" t="n"/>
      <c r="G61" s="31" t="n"/>
      <c r="H61" s="12" t="n"/>
      <c r="I61" s="12" t="n"/>
    </row>
    <row r="62" ht="22" customHeight="1">
      <c r="B62" s="20">
        <f>IF(C62="","PRES-"&amp;TEXT(COUNTA($C$5:C62),"000"))</f>
        <v/>
      </c>
      <c r="C62" s="16" t="n"/>
      <c r="D62" s="16" t="n"/>
      <c r="E62" s="16" t="n"/>
      <c r="F62" s="16" t="n"/>
      <c r="G62" s="32" t="n"/>
      <c r="H62" s="16" t="n"/>
      <c r="I62" s="16" t="n"/>
    </row>
    <row r="63" ht="22" customHeight="1">
      <c r="B63" s="21">
        <f>IF(C63="","PRES-"&amp;TEXT(COUNTA($C$5:C63),"000"))</f>
        <v/>
      </c>
      <c r="C63" s="12" t="n"/>
      <c r="D63" s="12" t="n"/>
      <c r="E63" s="12" t="n"/>
      <c r="F63" s="12" t="n"/>
      <c r="G63" s="31" t="n"/>
      <c r="H63" s="12" t="n"/>
      <c r="I63" s="12" t="n"/>
    </row>
    <row r="64" ht="22" customHeight="1">
      <c r="B64" s="20">
        <f>IF(C64="","PRES-"&amp;TEXT(COUNTA($C$5:C64),"000"))</f>
        <v/>
      </c>
      <c r="C64" s="16" t="n"/>
      <c r="D64" s="16" t="n"/>
      <c r="E64" s="16" t="n"/>
      <c r="F64" s="16" t="n"/>
      <c r="G64" s="32" t="n"/>
      <c r="H64" s="16" t="n"/>
      <c r="I64" s="16" t="n"/>
    </row>
    <row r="65" ht="22" customHeight="1">
      <c r="B65" s="21">
        <f>IF(C65="","PRES-"&amp;TEXT(COUNTA($C$5:C65),"000"))</f>
        <v/>
      </c>
      <c r="C65" s="12" t="n"/>
      <c r="D65" s="12" t="n"/>
      <c r="E65" s="12" t="n"/>
      <c r="F65" s="12" t="n"/>
      <c r="G65" s="31" t="n"/>
      <c r="H65" s="12" t="n"/>
      <c r="I65" s="12" t="n"/>
    </row>
    <row r="66" ht="22" customHeight="1">
      <c r="B66" s="20">
        <f>IF(C66="","PRES-"&amp;TEXT(COUNTA($C$5:C66),"000"))</f>
        <v/>
      </c>
      <c r="C66" s="16" t="n"/>
      <c r="D66" s="16" t="n"/>
      <c r="E66" s="16" t="n"/>
      <c r="F66" s="16" t="n"/>
      <c r="G66" s="32" t="n"/>
      <c r="H66" s="16" t="n"/>
      <c r="I66" s="16" t="n"/>
    </row>
    <row r="67" ht="22" customHeight="1">
      <c r="B67" s="21">
        <f>IF(C67="","PRES-"&amp;TEXT(COUNTA($C$5:C67),"000"))</f>
        <v/>
      </c>
      <c r="C67" s="12" t="n"/>
      <c r="D67" s="12" t="n"/>
      <c r="E67" s="12" t="n"/>
      <c r="F67" s="12" t="n"/>
      <c r="G67" s="31" t="n"/>
      <c r="H67" s="12" t="n"/>
      <c r="I67" s="12" t="n"/>
    </row>
    <row r="68" ht="22" customHeight="1">
      <c r="B68" s="20">
        <f>IF(C68="","PRES-"&amp;TEXT(COUNTA($C$5:C68),"000"))</f>
        <v/>
      </c>
      <c r="C68" s="16" t="n"/>
      <c r="D68" s="16" t="n"/>
      <c r="E68" s="16" t="n"/>
      <c r="F68" s="16" t="n"/>
      <c r="G68" s="32" t="n"/>
      <c r="H68" s="16" t="n"/>
      <c r="I68" s="16" t="n"/>
    </row>
    <row r="69" ht="22" customHeight="1">
      <c r="B69" s="21">
        <f>IF(C69="","PRES-"&amp;TEXT(COUNTA($C$5:C69),"000"))</f>
        <v/>
      </c>
      <c r="C69" s="12" t="n"/>
      <c r="D69" s="12" t="n"/>
      <c r="E69" s="12" t="n"/>
      <c r="F69" s="12" t="n"/>
      <c r="G69" s="31" t="n"/>
      <c r="H69" s="12" t="n"/>
      <c r="I69" s="12" t="n"/>
    </row>
    <row r="70" ht="22" customHeight="1">
      <c r="B70" s="20">
        <f>IF(C70="","PRES-"&amp;TEXT(COUNTA($C$5:C70),"000"))</f>
        <v/>
      </c>
      <c r="C70" s="16" t="n"/>
      <c r="D70" s="16" t="n"/>
      <c r="E70" s="16" t="n"/>
      <c r="F70" s="16" t="n"/>
      <c r="G70" s="32" t="n"/>
      <c r="H70" s="16" t="n"/>
      <c r="I70" s="16" t="n"/>
    </row>
    <row r="71" ht="22" customHeight="1">
      <c r="B71" s="21">
        <f>IF(C71="","PRES-"&amp;TEXT(COUNTA($C$5:C71),"000"))</f>
        <v/>
      </c>
      <c r="C71" s="12" t="n"/>
      <c r="D71" s="12" t="n"/>
      <c r="E71" s="12" t="n"/>
      <c r="F71" s="12" t="n"/>
      <c r="G71" s="31" t="n"/>
      <c r="H71" s="12" t="n"/>
      <c r="I71" s="12" t="n"/>
    </row>
    <row r="72" ht="22" customHeight="1">
      <c r="B72" s="20">
        <f>IF(C72="","PRES-"&amp;TEXT(COUNTA($C$5:C72),"000"))</f>
        <v/>
      </c>
      <c r="C72" s="16" t="n"/>
      <c r="D72" s="16" t="n"/>
      <c r="E72" s="16" t="n"/>
      <c r="F72" s="16" t="n"/>
      <c r="G72" s="32" t="n"/>
      <c r="H72" s="16" t="n"/>
      <c r="I72" s="16" t="n"/>
    </row>
    <row r="73" ht="22" customHeight="1">
      <c r="B73" s="21">
        <f>IF(C73="","PRES-"&amp;TEXT(COUNTA($C$5:C73),"000"))</f>
        <v/>
      </c>
      <c r="C73" s="12" t="n"/>
      <c r="D73" s="12" t="n"/>
      <c r="E73" s="12" t="n"/>
      <c r="F73" s="12" t="n"/>
      <c r="G73" s="31" t="n"/>
      <c r="H73" s="12" t="n"/>
      <c r="I73" s="12" t="n"/>
    </row>
    <row r="74" ht="22" customHeight="1">
      <c r="B74" s="20">
        <f>IF(C74="","PRES-"&amp;TEXT(COUNTA($C$5:C74),"000"))</f>
        <v/>
      </c>
      <c r="C74" s="16" t="n"/>
      <c r="D74" s="16" t="n"/>
      <c r="E74" s="16" t="n"/>
      <c r="F74" s="16" t="n"/>
      <c r="G74" s="32" t="n"/>
      <c r="H74" s="16" t="n"/>
      <c r="I74" s="16" t="n"/>
    </row>
    <row r="75" ht="22" customHeight="1">
      <c r="B75" s="21">
        <f>IF(C75="","PRES-"&amp;TEXT(COUNTA($C$5:C75),"000"))</f>
        <v/>
      </c>
      <c r="C75" s="12" t="n"/>
      <c r="D75" s="12" t="n"/>
      <c r="E75" s="12" t="n"/>
      <c r="F75" s="12" t="n"/>
      <c r="G75" s="31" t="n"/>
      <c r="H75" s="12" t="n"/>
      <c r="I75" s="12" t="n"/>
    </row>
    <row r="76" ht="22" customHeight="1">
      <c r="B76" s="20">
        <f>IF(C76="","PRES-"&amp;TEXT(COUNTA($C$5:C76),"000"))</f>
        <v/>
      </c>
      <c r="C76" s="16" t="n"/>
      <c r="D76" s="16" t="n"/>
      <c r="E76" s="16" t="n"/>
      <c r="F76" s="16" t="n"/>
      <c r="G76" s="32" t="n"/>
      <c r="H76" s="16" t="n"/>
      <c r="I76" s="16" t="n"/>
    </row>
    <row r="77" ht="22" customHeight="1">
      <c r="B77" s="21">
        <f>IF(C77="","PRES-"&amp;TEXT(COUNTA($C$5:C77),"000"))</f>
        <v/>
      </c>
      <c r="C77" s="12" t="n"/>
      <c r="D77" s="12" t="n"/>
      <c r="E77" s="12" t="n"/>
      <c r="F77" s="12" t="n"/>
      <c r="G77" s="31" t="n"/>
      <c r="H77" s="12" t="n"/>
      <c r="I77" s="12" t="n"/>
    </row>
    <row r="78" ht="22" customHeight="1">
      <c r="B78" s="20">
        <f>IF(C78="","PRES-"&amp;TEXT(COUNTA($C$5:C78),"000"))</f>
        <v/>
      </c>
      <c r="C78" s="16" t="n"/>
      <c r="D78" s="16" t="n"/>
      <c r="E78" s="16" t="n"/>
      <c r="F78" s="16" t="n"/>
      <c r="G78" s="32" t="n"/>
      <c r="H78" s="16" t="n"/>
      <c r="I78" s="16" t="n"/>
    </row>
    <row r="79" ht="22" customHeight="1">
      <c r="B79" s="21">
        <f>IF(C79="","PRES-"&amp;TEXT(COUNTA($C$5:C79),"000"))</f>
        <v/>
      </c>
      <c r="C79" s="12" t="n"/>
      <c r="D79" s="12" t="n"/>
      <c r="E79" s="12" t="n"/>
      <c r="F79" s="12" t="n"/>
      <c r="G79" s="31" t="n"/>
      <c r="H79" s="12" t="n"/>
      <c r="I79" s="12" t="n"/>
    </row>
    <row r="80" ht="22" customHeight="1">
      <c r="B80" s="20">
        <f>IF(C80="","PRES-"&amp;TEXT(COUNTA($C$5:C80),"000"))</f>
        <v/>
      </c>
      <c r="C80" s="16" t="n"/>
      <c r="D80" s="16" t="n"/>
      <c r="E80" s="16" t="n"/>
      <c r="F80" s="16" t="n"/>
      <c r="G80" s="32" t="n"/>
      <c r="H80" s="16" t="n"/>
      <c r="I80" s="16" t="n"/>
    </row>
    <row r="81" ht="22" customHeight="1">
      <c r="B81" s="21">
        <f>IF(C81="","PRES-"&amp;TEXT(COUNTA($C$5:C81),"000"))</f>
        <v/>
      </c>
      <c r="C81" s="12" t="n"/>
      <c r="D81" s="12" t="n"/>
      <c r="E81" s="12" t="n"/>
      <c r="F81" s="12" t="n"/>
      <c r="G81" s="31" t="n"/>
      <c r="H81" s="12" t="n"/>
      <c r="I81" s="12" t="n"/>
    </row>
    <row r="82" ht="22" customHeight="1">
      <c r="B82" s="20">
        <f>IF(C82="","PRES-"&amp;TEXT(COUNTA($C$5:C82),"000"))</f>
        <v/>
      </c>
      <c r="C82" s="16" t="n"/>
      <c r="D82" s="16" t="n"/>
      <c r="E82" s="16" t="n"/>
      <c r="F82" s="16" t="n"/>
      <c r="G82" s="32" t="n"/>
      <c r="H82" s="16" t="n"/>
      <c r="I82" s="16" t="n"/>
    </row>
    <row r="83" ht="22" customHeight="1">
      <c r="B83" s="21">
        <f>IF(C83="","PRES-"&amp;TEXT(COUNTA($C$5:C83),"000"))</f>
        <v/>
      </c>
      <c r="C83" s="12" t="n"/>
      <c r="D83" s="12" t="n"/>
      <c r="E83" s="12" t="n"/>
      <c r="F83" s="12" t="n"/>
      <c r="G83" s="31" t="n"/>
      <c r="H83" s="12" t="n"/>
      <c r="I83" s="12" t="n"/>
    </row>
    <row r="84" ht="22" customHeight="1">
      <c r="B84" s="20">
        <f>IF(C84="","PRES-"&amp;TEXT(COUNTA($C$5:C84),"000"))</f>
        <v/>
      </c>
      <c r="C84" s="16" t="n"/>
      <c r="D84" s="16" t="n"/>
      <c r="E84" s="16" t="n"/>
      <c r="F84" s="16" t="n"/>
      <c r="G84" s="32" t="n"/>
      <c r="H84" s="16" t="n"/>
      <c r="I84" s="16" t="n"/>
    </row>
    <row r="85" ht="22" customHeight="1">
      <c r="B85" s="21">
        <f>IF(C85="","PRES-"&amp;TEXT(COUNTA($C$5:C85),"000"))</f>
        <v/>
      </c>
      <c r="C85" s="12" t="n"/>
      <c r="D85" s="12" t="n"/>
      <c r="E85" s="12" t="n"/>
      <c r="F85" s="12" t="n"/>
      <c r="G85" s="31" t="n"/>
      <c r="H85" s="12" t="n"/>
      <c r="I85" s="12" t="n"/>
    </row>
    <row r="86" ht="22" customHeight="1">
      <c r="B86" s="20">
        <f>IF(C86="","PRES-"&amp;TEXT(COUNTA($C$5:C86),"000"))</f>
        <v/>
      </c>
      <c r="C86" s="16" t="n"/>
      <c r="D86" s="16" t="n"/>
      <c r="E86" s="16" t="n"/>
      <c r="F86" s="16" t="n"/>
      <c r="G86" s="32" t="n"/>
      <c r="H86" s="16" t="n"/>
      <c r="I86" s="16" t="n"/>
    </row>
    <row r="87" ht="22" customHeight="1">
      <c r="B87" s="21">
        <f>IF(C87="","PRES-"&amp;TEXT(COUNTA($C$5:C87),"000"))</f>
        <v/>
      </c>
      <c r="C87" s="12" t="n"/>
      <c r="D87" s="12" t="n"/>
      <c r="E87" s="12" t="n"/>
      <c r="F87" s="12" t="n"/>
      <c r="G87" s="31" t="n"/>
      <c r="H87" s="12" t="n"/>
      <c r="I87" s="12" t="n"/>
    </row>
    <row r="88" ht="22" customHeight="1">
      <c r="B88" s="20">
        <f>IF(C88="","PRES-"&amp;TEXT(COUNTA($C$5:C88),"000"))</f>
        <v/>
      </c>
      <c r="C88" s="16" t="n"/>
      <c r="D88" s="16" t="n"/>
      <c r="E88" s="16" t="n"/>
      <c r="F88" s="16" t="n"/>
      <c r="G88" s="32" t="n"/>
      <c r="H88" s="16" t="n"/>
      <c r="I88" s="16" t="n"/>
    </row>
    <row r="89" ht="22" customHeight="1">
      <c r="B89" s="21">
        <f>IF(C89="","PRES-"&amp;TEXT(COUNTA($C$5:C89),"000"))</f>
        <v/>
      </c>
      <c r="C89" s="12" t="n"/>
      <c r="D89" s="12" t="n"/>
      <c r="E89" s="12" t="n"/>
      <c r="F89" s="12" t="n"/>
      <c r="G89" s="31" t="n"/>
      <c r="H89" s="12" t="n"/>
      <c r="I89" s="12" t="n"/>
    </row>
    <row r="90" ht="22" customHeight="1">
      <c r="B90" s="20">
        <f>IF(C90="","PRES-"&amp;TEXT(COUNTA($C$5:C90),"000"))</f>
        <v/>
      </c>
      <c r="C90" s="16" t="n"/>
      <c r="D90" s="16" t="n"/>
      <c r="E90" s="16" t="n"/>
      <c r="F90" s="16" t="n"/>
      <c r="G90" s="32" t="n"/>
      <c r="H90" s="16" t="n"/>
      <c r="I90" s="16" t="n"/>
    </row>
    <row r="91" ht="22" customHeight="1">
      <c r="B91" s="21">
        <f>IF(C91="","PRES-"&amp;TEXT(COUNTA($C$5:C91),"000"))</f>
        <v/>
      </c>
      <c r="C91" s="12" t="n"/>
      <c r="D91" s="12" t="n"/>
      <c r="E91" s="12" t="n"/>
      <c r="F91" s="12" t="n"/>
      <c r="G91" s="31" t="n"/>
      <c r="H91" s="12" t="n"/>
      <c r="I91" s="12" t="n"/>
    </row>
    <row r="92" ht="22" customHeight="1">
      <c r="B92" s="20">
        <f>IF(C92="","PRES-"&amp;TEXT(COUNTA($C$5:C92),"000"))</f>
        <v/>
      </c>
      <c r="C92" s="16" t="n"/>
      <c r="D92" s="16" t="n"/>
      <c r="E92" s="16" t="n"/>
      <c r="F92" s="16" t="n"/>
      <c r="G92" s="32" t="n"/>
      <c r="H92" s="16" t="n"/>
      <c r="I92" s="16" t="n"/>
    </row>
    <row r="93" ht="22" customHeight="1">
      <c r="B93" s="21">
        <f>IF(C93="","PRES-"&amp;TEXT(COUNTA($C$5:C93),"000"))</f>
        <v/>
      </c>
      <c r="C93" s="12" t="n"/>
      <c r="D93" s="12" t="n"/>
      <c r="E93" s="12" t="n"/>
      <c r="F93" s="12" t="n"/>
      <c r="G93" s="31" t="n"/>
      <c r="H93" s="12" t="n"/>
      <c r="I93" s="12" t="n"/>
    </row>
    <row r="94" ht="22" customHeight="1">
      <c r="B94" s="20">
        <f>IF(C94="","PRES-"&amp;TEXT(COUNTA($C$5:C94),"000"))</f>
        <v/>
      </c>
      <c r="C94" s="16" t="n"/>
      <c r="D94" s="16" t="n"/>
      <c r="E94" s="16" t="n"/>
      <c r="F94" s="16" t="n"/>
      <c r="G94" s="32" t="n"/>
      <c r="H94" s="16" t="n"/>
      <c r="I94" s="16" t="n"/>
    </row>
    <row r="95" ht="22" customHeight="1">
      <c r="B95" s="21">
        <f>IF(C95="","PRES-"&amp;TEXT(COUNTA($C$5:C95),"000"))</f>
        <v/>
      </c>
      <c r="C95" s="12" t="n"/>
      <c r="D95" s="12" t="n"/>
      <c r="E95" s="12" t="n"/>
      <c r="F95" s="12" t="n"/>
      <c r="G95" s="31" t="n"/>
      <c r="H95" s="12" t="n"/>
      <c r="I95" s="12" t="n"/>
    </row>
    <row r="96" ht="22" customHeight="1">
      <c r="B96" s="20">
        <f>IF(C96="","PRES-"&amp;TEXT(COUNTA($C$5:C96),"000"))</f>
        <v/>
      </c>
      <c r="C96" s="16" t="n"/>
      <c r="D96" s="16" t="n"/>
      <c r="E96" s="16" t="n"/>
      <c r="F96" s="16" t="n"/>
      <c r="G96" s="32" t="n"/>
      <c r="H96" s="16" t="n"/>
      <c r="I96" s="16" t="n"/>
    </row>
    <row r="97" ht="22" customHeight="1">
      <c r="B97" s="21">
        <f>IF(C97="","PRES-"&amp;TEXT(COUNTA($C$5:C97),"000"))</f>
        <v/>
      </c>
      <c r="C97" s="12" t="n"/>
      <c r="D97" s="12" t="n"/>
      <c r="E97" s="12" t="n"/>
      <c r="F97" s="12" t="n"/>
      <c r="G97" s="31" t="n"/>
      <c r="H97" s="12" t="n"/>
      <c r="I97" s="12" t="n"/>
    </row>
    <row r="98" ht="22" customHeight="1">
      <c r="B98" s="20">
        <f>IF(C98="","PRES-"&amp;TEXT(COUNTA($C$5:C98),"000"))</f>
        <v/>
      </c>
      <c r="C98" s="16" t="n"/>
      <c r="D98" s="16" t="n"/>
      <c r="E98" s="16" t="n"/>
      <c r="F98" s="16" t="n"/>
      <c r="G98" s="32" t="n"/>
      <c r="H98" s="16" t="n"/>
      <c r="I98" s="16" t="n"/>
    </row>
    <row r="99" ht="22" customHeight="1">
      <c r="B99" s="21">
        <f>IF(C99="","PRES-"&amp;TEXT(COUNTA($C$5:C99),"000"))</f>
        <v/>
      </c>
      <c r="C99" s="12" t="n"/>
      <c r="D99" s="12" t="n"/>
      <c r="E99" s="12" t="n"/>
      <c r="F99" s="12" t="n"/>
      <c r="G99" s="31" t="n"/>
      <c r="H99" s="12" t="n"/>
      <c r="I99" s="12" t="n"/>
    </row>
    <row r="100" ht="22" customHeight="1">
      <c r="B100" s="20">
        <f>IF(C100="","PRES-"&amp;TEXT(COUNTA($C$5:C100),"000"))</f>
        <v/>
      </c>
      <c r="C100" s="16" t="n"/>
      <c r="D100" s="16" t="n"/>
      <c r="E100" s="16" t="n"/>
      <c r="F100" s="16" t="n"/>
      <c r="G100" s="32" t="n"/>
      <c r="H100" s="16" t="n"/>
      <c r="I100" s="16" t="n"/>
    </row>
    <row r="101" ht="22" customHeight="1">
      <c r="B101" s="21">
        <f>IF(C101="","PRES-"&amp;TEXT(COUNTA($C$5:C101),"000"))</f>
        <v/>
      </c>
      <c r="C101" s="12" t="n"/>
      <c r="D101" s="12" t="n"/>
      <c r="E101" s="12" t="n"/>
      <c r="F101" s="12" t="n"/>
      <c r="G101" s="31" t="n"/>
      <c r="H101" s="12" t="n"/>
      <c r="I101" s="12" t="n"/>
    </row>
    <row r="102" ht="22" customHeight="1">
      <c r="B102" s="20">
        <f>IF(C102="","PRES-"&amp;TEXT(COUNTA($C$5:C102),"000"))</f>
        <v/>
      </c>
      <c r="C102" s="16" t="n"/>
      <c r="D102" s="16" t="n"/>
      <c r="E102" s="16" t="n"/>
      <c r="F102" s="16" t="n"/>
      <c r="G102" s="32" t="n"/>
      <c r="H102" s="16" t="n"/>
      <c r="I102" s="16" t="n"/>
    </row>
    <row r="103" ht="22" customHeight="1">
      <c r="B103" s="21">
        <f>IF(C103="","PRES-"&amp;TEXT(COUNTA($C$5:C103),"000"))</f>
        <v/>
      </c>
      <c r="C103" s="12" t="n"/>
      <c r="D103" s="12" t="n"/>
      <c r="E103" s="12" t="n"/>
      <c r="F103" s="12" t="n"/>
      <c r="G103" s="31" t="n"/>
      <c r="H103" s="12" t="n"/>
      <c r="I103" s="12" t="n"/>
    </row>
    <row r="104" ht="22" customHeight="1">
      <c r="B104" s="20">
        <f>IF(C104="","PRES-"&amp;TEXT(COUNTA($C$5:C104),"000"))</f>
        <v/>
      </c>
      <c r="C104" s="16" t="n"/>
      <c r="D104" s="16" t="n"/>
      <c r="E104" s="16" t="n"/>
      <c r="F104" s="16" t="n"/>
      <c r="G104" s="32" t="n"/>
      <c r="H104" s="16" t="n"/>
      <c r="I104" s="16" t="n"/>
    </row>
    <row r="105" ht="22" customHeight="1">
      <c r="B105" s="21">
        <f>IF(C105="","PRES-"&amp;TEXT(COUNTA($C$5:C105),"000"))</f>
        <v/>
      </c>
      <c r="C105" s="12" t="n"/>
      <c r="D105" s="12" t="n"/>
      <c r="E105" s="12" t="n"/>
      <c r="F105" s="12" t="n"/>
      <c r="G105" s="31" t="n"/>
      <c r="H105" s="12" t="n"/>
      <c r="I105" s="12" t="n"/>
    </row>
    <row r="106" ht="22" customHeight="1">
      <c r="B106" s="20">
        <f>IF(C106="","PRES-"&amp;TEXT(COUNTA($C$5:C106),"000"))</f>
        <v/>
      </c>
      <c r="C106" s="16" t="n"/>
      <c r="D106" s="16" t="n"/>
      <c r="E106" s="16" t="n"/>
      <c r="F106" s="16" t="n"/>
      <c r="G106" s="32" t="n"/>
      <c r="H106" s="16" t="n"/>
      <c r="I106" s="16" t="n"/>
    </row>
    <row r="107" ht="22" customHeight="1">
      <c r="B107" s="21">
        <f>IF(C107="","PRES-"&amp;TEXT(COUNTA($C$5:C107),"000"))</f>
        <v/>
      </c>
      <c r="C107" s="12" t="n"/>
      <c r="D107" s="12" t="n"/>
      <c r="E107" s="12" t="n"/>
      <c r="F107" s="12" t="n"/>
      <c r="G107" s="31" t="n"/>
      <c r="H107" s="12" t="n"/>
      <c r="I107" s="12" t="n"/>
    </row>
    <row r="108" ht="22" customHeight="1">
      <c r="B108" s="20">
        <f>IF(C108="","PRES-"&amp;TEXT(COUNTA($C$5:C108),"000"))</f>
        <v/>
      </c>
      <c r="C108" s="16" t="n"/>
      <c r="D108" s="16" t="n"/>
      <c r="E108" s="16" t="n"/>
      <c r="F108" s="16" t="n"/>
      <c r="G108" s="32" t="n"/>
      <c r="H108" s="16" t="n"/>
      <c r="I108" s="16" t="n"/>
    </row>
    <row r="109" ht="22" customHeight="1">
      <c r="B109" s="21">
        <f>IF(C109="","PRES-"&amp;TEXT(COUNTA($C$5:C109),"000"))</f>
        <v/>
      </c>
      <c r="C109" s="12" t="n"/>
      <c r="D109" s="12" t="n"/>
      <c r="E109" s="12" t="n"/>
      <c r="F109" s="12" t="n"/>
      <c r="G109" s="31" t="n"/>
      <c r="H109" s="12" t="n"/>
      <c r="I109" s="12" t="n"/>
    </row>
    <row r="111">
      <c r="B111" s="6" t="inlineStr">
        <is>
          <t>INDICATEURS (mis a jour automatiquement)</t>
        </is>
      </c>
    </row>
    <row r="112">
      <c r="B112" s="3" t="inlineStr">
        <is>
          <t>Entrees saisies</t>
        </is>
      </c>
      <c r="D112" s="3" t="inlineStr">
        <is>
          <t>Presents</t>
        </is>
      </c>
      <c r="F112" s="3" t="inlineStr">
        <is>
          <t>Absents</t>
        </is>
      </c>
      <c r="H112" s="3" t="inlineStr">
        <is>
          <t>Retards</t>
        </is>
      </c>
    </row>
    <row r="113">
      <c r="B113" s="4">
        <f>COUNTIF(B5:B104,"&lt;&gt;")</f>
        <v/>
      </c>
      <c r="D113" s="4">
        <f>COUNTIF(I5:I104,"Present")</f>
        <v/>
      </c>
      <c r="F113" s="4">
        <f>COUNTIF(I5:I104,"Absent")</f>
        <v/>
      </c>
      <c r="H113" s="4">
        <f>COUNTIF(I5:I104,"Retard")</f>
        <v/>
      </c>
    </row>
  </sheetData>
  <mergeCells count="3">
    <mergeCell ref="B3:I3"/>
    <mergeCell ref="B2:I2"/>
    <mergeCell ref="B111:I111"/>
  </mergeCells>
  <conditionalFormatting sqref="I5:I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1">
      <formula>"En attente"</formula>
    </cfRule>
    <cfRule type="cellIs" priority="28" operator="equal" dxfId="1">
      <formula>"A renouveler"</formula>
    </cfRule>
    <cfRule type="cellIs" priority="29" operator="equal" dxfId="1">
      <formula>"En cours"</formula>
    </cfRule>
    <cfRule type="cellIs" priority="30" operator="equal" dxfId="1">
      <formula>"En traitement"</formula>
    </cfRule>
    <cfRule type="cellIs" priority="31" operator="equal" dxfId="1">
      <formula>"En retard"</formula>
    </cfRule>
    <cfRule type="cellIs" priority="32" operator="equal" dxfId="1">
      <formula>"Suspendu"</formula>
    </cfRule>
    <cfRule type="cellIs" priority="33" operator="equal" dxfId="1">
      <formula>"Planifie"</formula>
    </cfRule>
    <cfRule type="cellIs" priority="34" operator="equal" dxfId="1">
      <formula>"Planifiee"</formula>
    </cfRule>
    <cfRule type="cellIs" priority="35" operator="equal" dxfId="1">
      <formula>"Brouillon"</formula>
    </cfRule>
    <cfRule type="cellIs" priority="36" operator="equal" dxfId="1">
      <formula>"En attente de justification"</formula>
    </cfRule>
    <cfRule type="cellIs" priority="37" operator="equal" dxfId="1">
      <formula>"Tolere"</formula>
    </cfRule>
    <cfRule type="cellIs" priority="38" operator="equal" dxfId="1">
      <formula>"Variable"</formula>
    </cfRule>
    <cfRule type="cellIs" priority="39" operator="equal" dxfId="1">
      <formula>"En elaboration"</formula>
    </cfRule>
    <cfRule type="cellIs" priority="40" operator="equal" dxfId="1">
      <formula>"Provisionne"</formula>
    </cfRule>
    <cfRule type="cellIs" priority="41" operator="equal" dxfId="1">
      <formula>"Consomme partiel"</formula>
    </cfRule>
    <cfRule type="cellIs" priority="42" operator="equal" dxfId="1">
      <formula>"Identifie"</formula>
    </cfRule>
    <cfRule type="cellIs" priority="43" operator="equal" dxfId="1">
      <formula>"Priorise"</formula>
    </cfRule>
    <cfRule type="cellIs" priority="44" operator="equal" dxfId="1">
      <formula>"Intermediaire"</formula>
    </cfRule>
    <cfRule type="cellIs" priority="45" operator="equal" dxfId="1">
      <formula>"Non evalue"</formula>
    </cfRule>
    <cfRule type="cellIs" priority="46" operator="equal" dxfId="1">
      <formula>"En cours de realisation"</formula>
    </cfRule>
    <cfRule type="cellIs" priority="47" operator="equal" dxfId="2">
      <formula>"Expire"</formula>
    </cfRule>
    <cfRule type="cellIs" priority="48" operator="equal" dxfId="2">
      <formula>"Rejete"</formula>
    </cfRule>
    <cfRule type="cellIs" priority="49" operator="equal" dxfId="2">
      <formula>"Rejetee"</formula>
    </cfRule>
    <cfRule type="cellIs" priority="50" operator="equal" dxfId="2">
      <formula>"Resilie"</formula>
    </cfRule>
    <cfRule type="cellIs" priority="51" operator="equal" dxfId="2">
      <formula>"Annule"</formula>
    </cfRule>
    <cfRule type="cellIs" priority="52" operator="equal" dxfId="2">
      <formula>"Annulee"</formula>
    </cfRule>
    <cfRule type="cellIs" priority="53" operator="equal" dxfId="2">
      <formula>"Refuse"</formula>
    </cfRule>
    <cfRule type="cellIs" priority="54" operator="equal" dxfId="2">
      <formula>"Non justifie"</formula>
    </cfRule>
    <cfRule type="cellIs" priority="55" operator="equal" dxfId="2">
      <formula>"Non justifiee"</formula>
    </cfRule>
    <cfRule type="cellIs" priority="56" operator="equal" dxfId="2">
      <formula>"Sanctionne"</formula>
    </cfRule>
    <cfRule type="cellIs" priority="57" operator="equal" dxfId="2">
      <formula>"Inaptitude"</formula>
    </cfRule>
    <cfRule type="cellIs" priority="58" operator="equal" dxfId="2">
      <formula>"Absent sans autorisation"</formula>
    </cfRule>
    <cfRule type="cellIs" priority="59" operator="equal" dxfId="2">
      <formula>"Abandon de poste"</formula>
    </cfRule>
    <cfRule type="cellIs" priority="60" operator="equal" dxfId="2">
      <formula>"Non satisfait"</formula>
    </cfRule>
    <cfRule type="cellIs" priority="61" operator="equal" dxfId="2">
      <formula>"Reportee"</formula>
    </cfRule>
    <cfRule type="cellIs" priority="62" operator="equal" dxfId="2">
      <formula>"Depasse"</formula>
    </cfRule>
    <cfRule type="cellIs" priority="63" operator="equal" dxfId="2">
      <formula>"Non utilise"</formula>
    </cfRule>
    <cfRule type="cellIs" priority="64" operator="equal" dxfId="2">
      <formula>"Non applicable"</formula>
    </cfRule>
    <cfRule type="cellIs" priority="65" operator="equal" dxfId="2">
      <formula>"Debutant"</formula>
    </cfRule>
  </conditionalFormatting>
  <conditionalFormatting sqref="B10:B109">
    <cfRule type="expression" priority="66" dxfId="3">
      <formula>AND($C10="",$C9&lt;&gt;"")</formula>
    </cfRule>
  </conditionalFormatting>
  <conditionalFormatting sqref="C10:C109">
    <cfRule type="expression" priority="67" dxfId="3">
      <formula>AND($C10="",$C9&lt;&gt;"")</formula>
    </cfRule>
  </conditionalFormatting>
  <conditionalFormatting sqref="D10:D109">
    <cfRule type="expression" priority="68" dxfId="3">
      <formula>AND($C10="",$C9&lt;&gt;"")</formula>
    </cfRule>
  </conditionalFormatting>
  <conditionalFormatting sqref="E10:E109">
    <cfRule type="expression" priority="69" dxfId="3">
      <formula>AND($C10="",$C9&lt;&gt;"")</formula>
    </cfRule>
  </conditionalFormatting>
  <conditionalFormatting sqref="F10:F109">
    <cfRule type="expression" priority="70" dxfId="3">
      <formula>AND($C10="",$C9&lt;&gt;"")</formula>
    </cfRule>
  </conditionalFormatting>
  <conditionalFormatting sqref="G10:G109">
    <cfRule type="expression" priority="71" dxfId="3">
      <formula>AND($C10="",$C9&lt;&gt;"")</formula>
    </cfRule>
  </conditionalFormatting>
  <conditionalFormatting sqref="H10:H109">
    <cfRule type="expression" priority="72" dxfId="3">
      <formula>AND($C10="",$C9&lt;&gt;"")</formula>
    </cfRule>
  </conditionalFormatting>
  <conditionalFormatting sqref="I10:I109">
    <cfRule type="expression" priority="73" dxfId="3">
      <formula>AND($C10="",$C9&lt;&gt;"")</formula>
    </cfRule>
  </conditionalFormatting>
  <dataValidations count="2">
    <dataValidation sqref="F5:F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I5:I109" showDropDown="0" showInputMessage="0" showErrorMessage="0" allowBlank="1" errorTitle="Erreur" error="Valeur invalide" promptTitle="Liste" prompt="Choisir dans la liste" type="list">
      <formula1>'_Lists'!$G$2:$G$7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K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16" customWidth="1" min="4" max="4"/>
    <col width="20" customWidth="1" min="5" max="5"/>
    <col width="14" customWidth="1" min="6" max="6"/>
    <col width="16" customWidth="1" min="7" max="7"/>
    <col width="18" customWidth="1" min="8" max="8"/>
    <col width="16" customWidth="1" min="9" max="9"/>
    <col width="18" customWidth="1" min="10" max="10"/>
    <col width="22" customWidth="1" min="11" max="11"/>
  </cols>
  <sheetData>
    <row r="1" ht="15" customHeight="1"/>
    <row r="2" ht="32" customHeight="1">
      <c r="B2" s="1" t="inlineStr">
        <is>
          <t>EVALUATION A CHAUD POST-FORMATION (#68)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 Eval</t>
        </is>
      </c>
      <c r="C4" s="11" t="inlineStr">
        <is>
          <t>Action Formation</t>
        </is>
      </c>
      <c r="D4" s="11" t="inlineStr">
        <is>
          <t>Matricule</t>
        </is>
      </c>
      <c r="E4" s="11" t="inlineStr">
        <is>
          <t>Nom Employe</t>
        </is>
      </c>
      <c r="F4" s="11" t="inlineStr">
        <is>
          <t>Date Formation</t>
        </is>
      </c>
      <c r="G4" s="11" t="inlineStr">
        <is>
          <t>Score Contenu (/5)</t>
        </is>
      </c>
      <c r="H4" s="11" t="inlineStr">
        <is>
          <t>Score Formateur (/5)</t>
        </is>
      </c>
      <c r="I4" s="11" t="inlineStr">
        <is>
          <t>Score Support (/5)</t>
        </is>
      </c>
      <c r="J4" s="11" t="inlineStr">
        <is>
          <t>Score General (/5)</t>
        </is>
      </c>
      <c r="K4" s="11" t="inlineStr">
        <is>
          <t>Appreciation</t>
        </is>
      </c>
    </row>
    <row r="5" ht="22" customHeight="1">
      <c r="B5" s="12" t="inlineStr">
        <is>
          <t>EC-001</t>
        </is>
      </c>
      <c r="C5" s="12" t="inlineStr">
        <is>
          <t>PAF-001</t>
        </is>
      </c>
      <c r="D5" s="12" t="inlineStr">
        <is>
          <t>EMP-010</t>
        </is>
      </c>
      <c r="E5" s="12">
        <f>IF(D5="","",VLOOKUP(D5,'_Données Employés'!$B$5:$H$18,4,FALSE)&amp;" "&amp;VLOOKUP(D5,'_Données Employés'!$B$5:$H$18,5,FALSE))</f>
        <v/>
      </c>
      <c r="F5" s="31" t="n">
        <v>45730</v>
      </c>
      <c r="G5" s="33" t="n">
        <v>4</v>
      </c>
      <c r="H5" s="33" t="n">
        <v>5</v>
      </c>
      <c r="I5" s="33" t="n">
        <v>3</v>
      </c>
      <c r="J5" s="33" t="n">
        <v>4</v>
      </c>
      <c r="K5" s="12" t="inlineStr">
        <is>
          <t>Tres satisfaisant</t>
        </is>
      </c>
    </row>
    <row r="6" ht="22" customHeight="1">
      <c r="B6" s="16" t="inlineStr">
        <is>
          <t>EC-002</t>
        </is>
      </c>
      <c r="C6" s="16" t="inlineStr">
        <is>
          <t>PAF-001</t>
        </is>
      </c>
      <c r="D6" s="16" t="inlineStr">
        <is>
          <t>EMP-001</t>
        </is>
      </c>
      <c r="E6" s="16">
        <f>IF(D6="","",VLOOKUP(D6,'_Données Employés'!$B$5:$H$18,4,FALSE)&amp;" "&amp;VLOOKUP(D6,'_Données Employés'!$B$5:$H$18,5,FALSE))</f>
        <v/>
      </c>
      <c r="F6" s="32" t="n">
        <v>45730</v>
      </c>
      <c r="G6" s="34" t="n">
        <v>5</v>
      </c>
      <c r="H6" s="34" t="n">
        <v>4</v>
      </c>
      <c r="I6" s="34" t="n">
        <v>4</v>
      </c>
      <c r="J6" s="34" t="n">
        <v>4.3</v>
      </c>
      <c r="K6" s="16" t="inlineStr">
        <is>
          <t>Excellent</t>
        </is>
      </c>
    </row>
    <row r="7" ht="22" customHeight="1">
      <c r="B7" s="12" t="inlineStr">
        <is>
          <t>EC-003</t>
        </is>
      </c>
      <c r="C7" s="12" t="inlineStr">
        <is>
          <t>PAF-002</t>
        </is>
      </c>
      <c r="D7" s="12" t="inlineStr">
        <is>
          <t>EMP-004</t>
        </is>
      </c>
      <c r="E7" s="12">
        <f>IF(D7="","",VLOOKUP(D7,'_Données Employés'!$B$5:$H$18,4,FALSE)&amp;" "&amp;VLOOKUP(D7,'_Données Employés'!$B$5:$H$18,5,FALSE))</f>
        <v/>
      </c>
      <c r="F7" s="31" t="n">
        <v>45772</v>
      </c>
      <c r="G7" s="33" t="n">
        <v>3</v>
      </c>
      <c r="H7" s="33" t="n">
        <v>4</v>
      </c>
      <c r="I7" s="33" t="n">
        <v>5</v>
      </c>
      <c r="J7" s="33" t="n">
        <v>4</v>
      </c>
      <c r="K7" s="12" t="inlineStr">
        <is>
          <t>Satisfaisant</t>
        </is>
      </c>
    </row>
    <row r="8" ht="22" customHeight="1">
      <c r="B8" s="16" t="inlineStr">
        <is>
          <t>EC-004</t>
        </is>
      </c>
      <c r="C8" s="16" t="inlineStr">
        <is>
          <t>PAF-002</t>
        </is>
      </c>
      <c r="D8" s="16" t="inlineStr">
        <is>
          <t>EMP-012</t>
        </is>
      </c>
      <c r="E8" s="16">
        <f>IF(D8="","",VLOOKUP(D8,'_Données Employés'!$B$5:$H$18,4,FALSE)&amp;" "&amp;VLOOKUP(D8,'_Données Employés'!$B$5:$H$18,5,FALSE))</f>
        <v/>
      </c>
      <c r="F8" s="32" t="n">
        <v>45772</v>
      </c>
      <c r="G8" s="34" t="n">
        <v>4</v>
      </c>
      <c r="H8" s="34" t="n">
        <v>3</v>
      </c>
      <c r="I8" s="34" t="n">
        <v>4</v>
      </c>
      <c r="J8" s="34" t="n">
        <v>3.7</v>
      </c>
      <c r="K8" s="16" t="inlineStr">
        <is>
          <t>Satisfaisant</t>
        </is>
      </c>
    </row>
    <row r="9" ht="22" customHeight="1">
      <c r="B9" s="12" t="inlineStr">
        <is>
          <t>EC-005</t>
        </is>
      </c>
      <c r="C9" s="12" t="inlineStr">
        <is>
          <t>PAF-003</t>
        </is>
      </c>
      <c r="D9" s="12" t="inlineStr">
        <is>
          <t>EMP-006</t>
        </is>
      </c>
      <c r="E9" s="12">
        <f>IF(D9="","",VLOOKUP(D9,'_Données Employés'!$B$5:$H$18,4,FALSE)&amp;" "&amp;VLOOKUP(D9,'_Données Employés'!$B$5:$H$18,5,FALSE))</f>
        <v/>
      </c>
      <c r="F9" s="31" t="n">
        <v>45812</v>
      </c>
      <c r="G9" s="33" t="n">
        <v>5</v>
      </c>
      <c r="H9" s="33" t="n">
        <v>5</v>
      </c>
      <c r="I9" s="33" t="n">
        <v>4</v>
      </c>
      <c r="J9" s="33" t="n">
        <v>4.7</v>
      </c>
      <c r="K9" s="12" t="inlineStr">
        <is>
          <t>Excellent</t>
        </is>
      </c>
    </row>
    <row r="10" ht="22" customHeight="1">
      <c r="B10" s="20">
        <f>IF(C10="","EC-"&amp;TEXT(COUNTA($C$5:C10),"000"))</f>
        <v/>
      </c>
      <c r="C10" s="16" t="n"/>
      <c r="D10" s="16" t="n"/>
      <c r="E10" s="16" t="n"/>
      <c r="F10" s="32" t="n"/>
      <c r="G10" s="34" t="n"/>
      <c r="H10" s="34" t="n"/>
      <c r="I10" s="34" t="n"/>
      <c r="J10" s="34">
        <f>IF(G10="","",IF((G10+H10+I10)=0,"",ROUND((G10+H10+I10)/3,1)))</f>
        <v/>
      </c>
      <c r="K10" s="16" t="n"/>
    </row>
    <row r="11" ht="22" customHeight="1">
      <c r="B11" s="21">
        <f>IF(C11="","EC-"&amp;TEXT(COUNTA($C$5:C11),"000"))</f>
        <v/>
      </c>
      <c r="C11" s="12" t="n"/>
      <c r="D11" s="12" t="n"/>
      <c r="E11" s="12" t="n"/>
      <c r="F11" s="31" t="n"/>
      <c r="G11" s="33" t="n"/>
      <c r="H11" s="33" t="n"/>
      <c r="I11" s="33" t="n"/>
      <c r="J11" s="33">
        <f>IF(G11="","",IF((G11+H11+I11)=0,"",ROUND((G11+H11+I11)/3,1)))</f>
        <v/>
      </c>
      <c r="K11" s="12" t="n"/>
    </row>
    <row r="12" ht="22" customHeight="1">
      <c r="B12" s="20">
        <f>IF(C12="","EC-"&amp;TEXT(COUNTA($C$5:C12),"000"))</f>
        <v/>
      </c>
      <c r="C12" s="16" t="n"/>
      <c r="D12" s="16" t="n"/>
      <c r="E12" s="16" t="n"/>
      <c r="F12" s="32" t="n"/>
      <c r="G12" s="34" t="n"/>
      <c r="H12" s="34" t="n"/>
      <c r="I12" s="34" t="n"/>
      <c r="J12" s="34">
        <f>IF(G12="","",IF((G12+H12+I12)=0,"",ROUND((G12+H12+I12)/3,1)))</f>
        <v/>
      </c>
      <c r="K12" s="16" t="n"/>
    </row>
    <row r="13" ht="22" customHeight="1">
      <c r="B13" s="21">
        <f>IF(C13="","EC-"&amp;TEXT(COUNTA($C$5:C13),"000"))</f>
        <v/>
      </c>
      <c r="C13" s="12" t="n"/>
      <c r="D13" s="12" t="n"/>
      <c r="E13" s="12" t="n"/>
      <c r="F13" s="31" t="n"/>
      <c r="G13" s="33" t="n"/>
      <c r="H13" s="33" t="n"/>
      <c r="I13" s="33" t="n"/>
      <c r="J13" s="33">
        <f>IF(G13="","",IF((G13+H13+I13)=0,"",ROUND((G13+H13+I13)/3,1)))</f>
        <v/>
      </c>
      <c r="K13" s="12" t="n"/>
    </row>
    <row r="14" ht="22" customHeight="1">
      <c r="B14" s="20">
        <f>IF(C14="","EC-"&amp;TEXT(COUNTA($C$5:C14),"000"))</f>
        <v/>
      </c>
      <c r="C14" s="16" t="n"/>
      <c r="D14" s="16" t="n"/>
      <c r="E14" s="16" t="n"/>
      <c r="F14" s="32" t="n"/>
      <c r="G14" s="34" t="n"/>
      <c r="H14" s="34" t="n"/>
      <c r="I14" s="34" t="n"/>
      <c r="J14" s="34">
        <f>IF(G14="","",IF((G14+H14+I14)=0,"",ROUND((G14+H14+I14)/3,1)))</f>
        <v/>
      </c>
      <c r="K14" s="16" t="n"/>
    </row>
    <row r="15" ht="22" customHeight="1">
      <c r="B15" s="21">
        <f>IF(C15="","EC-"&amp;TEXT(COUNTA($C$5:C15),"000"))</f>
        <v/>
      </c>
      <c r="C15" s="12" t="n"/>
      <c r="D15" s="12" t="n"/>
      <c r="E15" s="12" t="n"/>
      <c r="F15" s="31" t="n"/>
      <c r="G15" s="33" t="n"/>
      <c r="H15" s="33" t="n"/>
      <c r="I15" s="33" t="n"/>
      <c r="J15" s="33">
        <f>IF(G15="","",IF((G15+H15+I15)=0,"",ROUND((G15+H15+I15)/3,1)))</f>
        <v/>
      </c>
      <c r="K15" s="12" t="n"/>
    </row>
    <row r="16" ht="22" customHeight="1">
      <c r="B16" s="20">
        <f>IF(C16="","EC-"&amp;TEXT(COUNTA($C$5:C16),"000"))</f>
        <v/>
      </c>
      <c r="C16" s="16" t="n"/>
      <c r="D16" s="16" t="n"/>
      <c r="E16" s="16" t="n"/>
      <c r="F16" s="32" t="n"/>
      <c r="G16" s="34" t="n"/>
      <c r="H16" s="34" t="n"/>
      <c r="I16" s="34" t="n"/>
      <c r="J16" s="34">
        <f>IF(G16="","",IF((G16+H16+I16)=0,"",ROUND((G16+H16+I16)/3,1)))</f>
        <v/>
      </c>
      <c r="K16" s="16" t="n"/>
    </row>
    <row r="17" ht="22" customHeight="1">
      <c r="B17" s="21">
        <f>IF(C17="","EC-"&amp;TEXT(COUNTA($C$5:C17),"000"))</f>
        <v/>
      </c>
      <c r="C17" s="12" t="n"/>
      <c r="D17" s="12" t="n"/>
      <c r="E17" s="12" t="n"/>
      <c r="F17" s="31" t="n"/>
      <c r="G17" s="33" t="n"/>
      <c r="H17" s="33" t="n"/>
      <c r="I17" s="33" t="n"/>
      <c r="J17" s="33">
        <f>IF(G17="","",IF((G17+H17+I17)=0,"",ROUND((G17+H17+I17)/3,1)))</f>
        <v/>
      </c>
      <c r="K17" s="12" t="n"/>
    </row>
    <row r="18" ht="22" customHeight="1">
      <c r="B18" s="20">
        <f>IF(C18="","EC-"&amp;TEXT(COUNTA($C$5:C18),"000"))</f>
        <v/>
      </c>
      <c r="C18" s="16" t="n"/>
      <c r="D18" s="16" t="n"/>
      <c r="E18" s="16" t="n"/>
      <c r="F18" s="32" t="n"/>
      <c r="G18" s="34" t="n"/>
      <c r="H18" s="34" t="n"/>
      <c r="I18" s="34" t="n"/>
      <c r="J18" s="34">
        <f>IF(G18="","",IF((G18+H18+I18)=0,"",ROUND((G18+H18+I18)/3,1)))</f>
        <v/>
      </c>
      <c r="K18" s="16" t="n"/>
    </row>
    <row r="19" ht="22" customHeight="1">
      <c r="B19" s="21">
        <f>IF(C19="","EC-"&amp;TEXT(COUNTA($C$5:C19),"000"))</f>
        <v/>
      </c>
      <c r="C19" s="12" t="n"/>
      <c r="D19" s="12" t="n"/>
      <c r="E19" s="12" t="n"/>
      <c r="F19" s="31" t="n"/>
      <c r="G19" s="33" t="n"/>
      <c r="H19" s="33" t="n"/>
      <c r="I19" s="33" t="n"/>
      <c r="J19" s="33">
        <f>IF(G19="","",IF((G19+H19+I19)=0,"",ROUND((G19+H19+I19)/3,1)))</f>
        <v/>
      </c>
      <c r="K19" s="12" t="n"/>
    </row>
    <row r="20" ht="22" customHeight="1">
      <c r="B20" s="20">
        <f>IF(C20="","EC-"&amp;TEXT(COUNTA($C$5:C20),"000"))</f>
        <v/>
      </c>
      <c r="C20" s="16" t="n"/>
      <c r="D20" s="16" t="n"/>
      <c r="E20" s="16" t="n"/>
      <c r="F20" s="32" t="n"/>
      <c r="G20" s="34" t="n"/>
      <c r="H20" s="34" t="n"/>
      <c r="I20" s="34" t="n"/>
      <c r="J20" s="34">
        <f>IF(G20="","",IF((G20+H20+I20)=0,"",ROUND((G20+H20+I20)/3,1)))</f>
        <v/>
      </c>
      <c r="K20" s="16" t="n"/>
    </row>
    <row r="21" ht="22" customHeight="1">
      <c r="B21" s="21">
        <f>IF(C21="","EC-"&amp;TEXT(COUNTA($C$5:C21),"000"))</f>
        <v/>
      </c>
      <c r="C21" s="12" t="n"/>
      <c r="D21" s="12" t="n"/>
      <c r="E21" s="12" t="n"/>
      <c r="F21" s="31" t="n"/>
      <c r="G21" s="33" t="n"/>
      <c r="H21" s="33" t="n"/>
      <c r="I21" s="33" t="n"/>
      <c r="J21" s="33">
        <f>IF(G21="","",IF((G21+H21+I21)=0,"",ROUND((G21+H21+I21)/3,1)))</f>
        <v/>
      </c>
      <c r="K21" s="12" t="n"/>
    </row>
    <row r="22" ht="22" customHeight="1">
      <c r="B22" s="20">
        <f>IF(C22="","EC-"&amp;TEXT(COUNTA($C$5:C22),"000"))</f>
        <v/>
      </c>
      <c r="C22" s="16" t="n"/>
      <c r="D22" s="16" t="n"/>
      <c r="E22" s="16" t="n"/>
      <c r="F22" s="32" t="n"/>
      <c r="G22" s="34" t="n"/>
      <c r="H22" s="34" t="n"/>
      <c r="I22" s="34" t="n"/>
      <c r="J22" s="34">
        <f>IF(G22="","",IF((G22+H22+I22)=0,"",ROUND((G22+H22+I22)/3,1)))</f>
        <v/>
      </c>
      <c r="K22" s="16" t="n"/>
    </row>
    <row r="23" ht="22" customHeight="1">
      <c r="B23" s="21">
        <f>IF(C23="","EC-"&amp;TEXT(COUNTA($C$5:C23),"000"))</f>
        <v/>
      </c>
      <c r="C23" s="12" t="n"/>
      <c r="D23" s="12" t="n"/>
      <c r="E23" s="12" t="n"/>
      <c r="F23" s="31" t="n"/>
      <c r="G23" s="33" t="n"/>
      <c r="H23" s="33" t="n"/>
      <c r="I23" s="33" t="n"/>
      <c r="J23" s="33">
        <f>IF(G23="","",IF((G23+H23+I23)=0,"",ROUND((G23+H23+I23)/3,1)))</f>
        <v/>
      </c>
      <c r="K23" s="12" t="n"/>
    </row>
    <row r="24" ht="22" customHeight="1">
      <c r="B24" s="20">
        <f>IF(C24="","EC-"&amp;TEXT(COUNTA($C$5:C24),"000"))</f>
        <v/>
      </c>
      <c r="C24" s="16" t="n"/>
      <c r="D24" s="16" t="n"/>
      <c r="E24" s="16" t="n"/>
      <c r="F24" s="32" t="n"/>
      <c r="G24" s="34" t="n"/>
      <c r="H24" s="34" t="n"/>
      <c r="I24" s="34" t="n"/>
      <c r="J24" s="34">
        <f>IF(G24="","",IF((G24+H24+I24)=0,"",ROUND((G24+H24+I24)/3,1)))</f>
        <v/>
      </c>
      <c r="K24" s="16" t="n"/>
    </row>
    <row r="25" ht="22" customHeight="1">
      <c r="B25" s="21">
        <f>IF(C25="","EC-"&amp;TEXT(COUNTA($C$5:C25),"000"))</f>
        <v/>
      </c>
      <c r="C25" s="12" t="n"/>
      <c r="D25" s="12" t="n"/>
      <c r="E25" s="12" t="n"/>
      <c r="F25" s="31" t="n"/>
      <c r="G25" s="33" t="n"/>
      <c r="H25" s="33" t="n"/>
      <c r="I25" s="33" t="n"/>
      <c r="J25" s="33">
        <f>IF(G25="","",IF((G25+H25+I25)=0,"",ROUND((G25+H25+I25)/3,1)))</f>
        <v/>
      </c>
      <c r="K25" s="12" t="n"/>
    </row>
    <row r="26" ht="22" customHeight="1">
      <c r="B26" s="20">
        <f>IF(C26="","EC-"&amp;TEXT(COUNTA($C$5:C26),"000"))</f>
        <v/>
      </c>
      <c r="C26" s="16" t="n"/>
      <c r="D26" s="16" t="n"/>
      <c r="E26" s="16" t="n"/>
      <c r="F26" s="32" t="n"/>
      <c r="G26" s="34" t="n"/>
      <c r="H26" s="34" t="n"/>
      <c r="I26" s="34" t="n"/>
      <c r="J26" s="34">
        <f>IF(G26="","",IF((G26+H26+I26)=0,"",ROUND((G26+H26+I26)/3,1)))</f>
        <v/>
      </c>
      <c r="K26" s="16" t="n"/>
    </row>
    <row r="27" ht="22" customHeight="1">
      <c r="B27" s="21">
        <f>IF(C27="","EC-"&amp;TEXT(COUNTA($C$5:C27),"000"))</f>
        <v/>
      </c>
      <c r="C27" s="12" t="n"/>
      <c r="D27" s="12" t="n"/>
      <c r="E27" s="12" t="n"/>
      <c r="F27" s="31" t="n"/>
      <c r="G27" s="33" t="n"/>
      <c r="H27" s="33" t="n"/>
      <c r="I27" s="33" t="n"/>
      <c r="J27" s="33">
        <f>IF(G27="","",IF((G27+H27+I27)=0,"",ROUND((G27+H27+I27)/3,1)))</f>
        <v/>
      </c>
      <c r="K27" s="12" t="n"/>
    </row>
    <row r="28" ht="22" customHeight="1">
      <c r="B28" s="20">
        <f>IF(C28="","EC-"&amp;TEXT(COUNTA($C$5:C28),"000"))</f>
        <v/>
      </c>
      <c r="C28" s="16" t="n"/>
      <c r="D28" s="16" t="n"/>
      <c r="E28" s="16" t="n"/>
      <c r="F28" s="32" t="n"/>
      <c r="G28" s="34" t="n"/>
      <c r="H28" s="34" t="n"/>
      <c r="I28" s="34" t="n"/>
      <c r="J28" s="34">
        <f>IF(G28="","",IF((G28+H28+I28)=0,"",ROUND((G28+H28+I28)/3,1)))</f>
        <v/>
      </c>
      <c r="K28" s="16" t="n"/>
    </row>
    <row r="29" ht="22" customHeight="1">
      <c r="B29" s="21">
        <f>IF(C29="","EC-"&amp;TEXT(COUNTA($C$5:C29),"000"))</f>
        <v/>
      </c>
      <c r="C29" s="12" t="n"/>
      <c r="D29" s="12" t="n"/>
      <c r="E29" s="12" t="n"/>
      <c r="F29" s="31" t="n"/>
      <c r="G29" s="33" t="n"/>
      <c r="H29" s="33" t="n"/>
      <c r="I29" s="33" t="n"/>
      <c r="J29" s="33">
        <f>IF(G29="","",IF((G29+H29+I29)=0,"",ROUND((G29+H29+I29)/3,1)))</f>
        <v/>
      </c>
      <c r="K29" s="12" t="n"/>
    </row>
    <row r="30" ht="22" customHeight="1">
      <c r="B30" s="20">
        <f>IF(C30="","EC-"&amp;TEXT(COUNTA($C$5:C30),"000"))</f>
        <v/>
      </c>
      <c r="C30" s="16" t="n"/>
      <c r="D30" s="16" t="n"/>
      <c r="E30" s="16" t="n"/>
      <c r="F30" s="32" t="n"/>
      <c r="G30" s="34" t="n"/>
      <c r="H30" s="34" t="n"/>
      <c r="I30" s="34" t="n"/>
      <c r="J30" s="34">
        <f>IF(G30="","",IF((G30+H30+I30)=0,"",ROUND((G30+H30+I30)/3,1)))</f>
        <v/>
      </c>
      <c r="K30" s="16" t="n"/>
    </row>
    <row r="31" ht="22" customHeight="1">
      <c r="B31" s="21">
        <f>IF(C31="","EC-"&amp;TEXT(COUNTA($C$5:C31),"000"))</f>
        <v/>
      </c>
      <c r="C31" s="12" t="n"/>
      <c r="D31" s="12" t="n"/>
      <c r="E31" s="12" t="n"/>
      <c r="F31" s="31" t="n"/>
      <c r="G31" s="33" t="n"/>
      <c r="H31" s="33" t="n"/>
      <c r="I31" s="33" t="n"/>
      <c r="J31" s="33">
        <f>IF(G31="","",IF((G31+H31+I31)=0,"",ROUND((G31+H31+I31)/3,1)))</f>
        <v/>
      </c>
      <c r="K31" s="12" t="n"/>
    </row>
    <row r="32" ht="22" customHeight="1">
      <c r="B32" s="20">
        <f>IF(C32="","EC-"&amp;TEXT(COUNTA($C$5:C32),"000"))</f>
        <v/>
      </c>
      <c r="C32" s="16" t="n"/>
      <c r="D32" s="16" t="n"/>
      <c r="E32" s="16" t="n"/>
      <c r="F32" s="32" t="n"/>
      <c r="G32" s="34" t="n"/>
      <c r="H32" s="34" t="n"/>
      <c r="I32" s="34" t="n"/>
      <c r="J32" s="34">
        <f>IF(G32="","",IF((G32+H32+I32)=0,"",ROUND((G32+H32+I32)/3,1)))</f>
        <v/>
      </c>
      <c r="K32" s="16" t="n"/>
    </row>
    <row r="33" ht="22" customHeight="1">
      <c r="B33" s="21">
        <f>IF(C33="","EC-"&amp;TEXT(COUNTA($C$5:C33),"000"))</f>
        <v/>
      </c>
      <c r="C33" s="12" t="n"/>
      <c r="D33" s="12" t="n"/>
      <c r="E33" s="12" t="n"/>
      <c r="F33" s="31" t="n"/>
      <c r="G33" s="33" t="n"/>
      <c r="H33" s="33" t="n"/>
      <c r="I33" s="33" t="n"/>
      <c r="J33" s="33">
        <f>IF(G33="","",IF((G33+H33+I33)=0,"",ROUND((G33+H33+I33)/3,1)))</f>
        <v/>
      </c>
      <c r="K33" s="12" t="n"/>
    </row>
    <row r="34" ht="22" customHeight="1">
      <c r="B34" s="20">
        <f>IF(C34="","EC-"&amp;TEXT(COUNTA($C$5:C34),"000"))</f>
        <v/>
      </c>
      <c r="C34" s="16" t="n"/>
      <c r="D34" s="16" t="n"/>
      <c r="E34" s="16" t="n"/>
      <c r="F34" s="32" t="n"/>
      <c r="G34" s="34" t="n"/>
      <c r="H34" s="34" t="n"/>
      <c r="I34" s="34" t="n"/>
      <c r="J34" s="34">
        <f>IF(G34="","",IF((G34+H34+I34)=0,"",ROUND((G34+H34+I34)/3,1)))</f>
        <v/>
      </c>
      <c r="K34" s="16" t="n"/>
    </row>
    <row r="35" ht="22" customHeight="1">
      <c r="B35" s="21">
        <f>IF(C35="","EC-"&amp;TEXT(COUNTA($C$5:C35),"000"))</f>
        <v/>
      </c>
      <c r="C35" s="12" t="n"/>
      <c r="D35" s="12" t="n"/>
      <c r="E35" s="12" t="n"/>
      <c r="F35" s="31" t="n"/>
      <c r="G35" s="33" t="n"/>
      <c r="H35" s="33" t="n"/>
      <c r="I35" s="33" t="n"/>
      <c r="J35" s="33">
        <f>IF(G35="","",IF((G35+H35+I35)=0,"",ROUND((G35+H35+I35)/3,1)))</f>
        <v/>
      </c>
      <c r="K35" s="12" t="n"/>
    </row>
    <row r="36" ht="22" customHeight="1">
      <c r="B36" s="20">
        <f>IF(C36="","EC-"&amp;TEXT(COUNTA($C$5:C36),"000"))</f>
        <v/>
      </c>
      <c r="C36" s="16" t="n"/>
      <c r="D36" s="16" t="n"/>
      <c r="E36" s="16" t="n"/>
      <c r="F36" s="32" t="n"/>
      <c r="G36" s="34" t="n"/>
      <c r="H36" s="34" t="n"/>
      <c r="I36" s="34" t="n"/>
      <c r="J36" s="34">
        <f>IF(G36="","",IF((G36+H36+I36)=0,"",ROUND((G36+H36+I36)/3,1)))</f>
        <v/>
      </c>
      <c r="K36" s="16" t="n"/>
    </row>
    <row r="37" ht="22" customHeight="1">
      <c r="B37" s="21">
        <f>IF(C37="","EC-"&amp;TEXT(COUNTA($C$5:C37),"000"))</f>
        <v/>
      </c>
      <c r="C37" s="12" t="n"/>
      <c r="D37" s="12" t="n"/>
      <c r="E37" s="12" t="n"/>
      <c r="F37" s="31" t="n"/>
      <c r="G37" s="33" t="n"/>
      <c r="H37" s="33" t="n"/>
      <c r="I37" s="33" t="n"/>
      <c r="J37" s="33">
        <f>IF(G37="","",IF((G37+H37+I37)=0,"",ROUND((G37+H37+I37)/3,1)))</f>
        <v/>
      </c>
      <c r="K37" s="12" t="n"/>
    </row>
    <row r="38" ht="22" customHeight="1">
      <c r="B38" s="20">
        <f>IF(C38="","EC-"&amp;TEXT(COUNTA($C$5:C38),"000"))</f>
        <v/>
      </c>
      <c r="C38" s="16" t="n"/>
      <c r="D38" s="16" t="n"/>
      <c r="E38" s="16" t="n"/>
      <c r="F38" s="32" t="n"/>
      <c r="G38" s="34" t="n"/>
      <c r="H38" s="34" t="n"/>
      <c r="I38" s="34" t="n"/>
      <c r="J38" s="34">
        <f>IF(G38="","",IF((G38+H38+I38)=0,"",ROUND((G38+H38+I38)/3,1)))</f>
        <v/>
      </c>
      <c r="K38" s="16" t="n"/>
    </row>
    <row r="39" ht="22" customHeight="1">
      <c r="B39" s="21">
        <f>IF(C39="","EC-"&amp;TEXT(COUNTA($C$5:C39),"000"))</f>
        <v/>
      </c>
      <c r="C39" s="12" t="n"/>
      <c r="D39" s="12" t="n"/>
      <c r="E39" s="12" t="n"/>
      <c r="F39" s="31" t="n"/>
      <c r="G39" s="33" t="n"/>
      <c r="H39" s="33" t="n"/>
      <c r="I39" s="33" t="n"/>
      <c r="J39" s="33">
        <f>IF(G39="","",IF((G39+H39+I39)=0,"",ROUND((G39+H39+I39)/3,1)))</f>
        <v/>
      </c>
      <c r="K39" s="12" t="n"/>
    </row>
    <row r="40" ht="22" customHeight="1">
      <c r="B40" s="20">
        <f>IF(C40="","EC-"&amp;TEXT(COUNTA($C$5:C40),"000"))</f>
        <v/>
      </c>
      <c r="C40" s="16" t="n"/>
      <c r="D40" s="16" t="n"/>
      <c r="E40" s="16" t="n"/>
      <c r="F40" s="32" t="n"/>
      <c r="G40" s="34" t="n"/>
      <c r="H40" s="34" t="n"/>
      <c r="I40" s="34" t="n"/>
      <c r="J40" s="34">
        <f>IF(G40="","",IF((G40+H40+I40)=0,"",ROUND((G40+H40+I40)/3,1)))</f>
        <v/>
      </c>
      <c r="K40" s="16" t="n"/>
    </row>
    <row r="41" ht="22" customHeight="1">
      <c r="B41" s="21">
        <f>IF(C41="","EC-"&amp;TEXT(COUNTA($C$5:C41),"000"))</f>
        <v/>
      </c>
      <c r="C41" s="12" t="n"/>
      <c r="D41" s="12" t="n"/>
      <c r="E41" s="12" t="n"/>
      <c r="F41" s="31" t="n"/>
      <c r="G41" s="33" t="n"/>
      <c r="H41" s="33" t="n"/>
      <c r="I41" s="33" t="n"/>
      <c r="J41" s="33">
        <f>IF(G41="","",IF((G41+H41+I41)=0,"",ROUND((G41+H41+I41)/3,1)))</f>
        <v/>
      </c>
      <c r="K41" s="12" t="n"/>
    </row>
    <row r="42" ht="22" customHeight="1">
      <c r="B42" s="20">
        <f>IF(C42="","EC-"&amp;TEXT(COUNTA($C$5:C42),"000"))</f>
        <v/>
      </c>
      <c r="C42" s="16" t="n"/>
      <c r="D42" s="16" t="n"/>
      <c r="E42" s="16" t="n"/>
      <c r="F42" s="32" t="n"/>
      <c r="G42" s="34" t="n"/>
      <c r="H42" s="34" t="n"/>
      <c r="I42" s="34" t="n"/>
      <c r="J42" s="34">
        <f>IF(G42="","",IF((G42+H42+I42)=0,"",ROUND((G42+H42+I42)/3,1)))</f>
        <v/>
      </c>
      <c r="K42" s="16" t="n"/>
    </row>
    <row r="43" ht="22" customHeight="1">
      <c r="B43" s="21">
        <f>IF(C43="","EC-"&amp;TEXT(COUNTA($C$5:C43),"000"))</f>
        <v/>
      </c>
      <c r="C43" s="12" t="n"/>
      <c r="D43" s="12" t="n"/>
      <c r="E43" s="12" t="n"/>
      <c r="F43" s="31" t="n"/>
      <c r="G43" s="33" t="n"/>
      <c r="H43" s="33" t="n"/>
      <c r="I43" s="33" t="n"/>
      <c r="J43" s="33">
        <f>IF(G43="","",IF((G43+H43+I43)=0,"",ROUND((G43+H43+I43)/3,1)))</f>
        <v/>
      </c>
      <c r="K43" s="12" t="n"/>
    </row>
    <row r="44" ht="22" customHeight="1">
      <c r="B44" s="20">
        <f>IF(C44="","EC-"&amp;TEXT(COUNTA($C$5:C44),"000"))</f>
        <v/>
      </c>
      <c r="C44" s="16" t="n"/>
      <c r="D44" s="16" t="n"/>
      <c r="E44" s="16" t="n"/>
      <c r="F44" s="32" t="n"/>
      <c r="G44" s="34" t="n"/>
      <c r="H44" s="34" t="n"/>
      <c r="I44" s="34" t="n"/>
      <c r="J44" s="34">
        <f>IF(G44="","",IF((G44+H44+I44)=0,"",ROUND((G44+H44+I44)/3,1)))</f>
        <v/>
      </c>
      <c r="K44" s="16" t="n"/>
    </row>
    <row r="45" ht="22" customHeight="1">
      <c r="B45" s="21">
        <f>IF(C45="","EC-"&amp;TEXT(COUNTA($C$5:C45),"000"))</f>
        <v/>
      </c>
      <c r="C45" s="12" t="n"/>
      <c r="D45" s="12" t="n"/>
      <c r="E45" s="12" t="n"/>
      <c r="F45" s="31" t="n"/>
      <c r="G45" s="33" t="n"/>
      <c r="H45" s="33" t="n"/>
      <c r="I45" s="33" t="n"/>
      <c r="J45" s="33">
        <f>IF(G45="","",IF((G45+H45+I45)=0,"",ROUND((G45+H45+I45)/3,1)))</f>
        <v/>
      </c>
      <c r="K45" s="12" t="n"/>
    </row>
    <row r="46" ht="22" customHeight="1">
      <c r="B46" s="20">
        <f>IF(C46="","EC-"&amp;TEXT(COUNTA($C$5:C46),"000"))</f>
        <v/>
      </c>
      <c r="C46" s="16" t="n"/>
      <c r="D46" s="16" t="n"/>
      <c r="E46" s="16" t="n"/>
      <c r="F46" s="32" t="n"/>
      <c r="G46" s="34" t="n"/>
      <c r="H46" s="34" t="n"/>
      <c r="I46" s="34" t="n"/>
      <c r="J46" s="34">
        <f>IF(G46="","",IF((G46+H46+I46)=0,"",ROUND((G46+H46+I46)/3,1)))</f>
        <v/>
      </c>
      <c r="K46" s="16" t="n"/>
    </row>
    <row r="47" ht="22" customHeight="1">
      <c r="B47" s="21">
        <f>IF(C47="","EC-"&amp;TEXT(COUNTA($C$5:C47),"000"))</f>
        <v/>
      </c>
      <c r="C47" s="12" t="n"/>
      <c r="D47" s="12" t="n"/>
      <c r="E47" s="12" t="n"/>
      <c r="F47" s="31" t="n"/>
      <c r="G47" s="33" t="n"/>
      <c r="H47" s="33" t="n"/>
      <c r="I47" s="33" t="n"/>
      <c r="J47" s="33">
        <f>IF(G47="","",IF((G47+H47+I47)=0,"",ROUND((G47+H47+I47)/3,1)))</f>
        <v/>
      </c>
      <c r="K47" s="12" t="n"/>
    </row>
    <row r="48" ht="22" customHeight="1">
      <c r="B48" s="20">
        <f>IF(C48="","EC-"&amp;TEXT(COUNTA($C$5:C48),"000"))</f>
        <v/>
      </c>
      <c r="C48" s="16" t="n"/>
      <c r="D48" s="16" t="n"/>
      <c r="E48" s="16" t="n"/>
      <c r="F48" s="32" t="n"/>
      <c r="G48" s="34" t="n"/>
      <c r="H48" s="34" t="n"/>
      <c r="I48" s="34" t="n"/>
      <c r="J48" s="34">
        <f>IF(G48="","",IF((G48+H48+I48)=0,"",ROUND((G48+H48+I48)/3,1)))</f>
        <v/>
      </c>
      <c r="K48" s="16" t="n"/>
    </row>
    <row r="49" ht="22" customHeight="1">
      <c r="B49" s="21">
        <f>IF(C49="","EC-"&amp;TEXT(COUNTA($C$5:C49),"000"))</f>
        <v/>
      </c>
      <c r="C49" s="12" t="n"/>
      <c r="D49" s="12" t="n"/>
      <c r="E49" s="12" t="n"/>
      <c r="F49" s="31" t="n"/>
      <c r="G49" s="33" t="n"/>
      <c r="H49" s="33" t="n"/>
      <c r="I49" s="33" t="n"/>
      <c r="J49" s="33">
        <f>IF(G49="","",IF((G49+H49+I49)=0,"",ROUND((G49+H49+I49)/3,1)))</f>
        <v/>
      </c>
      <c r="K49" s="12" t="n"/>
    </row>
    <row r="50" ht="22" customHeight="1">
      <c r="B50" s="20">
        <f>IF(C50="","EC-"&amp;TEXT(COUNTA($C$5:C50),"000"))</f>
        <v/>
      </c>
      <c r="C50" s="16" t="n"/>
      <c r="D50" s="16" t="n"/>
      <c r="E50" s="16" t="n"/>
      <c r="F50" s="32" t="n"/>
      <c r="G50" s="34" t="n"/>
      <c r="H50" s="34" t="n"/>
      <c r="I50" s="34" t="n"/>
      <c r="J50" s="34">
        <f>IF(G50="","",IF((G50+H50+I50)=0,"",ROUND((G50+H50+I50)/3,1)))</f>
        <v/>
      </c>
      <c r="K50" s="16" t="n"/>
    </row>
    <row r="51" ht="22" customHeight="1">
      <c r="B51" s="21">
        <f>IF(C51="","EC-"&amp;TEXT(COUNTA($C$5:C51),"000"))</f>
        <v/>
      </c>
      <c r="C51" s="12" t="n"/>
      <c r="D51" s="12" t="n"/>
      <c r="E51" s="12" t="n"/>
      <c r="F51" s="31" t="n"/>
      <c r="G51" s="33" t="n"/>
      <c r="H51" s="33" t="n"/>
      <c r="I51" s="33" t="n"/>
      <c r="J51" s="33">
        <f>IF(G51="","",IF((G51+H51+I51)=0,"",ROUND((G51+H51+I51)/3,1)))</f>
        <v/>
      </c>
      <c r="K51" s="12" t="n"/>
    </row>
    <row r="52" ht="22" customHeight="1">
      <c r="B52" s="20">
        <f>IF(C52="","EC-"&amp;TEXT(COUNTA($C$5:C52),"000"))</f>
        <v/>
      </c>
      <c r="C52" s="16" t="n"/>
      <c r="D52" s="16" t="n"/>
      <c r="E52" s="16" t="n"/>
      <c r="F52" s="32" t="n"/>
      <c r="G52" s="34" t="n"/>
      <c r="H52" s="34" t="n"/>
      <c r="I52" s="34" t="n"/>
      <c r="J52" s="34">
        <f>IF(G52="","",IF((G52+H52+I52)=0,"",ROUND((G52+H52+I52)/3,1)))</f>
        <v/>
      </c>
      <c r="K52" s="16" t="n"/>
    </row>
    <row r="53" ht="22" customHeight="1">
      <c r="B53" s="21">
        <f>IF(C53="","EC-"&amp;TEXT(COUNTA($C$5:C53),"000"))</f>
        <v/>
      </c>
      <c r="C53" s="12" t="n"/>
      <c r="D53" s="12" t="n"/>
      <c r="E53" s="12" t="n"/>
      <c r="F53" s="31" t="n"/>
      <c r="G53" s="33" t="n"/>
      <c r="H53" s="33" t="n"/>
      <c r="I53" s="33" t="n"/>
      <c r="J53" s="33">
        <f>IF(G53="","",IF((G53+H53+I53)=0,"",ROUND((G53+H53+I53)/3,1)))</f>
        <v/>
      </c>
      <c r="K53" s="12" t="n"/>
    </row>
    <row r="54" ht="22" customHeight="1">
      <c r="B54" s="20">
        <f>IF(C54="","EC-"&amp;TEXT(COUNTA($C$5:C54),"000"))</f>
        <v/>
      </c>
      <c r="C54" s="16" t="n"/>
      <c r="D54" s="16" t="n"/>
      <c r="E54" s="16" t="n"/>
      <c r="F54" s="32" t="n"/>
      <c r="G54" s="34" t="n"/>
      <c r="H54" s="34" t="n"/>
      <c r="I54" s="34" t="n"/>
      <c r="J54" s="34">
        <f>IF(G54="","",IF((G54+H54+I54)=0,"",ROUND((G54+H54+I54)/3,1)))</f>
        <v/>
      </c>
      <c r="K54" s="16" t="n"/>
    </row>
    <row r="55" ht="22" customHeight="1">
      <c r="B55" s="21">
        <f>IF(C55="","EC-"&amp;TEXT(COUNTA($C$5:C55),"000"))</f>
        <v/>
      </c>
      <c r="C55" s="12" t="n"/>
      <c r="D55" s="12" t="n"/>
      <c r="E55" s="12" t="n"/>
      <c r="F55" s="31" t="n"/>
      <c r="G55" s="33" t="n"/>
      <c r="H55" s="33" t="n"/>
      <c r="I55" s="33" t="n"/>
      <c r="J55" s="33">
        <f>IF(G55="","",IF((G55+H55+I55)=0,"",ROUND((G55+H55+I55)/3,1)))</f>
        <v/>
      </c>
      <c r="K55" s="12" t="n"/>
    </row>
    <row r="56" ht="22" customHeight="1">
      <c r="B56" s="20">
        <f>IF(C56="","EC-"&amp;TEXT(COUNTA($C$5:C56),"000"))</f>
        <v/>
      </c>
      <c r="C56" s="16" t="n"/>
      <c r="D56" s="16" t="n"/>
      <c r="E56" s="16" t="n"/>
      <c r="F56" s="32" t="n"/>
      <c r="G56" s="34" t="n"/>
      <c r="H56" s="34" t="n"/>
      <c r="I56" s="34" t="n"/>
      <c r="J56" s="34">
        <f>IF(G56="","",IF((G56+H56+I56)=0,"",ROUND((G56+H56+I56)/3,1)))</f>
        <v/>
      </c>
      <c r="K56" s="16" t="n"/>
    </row>
    <row r="57" ht="22" customHeight="1">
      <c r="B57" s="21">
        <f>IF(C57="","EC-"&amp;TEXT(COUNTA($C$5:C57),"000"))</f>
        <v/>
      </c>
      <c r="C57" s="12" t="n"/>
      <c r="D57" s="12" t="n"/>
      <c r="E57" s="12" t="n"/>
      <c r="F57" s="31" t="n"/>
      <c r="G57" s="33" t="n"/>
      <c r="H57" s="33" t="n"/>
      <c r="I57" s="33" t="n"/>
      <c r="J57" s="33">
        <f>IF(G57="","",IF((G57+H57+I57)=0,"",ROUND((G57+H57+I57)/3,1)))</f>
        <v/>
      </c>
      <c r="K57" s="12" t="n"/>
    </row>
    <row r="58" ht="22" customHeight="1">
      <c r="B58" s="20">
        <f>IF(C58="","EC-"&amp;TEXT(COUNTA($C$5:C58),"000"))</f>
        <v/>
      </c>
      <c r="C58" s="16" t="n"/>
      <c r="D58" s="16" t="n"/>
      <c r="E58" s="16" t="n"/>
      <c r="F58" s="32" t="n"/>
      <c r="G58" s="34" t="n"/>
      <c r="H58" s="34" t="n"/>
      <c r="I58" s="34" t="n"/>
      <c r="J58" s="34">
        <f>IF(G58="","",IF((G58+H58+I58)=0,"",ROUND((G58+H58+I58)/3,1)))</f>
        <v/>
      </c>
      <c r="K58" s="16" t="n"/>
    </row>
    <row r="59" ht="22" customHeight="1">
      <c r="B59" s="21">
        <f>IF(C59="","EC-"&amp;TEXT(COUNTA($C$5:C59),"000"))</f>
        <v/>
      </c>
      <c r="C59" s="12" t="n"/>
      <c r="D59" s="12" t="n"/>
      <c r="E59" s="12" t="n"/>
      <c r="F59" s="31" t="n"/>
      <c r="G59" s="33" t="n"/>
      <c r="H59" s="33" t="n"/>
      <c r="I59" s="33" t="n"/>
      <c r="J59" s="33">
        <f>IF(G59="","",IF((G59+H59+I59)=0,"",ROUND((G59+H59+I59)/3,1)))</f>
        <v/>
      </c>
      <c r="K59" s="12" t="n"/>
    </row>
    <row r="60" ht="22" customHeight="1">
      <c r="B60" s="20">
        <f>IF(C60="","EC-"&amp;TEXT(COUNTA($C$5:C60),"000"))</f>
        <v/>
      </c>
      <c r="C60" s="16" t="n"/>
      <c r="D60" s="16" t="n"/>
      <c r="E60" s="16" t="n"/>
      <c r="F60" s="32" t="n"/>
      <c r="G60" s="34" t="n"/>
      <c r="H60" s="34" t="n"/>
      <c r="I60" s="34" t="n"/>
      <c r="J60" s="34">
        <f>IF(G60="","",IF((G60+H60+I60)=0,"",ROUND((G60+H60+I60)/3,1)))</f>
        <v/>
      </c>
      <c r="K60" s="16" t="n"/>
    </row>
    <row r="61" ht="22" customHeight="1">
      <c r="B61" s="21">
        <f>IF(C61="","EC-"&amp;TEXT(COUNTA($C$5:C61),"000"))</f>
        <v/>
      </c>
      <c r="C61" s="12" t="n"/>
      <c r="D61" s="12" t="n"/>
      <c r="E61" s="12" t="n"/>
      <c r="F61" s="31" t="n"/>
      <c r="G61" s="33" t="n"/>
      <c r="H61" s="33" t="n"/>
      <c r="I61" s="33" t="n"/>
      <c r="J61" s="33">
        <f>IF(G61="","",IF((G61+H61+I61)=0,"",ROUND((G61+H61+I61)/3,1)))</f>
        <v/>
      </c>
      <c r="K61" s="12" t="n"/>
    </row>
    <row r="62" ht="22" customHeight="1">
      <c r="B62" s="20">
        <f>IF(C62="","EC-"&amp;TEXT(COUNTA($C$5:C62),"000"))</f>
        <v/>
      </c>
      <c r="C62" s="16" t="n"/>
      <c r="D62" s="16" t="n"/>
      <c r="E62" s="16" t="n"/>
      <c r="F62" s="32" t="n"/>
      <c r="G62" s="34" t="n"/>
      <c r="H62" s="34" t="n"/>
      <c r="I62" s="34" t="n"/>
      <c r="J62" s="34">
        <f>IF(G62="","",IF((G62+H62+I62)=0,"",ROUND((G62+H62+I62)/3,1)))</f>
        <v/>
      </c>
      <c r="K62" s="16" t="n"/>
    </row>
    <row r="63" ht="22" customHeight="1">
      <c r="B63" s="21">
        <f>IF(C63="","EC-"&amp;TEXT(COUNTA($C$5:C63),"000"))</f>
        <v/>
      </c>
      <c r="C63" s="12" t="n"/>
      <c r="D63" s="12" t="n"/>
      <c r="E63" s="12" t="n"/>
      <c r="F63" s="31" t="n"/>
      <c r="G63" s="33" t="n"/>
      <c r="H63" s="33" t="n"/>
      <c r="I63" s="33" t="n"/>
      <c r="J63" s="33">
        <f>IF(G63="","",IF((G63+H63+I63)=0,"",ROUND((G63+H63+I63)/3,1)))</f>
        <v/>
      </c>
      <c r="K63" s="12" t="n"/>
    </row>
    <row r="64" ht="22" customHeight="1">
      <c r="B64" s="20">
        <f>IF(C64="","EC-"&amp;TEXT(COUNTA($C$5:C64),"000"))</f>
        <v/>
      </c>
      <c r="C64" s="16" t="n"/>
      <c r="D64" s="16" t="n"/>
      <c r="E64" s="16" t="n"/>
      <c r="F64" s="32" t="n"/>
      <c r="G64" s="34" t="n"/>
      <c r="H64" s="34" t="n"/>
      <c r="I64" s="34" t="n"/>
      <c r="J64" s="34">
        <f>IF(G64="","",IF((G64+H64+I64)=0,"",ROUND((G64+H64+I64)/3,1)))</f>
        <v/>
      </c>
      <c r="K64" s="16" t="n"/>
    </row>
    <row r="65" ht="22" customHeight="1">
      <c r="B65" s="21">
        <f>IF(C65="","EC-"&amp;TEXT(COUNTA($C$5:C65),"000"))</f>
        <v/>
      </c>
      <c r="C65" s="12" t="n"/>
      <c r="D65" s="12" t="n"/>
      <c r="E65" s="12" t="n"/>
      <c r="F65" s="31" t="n"/>
      <c r="G65" s="33" t="n"/>
      <c r="H65" s="33" t="n"/>
      <c r="I65" s="33" t="n"/>
      <c r="J65" s="33">
        <f>IF(G65="","",IF((G65+H65+I65)=0,"",ROUND((G65+H65+I65)/3,1)))</f>
        <v/>
      </c>
      <c r="K65" s="12" t="n"/>
    </row>
    <row r="66" ht="22" customHeight="1">
      <c r="B66" s="20">
        <f>IF(C66="","EC-"&amp;TEXT(COUNTA($C$5:C66),"000"))</f>
        <v/>
      </c>
      <c r="C66" s="16" t="n"/>
      <c r="D66" s="16" t="n"/>
      <c r="E66" s="16" t="n"/>
      <c r="F66" s="32" t="n"/>
      <c r="G66" s="34" t="n"/>
      <c r="H66" s="34" t="n"/>
      <c r="I66" s="34" t="n"/>
      <c r="J66" s="34">
        <f>IF(G66="","",IF((G66+H66+I66)=0,"",ROUND((G66+H66+I66)/3,1)))</f>
        <v/>
      </c>
      <c r="K66" s="16" t="n"/>
    </row>
    <row r="67" ht="22" customHeight="1">
      <c r="B67" s="21">
        <f>IF(C67="","EC-"&amp;TEXT(COUNTA($C$5:C67),"000"))</f>
        <v/>
      </c>
      <c r="C67" s="12" t="n"/>
      <c r="D67" s="12" t="n"/>
      <c r="E67" s="12" t="n"/>
      <c r="F67" s="31" t="n"/>
      <c r="G67" s="33" t="n"/>
      <c r="H67" s="33" t="n"/>
      <c r="I67" s="33" t="n"/>
      <c r="J67" s="33">
        <f>IF(G67="","",IF((G67+H67+I67)=0,"",ROUND((G67+H67+I67)/3,1)))</f>
        <v/>
      </c>
      <c r="K67" s="12" t="n"/>
    </row>
    <row r="68" ht="22" customHeight="1">
      <c r="B68" s="20">
        <f>IF(C68="","EC-"&amp;TEXT(COUNTA($C$5:C68),"000"))</f>
        <v/>
      </c>
      <c r="C68" s="16" t="n"/>
      <c r="D68" s="16" t="n"/>
      <c r="E68" s="16" t="n"/>
      <c r="F68" s="32" t="n"/>
      <c r="G68" s="34" t="n"/>
      <c r="H68" s="34" t="n"/>
      <c r="I68" s="34" t="n"/>
      <c r="J68" s="34">
        <f>IF(G68="","",IF((G68+H68+I68)=0,"",ROUND((G68+H68+I68)/3,1)))</f>
        <v/>
      </c>
      <c r="K68" s="16" t="n"/>
    </row>
    <row r="69" ht="22" customHeight="1">
      <c r="B69" s="21">
        <f>IF(C69="","EC-"&amp;TEXT(COUNTA($C$5:C69),"000"))</f>
        <v/>
      </c>
      <c r="C69" s="12" t="n"/>
      <c r="D69" s="12" t="n"/>
      <c r="E69" s="12" t="n"/>
      <c r="F69" s="31" t="n"/>
      <c r="G69" s="33" t="n"/>
      <c r="H69" s="33" t="n"/>
      <c r="I69" s="33" t="n"/>
      <c r="J69" s="33">
        <f>IF(G69="","",IF((G69+H69+I69)=0,"",ROUND((G69+H69+I69)/3,1)))</f>
        <v/>
      </c>
      <c r="K69" s="12" t="n"/>
    </row>
    <row r="70" ht="22" customHeight="1">
      <c r="B70" s="20">
        <f>IF(C70="","EC-"&amp;TEXT(COUNTA($C$5:C70),"000"))</f>
        <v/>
      </c>
      <c r="C70" s="16" t="n"/>
      <c r="D70" s="16" t="n"/>
      <c r="E70" s="16" t="n"/>
      <c r="F70" s="32" t="n"/>
      <c r="G70" s="34" t="n"/>
      <c r="H70" s="34" t="n"/>
      <c r="I70" s="34" t="n"/>
      <c r="J70" s="34">
        <f>IF(G70="","",IF((G70+H70+I70)=0,"",ROUND((G70+H70+I70)/3,1)))</f>
        <v/>
      </c>
      <c r="K70" s="16" t="n"/>
    </row>
    <row r="71" ht="22" customHeight="1">
      <c r="B71" s="21">
        <f>IF(C71="","EC-"&amp;TEXT(COUNTA($C$5:C71),"000"))</f>
        <v/>
      </c>
      <c r="C71" s="12" t="n"/>
      <c r="D71" s="12" t="n"/>
      <c r="E71" s="12" t="n"/>
      <c r="F71" s="31" t="n"/>
      <c r="G71" s="33" t="n"/>
      <c r="H71" s="33" t="n"/>
      <c r="I71" s="33" t="n"/>
      <c r="J71" s="33">
        <f>IF(G71="","",IF((G71+H71+I71)=0,"",ROUND((G71+H71+I71)/3,1)))</f>
        <v/>
      </c>
      <c r="K71" s="12" t="n"/>
    </row>
    <row r="72" ht="22" customHeight="1">
      <c r="B72" s="20">
        <f>IF(C72="","EC-"&amp;TEXT(COUNTA($C$5:C72),"000"))</f>
        <v/>
      </c>
      <c r="C72" s="16" t="n"/>
      <c r="D72" s="16" t="n"/>
      <c r="E72" s="16" t="n"/>
      <c r="F72" s="32" t="n"/>
      <c r="G72" s="34" t="n"/>
      <c r="H72" s="34" t="n"/>
      <c r="I72" s="34" t="n"/>
      <c r="J72" s="34">
        <f>IF(G72="","",IF((G72+H72+I72)=0,"",ROUND((G72+H72+I72)/3,1)))</f>
        <v/>
      </c>
      <c r="K72" s="16" t="n"/>
    </row>
    <row r="73" ht="22" customHeight="1">
      <c r="B73" s="21">
        <f>IF(C73="","EC-"&amp;TEXT(COUNTA($C$5:C73),"000"))</f>
        <v/>
      </c>
      <c r="C73" s="12" t="n"/>
      <c r="D73" s="12" t="n"/>
      <c r="E73" s="12" t="n"/>
      <c r="F73" s="31" t="n"/>
      <c r="G73" s="33" t="n"/>
      <c r="H73" s="33" t="n"/>
      <c r="I73" s="33" t="n"/>
      <c r="J73" s="33">
        <f>IF(G73="","",IF((G73+H73+I73)=0,"",ROUND((G73+H73+I73)/3,1)))</f>
        <v/>
      </c>
      <c r="K73" s="12" t="n"/>
    </row>
    <row r="74" ht="22" customHeight="1">
      <c r="B74" s="20">
        <f>IF(C74="","EC-"&amp;TEXT(COUNTA($C$5:C74),"000"))</f>
        <v/>
      </c>
      <c r="C74" s="16" t="n"/>
      <c r="D74" s="16" t="n"/>
      <c r="E74" s="16" t="n"/>
      <c r="F74" s="32" t="n"/>
      <c r="G74" s="34" t="n"/>
      <c r="H74" s="34" t="n"/>
      <c r="I74" s="34" t="n"/>
      <c r="J74" s="34">
        <f>IF(G74="","",IF((G74+H74+I74)=0,"",ROUND((G74+H74+I74)/3,1)))</f>
        <v/>
      </c>
      <c r="K74" s="16" t="n"/>
    </row>
    <row r="75" ht="22" customHeight="1">
      <c r="B75" s="21">
        <f>IF(C75="","EC-"&amp;TEXT(COUNTA($C$5:C75),"000"))</f>
        <v/>
      </c>
      <c r="C75" s="12" t="n"/>
      <c r="D75" s="12" t="n"/>
      <c r="E75" s="12" t="n"/>
      <c r="F75" s="31" t="n"/>
      <c r="G75" s="33" t="n"/>
      <c r="H75" s="33" t="n"/>
      <c r="I75" s="33" t="n"/>
      <c r="J75" s="33">
        <f>IF(G75="","",IF((G75+H75+I75)=0,"",ROUND((G75+H75+I75)/3,1)))</f>
        <v/>
      </c>
      <c r="K75" s="12" t="n"/>
    </row>
    <row r="76" ht="22" customHeight="1">
      <c r="B76" s="20">
        <f>IF(C76="","EC-"&amp;TEXT(COUNTA($C$5:C76),"000"))</f>
        <v/>
      </c>
      <c r="C76" s="16" t="n"/>
      <c r="D76" s="16" t="n"/>
      <c r="E76" s="16" t="n"/>
      <c r="F76" s="32" t="n"/>
      <c r="G76" s="34" t="n"/>
      <c r="H76" s="34" t="n"/>
      <c r="I76" s="34" t="n"/>
      <c r="J76" s="34">
        <f>IF(G76="","",IF((G76+H76+I76)=0,"",ROUND((G76+H76+I76)/3,1)))</f>
        <v/>
      </c>
      <c r="K76" s="16" t="n"/>
    </row>
    <row r="77" ht="22" customHeight="1">
      <c r="B77" s="21">
        <f>IF(C77="","EC-"&amp;TEXT(COUNTA($C$5:C77),"000"))</f>
        <v/>
      </c>
      <c r="C77" s="12" t="n"/>
      <c r="D77" s="12" t="n"/>
      <c r="E77" s="12" t="n"/>
      <c r="F77" s="31" t="n"/>
      <c r="G77" s="33" t="n"/>
      <c r="H77" s="33" t="n"/>
      <c r="I77" s="33" t="n"/>
      <c r="J77" s="33">
        <f>IF(G77="","",IF((G77+H77+I77)=0,"",ROUND((G77+H77+I77)/3,1)))</f>
        <v/>
      </c>
      <c r="K77" s="12" t="n"/>
    </row>
    <row r="78" ht="22" customHeight="1">
      <c r="B78" s="20">
        <f>IF(C78="","EC-"&amp;TEXT(COUNTA($C$5:C78),"000"))</f>
        <v/>
      </c>
      <c r="C78" s="16" t="n"/>
      <c r="D78" s="16" t="n"/>
      <c r="E78" s="16" t="n"/>
      <c r="F78" s="32" t="n"/>
      <c r="G78" s="34" t="n"/>
      <c r="H78" s="34" t="n"/>
      <c r="I78" s="34" t="n"/>
      <c r="J78" s="34">
        <f>IF(G78="","",IF((G78+H78+I78)=0,"",ROUND((G78+H78+I78)/3,1)))</f>
        <v/>
      </c>
      <c r="K78" s="16" t="n"/>
    </row>
    <row r="79" ht="22" customHeight="1">
      <c r="B79" s="21">
        <f>IF(C79="","EC-"&amp;TEXT(COUNTA($C$5:C79),"000"))</f>
        <v/>
      </c>
      <c r="C79" s="12" t="n"/>
      <c r="D79" s="12" t="n"/>
      <c r="E79" s="12" t="n"/>
      <c r="F79" s="31" t="n"/>
      <c r="G79" s="33" t="n"/>
      <c r="H79" s="33" t="n"/>
      <c r="I79" s="33" t="n"/>
      <c r="J79" s="33">
        <f>IF(G79="","",IF((G79+H79+I79)=0,"",ROUND((G79+H79+I79)/3,1)))</f>
        <v/>
      </c>
      <c r="K79" s="12" t="n"/>
    </row>
    <row r="80" ht="22" customHeight="1">
      <c r="B80" s="20">
        <f>IF(C80="","EC-"&amp;TEXT(COUNTA($C$5:C80),"000"))</f>
        <v/>
      </c>
      <c r="C80" s="16" t="n"/>
      <c r="D80" s="16" t="n"/>
      <c r="E80" s="16" t="n"/>
      <c r="F80" s="32" t="n"/>
      <c r="G80" s="34" t="n"/>
      <c r="H80" s="34" t="n"/>
      <c r="I80" s="34" t="n"/>
      <c r="J80" s="34">
        <f>IF(G80="","",IF((G80+H80+I80)=0,"",ROUND((G80+H80+I80)/3,1)))</f>
        <v/>
      </c>
      <c r="K80" s="16" t="n"/>
    </row>
    <row r="81" ht="22" customHeight="1">
      <c r="B81" s="21">
        <f>IF(C81="","EC-"&amp;TEXT(COUNTA($C$5:C81),"000"))</f>
        <v/>
      </c>
      <c r="C81" s="12" t="n"/>
      <c r="D81" s="12" t="n"/>
      <c r="E81" s="12" t="n"/>
      <c r="F81" s="31" t="n"/>
      <c r="G81" s="33" t="n"/>
      <c r="H81" s="33" t="n"/>
      <c r="I81" s="33" t="n"/>
      <c r="J81" s="33">
        <f>IF(G81="","",IF((G81+H81+I81)=0,"",ROUND((G81+H81+I81)/3,1)))</f>
        <v/>
      </c>
      <c r="K81" s="12" t="n"/>
    </row>
    <row r="82" ht="22" customHeight="1">
      <c r="B82" s="20">
        <f>IF(C82="","EC-"&amp;TEXT(COUNTA($C$5:C82),"000"))</f>
        <v/>
      </c>
      <c r="C82" s="16" t="n"/>
      <c r="D82" s="16" t="n"/>
      <c r="E82" s="16" t="n"/>
      <c r="F82" s="32" t="n"/>
      <c r="G82" s="34" t="n"/>
      <c r="H82" s="34" t="n"/>
      <c r="I82" s="34" t="n"/>
      <c r="J82" s="34">
        <f>IF(G82="","",IF((G82+H82+I82)=0,"",ROUND((G82+H82+I82)/3,1)))</f>
        <v/>
      </c>
      <c r="K82" s="16" t="n"/>
    </row>
    <row r="83" ht="22" customHeight="1">
      <c r="B83" s="21">
        <f>IF(C83="","EC-"&amp;TEXT(COUNTA($C$5:C83),"000"))</f>
        <v/>
      </c>
      <c r="C83" s="12" t="n"/>
      <c r="D83" s="12" t="n"/>
      <c r="E83" s="12" t="n"/>
      <c r="F83" s="31" t="n"/>
      <c r="G83" s="33" t="n"/>
      <c r="H83" s="33" t="n"/>
      <c r="I83" s="33" t="n"/>
      <c r="J83" s="33">
        <f>IF(G83="","",IF((G83+H83+I83)=0,"",ROUND((G83+H83+I83)/3,1)))</f>
        <v/>
      </c>
      <c r="K83" s="12" t="n"/>
    </row>
    <row r="84" ht="22" customHeight="1">
      <c r="B84" s="20">
        <f>IF(C84="","EC-"&amp;TEXT(COUNTA($C$5:C84),"000"))</f>
        <v/>
      </c>
      <c r="C84" s="16" t="n"/>
      <c r="D84" s="16" t="n"/>
      <c r="E84" s="16" t="n"/>
      <c r="F84" s="32" t="n"/>
      <c r="G84" s="34" t="n"/>
      <c r="H84" s="34" t="n"/>
      <c r="I84" s="34" t="n"/>
      <c r="J84" s="34">
        <f>IF(G84="","",IF((G84+H84+I84)=0,"",ROUND((G84+H84+I84)/3,1)))</f>
        <v/>
      </c>
      <c r="K84" s="16" t="n"/>
    </row>
    <row r="85" ht="22" customHeight="1">
      <c r="B85" s="21">
        <f>IF(C85="","EC-"&amp;TEXT(COUNTA($C$5:C85),"000"))</f>
        <v/>
      </c>
      <c r="C85" s="12" t="n"/>
      <c r="D85" s="12" t="n"/>
      <c r="E85" s="12" t="n"/>
      <c r="F85" s="31" t="n"/>
      <c r="G85" s="33" t="n"/>
      <c r="H85" s="33" t="n"/>
      <c r="I85" s="33" t="n"/>
      <c r="J85" s="33">
        <f>IF(G85="","",IF((G85+H85+I85)=0,"",ROUND((G85+H85+I85)/3,1)))</f>
        <v/>
      </c>
      <c r="K85" s="12" t="n"/>
    </row>
    <row r="86" ht="22" customHeight="1">
      <c r="B86" s="20">
        <f>IF(C86="","EC-"&amp;TEXT(COUNTA($C$5:C86),"000"))</f>
        <v/>
      </c>
      <c r="C86" s="16" t="n"/>
      <c r="D86" s="16" t="n"/>
      <c r="E86" s="16" t="n"/>
      <c r="F86" s="32" t="n"/>
      <c r="G86" s="34" t="n"/>
      <c r="H86" s="34" t="n"/>
      <c r="I86" s="34" t="n"/>
      <c r="J86" s="34">
        <f>IF(G86="","",IF((G86+H86+I86)=0,"",ROUND((G86+H86+I86)/3,1)))</f>
        <v/>
      </c>
      <c r="K86" s="16" t="n"/>
    </row>
    <row r="87" ht="22" customHeight="1">
      <c r="B87" s="21">
        <f>IF(C87="","EC-"&amp;TEXT(COUNTA($C$5:C87),"000"))</f>
        <v/>
      </c>
      <c r="C87" s="12" t="n"/>
      <c r="D87" s="12" t="n"/>
      <c r="E87" s="12" t="n"/>
      <c r="F87" s="31" t="n"/>
      <c r="G87" s="33" t="n"/>
      <c r="H87" s="33" t="n"/>
      <c r="I87" s="33" t="n"/>
      <c r="J87" s="33">
        <f>IF(G87="","",IF((G87+H87+I87)=0,"",ROUND((G87+H87+I87)/3,1)))</f>
        <v/>
      </c>
      <c r="K87" s="12" t="n"/>
    </row>
    <row r="88" ht="22" customHeight="1">
      <c r="B88" s="20">
        <f>IF(C88="","EC-"&amp;TEXT(COUNTA($C$5:C88),"000"))</f>
        <v/>
      </c>
      <c r="C88" s="16" t="n"/>
      <c r="D88" s="16" t="n"/>
      <c r="E88" s="16" t="n"/>
      <c r="F88" s="32" t="n"/>
      <c r="G88" s="34" t="n"/>
      <c r="H88" s="34" t="n"/>
      <c r="I88" s="34" t="n"/>
      <c r="J88" s="34">
        <f>IF(G88="","",IF((G88+H88+I88)=0,"",ROUND((G88+H88+I88)/3,1)))</f>
        <v/>
      </c>
      <c r="K88" s="16" t="n"/>
    </row>
    <row r="89" ht="22" customHeight="1">
      <c r="B89" s="21">
        <f>IF(C89="","EC-"&amp;TEXT(COUNTA($C$5:C89),"000"))</f>
        <v/>
      </c>
      <c r="C89" s="12" t="n"/>
      <c r="D89" s="12" t="n"/>
      <c r="E89" s="12" t="n"/>
      <c r="F89" s="31" t="n"/>
      <c r="G89" s="33" t="n"/>
      <c r="H89" s="33" t="n"/>
      <c r="I89" s="33" t="n"/>
      <c r="J89" s="33">
        <f>IF(G89="","",IF((G89+H89+I89)=0,"",ROUND((G89+H89+I89)/3,1)))</f>
        <v/>
      </c>
      <c r="K89" s="12" t="n"/>
    </row>
    <row r="90" ht="22" customHeight="1">
      <c r="B90" s="20">
        <f>IF(C90="","EC-"&amp;TEXT(COUNTA($C$5:C90),"000"))</f>
        <v/>
      </c>
      <c r="C90" s="16" t="n"/>
      <c r="D90" s="16" t="n"/>
      <c r="E90" s="16" t="n"/>
      <c r="F90" s="32" t="n"/>
      <c r="G90" s="34" t="n"/>
      <c r="H90" s="34" t="n"/>
      <c r="I90" s="34" t="n"/>
      <c r="J90" s="34">
        <f>IF(G90="","",IF((G90+H90+I90)=0,"",ROUND((G90+H90+I90)/3,1)))</f>
        <v/>
      </c>
      <c r="K90" s="16" t="n"/>
    </row>
    <row r="91" ht="22" customHeight="1">
      <c r="B91" s="21">
        <f>IF(C91="","EC-"&amp;TEXT(COUNTA($C$5:C91),"000"))</f>
        <v/>
      </c>
      <c r="C91" s="12" t="n"/>
      <c r="D91" s="12" t="n"/>
      <c r="E91" s="12" t="n"/>
      <c r="F91" s="31" t="n"/>
      <c r="G91" s="33" t="n"/>
      <c r="H91" s="33" t="n"/>
      <c r="I91" s="33" t="n"/>
      <c r="J91" s="33">
        <f>IF(G91="","",IF((G91+H91+I91)=0,"",ROUND((G91+H91+I91)/3,1)))</f>
        <v/>
      </c>
      <c r="K91" s="12" t="n"/>
    </row>
    <row r="92" ht="22" customHeight="1">
      <c r="B92" s="20">
        <f>IF(C92="","EC-"&amp;TEXT(COUNTA($C$5:C92),"000"))</f>
        <v/>
      </c>
      <c r="C92" s="16" t="n"/>
      <c r="D92" s="16" t="n"/>
      <c r="E92" s="16" t="n"/>
      <c r="F92" s="32" t="n"/>
      <c r="G92" s="34" t="n"/>
      <c r="H92" s="34" t="n"/>
      <c r="I92" s="34" t="n"/>
      <c r="J92" s="34">
        <f>IF(G92="","",IF((G92+H92+I92)=0,"",ROUND((G92+H92+I92)/3,1)))</f>
        <v/>
      </c>
      <c r="K92" s="16" t="n"/>
    </row>
    <row r="93" ht="22" customHeight="1">
      <c r="B93" s="21">
        <f>IF(C93="","EC-"&amp;TEXT(COUNTA($C$5:C93),"000"))</f>
        <v/>
      </c>
      <c r="C93" s="12" t="n"/>
      <c r="D93" s="12" t="n"/>
      <c r="E93" s="12" t="n"/>
      <c r="F93" s="31" t="n"/>
      <c r="G93" s="33" t="n"/>
      <c r="H93" s="33" t="n"/>
      <c r="I93" s="33" t="n"/>
      <c r="J93" s="33">
        <f>IF(G93="","",IF((G93+H93+I93)=0,"",ROUND((G93+H93+I93)/3,1)))</f>
        <v/>
      </c>
      <c r="K93" s="12" t="n"/>
    </row>
    <row r="94" ht="22" customHeight="1">
      <c r="B94" s="20">
        <f>IF(C94="","EC-"&amp;TEXT(COUNTA($C$5:C94),"000"))</f>
        <v/>
      </c>
      <c r="C94" s="16" t="n"/>
      <c r="D94" s="16" t="n"/>
      <c r="E94" s="16" t="n"/>
      <c r="F94" s="32" t="n"/>
      <c r="G94" s="34" t="n"/>
      <c r="H94" s="34" t="n"/>
      <c r="I94" s="34" t="n"/>
      <c r="J94" s="34">
        <f>IF(G94="","",IF((G94+H94+I94)=0,"",ROUND((G94+H94+I94)/3,1)))</f>
        <v/>
      </c>
      <c r="K94" s="16" t="n"/>
    </row>
    <row r="95" ht="22" customHeight="1">
      <c r="B95" s="21">
        <f>IF(C95="","EC-"&amp;TEXT(COUNTA($C$5:C95),"000"))</f>
        <v/>
      </c>
      <c r="C95" s="12" t="n"/>
      <c r="D95" s="12" t="n"/>
      <c r="E95" s="12" t="n"/>
      <c r="F95" s="31" t="n"/>
      <c r="G95" s="33" t="n"/>
      <c r="H95" s="33" t="n"/>
      <c r="I95" s="33" t="n"/>
      <c r="J95" s="33">
        <f>IF(G95="","",IF((G95+H95+I95)=0,"",ROUND((G95+H95+I95)/3,1)))</f>
        <v/>
      </c>
      <c r="K95" s="12" t="n"/>
    </row>
    <row r="96" ht="22" customHeight="1">
      <c r="B96" s="20">
        <f>IF(C96="","EC-"&amp;TEXT(COUNTA($C$5:C96),"000"))</f>
        <v/>
      </c>
      <c r="C96" s="16" t="n"/>
      <c r="D96" s="16" t="n"/>
      <c r="E96" s="16" t="n"/>
      <c r="F96" s="32" t="n"/>
      <c r="G96" s="34" t="n"/>
      <c r="H96" s="34" t="n"/>
      <c r="I96" s="34" t="n"/>
      <c r="J96" s="34">
        <f>IF(G96="","",IF((G96+H96+I96)=0,"",ROUND((G96+H96+I96)/3,1)))</f>
        <v/>
      </c>
      <c r="K96" s="16" t="n"/>
    </row>
    <row r="97" ht="22" customHeight="1">
      <c r="B97" s="21">
        <f>IF(C97="","EC-"&amp;TEXT(COUNTA($C$5:C97),"000"))</f>
        <v/>
      </c>
      <c r="C97" s="12" t="n"/>
      <c r="D97" s="12" t="n"/>
      <c r="E97" s="12" t="n"/>
      <c r="F97" s="31" t="n"/>
      <c r="G97" s="33" t="n"/>
      <c r="H97" s="33" t="n"/>
      <c r="I97" s="33" t="n"/>
      <c r="J97" s="33">
        <f>IF(G97="","",IF((G97+H97+I97)=0,"",ROUND((G97+H97+I97)/3,1)))</f>
        <v/>
      </c>
      <c r="K97" s="12" t="n"/>
    </row>
    <row r="98" ht="22" customHeight="1">
      <c r="B98" s="20">
        <f>IF(C98="","EC-"&amp;TEXT(COUNTA($C$5:C98),"000"))</f>
        <v/>
      </c>
      <c r="C98" s="16" t="n"/>
      <c r="D98" s="16" t="n"/>
      <c r="E98" s="16" t="n"/>
      <c r="F98" s="32" t="n"/>
      <c r="G98" s="34" t="n"/>
      <c r="H98" s="34" t="n"/>
      <c r="I98" s="34" t="n"/>
      <c r="J98" s="34">
        <f>IF(G98="","",IF((G98+H98+I98)=0,"",ROUND((G98+H98+I98)/3,1)))</f>
        <v/>
      </c>
      <c r="K98" s="16" t="n"/>
    </row>
    <row r="99" ht="22" customHeight="1">
      <c r="B99" s="21">
        <f>IF(C99="","EC-"&amp;TEXT(COUNTA($C$5:C99),"000"))</f>
        <v/>
      </c>
      <c r="C99" s="12" t="n"/>
      <c r="D99" s="12" t="n"/>
      <c r="E99" s="12" t="n"/>
      <c r="F99" s="31" t="n"/>
      <c r="G99" s="33" t="n"/>
      <c r="H99" s="33" t="n"/>
      <c r="I99" s="33" t="n"/>
      <c r="J99" s="33">
        <f>IF(G99="","",IF((G99+H99+I99)=0,"",ROUND((G99+H99+I99)/3,1)))</f>
        <v/>
      </c>
      <c r="K99" s="12" t="n"/>
    </row>
    <row r="100" ht="22" customHeight="1">
      <c r="B100" s="20">
        <f>IF(C100="","EC-"&amp;TEXT(COUNTA($C$5:C100),"000"))</f>
        <v/>
      </c>
      <c r="C100" s="16" t="n"/>
      <c r="D100" s="16" t="n"/>
      <c r="E100" s="16" t="n"/>
      <c r="F100" s="32" t="n"/>
      <c r="G100" s="34" t="n"/>
      <c r="H100" s="34" t="n"/>
      <c r="I100" s="34" t="n"/>
      <c r="J100" s="34">
        <f>IF(G100="","",IF((G100+H100+I100)=0,"",ROUND((G100+H100+I100)/3,1)))</f>
        <v/>
      </c>
      <c r="K100" s="16" t="n"/>
    </row>
    <row r="101" ht="22" customHeight="1">
      <c r="B101" s="21">
        <f>IF(C101="","EC-"&amp;TEXT(COUNTA($C$5:C101),"000"))</f>
        <v/>
      </c>
      <c r="C101" s="12" t="n"/>
      <c r="D101" s="12" t="n"/>
      <c r="E101" s="12" t="n"/>
      <c r="F101" s="31" t="n"/>
      <c r="G101" s="33" t="n"/>
      <c r="H101" s="33" t="n"/>
      <c r="I101" s="33" t="n"/>
      <c r="J101" s="33">
        <f>IF(G101="","",IF((G101+H101+I101)=0,"",ROUND((G101+H101+I101)/3,1)))</f>
        <v/>
      </c>
      <c r="K101" s="12" t="n"/>
    </row>
    <row r="102" ht="22" customHeight="1">
      <c r="B102" s="20">
        <f>IF(C102="","EC-"&amp;TEXT(COUNTA($C$5:C102),"000"))</f>
        <v/>
      </c>
      <c r="C102" s="16" t="n"/>
      <c r="D102" s="16" t="n"/>
      <c r="E102" s="16" t="n"/>
      <c r="F102" s="32" t="n"/>
      <c r="G102" s="34" t="n"/>
      <c r="H102" s="34" t="n"/>
      <c r="I102" s="34" t="n"/>
      <c r="J102" s="34">
        <f>IF(G102="","",IF((G102+H102+I102)=0,"",ROUND((G102+H102+I102)/3,1)))</f>
        <v/>
      </c>
      <c r="K102" s="16" t="n"/>
    </row>
    <row r="103" ht="22" customHeight="1">
      <c r="B103" s="21">
        <f>IF(C103="","EC-"&amp;TEXT(COUNTA($C$5:C103),"000"))</f>
        <v/>
      </c>
      <c r="C103" s="12" t="n"/>
      <c r="D103" s="12" t="n"/>
      <c r="E103" s="12" t="n"/>
      <c r="F103" s="31" t="n"/>
      <c r="G103" s="33" t="n"/>
      <c r="H103" s="33" t="n"/>
      <c r="I103" s="33" t="n"/>
      <c r="J103" s="33">
        <f>IF(G103="","",IF((G103+H103+I103)=0,"",ROUND((G103+H103+I103)/3,1)))</f>
        <v/>
      </c>
      <c r="K103" s="12" t="n"/>
    </row>
    <row r="104" ht="22" customHeight="1">
      <c r="B104" s="20">
        <f>IF(C104="","EC-"&amp;TEXT(COUNTA($C$5:C104),"000"))</f>
        <v/>
      </c>
      <c r="C104" s="16" t="n"/>
      <c r="D104" s="16" t="n"/>
      <c r="E104" s="16" t="n"/>
      <c r="F104" s="32" t="n"/>
      <c r="G104" s="34" t="n"/>
      <c r="H104" s="34" t="n"/>
      <c r="I104" s="34" t="n"/>
      <c r="J104" s="34">
        <f>IF(G104="","",IF((G104+H104+I104)=0,"",ROUND((G104+H104+I104)/3,1)))</f>
        <v/>
      </c>
      <c r="K104" s="16" t="n"/>
    </row>
    <row r="105" ht="22" customHeight="1">
      <c r="B105" s="21">
        <f>IF(C105="","EC-"&amp;TEXT(COUNTA($C$5:C105),"000"))</f>
        <v/>
      </c>
      <c r="C105" s="12" t="n"/>
      <c r="D105" s="12" t="n"/>
      <c r="E105" s="12" t="n"/>
      <c r="F105" s="31" t="n"/>
      <c r="G105" s="33" t="n"/>
      <c r="H105" s="33" t="n"/>
      <c r="I105" s="33" t="n"/>
      <c r="J105" s="33">
        <f>IF(G105="","",IF((G105+H105+I105)=0,"",ROUND((G105+H105+I105)/3,1)))</f>
        <v/>
      </c>
      <c r="K105" s="12" t="n"/>
    </row>
    <row r="106" ht="22" customHeight="1">
      <c r="B106" s="20">
        <f>IF(C106="","EC-"&amp;TEXT(COUNTA($C$5:C106),"000"))</f>
        <v/>
      </c>
      <c r="C106" s="16" t="n"/>
      <c r="D106" s="16" t="n"/>
      <c r="E106" s="16" t="n"/>
      <c r="F106" s="32" t="n"/>
      <c r="G106" s="34" t="n"/>
      <c r="H106" s="34" t="n"/>
      <c r="I106" s="34" t="n"/>
      <c r="J106" s="34">
        <f>IF(G106="","",IF((G106+H106+I106)=0,"",ROUND((G106+H106+I106)/3,1)))</f>
        <v/>
      </c>
      <c r="K106" s="16" t="n"/>
    </row>
    <row r="107" ht="22" customHeight="1">
      <c r="B107" s="21">
        <f>IF(C107="","EC-"&amp;TEXT(COUNTA($C$5:C107),"000"))</f>
        <v/>
      </c>
      <c r="C107" s="12" t="n"/>
      <c r="D107" s="12" t="n"/>
      <c r="E107" s="12" t="n"/>
      <c r="F107" s="31" t="n"/>
      <c r="G107" s="33" t="n"/>
      <c r="H107" s="33" t="n"/>
      <c r="I107" s="33" t="n"/>
      <c r="J107" s="33">
        <f>IF(G107="","",IF((G107+H107+I107)=0,"",ROUND((G107+H107+I107)/3,1)))</f>
        <v/>
      </c>
      <c r="K107" s="12" t="n"/>
    </row>
    <row r="108" ht="22" customHeight="1">
      <c r="B108" s="20">
        <f>IF(C108="","EC-"&amp;TEXT(COUNTA($C$5:C108),"000"))</f>
        <v/>
      </c>
      <c r="C108" s="16" t="n"/>
      <c r="D108" s="16" t="n"/>
      <c r="E108" s="16" t="n"/>
      <c r="F108" s="32" t="n"/>
      <c r="G108" s="34" t="n"/>
      <c r="H108" s="34" t="n"/>
      <c r="I108" s="34" t="n"/>
      <c r="J108" s="34">
        <f>IF(G108="","",IF((G108+H108+I108)=0,"",ROUND((G108+H108+I108)/3,1)))</f>
        <v/>
      </c>
      <c r="K108" s="16" t="n"/>
    </row>
    <row r="109" ht="22" customHeight="1">
      <c r="B109" s="21">
        <f>IF(C109="","EC-"&amp;TEXT(COUNTA($C$5:C109),"000"))</f>
        <v/>
      </c>
      <c r="C109" s="12" t="n"/>
      <c r="D109" s="12" t="n"/>
      <c r="E109" s="12" t="n"/>
      <c r="F109" s="31" t="n"/>
      <c r="G109" s="33" t="n"/>
      <c r="H109" s="33" t="n"/>
      <c r="I109" s="33" t="n"/>
      <c r="J109" s="33">
        <f>IF(G109="","",IF((G109+H109+I109)=0,"",ROUND((G109+H109+I109)/3,1)))</f>
        <v/>
      </c>
      <c r="K109" s="12" t="n"/>
    </row>
    <row r="111">
      <c r="B111" s="6" t="inlineStr">
        <is>
          <t>INDICATEURS (mis a jour automatiquement)</t>
        </is>
      </c>
    </row>
    <row r="112">
      <c r="B112" s="3" t="inlineStr">
        <is>
          <t>Evaluations</t>
        </is>
      </c>
      <c r="D112" s="3" t="inlineStr">
        <is>
          <t>Score moyen general</t>
        </is>
      </c>
      <c r="F112" s="3" t="inlineStr">
        <is>
          <t>Score max</t>
        </is>
      </c>
      <c r="H112" s="3" t="inlineStr">
        <is>
          <t>Score min</t>
        </is>
      </c>
    </row>
    <row r="113">
      <c r="B113" s="4">
        <f>COUNTIF(B5:B104,"&lt;&gt;")</f>
        <v/>
      </c>
      <c r="D113" s="4">
        <f>IFERROR(AVERAGE(J5:J104),0)</f>
        <v/>
      </c>
      <c r="F113" s="4">
        <f>IFERROR(MAX(J5:J104),0)</f>
        <v/>
      </c>
      <c r="H113" s="4">
        <f>IFERROR(MIN(J5:J104),0)</f>
        <v/>
      </c>
    </row>
  </sheetData>
  <mergeCells count="3">
    <mergeCell ref="B111:K111"/>
    <mergeCell ref="B3:K3"/>
    <mergeCell ref="B2:K2"/>
  </mergeCells>
  <conditionalFormatting sqref="B10:B109">
    <cfRule type="expression" priority="1" dxfId="3">
      <formula>AND($C10="",$C9&lt;&gt;"")</formula>
    </cfRule>
  </conditionalFormatting>
  <conditionalFormatting sqref="C10:C109">
    <cfRule type="expression" priority="2" dxfId="3">
      <formula>AND($C10="",$C9&lt;&gt;"")</formula>
    </cfRule>
  </conditionalFormatting>
  <conditionalFormatting sqref="D10:D109">
    <cfRule type="expression" priority="3" dxfId="3">
      <formula>AND($C10="",$C9&lt;&gt;"")</formula>
    </cfRule>
  </conditionalFormatting>
  <conditionalFormatting sqref="E10:E109">
    <cfRule type="expression" priority="4" dxfId="3">
      <formula>AND($C10="",$C9&lt;&gt;"")</formula>
    </cfRule>
  </conditionalFormatting>
  <conditionalFormatting sqref="F10:F109">
    <cfRule type="expression" priority="5" dxfId="3">
      <formula>AND($C10="",$C9&lt;&gt;"")</formula>
    </cfRule>
  </conditionalFormatting>
  <conditionalFormatting sqref="G10:G109">
    <cfRule type="expression" priority="6" dxfId="3">
      <formula>AND($C10="",$C9&lt;&gt;"")</formula>
    </cfRule>
  </conditionalFormatting>
  <conditionalFormatting sqref="H10:H109">
    <cfRule type="expression" priority="7" dxfId="3">
      <formula>AND($C10="",$C9&lt;&gt;"")</formula>
    </cfRule>
  </conditionalFormatting>
  <conditionalFormatting sqref="I10:I109">
    <cfRule type="expression" priority="8" dxfId="3">
      <formula>AND($C10="",$C9&lt;&gt;"")</formula>
    </cfRule>
  </conditionalFormatting>
  <conditionalFormatting sqref="J10:J109">
    <cfRule type="expression" priority="9" dxfId="3">
      <formula>AND($C10="",$C9&lt;&gt;"")</formula>
    </cfRule>
  </conditionalFormatting>
  <conditionalFormatting sqref="K10:K109">
    <cfRule type="expression" priority="10" dxfId="3">
      <formula>AND($C10="",$C9&lt;&gt;"")</formula>
    </cfRule>
  </conditionalFormatting>
  <conditionalFormatting sqref="J5:J104">
    <cfRule type="dataBar" priority="11">
      <dataBar>
        <cfvo type="num" val="0"/>
        <cfvo type="num" val="5"/>
        <color rgb="004472C4"/>
      </dataBar>
    </cfRule>
  </conditionalFormatting>
  <dataValidations count="1">
    <dataValidation sqref="K5:K113" showDropDown="0" showInputMessage="0" showErrorMessage="0" allowBlank="1" errorTitle="Valeur invalide" error="Veuillez choisir dans la liste: appreciation" promptTitle="appreciation" prompt="Choisir: appreciation" type="list">
      <formula1>'_Lists'!$S$2:$S$50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16" customWidth="1" min="4" max="4"/>
    <col width="20" customWidth="1" min="5" max="5"/>
    <col width="14" customWidth="1" min="6" max="6"/>
    <col width="16" customWidth="1" min="7" max="7"/>
    <col width="14" customWidth="1" min="8" max="8"/>
    <col width="18" customWidth="1" min="9" max="9"/>
    <col width="34" customWidth="1" min="10" max="10"/>
  </cols>
  <sheetData>
    <row r="1" ht="15" customHeight="1"/>
    <row r="2" ht="32" customHeight="1">
      <c r="B2" s="1" t="inlineStr">
        <is>
          <t>EVALUATION A FROID (3-6 MOIS APRES FORMATION) (#69)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 Eval</t>
        </is>
      </c>
      <c r="C4" s="11" t="inlineStr">
        <is>
          <t>Action Formation</t>
        </is>
      </c>
      <c r="D4" s="11" t="inlineStr">
        <is>
          <t>Matricule</t>
        </is>
      </c>
      <c r="E4" s="11" t="inlineStr">
        <is>
          <t>Nom Employe</t>
        </is>
      </c>
      <c r="F4" s="11" t="inlineStr">
        <is>
          <t>Date Formation</t>
        </is>
      </c>
      <c r="G4" s="11" t="inlineStr">
        <is>
          <t>Date Eval Froid</t>
        </is>
      </c>
      <c r="H4" s="11" t="inlineStr">
        <is>
          <t>Delai (mois)</t>
        </is>
      </c>
      <c r="I4" s="11" t="inlineStr">
        <is>
          <t>Application (/5)</t>
        </is>
      </c>
      <c r="J4" s="11" t="inlineStr">
        <is>
          <t>Impact Mesurable</t>
        </is>
      </c>
    </row>
    <row r="5" ht="22" customHeight="1">
      <c r="B5" s="12" t="inlineStr">
        <is>
          <t>EF-001</t>
        </is>
      </c>
      <c r="C5" s="12" t="inlineStr">
        <is>
          <t>PAF-001</t>
        </is>
      </c>
      <c r="D5" s="12" t="inlineStr">
        <is>
          <t>EMP-010</t>
        </is>
      </c>
      <c r="E5" s="12">
        <f>IF(D5="","",VLOOKUP(D5,'_Données Employés'!$B$5:$H$18,4,FALSE)&amp;" "&amp;VLOOKUP(D5,'_Données Employés'!$B$5:$H$18,5,FALSE))</f>
        <v/>
      </c>
      <c r="F5" s="31" t="n">
        <v>45730</v>
      </c>
      <c r="G5" s="31" t="n">
        <v>45822</v>
      </c>
      <c r="H5" s="13" t="n">
        <v>3</v>
      </c>
      <c r="I5" s="33" t="n">
        <v>4</v>
      </c>
      <c r="J5" s="12" t="inlineStr">
        <is>
          <t>Reduction pertes alimentaires -15%</t>
        </is>
      </c>
    </row>
    <row r="6" ht="22" customHeight="1">
      <c r="B6" s="16" t="inlineStr">
        <is>
          <t>EF-002</t>
        </is>
      </c>
      <c r="C6" s="16" t="inlineStr">
        <is>
          <t>PAF-001</t>
        </is>
      </c>
      <c r="D6" s="16" t="inlineStr">
        <is>
          <t>EMP-001</t>
        </is>
      </c>
      <c r="E6" s="16">
        <f>IF(D6="","",VLOOKUP(D6,'_Données Employés'!$B$5:$H$18,4,FALSE)&amp;" "&amp;VLOOKUP(D6,'_Données Employés'!$B$5:$H$18,5,FALSE))</f>
        <v/>
      </c>
      <c r="F6" s="32" t="n">
        <v>45730</v>
      </c>
      <c r="G6" s="32" t="n">
        <v>45822</v>
      </c>
      <c r="H6" s="17" t="n">
        <v>3</v>
      </c>
      <c r="I6" s="34" t="n">
        <v>5</v>
      </c>
      <c r="J6" s="16" t="inlineStr">
        <is>
          <t>0 non conformite HACCP depuis formation</t>
        </is>
      </c>
    </row>
    <row r="7" ht="22" customHeight="1">
      <c r="B7" s="12" t="inlineStr">
        <is>
          <t>EF-003</t>
        </is>
      </c>
      <c r="C7" s="12" t="inlineStr">
        <is>
          <t>PAF-002</t>
        </is>
      </c>
      <c r="D7" s="12" t="inlineStr">
        <is>
          <t>EMP-004</t>
        </is>
      </c>
      <c r="E7" s="12">
        <f>IF(D7="","",VLOOKUP(D7,'_Données Employés'!$B$5:$H$18,4,FALSE)&amp;" "&amp;VLOOKUP(D7,'_Données Employés'!$B$5:$H$18,5,FALSE))</f>
        <v/>
      </c>
      <c r="F7" s="31" t="n">
        <v>45772</v>
      </c>
      <c r="G7" s="31" t="n">
        <v>45863</v>
      </c>
      <c r="H7" s="13" t="n">
        <v>3</v>
      </c>
      <c r="I7" s="33" t="n">
        <v>3</v>
      </c>
      <c r="J7" s="12" t="inlineStr">
        <is>
          <t>Meilleure gestion reservations en anglais</t>
        </is>
      </c>
    </row>
    <row r="8" ht="22" customHeight="1">
      <c r="B8" s="20">
        <f>IF(C8="","EF-"&amp;TEXT(COUNTA($C$5:C8),"000"))</f>
        <v/>
      </c>
      <c r="C8" s="16" t="n"/>
      <c r="D8" s="16" t="n"/>
      <c r="E8" s="16" t="n"/>
      <c r="F8" s="32" t="n"/>
      <c r="G8" s="32" t="n"/>
      <c r="H8" s="17">
        <f>IF(F8="","",ROUND((G8-F8)/30.44,0))</f>
        <v/>
      </c>
      <c r="I8" s="34" t="n"/>
      <c r="J8" s="16" t="n"/>
    </row>
    <row r="9" ht="22" customHeight="1">
      <c r="B9" s="21">
        <f>IF(C9="","EF-"&amp;TEXT(COUNTA($C$5:C9),"000"))</f>
        <v/>
      </c>
      <c r="C9" s="12" t="n"/>
      <c r="D9" s="12" t="n"/>
      <c r="E9" s="12" t="n"/>
      <c r="F9" s="31" t="n"/>
      <c r="G9" s="31" t="n"/>
      <c r="H9" s="13">
        <f>IF(F9="","",ROUND((G9-F9)/30.44,0))</f>
        <v/>
      </c>
      <c r="I9" s="33" t="n"/>
      <c r="J9" s="12" t="n"/>
    </row>
    <row r="10" ht="22" customHeight="1">
      <c r="B10" s="20">
        <f>IF(C10="","EF-"&amp;TEXT(COUNTA($C$5:C10),"000"))</f>
        <v/>
      </c>
      <c r="C10" s="16" t="n"/>
      <c r="D10" s="16" t="n"/>
      <c r="E10" s="16" t="n"/>
      <c r="F10" s="32" t="n"/>
      <c r="G10" s="32" t="n"/>
      <c r="H10" s="17">
        <f>IF(F10="","",ROUND((G10-F10)/30.44,0))</f>
        <v/>
      </c>
      <c r="I10" s="34" t="n"/>
      <c r="J10" s="16" t="n"/>
    </row>
    <row r="11" ht="22" customHeight="1">
      <c r="B11" s="21">
        <f>IF(C11="","EF-"&amp;TEXT(COUNTA($C$5:C11),"000"))</f>
        <v/>
      </c>
      <c r="C11" s="12" t="n"/>
      <c r="D11" s="12" t="n"/>
      <c r="E11" s="12" t="n"/>
      <c r="F11" s="31" t="n"/>
      <c r="G11" s="31" t="n"/>
      <c r="H11" s="13">
        <f>IF(F11="","",ROUND((G11-F11)/30.44,0))</f>
        <v/>
      </c>
      <c r="I11" s="33" t="n"/>
      <c r="J11" s="12" t="n"/>
    </row>
    <row r="12" ht="22" customHeight="1">
      <c r="B12" s="20">
        <f>IF(C12="","EF-"&amp;TEXT(COUNTA($C$5:C12),"000"))</f>
        <v/>
      </c>
      <c r="C12" s="16" t="n"/>
      <c r="D12" s="16" t="n"/>
      <c r="E12" s="16" t="n"/>
      <c r="F12" s="32" t="n"/>
      <c r="G12" s="32" t="n"/>
      <c r="H12" s="17">
        <f>IF(F12="","",ROUND((G12-F12)/30.44,0))</f>
        <v/>
      </c>
      <c r="I12" s="34" t="n"/>
      <c r="J12" s="16" t="n"/>
    </row>
    <row r="13" ht="22" customHeight="1">
      <c r="B13" s="21">
        <f>IF(C13="","EF-"&amp;TEXT(COUNTA($C$5:C13),"000"))</f>
        <v/>
      </c>
      <c r="C13" s="12" t="n"/>
      <c r="D13" s="12" t="n"/>
      <c r="E13" s="12" t="n"/>
      <c r="F13" s="31" t="n"/>
      <c r="G13" s="31" t="n"/>
      <c r="H13" s="13">
        <f>IF(F13="","",ROUND((G13-F13)/30.44,0))</f>
        <v/>
      </c>
      <c r="I13" s="33" t="n"/>
      <c r="J13" s="12" t="n"/>
    </row>
    <row r="14" ht="22" customHeight="1">
      <c r="B14" s="20">
        <f>IF(C14="","EF-"&amp;TEXT(COUNTA($C$5:C14),"000"))</f>
        <v/>
      </c>
      <c r="C14" s="16" t="n"/>
      <c r="D14" s="16" t="n"/>
      <c r="E14" s="16" t="n"/>
      <c r="F14" s="32" t="n"/>
      <c r="G14" s="32" t="n"/>
      <c r="H14" s="17">
        <f>IF(F14="","",ROUND((G14-F14)/30.44,0))</f>
        <v/>
      </c>
      <c r="I14" s="34" t="n"/>
      <c r="J14" s="16" t="n"/>
    </row>
    <row r="15" ht="22" customHeight="1">
      <c r="B15" s="21">
        <f>IF(C15="","EF-"&amp;TEXT(COUNTA($C$5:C15),"000"))</f>
        <v/>
      </c>
      <c r="C15" s="12" t="n"/>
      <c r="D15" s="12" t="n"/>
      <c r="E15" s="12" t="n"/>
      <c r="F15" s="31" t="n"/>
      <c r="G15" s="31" t="n"/>
      <c r="H15" s="13">
        <f>IF(F15="","",ROUND((G15-F15)/30.44,0))</f>
        <v/>
      </c>
      <c r="I15" s="33" t="n"/>
      <c r="J15" s="12" t="n"/>
    </row>
    <row r="16" ht="22" customHeight="1">
      <c r="B16" s="20">
        <f>IF(C16="","EF-"&amp;TEXT(COUNTA($C$5:C16),"000"))</f>
        <v/>
      </c>
      <c r="C16" s="16" t="n"/>
      <c r="D16" s="16" t="n"/>
      <c r="E16" s="16" t="n"/>
      <c r="F16" s="32" t="n"/>
      <c r="G16" s="32" t="n"/>
      <c r="H16" s="17">
        <f>IF(F16="","",ROUND((G16-F16)/30.44,0))</f>
        <v/>
      </c>
      <c r="I16" s="34" t="n"/>
      <c r="J16" s="16" t="n"/>
    </row>
    <row r="17" ht="22" customHeight="1">
      <c r="B17" s="21">
        <f>IF(C17="","EF-"&amp;TEXT(COUNTA($C$5:C17),"000"))</f>
        <v/>
      </c>
      <c r="C17" s="12" t="n"/>
      <c r="D17" s="12" t="n"/>
      <c r="E17" s="12" t="n"/>
      <c r="F17" s="31" t="n"/>
      <c r="G17" s="31" t="n"/>
      <c r="H17" s="13">
        <f>IF(F17="","",ROUND((G17-F17)/30.44,0))</f>
        <v/>
      </c>
      <c r="I17" s="33" t="n"/>
      <c r="J17" s="12" t="n"/>
    </row>
    <row r="18" ht="22" customHeight="1">
      <c r="B18" s="20">
        <f>IF(C18="","EF-"&amp;TEXT(COUNTA($C$5:C18),"000"))</f>
        <v/>
      </c>
      <c r="C18" s="16" t="n"/>
      <c r="D18" s="16" t="n"/>
      <c r="E18" s="16" t="n"/>
      <c r="F18" s="32" t="n"/>
      <c r="G18" s="32" t="n"/>
      <c r="H18" s="17">
        <f>IF(F18="","",ROUND((G18-F18)/30.44,0))</f>
        <v/>
      </c>
      <c r="I18" s="34" t="n"/>
      <c r="J18" s="16" t="n"/>
    </row>
    <row r="19" ht="22" customHeight="1">
      <c r="B19" s="21">
        <f>IF(C19="","EF-"&amp;TEXT(COUNTA($C$5:C19),"000"))</f>
        <v/>
      </c>
      <c r="C19" s="12" t="n"/>
      <c r="D19" s="12" t="n"/>
      <c r="E19" s="12" t="n"/>
      <c r="F19" s="31" t="n"/>
      <c r="G19" s="31" t="n"/>
      <c r="H19" s="13">
        <f>IF(F19="","",ROUND((G19-F19)/30.44,0))</f>
        <v/>
      </c>
      <c r="I19" s="33" t="n"/>
      <c r="J19" s="12" t="n"/>
    </row>
    <row r="20" ht="22" customHeight="1">
      <c r="B20" s="20">
        <f>IF(C20="","EF-"&amp;TEXT(COUNTA($C$5:C20),"000"))</f>
        <v/>
      </c>
      <c r="C20" s="16" t="n"/>
      <c r="D20" s="16" t="n"/>
      <c r="E20" s="16" t="n"/>
      <c r="F20" s="32" t="n"/>
      <c r="G20" s="32" t="n"/>
      <c r="H20" s="17">
        <f>IF(F20="","",ROUND((G20-F20)/30.44,0))</f>
        <v/>
      </c>
      <c r="I20" s="34" t="n"/>
      <c r="J20" s="16" t="n"/>
    </row>
    <row r="21" ht="22" customHeight="1">
      <c r="B21" s="21">
        <f>IF(C21="","EF-"&amp;TEXT(COUNTA($C$5:C21),"000"))</f>
        <v/>
      </c>
      <c r="C21" s="12" t="n"/>
      <c r="D21" s="12" t="n"/>
      <c r="E21" s="12" t="n"/>
      <c r="F21" s="31" t="n"/>
      <c r="G21" s="31" t="n"/>
      <c r="H21" s="13">
        <f>IF(F21="","",ROUND((G21-F21)/30.44,0))</f>
        <v/>
      </c>
      <c r="I21" s="33" t="n"/>
      <c r="J21" s="12" t="n"/>
    </row>
    <row r="22" ht="22" customHeight="1">
      <c r="B22" s="20">
        <f>IF(C22="","EF-"&amp;TEXT(COUNTA($C$5:C22),"000"))</f>
        <v/>
      </c>
      <c r="C22" s="16" t="n"/>
      <c r="D22" s="16" t="n"/>
      <c r="E22" s="16" t="n"/>
      <c r="F22" s="32" t="n"/>
      <c r="G22" s="32" t="n"/>
      <c r="H22" s="17">
        <f>IF(F22="","",ROUND((G22-F22)/30.44,0))</f>
        <v/>
      </c>
      <c r="I22" s="34" t="n"/>
      <c r="J22" s="16" t="n"/>
    </row>
    <row r="23" ht="22" customHeight="1">
      <c r="B23" s="21">
        <f>IF(C23="","EF-"&amp;TEXT(COUNTA($C$5:C23),"000"))</f>
        <v/>
      </c>
      <c r="C23" s="12" t="n"/>
      <c r="D23" s="12" t="n"/>
      <c r="E23" s="12" t="n"/>
      <c r="F23" s="31" t="n"/>
      <c r="G23" s="31" t="n"/>
      <c r="H23" s="13">
        <f>IF(F23="","",ROUND((G23-F23)/30.44,0))</f>
        <v/>
      </c>
      <c r="I23" s="33" t="n"/>
      <c r="J23" s="12" t="n"/>
    </row>
    <row r="24" ht="22" customHeight="1">
      <c r="B24" s="20">
        <f>IF(C24="","EF-"&amp;TEXT(COUNTA($C$5:C24),"000"))</f>
        <v/>
      </c>
      <c r="C24" s="16" t="n"/>
      <c r="D24" s="16" t="n"/>
      <c r="E24" s="16" t="n"/>
      <c r="F24" s="32" t="n"/>
      <c r="G24" s="32" t="n"/>
      <c r="H24" s="17">
        <f>IF(F24="","",ROUND((G24-F24)/30.44,0))</f>
        <v/>
      </c>
      <c r="I24" s="34" t="n"/>
      <c r="J24" s="16" t="n"/>
    </row>
    <row r="25" ht="22" customHeight="1">
      <c r="B25" s="21">
        <f>IF(C25="","EF-"&amp;TEXT(COUNTA($C$5:C25),"000"))</f>
        <v/>
      </c>
      <c r="C25" s="12" t="n"/>
      <c r="D25" s="12" t="n"/>
      <c r="E25" s="12" t="n"/>
      <c r="F25" s="31" t="n"/>
      <c r="G25" s="31" t="n"/>
      <c r="H25" s="13">
        <f>IF(F25="","",ROUND((G25-F25)/30.44,0))</f>
        <v/>
      </c>
      <c r="I25" s="33" t="n"/>
      <c r="J25" s="12" t="n"/>
    </row>
    <row r="26" ht="22" customHeight="1">
      <c r="B26" s="20">
        <f>IF(C26="","EF-"&amp;TEXT(COUNTA($C$5:C26),"000"))</f>
        <v/>
      </c>
      <c r="C26" s="16" t="n"/>
      <c r="D26" s="16" t="n"/>
      <c r="E26" s="16" t="n"/>
      <c r="F26" s="32" t="n"/>
      <c r="G26" s="32" t="n"/>
      <c r="H26" s="17">
        <f>IF(F26="","",ROUND((G26-F26)/30.44,0))</f>
        <v/>
      </c>
      <c r="I26" s="34" t="n"/>
      <c r="J26" s="16" t="n"/>
    </row>
    <row r="27" ht="22" customHeight="1">
      <c r="B27" s="21">
        <f>IF(C27="","EF-"&amp;TEXT(COUNTA($C$5:C27),"000"))</f>
        <v/>
      </c>
      <c r="C27" s="12" t="n"/>
      <c r="D27" s="12" t="n"/>
      <c r="E27" s="12" t="n"/>
      <c r="F27" s="31" t="n"/>
      <c r="G27" s="31" t="n"/>
      <c r="H27" s="13">
        <f>IF(F27="","",ROUND((G27-F27)/30.44,0))</f>
        <v/>
      </c>
      <c r="I27" s="33" t="n"/>
      <c r="J27" s="12" t="n"/>
    </row>
    <row r="28" ht="22" customHeight="1">
      <c r="B28" s="20">
        <f>IF(C28="","EF-"&amp;TEXT(COUNTA($C$5:C28),"000"))</f>
        <v/>
      </c>
      <c r="C28" s="16" t="n"/>
      <c r="D28" s="16" t="n"/>
      <c r="E28" s="16" t="n"/>
      <c r="F28" s="32" t="n"/>
      <c r="G28" s="32" t="n"/>
      <c r="H28" s="17">
        <f>IF(F28="","",ROUND((G28-F28)/30.44,0))</f>
        <v/>
      </c>
      <c r="I28" s="34" t="n"/>
      <c r="J28" s="16" t="n"/>
    </row>
    <row r="29" ht="22" customHeight="1">
      <c r="B29" s="21">
        <f>IF(C29="","EF-"&amp;TEXT(COUNTA($C$5:C29),"000"))</f>
        <v/>
      </c>
      <c r="C29" s="12" t="n"/>
      <c r="D29" s="12" t="n"/>
      <c r="E29" s="12" t="n"/>
      <c r="F29" s="31" t="n"/>
      <c r="G29" s="31" t="n"/>
      <c r="H29" s="13">
        <f>IF(F29="","",ROUND((G29-F29)/30.44,0))</f>
        <v/>
      </c>
      <c r="I29" s="33" t="n"/>
      <c r="J29" s="12" t="n"/>
    </row>
    <row r="30" ht="22" customHeight="1">
      <c r="B30" s="20">
        <f>IF(C30="","EF-"&amp;TEXT(COUNTA($C$5:C30),"000"))</f>
        <v/>
      </c>
      <c r="C30" s="16" t="n"/>
      <c r="D30" s="16" t="n"/>
      <c r="E30" s="16" t="n"/>
      <c r="F30" s="32" t="n"/>
      <c r="G30" s="32" t="n"/>
      <c r="H30" s="17">
        <f>IF(F30="","",ROUND((G30-F30)/30.44,0))</f>
        <v/>
      </c>
      <c r="I30" s="34" t="n"/>
      <c r="J30" s="16" t="n"/>
    </row>
    <row r="31" ht="22" customHeight="1">
      <c r="B31" s="21">
        <f>IF(C31="","EF-"&amp;TEXT(COUNTA($C$5:C31),"000"))</f>
        <v/>
      </c>
      <c r="C31" s="12" t="n"/>
      <c r="D31" s="12" t="n"/>
      <c r="E31" s="12" t="n"/>
      <c r="F31" s="31" t="n"/>
      <c r="G31" s="31" t="n"/>
      <c r="H31" s="13">
        <f>IF(F31="","",ROUND((G31-F31)/30.44,0))</f>
        <v/>
      </c>
      <c r="I31" s="33" t="n"/>
      <c r="J31" s="12" t="n"/>
    </row>
    <row r="32" ht="22" customHeight="1">
      <c r="B32" s="20">
        <f>IF(C32="","EF-"&amp;TEXT(COUNTA($C$5:C32),"000"))</f>
        <v/>
      </c>
      <c r="C32" s="16" t="n"/>
      <c r="D32" s="16" t="n"/>
      <c r="E32" s="16" t="n"/>
      <c r="F32" s="32" t="n"/>
      <c r="G32" s="32" t="n"/>
      <c r="H32" s="17">
        <f>IF(F32="","",ROUND((G32-F32)/30.44,0))</f>
        <v/>
      </c>
      <c r="I32" s="34" t="n"/>
      <c r="J32" s="16" t="n"/>
    </row>
    <row r="33" ht="22" customHeight="1">
      <c r="B33" s="21">
        <f>IF(C33="","EF-"&amp;TEXT(COUNTA($C$5:C33),"000"))</f>
        <v/>
      </c>
      <c r="C33" s="12" t="n"/>
      <c r="D33" s="12" t="n"/>
      <c r="E33" s="12" t="n"/>
      <c r="F33" s="31" t="n"/>
      <c r="G33" s="31" t="n"/>
      <c r="H33" s="13">
        <f>IF(F33="","",ROUND((G33-F33)/30.44,0))</f>
        <v/>
      </c>
      <c r="I33" s="33" t="n"/>
      <c r="J33" s="12" t="n"/>
    </row>
    <row r="34" ht="22" customHeight="1">
      <c r="B34" s="20">
        <f>IF(C34="","EF-"&amp;TEXT(COUNTA($C$5:C34),"000"))</f>
        <v/>
      </c>
      <c r="C34" s="16" t="n"/>
      <c r="D34" s="16" t="n"/>
      <c r="E34" s="16" t="n"/>
      <c r="F34" s="32" t="n"/>
      <c r="G34" s="32" t="n"/>
      <c r="H34" s="17">
        <f>IF(F34="","",ROUND((G34-F34)/30.44,0))</f>
        <v/>
      </c>
      <c r="I34" s="34" t="n"/>
      <c r="J34" s="16" t="n"/>
    </row>
    <row r="35" ht="22" customHeight="1">
      <c r="B35" s="21">
        <f>IF(C35="","EF-"&amp;TEXT(COUNTA($C$5:C35),"000"))</f>
        <v/>
      </c>
      <c r="C35" s="12" t="n"/>
      <c r="D35" s="12" t="n"/>
      <c r="E35" s="12" t="n"/>
      <c r="F35" s="31" t="n"/>
      <c r="G35" s="31" t="n"/>
      <c r="H35" s="13">
        <f>IF(F35="","",ROUND((G35-F35)/30.44,0))</f>
        <v/>
      </c>
      <c r="I35" s="33" t="n"/>
      <c r="J35" s="12" t="n"/>
    </row>
    <row r="36" ht="22" customHeight="1">
      <c r="B36" s="20">
        <f>IF(C36="","EF-"&amp;TEXT(COUNTA($C$5:C36),"000"))</f>
        <v/>
      </c>
      <c r="C36" s="16" t="n"/>
      <c r="D36" s="16" t="n"/>
      <c r="E36" s="16" t="n"/>
      <c r="F36" s="32" t="n"/>
      <c r="G36" s="32" t="n"/>
      <c r="H36" s="17">
        <f>IF(F36="","",ROUND((G36-F36)/30.44,0))</f>
        <v/>
      </c>
      <c r="I36" s="34" t="n"/>
      <c r="J36" s="16" t="n"/>
    </row>
    <row r="37" ht="22" customHeight="1">
      <c r="B37" s="21">
        <f>IF(C37="","EF-"&amp;TEXT(COUNTA($C$5:C37),"000"))</f>
        <v/>
      </c>
      <c r="C37" s="12" t="n"/>
      <c r="D37" s="12" t="n"/>
      <c r="E37" s="12" t="n"/>
      <c r="F37" s="31" t="n"/>
      <c r="G37" s="31" t="n"/>
      <c r="H37" s="13">
        <f>IF(F37="","",ROUND((G37-F37)/30.44,0))</f>
        <v/>
      </c>
      <c r="I37" s="33" t="n"/>
      <c r="J37" s="12" t="n"/>
    </row>
    <row r="38" ht="22" customHeight="1">
      <c r="B38" s="20">
        <f>IF(C38="","EF-"&amp;TEXT(COUNTA($C$5:C38),"000"))</f>
        <v/>
      </c>
      <c r="C38" s="16" t="n"/>
      <c r="D38" s="16" t="n"/>
      <c r="E38" s="16" t="n"/>
      <c r="F38" s="32" t="n"/>
      <c r="G38" s="32" t="n"/>
      <c r="H38" s="17">
        <f>IF(F38="","",ROUND((G38-F38)/30.44,0))</f>
        <v/>
      </c>
      <c r="I38" s="34" t="n"/>
      <c r="J38" s="16" t="n"/>
    </row>
    <row r="39" ht="22" customHeight="1">
      <c r="B39" s="21">
        <f>IF(C39="","EF-"&amp;TEXT(COUNTA($C$5:C39),"000"))</f>
        <v/>
      </c>
      <c r="C39" s="12" t="n"/>
      <c r="D39" s="12" t="n"/>
      <c r="E39" s="12" t="n"/>
      <c r="F39" s="31" t="n"/>
      <c r="G39" s="31" t="n"/>
      <c r="H39" s="13">
        <f>IF(F39="","",ROUND((G39-F39)/30.44,0))</f>
        <v/>
      </c>
      <c r="I39" s="33" t="n"/>
      <c r="J39" s="12" t="n"/>
    </row>
    <row r="40" ht="22" customHeight="1">
      <c r="B40" s="20">
        <f>IF(C40="","EF-"&amp;TEXT(COUNTA($C$5:C40),"000"))</f>
        <v/>
      </c>
      <c r="C40" s="16" t="n"/>
      <c r="D40" s="16" t="n"/>
      <c r="E40" s="16" t="n"/>
      <c r="F40" s="32" t="n"/>
      <c r="G40" s="32" t="n"/>
      <c r="H40" s="17">
        <f>IF(F40="","",ROUND((G40-F40)/30.44,0))</f>
        <v/>
      </c>
      <c r="I40" s="34" t="n"/>
      <c r="J40" s="16" t="n"/>
    </row>
    <row r="41" ht="22" customHeight="1">
      <c r="B41" s="21">
        <f>IF(C41="","EF-"&amp;TEXT(COUNTA($C$5:C41),"000"))</f>
        <v/>
      </c>
      <c r="C41" s="12" t="n"/>
      <c r="D41" s="12" t="n"/>
      <c r="E41" s="12" t="n"/>
      <c r="F41" s="31" t="n"/>
      <c r="G41" s="31" t="n"/>
      <c r="H41" s="13">
        <f>IF(F41="","",ROUND((G41-F41)/30.44,0))</f>
        <v/>
      </c>
      <c r="I41" s="33" t="n"/>
      <c r="J41" s="12" t="n"/>
    </row>
    <row r="42" ht="22" customHeight="1">
      <c r="B42" s="20">
        <f>IF(C42="","EF-"&amp;TEXT(COUNTA($C$5:C42),"000"))</f>
        <v/>
      </c>
      <c r="C42" s="16" t="n"/>
      <c r="D42" s="16" t="n"/>
      <c r="E42" s="16" t="n"/>
      <c r="F42" s="32" t="n"/>
      <c r="G42" s="32" t="n"/>
      <c r="H42" s="17">
        <f>IF(F42="","",ROUND((G42-F42)/30.44,0))</f>
        <v/>
      </c>
      <c r="I42" s="34" t="n"/>
      <c r="J42" s="16" t="n"/>
    </row>
    <row r="43" ht="22" customHeight="1">
      <c r="B43" s="21">
        <f>IF(C43="","EF-"&amp;TEXT(COUNTA($C$5:C43),"000"))</f>
        <v/>
      </c>
      <c r="C43" s="12" t="n"/>
      <c r="D43" s="12" t="n"/>
      <c r="E43" s="12" t="n"/>
      <c r="F43" s="31" t="n"/>
      <c r="G43" s="31" t="n"/>
      <c r="H43" s="13">
        <f>IF(F43="","",ROUND((G43-F43)/30.44,0))</f>
        <v/>
      </c>
      <c r="I43" s="33" t="n"/>
      <c r="J43" s="12" t="n"/>
    </row>
    <row r="44" ht="22" customHeight="1">
      <c r="B44" s="20">
        <f>IF(C44="","EF-"&amp;TEXT(COUNTA($C$5:C44),"000"))</f>
        <v/>
      </c>
      <c r="C44" s="16" t="n"/>
      <c r="D44" s="16" t="n"/>
      <c r="E44" s="16" t="n"/>
      <c r="F44" s="32" t="n"/>
      <c r="G44" s="32" t="n"/>
      <c r="H44" s="17">
        <f>IF(F44="","",ROUND((G44-F44)/30.44,0))</f>
        <v/>
      </c>
      <c r="I44" s="34" t="n"/>
      <c r="J44" s="16" t="n"/>
    </row>
    <row r="45" ht="22" customHeight="1">
      <c r="B45" s="21">
        <f>IF(C45="","EF-"&amp;TEXT(COUNTA($C$5:C45),"000"))</f>
        <v/>
      </c>
      <c r="C45" s="12" t="n"/>
      <c r="D45" s="12" t="n"/>
      <c r="E45" s="12" t="n"/>
      <c r="F45" s="31" t="n"/>
      <c r="G45" s="31" t="n"/>
      <c r="H45" s="13">
        <f>IF(F45="","",ROUND((G45-F45)/30.44,0))</f>
        <v/>
      </c>
      <c r="I45" s="33" t="n"/>
      <c r="J45" s="12" t="n"/>
    </row>
    <row r="46" ht="22" customHeight="1">
      <c r="B46" s="20">
        <f>IF(C46="","EF-"&amp;TEXT(COUNTA($C$5:C46),"000"))</f>
        <v/>
      </c>
      <c r="C46" s="16" t="n"/>
      <c r="D46" s="16" t="n"/>
      <c r="E46" s="16" t="n"/>
      <c r="F46" s="32" t="n"/>
      <c r="G46" s="32" t="n"/>
      <c r="H46" s="17">
        <f>IF(F46="","",ROUND((G46-F46)/30.44,0))</f>
        <v/>
      </c>
      <c r="I46" s="34" t="n"/>
      <c r="J46" s="16" t="n"/>
    </row>
    <row r="47" ht="22" customHeight="1">
      <c r="B47" s="21">
        <f>IF(C47="","EF-"&amp;TEXT(COUNTA($C$5:C47),"000"))</f>
        <v/>
      </c>
      <c r="C47" s="12" t="n"/>
      <c r="D47" s="12" t="n"/>
      <c r="E47" s="12" t="n"/>
      <c r="F47" s="31" t="n"/>
      <c r="G47" s="31" t="n"/>
      <c r="H47" s="13">
        <f>IF(F47="","",ROUND((G47-F47)/30.44,0))</f>
        <v/>
      </c>
      <c r="I47" s="33" t="n"/>
      <c r="J47" s="12" t="n"/>
    </row>
    <row r="48" ht="22" customHeight="1">
      <c r="B48" s="20">
        <f>IF(C48="","EF-"&amp;TEXT(COUNTA($C$5:C48),"000"))</f>
        <v/>
      </c>
      <c r="C48" s="16" t="n"/>
      <c r="D48" s="16" t="n"/>
      <c r="E48" s="16" t="n"/>
      <c r="F48" s="32" t="n"/>
      <c r="G48" s="32" t="n"/>
      <c r="H48" s="17">
        <f>IF(F48="","",ROUND((G48-F48)/30.44,0))</f>
        <v/>
      </c>
      <c r="I48" s="34" t="n"/>
      <c r="J48" s="16" t="n"/>
    </row>
    <row r="49" ht="22" customHeight="1">
      <c r="B49" s="21">
        <f>IF(C49="","EF-"&amp;TEXT(COUNTA($C$5:C49),"000"))</f>
        <v/>
      </c>
      <c r="C49" s="12" t="n"/>
      <c r="D49" s="12" t="n"/>
      <c r="E49" s="12" t="n"/>
      <c r="F49" s="31" t="n"/>
      <c r="G49" s="31" t="n"/>
      <c r="H49" s="13">
        <f>IF(F49="","",ROUND((G49-F49)/30.44,0))</f>
        <v/>
      </c>
      <c r="I49" s="33" t="n"/>
      <c r="J49" s="12" t="n"/>
    </row>
    <row r="50" ht="22" customHeight="1">
      <c r="B50" s="20">
        <f>IF(C50="","EF-"&amp;TEXT(COUNTA($C$5:C50),"000"))</f>
        <v/>
      </c>
      <c r="C50" s="16" t="n"/>
      <c r="D50" s="16" t="n"/>
      <c r="E50" s="16" t="n"/>
      <c r="F50" s="32" t="n"/>
      <c r="G50" s="32" t="n"/>
      <c r="H50" s="17">
        <f>IF(F50="","",ROUND((G50-F50)/30.44,0))</f>
        <v/>
      </c>
      <c r="I50" s="34" t="n"/>
      <c r="J50" s="16" t="n"/>
    </row>
    <row r="51" ht="22" customHeight="1">
      <c r="B51" s="21">
        <f>IF(C51="","EF-"&amp;TEXT(COUNTA($C$5:C51),"000"))</f>
        <v/>
      </c>
      <c r="C51" s="12" t="n"/>
      <c r="D51" s="12" t="n"/>
      <c r="E51" s="12" t="n"/>
      <c r="F51" s="31" t="n"/>
      <c r="G51" s="31" t="n"/>
      <c r="H51" s="13">
        <f>IF(F51="","",ROUND((G51-F51)/30.44,0))</f>
        <v/>
      </c>
      <c r="I51" s="33" t="n"/>
      <c r="J51" s="12" t="n"/>
    </row>
    <row r="52" ht="22" customHeight="1">
      <c r="B52" s="20">
        <f>IF(C52="","EF-"&amp;TEXT(COUNTA($C$5:C52),"000"))</f>
        <v/>
      </c>
      <c r="C52" s="16" t="n"/>
      <c r="D52" s="16" t="n"/>
      <c r="E52" s="16" t="n"/>
      <c r="F52" s="32" t="n"/>
      <c r="G52" s="32" t="n"/>
      <c r="H52" s="17">
        <f>IF(F52="","",ROUND((G52-F52)/30.44,0))</f>
        <v/>
      </c>
      <c r="I52" s="34" t="n"/>
      <c r="J52" s="16" t="n"/>
    </row>
    <row r="53" ht="22" customHeight="1">
      <c r="B53" s="21">
        <f>IF(C53="","EF-"&amp;TEXT(COUNTA($C$5:C53),"000"))</f>
        <v/>
      </c>
      <c r="C53" s="12" t="n"/>
      <c r="D53" s="12" t="n"/>
      <c r="E53" s="12" t="n"/>
      <c r="F53" s="31" t="n"/>
      <c r="G53" s="31" t="n"/>
      <c r="H53" s="13">
        <f>IF(F53="","",ROUND((G53-F53)/30.44,0))</f>
        <v/>
      </c>
      <c r="I53" s="33" t="n"/>
      <c r="J53" s="12" t="n"/>
    </row>
    <row r="54" ht="22" customHeight="1">
      <c r="B54" s="20">
        <f>IF(C54="","EF-"&amp;TEXT(COUNTA($C$5:C54),"000"))</f>
        <v/>
      </c>
      <c r="C54" s="16" t="n"/>
      <c r="D54" s="16" t="n"/>
      <c r="E54" s="16" t="n"/>
      <c r="F54" s="32" t="n"/>
      <c r="G54" s="32" t="n"/>
      <c r="H54" s="17">
        <f>IF(F54="","",ROUND((G54-F54)/30.44,0))</f>
        <v/>
      </c>
      <c r="I54" s="34" t="n"/>
      <c r="J54" s="16" t="n"/>
    </row>
    <row r="55" ht="22" customHeight="1">
      <c r="B55" s="21">
        <f>IF(C55="","EF-"&amp;TEXT(COUNTA($C$5:C55),"000"))</f>
        <v/>
      </c>
      <c r="C55" s="12" t="n"/>
      <c r="D55" s="12" t="n"/>
      <c r="E55" s="12" t="n"/>
      <c r="F55" s="31" t="n"/>
      <c r="G55" s="31" t="n"/>
      <c r="H55" s="13">
        <f>IF(F55="","",ROUND((G55-F55)/30.44,0))</f>
        <v/>
      </c>
      <c r="I55" s="33" t="n"/>
      <c r="J55" s="12" t="n"/>
    </row>
    <row r="56" ht="22" customHeight="1">
      <c r="B56" s="20">
        <f>IF(C56="","EF-"&amp;TEXT(COUNTA($C$5:C56),"000"))</f>
        <v/>
      </c>
      <c r="C56" s="16" t="n"/>
      <c r="D56" s="16" t="n"/>
      <c r="E56" s="16" t="n"/>
      <c r="F56" s="32" t="n"/>
      <c r="G56" s="32" t="n"/>
      <c r="H56" s="17">
        <f>IF(F56="","",ROUND((G56-F56)/30.44,0))</f>
        <v/>
      </c>
      <c r="I56" s="34" t="n"/>
      <c r="J56" s="16" t="n"/>
    </row>
    <row r="57" ht="22" customHeight="1">
      <c r="B57" s="21">
        <f>IF(C57="","EF-"&amp;TEXT(COUNTA($C$5:C57),"000"))</f>
        <v/>
      </c>
      <c r="C57" s="12" t="n"/>
      <c r="D57" s="12" t="n"/>
      <c r="E57" s="12" t="n"/>
      <c r="F57" s="31" t="n"/>
      <c r="G57" s="31" t="n"/>
      <c r="H57" s="13">
        <f>IF(F57="","",ROUND((G57-F57)/30.44,0))</f>
        <v/>
      </c>
      <c r="I57" s="33" t="n"/>
      <c r="J57" s="12" t="n"/>
    </row>
    <row r="58" ht="22" customHeight="1">
      <c r="B58" s="20">
        <f>IF(C58="","EF-"&amp;TEXT(COUNTA($C$5:C58),"000"))</f>
        <v/>
      </c>
      <c r="C58" s="16" t="n"/>
      <c r="D58" s="16" t="n"/>
      <c r="E58" s="16" t="n"/>
      <c r="F58" s="32" t="n"/>
      <c r="G58" s="32" t="n"/>
      <c r="H58" s="17">
        <f>IF(F58="","",ROUND((G58-F58)/30.44,0))</f>
        <v/>
      </c>
      <c r="I58" s="34" t="n"/>
      <c r="J58" s="16" t="n"/>
    </row>
    <row r="59" ht="22" customHeight="1">
      <c r="B59" s="21">
        <f>IF(C59="","EF-"&amp;TEXT(COUNTA($C$5:C59),"000"))</f>
        <v/>
      </c>
      <c r="C59" s="12" t="n"/>
      <c r="D59" s="12" t="n"/>
      <c r="E59" s="12" t="n"/>
      <c r="F59" s="31" t="n"/>
      <c r="G59" s="31" t="n"/>
      <c r="H59" s="13">
        <f>IF(F59="","",ROUND((G59-F59)/30.44,0))</f>
        <v/>
      </c>
      <c r="I59" s="33" t="n"/>
      <c r="J59" s="12" t="n"/>
    </row>
    <row r="60" ht="22" customHeight="1">
      <c r="B60" s="20">
        <f>IF(C60="","EF-"&amp;TEXT(COUNTA($C$5:C60),"000"))</f>
        <v/>
      </c>
      <c r="C60" s="16" t="n"/>
      <c r="D60" s="16" t="n"/>
      <c r="E60" s="16" t="n"/>
      <c r="F60" s="32" t="n"/>
      <c r="G60" s="32" t="n"/>
      <c r="H60" s="17">
        <f>IF(F60="","",ROUND((G60-F60)/30.44,0))</f>
        <v/>
      </c>
      <c r="I60" s="34" t="n"/>
      <c r="J60" s="16" t="n"/>
    </row>
    <row r="61" ht="22" customHeight="1">
      <c r="B61" s="21">
        <f>IF(C61="","EF-"&amp;TEXT(COUNTA($C$5:C61),"000"))</f>
        <v/>
      </c>
      <c r="C61" s="12" t="n"/>
      <c r="D61" s="12" t="n"/>
      <c r="E61" s="12" t="n"/>
      <c r="F61" s="31" t="n"/>
      <c r="G61" s="31" t="n"/>
      <c r="H61" s="13">
        <f>IF(F61="","",ROUND((G61-F61)/30.44,0))</f>
        <v/>
      </c>
      <c r="I61" s="33" t="n"/>
      <c r="J61" s="12" t="n"/>
    </row>
    <row r="62" ht="22" customHeight="1">
      <c r="B62" s="20">
        <f>IF(C62="","EF-"&amp;TEXT(COUNTA($C$5:C62),"000"))</f>
        <v/>
      </c>
      <c r="C62" s="16" t="n"/>
      <c r="D62" s="16" t="n"/>
      <c r="E62" s="16" t="n"/>
      <c r="F62" s="32" t="n"/>
      <c r="G62" s="32" t="n"/>
      <c r="H62" s="17">
        <f>IF(F62="","",ROUND((G62-F62)/30.44,0))</f>
        <v/>
      </c>
      <c r="I62" s="34" t="n"/>
      <c r="J62" s="16" t="n"/>
    </row>
    <row r="63" ht="22" customHeight="1">
      <c r="B63" s="21">
        <f>IF(C63="","EF-"&amp;TEXT(COUNTA($C$5:C63),"000"))</f>
        <v/>
      </c>
      <c r="C63" s="12" t="n"/>
      <c r="D63" s="12" t="n"/>
      <c r="E63" s="12" t="n"/>
      <c r="F63" s="31" t="n"/>
      <c r="G63" s="31" t="n"/>
      <c r="H63" s="13">
        <f>IF(F63="","",ROUND((G63-F63)/30.44,0))</f>
        <v/>
      </c>
      <c r="I63" s="33" t="n"/>
      <c r="J63" s="12" t="n"/>
    </row>
    <row r="64" ht="22" customHeight="1">
      <c r="B64" s="20">
        <f>IF(C64="","EF-"&amp;TEXT(COUNTA($C$5:C64),"000"))</f>
        <v/>
      </c>
      <c r="C64" s="16" t="n"/>
      <c r="D64" s="16" t="n"/>
      <c r="E64" s="16" t="n"/>
      <c r="F64" s="32" t="n"/>
      <c r="G64" s="32" t="n"/>
      <c r="H64" s="17">
        <f>IF(F64="","",ROUND((G64-F64)/30.44,0))</f>
        <v/>
      </c>
      <c r="I64" s="34" t="n"/>
      <c r="J64" s="16" t="n"/>
    </row>
    <row r="65" ht="22" customHeight="1">
      <c r="B65" s="21">
        <f>IF(C65="","EF-"&amp;TEXT(COUNTA($C$5:C65),"000"))</f>
        <v/>
      </c>
      <c r="C65" s="12" t="n"/>
      <c r="D65" s="12" t="n"/>
      <c r="E65" s="12" t="n"/>
      <c r="F65" s="31" t="n"/>
      <c r="G65" s="31" t="n"/>
      <c r="H65" s="13">
        <f>IF(F65="","",ROUND((G65-F65)/30.44,0))</f>
        <v/>
      </c>
      <c r="I65" s="33" t="n"/>
      <c r="J65" s="12" t="n"/>
    </row>
    <row r="66" ht="22" customHeight="1">
      <c r="B66" s="20">
        <f>IF(C66="","EF-"&amp;TEXT(COUNTA($C$5:C66),"000"))</f>
        <v/>
      </c>
      <c r="C66" s="16" t="n"/>
      <c r="D66" s="16" t="n"/>
      <c r="E66" s="16" t="n"/>
      <c r="F66" s="32" t="n"/>
      <c r="G66" s="32" t="n"/>
      <c r="H66" s="17">
        <f>IF(F66="","",ROUND((G66-F66)/30.44,0))</f>
        <v/>
      </c>
      <c r="I66" s="34" t="n"/>
      <c r="J66" s="16" t="n"/>
    </row>
    <row r="67" ht="22" customHeight="1">
      <c r="B67" s="21">
        <f>IF(C67="","EF-"&amp;TEXT(COUNTA($C$5:C67),"000"))</f>
        <v/>
      </c>
      <c r="C67" s="12" t="n"/>
      <c r="D67" s="12" t="n"/>
      <c r="E67" s="12" t="n"/>
      <c r="F67" s="31" t="n"/>
      <c r="G67" s="31" t="n"/>
      <c r="H67" s="13">
        <f>IF(F67="","",ROUND((G67-F67)/30.44,0))</f>
        <v/>
      </c>
      <c r="I67" s="33" t="n"/>
      <c r="J67" s="12" t="n"/>
    </row>
    <row r="68" ht="22" customHeight="1">
      <c r="B68" s="20">
        <f>IF(C68="","EF-"&amp;TEXT(COUNTA($C$5:C68),"000"))</f>
        <v/>
      </c>
      <c r="C68" s="16" t="n"/>
      <c r="D68" s="16" t="n"/>
      <c r="E68" s="16" t="n"/>
      <c r="F68" s="32" t="n"/>
      <c r="G68" s="32" t="n"/>
      <c r="H68" s="17">
        <f>IF(F68="","",ROUND((G68-F68)/30.44,0))</f>
        <v/>
      </c>
      <c r="I68" s="34" t="n"/>
      <c r="J68" s="16" t="n"/>
    </row>
    <row r="69" ht="22" customHeight="1">
      <c r="B69" s="21">
        <f>IF(C69="","EF-"&amp;TEXT(COUNTA($C$5:C69),"000"))</f>
        <v/>
      </c>
      <c r="C69" s="12" t="n"/>
      <c r="D69" s="12" t="n"/>
      <c r="E69" s="12" t="n"/>
      <c r="F69" s="31" t="n"/>
      <c r="G69" s="31" t="n"/>
      <c r="H69" s="13">
        <f>IF(F69="","",ROUND((G69-F69)/30.44,0))</f>
        <v/>
      </c>
      <c r="I69" s="33" t="n"/>
      <c r="J69" s="12" t="n"/>
    </row>
    <row r="70" ht="22" customHeight="1">
      <c r="B70" s="20">
        <f>IF(C70="","EF-"&amp;TEXT(COUNTA($C$5:C70),"000"))</f>
        <v/>
      </c>
      <c r="C70" s="16" t="n"/>
      <c r="D70" s="16" t="n"/>
      <c r="E70" s="16" t="n"/>
      <c r="F70" s="32" t="n"/>
      <c r="G70" s="32" t="n"/>
      <c r="H70" s="17">
        <f>IF(F70="","",ROUND((G70-F70)/30.44,0))</f>
        <v/>
      </c>
      <c r="I70" s="34" t="n"/>
      <c r="J70" s="16" t="n"/>
    </row>
    <row r="71" ht="22" customHeight="1">
      <c r="B71" s="21">
        <f>IF(C71="","EF-"&amp;TEXT(COUNTA($C$5:C71),"000"))</f>
        <v/>
      </c>
      <c r="C71" s="12" t="n"/>
      <c r="D71" s="12" t="n"/>
      <c r="E71" s="12" t="n"/>
      <c r="F71" s="31" t="n"/>
      <c r="G71" s="31" t="n"/>
      <c r="H71" s="13">
        <f>IF(F71="","",ROUND((G71-F71)/30.44,0))</f>
        <v/>
      </c>
      <c r="I71" s="33" t="n"/>
      <c r="J71" s="12" t="n"/>
    </row>
    <row r="72" ht="22" customHeight="1">
      <c r="B72" s="20">
        <f>IF(C72="","EF-"&amp;TEXT(COUNTA($C$5:C72),"000"))</f>
        <v/>
      </c>
      <c r="C72" s="16" t="n"/>
      <c r="D72" s="16" t="n"/>
      <c r="E72" s="16" t="n"/>
      <c r="F72" s="32" t="n"/>
      <c r="G72" s="32" t="n"/>
      <c r="H72" s="17">
        <f>IF(F72="","",ROUND((G72-F72)/30.44,0))</f>
        <v/>
      </c>
      <c r="I72" s="34" t="n"/>
      <c r="J72" s="16" t="n"/>
    </row>
    <row r="73" ht="22" customHeight="1">
      <c r="B73" s="21">
        <f>IF(C73="","EF-"&amp;TEXT(COUNTA($C$5:C73),"000"))</f>
        <v/>
      </c>
      <c r="C73" s="12" t="n"/>
      <c r="D73" s="12" t="n"/>
      <c r="E73" s="12" t="n"/>
      <c r="F73" s="31" t="n"/>
      <c r="G73" s="31" t="n"/>
      <c r="H73" s="13">
        <f>IF(F73="","",ROUND((G73-F73)/30.44,0))</f>
        <v/>
      </c>
      <c r="I73" s="33" t="n"/>
      <c r="J73" s="12" t="n"/>
    </row>
    <row r="74" ht="22" customHeight="1">
      <c r="B74" s="20">
        <f>IF(C74="","EF-"&amp;TEXT(COUNTA($C$5:C74),"000"))</f>
        <v/>
      </c>
      <c r="C74" s="16" t="n"/>
      <c r="D74" s="16" t="n"/>
      <c r="E74" s="16" t="n"/>
      <c r="F74" s="32" t="n"/>
      <c r="G74" s="32" t="n"/>
      <c r="H74" s="17">
        <f>IF(F74="","",ROUND((G74-F74)/30.44,0))</f>
        <v/>
      </c>
      <c r="I74" s="34" t="n"/>
      <c r="J74" s="16" t="n"/>
    </row>
    <row r="75" ht="22" customHeight="1">
      <c r="B75" s="21">
        <f>IF(C75="","EF-"&amp;TEXT(COUNTA($C$5:C75),"000"))</f>
        <v/>
      </c>
      <c r="C75" s="12" t="n"/>
      <c r="D75" s="12" t="n"/>
      <c r="E75" s="12" t="n"/>
      <c r="F75" s="31" t="n"/>
      <c r="G75" s="31" t="n"/>
      <c r="H75" s="13">
        <f>IF(F75="","",ROUND((G75-F75)/30.44,0))</f>
        <v/>
      </c>
      <c r="I75" s="33" t="n"/>
      <c r="J75" s="12" t="n"/>
    </row>
    <row r="76" ht="22" customHeight="1">
      <c r="B76" s="20">
        <f>IF(C76="","EF-"&amp;TEXT(COUNTA($C$5:C76),"000"))</f>
        <v/>
      </c>
      <c r="C76" s="16" t="n"/>
      <c r="D76" s="16" t="n"/>
      <c r="E76" s="16" t="n"/>
      <c r="F76" s="32" t="n"/>
      <c r="G76" s="32" t="n"/>
      <c r="H76" s="17">
        <f>IF(F76="","",ROUND((G76-F76)/30.44,0))</f>
        <v/>
      </c>
      <c r="I76" s="34" t="n"/>
      <c r="J76" s="16" t="n"/>
    </row>
    <row r="77" ht="22" customHeight="1">
      <c r="B77" s="21">
        <f>IF(C77="","EF-"&amp;TEXT(COUNTA($C$5:C77),"000"))</f>
        <v/>
      </c>
      <c r="C77" s="12" t="n"/>
      <c r="D77" s="12" t="n"/>
      <c r="E77" s="12" t="n"/>
      <c r="F77" s="31" t="n"/>
      <c r="G77" s="31" t="n"/>
      <c r="H77" s="13">
        <f>IF(F77="","",ROUND((G77-F77)/30.44,0))</f>
        <v/>
      </c>
      <c r="I77" s="33" t="n"/>
      <c r="J77" s="12" t="n"/>
    </row>
    <row r="78" ht="22" customHeight="1">
      <c r="B78" s="20">
        <f>IF(C78="","EF-"&amp;TEXT(COUNTA($C$5:C78),"000"))</f>
        <v/>
      </c>
      <c r="C78" s="16" t="n"/>
      <c r="D78" s="16" t="n"/>
      <c r="E78" s="16" t="n"/>
      <c r="F78" s="32" t="n"/>
      <c r="G78" s="32" t="n"/>
      <c r="H78" s="17">
        <f>IF(F78="","",ROUND((G78-F78)/30.44,0))</f>
        <v/>
      </c>
      <c r="I78" s="34" t="n"/>
      <c r="J78" s="16" t="n"/>
    </row>
    <row r="79" ht="22" customHeight="1">
      <c r="B79" s="21">
        <f>IF(C79="","EF-"&amp;TEXT(COUNTA($C$5:C79),"000"))</f>
        <v/>
      </c>
      <c r="C79" s="12" t="n"/>
      <c r="D79" s="12" t="n"/>
      <c r="E79" s="12" t="n"/>
      <c r="F79" s="31" t="n"/>
      <c r="G79" s="31" t="n"/>
      <c r="H79" s="13">
        <f>IF(F79="","",ROUND((G79-F79)/30.44,0))</f>
        <v/>
      </c>
      <c r="I79" s="33" t="n"/>
      <c r="J79" s="12" t="n"/>
    </row>
    <row r="80" ht="22" customHeight="1">
      <c r="B80" s="20">
        <f>IF(C80="","EF-"&amp;TEXT(COUNTA($C$5:C80),"000"))</f>
        <v/>
      </c>
      <c r="C80" s="16" t="n"/>
      <c r="D80" s="16" t="n"/>
      <c r="E80" s="16" t="n"/>
      <c r="F80" s="32" t="n"/>
      <c r="G80" s="32" t="n"/>
      <c r="H80" s="17">
        <f>IF(F80="","",ROUND((G80-F80)/30.44,0))</f>
        <v/>
      </c>
      <c r="I80" s="34" t="n"/>
      <c r="J80" s="16" t="n"/>
    </row>
    <row r="81" ht="22" customHeight="1">
      <c r="B81" s="21">
        <f>IF(C81="","EF-"&amp;TEXT(COUNTA($C$5:C81),"000"))</f>
        <v/>
      </c>
      <c r="C81" s="12" t="n"/>
      <c r="D81" s="12" t="n"/>
      <c r="E81" s="12" t="n"/>
      <c r="F81" s="31" t="n"/>
      <c r="G81" s="31" t="n"/>
      <c r="H81" s="13">
        <f>IF(F81="","",ROUND((G81-F81)/30.44,0))</f>
        <v/>
      </c>
      <c r="I81" s="33" t="n"/>
      <c r="J81" s="12" t="n"/>
    </row>
    <row r="82" ht="22" customHeight="1">
      <c r="B82" s="20">
        <f>IF(C82="","EF-"&amp;TEXT(COUNTA($C$5:C82),"000"))</f>
        <v/>
      </c>
      <c r="C82" s="16" t="n"/>
      <c r="D82" s="16" t="n"/>
      <c r="E82" s="16" t="n"/>
      <c r="F82" s="32" t="n"/>
      <c r="G82" s="32" t="n"/>
      <c r="H82" s="17">
        <f>IF(F82="","",ROUND((G82-F82)/30.44,0))</f>
        <v/>
      </c>
      <c r="I82" s="34" t="n"/>
      <c r="J82" s="16" t="n"/>
    </row>
    <row r="83" ht="22" customHeight="1">
      <c r="B83" s="21">
        <f>IF(C83="","EF-"&amp;TEXT(COUNTA($C$5:C83),"000"))</f>
        <v/>
      </c>
      <c r="C83" s="12" t="n"/>
      <c r="D83" s="12" t="n"/>
      <c r="E83" s="12" t="n"/>
      <c r="F83" s="31" t="n"/>
      <c r="G83" s="31" t="n"/>
      <c r="H83" s="13">
        <f>IF(F83="","",ROUND((G83-F83)/30.44,0))</f>
        <v/>
      </c>
      <c r="I83" s="33" t="n"/>
      <c r="J83" s="12" t="n"/>
    </row>
    <row r="84" ht="22" customHeight="1">
      <c r="B84" s="20">
        <f>IF(C84="","EF-"&amp;TEXT(COUNTA($C$5:C84),"000"))</f>
        <v/>
      </c>
      <c r="C84" s="16" t="n"/>
      <c r="D84" s="16" t="n"/>
      <c r="E84" s="16" t="n"/>
      <c r="F84" s="32" t="n"/>
      <c r="G84" s="32" t="n"/>
      <c r="H84" s="17">
        <f>IF(F84="","",ROUND((G84-F84)/30.44,0))</f>
        <v/>
      </c>
      <c r="I84" s="34" t="n"/>
      <c r="J84" s="16" t="n"/>
    </row>
    <row r="85" ht="22" customHeight="1">
      <c r="B85" s="21">
        <f>IF(C85="","EF-"&amp;TEXT(COUNTA($C$5:C85),"000"))</f>
        <v/>
      </c>
      <c r="C85" s="12" t="n"/>
      <c r="D85" s="12" t="n"/>
      <c r="E85" s="12" t="n"/>
      <c r="F85" s="31" t="n"/>
      <c r="G85" s="31" t="n"/>
      <c r="H85" s="13">
        <f>IF(F85="","",ROUND((G85-F85)/30.44,0))</f>
        <v/>
      </c>
      <c r="I85" s="33" t="n"/>
      <c r="J85" s="12" t="n"/>
    </row>
    <row r="86" ht="22" customHeight="1">
      <c r="B86" s="20">
        <f>IF(C86="","EF-"&amp;TEXT(COUNTA($C$5:C86),"000"))</f>
        <v/>
      </c>
      <c r="C86" s="16" t="n"/>
      <c r="D86" s="16" t="n"/>
      <c r="E86" s="16" t="n"/>
      <c r="F86" s="32" t="n"/>
      <c r="G86" s="32" t="n"/>
      <c r="H86" s="17">
        <f>IF(F86="","",ROUND((G86-F86)/30.44,0))</f>
        <v/>
      </c>
      <c r="I86" s="34" t="n"/>
      <c r="J86" s="16" t="n"/>
    </row>
    <row r="87" ht="22" customHeight="1">
      <c r="B87" s="21">
        <f>IF(C87="","EF-"&amp;TEXT(COUNTA($C$5:C87),"000"))</f>
        <v/>
      </c>
      <c r="C87" s="12" t="n"/>
      <c r="D87" s="12" t="n"/>
      <c r="E87" s="12" t="n"/>
      <c r="F87" s="31" t="n"/>
      <c r="G87" s="31" t="n"/>
      <c r="H87" s="13">
        <f>IF(F87="","",ROUND((G87-F87)/30.44,0))</f>
        <v/>
      </c>
      <c r="I87" s="33" t="n"/>
      <c r="J87" s="12" t="n"/>
    </row>
    <row r="88" ht="22" customHeight="1">
      <c r="B88" s="20">
        <f>IF(C88="","EF-"&amp;TEXT(COUNTA($C$5:C88),"000"))</f>
        <v/>
      </c>
      <c r="C88" s="16" t="n"/>
      <c r="D88" s="16" t="n"/>
      <c r="E88" s="16" t="n"/>
      <c r="F88" s="32" t="n"/>
      <c r="G88" s="32" t="n"/>
      <c r="H88" s="17">
        <f>IF(F88="","",ROUND((G88-F88)/30.44,0))</f>
        <v/>
      </c>
      <c r="I88" s="34" t="n"/>
      <c r="J88" s="16" t="n"/>
    </row>
    <row r="89" ht="22" customHeight="1">
      <c r="B89" s="21">
        <f>IF(C89="","EF-"&amp;TEXT(COUNTA($C$5:C89),"000"))</f>
        <v/>
      </c>
      <c r="C89" s="12" t="n"/>
      <c r="D89" s="12" t="n"/>
      <c r="E89" s="12" t="n"/>
      <c r="F89" s="31" t="n"/>
      <c r="G89" s="31" t="n"/>
      <c r="H89" s="13">
        <f>IF(F89="","",ROUND((G89-F89)/30.44,0))</f>
        <v/>
      </c>
      <c r="I89" s="33" t="n"/>
      <c r="J89" s="12" t="n"/>
    </row>
    <row r="90" ht="22" customHeight="1">
      <c r="B90" s="20">
        <f>IF(C90="","EF-"&amp;TEXT(COUNTA($C$5:C90),"000"))</f>
        <v/>
      </c>
      <c r="C90" s="16" t="n"/>
      <c r="D90" s="16" t="n"/>
      <c r="E90" s="16" t="n"/>
      <c r="F90" s="32" t="n"/>
      <c r="G90" s="32" t="n"/>
      <c r="H90" s="17">
        <f>IF(F90="","",ROUND((G90-F90)/30.44,0))</f>
        <v/>
      </c>
      <c r="I90" s="34" t="n"/>
      <c r="J90" s="16" t="n"/>
    </row>
    <row r="91" ht="22" customHeight="1">
      <c r="B91" s="21">
        <f>IF(C91="","EF-"&amp;TEXT(COUNTA($C$5:C91),"000"))</f>
        <v/>
      </c>
      <c r="C91" s="12" t="n"/>
      <c r="D91" s="12" t="n"/>
      <c r="E91" s="12" t="n"/>
      <c r="F91" s="31" t="n"/>
      <c r="G91" s="31" t="n"/>
      <c r="H91" s="13">
        <f>IF(F91="","",ROUND((G91-F91)/30.44,0))</f>
        <v/>
      </c>
      <c r="I91" s="33" t="n"/>
      <c r="J91" s="12" t="n"/>
    </row>
    <row r="92" ht="22" customHeight="1">
      <c r="B92" s="20">
        <f>IF(C92="","EF-"&amp;TEXT(COUNTA($C$5:C92),"000"))</f>
        <v/>
      </c>
      <c r="C92" s="16" t="n"/>
      <c r="D92" s="16" t="n"/>
      <c r="E92" s="16" t="n"/>
      <c r="F92" s="32" t="n"/>
      <c r="G92" s="32" t="n"/>
      <c r="H92" s="17">
        <f>IF(F92="","",ROUND((G92-F92)/30.44,0))</f>
        <v/>
      </c>
      <c r="I92" s="34" t="n"/>
      <c r="J92" s="16" t="n"/>
    </row>
    <row r="93" ht="22" customHeight="1">
      <c r="B93" s="21">
        <f>IF(C93="","EF-"&amp;TEXT(COUNTA($C$5:C93),"000"))</f>
        <v/>
      </c>
      <c r="C93" s="12" t="n"/>
      <c r="D93" s="12" t="n"/>
      <c r="E93" s="12" t="n"/>
      <c r="F93" s="31" t="n"/>
      <c r="G93" s="31" t="n"/>
      <c r="H93" s="13">
        <f>IF(F93="","",ROUND((G93-F93)/30.44,0))</f>
        <v/>
      </c>
      <c r="I93" s="33" t="n"/>
      <c r="J93" s="12" t="n"/>
    </row>
    <row r="94" ht="22" customHeight="1">
      <c r="B94" s="20">
        <f>IF(C94="","EF-"&amp;TEXT(COUNTA($C$5:C94),"000"))</f>
        <v/>
      </c>
      <c r="C94" s="16" t="n"/>
      <c r="D94" s="16" t="n"/>
      <c r="E94" s="16" t="n"/>
      <c r="F94" s="32" t="n"/>
      <c r="G94" s="32" t="n"/>
      <c r="H94" s="17">
        <f>IF(F94="","",ROUND((G94-F94)/30.44,0))</f>
        <v/>
      </c>
      <c r="I94" s="34" t="n"/>
      <c r="J94" s="16" t="n"/>
    </row>
    <row r="95" ht="22" customHeight="1">
      <c r="B95" s="21">
        <f>IF(C95="","EF-"&amp;TEXT(COUNTA($C$5:C95),"000"))</f>
        <v/>
      </c>
      <c r="C95" s="12" t="n"/>
      <c r="D95" s="12" t="n"/>
      <c r="E95" s="12" t="n"/>
      <c r="F95" s="31" t="n"/>
      <c r="G95" s="31" t="n"/>
      <c r="H95" s="13">
        <f>IF(F95="","",ROUND((G95-F95)/30.44,0))</f>
        <v/>
      </c>
      <c r="I95" s="33" t="n"/>
      <c r="J95" s="12" t="n"/>
    </row>
    <row r="96" ht="22" customHeight="1">
      <c r="B96" s="20">
        <f>IF(C96="","EF-"&amp;TEXT(COUNTA($C$5:C96),"000"))</f>
        <v/>
      </c>
      <c r="C96" s="16" t="n"/>
      <c r="D96" s="16" t="n"/>
      <c r="E96" s="16" t="n"/>
      <c r="F96" s="32" t="n"/>
      <c r="G96" s="32" t="n"/>
      <c r="H96" s="17">
        <f>IF(F96="","",ROUND((G96-F96)/30.44,0))</f>
        <v/>
      </c>
      <c r="I96" s="34" t="n"/>
      <c r="J96" s="16" t="n"/>
    </row>
    <row r="97" ht="22" customHeight="1">
      <c r="B97" s="21">
        <f>IF(C97="","EF-"&amp;TEXT(COUNTA($C$5:C97),"000"))</f>
        <v/>
      </c>
      <c r="C97" s="12" t="n"/>
      <c r="D97" s="12" t="n"/>
      <c r="E97" s="12" t="n"/>
      <c r="F97" s="31" t="n"/>
      <c r="G97" s="31" t="n"/>
      <c r="H97" s="13">
        <f>IF(F97="","",ROUND((G97-F97)/30.44,0))</f>
        <v/>
      </c>
      <c r="I97" s="33" t="n"/>
      <c r="J97" s="12" t="n"/>
    </row>
    <row r="98" ht="22" customHeight="1">
      <c r="B98" s="20">
        <f>IF(C98="","EF-"&amp;TEXT(COUNTA($C$5:C98),"000"))</f>
        <v/>
      </c>
      <c r="C98" s="16" t="n"/>
      <c r="D98" s="16" t="n"/>
      <c r="E98" s="16" t="n"/>
      <c r="F98" s="32" t="n"/>
      <c r="G98" s="32" t="n"/>
      <c r="H98" s="17">
        <f>IF(F98="","",ROUND((G98-F98)/30.44,0))</f>
        <v/>
      </c>
      <c r="I98" s="34" t="n"/>
      <c r="J98" s="16" t="n"/>
    </row>
    <row r="99" ht="22" customHeight="1">
      <c r="B99" s="21">
        <f>IF(C99="","EF-"&amp;TEXT(COUNTA($C$5:C99),"000"))</f>
        <v/>
      </c>
      <c r="C99" s="12" t="n"/>
      <c r="D99" s="12" t="n"/>
      <c r="E99" s="12" t="n"/>
      <c r="F99" s="31" t="n"/>
      <c r="G99" s="31" t="n"/>
      <c r="H99" s="13">
        <f>IF(F99="","",ROUND((G99-F99)/30.44,0))</f>
        <v/>
      </c>
      <c r="I99" s="33" t="n"/>
      <c r="J99" s="12" t="n"/>
    </row>
    <row r="100" ht="22" customHeight="1">
      <c r="B100" s="20">
        <f>IF(C100="","EF-"&amp;TEXT(COUNTA($C$5:C100),"000"))</f>
        <v/>
      </c>
      <c r="C100" s="16" t="n"/>
      <c r="D100" s="16" t="n"/>
      <c r="E100" s="16" t="n"/>
      <c r="F100" s="32" t="n"/>
      <c r="G100" s="32" t="n"/>
      <c r="H100" s="17">
        <f>IF(F100="","",ROUND((G100-F100)/30.44,0))</f>
        <v/>
      </c>
      <c r="I100" s="34" t="n"/>
      <c r="J100" s="16" t="n"/>
    </row>
    <row r="101" ht="22" customHeight="1">
      <c r="B101" s="21">
        <f>IF(C101="","EF-"&amp;TEXT(COUNTA($C$5:C101),"000"))</f>
        <v/>
      </c>
      <c r="C101" s="12" t="n"/>
      <c r="D101" s="12" t="n"/>
      <c r="E101" s="12" t="n"/>
      <c r="F101" s="31" t="n"/>
      <c r="G101" s="31" t="n"/>
      <c r="H101" s="13">
        <f>IF(F101="","",ROUND((G101-F101)/30.44,0))</f>
        <v/>
      </c>
      <c r="I101" s="33" t="n"/>
      <c r="J101" s="12" t="n"/>
    </row>
    <row r="102" ht="22" customHeight="1">
      <c r="B102" s="20">
        <f>IF(C102="","EF-"&amp;TEXT(COUNTA($C$5:C102),"000"))</f>
        <v/>
      </c>
      <c r="C102" s="16" t="n"/>
      <c r="D102" s="16" t="n"/>
      <c r="E102" s="16" t="n"/>
      <c r="F102" s="32" t="n"/>
      <c r="G102" s="32" t="n"/>
      <c r="H102" s="17">
        <f>IF(F102="","",ROUND((G102-F102)/30.44,0))</f>
        <v/>
      </c>
      <c r="I102" s="34" t="n"/>
      <c r="J102" s="16" t="n"/>
    </row>
    <row r="103" ht="22" customHeight="1">
      <c r="B103" s="21">
        <f>IF(C103="","EF-"&amp;TEXT(COUNTA($C$5:C103),"000"))</f>
        <v/>
      </c>
      <c r="C103" s="12" t="n"/>
      <c r="D103" s="12" t="n"/>
      <c r="E103" s="12" t="n"/>
      <c r="F103" s="31" t="n"/>
      <c r="G103" s="31" t="n"/>
      <c r="H103" s="13">
        <f>IF(F103="","",ROUND((G103-F103)/30.44,0))</f>
        <v/>
      </c>
      <c r="I103" s="33" t="n"/>
      <c r="J103" s="12" t="n"/>
    </row>
    <row r="104" ht="22" customHeight="1">
      <c r="B104" s="20">
        <f>IF(C104="","EF-"&amp;TEXT(COUNTA($C$5:C104),"000"))</f>
        <v/>
      </c>
      <c r="C104" s="16" t="n"/>
      <c r="D104" s="16" t="n"/>
      <c r="E104" s="16" t="n"/>
      <c r="F104" s="32" t="n"/>
      <c r="G104" s="32" t="n"/>
      <c r="H104" s="17">
        <f>IF(F104="","",ROUND((G104-F104)/30.44,0))</f>
        <v/>
      </c>
      <c r="I104" s="34" t="n"/>
      <c r="J104" s="16" t="n"/>
    </row>
    <row r="105" ht="22" customHeight="1">
      <c r="B105" s="21">
        <f>IF(C105="","EF-"&amp;TEXT(COUNTA($C$5:C105),"000"))</f>
        <v/>
      </c>
      <c r="C105" s="12" t="n"/>
      <c r="D105" s="12" t="n"/>
      <c r="E105" s="12" t="n"/>
      <c r="F105" s="31" t="n"/>
      <c r="G105" s="31" t="n"/>
      <c r="H105" s="13">
        <f>IF(F105="","",ROUND((G105-F105)/30.44,0))</f>
        <v/>
      </c>
      <c r="I105" s="33" t="n"/>
      <c r="J105" s="12" t="n"/>
    </row>
    <row r="106" ht="22" customHeight="1">
      <c r="B106" s="20">
        <f>IF(C106="","EF-"&amp;TEXT(COUNTA($C$5:C106),"000"))</f>
        <v/>
      </c>
      <c r="C106" s="16" t="n"/>
      <c r="D106" s="16" t="n"/>
      <c r="E106" s="16" t="n"/>
      <c r="F106" s="32" t="n"/>
      <c r="G106" s="32" t="n"/>
      <c r="H106" s="17">
        <f>IF(F106="","",ROUND((G106-F106)/30.44,0))</f>
        <v/>
      </c>
      <c r="I106" s="34" t="n"/>
      <c r="J106" s="16" t="n"/>
    </row>
    <row r="107" ht="22" customHeight="1">
      <c r="B107" s="21">
        <f>IF(C107="","EF-"&amp;TEXT(COUNTA($C$5:C107),"000"))</f>
        <v/>
      </c>
      <c r="C107" s="12" t="n"/>
      <c r="D107" s="12" t="n"/>
      <c r="E107" s="12" t="n"/>
      <c r="F107" s="31" t="n"/>
      <c r="G107" s="31" t="n"/>
      <c r="H107" s="13">
        <f>IF(F107="","",ROUND((G107-F107)/30.44,0))</f>
        <v/>
      </c>
      <c r="I107" s="33" t="n"/>
      <c r="J107" s="12" t="n"/>
    </row>
    <row r="109">
      <c r="B109" s="6" t="inlineStr">
        <is>
          <t>INDICATEURS (mis a jour automatiquement)</t>
        </is>
      </c>
    </row>
    <row r="110">
      <c r="B110" s="3" t="inlineStr">
        <is>
          <t>Evaluations froid</t>
        </is>
      </c>
      <c r="D110" s="3" t="inlineStr">
        <is>
          <t>Application moyenne (/5)</t>
        </is>
      </c>
      <c r="F110" s="3" t="inlineStr">
        <is>
          <t>Delai moyen (mois)</t>
        </is>
      </c>
      <c r="H110" s="3" t="inlineStr">
        <is>
          <t>Impact positif</t>
        </is>
      </c>
    </row>
    <row r="111">
      <c r="B111" s="4">
        <f>COUNTIF(B5:B104,"&lt;&gt;")</f>
        <v/>
      </c>
      <c r="D111" s="4">
        <f>IFERROR(AVERAGE(I5:I104),0)</f>
        <v/>
      </c>
      <c r="F111" s="4">
        <f>IFERROR(AVERAGE(H5:H104),0)</f>
        <v/>
      </c>
      <c r="H111" s="4">
        <f>COUNTIF(I5:I104,"&gt;=4")</f>
        <v/>
      </c>
    </row>
  </sheetData>
  <mergeCells count="3">
    <mergeCell ref="B109:J109"/>
    <mergeCell ref="B3:J3"/>
    <mergeCell ref="B2:J2"/>
  </mergeCells>
  <conditionalFormatting sqref="B8:B107">
    <cfRule type="expression" priority="1" dxfId="3">
      <formula>AND($C8="",$C7&lt;&gt;"")</formula>
    </cfRule>
  </conditionalFormatting>
  <conditionalFormatting sqref="C8:C107">
    <cfRule type="expression" priority="2" dxfId="3">
      <formula>AND($C8="",$C7&lt;&gt;"")</formula>
    </cfRule>
  </conditionalFormatting>
  <conditionalFormatting sqref="D8:D107">
    <cfRule type="expression" priority="3" dxfId="3">
      <formula>AND($C8="",$C7&lt;&gt;"")</formula>
    </cfRule>
  </conditionalFormatting>
  <conditionalFormatting sqref="E8:E107">
    <cfRule type="expression" priority="4" dxfId="3">
      <formula>AND($C8="",$C7&lt;&gt;"")</formula>
    </cfRule>
  </conditionalFormatting>
  <conditionalFormatting sqref="F8:F107">
    <cfRule type="expression" priority="5" dxfId="3">
      <formula>AND($C8="",$C7&lt;&gt;"")</formula>
    </cfRule>
  </conditionalFormatting>
  <conditionalFormatting sqref="G8:G107">
    <cfRule type="expression" priority="6" dxfId="3">
      <formula>AND($C8="",$C7&lt;&gt;"")</formula>
    </cfRule>
  </conditionalFormatting>
  <conditionalFormatting sqref="H8:H107">
    <cfRule type="expression" priority="7" dxfId="3">
      <formula>AND($C8="",$C7&lt;&gt;"")</formula>
    </cfRule>
  </conditionalFormatting>
  <conditionalFormatting sqref="I8:I107">
    <cfRule type="expression" priority="8" dxfId="3">
      <formula>AND($C8="",$C7&lt;&gt;"")</formula>
    </cfRule>
  </conditionalFormatting>
  <conditionalFormatting sqref="J8:J107">
    <cfRule type="expression" priority="9" dxfId="3">
      <formula>AND($C8="",$C7&lt;&gt;"")</formula>
    </cfRule>
  </conditionalFormatting>
  <conditionalFormatting sqref="I5:I104">
    <cfRule type="dataBar" priority="10">
      <dataBar>
        <cfvo type="num" val="0"/>
        <cfvo type="num" val="5"/>
        <color rgb="0070AD47"/>
      </dataBar>
    </cfRule>
  </conditionalFormatting>
  <dataValidations count="1">
    <dataValidation sqref="J5:J111" showDropDown="0" showInputMessage="0" showErrorMessage="0" allowBlank="1" promptTitle="Type Impact" prompt="Choisir le type d'impact" type="list">
      <formula1>"Reduction erreurs,Gain productivite,Amelioration service,Economies realisees,Satisfaction client,Autre"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24" customWidth="1" min="4" max="4"/>
    <col width="10" customWidth="1" min="5" max="5"/>
    <col width="20" customWidth="1" min="6" max="6"/>
    <col width="18" customWidth="1" min="7" max="7"/>
    <col width="16" customWidth="1" min="8" max="8"/>
    <col width="20" customWidth="1" min="9" max="9"/>
    <col width="18" customWidth="1" min="10" max="10"/>
  </cols>
  <sheetData>
    <row r="1" ht="15" customHeight="1"/>
    <row r="2" ht="32" customHeight="1">
      <c r="B2" s="1" t="inlineStr">
        <is>
          <t>SUIVI BUDGET FORMATION (#70)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Poste Budgetaire</t>
        </is>
      </c>
      <c r="D4" s="11" t="inlineStr">
        <is>
          <t>Departement</t>
        </is>
      </c>
      <c r="E4" s="11" t="inlineStr">
        <is>
          <t>Annee</t>
        </is>
      </c>
      <c r="F4" s="11" t="inlineStr">
        <is>
          <t>Budget Alloue (FCFA)</t>
        </is>
      </c>
      <c r="G4" s="11" t="inlineStr">
        <is>
          <t>Cout Reel (FCFA)</t>
        </is>
      </c>
      <c r="H4" s="11" t="inlineStr">
        <is>
          <t>Ecart (FCFA)</t>
        </is>
      </c>
      <c r="I4" s="11" t="inlineStr">
        <is>
          <t>Taux Consommation (%)</t>
        </is>
      </c>
      <c r="J4" s="11" t="inlineStr">
        <is>
          <t>Statut</t>
        </is>
      </c>
    </row>
    <row r="5" ht="22" customHeight="1">
      <c r="B5" s="12" t="inlineStr">
        <is>
          <t>BUD-001</t>
        </is>
      </c>
      <c r="C5" s="12" t="inlineStr">
        <is>
          <t>Formations techniques</t>
        </is>
      </c>
      <c r="D5" s="12" t="inlineStr">
        <is>
          <t>Cuisine &amp; Restauration</t>
        </is>
      </c>
      <c r="E5" s="12" t="inlineStr">
        <is>
          <t>2025</t>
        </is>
      </c>
      <c r="F5" s="15" t="n">
        <v>500000</v>
      </c>
      <c r="G5" s="15">
        <f>IFERROR(SUMIF('4-Inscriptions Formation'!E:E,D5,'4-Inscriptions Formation'!I:I),0)</f>
        <v/>
      </c>
      <c r="H5" s="15">
        <f>F5-G5</f>
        <v/>
      </c>
      <c r="I5" s="27">
        <f>IFERROR(ROUND(G5/F5*100,1),0)</f>
        <v/>
      </c>
      <c r="J5" s="12" t="inlineStr">
        <is>
          <t>Consomme partiel</t>
        </is>
      </c>
    </row>
    <row r="6" ht="22" customHeight="1">
      <c r="B6" s="16" t="inlineStr">
        <is>
          <t>BUD-002</t>
        </is>
      </c>
      <c r="C6" s="16" t="inlineStr">
        <is>
          <t>Formations langues</t>
        </is>
      </c>
      <c r="D6" s="16" t="inlineStr">
        <is>
          <t>Réception &amp; Front Office</t>
        </is>
      </c>
      <c r="E6" s="16" t="inlineStr">
        <is>
          <t>2025</t>
        </is>
      </c>
      <c r="F6" s="19" t="n">
        <v>300000</v>
      </c>
      <c r="G6" s="19">
        <f>IFERROR(SUMIF('4-Inscriptions Formation'!E:E,D6,'4-Inscriptions Formation'!I:I),0)</f>
        <v/>
      </c>
      <c r="H6" s="19">
        <f>F6-G6</f>
        <v/>
      </c>
      <c r="I6" s="28">
        <f>IFERROR(ROUND(G6/F6*100,1),0)</f>
        <v/>
      </c>
      <c r="J6" s="16" t="inlineStr">
        <is>
          <t>Consomme partiel</t>
        </is>
      </c>
    </row>
    <row r="7" ht="22" customHeight="1">
      <c r="B7" s="12" t="inlineStr">
        <is>
          <t>BUD-003</t>
        </is>
      </c>
      <c r="C7" s="12" t="inlineStr">
        <is>
          <t>Formations securite</t>
        </is>
      </c>
      <c r="D7" s="12" t="inlineStr">
        <is>
          <t>Tous</t>
        </is>
      </c>
      <c r="E7" s="12" t="inlineStr">
        <is>
          <t>2025</t>
        </is>
      </c>
      <c r="F7" s="15" t="n">
        <v>400000</v>
      </c>
      <c r="G7" s="15">
        <f>IFERROR(SUMIF('4-Inscriptions Formation'!E:E,D7,'4-Inscriptions Formation'!I:I),0)</f>
        <v/>
      </c>
      <c r="H7" s="15">
        <f>F7-G7</f>
        <v/>
      </c>
      <c r="I7" s="27">
        <f>IFERROR(ROUND(G7/F7*100,1),0)</f>
        <v/>
      </c>
      <c r="J7" s="12" t="inlineStr">
        <is>
          <t>Provisionne</t>
        </is>
      </c>
    </row>
    <row r="8" ht="22" customHeight="1">
      <c r="B8" s="16" t="inlineStr">
        <is>
          <t>BUD-004</t>
        </is>
      </c>
      <c r="C8" s="16" t="inlineStr">
        <is>
          <t>Formations informatique</t>
        </is>
      </c>
      <c r="D8" s="16" t="inlineStr">
        <is>
          <t>Finance &amp; Comptabilité</t>
        </is>
      </c>
      <c r="E8" s="16" t="inlineStr">
        <is>
          <t>2025</t>
        </is>
      </c>
      <c r="F8" s="19" t="n">
        <v>100000</v>
      </c>
      <c r="G8" s="19">
        <f>IFERROR(SUMIF('4-Inscriptions Formation'!E:E,D8,'4-Inscriptions Formation'!I:I),0)</f>
        <v/>
      </c>
      <c r="H8" s="19">
        <f>F8-G8</f>
        <v/>
      </c>
      <c r="I8" s="28">
        <f>IFERROR(ROUND(G8/F8*100,1),0)</f>
        <v/>
      </c>
      <c r="J8" s="16" t="inlineStr">
        <is>
          <t>Provisionne</t>
        </is>
      </c>
    </row>
    <row r="9" ht="22" customHeight="1">
      <c r="B9" s="12" t="inlineStr">
        <is>
          <t>BUD-005</t>
        </is>
      </c>
      <c r="C9" s="12" t="inlineStr">
        <is>
          <t>Formations management</t>
        </is>
      </c>
      <c r="D9" s="12" t="inlineStr">
        <is>
          <t>Direction Generale</t>
        </is>
      </c>
      <c r="E9" s="12" t="inlineStr">
        <is>
          <t>2025</t>
        </is>
      </c>
      <c r="F9" s="15" t="n">
        <v>200000</v>
      </c>
      <c r="G9" s="15">
        <f>IFERROR(SUMIF('4-Inscriptions Formation'!E:E,D9,'4-Inscriptions Formation'!I:I),0)</f>
        <v/>
      </c>
      <c r="H9" s="15">
        <f>F9-G9</f>
        <v/>
      </c>
      <c r="I9" s="27">
        <f>IFERROR(ROUND(G9/F9*100,1),0)</f>
        <v/>
      </c>
      <c r="J9" s="12" t="inlineStr">
        <is>
          <t>Non utilise</t>
        </is>
      </c>
    </row>
    <row r="10" ht="22" customHeight="1">
      <c r="B10" s="20">
        <f>IF(C10="","BUD-"&amp;TEXT(COUNTA($C$5:C10),"000"))</f>
        <v/>
      </c>
      <c r="C10" s="16" t="n"/>
      <c r="D10" s="16" t="n"/>
      <c r="E10" s="16" t="n"/>
      <c r="F10" s="19" t="n"/>
      <c r="G10" s="19" t="n"/>
      <c r="H10" s="19">
        <f>IF(F10="","",F10-G10)</f>
        <v/>
      </c>
      <c r="I10" s="28">
        <f>IF(F10="","",IF(F10=0,"",G10/F10))</f>
        <v/>
      </c>
      <c r="J10" s="16" t="n"/>
    </row>
    <row r="11" ht="22" customHeight="1">
      <c r="B11" s="21">
        <f>IF(C11="","BUD-"&amp;TEXT(COUNTA($C$5:C11),"000"))</f>
        <v/>
      </c>
      <c r="C11" s="12" t="n"/>
      <c r="D11" s="12" t="n"/>
      <c r="E11" s="12" t="n"/>
      <c r="F11" s="15" t="n"/>
      <c r="G11" s="15" t="n"/>
      <c r="H11" s="15">
        <f>IF(F11="","",F11-G11)</f>
        <v/>
      </c>
      <c r="I11" s="27">
        <f>IF(F11="","",IF(F11=0,"",G11/F11))</f>
        <v/>
      </c>
      <c r="J11" s="12" t="n"/>
    </row>
    <row r="12" ht="22" customHeight="1">
      <c r="B12" s="20">
        <f>IF(C12="","BUD-"&amp;TEXT(COUNTA($C$5:C12),"000"))</f>
        <v/>
      </c>
      <c r="C12" s="16" t="n"/>
      <c r="D12" s="16" t="n"/>
      <c r="E12" s="16" t="n"/>
      <c r="F12" s="19" t="n"/>
      <c r="G12" s="19" t="n"/>
      <c r="H12" s="19">
        <f>IF(F12="","",F12-G12)</f>
        <v/>
      </c>
      <c r="I12" s="28">
        <f>IF(F12="","",IF(F12=0,"",G12/F12))</f>
        <v/>
      </c>
      <c r="J12" s="16" t="n"/>
    </row>
    <row r="13" ht="22" customHeight="1">
      <c r="B13" s="21">
        <f>IF(C13="","BUD-"&amp;TEXT(COUNTA($C$5:C13),"000"))</f>
        <v/>
      </c>
      <c r="C13" s="12" t="n"/>
      <c r="D13" s="12" t="n"/>
      <c r="E13" s="12" t="n"/>
      <c r="F13" s="15" t="n"/>
      <c r="G13" s="15" t="n"/>
      <c r="H13" s="15">
        <f>IF(F13="","",F13-G13)</f>
        <v/>
      </c>
      <c r="I13" s="27">
        <f>IF(F13="","",IF(F13=0,"",G13/F13))</f>
        <v/>
      </c>
      <c r="J13" s="12" t="n"/>
    </row>
    <row r="14" ht="22" customHeight="1">
      <c r="B14" s="20">
        <f>IF(C14="","BUD-"&amp;TEXT(COUNTA($C$5:C14),"000"))</f>
        <v/>
      </c>
      <c r="C14" s="16" t="n"/>
      <c r="D14" s="16" t="n"/>
      <c r="E14" s="16" t="n"/>
      <c r="F14" s="19" t="n"/>
      <c r="G14" s="19" t="n"/>
      <c r="H14" s="19">
        <f>IF(F14="","",F14-G14)</f>
        <v/>
      </c>
      <c r="I14" s="28">
        <f>IF(F14="","",IF(F14=0,"",G14/F14))</f>
        <v/>
      </c>
      <c r="J14" s="16" t="n"/>
    </row>
    <row r="15" ht="22" customHeight="1">
      <c r="B15" s="21">
        <f>IF(C15="","BUD-"&amp;TEXT(COUNTA($C$5:C15),"000"))</f>
        <v/>
      </c>
      <c r="C15" s="12" t="n"/>
      <c r="D15" s="12" t="n"/>
      <c r="E15" s="12" t="n"/>
      <c r="F15" s="15" t="n"/>
      <c r="G15" s="15" t="n"/>
      <c r="H15" s="15">
        <f>IF(F15="","",F15-G15)</f>
        <v/>
      </c>
      <c r="I15" s="27">
        <f>IF(F15="","",IF(F15=0,"",G15/F15))</f>
        <v/>
      </c>
      <c r="J15" s="12" t="n"/>
    </row>
    <row r="16" ht="22" customHeight="1">
      <c r="B16" s="20">
        <f>IF(C16="","BUD-"&amp;TEXT(COUNTA($C$5:C16),"000"))</f>
        <v/>
      </c>
      <c r="C16" s="16" t="n"/>
      <c r="D16" s="16" t="n"/>
      <c r="E16" s="16" t="n"/>
      <c r="F16" s="19" t="n"/>
      <c r="G16" s="19" t="n"/>
      <c r="H16" s="19">
        <f>IF(F16="","",F16-G16)</f>
        <v/>
      </c>
      <c r="I16" s="28">
        <f>IF(F16="","",IF(F16=0,"",G16/F16))</f>
        <v/>
      </c>
      <c r="J16" s="16" t="n"/>
    </row>
    <row r="17" ht="22" customHeight="1">
      <c r="B17" s="21">
        <f>IF(C17="","BUD-"&amp;TEXT(COUNTA($C$5:C17),"000"))</f>
        <v/>
      </c>
      <c r="C17" s="12" t="n"/>
      <c r="D17" s="12" t="n"/>
      <c r="E17" s="12" t="n"/>
      <c r="F17" s="15" t="n"/>
      <c r="G17" s="15" t="n"/>
      <c r="H17" s="15">
        <f>IF(F17="","",F17-G17)</f>
        <v/>
      </c>
      <c r="I17" s="27">
        <f>IF(F17="","",IF(F17=0,"",G17/F17))</f>
        <v/>
      </c>
      <c r="J17" s="12" t="n"/>
    </row>
    <row r="18" ht="22" customHeight="1">
      <c r="B18" s="20">
        <f>IF(C18="","BUD-"&amp;TEXT(COUNTA($C$5:C18),"000"))</f>
        <v/>
      </c>
      <c r="C18" s="16" t="n"/>
      <c r="D18" s="16" t="n"/>
      <c r="E18" s="16" t="n"/>
      <c r="F18" s="19" t="n"/>
      <c r="G18" s="19" t="n"/>
      <c r="H18" s="19">
        <f>IF(F18="","",F18-G18)</f>
        <v/>
      </c>
      <c r="I18" s="28">
        <f>IF(F18="","",IF(F18=0,"",G18/F18))</f>
        <v/>
      </c>
      <c r="J18" s="16" t="n"/>
    </row>
    <row r="19" ht="22" customHeight="1">
      <c r="B19" s="21">
        <f>IF(C19="","BUD-"&amp;TEXT(COUNTA($C$5:C19),"000"))</f>
        <v/>
      </c>
      <c r="C19" s="12" t="n"/>
      <c r="D19" s="12" t="n"/>
      <c r="E19" s="12" t="n"/>
      <c r="F19" s="15" t="n"/>
      <c r="G19" s="15" t="n"/>
      <c r="H19" s="15">
        <f>IF(F19="","",F19-G19)</f>
        <v/>
      </c>
      <c r="I19" s="27">
        <f>IF(F19="","",IF(F19=0,"",G19/F19))</f>
        <v/>
      </c>
      <c r="J19" s="12" t="n"/>
    </row>
    <row r="20" ht="22" customHeight="1">
      <c r="B20" s="20">
        <f>IF(C20="","BUD-"&amp;TEXT(COUNTA($C$5:C20),"000"))</f>
        <v/>
      </c>
      <c r="C20" s="16" t="n"/>
      <c r="D20" s="16" t="n"/>
      <c r="E20" s="16" t="n"/>
      <c r="F20" s="19" t="n"/>
      <c r="G20" s="19" t="n"/>
      <c r="H20" s="19">
        <f>IF(F20="","",F20-G20)</f>
        <v/>
      </c>
      <c r="I20" s="28">
        <f>IF(F20="","",IF(F20=0,"",G20/F20))</f>
        <v/>
      </c>
      <c r="J20" s="16" t="n"/>
    </row>
    <row r="21" ht="22" customHeight="1">
      <c r="B21" s="21">
        <f>IF(C21="","BUD-"&amp;TEXT(COUNTA($C$5:C21),"000"))</f>
        <v/>
      </c>
      <c r="C21" s="12" t="n"/>
      <c r="D21" s="12" t="n"/>
      <c r="E21" s="12" t="n"/>
      <c r="F21" s="15" t="n"/>
      <c r="G21" s="15" t="n"/>
      <c r="H21" s="15">
        <f>IF(F21="","",F21-G21)</f>
        <v/>
      </c>
      <c r="I21" s="27">
        <f>IF(F21="","",IF(F21=0,"",G21/F21))</f>
        <v/>
      </c>
      <c r="J21" s="12" t="n"/>
    </row>
    <row r="22" ht="22" customHeight="1">
      <c r="B22" s="20">
        <f>IF(C22="","BUD-"&amp;TEXT(COUNTA($C$5:C22),"000"))</f>
        <v/>
      </c>
      <c r="C22" s="16" t="n"/>
      <c r="D22" s="16" t="n"/>
      <c r="E22" s="16" t="n"/>
      <c r="F22" s="19" t="n"/>
      <c r="G22" s="19" t="n"/>
      <c r="H22" s="19">
        <f>IF(F22="","",F22-G22)</f>
        <v/>
      </c>
      <c r="I22" s="28">
        <f>IF(F22="","",IF(F22=0,"",G22/F22))</f>
        <v/>
      </c>
      <c r="J22" s="16" t="n"/>
    </row>
    <row r="23" ht="22" customHeight="1">
      <c r="B23" s="21">
        <f>IF(C23="","BUD-"&amp;TEXT(COUNTA($C$5:C23),"000"))</f>
        <v/>
      </c>
      <c r="C23" s="12" t="n"/>
      <c r="D23" s="12" t="n"/>
      <c r="E23" s="12" t="n"/>
      <c r="F23" s="15" t="n"/>
      <c r="G23" s="15" t="n"/>
      <c r="H23" s="15">
        <f>IF(F23="","",F23-G23)</f>
        <v/>
      </c>
      <c r="I23" s="27">
        <f>IF(F23="","",IF(F23=0,"",G23/F23))</f>
        <v/>
      </c>
      <c r="J23" s="12" t="n"/>
    </row>
    <row r="24" ht="22" customHeight="1">
      <c r="B24" s="20">
        <f>IF(C24="","BUD-"&amp;TEXT(COUNTA($C$5:C24),"000"))</f>
        <v/>
      </c>
      <c r="C24" s="16" t="n"/>
      <c r="D24" s="16" t="n"/>
      <c r="E24" s="16" t="n"/>
      <c r="F24" s="19" t="n"/>
      <c r="G24" s="19" t="n"/>
      <c r="H24" s="19">
        <f>IF(F24="","",F24-G24)</f>
        <v/>
      </c>
      <c r="I24" s="28">
        <f>IF(F24="","",IF(F24=0,"",G24/F24))</f>
        <v/>
      </c>
      <c r="J24" s="16" t="n"/>
    </row>
    <row r="25" ht="22" customHeight="1">
      <c r="B25" s="21">
        <f>IF(C25="","BUD-"&amp;TEXT(COUNTA($C$5:C25),"000"))</f>
        <v/>
      </c>
      <c r="C25" s="12" t="n"/>
      <c r="D25" s="12" t="n"/>
      <c r="E25" s="12" t="n"/>
      <c r="F25" s="15" t="n"/>
      <c r="G25" s="15" t="n"/>
      <c r="H25" s="15">
        <f>IF(F25="","",F25-G25)</f>
        <v/>
      </c>
      <c r="I25" s="27">
        <f>IF(F25="","",IF(F25=0,"",G25/F25))</f>
        <v/>
      </c>
      <c r="J25" s="12" t="n"/>
    </row>
    <row r="26" ht="22" customHeight="1">
      <c r="B26" s="20">
        <f>IF(C26="","BUD-"&amp;TEXT(COUNTA($C$5:C26),"000"))</f>
        <v/>
      </c>
      <c r="C26" s="16" t="n"/>
      <c r="D26" s="16" t="n"/>
      <c r="E26" s="16" t="n"/>
      <c r="F26" s="19" t="n"/>
      <c r="G26" s="19" t="n"/>
      <c r="H26" s="19">
        <f>IF(F26="","",F26-G26)</f>
        <v/>
      </c>
      <c r="I26" s="28">
        <f>IF(F26="","",IF(F26=0,"",G26/F26))</f>
        <v/>
      </c>
      <c r="J26" s="16" t="n"/>
    </row>
    <row r="27" ht="22" customHeight="1">
      <c r="B27" s="21">
        <f>IF(C27="","BUD-"&amp;TEXT(COUNTA($C$5:C27),"000"))</f>
        <v/>
      </c>
      <c r="C27" s="12" t="n"/>
      <c r="D27" s="12" t="n"/>
      <c r="E27" s="12" t="n"/>
      <c r="F27" s="15" t="n"/>
      <c r="G27" s="15" t="n"/>
      <c r="H27" s="15">
        <f>IF(F27="","",F27-G27)</f>
        <v/>
      </c>
      <c r="I27" s="27">
        <f>IF(F27="","",IF(F27=0,"",G27/F27))</f>
        <v/>
      </c>
      <c r="J27" s="12" t="n"/>
    </row>
    <row r="28" ht="22" customHeight="1">
      <c r="B28" s="20">
        <f>IF(C28="","BUD-"&amp;TEXT(COUNTA($C$5:C28),"000"))</f>
        <v/>
      </c>
      <c r="C28" s="16" t="n"/>
      <c r="D28" s="16" t="n"/>
      <c r="E28" s="16" t="n"/>
      <c r="F28" s="19" t="n"/>
      <c r="G28" s="19" t="n"/>
      <c r="H28" s="19">
        <f>IF(F28="","",F28-G28)</f>
        <v/>
      </c>
      <c r="I28" s="28">
        <f>IF(F28="","",IF(F28=0,"",G28/F28))</f>
        <v/>
      </c>
      <c r="J28" s="16" t="n"/>
    </row>
    <row r="29" ht="22" customHeight="1">
      <c r="B29" s="21">
        <f>IF(C29="","BUD-"&amp;TEXT(COUNTA($C$5:C29),"000"))</f>
        <v/>
      </c>
      <c r="C29" s="12" t="n"/>
      <c r="D29" s="12" t="n"/>
      <c r="E29" s="12" t="n"/>
      <c r="F29" s="15" t="n"/>
      <c r="G29" s="15" t="n"/>
      <c r="H29" s="15">
        <f>IF(F29="","",F29-G29)</f>
        <v/>
      </c>
      <c r="I29" s="27">
        <f>IF(F29="","",IF(F29=0,"",G29/F29))</f>
        <v/>
      </c>
      <c r="J29" s="12" t="n"/>
    </row>
    <row r="30" ht="22" customHeight="1">
      <c r="B30" s="20">
        <f>IF(C30="","BUD-"&amp;TEXT(COUNTA($C$5:C30),"000"))</f>
        <v/>
      </c>
      <c r="C30" s="16" t="n"/>
      <c r="D30" s="16" t="n"/>
      <c r="E30" s="16" t="n"/>
      <c r="F30" s="19" t="n"/>
      <c r="G30" s="19" t="n"/>
      <c r="H30" s="19">
        <f>IF(F30="","",F30-G30)</f>
        <v/>
      </c>
      <c r="I30" s="28">
        <f>IF(F30="","",IF(F30=0,"",G30/F30))</f>
        <v/>
      </c>
      <c r="J30" s="16" t="n"/>
    </row>
    <row r="31" ht="22" customHeight="1">
      <c r="B31" s="21">
        <f>IF(C31="","BUD-"&amp;TEXT(COUNTA($C$5:C31),"000"))</f>
        <v/>
      </c>
      <c r="C31" s="12" t="n"/>
      <c r="D31" s="12" t="n"/>
      <c r="E31" s="12" t="n"/>
      <c r="F31" s="15" t="n"/>
      <c r="G31" s="15" t="n"/>
      <c r="H31" s="15">
        <f>IF(F31="","",F31-G31)</f>
        <v/>
      </c>
      <c r="I31" s="27">
        <f>IF(F31="","",IF(F31=0,"",G31/F31))</f>
        <v/>
      </c>
      <c r="J31" s="12" t="n"/>
    </row>
    <row r="32" ht="22" customHeight="1">
      <c r="B32" s="20">
        <f>IF(C32="","BUD-"&amp;TEXT(COUNTA($C$5:C32),"000"))</f>
        <v/>
      </c>
      <c r="C32" s="16" t="n"/>
      <c r="D32" s="16" t="n"/>
      <c r="E32" s="16" t="n"/>
      <c r="F32" s="19" t="n"/>
      <c r="G32" s="19" t="n"/>
      <c r="H32" s="19">
        <f>IF(F32="","",F32-G32)</f>
        <v/>
      </c>
      <c r="I32" s="28">
        <f>IF(F32="","",IF(F32=0,"",G32/F32))</f>
        <v/>
      </c>
      <c r="J32" s="16" t="n"/>
    </row>
    <row r="33" ht="22" customHeight="1">
      <c r="B33" s="21">
        <f>IF(C33="","BUD-"&amp;TEXT(COUNTA($C$5:C33),"000"))</f>
        <v/>
      </c>
      <c r="C33" s="12" t="n"/>
      <c r="D33" s="12" t="n"/>
      <c r="E33" s="12" t="n"/>
      <c r="F33" s="15" t="n"/>
      <c r="G33" s="15" t="n"/>
      <c r="H33" s="15">
        <f>IF(F33="","",F33-G33)</f>
        <v/>
      </c>
      <c r="I33" s="27">
        <f>IF(F33="","",IF(F33=0,"",G33/F33))</f>
        <v/>
      </c>
      <c r="J33" s="12" t="n"/>
    </row>
    <row r="34" ht="22" customHeight="1">
      <c r="B34" s="20">
        <f>IF(C34="","BUD-"&amp;TEXT(COUNTA($C$5:C34),"000"))</f>
        <v/>
      </c>
      <c r="C34" s="16" t="n"/>
      <c r="D34" s="16" t="n"/>
      <c r="E34" s="16" t="n"/>
      <c r="F34" s="19" t="n"/>
      <c r="G34" s="19" t="n"/>
      <c r="H34" s="19">
        <f>IF(F34="","",F34-G34)</f>
        <v/>
      </c>
      <c r="I34" s="28">
        <f>IF(F34="","",IF(F34=0,"",G34/F34))</f>
        <v/>
      </c>
      <c r="J34" s="16" t="n"/>
    </row>
    <row r="35" ht="22" customHeight="1">
      <c r="B35" s="21">
        <f>IF(C35="","BUD-"&amp;TEXT(COUNTA($C$5:C35),"000"))</f>
        <v/>
      </c>
      <c r="C35" s="12" t="n"/>
      <c r="D35" s="12" t="n"/>
      <c r="E35" s="12" t="n"/>
      <c r="F35" s="15" t="n"/>
      <c r="G35" s="15" t="n"/>
      <c r="H35" s="15">
        <f>IF(F35="","",F35-G35)</f>
        <v/>
      </c>
      <c r="I35" s="27">
        <f>IF(F35="","",IF(F35=0,"",G35/F35))</f>
        <v/>
      </c>
      <c r="J35" s="12" t="n"/>
    </row>
    <row r="36" ht="22" customHeight="1">
      <c r="B36" s="20">
        <f>IF(C36="","BUD-"&amp;TEXT(COUNTA($C$5:C36),"000"))</f>
        <v/>
      </c>
      <c r="C36" s="16" t="n"/>
      <c r="D36" s="16" t="n"/>
      <c r="E36" s="16" t="n"/>
      <c r="F36" s="19" t="n"/>
      <c r="G36" s="19" t="n"/>
      <c r="H36" s="19">
        <f>IF(F36="","",F36-G36)</f>
        <v/>
      </c>
      <c r="I36" s="28">
        <f>IF(F36="","",IF(F36=0,"",G36/F36))</f>
        <v/>
      </c>
      <c r="J36" s="16" t="n"/>
    </row>
    <row r="37" ht="22" customHeight="1">
      <c r="B37" s="21">
        <f>IF(C37="","BUD-"&amp;TEXT(COUNTA($C$5:C37),"000"))</f>
        <v/>
      </c>
      <c r="C37" s="12" t="n"/>
      <c r="D37" s="12" t="n"/>
      <c r="E37" s="12" t="n"/>
      <c r="F37" s="15" t="n"/>
      <c r="G37" s="15" t="n"/>
      <c r="H37" s="15">
        <f>IF(F37="","",F37-G37)</f>
        <v/>
      </c>
      <c r="I37" s="27">
        <f>IF(F37="","",IF(F37=0,"",G37/F37))</f>
        <v/>
      </c>
      <c r="J37" s="12" t="n"/>
    </row>
    <row r="38" ht="22" customHeight="1">
      <c r="B38" s="20">
        <f>IF(C38="","BUD-"&amp;TEXT(COUNTA($C$5:C38),"000"))</f>
        <v/>
      </c>
      <c r="C38" s="16" t="n"/>
      <c r="D38" s="16" t="n"/>
      <c r="E38" s="16" t="n"/>
      <c r="F38" s="19" t="n"/>
      <c r="G38" s="19" t="n"/>
      <c r="H38" s="19">
        <f>IF(F38="","",F38-G38)</f>
        <v/>
      </c>
      <c r="I38" s="28">
        <f>IF(F38="","",IF(F38=0,"",G38/F38))</f>
        <v/>
      </c>
      <c r="J38" s="16" t="n"/>
    </row>
    <row r="39" ht="22" customHeight="1">
      <c r="B39" s="21">
        <f>IF(C39="","BUD-"&amp;TEXT(COUNTA($C$5:C39),"000"))</f>
        <v/>
      </c>
      <c r="C39" s="12" t="n"/>
      <c r="D39" s="12" t="n"/>
      <c r="E39" s="12" t="n"/>
      <c r="F39" s="15" t="n"/>
      <c r="G39" s="15" t="n"/>
      <c r="H39" s="15">
        <f>IF(F39="","",F39-G39)</f>
        <v/>
      </c>
      <c r="I39" s="27">
        <f>IF(F39="","",IF(F39=0,"",G39/F39))</f>
        <v/>
      </c>
      <c r="J39" s="12" t="n"/>
    </row>
    <row r="40" ht="22" customHeight="1">
      <c r="B40" s="20">
        <f>IF(C40="","BUD-"&amp;TEXT(COUNTA($C$5:C40),"000"))</f>
        <v/>
      </c>
      <c r="C40" s="16" t="n"/>
      <c r="D40" s="16" t="n"/>
      <c r="E40" s="16" t="n"/>
      <c r="F40" s="19" t="n"/>
      <c r="G40" s="19" t="n"/>
      <c r="H40" s="19">
        <f>IF(F40="","",F40-G40)</f>
        <v/>
      </c>
      <c r="I40" s="28">
        <f>IF(F40="","",IF(F40=0,"",G40/F40))</f>
        <v/>
      </c>
      <c r="J40" s="16" t="n"/>
    </row>
    <row r="41" ht="22" customHeight="1">
      <c r="B41" s="21">
        <f>IF(C41="","BUD-"&amp;TEXT(COUNTA($C$5:C41),"000"))</f>
        <v/>
      </c>
      <c r="C41" s="12" t="n"/>
      <c r="D41" s="12" t="n"/>
      <c r="E41" s="12" t="n"/>
      <c r="F41" s="15" t="n"/>
      <c r="G41" s="15" t="n"/>
      <c r="H41" s="15">
        <f>IF(F41="","",F41-G41)</f>
        <v/>
      </c>
      <c r="I41" s="27">
        <f>IF(F41="","",IF(F41=0,"",G41/F41))</f>
        <v/>
      </c>
      <c r="J41" s="12" t="n"/>
    </row>
    <row r="42" ht="22" customHeight="1">
      <c r="B42" s="20">
        <f>IF(C42="","BUD-"&amp;TEXT(COUNTA($C$5:C42),"000"))</f>
        <v/>
      </c>
      <c r="C42" s="16" t="n"/>
      <c r="D42" s="16" t="n"/>
      <c r="E42" s="16" t="n"/>
      <c r="F42" s="19" t="n"/>
      <c r="G42" s="19" t="n"/>
      <c r="H42" s="19">
        <f>IF(F42="","",F42-G42)</f>
        <v/>
      </c>
      <c r="I42" s="28">
        <f>IF(F42="","",IF(F42=0,"",G42/F42))</f>
        <v/>
      </c>
      <c r="J42" s="16" t="n"/>
    </row>
    <row r="43" ht="22" customHeight="1">
      <c r="B43" s="21">
        <f>IF(C43="","BUD-"&amp;TEXT(COUNTA($C$5:C43),"000"))</f>
        <v/>
      </c>
      <c r="C43" s="12" t="n"/>
      <c r="D43" s="12" t="n"/>
      <c r="E43" s="12" t="n"/>
      <c r="F43" s="15" t="n"/>
      <c r="G43" s="15" t="n"/>
      <c r="H43" s="15">
        <f>IF(F43="","",F43-G43)</f>
        <v/>
      </c>
      <c r="I43" s="27">
        <f>IF(F43="","",IF(F43=0,"",G43/F43))</f>
        <v/>
      </c>
      <c r="J43" s="12" t="n"/>
    </row>
    <row r="44" ht="22" customHeight="1">
      <c r="B44" s="20">
        <f>IF(C44="","BUD-"&amp;TEXT(COUNTA($C$5:C44),"000"))</f>
        <v/>
      </c>
      <c r="C44" s="16" t="n"/>
      <c r="D44" s="16" t="n"/>
      <c r="E44" s="16" t="n"/>
      <c r="F44" s="19" t="n"/>
      <c r="G44" s="19" t="n"/>
      <c r="H44" s="19">
        <f>IF(F44="","",F44-G44)</f>
        <v/>
      </c>
      <c r="I44" s="28">
        <f>IF(F44="","",IF(F44=0,"",G44/F44))</f>
        <v/>
      </c>
      <c r="J44" s="16" t="n"/>
    </row>
    <row r="45" ht="22" customHeight="1">
      <c r="B45" s="21">
        <f>IF(C45="","BUD-"&amp;TEXT(COUNTA($C$5:C45),"000"))</f>
        <v/>
      </c>
      <c r="C45" s="12" t="n"/>
      <c r="D45" s="12" t="n"/>
      <c r="E45" s="12" t="n"/>
      <c r="F45" s="15" t="n"/>
      <c r="G45" s="15" t="n"/>
      <c r="H45" s="15">
        <f>IF(F45="","",F45-G45)</f>
        <v/>
      </c>
      <c r="I45" s="27">
        <f>IF(F45="","",IF(F45=0,"",G45/F45))</f>
        <v/>
      </c>
      <c r="J45" s="12" t="n"/>
    </row>
    <row r="46" ht="22" customHeight="1">
      <c r="B46" s="20">
        <f>IF(C46="","BUD-"&amp;TEXT(COUNTA($C$5:C46),"000"))</f>
        <v/>
      </c>
      <c r="C46" s="16" t="n"/>
      <c r="D46" s="16" t="n"/>
      <c r="E46" s="16" t="n"/>
      <c r="F46" s="19" t="n"/>
      <c r="G46" s="19" t="n"/>
      <c r="H46" s="19">
        <f>IF(F46="","",F46-G46)</f>
        <v/>
      </c>
      <c r="I46" s="28">
        <f>IF(F46="","",IF(F46=0,"",G46/F46))</f>
        <v/>
      </c>
      <c r="J46" s="16" t="n"/>
    </row>
    <row r="47" ht="22" customHeight="1">
      <c r="B47" s="21">
        <f>IF(C47="","BUD-"&amp;TEXT(COUNTA($C$5:C47),"000"))</f>
        <v/>
      </c>
      <c r="C47" s="12" t="n"/>
      <c r="D47" s="12" t="n"/>
      <c r="E47" s="12" t="n"/>
      <c r="F47" s="15" t="n"/>
      <c r="G47" s="15" t="n"/>
      <c r="H47" s="15">
        <f>IF(F47="","",F47-G47)</f>
        <v/>
      </c>
      <c r="I47" s="27">
        <f>IF(F47="","",IF(F47=0,"",G47/F47))</f>
        <v/>
      </c>
      <c r="J47" s="12" t="n"/>
    </row>
    <row r="48" ht="22" customHeight="1">
      <c r="B48" s="20">
        <f>IF(C48="","BUD-"&amp;TEXT(COUNTA($C$5:C48),"000"))</f>
        <v/>
      </c>
      <c r="C48" s="16" t="n"/>
      <c r="D48" s="16" t="n"/>
      <c r="E48" s="16" t="n"/>
      <c r="F48" s="19" t="n"/>
      <c r="G48" s="19" t="n"/>
      <c r="H48" s="19">
        <f>IF(F48="","",F48-G48)</f>
        <v/>
      </c>
      <c r="I48" s="28">
        <f>IF(F48="","",IF(F48=0,"",G48/F48))</f>
        <v/>
      </c>
      <c r="J48" s="16" t="n"/>
    </row>
    <row r="49" ht="22" customHeight="1">
      <c r="B49" s="21">
        <f>IF(C49="","BUD-"&amp;TEXT(COUNTA($C$5:C49),"000"))</f>
        <v/>
      </c>
      <c r="C49" s="12" t="n"/>
      <c r="D49" s="12" t="n"/>
      <c r="E49" s="12" t="n"/>
      <c r="F49" s="15" t="n"/>
      <c r="G49" s="15" t="n"/>
      <c r="H49" s="15">
        <f>IF(F49="","",F49-G49)</f>
        <v/>
      </c>
      <c r="I49" s="27">
        <f>IF(F49="","",IF(F49=0,"",G49/F49))</f>
        <v/>
      </c>
      <c r="J49" s="12" t="n"/>
    </row>
    <row r="50" ht="22" customHeight="1">
      <c r="B50" s="20">
        <f>IF(C50="","BUD-"&amp;TEXT(COUNTA($C$5:C50),"000"))</f>
        <v/>
      </c>
      <c r="C50" s="16" t="n"/>
      <c r="D50" s="16" t="n"/>
      <c r="E50" s="16" t="n"/>
      <c r="F50" s="19" t="n"/>
      <c r="G50" s="19" t="n"/>
      <c r="H50" s="19">
        <f>IF(F50="","",F50-G50)</f>
        <v/>
      </c>
      <c r="I50" s="28">
        <f>IF(F50="","",IF(F50=0,"",G50/F50))</f>
        <v/>
      </c>
      <c r="J50" s="16" t="n"/>
    </row>
    <row r="51" ht="22" customHeight="1">
      <c r="B51" s="21">
        <f>IF(C51="","BUD-"&amp;TEXT(COUNTA($C$5:C51),"000"))</f>
        <v/>
      </c>
      <c r="C51" s="12" t="n"/>
      <c r="D51" s="12" t="n"/>
      <c r="E51" s="12" t="n"/>
      <c r="F51" s="15" t="n"/>
      <c r="G51" s="15" t="n"/>
      <c r="H51" s="15">
        <f>IF(F51="","",F51-G51)</f>
        <v/>
      </c>
      <c r="I51" s="27">
        <f>IF(F51="","",IF(F51=0,"",G51/F51))</f>
        <v/>
      </c>
      <c r="J51" s="12" t="n"/>
    </row>
    <row r="52" ht="22" customHeight="1">
      <c r="B52" s="20">
        <f>IF(C52="","BUD-"&amp;TEXT(COUNTA($C$5:C52),"000"))</f>
        <v/>
      </c>
      <c r="C52" s="16" t="n"/>
      <c r="D52" s="16" t="n"/>
      <c r="E52" s="16" t="n"/>
      <c r="F52" s="19" t="n"/>
      <c r="G52" s="19" t="n"/>
      <c r="H52" s="19">
        <f>IF(F52="","",F52-G52)</f>
        <v/>
      </c>
      <c r="I52" s="28">
        <f>IF(F52="","",IF(F52=0,"",G52/F52))</f>
        <v/>
      </c>
      <c r="J52" s="16" t="n"/>
    </row>
    <row r="53" ht="22" customHeight="1">
      <c r="B53" s="21">
        <f>IF(C53="","BUD-"&amp;TEXT(COUNTA($C$5:C53),"000"))</f>
        <v/>
      </c>
      <c r="C53" s="12" t="n"/>
      <c r="D53" s="12" t="n"/>
      <c r="E53" s="12" t="n"/>
      <c r="F53" s="15" t="n"/>
      <c r="G53" s="15" t="n"/>
      <c r="H53" s="15">
        <f>IF(F53="","",F53-G53)</f>
        <v/>
      </c>
      <c r="I53" s="27">
        <f>IF(F53="","",IF(F53=0,"",G53/F53))</f>
        <v/>
      </c>
      <c r="J53" s="12" t="n"/>
    </row>
    <row r="54" ht="22" customHeight="1">
      <c r="B54" s="20">
        <f>IF(C54="","BUD-"&amp;TEXT(COUNTA($C$5:C54),"000"))</f>
        <v/>
      </c>
      <c r="C54" s="16" t="n"/>
      <c r="D54" s="16" t="n"/>
      <c r="E54" s="16" t="n"/>
      <c r="F54" s="19" t="n"/>
      <c r="G54" s="19" t="n"/>
      <c r="H54" s="19">
        <f>IF(F54="","",F54-G54)</f>
        <v/>
      </c>
      <c r="I54" s="28">
        <f>IF(F54="","",IF(F54=0,"",G54/F54))</f>
        <v/>
      </c>
      <c r="J54" s="16" t="n"/>
    </row>
    <row r="55" ht="22" customHeight="1">
      <c r="B55" s="21">
        <f>IF(C55="","BUD-"&amp;TEXT(COUNTA($C$5:C55),"000"))</f>
        <v/>
      </c>
      <c r="C55" s="12" t="n"/>
      <c r="D55" s="12" t="n"/>
      <c r="E55" s="12" t="n"/>
      <c r="F55" s="15" t="n"/>
      <c r="G55" s="15" t="n"/>
      <c r="H55" s="15">
        <f>IF(F55="","",F55-G55)</f>
        <v/>
      </c>
      <c r="I55" s="27">
        <f>IF(F55="","",IF(F55=0,"",G55/F55))</f>
        <v/>
      </c>
      <c r="J55" s="12" t="n"/>
    </row>
    <row r="56" ht="22" customHeight="1">
      <c r="B56" s="20">
        <f>IF(C56="","BUD-"&amp;TEXT(COUNTA($C$5:C56),"000"))</f>
        <v/>
      </c>
      <c r="C56" s="16" t="n"/>
      <c r="D56" s="16" t="n"/>
      <c r="E56" s="16" t="n"/>
      <c r="F56" s="19" t="n"/>
      <c r="G56" s="19" t="n"/>
      <c r="H56" s="19">
        <f>IF(F56="","",F56-G56)</f>
        <v/>
      </c>
      <c r="I56" s="28">
        <f>IF(F56="","",IF(F56=0,"",G56/F56))</f>
        <v/>
      </c>
      <c r="J56" s="16" t="n"/>
    </row>
    <row r="57" ht="22" customHeight="1">
      <c r="B57" s="21">
        <f>IF(C57="","BUD-"&amp;TEXT(COUNTA($C$5:C57),"000"))</f>
        <v/>
      </c>
      <c r="C57" s="12" t="n"/>
      <c r="D57" s="12" t="n"/>
      <c r="E57" s="12" t="n"/>
      <c r="F57" s="15" t="n"/>
      <c r="G57" s="15" t="n"/>
      <c r="H57" s="15">
        <f>IF(F57="","",F57-G57)</f>
        <v/>
      </c>
      <c r="I57" s="27">
        <f>IF(F57="","",IF(F57=0,"",G57/F57))</f>
        <v/>
      </c>
      <c r="J57" s="12" t="n"/>
    </row>
    <row r="58" ht="22" customHeight="1">
      <c r="B58" s="20">
        <f>IF(C58="","BUD-"&amp;TEXT(COUNTA($C$5:C58),"000"))</f>
        <v/>
      </c>
      <c r="C58" s="16" t="n"/>
      <c r="D58" s="16" t="n"/>
      <c r="E58" s="16" t="n"/>
      <c r="F58" s="19" t="n"/>
      <c r="G58" s="19" t="n"/>
      <c r="H58" s="19">
        <f>IF(F58="","",F58-G58)</f>
        <v/>
      </c>
      <c r="I58" s="28">
        <f>IF(F58="","",IF(F58=0,"",G58/F58))</f>
        <v/>
      </c>
      <c r="J58" s="16" t="n"/>
    </row>
    <row r="59" ht="22" customHeight="1">
      <c r="B59" s="21">
        <f>IF(C59="","BUD-"&amp;TEXT(COUNTA($C$5:C59),"000"))</f>
        <v/>
      </c>
      <c r="C59" s="12" t="n"/>
      <c r="D59" s="12" t="n"/>
      <c r="E59" s="12" t="n"/>
      <c r="F59" s="15" t="n"/>
      <c r="G59" s="15" t="n"/>
      <c r="H59" s="15">
        <f>IF(F59="","",F59-G59)</f>
        <v/>
      </c>
      <c r="I59" s="27">
        <f>IF(F59="","",IF(F59=0,"",G59/F59))</f>
        <v/>
      </c>
      <c r="J59" s="12" t="n"/>
    </row>
    <row r="60" ht="22" customHeight="1">
      <c r="B60" s="20">
        <f>IF(C60="","BUD-"&amp;TEXT(COUNTA($C$5:C60),"000"))</f>
        <v/>
      </c>
      <c r="C60" s="16" t="n"/>
      <c r="D60" s="16" t="n"/>
      <c r="E60" s="16" t="n"/>
      <c r="F60" s="19" t="n"/>
      <c r="G60" s="19" t="n"/>
      <c r="H60" s="19">
        <f>IF(F60="","",F60-G60)</f>
        <v/>
      </c>
      <c r="I60" s="28">
        <f>IF(F60="","",IF(F60=0,"",G60/F60))</f>
        <v/>
      </c>
      <c r="J60" s="16" t="n"/>
    </row>
    <row r="61" ht="22" customHeight="1">
      <c r="B61" s="21">
        <f>IF(C61="","BUD-"&amp;TEXT(COUNTA($C$5:C61),"000"))</f>
        <v/>
      </c>
      <c r="C61" s="12" t="n"/>
      <c r="D61" s="12" t="n"/>
      <c r="E61" s="12" t="n"/>
      <c r="F61" s="15" t="n"/>
      <c r="G61" s="15" t="n"/>
      <c r="H61" s="15">
        <f>IF(F61="","",F61-G61)</f>
        <v/>
      </c>
      <c r="I61" s="27">
        <f>IF(F61="","",IF(F61=0,"",G61/F61))</f>
        <v/>
      </c>
      <c r="J61" s="12" t="n"/>
    </row>
    <row r="62" ht="22" customHeight="1">
      <c r="B62" s="20">
        <f>IF(C62="","BUD-"&amp;TEXT(COUNTA($C$5:C62),"000"))</f>
        <v/>
      </c>
      <c r="C62" s="16" t="n"/>
      <c r="D62" s="16" t="n"/>
      <c r="E62" s="16" t="n"/>
      <c r="F62" s="19" t="n"/>
      <c r="G62" s="19" t="n"/>
      <c r="H62" s="19">
        <f>IF(F62="","",F62-G62)</f>
        <v/>
      </c>
      <c r="I62" s="28">
        <f>IF(F62="","",IF(F62=0,"",G62/F62))</f>
        <v/>
      </c>
      <c r="J62" s="16" t="n"/>
    </row>
    <row r="63" ht="22" customHeight="1">
      <c r="B63" s="21">
        <f>IF(C63="","BUD-"&amp;TEXT(COUNTA($C$5:C63),"000"))</f>
        <v/>
      </c>
      <c r="C63" s="12" t="n"/>
      <c r="D63" s="12" t="n"/>
      <c r="E63" s="12" t="n"/>
      <c r="F63" s="15" t="n"/>
      <c r="G63" s="15" t="n"/>
      <c r="H63" s="15">
        <f>IF(F63="","",F63-G63)</f>
        <v/>
      </c>
      <c r="I63" s="27">
        <f>IF(F63="","",IF(F63=0,"",G63/F63))</f>
        <v/>
      </c>
      <c r="J63" s="12" t="n"/>
    </row>
    <row r="64" ht="22" customHeight="1">
      <c r="B64" s="20">
        <f>IF(C64="","BUD-"&amp;TEXT(COUNTA($C$5:C64),"000"))</f>
        <v/>
      </c>
      <c r="C64" s="16" t="n"/>
      <c r="D64" s="16" t="n"/>
      <c r="E64" s="16" t="n"/>
      <c r="F64" s="19" t="n"/>
      <c r="G64" s="19" t="n"/>
      <c r="H64" s="19">
        <f>IF(F64="","",F64-G64)</f>
        <v/>
      </c>
      <c r="I64" s="28">
        <f>IF(F64="","",IF(F64=0,"",G64/F64))</f>
        <v/>
      </c>
      <c r="J64" s="16" t="n"/>
    </row>
    <row r="65" ht="22" customHeight="1">
      <c r="B65" s="21">
        <f>IF(C65="","BUD-"&amp;TEXT(COUNTA($C$5:C65),"000"))</f>
        <v/>
      </c>
      <c r="C65" s="12" t="n"/>
      <c r="D65" s="12" t="n"/>
      <c r="E65" s="12" t="n"/>
      <c r="F65" s="15" t="n"/>
      <c r="G65" s="15" t="n"/>
      <c r="H65" s="15">
        <f>IF(F65="","",F65-G65)</f>
        <v/>
      </c>
      <c r="I65" s="27">
        <f>IF(F65="","",IF(F65=0,"",G65/F65))</f>
        <v/>
      </c>
      <c r="J65" s="12" t="n"/>
    </row>
    <row r="66" ht="22" customHeight="1">
      <c r="B66" s="20">
        <f>IF(C66="","BUD-"&amp;TEXT(COUNTA($C$5:C66),"000"))</f>
        <v/>
      </c>
      <c r="C66" s="16" t="n"/>
      <c r="D66" s="16" t="n"/>
      <c r="E66" s="16" t="n"/>
      <c r="F66" s="19" t="n"/>
      <c r="G66" s="19" t="n"/>
      <c r="H66" s="19">
        <f>IF(F66="","",F66-G66)</f>
        <v/>
      </c>
      <c r="I66" s="28">
        <f>IF(F66="","",IF(F66=0,"",G66/F66))</f>
        <v/>
      </c>
      <c r="J66" s="16" t="n"/>
    </row>
    <row r="67" ht="22" customHeight="1">
      <c r="B67" s="21">
        <f>IF(C67="","BUD-"&amp;TEXT(COUNTA($C$5:C67),"000"))</f>
        <v/>
      </c>
      <c r="C67" s="12" t="n"/>
      <c r="D67" s="12" t="n"/>
      <c r="E67" s="12" t="n"/>
      <c r="F67" s="15" t="n"/>
      <c r="G67" s="15" t="n"/>
      <c r="H67" s="15">
        <f>IF(F67="","",F67-G67)</f>
        <v/>
      </c>
      <c r="I67" s="27">
        <f>IF(F67="","",IF(F67=0,"",G67/F67))</f>
        <v/>
      </c>
      <c r="J67" s="12" t="n"/>
    </row>
    <row r="68" ht="22" customHeight="1">
      <c r="B68" s="20">
        <f>IF(C68="","BUD-"&amp;TEXT(COUNTA($C$5:C68),"000"))</f>
        <v/>
      </c>
      <c r="C68" s="16" t="n"/>
      <c r="D68" s="16" t="n"/>
      <c r="E68" s="16" t="n"/>
      <c r="F68" s="19" t="n"/>
      <c r="G68" s="19" t="n"/>
      <c r="H68" s="19">
        <f>IF(F68="","",F68-G68)</f>
        <v/>
      </c>
      <c r="I68" s="28">
        <f>IF(F68="","",IF(F68=0,"",G68/F68))</f>
        <v/>
      </c>
      <c r="J68" s="16" t="n"/>
    </row>
    <row r="69" ht="22" customHeight="1">
      <c r="B69" s="21">
        <f>IF(C69="","BUD-"&amp;TEXT(COUNTA($C$5:C69),"000"))</f>
        <v/>
      </c>
      <c r="C69" s="12" t="n"/>
      <c r="D69" s="12" t="n"/>
      <c r="E69" s="12" t="n"/>
      <c r="F69" s="15" t="n"/>
      <c r="G69" s="15" t="n"/>
      <c r="H69" s="15">
        <f>IF(F69="","",F69-G69)</f>
        <v/>
      </c>
      <c r="I69" s="27">
        <f>IF(F69="","",IF(F69=0,"",G69/F69))</f>
        <v/>
      </c>
      <c r="J69" s="12" t="n"/>
    </row>
    <row r="70" ht="22" customHeight="1">
      <c r="B70" s="20">
        <f>IF(C70="","BUD-"&amp;TEXT(COUNTA($C$5:C70),"000"))</f>
        <v/>
      </c>
      <c r="C70" s="16" t="n"/>
      <c r="D70" s="16" t="n"/>
      <c r="E70" s="16" t="n"/>
      <c r="F70" s="19" t="n"/>
      <c r="G70" s="19" t="n"/>
      <c r="H70" s="19">
        <f>IF(F70="","",F70-G70)</f>
        <v/>
      </c>
      <c r="I70" s="28">
        <f>IF(F70="","",IF(F70=0,"",G70/F70))</f>
        <v/>
      </c>
      <c r="J70" s="16" t="n"/>
    </row>
    <row r="71" ht="22" customHeight="1">
      <c r="B71" s="21">
        <f>IF(C71="","BUD-"&amp;TEXT(COUNTA($C$5:C71),"000"))</f>
        <v/>
      </c>
      <c r="C71" s="12" t="n"/>
      <c r="D71" s="12" t="n"/>
      <c r="E71" s="12" t="n"/>
      <c r="F71" s="15" t="n"/>
      <c r="G71" s="15" t="n"/>
      <c r="H71" s="15">
        <f>IF(F71="","",F71-G71)</f>
        <v/>
      </c>
      <c r="I71" s="27">
        <f>IF(F71="","",IF(F71=0,"",G71/F71))</f>
        <v/>
      </c>
      <c r="J71" s="12" t="n"/>
    </row>
    <row r="72" ht="22" customHeight="1">
      <c r="B72" s="20">
        <f>IF(C72="","BUD-"&amp;TEXT(COUNTA($C$5:C72),"000"))</f>
        <v/>
      </c>
      <c r="C72" s="16" t="n"/>
      <c r="D72" s="16" t="n"/>
      <c r="E72" s="16" t="n"/>
      <c r="F72" s="19" t="n"/>
      <c r="G72" s="19" t="n"/>
      <c r="H72" s="19">
        <f>IF(F72="","",F72-G72)</f>
        <v/>
      </c>
      <c r="I72" s="28">
        <f>IF(F72="","",IF(F72=0,"",G72/F72))</f>
        <v/>
      </c>
      <c r="J72" s="16" t="n"/>
    </row>
    <row r="73" ht="22" customHeight="1">
      <c r="B73" s="21">
        <f>IF(C73="","BUD-"&amp;TEXT(COUNTA($C$5:C73),"000"))</f>
        <v/>
      </c>
      <c r="C73" s="12" t="n"/>
      <c r="D73" s="12" t="n"/>
      <c r="E73" s="12" t="n"/>
      <c r="F73" s="15" t="n"/>
      <c r="G73" s="15" t="n"/>
      <c r="H73" s="15">
        <f>IF(F73="","",F73-G73)</f>
        <v/>
      </c>
      <c r="I73" s="27">
        <f>IF(F73="","",IF(F73=0,"",G73/F73))</f>
        <v/>
      </c>
      <c r="J73" s="12" t="n"/>
    </row>
    <row r="74" ht="22" customHeight="1">
      <c r="B74" s="20">
        <f>IF(C74="","BUD-"&amp;TEXT(COUNTA($C$5:C74),"000"))</f>
        <v/>
      </c>
      <c r="C74" s="16" t="n"/>
      <c r="D74" s="16" t="n"/>
      <c r="E74" s="16" t="n"/>
      <c r="F74" s="19" t="n"/>
      <c r="G74" s="19" t="n"/>
      <c r="H74" s="19">
        <f>IF(F74="","",F74-G74)</f>
        <v/>
      </c>
      <c r="I74" s="28">
        <f>IF(F74="","",IF(F74=0,"",G74/F74))</f>
        <v/>
      </c>
      <c r="J74" s="16" t="n"/>
    </row>
    <row r="75" ht="22" customHeight="1">
      <c r="B75" s="21">
        <f>IF(C75="","BUD-"&amp;TEXT(COUNTA($C$5:C75),"000"))</f>
        <v/>
      </c>
      <c r="C75" s="12" t="n"/>
      <c r="D75" s="12" t="n"/>
      <c r="E75" s="12" t="n"/>
      <c r="F75" s="15" t="n"/>
      <c r="G75" s="15" t="n"/>
      <c r="H75" s="15">
        <f>IF(F75="","",F75-G75)</f>
        <v/>
      </c>
      <c r="I75" s="27">
        <f>IF(F75="","",IF(F75=0,"",G75/F75))</f>
        <v/>
      </c>
      <c r="J75" s="12" t="n"/>
    </row>
    <row r="76" ht="22" customHeight="1">
      <c r="B76" s="20">
        <f>IF(C76="","BUD-"&amp;TEXT(COUNTA($C$5:C76),"000"))</f>
        <v/>
      </c>
      <c r="C76" s="16" t="n"/>
      <c r="D76" s="16" t="n"/>
      <c r="E76" s="16" t="n"/>
      <c r="F76" s="19" t="n"/>
      <c r="G76" s="19" t="n"/>
      <c r="H76" s="19">
        <f>IF(F76="","",F76-G76)</f>
        <v/>
      </c>
      <c r="I76" s="28">
        <f>IF(F76="","",IF(F76=0,"",G76/F76))</f>
        <v/>
      </c>
      <c r="J76" s="16" t="n"/>
    </row>
    <row r="77" ht="22" customHeight="1">
      <c r="B77" s="21">
        <f>IF(C77="","BUD-"&amp;TEXT(COUNTA($C$5:C77),"000"))</f>
        <v/>
      </c>
      <c r="C77" s="12" t="n"/>
      <c r="D77" s="12" t="n"/>
      <c r="E77" s="12" t="n"/>
      <c r="F77" s="15" t="n"/>
      <c r="G77" s="15" t="n"/>
      <c r="H77" s="15">
        <f>IF(F77="","",F77-G77)</f>
        <v/>
      </c>
      <c r="I77" s="27">
        <f>IF(F77="","",IF(F77=0,"",G77/F77))</f>
        <v/>
      </c>
      <c r="J77" s="12" t="n"/>
    </row>
    <row r="78" ht="22" customHeight="1">
      <c r="B78" s="20">
        <f>IF(C78="","BUD-"&amp;TEXT(COUNTA($C$5:C78),"000"))</f>
        <v/>
      </c>
      <c r="C78" s="16" t="n"/>
      <c r="D78" s="16" t="n"/>
      <c r="E78" s="16" t="n"/>
      <c r="F78" s="19" t="n"/>
      <c r="G78" s="19" t="n"/>
      <c r="H78" s="19">
        <f>IF(F78="","",F78-G78)</f>
        <v/>
      </c>
      <c r="I78" s="28">
        <f>IF(F78="","",IF(F78=0,"",G78/F78))</f>
        <v/>
      </c>
      <c r="J78" s="16" t="n"/>
    </row>
    <row r="79" ht="22" customHeight="1">
      <c r="B79" s="21">
        <f>IF(C79="","BUD-"&amp;TEXT(COUNTA($C$5:C79),"000"))</f>
        <v/>
      </c>
      <c r="C79" s="12" t="n"/>
      <c r="D79" s="12" t="n"/>
      <c r="E79" s="12" t="n"/>
      <c r="F79" s="15" t="n"/>
      <c r="G79" s="15" t="n"/>
      <c r="H79" s="15">
        <f>IF(F79="","",F79-G79)</f>
        <v/>
      </c>
      <c r="I79" s="27">
        <f>IF(F79="","",IF(F79=0,"",G79/F79))</f>
        <v/>
      </c>
      <c r="J79" s="12" t="n"/>
    </row>
    <row r="80" ht="22" customHeight="1">
      <c r="B80" s="20">
        <f>IF(C80="","BUD-"&amp;TEXT(COUNTA($C$5:C80),"000"))</f>
        <v/>
      </c>
      <c r="C80" s="16" t="n"/>
      <c r="D80" s="16" t="n"/>
      <c r="E80" s="16" t="n"/>
      <c r="F80" s="19" t="n"/>
      <c r="G80" s="19" t="n"/>
      <c r="H80" s="19">
        <f>IF(F80="","",F80-G80)</f>
        <v/>
      </c>
      <c r="I80" s="28">
        <f>IF(F80="","",IF(F80=0,"",G80/F80))</f>
        <v/>
      </c>
      <c r="J80" s="16" t="n"/>
    </row>
    <row r="81" ht="22" customHeight="1">
      <c r="B81" s="21">
        <f>IF(C81="","BUD-"&amp;TEXT(COUNTA($C$5:C81),"000"))</f>
        <v/>
      </c>
      <c r="C81" s="12" t="n"/>
      <c r="D81" s="12" t="n"/>
      <c r="E81" s="12" t="n"/>
      <c r="F81" s="15" t="n"/>
      <c r="G81" s="15" t="n"/>
      <c r="H81" s="15">
        <f>IF(F81="","",F81-G81)</f>
        <v/>
      </c>
      <c r="I81" s="27">
        <f>IF(F81="","",IF(F81=0,"",G81/F81))</f>
        <v/>
      </c>
      <c r="J81" s="12" t="n"/>
    </row>
    <row r="82" ht="22" customHeight="1">
      <c r="B82" s="20">
        <f>IF(C82="","BUD-"&amp;TEXT(COUNTA($C$5:C82),"000"))</f>
        <v/>
      </c>
      <c r="C82" s="16" t="n"/>
      <c r="D82" s="16" t="n"/>
      <c r="E82" s="16" t="n"/>
      <c r="F82" s="19" t="n"/>
      <c r="G82" s="19" t="n"/>
      <c r="H82" s="19">
        <f>IF(F82="","",F82-G82)</f>
        <v/>
      </c>
      <c r="I82" s="28">
        <f>IF(F82="","",IF(F82=0,"",G82/F82))</f>
        <v/>
      </c>
      <c r="J82" s="16" t="n"/>
    </row>
    <row r="83" ht="22" customHeight="1">
      <c r="B83" s="21">
        <f>IF(C83="","BUD-"&amp;TEXT(COUNTA($C$5:C83),"000"))</f>
        <v/>
      </c>
      <c r="C83" s="12" t="n"/>
      <c r="D83" s="12" t="n"/>
      <c r="E83" s="12" t="n"/>
      <c r="F83" s="15" t="n"/>
      <c r="G83" s="15" t="n"/>
      <c r="H83" s="15">
        <f>IF(F83="","",F83-G83)</f>
        <v/>
      </c>
      <c r="I83" s="27">
        <f>IF(F83="","",IF(F83=0,"",G83/F83))</f>
        <v/>
      </c>
      <c r="J83" s="12" t="n"/>
    </row>
    <row r="84" ht="22" customHeight="1">
      <c r="B84" s="20">
        <f>IF(C84="","BUD-"&amp;TEXT(COUNTA($C$5:C84),"000"))</f>
        <v/>
      </c>
      <c r="C84" s="16" t="n"/>
      <c r="D84" s="16" t="n"/>
      <c r="E84" s="16" t="n"/>
      <c r="F84" s="19" t="n"/>
      <c r="G84" s="19" t="n"/>
      <c r="H84" s="19">
        <f>IF(F84="","",F84-G84)</f>
        <v/>
      </c>
      <c r="I84" s="28">
        <f>IF(F84="","",IF(F84=0,"",G84/F84))</f>
        <v/>
      </c>
      <c r="J84" s="16" t="n"/>
    </row>
    <row r="85" ht="22" customHeight="1">
      <c r="B85" s="21">
        <f>IF(C85="","BUD-"&amp;TEXT(COUNTA($C$5:C85),"000"))</f>
        <v/>
      </c>
      <c r="C85" s="12" t="n"/>
      <c r="D85" s="12" t="n"/>
      <c r="E85" s="12" t="n"/>
      <c r="F85" s="15" t="n"/>
      <c r="G85" s="15" t="n"/>
      <c r="H85" s="15">
        <f>IF(F85="","",F85-G85)</f>
        <v/>
      </c>
      <c r="I85" s="27">
        <f>IF(F85="","",IF(F85=0,"",G85/F85))</f>
        <v/>
      </c>
      <c r="J85" s="12" t="n"/>
    </row>
    <row r="86" ht="22" customHeight="1">
      <c r="B86" s="20">
        <f>IF(C86="","BUD-"&amp;TEXT(COUNTA($C$5:C86),"000"))</f>
        <v/>
      </c>
      <c r="C86" s="16" t="n"/>
      <c r="D86" s="16" t="n"/>
      <c r="E86" s="16" t="n"/>
      <c r="F86" s="19" t="n"/>
      <c r="G86" s="19" t="n"/>
      <c r="H86" s="19">
        <f>IF(F86="","",F86-G86)</f>
        <v/>
      </c>
      <c r="I86" s="28">
        <f>IF(F86="","",IF(F86=0,"",G86/F86))</f>
        <v/>
      </c>
      <c r="J86" s="16" t="n"/>
    </row>
    <row r="87" ht="22" customHeight="1">
      <c r="B87" s="21">
        <f>IF(C87="","BUD-"&amp;TEXT(COUNTA($C$5:C87),"000"))</f>
        <v/>
      </c>
      <c r="C87" s="12" t="n"/>
      <c r="D87" s="12" t="n"/>
      <c r="E87" s="12" t="n"/>
      <c r="F87" s="15" t="n"/>
      <c r="G87" s="15" t="n"/>
      <c r="H87" s="15">
        <f>IF(F87="","",F87-G87)</f>
        <v/>
      </c>
      <c r="I87" s="27">
        <f>IF(F87="","",IF(F87=0,"",G87/F87))</f>
        <v/>
      </c>
      <c r="J87" s="12" t="n"/>
    </row>
    <row r="88" ht="22" customHeight="1">
      <c r="B88" s="20">
        <f>IF(C88="","BUD-"&amp;TEXT(COUNTA($C$5:C88),"000"))</f>
        <v/>
      </c>
      <c r="C88" s="16" t="n"/>
      <c r="D88" s="16" t="n"/>
      <c r="E88" s="16" t="n"/>
      <c r="F88" s="19" t="n"/>
      <c r="G88" s="19" t="n"/>
      <c r="H88" s="19">
        <f>IF(F88="","",F88-G88)</f>
        <v/>
      </c>
      <c r="I88" s="28">
        <f>IF(F88="","",IF(F88=0,"",G88/F88))</f>
        <v/>
      </c>
      <c r="J88" s="16" t="n"/>
    </row>
    <row r="89" ht="22" customHeight="1">
      <c r="B89" s="21">
        <f>IF(C89="","BUD-"&amp;TEXT(COUNTA($C$5:C89),"000"))</f>
        <v/>
      </c>
      <c r="C89" s="12" t="n"/>
      <c r="D89" s="12" t="n"/>
      <c r="E89" s="12" t="n"/>
      <c r="F89" s="15" t="n"/>
      <c r="G89" s="15" t="n"/>
      <c r="H89" s="15">
        <f>IF(F89="","",F89-G89)</f>
        <v/>
      </c>
      <c r="I89" s="27">
        <f>IF(F89="","",IF(F89=0,"",G89/F89))</f>
        <v/>
      </c>
      <c r="J89" s="12" t="n"/>
    </row>
    <row r="90" ht="22" customHeight="1">
      <c r="B90" s="20">
        <f>IF(C90="","BUD-"&amp;TEXT(COUNTA($C$5:C90),"000"))</f>
        <v/>
      </c>
      <c r="C90" s="16" t="n"/>
      <c r="D90" s="16" t="n"/>
      <c r="E90" s="16" t="n"/>
      <c r="F90" s="19" t="n"/>
      <c r="G90" s="19" t="n"/>
      <c r="H90" s="19">
        <f>IF(F90="","",F90-G90)</f>
        <v/>
      </c>
      <c r="I90" s="28">
        <f>IF(F90="","",IF(F90=0,"",G90/F90))</f>
        <v/>
      </c>
      <c r="J90" s="16" t="n"/>
    </row>
    <row r="91" ht="22" customHeight="1">
      <c r="B91" s="21">
        <f>IF(C91="","BUD-"&amp;TEXT(COUNTA($C$5:C91),"000"))</f>
        <v/>
      </c>
      <c r="C91" s="12" t="n"/>
      <c r="D91" s="12" t="n"/>
      <c r="E91" s="12" t="n"/>
      <c r="F91" s="15" t="n"/>
      <c r="G91" s="15" t="n"/>
      <c r="H91" s="15">
        <f>IF(F91="","",F91-G91)</f>
        <v/>
      </c>
      <c r="I91" s="27">
        <f>IF(F91="","",IF(F91=0,"",G91/F91))</f>
        <v/>
      </c>
      <c r="J91" s="12" t="n"/>
    </row>
    <row r="92" ht="22" customHeight="1">
      <c r="B92" s="20">
        <f>IF(C92="","BUD-"&amp;TEXT(COUNTA($C$5:C92),"000"))</f>
        <v/>
      </c>
      <c r="C92" s="16" t="n"/>
      <c r="D92" s="16" t="n"/>
      <c r="E92" s="16" t="n"/>
      <c r="F92" s="19" t="n"/>
      <c r="G92" s="19" t="n"/>
      <c r="H92" s="19">
        <f>IF(F92="","",F92-G92)</f>
        <v/>
      </c>
      <c r="I92" s="28">
        <f>IF(F92="","",IF(F92=0,"",G92/F92))</f>
        <v/>
      </c>
      <c r="J92" s="16" t="n"/>
    </row>
    <row r="93" ht="22" customHeight="1">
      <c r="B93" s="21">
        <f>IF(C93="","BUD-"&amp;TEXT(COUNTA($C$5:C93),"000"))</f>
        <v/>
      </c>
      <c r="C93" s="12" t="n"/>
      <c r="D93" s="12" t="n"/>
      <c r="E93" s="12" t="n"/>
      <c r="F93" s="15" t="n"/>
      <c r="G93" s="15" t="n"/>
      <c r="H93" s="15">
        <f>IF(F93="","",F93-G93)</f>
        <v/>
      </c>
      <c r="I93" s="27">
        <f>IF(F93="","",IF(F93=0,"",G93/F93))</f>
        <v/>
      </c>
      <c r="J93" s="12" t="n"/>
    </row>
    <row r="94" ht="22" customHeight="1">
      <c r="B94" s="20">
        <f>IF(C94="","BUD-"&amp;TEXT(COUNTA($C$5:C94),"000"))</f>
        <v/>
      </c>
      <c r="C94" s="16" t="n"/>
      <c r="D94" s="16" t="n"/>
      <c r="E94" s="16" t="n"/>
      <c r="F94" s="19" t="n"/>
      <c r="G94" s="19" t="n"/>
      <c r="H94" s="19">
        <f>IF(F94="","",F94-G94)</f>
        <v/>
      </c>
      <c r="I94" s="28">
        <f>IF(F94="","",IF(F94=0,"",G94/F94))</f>
        <v/>
      </c>
      <c r="J94" s="16" t="n"/>
    </row>
    <row r="95" ht="22" customHeight="1">
      <c r="B95" s="21">
        <f>IF(C95="","BUD-"&amp;TEXT(COUNTA($C$5:C95),"000"))</f>
        <v/>
      </c>
      <c r="C95" s="12" t="n"/>
      <c r="D95" s="12" t="n"/>
      <c r="E95" s="12" t="n"/>
      <c r="F95" s="15" t="n"/>
      <c r="G95" s="15" t="n"/>
      <c r="H95" s="15">
        <f>IF(F95="","",F95-G95)</f>
        <v/>
      </c>
      <c r="I95" s="27">
        <f>IF(F95="","",IF(F95=0,"",G95/F95))</f>
        <v/>
      </c>
      <c r="J95" s="12" t="n"/>
    </row>
    <row r="96" ht="22" customHeight="1">
      <c r="B96" s="20">
        <f>IF(C96="","BUD-"&amp;TEXT(COUNTA($C$5:C96),"000"))</f>
        <v/>
      </c>
      <c r="C96" s="16" t="n"/>
      <c r="D96" s="16" t="n"/>
      <c r="E96" s="16" t="n"/>
      <c r="F96" s="19" t="n"/>
      <c r="G96" s="19" t="n"/>
      <c r="H96" s="19">
        <f>IF(F96="","",F96-G96)</f>
        <v/>
      </c>
      <c r="I96" s="28">
        <f>IF(F96="","",IF(F96=0,"",G96/F96))</f>
        <v/>
      </c>
      <c r="J96" s="16" t="n"/>
    </row>
    <row r="97" ht="22" customHeight="1">
      <c r="B97" s="21">
        <f>IF(C97="","BUD-"&amp;TEXT(COUNTA($C$5:C97),"000"))</f>
        <v/>
      </c>
      <c r="C97" s="12" t="n"/>
      <c r="D97" s="12" t="n"/>
      <c r="E97" s="12" t="n"/>
      <c r="F97" s="15" t="n"/>
      <c r="G97" s="15" t="n"/>
      <c r="H97" s="15">
        <f>IF(F97="","",F97-G97)</f>
        <v/>
      </c>
      <c r="I97" s="27">
        <f>IF(F97="","",IF(F97=0,"",G97/F97))</f>
        <v/>
      </c>
      <c r="J97" s="12" t="n"/>
    </row>
    <row r="98" ht="22" customHeight="1">
      <c r="B98" s="20">
        <f>IF(C98="","BUD-"&amp;TEXT(COUNTA($C$5:C98),"000"))</f>
        <v/>
      </c>
      <c r="C98" s="16" t="n"/>
      <c r="D98" s="16" t="n"/>
      <c r="E98" s="16" t="n"/>
      <c r="F98" s="19" t="n"/>
      <c r="G98" s="19" t="n"/>
      <c r="H98" s="19">
        <f>IF(F98="","",F98-G98)</f>
        <v/>
      </c>
      <c r="I98" s="28">
        <f>IF(F98="","",IF(F98=0,"",G98/F98))</f>
        <v/>
      </c>
      <c r="J98" s="16" t="n"/>
    </row>
    <row r="99" ht="22" customHeight="1">
      <c r="B99" s="21">
        <f>IF(C99="","BUD-"&amp;TEXT(COUNTA($C$5:C99),"000"))</f>
        <v/>
      </c>
      <c r="C99" s="12" t="n"/>
      <c r="D99" s="12" t="n"/>
      <c r="E99" s="12" t="n"/>
      <c r="F99" s="15" t="n"/>
      <c r="G99" s="15" t="n"/>
      <c r="H99" s="15">
        <f>IF(F99="","",F99-G99)</f>
        <v/>
      </c>
      <c r="I99" s="27">
        <f>IF(F99="","",IF(F99=0,"",G99/F99))</f>
        <v/>
      </c>
      <c r="J99" s="12" t="n"/>
    </row>
    <row r="100" ht="22" customHeight="1">
      <c r="B100" s="20">
        <f>IF(C100="","BUD-"&amp;TEXT(COUNTA($C$5:C100),"000"))</f>
        <v/>
      </c>
      <c r="C100" s="16" t="n"/>
      <c r="D100" s="16" t="n"/>
      <c r="E100" s="16" t="n"/>
      <c r="F100" s="19" t="n"/>
      <c r="G100" s="19" t="n"/>
      <c r="H100" s="19">
        <f>IF(F100="","",F100-G100)</f>
        <v/>
      </c>
      <c r="I100" s="28">
        <f>IF(F100="","",IF(F100=0,"",G100/F100))</f>
        <v/>
      </c>
      <c r="J100" s="16" t="n"/>
    </row>
    <row r="101" ht="22" customHeight="1">
      <c r="B101" s="21">
        <f>IF(C101="","BUD-"&amp;TEXT(COUNTA($C$5:C101),"000"))</f>
        <v/>
      </c>
      <c r="C101" s="12" t="n"/>
      <c r="D101" s="12" t="n"/>
      <c r="E101" s="12" t="n"/>
      <c r="F101" s="15" t="n"/>
      <c r="G101" s="15" t="n"/>
      <c r="H101" s="15">
        <f>IF(F101="","",F101-G101)</f>
        <v/>
      </c>
      <c r="I101" s="27">
        <f>IF(F101="","",IF(F101=0,"",G101/F101))</f>
        <v/>
      </c>
      <c r="J101" s="12" t="n"/>
    </row>
    <row r="102" ht="22" customHeight="1">
      <c r="B102" s="20">
        <f>IF(C102="","BUD-"&amp;TEXT(COUNTA($C$5:C102),"000"))</f>
        <v/>
      </c>
      <c r="C102" s="16" t="n"/>
      <c r="D102" s="16" t="n"/>
      <c r="E102" s="16" t="n"/>
      <c r="F102" s="19" t="n"/>
      <c r="G102" s="19" t="n"/>
      <c r="H102" s="19">
        <f>IF(F102="","",F102-G102)</f>
        <v/>
      </c>
      <c r="I102" s="28">
        <f>IF(F102="","",IF(F102=0,"",G102/F102))</f>
        <v/>
      </c>
      <c r="J102" s="16" t="n"/>
    </row>
    <row r="103" ht="22" customHeight="1">
      <c r="B103" s="21">
        <f>IF(C103="","BUD-"&amp;TEXT(COUNTA($C$5:C103),"000"))</f>
        <v/>
      </c>
      <c r="C103" s="12" t="n"/>
      <c r="D103" s="12" t="n"/>
      <c r="E103" s="12" t="n"/>
      <c r="F103" s="15" t="n"/>
      <c r="G103" s="15" t="n"/>
      <c r="H103" s="15">
        <f>IF(F103="","",F103-G103)</f>
        <v/>
      </c>
      <c r="I103" s="27">
        <f>IF(F103="","",IF(F103=0,"",G103/F103))</f>
        <v/>
      </c>
      <c r="J103" s="12" t="n"/>
    </row>
    <row r="104" ht="22" customHeight="1">
      <c r="B104" s="20">
        <f>IF(C104="","BUD-"&amp;TEXT(COUNTA($C$5:C104),"000"))</f>
        <v/>
      </c>
      <c r="C104" s="16" t="n"/>
      <c r="D104" s="16" t="n"/>
      <c r="E104" s="16" t="n"/>
      <c r="F104" s="19" t="n"/>
      <c r="G104" s="19" t="n"/>
      <c r="H104" s="19">
        <f>IF(F104="","",F104-G104)</f>
        <v/>
      </c>
      <c r="I104" s="28">
        <f>IF(F104="","",IF(F104=0,"",G104/F104))</f>
        <v/>
      </c>
      <c r="J104" s="16" t="n"/>
    </row>
    <row r="105" ht="22" customHeight="1">
      <c r="B105" s="21">
        <f>IF(C105="","BUD-"&amp;TEXT(COUNTA($C$5:C105),"000"))</f>
        <v/>
      </c>
      <c r="C105" s="12" t="n"/>
      <c r="D105" s="12" t="n"/>
      <c r="E105" s="12" t="n"/>
      <c r="F105" s="15" t="n"/>
      <c r="G105" s="15" t="n"/>
      <c r="H105" s="15">
        <f>IF(F105="","",F105-G105)</f>
        <v/>
      </c>
      <c r="I105" s="27">
        <f>IF(F105="","",IF(F105=0,"",G105/F105))</f>
        <v/>
      </c>
      <c r="J105" s="12" t="n"/>
    </row>
    <row r="106" ht="22" customHeight="1">
      <c r="B106" s="20">
        <f>IF(C106="","BUD-"&amp;TEXT(COUNTA($C$5:C106),"000"))</f>
        <v/>
      </c>
      <c r="C106" s="16" t="n"/>
      <c r="D106" s="16" t="n"/>
      <c r="E106" s="16" t="n"/>
      <c r="F106" s="19" t="n"/>
      <c r="G106" s="19" t="n"/>
      <c r="H106" s="19">
        <f>IF(F106="","",F106-G106)</f>
        <v/>
      </c>
      <c r="I106" s="28">
        <f>IF(F106="","",IF(F106=0,"",G106/F106))</f>
        <v/>
      </c>
      <c r="J106" s="16" t="n"/>
    </row>
    <row r="107" ht="22" customHeight="1">
      <c r="B107" s="21">
        <f>IF(C107="","BUD-"&amp;TEXT(COUNTA($C$5:C107),"000"))</f>
        <v/>
      </c>
      <c r="C107" s="12" t="n"/>
      <c r="D107" s="12" t="n"/>
      <c r="E107" s="12" t="n"/>
      <c r="F107" s="15" t="n"/>
      <c r="G107" s="15" t="n"/>
      <c r="H107" s="15">
        <f>IF(F107="","",F107-G107)</f>
        <v/>
      </c>
      <c r="I107" s="27">
        <f>IF(F107="","",IF(F107=0,"",G107/F107))</f>
        <v/>
      </c>
      <c r="J107" s="12" t="n"/>
    </row>
    <row r="108" ht="22" customHeight="1">
      <c r="B108" s="20">
        <f>IF(C108="","BUD-"&amp;TEXT(COUNTA($C$5:C108),"000"))</f>
        <v/>
      </c>
      <c r="C108" s="16" t="n"/>
      <c r="D108" s="16" t="n"/>
      <c r="E108" s="16" t="n"/>
      <c r="F108" s="19" t="n"/>
      <c r="G108" s="19" t="n"/>
      <c r="H108" s="19">
        <f>IF(F108="","",F108-G108)</f>
        <v/>
      </c>
      <c r="I108" s="28">
        <f>IF(F108="","",IF(F108=0,"",G108/F108))</f>
        <v/>
      </c>
      <c r="J108" s="16" t="n"/>
    </row>
    <row r="109" ht="22" customHeight="1">
      <c r="B109" s="21">
        <f>IF(C109="","BUD-"&amp;TEXT(COUNTA($C$5:C109),"000"))</f>
        <v/>
      </c>
      <c r="C109" s="12" t="n"/>
      <c r="D109" s="12" t="n"/>
      <c r="E109" s="12" t="n"/>
      <c r="F109" s="15" t="n"/>
      <c r="G109" s="15" t="n"/>
      <c r="H109" s="15">
        <f>IF(F109="","",F109-G109)</f>
        <v/>
      </c>
      <c r="I109" s="27">
        <f>IF(F109="","",IF(F109=0,"",G109/F109))</f>
        <v/>
      </c>
      <c r="J109" s="12" t="n"/>
    </row>
    <row r="111" ht="26" customHeight="1">
      <c r="B111" s="22" t="inlineStr">
        <is>
          <t>TOTAL</t>
        </is>
      </c>
      <c r="C111" s="23" t="n"/>
      <c r="D111" s="23" t="n"/>
      <c r="E111" s="23" t="n"/>
      <c r="F111" s="24">
        <f>SUM(F5:F104)</f>
        <v/>
      </c>
      <c r="G111" s="24">
        <f>SUM(G5:G104)</f>
        <v/>
      </c>
      <c r="H111" s="24">
        <f>SUM(H5:H104)</f>
        <v/>
      </c>
      <c r="I111" s="23" t="n"/>
      <c r="J111" s="23" t="n"/>
    </row>
    <row r="113">
      <c r="B113" s="6" t="inlineStr">
        <is>
          <t>INDICATEURS (mis a jour automatiquement)</t>
        </is>
      </c>
    </row>
    <row r="114">
      <c r="B114" s="3" t="inlineStr">
        <is>
          <t>Postes budgetaires</t>
        </is>
      </c>
      <c r="D114" s="3" t="inlineStr">
        <is>
          <t>Budget total alloue (FCFA)</t>
        </is>
      </c>
      <c r="F114" s="3" t="inlineStr">
        <is>
          <t>Cout total reel (FCFA)</t>
        </is>
      </c>
      <c r="G114">
        <f>IFERROR(SUMIF('4-Inscriptions Formation'!E:E,D114,'4-Inscriptions Formation'!I:I),0)</f>
        <v/>
      </c>
      <c r="H114" s="3">
        <f>F114-G114</f>
        <v/>
      </c>
      <c r="I114">
        <f>IFERROR(ROUND(G114/F114*100,1),0)</f>
        <v/>
      </c>
    </row>
    <row r="115">
      <c r="B115" s="4">
        <f>COUNTIF(B5:B104,"&lt;&gt;")</f>
        <v/>
      </c>
      <c r="D115" s="4">
        <f>SUM(F5:F104)</f>
        <v/>
      </c>
      <c r="F115" s="4">
        <f>SUM(G5:G104)</f>
        <v/>
      </c>
      <c r="G115">
        <f>IFERROR(SUMIF('4-Inscriptions Formation'!E:E,D115,'4-Inscriptions Formation'!I:I),0)</f>
        <v/>
      </c>
      <c r="H115" s="4">
        <f>F115-G115</f>
        <v/>
      </c>
      <c r="I115">
        <f>IFERROR(ROUND(G115/F115*100,1),0)</f>
        <v/>
      </c>
    </row>
  </sheetData>
  <mergeCells count="3">
    <mergeCell ref="B113:J113"/>
    <mergeCell ref="B3:J3"/>
    <mergeCell ref="B2:J2"/>
  </mergeCells>
  <conditionalFormatting sqref="J5:J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1">
      <formula>"En attente"</formula>
    </cfRule>
    <cfRule type="cellIs" priority="28" operator="equal" dxfId="1">
      <formula>"A renouveler"</formula>
    </cfRule>
    <cfRule type="cellIs" priority="29" operator="equal" dxfId="1">
      <formula>"En cours"</formula>
    </cfRule>
    <cfRule type="cellIs" priority="30" operator="equal" dxfId="1">
      <formula>"En traitement"</formula>
    </cfRule>
    <cfRule type="cellIs" priority="31" operator="equal" dxfId="1">
      <formula>"En retard"</formula>
    </cfRule>
    <cfRule type="cellIs" priority="32" operator="equal" dxfId="1">
      <formula>"Suspendu"</formula>
    </cfRule>
    <cfRule type="cellIs" priority="33" operator="equal" dxfId="1">
      <formula>"Planifie"</formula>
    </cfRule>
    <cfRule type="cellIs" priority="34" operator="equal" dxfId="1">
      <formula>"Planifiee"</formula>
    </cfRule>
    <cfRule type="cellIs" priority="35" operator="equal" dxfId="1">
      <formula>"Brouillon"</formula>
    </cfRule>
    <cfRule type="cellIs" priority="36" operator="equal" dxfId="1">
      <formula>"En attente de justification"</formula>
    </cfRule>
    <cfRule type="cellIs" priority="37" operator="equal" dxfId="1">
      <formula>"Tolere"</formula>
    </cfRule>
    <cfRule type="cellIs" priority="38" operator="equal" dxfId="1">
      <formula>"Variable"</formula>
    </cfRule>
    <cfRule type="cellIs" priority="39" operator="equal" dxfId="1">
      <formula>"En elaboration"</formula>
    </cfRule>
    <cfRule type="cellIs" priority="40" operator="equal" dxfId="1">
      <formula>"Provisionne"</formula>
    </cfRule>
    <cfRule type="cellIs" priority="41" operator="equal" dxfId="1">
      <formula>"Consomme partiel"</formula>
    </cfRule>
    <cfRule type="cellIs" priority="42" operator="equal" dxfId="1">
      <formula>"Identifie"</formula>
    </cfRule>
    <cfRule type="cellIs" priority="43" operator="equal" dxfId="1">
      <formula>"Priorise"</formula>
    </cfRule>
    <cfRule type="cellIs" priority="44" operator="equal" dxfId="1">
      <formula>"Intermediaire"</formula>
    </cfRule>
    <cfRule type="cellIs" priority="45" operator="equal" dxfId="1">
      <formula>"Non evalue"</formula>
    </cfRule>
    <cfRule type="cellIs" priority="46" operator="equal" dxfId="1">
      <formula>"En cours de realisation"</formula>
    </cfRule>
    <cfRule type="cellIs" priority="47" operator="equal" dxfId="2">
      <formula>"Expire"</formula>
    </cfRule>
    <cfRule type="cellIs" priority="48" operator="equal" dxfId="2">
      <formula>"Rejete"</formula>
    </cfRule>
    <cfRule type="cellIs" priority="49" operator="equal" dxfId="2">
      <formula>"Rejetee"</formula>
    </cfRule>
    <cfRule type="cellIs" priority="50" operator="equal" dxfId="2">
      <formula>"Resilie"</formula>
    </cfRule>
    <cfRule type="cellIs" priority="51" operator="equal" dxfId="2">
      <formula>"Annule"</formula>
    </cfRule>
    <cfRule type="cellIs" priority="52" operator="equal" dxfId="2">
      <formula>"Annulee"</formula>
    </cfRule>
    <cfRule type="cellIs" priority="53" operator="equal" dxfId="2">
      <formula>"Refuse"</formula>
    </cfRule>
    <cfRule type="cellIs" priority="54" operator="equal" dxfId="2">
      <formula>"Non justifie"</formula>
    </cfRule>
    <cfRule type="cellIs" priority="55" operator="equal" dxfId="2">
      <formula>"Non justifiee"</formula>
    </cfRule>
    <cfRule type="cellIs" priority="56" operator="equal" dxfId="2">
      <formula>"Sanctionne"</formula>
    </cfRule>
    <cfRule type="cellIs" priority="57" operator="equal" dxfId="2">
      <formula>"Inaptitude"</formula>
    </cfRule>
    <cfRule type="cellIs" priority="58" operator="equal" dxfId="2">
      <formula>"Absent sans autorisation"</formula>
    </cfRule>
    <cfRule type="cellIs" priority="59" operator="equal" dxfId="2">
      <formula>"Abandon de poste"</formula>
    </cfRule>
    <cfRule type="cellIs" priority="60" operator="equal" dxfId="2">
      <formula>"Non satisfait"</formula>
    </cfRule>
    <cfRule type="cellIs" priority="61" operator="equal" dxfId="2">
      <formula>"Reportee"</formula>
    </cfRule>
    <cfRule type="cellIs" priority="62" operator="equal" dxfId="2">
      <formula>"Depasse"</formula>
    </cfRule>
    <cfRule type="cellIs" priority="63" operator="equal" dxfId="2">
      <formula>"Non utilise"</formula>
    </cfRule>
    <cfRule type="cellIs" priority="64" operator="equal" dxfId="2">
      <formula>"Non applicable"</formula>
    </cfRule>
    <cfRule type="cellIs" priority="65" operator="equal" dxfId="2">
      <formula>"Debutant"</formula>
    </cfRule>
  </conditionalFormatting>
  <conditionalFormatting sqref="B10:B109">
    <cfRule type="expression" priority="66" dxfId="3">
      <formula>AND($C10="",$C9&lt;&gt;"")</formula>
    </cfRule>
  </conditionalFormatting>
  <conditionalFormatting sqref="C10:C109">
    <cfRule type="expression" priority="67" dxfId="3">
      <formula>AND($C10="",$C9&lt;&gt;"")</formula>
    </cfRule>
  </conditionalFormatting>
  <conditionalFormatting sqref="D10:D109">
    <cfRule type="expression" priority="68" dxfId="3">
      <formula>AND($C10="",$C9&lt;&gt;"")</formula>
    </cfRule>
  </conditionalFormatting>
  <conditionalFormatting sqref="E10:E109">
    <cfRule type="expression" priority="69" dxfId="3">
      <formula>AND($C10="",$C9&lt;&gt;"")</formula>
    </cfRule>
  </conditionalFormatting>
  <conditionalFormatting sqref="F10:F109">
    <cfRule type="expression" priority="70" dxfId="3">
      <formula>AND($C10="",$C9&lt;&gt;"")</formula>
    </cfRule>
  </conditionalFormatting>
  <conditionalFormatting sqref="G10:G109">
    <cfRule type="expression" priority="71" dxfId="3">
      <formula>AND($C10="",$C9&lt;&gt;"")</formula>
    </cfRule>
  </conditionalFormatting>
  <conditionalFormatting sqref="H10:H109">
    <cfRule type="expression" priority="72" dxfId="3">
      <formula>AND($C10="",$C9&lt;&gt;"")</formula>
    </cfRule>
  </conditionalFormatting>
  <conditionalFormatting sqref="I10:I109">
    <cfRule type="expression" priority="73" dxfId="3">
      <formula>AND($C10="",$C9&lt;&gt;"")</formula>
    </cfRule>
  </conditionalFormatting>
  <conditionalFormatting sqref="J10:J109">
    <cfRule type="expression" priority="74" dxfId="3">
      <formula>AND($C10="",$C9&lt;&gt;"")</formula>
    </cfRule>
  </conditionalFormatting>
  <dataValidations count="3">
    <dataValidation sqref="D5:D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E5:E109" showDropDown="0" showInputMessage="0" showErrorMessage="0" allowBlank="1" errorTitle="Erreur" error="Valeur invalide" promptTitle="Liste" prompt="Choisir dans la liste" type="list">
      <formula1>'_Lists'!$P$2:$P$4</formula1>
    </dataValidation>
    <dataValidation sqref="J5:J109" showDropDown="0" showInputMessage="0" showErrorMessage="0" allowBlank="1" errorTitle="Erreur" error="Valeur invalide" promptTitle="Liste" prompt="Choisir dans la liste" type="list">
      <formula1>'_Lists'!$J$2:$J$6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28" customWidth="1" min="4" max="4"/>
    <col width="30" customWidth="1" min="5" max="5"/>
    <col width="24" customWidth="1" min="6" max="6"/>
    <col width="18" customWidth="1" min="7" max="7"/>
    <col width="18" customWidth="1" min="8" max="8"/>
    <col width="22" customWidth="1" min="9" max="9"/>
    <col width="16" customWidth="1" min="10" max="10"/>
  </cols>
  <sheetData>
    <row r="1" ht="15" customHeight="1"/>
    <row r="2" ht="32" customHeight="1">
      <c r="B2" s="1" t="inlineStr">
        <is>
          <t>CATALOGUE DES FORMATIONS DISPONIBLES (#71)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Intitule Formation</t>
        </is>
      </c>
      <c r="D4" s="11" t="inlineStr">
        <is>
          <t>Type Formation</t>
        </is>
      </c>
      <c r="E4" s="11" t="inlineStr">
        <is>
          <t>Objectifs</t>
        </is>
      </c>
      <c r="F4" s="11" t="inlineStr">
        <is>
          <t>Public Cible</t>
        </is>
      </c>
      <c r="G4" s="11" t="inlineStr">
        <is>
          <t>Duree Standard (h)</t>
        </is>
      </c>
      <c r="H4" s="11" t="inlineStr">
        <is>
          <t>Cout Unitaire (FCFA)</t>
        </is>
      </c>
      <c r="I4" s="11" t="inlineStr">
        <is>
          <t>Prestataire</t>
        </is>
      </c>
      <c r="J4" s="11" t="inlineStr">
        <is>
          <t>Frequence</t>
        </is>
      </c>
    </row>
    <row r="5" ht="22" customHeight="1">
      <c r="B5" s="12" t="inlineStr">
        <is>
          <t>CAT-001</t>
        </is>
      </c>
      <c r="C5" s="12" t="inlineStr">
        <is>
          <t>HACCP Niveau 1</t>
        </is>
      </c>
      <c r="D5" s="12" t="inlineStr">
        <is>
          <t>Formation securite &amp; HACCP</t>
        </is>
      </c>
      <c r="E5" s="12" t="inlineStr">
        <is>
          <t>Maitriser regles hygiene alimentaire</t>
        </is>
      </c>
      <c r="F5" s="12" t="inlineStr">
        <is>
          <t>Cuisiniers, Plongeurs</t>
        </is>
      </c>
      <c r="G5" s="13" t="n">
        <v>20</v>
      </c>
      <c r="H5" s="15" t="n">
        <v>31250</v>
      </c>
      <c r="I5" s="12" t="inlineStr">
        <is>
          <t>Dr. Ngassa (CNPS)</t>
        </is>
      </c>
      <c r="J5" s="12" t="inlineStr">
        <is>
          <t>Annuelle</t>
        </is>
      </c>
    </row>
    <row r="6" ht="22" customHeight="1">
      <c r="B6" s="16" t="inlineStr">
        <is>
          <t>CAT-002</t>
        </is>
      </c>
      <c r="C6" s="16" t="inlineStr">
        <is>
          <t>Anglais hotellerie</t>
        </is>
      </c>
      <c r="D6" s="16" t="inlineStr">
        <is>
          <t>Formation langue etrangere</t>
        </is>
      </c>
      <c r="E6" s="16" t="inlineStr">
        <is>
          <t>Communiquer en anglais avec clientele</t>
        </is>
      </c>
      <c r="F6" s="16" t="inlineStr">
        <is>
          <t>Receptionnistes, Concierges</t>
        </is>
      </c>
      <c r="G6" s="17" t="n">
        <v>30</v>
      </c>
      <c r="H6" s="19" t="n">
        <v>30000</v>
      </c>
      <c r="I6" s="16" t="inlineStr">
        <is>
          <t>British Council</t>
        </is>
      </c>
      <c r="J6" s="16" t="inlineStr">
        <is>
          <t>Semestrielle</t>
        </is>
      </c>
    </row>
    <row r="7" ht="22" customHeight="1">
      <c r="B7" s="12" t="inlineStr">
        <is>
          <t>CAT-003</t>
        </is>
      </c>
      <c r="C7" s="12" t="inlineStr">
        <is>
          <t>Gestion conflits clients</t>
        </is>
      </c>
      <c r="D7" s="12" t="inlineStr">
        <is>
          <t>Formation accueil &amp; service client</t>
        </is>
      </c>
      <c r="E7" s="12" t="inlineStr">
        <is>
          <t>Gerer situations tendues avec clientele</t>
        </is>
      </c>
      <c r="F7" s="12" t="inlineStr">
        <is>
          <t>Service client, Reception</t>
        </is>
      </c>
      <c r="G7" s="13" t="n">
        <v>12</v>
      </c>
      <c r="H7" s="15" t="n">
        <v>19200</v>
      </c>
      <c r="I7" s="12" t="inlineStr">
        <is>
          <t>Coach Kamga</t>
        </is>
      </c>
      <c r="J7" s="12" t="inlineStr">
        <is>
          <t>Trimestrielle</t>
        </is>
      </c>
    </row>
    <row r="8" ht="22" customHeight="1">
      <c r="B8" s="16" t="inlineStr">
        <is>
          <t>CAT-004</t>
        </is>
      </c>
      <c r="C8" s="16" t="inlineStr">
        <is>
          <t>Excel avance</t>
        </is>
      </c>
      <c r="D8" s="16" t="inlineStr">
        <is>
          <t>Formation informatique &amp; bureautique</t>
        </is>
      </c>
      <c r="E8" s="16" t="inlineStr">
        <is>
          <t>Maitriser tableaux croises, macros</t>
        </is>
      </c>
      <c r="F8" s="16" t="inlineStr">
        <is>
          <t>Comptables, DAF</t>
        </is>
      </c>
      <c r="G8" s="17" t="n">
        <v>15</v>
      </c>
      <c r="H8" s="19" t="n">
        <v>11250</v>
      </c>
      <c r="I8" s="16" t="inlineStr">
        <is>
          <t>Formateur interne IT</t>
        </is>
      </c>
      <c r="J8" s="16" t="inlineStr">
        <is>
          <t>Annuelle</t>
        </is>
      </c>
    </row>
    <row r="9" ht="22" customHeight="1">
      <c r="B9" s="12" t="inlineStr">
        <is>
          <t>CAT-005</t>
        </is>
      </c>
      <c r="C9" s="12" t="inlineStr">
        <is>
          <t>Securite incendie</t>
        </is>
      </c>
      <c r="D9" s="12" t="inlineStr">
        <is>
          <t>Formation hygiene &amp; securite</t>
        </is>
      </c>
      <c r="E9" s="12" t="inlineStr">
        <is>
          <t>Evacuation, extincteurs, premiers secours</t>
        </is>
      </c>
      <c r="F9" s="12" t="inlineStr">
        <is>
          <t>Tout personnel</t>
        </is>
      </c>
      <c r="G9" s="13" t="n">
        <v>4</v>
      </c>
      <c r="H9" s="15" t="n">
        <v>5000</v>
      </c>
      <c r="I9" s="12" t="inlineStr">
        <is>
          <t>Sapeurs-pompiers Douala</t>
        </is>
      </c>
      <c r="J9" s="12" t="inlineStr">
        <is>
          <t>Annuelle</t>
        </is>
      </c>
    </row>
    <row r="10" ht="22" customHeight="1">
      <c r="B10" s="20">
        <f>IF(C10="","CAT-"&amp;TEXT(COUNTA($C$5:C10),"000"))</f>
        <v/>
      </c>
      <c r="C10" s="16" t="n"/>
      <c r="D10" s="16" t="n"/>
      <c r="E10" s="16" t="n"/>
      <c r="F10" s="16" t="n"/>
      <c r="G10" s="17" t="n"/>
      <c r="H10" s="19" t="n"/>
      <c r="I10" s="16" t="n"/>
      <c r="J10" s="16" t="n"/>
    </row>
    <row r="11" ht="22" customHeight="1">
      <c r="B11" s="21">
        <f>IF(C11="","CAT-"&amp;TEXT(COUNTA($C$5:C11),"000"))</f>
        <v/>
      </c>
      <c r="C11" s="12" t="n"/>
      <c r="D11" s="12" t="n"/>
      <c r="E11" s="12" t="n"/>
      <c r="F11" s="12" t="n"/>
      <c r="G11" s="13" t="n"/>
      <c r="H11" s="15" t="n"/>
      <c r="I11" s="12" t="n"/>
      <c r="J11" s="12" t="n"/>
    </row>
    <row r="12" ht="22" customHeight="1">
      <c r="B12" s="20">
        <f>IF(C12="","CAT-"&amp;TEXT(COUNTA($C$5:C12),"000"))</f>
        <v/>
      </c>
      <c r="C12" s="16" t="n"/>
      <c r="D12" s="16" t="n"/>
      <c r="E12" s="16" t="n"/>
      <c r="F12" s="16" t="n"/>
      <c r="G12" s="17" t="n"/>
      <c r="H12" s="19" t="n"/>
      <c r="I12" s="16" t="n"/>
      <c r="J12" s="16" t="n"/>
    </row>
    <row r="13" ht="22" customHeight="1">
      <c r="B13" s="21">
        <f>IF(C13="","CAT-"&amp;TEXT(COUNTA($C$5:C13),"000"))</f>
        <v/>
      </c>
      <c r="C13" s="12" t="n"/>
      <c r="D13" s="12" t="n"/>
      <c r="E13" s="12" t="n"/>
      <c r="F13" s="12" t="n"/>
      <c r="G13" s="13" t="n"/>
      <c r="H13" s="15" t="n"/>
      <c r="I13" s="12" t="n"/>
      <c r="J13" s="12" t="n"/>
    </row>
    <row r="14" ht="22" customHeight="1">
      <c r="B14" s="20">
        <f>IF(C14="","CAT-"&amp;TEXT(COUNTA($C$5:C14),"000"))</f>
        <v/>
      </c>
      <c r="C14" s="16" t="n"/>
      <c r="D14" s="16" t="n"/>
      <c r="E14" s="16" t="n"/>
      <c r="F14" s="16" t="n"/>
      <c r="G14" s="17" t="n"/>
      <c r="H14" s="19" t="n"/>
      <c r="I14" s="16" t="n"/>
      <c r="J14" s="16" t="n"/>
    </row>
    <row r="15" ht="22" customHeight="1">
      <c r="B15" s="21">
        <f>IF(C15="","CAT-"&amp;TEXT(COUNTA($C$5:C15),"000"))</f>
        <v/>
      </c>
      <c r="C15" s="12" t="n"/>
      <c r="D15" s="12" t="n"/>
      <c r="E15" s="12" t="n"/>
      <c r="F15" s="12" t="n"/>
      <c r="G15" s="13" t="n"/>
      <c r="H15" s="15" t="n"/>
      <c r="I15" s="12" t="n"/>
      <c r="J15" s="12" t="n"/>
    </row>
    <row r="16" ht="22" customHeight="1">
      <c r="B16" s="20">
        <f>IF(C16="","CAT-"&amp;TEXT(COUNTA($C$5:C16),"000"))</f>
        <v/>
      </c>
      <c r="C16" s="16" t="n"/>
      <c r="D16" s="16" t="n"/>
      <c r="E16" s="16" t="n"/>
      <c r="F16" s="16" t="n"/>
      <c r="G16" s="17" t="n"/>
      <c r="H16" s="19" t="n"/>
      <c r="I16" s="16" t="n"/>
      <c r="J16" s="16" t="n"/>
    </row>
    <row r="17" ht="22" customHeight="1">
      <c r="B17" s="21">
        <f>IF(C17="","CAT-"&amp;TEXT(COUNTA($C$5:C17),"000"))</f>
        <v/>
      </c>
      <c r="C17" s="12" t="n"/>
      <c r="D17" s="12" t="n"/>
      <c r="E17" s="12" t="n"/>
      <c r="F17" s="12" t="n"/>
      <c r="G17" s="13" t="n"/>
      <c r="H17" s="15" t="n"/>
      <c r="I17" s="12" t="n"/>
      <c r="J17" s="12" t="n"/>
    </row>
    <row r="18" ht="22" customHeight="1">
      <c r="B18" s="20">
        <f>IF(C18="","CAT-"&amp;TEXT(COUNTA($C$5:C18),"000"))</f>
        <v/>
      </c>
      <c r="C18" s="16" t="n"/>
      <c r="D18" s="16" t="n"/>
      <c r="E18" s="16" t="n"/>
      <c r="F18" s="16" t="n"/>
      <c r="G18" s="17" t="n"/>
      <c r="H18" s="19" t="n"/>
      <c r="I18" s="16" t="n"/>
      <c r="J18" s="16" t="n"/>
    </row>
    <row r="19" ht="22" customHeight="1">
      <c r="B19" s="21">
        <f>IF(C19="","CAT-"&amp;TEXT(COUNTA($C$5:C19),"000"))</f>
        <v/>
      </c>
      <c r="C19" s="12" t="n"/>
      <c r="D19" s="12" t="n"/>
      <c r="E19" s="12" t="n"/>
      <c r="F19" s="12" t="n"/>
      <c r="G19" s="13" t="n"/>
      <c r="H19" s="15" t="n"/>
      <c r="I19" s="12" t="n"/>
      <c r="J19" s="12" t="n"/>
    </row>
    <row r="20" ht="22" customHeight="1">
      <c r="B20" s="20">
        <f>IF(C20="","CAT-"&amp;TEXT(COUNTA($C$5:C20),"000"))</f>
        <v/>
      </c>
      <c r="C20" s="16" t="n"/>
      <c r="D20" s="16" t="n"/>
      <c r="E20" s="16" t="n"/>
      <c r="F20" s="16" t="n"/>
      <c r="G20" s="17" t="n"/>
      <c r="H20" s="19" t="n"/>
      <c r="I20" s="16" t="n"/>
      <c r="J20" s="16" t="n"/>
    </row>
    <row r="21" ht="22" customHeight="1">
      <c r="B21" s="21">
        <f>IF(C21="","CAT-"&amp;TEXT(COUNTA($C$5:C21),"000"))</f>
        <v/>
      </c>
      <c r="C21" s="12" t="n"/>
      <c r="D21" s="12" t="n"/>
      <c r="E21" s="12" t="n"/>
      <c r="F21" s="12" t="n"/>
      <c r="G21" s="13" t="n"/>
      <c r="H21" s="15" t="n"/>
      <c r="I21" s="12" t="n"/>
      <c r="J21" s="12" t="n"/>
    </row>
    <row r="22" ht="22" customHeight="1">
      <c r="B22" s="20">
        <f>IF(C22="","CAT-"&amp;TEXT(COUNTA($C$5:C22),"000"))</f>
        <v/>
      </c>
      <c r="C22" s="16" t="n"/>
      <c r="D22" s="16" t="n"/>
      <c r="E22" s="16" t="n"/>
      <c r="F22" s="16" t="n"/>
      <c r="G22" s="17" t="n"/>
      <c r="H22" s="19" t="n"/>
      <c r="I22" s="16" t="n"/>
      <c r="J22" s="16" t="n"/>
    </row>
    <row r="23" ht="22" customHeight="1">
      <c r="B23" s="21">
        <f>IF(C23="","CAT-"&amp;TEXT(COUNTA($C$5:C23),"000"))</f>
        <v/>
      </c>
      <c r="C23" s="12" t="n"/>
      <c r="D23" s="12" t="n"/>
      <c r="E23" s="12" t="n"/>
      <c r="F23" s="12" t="n"/>
      <c r="G23" s="13" t="n"/>
      <c r="H23" s="15" t="n"/>
      <c r="I23" s="12" t="n"/>
      <c r="J23" s="12" t="n"/>
    </row>
    <row r="24" ht="22" customHeight="1">
      <c r="B24" s="20">
        <f>IF(C24="","CAT-"&amp;TEXT(COUNTA($C$5:C24),"000"))</f>
        <v/>
      </c>
      <c r="C24" s="16" t="n"/>
      <c r="D24" s="16" t="n"/>
      <c r="E24" s="16" t="n"/>
      <c r="F24" s="16" t="n"/>
      <c r="G24" s="17" t="n"/>
      <c r="H24" s="19" t="n"/>
      <c r="I24" s="16" t="n"/>
      <c r="J24" s="16" t="n"/>
    </row>
    <row r="25" ht="22" customHeight="1">
      <c r="B25" s="21">
        <f>IF(C25="","CAT-"&amp;TEXT(COUNTA($C$5:C25),"000"))</f>
        <v/>
      </c>
      <c r="C25" s="12" t="n"/>
      <c r="D25" s="12" t="n"/>
      <c r="E25" s="12" t="n"/>
      <c r="F25" s="12" t="n"/>
      <c r="G25" s="13" t="n"/>
      <c r="H25" s="15" t="n"/>
      <c r="I25" s="12" t="n"/>
      <c r="J25" s="12" t="n"/>
    </row>
    <row r="26" ht="22" customHeight="1">
      <c r="B26" s="20">
        <f>IF(C26="","CAT-"&amp;TEXT(COUNTA($C$5:C26),"000"))</f>
        <v/>
      </c>
      <c r="C26" s="16" t="n"/>
      <c r="D26" s="16" t="n"/>
      <c r="E26" s="16" t="n"/>
      <c r="F26" s="16" t="n"/>
      <c r="G26" s="17" t="n"/>
      <c r="H26" s="19" t="n"/>
      <c r="I26" s="16" t="n"/>
      <c r="J26" s="16" t="n"/>
    </row>
    <row r="27" ht="22" customHeight="1">
      <c r="B27" s="21">
        <f>IF(C27="","CAT-"&amp;TEXT(COUNTA($C$5:C27),"000"))</f>
        <v/>
      </c>
      <c r="C27" s="12" t="n"/>
      <c r="D27" s="12" t="n"/>
      <c r="E27" s="12" t="n"/>
      <c r="F27" s="12" t="n"/>
      <c r="G27" s="13" t="n"/>
      <c r="H27" s="15" t="n"/>
      <c r="I27" s="12" t="n"/>
      <c r="J27" s="12" t="n"/>
    </row>
    <row r="28" ht="22" customHeight="1">
      <c r="B28" s="20">
        <f>IF(C28="","CAT-"&amp;TEXT(COUNTA($C$5:C28),"000"))</f>
        <v/>
      </c>
      <c r="C28" s="16" t="n"/>
      <c r="D28" s="16" t="n"/>
      <c r="E28" s="16" t="n"/>
      <c r="F28" s="16" t="n"/>
      <c r="G28" s="17" t="n"/>
      <c r="H28" s="19" t="n"/>
      <c r="I28" s="16" t="n"/>
      <c r="J28" s="16" t="n"/>
    </row>
    <row r="29" ht="22" customHeight="1">
      <c r="B29" s="21">
        <f>IF(C29="","CAT-"&amp;TEXT(COUNTA($C$5:C29),"000"))</f>
        <v/>
      </c>
      <c r="C29" s="12" t="n"/>
      <c r="D29" s="12" t="n"/>
      <c r="E29" s="12" t="n"/>
      <c r="F29" s="12" t="n"/>
      <c r="G29" s="13" t="n"/>
      <c r="H29" s="15" t="n"/>
      <c r="I29" s="12" t="n"/>
      <c r="J29" s="12" t="n"/>
    </row>
    <row r="30" ht="22" customHeight="1">
      <c r="B30" s="20">
        <f>IF(C30="","CAT-"&amp;TEXT(COUNTA($C$5:C30),"000"))</f>
        <v/>
      </c>
      <c r="C30" s="16" t="n"/>
      <c r="D30" s="16" t="n"/>
      <c r="E30" s="16" t="n"/>
      <c r="F30" s="16" t="n"/>
      <c r="G30" s="17" t="n"/>
      <c r="H30" s="19" t="n"/>
      <c r="I30" s="16" t="n"/>
      <c r="J30" s="16" t="n"/>
    </row>
    <row r="31" ht="22" customHeight="1">
      <c r="B31" s="21">
        <f>IF(C31="","CAT-"&amp;TEXT(COUNTA($C$5:C31),"000"))</f>
        <v/>
      </c>
      <c r="C31" s="12" t="n"/>
      <c r="D31" s="12" t="n"/>
      <c r="E31" s="12" t="n"/>
      <c r="F31" s="12" t="n"/>
      <c r="G31" s="13" t="n"/>
      <c r="H31" s="15" t="n"/>
      <c r="I31" s="12" t="n"/>
      <c r="J31" s="12" t="n"/>
    </row>
    <row r="32" ht="22" customHeight="1">
      <c r="B32" s="20">
        <f>IF(C32="","CAT-"&amp;TEXT(COUNTA($C$5:C32),"000"))</f>
        <v/>
      </c>
      <c r="C32" s="16" t="n"/>
      <c r="D32" s="16" t="n"/>
      <c r="E32" s="16" t="n"/>
      <c r="F32" s="16" t="n"/>
      <c r="G32" s="17" t="n"/>
      <c r="H32" s="19" t="n"/>
      <c r="I32" s="16" t="n"/>
      <c r="J32" s="16" t="n"/>
    </row>
    <row r="33" ht="22" customHeight="1">
      <c r="B33" s="21">
        <f>IF(C33="","CAT-"&amp;TEXT(COUNTA($C$5:C33),"000"))</f>
        <v/>
      </c>
      <c r="C33" s="12" t="n"/>
      <c r="D33" s="12" t="n"/>
      <c r="E33" s="12" t="n"/>
      <c r="F33" s="12" t="n"/>
      <c r="G33" s="13" t="n"/>
      <c r="H33" s="15" t="n"/>
      <c r="I33" s="12" t="n"/>
      <c r="J33" s="12" t="n"/>
    </row>
    <row r="34" ht="22" customHeight="1">
      <c r="B34" s="20">
        <f>IF(C34="","CAT-"&amp;TEXT(COUNTA($C$5:C34),"000"))</f>
        <v/>
      </c>
      <c r="C34" s="16" t="n"/>
      <c r="D34" s="16" t="n"/>
      <c r="E34" s="16" t="n"/>
      <c r="F34" s="16" t="n"/>
      <c r="G34" s="17" t="n"/>
      <c r="H34" s="19" t="n"/>
      <c r="I34" s="16" t="n"/>
      <c r="J34" s="16" t="n"/>
    </row>
    <row r="35" ht="22" customHeight="1">
      <c r="B35" s="21">
        <f>IF(C35="","CAT-"&amp;TEXT(COUNTA($C$5:C35),"000"))</f>
        <v/>
      </c>
      <c r="C35" s="12" t="n"/>
      <c r="D35" s="12" t="n"/>
      <c r="E35" s="12" t="n"/>
      <c r="F35" s="12" t="n"/>
      <c r="G35" s="13" t="n"/>
      <c r="H35" s="15" t="n"/>
      <c r="I35" s="12" t="n"/>
      <c r="J35" s="12" t="n"/>
    </row>
    <row r="36" ht="22" customHeight="1">
      <c r="B36" s="20">
        <f>IF(C36="","CAT-"&amp;TEXT(COUNTA($C$5:C36),"000"))</f>
        <v/>
      </c>
      <c r="C36" s="16" t="n"/>
      <c r="D36" s="16" t="n"/>
      <c r="E36" s="16" t="n"/>
      <c r="F36" s="16" t="n"/>
      <c r="G36" s="17" t="n"/>
      <c r="H36" s="19" t="n"/>
      <c r="I36" s="16" t="n"/>
      <c r="J36" s="16" t="n"/>
    </row>
    <row r="37" ht="22" customHeight="1">
      <c r="B37" s="21">
        <f>IF(C37="","CAT-"&amp;TEXT(COUNTA($C$5:C37),"000"))</f>
        <v/>
      </c>
      <c r="C37" s="12" t="n"/>
      <c r="D37" s="12" t="n"/>
      <c r="E37" s="12" t="n"/>
      <c r="F37" s="12" t="n"/>
      <c r="G37" s="13" t="n"/>
      <c r="H37" s="15" t="n"/>
      <c r="I37" s="12" t="n"/>
      <c r="J37" s="12" t="n"/>
    </row>
    <row r="38" ht="22" customHeight="1">
      <c r="B38" s="20">
        <f>IF(C38="","CAT-"&amp;TEXT(COUNTA($C$5:C38),"000"))</f>
        <v/>
      </c>
      <c r="C38" s="16" t="n"/>
      <c r="D38" s="16" t="n"/>
      <c r="E38" s="16" t="n"/>
      <c r="F38" s="16" t="n"/>
      <c r="G38" s="17" t="n"/>
      <c r="H38" s="19" t="n"/>
      <c r="I38" s="16" t="n"/>
      <c r="J38" s="16" t="n"/>
    </row>
    <row r="39" ht="22" customHeight="1">
      <c r="B39" s="21">
        <f>IF(C39="","CAT-"&amp;TEXT(COUNTA($C$5:C39),"000"))</f>
        <v/>
      </c>
      <c r="C39" s="12" t="n"/>
      <c r="D39" s="12" t="n"/>
      <c r="E39" s="12" t="n"/>
      <c r="F39" s="12" t="n"/>
      <c r="G39" s="13" t="n"/>
      <c r="H39" s="15" t="n"/>
      <c r="I39" s="12" t="n"/>
      <c r="J39" s="12" t="n"/>
    </row>
    <row r="40" ht="22" customHeight="1">
      <c r="B40" s="20">
        <f>IF(C40="","CAT-"&amp;TEXT(COUNTA($C$5:C40),"000"))</f>
        <v/>
      </c>
      <c r="C40" s="16" t="n"/>
      <c r="D40" s="16" t="n"/>
      <c r="E40" s="16" t="n"/>
      <c r="F40" s="16" t="n"/>
      <c r="G40" s="17" t="n"/>
      <c r="H40" s="19" t="n"/>
      <c r="I40" s="16" t="n"/>
      <c r="J40" s="16" t="n"/>
    </row>
    <row r="41" ht="22" customHeight="1">
      <c r="B41" s="21">
        <f>IF(C41="","CAT-"&amp;TEXT(COUNTA($C$5:C41),"000"))</f>
        <v/>
      </c>
      <c r="C41" s="12" t="n"/>
      <c r="D41" s="12" t="n"/>
      <c r="E41" s="12" t="n"/>
      <c r="F41" s="12" t="n"/>
      <c r="G41" s="13" t="n"/>
      <c r="H41" s="15" t="n"/>
      <c r="I41" s="12" t="n"/>
      <c r="J41" s="12" t="n"/>
    </row>
    <row r="42" ht="22" customHeight="1">
      <c r="B42" s="20">
        <f>IF(C42="","CAT-"&amp;TEXT(COUNTA($C$5:C42),"000"))</f>
        <v/>
      </c>
      <c r="C42" s="16" t="n"/>
      <c r="D42" s="16" t="n"/>
      <c r="E42" s="16" t="n"/>
      <c r="F42" s="16" t="n"/>
      <c r="G42" s="17" t="n"/>
      <c r="H42" s="19" t="n"/>
      <c r="I42" s="16" t="n"/>
      <c r="J42" s="16" t="n"/>
    </row>
    <row r="43" ht="22" customHeight="1">
      <c r="B43" s="21">
        <f>IF(C43="","CAT-"&amp;TEXT(COUNTA($C$5:C43),"000"))</f>
        <v/>
      </c>
      <c r="C43" s="12" t="n"/>
      <c r="D43" s="12" t="n"/>
      <c r="E43" s="12" t="n"/>
      <c r="F43" s="12" t="n"/>
      <c r="G43" s="13" t="n"/>
      <c r="H43" s="15" t="n"/>
      <c r="I43" s="12" t="n"/>
      <c r="J43" s="12" t="n"/>
    </row>
    <row r="44" ht="22" customHeight="1">
      <c r="B44" s="20">
        <f>IF(C44="","CAT-"&amp;TEXT(COUNTA($C$5:C44),"000"))</f>
        <v/>
      </c>
      <c r="C44" s="16" t="n"/>
      <c r="D44" s="16" t="n"/>
      <c r="E44" s="16" t="n"/>
      <c r="F44" s="16" t="n"/>
      <c r="G44" s="17" t="n"/>
      <c r="H44" s="19" t="n"/>
      <c r="I44" s="16" t="n"/>
      <c r="J44" s="16" t="n"/>
    </row>
    <row r="45" ht="22" customHeight="1">
      <c r="B45" s="21">
        <f>IF(C45="","CAT-"&amp;TEXT(COUNTA($C$5:C45),"000"))</f>
        <v/>
      </c>
      <c r="C45" s="12" t="n"/>
      <c r="D45" s="12" t="n"/>
      <c r="E45" s="12" t="n"/>
      <c r="F45" s="12" t="n"/>
      <c r="G45" s="13" t="n"/>
      <c r="H45" s="15" t="n"/>
      <c r="I45" s="12" t="n"/>
      <c r="J45" s="12" t="n"/>
    </row>
    <row r="46" ht="22" customHeight="1">
      <c r="B46" s="20">
        <f>IF(C46="","CAT-"&amp;TEXT(COUNTA($C$5:C46),"000"))</f>
        <v/>
      </c>
      <c r="C46" s="16" t="n"/>
      <c r="D46" s="16" t="n"/>
      <c r="E46" s="16" t="n"/>
      <c r="F46" s="16" t="n"/>
      <c r="G46" s="17" t="n"/>
      <c r="H46" s="19" t="n"/>
      <c r="I46" s="16" t="n"/>
      <c r="J46" s="16" t="n"/>
    </row>
    <row r="47" ht="22" customHeight="1">
      <c r="B47" s="21">
        <f>IF(C47="","CAT-"&amp;TEXT(COUNTA($C$5:C47),"000"))</f>
        <v/>
      </c>
      <c r="C47" s="12" t="n"/>
      <c r="D47" s="12" t="n"/>
      <c r="E47" s="12" t="n"/>
      <c r="F47" s="12" t="n"/>
      <c r="G47" s="13" t="n"/>
      <c r="H47" s="15" t="n"/>
      <c r="I47" s="12" t="n"/>
      <c r="J47" s="12" t="n"/>
    </row>
    <row r="48" ht="22" customHeight="1">
      <c r="B48" s="20">
        <f>IF(C48="","CAT-"&amp;TEXT(COUNTA($C$5:C48),"000"))</f>
        <v/>
      </c>
      <c r="C48" s="16" t="n"/>
      <c r="D48" s="16" t="n"/>
      <c r="E48" s="16" t="n"/>
      <c r="F48" s="16" t="n"/>
      <c r="G48" s="17" t="n"/>
      <c r="H48" s="19" t="n"/>
      <c r="I48" s="16" t="n"/>
      <c r="J48" s="16" t="n"/>
    </row>
    <row r="49" ht="22" customHeight="1">
      <c r="B49" s="21">
        <f>IF(C49="","CAT-"&amp;TEXT(COUNTA($C$5:C49),"000"))</f>
        <v/>
      </c>
      <c r="C49" s="12" t="n"/>
      <c r="D49" s="12" t="n"/>
      <c r="E49" s="12" t="n"/>
      <c r="F49" s="12" t="n"/>
      <c r="G49" s="13" t="n"/>
      <c r="H49" s="15" t="n"/>
      <c r="I49" s="12" t="n"/>
      <c r="J49" s="12" t="n"/>
    </row>
    <row r="50" ht="22" customHeight="1">
      <c r="B50" s="20">
        <f>IF(C50="","CAT-"&amp;TEXT(COUNTA($C$5:C50),"000"))</f>
        <v/>
      </c>
      <c r="C50" s="16" t="n"/>
      <c r="D50" s="16" t="n"/>
      <c r="E50" s="16" t="n"/>
      <c r="F50" s="16" t="n"/>
      <c r="G50" s="17" t="n"/>
      <c r="H50" s="19" t="n"/>
      <c r="I50" s="16" t="n"/>
      <c r="J50" s="16" t="n"/>
    </row>
    <row r="51" ht="22" customHeight="1">
      <c r="B51" s="21">
        <f>IF(C51="","CAT-"&amp;TEXT(COUNTA($C$5:C51),"000"))</f>
        <v/>
      </c>
      <c r="C51" s="12" t="n"/>
      <c r="D51" s="12" t="n"/>
      <c r="E51" s="12" t="n"/>
      <c r="F51" s="12" t="n"/>
      <c r="G51" s="13" t="n"/>
      <c r="H51" s="15" t="n"/>
      <c r="I51" s="12" t="n"/>
      <c r="J51" s="12" t="n"/>
    </row>
    <row r="52" ht="22" customHeight="1">
      <c r="B52" s="20">
        <f>IF(C52="","CAT-"&amp;TEXT(COUNTA($C$5:C52),"000"))</f>
        <v/>
      </c>
      <c r="C52" s="16" t="n"/>
      <c r="D52" s="16" t="n"/>
      <c r="E52" s="16" t="n"/>
      <c r="F52" s="16" t="n"/>
      <c r="G52" s="17" t="n"/>
      <c r="H52" s="19" t="n"/>
      <c r="I52" s="16" t="n"/>
      <c r="J52" s="16" t="n"/>
    </row>
    <row r="53" ht="22" customHeight="1">
      <c r="B53" s="21">
        <f>IF(C53="","CAT-"&amp;TEXT(COUNTA($C$5:C53),"000"))</f>
        <v/>
      </c>
      <c r="C53" s="12" t="n"/>
      <c r="D53" s="12" t="n"/>
      <c r="E53" s="12" t="n"/>
      <c r="F53" s="12" t="n"/>
      <c r="G53" s="13" t="n"/>
      <c r="H53" s="15" t="n"/>
      <c r="I53" s="12" t="n"/>
      <c r="J53" s="12" t="n"/>
    </row>
    <row r="54" ht="22" customHeight="1">
      <c r="B54" s="20">
        <f>IF(C54="","CAT-"&amp;TEXT(COUNTA($C$5:C54),"000"))</f>
        <v/>
      </c>
      <c r="C54" s="16" t="n"/>
      <c r="D54" s="16" t="n"/>
      <c r="E54" s="16" t="n"/>
      <c r="F54" s="16" t="n"/>
      <c r="G54" s="17" t="n"/>
      <c r="H54" s="19" t="n"/>
      <c r="I54" s="16" t="n"/>
      <c r="J54" s="16" t="n"/>
    </row>
    <row r="55" ht="22" customHeight="1">
      <c r="B55" s="21">
        <f>IF(C55="","CAT-"&amp;TEXT(COUNTA($C$5:C55),"000"))</f>
        <v/>
      </c>
      <c r="C55" s="12" t="n"/>
      <c r="D55" s="12" t="n"/>
      <c r="E55" s="12" t="n"/>
      <c r="F55" s="12" t="n"/>
      <c r="G55" s="13" t="n"/>
      <c r="H55" s="15" t="n"/>
      <c r="I55" s="12" t="n"/>
      <c r="J55" s="12" t="n"/>
    </row>
    <row r="56" ht="22" customHeight="1">
      <c r="B56" s="20">
        <f>IF(C56="","CAT-"&amp;TEXT(COUNTA($C$5:C56),"000"))</f>
        <v/>
      </c>
      <c r="C56" s="16" t="n"/>
      <c r="D56" s="16" t="n"/>
      <c r="E56" s="16" t="n"/>
      <c r="F56" s="16" t="n"/>
      <c r="G56" s="17" t="n"/>
      <c r="H56" s="19" t="n"/>
      <c r="I56" s="16" t="n"/>
      <c r="J56" s="16" t="n"/>
    </row>
    <row r="57" ht="22" customHeight="1">
      <c r="B57" s="21">
        <f>IF(C57="","CAT-"&amp;TEXT(COUNTA($C$5:C57),"000"))</f>
        <v/>
      </c>
      <c r="C57" s="12" t="n"/>
      <c r="D57" s="12" t="n"/>
      <c r="E57" s="12" t="n"/>
      <c r="F57" s="12" t="n"/>
      <c r="G57" s="13" t="n"/>
      <c r="H57" s="15" t="n"/>
      <c r="I57" s="12" t="n"/>
      <c r="J57" s="12" t="n"/>
    </row>
    <row r="58" ht="22" customHeight="1">
      <c r="B58" s="20">
        <f>IF(C58="","CAT-"&amp;TEXT(COUNTA($C$5:C58),"000"))</f>
        <v/>
      </c>
      <c r="C58" s="16" t="n"/>
      <c r="D58" s="16" t="n"/>
      <c r="E58" s="16" t="n"/>
      <c r="F58" s="16" t="n"/>
      <c r="G58" s="17" t="n"/>
      <c r="H58" s="19" t="n"/>
      <c r="I58" s="16" t="n"/>
      <c r="J58" s="16" t="n"/>
    </row>
    <row r="59" ht="22" customHeight="1">
      <c r="B59" s="21">
        <f>IF(C59="","CAT-"&amp;TEXT(COUNTA($C$5:C59),"000"))</f>
        <v/>
      </c>
      <c r="C59" s="12" t="n"/>
      <c r="D59" s="12" t="n"/>
      <c r="E59" s="12" t="n"/>
      <c r="F59" s="12" t="n"/>
      <c r="G59" s="13" t="n"/>
      <c r="H59" s="15" t="n"/>
      <c r="I59" s="12" t="n"/>
      <c r="J59" s="12" t="n"/>
    </row>
    <row r="60" ht="22" customHeight="1">
      <c r="B60" s="20">
        <f>IF(C60="","CAT-"&amp;TEXT(COUNTA($C$5:C60),"000"))</f>
        <v/>
      </c>
      <c r="C60" s="16" t="n"/>
      <c r="D60" s="16" t="n"/>
      <c r="E60" s="16" t="n"/>
      <c r="F60" s="16" t="n"/>
      <c r="G60" s="17" t="n"/>
      <c r="H60" s="19" t="n"/>
      <c r="I60" s="16" t="n"/>
      <c r="J60" s="16" t="n"/>
    </row>
    <row r="61" ht="22" customHeight="1">
      <c r="B61" s="21">
        <f>IF(C61="","CAT-"&amp;TEXT(COUNTA($C$5:C61),"000"))</f>
        <v/>
      </c>
      <c r="C61" s="12" t="n"/>
      <c r="D61" s="12" t="n"/>
      <c r="E61" s="12" t="n"/>
      <c r="F61" s="12" t="n"/>
      <c r="G61" s="13" t="n"/>
      <c r="H61" s="15" t="n"/>
      <c r="I61" s="12" t="n"/>
      <c r="J61" s="12" t="n"/>
    </row>
    <row r="62" ht="22" customHeight="1">
      <c r="B62" s="20">
        <f>IF(C62="","CAT-"&amp;TEXT(COUNTA($C$5:C62),"000"))</f>
        <v/>
      </c>
      <c r="C62" s="16" t="n"/>
      <c r="D62" s="16" t="n"/>
      <c r="E62" s="16" t="n"/>
      <c r="F62" s="16" t="n"/>
      <c r="G62" s="17" t="n"/>
      <c r="H62" s="19" t="n"/>
      <c r="I62" s="16" t="n"/>
      <c r="J62" s="16" t="n"/>
    </row>
    <row r="63" ht="22" customHeight="1">
      <c r="B63" s="21">
        <f>IF(C63="","CAT-"&amp;TEXT(COUNTA($C$5:C63),"000"))</f>
        <v/>
      </c>
      <c r="C63" s="12" t="n"/>
      <c r="D63" s="12" t="n"/>
      <c r="E63" s="12" t="n"/>
      <c r="F63" s="12" t="n"/>
      <c r="G63" s="13" t="n"/>
      <c r="H63" s="15" t="n"/>
      <c r="I63" s="12" t="n"/>
      <c r="J63" s="12" t="n"/>
    </row>
    <row r="64" ht="22" customHeight="1">
      <c r="B64" s="20">
        <f>IF(C64="","CAT-"&amp;TEXT(COUNTA($C$5:C64),"000"))</f>
        <v/>
      </c>
      <c r="C64" s="16" t="n"/>
      <c r="D64" s="16" t="n"/>
      <c r="E64" s="16" t="n"/>
      <c r="F64" s="16" t="n"/>
      <c r="G64" s="17" t="n"/>
      <c r="H64" s="19" t="n"/>
      <c r="I64" s="16" t="n"/>
      <c r="J64" s="16" t="n"/>
    </row>
    <row r="65" ht="22" customHeight="1">
      <c r="B65" s="21">
        <f>IF(C65="","CAT-"&amp;TEXT(COUNTA($C$5:C65),"000"))</f>
        <v/>
      </c>
      <c r="C65" s="12" t="n"/>
      <c r="D65" s="12" t="n"/>
      <c r="E65" s="12" t="n"/>
      <c r="F65" s="12" t="n"/>
      <c r="G65" s="13" t="n"/>
      <c r="H65" s="15" t="n"/>
      <c r="I65" s="12" t="n"/>
      <c r="J65" s="12" t="n"/>
    </row>
    <row r="66" ht="22" customHeight="1">
      <c r="B66" s="20">
        <f>IF(C66="","CAT-"&amp;TEXT(COUNTA($C$5:C66),"000"))</f>
        <v/>
      </c>
      <c r="C66" s="16" t="n"/>
      <c r="D66" s="16" t="n"/>
      <c r="E66" s="16" t="n"/>
      <c r="F66" s="16" t="n"/>
      <c r="G66" s="17" t="n"/>
      <c r="H66" s="19" t="n"/>
      <c r="I66" s="16" t="n"/>
      <c r="J66" s="16" t="n"/>
    </row>
    <row r="67" ht="22" customHeight="1">
      <c r="B67" s="21">
        <f>IF(C67="","CAT-"&amp;TEXT(COUNTA($C$5:C67),"000"))</f>
        <v/>
      </c>
      <c r="C67" s="12" t="n"/>
      <c r="D67" s="12" t="n"/>
      <c r="E67" s="12" t="n"/>
      <c r="F67" s="12" t="n"/>
      <c r="G67" s="13" t="n"/>
      <c r="H67" s="15" t="n"/>
      <c r="I67" s="12" t="n"/>
      <c r="J67" s="12" t="n"/>
    </row>
    <row r="68" ht="22" customHeight="1">
      <c r="B68" s="20">
        <f>IF(C68="","CAT-"&amp;TEXT(COUNTA($C$5:C68),"000"))</f>
        <v/>
      </c>
      <c r="C68" s="16" t="n"/>
      <c r="D68" s="16" t="n"/>
      <c r="E68" s="16" t="n"/>
      <c r="F68" s="16" t="n"/>
      <c r="G68" s="17" t="n"/>
      <c r="H68" s="19" t="n"/>
      <c r="I68" s="16" t="n"/>
      <c r="J68" s="16" t="n"/>
    </row>
    <row r="69" ht="22" customHeight="1">
      <c r="B69" s="21">
        <f>IF(C69="","CAT-"&amp;TEXT(COUNTA($C$5:C69),"000"))</f>
        <v/>
      </c>
      <c r="C69" s="12" t="n"/>
      <c r="D69" s="12" t="n"/>
      <c r="E69" s="12" t="n"/>
      <c r="F69" s="12" t="n"/>
      <c r="G69" s="13" t="n"/>
      <c r="H69" s="15" t="n"/>
      <c r="I69" s="12" t="n"/>
      <c r="J69" s="12" t="n"/>
    </row>
    <row r="70" ht="22" customHeight="1">
      <c r="B70" s="20">
        <f>IF(C70="","CAT-"&amp;TEXT(COUNTA($C$5:C70),"000"))</f>
        <v/>
      </c>
      <c r="C70" s="16" t="n"/>
      <c r="D70" s="16" t="n"/>
      <c r="E70" s="16" t="n"/>
      <c r="F70" s="16" t="n"/>
      <c r="G70" s="17" t="n"/>
      <c r="H70" s="19" t="n"/>
      <c r="I70" s="16" t="n"/>
      <c r="J70" s="16" t="n"/>
    </row>
    <row r="71" ht="22" customHeight="1">
      <c r="B71" s="21">
        <f>IF(C71="","CAT-"&amp;TEXT(COUNTA($C$5:C71),"000"))</f>
        <v/>
      </c>
      <c r="C71" s="12" t="n"/>
      <c r="D71" s="12" t="n"/>
      <c r="E71" s="12" t="n"/>
      <c r="F71" s="12" t="n"/>
      <c r="G71" s="13" t="n"/>
      <c r="H71" s="15" t="n"/>
      <c r="I71" s="12" t="n"/>
      <c r="J71" s="12" t="n"/>
    </row>
    <row r="72" ht="22" customHeight="1">
      <c r="B72" s="20">
        <f>IF(C72="","CAT-"&amp;TEXT(COUNTA($C$5:C72),"000"))</f>
        <v/>
      </c>
      <c r="C72" s="16" t="n"/>
      <c r="D72" s="16" t="n"/>
      <c r="E72" s="16" t="n"/>
      <c r="F72" s="16" t="n"/>
      <c r="G72" s="17" t="n"/>
      <c r="H72" s="19" t="n"/>
      <c r="I72" s="16" t="n"/>
      <c r="J72" s="16" t="n"/>
    </row>
    <row r="73" ht="22" customHeight="1">
      <c r="B73" s="21">
        <f>IF(C73="","CAT-"&amp;TEXT(COUNTA($C$5:C73),"000"))</f>
        <v/>
      </c>
      <c r="C73" s="12" t="n"/>
      <c r="D73" s="12" t="n"/>
      <c r="E73" s="12" t="n"/>
      <c r="F73" s="12" t="n"/>
      <c r="G73" s="13" t="n"/>
      <c r="H73" s="15" t="n"/>
      <c r="I73" s="12" t="n"/>
      <c r="J73" s="12" t="n"/>
    </row>
    <row r="74" ht="22" customHeight="1">
      <c r="B74" s="20">
        <f>IF(C74="","CAT-"&amp;TEXT(COUNTA($C$5:C74),"000"))</f>
        <v/>
      </c>
      <c r="C74" s="16" t="n"/>
      <c r="D74" s="16" t="n"/>
      <c r="E74" s="16" t="n"/>
      <c r="F74" s="16" t="n"/>
      <c r="G74" s="17" t="n"/>
      <c r="H74" s="19" t="n"/>
      <c r="I74" s="16" t="n"/>
      <c r="J74" s="16" t="n"/>
    </row>
    <row r="75" ht="22" customHeight="1">
      <c r="B75" s="21">
        <f>IF(C75="","CAT-"&amp;TEXT(COUNTA($C$5:C75),"000"))</f>
        <v/>
      </c>
      <c r="C75" s="12" t="n"/>
      <c r="D75" s="12" t="n"/>
      <c r="E75" s="12" t="n"/>
      <c r="F75" s="12" t="n"/>
      <c r="G75" s="13" t="n"/>
      <c r="H75" s="15" t="n"/>
      <c r="I75" s="12" t="n"/>
      <c r="J75" s="12" t="n"/>
    </row>
    <row r="76" ht="22" customHeight="1">
      <c r="B76" s="20">
        <f>IF(C76="","CAT-"&amp;TEXT(COUNTA($C$5:C76),"000"))</f>
        <v/>
      </c>
      <c r="C76" s="16" t="n"/>
      <c r="D76" s="16" t="n"/>
      <c r="E76" s="16" t="n"/>
      <c r="F76" s="16" t="n"/>
      <c r="G76" s="17" t="n"/>
      <c r="H76" s="19" t="n"/>
      <c r="I76" s="16" t="n"/>
      <c r="J76" s="16" t="n"/>
    </row>
    <row r="77" ht="22" customHeight="1">
      <c r="B77" s="21">
        <f>IF(C77="","CAT-"&amp;TEXT(COUNTA($C$5:C77),"000"))</f>
        <v/>
      </c>
      <c r="C77" s="12" t="n"/>
      <c r="D77" s="12" t="n"/>
      <c r="E77" s="12" t="n"/>
      <c r="F77" s="12" t="n"/>
      <c r="G77" s="13" t="n"/>
      <c r="H77" s="15" t="n"/>
      <c r="I77" s="12" t="n"/>
      <c r="J77" s="12" t="n"/>
    </row>
    <row r="78" ht="22" customHeight="1">
      <c r="B78" s="20">
        <f>IF(C78="","CAT-"&amp;TEXT(COUNTA($C$5:C78),"000"))</f>
        <v/>
      </c>
      <c r="C78" s="16" t="n"/>
      <c r="D78" s="16" t="n"/>
      <c r="E78" s="16" t="n"/>
      <c r="F78" s="16" t="n"/>
      <c r="G78" s="17" t="n"/>
      <c r="H78" s="19" t="n"/>
      <c r="I78" s="16" t="n"/>
      <c r="J78" s="16" t="n"/>
    </row>
    <row r="79" ht="22" customHeight="1">
      <c r="B79" s="21">
        <f>IF(C79="","CAT-"&amp;TEXT(COUNTA($C$5:C79),"000"))</f>
        <v/>
      </c>
      <c r="C79" s="12" t="n"/>
      <c r="D79" s="12" t="n"/>
      <c r="E79" s="12" t="n"/>
      <c r="F79" s="12" t="n"/>
      <c r="G79" s="13" t="n"/>
      <c r="H79" s="15" t="n"/>
      <c r="I79" s="12" t="n"/>
      <c r="J79" s="12" t="n"/>
    </row>
    <row r="80" ht="22" customHeight="1">
      <c r="B80" s="20">
        <f>IF(C80="","CAT-"&amp;TEXT(COUNTA($C$5:C80),"000"))</f>
        <v/>
      </c>
      <c r="C80" s="16" t="n"/>
      <c r="D80" s="16" t="n"/>
      <c r="E80" s="16" t="n"/>
      <c r="F80" s="16" t="n"/>
      <c r="G80" s="17" t="n"/>
      <c r="H80" s="19" t="n"/>
      <c r="I80" s="16" t="n"/>
      <c r="J80" s="16" t="n"/>
    </row>
    <row r="81" ht="22" customHeight="1">
      <c r="B81" s="21">
        <f>IF(C81="","CAT-"&amp;TEXT(COUNTA($C$5:C81),"000"))</f>
        <v/>
      </c>
      <c r="C81" s="12" t="n"/>
      <c r="D81" s="12" t="n"/>
      <c r="E81" s="12" t="n"/>
      <c r="F81" s="12" t="n"/>
      <c r="G81" s="13" t="n"/>
      <c r="H81" s="15" t="n"/>
      <c r="I81" s="12" t="n"/>
      <c r="J81" s="12" t="n"/>
    </row>
    <row r="82" ht="22" customHeight="1">
      <c r="B82" s="20">
        <f>IF(C82="","CAT-"&amp;TEXT(COUNTA($C$5:C82),"000"))</f>
        <v/>
      </c>
      <c r="C82" s="16" t="n"/>
      <c r="D82" s="16" t="n"/>
      <c r="E82" s="16" t="n"/>
      <c r="F82" s="16" t="n"/>
      <c r="G82" s="17" t="n"/>
      <c r="H82" s="19" t="n"/>
      <c r="I82" s="16" t="n"/>
      <c r="J82" s="16" t="n"/>
    </row>
    <row r="83" ht="22" customHeight="1">
      <c r="B83" s="21">
        <f>IF(C83="","CAT-"&amp;TEXT(COUNTA($C$5:C83),"000"))</f>
        <v/>
      </c>
      <c r="C83" s="12" t="n"/>
      <c r="D83" s="12" t="n"/>
      <c r="E83" s="12" t="n"/>
      <c r="F83" s="12" t="n"/>
      <c r="G83" s="13" t="n"/>
      <c r="H83" s="15" t="n"/>
      <c r="I83" s="12" t="n"/>
      <c r="J83" s="12" t="n"/>
    </row>
    <row r="84" ht="22" customHeight="1">
      <c r="B84" s="20">
        <f>IF(C84="","CAT-"&amp;TEXT(COUNTA($C$5:C84),"000"))</f>
        <v/>
      </c>
      <c r="C84" s="16" t="n"/>
      <c r="D84" s="16" t="n"/>
      <c r="E84" s="16" t="n"/>
      <c r="F84" s="16" t="n"/>
      <c r="G84" s="17" t="n"/>
      <c r="H84" s="19" t="n"/>
      <c r="I84" s="16" t="n"/>
      <c r="J84" s="16" t="n"/>
    </row>
    <row r="85" ht="22" customHeight="1">
      <c r="B85" s="21">
        <f>IF(C85="","CAT-"&amp;TEXT(COUNTA($C$5:C85),"000"))</f>
        <v/>
      </c>
      <c r="C85" s="12" t="n"/>
      <c r="D85" s="12" t="n"/>
      <c r="E85" s="12" t="n"/>
      <c r="F85" s="12" t="n"/>
      <c r="G85" s="13" t="n"/>
      <c r="H85" s="15" t="n"/>
      <c r="I85" s="12" t="n"/>
      <c r="J85" s="12" t="n"/>
    </row>
    <row r="86" ht="22" customHeight="1">
      <c r="B86" s="20">
        <f>IF(C86="","CAT-"&amp;TEXT(COUNTA($C$5:C86),"000"))</f>
        <v/>
      </c>
      <c r="C86" s="16" t="n"/>
      <c r="D86" s="16" t="n"/>
      <c r="E86" s="16" t="n"/>
      <c r="F86" s="16" t="n"/>
      <c r="G86" s="17" t="n"/>
      <c r="H86" s="19" t="n"/>
      <c r="I86" s="16" t="n"/>
      <c r="J86" s="16" t="n"/>
    </row>
    <row r="87" ht="22" customHeight="1">
      <c r="B87" s="21">
        <f>IF(C87="","CAT-"&amp;TEXT(COUNTA($C$5:C87),"000"))</f>
        <v/>
      </c>
      <c r="C87" s="12" t="n"/>
      <c r="D87" s="12" t="n"/>
      <c r="E87" s="12" t="n"/>
      <c r="F87" s="12" t="n"/>
      <c r="G87" s="13" t="n"/>
      <c r="H87" s="15" t="n"/>
      <c r="I87" s="12" t="n"/>
      <c r="J87" s="12" t="n"/>
    </row>
    <row r="88" ht="22" customHeight="1">
      <c r="B88" s="20">
        <f>IF(C88="","CAT-"&amp;TEXT(COUNTA($C$5:C88),"000"))</f>
        <v/>
      </c>
      <c r="C88" s="16" t="n"/>
      <c r="D88" s="16" t="n"/>
      <c r="E88" s="16" t="n"/>
      <c r="F88" s="16" t="n"/>
      <c r="G88" s="17" t="n"/>
      <c r="H88" s="19" t="n"/>
      <c r="I88" s="16" t="n"/>
      <c r="J88" s="16" t="n"/>
    </row>
    <row r="89" ht="22" customHeight="1">
      <c r="B89" s="21">
        <f>IF(C89="","CAT-"&amp;TEXT(COUNTA($C$5:C89),"000"))</f>
        <v/>
      </c>
      <c r="C89" s="12" t="n"/>
      <c r="D89" s="12" t="n"/>
      <c r="E89" s="12" t="n"/>
      <c r="F89" s="12" t="n"/>
      <c r="G89" s="13" t="n"/>
      <c r="H89" s="15" t="n"/>
      <c r="I89" s="12" t="n"/>
      <c r="J89" s="12" t="n"/>
    </row>
    <row r="90" ht="22" customHeight="1">
      <c r="B90" s="20">
        <f>IF(C90="","CAT-"&amp;TEXT(COUNTA($C$5:C90),"000"))</f>
        <v/>
      </c>
      <c r="C90" s="16" t="n"/>
      <c r="D90" s="16" t="n"/>
      <c r="E90" s="16" t="n"/>
      <c r="F90" s="16" t="n"/>
      <c r="G90" s="17" t="n"/>
      <c r="H90" s="19" t="n"/>
      <c r="I90" s="16" t="n"/>
      <c r="J90" s="16" t="n"/>
    </row>
    <row r="91" ht="22" customHeight="1">
      <c r="B91" s="21">
        <f>IF(C91="","CAT-"&amp;TEXT(COUNTA($C$5:C91),"000"))</f>
        <v/>
      </c>
      <c r="C91" s="12" t="n"/>
      <c r="D91" s="12" t="n"/>
      <c r="E91" s="12" t="n"/>
      <c r="F91" s="12" t="n"/>
      <c r="G91" s="13" t="n"/>
      <c r="H91" s="15" t="n"/>
      <c r="I91" s="12" t="n"/>
      <c r="J91" s="12" t="n"/>
    </row>
    <row r="92" ht="22" customHeight="1">
      <c r="B92" s="20">
        <f>IF(C92="","CAT-"&amp;TEXT(COUNTA($C$5:C92),"000"))</f>
        <v/>
      </c>
      <c r="C92" s="16" t="n"/>
      <c r="D92" s="16" t="n"/>
      <c r="E92" s="16" t="n"/>
      <c r="F92" s="16" t="n"/>
      <c r="G92" s="17" t="n"/>
      <c r="H92" s="19" t="n"/>
      <c r="I92" s="16" t="n"/>
      <c r="J92" s="16" t="n"/>
    </row>
    <row r="93" ht="22" customHeight="1">
      <c r="B93" s="21">
        <f>IF(C93="","CAT-"&amp;TEXT(COUNTA($C$5:C93),"000"))</f>
        <v/>
      </c>
      <c r="C93" s="12" t="n"/>
      <c r="D93" s="12" t="n"/>
      <c r="E93" s="12" t="n"/>
      <c r="F93" s="12" t="n"/>
      <c r="G93" s="13" t="n"/>
      <c r="H93" s="15" t="n"/>
      <c r="I93" s="12" t="n"/>
      <c r="J93" s="12" t="n"/>
    </row>
    <row r="94" ht="22" customHeight="1">
      <c r="B94" s="20">
        <f>IF(C94="","CAT-"&amp;TEXT(COUNTA($C$5:C94),"000"))</f>
        <v/>
      </c>
      <c r="C94" s="16" t="n"/>
      <c r="D94" s="16" t="n"/>
      <c r="E94" s="16" t="n"/>
      <c r="F94" s="16" t="n"/>
      <c r="G94" s="17" t="n"/>
      <c r="H94" s="19" t="n"/>
      <c r="I94" s="16" t="n"/>
      <c r="J94" s="16" t="n"/>
    </row>
    <row r="95" ht="22" customHeight="1">
      <c r="B95" s="21">
        <f>IF(C95="","CAT-"&amp;TEXT(COUNTA($C$5:C95),"000"))</f>
        <v/>
      </c>
      <c r="C95" s="12" t="n"/>
      <c r="D95" s="12" t="n"/>
      <c r="E95" s="12" t="n"/>
      <c r="F95" s="12" t="n"/>
      <c r="G95" s="13" t="n"/>
      <c r="H95" s="15" t="n"/>
      <c r="I95" s="12" t="n"/>
      <c r="J95" s="12" t="n"/>
    </row>
    <row r="96" ht="22" customHeight="1">
      <c r="B96" s="20">
        <f>IF(C96="","CAT-"&amp;TEXT(COUNTA($C$5:C96),"000"))</f>
        <v/>
      </c>
      <c r="C96" s="16" t="n"/>
      <c r="D96" s="16" t="n"/>
      <c r="E96" s="16" t="n"/>
      <c r="F96" s="16" t="n"/>
      <c r="G96" s="17" t="n"/>
      <c r="H96" s="19" t="n"/>
      <c r="I96" s="16" t="n"/>
      <c r="J96" s="16" t="n"/>
    </row>
    <row r="97" ht="22" customHeight="1">
      <c r="B97" s="21">
        <f>IF(C97="","CAT-"&amp;TEXT(COUNTA($C$5:C97),"000"))</f>
        <v/>
      </c>
      <c r="C97" s="12" t="n"/>
      <c r="D97" s="12" t="n"/>
      <c r="E97" s="12" t="n"/>
      <c r="F97" s="12" t="n"/>
      <c r="G97" s="13" t="n"/>
      <c r="H97" s="15" t="n"/>
      <c r="I97" s="12" t="n"/>
      <c r="J97" s="12" t="n"/>
    </row>
    <row r="98" ht="22" customHeight="1">
      <c r="B98" s="20">
        <f>IF(C98="","CAT-"&amp;TEXT(COUNTA($C$5:C98),"000"))</f>
        <v/>
      </c>
      <c r="C98" s="16" t="n"/>
      <c r="D98" s="16" t="n"/>
      <c r="E98" s="16" t="n"/>
      <c r="F98" s="16" t="n"/>
      <c r="G98" s="17" t="n"/>
      <c r="H98" s="19" t="n"/>
      <c r="I98" s="16" t="n"/>
      <c r="J98" s="16" t="n"/>
    </row>
    <row r="99" ht="22" customHeight="1">
      <c r="B99" s="21">
        <f>IF(C99="","CAT-"&amp;TEXT(COUNTA($C$5:C99),"000"))</f>
        <v/>
      </c>
      <c r="C99" s="12" t="n"/>
      <c r="D99" s="12" t="n"/>
      <c r="E99" s="12" t="n"/>
      <c r="F99" s="12" t="n"/>
      <c r="G99" s="13" t="n"/>
      <c r="H99" s="15" t="n"/>
      <c r="I99" s="12" t="n"/>
      <c r="J99" s="12" t="n"/>
    </row>
    <row r="100" ht="22" customHeight="1">
      <c r="B100" s="20">
        <f>IF(C100="","CAT-"&amp;TEXT(COUNTA($C$5:C100),"000"))</f>
        <v/>
      </c>
      <c r="C100" s="16" t="n"/>
      <c r="D100" s="16" t="n"/>
      <c r="E100" s="16" t="n"/>
      <c r="F100" s="16" t="n"/>
      <c r="G100" s="17" t="n"/>
      <c r="H100" s="19" t="n"/>
      <c r="I100" s="16" t="n"/>
      <c r="J100" s="16" t="n"/>
    </row>
    <row r="101" ht="22" customHeight="1">
      <c r="B101" s="21">
        <f>IF(C101="","CAT-"&amp;TEXT(COUNTA($C$5:C101),"000"))</f>
        <v/>
      </c>
      <c r="C101" s="12" t="n"/>
      <c r="D101" s="12" t="n"/>
      <c r="E101" s="12" t="n"/>
      <c r="F101" s="12" t="n"/>
      <c r="G101" s="13" t="n"/>
      <c r="H101" s="15" t="n"/>
      <c r="I101" s="12" t="n"/>
      <c r="J101" s="12" t="n"/>
    </row>
    <row r="102" ht="22" customHeight="1">
      <c r="B102" s="20">
        <f>IF(C102="","CAT-"&amp;TEXT(COUNTA($C$5:C102),"000"))</f>
        <v/>
      </c>
      <c r="C102" s="16" t="n"/>
      <c r="D102" s="16" t="n"/>
      <c r="E102" s="16" t="n"/>
      <c r="F102" s="16" t="n"/>
      <c r="G102" s="17" t="n"/>
      <c r="H102" s="19" t="n"/>
      <c r="I102" s="16" t="n"/>
      <c r="J102" s="16" t="n"/>
    </row>
    <row r="103" ht="22" customHeight="1">
      <c r="B103" s="21">
        <f>IF(C103="","CAT-"&amp;TEXT(COUNTA($C$5:C103),"000"))</f>
        <v/>
      </c>
      <c r="C103" s="12" t="n"/>
      <c r="D103" s="12" t="n"/>
      <c r="E103" s="12" t="n"/>
      <c r="F103" s="12" t="n"/>
      <c r="G103" s="13" t="n"/>
      <c r="H103" s="15" t="n"/>
      <c r="I103" s="12" t="n"/>
      <c r="J103" s="12" t="n"/>
    </row>
    <row r="104" ht="22" customHeight="1">
      <c r="B104" s="20">
        <f>IF(C104="","CAT-"&amp;TEXT(COUNTA($C$5:C104),"000"))</f>
        <v/>
      </c>
      <c r="C104" s="16" t="n"/>
      <c r="D104" s="16" t="n"/>
      <c r="E104" s="16" t="n"/>
      <c r="F104" s="16" t="n"/>
      <c r="G104" s="17" t="n"/>
      <c r="H104" s="19" t="n"/>
      <c r="I104" s="16" t="n"/>
      <c r="J104" s="16" t="n"/>
    </row>
    <row r="105" ht="22" customHeight="1">
      <c r="B105" s="21">
        <f>IF(C105="","CAT-"&amp;TEXT(COUNTA($C$5:C105),"000"))</f>
        <v/>
      </c>
      <c r="C105" s="12" t="n"/>
      <c r="D105" s="12" t="n"/>
      <c r="E105" s="12" t="n"/>
      <c r="F105" s="12" t="n"/>
      <c r="G105" s="13" t="n"/>
      <c r="H105" s="15" t="n"/>
      <c r="I105" s="12" t="n"/>
      <c r="J105" s="12" t="n"/>
    </row>
    <row r="106" ht="22" customHeight="1">
      <c r="B106" s="20">
        <f>IF(C106="","CAT-"&amp;TEXT(COUNTA($C$5:C106),"000"))</f>
        <v/>
      </c>
      <c r="C106" s="16" t="n"/>
      <c r="D106" s="16" t="n"/>
      <c r="E106" s="16" t="n"/>
      <c r="F106" s="16" t="n"/>
      <c r="G106" s="17" t="n"/>
      <c r="H106" s="19" t="n"/>
      <c r="I106" s="16" t="n"/>
      <c r="J106" s="16" t="n"/>
    </row>
    <row r="107" ht="22" customHeight="1">
      <c r="B107" s="21">
        <f>IF(C107="","CAT-"&amp;TEXT(COUNTA($C$5:C107),"000"))</f>
        <v/>
      </c>
      <c r="C107" s="12" t="n"/>
      <c r="D107" s="12" t="n"/>
      <c r="E107" s="12" t="n"/>
      <c r="F107" s="12" t="n"/>
      <c r="G107" s="13" t="n"/>
      <c r="H107" s="15" t="n"/>
      <c r="I107" s="12" t="n"/>
      <c r="J107" s="12" t="n"/>
    </row>
    <row r="108" ht="22" customHeight="1">
      <c r="B108" s="20">
        <f>IF(C108="","CAT-"&amp;TEXT(COUNTA($C$5:C108),"000"))</f>
        <v/>
      </c>
      <c r="C108" s="16" t="n"/>
      <c r="D108" s="16" t="n"/>
      <c r="E108" s="16" t="n"/>
      <c r="F108" s="16" t="n"/>
      <c r="G108" s="17" t="n"/>
      <c r="H108" s="19" t="n"/>
      <c r="I108" s="16" t="n"/>
      <c r="J108" s="16" t="n"/>
    </row>
    <row r="109" ht="22" customHeight="1">
      <c r="B109" s="21">
        <f>IF(C109="","CAT-"&amp;TEXT(COUNTA($C$5:C109),"000"))</f>
        <v/>
      </c>
      <c r="C109" s="12" t="n"/>
      <c r="D109" s="12" t="n"/>
      <c r="E109" s="12" t="n"/>
      <c r="F109" s="12" t="n"/>
      <c r="G109" s="13" t="n"/>
      <c r="H109" s="15" t="n"/>
      <c r="I109" s="12" t="n"/>
      <c r="J109" s="12" t="n"/>
    </row>
    <row r="111" ht="26" customHeight="1">
      <c r="B111" s="22" t="inlineStr">
        <is>
          <t>TOTAL</t>
        </is>
      </c>
      <c r="C111" s="23" t="n"/>
      <c r="D111" s="23" t="n"/>
      <c r="E111" s="23" t="n"/>
      <c r="F111" s="23" t="n"/>
      <c r="G111" s="24">
        <f>SUM(G5:G104)</f>
        <v/>
      </c>
      <c r="H111" s="24">
        <f>SUM(H5:H104)</f>
        <v/>
      </c>
      <c r="I111" s="23" t="n"/>
      <c r="J111" s="23" t="n"/>
    </row>
    <row r="113">
      <c r="B113" s="6" t="inlineStr">
        <is>
          <t>INDICATEURS (mis a jour automatiquement)</t>
        </is>
      </c>
    </row>
    <row r="114">
      <c r="B114" s="3" t="inlineStr">
        <is>
          <t>Formations au catalogue</t>
        </is>
      </c>
      <c r="D114" s="3" t="inlineStr">
        <is>
          <t>Duree moyenne (h)</t>
        </is>
      </c>
      <c r="F114" s="3" t="inlineStr">
        <is>
          <t>Cout moyen (FCFA)</t>
        </is>
      </c>
      <c r="H114" s="3" t="inlineStr">
        <is>
          <t>Prestataires</t>
        </is>
      </c>
    </row>
    <row r="115">
      <c r="B115" s="4">
        <f>COUNTIF(B5:B104,"&lt;&gt;")</f>
        <v/>
      </c>
      <c r="D115" s="4">
        <f>IFERROR(AVERAGE(G5:G104),0)</f>
        <v/>
      </c>
      <c r="F115" s="4">
        <f>IFERROR(AVERAGE(H5:H104),0)</f>
        <v/>
      </c>
      <c r="H115" s="4">
        <f>COUNTIF(I5:I104,"&lt;&gt;")</f>
        <v/>
      </c>
    </row>
  </sheetData>
  <mergeCells count="3">
    <mergeCell ref="B113:J113"/>
    <mergeCell ref="B3:J3"/>
    <mergeCell ref="B2:J2"/>
  </mergeCells>
  <conditionalFormatting sqref="B10:B109">
    <cfRule type="expression" priority="1" dxfId="3">
      <formula>AND($C10="",$C9&lt;&gt;"")</formula>
    </cfRule>
  </conditionalFormatting>
  <conditionalFormatting sqref="C10:C109">
    <cfRule type="expression" priority="2" dxfId="3">
      <formula>AND($C10="",$C9&lt;&gt;"")</formula>
    </cfRule>
  </conditionalFormatting>
  <conditionalFormatting sqref="D10:D109">
    <cfRule type="expression" priority="3" dxfId="3">
      <formula>AND($C10="",$C9&lt;&gt;"")</formula>
    </cfRule>
  </conditionalFormatting>
  <conditionalFormatting sqref="E10:E109">
    <cfRule type="expression" priority="4" dxfId="3">
      <formula>AND($C10="",$C9&lt;&gt;"")</formula>
    </cfRule>
  </conditionalFormatting>
  <conditionalFormatting sqref="F10:F109">
    <cfRule type="expression" priority="5" dxfId="3">
      <formula>AND($C10="",$C9&lt;&gt;"")</formula>
    </cfRule>
  </conditionalFormatting>
  <conditionalFormatting sqref="G10:G109">
    <cfRule type="expression" priority="6" dxfId="3">
      <formula>AND($C10="",$C9&lt;&gt;"")</formula>
    </cfRule>
  </conditionalFormatting>
  <conditionalFormatting sqref="H10:H109">
    <cfRule type="expression" priority="7" dxfId="3">
      <formula>AND($C10="",$C9&lt;&gt;"")</formula>
    </cfRule>
  </conditionalFormatting>
  <conditionalFormatting sqref="I10:I109">
    <cfRule type="expression" priority="8" dxfId="3">
      <formula>AND($C10="",$C9&lt;&gt;"")</formula>
    </cfRule>
  </conditionalFormatting>
  <conditionalFormatting sqref="J10:J109">
    <cfRule type="expression" priority="9" dxfId="3">
      <formula>AND($C10="",$C9&lt;&gt;"")</formula>
    </cfRule>
  </conditionalFormatting>
  <dataValidations count="1">
    <dataValidation sqref="D5:D109" showDropDown="0" showInputMessage="0" showErrorMessage="0" allowBlank="1" errorTitle="Erreur" error="Valeur invalide" promptTitle="Liste" prompt="Choisir dans la liste" type="list">
      <formula1>'_Lists'!$D$2:$D$11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K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18" customWidth="1" min="4" max="4"/>
    <col width="22" customWidth="1" min="5" max="5"/>
    <col width="22" customWidth="1" min="6" max="6"/>
    <col width="16" customWidth="1" min="7" max="7"/>
    <col width="22" customWidth="1" min="8" max="8"/>
    <col width="20" customWidth="1" min="9" max="9"/>
    <col width="20" customWidth="1" min="10" max="10"/>
    <col width="18" customWidth="1" min="11" max="11"/>
  </cols>
  <sheetData>
    <row r="1" ht="15" customHeight="1"/>
    <row r="2" ht="32" customHeight="1">
      <c r="B2" s="1" t="inlineStr">
        <is>
          <t>GESTION DES FORMATEURS INTERNES &amp; EXTERNES (#72)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Nom Formateur</t>
        </is>
      </c>
      <c r="D4" s="11" t="inlineStr">
        <is>
          <t>Type Formateur</t>
        </is>
      </c>
      <c r="E4" s="11" t="inlineStr">
        <is>
          <t>Specialite</t>
        </is>
      </c>
      <c r="F4" s="11" t="inlineStr">
        <is>
          <t>Organisme</t>
        </is>
      </c>
      <c r="G4" s="11" t="inlineStr">
        <is>
          <t>Contact</t>
        </is>
      </c>
      <c r="H4" s="11" t="inlineStr">
        <is>
          <t>Nb Formations Donnees</t>
        </is>
      </c>
      <c r="I4" s="11" t="inlineStr">
        <is>
          <t>Satisfaction Moy. (/5)</t>
        </is>
      </c>
      <c r="J4" s="11" t="inlineStr">
        <is>
          <t>Cout Journalier (FCFA)</t>
        </is>
      </c>
      <c r="K4" s="11" t="inlineStr">
        <is>
          <t>Disponibilite</t>
        </is>
      </c>
    </row>
    <row r="5" ht="22" customHeight="1">
      <c r="B5" s="12" t="inlineStr">
        <is>
          <t>FOR-001</t>
        </is>
      </c>
      <c r="C5" s="12" t="inlineStr">
        <is>
          <t>Dr. Ngassa</t>
        </is>
      </c>
      <c r="D5" s="12" t="inlineStr">
        <is>
          <t>Formateur externe</t>
        </is>
      </c>
      <c r="E5" s="12" t="inlineStr">
        <is>
          <t>HACCP &amp; Hygiene</t>
        </is>
      </c>
      <c r="F5" s="12" t="inlineStr">
        <is>
          <t>CNPS</t>
        </is>
      </c>
      <c r="G5" s="12" t="inlineStr">
        <is>
          <t>699 000 111</t>
        </is>
      </c>
      <c r="H5" s="13" t="n">
        <v>3</v>
      </c>
      <c r="I5" s="33" t="n">
        <v>4.5</v>
      </c>
      <c r="J5" s="15" t="n">
        <v>50000</v>
      </c>
      <c r="K5" s="12" t="inlineStr">
        <is>
          <t>Disponible</t>
        </is>
      </c>
    </row>
    <row r="6" ht="22" customHeight="1">
      <c r="B6" s="16" t="inlineStr">
        <is>
          <t>FOR-002</t>
        </is>
      </c>
      <c r="C6" s="16" t="inlineStr">
        <is>
          <t>Mme. Johnson</t>
        </is>
      </c>
      <c r="D6" s="16" t="inlineStr">
        <is>
          <t>Formateur externe</t>
        </is>
      </c>
      <c r="E6" s="16" t="inlineStr">
        <is>
          <t>Anglais hotellerie</t>
        </is>
      </c>
      <c r="F6" s="16" t="inlineStr">
        <is>
          <t>British Council</t>
        </is>
      </c>
      <c r="G6" s="16" t="inlineStr">
        <is>
          <t>233 000 222</t>
        </is>
      </c>
      <c r="H6" s="17" t="n">
        <v>2</v>
      </c>
      <c r="I6" s="34" t="n">
        <v>4</v>
      </c>
      <c r="J6" s="19" t="n">
        <v>60000</v>
      </c>
      <c r="K6" s="16" t="inlineStr">
        <is>
          <t>Disponible</t>
        </is>
      </c>
    </row>
    <row r="7" ht="22" customHeight="1">
      <c r="B7" s="12" t="inlineStr">
        <is>
          <t>FOR-003</t>
        </is>
      </c>
      <c r="C7" s="12" t="inlineStr">
        <is>
          <t>Coach Kamga</t>
        </is>
      </c>
      <c r="D7" s="12" t="inlineStr">
        <is>
          <t>Coach interne</t>
        </is>
      </c>
      <c r="E7" s="12" t="inlineStr">
        <is>
          <t>Service client</t>
        </is>
      </c>
      <c r="F7" s="12" t="inlineStr">
        <is>
          <t>Interne</t>
        </is>
      </c>
      <c r="G7" s="12" t="inlineStr">
        <is>
          <t>677 000 333</t>
        </is>
      </c>
      <c r="H7" s="13" t="n">
        <v>5</v>
      </c>
      <c r="I7" s="33" t="n">
        <v>4.8</v>
      </c>
      <c r="J7" s="15" t="n">
        <v>0</v>
      </c>
      <c r="K7" s="12" t="inlineStr">
        <is>
          <t>Disponible</t>
        </is>
      </c>
    </row>
    <row r="8" ht="22" customHeight="1">
      <c r="B8" s="16" t="inlineStr">
        <is>
          <t>FOR-004</t>
        </is>
      </c>
      <c r="C8" s="16" t="inlineStr">
        <is>
          <t>Tchinda Armand</t>
        </is>
      </c>
      <c r="D8" s="16" t="inlineStr">
        <is>
          <t>Formateur interne</t>
        </is>
      </c>
      <c r="E8" s="16" t="inlineStr">
        <is>
          <t>Informatique</t>
        </is>
      </c>
      <c r="F8" s="16" t="inlineStr">
        <is>
          <t>Interne - IT</t>
        </is>
      </c>
      <c r="G8" s="16" t="inlineStr">
        <is>
          <t>690 000 444</t>
        </is>
      </c>
      <c r="H8" s="17" t="n">
        <v>4</v>
      </c>
      <c r="I8" s="34" t="n">
        <v>4.2</v>
      </c>
      <c r="J8" s="19" t="n">
        <v>0</v>
      </c>
      <c r="K8" s="16" t="inlineStr">
        <is>
          <t>Sur planning</t>
        </is>
      </c>
    </row>
    <row r="9" ht="22" customHeight="1">
      <c r="B9" s="12" t="inlineStr">
        <is>
          <t>FOR-005</t>
        </is>
      </c>
      <c r="C9" s="12" t="inlineStr">
        <is>
          <t>Cpt. Fotso</t>
        </is>
      </c>
      <c r="D9" s="12" t="inlineStr">
        <is>
          <t>Consultant</t>
        </is>
      </c>
      <c r="E9" s="12" t="inlineStr">
        <is>
          <t>Securite incendie</t>
        </is>
      </c>
      <c r="F9" s="12" t="inlineStr">
        <is>
          <t>Sapeurs-pompiers</t>
        </is>
      </c>
      <c r="G9" s="12" t="inlineStr">
        <is>
          <t>233 000 555</t>
        </is>
      </c>
      <c r="H9" s="13" t="n">
        <v>2</v>
      </c>
      <c r="I9" s="33" t="n">
        <v>4.6</v>
      </c>
      <c r="J9" s="15" t="n">
        <v>75000</v>
      </c>
      <c r="K9" s="12" t="inlineStr">
        <is>
          <t>Sur rendez-vous</t>
        </is>
      </c>
    </row>
    <row r="10" ht="22" customHeight="1">
      <c r="B10" s="20">
        <f>IF(C10="","FOR-"&amp;TEXT(COUNTA($C$5:C10),"000"))</f>
        <v/>
      </c>
      <c r="C10" s="16" t="n"/>
      <c r="D10" s="16" t="n"/>
      <c r="E10" s="16" t="n"/>
      <c r="F10" s="16" t="n"/>
      <c r="G10" s="16" t="n"/>
      <c r="H10" s="17" t="n"/>
      <c r="I10" s="34" t="n"/>
      <c r="J10" s="19" t="n"/>
      <c r="K10" s="16" t="n"/>
    </row>
    <row r="11" ht="22" customHeight="1">
      <c r="B11" s="21">
        <f>IF(C11="","FOR-"&amp;TEXT(COUNTA($C$5:C11),"000"))</f>
        <v/>
      </c>
      <c r="C11" s="12" t="n"/>
      <c r="D11" s="12" t="n"/>
      <c r="E11" s="12" t="n"/>
      <c r="F11" s="12" t="n"/>
      <c r="G11" s="12" t="n"/>
      <c r="H11" s="13" t="n"/>
      <c r="I11" s="33" t="n"/>
      <c r="J11" s="15" t="n"/>
      <c r="K11" s="12" t="n"/>
    </row>
    <row r="12" ht="22" customHeight="1">
      <c r="B12" s="20">
        <f>IF(C12="","FOR-"&amp;TEXT(COUNTA($C$5:C12),"000"))</f>
        <v/>
      </c>
      <c r="C12" s="16" t="n"/>
      <c r="D12" s="16" t="n"/>
      <c r="E12" s="16" t="n"/>
      <c r="F12" s="16" t="n"/>
      <c r="G12" s="16" t="n"/>
      <c r="H12" s="17" t="n"/>
      <c r="I12" s="34" t="n"/>
      <c r="J12" s="19" t="n"/>
      <c r="K12" s="16" t="n"/>
    </row>
    <row r="13" ht="22" customHeight="1">
      <c r="B13" s="21">
        <f>IF(C13="","FOR-"&amp;TEXT(COUNTA($C$5:C13),"000"))</f>
        <v/>
      </c>
      <c r="C13" s="12" t="n"/>
      <c r="D13" s="12" t="n"/>
      <c r="E13" s="12" t="n"/>
      <c r="F13" s="12" t="n"/>
      <c r="G13" s="12" t="n"/>
      <c r="H13" s="13" t="n"/>
      <c r="I13" s="33" t="n"/>
      <c r="J13" s="15" t="n"/>
      <c r="K13" s="12" t="n"/>
    </row>
    <row r="14" ht="22" customHeight="1">
      <c r="B14" s="20">
        <f>IF(C14="","FOR-"&amp;TEXT(COUNTA($C$5:C14),"000"))</f>
        <v/>
      </c>
      <c r="C14" s="16" t="n"/>
      <c r="D14" s="16" t="n"/>
      <c r="E14" s="16" t="n"/>
      <c r="F14" s="16" t="n"/>
      <c r="G14" s="16" t="n"/>
      <c r="H14" s="17" t="n"/>
      <c r="I14" s="34" t="n"/>
      <c r="J14" s="19" t="n"/>
      <c r="K14" s="16" t="n"/>
    </row>
    <row r="15" ht="22" customHeight="1">
      <c r="B15" s="21">
        <f>IF(C15="","FOR-"&amp;TEXT(COUNTA($C$5:C15),"000"))</f>
        <v/>
      </c>
      <c r="C15" s="12" t="n"/>
      <c r="D15" s="12" t="n"/>
      <c r="E15" s="12" t="n"/>
      <c r="F15" s="12" t="n"/>
      <c r="G15" s="12" t="n"/>
      <c r="H15" s="13" t="n"/>
      <c r="I15" s="33" t="n"/>
      <c r="J15" s="15" t="n"/>
      <c r="K15" s="12" t="n"/>
    </row>
    <row r="16" ht="22" customHeight="1">
      <c r="B16" s="20">
        <f>IF(C16="","FOR-"&amp;TEXT(COUNTA($C$5:C16),"000"))</f>
        <v/>
      </c>
      <c r="C16" s="16" t="n"/>
      <c r="D16" s="16" t="n"/>
      <c r="E16" s="16" t="n"/>
      <c r="F16" s="16" t="n"/>
      <c r="G16" s="16" t="n"/>
      <c r="H16" s="17" t="n"/>
      <c r="I16" s="34" t="n"/>
      <c r="J16" s="19" t="n"/>
      <c r="K16" s="16" t="n"/>
    </row>
    <row r="17" ht="22" customHeight="1">
      <c r="B17" s="21">
        <f>IF(C17="","FOR-"&amp;TEXT(COUNTA($C$5:C17),"000"))</f>
        <v/>
      </c>
      <c r="C17" s="12" t="n"/>
      <c r="D17" s="12" t="n"/>
      <c r="E17" s="12" t="n"/>
      <c r="F17" s="12" t="n"/>
      <c r="G17" s="12" t="n"/>
      <c r="H17" s="13" t="n"/>
      <c r="I17" s="33" t="n"/>
      <c r="J17" s="15" t="n"/>
      <c r="K17" s="12" t="n"/>
    </row>
    <row r="18" ht="22" customHeight="1">
      <c r="B18" s="20">
        <f>IF(C18="","FOR-"&amp;TEXT(COUNTA($C$5:C18),"000"))</f>
        <v/>
      </c>
      <c r="C18" s="16" t="n"/>
      <c r="D18" s="16" t="n"/>
      <c r="E18" s="16" t="n"/>
      <c r="F18" s="16" t="n"/>
      <c r="G18" s="16" t="n"/>
      <c r="H18" s="17" t="n"/>
      <c r="I18" s="34" t="n"/>
      <c r="J18" s="19" t="n"/>
      <c r="K18" s="16" t="n"/>
    </row>
    <row r="19" ht="22" customHeight="1">
      <c r="B19" s="21">
        <f>IF(C19="","FOR-"&amp;TEXT(COUNTA($C$5:C19),"000"))</f>
        <v/>
      </c>
      <c r="C19" s="12" t="n"/>
      <c r="D19" s="12" t="n"/>
      <c r="E19" s="12" t="n"/>
      <c r="F19" s="12" t="n"/>
      <c r="G19" s="12" t="n"/>
      <c r="H19" s="13" t="n"/>
      <c r="I19" s="33" t="n"/>
      <c r="J19" s="15" t="n"/>
      <c r="K19" s="12" t="n"/>
    </row>
    <row r="20" ht="22" customHeight="1">
      <c r="B20" s="20">
        <f>IF(C20="","FOR-"&amp;TEXT(COUNTA($C$5:C20),"000"))</f>
        <v/>
      </c>
      <c r="C20" s="16" t="n"/>
      <c r="D20" s="16" t="n"/>
      <c r="E20" s="16" t="n"/>
      <c r="F20" s="16" t="n"/>
      <c r="G20" s="16" t="n"/>
      <c r="H20" s="17" t="n"/>
      <c r="I20" s="34" t="n"/>
      <c r="J20" s="19" t="n"/>
      <c r="K20" s="16" t="n"/>
    </row>
    <row r="21" ht="22" customHeight="1">
      <c r="B21" s="21">
        <f>IF(C21="","FOR-"&amp;TEXT(COUNTA($C$5:C21),"000"))</f>
        <v/>
      </c>
      <c r="C21" s="12" t="n"/>
      <c r="D21" s="12" t="n"/>
      <c r="E21" s="12" t="n"/>
      <c r="F21" s="12" t="n"/>
      <c r="G21" s="12" t="n"/>
      <c r="H21" s="13" t="n"/>
      <c r="I21" s="33" t="n"/>
      <c r="J21" s="15" t="n"/>
      <c r="K21" s="12" t="n"/>
    </row>
    <row r="22" ht="22" customHeight="1">
      <c r="B22" s="20">
        <f>IF(C22="","FOR-"&amp;TEXT(COUNTA($C$5:C22),"000"))</f>
        <v/>
      </c>
      <c r="C22" s="16" t="n"/>
      <c r="D22" s="16" t="n"/>
      <c r="E22" s="16" t="n"/>
      <c r="F22" s="16" t="n"/>
      <c r="G22" s="16" t="n"/>
      <c r="H22" s="17" t="n"/>
      <c r="I22" s="34" t="n"/>
      <c r="J22" s="19" t="n"/>
      <c r="K22" s="16" t="n"/>
    </row>
    <row r="23" ht="22" customHeight="1">
      <c r="B23" s="21">
        <f>IF(C23="","FOR-"&amp;TEXT(COUNTA($C$5:C23),"000"))</f>
        <v/>
      </c>
      <c r="C23" s="12" t="n"/>
      <c r="D23" s="12" t="n"/>
      <c r="E23" s="12" t="n"/>
      <c r="F23" s="12" t="n"/>
      <c r="G23" s="12" t="n"/>
      <c r="H23" s="13" t="n"/>
      <c r="I23" s="33" t="n"/>
      <c r="J23" s="15" t="n"/>
      <c r="K23" s="12" t="n"/>
    </row>
    <row r="24" ht="22" customHeight="1">
      <c r="B24" s="20">
        <f>IF(C24="","FOR-"&amp;TEXT(COUNTA($C$5:C24),"000"))</f>
        <v/>
      </c>
      <c r="C24" s="16" t="n"/>
      <c r="D24" s="16" t="n"/>
      <c r="E24" s="16" t="n"/>
      <c r="F24" s="16" t="n"/>
      <c r="G24" s="16" t="n"/>
      <c r="H24" s="17" t="n"/>
      <c r="I24" s="34" t="n"/>
      <c r="J24" s="19" t="n"/>
      <c r="K24" s="16" t="n"/>
    </row>
    <row r="25" ht="22" customHeight="1">
      <c r="B25" s="21">
        <f>IF(C25="","FOR-"&amp;TEXT(COUNTA($C$5:C25),"000"))</f>
        <v/>
      </c>
      <c r="C25" s="12" t="n"/>
      <c r="D25" s="12" t="n"/>
      <c r="E25" s="12" t="n"/>
      <c r="F25" s="12" t="n"/>
      <c r="G25" s="12" t="n"/>
      <c r="H25" s="13" t="n"/>
      <c r="I25" s="33" t="n"/>
      <c r="J25" s="15" t="n"/>
      <c r="K25" s="12" t="n"/>
    </row>
    <row r="26" ht="22" customHeight="1">
      <c r="B26" s="20">
        <f>IF(C26="","FOR-"&amp;TEXT(COUNTA($C$5:C26),"000"))</f>
        <v/>
      </c>
      <c r="C26" s="16" t="n"/>
      <c r="D26" s="16" t="n"/>
      <c r="E26" s="16" t="n"/>
      <c r="F26" s="16" t="n"/>
      <c r="G26" s="16" t="n"/>
      <c r="H26" s="17" t="n"/>
      <c r="I26" s="34" t="n"/>
      <c r="J26" s="19" t="n"/>
      <c r="K26" s="16" t="n"/>
    </row>
    <row r="27" ht="22" customHeight="1">
      <c r="B27" s="21">
        <f>IF(C27="","FOR-"&amp;TEXT(COUNTA($C$5:C27),"000"))</f>
        <v/>
      </c>
      <c r="C27" s="12" t="n"/>
      <c r="D27" s="12" t="n"/>
      <c r="E27" s="12" t="n"/>
      <c r="F27" s="12" t="n"/>
      <c r="G27" s="12" t="n"/>
      <c r="H27" s="13" t="n"/>
      <c r="I27" s="33" t="n"/>
      <c r="J27" s="15" t="n"/>
      <c r="K27" s="12" t="n"/>
    </row>
    <row r="28" ht="22" customHeight="1">
      <c r="B28" s="20">
        <f>IF(C28="","FOR-"&amp;TEXT(COUNTA($C$5:C28),"000"))</f>
        <v/>
      </c>
      <c r="C28" s="16" t="n"/>
      <c r="D28" s="16" t="n"/>
      <c r="E28" s="16" t="n"/>
      <c r="F28" s="16" t="n"/>
      <c r="G28" s="16" t="n"/>
      <c r="H28" s="17" t="n"/>
      <c r="I28" s="34" t="n"/>
      <c r="J28" s="19" t="n"/>
      <c r="K28" s="16" t="n"/>
    </row>
    <row r="29" ht="22" customHeight="1">
      <c r="B29" s="21">
        <f>IF(C29="","FOR-"&amp;TEXT(COUNTA($C$5:C29),"000"))</f>
        <v/>
      </c>
      <c r="C29" s="12" t="n"/>
      <c r="D29" s="12" t="n"/>
      <c r="E29" s="12" t="n"/>
      <c r="F29" s="12" t="n"/>
      <c r="G29" s="12" t="n"/>
      <c r="H29" s="13" t="n"/>
      <c r="I29" s="33" t="n"/>
      <c r="J29" s="15" t="n"/>
      <c r="K29" s="12" t="n"/>
    </row>
    <row r="30" ht="22" customHeight="1">
      <c r="B30" s="20">
        <f>IF(C30="","FOR-"&amp;TEXT(COUNTA($C$5:C30),"000"))</f>
        <v/>
      </c>
      <c r="C30" s="16" t="n"/>
      <c r="D30" s="16" t="n"/>
      <c r="E30" s="16" t="n"/>
      <c r="F30" s="16" t="n"/>
      <c r="G30" s="16" t="n"/>
      <c r="H30" s="17" t="n"/>
      <c r="I30" s="34" t="n"/>
      <c r="J30" s="19" t="n"/>
      <c r="K30" s="16" t="n"/>
    </row>
    <row r="31" ht="22" customHeight="1">
      <c r="B31" s="21">
        <f>IF(C31="","FOR-"&amp;TEXT(COUNTA($C$5:C31),"000"))</f>
        <v/>
      </c>
      <c r="C31" s="12" t="n"/>
      <c r="D31" s="12" t="n"/>
      <c r="E31" s="12" t="n"/>
      <c r="F31" s="12" t="n"/>
      <c r="G31" s="12" t="n"/>
      <c r="H31" s="13" t="n"/>
      <c r="I31" s="33" t="n"/>
      <c r="J31" s="15" t="n"/>
      <c r="K31" s="12" t="n"/>
    </row>
    <row r="32" ht="22" customHeight="1">
      <c r="B32" s="20">
        <f>IF(C32="","FOR-"&amp;TEXT(COUNTA($C$5:C32),"000"))</f>
        <v/>
      </c>
      <c r="C32" s="16" t="n"/>
      <c r="D32" s="16" t="n"/>
      <c r="E32" s="16" t="n"/>
      <c r="F32" s="16" t="n"/>
      <c r="G32" s="16" t="n"/>
      <c r="H32" s="17" t="n"/>
      <c r="I32" s="34" t="n"/>
      <c r="J32" s="19" t="n"/>
      <c r="K32" s="16" t="n"/>
    </row>
    <row r="33" ht="22" customHeight="1">
      <c r="B33" s="21">
        <f>IF(C33="","FOR-"&amp;TEXT(COUNTA($C$5:C33),"000"))</f>
        <v/>
      </c>
      <c r="C33" s="12" t="n"/>
      <c r="D33" s="12" t="n"/>
      <c r="E33" s="12" t="n"/>
      <c r="F33" s="12" t="n"/>
      <c r="G33" s="12" t="n"/>
      <c r="H33" s="13" t="n"/>
      <c r="I33" s="33" t="n"/>
      <c r="J33" s="15" t="n"/>
      <c r="K33" s="12" t="n"/>
    </row>
    <row r="34" ht="22" customHeight="1">
      <c r="B34" s="20">
        <f>IF(C34="","FOR-"&amp;TEXT(COUNTA($C$5:C34),"000"))</f>
        <v/>
      </c>
      <c r="C34" s="16" t="n"/>
      <c r="D34" s="16" t="n"/>
      <c r="E34" s="16" t="n"/>
      <c r="F34" s="16" t="n"/>
      <c r="G34" s="16" t="n"/>
      <c r="H34" s="17" t="n"/>
      <c r="I34" s="34" t="n"/>
      <c r="J34" s="19" t="n"/>
      <c r="K34" s="16" t="n"/>
    </row>
    <row r="35" ht="22" customHeight="1">
      <c r="B35" s="21">
        <f>IF(C35="","FOR-"&amp;TEXT(COUNTA($C$5:C35),"000"))</f>
        <v/>
      </c>
      <c r="C35" s="12" t="n"/>
      <c r="D35" s="12" t="n"/>
      <c r="E35" s="12" t="n"/>
      <c r="F35" s="12" t="n"/>
      <c r="G35" s="12" t="n"/>
      <c r="H35" s="13" t="n"/>
      <c r="I35" s="33" t="n"/>
      <c r="J35" s="15" t="n"/>
      <c r="K35" s="12" t="n"/>
    </row>
    <row r="36" ht="22" customHeight="1">
      <c r="B36" s="20">
        <f>IF(C36="","FOR-"&amp;TEXT(COUNTA($C$5:C36),"000"))</f>
        <v/>
      </c>
      <c r="C36" s="16" t="n"/>
      <c r="D36" s="16" t="n"/>
      <c r="E36" s="16" t="n"/>
      <c r="F36" s="16" t="n"/>
      <c r="G36" s="16" t="n"/>
      <c r="H36" s="17" t="n"/>
      <c r="I36" s="34" t="n"/>
      <c r="J36" s="19" t="n"/>
      <c r="K36" s="16" t="n"/>
    </row>
    <row r="37" ht="22" customHeight="1">
      <c r="B37" s="21">
        <f>IF(C37="","FOR-"&amp;TEXT(COUNTA($C$5:C37),"000"))</f>
        <v/>
      </c>
      <c r="C37" s="12" t="n"/>
      <c r="D37" s="12" t="n"/>
      <c r="E37" s="12" t="n"/>
      <c r="F37" s="12" t="n"/>
      <c r="G37" s="12" t="n"/>
      <c r="H37" s="13" t="n"/>
      <c r="I37" s="33" t="n"/>
      <c r="J37" s="15" t="n"/>
      <c r="K37" s="12" t="n"/>
    </row>
    <row r="38" ht="22" customHeight="1">
      <c r="B38" s="20">
        <f>IF(C38="","FOR-"&amp;TEXT(COUNTA($C$5:C38),"000"))</f>
        <v/>
      </c>
      <c r="C38" s="16" t="n"/>
      <c r="D38" s="16" t="n"/>
      <c r="E38" s="16" t="n"/>
      <c r="F38" s="16" t="n"/>
      <c r="G38" s="16" t="n"/>
      <c r="H38" s="17" t="n"/>
      <c r="I38" s="34" t="n"/>
      <c r="J38" s="19" t="n"/>
      <c r="K38" s="16" t="n"/>
    </row>
    <row r="39" ht="22" customHeight="1">
      <c r="B39" s="21">
        <f>IF(C39="","FOR-"&amp;TEXT(COUNTA($C$5:C39),"000"))</f>
        <v/>
      </c>
      <c r="C39" s="12" t="n"/>
      <c r="D39" s="12" t="n"/>
      <c r="E39" s="12" t="n"/>
      <c r="F39" s="12" t="n"/>
      <c r="G39" s="12" t="n"/>
      <c r="H39" s="13" t="n"/>
      <c r="I39" s="33" t="n"/>
      <c r="J39" s="15" t="n"/>
      <c r="K39" s="12" t="n"/>
    </row>
    <row r="40" ht="22" customHeight="1">
      <c r="B40" s="20">
        <f>IF(C40="","FOR-"&amp;TEXT(COUNTA($C$5:C40),"000"))</f>
        <v/>
      </c>
      <c r="C40" s="16" t="n"/>
      <c r="D40" s="16" t="n"/>
      <c r="E40" s="16" t="n"/>
      <c r="F40" s="16" t="n"/>
      <c r="G40" s="16" t="n"/>
      <c r="H40" s="17" t="n"/>
      <c r="I40" s="34" t="n"/>
      <c r="J40" s="19" t="n"/>
      <c r="K40" s="16" t="n"/>
    </row>
    <row r="41" ht="22" customHeight="1">
      <c r="B41" s="21">
        <f>IF(C41="","FOR-"&amp;TEXT(COUNTA($C$5:C41),"000"))</f>
        <v/>
      </c>
      <c r="C41" s="12" t="n"/>
      <c r="D41" s="12" t="n"/>
      <c r="E41" s="12" t="n"/>
      <c r="F41" s="12" t="n"/>
      <c r="G41" s="12" t="n"/>
      <c r="H41" s="13" t="n"/>
      <c r="I41" s="33" t="n"/>
      <c r="J41" s="15" t="n"/>
      <c r="K41" s="12" t="n"/>
    </row>
    <row r="42" ht="22" customHeight="1">
      <c r="B42" s="20">
        <f>IF(C42="","FOR-"&amp;TEXT(COUNTA($C$5:C42),"000"))</f>
        <v/>
      </c>
      <c r="C42" s="16" t="n"/>
      <c r="D42" s="16" t="n"/>
      <c r="E42" s="16" t="n"/>
      <c r="F42" s="16" t="n"/>
      <c r="G42" s="16" t="n"/>
      <c r="H42" s="17" t="n"/>
      <c r="I42" s="34" t="n"/>
      <c r="J42" s="19" t="n"/>
      <c r="K42" s="16" t="n"/>
    </row>
    <row r="43" ht="22" customHeight="1">
      <c r="B43" s="21">
        <f>IF(C43="","FOR-"&amp;TEXT(COUNTA($C$5:C43),"000"))</f>
        <v/>
      </c>
      <c r="C43" s="12" t="n"/>
      <c r="D43" s="12" t="n"/>
      <c r="E43" s="12" t="n"/>
      <c r="F43" s="12" t="n"/>
      <c r="G43" s="12" t="n"/>
      <c r="H43" s="13" t="n"/>
      <c r="I43" s="33" t="n"/>
      <c r="J43" s="15" t="n"/>
      <c r="K43" s="12" t="n"/>
    </row>
    <row r="44" ht="22" customHeight="1">
      <c r="B44" s="20">
        <f>IF(C44="","FOR-"&amp;TEXT(COUNTA($C$5:C44),"000"))</f>
        <v/>
      </c>
      <c r="C44" s="16" t="n"/>
      <c r="D44" s="16" t="n"/>
      <c r="E44" s="16" t="n"/>
      <c r="F44" s="16" t="n"/>
      <c r="G44" s="16" t="n"/>
      <c r="H44" s="17" t="n"/>
      <c r="I44" s="34" t="n"/>
      <c r="J44" s="19" t="n"/>
      <c r="K44" s="16" t="n"/>
    </row>
    <row r="45" ht="22" customHeight="1">
      <c r="B45" s="21">
        <f>IF(C45="","FOR-"&amp;TEXT(COUNTA($C$5:C45),"000"))</f>
        <v/>
      </c>
      <c r="C45" s="12" t="n"/>
      <c r="D45" s="12" t="n"/>
      <c r="E45" s="12" t="n"/>
      <c r="F45" s="12" t="n"/>
      <c r="G45" s="12" t="n"/>
      <c r="H45" s="13" t="n"/>
      <c r="I45" s="33" t="n"/>
      <c r="J45" s="15" t="n"/>
      <c r="K45" s="12" t="n"/>
    </row>
    <row r="46" ht="22" customHeight="1">
      <c r="B46" s="20">
        <f>IF(C46="","FOR-"&amp;TEXT(COUNTA($C$5:C46),"000"))</f>
        <v/>
      </c>
      <c r="C46" s="16" t="n"/>
      <c r="D46" s="16" t="n"/>
      <c r="E46" s="16" t="n"/>
      <c r="F46" s="16" t="n"/>
      <c r="G46" s="16" t="n"/>
      <c r="H46" s="17" t="n"/>
      <c r="I46" s="34" t="n"/>
      <c r="J46" s="19" t="n"/>
      <c r="K46" s="16" t="n"/>
    </row>
    <row r="47" ht="22" customHeight="1">
      <c r="B47" s="21">
        <f>IF(C47="","FOR-"&amp;TEXT(COUNTA($C$5:C47),"000"))</f>
        <v/>
      </c>
      <c r="C47" s="12" t="n"/>
      <c r="D47" s="12" t="n"/>
      <c r="E47" s="12" t="n"/>
      <c r="F47" s="12" t="n"/>
      <c r="G47" s="12" t="n"/>
      <c r="H47" s="13" t="n"/>
      <c r="I47" s="33" t="n"/>
      <c r="J47" s="15" t="n"/>
      <c r="K47" s="12" t="n"/>
    </row>
    <row r="48" ht="22" customHeight="1">
      <c r="B48" s="20">
        <f>IF(C48="","FOR-"&amp;TEXT(COUNTA($C$5:C48),"000"))</f>
        <v/>
      </c>
      <c r="C48" s="16" t="n"/>
      <c r="D48" s="16" t="n"/>
      <c r="E48" s="16" t="n"/>
      <c r="F48" s="16" t="n"/>
      <c r="G48" s="16" t="n"/>
      <c r="H48" s="17" t="n"/>
      <c r="I48" s="34" t="n"/>
      <c r="J48" s="19" t="n"/>
      <c r="K48" s="16" t="n"/>
    </row>
    <row r="49" ht="22" customHeight="1">
      <c r="B49" s="21">
        <f>IF(C49="","FOR-"&amp;TEXT(COUNTA($C$5:C49),"000"))</f>
        <v/>
      </c>
      <c r="C49" s="12" t="n"/>
      <c r="D49" s="12" t="n"/>
      <c r="E49" s="12" t="n"/>
      <c r="F49" s="12" t="n"/>
      <c r="G49" s="12" t="n"/>
      <c r="H49" s="13" t="n"/>
      <c r="I49" s="33" t="n"/>
      <c r="J49" s="15" t="n"/>
      <c r="K49" s="12" t="n"/>
    </row>
    <row r="50" ht="22" customHeight="1">
      <c r="B50" s="20">
        <f>IF(C50="","FOR-"&amp;TEXT(COUNTA($C$5:C50),"000"))</f>
        <v/>
      </c>
      <c r="C50" s="16" t="n"/>
      <c r="D50" s="16" t="n"/>
      <c r="E50" s="16" t="n"/>
      <c r="F50" s="16" t="n"/>
      <c r="G50" s="16" t="n"/>
      <c r="H50" s="17" t="n"/>
      <c r="I50" s="34" t="n"/>
      <c r="J50" s="19" t="n"/>
      <c r="K50" s="16" t="n"/>
    </row>
    <row r="51" ht="22" customHeight="1">
      <c r="B51" s="21">
        <f>IF(C51="","FOR-"&amp;TEXT(COUNTA($C$5:C51),"000"))</f>
        <v/>
      </c>
      <c r="C51" s="12" t="n"/>
      <c r="D51" s="12" t="n"/>
      <c r="E51" s="12" t="n"/>
      <c r="F51" s="12" t="n"/>
      <c r="G51" s="12" t="n"/>
      <c r="H51" s="13" t="n"/>
      <c r="I51" s="33" t="n"/>
      <c r="J51" s="15" t="n"/>
      <c r="K51" s="12" t="n"/>
    </row>
    <row r="52" ht="22" customHeight="1">
      <c r="B52" s="20">
        <f>IF(C52="","FOR-"&amp;TEXT(COUNTA($C$5:C52),"000"))</f>
        <v/>
      </c>
      <c r="C52" s="16" t="n"/>
      <c r="D52" s="16" t="n"/>
      <c r="E52" s="16" t="n"/>
      <c r="F52" s="16" t="n"/>
      <c r="G52" s="16" t="n"/>
      <c r="H52" s="17" t="n"/>
      <c r="I52" s="34" t="n"/>
      <c r="J52" s="19" t="n"/>
      <c r="K52" s="16" t="n"/>
    </row>
    <row r="53" ht="22" customHeight="1">
      <c r="B53" s="21">
        <f>IF(C53="","FOR-"&amp;TEXT(COUNTA($C$5:C53),"000"))</f>
        <v/>
      </c>
      <c r="C53" s="12" t="n"/>
      <c r="D53" s="12" t="n"/>
      <c r="E53" s="12" t="n"/>
      <c r="F53" s="12" t="n"/>
      <c r="G53" s="12" t="n"/>
      <c r="H53" s="13" t="n"/>
      <c r="I53" s="33" t="n"/>
      <c r="J53" s="15" t="n"/>
      <c r="K53" s="12" t="n"/>
    </row>
    <row r="54" ht="22" customHeight="1">
      <c r="B54" s="20">
        <f>IF(C54="","FOR-"&amp;TEXT(COUNTA($C$5:C54),"000"))</f>
        <v/>
      </c>
      <c r="C54" s="16" t="n"/>
      <c r="D54" s="16" t="n"/>
      <c r="E54" s="16" t="n"/>
      <c r="F54" s="16" t="n"/>
      <c r="G54" s="16" t="n"/>
      <c r="H54" s="17" t="n"/>
      <c r="I54" s="34" t="n"/>
      <c r="J54" s="19" t="n"/>
      <c r="K54" s="16" t="n"/>
    </row>
    <row r="55" ht="22" customHeight="1">
      <c r="B55" s="21">
        <f>IF(C55="","FOR-"&amp;TEXT(COUNTA($C$5:C55),"000"))</f>
        <v/>
      </c>
      <c r="C55" s="12" t="n"/>
      <c r="D55" s="12" t="n"/>
      <c r="E55" s="12" t="n"/>
      <c r="F55" s="12" t="n"/>
      <c r="G55" s="12" t="n"/>
      <c r="H55" s="13" t="n"/>
      <c r="I55" s="33" t="n"/>
      <c r="J55" s="15" t="n"/>
      <c r="K55" s="12" t="n"/>
    </row>
    <row r="56" ht="22" customHeight="1">
      <c r="B56" s="20">
        <f>IF(C56="","FOR-"&amp;TEXT(COUNTA($C$5:C56),"000"))</f>
        <v/>
      </c>
      <c r="C56" s="16" t="n"/>
      <c r="D56" s="16" t="n"/>
      <c r="E56" s="16" t="n"/>
      <c r="F56" s="16" t="n"/>
      <c r="G56" s="16" t="n"/>
      <c r="H56" s="17" t="n"/>
      <c r="I56" s="34" t="n"/>
      <c r="J56" s="19" t="n"/>
      <c r="K56" s="16" t="n"/>
    </row>
    <row r="57" ht="22" customHeight="1">
      <c r="B57" s="21">
        <f>IF(C57="","FOR-"&amp;TEXT(COUNTA($C$5:C57),"000"))</f>
        <v/>
      </c>
      <c r="C57" s="12" t="n"/>
      <c r="D57" s="12" t="n"/>
      <c r="E57" s="12" t="n"/>
      <c r="F57" s="12" t="n"/>
      <c r="G57" s="12" t="n"/>
      <c r="H57" s="13" t="n"/>
      <c r="I57" s="33" t="n"/>
      <c r="J57" s="15" t="n"/>
      <c r="K57" s="12" t="n"/>
    </row>
    <row r="58" ht="22" customHeight="1">
      <c r="B58" s="20">
        <f>IF(C58="","FOR-"&amp;TEXT(COUNTA($C$5:C58),"000"))</f>
        <v/>
      </c>
      <c r="C58" s="16" t="n"/>
      <c r="D58" s="16" t="n"/>
      <c r="E58" s="16" t="n"/>
      <c r="F58" s="16" t="n"/>
      <c r="G58" s="16" t="n"/>
      <c r="H58" s="17" t="n"/>
      <c r="I58" s="34" t="n"/>
      <c r="J58" s="19" t="n"/>
      <c r="K58" s="16" t="n"/>
    </row>
    <row r="59" ht="22" customHeight="1">
      <c r="B59" s="21">
        <f>IF(C59="","FOR-"&amp;TEXT(COUNTA($C$5:C59),"000"))</f>
        <v/>
      </c>
      <c r="C59" s="12" t="n"/>
      <c r="D59" s="12" t="n"/>
      <c r="E59" s="12" t="n"/>
      <c r="F59" s="12" t="n"/>
      <c r="G59" s="12" t="n"/>
      <c r="H59" s="13" t="n"/>
      <c r="I59" s="33" t="n"/>
      <c r="J59" s="15" t="n"/>
      <c r="K59" s="12" t="n"/>
    </row>
    <row r="60" ht="22" customHeight="1">
      <c r="B60" s="20">
        <f>IF(C60="","FOR-"&amp;TEXT(COUNTA($C$5:C60),"000"))</f>
        <v/>
      </c>
      <c r="C60" s="16" t="n"/>
      <c r="D60" s="16" t="n"/>
      <c r="E60" s="16" t="n"/>
      <c r="F60" s="16" t="n"/>
      <c r="G60" s="16" t="n"/>
      <c r="H60" s="17" t="n"/>
      <c r="I60" s="34" t="n"/>
      <c r="J60" s="19" t="n"/>
      <c r="K60" s="16" t="n"/>
    </row>
    <row r="61" ht="22" customHeight="1">
      <c r="B61" s="21">
        <f>IF(C61="","FOR-"&amp;TEXT(COUNTA($C$5:C61),"000"))</f>
        <v/>
      </c>
      <c r="C61" s="12" t="n"/>
      <c r="D61" s="12" t="n"/>
      <c r="E61" s="12" t="n"/>
      <c r="F61" s="12" t="n"/>
      <c r="G61" s="12" t="n"/>
      <c r="H61" s="13" t="n"/>
      <c r="I61" s="33" t="n"/>
      <c r="J61" s="15" t="n"/>
      <c r="K61" s="12" t="n"/>
    </row>
    <row r="62" ht="22" customHeight="1">
      <c r="B62" s="20">
        <f>IF(C62="","FOR-"&amp;TEXT(COUNTA($C$5:C62),"000"))</f>
        <v/>
      </c>
      <c r="C62" s="16" t="n"/>
      <c r="D62" s="16" t="n"/>
      <c r="E62" s="16" t="n"/>
      <c r="F62" s="16" t="n"/>
      <c r="G62" s="16" t="n"/>
      <c r="H62" s="17" t="n"/>
      <c r="I62" s="34" t="n"/>
      <c r="J62" s="19" t="n"/>
      <c r="K62" s="16" t="n"/>
    </row>
    <row r="63" ht="22" customHeight="1">
      <c r="B63" s="21">
        <f>IF(C63="","FOR-"&amp;TEXT(COUNTA($C$5:C63),"000"))</f>
        <v/>
      </c>
      <c r="C63" s="12" t="n"/>
      <c r="D63" s="12" t="n"/>
      <c r="E63" s="12" t="n"/>
      <c r="F63" s="12" t="n"/>
      <c r="G63" s="12" t="n"/>
      <c r="H63" s="13" t="n"/>
      <c r="I63" s="33" t="n"/>
      <c r="J63" s="15" t="n"/>
      <c r="K63" s="12" t="n"/>
    </row>
    <row r="64" ht="22" customHeight="1">
      <c r="B64" s="20">
        <f>IF(C64="","FOR-"&amp;TEXT(COUNTA($C$5:C64),"000"))</f>
        <v/>
      </c>
      <c r="C64" s="16" t="n"/>
      <c r="D64" s="16" t="n"/>
      <c r="E64" s="16" t="n"/>
      <c r="F64" s="16" t="n"/>
      <c r="G64" s="16" t="n"/>
      <c r="H64" s="17" t="n"/>
      <c r="I64" s="34" t="n"/>
      <c r="J64" s="19" t="n"/>
      <c r="K64" s="16" t="n"/>
    </row>
    <row r="65" ht="22" customHeight="1">
      <c r="B65" s="21">
        <f>IF(C65="","FOR-"&amp;TEXT(COUNTA($C$5:C65),"000"))</f>
        <v/>
      </c>
      <c r="C65" s="12" t="n"/>
      <c r="D65" s="12" t="n"/>
      <c r="E65" s="12" t="n"/>
      <c r="F65" s="12" t="n"/>
      <c r="G65" s="12" t="n"/>
      <c r="H65" s="13" t="n"/>
      <c r="I65" s="33" t="n"/>
      <c r="J65" s="15" t="n"/>
      <c r="K65" s="12" t="n"/>
    </row>
    <row r="66" ht="22" customHeight="1">
      <c r="B66" s="20">
        <f>IF(C66="","FOR-"&amp;TEXT(COUNTA($C$5:C66),"000"))</f>
        <v/>
      </c>
      <c r="C66" s="16" t="n"/>
      <c r="D66" s="16" t="n"/>
      <c r="E66" s="16" t="n"/>
      <c r="F66" s="16" t="n"/>
      <c r="G66" s="16" t="n"/>
      <c r="H66" s="17" t="n"/>
      <c r="I66" s="34" t="n"/>
      <c r="J66" s="19" t="n"/>
      <c r="K66" s="16" t="n"/>
    </row>
    <row r="67" ht="22" customHeight="1">
      <c r="B67" s="21">
        <f>IF(C67="","FOR-"&amp;TEXT(COUNTA($C$5:C67),"000"))</f>
        <v/>
      </c>
      <c r="C67" s="12" t="n"/>
      <c r="D67" s="12" t="n"/>
      <c r="E67" s="12" t="n"/>
      <c r="F67" s="12" t="n"/>
      <c r="G67" s="12" t="n"/>
      <c r="H67" s="13" t="n"/>
      <c r="I67" s="33" t="n"/>
      <c r="J67" s="15" t="n"/>
      <c r="K67" s="12" t="n"/>
    </row>
    <row r="68" ht="22" customHeight="1">
      <c r="B68" s="20">
        <f>IF(C68="","FOR-"&amp;TEXT(COUNTA($C$5:C68),"000"))</f>
        <v/>
      </c>
      <c r="C68" s="16" t="n"/>
      <c r="D68" s="16" t="n"/>
      <c r="E68" s="16" t="n"/>
      <c r="F68" s="16" t="n"/>
      <c r="G68" s="16" t="n"/>
      <c r="H68" s="17" t="n"/>
      <c r="I68" s="34" t="n"/>
      <c r="J68" s="19" t="n"/>
      <c r="K68" s="16" t="n"/>
    </row>
    <row r="69" ht="22" customHeight="1">
      <c r="B69" s="21">
        <f>IF(C69="","FOR-"&amp;TEXT(COUNTA($C$5:C69),"000"))</f>
        <v/>
      </c>
      <c r="C69" s="12" t="n"/>
      <c r="D69" s="12" t="n"/>
      <c r="E69" s="12" t="n"/>
      <c r="F69" s="12" t="n"/>
      <c r="G69" s="12" t="n"/>
      <c r="H69" s="13" t="n"/>
      <c r="I69" s="33" t="n"/>
      <c r="J69" s="15" t="n"/>
      <c r="K69" s="12" t="n"/>
    </row>
    <row r="70" ht="22" customHeight="1">
      <c r="B70" s="20">
        <f>IF(C70="","FOR-"&amp;TEXT(COUNTA($C$5:C70),"000"))</f>
        <v/>
      </c>
      <c r="C70" s="16" t="n"/>
      <c r="D70" s="16" t="n"/>
      <c r="E70" s="16" t="n"/>
      <c r="F70" s="16" t="n"/>
      <c r="G70" s="16" t="n"/>
      <c r="H70" s="17" t="n"/>
      <c r="I70" s="34" t="n"/>
      <c r="J70" s="19" t="n"/>
      <c r="K70" s="16" t="n"/>
    </row>
    <row r="71" ht="22" customHeight="1">
      <c r="B71" s="21">
        <f>IF(C71="","FOR-"&amp;TEXT(COUNTA($C$5:C71),"000"))</f>
        <v/>
      </c>
      <c r="C71" s="12" t="n"/>
      <c r="D71" s="12" t="n"/>
      <c r="E71" s="12" t="n"/>
      <c r="F71" s="12" t="n"/>
      <c r="G71" s="12" t="n"/>
      <c r="H71" s="13" t="n"/>
      <c r="I71" s="33" t="n"/>
      <c r="J71" s="15" t="n"/>
      <c r="K71" s="12" t="n"/>
    </row>
    <row r="72" ht="22" customHeight="1">
      <c r="B72" s="20">
        <f>IF(C72="","FOR-"&amp;TEXT(COUNTA($C$5:C72),"000"))</f>
        <v/>
      </c>
      <c r="C72" s="16" t="n"/>
      <c r="D72" s="16" t="n"/>
      <c r="E72" s="16" t="n"/>
      <c r="F72" s="16" t="n"/>
      <c r="G72" s="16" t="n"/>
      <c r="H72" s="17" t="n"/>
      <c r="I72" s="34" t="n"/>
      <c r="J72" s="19" t="n"/>
      <c r="K72" s="16" t="n"/>
    </row>
    <row r="73" ht="22" customHeight="1">
      <c r="B73" s="21">
        <f>IF(C73="","FOR-"&amp;TEXT(COUNTA($C$5:C73),"000"))</f>
        <v/>
      </c>
      <c r="C73" s="12" t="n"/>
      <c r="D73" s="12" t="n"/>
      <c r="E73" s="12" t="n"/>
      <c r="F73" s="12" t="n"/>
      <c r="G73" s="12" t="n"/>
      <c r="H73" s="13" t="n"/>
      <c r="I73" s="33" t="n"/>
      <c r="J73" s="15" t="n"/>
      <c r="K73" s="12" t="n"/>
    </row>
    <row r="74" ht="22" customHeight="1">
      <c r="B74" s="20">
        <f>IF(C74="","FOR-"&amp;TEXT(COUNTA($C$5:C74),"000"))</f>
        <v/>
      </c>
      <c r="C74" s="16" t="n"/>
      <c r="D74" s="16" t="n"/>
      <c r="E74" s="16" t="n"/>
      <c r="F74" s="16" t="n"/>
      <c r="G74" s="16" t="n"/>
      <c r="H74" s="17" t="n"/>
      <c r="I74" s="34" t="n"/>
      <c r="J74" s="19" t="n"/>
      <c r="K74" s="16" t="n"/>
    </row>
    <row r="75" ht="22" customHeight="1">
      <c r="B75" s="21">
        <f>IF(C75="","FOR-"&amp;TEXT(COUNTA($C$5:C75),"000"))</f>
        <v/>
      </c>
      <c r="C75" s="12" t="n"/>
      <c r="D75" s="12" t="n"/>
      <c r="E75" s="12" t="n"/>
      <c r="F75" s="12" t="n"/>
      <c r="G75" s="12" t="n"/>
      <c r="H75" s="13" t="n"/>
      <c r="I75" s="33" t="n"/>
      <c r="J75" s="15" t="n"/>
      <c r="K75" s="12" t="n"/>
    </row>
    <row r="76" ht="22" customHeight="1">
      <c r="B76" s="20">
        <f>IF(C76="","FOR-"&amp;TEXT(COUNTA($C$5:C76),"000"))</f>
        <v/>
      </c>
      <c r="C76" s="16" t="n"/>
      <c r="D76" s="16" t="n"/>
      <c r="E76" s="16" t="n"/>
      <c r="F76" s="16" t="n"/>
      <c r="G76" s="16" t="n"/>
      <c r="H76" s="17" t="n"/>
      <c r="I76" s="34" t="n"/>
      <c r="J76" s="19" t="n"/>
      <c r="K76" s="16" t="n"/>
    </row>
    <row r="77" ht="22" customHeight="1">
      <c r="B77" s="21">
        <f>IF(C77="","FOR-"&amp;TEXT(COUNTA($C$5:C77),"000"))</f>
        <v/>
      </c>
      <c r="C77" s="12" t="n"/>
      <c r="D77" s="12" t="n"/>
      <c r="E77" s="12" t="n"/>
      <c r="F77" s="12" t="n"/>
      <c r="G77" s="12" t="n"/>
      <c r="H77" s="13" t="n"/>
      <c r="I77" s="33" t="n"/>
      <c r="J77" s="15" t="n"/>
      <c r="K77" s="12" t="n"/>
    </row>
    <row r="78" ht="22" customHeight="1">
      <c r="B78" s="20">
        <f>IF(C78="","FOR-"&amp;TEXT(COUNTA($C$5:C78),"000"))</f>
        <v/>
      </c>
      <c r="C78" s="16" t="n"/>
      <c r="D78" s="16" t="n"/>
      <c r="E78" s="16" t="n"/>
      <c r="F78" s="16" t="n"/>
      <c r="G78" s="16" t="n"/>
      <c r="H78" s="17" t="n"/>
      <c r="I78" s="34" t="n"/>
      <c r="J78" s="19" t="n"/>
      <c r="K78" s="16" t="n"/>
    </row>
    <row r="79" ht="22" customHeight="1">
      <c r="B79" s="21">
        <f>IF(C79="","FOR-"&amp;TEXT(COUNTA($C$5:C79),"000"))</f>
        <v/>
      </c>
      <c r="C79" s="12" t="n"/>
      <c r="D79" s="12" t="n"/>
      <c r="E79" s="12" t="n"/>
      <c r="F79" s="12" t="n"/>
      <c r="G79" s="12" t="n"/>
      <c r="H79" s="13" t="n"/>
      <c r="I79" s="33" t="n"/>
      <c r="J79" s="15" t="n"/>
      <c r="K79" s="12" t="n"/>
    </row>
    <row r="80" ht="22" customHeight="1">
      <c r="B80" s="20">
        <f>IF(C80="","FOR-"&amp;TEXT(COUNTA($C$5:C80),"000"))</f>
        <v/>
      </c>
      <c r="C80" s="16" t="n"/>
      <c r="D80" s="16" t="n"/>
      <c r="E80" s="16" t="n"/>
      <c r="F80" s="16" t="n"/>
      <c r="G80" s="16" t="n"/>
      <c r="H80" s="17" t="n"/>
      <c r="I80" s="34" t="n"/>
      <c r="J80" s="19" t="n"/>
      <c r="K80" s="16" t="n"/>
    </row>
    <row r="81" ht="22" customHeight="1">
      <c r="B81" s="21">
        <f>IF(C81="","FOR-"&amp;TEXT(COUNTA($C$5:C81),"000"))</f>
        <v/>
      </c>
      <c r="C81" s="12" t="n"/>
      <c r="D81" s="12" t="n"/>
      <c r="E81" s="12" t="n"/>
      <c r="F81" s="12" t="n"/>
      <c r="G81" s="12" t="n"/>
      <c r="H81" s="13" t="n"/>
      <c r="I81" s="33" t="n"/>
      <c r="J81" s="15" t="n"/>
      <c r="K81" s="12" t="n"/>
    </row>
    <row r="82" ht="22" customHeight="1">
      <c r="B82" s="20">
        <f>IF(C82="","FOR-"&amp;TEXT(COUNTA($C$5:C82),"000"))</f>
        <v/>
      </c>
      <c r="C82" s="16" t="n"/>
      <c r="D82" s="16" t="n"/>
      <c r="E82" s="16" t="n"/>
      <c r="F82" s="16" t="n"/>
      <c r="G82" s="16" t="n"/>
      <c r="H82" s="17" t="n"/>
      <c r="I82" s="34" t="n"/>
      <c r="J82" s="19" t="n"/>
      <c r="K82" s="16" t="n"/>
    </row>
    <row r="83" ht="22" customHeight="1">
      <c r="B83" s="21">
        <f>IF(C83="","FOR-"&amp;TEXT(COUNTA($C$5:C83),"000"))</f>
        <v/>
      </c>
      <c r="C83" s="12" t="n"/>
      <c r="D83" s="12" t="n"/>
      <c r="E83" s="12" t="n"/>
      <c r="F83" s="12" t="n"/>
      <c r="G83" s="12" t="n"/>
      <c r="H83" s="13" t="n"/>
      <c r="I83" s="33" t="n"/>
      <c r="J83" s="15" t="n"/>
      <c r="K83" s="12" t="n"/>
    </row>
    <row r="84" ht="22" customHeight="1">
      <c r="B84" s="20">
        <f>IF(C84="","FOR-"&amp;TEXT(COUNTA($C$5:C84),"000"))</f>
        <v/>
      </c>
      <c r="C84" s="16" t="n"/>
      <c r="D84" s="16" t="n"/>
      <c r="E84" s="16" t="n"/>
      <c r="F84" s="16" t="n"/>
      <c r="G84" s="16" t="n"/>
      <c r="H84" s="17" t="n"/>
      <c r="I84" s="34" t="n"/>
      <c r="J84" s="19" t="n"/>
      <c r="K84" s="16" t="n"/>
    </row>
    <row r="85" ht="22" customHeight="1">
      <c r="B85" s="21">
        <f>IF(C85="","FOR-"&amp;TEXT(COUNTA($C$5:C85),"000"))</f>
        <v/>
      </c>
      <c r="C85" s="12" t="n"/>
      <c r="D85" s="12" t="n"/>
      <c r="E85" s="12" t="n"/>
      <c r="F85" s="12" t="n"/>
      <c r="G85" s="12" t="n"/>
      <c r="H85" s="13" t="n"/>
      <c r="I85" s="33" t="n"/>
      <c r="J85" s="15" t="n"/>
      <c r="K85" s="12" t="n"/>
    </row>
    <row r="86" ht="22" customHeight="1">
      <c r="B86" s="20">
        <f>IF(C86="","FOR-"&amp;TEXT(COUNTA($C$5:C86),"000"))</f>
        <v/>
      </c>
      <c r="C86" s="16" t="n"/>
      <c r="D86" s="16" t="n"/>
      <c r="E86" s="16" t="n"/>
      <c r="F86" s="16" t="n"/>
      <c r="G86" s="16" t="n"/>
      <c r="H86" s="17" t="n"/>
      <c r="I86" s="34" t="n"/>
      <c r="J86" s="19" t="n"/>
      <c r="K86" s="16" t="n"/>
    </row>
    <row r="87" ht="22" customHeight="1">
      <c r="B87" s="21">
        <f>IF(C87="","FOR-"&amp;TEXT(COUNTA($C$5:C87),"000"))</f>
        <v/>
      </c>
      <c r="C87" s="12" t="n"/>
      <c r="D87" s="12" t="n"/>
      <c r="E87" s="12" t="n"/>
      <c r="F87" s="12" t="n"/>
      <c r="G87" s="12" t="n"/>
      <c r="H87" s="13" t="n"/>
      <c r="I87" s="33" t="n"/>
      <c r="J87" s="15" t="n"/>
      <c r="K87" s="12" t="n"/>
    </row>
    <row r="88" ht="22" customHeight="1">
      <c r="B88" s="20">
        <f>IF(C88="","FOR-"&amp;TEXT(COUNTA($C$5:C88),"000"))</f>
        <v/>
      </c>
      <c r="C88" s="16" t="n"/>
      <c r="D88" s="16" t="n"/>
      <c r="E88" s="16" t="n"/>
      <c r="F88" s="16" t="n"/>
      <c r="G88" s="16" t="n"/>
      <c r="H88" s="17" t="n"/>
      <c r="I88" s="34" t="n"/>
      <c r="J88" s="19" t="n"/>
      <c r="K88" s="16" t="n"/>
    </row>
    <row r="89" ht="22" customHeight="1">
      <c r="B89" s="21">
        <f>IF(C89="","FOR-"&amp;TEXT(COUNTA($C$5:C89),"000"))</f>
        <v/>
      </c>
      <c r="C89" s="12" t="n"/>
      <c r="D89" s="12" t="n"/>
      <c r="E89" s="12" t="n"/>
      <c r="F89" s="12" t="n"/>
      <c r="G89" s="12" t="n"/>
      <c r="H89" s="13" t="n"/>
      <c r="I89" s="33" t="n"/>
      <c r="J89" s="15" t="n"/>
      <c r="K89" s="12" t="n"/>
    </row>
    <row r="90" ht="22" customHeight="1">
      <c r="B90" s="20">
        <f>IF(C90="","FOR-"&amp;TEXT(COUNTA($C$5:C90),"000"))</f>
        <v/>
      </c>
      <c r="C90" s="16" t="n"/>
      <c r="D90" s="16" t="n"/>
      <c r="E90" s="16" t="n"/>
      <c r="F90" s="16" t="n"/>
      <c r="G90" s="16" t="n"/>
      <c r="H90" s="17" t="n"/>
      <c r="I90" s="34" t="n"/>
      <c r="J90" s="19" t="n"/>
      <c r="K90" s="16" t="n"/>
    </row>
    <row r="91" ht="22" customHeight="1">
      <c r="B91" s="21">
        <f>IF(C91="","FOR-"&amp;TEXT(COUNTA($C$5:C91),"000"))</f>
        <v/>
      </c>
      <c r="C91" s="12" t="n"/>
      <c r="D91" s="12" t="n"/>
      <c r="E91" s="12" t="n"/>
      <c r="F91" s="12" t="n"/>
      <c r="G91" s="12" t="n"/>
      <c r="H91" s="13" t="n"/>
      <c r="I91" s="33" t="n"/>
      <c r="J91" s="15" t="n"/>
      <c r="K91" s="12" t="n"/>
    </row>
    <row r="92" ht="22" customHeight="1">
      <c r="B92" s="20">
        <f>IF(C92="","FOR-"&amp;TEXT(COUNTA($C$5:C92),"000"))</f>
        <v/>
      </c>
      <c r="C92" s="16" t="n"/>
      <c r="D92" s="16" t="n"/>
      <c r="E92" s="16" t="n"/>
      <c r="F92" s="16" t="n"/>
      <c r="G92" s="16" t="n"/>
      <c r="H92" s="17" t="n"/>
      <c r="I92" s="34" t="n"/>
      <c r="J92" s="19" t="n"/>
      <c r="K92" s="16" t="n"/>
    </row>
    <row r="93" ht="22" customHeight="1">
      <c r="B93" s="21">
        <f>IF(C93="","FOR-"&amp;TEXT(COUNTA($C$5:C93),"000"))</f>
        <v/>
      </c>
      <c r="C93" s="12" t="n"/>
      <c r="D93" s="12" t="n"/>
      <c r="E93" s="12" t="n"/>
      <c r="F93" s="12" t="n"/>
      <c r="G93" s="12" t="n"/>
      <c r="H93" s="13" t="n"/>
      <c r="I93" s="33" t="n"/>
      <c r="J93" s="15" t="n"/>
      <c r="K93" s="12" t="n"/>
    </row>
    <row r="94" ht="22" customHeight="1">
      <c r="B94" s="20">
        <f>IF(C94="","FOR-"&amp;TEXT(COUNTA($C$5:C94),"000"))</f>
        <v/>
      </c>
      <c r="C94" s="16" t="n"/>
      <c r="D94" s="16" t="n"/>
      <c r="E94" s="16" t="n"/>
      <c r="F94" s="16" t="n"/>
      <c r="G94" s="16" t="n"/>
      <c r="H94" s="17" t="n"/>
      <c r="I94" s="34" t="n"/>
      <c r="J94" s="19" t="n"/>
      <c r="K94" s="16" t="n"/>
    </row>
    <row r="95" ht="22" customHeight="1">
      <c r="B95" s="21">
        <f>IF(C95="","FOR-"&amp;TEXT(COUNTA($C$5:C95),"000"))</f>
        <v/>
      </c>
      <c r="C95" s="12" t="n"/>
      <c r="D95" s="12" t="n"/>
      <c r="E95" s="12" t="n"/>
      <c r="F95" s="12" t="n"/>
      <c r="G95" s="12" t="n"/>
      <c r="H95" s="13" t="n"/>
      <c r="I95" s="33" t="n"/>
      <c r="J95" s="15" t="n"/>
      <c r="K95" s="12" t="n"/>
    </row>
    <row r="96" ht="22" customHeight="1">
      <c r="B96" s="20">
        <f>IF(C96="","FOR-"&amp;TEXT(COUNTA($C$5:C96),"000"))</f>
        <v/>
      </c>
      <c r="C96" s="16" t="n"/>
      <c r="D96" s="16" t="n"/>
      <c r="E96" s="16" t="n"/>
      <c r="F96" s="16" t="n"/>
      <c r="G96" s="16" t="n"/>
      <c r="H96" s="17" t="n"/>
      <c r="I96" s="34" t="n"/>
      <c r="J96" s="19" t="n"/>
      <c r="K96" s="16" t="n"/>
    </row>
    <row r="97" ht="22" customHeight="1">
      <c r="B97" s="21">
        <f>IF(C97="","FOR-"&amp;TEXT(COUNTA($C$5:C97),"000"))</f>
        <v/>
      </c>
      <c r="C97" s="12" t="n"/>
      <c r="D97" s="12" t="n"/>
      <c r="E97" s="12" t="n"/>
      <c r="F97" s="12" t="n"/>
      <c r="G97" s="12" t="n"/>
      <c r="H97" s="13" t="n"/>
      <c r="I97" s="33" t="n"/>
      <c r="J97" s="15" t="n"/>
      <c r="K97" s="12" t="n"/>
    </row>
    <row r="98" ht="22" customHeight="1">
      <c r="B98" s="20">
        <f>IF(C98="","FOR-"&amp;TEXT(COUNTA($C$5:C98),"000"))</f>
        <v/>
      </c>
      <c r="C98" s="16" t="n"/>
      <c r="D98" s="16" t="n"/>
      <c r="E98" s="16" t="n"/>
      <c r="F98" s="16" t="n"/>
      <c r="G98" s="16" t="n"/>
      <c r="H98" s="17" t="n"/>
      <c r="I98" s="34" t="n"/>
      <c r="J98" s="19" t="n"/>
      <c r="K98" s="16" t="n"/>
    </row>
    <row r="99" ht="22" customHeight="1">
      <c r="B99" s="21">
        <f>IF(C99="","FOR-"&amp;TEXT(COUNTA($C$5:C99),"000"))</f>
        <v/>
      </c>
      <c r="C99" s="12" t="n"/>
      <c r="D99" s="12" t="n"/>
      <c r="E99" s="12" t="n"/>
      <c r="F99" s="12" t="n"/>
      <c r="G99" s="12" t="n"/>
      <c r="H99" s="13" t="n"/>
      <c r="I99" s="33" t="n"/>
      <c r="J99" s="15" t="n"/>
      <c r="K99" s="12" t="n"/>
    </row>
    <row r="100" ht="22" customHeight="1">
      <c r="B100" s="20">
        <f>IF(C100="","FOR-"&amp;TEXT(COUNTA($C$5:C100),"000"))</f>
        <v/>
      </c>
      <c r="C100" s="16" t="n"/>
      <c r="D100" s="16" t="n"/>
      <c r="E100" s="16" t="n"/>
      <c r="F100" s="16" t="n"/>
      <c r="G100" s="16" t="n"/>
      <c r="H100" s="17" t="n"/>
      <c r="I100" s="34" t="n"/>
      <c r="J100" s="19" t="n"/>
      <c r="K100" s="16" t="n"/>
    </row>
    <row r="101" ht="22" customHeight="1">
      <c r="B101" s="21">
        <f>IF(C101="","FOR-"&amp;TEXT(COUNTA($C$5:C101),"000"))</f>
        <v/>
      </c>
      <c r="C101" s="12" t="n"/>
      <c r="D101" s="12" t="n"/>
      <c r="E101" s="12" t="n"/>
      <c r="F101" s="12" t="n"/>
      <c r="G101" s="12" t="n"/>
      <c r="H101" s="13" t="n"/>
      <c r="I101" s="33" t="n"/>
      <c r="J101" s="15" t="n"/>
      <c r="K101" s="12" t="n"/>
    </row>
    <row r="102" ht="22" customHeight="1">
      <c r="B102" s="20">
        <f>IF(C102="","FOR-"&amp;TEXT(COUNTA($C$5:C102),"000"))</f>
        <v/>
      </c>
      <c r="C102" s="16" t="n"/>
      <c r="D102" s="16" t="n"/>
      <c r="E102" s="16" t="n"/>
      <c r="F102" s="16" t="n"/>
      <c r="G102" s="16" t="n"/>
      <c r="H102" s="17" t="n"/>
      <c r="I102" s="34" t="n"/>
      <c r="J102" s="19" t="n"/>
      <c r="K102" s="16" t="n"/>
    </row>
    <row r="103" ht="22" customHeight="1">
      <c r="B103" s="21">
        <f>IF(C103="","FOR-"&amp;TEXT(COUNTA($C$5:C103),"000"))</f>
        <v/>
      </c>
      <c r="C103" s="12" t="n"/>
      <c r="D103" s="12" t="n"/>
      <c r="E103" s="12" t="n"/>
      <c r="F103" s="12" t="n"/>
      <c r="G103" s="12" t="n"/>
      <c r="H103" s="13" t="n"/>
      <c r="I103" s="33" t="n"/>
      <c r="J103" s="15" t="n"/>
      <c r="K103" s="12" t="n"/>
    </row>
    <row r="104" ht="22" customHeight="1">
      <c r="B104" s="20">
        <f>IF(C104="","FOR-"&amp;TEXT(COUNTA($C$5:C104),"000"))</f>
        <v/>
      </c>
      <c r="C104" s="16" t="n"/>
      <c r="D104" s="16" t="n"/>
      <c r="E104" s="16" t="n"/>
      <c r="F104" s="16" t="n"/>
      <c r="G104" s="16" t="n"/>
      <c r="H104" s="17" t="n"/>
      <c r="I104" s="34" t="n"/>
      <c r="J104" s="19" t="n"/>
      <c r="K104" s="16" t="n"/>
    </row>
    <row r="105" ht="22" customHeight="1">
      <c r="B105" s="21">
        <f>IF(C105="","FOR-"&amp;TEXT(COUNTA($C$5:C105),"000"))</f>
        <v/>
      </c>
      <c r="C105" s="12" t="n"/>
      <c r="D105" s="12" t="n"/>
      <c r="E105" s="12" t="n"/>
      <c r="F105" s="12" t="n"/>
      <c r="G105" s="12" t="n"/>
      <c r="H105" s="13" t="n"/>
      <c r="I105" s="33" t="n"/>
      <c r="J105" s="15" t="n"/>
      <c r="K105" s="12" t="n"/>
    </row>
    <row r="106" ht="22" customHeight="1">
      <c r="B106" s="20">
        <f>IF(C106="","FOR-"&amp;TEXT(COUNTA($C$5:C106),"000"))</f>
        <v/>
      </c>
      <c r="C106" s="16" t="n"/>
      <c r="D106" s="16" t="n"/>
      <c r="E106" s="16" t="n"/>
      <c r="F106" s="16" t="n"/>
      <c r="G106" s="16" t="n"/>
      <c r="H106" s="17" t="n"/>
      <c r="I106" s="34" t="n"/>
      <c r="J106" s="19" t="n"/>
      <c r="K106" s="16" t="n"/>
    </row>
    <row r="107" ht="22" customHeight="1">
      <c r="B107" s="21">
        <f>IF(C107="","FOR-"&amp;TEXT(COUNTA($C$5:C107),"000"))</f>
        <v/>
      </c>
      <c r="C107" s="12" t="n"/>
      <c r="D107" s="12" t="n"/>
      <c r="E107" s="12" t="n"/>
      <c r="F107" s="12" t="n"/>
      <c r="G107" s="12" t="n"/>
      <c r="H107" s="13" t="n"/>
      <c r="I107" s="33" t="n"/>
      <c r="J107" s="15" t="n"/>
      <c r="K107" s="12" t="n"/>
    </row>
    <row r="108" ht="22" customHeight="1">
      <c r="B108" s="20">
        <f>IF(C108="","FOR-"&amp;TEXT(COUNTA($C$5:C108),"000"))</f>
        <v/>
      </c>
      <c r="C108" s="16" t="n"/>
      <c r="D108" s="16" t="n"/>
      <c r="E108" s="16" t="n"/>
      <c r="F108" s="16" t="n"/>
      <c r="G108" s="16" t="n"/>
      <c r="H108" s="17" t="n"/>
      <c r="I108" s="34" t="n"/>
      <c r="J108" s="19" t="n"/>
      <c r="K108" s="16" t="n"/>
    </row>
    <row r="109" ht="22" customHeight="1">
      <c r="B109" s="21">
        <f>IF(C109="","FOR-"&amp;TEXT(COUNTA($C$5:C109),"000"))</f>
        <v/>
      </c>
      <c r="C109" s="12" t="n"/>
      <c r="D109" s="12" t="n"/>
      <c r="E109" s="12" t="n"/>
      <c r="F109" s="12" t="n"/>
      <c r="G109" s="12" t="n"/>
      <c r="H109" s="13" t="n"/>
      <c r="I109" s="33" t="n"/>
      <c r="J109" s="15" t="n"/>
      <c r="K109" s="12" t="n"/>
    </row>
    <row r="111" ht="26" customHeight="1">
      <c r="B111" s="22" t="inlineStr">
        <is>
          <t>TOTAL</t>
        </is>
      </c>
      <c r="C111" s="23" t="n"/>
      <c r="D111" s="23" t="n"/>
      <c r="E111" s="23" t="n"/>
      <c r="F111" s="23" t="n"/>
      <c r="G111" s="23" t="n"/>
      <c r="H111" s="24">
        <f>SUM(H5:H104)</f>
        <v/>
      </c>
      <c r="I111" s="23" t="n"/>
      <c r="J111" s="23" t="n"/>
      <c r="K111" s="23" t="n"/>
    </row>
    <row r="113">
      <c r="B113" s="6" t="inlineStr">
        <is>
          <t>INDICATEURS (mis a jour automatiquement)</t>
        </is>
      </c>
    </row>
    <row r="114">
      <c r="B114" s="3" t="inlineStr">
        <is>
          <t>Formateurs</t>
        </is>
      </c>
      <c r="D114" s="3" t="inlineStr">
        <is>
          <t>Formations totales</t>
        </is>
      </c>
      <c r="F114" s="3" t="inlineStr">
        <is>
          <t>Satisfaction moyenne</t>
        </is>
      </c>
      <c r="H114" s="3" t="inlineStr">
        <is>
          <t>Internes</t>
        </is>
      </c>
    </row>
    <row r="115">
      <c r="B115" s="4">
        <f>COUNTIF(B5:B104,"&lt;&gt;")</f>
        <v/>
      </c>
      <c r="D115" s="4">
        <f>SUM(H5:H104)</f>
        <v/>
      </c>
      <c r="F115" s="4">
        <f>IFERROR(AVERAGE(I5:I104),0)</f>
        <v/>
      </c>
      <c r="H115" s="4">
        <f>COUNTIF(D5:D104,"Formateur interne")</f>
        <v/>
      </c>
    </row>
  </sheetData>
  <mergeCells count="3">
    <mergeCell ref="B113:K113"/>
    <mergeCell ref="B3:K3"/>
    <mergeCell ref="B2:K2"/>
  </mergeCells>
  <conditionalFormatting sqref="B10:B109">
    <cfRule type="expression" priority="1" dxfId="3">
      <formula>AND($C10="",$C9&lt;&gt;"")</formula>
    </cfRule>
  </conditionalFormatting>
  <conditionalFormatting sqref="C10:C109">
    <cfRule type="expression" priority="2" dxfId="3">
      <formula>AND($C10="",$C9&lt;&gt;"")</formula>
    </cfRule>
  </conditionalFormatting>
  <conditionalFormatting sqref="D10:D109">
    <cfRule type="expression" priority="3" dxfId="3">
      <formula>AND($C10="",$C9&lt;&gt;"")</formula>
    </cfRule>
  </conditionalFormatting>
  <conditionalFormatting sqref="E10:E109">
    <cfRule type="expression" priority="4" dxfId="3">
      <formula>AND($C10="",$C9&lt;&gt;"")</formula>
    </cfRule>
  </conditionalFormatting>
  <conditionalFormatting sqref="F10:F109">
    <cfRule type="expression" priority="5" dxfId="3">
      <formula>AND($C10="",$C9&lt;&gt;"")</formula>
    </cfRule>
  </conditionalFormatting>
  <conditionalFormatting sqref="G10:G109">
    <cfRule type="expression" priority="6" dxfId="3">
      <formula>AND($C10="",$C9&lt;&gt;"")</formula>
    </cfRule>
  </conditionalFormatting>
  <conditionalFormatting sqref="H10:H109">
    <cfRule type="expression" priority="7" dxfId="3">
      <formula>AND($C10="",$C9&lt;&gt;"")</formula>
    </cfRule>
  </conditionalFormatting>
  <conditionalFormatting sqref="I10:I109">
    <cfRule type="expression" priority="8" dxfId="3">
      <formula>AND($C10="",$C9&lt;&gt;"")</formula>
    </cfRule>
  </conditionalFormatting>
  <conditionalFormatting sqref="J10:J109">
    <cfRule type="expression" priority="9" dxfId="3">
      <formula>AND($C10="",$C9&lt;&gt;"")</formula>
    </cfRule>
  </conditionalFormatting>
  <conditionalFormatting sqref="K10:K109">
    <cfRule type="expression" priority="10" dxfId="3">
      <formula>AND($C10="",$C9&lt;&gt;"")</formula>
    </cfRule>
  </conditionalFormatting>
  <dataValidations count="1">
    <dataValidation sqref="D5:D109" showDropDown="0" showInputMessage="0" showErrorMessage="0" allowBlank="1" errorTitle="Erreur" error="Valeur invalide" promptTitle="Liste" prompt="Choisir dans la liste" type="list">
      <formula1>'_Lists'!$M$2:$M$7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L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24" customWidth="1" min="3" max="3"/>
    <col width="26" customWidth="1" min="4" max="4"/>
    <col width="26" customWidth="1" min="5" max="5"/>
    <col width="18" customWidth="1" min="6" max="6"/>
    <col width="14" customWidth="1" min="7" max="7"/>
    <col width="14" customWidth="1" min="8" max="8"/>
    <col width="16" customWidth="1" min="9" max="9"/>
    <col width="20" customWidth="1" min="10" max="10"/>
    <col width="20" customWidth="1" min="11" max="11"/>
    <col width="14" customWidth="1" min="12" max="12"/>
  </cols>
  <sheetData>
    <row r="1" ht="15" customHeight="1"/>
    <row r="2" ht="32" customHeight="1">
      <c r="B2" s="1" t="inlineStr">
        <is>
          <t>CONVENTIONS &amp; CONTRATS DE FORMATION (#73)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 Convention</t>
        </is>
      </c>
      <c r="C4" s="11" t="inlineStr">
        <is>
          <t>Organisme Partenaire</t>
        </is>
      </c>
      <c r="D4" s="11" t="inlineStr">
        <is>
          <t>Objet Formation</t>
        </is>
      </c>
      <c r="E4" s="11" t="inlineStr">
        <is>
          <t>Departements Beneficiaires</t>
        </is>
      </c>
      <c r="F4" s="11" t="inlineStr">
        <is>
          <t>Nb Stagiaires Max</t>
        </is>
      </c>
      <c r="G4" s="11" t="inlineStr">
        <is>
          <t>Date Signature</t>
        </is>
      </c>
      <c r="H4" s="11" t="inlineStr">
        <is>
          <t>Date Expiration</t>
        </is>
      </c>
      <c r="I4" s="11" t="inlineStr">
        <is>
          <t>Montant (FCFA)</t>
        </is>
      </c>
      <c r="J4" s="11" t="inlineStr">
        <is>
          <t>Nb Sessions Realisees</t>
        </is>
      </c>
      <c r="K4" s="11" t="inlineStr">
        <is>
          <t>Nb Sessions Restantes</t>
        </is>
      </c>
      <c r="L4" s="11" t="inlineStr">
        <is>
          <t>Statut</t>
        </is>
      </c>
    </row>
    <row r="5" ht="22" customHeight="1">
      <c r="B5" s="12" t="inlineStr">
        <is>
          <t>CONV-001</t>
        </is>
      </c>
      <c r="C5" s="12" t="inlineStr">
        <is>
          <t>British Council</t>
        </is>
      </c>
      <c r="D5" s="12" t="inlineStr">
        <is>
          <t>Formation anglais hotellerie</t>
        </is>
      </c>
      <c r="E5" s="12" t="inlineStr">
        <is>
          <t>Réception &amp; Front Office</t>
        </is>
      </c>
      <c r="F5" s="13" t="n">
        <v>10</v>
      </c>
      <c r="G5" s="31" t="n">
        <v>45672</v>
      </c>
      <c r="H5" s="31" t="n">
        <v>46037</v>
      </c>
      <c r="I5" s="15" t="n">
        <v>600000</v>
      </c>
      <c r="J5" s="13" t="n">
        <v>2</v>
      </c>
      <c r="K5" s="13" t="n">
        <v>3</v>
      </c>
      <c r="L5" s="12" t="inlineStr">
        <is>
          <t>En vigueur</t>
        </is>
      </c>
    </row>
    <row r="6" ht="22" customHeight="1">
      <c r="B6" s="16" t="inlineStr">
        <is>
          <t>CONV-002</t>
        </is>
      </c>
      <c r="C6" s="16" t="inlineStr">
        <is>
          <t>CNPS</t>
        </is>
      </c>
      <c r="D6" s="16" t="inlineStr">
        <is>
          <t>Formation HACCP</t>
        </is>
      </c>
      <c r="E6" s="16" t="inlineStr">
        <is>
          <t>Cuisine &amp; Restauration</t>
        </is>
      </c>
      <c r="F6" s="17" t="n">
        <v>15</v>
      </c>
      <c r="G6" s="32" t="n">
        <v>45689</v>
      </c>
      <c r="H6" s="32" t="n">
        <v>46054</v>
      </c>
      <c r="I6" s="19" t="n">
        <v>450000</v>
      </c>
      <c r="J6" s="17" t="n">
        <v>1</v>
      </c>
      <c r="K6" s="17" t="n">
        <v>2</v>
      </c>
      <c r="L6" s="16" t="inlineStr">
        <is>
          <t>En vigueur</t>
        </is>
      </c>
    </row>
    <row r="7" ht="22" customHeight="1">
      <c r="B7" s="12" t="inlineStr">
        <is>
          <t>CONV-003</t>
        </is>
      </c>
      <c r="C7" s="12" t="inlineStr">
        <is>
          <t>Sapeurs-pompiers Douala</t>
        </is>
      </c>
      <c r="D7" s="12" t="inlineStr">
        <is>
          <t>Securite incendie</t>
        </is>
      </c>
      <c r="E7" s="12" t="inlineStr">
        <is>
          <t>Tous</t>
        </is>
      </c>
      <c r="F7" s="13" t="n">
        <v>50</v>
      </c>
      <c r="G7" s="31" t="n">
        <v>45717</v>
      </c>
      <c r="H7" s="31" t="n">
        <v>46022</v>
      </c>
      <c r="I7" s="15" t="n">
        <v>150000</v>
      </c>
      <c r="J7" s="13" t="n">
        <v>0</v>
      </c>
      <c r="K7" s="13" t="n">
        <v>2</v>
      </c>
      <c r="L7" s="12" t="inlineStr">
        <is>
          <t>En vigueur</t>
        </is>
      </c>
    </row>
    <row r="8" ht="22" customHeight="1">
      <c r="B8" s="20">
        <f>IF(C8="","CONV-"&amp;TEXT(COUNTA($C$5:C8),"000"))</f>
        <v/>
      </c>
      <c r="C8" s="16" t="n"/>
      <c r="D8" s="16" t="n"/>
      <c r="E8" s="16" t="n"/>
      <c r="F8" s="17" t="n"/>
      <c r="G8" s="32" t="n"/>
      <c r="H8" s="32" t="n"/>
      <c r="I8" s="19" t="n"/>
      <c r="J8" s="17" t="n"/>
      <c r="K8" s="17">
        <f>IF(J8="","",F8-J8)</f>
        <v/>
      </c>
      <c r="L8" s="16" t="n"/>
    </row>
    <row r="9" ht="22" customHeight="1">
      <c r="B9" s="21">
        <f>IF(C9="","CONV-"&amp;TEXT(COUNTA($C$5:C9),"000"))</f>
        <v/>
      </c>
      <c r="C9" s="12" t="n"/>
      <c r="D9" s="12" t="n"/>
      <c r="E9" s="12" t="n"/>
      <c r="F9" s="13" t="n"/>
      <c r="G9" s="31" t="n"/>
      <c r="H9" s="31" t="n"/>
      <c r="I9" s="15" t="n"/>
      <c r="J9" s="13" t="n"/>
      <c r="K9" s="13">
        <f>IF(J9="","",F9-J9)</f>
        <v/>
      </c>
      <c r="L9" s="12" t="n"/>
    </row>
    <row r="10" ht="22" customHeight="1">
      <c r="B10" s="20">
        <f>IF(C10="","CONV-"&amp;TEXT(COUNTA($C$5:C10),"000"))</f>
        <v/>
      </c>
      <c r="C10" s="16" t="n"/>
      <c r="D10" s="16" t="n"/>
      <c r="E10" s="16" t="n"/>
      <c r="F10" s="17" t="n"/>
      <c r="G10" s="32" t="n"/>
      <c r="H10" s="32" t="n"/>
      <c r="I10" s="19" t="n"/>
      <c r="J10" s="17" t="n"/>
      <c r="K10" s="17">
        <f>IF(J10="","",F10-J10)</f>
        <v/>
      </c>
      <c r="L10" s="16" t="n"/>
    </row>
    <row r="11" ht="22" customHeight="1">
      <c r="B11" s="21">
        <f>IF(C11="","CONV-"&amp;TEXT(COUNTA($C$5:C11),"000"))</f>
        <v/>
      </c>
      <c r="C11" s="12" t="n"/>
      <c r="D11" s="12" t="n"/>
      <c r="E11" s="12" t="n"/>
      <c r="F11" s="13" t="n"/>
      <c r="G11" s="31" t="n"/>
      <c r="H11" s="31" t="n"/>
      <c r="I11" s="15" t="n"/>
      <c r="J11" s="13" t="n"/>
      <c r="K11" s="13">
        <f>IF(J11="","",F11-J11)</f>
        <v/>
      </c>
      <c r="L11" s="12" t="n"/>
    </row>
    <row r="12" ht="22" customHeight="1">
      <c r="B12" s="20">
        <f>IF(C12="","CONV-"&amp;TEXT(COUNTA($C$5:C12),"000"))</f>
        <v/>
      </c>
      <c r="C12" s="16" t="n"/>
      <c r="D12" s="16" t="n"/>
      <c r="E12" s="16" t="n"/>
      <c r="F12" s="17" t="n"/>
      <c r="G12" s="32" t="n"/>
      <c r="H12" s="32" t="n"/>
      <c r="I12" s="19" t="n"/>
      <c r="J12" s="17" t="n"/>
      <c r="K12" s="17">
        <f>IF(J12="","",F12-J12)</f>
        <v/>
      </c>
      <c r="L12" s="16" t="n"/>
    </row>
    <row r="13" ht="22" customHeight="1">
      <c r="B13" s="21">
        <f>IF(C13="","CONV-"&amp;TEXT(COUNTA($C$5:C13),"000"))</f>
        <v/>
      </c>
      <c r="C13" s="12" t="n"/>
      <c r="D13" s="12" t="n"/>
      <c r="E13" s="12" t="n"/>
      <c r="F13" s="13" t="n"/>
      <c r="G13" s="31" t="n"/>
      <c r="H13" s="31" t="n"/>
      <c r="I13" s="15" t="n"/>
      <c r="J13" s="13" t="n"/>
      <c r="K13" s="13">
        <f>IF(J13="","",F13-J13)</f>
        <v/>
      </c>
      <c r="L13" s="12" t="n"/>
    </row>
    <row r="14" ht="22" customHeight="1">
      <c r="B14" s="20">
        <f>IF(C14="","CONV-"&amp;TEXT(COUNTA($C$5:C14),"000"))</f>
        <v/>
      </c>
      <c r="C14" s="16" t="n"/>
      <c r="D14" s="16" t="n"/>
      <c r="E14" s="16" t="n"/>
      <c r="F14" s="17" t="n"/>
      <c r="G14" s="32" t="n"/>
      <c r="H14" s="32" t="n"/>
      <c r="I14" s="19" t="n"/>
      <c r="J14" s="17" t="n"/>
      <c r="K14" s="17">
        <f>IF(J14="","",F14-J14)</f>
        <v/>
      </c>
      <c r="L14" s="16" t="n"/>
    </row>
    <row r="15" ht="22" customHeight="1">
      <c r="B15" s="21">
        <f>IF(C15="","CONV-"&amp;TEXT(COUNTA($C$5:C15),"000"))</f>
        <v/>
      </c>
      <c r="C15" s="12" t="n"/>
      <c r="D15" s="12" t="n"/>
      <c r="E15" s="12" t="n"/>
      <c r="F15" s="13" t="n"/>
      <c r="G15" s="31" t="n"/>
      <c r="H15" s="31" t="n"/>
      <c r="I15" s="15" t="n"/>
      <c r="J15" s="13" t="n"/>
      <c r="K15" s="13">
        <f>IF(J15="","",F15-J15)</f>
        <v/>
      </c>
      <c r="L15" s="12" t="n"/>
    </row>
    <row r="16" ht="22" customHeight="1">
      <c r="B16" s="20">
        <f>IF(C16="","CONV-"&amp;TEXT(COUNTA($C$5:C16),"000"))</f>
        <v/>
      </c>
      <c r="C16" s="16" t="n"/>
      <c r="D16" s="16" t="n"/>
      <c r="E16" s="16" t="n"/>
      <c r="F16" s="17" t="n"/>
      <c r="G16" s="32" t="n"/>
      <c r="H16" s="32" t="n"/>
      <c r="I16" s="19" t="n"/>
      <c r="J16" s="17" t="n"/>
      <c r="K16" s="17">
        <f>IF(J16="","",F16-J16)</f>
        <v/>
      </c>
      <c r="L16" s="16" t="n"/>
    </row>
    <row r="17" ht="22" customHeight="1">
      <c r="B17" s="21">
        <f>IF(C17="","CONV-"&amp;TEXT(COUNTA($C$5:C17),"000"))</f>
        <v/>
      </c>
      <c r="C17" s="12" t="n"/>
      <c r="D17" s="12" t="n"/>
      <c r="E17" s="12" t="n"/>
      <c r="F17" s="13" t="n"/>
      <c r="G17" s="31" t="n"/>
      <c r="H17" s="31" t="n"/>
      <c r="I17" s="15" t="n"/>
      <c r="J17" s="13" t="n"/>
      <c r="K17" s="13">
        <f>IF(J17="","",F17-J17)</f>
        <v/>
      </c>
      <c r="L17" s="12" t="n"/>
    </row>
    <row r="18" ht="22" customHeight="1">
      <c r="B18" s="20">
        <f>IF(C18="","CONV-"&amp;TEXT(COUNTA($C$5:C18),"000"))</f>
        <v/>
      </c>
      <c r="C18" s="16" t="n"/>
      <c r="D18" s="16" t="n"/>
      <c r="E18" s="16" t="n"/>
      <c r="F18" s="17" t="n"/>
      <c r="G18" s="32" t="n"/>
      <c r="H18" s="32" t="n"/>
      <c r="I18" s="19" t="n"/>
      <c r="J18" s="17" t="n"/>
      <c r="K18" s="17">
        <f>IF(J18="","",F18-J18)</f>
        <v/>
      </c>
      <c r="L18" s="16" t="n"/>
    </row>
    <row r="19" ht="22" customHeight="1">
      <c r="B19" s="21">
        <f>IF(C19="","CONV-"&amp;TEXT(COUNTA($C$5:C19),"000"))</f>
        <v/>
      </c>
      <c r="C19" s="12" t="n"/>
      <c r="D19" s="12" t="n"/>
      <c r="E19" s="12" t="n"/>
      <c r="F19" s="13" t="n"/>
      <c r="G19" s="31" t="n"/>
      <c r="H19" s="31" t="n"/>
      <c r="I19" s="15" t="n"/>
      <c r="J19" s="13" t="n"/>
      <c r="K19" s="13">
        <f>IF(J19="","",F19-J19)</f>
        <v/>
      </c>
      <c r="L19" s="12" t="n"/>
    </row>
    <row r="20" ht="22" customHeight="1">
      <c r="B20" s="20">
        <f>IF(C20="","CONV-"&amp;TEXT(COUNTA($C$5:C20),"000"))</f>
        <v/>
      </c>
      <c r="C20" s="16" t="n"/>
      <c r="D20" s="16" t="n"/>
      <c r="E20" s="16" t="n"/>
      <c r="F20" s="17" t="n"/>
      <c r="G20" s="32" t="n"/>
      <c r="H20" s="32" t="n"/>
      <c r="I20" s="19" t="n"/>
      <c r="J20" s="17" t="n"/>
      <c r="K20" s="17">
        <f>IF(J20="","",F20-J20)</f>
        <v/>
      </c>
      <c r="L20" s="16" t="n"/>
    </row>
    <row r="21" ht="22" customHeight="1">
      <c r="B21" s="21">
        <f>IF(C21="","CONV-"&amp;TEXT(COUNTA($C$5:C21),"000"))</f>
        <v/>
      </c>
      <c r="C21" s="12" t="n"/>
      <c r="D21" s="12" t="n"/>
      <c r="E21" s="12" t="n"/>
      <c r="F21" s="13" t="n"/>
      <c r="G21" s="31" t="n"/>
      <c r="H21" s="31" t="n"/>
      <c r="I21" s="15" t="n"/>
      <c r="J21" s="13" t="n"/>
      <c r="K21" s="13">
        <f>IF(J21="","",F21-J21)</f>
        <v/>
      </c>
      <c r="L21" s="12" t="n"/>
    </row>
    <row r="22" ht="22" customHeight="1">
      <c r="B22" s="20">
        <f>IF(C22="","CONV-"&amp;TEXT(COUNTA($C$5:C22),"000"))</f>
        <v/>
      </c>
      <c r="C22" s="16" t="n"/>
      <c r="D22" s="16" t="n"/>
      <c r="E22" s="16" t="n"/>
      <c r="F22" s="17" t="n"/>
      <c r="G22" s="32" t="n"/>
      <c r="H22" s="32" t="n"/>
      <c r="I22" s="19" t="n"/>
      <c r="J22" s="17" t="n"/>
      <c r="K22" s="17">
        <f>IF(J22="","",F22-J22)</f>
        <v/>
      </c>
      <c r="L22" s="16" t="n"/>
    </row>
    <row r="23" ht="22" customHeight="1">
      <c r="B23" s="21">
        <f>IF(C23="","CONV-"&amp;TEXT(COUNTA($C$5:C23),"000"))</f>
        <v/>
      </c>
      <c r="C23" s="12" t="n"/>
      <c r="D23" s="12" t="n"/>
      <c r="E23" s="12" t="n"/>
      <c r="F23" s="13" t="n"/>
      <c r="G23" s="31" t="n"/>
      <c r="H23" s="31" t="n"/>
      <c r="I23" s="15" t="n"/>
      <c r="J23" s="13" t="n"/>
      <c r="K23" s="13">
        <f>IF(J23="","",F23-J23)</f>
        <v/>
      </c>
      <c r="L23" s="12" t="n"/>
    </row>
    <row r="24" ht="22" customHeight="1">
      <c r="B24" s="20">
        <f>IF(C24="","CONV-"&amp;TEXT(COUNTA($C$5:C24),"000"))</f>
        <v/>
      </c>
      <c r="C24" s="16" t="n"/>
      <c r="D24" s="16" t="n"/>
      <c r="E24" s="16" t="n"/>
      <c r="F24" s="17" t="n"/>
      <c r="G24" s="32" t="n"/>
      <c r="H24" s="32" t="n"/>
      <c r="I24" s="19" t="n"/>
      <c r="J24" s="17" t="n"/>
      <c r="K24" s="17">
        <f>IF(J24="","",F24-J24)</f>
        <v/>
      </c>
      <c r="L24" s="16" t="n"/>
    </row>
    <row r="25" ht="22" customHeight="1">
      <c r="B25" s="21">
        <f>IF(C25="","CONV-"&amp;TEXT(COUNTA($C$5:C25),"000"))</f>
        <v/>
      </c>
      <c r="C25" s="12" t="n"/>
      <c r="D25" s="12" t="n"/>
      <c r="E25" s="12" t="n"/>
      <c r="F25" s="13" t="n"/>
      <c r="G25" s="31" t="n"/>
      <c r="H25" s="31" t="n"/>
      <c r="I25" s="15" t="n"/>
      <c r="J25" s="13" t="n"/>
      <c r="K25" s="13">
        <f>IF(J25="","",F25-J25)</f>
        <v/>
      </c>
      <c r="L25" s="12" t="n"/>
    </row>
    <row r="26" ht="22" customHeight="1">
      <c r="B26" s="20">
        <f>IF(C26="","CONV-"&amp;TEXT(COUNTA($C$5:C26),"000"))</f>
        <v/>
      </c>
      <c r="C26" s="16" t="n"/>
      <c r="D26" s="16" t="n"/>
      <c r="E26" s="16" t="n"/>
      <c r="F26" s="17" t="n"/>
      <c r="G26" s="32" t="n"/>
      <c r="H26" s="32" t="n"/>
      <c r="I26" s="19" t="n"/>
      <c r="J26" s="17" t="n"/>
      <c r="K26" s="17">
        <f>IF(J26="","",F26-J26)</f>
        <v/>
      </c>
      <c r="L26" s="16" t="n"/>
    </row>
    <row r="27" ht="22" customHeight="1">
      <c r="B27" s="21">
        <f>IF(C27="","CONV-"&amp;TEXT(COUNTA($C$5:C27),"000"))</f>
        <v/>
      </c>
      <c r="C27" s="12" t="n"/>
      <c r="D27" s="12" t="n"/>
      <c r="E27" s="12" t="n"/>
      <c r="F27" s="13" t="n"/>
      <c r="G27" s="31" t="n"/>
      <c r="H27" s="31" t="n"/>
      <c r="I27" s="15" t="n"/>
      <c r="J27" s="13" t="n"/>
      <c r="K27" s="13">
        <f>IF(J27="","",F27-J27)</f>
        <v/>
      </c>
      <c r="L27" s="12" t="n"/>
    </row>
    <row r="28" ht="22" customHeight="1">
      <c r="B28" s="20">
        <f>IF(C28="","CONV-"&amp;TEXT(COUNTA($C$5:C28),"000"))</f>
        <v/>
      </c>
      <c r="C28" s="16" t="n"/>
      <c r="D28" s="16" t="n"/>
      <c r="E28" s="16" t="n"/>
      <c r="F28" s="17" t="n"/>
      <c r="G28" s="32" t="n"/>
      <c r="H28" s="32" t="n"/>
      <c r="I28" s="19" t="n"/>
      <c r="J28" s="17" t="n"/>
      <c r="K28" s="17">
        <f>IF(J28="","",F28-J28)</f>
        <v/>
      </c>
      <c r="L28" s="16" t="n"/>
    </row>
    <row r="29" ht="22" customHeight="1">
      <c r="B29" s="21">
        <f>IF(C29="","CONV-"&amp;TEXT(COUNTA($C$5:C29),"000"))</f>
        <v/>
      </c>
      <c r="C29" s="12" t="n"/>
      <c r="D29" s="12" t="n"/>
      <c r="E29" s="12" t="n"/>
      <c r="F29" s="13" t="n"/>
      <c r="G29" s="31" t="n"/>
      <c r="H29" s="31" t="n"/>
      <c r="I29" s="15" t="n"/>
      <c r="J29" s="13" t="n"/>
      <c r="K29" s="13">
        <f>IF(J29="","",F29-J29)</f>
        <v/>
      </c>
      <c r="L29" s="12" t="n"/>
    </row>
    <row r="30" ht="22" customHeight="1">
      <c r="B30" s="20">
        <f>IF(C30="","CONV-"&amp;TEXT(COUNTA($C$5:C30),"000"))</f>
        <v/>
      </c>
      <c r="C30" s="16" t="n"/>
      <c r="D30" s="16" t="n"/>
      <c r="E30" s="16" t="n"/>
      <c r="F30" s="17" t="n"/>
      <c r="G30" s="32" t="n"/>
      <c r="H30" s="32" t="n"/>
      <c r="I30" s="19" t="n"/>
      <c r="J30" s="17" t="n"/>
      <c r="K30" s="17">
        <f>IF(J30="","",F30-J30)</f>
        <v/>
      </c>
      <c r="L30" s="16" t="n"/>
    </row>
    <row r="31" ht="22" customHeight="1">
      <c r="B31" s="21">
        <f>IF(C31="","CONV-"&amp;TEXT(COUNTA($C$5:C31),"000"))</f>
        <v/>
      </c>
      <c r="C31" s="12" t="n"/>
      <c r="D31" s="12" t="n"/>
      <c r="E31" s="12" t="n"/>
      <c r="F31" s="13" t="n"/>
      <c r="G31" s="31" t="n"/>
      <c r="H31" s="31" t="n"/>
      <c r="I31" s="15" t="n"/>
      <c r="J31" s="13" t="n"/>
      <c r="K31" s="13">
        <f>IF(J31="","",F31-J31)</f>
        <v/>
      </c>
      <c r="L31" s="12" t="n"/>
    </row>
    <row r="32" ht="22" customHeight="1">
      <c r="B32" s="20">
        <f>IF(C32="","CONV-"&amp;TEXT(COUNTA($C$5:C32),"000"))</f>
        <v/>
      </c>
      <c r="C32" s="16" t="n"/>
      <c r="D32" s="16" t="n"/>
      <c r="E32" s="16" t="n"/>
      <c r="F32" s="17" t="n"/>
      <c r="G32" s="32" t="n"/>
      <c r="H32" s="32" t="n"/>
      <c r="I32" s="19" t="n"/>
      <c r="J32" s="17" t="n"/>
      <c r="K32" s="17">
        <f>IF(J32="","",F32-J32)</f>
        <v/>
      </c>
      <c r="L32" s="16" t="n"/>
    </row>
    <row r="33" ht="22" customHeight="1">
      <c r="B33" s="21">
        <f>IF(C33="","CONV-"&amp;TEXT(COUNTA($C$5:C33),"000"))</f>
        <v/>
      </c>
      <c r="C33" s="12" t="n"/>
      <c r="D33" s="12" t="n"/>
      <c r="E33" s="12" t="n"/>
      <c r="F33" s="13" t="n"/>
      <c r="G33" s="31" t="n"/>
      <c r="H33" s="31" t="n"/>
      <c r="I33" s="15" t="n"/>
      <c r="J33" s="13" t="n"/>
      <c r="K33" s="13">
        <f>IF(J33="","",F33-J33)</f>
        <v/>
      </c>
      <c r="L33" s="12" t="n"/>
    </row>
    <row r="34" ht="22" customHeight="1">
      <c r="B34" s="20">
        <f>IF(C34="","CONV-"&amp;TEXT(COUNTA($C$5:C34),"000"))</f>
        <v/>
      </c>
      <c r="C34" s="16" t="n"/>
      <c r="D34" s="16" t="n"/>
      <c r="E34" s="16" t="n"/>
      <c r="F34" s="17" t="n"/>
      <c r="G34" s="32" t="n"/>
      <c r="H34" s="32" t="n"/>
      <c r="I34" s="19" t="n"/>
      <c r="J34" s="17" t="n"/>
      <c r="K34" s="17">
        <f>IF(J34="","",F34-J34)</f>
        <v/>
      </c>
      <c r="L34" s="16" t="n"/>
    </row>
    <row r="35" ht="22" customHeight="1">
      <c r="B35" s="21">
        <f>IF(C35="","CONV-"&amp;TEXT(COUNTA($C$5:C35),"000"))</f>
        <v/>
      </c>
      <c r="C35" s="12" t="n"/>
      <c r="D35" s="12" t="n"/>
      <c r="E35" s="12" t="n"/>
      <c r="F35" s="13" t="n"/>
      <c r="G35" s="31" t="n"/>
      <c r="H35" s="31" t="n"/>
      <c r="I35" s="15" t="n"/>
      <c r="J35" s="13" t="n"/>
      <c r="K35" s="13">
        <f>IF(J35="","",F35-J35)</f>
        <v/>
      </c>
      <c r="L35" s="12" t="n"/>
    </row>
    <row r="36" ht="22" customHeight="1">
      <c r="B36" s="20">
        <f>IF(C36="","CONV-"&amp;TEXT(COUNTA($C$5:C36),"000"))</f>
        <v/>
      </c>
      <c r="C36" s="16" t="n"/>
      <c r="D36" s="16" t="n"/>
      <c r="E36" s="16" t="n"/>
      <c r="F36" s="17" t="n"/>
      <c r="G36" s="32" t="n"/>
      <c r="H36" s="32" t="n"/>
      <c r="I36" s="19" t="n"/>
      <c r="J36" s="17" t="n"/>
      <c r="K36" s="17">
        <f>IF(J36="","",F36-J36)</f>
        <v/>
      </c>
      <c r="L36" s="16" t="n"/>
    </row>
    <row r="37" ht="22" customHeight="1">
      <c r="B37" s="21">
        <f>IF(C37="","CONV-"&amp;TEXT(COUNTA($C$5:C37),"000"))</f>
        <v/>
      </c>
      <c r="C37" s="12" t="n"/>
      <c r="D37" s="12" t="n"/>
      <c r="E37" s="12" t="n"/>
      <c r="F37" s="13" t="n"/>
      <c r="G37" s="31" t="n"/>
      <c r="H37" s="31" t="n"/>
      <c r="I37" s="15" t="n"/>
      <c r="J37" s="13" t="n"/>
      <c r="K37" s="13">
        <f>IF(J37="","",F37-J37)</f>
        <v/>
      </c>
      <c r="L37" s="12" t="n"/>
    </row>
    <row r="38" ht="22" customHeight="1">
      <c r="B38" s="20">
        <f>IF(C38="","CONV-"&amp;TEXT(COUNTA($C$5:C38),"000"))</f>
        <v/>
      </c>
      <c r="C38" s="16" t="n"/>
      <c r="D38" s="16" t="n"/>
      <c r="E38" s="16" t="n"/>
      <c r="F38" s="17" t="n"/>
      <c r="G38" s="32" t="n"/>
      <c r="H38" s="32" t="n"/>
      <c r="I38" s="19" t="n"/>
      <c r="J38" s="17" t="n"/>
      <c r="K38" s="17">
        <f>IF(J38="","",F38-J38)</f>
        <v/>
      </c>
      <c r="L38" s="16" t="n"/>
    </row>
    <row r="39" ht="22" customHeight="1">
      <c r="B39" s="21">
        <f>IF(C39="","CONV-"&amp;TEXT(COUNTA($C$5:C39),"000"))</f>
        <v/>
      </c>
      <c r="C39" s="12" t="n"/>
      <c r="D39" s="12" t="n"/>
      <c r="E39" s="12" t="n"/>
      <c r="F39" s="13" t="n"/>
      <c r="G39" s="31" t="n"/>
      <c r="H39" s="31" t="n"/>
      <c r="I39" s="15" t="n"/>
      <c r="J39" s="13" t="n"/>
      <c r="K39" s="13">
        <f>IF(J39="","",F39-J39)</f>
        <v/>
      </c>
      <c r="L39" s="12" t="n"/>
    </row>
    <row r="40" ht="22" customHeight="1">
      <c r="B40" s="20">
        <f>IF(C40="","CONV-"&amp;TEXT(COUNTA($C$5:C40),"000"))</f>
        <v/>
      </c>
      <c r="C40" s="16" t="n"/>
      <c r="D40" s="16" t="n"/>
      <c r="E40" s="16" t="n"/>
      <c r="F40" s="17" t="n"/>
      <c r="G40" s="32" t="n"/>
      <c r="H40" s="32" t="n"/>
      <c r="I40" s="19" t="n"/>
      <c r="J40" s="17" t="n"/>
      <c r="K40" s="17">
        <f>IF(J40="","",F40-J40)</f>
        <v/>
      </c>
      <c r="L40" s="16" t="n"/>
    </row>
    <row r="41" ht="22" customHeight="1">
      <c r="B41" s="21">
        <f>IF(C41="","CONV-"&amp;TEXT(COUNTA($C$5:C41),"000"))</f>
        <v/>
      </c>
      <c r="C41" s="12" t="n"/>
      <c r="D41" s="12" t="n"/>
      <c r="E41" s="12" t="n"/>
      <c r="F41" s="13" t="n"/>
      <c r="G41" s="31" t="n"/>
      <c r="H41" s="31" t="n"/>
      <c r="I41" s="15" t="n"/>
      <c r="J41" s="13" t="n"/>
      <c r="K41" s="13">
        <f>IF(J41="","",F41-J41)</f>
        <v/>
      </c>
      <c r="L41" s="12" t="n"/>
    </row>
    <row r="42" ht="22" customHeight="1">
      <c r="B42" s="20">
        <f>IF(C42="","CONV-"&amp;TEXT(COUNTA($C$5:C42),"000"))</f>
        <v/>
      </c>
      <c r="C42" s="16" t="n"/>
      <c r="D42" s="16" t="n"/>
      <c r="E42" s="16" t="n"/>
      <c r="F42" s="17" t="n"/>
      <c r="G42" s="32" t="n"/>
      <c r="H42" s="32" t="n"/>
      <c r="I42" s="19" t="n"/>
      <c r="J42" s="17" t="n"/>
      <c r="K42" s="17">
        <f>IF(J42="","",F42-J42)</f>
        <v/>
      </c>
      <c r="L42" s="16" t="n"/>
    </row>
    <row r="43" ht="22" customHeight="1">
      <c r="B43" s="21">
        <f>IF(C43="","CONV-"&amp;TEXT(COUNTA($C$5:C43),"000"))</f>
        <v/>
      </c>
      <c r="C43" s="12" t="n"/>
      <c r="D43" s="12" t="n"/>
      <c r="E43" s="12" t="n"/>
      <c r="F43" s="13" t="n"/>
      <c r="G43" s="31" t="n"/>
      <c r="H43" s="31" t="n"/>
      <c r="I43" s="15" t="n"/>
      <c r="J43" s="13" t="n"/>
      <c r="K43" s="13">
        <f>IF(J43="","",F43-J43)</f>
        <v/>
      </c>
      <c r="L43" s="12" t="n"/>
    </row>
    <row r="44" ht="22" customHeight="1">
      <c r="B44" s="20">
        <f>IF(C44="","CONV-"&amp;TEXT(COUNTA($C$5:C44),"000"))</f>
        <v/>
      </c>
      <c r="C44" s="16" t="n"/>
      <c r="D44" s="16" t="n"/>
      <c r="E44" s="16" t="n"/>
      <c r="F44" s="17" t="n"/>
      <c r="G44" s="32" t="n"/>
      <c r="H44" s="32" t="n"/>
      <c r="I44" s="19" t="n"/>
      <c r="J44" s="17" t="n"/>
      <c r="K44" s="17">
        <f>IF(J44="","",F44-J44)</f>
        <v/>
      </c>
      <c r="L44" s="16" t="n"/>
    </row>
    <row r="45" ht="22" customHeight="1">
      <c r="B45" s="21">
        <f>IF(C45="","CONV-"&amp;TEXT(COUNTA($C$5:C45),"000"))</f>
        <v/>
      </c>
      <c r="C45" s="12" t="n"/>
      <c r="D45" s="12" t="n"/>
      <c r="E45" s="12" t="n"/>
      <c r="F45" s="13" t="n"/>
      <c r="G45" s="31" t="n"/>
      <c r="H45" s="31" t="n"/>
      <c r="I45" s="15" t="n"/>
      <c r="J45" s="13" t="n"/>
      <c r="K45" s="13">
        <f>IF(J45="","",F45-J45)</f>
        <v/>
      </c>
      <c r="L45" s="12" t="n"/>
    </row>
    <row r="46" ht="22" customHeight="1">
      <c r="B46" s="20">
        <f>IF(C46="","CONV-"&amp;TEXT(COUNTA($C$5:C46),"000"))</f>
        <v/>
      </c>
      <c r="C46" s="16" t="n"/>
      <c r="D46" s="16" t="n"/>
      <c r="E46" s="16" t="n"/>
      <c r="F46" s="17" t="n"/>
      <c r="G46" s="32" t="n"/>
      <c r="H46" s="32" t="n"/>
      <c r="I46" s="19" t="n"/>
      <c r="J46" s="17" t="n"/>
      <c r="K46" s="17">
        <f>IF(J46="","",F46-J46)</f>
        <v/>
      </c>
      <c r="L46" s="16" t="n"/>
    </row>
    <row r="47" ht="22" customHeight="1">
      <c r="B47" s="21">
        <f>IF(C47="","CONV-"&amp;TEXT(COUNTA($C$5:C47),"000"))</f>
        <v/>
      </c>
      <c r="C47" s="12" t="n"/>
      <c r="D47" s="12" t="n"/>
      <c r="E47" s="12" t="n"/>
      <c r="F47" s="13" t="n"/>
      <c r="G47" s="31" t="n"/>
      <c r="H47" s="31" t="n"/>
      <c r="I47" s="15" t="n"/>
      <c r="J47" s="13" t="n"/>
      <c r="K47" s="13">
        <f>IF(J47="","",F47-J47)</f>
        <v/>
      </c>
      <c r="L47" s="12" t="n"/>
    </row>
    <row r="48" ht="22" customHeight="1">
      <c r="B48" s="20">
        <f>IF(C48="","CONV-"&amp;TEXT(COUNTA($C$5:C48),"000"))</f>
        <v/>
      </c>
      <c r="C48" s="16" t="n"/>
      <c r="D48" s="16" t="n"/>
      <c r="E48" s="16" t="n"/>
      <c r="F48" s="17" t="n"/>
      <c r="G48" s="32" t="n"/>
      <c r="H48" s="32" t="n"/>
      <c r="I48" s="19" t="n"/>
      <c r="J48" s="17" t="n"/>
      <c r="K48" s="17">
        <f>IF(J48="","",F48-J48)</f>
        <v/>
      </c>
      <c r="L48" s="16" t="n"/>
    </row>
    <row r="49" ht="22" customHeight="1">
      <c r="B49" s="21">
        <f>IF(C49="","CONV-"&amp;TEXT(COUNTA($C$5:C49),"000"))</f>
        <v/>
      </c>
      <c r="C49" s="12" t="n"/>
      <c r="D49" s="12" t="n"/>
      <c r="E49" s="12" t="n"/>
      <c r="F49" s="13" t="n"/>
      <c r="G49" s="31" t="n"/>
      <c r="H49" s="31" t="n"/>
      <c r="I49" s="15" t="n"/>
      <c r="J49" s="13" t="n"/>
      <c r="K49" s="13">
        <f>IF(J49="","",F49-J49)</f>
        <v/>
      </c>
      <c r="L49" s="12" t="n"/>
    </row>
    <row r="50" ht="22" customHeight="1">
      <c r="B50" s="20">
        <f>IF(C50="","CONV-"&amp;TEXT(COUNTA($C$5:C50),"000"))</f>
        <v/>
      </c>
      <c r="C50" s="16" t="n"/>
      <c r="D50" s="16" t="n"/>
      <c r="E50" s="16" t="n"/>
      <c r="F50" s="17" t="n"/>
      <c r="G50" s="32" t="n"/>
      <c r="H50" s="32" t="n"/>
      <c r="I50" s="19" t="n"/>
      <c r="J50" s="17" t="n"/>
      <c r="K50" s="17">
        <f>IF(J50="","",F50-J50)</f>
        <v/>
      </c>
      <c r="L50" s="16" t="n"/>
    </row>
    <row r="51" ht="22" customHeight="1">
      <c r="B51" s="21">
        <f>IF(C51="","CONV-"&amp;TEXT(COUNTA($C$5:C51),"000"))</f>
        <v/>
      </c>
      <c r="C51" s="12" t="n"/>
      <c r="D51" s="12" t="n"/>
      <c r="E51" s="12" t="n"/>
      <c r="F51" s="13" t="n"/>
      <c r="G51" s="31" t="n"/>
      <c r="H51" s="31" t="n"/>
      <c r="I51" s="15" t="n"/>
      <c r="J51" s="13" t="n"/>
      <c r="K51" s="13">
        <f>IF(J51="","",F51-J51)</f>
        <v/>
      </c>
      <c r="L51" s="12" t="n"/>
    </row>
    <row r="52" ht="22" customHeight="1">
      <c r="B52" s="20">
        <f>IF(C52="","CONV-"&amp;TEXT(COUNTA($C$5:C52),"000"))</f>
        <v/>
      </c>
      <c r="C52" s="16" t="n"/>
      <c r="D52" s="16" t="n"/>
      <c r="E52" s="16" t="n"/>
      <c r="F52" s="17" t="n"/>
      <c r="G52" s="32" t="n"/>
      <c r="H52" s="32" t="n"/>
      <c r="I52" s="19" t="n"/>
      <c r="J52" s="17" t="n"/>
      <c r="K52" s="17">
        <f>IF(J52="","",F52-J52)</f>
        <v/>
      </c>
      <c r="L52" s="16" t="n"/>
    </row>
    <row r="53" ht="22" customHeight="1">
      <c r="B53" s="21">
        <f>IF(C53="","CONV-"&amp;TEXT(COUNTA($C$5:C53),"000"))</f>
        <v/>
      </c>
      <c r="C53" s="12" t="n"/>
      <c r="D53" s="12" t="n"/>
      <c r="E53" s="12" t="n"/>
      <c r="F53" s="13" t="n"/>
      <c r="G53" s="31" t="n"/>
      <c r="H53" s="31" t="n"/>
      <c r="I53" s="15" t="n"/>
      <c r="J53" s="13" t="n"/>
      <c r="K53" s="13">
        <f>IF(J53="","",F53-J53)</f>
        <v/>
      </c>
      <c r="L53" s="12" t="n"/>
    </row>
    <row r="54" ht="22" customHeight="1">
      <c r="B54" s="20">
        <f>IF(C54="","CONV-"&amp;TEXT(COUNTA($C$5:C54),"000"))</f>
        <v/>
      </c>
      <c r="C54" s="16" t="n"/>
      <c r="D54" s="16" t="n"/>
      <c r="E54" s="16" t="n"/>
      <c r="F54" s="17" t="n"/>
      <c r="G54" s="32" t="n"/>
      <c r="H54" s="32" t="n"/>
      <c r="I54" s="19" t="n"/>
      <c r="J54" s="17" t="n"/>
      <c r="K54" s="17">
        <f>IF(J54="","",F54-J54)</f>
        <v/>
      </c>
      <c r="L54" s="16" t="n"/>
    </row>
    <row r="55" ht="22" customHeight="1">
      <c r="B55" s="21">
        <f>IF(C55="","CONV-"&amp;TEXT(COUNTA($C$5:C55),"000"))</f>
        <v/>
      </c>
      <c r="C55" s="12" t="n"/>
      <c r="D55" s="12" t="n"/>
      <c r="E55" s="12" t="n"/>
      <c r="F55" s="13" t="n"/>
      <c r="G55" s="31" t="n"/>
      <c r="H55" s="31" t="n"/>
      <c r="I55" s="15" t="n"/>
      <c r="J55" s="13" t="n"/>
      <c r="K55" s="13">
        <f>IF(J55="","",F55-J55)</f>
        <v/>
      </c>
      <c r="L55" s="12" t="n"/>
    </row>
    <row r="56" ht="22" customHeight="1">
      <c r="B56" s="20">
        <f>IF(C56="","CONV-"&amp;TEXT(COUNTA($C$5:C56),"000"))</f>
        <v/>
      </c>
      <c r="C56" s="16" t="n"/>
      <c r="D56" s="16" t="n"/>
      <c r="E56" s="16" t="n"/>
      <c r="F56" s="17" t="n"/>
      <c r="G56" s="32" t="n"/>
      <c r="H56" s="32" t="n"/>
      <c r="I56" s="19" t="n"/>
      <c r="J56" s="17" t="n"/>
      <c r="K56" s="17">
        <f>IF(J56="","",F56-J56)</f>
        <v/>
      </c>
      <c r="L56" s="16" t="n"/>
    </row>
    <row r="57" ht="22" customHeight="1">
      <c r="B57" s="21">
        <f>IF(C57="","CONV-"&amp;TEXT(COUNTA($C$5:C57),"000"))</f>
        <v/>
      </c>
      <c r="C57" s="12" t="n"/>
      <c r="D57" s="12" t="n"/>
      <c r="E57" s="12" t="n"/>
      <c r="F57" s="13" t="n"/>
      <c r="G57" s="31" t="n"/>
      <c r="H57" s="31" t="n"/>
      <c r="I57" s="15" t="n"/>
      <c r="J57" s="13" t="n"/>
      <c r="K57" s="13">
        <f>IF(J57="","",F57-J57)</f>
        <v/>
      </c>
      <c r="L57" s="12" t="n"/>
    </row>
    <row r="58" ht="22" customHeight="1">
      <c r="B58" s="20">
        <f>IF(C58="","CONV-"&amp;TEXT(COUNTA($C$5:C58),"000"))</f>
        <v/>
      </c>
      <c r="C58" s="16" t="n"/>
      <c r="D58" s="16" t="n"/>
      <c r="E58" s="16" t="n"/>
      <c r="F58" s="17" t="n"/>
      <c r="G58" s="32" t="n"/>
      <c r="H58" s="32" t="n"/>
      <c r="I58" s="19" t="n"/>
      <c r="J58" s="17" t="n"/>
      <c r="K58" s="17">
        <f>IF(J58="","",F58-J58)</f>
        <v/>
      </c>
      <c r="L58" s="16" t="n"/>
    </row>
    <row r="59" ht="22" customHeight="1">
      <c r="B59" s="21">
        <f>IF(C59="","CONV-"&amp;TEXT(COUNTA($C$5:C59),"000"))</f>
        <v/>
      </c>
      <c r="C59" s="12" t="n"/>
      <c r="D59" s="12" t="n"/>
      <c r="E59" s="12" t="n"/>
      <c r="F59" s="13" t="n"/>
      <c r="G59" s="31" t="n"/>
      <c r="H59" s="31" t="n"/>
      <c r="I59" s="15" t="n"/>
      <c r="J59" s="13" t="n"/>
      <c r="K59" s="13">
        <f>IF(J59="","",F59-J59)</f>
        <v/>
      </c>
      <c r="L59" s="12" t="n"/>
    </row>
    <row r="60" ht="22" customHeight="1">
      <c r="B60" s="20">
        <f>IF(C60="","CONV-"&amp;TEXT(COUNTA($C$5:C60),"000"))</f>
        <v/>
      </c>
      <c r="C60" s="16" t="n"/>
      <c r="D60" s="16" t="n"/>
      <c r="E60" s="16" t="n"/>
      <c r="F60" s="17" t="n"/>
      <c r="G60" s="32" t="n"/>
      <c r="H60" s="32" t="n"/>
      <c r="I60" s="19" t="n"/>
      <c r="J60" s="17" t="n"/>
      <c r="K60" s="17">
        <f>IF(J60="","",F60-J60)</f>
        <v/>
      </c>
      <c r="L60" s="16" t="n"/>
    </row>
    <row r="61" ht="22" customHeight="1">
      <c r="B61" s="21">
        <f>IF(C61="","CONV-"&amp;TEXT(COUNTA($C$5:C61),"000"))</f>
        <v/>
      </c>
      <c r="C61" s="12" t="n"/>
      <c r="D61" s="12" t="n"/>
      <c r="E61" s="12" t="n"/>
      <c r="F61" s="13" t="n"/>
      <c r="G61" s="31" t="n"/>
      <c r="H61" s="31" t="n"/>
      <c r="I61" s="15" t="n"/>
      <c r="J61" s="13" t="n"/>
      <c r="K61" s="13">
        <f>IF(J61="","",F61-J61)</f>
        <v/>
      </c>
      <c r="L61" s="12" t="n"/>
    </row>
    <row r="62" ht="22" customHeight="1">
      <c r="B62" s="20">
        <f>IF(C62="","CONV-"&amp;TEXT(COUNTA($C$5:C62),"000"))</f>
        <v/>
      </c>
      <c r="C62" s="16" t="n"/>
      <c r="D62" s="16" t="n"/>
      <c r="E62" s="16" t="n"/>
      <c r="F62" s="17" t="n"/>
      <c r="G62" s="32" t="n"/>
      <c r="H62" s="32" t="n"/>
      <c r="I62" s="19" t="n"/>
      <c r="J62" s="17" t="n"/>
      <c r="K62" s="17">
        <f>IF(J62="","",F62-J62)</f>
        <v/>
      </c>
      <c r="L62" s="16" t="n"/>
    </row>
    <row r="63" ht="22" customHeight="1">
      <c r="B63" s="21">
        <f>IF(C63="","CONV-"&amp;TEXT(COUNTA($C$5:C63),"000"))</f>
        <v/>
      </c>
      <c r="C63" s="12" t="n"/>
      <c r="D63" s="12" t="n"/>
      <c r="E63" s="12" t="n"/>
      <c r="F63" s="13" t="n"/>
      <c r="G63" s="31" t="n"/>
      <c r="H63" s="31" t="n"/>
      <c r="I63" s="15" t="n"/>
      <c r="J63" s="13" t="n"/>
      <c r="K63" s="13">
        <f>IF(J63="","",F63-J63)</f>
        <v/>
      </c>
      <c r="L63" s="12" t="n"/>
    </row>
    <row r="64" ht="22" customHeight="1">
      <c r="B64" s="20">
        <f>IF(C64="","CONV-"&amp;TEXT(COUNTA($C$5:C64),"000"))</f>
        <v/>
      </c>
      <c r="C64" s="16" t="n"/>
      <c r="D64" s="16" t="n"/>
      <c r="E64" s="16" t="n"/>
      <c r="F64" s="17" t="n"/>
      <c r="G64" s="32" t="n"/>
      <c r="H64" s="32" t="n"/>
      <c r="I64" s="19" t="n"/>
      <c r="J64" s="17" t="n"/>
      <c r="K64" s="17">
        <f>IF(J64="","",F64-J64)</f>
        <v/>
      </c>
      <c r="L64" s="16" t="n"/>
    </row>
    <row r="65" ht="22" customHeight="1">
      <c r="B65" s="21">
        <f>IF(C65="","CONV-"&amp;TEXT(COUNTA($C$5:C65),"000"))</f>
        <v/>
      </c>
      <c r="C65" s="12" t="n"/>
      <c r="D65" s="12" t="n"/>
      <c r="E65" s="12" t="n"/>
      <c r="F65" s="13" t="n"/>
      <c r="G65" s="31" t="n"/>
      <c r="H65" s="31" t="n"/>
      <c r="I65" s="15" t="n"/>
      <c r="J65" s="13" t="n"/>
      <c r="K65" s="13">
        <f>IF(J65="","",F65-J65)</f>
        <v/>
      </c>
      <c r="L65" s="12" t="n"/>
    </row>
    <row r="66" ht="22" customHeight="1">
      <c r="B66" s="20">
        <f>IF(C66="","CONV-"&amp;TEXT(COUNTA($C$5:C66),"000"))</f>
        <v/>
      </c>
      <c r="C66" s="16" t="n"/>
      <c r="D66" s="16" t="n"/>
      <c r="E66" s="16" t="n"/>
      <c r="F66" s="17" t="n"/>
      <c r="G66" s="32" t="n"/>
      <c r="H66" s="32" t="n"/>
      <c r="I66" s="19" t="n"/>
      <c r="J66" s="17" t="n"/>
      <c r="K66" s="17">
        <f>IF(J66="","",F66-J66)</f>
        <v/>
      </c>
      <c r="L66" s="16" t="n"/>
    </row>
    <row r="67" ht="22" customHeight="1">
      <c r="B67" s="21">
        <f>IF(C67="","CONV-"&amp;TEXT(COUNTA($C$5:C67),"000"))</f>
        <v/>
      </c>
      <c r="C67" s="12" t="n"/>
      <c r="D67" s="12" t="n"/>
      <c r="E67" s="12" t="n"/>
      <c r="F67" s="13" t="n"/>
      <c r="G67" s="31" t="n"/>
      <c r="H67" s="31" t="n"/>
      <c r="I67" s="15" t="n"/>
      <c r="J67" s="13" t="n"/>
      <c r="K67" s="13">
        <f>IF(J67="","",F67-J67)</f>
        <v/>
      </c>
      <c r="L67" s="12" t="n"/>
    </row>
    <row r="68" ht="22" customHeight="1">
      <c r="B68" s="20">
        <f>IF(C68="","CONV-"&amp;TEXT(COUNTA($C$5:C68),"000"))</f>
        <v/>
      </c>
      <c r="C68" s="16" t="n"/>
      <c r="D68" s="16" t="n"/>
      <c r="E68" s="16" t="n"/>
      <c r="F68" s="17" t="n"/>
      <c r="G68" s="32" t="n"/>
      <c r="H68" s="32" t="n"/>
      <c r="I68" s="19" t="n"/>
      <c r="J68" s="17" t="n"/>
      <c r="K68" s="17">
        <f>IF(J68="","",F68-J68)</f>
        <v/>
      </c>
      <c r="L68" s="16" t="n"/>
    </row>
    <row r="69" ht="22" customHeight="1">
      <c r="B69" s="21">
        <f>IF(C69="","CONV-"&amp;TEXT(COUNTA($C$5:C69),"000"))</f>
        <v/>
      </c>
      <c r="C69" s="12" t="n"/>
      <c r="D69" s="12" t="n"/>
      <c r="E69" s="12" t="n"/>
      <c r="F69" s="13" t="n"/>
      <c r="G69" s="31" t="n"/>
      <c r="H69" s="31" t="n"/>
      <c r="I69" s="15" t="n"/>
      <c r="J69" s="13" t="n"/>
      <c r="K69" s="13">
        <f>IF(J69="","",F69-J69)</f>
        <v/>
      </c>
      <c r="L69" s="12" t="n"/>
    </row>
    <row r="70" ht="22" customHeight="1">
      <c r="B70" s="20">
        <f>IF(C70="","CONV-"&amp;TEXT(COUNTA($C$5:C70),"000"))</f>
        <v/>
      </c>
      <c r="C70" s="16" t="n"/>
      <c r="D70" s="16" t="n"/>
      <c r="E70" s="16" t="n"/>
      <c r="F70" s="17" t="n"/>
      <c r="G70" s="32" t="n"/>
      <c r="H70" s="32" t="n"/>
      <c r="I70" s="19" t="n"/>
      <c r="J70" s="17" t="n"/>
      <c r="K70" s="17">
        <f>IF(J70="","",F70-J70)</f>
        <v/>
      </c>
      <c r="L70" s="16" t="n"/>
    </row>
    <row r="71" ht="22" customHeight="1">
      <c r="B71" s="21">
        <f>IF(C71="","CONV-"&amp;TEXT(COUNTA($C$5:C71),"000"))</f>
        <v/>
      </c>
      <c r="C71" s="12" t="n"/>
      <c r="D71" s="12" t="n"/>
      <c r="E71" s="12" t="n"/>
      <c r="F71" s="13" t="n"/>
      <c r="G71" s="31" t="n"/>
      <c r="H71" s="31" t="n"/>
      <c r="I71" s="15" t="n"/>
      <c r="J71" s="13" t="n"/>
      <c r="K71" s="13">
        <f>IF(J71="","",F71-J71)</f>
        <v/>
      </c>
      <c r="L71" s="12" t="n"/>
    </row>
    <row r="72" ht="22" customHeight="1">
      <c r="B72" s="20">
        <f>IF(C72="","CONV-"&amp;TEXT(COUNTA($C$5:C72),"000"))</f>
        <v/>
      </c>
      <c r="C72" s="16" t="n"/>
      <c r="D72" s="16" t="n"/>
      <c r="E72" s="16" t="n"/>
      <c r="F72" s="17" t="n"/>
      <c r="G72" s="32" t="n"/>
      <c r="H72" s="32" t="n"/>
      <c r="I72" s="19" t="n"/>
      <c r="J72" s="17" t="n"/>
      <c r="K72" s="17">
        <f>IF(J72="","",F72-J72)</f>
        <v/>
      </c>
      <c r="L72" s="16" t="n"/>
    </row>
    <row r="73" ht="22" customHeight="1">
      <c r="B73" s="21">
        <f>IF(C73="","CONV-"&amp;TEXT(COUNTA($C$5:C73),"000"))</f>
        <v/>
      </c>
      <c r="C73" s="12" t="n"/>
      <c r="D73" s="12" t="n"/>
      <c r="E73" s="12" t="n"/>
      <c r="F73" s="13" t="n"/>
      <c r="G73" s="31" t="n"/>
      <c r="H73" s="31" t="n"/>
      <c r="I73" s="15" t="n"/>
      <c r="J73" s="13" t="n"/>
      <c r="K73" s="13">
        <f>IF(J73="","",F73-J73)</f>
        <v/>
      </c>
      <c r="L73" s="12" t="n"/>
    </row>
    <row r="74" ht="22" customHeight="1">
      <c r="B74" s="20">
        <f>IF(C74="","CONV-"&amp;TEXT(COUNTA($C$5:C74),"000"))</f>
        <v/>
      </c>
      <c r="C74" s="16" t="n"/>
      <c r="D74" s="16" t="n"/>
      <c r="E74" s="16" t="n"/>
      <c r="F74" s="17" t="n"/>
      <c r="G74" s="32" t="n"/>
      <c r="H74" s="32" t="n"/>
      <c r="I74" s="19" t="n"/>
      <c r="J74" s="17" t="n"/>
      <c r="K74" s="17">
        <f>IF(J74="","",F74-J74)</f>
        <v/>
      </c>
      <c r="L74" s="16" t="n"/>
    </row>
    <row r="75" ht="22" customHeight="1">
      <c r="B75" s="21">
        <f>IF(C75="","CONV-"&amp;TEXT(COUNTA($C$5:C75),"000"))</f>
        <v/>
      </c>
      <c r="C75" s="12" t="n"/>
      <c r="D75" s="12" t="n"/>
      <c r="E75" s="12" t="n"/>
      <c r="F75" s="13" t="n"/>
      <c r="G75" s="31" t="n"/>
      <c r="H75" s="31" t="n"/>
      <c r="I75" s="15" t="n"/>
      <c r="J75" s="13" t="n"/>
      <c r="K75" s="13">
        <f>IF(J75="","",F75-J75)</f>
        <v/>
      </c>
      <c r="L75" s="12" t="n"/>
    </row>
    <row r="76" ht="22" customHeight="1">
      <c r="B76" s="20">
        <f>IF(C76="","CONV-"&amp;TEXT(COUNTA($C$5:C76),"000"))</f>
        <v/>
      </c>
      <c r="C76" s="16" t="n"/>
      <c r="D76" s="16" t="n"/>
      <c r="E76" s="16" t="n"/>
      <c r="F76" s="17" t="n"/>
      <c r="G76" s="32" t="n"/>
      <c r="H76" s="32" t="n"/>
      <c r="I76" s="19" t="n"/>
      <c r="J76" s="17" t="n"/>
      <c r="K76" s="17">
        <f>IF(J76="","",F76-J76)</f>
        <v/>
      </c>
      <c r="L76" s="16" t="n"/>
    </row>
    <row r="77" ht="22" customHeight="1">
      <c r="B77" s="21">
        <f>IF(C77="","CONV-"&amp;TEXT(COUNTA($C$5:C77),"000"))</f>
        <v/>
      </c>
      <c r="C77" s="12" t="n"/>
      <c r="D77" s="12" t="n"/>
      <c r="E77" s="12" t="n"/>
      <c r="F77" s="13" t="n"/>
      <c r="G77" s="31" t="n"/>
      <c r="H77" s="31" t="n"/>
      <c r="I77" s="15" t="n"/>
      <c r="J77" s="13" t="n"/>
      <c r="K77" s="13">
        <f>IF(J77="","",F77-J77)</f>
        <v/>
      </c>
      <c r="L77" s="12" t="n"/>
    </row>
    <row r="78" ht="22" customHeight="1">
      <c r="B78" s="20">
        <f>IF(C78="","CONV-"&amp;TEXT(COUNTA($C$5:C78),"000"))</f>
        <v/>
      </c>
      <c r="C78" s="16" t="n"/>
      <c r="D78" s="16" t="n"/>
      <c r="E78" s="16" t="n"/>
      <c r="F78" s="17" t="n"/>
      <c r="G78" s="32" t="n"/>
      <c r="H78" s="32" t="n"/>
      <c r="I78" s="19" t="n"/>
      <c r="J78" s="17" t="n"/>
      <c r="K78" s="17">
        <f>IF(J78="","",F78-J78)</f>
        <v/>
      </c>
      <c r="L78" s="16" t="n"/>
    </row>
    <row r="79" ht="22" customHeight="1">
      <c r="B79" s="21">
        <f>IF(C79="","CONV-"&amp;TEXT(COUNTA($C$5:C79),"000"))</f>
        <v/>
      </c>
      <c r="C79" s="12" t="n"/>
      <c r="D79" s="12" t="n"/>
      <c r="E79" s="12" t="n"/>
      <c r="F79" s="13" t="n"/>
      <c r="G79" s="31" t="n"/>
      <c r="H79" s="31" t="n"/>
      <c r="I79" s="15" t="n"/>
      <c r="J79" s="13" t="n"/>
      <c r="K79" s="13">
        <f>IF(J79="","",F79-J79)</f>
        <v/>
      </c>
      <c r="L79" s="12" t="n"/>
    </row>
    <row r="80" ht="22" customHeight="1">
      <c r="B80" s="20">
        <f>IF(C80="","CONV-"&amp;TEXT(COUNTA($C$5:C80),"000"))</f>
        <v/>
      </c>
      <c r="C80" s="16" t="n"/>
      <c r="D80" s="16" t="n"/>
      <c r="E80" s="16" t="n"/>
      <c r="F80" s="17" t="n"/>
      <c r="G80" s="32" t="n"/>
      <c r="H80" s="32" t="n"/>
      <c r="I80" s="19" t="n"/>
      <c r="J80" s="17" t="n"/>
      <c r="K80" s="17">
        <f>IF(J80="","",F80-J80)</f>
        <v/>
      </c>
      <c r="L80" s="16" t="n"/>
    </row>
    <row r="81" ht="22" customHeight="1">
      <c r="B81" s="21">
        <f>IF(C81="","CONV-"&amp;TEXT(COUNTA($C$5:C81),"000"))</f>
        <v/>
      </c>
      <c r="C81" s="12" t="n"/>
      <c r="D81" s="12" t="n"/>
      <c r="E81" s="12" t="n"/>
      <c r="F81" s="13" t="n"/>
      <c r="G81" s="31" t="n"/>
      <c r="H81" s="31" t="n"/>
      <c r="I81" s="15" t="n"/>
      <c r="J81" s="13" t="n"/>
      <c r="K81" s="13">
        <f>IF(J81="","",F81-J81)</f>
        <v/>
      </c>
      <c r="L81" s="12" t="n"/>
    </row>
    <row r="82" ht="22" customHeight="1">
      <c r="B82" s="20">
        <f>IF(C82="","CONV-"&amp;TEXT(COUNTA($C$5:C82),"000"))</f>
        <v/>
      </c>
      <c r="C82" s="16" t="n"/>
      <c r="D82" s="16" t="n"/>
      <c r="E82" s="16" t="n"/>
      <c r="F82" s="17" t="n"/>
      <c r="G82" s="32" t="n"/>
      <c r="H82" s="32" t="n"/>
      <c r="I82" s="19" t="n"/>
      <c r="J82" s="17" t="n"/>
      <c r="K82" s="17">
        <f>IF(J82="","",F82-J82)</f>
        <v/>
      </c>
      <c r="L82" s="16" t="n"/>
    </row>
    <row r="83" ht="22" customHeight="1">
      <c r="B83" s="21">
        <f>IF(C83="","CONV-"&amp;TEXT(COUNTA($C$5:C83),"000"))</f>
        <v/>
      </c>
      <c r="C83" s="12" t="n"/>
      <c r="D83" s="12" t="n"/>
      <c r="E83" s="12" t="n"/>
      <c r="F83" s="13" t="n"/>
      <c r="G83" s="31" t="n"/>
      <c r="H83" s="31" t="n"/>
      <c r="I83" s="15" t="n"/>
      <c r="J83" s="13" t="n"/>
      <c r="K83" s="13">
        <f>IF(J83="","",F83-J83)</f>
        <v/>
      </c>
      <c r="L83" s="12" t="n"/>
    </row>
    <row r="84" ht="22" customHeight="1">
      <c r="B84" s="20">
        <f>IF(C84="","CONV-"&amp;TEXT(COUNTA($C$5:C84),"000"))</f>
        <v/>
      </c>
      <c r="C84" s="16" t="n"/>
      <c r="D84" s="16" t="n"/>
      <c r="E84" s="16" t="n"/>
      <c r="F84" s="17" t="n"/>
      <c r="G84" s="32" t="n"/>
      <c r="H84" s="32" t="n"/>
      <c r="I84" s="19" t="n"/>
      <c r="J84" s="17" t="n"/>
      <c r="K84" s="17">
        <f>IF(J84="","",F84-J84)</f>
        <v/>
      </c>
      <c r="L84" s="16" t="n"/>
    </row>
    <row r="85" ht="22" customHeight="1">
      <c r="B85" s="21">
        <f>IF(C85="","CONV-"&amp;TEXT(COUNTA($C$5:C85),"000"))</f>
        <v/>
      </c>
      <c r="C85" s="12" t="n"/>
      <c r="D85" s="12" t="n"/>
      <c r="E85" s="12" t="n"/>
      <c r="F85" s="13" t="n"/>
      <c r="G85" s="31" t="n"/>
      <c r="H85" s="31" t="n"/>
      <c r="I85" s="15" t="n"/>
      <c r="J85" s="13" t="n"/>
      <c r="K85" s="13">
        <f>IF(J85="","",F85-J85)</f>
        <v/>
      </c>
      <c r="L85" s="12" t="n"/>
    </row>
    <row r="86" ht="22" customHeight="1">
      <c r="B86" s="20">
        <f>IF(C86="","CONV-"&amp;TEXT(COUNTA($C$5:C86),"000"))</f>
        <v/>
      </c>
      <c r="C86" s="16" t="n"/>
      <c r="D86" s="16" t="n"/>
      <c r="E86" s="16" t="n"/>
      <c r="F86" s="17" t="n"/>
      <c r="G86" s="32" t="n"/>
      <c r="H86" s="32" t="n"/>
      <c r="I86" s="19" t="n"/>
      <c r="J86" s="17" t="n"/>
      <c r="K86" s="17">
        <f>IF(J86="","",F86-J86)</f>
        <v/>
      </c>
      <c r="L86" s="16" t="n"/>
    </row>
    <row r="87" ht="22" customHeight="1">
      <c r="B87" s="21">
        <f>IF(C87="","CONV-"&amp;TEXT(COUNTA($C$5:C87),"000"))</f>
        <v/>
      </c>
      <c r="C87" s="12" t="n"/>
      <c r="D87" s="12" t="n"/>
      <c r="E87" s="12" t="n"/>
      <c r="F87" s="13" t="n"/>
      <c r="G87" s="31" t="n"/>
      <c r="H87" s="31" t="n"/>
      <c r="I87" s="15" t="n"/>
      <c r="J87" s="13" t="n"/>
      <c r="K87" s="13">
        <f>IF(J87="","",F87-J87)</f>
        <v/>
      </c>
      <c r="L87" s="12" t="n"/>
    </row>
    <row r="88" ht="22" customHeight="1">
      <c r="B88" s="20">
        <f>IF(C88="","CONV-"&amp;TEXT(COUNTA($C$5:C88),"000"))</f>
        <v/>
      </c>
      <c r="C88" s="16" t="n"/>
      <c r="D88" s="16" t="n"/>
      <c r="E88" s="16" t="n"/>
      <c r="F88" s="17" t="n"/>
      <c r="G88" s="32" t="n"/>
      <c r="H88" s="32" t="n"/>
      <c r="I88" s="19" t="n"/>
      <c r="J88" s="17" t="n"/>
      <c r="K88" s="17">
        <f>IF(J88="","",F88-J88)</f>
        <v/>
      </c>
      <c r="L88" s="16" t="n"/>
    </row>
    <row r="89" ht="22" customHeight="1">
      <c r="B89" s="21">
        <f>IF(C89="","CONV-"&amp;TEXT(COUNTA($C$5:C89),"000"))</f>
        <v/>
      </c>
      <c r="C89" s="12" t="n"/>
      <c r="D89" s="12" t="n"/>
      <c r="E89" s="12" t="n"/>
      <c r="F89" s="13" t="n"/>
      <c r="G89" s="31" t="n"/>
      <c r="H89" s="31" t="n"/>
      <c r="I89" s="15" t="n"/>
      <c r="J89" s="13" t="n"/>
      <c r="K89" s="13">
        <f>IF(J89="","",F89-J89)</f>
        <v/>
      </c>
      <c r="L89" s="12" t="n"/>
    </row>
    <row r="90" ht="22" customHeight="1">
      <c r="B90" s="20">
        <f>IF(C90="","CONV-"&amp;TEXT(COUNTA($C$5:C90),"000"))</f>
        <v/>
      </c>
      <c r="C90" s="16" t="n"/>
      <c r="D90" s="16" t="n"/>
      <c r="E90" s="16" t="n"/>
      <c r="F90" s="17" t="n"/>
      <c r="G90" s="32" t="n"/>
      <c r="H90" s="32" t="n"/>
      <c r="I90" s="19" t="n"/>
      <c r="J90" s="17" t="n"/>
      <c r="K90" s="17">
        <f>IF(J90="","",F90-J90)</f>
        <v/>
      </c>
      <c r="L90" s="16" t="n"/>
    </row>
    <row r="91" ht="22" customHeight="1">
      <c r="B91" s="21">
        <f>IF(C91="","CONV-"&amp;TEXT(COUNTA($C$5:C91),"000"))</f>
        <v/>
      </c>
      <c r="C91" s="12" t="n"/>
      <c r="D91" s="12" t="n"/>
      <c r="E91" s="12" t="n"/>
      <c r="F91" s="13" t="n"/>
      <c r="G91" s="31" t="n"/>
      <c r="H91" s="31" t="n"/>
      <c r="I91" s="15" t="n"/>
      <c r="J91" s="13" t="n"/>
      <c r="K91" s="13">
        <f>IF(J91="","",F91-J91)</f>
        <v/>
      </c>
      <c r="L91" s="12" t="n"/>
    </row>
    <row r="92" ht="22" customHeight="1">
      <c r="B92" s="20">
        <f>IF(C92="","CONV-"&amp;TEXT(COUNTA($C$5:C92),"000"))</f>
        <v/>
      </c>
      <c r="C92" s="16" t="n"/>
      <c r="D92" s="16" t="n"/>
      <c r="E92" s="16" t="n"/>
      <c r="F92" s="17" t="n"/>
      <c r="G92" s="32" t="n"/>
      <c r="H92" s="32" t="n"/>
      <c r="I92" s="19" t="n"/>
      <c r="J92" s="17" t="n"/>
      <c r="K92" s="17">
        <f>IF(J92="","",F92-J92)</f>
        <v/>
      </c>
      <c r="L92" s="16" t="n"/>
    </row>
    <row r="93" ht="22" customHeight="1">
      <c r="B93" s="21">
        <f>IF(C93="","CONV-"&amp;TEXT(COUNTA($C$5:C93),"000"))</f>
        <v/>
      </c>
      <c r="C93" s="12" t="n"/>
      <c r="D93" s="12" t="n"/>
      <c r="E93" s="12" t="n"/>
      <c r="F93" s="13" t="n"/>
      <c r="G93" s="31" t="n"/>
      <c r="H93" s="31" t="n"/>
      <c r="I93" s="15" t="n"/>
      <c r="J93" s="13" t="n"/>
      <c r="K93" s="13">
        <f>IF(J93="","",F93-J93)</f>
        <v/>
      </c>
      <c r="L93" s="12" t="n"/>
    </row>
    <row r="94" ht="22" customHeight="1">
      <c r="B94" s="20">
        <f>IF(C94="","CONV-"&amp;TEXT(COUNTA($C$5:C94),"000"))</f>
        <v/>
      </c>
      <c r="C94" s="16" t="n"/>
      <c r="D94" s="16" t="n"/>
      <c r="E94" s="16" t="n"/>
      <c r="F94" s="17" t="n"/>
      <c r="G94" s="32" t="n"/>
      <c r="H94" s="32" t="n"/>
      <c r="I94" s="19" t="n"/>
      <c r="J94" s="17" t="n"/>
      <c r="K94" s="17">
        <f>IF(J94="","",F94-J94)</f>
        <v/>
      </c>
      <c r="L94" s="16" t="n"/>
    </row>
    <row r="95" ht="22" customHeight="1">
      <c r="B95" s="21">
        <f>IF(C95="","CONV-"&amp;TEXT(COUNTA($C$5:C95),"000"))</f>
        <v/>
      </c>
      <c r="C95" s="12" t="n"/>
      <c r="D95" s="12" t="n"/>
      <c r="E95" s="12" t="n"/>
      <c r="F95" s="13" t="n"/>
      <c r="G95" s="31" t="n"/>
      <c r="H95" s="31" t="n"/>
      <c r="I95" s="15" t="n"/>
      <c r="J95" s="13" t="n"/>
      <c r="K95" s="13">
        <f>IF(J95="","",F95-J95)</f>
        <v/>
      </c>
      <c r="L95" s="12" t="n"/>
    </row>
    <row r="96" ht="22" customHeight="1">
      <c r="B96" s="20">
        <f>IF(C96="","CONV-"&amp;TEXT(COUNTA($C$5:C96),"000"))</f>
        <v/>
      </c>
      <c r="C96" s="16" t="n"/>
      <c r="D96" s="16" t="n"/>
      <c r="E96" s="16" t="n"/>
      <c r="F96" s="17" t="n"/>
      <c r="G96" s="32" t="n"/>
      <c r="H96" s="32" t="n"/>
      <c r="I96" s="19" t="n"/>
      <c r="J96" s="17" t="n"/>
      <c r="K96" s="17">
        <f>IF(J96="","",F96-J96)</f>
        <v/>
      </c>
      <c r="L96" s="16" t="n"/>
    </row>
    <row r="97" ht="22" customHeight="1">
      <c r="B97" s="21">
        <f>IF(C97="","CONV-"&amp;TEXT(COUNTA($C$5:C97),"000"))</f>
        <v/>
      </c>
      <c r="C97" s="12" t="n"/>
      <c r="D97" s="12" t="n"/>
      <c r="E97" s="12" t="n"/>
      <c r="F97" s="13" t="n"/>
      <c r="G97" s="31" t="n"/>
      <c r="H97" s="31" t="n"/>
      <c r="I97" s="15" t="n"/>
      <c r="J97" s="13" t="n"/>
      <c r="K97" s="13">
        <f>IF(J97="","",F97-J97)</f>
        <v/>
      </c>
      <c r="L97" s="12" t="n"/>
    </row>
    <row r="98" ht="22" customHeight="1">
      <c r="B98" s="20">
        <f>IF(C98="","CONV-"&amp;TEXT(COUNTA($C$5:C98),"000"))</f>
        <v/>
      </c>
      <c r="C98" s="16" t="n"/>
      <c r="D98" s="16" t="n"/>
      <c r="E98" s="16" t="n"/>
      <c r="F98" s="17" t="n"/>
      <c r="G98" s="32" t="n"/>
      <c r="H98" s="32" t="n"/>
      <c r="I98" s="19" t="n"/>
      <c r="J98" s="17" t="n"/>
      <c r="K98" s="17">
        <f>IF(J98="","",F98-J98)</f>
        <v/>
      </c>
      <c r="L98" s="16" t="n"/>
    </row>
    <row r="99" ht="22" customHeight="1">
      <c r="B99" s="21">
        <f>IF(C99="","CONV-"&amp;TEXT(COUNTA($C$5:C99),"000"))</f>
        <v/>
      </c>
      <c r="C99" s="12" t="n"/>
      <c r="D99" s="12" t="n"/>
      <c r="E99" s="12" t="n"/>
      <c r="F99" s="13" t="n"/>
      <c r="G99" s="31" t="n"/>
      <c r="H99" s="31" t="n"/>
      <c r="I99" s="15" t="n"/>
      <c r="J99" s="13" t="n"/>
      <c r="K99" s="13">
        <f>IF(J99="","",F99-J99)</f>
        <v/>
      </c>
      <c r="L99" s="12" t="n"/>
    </row>
    <row r="100" ht="22" customHeight="1">
      <c r="B100" s="20">
        <f>IF(C100="","CONV-"&amp;TEXT(COUNTA($C$5:C100),"000"))</f>
        <v/>
      </c>
      <c r="C100" s="16" t="n"/>
      <c r="D100" s="16" t="n"/>
      <c r="E100" s="16" t="n"/>
      <c r="F100" s="17" t="n"/>
      <c r="G100" s="32" t="n"/>
      <c r="H100" s="32" t="n"/>
      <c r="I100" s="19" t="n"/>
      <c r="J100" s="17" t="n"/>
      <c r="K100" s="17">
        <f>IF(J100="","",F100-J100)</f>
        <v/>
      </c>
      <c r="L100" s="16" t="n"/>
    </row>
    <row r="101" ht="22" customHeight="1">
      <c r="B101" s="21">
        <f>IF(C101="","CONV-"&amp;TEXT(COUNTA($C$5:C101),"000"))</f>
        <v/>
      </c>
      <c r="C101" s="12" t="n"/>
      <c r="D101" s="12" t="n"/>
      <c r="E101" s="12" t="n"/>
      <c r="F101" s="13" t="n"/>
      <c r="G101" s="31" t="n"/>
      <c r="H101" s="31" t="n"/>
      <c r="I101" s="15" t="n"/>
      <c r="J101" s="13" t="n"/>
      <c r="K101" s="13">
        <f>IF(J101="","",F101-J101)</f>
        <v/>
      </c>
      <c r="L101" s="12" t="n"/>
    </row>
    <row r="102" ht="22" customHeight="1">
      <c r="B102" s="20">
        <f>IF(C102="","CONV-"&amp;TEXT(COUNTA($C$5:C102),"000"))</f>
        <v/>
      </c>
      <c r="C102" s="16" t="n"/>
      <c r="D102" s="16" t="n"/>
      <c r="E102" s="16" t="n"/>
      <c r="F102" s="17" t="n"/>
      <c r="G102" s="32" t="n"/>
      <c r="H102" s="32" t="n"/>
      <c r="I102" s="19" t="n"/>
      <c r="J102" s="17" t="n"/>
      <c r="K102" s="17">
        <f>IF(J102="","",F102-J102)</f>
        <v/>
      </c>
      <c r="L102" s="16" t="n"/>
    </row>
    <row r="103" ht="22" customHeight="1">
      <c r="B103" s="21">
        <f>IF(C103="","CONV-"&amp;TEXT(COUNTA($C$5:C103),"000"))</f>
        <v/>
      </c>
      <c r="C103" s="12" t="n"/>
      <c r="D103" s="12" t="n"/>
      <c r="E103" s="12" t="n"/>
      <c r="F103" s="13" t="n"/>
      <c r="G103" s="31" t="n"/>
      <c r="H103" s="31" t="n"/>
      <c r="I103" s="15" t="n"/>
      <c r="J103" s="13" t="n"/>
      <c r="K103" s="13">
        <f>IF(J103="","",F103-J103)</f>
        <v/>
      </c>
      <c r="L103" s="12" t="n"/>
    </row>
    <row r="104" ht="22" customHeight="1">
      <c r="B104" s="20">
        <f>IF(C104="","CONV-"&amp;TEXT(COUNTA($C$5:C104),"000"))</f>
        <v/>
      </c>
      <c r="C104" s="16" t="n"/>
      <c r="D104" s="16" t="n"/>
      <c r="E104" s="16" t="n"/>
      <c r="F104" s="17" t="n"/>
      <c r="G104" s="32" t="n"/>
      <c r="H104" s="32" t="n"/>
      <c r="I104" s="19" t="n"/>
      <c r="J104" s="17" t="n"/>
      <c r="K104" s="17">
        <f>IF(J104="","",F104-J104)</f>
        <v/>
      </c>
      <c r="L104" s="16" t="n"/>
    </row>
    <row r="105" ht="22" customHeight="1">
      <c r="B105" s="21">
        <f>IF(C105="","CONV-"&amp;TEXT(COUNTA($C$5:C105),"000"))</f>
        <v/>
      </c>
      <c r="C105" s="12" t="n"/>
      <c r="D105" s="12" t="n"/>
      <c r="E105" s="12" t="n"/>
      <c r="F105" s="13" t="n"/>
      <c r="G105" s="31" t="n"/>
      <c r="H105" s="31" t="n"/>
      <c r="I105" s="15" t="n"/>
      <c r="J105" s="13" t="n"/>
      <c r="K105" s="13">
        <f>IF(J105="","",F105-J105)</f>
        <v/>
      </c>
      <c r="L105" s="12" t="n"/>
    </row>
    <row r="106" ht="22" customHeight="1">
      <c r="B106" s="20">
        <f>IF(C106="","CONV-"&amp;TEXT(COUNTA($C$5:C106),"000"))</f>
        <v/>
      </c>
      <c r="C106" s="16" t="n"/>
      <c r="D106" s="16" t="n"/>
      <c r="E106" s="16" t="n"/>
      <c r="F106" s="17" t="n"/>
      <c r="G106" s="32" t="n"/>
      <c r="H106" s="32" t="n"/>
      <c r="I106" s="19" t="n"/>
      <c r="J106" s="17" t="n"/>
      <c r="K106" s="17">
        <f>IF(J106="","",F106-J106)</f>
        <v/>
      </c>
      <c r="L106" s="16" t="n"/>
    </row>
    <row r="107" ht="22" customHeight="1">
      <c r="B107" s="21">
        <f>IF(C107="","CONV-"&amp;TEXT(COUNTA($C$5:C107),"000"))</f>
        <v/>
      </c>
      <c r="C107" s="12" t="n"/>
      <c r="D107" s="12" t="n"/>
      <c r="E107" s="12" t="n"/>
      <c r="F107" s="13" t="n"/>
      <c r="G107" s="31" t="n"/>
      <c r="H107" s="31" t="n"/>
      <c r="I107" s="15" t="n"/>
      <c r="J107" s="13" t="n"/>
      <c r="K107" s="13">
        <f>IF(J107="","",F107-J107)</f>
        <v/>
      </c>
      <c r="L107" s="12" t="n"/>
    </row>
    <row r="109" ht="26" customHeight="1">
      <c r="B109" s="22" t="inlineStr">
        <is>
          <t>TOTAL</t>
        </is>
      </c>
      <c r="C109" s="23" t="n"/>
      <c r="D109" s="23" t="n"/>
      <c r="E109" s="23" t="n"/>
      <c r="F109" s="23" t="n"/>
      <c r="G109" s="23" t="n"/>
      <c r="H109" s="23" t="n"/>
      <c r="I109" s="24">
        <f>SUM(I5:I104)</f>
        <v/>
      </c>
      <c r="J109" s="24">
        <f>SUM(J5:J104)</f>
        <v/>
      </c>
      <c r="K109" s="24">
        <f>SUM(K5:K104)</f>
        <v/>
      </c>
      <c r="L109" s="23" t="n"/>
    </row>
    <row r="111">
      <c r="B111" s="6" t="inlineStr">
        <is>
          <t>INDICATEURS (mis a jour automatiquement)</t>
        </is>
      </c>
    </row>
    <row r="112">
      <c r="B112" s="3" t="inlineStr">
        <is>
          <t>Conventions actives</t>
        </is>
      </c>
      <c r="D112" s="3" t="inlineStr">
        <is>
          <t>Montant total (FCFA)</t>
        </is>
      </c>
      <c r="F112" s="3" t="inlineStr">
        <is>
          <t>Sessions realisees</t>
        </is>
      </c>
      <c r="H112" s="3" t="inlineStr">
        <is>
          <t>Sessions restantes</t>
        </is>
      </c>
    </row>
    <row r="113">
      <c r="B113" s="4">
        <f>COUNTIF(B5:B104,"&lt;&gt;")</f>
        <v/>
      </c>
      <c r="D113" s="4">
        <f>SUM(I5:I104)</f>
        <v/>
      </c>
      <c r="F113" s="4">
        <f>SUM(J5:J104)</f>
        <v/>
      </c>
      <c r="H113" s="4">
        <f>SUM(K5:K104)</f>
        <v/>
      </c>
    </row>
  </sheetData>
  <mergeCells count="3">
    <mergeCell ref="B2:L2"/>
    <mergeCell ref="B111:L111"/>
    <mergeCell ref="B3:L3"/>
  </mergeCells>
  <conditionalFormatting sqref="L5:L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1">
      <formula>"En attente"</formula>
    </cfRule>
    <cfRule type="cellIs" priority="28" operator="equal" dxfId="1">
      <formula>"A renouveler"</formula>
    </cfRule>
    <cfRule type="cellIs" priority="29" operator="equal" dxfId="1">
      <formula>"En cours"</formula>
    </cfRule>
    <cfRule type="cellIs" priority="30" operator="equal" dxfId="1">
      <formula>"En traitement"</formula>
    </cfRule>
    <cfRule type="cellIs" priority="31" operator="equal" dxfId="1">
      <formula>"En retard"</formula>
    </cfRule>
    <cfRule type="cellIs" priority="32" operator="equal" dxfId="1">
      <formula>"Suspendu"</formula>
    </cfRule>
    <cfRule type="cellIs" priority="33" operator="equal" dxfId="1">
      <formula>"Planifie"</formula>
    </cfRule>
    <cfRule type="cellIs" priority="34" operator="equal" dxfId="1">
      <formula>"Planifiee"</formula>
    </cfRule>
    <cfRule type="cellIs" priority="35" operator="equal" dxfId="1">
      <formula>"Brouillon"</formula>
    </cfRule>
    <cfRule type="cellIs" priority="36" operator="equal" dxfId="1">
      <formula>"En attente de justification"</formula>
    </cfRule>
    <cfRule type="cellIs" priority="37" operator="equal" dxfId="1">
      <formula>"Tolere"</formula>
    </cfRule>
    <cfRule type="cellIs" priority="38" operator="equal" dxfId="1">
      <formula>"Variable"</formula>
    </cfRule>
    <cfRule type="cellIs" priority="39" operator="equal" dxfId="1">
      <formula>"En elaboration"</formula>
    </cfRule>
    <cfRule type="cellIs" priority="40" operator="equal" dxfId="1">
      <formula>"Provisionne"</formula>
    </cfRule>
    <cfRule type="cellIs" priority="41" operator="equal" dxfId="1">
      <formula>"Consomme partiel"</formula>
    </cfRule>
    <cfRule type="cellIs" priority="42" operator="equal" dxfId="1">
      <formula>"Identifie"</formula>
    </cfRule>
    <cfRule type="cellIs" priority="43" operator="equal" dxfId="1">
      <formula>"Priorise"</formula>
    </cfRule>
    <cfRule type="cellIs" priority="44" operator="equal" dxfId="1">
      <formula>"Intermediaire"</formula>
    </cfRule>
    <cfRule type="cellIs" priority="45" operator="equal" dxfId="1">
      <formula>"Non evalue"</formula>
    </cfRule>
    <cfRule type="cellIs" priority="46" operator="equal" dxfId="1">
      <formula>"En cours de realisation"</formula>
    </cfRule>
    <cfRule type="cellIs" priority="47" operator="equal" dxfId="2">
      <formula>"Expire"</formula>
    </cfRule>
    <cfRule type="cellIs" priority="48" operator="equal" dxfId="2">
      <formula>"Rejete"</formula>
    </cfRule>
    <cfRule type="cellIs" priority="49" operator="equal" dxfId="2">
      <formula>"Rejetee"</formula>
    </cfRule>
    <cfRule type="cellIs" priority="50" operator="equal" dxfId="2">
      <formula>"Resilie"</formula>
    </cfRule>
    <cfRule type="cellIs" priority="51" operator="equal" dxfId="2">
      <formula>"Annule"</formula>
    </cfRule>
    <cfRule type="cellIs" priority="52" operator="equal" dxfId="2">
      <formula>"Annulee"</formula>
    </cfRule>
    <cfRule type="cellIs" priority="53" operator="equal" dxfId="2">
      <formula>"Refuse"</formula>
    </cfRule>
    <cfRule type="cellIs" priority="54" operator="equal" dxfId="2">
      <formula>"Non justifie"</formula>
    </cfRule>
    <cfRule type="cellIs" priority="55" operator="equal" dxfId="2">
      <formula>"Non justifiee"</formula>
    </cfRule>
    <cfRule type="cellIs" priority="56" operator="equal" dxfId="2">
      <formula>"Sanctionne"</formula>
    </cfRule>
    <cfRule type="cellIs" priority="57" operator="equal" dxfId="2">
      <formula>"Inaptitude"</formula>
    </cfRule>
    <cfRule type="cellIs" priority="58" operator="equal" dxfId="2">
      <formula>"Absent sans autorisation"</formula>
    </cfRule>
    <cfRule type="cellIs" priority="59" operator="equal" dxfId="2">
      <formula>"Abandon de poste"</formula>
    </cfRule>
    <cfRule type="cellIs" priority="60" operator="equal" dxfId="2">
      <formula>"Non satisfait"</formula>
    </cfRule>
    <cfRule type="cellIs" priority="61" operator="equal" dxfId="2">
      <formula>"Reportee"</formula>
    </cfRule>
    <cfRule type="cellIs" priority="62" operator="equal" dxfId="2">
      <formula>"Depasse"</formula>
    </cfRule>
    <cfRule type="cellIs" priority="63" operator="equal" dxfId="2">
      <formula>"Non utilise"</formula>
    </cfRule>
    <cfRule type="cellIs" priority="64" operator="equal" dxfId="2">
      <formula>"Non applicable"</formula>
    </cfRule>
    <cfRule type="cellIs" priority="65" operator="equal" dxfId="2">
      <formula>"Debutant"</formula>
    </cfRule>
  </conditionalFormatting>
  <conditionalFormatting sqref="B8:B107">
    <cfRule type="expression" priority="66" dxfId="3">
      <formula>AND($C8="",$C7&lt;&gt;"")</formula>
    </cfRule>
  </conditionalFormatting>
  <conditionalFormatting sqref="C8:C107">
    <cfRule type="expression" priority="67" dxfId="3">
      <formula>AND($C8="",$C7&lt;&gt;"")</formula>
    </cfRule>
  </conditionalFormatting>
  <conditionalFormatting sqref="D8:D107">
    <cfRule type="expression" priority="68" dxfId="3">
      <formula>AND($C8="",$C7&lt;&gt;"")</formula>
    </cfRule>
  </conditionalFormatting>
  <conditionalFormatting sqref="E8:E107">
    <cfRule type="expression" priority="69" dxfId="3">
      <formula>AND($C8="",$C7&lt;&gt;"")</formula>
    </cfRule>
  </conditionalFormatting>
  <conditionalFormatting sqref="F8:F107">
    <cfRule type="expression" priority="70" dxfId="3">
      <formula>AND($C8="",$C7&lt;&gt;"")</formula>
    </cfRule>
  </conditionalFormatting>
  <conditionalFormatting sqref="G8:G107">
    <cfRule type="expression" priority="71" dxfId="3">
      <formula>AND($C8="",$C7&lt;&gt;"")</formula>
    </cfRule>
  </conditionalFormatting>
  <conditionalFormatting sqref="H8:H107">
    <cfRule type="expression" priority="72" dxfId="3">
      <formula>AND($C8="",$C7&lt;&gt;"")</formula>
    </cfRule>
  </conditionalFormatting>
  <conditionalFormatting sqref="I8:I107">
    <cfRule type="expression" priority="73" dxfId="3">
      <formula>AND($C8="",$C7&lt;&gt;"")</formula>
    </cfRule>
  </conditionalFormatting>
  <conditionalFormatting sqref="J8:J107">
    <cfRule type="expression" priority="74" dxfId="3">
      <formula>AND($C8="",$C7&lt;&gt;"")</formula>
    </cfRule>
  </conditionalFormatting>
  <conditionalFormatting sqref="K8:K107">
    <cfRule type="expression" priority="75" dxfId="3">
      <formula>AND($C8="",$C7&lt;&gt;"")</formula>
    </cfRule>
  </conditionalFormatting>
  <conditionalFormatting sqref="L8:L107">
    <cfRule type="expression" priority="76" dxfId="3">
      <formula>AND($C8="",$C7&lt;&gt;"")</formula>
    </cfRule>
  </conditionalFormatting>
  <dataValidations count="2">
    <dataValidation sqref="E5:E113" showDropDown="0" showInputMessage="0" showErrorMessage="0" allowBlank="1" errorTitle="Valeur invalide" error="Veuillez choisir dans la liste: departement" promptTitle="departement" prompt="Choisir: departement" type="list">
      <formula1>'_Lists'!$B$2:$B$50</formula1>
    </dataValidation>
    <dataValidation sqref="L5:L113" showDropDown="0" showInputMessage="0" showErrorMessage="0" allowBlank="1" errorTitle="Valeur invalide" error="Veuillez choisir dans la liste: statut_convention" promptTitle="statut_convention" prompt="Choisir: statut_convention" type="list">
      <formula1>'_Lists'!$T$2:$T$50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L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20" customWidth="1" min="4" max="4"/>
    <col width="22" customWidth="1" min="5" max="5"/>
    <col width="18" customWidth="1" min="6" max="6"/>
    <col width="28" customWidth="1" min="7" max="7"/>
    <col width="30" customWidth="1" min="8" max="8"/>
    <col width="18" customWidth="1" min="9" max="9"/>
    <col width="14" customWidth="1" min="10" max="10"/>
    <col width="14" customWidth="1" min="11" max="11"/>
    <col width="22" customWidth="1" min="12" max="12"/>
  </cols>
  <sheetData>
    <row r="1" ht="15" customHeight="1"/>
    <row r="2" ht="32" customHeight="1">
      <c r="B2" s="1" t="inlineStr">
        <is>
          <t>PLAN INDIVIDUEL DE DEVELOPPEMENT - PID (#74)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 PID</t>
        </is>
      </c>
      <c r="C4" s="11" t="inlineStr">
        <is>
          <t>Matricule</t>
        </is>
      </c>
      <c r="D4" s="11" t="inlineStr">
        <is>
          <t>Nom Employe</t>
        </is>
      </c>
      <c r="E4" s="11" t="inlineStr">
        <is>
          <t>Departement</t>
        </is>
      </c>
      <c r="F4" s="11" t="inlineStr">
        <is>
          <t>Poste Actuel</t>
        </is>
      </c>
      <c r="G4" s="11" t="inlineStr">
        <is>
          <t>Competence a Developper</t>
        </is>
      </c>
      <c r="H4" s="11" t="inlineStr">
        <is>
          <t>Objectif Mesurable</t>
        </is>
      </c>
      <c r="I4" s="11" t="inlineStr">
        <is>
          <t>Action Formation Liee</t>
        </is>
      </c>
      <c r="J4" s="11" t="inlineStr">
        <is>
          <t>Echeance</t>
        </is>
      </c>
      <c r="K4" s="11" t="inlineStr">
        <is>
          <t>Avancement (%)</t>
        </is>
      </c>
      <c r="L4" s="11" t="inlineStr">
        <is>
          <t>Statut</t>
        </is>
      </c>
    </row>
    <row r="5" ht="22" customHeight="1">
      <c r="B5" s="12" t="inlineStr">
        <is>
          <t>PID-001</t>
        </is>
      </c>
      <c r="C5" s="12" t="inlineStr">
        <is>
          <t>EMP-010</t>
        </is>
      </c>
      <c r="D5" s="12">
        <f>IF(C5="","",VLOOKUP(C5,'_Données Employés'!$B$5:$H$18,4,FALSE)&amp;" "&amp;VLOOKUP(C5,'_Données Employés'!$B$5:$H$18,5,FALSE))</f>
        <v/>
      </c>
      <c r="E5" s="12">
        <f>IF(C5="","",VLOOKUP(C5,'_Données Employés'!$B$5:$H$18,6,FALSE))</f>
        <v/>
      </c>
      <c r="F5" s="12">
        <f>IF(C5="","",VLOOKUP(C5,'_Données Employés'!$B$5:$H$18,7,FALSE))</f>
        <v/>
      </c>
      <c r="G5" s="12" t="inlineStr">
        <is>
          <t>Techniques cuisson avancees</t>
        </is>
      </c>
      <c r="H5" s="12" t="inlineStr">
        <is>
          <t>Obtenir certification cuisson niveau 2</t>
        </is>
      </c>
      <c r="I5" s="12" t="inlineStr">
        <is>
          <t>PAF-006</t>
        </is>
      </c>
      <c r="J5" s="31" t="n">
        <v>46022</v>
      </c>
      <c r="K5" s="29" t="n">
        <v>40</v>
      </c>
      <c r="L5" s="12" t="inlineStr">
        <is>
          <t>En cours de realisation</t>
        </is>
      </c>
    </row>
    <row r="6" ht="22" customHeight="1">
      <c r="B6" s="16" t="inlineStr">
        <is>
          <t>PID-002</t>
        </is>
      </c>
      <c r="C6" s="16" t="inlineStr">
        <is>
          <t>EMP-004</t>
        </is>
      </c>
      <c r="D6" s="16">
        <f>IF(C6="","",VLOOKUP(C6,'_Données Employés'!$B$5:$H$18,4,FALSE)&amp;" "&amp;VLOOKUP(C6,'_Données Employés'!$B$5:$H$18,5,FALSE))</f>
        <v/>
      </c>
      <c r="E6" s="16">
        <f>IF(C6="","",VLOOKUP(C6,'_Données Employés'!$B$5:$H$18,6,FALSE))</f>
        <v/>
      </c>
      <c r="F6" s="16">
        <f>IF(C6="","",VLOOKUP(C6,'_Données Employés'!$B$5:$H$18,7,FALSE))</f>
        <v/>
      </c>
      <c r="G6" s="16" t="inlineStr">
        <is>
          <t>Maitrise PMS Opera</t>
        </is>
      </c>
      <c r="H6" s="16" t="inlineStr">
        <is>
          <t>Gerer 100% des reservations sur Opera</t>
        </is>
      </c>
      <c r="I6" s="16" t="inlineStr">
        <is>
          <t>PAF-004</t>
        </is>
      </c>
      <c r="J6" s="32" t="n">
        <v>45930</v>
      </c>
      <c r="K6" s="30" t="n">
        <v>0</v>
      </c>
      <c r="L6" s="16" t="inlineStr">
        <is>
          <t>Valide par N+1</t>
        </is>
      </c>
    </row>
    <row r="7" ht="22" customHeight="1">
      <c r="B7" s="12" t="inlineStr">
        <is>
          <t>PID-003</t>
        </is>
      </c>
      <c r="C7" s="12" t="inlineStr">
        <is>
          <t>EMP-001</t>
        </is>
      </c>
      <c r="D7" s="12">
        <f>IF(C7="","",VLOOKUP(C7,'_Données Employés'!$B$5:$H$18,4,FALSE)&amp;" "&amp;VLOOKUP(C7,'_Données Employés'!$B$5:$H$18,5,FALSE))</f>
        <v/>
      </c>
      <c r="E7" s="12">
        <f>IF(C7="","",VLOOKUP(C7,'_Données Employés'!$B$5:$H$18,6,FALSE))</f>
        <v/>
      </c>
      <c r="F7" s="12">
        <f>IF(C7="","",VLOOKUP(C7,'_Données Employés'!$B$5:$H$18,7,FALSE))</f>
        <v/>
      </c>
      <c r="G7" s="12" t="inlineStr">
        <is>
          <t>Management d'equipe</t>
        </is>
      </c>
      <c r="H7" s="12" t="inlineStr">
        <is>
          <t>Certifier management niveau 1</t>
        </is>
      </c>
      <c r="I7" s="12" t="inlineStr"/>
      <c r="J7" s="31" t="n">
        <v>46022</v>
      </c>
      <c r="K7" s="29" t="n">
        <v>20</v>
      </c>
      <c r="L7" s="12" t="inlineStr">
        <is>
          <t>En cours de realisation</t>
        </is>
      </c>
    </row>
    <row r="8" ht="22" customHeight="1">
      <c r="B8" s="16" t="inlineStr">
        <is>
          <t>PID-004</t>
        </is>
      </c>
      <c r="C8" s="16" t="inlineStr">
        <is>
          <t>EMP-006</t>
        </is>
      </c>
      <c r="D8" s="16">
        <f>IF(C8="","",VLOOKUP(C8,'_Données Employés'!$B$5:$H$18,4,FALSE)&amp;" "&amp;VLOOKUP(C8,'_Données Employés'!$B$5:$H$18,5,FALSE))</f>
        <v/>
      </c>
      <c r="E8" s="16">
        <f>IF(C8="","",VLOOKUP(C8,'_Données Employés'!$B$5:$H$18,6,FALSE))</f>
        <v/>
      </c>
      <c r="F8" s="16">
        <f>IF(C8="","",VLOOKUP(C8,'_Données Employés'!$B$5:$H$18,7,FALSE))</f>
        <v/>
      </c>
      <c r="G8" s="16" t="inlineStr">
        <is>
          <t>Techniques de vente</t>
        </is>
      </c>
      <c r="H8" s="16" t="inlineStr">
        <is>
          <t>Augmenter ventes croisees de 20%</t>
        </is>
      </c>
      <c r="I8" s="16" t="inlineStr">
        <is>
          <t>PAF-007</t>
        </is>
      </c>
      <c r="J8" s="32" t="n">
        <v>45961</v>
      </c>
      <c r="K8" s="30" t="n">
        <v>60</v>
      </c>
      <c r="L8" s="16" t="inlineStr">
        <is>
          <t>En cours de realisation</t>
        </is>
      </c>
    </row>
    <row r="9" ht="22" customHeight="1">
      <c r="B9" s="12" t="inlineStr">
        <is>
          <t>PID-005</t>
        </is>
      </c>
      <c r="C9" s="12" t="inlineStr">
        <is>
          <t>EMP-011</t>
        </is>
      </c>
      <c r="D9" s="12">
        <f>IF(C9="","",VLOOKUP(C9,'_Données Employés'!$B$5:$H$18,4,FALSE)&amp;" "&amp;VLOOKUP(C9,'_Données Employés'!$B$5:$H$18,5,FALSE))</f>
        <v/>
      </c>
      <c r="E9" s="12">
        <f>IF(C9="","",VLOOKUP(C9,'_Données Employés'!$B$5:$H$18,6,FALSE))</f>
        <v/>
      </c>
      <c r="F9" s="12">
        <f>IF(C9="","",VLOOKUP(C9,'_Données Employés'!$B$5:$H$18,7,FALSE))</f>
        <v/>
      </c>
      <c r="G9" s="12" t="inlineStr">
        <is>
          <t>Gestion CCTV</t>
        </is>
      </c>
      <c r="H9" s="12" t="inlineStr">
        <is>
          <t>Maitriser systeme surveillance</t>
        </is>
      </c>
      <c r="I9" s="12" t="inlineStr">
        <is>
          <t>PAF-008</t>
        </is>
      </c>
      <c r="J9" s="31" t="n">
        <v>45869</v>
      </c>
      <c r="K9" s="29" t="n">
        <v>80</v>
      </c>
      <c r="L9" s="12" t="inlineStr">
        <is>
          <t>En cours de realisation</t>
        </is>
      </c>
    </row>
    <row r="10" ht="22" customHeight="1">
      <c r="B10" s="20">
        <f>IF(C10="","PID-"&amp;TEXT(COUNTA($C$5:C10),"000"))</f>
        <v/>
      </c>
      <c r="C10" s="16" t="n"/>
      <c r="D10" s="16" t="n"/>
      <c r="E10" s="16" t="n"/>
      <c r="F10" s="16" t="n"/>
      <c r="G10" s="16" t="n"/>
      <c r="H10" s="16" t="n"/>
      <c r="I10" s="16" t="n"/>
      <c r="J10" s="32" t="n"/>
      <c r="K10" s="30" t="n"/>
      <c r="L10" s="16" t="n"/>
    </row>
    <row r="11" ht="22" customHeight="1">
      <c r="B11" s="21">
        <f>IF(C11="","PID-"&amp;TEXT(COUNTA($C$5:C11),"000"))</f>
        <v/>
      </c>
      <c r="C11" s="12" t="n"/>
      <c r="D11" s="12" t="n"/>
      <c r="E11" s="12" t="n"/>
      <c r="F11" s="12" t="n"/>
      <c r="G11" s="12" t="n"/>
      <c r="H11" s="12" t="n"/>
      <c r="I11" s="12" t="n"/>
      <c r="J11" s="31" t="n"/>
      <c r="K11" s="29" t="n"/>
      <c r="L11" s="12" t="n"/>
    </row>
    <row r="12" ht="22" customHeight="1">
      <c r="B12" s="20">
        <f>IF(C12="","PID-"&amp;TEXT(COUNTA($C$5:C12),"000"))</f>
        <v/>
      </c>
      <c r="C12" s="16" t="n"/>
      <c r="D12" s="16" t="n"/>
      <c r="E12" s="16" t="n"/>
      <c r="F12" s="16" t="n"/>
      <c r="G12" s="16" t="n"/>
      <c r="H12" s="16" t="n"/>
      <c r="I12" s="16" t="n"/>
      <c r="J12" s="32" t="n"/>
      <c r="K12" s="30" t="n"/>
      <c r="L12" s="16" t="n"/>
    </row>
    <row r="13" ht="22" customHeight="1">
      <c r="B13" s="21">
        <f>IF(C13="","PID-"&amp;TEXT(COUNTA($C$5:C13),"000"))</f>
        <v/>
      </c>
      <c r="C13" s="12" t="n"/>
      <c r="D13" s="12" t="n"/>
      <c r="E13" s="12" t="n"/>
      <c r="F13" s="12" t="n"/>
      <c r="G13" s="12" t="n"/>
      <c r="H13" s="12" t="n"/>
      <c r="I13" s="12" t="n"/>
      <c r="J13" s="31" t="n"/>
      <c r="K13" s="29" t="n"/>
      <c r="L13" s="12" t="n"/>
    </row>
    <row r="14" ht="22" customHeight="1">
      <c r="B14" s="20">
        <f>IF(C14="","PID-"&amp;TEXT(COUNTA($C$5:C14),"000"))</f>
        <v/>
      </c>
      <c r="C14" s="16" t="n"/>
      <c r="D14" s="16" t="n"/>
      <c r="E14" s="16" t="n"/>
      <c r="F14" s="16" t="n"/>
      <c r="G14" s="16" t="n"/>
      <c r="H14" s="16" t="n"/>
      <c r="I14" s="16" t="n"/>
      <c r="J14" s="32" t="n"/>
      <c r="K14" s="30" t="n"/>
      <c r="L14" s="16" t="n"/>
    </row>
    <row r="15" ht="22" customHeight="1">
      <c r="B15" s="21">
        <f>IF(C15="","PID-"&amp;TEXT(COUNTA($C$5:C15),"000"))</f>
        <v/>
      </c>
      <c r="C15" s="12" t="n"/>
      <c r="D15" s="12" t="n"/>
      <c r="E15" s="12" t="n"/>
      <c r="F15" s="12" t="n"/>
      <c r="G15" s="12" t="n"/>
      <c r="H15" s="12" t="n"/>
      <c r="I15" s="12" t="n"/>
      <c r="J15" s="31" t="n"/>
      <c r="K15" s="29" t="n"/>
      <c r="L15" s="12" t="n"/>
    </row>
    <row r="16" ht="22" customHeight="1">
      <c r="B16" s="20">
        <f>IF(C16="","PID-"&amp;TEXT(COUNTA($C$5:C16),"000"))</f>
        <v/>
      </c>
      <c r="C16" s="16" t="n"/>
      <c r="D16" s="16" t="n"/>
      <c r="E16" s="16" t="n"/>
      <c r="F16" s="16" t="n"/>
      <c r="G16" s="16" t="n"/>
      <c r="H16" s="16" t="n"/>
      <c r="I16" s="16" t="n"/>
      <c r="J16" s="32" t="n"/>
      <c r="K16" s="30" t="n"/>
      <c r="L16" s="16" t="n"/>
    </row>
    <row r="17" ht="22" customHeight="1">
      <c r="B17" s="21">
        <f>IF(C17="","PID-"&amp;TEXT(COUNTA($C$5:C17),"000"))</f>
        <v/>
      </c>
      <c r="C17" s="12" t="n"/>
      <c r="D17" s="12" t="n"/>
      <c r="E17" s="12" t="n"/>
      <c r="F17" s="12" t="n"/>
      <c r="G17" s="12" t="n"/>
      <c r="H17" s="12" t="n"/>
      <c r="I17" s="12" t="n"/>
      <c r="J17" s="31" t="n"/>
      <c r="K17" s="29" t="n"/>
      <c r="L17" s="12" t="n"/>
    </row>
    <row r="18" ht="22" customHeight="1">
      <c r="B18" s="20">
        <f>IF(C18="","PID-"&amp;TEXT(COUNTA($C$5:C18),"000"))</f>
        <v/>
      </c>
      <c r="C18" s="16" t="n"/>
      <c r="D18" s="16" t="n"/>
      <c r="E18" s="16" t="n"/>
      <c r="F18" s="16" t="n"/>
      <c r="G18" s="16" t="n"/>
      <c r="H18" s="16" t="n"/>
      <c r="I18" s="16" t="n"/>
      <c r="J18" s="32" t="n"/>
      <c r="K18" s="30" t="n"/>
      <c r="L18" s="16" t="n"/>
    </row>
    <row r="19" ht="22" customHeight="1">
      <c r="B19" s="21">
        <f>IF(C19="","PID-"&amp;TEXT(COUNTA($C$5:C19),"000"))</f>
        <v/>
      </c>
      <c r="C19" s="12" t="n"/>
      <c r="D19" s="12" t="n"/>
      <c r="E19" s="12" t="n"/>
      <c r="F19" s="12" t="n"/>
      <c r="G19" s="12" t="n"/>
      <c r="H19" s="12" t="n"/>
      <c r="I19" s="12" t="n"/>
      <c r="J19" s="31" t="n"/>
      <c r="K19" s="29" t="n"/>
      <c r="L19" s="12" t="n"/>
    </row>
    <row r="20" ht="22" customHeight="1">
      <c r="B20" s="20">
        <f>IF(C20="","PID-"&amp;TEXT(COUNTA($C$5:C20),"000"))</f>
        <v/>
      </c>
      <c r="C20" s="16" t="n"/>
      <c r="D20" s="16" t="n"/>
      <c r="E20" s="16" t="n"/>
      <c r="F20" s="16" t="n"/>
      <c r="G20" s="16" t="n"/>
      <c r="H20" s="16" t="n"/>
      <c r="I20" s="16" t="n"/>
      <c r="J20" s="32" t="n"/>
      <c r="K20" s="30" t="n"/>
      <c r="L20" s="16" t="n"/>
    </row>
    <row r="21" ht="22" customHeight="1">
      <c r="B21" s="21">
        <f>IF(C21="","PID-"&amp;TEXT(COUNTA($C$5:C21),"000"))</f>
        <v/>
      </c>
      <c r="C21" s="12" t="n"/>
      <c r="D21" s="12" t="n"/>
      <c r="E21" s="12" t="n"/>
      <c r="F21" s="12" t="n"/>
      <c r="G21" s="12" t="n"/>
      <c r="H21" s="12" t="n"/>
      <c r="I21" s="12" t="n"/>
      <c r="J21" s="31" t="n"/>
      <c r="K21" s="29" t="n"/>
      <c r="L21" s="12" t="n"/>
    </row>
    <row r="22" ht="22" customHeight="1">
      <c r="B22" s="20">
        <f>IF(C22="","PID-"&amp;TEXT(COUNTA($C$5:C22),"000"))</f>
        <v/>
      </c>
      <c r="C22" s="16" t="n"/>
      <c r="D22" s="16" t="n"/>
      <c r="E22" s="16" t="n"/>
      <c r="F22" s="16" t="n"/>
      <c r="G22" s="16" t="n"/>
      <c r="H22" s="16" t="n"/>
      <c r="I22" s="16" t="n"/>
      <c r="J22" s="32" t="n"/>
      <c r="K22" s="30" t="n"/>
      <c r="L22" s="16" t="n"/>
    </row>
    <row r="23" ht="22" customHeight="1">
      <c r="B23" s="21">
        <f>IF(C23="","PID-"&amp;TEXT(COUNTA($C$5:C23),"000"))</f>
        <v/>
      </c>
      <c r="C23" s="12" t="n"/>
      <c r="D23" s="12" t="n"/>
      <c r="E23" s="12" t="n"/>
      <c r="F23" s="12" t="n"/>
      <c r="G23" s="12" t="n"/>
      <c r="H23" s="12" t="n"/>
      <c r="I23" s="12" t="n"/>
      <c r="J23" s="31" t="n"/>
      <c r="K23" s="29" t="n"/>
      <c r="L23" s="12" t="n"/>
    </row>
    <row r="24" ht="22" customHeight="1">
      <c r="B24" s="20">
        <f>IF(C24="","PID-"&amp;TEXT(COUNTA($C$5:C24),"000"))</f>
        <v/>
      </c>
      <c r="C24" s="16" t="n"/>
      <c r="D24" s="16" t="n"/>
      <c r="E24" s="16" t="n"/>
      <c r="F24" s="16" t="n"/>
      <c r="G24" s="16" t="n"/>
      <c r="H24" s="16" t="n"/>
      <c r="I24" s="16" t="n"/>
      <c r="J24" s="32" t="n"/>
      <c r="K24" s="30" t="n"/>
      <c r="L24" s="16" t="n"/>
    </row>
    <row r="25" ht="22" customHeight="1">
      <c r="B25" s="21">
        <f>IF(C25="","PID-"&amp;TEXT(COUNTA($C$5:C25),"000"))</f>
        <v/>
      </c>
      <c r="C25" s="12" t="n"/>
      <c r="D25" s="12" t="n"/>
      <c r="E25" s="12" t="n"/>
      <c r="F25" s="12" t="n"/>
      <c r="G25" s="12" t="n"/>
      <c r="H25" s="12" t="n"/>
      <c r="I25" s="12" t="n"/>
      <c r="J25" s="31" t="n"/>
      <c r="K25" s="29" t="n"/>
      <c r="L25" s="12" t="n"/>
    </row>
    <row r="26" ht="22" customHeight="1">
      <c r="B26" s="20">
        <f>IF(C26="","PID-"&amp;TEXT(COUNTA($C$5:C26),"000"))</f>
        <v/>
      </c>
      <c r="C26" s="16" t="n"/>
      <c r="D26" s="16" t="n"/>
      <c r="E26" s="16" t="n"/>
      <c r="F26" s="16" t="n"/>
      <c r="G26" s="16" t="n"/>
      <c r="H26" s="16" t="n"/>
      <c r="I26" s="16" t="n"/>
      <c r="J26" s="32" t="n"/>
      <c r="K26" s="30" t="n"/>
      <c r="L26" s="16" t="n"/>
    </row>
    <row r="27" ht="22" customHeight="1">
      <c r="B27" s="21">
        <f>IF(C27="","PID-"&amp;TEXT(COUNTA($C$5:C27),"000"))</f>
        <v/>
      </c>
      <c r="C27" s="12" t="n"/>
      <c r="D27" s="12" t="n"/>
      <c r="E27" s="12" t="n"/>
      <c r="F27" s="12" t="n"/>
      <c r="G27" s="12" t="n"/>
      <c r="H27" s="12" t="n"/>
      <c r="I27" s="12" t="n"/>
      <c r="J27" s="31" t="n"/>
      <c r="K27" s="29" t="n"/>
      <c r="L27" s="12" t="n"/>
    </row>
    <row r="28" ht="22" customHeight="1">
      <c r="B28" s="20">
        <f>IF(C28="","PID-"&amp;TEXT(COUNTA($C$5:C28),"000"))</f>
        <v/>
      </c>
      <c r="C28" s="16" t="n"/>
      <c r="D28" s="16" t="n"/>
      <c r="E28" s="16" t="n"/>
      <c r="F28" s="16" t="n"/>
      <c r="G28" s="16" t="n"/>
      <c r="H28" s="16" t="n"/>
      <c r="I28" s="16" t="n"/>
      <c r="J28" s="32" t="n"/>
      <c r="K28" s="30" t="n"/>
      <c r="L28" s="16" t="n"/>
    </row>
    <row r="29" ht="22" customHeight="1">
      <c r="B29" s="21">
        <f>IF(C29="","PID-"&amp;TEXT(COUNTA($C$5:C29),"000"))</f>
        <v/>
      </c>
      <c r="C29" s="12" t="n"/>
      <c r="D29" s="12" t="n"/>
      <c r="E29" s="12" t="n"/>
      <c r="F29" s="12" t="n"/>
      <c r="G29" s="12" t="n"/>
      <c r="H29" s="12" t="n"/>
      <c r="I29" s="12" t="n"/>
      <c r="J29" s="31" t="n"/>
      <c r="K29" s="29" t="n"/>
      <c r="L29" s="12" t="n"/>
    </row>
    <row r="30" ht="22" customHeight="1">
      <c r="B30" s="20">
        <f>IF(C30="","PID-"&amp;TEXT(COUNTA($C$5:C30),"000"))</f>
        <v/>
      </c>
      <c r="C30" s="16" t="n"/>
      <c r="D30" s="16" t="n"/>
      <c r="E30" s="16" t="n"/>
      <c r="F30" s="16" t="n"/>
      <c r="G30" s="16" t="n"/>
      <c r="H30" s="16" t="n"/>
      <c r="I30" s="16" t="n"/>
      <c r="J30" s="32" t="n"/>
      <c r="K30" s="30" t="n"/>
      <c r="L30" s="16" t="n"/>
    </row>
    <row r="31" ht="22" customHeight="1">
      <c r="B31" s="21">
        <f>IF(C31="","PID-"&amp;TEXT(COUNTA($C$5:C31),"000"))</f>
        <v/>
      </c>
      <c r="C31" s="12" t="n"/>
      <c r="D31" s="12" t="n"/>
      <c r="E31" s="12" t="n"/>
      <c r="F31" s="12" t="n"/>
      <c r="G31" s="12" t="n"/>
      <c r="H31" s="12" t="n"/>
      <c r="I31" s="12" t="n"/>
      <c r="J31" s="31" t="n"/>
      <c r="K31" s="29" t="n"/>
      <c r="L31" s="12" t="n"/>
    </row>
    <row r="32" ht="22" customHeight="1">
      <c r="B32" s="20">
        <f>IF(C32="","PID-"&amp;TEXT(COUNTA($C$5:C32),"000"))</f>
        <v/>
      </c>
      <c r="C32" s="16" t="n"/>
      <c r="D32" s="16" t="n"/>
      <c r="E32" s="16" t="n"/>
      <c r="F32" s="16" t="n"/>
      <c r="G32" s="16" t="n"/>
      <c r="H32" s="16" t="n"/>
      <c r="I32" s="16" t="n"/>
      <c r="J32" s="32" t="n"/>
      <c r="K32" s="30" t="n"/>
      <c r="L32" s="16" t="n"/>
    </row>
    <row r="33" ht="22" customHeight="1">
      <c r="B33" s="21">
        <f>IF(C33="","PID-"&amp;TEXT(COUNTA($C$5:C33),"000"))</f>
        <v/>
      </c>
      <c r="C33" s="12" t="n"/>
      <c r="D33" s="12" t="n"/>
      <c r="E33" s="12" t="n"/>
      <c r="F33" s="12" t="n"/>
      <c r="G33" s="12" t="n"/>
      <c r="H33" s="12" t="n"/>
      <c r="I33" s="12" t="n"/>
      <c r="J33" s="31" t="n"/>
      <c r="K33" s="29" t="n"/>
      <c r="L33" s="12" t="n"/>
    </row>
    <row r="34" ht="22" customHeight="1">
      <c r="B34" s="20">
        <f>IF(C34="","PID-"&amp;TEXT(COUNTA($C$5:C34),"000"))</f>
        <v/>
      </c>
      <c r="C34" s="16" t="n"/>
      <c r="D34" s="16" t="n"/>
      <c r="E34" s="16" t="n"/>
      <c r="F34" s="16" t="n"/>
      <c r="G34" s="16" t="n"/>
      <c r="H34" s="16" t="n"/>
      <c r="I34" s="16" t="n"/>
      <c r="J34" s="32" t="n"/>
      <c r="K34" s="30" t="n"/>
      <c r="L34" s="16" t="n"/>
    </row>
    <row r="35" ht="22" customHeight="1">
      <c r="B35" s="21">
        <f>IF(C35="","PID-"&amp;TEXT(COUNTA($C$5:C35),"000"))</f>
        <v/>
      </c>
      <c r="C35" s="12" t="n"/>
      <c r="D35" s="12" t="n"/>
      <c r="E35" s="12" t="n"/>
      <c r="F35" s="12" t="n"/>
      <c r="G35" s="12" t="n"/>
      <c r="H35" s="12" t="n"/>
      <c r="I35" s="12" t="n"/>
      <c r="J35" s="31" t="n"/>
      <c r="K35" s="29" t="n"/>
      <c r="L35" s="12" t="n"/>
    </row>
    <row r="36" ht="22" customHeight="1">
      <c r="B36" s="20">
        <f>IF(C36="","PID-"&amp;TEXT(COUNTA($C$5:C36),"000"))</f>
        <v/>
      </c>
      <c r="C36" s="16" t="n"/>
      <c r="D36" s="16" t="n"/>
      <c r="E36" s="16" t="n"/>
      <c r="F36" s="16" t="n"/>
      <c r="G36" s="16" t="n"/>
      <c r="H36" s="16" t="n"/>
      <c r="I36" s="16" t="n"/>
      <c r="J36" s="32" t="n"/>
      <c r="K36" s="30" t="n"/>
      <c r="L36" s="16" t="n"/>
    </row>
    <row r="37" ht="22" customHeight="1">
      <c r="B37" s="21">
        <f>IF(C37="","PID-"&amp;TEXT(COUNTA($C$5:C37),"000"))</f>
        <v/>
      </c>
      <c r="C37" s="12" t="n"/>
      <c r="D37" s="12" t="n"/>
      <c r="E37" s="12" t="n"/>
      <c r="F37" s="12" t="n"/>
      <c r="G37" s="12" t="n"/>
      <c r="H37" s="12" t="n"/>
      <c r="I37" s="12" t="n"/>
      <c r="J37" s="31" t="n"/>
      <c r="K37" s="29" t="n"/>
      <c r="L37" s="12" t="n"/>
    </row>
    <row r="38" ht="22" customHeight="1">
      <c r="B38" s="20">
        <f>IF(C38="","PID-"&amp;TEXT(COUNTA($C$5:C38),"000"))</f>
        <v/>
      </c>
      <c r="C38" s="16" t="n"/>
      <c r="D38" s="16" t="n"/>
      <c r="E38" s="16" t="n"/>
      <c r="F38" s="16" t="n"/>
      <c r="G38" s="16" t="n"/>
      <c r="H38" s="16" t="n"/>
      <c r="I38" s="16" t="n"/>
      <c r="J38" s="32" t="n"/>
      <c r="K38" s="30" t="n"/>
      <c r="L38" s="16" t="n"/>
    </row>
    <row r="39" ht="22" customHeight="1">
      <c r="B39" s="21">
        <f>IF(C39="","PID-"&amp;TEXT(COUNTA($C$5:C39),"000"))</f>
        <v/>
      </c>
      <c r="C39" s="12" t="n"/>
      <c r="D39" s="12" t="n"/>
      <c r="E39" s="12" t="n"/>
      <c r="F39" s="12" t="n"/>
      <c r="G39" s="12" t="n"/>
      <c r="H39" s="12" t="n"/>
      <c r="I39" s="12" t="n"/>
      <c r="J39" s="31" t="n"/>
      <c r="K39" s="29" t="n"/>
      <c r="L39" s="12" t="n"/>
    </row>
    <row r="40" ht="22" customHeight="1">
      <c r="B40" s="20">
        <f>IF(C40="","PID-"&amp;TEXT(COUNTA($C$5:C40),"000"))</f>
        <v/>
      </c>
      <c r="C40" s="16" t="n"/>
      <c r="D40" s="16" t="n"/>
      <c r="E40" s="16" t="n"/>
      <c r="F40" s="16" t="n"/>
      <c r="G40" s="16" t="n"/>
      <c r="H40" s="16" t="n"/>
      <c r="I40" s="16" t="n"/>
      <c r="J40" s="32" t="n"/>
      <c r="K40" s="30" t="n"/>
      <c r="L40" s="16" t="n"/>
    </row>
    <row r="41" ht="22" customHeight="1">
      <c r="B41" s="21">
        <f>IF(C41="","PID-"&amp;TEXT(COUNTA($C$5:C41),"000"))</f>
        <v/>
      </c>
      <c r="C41" s="12" t="n"/>
      <c r="D41" s="12" t="n"/>
      <c r="E41" s="12" t="n"/>
      <c r="F41" s="12" t="n"/>
      <c r="G41" s="12" t="n"/>
      <c r="H41" s="12" t="n"/>
      <c r="I41" s="12" t="n"/>
      <c r="J41" s="31" t="n"/>
      <c r="K41" s="29" t="n"/>
      <c r="L41" s="12" t="n"/>
    </row>
    <row r="42" ht="22" customHeight="1">
      <c r="B42" s="20">
        <f>IF(C42="","PID-"&amp;TEXT(COUNTA($C$5:C42),"000"))</f>
        <v/>
      </c>
      <c r="C42" s="16" t="n"/>
      <c r="D42" s="16" t="n"/>
      <c r="E42" s="16" t="n"/>
      <c r="F42" s="16" t="n"/>
      <c r="G42" s="16" t="n"/>
      <c r="H42" s="16" t="n"/>
      <c r="I42" s="16" t="n"/>
      <c r="J42" s="32" t="n"/>
      <c r="K42" s="30" t="n"/>
      <c r="L42" s="16" t="n"/>
    </row>
    <row r="43" ht="22" customHeight="1">
      <c r="B43" s="21">
        <f>IF(C43="","PID-"&amp;TEXT(COUNTA($C$5:C43),"000"))</f>
        <v/>
      </c>
      <c r="C43" s="12" t="n"/>
      <c r="D43" s="12" t="n"/>
      <c r="E43" s="12" t="n"/>
      <c r="F43" s="12" t="n"/>
      <c r="G43" s="12" t="n"/>
      <c r="H43" s="12" t="n"/>
      <c r="I43" s="12" t="n"/>
      <c r="J43" s="31" t="n"/>
      <c r="K43" s="29" t="n"/>
      <c r="L43" s="12" t="n"/>
    </row>
    <row r="44" ht="22" customHeight="1">
      <c r="B44" s="20">
        <f>IF(C44="","PID-"&amp;TEXT(COUNTA($C$5:C44),"000"))</f>
        <v/>
      </c>
      <c r="C44" s="16" t="n"/>
      <c r="D44" s="16" t="n"/>
      <c r="E44" s="16" t="n"/>
      <c r="F44" s="16" t="n"/>
      <c r="G44" s="16" t="n"/>
      <c r="H44" s="16" t="n"/>
      <c r="I44" s="16" t="n"/>
      <c r="J44" s="32" t="n"/>
      <c r="K44" s="30" t="n"/>
      <c r="L44" s="16" t="n"/>
    </row>
    <row r="45" ht="22" customHeight="1">
      <c r="B45" s="21">
        <f>IF(C45="","PID-"&amp;TEXT(COUNTA($C$5:C45),"000"))</f>
        <v/>
      </c>
      <c r="C45" s="12" t="n"/>
      <c r="D45" s="12" t="n"/>
      <c r="E45" s="12" t="n"/>
      <c r="F45" s="12" t="n"/>
      <c r="G45" s="12" t="n"/>
      <c r="H45" s="12" t="n"/>
      <c r="I45" s="12" t="n"/>
      <c r="J45" s="31" t="n"/>
      <c r="K45" s="29" t="n"/>
      <c r="L45" s="12" t="n"/>
    </row>
    <row r="46" ht="22" customHeight="1">
      <c r="B46" s="20">
        <f>IF(C46="","PID-"&amp;TEXT(COUNTA($C$5:C46),"000"))</f>
        <v/>
      </c>
      <c r="C46" s="16" t="n"/>
      <c r="D46" s="16" t="n"/>
      <c r="E46" s="16" t="n"/>
      <c r="F46" s="16" t="n"/>
      <c r="G46" s="16" t="n"/>
      <c r="H46" s="16" t="n"/>
      <c r="I46" s="16" t="n"/>
      <c r="J46" s="32" t="n"/>
      <c r="K46" s="30" t="n"/>
      <c r="L46" s="16" t="n"/>
    </row>
    <row r="47" ht="22" customHeight="1">
      <c r="B47" s="21">
        <f>IF(C47="","PID-"&amp;TEXT(COUNTA($C$5:C47),"000"))</f>
        <v/>
      </c>
      <c r="C47" s="12" t="n"/>
      <c r="D47" s="12" t="n"/>
      <c r="E47" s="12" t="n"/>
      <c r="F47" s="12" t="n"/>
      <c r="G47" s="12" t="n"/>
      <c r="H47" s="12" t="n"/>
      <c r="I47" s="12" t="n"/>
      <c r="J47" s="31" t="n"/>
      <c r="K47" s="29" t="n"/>
      <c r="L47" s="12" t="n"/>
    </row>
    <row r="48" ht="22" customHeight="1">
      <c r="B48" s="20">
        <f>IF(C48="","PID-"&amp;TEXT(COUNTA($C$5:C48),"000"))</f>
        <v/>
      </c>
      <c r="C48" s="16" t="n"/>
      <c r="D48" s="16" t="n"/>
      <c r="E48" s="16" t="n"/>
      <c r="F48" s="16" t="n"/>
      <c r="G48" s="16" t="n"/>
      <c r="H48" s="16" t="n"/>
      <c r="I48" s="16" t="n"/>
      <c r="J48" s="32" t="n"/>
      <c r="K48" s="30" t="n"/>
      <c r="L48" s="16" t="n"/>
    </row>
    <row r="49" ht="22" customHeight="1">
      <c r="B49" s="21">
        <f>IF(C49="","PID-"&amp;TEXT(COUNTA($C$5:C49),"000"))</f>
        <v/>
      </c>
      <c r="C49" s="12" t="n"/>
      <c r="D49" s="12" t="n"/>
      <c r="E49" s="12" t="n"/>
      <c r="F49" s="12" t="n"/>
      <c r="G49" s="12" t="n"/>
      <c r="H49" s="12" t="n"/>
      <c r="I49" s="12" t="n"/>
      <c r="J49" s="31" t="n"/>
      <c r="K49" s="29" t="n"/>
      <c r="L49" s="12" t="n"/>
    </row>
    <row r="50" ht="22" customHeight="1">
      <c r="B50" s="20">
        <f>IF(C50="","PID-"&amp;TEXT(COUNTA($C$5:C50),"000"))</f>
        <v/>
      </c>
      <c r="C50" s="16" t="n"/>
      <c r="D50" s="16" t="n"/>
      <c r="E50" s="16" t="n"/>
      <c r="F50" s="16" t="n"/>
      <c r="G50" s="16" t="n"/>
      <c r="H50" s="16" t="n"/>
      <c r="I50" s="16" t="n"/>
      <c r="J50" s="32" t="n"/>
      <c r="K50" s="30" t="n"/>
      <c r="L50" s="16" t="n"/>
    </row>
    <row r="51" ht="22" customHeight="1">
      <c r="B51" s="21">
        <f>IF(C51="","PID-"&amp;TEXT(COUNTA($C$5:C51),"000"))</f>
        <v/>
      </c>
      <c r="C51" s="12" t="n"/>
      <c r="D51" s="12" t="n"/>
      <c r="E51" s="12" t="n"/>
      <c r="F51" s="12" t="n"/>
      <c r="G51" s="12" t="n"/>
      <c r="H51" s="12" t="n"/>
      <c r="I51" s="12" t="n"/>
      <c r="J51" s="31" t="n"/>
      <c r="K51" s="29" t="n"/>
      <c r="L51" s="12" t="n"/>
    </row>
    <row r="52" ht="22" customHeight="1">
      <c r="B52" s="20">
        <f>IF(C52="","PID-"&amp;TEXT(COUNTA($C$5:C52),"000"))</f>
        <v/>
      </c>
      <c r="C52" s="16" t="n"/>
      <c r="D52" s="16" t="n"/>
      <c r="E52" s="16" t="n"/>
      <c r="F52" s="16" t="n"/>
      <c r="G52" s="16" t="n"/>
      <c r="H52" s="16" t="n"/>
      <c r="I52" s="16" t="n"/>
      <c r="J52" s="32" t="n"/>
      <c r="K52" s="30" t="n"/>
      <c r="L52" s="16" t="n"/>
    </row>
    <row r="53" ht="22" customHeight="1">
      <c r="B53" s="21">
        <f>IF(C53="","PID-"&amp;TEXT(COUNTA($C$5:C53),"000"))</f>
        <v/>
      </c>
      <c r="C53" s="12" t="n"/>
      <c r="D53" s="12" t="n"/>
      <c r="E53" s="12" t="n"/>
      <c r="F53" s="12" t="n"/>
      <c r="G53" s="12" t="n"/>
      <c r="H53" s="12" t="n"/>
      <c r="I53" s="12" t="n"/>
      <c r="J53" s="31" t="n"/>
      <c r="K53" s="29" t="n"/>
      <c r="L53" s="12" t="n"/>
    </row>
    <row r="54" ht="22" customHeight="1">
      <c r="B54" s="20">
        <f>IF(C54="","PID-"&amp;TEXT(COUNTA($C$5:C54),"000"))</f>
        <v/>
      </c>
      <c r="C54" s="16" t="n"/>
      <c r="D54" s="16" t="n"/>
      <c r="E54" s="16" t="n"/>
      <c r="F54" s="16" t="n"/>
      <c r="G54" s="16" t="n"/>
      <c r="H54" s="16" t="n"/>
      <c r="I54" s="16" t="n"/>
      <c r="J54" s="32" t="n"/>
      <c r="K54" s="30" t="n"/>
      <c r="L54" s="16" t="n"/>
    </row>
    <row r="55" ht="22" customHeight="1">
      <c r="B55" s="21">
        <f>IF(C55="","PID-"&amp;TEXT(COUNTA($C$5:C55),"000"))</f>
        <v/>
      </c>
      <c r="C55" s="12" t="n"/>
      <c r="D55" s="12" t="n"/>
      <c r="E55" s="12" t="n"/>
      <c r="F55" s="12" t="n"/>
      <c r="G55" s="12" t="n"/>
      <c r="H55" s="12" t="n"/>
      <c r="I55" s="12" t="n"/>
      <c r="J55" s="31" t="n"/>
      <c r="K55" s="29" t="n"/>
      <c r="L55" s="12" t="n"/>
    </row>
    <row r="56" ht="22" customHeight="1">
      <c r="B56" s="20">
        <f>IF(C56="","PID-"&amp;TEXT(COUNTA($C$5:C56),"000"))</f>
        <v/>
      </c>
      <c r="C56" s="16" t="n"/>
      <c r="D56" s="16" t="n"/>
      <c r="E56" s="16" t="n"/>
      <c r="F56" s="16" t="n"/>
      <c r="G56" s="16" t="n"/>
      <c r="H56" s="16" t="n"/>
      <c r="I56" s="16" t="n"/>
      <c r="J56" s="32" t="n"/>
      <c r="K56" s="30" t="n"/>
      <c r="L56" s="16" t="n"/>
    </row>
    <row r="57" ht="22" customHeight="1">
      <c r="B57" s="21">
        <f>IF(C57="","PID-"&amp;TEXT(COUNTA($C$5:C57),"000"))</f>
        <v/>
      </c>
      <c r="C57" s="12" t="n"/>
      <c r="D57" s="12" t="n"/>
      <c r="E57" s="12" t="n"/>
      <c r="F57" s="12" t="n"/>
      <c r="G57" s="12" t="n"/>
      <c r="H57" s="12" t="n"/>
      <c r="I57" s="12" t="n"/>
      <c r="J57" s="31" t="n"/>
      <c r="K57" s="29" t="n"/>
      <c r="L57" s="12" t="n"/>
    </row>
    <row r="58" ht="22" customHeight="1">
      <c r="B58" s="20">
        <f>IF(C58="","PID-"&amp;TEXT(COUNTA($C$5:C58),"000"))</f>
        <v/>
      </c>
      <c r="C58" s="16" t="n"/>
      <c r="D58" s="16" t="n"/>
      <c r="E58" s="16" t="n"/>
      <c r="F58" s="16" t="n"/>
      <c r="G58" s="16" t="n"/>
      <c r="H58" s="16" t="n"/>
      <c r="I58" s="16" t="n"/>
      <c r="J58" s="32" t="n"/>
      <c r="K58" s="30" t="n"/>
      <c r="L58" s="16" t="n"/>
    </row>
    <row r="59" ht="22" customHeight="1">
      <c r="B59" s="21">
        <f>IF(C59="","PID-"&amp;TEXT(COUNTA($C$5:C59),"000"))</f>
        <v/>
      </c>
      <c r="C59" s="12" t="n"/>
      <c r="D59" s="12" t="n"/>
      <c r="E59" s="12" t="n"/>
      <c r="F59" s="12" t="n"/>
      <c r="G59" s="12" t="n"/>
      <c r="H59" s="12" t="n"/>
      <c r="I59" s="12" t="n"/>
      <c r="J59" s="31" t="n"/>
      <c r="K59" s="29" t="n"/>
      <c r="L59" s="12" t="n"/>
    </row>
    <row r="60" ht="22" customHeight="1">
      <c r="B60" s="20">
        <f>IF(C60="","PID-"&amp;TEXT(COUNTA($C$5:C60),"000"))</f>
        <v/>
      </c>
      <c r="C60" s="16" t="n"/>
      <c r="D60" s="16" t="n"/>
      <c r="E60" s="16" t="n"/>
      <c r="F60" s="16" t="n"/>
      <c r="G60" s="16" t="n"/>
      <c r="H60" s="16" t="n"/>
      <c r="I60" s="16" t="n"/>
      <c r="J60" s="32" t="n"/>
      <c r="K60" s="30" t="n"/>
      <c r="L60" s="16" t="n"/>
    </row>
    <row r="61" ht="22" customHeight="1">
      <c r="B61" s="21">
        <f>IF(C61="","PID-"&amp;TEXT(COUNTA($C$5:C61),"000"))</f>
        <v/>
      </c>
      <c r="C61" s="12" t="n"/>
      <c r="D61" s="12" t="n"/>
      <c r="E61" s="12" t="n"/>
      <c r="F61" s="12" t="n"/>
      <c r="G61" s="12" t="n"/>
      <c r="H61" s="12" t="n"/>
      <c r="I61" s="12" t="n"/>
      <c r="J61" s="31" t="n"/>
      <c r="K61" s="29" t="n"/>
      <c r="L61" s="12" t="n"/>
    </row>
    <row r="62" ht="22" customHeight="1">
      <c r="B62" s="20">
        <f>IF(C62="","PID-"&amp;TEXT(COUNTA($C$5:C62),"000"))</f>
        <v/>
      </c>
      <c r="C62" s="16" t="n"/>
      <c r="D62" s="16" t="n"/>
      <c r="E62" s="16" t="n"/>
      <c r="F62" s="16" t="n"/>
      <c r="G62" s="16" t="n"/>
      <c r="H62" s="16" t="n"/>
      <c r="I62" s="16" t="n"/>
      <c r="J62" s="32" t="n"/>
      <c r="K62" s="30" t="n"/>
      <c r="L62" s="16" t="n"/>
    </row>
    <row r="63" ht="22" customHeight="1">
      <c r="B63" s="21">
        <f>IF(C63="","PID-"&amp;TEXT(COUNTA($C$5:C63),"000"))</f>
        <v/>
      </c>
      <c r="C63" s="12" t="n"/>
      <c r="D63" s="12" t="n"/>
      <c r="E63" s="12" t="n"/>
      <c r="F63" s="12" t="n"/>
      <c r="G63" s="12" t="n"/>
      <c r="H63" s="12" t="n"/>
      <c r="I63" s="12" t="n"/>
      <c r="J63" s="31" t="n"/>
      <c r="K63" s="29" t="n"/>
      <c r="L63" s="12" t="n"/>
    </row>
    <row r="64" ht="22" customHeight="1">
      <c r="B64" s="20">
        <f>IF(C64="","PID-"&amp;TEXT(COUNTA($C$5:C64),"000"))</f>
        <v/>
      </c>
      <c r="C64" s="16" t="n"/>
      <c r="D64" s="16" t="n"/>
      <c r="E64" s="16" t="n"/>
      <c r="F64" s="16" t="n"/>
      <c r="G64" s="16" t="n"/>
      <c r="H64" s="16" t="n"/>
      <c r="I64" s="16" t="n"/>
      <c r="J64" s="32" t="n"/>
      <c r="K64" s="30" t="n"/>
      <c r="L64" s="16" t="n"/>
    </row>
    <row r="65" ht="22" customHeight="1">
      <c r="B65" s="21">
        <f>IF(C65="","PID-"&amp;TEXT(COUNTA($C$5:C65),"000"))</f>
        <v/>
      </c>
      <c r="C65" s="12" t="n"/>
      <c r="D65" s="12" t="n"/>
      <c r="E65" s="12" t="n"/>
      <c r="F65" s="12" t="n"/>
      <c r="G65" s="12" t="n"/>
      <c r="H65" s="12" t="n"/>
      <c r="I65" s="12" t="n"/>
      <c r="J65" s="31" t="n"/>
      <c r="K65" s="29" t="n"/>
      <c r="L65" s="12" t="n"/>
    </row>
    <row r="66" ht="22" customHeight="1">
      <c r="B66" s="20">
        <f>IF(C66="","PID-"&amp;TEXT(COUNTA($C$5:C66),"000"))</f>
        <v/>
      </c>
      <c r="C66" s="16" t="n"/>
      <c r="D66" s="16" t="n"/>
      <c r="E66" s="16" t="n"/>
      <c r="F66" s="16" t="n"/>
      <c r="G66" s="16" t="n"/>
      <c r="H66" s="16" t="n"/>
      <c r="I66" s="16" t="n"/>
      <c r="J66" s="32" t="n"/>
      <c r="K66" s="30" t="n"/>
      <c r="L66" s="16" t="n"/>
    </row>
    <row r="67" ht="22" customHeight="1">
      <c r="B67" s="21">
        <f>IF(C67="","PID-"&amp;TEXT(COUNTA($C$5:C67),"000"))</f>
        <v/>
      </c>
      <c r="C67" s="12" t="n"/>
      <c r="D67" s="12" t="n"/>
      <c r="E67" s="12" t="n"/>
      <c r="F67" s="12" t="n"/>
      <c r="G67" s="12" t="n"/>
      <c r="H67" s="12" t="n"/>
      <c r="I67" s="12" t="n"/>
      <c r="J67" s="31" t="n"/>
      <c r="K67" s="29" t="n"/>
      <c r="L67" s="12" t="n"/>
    </row>
    <row r="68" ht="22" customHeight="1">
      <c r="B68" s="20">
        <f>IF(C68="","PID-"&amp;TEXT(COUNTA($C$5:C68),"000"))</f>
        <v/>
      </c>
      <c r="C68" s="16" t="n"/>
      <c r="D68" s="16" t="n"/>
      <c r="E68" s="16" t="n"/>
      <c r="F68" s="16" t="n"/>
      <c r="G68" s="16" t="n"/>
      <c r="H68" s="16" t="n"/>
      <c r="I68" s="16" t="n"/>
      <c r="J68" s="32" t="n"/>
      <c r="K68" s="30" t="n"/>
      <c r="L68" s="16" t="n"/>
    </row>
    <row r="69" ht="22" customHeight="1">
      <c r="B69" s="21">
        <f>IF(C69="","PID-"&amp;TEXT(COUNTA($C$5:C69),"000"))</f>
        <v/>
      </c>
      <c r="C69" s="12" t="n"/>
      <c r="D69" s="12" t="n"/>
      <c r="E69" s="12" t="n"/>
      <c r="F69" s="12" t="n"/>
      <c r="G69" s="12" t="n"/>
      <c r="H69" s="12" t="n"/>
      <c r="I69" s="12" t="n"/>
      <c r="J69" s="31" t="n"/>
      <c r="K69" s="29" t="n"/>
      <c r="L69" s="12" t="n"/>
    </row>
    <row r="70" ht="22" customHeight="1">
      <c r="B70" s="20">
        <f>IF(C70="","PID-"&amp;TEXT(COUNTA($C$5:C70),"000"))</f>
        <v/>
      </c>
      <c r="C70" s="16" t="n"/>
      <c r="D70" s="16" t="n"/>
      <c r="E70" s="16" t="n"/>
      <c r="F70" s="16" t="n"/>
      <c r="G70" s="16" t="n"/>
      <c r="H70" s="16" t="n"/>
      <c r="I70" s="16" t="n"/>
      <c r="J70" s="32" t="n"/>
      <c r="K70" s="30" t="n"/>
      <c r="L70" s="16" t="n"/>
    </row>
    <row r="71" ht="22" customHeight="1">
      <c r="B71" s="21">
        <f>IF(C71="","PID-"&amp;TEXT(COUNTA($C$5:C71),"000"))</f>
        <v/>
      </c>
      <c r="C71" s="12" t="n"/>
      <c r="D71" s="12" t="n"/>
      <c r="E71" s="12" t="n"/>
      <c r="F71" s="12" t="n"/>
      <c r="G71" s="12" t="n"/>
      <c r="H71" s="12" t="n"/>
      <c r="I71" s="12" t="n"/>
      <c r="J71" s="31" t="n"/>
      <c r="K71" s="29" t="n"/>
      <c r="L71" s="12" t="n"/>
    </row>
    <row r="72" ht="22" customHeight="1">
      <c r="B72" s="20">
        <f>IF(C72="","PID-"&amp;TEXT(COUNTA($C$5:C72),"000"))</f>
        <v/>
      </c>
      <c r="C72" s="16" t="n"/>
      <c r="D72" s="16" t="n"/>
      <c r="E72" s="16" t="n"/>
      <c r="F72" s="16" t="n"/>
      <c r="G72" s="16" t="n"/>
      <c r="H72" s="16" t="n"/>
      <c r="I72" s="16" t="n"/>
      <c r="J72" s="32" t="n"/>
      <c r="K72" s="30" t="n"/>
      <c r="L72" s="16" t="n"/>
    </row>
    <row r="73" ht="22" customHeight="1">
      <c r="B73" s="21">
        <f>IF(C73="","PID-"&amp;TEXT(COUNTA($C$5:C73),"000"))</f>
        <v/>
      </c>
      <c r="C73" s="12" t="n"/>
      <c r="D73" s="12" t="n"/>
      <c r="E73" s="12" t="n"/>
      <c r="F73" s="12" t="n"/>
      <c r="G73" s="12" t="n"/>
      <c r="H73" s="12" t="n"/>
      <c r="I73" s="12" t="n"/>
      <c r="J73" s="31" t="n"/>
      <c r="K73" s="29" t="n"/>
      <c r="L73" s="12" t="n"/>
    </row>
    <row r="74" ht="22" customHeight="1">
      <c r="B74" s="20">
        <f>IF(C74="","PID-"&amp;TEXT(COUNTA($C$5:C74),"000"))</f>
        <v/>
      </c>
      <c r="C74" s="16" t="n"/>
      <c r="D74" s="16" t="n"/>
      <c r="E74" s="16" t="n"/>
      <c r="F74" s="16" t="n"/>
      <c r="G74" s="16" t="n"/>
      <c r="H74" s="16" t="n"/>
      <c r="I74" s="16" t="n"/>
      <c r="J74" s="32" t="n"/>
      <c r="K74" s="30" t="n"/>
      <c r="L74" s="16" t="n"/>
    </row>
    <row r="75" ht="22" customHeight="1">
      <c r="B75" s="21">
        <f>IF(C75="","PID-"&amp;TEXT(COUNTA($C$5:C75),"000"))</f>
        <v/>
      </c>
      <c r="C75" s="12" t="n"/>
      <c r="D75" s="12" t="n"/>
      <c r="E75" s="12" t="n"/>
      <c r="F75" s="12" t="n"/>
      <c r="G75" s="12" t="n"/>
      <c r="H75" s="12" t="n"/>
      <c r="I75" s="12" t="n"/>
      <c r="J75" s="31" t="n"/>
      <c r="K75" s="29" t="n"/>
      <c r="L75" s="12" t="n"/>
    </row>
    <row r="76" ht="22" customHeight="1">
      <c r="B76" s="20">
        <f>IF(C76="","PID-"&amp;TEXT(COUNTA($C$5:C76),"000"))</f>
        <v/>
      </c>
      <c r="C76" s="16" t="n"/>
      <c r="D76" s="16" t="n"/>
      <c r="E76" s="16" t="n"/>
      <c r="F76" s="16" t="n"/>
      <c r="G76" s="16" t="n"/>
      <c r="H76" s="16" t="n"/>
      <c r="I76" s="16" t="n"/>
      <c r="J76" s="32" t="n"/>
      <c r="K76" s="30" t="n"/>
      <c r="L76" s="16" t="n"/>
    </row>
    <row r="77" ht="22" customHeight="1">
      <c r="B77" s="21">
        <f>IF(C77="","PID-"&amp;TEXT(COUNTA($C$5:C77),"000"))</f>
        <v/>
      </c>
      <c r="C77" s="12" t="n"/>
      <c r="D77" s="12" t="n"/>
      <c r="E77" s="12" t="n"/>
      <c r="F77" s="12" t="n"/>
      <c r="G77" s="12" t="n"/>
      <c r="H77" s="12" t="n"/>
      <c r="I77" s="12" t="n"/>
      <c r="J77" s="31" t="n"/>
      <c r="K77" s="29" t="n"/>
      <c r="L77" s="12" t="n"/>
    </row>
    <row r="78" ht="22" customHeight="1">
      <c r="B78" s="20">
        <f>IF(C78="","PID-"&amp;TEXT(COUNTA($C$5:C78),"000"))</f>
        <v/>
      </c>
      <c r="C78" s="16" t="n"/>
      <c r="D78" s="16" t="n"/>
      <c r="E78" s="16" t="n"/>
      <c r="F78" s="16" t="n"/>
      <c r="G78" s="16" t="n"/>
      <c r="H78" s="16" t="n"/>
      <c r="I78" s="16" t="n"/>
      <c r="J78" s="32" t="n"/>
      <c r="K78" s="30" t="n"/>
      <c r="L78" s="16" t="n"/>
    </row>
    <row r="79" ht="22" customHeight="1">
      <c r="B79" s="21">
        <f>IF(C79="","PID-"&amp;TEXT(COUNTA($C$5:C79),"000"))</f>
        <v/>
      </c>
      <c r="C79" s="12" t="n"/>
      <c r="D79" s="12" t="n"/>
      <c r="E79" s="12" t="n"/>
      <c r="F79" s="12" t="n"/>
      <c r="G79" s="12" t="n"/>
      <c r="H79" s="12" t="n"/>
      <c r="I79" s="12" t="n"/>
      <c r="J79" s="31" t="n"/>
      <c r="K79" s="29" t="n"/>
      <c r="L79" s="12" t="n"/>
    </row>
    <row r="80" ht="22" customHeight="1">
      <c r="B80" s="20">
        <f>IF(C80="","PID-"&amp;TEXT(COUNTA($C$5:C80),"000"))</f>
        <v/>
      </c>
      <c r="C80" s="16" t="n"/>
      <c r="D80" s="16" t="n"/>
      <c r="E80" s="16" t="n"/>
      <c r="F80" s="16" t="n"/>
      <c r="G80" s="16" t="n"/>
      <c r="H80" s="16" t="n"/>
      <c r="I80" s="16" t="n"/>
      <c r="J80" s="32" t="n"/>
      <c r="K80" s="30" t="n"/>
      <c r="L80" s="16" t="n"/>
    </row>
    <row r="81" ht="22" customHeight="1">
      <c r="B81" s="21">
        <f>IF(C81="","PID-"&amp;TEXT(COUNTA($C$5:C81),"000"))</f>
        <v/>
      </c>
      <c r="C81" s="12" t="n"/>
      <c r="D81" s="12" t="n"/>
      <c r="E81" s="12" t="n"/>
      <c r="F81" s="12" t="n"/>
      <c r="G81" s="12" t="n"/>
      <c r="H81" s="12" t="n"/>
      <c r="I81" s="12" t="n"/>
      <c r="J81" s="31" t="n"/>
      <c r="K81" s="29" t="n"/>
      <c r="L81" s="12" t="n"/>
    </row>
    <row r="82" ht="22" customHeight="1">
      <c r="B82" s="20">
        <f>IF(C82="","PID-"&amp;TEXT(COUNTA($C$5:C82),"000"))</f>
        <v/>
      </c>
      <c r="C82" s="16" t="n"/>
      <c r="D82" s="16" t="n"/>
      <c r="E82" s="16" t="n"/>
      <c r="F82" s="16" t="n"/>
      <c r="G82" s="16" t="n"/>
      <c r="H82" s="16" t="n"/>
      <c r="I82" s="16" t="n"/>
      <c r="J82" s="32" t="n"/>
      <c r="K82" s="30" t="n"/>
      <c r="L82" s="16" t="n"/>
    </row>
    <row r="83" ht="22" customHeight="1">
      <c r="B83" s="21">
        <f>IF(C83="","PID-"&amp;TEXT(COUNTA($C$5:C83),"000"))</f>
        <v/>
      </c>
      <c r="C83" s="12" t="n"/>
      <c r="D83" s="12" t="n"/>
      <c r="E83" s="12" t="n"/>
      <c r="F83" s="12" t="n"/>
      <c r="G83" s="12" t="n"/>
      <c r="H83" s="12" t="n"/>
      <c r="I83" s="12" t="n"/>
      <c r="J83" s="31" t="n"/>
      <c r="K83" s="29" t="n"/>
      <c r="L83" s="12" t="n"/>
    </row>
    <row r="84" ht="22" customHeight="1">
      <c r="B84" s="20">
        <f>IF(C84="","PID-"&amp;TEXT(COUNTA($C$5:C84),"000"))</f>
        <v/>
      </c>
      <c r="C84" s="16" t="n"/>
      <c r="D84" s="16" t="n"/>
      <c r="E84" s="16" t="n"/>
      <c r="F84" s="16" t="n"/>
      <c r="G84" s="16" t="n"/>
      <c r="H84" s="16" t="n"/>
      <c r="I84" s="16" t="n"/>
      <c r="J84" s="32" t="n"/>
      <c r="K84" s="30" t="n"/>
      <c r="L84" s="16" t="n"/>
    </row>
    <row r="85" ht="22" customHeight="1">
      <c r="B85" s="21">
        <f>IF(C85="","PID-"&amp;TEXT(COUNTA($C$5:C85),"000"))</f>
        <v/>
      </c>
      <c r="C85" s="12" t="n"/>
      <c r="D85" s="12" t="n"/>
      <c r="E85" s="12" t="n"/>
      <c r="F85" s="12" t="n"/>
      <c r="G85" s="12" t="n"/>
      <c r="H85" s="12" t="n"/>
      <c r="I85" s="12" t="n"/>
      <c r="J85" s="31" t="n"/>
      <c r="K85" s="29" t="n"/>
      <c r="L85" s="12" t="n"/>
    </row>
    <row r="86" ht="22" customHeight="1">
      <c r="B86" s="20">
        <f>IF(C86="","PID-"&amp;TEXT(COUNTA($C$5:C86),"000"))</f>
        <v/>
      </c>
      <c r="C86" s="16" t="n"/>
      <c r="D86" s="16" t="n"/>
      <c r="E86" s="16" t="n"/>
      <c r="F86" s="16" t="n"/>
      <c r="G86" s="16" t="n"/>
      <c r="H86" s="16" t="n"/>
      <c r="I86" s="16" t="n"/>
      <c r="J86" s="32" t="n"/>
      <c r="K86" s="30" t="n"/>
      <c r="L86" s="16" t="n"/>
    </row>
    <row r="87" ht="22" customHeight="1">
      <c r="B87" s="21">
        <f>IF(C87="","PID-"&amp;TEXT(COUNTA($C$5:C87),"000"))</f>
        <v/>
      </c>
      <c r="C87" s="12" t="n"/>
      <c r="D87" s="12" t="n"/>
      <c r="E87" s="12" t="n"/>
      <c r="F87" s="12" t="n"/>
      <c r="G87" s="12" t="n"/>
      <c r="H87" s="12" t="n"/>
      <c r="I87" s="12" t="n"/>
      <c r="J87" s="31" t="n"/>
      <c r="K87" s="29" t="n"/>
      <c r="L87" s="12" t="n"/>
    </row>
    <row r="88" ht="22" customHeight="1">
      <c r="B88" s="20">
        <f>IF(C88="","PID-"&amp;TEXT(COUNTA($C$5:C88),"000"))</f>
        <v/>
      </c>
      <c r="C88" s="16" t="n"/>
      <c r="D88" s="16" t="n"/>
      <c r="E88" s="16" t="n"/>
      <c r="F88" s="16" t="n"/>
      <c r="G88" s="16" t="n"/>
      <c r="H88" s="16" t="n"/>
      <c r="I88" s="16" t="n"/>
      <c r="J88" s="32" t="n"/>
      <c r="K88" s="30" t="n"/>
      <c r="L88" s="16" t="n"/>
    </row>
    <row r="89" ht="22" customHeight="1">
      <c r="B89" s="21">
        <f>IF(C89="","PID-"&amp;TEXT(COUNTA($C$5:C89),"000"))</f>
        <v/>
      </c>
      <c r="C89" s="12" t="n"/>
      <c r="D89" s="12" t="n"/>
      <c r="E89" s="12" t="n"/>
      <c r="F89" s="12" t="n"/>
      <c r="G89" s="12" t="n"/>
      <c r="H89" s="12" t="n"/>
      <c r="I89" s="12" t="n"/>
      <c r="J89" s="31" t="n"/>
      <c r="K89" s="29" t="n"/>
      <c r="L89" s="12" t="n"/>
    </row>
    <row r="90" ht="22" customHeight="1">
      <c r="B90" s="20">
        <f>IF(C90="","PID-"&amp;TEXT(COUNTA($C$5:C90),"000"))</f>
        <v/>
      </c>
      <c r="C90" s="16" t="n"/>
      <c r="D90" s="16" t="n"/>
      <c r="E90" s="16" t="n"/>
      <c r="F90" s="16" t="n"/>
      <c r="G90" s="16" t="n"/>
      <c r="H90" s="16" t="n"/>
      <c r="I90" s="16" t="n"/>
      <c r="J90" s="32" t="n"/>
      <c r="K90" s="30" t="n"/>
      <c r="L90" s="16" t="n"/>
    </row>
    <row r="91" ht="22" customHeight="1">
      <c r="B91" s="21">
        <f>IF(C91="","PID-"&amp;TEXT(COUNTA($C$5:C91),"000"))</f>
        <v/>
      </c>
      <c r="C91" s="12" t="n"/>
      <c r="D91" s="12" t="n"/>
      <c r="E91" s="12" t="n"/>
      <c r="F91" s="12" t="n"/>
      <c r="G91" s="12" t="n"/>
      <c r="H91" s="12" t="n"/>
      <c r="I91" s="12" t="n"/>
      <c r="J91" s="31" t="n"/>
      <c r="K91" s="29" t="n"/>
      <c r="L91" s="12" t="n"/>
    </row>
    <row r="92" ht="22" customHeight="1">
      <c r="B92" s="20">
        <f>IF(C92="","PID-"&amp;TEXT(COUNTA($C$5:C92),"000"))</f>
        <v/>
      </c>
      <c r="C92" s="16" t="n"/>
      <c r="D92" s="16" t="n"/>
      <c r="E92" s="16" t="n"/>
      <c r="F92" s="16" t="n"/>
      <c r="G92" s="16" t="n"/>
      <c r="H92" s="16" t="n"/>
      <c r="I92" s="16" t="n"/>
      <c r="J92" s="32" t="n"/>
      <c r="K92" s="30" t="n"/>
      <c r="L92" s="16" t="n"/>
    </row>
    <row r="93" ht="22" customHeight="1">
      <c r="B93" s="21">
        <f>IF(C93="","PID-"&amp;TEXT(COUNTA($C$5:C93),"000"))</f>
        <v/>
      </c>
      <c r="C93" s="12" t="n"/>
      <c r="D93" s="12" t="n"/>
      <c r="E93" s="12" t="n"/>
      <c r="F93" s="12" t="n"/>
      <c r="G93" s="12" t="n"/>
      <c r="H93" s="12" t="n"/>
      <c r="I93" s="12" t="n"/>
      <c r="J93" s="31" t="n"/>
      <c r="K93" s="29" t="n"/>
      <c r="L93" s="12" t="n"/>
    </row>
    <row r="94" ht="22" customHeight="1">
      <c r="B94" s="20">
        <f>IF(C94="","PID-"&amp;TEXT(COUNTA($C$5:C94),"000"))</f>
        <v/>
      </c>
      <c r="C94" s="16" t="n"/>
      <c r="D94" s="16" t="n"/>
      <c r="E94" s="16" t="n"/>
      <c r="F94" s="16" t="n"/>
      <c r="G94" s="16" t="n"/>
      <c r="H94" s="16" t="n"/>
      <c r="I94" s="16" t="n"/>
      <c r="J94" s="32" t="n"/>
      <c r="K94" s="30" t="n"/>
      <c r="L94" s="16" t="n"/>
    </row>
    <row r="95" ht="22" customHeight="1">
      <c r="B95" s="21">
        <f>IF(C95="","PID-"&amp;TEXT(COUNTA($C$5:C95),"000"))</f>
        <v/>
      </c>
      <c r="C95" s="12" t="n"/>
      <c r="D95" s="12" t="n"/>
      <c r="E95" s="12" t="n"/>
      <c r="F95" s="12" t="n"/>
      <c r="G95" s="12" t="n"/>
      <c r="H95" s="12" t="n"/>
      <c r="I95" s="12" t="n"/>
      <c r="J95" s="31" t="n"/>
      <c r="K95" s="29" t="n"/>
      <c r="L95" s="12" t="n"/>
    </row>
    <row r="96" ht="22" customHeight="1">
      <c r="B96" s="20">
        <f>IF(C96="","PID-"&amp;TEXT(COUNTA($C$5:C96),"000"))</f>
        <v/>
      </c>
      <c r="C96" s="16" t="n"/>
      <c r="D96" s="16" t="n"/>
      <c r="E96" s="16" t="n"/>
      <c r="F96" s="16" t="n"/>
      <c r="G96" s="16" t="n"/>
      <c r="H96" s="16" t="n"/>
      <c r="I96" s="16" t="n"/>
      <c r="J96" s="32" t="n"/>
      <c r="K96" s="30" t="n"/>
      <c r="L96" s="16" t="n"/>
    </row>
    <row r="97" ht="22" customHeight="1">
      <c r="B97" s="21">
        <f>IF(C97="","PID-"&amp;TEXT(COUNTA($C$5:C97),"000"))</f>
        <v/>
      </c>
      <c r="C97" s="12" t="n"/>
      <c r="D97" s="12" t="n"/>
      <c r="E97" s="12" t="n"/>
      <c r="F97" s="12" t="n"/>
      <c r="G97" s="12" t="n"/>
      <c r="H97" s="12" t="n"/>
      <c r="I97" s="12" t="n"/>
      <c r="J97" s="31" t="n"/>
      <c r="K97" s="29" t="n"/>
      <c r="L97" s="12" t="n"/>
    </row>
    <row r="98" ht="22" customHeight="1">
      <c r="B98" s="20">
        <f>IF(C98="","PID-"&amp;TEXT(COUNTA($C$5:C98),"000"))</f>
        <v/>
      </c>
      <c r="C98" s="16" t="n"/>
      <c r="D98" s="16" t="n"/>
      <c r="E98" s="16" t="n"/>
      <c r="F98" s="16" t="n"/>
      <c r="G98" s="16" t="n"/>
      <c r="H98" s="16" t="n"/>
      <c r="I98" s="16" t="n"/>
      <c r="J98" s="32" t="n"/>
      <c r="K98" s="30" t="n"/>
      <c r="L98" s="16" t="n"/>
    </row>
    <row r="99" ht="22" customHeight="1">
      <c r="B99" s="21">
        <f>IF(C99="","PID-"&amp;TEXT(COUNTA($C$5:C99),"000"))</f>
        <v/>
      </c>
      <c r="C99" s="12" t="n"/>
      <c r="D99" s="12" t="n"/>
      <c r="E99" s="12" t="n"/>
      <c r="F99" s="12" t="n"/>
      <c r="G99" s="12" t="n"/>
      <c r="H99" s="12" t="n"/>
      <c r="I99" s="12" t="n"/>
      <c r="J99" s="31" t="n"/>
      <c r="K99" s="29" t="n"/>
      <c r="L99" s="12" t="n"/>
    </row>
    <row r="100" ht="22" customHeight="1">
      <c r="B100" s="20">
        <f>IF(C100="","PID-"&amp;TEXT(COUNTA($C$5:C100),"000"))</f>
        <v/>
      </c>
      <c r="C100" s="16" t="n"/>
      <c r="D100" s="16" t="n"/>
      <c r="E100" s="16" t="n"/>
      <c r="F100" s="16" t="n"/>
      <c r="G100" s="16" t="n"/>
      <c r="H100" s="16" t="n"/>
      <c r="I100" s="16" t="n"/>
      <c r="J100" s="32" t="n"/>
      <c r="K100" s="30" t="n"/>
      <c r="L100" s="16" t="n"/>
    </row>
    <row r="101" ht="22" customHeight="1">
      <c r="B101" s="21">
        <f>IF(C101="","PID-"&amp;TEXT(COUNTA($C$5:C101),"000"))</f>
        <v/>
      </c>
      <c r="C101" s="12" t="n"/>
      <c r="D101" s="12" t="n"/>
      <c r="E101" s="12" t="n"/>
      <c r="F101" s="12" t="n"/>
      <c r="G101" s="12" t="n"/>
      <c r="H101" s="12" t="n"/>
      <c r="I101" s="12" t="n"/>
      <c r="J101" s="31" t="n"/>
      <c r="K101" s="29" t="n"/>
      <c r="L101" s="12" t="n"/>
    </row>
    <row r="102" ht="22" customHeight="1">
      <c r="B102" s="20">
        <f>IF(C102="","PID-"&amp;TEXT(COUNTA($C$5:C102),"000"))</f>
        <v/>
      </c>
      <c r="C102" s="16" t="n"/>
      <c r="D102" s="16" t="n"/>
      <c r="E102" s="16" t="n"/>
      <c r="F102" s="16" t="n"/>
      <c r="G102" s="16" t="n"/>
      <c r="H102" s="16" t="n"/>
      <c r="I102" s="16" t="n"/>
      <c r="J102" s="32" t="n"/>
      <c r="K102" s="30" t="n"/>
      <c r="L102" s="16" t="n"/>
    </row>
    <row r="103" ht="22" customHeight="1">
      <c r="B103" s="21">
        <f>IF(C103="","PID-"&amp;TEXT(COUNTA($C$5:C103),"000"))</f>
        <v/>
      </c>
      <c r="C103" s="12" t="n"/>
      <c r="D103" s="12" t="n"/>
      <c r="E103" s="12" t="n"/>
      <c r="F103" s="12" t="n"/>
      <c r="G103" s="12" t="n"/>
      <c r="H103" s="12" t="n"/>
      <c r="I103" s="12" t="n"/>
      <c r="J103" s="31" t="n"/>
      <c r="K103" s="29" t="n"/>
      <c r="L103" s="12" t="n"/>
    </row>
    <row r="104" ht="22" customHeight="1">
      <c r="B104" s="20">
        <f>IF(C104="","PID-"&amp;TEXT(COUNTA($C$5:C104),"000"))</f>
        <v/>
      </c>
      <c r="C104" s="16" t="n"/>
      <c r="D104" s="16" t="n"/>
      <c r="E104" s="16" t="n"/>
      <c r="F104" s="16" t="n"/>
      <c r="G104" s="16" t="n"/>
      <c r="H104" s="16" t="n"/>
      <c r="I104" s="16" t="n"/>
      <c r="J104" s="32" t="n"/>
      <c r="K104" s="30" t="n"/>
      <c r="L104" s="16" t="n"/>
    </row>
    <row r="105" ht="22" customHeight="1">
      <c r="B105" s="21">
        <f>IF(C105="","PID-"&amp;TEXT(COUNTA($C$5:C105),"000"))</f>
        <v/>
      </c>
      <c r="C105" s="12" t="n"/>
      <c r="D105" s="12" t="n"/>
      <c r="E105" s="12" t="n"/>
      <c r="F105" s="12" t="n"/>
      <c r="G105" s="12" t="n"/>
      <c r="H105" s="12" t="n"/>
      <c r="I105" s="12" t="n"/>
      <c r="J105" s="31" t="n"/>
      <c r="K105" s="29" t="n"/>
      <c r="L105" s="12" t="n"/>
    </row>
    <row r="106" ht="22" customHeight="1">
      <c r="B106" s="20">
        <f>IF(C106="","PID-"&amp;TEXT(COUNTA($C$5:C106),"000"))</f>
        <v/>
      </c>
      <c r="C106" s="16" t="n"/>
      <c r="D106" s="16" t="n"/>
      <c r="E106" s="16" t="n"/>
      <c r="F106" s="16" t="n"/>
      <c r="G106" s="16" t="n"/>
      <c r="H106" s="16" t="n"/>
      <c r="I106" s="16" t="n"/>
      <c r="J106" s="32" t="n"/>
      <c r="K106" s="30" t="n"/>
      <c r="L106" s="16" t="n"/>
    </row>
    <row r="107" ht="22" customHeight="1">
      <c r="B107" s="21">
        <f>IF(C107="","PID-"&amp;TEXT(COUNTA($C$5:C107),"000"))</f>
        <v/>
      </c>
      <c r="C107" s="12" t="n"/>
      <c r="D107" s="12" t="n"/>
      <c r="E107" s="12" t="n"/>
      <c r="F107" s="12" t="n"/>
      <c r="G107" s="12" t="n"/>
      <c r="H107" s="12" t="n"/>
      <c r="I107" s="12" t="n"/>
      <c r="J107" s="31" t="n"/>
      <c r="K107" s="29" t="n"/>
      <c r="L107" s="12" t="n"/>
    </row>
    <row r="108" ht="22" customHeight="1">
      <c r="B108" s="20">
        <f>IF(C108="","PID-"&amp;TEXT(COUNTA($C$5:C108),"000"))</f>
        <v/>
      </c>
      <c r="C108" s="16" t="n"/>
      <c r="D108" s="16" t="n"/>
      <c r="E108" s="16" t="n"/>
      <c r="F108" s="16" t="n"/>
      <c r="G108" s="16" t="n"/>
      <c r="H108" s="16" t="n"/>
      <c r="I108" s="16" t="n"/>
      <c r="J108" s="32" t="n"/>
      <c r="K108" s="30" t="n"/>
      <c r="L108" s="16" t="n"/>
    </row>
    <row r="109" ht="22" customHeight="1">
      <c r="B109" s="21">
        <f>IF(C109="","PID-"&amp;TEXT(COUNTA($C$5:C109),"000"))</f>
        <v/>
      </c>
      <c r="C109" s="12" t="n"/>
      <c r="D109" s="12" t="n"/>
      <c r="E109" s="12" t="n"/>
      <c r="F109" s="12" t="n"/>
      <c r="G109" s="12" t="n"/>
      <c r="H109" s="12" t="n"/>
      <c r="I109" s="12" t="n"/>
      <c r="J109" s="31" t="n"/>
      <c r="K109" s="29" t="n"/>
      <c r="L109" s="12" t="n"/>
    </row>
    <row r="111">
      <c r="B111" s="6" t="inlineStr">
        <is>
          <t>INDICATEURS (mis a jour automatiquement)</t>
        </is>
      </c>
    </row>
    <row r="112">
      <c r="B112" s="3" t="inlineStr">
        <is>
          <t>PID suivis</t>
        </is>
      </c>
      <c r="D112" s="3" t="inlineStr">
        <is>
          <t>Avancement moyen</t>
        </is>
      </c>
      <c r="F112" s="3" t="inlineStr">
        <is>
          <t>En cours</t>
        </is>
      </c>
      <c r="H112" s="3" t="inlineStr">
        <is>
          <t>Valides</t>
        </is>
      </c>
    </row>
    <row r="113">
      <c r="B113" s="4">
        <f>COUNTIF(B5:B104,"&lt;&gt;")</f>
        <v/>
      </c>
      <c r="D113" s="4">
        <f>IFERROR(AVERAGE(K5:K104),0)</f>
        <v/>
      </c>
      <c r="F113" s="4">
        <f>COUNTIF(L5:L104,"En cours de realisation")</f>
        <v/>
      </c>
      <c r="H113" s="4">
        <f>COUNTIF(L5:L104,"Valide par N+1")</f>
        <v/>
      </c>
    </row>
  </sheetData>
  <mergeCells count="3">
    <mergeCell ref="B2:L2"/>
    <mergeCell ref="B111:L111"/>
    <mergeCell ref="B3:L3"/>
  </mergeCells>
  <conditionalFormatting sqref="L5:L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1">
      <formula>"En attente"</formula>
    </cfRule>
    <cfRule type="cellIs" priority="28" operator="equal" dxfId="1">
      <formula>"A renouveler"</formula>
    </cfRule>
    <cfRule type="cellIs" priority="29" operator="equal" dxfId="1">
      <formula>"En cours"</formula>
    </cfRule>
    <cfRule type="cellIs" priority="30" operator="equal" dxfId="1">
      <formula>"En traitement"</formula>
    </cfRule>
    <cfRule type="cellIs" priority="31" operator="equal" dxfId="1">
      <formula>"En retard"</formula>
    </cfRule>
    <cfRule type="cellIs" priority="32" operator="equal" dxfId="1">
      <formula>"Suspendu"</formula>
    </cfRule>
    <cfRule type="cellIs" priority="33" operator="equal" dxfId="1">
      <formula>"Planifie"</formula>
    </cfRule>
    <cfRule type="cellIs" priority="34" operator="equal" dxfId="1">
      <formula>"Planifiee"</formula>
    </cfRule>
    <cfRule type="cellIs" priority="35" operator="equal" dxfId="1">
      <formula>"Brouillon"</formula>
    </cfRule>
    <cfRule type="cellIs" priority="36" operator="equal" dxfId="1">
      <formula>"En attente de justification"</formula>
    </cfRule>
    <cfRule type="cellIs" priority="37" operator="equal" dxfId="1">
      <formula>"Tolere"</formula>
    </cfRule>
    <cfRule type="cellIs" priority="38" operator="equal" dxfId="1">
      <formula>"Variable"</formula>
    </cfRule>
    <cfRule type="cellIs" priority="39" operator="equal" dxfId="1">
      <formula>"En elaboration"</formula>
    </cfRule>
    <cfRule type="cellIs" priority="40" operator="equal" dxfId="1">
      <formula>"Provisionne"</formula>
    </cfRule>
    <cfRule type="cellIs" priority="41" operator="equal" dxfId="1">
      <formula>"Consomme partiel"</formula>
    </cfRule>
    <cfRule type="cellIs" priority="42" operator="equal" dxfId="1">
      <formula>"Identifie"</formula>
    </cfRule>
    <cfRule type="cellIs" priority="43" operator="equal" dxfId="1">
      <formula>"Priorise"</formula>
    </cfRule>
    <cfRule type="cellIs" priority="44" operator="equal" dxfId="1">
      <formula>"Intermediaire"</formula>
    </cfRule>
    <cfRule type="cellIs" priority="45" operator="equal" dxfId="1">
      <formula>"Non evalue"</formula>
    </cfRule>
    <cfRule type="cellIs" priority="46" operator="equal" dxfId="1">
      <formula>"En cours de realisation"</formula>
    </cfRule>
    <cfRule type="cellIs" priority="47" operator="equal" dxfId="2">
      <formula>"Expire"</formula>
    </cfRule>
    <cfRule type="cellIs" priority="48" operator="equal" dxfId="2">
      <formula>"Rejete"</formula>
    </cfRule>
    <cfRule type="cellIs" priority="49" operator="equal" dxfId="2">
      <formula>"Rejetee"</formula>
    </cfRule>
    <cfRule type="cellIs" priority="50" operator="equal" dxfId="2">
      <formula>"Resilie"</formula>
    </cfRule>
    <cfRule type="cellIs" priority="51" operator="equal" dxfId="2">
      <formula>"Annule"</formula>
    </cfRule>
    <cfRule type="cellIs" priority="52" operator="equal" dxfId="2">
      <formula>"Annulee"</formula>
    </cfRule>
    <cfRule type="cellIs" priority="53" operator="equal" dxfId="2">
      <formula>"Refuse"</formula>
    </cfRule>
    <cfRule type="cellIs" priority="54" operator="equal" dxfId="2">
      <formula>"Non justifie"</formula>
    </cfRule>
    <cfRule type="cellIs" priority="55" operator="equal" dxfId="2">
      <formula>"Non justifiee"</formula>
    </cfRule>
    <cfRule type="cellIs" priority="56" operator="equal" dxfId="2">
      <formula>"Sanctionne"</formula>
    </cfRule>
    <cfRule type="cellIs" priority="57" operator="equal" dxfId="2">
      <formula>"Inaptitude"</formula>
    </cfRule>
    <cfRule type="cellIs" priority="58" operator="equal" dxfId="2">
      <formula>"Absent sans autorisation"</formula>
    </cfRule>
    <cfRule type="cellIs" priority="59" operator="equal" dxfId="2">
      <formula>"Abandon de poste"</formula>
    </cfRule>
    <cfRule type="cellIs" priority="60" operator="equal" dxfId="2">
      <formula>"Non satisfait"</formula>
    </cfRule>
    <cfRule type="cellIs" priority="61" operator="equal" dxfId="2">
      <formula>"Reportee"</formula>
    </cfRule>
    <cfRule type="cellIs" priority="62" operator="equal" dxfId="2">
      <formula>"Depasse"</formula>
    </cfRule>
    <cfRule type="cellIs" priority="63" operator="equal" dxfId="2">
      <formula>"Non utilise"</formula>
    </cfRule>
    <cfRule type="cellIs" priority="64" operator="equal" dxfId="2">
      <formula>"Non applicable"</formula>
    </cfRule>
    <cfRule type="cellIs" priority="65" operator="equal" dxfId="2">
      <formula>"Debutant"</formula>
    </cfRule>
  </conditionalFormatting>
  <conditionalFormatting sqref="B10:B109">
    <cfRule type="expression" priority="66" dxfId="3">
      <formula>AND($C10="",$C9&lt;&gt;"")</formula>
    </cfRule>
  </conditionalFormatting>
  <conditionalFormatting sqref="C10:C109">
    <cfRule type="expression" priority="67" dxfId="3">
      <formula>AND($C10="",$C9&lt;&gt;"")</formula>
    </cfRule>
  </conditionalFormatting>
  <conditionalFormatting sqref="D10:D109">
    <cfRule type="expression" priority="68" dxfId="3">
      <formula>AND($C10="",$C9&lt;&gt;"")</formula>
    </cfRule>
  </conditionalFormatting>
  <conditionalFormatting sqref="E10:E109">
    <cfRule type="expression" priority="69" dxfId="3">
      <formula>AND($C10="",$C9&lt;&gt;"")</formula>
    </cfRule>
  </conditionalFormatting>
  <conditionalFormatting sqref="F10:F109">
    <cfRule type="expression" priority="70" dxfId="3">
      <formula>AND($C10="",$C9&lt;&gt;"")</formula>
    </cfRule>
  </conditionalFormatting>
  <conditionalFormatting sqref="G10:G109">
    <cfRule type="expression" priority="71" dxfId="3">
      <formula>AND($C10="",$C9&lt;&gt;"")</formula>
    </cfRule>
  </conditionalFormatting>
  <conditionalFormatting sqref="H10:H109">
    <cfRule type="expression" priority="72" dxfId="3">
      <formula>AND($C10="",$C9&lt;&gt;"")</formula>
    </cfRule>
  </conditionalFormatting>
  <conditionalFormatting sqref="I10:I109">
    <cfRule type="expression" priority="73" dxfId="3">
      <formula>AND($C10="",$C9&lt;&gt;"")</formula>
    </cfRule>
  </conditionalFormatting>
  <conditionalFormatting sqref="J10:J109">
    <cfRule type="expression" priority="74" dxfId="3">
      <formula>AND($C10="",$C9&lt;&gt;"")</formula>
    </cfRule>
  </conditionalFormatting>
  <conditionalFormatting sqref="K10:K109">
    <cfRule type="expression" priority="75" dxfId="3">
      <formula>AND($C10="",$C9&lt;&gt;"")</formula>
    </cfRule>
  </conditionalFormatting>
  <conditionalFormatting sqref="L10:L109">
    <cfRule type="expression" priority="76" dxfId="3">
      <formula>AND($C10="",$C9&lt;&gt;"")</formula>
    </cfRule>
  </conditionalFormatting>
  <dataValidations count="3"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9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L5:L109" showDropDown="0" showInputMessage="0" showErrorMessage="0" allowBlank="1" errorTitle="Erreur" error="Valeur invalide" promptTitle="Liste" prompt="Choisir dans la liste" type="list">
      <formula1>'_Lists'!$K$2:$K$6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20" customWidth="1" min="4" max="4"/>
    <col width="22" customWidth="1" min="5" max="5"/>
    <col width="18" customWidth="1" min="6" max="6"/>
    <col width="26" customWidth="1" min="7" max="7"/>
    <col width="26" customWidth="1" min="8" max="8"/>
    <col width="24" customWidth="1" min="9" max="9"/>
    <col width="18" customWidth="1" min="10" max="10"/>
  </cols>
  <sheetData>
    <row r="1" ht="15" customHeight="1"/>
    <row r="2" ht="32" customHeight="1">
      <c r="B2" s="1" t="inlineStr">
        <is>
          <t>MATRICE DE COMPETENCES &amp; POLYVALENCE (#75)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Matricule</t>
        </is>
      </c>
      <c r="D4" s="11" t="inlineStr">
        <is>
          <t>Nom Employe</t>
        </is>
      </c>
      <c r="E4" s="11" t="inlineStr">
        <is>
          <t>Departement</t>
        </is>
      </c>
      <c r="F4" s="11" t="inlineStr">
        <is>
          <t>Poste Principal</t>
        </is>
      </c>
      <c r="G4" s="11" t="inlineStr">
        <is>
          <t>Competence 1 (Niveau)</t>
        </is>
      </c>
      <c r="H4" s="11" t="inlineStr">
        <is>
          <t>Competence 2 (Niveau)</t>
        </is>
      </c>
      <c r="I4" s="11" t="inlineStr">
        <is>
          <t>Competence 3 (Niveau)</t>
        </is>
      </c>
      <c r="J4" s="11" t="inlineStr">
        <is>
          <t>Score Polyvalence</t>
        </is>
      </c>
    </row>
    <row r="5" ht="22" customHeight="1">
      <c r="B5" s="12" t="inlineStr">
        <is>
          <t>MAT-001</t>
        </is>
      </c>
      <c r="C5" s="12" t="inlineStr">
        <is>
          <t>EMP-010</t>
        </is>
      </c>
      <c r="D5" s="12">
        <f>IF(C5="","",VLOOKUP(C5,'_Données Employés'!$B$5:$H$18,4,FALSE)&amp;" "&amp;VLOOKUP(C5,'_Données Employés'!$B$5:$H$18,5,FALSE))</f>
        <v/>
      </c>
      <c r="E5" s="12">
        <f>IF(C5="","",VLOOKUP(C5,'_Données Employés'!$B$5:$H$18,6,FALSE))</f>
        <v/>
      </c>
      <c r="F5" s="12">
        <f>IF(C5="","",VLOOKUP(C5,'_Données Employés'!$B$5:$H$18,7,FALSE))</f>
        <v/>
      </c>
      <c r="G5" s="12" t="inlineStr">
        <is>
          <t>Cuisson (Avance)</t>
        </is>
      </c>
      <c r="H5" s="12" t="inlineStr">
        <is>
          <t>Patisserie (Intermediaire)</t>
        </is>
      </c>
      <c r="I5" s="12" t="inlineStr">
        <is>
          <t>HACCP (Expert)</t>
        </is>
      </c>
      <c r="J5" s="13" t="n">
        <v>3</v>
      </c>
    </row>
    <row r="6" ht="22" customHeight="1">
      <c r="B6" s="16" t="inlineStr">
        <is>
          <t>MAT-002</t>
        </is>
      </c>
      <c r="C6" s="16" t="inlineStr">
        <is>
          <t>EMP-004</t>
        </is>
      </c>
      <c r="D6" s="16">
        <f>IF(C6="","",VLOOKUP(C6,'_Données Employés'!$B$5:$H$18,4,FALSE)&amp;" "&amp;VLOOKUP(C6,'_Données Employés'!$B$5:$H$18,5,FALSE))</f>
        <v/>
      </c>
      <c r="E6" s="16">
        <f>IF(C6="","",VLOOKUP(C6,'_Données Employés'!$B$5:$H$18,6,FALSE))</f>
        <v/>
      </c>
      <c r="F6" s="16">
        <f>IF(C6="","",VLOOKUP(C6,'_Données Employés'!$B$5:$H$18,7,FALSE))</f>
        <v/>
      </c>
      <c r="G6" s="16" t="inlineStr">
        <is>
          <t>Accueil (Avance)</t>
        </is>
      </c>
      <c r="H6" s="16" t="inlineStr">
        <is>
          <t>PMS Opera (Intermediaire)</t>
        </is>
      </c>
      <c r="I6" s="16" t="inlineStr">
        <is>
          <t>Anglais (Intermediaire)</t>
        </is>
      </c>
      <c r="J6" s="17" t="n">
        <v>3</v>
      </c>
    </row>
    <row r="7" ht="22" customHeight="1">
      <c r="B7" s="12" t="inlineStr">
        <is>
          <t>MAT-003</t>
        </is>
      </c>
      <c r="C7" s="12" t="inlineStr">
        <is>
          <t>EMP-006</t>
        </is>
      </c>
      <c r="D7" s="12">
        <f>IF(C7="","",VLOOKUP(C7,'_Données Employés'!$B$5:$H$18,4,FALSE)&amp;" "&amp;VLOOKUP(C7,'_Données Employés'!$B$5:$H$18,5,FALSE))</f>
        <v/>
      </c>
      <c r="E7" s="12">
        <f>IF(C7="","",VLOOKUP(C7,'_Données Employés'!$B$5:$H$18,6,FALSE))</f>
        <v/>
      </c>
      <c r="F7" s="12">
        <f>IF(C7="","",VLOOKUP(C7,'_Données Employés'!$B$5:$H$18,7,FALSE))</f>
        <v/>
      </c>
      <c r="G7" s="12" t="inlineStr">
        <is>
          <t>Vente (Intermediaire)</t>
        </is>
      </c>
      <c r="H7" s="12" t="inlineStr">
        <is>
          <t>Gestion conflits (Intermediaire)</t>
        </is>
      </c>
      <c r="I7" s="12" t="inlineStr">
        <is>
          <t>CRM (Debutant)</t>
        </is>
      </c>
      <c r="J7" s="13" t="n">
        <v>2</v>
      </c>
    </row>
    <row r="8" ht="22" customHeight="1">
      <c r="B8" s="16" t="inlineStr">
        <is>
          <t>MAT-004</t>
        </is>
      </c>
      <c r="C8" s="16" t="inlineStr">
        <is>
          <t>EMP-011</t>
        </is>
      </c>
      <c r="D8" s="16">
        <f>IF(C8="","",VLOOKUP(C8,'_Données Employés'!$B$5:$H$18,4,FALSE)&amp;" "&amp;VLOOKUP(C8,'_Données Employés'!$B$5:$H$18,5,FALSE))</f>
        <v/>
      </c>
      <c r="E8" s="16">
        <f>IF(C8="","",VLOOKUP(C8,'_Données Employés'!$B$5:$H$18,6,FALSE))</f>
        <v/>
      </c>
      <c r="F8" s="16">
        <f>IF(C8="","",VLOOKUP(C8,'_Données Employés'!$B$5:$H$18,7,FALSE))</f>
        <v/>
      </c>
      <c r="G8" s="16" t="inlineStr">
        <is>
          <t>Surveillance (Avance)</t>
        </is>
      </c>
      <c r="H8" s="16" t="inlineStr">
        <is>
          <t>CCTV (Intermediaire)</t>
        </is>
      </c>
      <c r="I8" s="16" t="inlineStr">
        <is>
          <t>Incendie (Avance)</t>
        </is>
      </c>
      <c r="J8" s="17" t="n">
        <v>3</v>
      </c>
    </row>
    <row r="9" ht="22" customHeight="1">
      <c r="B9" s="12" t="inlineStr">
        <is>
          <t>MAT-005</t>
        </is>
      </c>
      <c r="C9" s="12" t="inlineStr">
        <is>
          <t>EMP-009</t>
        </is>
      </c>
      <c r="D9" s="12">
        <f>IF(C9="","",VLOOKUP(C9,'_Données Employés'!$B$5:$H$18,4,FALSE)&amp;" "&amp;VLOOKUP(C9,'_Données Employés'!$B$5:$H$18,5,FALSE))</f>
        <v/>
      </c>
      <c r="E9" s="12">
        <f>IF(C9="","",VLOOKUP(C9,'_Données Employés'!$B$5:$H$18,6,FALSE))</f>
        <v/>
      </c>
      <c r="F9" s="12">
        <f>IF(C9="","",VLOOKUP(C9,'_Données Employés'!$B$5:$H$18,7,FALSE))</f>
        <v/>
      </c>
      <c r="G9" s="12" t="inlineStr">
        <is>
          <t>Plomberie (Expert)</t>
        </is>
      </c>
      <c r="H9" s="12" t="inlineStr">
        <is>
          <t>Electricite (Avance)</t>
        </is>
      </c>
      <c r="I9" s="12" t="inlineStr">
        <is>
          <t>CVC (Intermediaire)</t>
        </is>
      </c>
      <c r="J9" s="13" t="n">
        <v>3</v>
      </c>
    </row>
    <row r="10" ht="22" customHeight="1">
      <c r="B10" s="12" t="inlineStr">
        <is>
          <t>MAT-007</t>
        </is>
      </c>
      <c r="C10" s="12" t="inlineStr">
        <is>
          <t>EMP-002</t>
        </is>
      </c>
      <c r="D10" s="12">
        <f>IF(C10="","",VLOOKUP(C10,'_Données Employés'!$B$5:$H$18,4,FALSE)&amp;" "&amp;VLOOKUP(C10,'_Données Employés'!$B$5:$H$18,5,FALSE))</f>
        <v/>
      </c>
      <c r="E10" s="12">
        <f>IF(C10="","",VLOOKUP(C10,'_Données Employés'!$B$5:$H$18,6,FALSE))</f>
        <v/>
      </c>
      <c r="F10" s="12">
        <f>IF(C10="","",VLOOKUP(C10,'_Données Employés'!$B$5:$H$18,7,FALSE))</f>
        <v/>
      </c>
      <c r="G10" s="12" t="inlineStr">
        <is>
          <t>Accueil (Avance)</t>
        </is>
      </c>
      <c r="H10" s="12" t="inlineStr">
        <is>
          <t>Anglais (Debutant)</t>
        </is>
      </c>
      <c r="I10" s="12" t="inlineStr">
        <is>
          <t>PMS Opera (Debutant)</t>
        </is>
      </c>
      <c r="J10" s="13" t="n">
        <v>2</v>
      </c>
    </row>
    <row r="11" ht="22" customHeight="1">
      <c r="B11" s="12" t="inlineStr">
        <is>
          <t>MAT-008</t>
        </is>
      </c>
      <c r="C11" s="12" t="inlineStr">
        <is>
          <t>EMP-005</t>
        </is>
      </c>
      <c r="D11" s="12">
        <f>IF(C11="","",VLOOKUP(C11,'_Données Employés'!$B$5:$H$18,4,FALSE)&amp;" "&amp;VLOOKUP(C11,'_Données Employés'!$B$5:$H$18,5,FALSE))</f>
        <v/>
      </c>
      <c r="E11" s="12">
        <f>IF(C11="","",VLOOKUP(C11,'_Données Employés'!$B$5:$H$18,6,FALSE))</f>
        <v/>
      </c>
      <c r="F11" s="12">
        <f>IF(C11="","",VLOOKUP(C11,'_Données Employés'!$B$5:$H$18,7,FALSE))</f>
        <v/>
      </c>
      <c r="G11" s="12" t="inlineStr">
        <is>
          <t>Plomberie (Intermediaire)</t>
        </is>
      </c>
      <c r="H11" s="12" t="inlineStr">
        <is>
          <t>Electricite (Intermediaire)</t>
        </is>
      </c>
      <c r="I11" s="12" t="inlineStr">
        <is>
          <t>CVC (Debutant)</t>
        </is>
      </c>
      <c r="J11" s="13" t="n">
        <v>2</v>
      </c>
    </row>
    <row r="12" ht="22" customHeight="1">
      <c r="B12" s="12" t="inlineStr">
        <is>
          <t>MAT-009</t>
        </is>
      </c>
      <c r="C12" s="12" t="inlineStr">
        <is>
          <t>EMP-007</t>
        </is>
      </c>
      <c r="D12" s="12">
        <f>IF(C12="","",VLOOKUP(C12,'_Données Employés'!$B$5:$H$18,4,FALSE)&amp;" "&amp;VLOOKUP(C12,'_Données Employés'!$B$5:$H$18,5,FALSE))</f>
        <v/>
      </c>
      <c r="E12" s="12">
        <f>IF(C12="","",VLOOKUP(C12,'_Données Employés'!$B$5:$H$18,6,FALSE))</f>
        <v/>
      </c>
      <c r="F12" s="12">
        <f>IF(C12="","",VLOOKUP(C12,'_Données Employés'!$B$5:$H$18,7,FALSE))</f>
        <v/>
      </c>
      <c r="G12" s="12" t="inlineStr">
        <is>
          <t>Plomberie (Debutant)</t>
        </is>
      </c>
      <c r="H12" s="12" t="inlineStr">
        <is>
          <t>Electricite (Debutant)</t>
        </is>
      </c>
      <c r="I12" s="12" t="inlineStr">
        <is>
          <t>Nettoyage industriel (Debutant)</t>
        </is>
      </c>
      <c r="J12" s="13" t="n">
        <v>2</v>
      </c>
    </row>
    <row r="13" ht="22" customHeight="1">
      <c r="B13" s="12" t="inlineStr">
        <is>
          <t>MAT-010</t>
        </is>
      </c>
      <c r="C13" s="12" t="inlineStr">
        <is>
          <t>EMP-008</t>
        </is>
      </c>
      <c r="D13" s="12">
        <f>IF(C13="","",VLOOKUP(C13,'_Données Employés'!$B$5:$H$18,4,FALSE)&amp;" "&amp;VLOOKUP(C13,'_Données Employés'!$B$5:$H$18,5,FALSE))</f>
        <v/>
      </c>
      <c r="E13" s="12">
        <f>IF(C13="","",VLOOKUP(C13,'_Données Employés'!$B$5:$H$18,6,FALSE))</f>
        <v/>
      </c>
      <c r="F13" s="12">
        <f>IF(C13="","",VLOOKUP(C13,'_Données Employés'!$B$5:$H$18,7,FALSE))</f>
        <v/>
      </c>
      <c r="G13" s="12" t="inlineStr">
        <is>
          <t>Vente (Intermediaire)</t>
        </is>
      </c>
      <c r="H13" s="12" t="inlineStr">
        <is>
          <t>Négociation (Debutant)</t>
        </is>
      </c>
      <c r="I13" s="12" t="inlineStr">
        <is>
          <t>CRM (Debutant)</t>
        </is>
      </c>
      <c r="J13" s="13" t="n">
        <v>2</v>
      </c>
    </row>
    <row r="14" ht="22" customHeight="1">
      <c r="B14" s="12" t="inlineStr">
        <is>
          <t>MAT-011</t>
        </is>
      </c>
      <c r="C14" s="12" t="inlineStr">
        <is>
          <t>EMP-028</t>
        </is>
      </c>
      <c r="D14" s="12">
        <f>IF(C14="","",VLOOKUP(C14,'_Données Employés'!$B$5:$H$18,4,FALSE)&amp;" "&amp;VLOOKUP(C14,'_Données Employés'!$B$5:$H$18,5,FALSE))</f>
        <v/>
      </c>
      <c r="E14" s="12">
        <f>IF(C14="","",VLOOKUP(C14,'_Données Employés'!$B$5:$H$18,6,FALSE))</f>
        <v/>
      </c>
      <c r="F14" s="12">
        <f>IF(C14="","",VLOOKUP(C14,'_Données Employés'!$B$5:$H$18,7,FALSE))</f>
        <v/>
      </c>
      <c r="G14" s="12" t="inlineStr">
        <is>
          <t>Surveillance (Intermediaire)</t>
        </is>
      </c>
      <c r="H14" s="12" t="inlineStr">
        <is>
          <t>CCTV (Debutant)</t>
        </is>
      </c>
      <c r="I14" s="12" t="inlineStr">
        <is>
          <t>Incendie (Intermediaire)</t>
        </is>
      </c>
      <c r="J14" s="13" t="n">
        <v>2</v>
      </c>
    </row>
    <row r="15" ht="22" customHeight="1">
      <c r="B15" s="12" t="inlineStr">
        <is>
          <t>MAT-012</t>
        </is>
      </c>
      <c r="C15" s="12" t="inlineStr">
        <is>
          <t>EMP-029</t>
        </is>
      </c>
      <c r="D15" s="12">
        <f>IF(C15="","",VLOOKUP(C15,'_Données Employés'!$B$5:$H$18,4,FALSE)&amp;" "&amp;VLOOKUP(C15,'_Données Employés'!$B$5:$H$18,5,FALSE))</f>
        <v/>
      </c>
      <c r="E15" s="12">
        <f>IF(C15="","",VLOOKUP(C15,'_Données Employés'!$B$5:$H$18,6,FALSE))</f>
        <v/>
      </c>
      <c r="F15" s="12">
        <f>IF(C15="","",VLOOKUP(C15,'_Données Employés'!$B$5:$H$18,7,FALSE))</f>
        <v/>
      </c>
      <c r="G15" s="12" t="inlineStr">
        <is>
          <t>Surveillance (Expert)</t>
        </is>
      </c>
      <c r="H15" s="12" t="inlineStr">
        <is>
          <t>CCTV (Avance)</t>
        </is>
      </c>
      <c r="I15" s="12" t="inlineStr">
        <is>
          <t>Incendie (Expert)</t>
        </is>
      </c>
      <c r="J15" s="13" t="n">
        <v>2</v>
      </c>
    </row>
    <row r="16" ht="22" customHeight="1">
      <c r="B16" s="12" t="inlineStr">
        <is>
          <t>MAT-013</t>
        </is>
      </c>
      <c r="C16" s="12" t="inlineStr">
        <is>
          <t>EMP-001</t>
        </is>
      </c>
      <c r="D16" s="12">
        <f>IF(C16="","",VLOOKUP(C16,'_Données Employés'!$B$5:$H$18,4,FALSE)&amp;" "&amp;VLOOKUP(C16,'_Données Employés'!$B$5:$H$18,5,FALSE))</f>
        <v/>
      </c>
      <c r="E16" s="12">
        <f>IF(C16="","",VLOOKUP(C16,'_Données Employés'!$B$5:$H$18,6,FALSE))</f>
        <v/>
      </c>
      <c r="F16" s="12">
        <f>IF(C16="","",VLOOKUP(C16,'_Données Employés'!$B$5:$H$18,7,FALSE))</f>
        <v/>
      </c>
      <c r="G16" s="12" t="inlineStr">
        <is>
          <t>Management (Avance)</t>
        </is>
      </c>
      <c r="H16" s="12" t="inlineStr">
        <is>
          <t>RH (Expert)</t>
        </is>
      </c>
      <c r="I16" s="12" t="inlineStr">
        <is>
          <t>Formation (Intermediaire)</t>
        </is>
      </c>
      <c r="J16" s="13" t="n">
        <v>3</v>
      </c>
    </row>
    <row r="17" ht="22" customHeight="1">
      <c r="B17" s="12" t="inlineStr">
        <is>
          <t>MAT-014</t>
        </is>
      </c>
      <c r="C17" s="12" t="inlineStr">
        <is>
          <t>EMP-003</t>
        </is>
      </c>
      <c r="D17" s="12">
        <f>IF(C17="","",VLOOKUP(C17,'_Données Employés'!$B$5:$H$18,4,FALSE)&amp;" "&amp;VLOOKUP(C17,'_Données Employés'!$B$5:$H$18,5,FALSE))</f>
        <v/>
      </c>
      <c r="E17" s="12">
        <f>IF(C17="","",VLOOKUP(C17,'_Données Employés'!$B$5:$H$18,6,FALSE))</f>
        <v/>
      </c>
      <c r="F17" s="12">
        <f>IF(C17="","",VLOOKUP(C17,'_Données Employés'!$B$5:$H$18,7,FALSE))</f>
        <v/>
      </c>
      <c r="G17" s="12" t="inlineStr">
        <is>
          <t>Comptabilite (Expert)</t>
        </is>
      </c>
      <c r="H17" s="12" t="inlineStr">
        <is>
          <t>Excel (Avance)</t>
        </is>
      </c>
      <c r="I17" s="12" t="inlineStr">
        <is>
          <t>Fiscalite (Intermediaire)</t>
        </is>
      </c>
      <c r="J17" s="13" t="n">
        <v>3</v>
      </c>
    </row>
    <row r="18" ht="22" customHeight="1">
      <c r="B18" s="12" t="inlineStr">
        <is>
          <t>MAT-015</t>
        </is>
      </c>
      <c r="C18" s="12" t="inlineStr">
        <is>
          <t>EMP-012</t>
        </is>
      </c>
      <c r="D18" s="12">
        <f>IF(C18="","",VLOOKUP(C18,'_Données Employés'!$B$5:$H$18,4,FALSE)&amp;" "&amp;VLOOKUP(C18,'_Données Employés'!$B$5:$H$18,5,FALSE))</f>
        <v/>
      </c>
      <c r="E18" s="12">
        <f>IF(C18="","",VLOOKUP(C18,'_Données Employés'!$B$5:$H$18,6,FALSE))</f>
        <v/>
      </c>
      <c r="F18" s="12">
        <f>IF(C18="","",VLOOKUP(C18,'_Données Employés'!$B$5:$H$18,7,FALSE))</f>
        <v/>
      </c>
      <c r="G18" s="12" t="inlineStr">
        <is>
          <t>Accueil (Debutant)</t>
        </is>
      </c>
      <c r="H18" s="12" t="inlineStr">
        <is>
          <t>Telephone (Intermediaire)</t>
        </is>
      </c>
      <c r="I18" s="12" t="inlineStr">
        <is>
          <t>Anglais (Debutant)</t>
        </is>
      </c>
      <c r="J18" s="13" t="n">
        <v>3</v>
      </c>
    </row>
    <row r="19" ht="22" customHeight="1">
      <c r="B19" s="21">
        <f>IF(C19="","MAT-"&amp;TEXT(COUNTA($C$5:C19),"000"))</f>
        <v/>
      </c>
      <c r="C19" s="12" t="n"/>
      <c r="D19" s="12" t="n"/>
      <c r="E19" s="12" t="n"/>
      <c r="F19" s="12" t="n"/>
      <c r="G19" s="12" t="n"/>
      <c r="H19" s="12" t="n"/>
      <c r="I19" s="12" t="n"/>
      <c r="J19" s="13" t="n"/>
    </row>
    <row r="20" ht="22" customHeight="1">
      <c r="B20" s="20">
        <f>IF(C20="","MAT-"&amp;TEXT(COUNTA($C$5:C20),"000"))</f>
        <v/>
      </c>
      <c r="C20" s="16" t="n"/>
      <c r="D20" s="16" t="n"/>
      <c r="E20" s="16" t="n"/>
      <c r="F20" s="16" t="n"/>
      <c r="G20" s="16" t="n"/>
      <c r="H20" s="16" t="n"/>
      <c r="I20" s="16" t="n"/>
      <c r="J20" s="17" t="n"/>
    </row>
    <row r="21" ht="22" customHeight="1">
      <c r="B21" s="21">
        <f>IF(C21="","MAT-"&amp;TEXT(COUNTA($C$5:C21),"000"))</f>
        <v/>
      </c>
      <c r="C21" s="12" t="n"/>
      <c r="D21" s="12" t="n"/>
      <c r="E21" s="12" t="n"/>
      <c r="F21" s="12" t="n"/>
      <c r="G21" s="12" t="n"/>
      <c r="H21" s="12" t="n"/>
      <c r="I21" s="12" t="n"/>
      <c r="J21" s="13" t="n"/>
    </row>
    <row r="22" ht="22" customHeight="1">
      <c r="B22" s="20">
        <f>IF(C22="","MAT-"&amp;TEXT(COUNTA($C$5:C22),"000"))</f>
        <v/>
      </c>
      <c r="C22" s="16" t="n"/>
      <c r="D22" s="16" t="n"/>
      <c r="E22" s="16" t="n"/>
      <c r="F22" s="16" t="n"/>
      <c r="G22" s="16" t="n"/>
      <c r="H22" s="16" t="n"/>
      <c r="I22" s="16" t="n"/>
      <c r="J22" s="17" t="n"/>
    </row>
    <row r="23" ht="22" customHeight="1">
      <c r="B23" s="21">
        <f>IF(C23="","MAT-"&amp;TEXT(COUNTA($C$5:C23),"000"))</f>
        <v/>
      </c>
      <c r="C23" s="12" t="n"/>
      <c r="D23" s="12" t="n"/>
      <c r="E23" s="12" t="n"/>
      <c r="F23" s="12" t="n"/>
      <c r="G23" s="12" t="n"/>
      <c r="H23" s="12" t="n"/>
      <c r="I23" s="12" t="n"/>
      <c r="J23" s="13" t="n"/>
    </row>
    <row r="24" ht="22" customHeight="1">
      <c r="B24" s="20">
        <f>IF(C24="","MAT-"&amp;TEXT(COUNTA($C$5:C24),"000"))</f>
        <v/>
      </c>
      <c r="C24" s="16" t="n"/>
      <c r="D24" s="16" t="n"/>
      <c r="E24" s="16" t="n"/>
      <c r="F24" s="16" t="n"/>
      <c r="G24" s="16" t="n"/>
      <c r="H24" s="16" t="n"/>
      <c r="I24" s="16" t="n"/>
      <c r="J24" s="17" t="n"/>
    </row>
    <row r="25" ht="22" customHeight="1">
      <c r="B25" s="21">
        <f>IF(C25="","MAT-"&amp;TEXT(COUNTA($C$5:C25),"000"))</f>
        <v/>
      </c>
      <c r="C25" s="12" t="n"/>
      <c r="D25" s="12" t="n"/>
      <c r="E25" s="12" t="n"/>
      <c r="F25" s="12" t="n"/>
      <c r="G25" s="12" t="n"/>
      <c r="H25" s="12" t="n"/>
      <c r="I25" s="12" t="n"/>
      <c r="J25" s="13" t="n"/>
    </row>
    <row r="26" ht="22" customHeight="1">
      <c r="B26" s="20">
        <f>IF(C26="","MAT-"&amp;TEXT(COUNTA($C$5:C26),"000"))</f>
        <v/>
      </c>
      <c r="C26" s="16" t="n"/>
      <c r="D26" s="16" t="n"/>
      <c r="E26" s="16" t="n"/>
      <c r="F26" s="16" t="n"/>
      <c r="G26" s="16" t="n"/>
      <c r="H26" s="16" t="n"/>
      <c r="I26" s="16" t="n"/>
      <c r="J26" s="17" t="n"/>
    </row>
    <row r="27" ht="22" customHeight="1">
      <c r="B27" s="21">
        <f>IF(C27="","MAT-"&amp;TEXT(COUNTA($C$5:C27),"000"))</f>
        <v/>
      </c>
      <c r="C27" s="12" t="n"/>
      <c r="D27" s="12" t="n"/>
      <c r="E27" s="12" t="n"/>
      <c r="F27" s="12" t="n"/>
      <c r="G27" s="12" t="n"/>
      <c r="H27" s="12" t="n"/>
      <c r="I27" s="12" t="n"/>
      <c r="J27" s="13" t="n"/>
    </row>
    <row r="28" ht="22" customHeight="1">
      <c r="B28" s="20">
        <f>IF(C28="","MAT-"&amp;TEXT(COUNTA($C$5:C28),"000"))</f>
        <v/>
      </c>
      <c r="C28" s="16" t="n"/>
      <c r="D28" s="16" t="n"/>
      <c r="E28" s="16" t="n"/>
      <c r="F28" s="16" t="n"/>
      <c r="G28" s="16" t="n"/>
      <c r="H28" s="16" t="n"/>
      <c r="I28" s="16" t="n"/>
      <c r="J28" s="17" t="n"/>
    </row>
    <row r="29" ht="22" customHeight="1">
      <c r="B29" s="21">
        <f>IF(C29="","MAT-"&amp;TEXT(COUNTA($C$5:C29),"000"))</f>
        <v/>
      </c>
      <c r="C29" s="12" t="n"/>
      <c r="D29" s="12" t="n"/>
      <c r="E29" s="12" t="n"/>
      <c r="F29" s="12" t="n"/>
      <c r="G29" s="12" t="n"/>
      <c r="H29" s="12" t="n"/>
      <c r="I29" s="12" t="n"/>
      <c r="J29" s="13" t="n"/>
    </row>
    <row r="30" ht="22" customHeight="1">
      <c r="B30" s="20">
        <f>IF(C30="","MAT-"&amp;TEXT(COUNTA($C$5:C30),"000"))</f>
        <v/>
      </c>
      <c r="C30" s="16" t="n"/>
      <c r="D30" s="16" t="n"/>
      <c r="E30" s="16" t="n"/>
      <c r="F30" s="16" t="n"/>
      <c r="G30" s="16" t="n"/>
      <c r="H30" s="16" t="n"/>
      <c r="I30" s="16" t="n"/>
      <c r="J30" s="17" t="n"/>
    </row>
    <row r="31" ht="22" customHeight="1">
      <c r="B31" s="21">
        <f>IF(C31="","MAT-"&amp;TEXT(COUNTA($C$5:C31),"000"))</f>
        <v/>
      </c>
      <c r="C31" s="12" t="n"/>
      <c r="D31" s="12" t="n"/>
      <c r="E31" s="12" t="n"/>
      <c r="F31" s="12" t="n"/>
      <c r="G31" s="12" t="n"/>
      <c r="H31" s="12" t="n"/>
      <c r="I31" s="12" t="n"/>
      <c r="J31" s="13" t="n"/>
    </row>
    <row r="32" ht="22" customHeight="1">
      <c r="B32" s="20">
        <f>IF(C32="","MAT-"&amp;TEXT(COUNTA($C$5:C32),"000"))</f>
        <v/>
      </c>
      <c r="C32" s="16" t="n"/>
      <c r="D32" s="16" t="n"/>
      <c r="E32" s="16" t="n"/>
      <c r="F32" s="16" t="n"/>
      <c r="G32" s="16" t="n"/>
      <c r="H32" s="16" t="n"/>
      <c r="I32" s="16" t="n"/>
      <c r="J32" s="17" t="n"/>
    </row>
    <row r="33" ht="22" customHeight="1">
      <c r="B33" s="21">
        <f>IF(C33="","MAT-"&amp;TEXT(COUNTA($C$5:C33),"000"))</f>
        <v/>
      </c>
      <c r="C33" s="12" t="n"/>
      <c r="D33" s="12" t="n"/>
      <c r="E33" s="12" t="n"/>
      <c r="F33" s="12" t="n"/>
      <c r="G33" s="12" t="n"/>
      <c r="H33" s="12" t="n"/>
      <c r="I33" s="12" t="n"/>
      <c r="J33" s="13" t="n"/>
    </row>
    <row r="34" ht="22" customHeight="1">
      <c r="B34" s="20">
        <f>IF(C34="","MAT-"&amp;TEXT(COUNTA($C$5:C34),"000"))</f>
        <v/>
      </c>
      <c r="C34" s="16" t="n"/>
      <c r="D34" s="16" t="n"/>
      <c r="E34" s="16" t="n"/>
      <c r="F34" s="16" t="n"/>
      <c r="G34" s="16" t="n"/>
      <c r="H34" s="16" t="n"/>
      <c r="I34" s="16" t="n"/>
      <c r="J34" s="17" t="n"/>
    </row>
    <row r="35" ht="22" customHeight="1">
      <c r="B35" s="21">
        <f>IF(C35="","MAT-"&amp;TEXT(COUNTA($C$5:C35),"000"))</f>
        <v/>
      </c>
      <c r="C35" s="12" t="n"/>
      <c r="D35" s="12" t="n"/>
      <c r="E35" s="12" t="n"/>
      <c r="F35" s="12" t="n"/>
      <c r="G35" s="12" t="n"/>
      <c r="H35" s="12" t="n"/>
      <c r="I35" s="12" t="n"/>
      <c r="J35" s="13" t="n"/>
    </row>
    <row r="36" ht="22" customHeight="1">
      <c r="B36" s="20">
        <f>IF(C36="","MAT-"&amp;TEXT(COUNTA($C$5:C36),"000"))</f>
        <v/>
      </c>
      <c r="C36" s="16" t="n"/>
      <c r="D36" s="16" t="n"/>
      <c r="E36" s="16" t="n"/>
      <c r="F36" s="16" t="n"/>
      <c r="G36" s="16" t="n"/>
      <c r="H36" s="16" t="n"/>
      <c r="I36" s="16" t="n"/>
      <c r="J36" s="17" t="n"/>
    </row>
    <row r="37" ht="22" customHeight="1">
      <c r="B37" s="21">
        <f>IF(C37="","MAT-"&amp;TEXT(COUNTA($C$5:C37),"000"))</f>
        <v/>
      </c>
      <c r="C37" s="12" t="n"/>
      <c r="D37" s="12" t="n"/>
      <c r="E37" s="12" t="n"/>
      <c r="F37" s="12" t="n"/>
      <c r="G37" s="12" t="n"/>
      <c r="H37" s="12" t="n"/>
      <c r="I37" s="12" t="n"/>
      <c r="J37" s="13" t="n"/>
    </row>
    <row r="38" ht="22" customHeight="1">
      <c r="B38" s="20">
        <f>IF(C38="","MAT-"&amp;TEXT(COUNTA($C$5:C38),"000"))</f>
        <v/>
      </c>
      <c r="C38" s="16" t="n"/>
      <c r="D38" s="16" t="n"/>
      <c r="E38" s="16" t="n"/>
      <c r="F38" s="16" t="n"/>
      <c r="G38" s="16" t="n"/>
      <c r="H38" s="16" t="n"/>
      <c r="I38" s="16" t="n"/>
      <c r="J38" s="17" t="n"/>
    </row>
    <row r="39" ht="22" customHeight="1">
      <c r="B39" s="21">
        <f>IF(C39="","MAT-"&amp;TEXT(COUNTA($C$5:C39),"000"))</f>
        <v/>
      </c>
      <c r="C39" s="12" t="n"/>
      <c r="D39" s="12" t="n"/>
      <c r="E39" s="12" t="n"/>
      <c r="F39" s="12" t="n"/>
      <c r="G39" s="12" t="n"/>
      <c r="H39" s="12" t="n"/>
      <c r="I39" s="12" t="n"/>
      <c r="J39" s="13" t="n"/>
    </row>
    <row r="40" ht="22" customHeight="1">
      <c r="B40" s="20">
        <f>IF(C40="","MAT-"&amp;TEXT(COUNTA($C$5:C40),"000"))</f>
        <v/>
      </c>
      <c r="C40" s="16" t="n"/>
      <c r="D40" s="16" t="n"/>
      <c r="E40" s="16" t="n"/>
      <c r="F40" s="16" t="n"/>
      <c r="G40" s="16" t="n"/>
      <c r="H40" s="16" t="n"/>
      <c r="I40" s="16" t="n"/>
      <c r="J40" s="17" t="n"/>
    </row>
    <row r="41" ht="22" customHeight="1">
      <c r="B41" s="21">
        <f>IF(C41="","MAT-"&amp;TEXT(COUNTA($C$5:C41),"000"))</f>
        <v/>
      </c>
      <c r="C41" s="12" t="n"/>
      <c r="D41" s="12" t="n"/>
      <c r="E41" s="12" t="n"/>
      <c r="F41" s="12" t="n"/>
      <c r="G41" s="12" t="n"/>
      <c r="H41" s="12" t="n"/>
      <c r="I41" s="12" t="n"/>
      <c r="J41" s="13" t="n"/>
    </row>
    <row r="42" ht="22" customHeight="1">
      <c r="B42" s="20">
        <f>IF(C42="","MAT-"&amp;TEXT(COUNTA($C$5:C42),"000"))</f>
        <v/>
      </c>
      <c r="C42" s="16" t="n"/>
      <c r="D42" s="16" t="n"/>
      <c r="E42" s="16" t="n"/>
      <c r="F42" s="16" t="n"/>
      <c r="G42" s="16" t="n"/>
      <c r="H42" s="16" t="n"/>
      <c r="I42" s="16" t="n"/>
      <c r="J42" s="17" t="n"/>
    </row>
    <row r="43" ht="22" customHeight="1">
      <c r="B43" s="21">
        <f>IF(C43="","MAT-"&amp;TEXT(COUNTA($C$5:C43),"000"))</f>
        <v/>
      </c>
      <c r="C43" s="12" t="n"/>
      <c r="D43" s="12" t="n"/>
      <c r="E43" s="12" t="n"/>
      <c r="F43" s="12" t="n"/>
      <c r="G43" s="12" t="n"/>
      <c r="H43" s="12" t="n"/>
      <c r="I43" s="12" t="n"/>
      <c r="J43" s="13" t="n"/>
    </row>
    <row r="44" ht="22" customHeight="1">
      <c r="B44" s="20">
        <f>IF(C44="","MAT-"&amp;TEXT(COUNTA($C$5:C44),"000"))</f>
        <v/>
      </c>
      <c r="C44" s="16" t="n"/>
      <c r="D44" s="16" t="n"/>
      <c r="E44" s="16" t="n"/>
      <c r="F44" s="16" t="n"/>
      <c r="G44" s="16" t="n"/>
      <c r="H44" s="16" t="n"/>
      <c r="I44" s="16" t="n"/>
      <c r="J44" s="17" t="n"/>
    </row>
    <row r="45" ht="22" customHeight="1">
      <c r="B45" s="21">
        <f>IF(C45="","MAT-"&amp;TEXT(COUNTA($C$5:C45),"000"))</f>
        <v/>
      </c>
      <c r="C45" s="12" t="n"/>
      <c r="D45" s="12" t="n"/>
      <c r="E45" s="12" t="n"/>
      <c r="F45" s="12" t="n"/>
      <c r="G45" s="12" t="n"/>
      <c r="H45" s="12" t="n"/>
      <c r="I45" s="12" t="n"/>
      <c r="J45" s="13" t="n"/>
    </row>
    <row r="46" ht="22" customHeight="1">
      <c r="B46" s="20">
        <f>IF(C46="","MAT-"&amp;TEXT(COUNTA($C$5:C46),"000"))</f>
        <v/>
      </c>
      <c r="C46" s="16" t="n"/>
      <c r="D46" s="16" t="n"/>
      <c r="E46" s="16" t="n"/>
      <c r="F46" s="16" t="n"/>
      <c r="G46" s="16" t="n"/>
      <c r="H46" s="16" t="n"/>
      <c r="I46" s="16" t="n"/>
      <c r="J46" s="17" t="n"/>
    </row>
    <row r="47" ht="22" customHeight="1">
      <c r="B47" s="21">
        <f>IF(C47="","MAT-"&amp;TEXT(COUNTA($C$5:C47),"000"))</f>
        <v/>
      </c>
      <c r="C47" s="12" t="n"/>
      <c r="D47" s="12" t="n"/>
      <c r="E47" s="12" t="n"/>
      <c r="F47" s="12" t="n"/>
      <c r="G47" s="12" t="n"/>
      <c r="H47" s="12" t="n"/>
      <c r="I47" s="12" t="n"/>
      <c r="J47" s="13" t="n"/>
    </row>
    <row r="48" ht="22" customHeight="1">
      <c r="B48" s="20">
        <f>IF(C48="","MAT-"&amp;TEXT(COUNTA($C$5:C48),"000"))</f>
        <v/>
      </c>
      <c r="C48" s="16" t="n"/>
      <c r="D48" s="16" t="n"/>
      <c r="E48" s="16" t="n"/>
      <c r="F48" s="16" t="n"/>
      <c r="G48" s="16" t="n"/>
      <c r="H48" s="16" t="n"/>
      <c r="I48" s="16" t="n"/>
      <c r="J48" s="17" t="n"/>
    </row>
    <row r="49" ht="22" customHeight="1">
      <c r="B49" s="21">
        <f>IF(C49="","MAT-"&amp;TEXT(COUNTA($C$5:C49),"000"))</f>
        <v/>
      </c>
      <c r="C49" s="12" t="n"/>
      <c r="D49" s="12" t="n"/>
      <c r="E49" s="12" t="n"/>
      <c r="F49" s="12" t="n"/>
      <c r="G49" s="12" t="n"/>
      <c r="H49" s="12" t="n"/>
      <c r="I49" s="12" t="n"/>
      <c r="J49" s="13" t="n"/>
    </row>
    <row r="50" ht="22" customHeight="1">
      <c r="B50" s="20">
        <f>IF(C50="","MAT-"&amp;TEXT(COUNTA($C$5:C50),"000"))</f>
        <v/>
      </c>
      <c r="C50" s="16" t="n"/>
      <c r="D50" s="16" t="n"/>
      <c r="E50" s="16" t="n"/>
      <c r="F50" s="16" t="n"/>
      <c r="G50" s="16" t="n"/>
      <c r="H50" s="16" t="n"/>
      <c r="I50" s="16" t="n"/>
      <c r="J50" s="17" t="n"/>
    </row>
    <row r="51" ht="22" customHeight="1">
      <c r="B51" s="21">
        <f>IF(C51="","MAT-"&amp;TEXT(COUNTA($C$5:C51),"000"))</f>
        <v/>
      </c>
      <c r="C51" s="12" t="n"/>
      <c r="D51" s="12" t="n"/>
      <c r="E51" s="12" t="n"/>
      <c r="F51" s="12" t="n"/>
      <c r="G51" s="12" t="n"/>
      <c r="H51" s="12" t="n"/>
      <c r="I51" s="12" t="n"/>
      <c r="J51" s="13" t="n"/>
    </row>
    <row r="52" ht="22" customHeight="1">
      <c r="B52" s="20">
        <f>IF(C52="","MAT-"&amp;TEXT(COUNTA($C$5:C52),"000"))</f>
        <v/>
      </c>
      <c r="C52" s="16" t="n"/>
      <c r="D52" s="16" t="n"/>
      <c r="E52" s="16" t="n"/>
      <c r="F52" s="16" t="n"/>
      <c r="G52" s="16" t="n"/>
      <c r="H52" s="16" t="n"/>
      <c r="I52" s="16" t="n"/>
      <c r="J52" s="17" t="n"/>
    </row>
    <row r="53" ht="22" customHeight="1">
      <c r="B53" s="21">
        <f>IF(C53="","MAT-"&amp;TEXT(COUNTA($C$5:C53),"000"))</f>
        <v/>
      </c>
      <c r="C53" s="12" t="n"/>
      <c r="D53" s="12" t="n"/>
      <c r="E53" s="12" t="n"/>
      <c r="F53" s="12" t="n"/>
      <c r="G53" s="12" t="n"/>
      <c r="H53" s="12" t="n"/>
      <c r="I53" s="12" t="n"/>
      <c r="J53" s="13" t="n"/>
    </row>
    <row r="54" ht="22" customHeight="1">
      <c r="B54" s="20">
        <f>IF(C54="","MAT-"&amp;TEXT(COUNTA($C$5:C54),"000"))</f>
        <v/>
      </c>
      <c r="C54" s="16" t="n"/>
      <c r="D54" s="16" t="n"/>
      <c r="E54" s="16" t="n"/>
      <c r="F54" s="16" t="n"/>
      <c r="G54" s="16" t="n"/>
      <c r="H54" s="16" t="n"/>
      <c r="I54" s="16" t="n"/>
      <c r="J54" s="17" t="n"/>
    </row>
    <row r="55" ht="22" customHeight="1">
      <c r="B55" s="21">
        <f>IF(C55="","MAT-"&amp;TEXT(COUNTA($C$5:C55),"000"))</f>
        <v/>
      </c>
      <c r="C55" s="12" t="n"/>
      <c r="D55" s="12" t="n"/>
      <c r="E55" s="12" t="n"/>
      <c r="F55" s="12" t="n"/>
      <c r="G55" s="12" t="n"/>
      <c r="H55" s="12" t="n"/>
      <c r="I55" s="12" t="n"/>
      <c r="J55" s="13" t="n"/>
    </row>
    <row r="56" ht="22" customHeight="1">
      <c r="B56" s="20">
        <f>IF(C56="","MAT-"&amp;TEXT(COUNTA($C$5:C56),"000"))</f>
        <v/>
      </c>
      <c r="C56" s="16" t="n"/>
      <c r="D56" s="16" t="n"/>
      <c r="E56" s="16" t="n"/>
      <c r="F56" s="16" t="n"/>
      <c r="G56" s="16" t="n"/>
      <c r="H56" s="16" t="n"/>
      <c r="I56" s="16" t="n"/>
      <c r="J56" s="17" t="n"/>
    </row>
    <row r="57" ht="22" customHeight="1">
      <c r="B57" s="21">
        <f>IF(C57="","MAT-"&amp;TEXT(COUNTA($C$5:C57),"000"))</f>
        <v/>
      </c>
      <c r="C57" s="12" t="n"/>
      <c r="D57" s="12" t="n"/>
      <c r="E57" s="12" t="n"/>
      <c r="F57" s="12" t="n"/>
      <c r="G57" s="12" t="n"/>
      <c r="H57" s="12" t="n"/>
      <c r="I57" s="12" t="n"/>
      <c r="J57" s="13" t="n"/>
    </row>
    <row r="58" ht="22" customHeight="1">
      <c r="B58" s="20">
        <f>IF(C58="","MAT-"&amp;TEXT(COUNTA($C$5:C58),"000"))</f>
        <v/>
      </c>
      <c r="C58" s="16" t="n"/>
      <c r="D58" s="16" t="n"/>
      <c r="E58" s="16" t="n"/>
      <c r="F58" s="16" t="n"/>
      <c r="G58" s="16" t="n"/>
      <c r="H58" s="16" t="n"/>
      <c r="I58" s="16" t="n"/>
      <c r="J58" s="17" t="n"/>
    </row>
    <row r="59" ht="22" customHeight="1">
      <c r="B59" s="21">
        <f>IF(C59="","MAT-"&amp;TEXT(COUNTA($C$5:C59),"000"))</f>
        <v/>
      </c>
      <c r="C59" s="12" t="n"/>
      <c r="D59" s="12" t="n"/>
      <c r="E59" s="12" t="n"/>
      <c r="F59" s="12" t="n"/>
      <c r="G59" s="12" t="n"/>
      <c r="H59" s="12" t="n"/>
      <c r="I59" s="12" t="n"/>
      <c r="J59" s="13" t="n"/>
    </row>
    <row r="60" ht="22" customHeight="1">
      <c r="B60" s="20">
        <f>IF(C60="","MAT-"&amp;TEXT(COUNTA($C$5:C60),"000"))</f>
        <v/>
      </c>
      <c r="C60" s="16" t="n"/>
      <c r="D60" s="16" t="n"/>
      <c r="E60" s="16" t="n"/>
      <c r="F60" s="16" t="n"/>
      <c r="G60" s="16" t="n"/>
      <c r="H60" s="16" t="n"/>
      <c r="I60" s="16" t="n"/>
      <c r="J60" s="17" t="n"/>
    </row>
    <row r="61" ht="22" customHeight="1">
      <c r="B61" s="21">
        <f>IF(C61="","MAT-"&amp;TEXT(COUNTA($C$5:C61),"000"))</f>
        <v/>
      </c>
      <c r="C61" s="12" t="n"/>
      <c r="D61" s="12" t="n"/>
      <c r="E61" s="12" t="n"/>
      <c r="F61" s="12" t="n"/>
      <c r="G61" s="12" t="n"/>
      <c r="H61" s="12" t="n"/>
      <c r="I61" s="12" t="n"/>
      <c r="J61" s="13" t="n"/>
    </row>
    <row r="62" ht="22" customHeight="1">
      <c r="B62" s="20">
        <f>IF(C62="","MAT-"&amp;TEXT(COUNTA($C$5:C62),"000"))</f>
        <v/>
      </c>
      <c r="C62" s="16" t="n"/>
      <c r="D62" s="16" t="n"/>
      <c r="E62" s="16" t="n"/>
      <c r="F62" s="16" t="n"/>
      <c r="G62" s="16" t="n"/>
      <c r="H62" s="16" t="n"/>
      <c r="I62" s="16" t="n"/>
      <c r="J62" s="17" t="n"/>
    </row>
    <row r="63" ht="22" customHeight="1">
      <c r="B63" s="21">
        <f>IF(C63="","MAT-"&amp;TEXT(COUNTA($C$5:C63),"000"))</f>
        <v/>
      </c>
      <c r="C63" s="12" t="n"/>
      <c r="D63" s="12" t="n"/>
      <c r="E63" s="12" t="n"/>
      <c r="F63" s="12" t="n"/>
      <c r="G63" s="12" t="n"/>
      <c r="H63" s="12" t="n"/>
      <c r="I63" s="12" t="n"/>
      <c r="J63" s="13" t="n"/>
    </row>
    <row r="64" ht="22" customHeight="1">
      <c r="B64" s="20">
        <f>IF(C64="","MAT-"&amp;TEXT(COUNTA($C$5:C64),"000"))</f>
        <v/>
      </c>
      <c r="C64" s="16" t="n"/>
      <c r="D64" s="16" t="n"/>
      <c r="E64" s="16" t="n"/>
      <c r="F64" s="16" t="n"/>
      <c r="G64" s="16" t="n"/>
      <c r="H64" s="16" t="n"/>
      <c r="I64" s="16" t="n"/>
      <c r="J64" s="17" t="n"/>
    </row>
    <row r="65" ht="22" customHeight="1">
      <c r="B65" s="21">
        <f>IF(C65="","MAT-"&amp;TEXT(COUNTA($C$5:C65),"000"))</f>
        <v/>
      </c>
      <c r="C65" s="12" t="n"/>
      <c r="D65" s="12" t="n"/>
      <c r="E65" s="12" t="n"/>
      <c r="F65" s="12" t="n"/>
      <c r="G65" s="12" t="n"/>
      <c r="H65" s="12" t="n"/>
      <c r="I65" s="12" t="n"/>
      <c r="J65" s="13" t="n"/>
    </row>
    <row r="66" ht="22" customHeight="1">
      <c r="B66" s="20">
        <f>IF(C66="","MAT-"&amp;TEXT(COUNTA($C$5:C66),"000"))</f>
        <v/>
      </c>
      <c r="C66" s="16" t="n"/>
      <c r="D66" s="16" t="n"/>
      <c r="E66" s="16" t="n"/>
      <c r="F66" s="16" t="n"/>
      <c r="G66" s="16" t="n"/>
      <c r="H66" s="16" t="n"/>
      <c r="I66" s="16" t="n"/>
      <c r="J66" s="17" t="n"/>
    </row>
    <row r="67" ht="22" customHeight="1">
      <c r="B67" s="21">
        <f>IF(C67="","MAT-"&amp;TEXT(COUNTA($C$5:C67),"000"))</f>
        <v/>
      </c>
      <c r="C67" s="12" t="n"/>
      <c r="D67" s="12" t="n"/>
      <c r="E67" s="12" t="n"/>
      <c r="F67" s="12" t="n"/>
      <c r="G67" s="12" t="n"/>
      <c r="H67" s="12" t="n"/>
      <c r="I67" s="12" t="n"/>
      <c r="J67" s="13" t="n"/>
    </row>
    <row r="68" ht="22" customHeight="1">
      <c r="B68" s="20">
        <f>IF(C68="","MAT-"&amp;TEXT(COUNTA($C$5:C68),"000"))</f>
        <v/>
      </c>
      <c r="C68" s="16" t="n"/>
      <c r="D68" s="16" t="n"/>
      <c r="E68" s="16" t="n"/>
      <c r="F68" s="16" t="n"/>
      <c r="G68" s="16" t="n"/>
      <c r="H68" s="16" t="n"/>
      <c r="I68" s="16" t="n"/>
      <c r="J68" s="17" t="n"/>
    </row>
    <row r="69" ht="22" customHeight="1">
      <c r="B69" s="21">
        <f>IF(C69="","MAT-"&amp;TEXT(COUNTA($C$5:C69),"000"))</f>
        <v/>
      </c>
      <c r="C69" s="12" t="n"/>
      <c r="D69" s="12" t="n"/>
      <c r="E69" s="12" t="n"/>
      <c r="F69" s="12" t="n"/>
      <c r="G69" s="12" t="n"/>
      <c r="H69" s="12" t="n"/>
      <c r="I69" s="12" t="n"/>
      <c r="J69" s="13" t="n"/>
    </row>
    <row r="70" ht="22" customHeight="1">
      <c r="B70" s="20">
        <f>IF(C70="","MAT-"&amp;TEXT(COUNTA($C$5:C70),"000"))</f>
        <v/>
      </c>
      <c r="C70" s="16" t="n"/>
      <c r="D70" s="16" t="n"/>
      <c r="E70" s="16" t="n"/>
      <c r="F70" s="16" t="n"/>
      <c r="G70" s="16" t="n"/>
      <c r="H70" s="16" t="n"/>
      <c r="I70" s="16" t="n"/>
      <c r="J70" s="17" t="n"/>
    </row>
    <row r="71" ht="22" customHeight="1">
      <c r="B71" s="21">
        <f>IF(C71="","MAT-"&amp;TEXT(COUNTA($C$5:C71),"000"))</f>
        <v/>
      </c>
      <c r="C71" s="12" t="n"/>
      <c r="D71" s="12" t="n"/>
      <c r="E71" s="12" t="n"/>
      <c r="F71" s="12" t="n"/>
      <c r="G71" s="12" t="n"/>
      <c r="H71" s="12" t="n"/>
      <c r="I71" s="12" t="n"/>
      <c r="J71" s="13" t="n"/>
    </row>
    <row r="72" ht="22" customHeight="1">
      <c r="B72" s="20">
        <f>IF(C72="","MAT-"&amp;TEXT(COUNTA($C$5:C72),"000"))</f>
        <v/>
      </c>
      <c r="C72" s="16" t="n"/>
      <c r="D72" s="16" t="n"/>
      <c r="E72" s="16" t="n"/>
      <c r="F72" s="16" t="n"/>
      <c r="G72" s="16" t="n"/>
      <c r="H72" s="16" t="n"/>
      <c r="I72" s="16" t="n"/>
      <c r="J72" s="17" t="n"/>
    </row>
    <row r="73" ht="22" customHeight="1">
      <c r="B73" s="21">
        <f>IF(C73="","MAT-"&amp;TEXT(COUNTA($C$5:C73),"000"))</f>
        <v/>
      </c>
      <c r="C73" s="12" t="n"/>
      <c r="D73" s="12" t="n"/>
      <c r="E73" s="12" t="n"/>
      <c r="F73" s="12" t="n"/>
      <c r="G73" s="12" t="n"/>
      <c r="H73" s="12" t="n"/>
      <c r="I73" s="12" t="n"/>
      <c r="J73" s="13" t="n"/>
    </row>
    <row r="74" ht="22" customHeight="1">
      <c r="B74" s="20">
        <f>IF(C74="","MAT-"&amp;TEXT(COUNTA($C$5:C74),"000"))</f>
        <v/>
      </c>
      <c r="C74" s="16" t="n"/>
      <c r="D74" s="16" t="n"/>
      <c r="E74" s="16" t="n"/>
      <c r="F74" s="16" t="n"/>
      <c r="G74" s="16" t="n"/>
      <c r="H74" s="16" t="n"/>
      <c r="I74" s="16" t="n"/>
      <c r="J74" s="17" t="n"/>
    </row>
    <row r="75" ht="22" customHeight="1">
      <c r="B75" s="21">
        <f>IF(C75="","MAT-"&amp;TEXT(COUNTA($C$5:C75),"000"))</f>
        <v/>
      </c>
      <c r="C75" s="12" t="n"/>
      <c r="D75" s="12" t="n"/>
      <c r="E75" s="12" t="n"/>
      <c r="F75" s="12" t="n"/>
      <c r="G75" s="12" t="n"/>
      <c r="H75" s="12" t="n"/>
      <c r="I75" s="12" t="n"/>
      <c r="J75" s="13" t="n"/>
    </row>
    <row r="76" ht="22" customHeight="1">
      <c r="B76" s="20">
        <f>IF(C76="","MAT-"&amp;TEXT(COUNTA($C$5:C76),"000"))</f>
        <v/>
      </c>
      <c r="C76" s="16" t="n"/>
      <c r="D76" s="16" t="n"/>
      <c r="E76" s="16" t="n"/>
      <c r="F76" s="16" t="n"/>
      <c r="G76" s="16" t="n"/>
      <c r="H76" s="16" t="n"/>
      <c r="I76" s="16" t="n"/>
      <c r="J76" s="17" t="n"/>
    </row>
    <row r="77" ht="22" customHeight="1">
      <c r="B77" s="21">
        <f>IF(C77="","MAT-"&amp;TEXT(COUNTA($C$5:C77),"000"))</f>
        <v/>
      </c>
      <c r="C77" s="12" t="n"/>
      <c r="D77" s="12" t="n"/>
      <c r="E77" s="12" t="n"/>
      <c r="F77" s="12" t="n"/>
      <c r="G77" s="12" t="n"/>
      <c r="H77" s="12" t="n"/>
      <c r="I77" s="12" t="n"/>
      <c r="J77" s="13" t="n"/>
    </row>
    <row r="78" ht="22" customHeight="1">
      <c r="B78" s="20">
        <f>IF(C78="","MAT-"&amp;TEXT(COUNTA($C$5:C78),"000"))</f>
        <v/>
      </c>
      <c r="C78" s="16" t="n"/>
      <c r="D78" s="16" t="n"/>
      <c r="E78" s="16" t="n"/>
      <c r="F78" s="16" t="n"/>
      <c r="G78" s="16" t="n"/>
      <c r="H78" s="16" t="n"/>
      <c r="I78" s="16" t="n"/>
      <c r="J78" s="17" t="n"/>
    </row>
    <row r="79" ht="22" customHeight="1">
      <c r="B79" s="21">
        <f>IF(C79="","MAT-"&amp;TEXT(COUNTA($C$5:C79),"000"))</f>
        <v/>
      </c>
      <c r="C79" s="12" t="n"/>
      <c r="D79" s="12" t="n"/>
      <c r="E79" s="12" t="n"/>
      <c r="F79" s="12" t="n"/>
      <c r="G79" s="12" t="n"/>
      <c r="H79" s="12" t="n"/>
      <c r="I79" s="12" t="n"/>
      <c r="J79" s="13" t="n"/>
    </row>
    <row r="80" ht="22" customHeight="1">
      <c r="B80" s="20">
        <f>IF(C80="","MAT-"&amp;TEXT(COUNTA($C$5:C80),"000"))</f>
        <v/>
      </c>
      <c r="C80" s="16" t="n"/>
      <c r="D80" s="16" t="n"/>
      <c r="E80" s="16" t="n"/>
      <c r="F80" s="16" t="n"/>
      <c r="G80" s="16" t="n"/>
      <c r="H80" s="16" t="n"/>
      <c r="I80" s="16" t="n"/>
      <c r="J80" s="17" t="n"/>
    </row>
    <row r="81" ht="22" customHeight="1">
      <c r="B81" s="21">
        <f>IF(C81="","MAT-"&amp;TEXT(COUNTA($C$5:C81),"000"))</f>
        <v/>
      </c>
      <c r="C81" s="12" t="n"/>
      <c r="D81" s="12" t="n"/>
      <c r="E81" s="12" t="n"/>
      <c r="F81" s="12" t="n"/>
      <c r="G81" s="12" t="n"/>
      <c r="H81" s="12" t="n"/>
      <c r="I81" s="12" t="n"/>
      <c r="J81" s="13" t="n"/>
    </row>
    <row r="82" ht="22" customHeight="1">
      <c r="B82" s="20">
        <f>IF(C82="","MAT-"&amp;TEXT(COUNTA($C$5:C82),"000"))</f>
        <v/>
      </c>
      <c r="C82" s="16" t="n"/>
      <c r="D82" s="16" t="n"/>
      <c r="E82" s="16" t="n"/>
      <c r="F82" s="16" t="n"/>
      <c r="G82" s="16" t="n"/>
      <c r="H82" s="16" t="n"/>
      <c r="I82" s="16" t="n"/>
      <c r="J82" s="17" t="n"/>
    </row>
    <row r="83" ht="22" customHeight="1">
      <c r="B83" s="21">
        <f>IF(C83="","MAT-"&amp;TEXT(COUNTA($C$5:C83),"000"))</f>
        <v/>
      </c>
      <c r="C83" s="12" t="n"/>
      <c r="D83" s="12" t="n"/>
      <c r="E83" s="12" t="n"/>
      <c r="F83" s="12" t="n"/>
      <c r="G83" s="12" t="n"/>
      <c r="H83" s="12" t="n"/>
      <c r="I83" s="12" t="n"/>
      <c r="J83" s="13" t="n"/>
    </row>
    <row r="84" ht="22" customHeight="1">
      <c r="B84" s="20">
        <f>IF(C84="","MAT-"&amp;TEXT(COUNTA($C$5:C84),"000"))</f>
        <v/>
      </c>
      <c r="C84" s="16" t="n"/>
      <c r="D84" s="16" t="n"/>
      <c r="E84" s="16" t="n"/>
      <c r="F84" s="16" t="n"/>
      <c r="G84" s="16" t="n"/>
      <c r="H84" s="16" t="n"/>
      <c r="I84" s="16" t="n"/>
      <c r="J84" s="17" t="n"/>
    </row>
    <row r="85" ht="22" customHeight="1">
      <c r="B85" s="21">
        <f>IF(C85="","MAT-"&amp;TEXT(COUNTA($C$5:C85),"000"))</f>
        <v/>
      </c>
      <c r="C85" s="12" t="n"/>
      <c r="D85" s="12" t="n"/>
      <c r="E85" s="12" t="n"/>
      <c r="F85" s="12" t="n"/>
      <c r="G85" s="12" t="n"/>
      <c r="H85" s="12" t="n"/>
      <c r="I85" s="12" t="n"/>
      <c r="J85" s="13" t="n"/>
    </row>
    <row r="86" ht="22" customHeight="1">
      <c r="B86" s="20">
        <f>IF(C86="","MAT-"&amp;TEXT(COUNTA($C$5:C86),"000"))</f>
        <v/>
      </c>
      <c r="C86" s="16" t="n"/>
      <c r="D86" s="16" t="n"/>
      <c r="E86" s="16" t="n"/>
      <c r="F86" s="16" t="n"/>
      <c r="G86" s="16" t="n"/>
      <c r="H86" s="16" t="n"/>
      <c r="I86" s="16" t="n"/>
      <c r="J86" s="17" t="n"/>
    </row>
    <row r="87" ht="22" customHeight="1">
      <c r="B87" s="21">
        <f>IF(C87="","MAT-"&amp;TEXT(COUNTA($C$5:C87),"000"))</f>
        <v/>
      </c>
      <c r="C87" s="12" t="n"/>
      <c r="D87" s="12" t="n"/>
      <c r="E87" s="12" t="n"/>
      <c r="F87" s="12" t="n"/>
      <c r="G87" s="12" t="n"/>
      <c r="H87" s="12" t="n"/>
      <c r="I87" s="12" t="n"/>
      <c r="J87" s="13" t="n"/>
    </row>
    <row r="88" ht="22" customHeight="1">
      <c r="B88" s="20">
        <f>IF(C88="","MAT-"&amp;TEXT(COUNTA($C$5:C88),"000"))</f>
        <v/>
      </c>
      <c r="C88" s="16" t="n"/>
      <c r="D88" s="16" t="n"/>
      <c r="E88" s="16" t="n"/>
      <c r="F88" s="16" t="n"/>
      <c r="G88" s="16" t="n"/>
      <c r="H88" s="16" t="n"/>
      <c r="I88" s="16" t="n"/>
      <c r="J88" s="17" t="n"/>
    </row>
    <row r="89" ht="22" customHeight="1">
      <c r="B89" s="21">
        <f>IF(C89="","MAT-"&amp;TEXT(COUNTA($C$5:C89),"000"))</f>
        <v/>
      </c>
      <c r="C89" s="12" t="n"/>
      <c r="D89" s="12" t="n"/>
      <c r="E89" s="12" t="n"/>
      <c r="F89" s="12" t="n"/>
      <c r="G89" s="12" t="n"/>
      <c r="H89" s="12" t="n"/>
      <c r="I89" s="12" t="n"/>
      <c r="J89" s="13" t="n"/>
    </row>
    <row r="90" ht="22" customHeight="1">
      <c r="B90" s="20">
        <f>IF(C90="","MAT-"&amp;TEXT(COUNTA($C$5:C90),"000"))</f>
        <v/>
      </c>
      <c r="C90" s="16" t="n"/>
      <c r="D90" s="16" t="n"/>
      <c r="E90" s="16" t="n"/>
      <c r="F90" s="16" t="n"/>
      <c r="G90" s="16" t="n"/>
      <c r="H90" s="16" t="n"/>
      <c r="I90" s="16" t="n"/>
      <c r="J90" s="17" t="n"/>
    </row>
    <row r="91" ht="22" customHeight="1">
      <c r="B91" s="21">
        <f>IF(C91="","MAT-"&amp;TEXT(COUNTA($C$5:C91),"000"))</f>
        <v/>
      </c>
      <c r="C91" s="12" t="n"/>
      <c r="D91" s="12" t="n"/>
      <c r="E91" s="12" t="n"/>
      <c r="F91" s="12" t="n"/>
      <c r="G91" s="12" t="n"/>
      <c r="H91" s="12" t="n"/>
      <c r="I91" s="12" t="n"/>
      <c r="J91" s="13" t="n"/>
    </row>
    <row r="92" ht="22" customHeight="1">
      <c r="B92" s="20">
        <f>IF(C92="","MAT-"&amp;TEXT(COUNTA($C$5:C92),"000"))</f>
        <v/>
      </c>
      <c r="C92" s="16" t="n"/>
      <c r="D92" s="16" t="n"/>
      <c r="E92" s="16" t="n"/>
      <c r="F92" s="16" t="n"/>
      <c r="G92" s="16" t="n"/>
      <c r="H92" s="16" t="n"/>
      <c r="I92" s="16" t="n"/>
      <c r="J92" s="17" t="n"/>
    </row>
    <row r="93" ht="22" customHeight="1">
      <c r="B93" s="21">
        <f>IF(C93="","MAT-"&amp;TEXT(COUNTA($C$5:C93),"000"))</f>
        <v/>
      </c>
      <c r="C93" s="12" t="n"/>
      <c r="D93" s="12" t="n"/>
      <c r="E93" s="12" t="n"/>
      <c r="F93" s="12" t="n"/>
      <c r="G93" s="12" t="n"/>
      <c r="H93" s="12" t="n"/>
      <c r="I93" s="12" t="n"/>
      <c r="J93" s="13" t="n"/>
    </row>
    <row r="94" ht="22" customHeight="1">
      <c r="B94" s="20">
        <f>IF(C94="","MAT-"&amp;TEXT(COUNTA($C$5:C94),"000"))</f>
        <v/>
      </c>
      <c r="C94" s="16" t="n"/>
      <c r="D94" s="16" t="n"/>
      <c r="E94" s="16" t="n"/>
      <c r="F94" s="16" t="n"/>
      <c r="G94" s="16" t="n"/>
      <c r="H94" s="16" t="n"/>
      <c r="I94" s="16" t="n"/>
      <c r="J94" s="17" t="n"/>
    </row>
    <row r="95" ht="22" customHeight="1">
      <c r="B95" s="21">
        <f>IF(C95="","MAT-"&amp;TEXT(COUNTA($C$5:C95),"000"))</f>
        <v/>
      </c>
      <c r="C95" s="12" t="n"/>
      <c r="D95" s="12" t="n"/>
      <c r="E95" s="12" t="n"/>
      <c r="F95" s="12" t="n"/>
      <c r="G95" s="12" t="n"/>
      <c r="H95" s="12" t="n"/>
      <c r="I95" s="12" t="n"/>
      <c r="J95" s="13" t="n"/>
    </row>
    <row r="96" ht="22" customHeight="1">
      <c r="B96" s="20">
        <f>IF(C96="","MAT-"&amp;TEXT(COUNTA($C$5:C96),"000"))</f>
        <v/>
      </c>
      <c r="C96" s="16" t="n"/>
      <c r="D96" s="16" t="n"/>
      <c r="E96" s="16" t="n"/>
      <c r="F96" s="16" t="n"/>
      <c r="G96" s="16" t="n"/>
      <c r="H96" s="16" t="n"/>
      <c r="I96" s="16" t="n"/>
      <c r="J96" s="17" t="n"/>
    </row>
    <row r="97" ht="22" customHeight="1">
      <c r="B97" s="21">
        <f>IF(C97="","MAT-"&amp;TEXT(COUNTA($C$5:C97),"000"))</f>
        <v/>
      </c>
      <c r="C97" s="12" t="n"/>
      <c r="D97" s="12" t="n"/>
      <c r="E97" s="12" t="n"/>
      <c r="F97" s="12" t="n"/>
      <c r="G97" s="12" t="n"/>
      <c r="H97" s="12" t="n"/>
      <c r="I97" s="12" t="n"/>
      <c r="J97" s="13" t="n"/>
    </row>
    <row r="98" ht="22" customHeight="1">
      <c r="B98" s="20">
        <f>IF(C98="","MAT-"&amp;TEXT(COUNTA($C$5:C98),"000"))</f>
        <v/>
      </c>
      <c r="C98" s="16" t="n"/>
      <c r="D98" s="16" t="n"/>
      <c r="E98" s="16" t="n"/>
      <c r="F98" s="16" t="n"/>
      <c r="G98" s="16" t="n"/>
      <c r="H98" s="16" t="n"/>
      <c r="I98" s="16" t="n"/>
      <c r="J98" s="17" t="n"/>
    </row>
    <row r="99" ht="22" customHeight="1">
      <c r="B99" s="21">
        <f>IF(C99="","MAT-"&amp;TEXT(COUNTA($C$5:C99),"000"))</f>
        <v/>
      </c>
      <c r="C99" s="12" t="n"/>
      <c r="D99" s="12" t="n"/>
      <c r="E99" s="12" t="n"/>
      <c r="F99" s="12" t="n"/>
      <c r="G99" s="12" t="n"/>
      <c r="H99" s="12" t="n"/>
      <c r="I99" s="12" t="n"/>
      <c r="J99" s="13" t="n"/>
    </row>
    <row r="100" ht="22" customHeight="1">
      <c r="B100" s="20">
        <f>IF(C100="","MAT-"&amp;TEXT(COUNTA($C$5:C100),"000"))</f>
        <v/>
      </c>
      <c r="C100" s="16" t="n"/>
      <c r="D100" s="16" t="n"/>
      <c r="E100" s="16" t="n"/>
      <c r="F100" s="16" t="n"/>
      <c r="G100" s="16" t="n"/>
      <c r="H100" s="16" t="n"/>
      <c r="I100" s="16" t="n"/>
      <c r="J100" s="17" t="n"/>
    </row>
    <row r="101" ht="22" customHeight="1">
      <c r="B101" s="21">
        <f>IF(C101="","MAT-"&amp;TEXT(COUNTA($C$5:C101),"000"))</f>
        <v/>
      </c>
      <c r="C101" s="12" t="n"/>
      <c r="D101" s="12" t="n"/>
      <c r="E101" s="12" t="n"/>
      <c r="F101" s="12" t="n"/>
      <c r="G101" s="12" t="n"/>
      <c r="H101" s="12" t="n"/>
      <c r="I101" s="12" t="n"/>
      <c r="J101" s="13" t="n"/>
    </row>
    <row r="102" ht="22" customHeight="1">
      <c r="B102" s="20">
        <f>IF(C102="","MAT-"&amp;TEXT(COUNTA($C$5:C102),"000"))</f>
        <v/>
      </c>
      <c r="C102" s="16" t="n"/>
      <c r="D102" s="16" t="n"/>
      <c r="E102" s="16" t="n"/>
      <c r="F102" s="16" t="n"/>
      <c r="G102" s="16" t="n"/>
      <c r="H102" s="16" t="n"/>
      <c r="I102" s="16" t="n"/>
      <c r="J102" s="17" t="n"/>
    </row>
    <row r="103" ht="22" customHeight="1">
      <c r="B103" s="21">
        <f>IF(C103="","MAT-"&amp;TEXT(COUNTA($C$5:C103),"000"))</f>
        <v/>
      </c>
      <c r="C103" s="12" t="n"/>
      <c r="D103" s="12" t="n"/>
      <c r="E103" s="12" t="n"/>
      <c r="F103" s="12" t="n"/>
      <c r="G103" s="12" t="n"/>
      <c r="H103" s="12" t="n"/>
      <c r="I103" s="12" t="n"/>
      <c r="J103" s="13" t="n"/>
    </row>
    <row r="104" ht="22" customHeight="1">
      <c r="B104" s="20">
        <f>IF(C104="","MAT-"&amp;TEXT(COUNTA($C$5:C104),"000"))</f>
        <v/>
      </c>
      <c r="C104" s="16" t="n"/>
      <c r="D104" s="16" t="n"/>
      <c r="E104" s="16" t="n"/>
      <c r="F104" s="16" t="n"/>
      <c r="G104" s="16" t="n"/>
      <c r="H104" s="16" t="n"/>
      <c r="I104" s="16" t="n"/>
      <c r="J104" s="17" t="n"/>
    </row>
    <row r="105" ht="22" customHeight="1">
      <c r="B105" s="21">
        <f>IF(C105="","MAT-"&amp;TEXT(COUNTA($C$5:C105),"000"))</f>
        <v/>
      </c>
      <c r="C105" s="12" t="n"/>
      <c r="D105" s="12" t="n"/>
      <c r="E105" s="12" t="n"/>
      <c r="F105" s="12" t="n"/>
      <c r="G105" s="12" t="n"/>
      <c r="H105" s="12" t="n"/>
      <c r="I105" s="12" t="n"/>
      <c r="J105" s="13" t="n"/>
    </row>
    <row r="106" ht="22" customHeight="1">
      <c r="B106" s="20">
        <f>IF(C106="","MAT-"&amp;TEXT(COUNTA($C$5:C106),"000"))</f>
        <v/>
      </c>
      <c r="C106" s="16" t="n"/>
      <c r="D106" s="16" t="n"/>
      <c r="E106" s="16" t="n"/>
      <c r="F106" s="16" t="n"/>
      <c r="G106" s="16" t="n"/>
      <c r="H106" s="16" t="n"/>
      <c r="I106" s="16" t="n"/>
      <c r="J106" s="17" t="n"/>
    </row>
    <row r="107" ht="22" customHeight="1">
      <c r="B107" s="21">
        <f>IF(C107="","MAT-"&amp;TEXT(COUNTA($C$5:C107),"000"))</f>
        <v/>
      </c>
      <c r="C107" s="12" t="n"/>
      <c r="D107" s="12" t="n"/>
      <c r="E107" s="12" t="n"/>
      <c r="F107" s="12" t="n"/>
      <c r="G107" s="12" t="n"/>
      <c r="H107" s="12" t="n"/>
      <c r="I107" s="12" t="n"/>
      <c r="J107" s="13" t="n"/>
    </row>
    <row r="108" ht="22" customHeight="1">
      <c r="B108" s="20">
        <f>IF(C108="","MAT-"&amp;TEXT(COUNTA($C$5:C108),"000"))</f>
        <v/>
      </c>
      <c r="C108" s="16" t="n"/>
      <c r="D108" s="16" t="n"/>
      <c r="E108" s="16" t="n"/>
      <c r="F108" s="16" t="n"/>
      <c r="G108" s="16" t="n"/>
      <c r="H108" s="16" t="n"/>
      <c r="I108" s="16" t="n"/>
      <c r="J108" s="17" t="n"/>
    </row>
    <row r="109" ht="22" customHeight="1">
      <c r="B109" s="21">
        <f>IF(C109="","MAT-"&amp;TEXT(COUNTA($C$5:C109),"000"))</f>
        <v/>
      </c>
      <c r="C109" s="12" t="n"/>
      <c r="D109" s="12" t="n"/>
      <c r="E109" s="12" t="n"/>
      <c r="F109" s="12" t="n"/>
      <c r="G109" s="12" t="n"/>
      <c r="H109" s="12" t="n"/>
      <c r="I109" s="12" t="n"/>
      <c r="J109" s="13" t="n"/>
    </row>
    <row r="111" ht="26" customHeight="1">
      <c r="B111" s="22" t="inlineStr">
        <is>
          <t>TOTAL</t>
        </is>
      </c>
      <c r="C111" s="23" t="n"/>
      <c r="D111" s="23" t="n"/>
      <c r="E111" s="23" t="n"/>
      <c r="F111" s="23" t="n"/>
      <c r="G111" s="23" t="n"/>
      <c r="H111" s="23" t="n"/>
      <c r="I111" s="23" t="n"/>
      <c r="J111" s="24">
        <f>SUM(J5:J104)</f>
        <v/>
      </c>
    </row>
    <row r="113">
      <c r="B113" s="6" t="inlineStr">
        <is>
          <t>INDICATEURS (mis a jour automatiquement)</t>
        </is>
      </c>
    </row>
    <row r="114">
      <c r="B114" s="3" t="inlineStr">
        <is>
          <t>Employes evalues</t>
        </is>
      </c>
      <c r="D114" s="3" t="inlineStr">
        <is>
          <t>Polyvalence moyenne</t>
        </is>
      </c>
      <c r="F114" s="3" t="inlineStr">
        <is>
          <t>Score max</t>
        </is>
      </c>
      <c r="H114" s="3" t="inlineStr">
        <is>
          <t>Score min</t>
        </is>
      </c>
    </row>
    <row r="115">
      <c r="B115" s="4">
        <f>COUNTIF(B5:B104,"&lt;&gt;")</f>
        <v/>
      </c>
      <c r="D115" s="4">
        <f>IFERROR(AVERAGE(J5:J104),0)</f>
        <v/>
      </c>
      <c r="F115" s="4">
        <f>IFERROR(MAX(J5:J104),0)</f>
        <v/>
      </c>
      <c r="H115" s="4">
        <f>IFERROR(MIN(J5:J104),0)</f>
        <v/>
      </c>
    </row>
  </sheetData>
  <mergeCells count="3">
    <mergeCell ref="B113:J113"/>
    <mergeCell ref="B3:J3"/>
    <mergeCell ref="B2:J2"/>
  </mergeCells>
  <conditionalFormatting sqref="B10:B109">
    <cfRule type="expression" priority="1" dxfId="3">
      <formula>AND($C10="",$C9&lt;&gt;"")</formula>
    </cfRule>
  </conditionalFormatting>
  <conditionalFormatting sqref="C10:C109">
    <cfRule type="expression" priority="2" dxfId="3">
      <formula>AND($C10="",$C9&lt;&gt;"")</formula>
    </cfRule>
  </conditionalFormatting>
  <conditionalFormatting sqref="D10:D109">
    <cfRule type="expression" priority="3" dxfId="3">
      <formula>AND($C10="",$C9&lt;&gt;"")</formula>
    </cfRule>
  </conditionalFormatting>
  <conditionalFormatting sqref="E10:E109">
    <cfRule type="expression" priority="4" dxfId="3">
      <formula>AND($C10="",$C9&lt;&gt;"")</formula>
    </cfRule>
  </conditionalFormatting>
  <conditionalFormatting sqref="F10:F109">
    <cfRule type="expression" priority="5" dxfId="3">
      <formula>AND($C10="",$C9&lt;&gt;"")</formula>
    </cfRule>
  </conditionalFormatting>
  <conditionalFormatting sqref="G10:G109">
    <cfRule type="expression" priority="6" dxfId="3">
      <formula>AND($C10="",$C9&lt;&gt;"")</formula>
    </cfRule>
  </conditionalFormatting>
  <conditionalFormatting sqref="H10:H109">
    <cfRule type="expression" priority="7" dxfId="3">
      <formula>AND($C10="",$C9&lt;&gt;"")</formula>
    </cfRule>
  </conditionalFormatting>
  <conditionalFormatting sqref="I10:I109">
    <cfRule type="expression" priority="8" dxfId="3">
      <formula>AND($C10="",$C9&lt;&gt;"")</formula>
    </cfRule>
  </conditionalFormatting>
  <conditionalFormatting sqref="J10:J109">
    <cfRule type="expression" priority="9" dxfId="3">
      <formula>AND($C10="",$C9&lt;&gt;"")</formula>
    </cfRule>
  </conditionalFormatting>
  <dataValidations count="2"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9" showDropDown="0" showInputMessage="0" showErrorMessage="0" allowBlank="1" errorTitle="Erreur" error="Valeur invalide" promptTitle="Liste" prompt="Choisir dans la liste" type="list">
      <formula1>'_Lists'!$C$2:$C$25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117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0" customWidth="1" min="4" max="4"/>
    <col width="12" customWidth="1" min="5" max="5"/>
    <col width="20" customWidth="1" min="6" max="6"/>
    <col width="20" customWidth="1" min="7" max="7"/>
    <col width="18" customWidth="1" min="8" max="8"/>
    <col width="20" customWidth="1" min="9" max="9"/>
    <col width="22" customWidth="1" min="10" max="10"/>
  </cols>
  <sheetData>
    <row r="1" ht="15" customHeight="1"/>
    <row r="2" ht="32" customHeight="1">
      <c r="B2" s="1" t="inlineStr">
        <is>
          <t>BILAN DE COMPETENCES PAR DEPARTEMENT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Departement</t>
        </is>
      </c>
      <c r="D4" s="11" t="inlineStr">
        <is>
          <t>Annee</t>
        </is>
      </c>
      <c r="E4" s="11" t="inlineStr">
        <is>
          <t>Effectif</t>
        </is>
      </c>
      <c r="F4" s="11" t="inlineStr">
        <is>
          <t>Nb Formations Suivies</t>
        </is>
      </c>
      <c r="G4" s="11" t="inlineStr">
        <is>
          <t>Heures Formation (h)</t>
        </is>
      </c>
      <c r="H4" s="11" t="inlineStr">
        <is>
          <t>Cout Total (FCFA)</t>
        </is>
      </c>
      <c r="I4" s="11" t="inlineStr">
        <is>
          <t>Nb Comp. Developpees</t>
        </is>
      </c>
      <c r="J4" s="11" t="inlineStr">
        <is>
          <t>Score Polyvalence Moy.</t>
        </is>
      </c>
    </row>
    <row r="5" ht="22" customHeight="1">
      <c r="B5" s="12" t="inlineStr">
        <is>
          <t>BCD-001</t>
        </is>
      </c>
      <c r="C5" s="12" t="inlineStr">
        <is>
          <t>Cuisine &amp; Restauration</t>
        </is>
      </c>
      <c r="D5" s="12" t="inlineStr">
        <is>
          <t>2025</t>
        </is>
      </c>
      <c r="E5" s="13">
        <f>COUNTIF('13-Matrice Competences'!E:E,C5)</f>
        <v/>
      </c>
      <c r="F5" s="13">
        <f>COUNTIF('4-Inscriptions Formation'!E:E,C5)</f>
        <v/>
      </c>
      <c r="G5" s="13" t="n">
        <v>60</v>
      </c>
      <c r="H5" s="15">
        <f>IFERROR(SUMIF('4-Inscriptions Formation'!E:E,C5,'4-Inscriptions Formation'!I:I),0)</f>
        <v/>
      </c>
      <c r="I5" s="13" t="n">
        <v>8</v>
      </c>
      <c r="J5" s="33">
        <f>IFERROR(ROUND(AVERAGEIF('13-Matrice Competences'!E:E,C5,'13-Matrice Competences'!J:J),1),0)</f>
        <v/>
      </c>
    </row>
    <row r="6" ht="22" customHeight="1">
      <c r="B6" s="16" t="inlineStr">
        <is>
          <t>BCD-002</t>
        </is>
      </c>
      <c r="C6" s="16" t="inlineStr">
        <is>
          <t>Réception &amp; Front Office</t>
        </is>
      </c>
      <c r="D6" s="16" t="inlineStr">
        <is>
          <t>2025</t>
        </is>
      </c>
      <c r="E6" s="17">
        <f>COUNTIF('13-Matrice Competences'!E:E,C6)</f>
        <v/>
      </c>
      <c r="F6" s="17">
        <f>COUNTIF('4-Inscriptions Formation'!E:E,C6)</f>
        <v/>
      </c>
      <c r="G6" s="17" t="n">
        <v>42</v>
      </c>
      <c r="H6" s="19">
        <f>IFERROR(SUMIF('4-Inscriptions Formation'!E:E,C6,'4-Inscriptions Formation'!I:I),0)</f>
        <v/>
      </c>
      <c r="I6" s="17" t="n">
        <v>6</v>
      </c>
      <c r="J6" s="34">
        <f>IFERROR(ROUND(AVERAGEIF('13-Matrice Competences'!E:E,C6,'13-Matrice Competences'!J:J),1),0)</f>
        <v/>
      </c>
    </row>
    <row r="7" ht="22" customHeight="1">
      <c r="B7" s="12" t="inlineStr">
        <is>
          <t>BCD-003</t>
        </is>
      </c>
      <c r="C7" s="12" t="inlineStr">
        <is>
          <t>Service Client</t>
        </is>
      </c>
      <c r="D7" s="12" t="inlineStr">
        <is>
          <t>2025</t>
        </is>
      </c>
      <c r="E7" s="13">
        <f>COUNTIF('13-Matrice Competences'!E:E,C7)</f>
        <v/>
      </c>
      <c r="F7" s="13">
        <f>COUNTIF('4-Inscriptions Formation'!E:E,C7)</f>
        <v/>
      </c>
      <c r="G7" s="13" t="n">
        <v>30</v>
      </c>
      <c r="H7" s="15">
        <f>IFERROR(SUMIF('4-Inscriptions Formation'!E:E,C7,'4-Inscriptions Formation'!I:I),0)</f>
        <v/>
      </c>
      <c r="I7" s="13" t="n">
        <v>5</v>
      </c>
      <c r="J7" s="33">
        <f>IFERROR(ROUND(AVERAGEIF('13-Matrice Competences'!E:E,C7,'13-Matrice Competences'!J:J),1),0)</f>
        <v/>
      </c>
    </row>
    <row r="8" ht="22" customHeight="1">
      <c r="B8" s="16" t="inlineStr">
        <is>
          <t>BCD-004</t>
        </is>
      </c>
      <c r="C8" s="16" t="inlineStr">
        <is>
          <t>Finance &amp; Comptabilité</t>
        </is>
      </c>
      <c r="D8" s="16" t="inlineStr">
        <is>
          <t>2025</t>
        </is>
      </c>
      <c r="E8" s="17">
        <f>COUNTIF('13-Matrice Competences'!E:E,C8)</f>
        <v/>
      </c>
      <c r="F8" s="17">
        <f>COUNTIF('4-Inscriptions Formation'!E:E,C8)</f>
        <v/>
      </c>
      <c r="G8" s="17" t="n">
        <v>15</v>
      </c>
      <c r="H8" s="19">
        <f>IFERROR(SUMIF('4-Inscriptions Formation'!E:E,C8,'4-Inscriptions Formation'!I:I),0)</f>
        <v/>
      </c>
      <c r="I8" s="17" t="n">
        <v>3</v>
      </c>
      <c r="J8" s="34">
        <f>IFERROR(ROUND(AVERAGEIF('13-Matrice Competences'!E:E,C8,'13-Matrice Competences'!J:J),1),0)</f>
        <v/>
      </c>
    </row>
    <row r="9" ht="22" customHeight="1">
      <c r="B9" s="12" t="inlineStr">
        <is>
          <t>BCD-005</t>
        </is>
      </c>
      <c r="C9" s="12" t="inlineStr">
        <is>
          <t>Sécurité</t>
        </is>
      </c>
      <c r="D9" s="12" t="inlineStr">
        <is>
          <t>2025</t>
        </is>
      </c>
      <c r="E9" s="13">
        <f>COUNTIF('13-Matrice Competences'!E:E,C9)</f>
        <v/>
      </c>
      <c r="F9" s="13">
        <f>COUNTIF('4-Inscriptions Formation'!E:E,C9)</f>
        <v/>
      </c>
      <c r="G9" s="13" t="n">
        <v>20</v>
      </c>
      <c r="H9" s="15">
        <f>IFERROR(SUMIF('4-Inscriptions Formation'!E:E,C9,'4-Inscriptions Formation'!I:I),0)</f>
        <v/>
      </c>
      <c r="I9" s="13" t="n">
        <v>4</v>
      </c>
      <c r="J9" s="33">
        <f>IFERROR(ROUND(AVERAGEIF('13-Matrice Competences'!E:E,C9,'13-Matrice Competences'!J:J),1),0)</f>
        <v/>
      </c>
    </row>
    <row r="10" ht="22" customHeight="1">
      <c r="B10" s="16" t="inlineStr">
        <is>
          <t>BCD-006</t>
        </is>
      </c>
      <c r="C10" s="16" t="inlineStr">
        <is>
          <t>Maintenance</t>
        </is>
      </c>
      <c r="D10" s="16" t="inlineStr">
        <is>
          <t>2025</t>
        </is>
      </c>
      <c r="E10" s="17">
        <f>COUNTIF('13-Matrice Competences'!E:E,C10)</f>
        <v/>
      </c>
      <c r="F10" s="17">
        <f>COUNTIF('4-Inscriptions Formation'!E:E,C10)</f>
        <v/>
      </c>
      <c r="G10" s="17" t="n">
        <v>20</v>
      </c>
      <c r="H10" s="19">
        <f>IFERROR(SUMIF('4-Inscriptions Formation'!E:E,C10,'4-Inscriptions Formation'!I:I),0)</f>
        <v/>
      </c>
      <c r="I10" s="17" t="n">
        <v>4</v>
      </c>
      <c r="J10" s="34">
        <f>IFERROR(ROUND(AVERAGEIF('13-Matrice Competences'!E:E,C10,'13-Matrice Competences'!J:J),1),0)</f>
        <v/>
      </c>
    </row>
    <row r="11" ht="22" customHeight="1">
      <c r="B11" s="12" t="inlineStr">
        <is>
          <t>BCD-007</t>
        </is>
      </c>
      <c r="C11" s="12" t="inlineStr">
        <is>
          <t>Service Client</t>
        </is>
      </c>
      <c r="D11" s="12" t="inlineStr">
        <is>
          <t>2025</t>
        </is>
      </c>
      <c r="E11" s="13">
        <f>COUNTIF('13-Matrice Competences'!E:E,C11)</f>
        <v/>
      </c>
      <c r="F11" s="13">
        <f>COUNTIF('4-Inscriptions Formation'!E:E,C11)</f>
        <v/>
      </c>
      <c r="G11" s="13" t="n">
        <v>28</v>
      </c>
      <c r="H11" s="15">
        <f>IFERROR(SUMIF('4-Inscriptions Formation'!E:E,C11,'4-Inscriptions Formation'!I:I),0)</f>
        <v/>
      </c>
      <c r="I11" s="13" t="n">
        <v>5</v>
      </c>
      <c r="J11" s="33">
        <f>IFERROR(ROUND(AVERAGEIF('13-Matrice Competences'!E:E,C11,'13-Matrice Competences'!J:J),1),0)</f>
        <v/>
      </c>
    </row>
    <row r="12" ht="22" customHeight="1">
      <c r="B12" s="20">
        <f>IF(C12="","BCD-"&amp;TEXT(COUNTA($C$5:C12),"000"))</f>
        <v/>
      </c>
      <c r="C12" s="16" t="n"/>
      <c r="D12" s="16" t="n"/>
      <c r="E12" s="17" t="n"/>
      <c r="F12" s="17" t="n"/>
      <c r="G12" s="17" t="n"/>
      <c r="H12" s="19" t="n"/>
      <c r="I12" s="17" t="n"/>
      <c r="J12" s="34" t="n"/>
    </row>
    <row r="13" ht="22" customHeight="1">
      <c r="B13" s="21">
        <f>IF(C13="","BCD-"&amp;TEXT(COUNTA($C$5:C13),"000"))</f>
        <v/>
      </c>
      <c r="C13" s="12" t="n"/>
      <c r="D13" s="12" t="n"/>
      <c r="E13" s="13" t="n"/>
      <c r="F13" s="13" t="n"/>
      <c r="G13" s="13" t="n"/>
      <c r="H13" s="15" t="n"/>
      <c r="I13" s="13" t="n"/>
      <c r="J13" s="33" t="n"/>
    </row>
    <row r="14" ht="22" customHeight="1">
      <c r="B14" s="20">
        <f>IF(C14="","BCD-"&amp;TEXT(COUNTA($C$5:C14),"000"))</f>
        <v/>
      </c>
      <c r="C14" s="16" t="n"/>
      <c r="D14" s="16" t="n"/>
      <c r="E14" s="17" t="n"/>
      <c r="F14" s="17" t="n"/>
      <c r="G14" s="17" t="n"/>
      <c r="H14" s="19" t="n"/>
      <c r="I14" s="17" t="n"/>
      <c r="J14" s="34" t="n"/>
    </row>
    <row r="15" ht="22" customHeight="1">
      <c r="B15" s="21">
        <f>IF(C15="","BCD-"&amp;TEXT(COUNTA($C$5:C15),"000"))</f>
        <v/>
      </c>
      <c r="C15" s="12" t="n"/>
      <c r="D15" s="12" t="n"/>
      <c r="E15" s="13" t="n"/>
      <c r="F15" s="13" t="n"/>
      <c r="G15" s="13" t="n"/>
      <c r="H15" s="15" t="n"/>
      <c r="I15" s="13" t="n"/>
      <c r="J15" s="33" t="n"/>
    </row>
    <row r="16" ht="22" customHeight="1">
      <c r="B16" s="20">
        <f>IF(C16="","BCD-"&amp;TEXT(COUNTA($C$5:C16),"000"))</f>
        <v/>
      </c>
      <c r="C16" s="16" t="n"/>
      <c r="D16" s="16" t="n"/>
      <c r="E16" s="17" t="n"/>
      <c r="F16" s="17" t="n"/>
      <c r="G16" s="17" t="n"/>
      <c r="H16" s="19" t="n"/>
      <c r="I16" s="17" t="n"/>
      <c r="J16" s="34" t="n"/>
    </row>
    <row r="17" ht="22" customHeight="1">
      <c r="B17" s="21">
        <f>IF(C17="","BCD-"&amp;TEXT(COUNTA($C$5:C17),"000"))</f>
        <v/>
      </c>
      <c r="C17" s="12" t="n"/>
      <c r="D17" s="12" t="n"/>
      <c r="E17" s="13" t="n"/>
      <c r="F17" s="13" t="n"/>
      <c r="G17" s="13" t="n"/>
      <c r="H17" s="15" t="n"/>
      <c r="I17" s="13" t="n"/>
      <c r="J17" s="33" t="n"/>
    </row>
    <row r="18" ht="22" customHeight="1">
      <c r="B18" s="20">
        <f>IF(C18="","BCD-"&amp;TEXT(COUNTA($C$5:C18),"000"))</f>
        <v/>
      </c>
      <c r="C18" s="16" t="n"/>
      <c r="D18" s="16" t="n"/>
      <c r="E18" s="17" t="n"/>
      <c r="F18" s="17" t="n"/>
      <c r="G18" s="17" t="n"/>
      <c r="H18" s="19" t="n"/>
      <c r="I18" s="17" t="n"/>
      <c r="J18" s="34" t="n"/>
    </row>
    <row r="19" ht="22" customHeight="1">
      <c r="B19" s="21">
        <f>IF(C19="","BCD-"&amp;TEXT(COUNTA($C$5:C19),"000"))</f>
        <v/>
      </c>
      <c r="C19" s="12" t="n"/>
      <c r="D19" s="12" t="n"/>
      <c r="E19" s="13" t="n"/>
      <c r="F19" s="13" t="n"/>
      <c r="G19" s="13" t="n"/>
      <c r="H19" s="15" t="n"/>
      <c r="I19" s="13" t="n"/>
      <c r="J19" s="33" t="n"/>
    </row>
    <row r="20" ht="22" customHeight="1">
      <c r="B20" s="20">
        <f>IF(C20="","BCD-"&amp;TEXT(COUNTA($C$5:C20),"000"))</f>
        <v/>
      </c>
      <c r="C20" s="16" t="n"/>
      <c r="D20" s="16" t="n"/>
      <c r="E20" s="17" t="n"/>
      <c r="F20" s="17" t="n"/>
      <c r="G20" s="17" t="n"/>
      <c r="H20" s="19" t="n"/>
      <c r="I20" s="17" t="n"/>
      <c r="J20" s="34" t="n"/>
    </row>
    <row r="21" ht="22" customHeight="1">
      <c r="B21" s="21">
        <f>IF(C21="","BCD-"&amp;TEXT(COUNTA($C$5:C21),"000"))</f>
        <v/>
      </c>
      <c r="C21" s="12" t="n"/>
      <c r="D21" s="12" t="n"/>
      <c r="E21" s="13" t="n"/>
      <c r="F21" s="13" t="n"/>
      <c r="G21" s="13" t="n"/>
      <c r="H21" s="15" t="n"/>
      <c r="I21" s="13" t="n"/>
      <c r="J21" s="33" t="n"/>
    </row>
    <row r="22" ht="22" customHeight="1">
      <c r="B22" s="20">
        <f>IF(C22="","BCD-"&amp;TEXT(COUNTA($C$5:C22),"000"))</f>
        <v/>
      </c>
      <c r="C22" s="16" t="n"/>
      <c r="D22" s="16" t="n"/>
      <c r="E22" s="17" t="n"/>
      <c r="F22" s="17" t="n"/>
      <c r="G22" s="17" t="n"/>
      <c r="H22" s="19" t="n"/>
      <c r="I22" s="17" t="n"/>
      <c r="J22" s="34" t="n"/>
    </row>
    <row r="23" ht="22" customHeight="1">
      <c r="B23" s="21">
        <f>IF(C23="","BCD-"&amp;TEXT(COUNTA($C$5:C23),"000"))</f>
        <v/>
      </c>
      <c r="C23" s="12" t="n"/>
      <c r="D23" s="12" t="n"/>
      <c r="E23" s="13" t="n"/>
      <c r="F23" s="13" t="n"/>
      <c r="G23" s="13" t="n"/>
      <c r="H23" s="15" t="n"/>
      <c r="I23" s="13" t="n"/>
      <c r="J23" s="33" t="n"/>
    </row>
    <row r="24" ht="22" customHeight="1">
      <c r="B24" s="20">
        <f>IF(C24="","BCD-"&amp;TEXT(COUNTA($C$5:C24),"000"))</f>
        <v/>
      </c>
      <c r="C24" s="16" t="n"/>
      <c r="D24" s="16" t="n"/>
      <c r="E24" s="17" t="n"/>
      <c r="F24" s="17" t="n"/>
      <c r="G24" s="17" t="n"/>
      <c r="H24" s="19" t="n"/>
      <c r="I24" s="17" t="n"/>
      <c r="J24" s="34" t="n"/>
    </row>
    <row r="25" ht="22" customHeight="1">
      <c r="B25" s="21">
        <f>IF(C25="","BCD-"&amp;TEXT(COUNTA($C$5:C25),"000"))</f>
        <v/>
      </c>
      <c r="C25" s="12" t="n"/>
      <c r="D25" s="12" t="n"/>
      <c r="E25" s="13" t="n"/>
      <c r="F25" s="13" t="n"/>
      <c r="G25" s="13" t="n"/>
      <c r="H25" s="15" t="n"/>
      <c r="I25" s="13" t="n"/>
      <c r="J25" s="33" t="n"/>
    </row>
    <row r="26" ht="22" customHeight="1">
      <c r="B26" s="20">
        <f>IF(C26="","BCD-"&amp;TEXT(COUNTA($C$5:C26),"000"))</f>
        <v/>
      </c>
      <c r="C26" s="16" t="n"/>
      <c r="D26" s="16" t="n"/>
      <c r="E26" s="17" t="n"/>
      <c r="F26" s="17" t="n"/>
      <c r="G26" s="17" t="n"/>
      <c r="H26" s="19" t="n"/>
      <c r="I26" s="17" t="n"/>
      <c r="J26" s="34" t="n"/>
    </row>
    <row r="27" ht="22" customHeight="1">
      <c r="B27" s="21">
        <f>IF(C27="","BCD-"&amp;TEXT(COUNTA($C$5:C27),"000"))</f>
        <v/>
      </c>
      <c r="C27" s="12" t="n"/>
      <c r="D27" s="12" t="n"/>
      <c r="E27" s="13" t="n"/>
      <c r="F27" s="13" t="n"/>
      <c r="G27" s="13" t="n"/>
      <c r="H27" s="15" t="n"/>
      <c r="I27" s="13" t="n"/>
      <c r="J27" s="33" t="n"/>
    </row>
    <row r="28" ht="22" customHeight="1">
      <c r="B28" s="20">
        <f>IF(C28="","BCD-"&amp;TEXT(COUNTA($C$5:C28),"000"))</f>
        <v/>
      </c>
      <c r="C28" s="16" t="n"/>
      <c r="D28" s="16" t="n"/>
      <c r="E28" s="17" t="n"/>
      <c r="F28" s="17" t="n"/>
      <c r="G28" s="17" t="n"/>
      <c r="H28" s="19" t="n"/>
      <c r="I28" s="17" t="n"/>
      <c r="J28" s="34" t="n"/>
    </row>
    <row r="29" ht="22" customHeight="1">
      <c r="B29" s="21">
        <f>IF(C29="","BCD-"&amp;TEXT(COUNTA($C$5:C29),"000"))</f>
        <v/>
      </c>
      <c r="C29" s="12" t="n"/>
      <c r="D29" s="12" t="n"/>
      <c r="E29" s="13" t="n"/>
      <c r="F29" s="13" t="n"/>
      <c r="G29" s="13" t="n"/>
      <c r="H29" s="15" t="n"/>
      <c r="I29" s="13" t="n"/>
      <c r="J29" s="33" t="n"/>
    </row>
    <row r="30" ht="22" customHeight="1">
      <c r="B30" s="20">
        <f>IF(C30="","BCD-"&amp;TEXT(COUNTA($C$5:C30),"000"))</f>
        <v/>
      </c>
      <c r="C30" s="16" t="n"/>
      <c r="D30" s="16" t="n"/>
      <c r="E30" s="17" t="n"/>
      <c r="F30" s="17" t="n"/>
      <c r="G30" s="17" t="n"/>
      <c r="H30" s="19" t="n"/>
      <c r="I30" s="17" t="n"/>
      <c r="J30" s="34" t="n"/>
    </row>
    <row r="31" ht="22" customHeight="1">
      <c r="B31" s="21">
        <f>IF(C31="","BCD-"&amp;TEXT(COUNTA($C$5:C31),"000"))</f>
        <v/>
      </c>
      <c r="C31" s="12" t="n"/>
      <c r="D31" s="12" t="n"/>
      <c r="E31" s="13" t="n"/>
      <c r="F31" s="13" t="n"/>
      <c r="G31" s="13" t="n"/>
      <c r="H31" s="15" t="n"/>
      <c r="I31" s="13" t="n"/>
      <c r="J31" s="33" t="n"/>
    </row>
    <row r="32" ht="22" customHeight="1">
      <c r="B32" s="20">
        <f>IF(C32="","BCD-"&amp;TEXT(COUNTA($C$5:C32),"000"))</f>
        <v/>
      </c>
      <c r="C32" s="16" t="n"/>
      <c r="D32" s="16" t="n"/>
      <c r="E32" s="17" t="n"/>
      <c r="F32" s="17" t="n"/>
      <c r="G32" s="17" t="n"/>
      <c r="H32" s="19" t="n"/>
      <c r="I32" s="17" t="n"/>
      <c r="J32" s="34" t="n"/>
    </row>
    <row r="33" ht="22" customHeight="1">
      <c r="B33" s="21">
        <f>IF(C33="","BCD-"&amp;TEXT(COUNTA($C$5:C33),"000"))</f>
        <v/>
      </c>
      <c r="C33" s="12" t="n"/>
      <c r="D33" s="12" t="n"/>
      <c r="E33" s="13" t="n"/>
      <c r="F33" s="13" t="n"/>
      <c r="G33" s="13" t="n"/>
      <c r="H33" s="15" t="n"/>
      <c r="I33" s="13" t="n"/>
      <c r="J33" s="33" t="n"/>
    </row>
    <row r="34" ht="22" customHeight="1">
      <c r="B34" s="20">
        <f>IF(C34="","BCD-"&amp;TEXT(COUNTA($C$5:C34),"000"))</f>
        <v/>
      </c>
      <c r="C34" s="16" t="n"/>
      <c r="D34" s="16" t="n"/>
      <c r="E34" s="17" t="n"/>
      <c r="F34" s="17" t="n"/>
      <c r="G34" s="17" t="n"/>
      <c r="H34" s="19" t="n"/>
      <c r="I34" s="17" t="n"/>
      <c r="J34" s="34" t="n"/>
    </row>
    <row r="35" ht="22" customHeight="1">
      <c r="B35" s="21">
        <f>IF(C35="","BCD-"&amp;TEXT(COUNTA($C$5:C35),"000"))</f>
        <v/>
      </c>
      <c r="C35" s="12" t="n"/>
      <c r="D35" s="12" t="n"/>
      <c r="E35" s="13" t="n"/>
      <c r="F35" s="13" t="n"/>
      <c r="G35" s="13" t="n"/>
      <c r="H35" s="15" t="n"/>
      <c r="I35" s="13" t="n"/>
      <c r="J35" s="33" t="n"/>
    </row>
    <row r="36" ht="22" customHeight="1">
      <c r="B36" s="20">
        <f>IF(C36="","BCD-"&amp;TEXT(COUNTA($C$5:C36),"000"))</f>
        <v/>
      </c>
      <c r="C36" s="16" t="n"/>
      <c r="D36" s="16" t="n"/>
      <c r="E36" s="17" t="n"/>
      <c r="F36" s="17" t="n"/>
      <c r="G36" s="17" t="n"/>
      <c r="H36" s="19" t="n"/>
      <c r="I36" s="17" t="n"/>
      <c r="J36" s="34" t="n"/>
    </row>
    <row r="37" ht="22" customHeight="1">
      <c r="B37" s="21">
        <f>IF(C37="","BCD-"&amp;TEXT(COUNTA($C$5:C37),"000"))</f>
        <v/>
      </c>
      <c r="C37" s="12" t="n"/>
      <c r="D37" s="12" t="n"/>
      <c r="E37" s="13" t="n"/>
      <c r="F37" s="13" t="n"/>
      <c r="G37" s="13" t="n"/>
      <c r="H37" s="15" t="n"/>
      <c r="I37" s="13" t="n"/>
      <c r="J37" s="33" t="n"/>
    </row>
    <row r="38" ht="22" customHeight="1">
      <c r="B38" s="20">
        <f>IF(C38="","BCD-"&amp;TEXT(COUNTA($C$5:C38),"000"))</f>
        <v/>
      </c>
      <c r="C38" s="16" t="n"/>
      <c r="D38" s="16" t="n"/>
      <c r="E38" s="17" t="n"/>
      <c r="F38" s="17" t="n"/>
      <c r="G38" s="17" t="n"/>
      <c r="H38" s="19" t="n"/>
      <c r="I38" s="17" t="n"/>
      <c r="J38" s="34" t="n"/>
    </row>
    <row r="39" ht="22" customHeight="1">
      <c r="B39" s="21">
        <f>IF(C39="","BCD-"&amp;TEXT(COUNTA($C$5:C39),"000"))</f>
        <v/>
      </c>
      <c r="C39" s="12" t="n"/>
      <c r="D39" s="12" t="n"/>
      <c r="E39" s="13" t="n"/>
      <c r="F39" s="13" t="n"/>
      <c r="G39" s="13" t="n"/>
      <c r="H39" s="15" t="n"/>
      <c r="I39" s="13" t="n"/>
      <c r="J39" s="33" t="n"/>
    </row>
    <row r="40" ht="22" customHeight="1">
      <c r="B40" s="20">
        <f>IF(C40="","BCD-"&amp;TEXT(COUNTA($C$5:C40),"000"))</f>
        <v/>
      </c>
      <c r="C40" s="16" t="n"/>
      <c r="D40" s="16" t="n"/>
      <c r="E40" s="17" t="n"/>
      <c r="F40" s="17" t="n"/>
      <c r="G40" s="17" t="n"/>
      <c r="H40" s="19" t="n"/>
      <c r="I40" s="17" t="n"/>
      <c r="J40" s="34" t="n"/>
    </row>
    <row r="41" ht="22" customHeight="1">
      <c r="B41" s="21">
        <f>IF(C41="","BCD-"&amp;TEXT(COUNTA($C$5:C41),"000"))</f>
        <v/>
      </c>
      <c r="C41" s="12" t="n"/>
      <c r="D41" s="12" t="n"/>
      <c r="E41" s="13" t="n"/>
      <c r="F41" s="13" t="n"/>
      <c r="G41" s="13" t="n"/>
      <c r="H41" s="15" t="n"/>
      <c r="I41" s="13" t="n"/>
      <c r="J41" s="33" t="n"/>
    </row>
    <row r="42" ht="22" customHeight="1">
      <c r="B42" s="20">
        <f>IF(C42="","BCD-"&amp;TEXT(COUNTA($C$5:C42),"000"))</f>
        <v/>
      </c>
      <c r="C42" s="16" t="n"/>
      <c r="D42" s="16" t="n"/>
      <c r="E42" s="17" t="n"/>
      <c r="F42" s="17" t="n"/>
      <c r="G42" s="17" t="n"/>
      <c r="H42" s="19" t="n"/>
      <c r="I42" s="17" t="n"/>
      <c r="J42" s="34" t="n"/>
    </row>
    <row r="43" ht="22" customHeight="1">
      <c r="B43" s="21">
        <f>IF(C43="","BCD-"&amp;TEXT(COUNTA($C$5:C43),"000"))</f>
        <v/>
      </c>
      <c r="C43" s="12" t="n"/>
      <c r="D43" s="12" t="n"/>
      <c r="E43" s="13" t="n"/>
      <c r="F43" s="13" t="n"/>
      <c r="G43" s="13" t="n"/>
      <c r="H43" s="15" t="n"/>
      <c r="I43" s="13" t="n"/>
      <c r="J43" s="33" t="n"/>
    </row>
    <row r="44" ht="22" customHeight="1">
      <c r="B44" s="20">
        <f>IF(C44="","BCD-"&amp;TEXT(COUNTA($C$5:C44),"000"))</f>
        <v/>
      </c>
      <c r="C44" s="16" t="n"/>
      <c r="D44" s="16" t="n"/>
      <c r="E44" s="17" t="n"/>
      <c r="F44" s="17" t="n"/>
      <c r="G44" s="17" t="n"/>
      <c r="H44" s="19" t="n"/>
      <c r="I44" s="17" t="n"/>
      <c r="J44" s="34" t="n"/>
    </row>
    <row r="45" ht="22" customHeight="1">
      <c r="B45" s="21">
        <f>IF(C45="","BCD-"&amp;TEXT(COUNTA($C$5:C45),"000"))</f>
        <v/>
      </c>
      <c r="C45" s="12" t="n"/>
      <c r="D45" s="12" t="n"/>
      <c r="E45" s="13" t="n"/>
      <c r="F45" s="13" t="n"/>
      <c r="G45" s="13" t="n"/>
      <c r="H45" s="15" t="n"/>
      <c r="I45" s="13" t="n"/>
      <c r="J45" s="33" t="n"/>
    </row>
    <row r="46" ht="22" customHeight="1">
      <c r="B46" s="20">
        <f>IF(C46="","BCD-"&amp;TEXT(COUNTA($C$5:C46),"000"))</f>
        <v/>
      </c>
      <c r="C46" s="16" t="n"/>
      <c r="D46" s="16" t="n"/>
      <c r="E46" s="17" t="n"/>
      <c r="F46" s="17" t="n"/>
      <c r="G46" s="17" t="n"/>
      <c r="H46" s="19" t="n"/>
      <c r="I46" s="17" t="n"/>
      <c r="J46" s="34" t="n"/>
    </row>
    <row r="47" ht="22" customHeight="1">
      <c r="B47" s="21">
        <f>IF(C47="","BCD-"&amp;TEXT(COUNTA($C$5:C47),"000"))</f>
        <v/>
      </c>
      <c r="C47" s="12" t="n"/>
      <c r="D47" s="12" t="n"/>
      <c r="E47" s="13" t="n"/>
      <c r="F47" s="13" t="n"/>
      <c r="G47" s="13" t="n"/>
      <c r="H47" s="15" t="n"/>
      <c r="I47" s="13" t="n"/>
      <c r="J47" s="33" t="n"/>
    </row>
    <row r="48" ht="22" customHeight="1">
      <c r="B48" s="20">
        <f>IF(C48="","BCD-"&amp;TEXT(COUNTA($C$5:C48),"000"))</f>
        <v/>
      </c>
      <c r="C48" s="16" t="n"/>
      <c r="D48" s="16" t="n"/>
      <c r="E48" s="17" t="n"/>
      <c r="F48" s="17" t="n"/>
      <c r="G48" s="17" t="n"/>
      <c r="H48" s="19" t="n"/>
      <c r="I48" s="17" t="n"/>
      <c r="J48" s="34" t="n"/>
    </row>
    <row r="49" ht="22" customHeight="1">
      <c r="B49" s="21">
        <f>IF(C49="","BCD-"&amp;TEXT(COUNTA($C$5:C49),"000"))</f>
        <v/>
      </c>
      <c r="C49" s="12" t="n"/>
      <c r="D49" s="12" t="n"/>
      <c r="E49" s="13" t="n"/>
      <c r="F49" s="13" t="n"/>
      <c r="G49" s="13" t="n"/>
      <c r="H49" s="15" t="n"/>
      <c r="I49" s="13" t="n"/>
      <c r="J49" s="33" t="n"/>
    </row>
    <row r="50" ht="22" customHeight="1">
      <c r="B50" s="20">
        <f>IF(C50="","BCD-"&amp;TEXT(COUNTA($C$5:C50),"000"))</f>
        <v/>
      </c>
      <c r="C50" s="16" t="n"/>
      <c r="D50" s="16" t="n"/>
      <c r="E50" s="17" t="n"/>
      <c r="F50" s="17" t="n"/>
      <c r="G50" s="17" t="n"/>
      <c r="H50" s="19" t="n"/>
      <c r="I50" s="17" t="n"/>
      <c r="J50" s="34" t="n"/>
    </row>
    <row r="51" ht="22" customHeight="1">
      <c r="B51" s="21">
        <f>IF(C51="","BCD-"&amp;TEXT(COUNTA($C$5:C51),"000"))</f>
        <v/>
      </c>
      <c r="C51" s="12" t="n"/>
      <c r="D51" s="12" t="n"/>
      <c r="E51" s="13" t="n"/>
      <c r="F51" s="13" t="n"/>
      <c r="G51" s="13" t="n"/>
      <c r="H51" s="15" t="n"/>
      <c r="I51" s="13" t="n"/>
      <c r="J51" s="33" t="n"/>
    </row>
    <row r="52" ht="22" customHeight="1">
      <c r="B52" s="20">
        <f>IF(C52="","BCD-"&amp;TEXT(COUNTA($C$5:C52),"000"))</f>
        <v/>
      </c>
      <c r="C52" s="16" t="n"/>
      <c r="D52" s="16" t="n"/>
      <c r="E52" s="17" t="n"/>
      <c r="F52" s="17" t="n"/>
      <c r="G52" s="17" t="n"/>
      <c r="H52" s="19" t="n"/>
      <c r="I52" s="17" t="n"/>
      <c r="J52" s="34" t="n"/>
    </row>
    <row r="53" ht="22" customHeight="1">
      <c r="B53" s="21">
        <f>IF(C53="","BCD-"&amp;TEXT(COUNTA($C$5:C53),"000"))</f>
        <v/>
      </c>
      <c r="C53" s="12" t="n"/>
      <c r="D53" s="12" t="n"/>
      <c r="E53" s="13" t="n"/>
      <c r="F53" s="13" t="n"/>
      <c r="G53" s="13" t="n"/>
      <c r="H53" s="15" t="n"/>
      <c r="I53" s="13" t="n"/>
      <c r="J53" s="33" t="n"/>
    </row>
    <row r="54" ht="22" customHeight="1">
      <c r="B54" s="20">
        <f>IF(C54="","BCD-"&amp;TEXT(COUNTA($C$5:C54),"000"))</f>
        <v/>
      </c>
      <c r="C54" s="16" t="n"/>
      <c r="D54" s="16" t="n"/>
      <c r="E54" s="17" t="n"/>
      <c r="F54" s="17" t="n"/>
      <c r="G54" s="17" t="n"/>
      <c r="H54" s="19" t="n"/>
      <c r="I54" s="17" t="n"/>
      <c r="J54" s="34" t="n"/>
    </row>
    <row r="55" ht="22" customHeight="1">
      <c r="B55" s="21">
        <f>IF(C55="","BCD-"&amp;TEXT(COUNTA($C$5:C55),"000"))</f>
        <v/>
      </c>
      <c r="C55" s="12" t="n"/>
      <c r="D55" s="12" t="n"/>
      <c r="E55" s="13" t="n"/>
      <c r="F55" s="13" t="n"/>
      <c r="G55" s="13" t="n"/>
      <c r="H55" s="15" t="n"/>
      <c r="I55" s="13" t="n"/>
      <c r="J55" s="33" t="n"/>
    </row>
    <row r="56" ht="22" customHeight="1">
      <c r="B56" s="20">
        <f>IF(C56="","BCD-"&amp;TEXT(COUNTA($C$5:C56),"000"))</f>
        <v/>
      </c>
      <c r="C56" s="16" t="n"/>
      <c r="D56" s="16" t="n"/>
      <c r="E56" s="17" t="n"/>
      <c r="F56" s="17" t="n"/>
      <c r="G56" s="17" t="n"/>
      <c r="H56" s="19" t="n"/>
      <c r="I56" s="17" t="n"/>
      <c r="J56" s="34" t="n"/>
    </row>
    <row r="57" ht="22" customHeight="1">
      <c r="B57" s="21">
        <f>IF(C57="","BCD-"&amp;TEXT(COUNTA($C$5:C57),"000"))</f>
        <v/>
      </c>
      <c r="C57" s="12" t="n"/>
      <c r="D57" s="12" t="n"/>
      <c r="E57" s="13" t="n"/>
      <c r="F57" s="13" t="n"/>
      <c r="G57" s="13" t="n"/>
      <c r="H57" s="15" t="n"/>
      <c r="I57" s="13" t="n"/>
      <c r="J57" s="33" t="n"/>
    </row>
    <row r="58" ht="22" customHeight="1">
      <c r="B58" s="20">
        <f>IF(C58="","BCD-"&amp;TEXT(COUNTA($C$5:C58),"000"))</f>
        <v/>
      </c>
      <c r="C58" s="16" t="n"/>
      <c r="D58" s="16" t="n"/>
      <c r="E58" s="17" t="n"/>
      <c r="F58" s="17" t="n"/>
      <c r="G58" s="17" t="n"/>
      <c r="H58" s="19" t="n"/>
      <c r="I58" s="17" t="n"/>
      <c r="J58" s="34" t="n"/>
    </row>
    <row r="59" ht="22" customHeight="1">
      <c r="B59" s="21">
        <f>IF(C59="","BCD-"&amp;TEXT(COUNTA($C$5:C59),"000"))</f>
        <v/>
      </c>
      <c r="C59" s="12" t="n"/>
      <c r="D59" s="12" t="n"/>
      <c r="E59" s="13" t="n"/>
      <c r="F59" s="13" t="n"/>
      <c r="G59" s="13" t="n"/>
      <c r="H59" s="15" t="n"/>
      <c r="I59" s="13" t="n"/>
      <c r="J59" s="33" t="n"/>
    </row>
    <row r="60" ht="22" customHeight="1">
      <c r="B60" s="20">
        <f>IF(C60="","BCD-"&amp;TEXT(COUNTA($C$5:C60),"000"))</f>
        <v/>
      </c>
      <c r="C60" s="16" t="n"/>
      <c r="D60" s="16" t="n"/>
      <c r="E60" s="17" t="n"/>
      <c r="F60" s="17" t="n"/>
      <c r="G60" s="17" t="n"/>
      <c r="H60" s="19" t="n"/>
      <c r="I60" s="17" t="n"/>
      <c r="J60" s="34" t="n"/>
    </row>
    <row r="61" ht="22" customHeight="1">
      <c r="B61" s="21">
        <f>IF(C61="","BCD-"&amp;TEXT(COUNTA($C$5:C61),"000"))</f>
        <v/>
      </c>
      <c r="C61" s="12" t="n"/>
      <c r="D61" s="12" t="n"/>
      <c r="E61" s="13" t="n"/>
      <c r="F61" s="13" t="n"/>
      <c r="G61" s="13" t="n"/>
      <c r="H61" s="15" t="n"/>
      <c r="I61" s="13" t="n"/>
      <c r="J61" s="33" t="n"/>
    </row>
    <row r="62" ht="22" customHeight="1">
      <c r="B62" s="20">
        <f>IF(C62="","BCD-"&amp;TEXT(COUNTA($C$5:C62),"000"))</f>
        <v/>
      </c>
      <c r="C62" s="16" t="n"/>
      <c r="D62" s="16" t="n"/>
      <c r="E62" s="17" t="n"/>
      <c r="F62" s="17" t="n"/>
      <c r="G62" s="17" t="n"/>
      <c r="H62" s="19" t="n"/>
      <c r="I62" s="17" t="n"/>
      <c r="J62" s="34" t="n"/>
    </row>
    <row r="63" ht="22" customHeight="1">
      <c r="B63" s="21">
        <f>IF(C63="","BCD-"&amp;TEXT(COUNTA($C$5:C63),"000"))</f>
        <v/>
      </c>
      <c r="C63" s="12" t="n"/>
      <c r="D63" s="12" t="n"/>
      <c r="E63" s="13" t="n"/>
      <c r="F63" s="13" t="n"/>
      <c r="G63" s="13" t="n"/>
      <c r="H63" s="15" t="n"/>
      <c r="I63" s="13" t="n"/>
      <c r="J63" s="33" t="n"/>
    </row>
    <row r="64" ht="22" customHeight="1">
      <c r="B64" s="20">
        <f>IF(C64="","BCD-"&amp;TEXT(COUNTA($C$5:C64),"000"))</f>
        <v/>
      </c>
      <c r="C64" s="16" t="n"/>
      <c r="D64" s="16" t="n"/>
      <c r="E64" s="17" t="n"/>
      <c r="F64" s="17" t="n"/>
      <c r="G64" s="17" t="n"/>
      <c r="H64" s="19" t="n"/>
      <c r="I64" s="17" t="n"/>
      <c r="J64" s="34" t="n"/>
    </row>
    <row r="65" ht="22" customHeight="1">
      <c r="B65" s="21">
        <f>IF(C65="","BCD-"&amp;TEXT(COUNTA($C$5:C65),"000"))</f>
        <v/>
      </c>
      <c r="C65" s="12" t="n"/>
      <c r="D65" s="12" t="n"/>
      <c r="E65" s="13" t="n"/>
      <c r="F65" s="13" t="n"/>
      <c r="G65" s="13" t="n"/>
      <c r="H65" s="15" t="n"/>
      <c r="I65" s="13" t="n"/>
      <c r="J65" s="33" t="n"/>
    </row>
    <row r="66" ht="22" customHeight="1">
      <c r="B66" s="20">
        <f>IF(C66="","BCD-"&amp;TEXT(COUNTA($C$5:C66),"000"))</f>
        <v/>
      </c>
      <c r="C66" s="16" t="n"/>
      <c r="D66" s="16" t="n"/>
      <c r="E66" s="17" t="n"/>
      <c r="F66" s="17" t="n"/>
      <c r="G66" s="17" t="n"/>
      <c r="H66" s="19" t="n"/>
      <c r="I66" s="17" t="n"/>
      <c r="J66" s="34" t="n"/>
    </row>
    <row r="67" ht="22" customHeight="1">
      <c r="B67" s="21">
        <f>IF(C67="","BCD-"&amp;TEXT(COUNTA($C$5:C67),"000"))</f>
        <v/>
      </c>
      <c r="C67" s="12" t="n"/>
      <c r="D67" s="12" t="n"/>
      <c r="E67" s="13" t="n"/>
      <c r="F67" s="13" t="n"/>
      <c r="G67" s="13" t="n"/>
      <c r="H67" s="15" t="n"/>
      <c r="I67" s="13" t="n"/>
      <c r="J67" s="33" t="n"/>
    </row>
    <row r="68" ht="22" customHeight="1">
      <c r="B68" s="20">
        <f>IF(C68="","BCD-"&amp;TEXT(COUNTA($C$5:C68),"000"))</f>
        <v/>
      </c>
      <c r="C68" s="16" t="n"/>
      <c r="D68" s="16" t="n"/>
      <c r="E68" s="17" t="n"/>
      <c r="F68" s="17" t="n"/>
      <c r="G68" s="17" t="n"/>
      <c r="H68" s="19" t="n"/>
      <c r="I68" s="17" t="n"/>
      <c r="J68" s="34" t="n"/>
    </row>
    <row r="69" ht="22" customHeight="1">
      <c r="B69" s="21">
        <f>IF(C69="","BCD-"&amp;TEXT(COUNTA($C$5:C69),"000"))</f>
        <v/>
      </c>
      <c r="C69" s="12" t="n"/>
      <c r="D69" s="12" t="n"/>
      <c r="E69" s="13" t="n"/>
      <c r="F69" s="13" t="n"/>
      <c r="G69" s="13" t="n"/>
      <c r="H69" s="15" t="n"/>
      <c r="I69" s="13" t="n"/>
      <c r="J69" s="33" t="n"/>
    </row>
    <row r="70" ht="22" customHeight="1">
      <c r="B70" s="20">
        <f>IF(C70="","BCD-"&amp;TEXT(COUNTA($C$5:C70),"000"))</f>
        <v/>
      </c>
      <c r="C70" s="16" t="n"/>
      <c r="D70" s="16" t="n"/>
      <c r="E70" s="17" t="n"/>
      <c r="F70" s="17" t="n"/>
      <c r="G70" s="17" t="n"/>
      <c r="H70" s="19" t="n"/>
      <c r="I70" s="17" t="n"/>
      <c r="J70" s="34" t="n"/>
    </row>
    <row r="71" ht="22" customHeight="1">
      <c r="B71" s="21">
        <f>IF(C71="","BCD-"&amp;TEXT(COUNTA($C$5:C71),"000"))</f>
        <v/>
      </c>
      <c r="C71" s="12" t="n"/>
      <c r="D71" s="12" t="n"/>
      <c r="E71" s="13" t="n"/>
      <c r="F71" s="13" t="n"/>
      <c r="G71" s="13" t="n"/>
      <c r="H71" s="15" t="n"/>
      <c r="I71" s="13" t="n"/>
      <c r="J71" s="33" t="n"/>
    </row>
    <row r="72" ht="22" customHeight="1">
      <c r="B72" s="20">
        <f>IF(C72="","BCD-"&amp;TEXT(COUNTA($C$5:C72),"000"))</f>
        <v/>
      </c>
      <c r="C72" s="16" t="n"/>
      <c r="D72" s="16" t="n"/>
      <c r="E72" s="17" t="n"/>
      <c r="F72" s="17" t="n"/>
      <c r="G72" s="17" t="n"/>
      <c r="H72" s="19" t="n"/>
      <c r="I72" s="17" t="n"/>
      <c r="J72" s="34" t="n"/>
    </row>
    <row r="73" ht="22" customHeight="1">
      <c r="B73" s="21">
        <f>IF(C73="","BCD-"&amp;TEXT(COUNTA($C$5:C73),"000"))</f>
        <v/>
      </c>
      <c r="C73" s="12" t="n"/>
      <c r="D73" s="12" t="n"/>
      <c r="E73" s="13" t="n"/>
      <c r="F73" s="13" t="n"/>
      <c r="G73" s="13" t="n"/>
      <c r="H73" s="15" t="n"/>
      <c r="I73" s="13" t="n"/>
      <c r="J73" s="33" t="n"/>
    </row>
    <row r="74" ht="22" customHeight="1">
      <c r="B74" s="20">
        <f>IF(C74="","BCD-"&amp;TEXT(COUNTA($C$5:C74),"000"))</f>
        <v/>
      </c>
      <c r="C74" s="16" t="n"/>
      <c r="D74" s="16" t="n"/>
      <c r="E74" s="17" t="n"/>
      <c r="F74" s="17" t="n"/>
      <c r="G74" s="17" t="n"/>
      <c r="H74" s="19" t="n"/>
      <c r="I74" s="17" t="n"/>
      <c r="J74" s="34" t="n"/>
    </row>
    <row r="75" ht="22" customHeight="1">
      <c r="B75" s="21">
        <f>IF(C75="","BCD-"&amp;TEXT(COUNTA($C$5:C75),"000"))</f>
        <v/>
      </c>
      <c r="C75" s="12" t="n"/>
      <c r="D75" s="12" t="n"/>
      <c r="E75" s="13" t="n"/>
      <c r="F75" s="13" t="n"/>
      <c r="G75" s="13" t="n"/>
      <c r="H75" s="15" t="n"/>
      <c r="I75" s="13" t="n"/>
      <c r="J75" s="33" t="n"/>
    </row>
    <row r="76" ht="22" customHeight="1">
      <c r="B76" s="20">
        <f>IF(C76="","BCD-"&amp;TEXT(COUNTA($C$5:C76),"000"))</f>
        <v/>
      </c>
      <c r="C76" s="16" t="n"/>
      <c r="D76" s="16" t="n"/>
      <c r="E76" s="17" t="n"/>
      <c r="F76" s="17" t="n"/>
      <c r="G76" s="17" t="n"/>
      <c r="H76" s="19" t="n"/>
      <c r="I76" s="17" t="n"/>
      <c r="J76" s="34" t="n"/>
    </row>
    <row r="77" ht="22" customHeight="1">
      <c r="B77" s="21">
        <f>IF(C77="","BCD-"&amp;TEXT(COUNTA($C$5:C77),"000"))</f>
        <v/>
      </c>
      <c r="C77" s="12" t="n"/>
      <c r="D77" s="12" t="n"/>
      <c r="E77" s="13" t="n"/>
      <c r="F77" s="13" t="n"/>
      <c r="G77" s="13" t="n"/>
      <c r="H77" s="15" t="n"/>
      <c r="I77" s="13" t="n"/>
      <c r="J77" s="33" t="n"/>
    </row>
    <row r="78" ht="22" customHeight="1">
      <c r="B78" s="20">
        <f>IF(C78="","BCD-"&amp;TEXT(COUNTA($C$5:C78),"000"))</f>
        <v/>
      </c>
      <c r="C78" s="16" t="n"/>
      <c r="D78" s="16" t="n"/>
      <c r="E78" s="17" t="n"/>
      <c r="F78" s="17" t="n"/>
      <c r="G78" s="17" t="n"/>
      <c r="H78" s="19" t="n"/>
      <c r="I78" s="17" t="n"/>
      <c r="J78" s="34" t="n"/>
    </row>
    <row r="79" ht="22" customHeight="1">
      <c r="B79" s="21">
        <f>IF(C79="","BCD-"&amp;TEXT(COUNTA($C$5:C79),"000"))</f>
        <v/>
      </c>
      <c r="C79" s="12" t="n"/>
      <c r="D79" s="12" t="n"/>
      <c r="E79" s="13" t="n"/>
      <c r="F79" s="13" t="n"/>
      <c r="G79" s="13" t="n"/>
      <c r="H79" s="15" t="n"/>
      <c r="I79" s="13" t="n"/>
      <c r="J79" s="33" t="n"/>
    </row>
    <row r="80" ht="22" customHeight="1">
      <c r="B80" s="20">
        <f>IF(C80="","BCD-"&amp;TEXT(COUNTA($C$5:C80),"000"))</f>
        <v/>
      </c>
      <c r="C80" s="16" t="n"/>
      <c r="D80" s="16" t="n"/>
      <c r="E80" s="17" t="n"/>
      <c r="F80" s="17" t="n"/>
      <c r="G80" s="17" t="n"/>
      <c r="H80" s="19" t="n"/>
      <c r="I80" s="17" t="n"/>
      <c r="J80" s="34" t="n"/>
    </row>
    <row r="81" ht="22" customHeight="1">
      <c r="B81" s="21">
        <f>IF(C81="","BCD-"&amp;TEXT(COUNTA($C$5:C81),"000"))</f>
        <v/>
      </c>
      <c r="C81" s="12" t="n"/>
      <c r="D81" s="12" t="n"/>
      <c r="E81" s="13" t="n"/>
      <c r="F81" s="13" t="n"/>
      <c r="G81" s="13" t="n"/>
      <c r="H81" s="15" t="n"/>
      <c r="I81" s="13" t="n"/>
      <c r="J81" s="33" t="n"/>
    </row>
    <row r="82" ht="22" customHeight="1">
      <c r="B82" s="20">
        <f>IF(C82="","BCD-"&amp;TEXT(COUNTA($C$5:C82),"000"))</f>
        <v/>
      </c>
      <c r="C82" s="16" t="n"/>
      <c r="D82" s="16" t="n"/>
      <c r="E82" s="17" t="n"/>
      <c r="F82" s="17" t="n"/>
      <c r="G82" s="17" t="n"/>
      <c r="H82" s="19" t="n"/>
      <c r="I82" s="17" t="n"/>
      <c r="J82" s="34" t="n"/>
    </row>
    <row r="83" ht="22" customHeight="1">
      <c r="B83" s="21">
        <f>IF(C83="","BCD-"&amp;TEXT(COUNTA($C$5:C83),"000"))</f>
        <v/>
      </c>
      <c r="C83" s="12" t="n"/>
      <c r="D83" s="12" t="n"/>
      <c r="E83" s="13" t="n"/>
      <c r="F83" s="13" t="n"/>
      <c r="G83" s="13" t="n"/>
      <c r="H83" s="15" t="n"/>
      <c r="I83" s="13" t="n"/>
      <c r="J83" s="33" t="n"/>
    </row>
    <row r="84" ht="22" customHeight="1">
      <c r="B84" s="20">
        <f>IF(C84="","BCD-"&amp;TEXT(COUNTA($C$5:C84),"000"))</f>
        <v/>
      </c>
      <c r="C84" s="16" t="n"/>
      <c r="D84" s="16" t="n"/>
      <c r="E84" s="17" t="n"/>
      <c r="F84" s="17" t="n"/>
      <c r="G84" s="17" t="n"/>
      <c r="H84" s="19" t="n"/>
      <c r="I84" s="17" t="n"/>
      <c r="J84" s="34" t="n"/>
    </row>
    <row r="85" ht="22" customHeight="1">
      <c r="B85" s="21">
        <f>IF(C85="","BCD-"&amp;TEXT(COUNTA($C$5:C85),"000"))</f>
        <v/>
      </c>
      <c r="C85" s="12" t="n"/>
      <c r="D85" s="12" t="n"/>
      <c r="E85" s="13" t="n"/>
      <c r="F85" s="13" t="n"/>
      <c r="G85" s="13" t="n"/>
      <c r="H85" s="15" t="n"/>
      <c r="I85" s="13" t="n"/>
      <c r="J85" s="33" t="n"/>
    </row>
    <row r="86" ht="22" customHeight="1">
      <c r="B86" s="20">
        <f>IF(C86="","BCD-"&amp;TEXT(COUNTA($C$5:C86),"000"))</f>
        <v/>
      </c>
      <c r="C86" s="16" t="n"/>
      <c r="D86" s="16" t="n"/>
      <c r="E86" s="17" t="n"/>
      <c r="F86" s="17" t="n"/>
      <c r="G86" s="17" t="n"/>
      <c r="H86" s="19" t="n"/>
      <c r="I86" s="17" t="n"/>
      <c r="J86" s="34" t="n"/>
    </row>
    <row r="87" ht="22" customHeight="1">
      <c r="B87" s="21">
        <f>IF(C87="","BCD-"&amp;TEXT(COUNTA($C$5:C87),"000"))</f>
        <v/>
      </c>
      <c r="C87" s="12" t="n"/>
      <c r="D87" s="12" t="n"/>
      <c r="E87" s="13" t="n"/>
      <c r="F87" s="13" t="n"/>
      <c r="G87" s="13" t="n"/>
      <c r="H87" s="15" t="n"/>
      <c r="I87" s="13" t="n"/>
      <c r="J87" s="33" t="n"/>
    </row>
    <row r="88" ht="22" customHeight="1">
      <c r="B88" s="20">
        <f>IF(C88="","BCD-"&amp;TEXT(COUNTA($C$5:C88),"000"))</f>
        <v/>
      </c>
      <c r="C88" s="16" t="n"/>
      <c r="D88" s="16" t="n"/>
      <c r="E88" s="17" t="n"/>
      <c r="F88" s="17" t="n"/>
      <c r="G88" s="17" t="n"/>
      <c r="H88" s="19" t="n"/>
      <c r="I88" s="17" t="n"/>
      <c r="J88" s="34" t="n"/>
    </row>
    <row r="89" ht="22" customHeight="1">
      <c r="B89" s="21">
        <f>IF(C89="","BCD-"&amp;TEXT(COUNTA($C$5:C89),"000"))</f>
        <v/>
      </c>
      <c r="C89" s="12" t="n"/>
      <c r="D89" s="12" t="n"/>
      <c r="E89" s="13" t="n"/>
      <c r="F89" s="13" t="n"/>
      <c r="G89" s="13" t="n"/>
      <c r="H89" s="15" t="n"/>
      <c r="I89" s="13" t="n"/>
      <c r="J89" s="33" t="n"/>
    </row>
    <row r="90" ht="22" customHeight="1">
      <c r="B90" s="20">
        <f>IF(C90="","BCD-"&amp;TEXT(COUNTA($C$5:C90),"000"))</f>
        <v/>
      </c>
      <c r="C90" s="16" t="n"/>
      <c r="D90" s="16" t="n"/>
      <c r="E90" s="17" t="n"/>
      <c r="F90" s="17" t="n"/>
      <c r="G90" s="17" t="n"/>
      <c r="H90" s="19" t="n"/>
      <c r="I90" s="17" t="n"/>
      <c r="J90" s="34" t="n"/>
    </row>
    <row r="91" ht="22" customHeight="1">
      <c r="B91" s="21">
        <f>IF(C91="","BCD-"&amp;TEXT(COUNTA($C$5:C91),"000"))</f>
        <v/>
      </c>
      <c r="C91" s="12" t="n"/>
      <c r="D91" s="12" t="n"/>
      <c r="E91" s="13" t="n"/>
      <c r="F91" s="13" t="n"/>
      <c r="G91" s="13" t="n"/>
      <c r="H91" s="15" t="n"/>
      <c r="I91" s="13" t="n"/>
      <c r="J91" s="33" t="n"/>
    </row>
    <row r="92" ht="22" customHeight="1">
      <c r="B92" s="20">
        <f>IF(C92="","BCD-"&amp;TEXT(COUNTA($C$5:C92),"000"))</f>
        <v/>
      </c>
      <c r="C92" s="16" t="n"/>
      <c r="D92" s="16" t="n"/>
      <c r="E92" s="17" t="n"/>
      <c r="F92" s="17" t="n"/>
      <c r="G92" s="17" t="n"/>
      <c r="H92" s="19" t="n"/>
      <c r="I92" s="17" t="n"/>
      <c r="J92" s="34" t="n"/>
    </row>
    <row r="93" ht="22" customHeight="1">
      <c r="B93" s="21">
        <f>IF(C93="","BCD-"&amp;TEXT(COUNTA($C$5:C93),"000"))</f>
        <v/>
      </c>
      <c r="C93" s="12" t="n"/>
      <c r="D93" s="12" t="n"/>
      <c r="E93" s="13" t="n"/>
      <c r="F93" s="13" t="n"/>
      <c r="G93" s="13" t="n"/>
      <c r="H93" s="15" t="n"/>
      <c r="I93" s="13" t="n"/>
      <c r="J93" s="33" t="n"/>
    </row>
    <row r="94" ht="22" customHeight="1">
      <c r="B94" s="20">
        <f>IF(C94="","BCD-"&amp;TEXT(COUNTA($C$5:C94),"000"))</f>
        <v/>
      </c>
      <c r="C94" s="16" t="n"/>
      <c r="D94" s="16" t="n"/>
      <c r="E94" s="17" t="n"/>
      <c r="F94" s="17" t="n"/>
      <c r="G94" s="17" t="n"/>
      <c r="H94" s="19" t="n"/>
      <c r="I94" s="17" t="n"/>
      <c r="J94" s="34" t="n"/>
    </row>
    <row r="95" ht="22" customHeight="1">
      <c r="B95" s="21">
        <f>IF(C95="","BCD-"&amp;TEXT(COUNTA($C$5:C95),"000"))</f>
        <v/>
      </c>
      <c r="C95" s="12" t="n"/>
      <c r="D95" s="12" t="n"/>
      <c r="E95" s="13" t="n"/>
      <c r="F95" s="13" t="n"/>
      <c r="G95" s="13" t="n"/>
      <c r="H95" s="15" t="n"/>
      <c r="I95" s="13" t="n"/>
      <c r="J95" s="33" t="n"/>
    </row>
    <row r="96" ht="22" customHeight="1">
      <c r="B96" s="20">
        <f>IF(C96="","BCD-"&amp;TEXT(COUNTA($C$5:C96),"000"))</f>
        <v/>
      </c>
      <c r="C96" s="16" t="n"/>
      <c r="D96" s="16" t="n"/>
      <c r="E96" s="17" t="n"/>
      <c r="F96" s="17" t="n"/>
      <c r="G96" s="17" t="n"/>
      <c r="H96" s="19" t="n"/>
      <c r="I96" s="17" t="n"/>
      <c r="J96" s="34" t="n"/>
    </row>
    <row r="97" ht="22" customHeight="1">
      <c r="B97" s="21">
        <f>IF(C97="","BCD-"&amp;TEXT(COUNTA($C$5:C97),"000"))</f>
        <v/>
      </c>
      <c r="C97" s="12" t="n"/>
      <c r="D97" s="12" t="n"/>
      <c r="E97" s="13" t="n"/>
      <c r="F97" s="13" t="n"/>
      <c r="G97" s="13" t="n"/>
      <c r="H97" s="15" t="n"/>
      <c r="I97" s="13" t="n"/>
      <c r="J97" s="33" t="n"/>
    </row>
    <row r="98" ht="22" customHeight="1">
      <c r="B98" s="20">
        <f>IF(C98="","BCD-"&amp;TEXT(COUNTA($C$5:C98),"000"))</f>
        <v/>
      </c>
      <c r="C98" s="16" t="n"/>
      <c r="D98" s="16" t="n"/>
      <c r="E98" s="17" t="n"/>
      <c r="F98" s="17" t="n"/>
      <c r="G98" s="17" t="n"/>
      <c r="H98" s="19" t="n"/>
      <c r="I98" s="17" t="n"/>
      <c r="J98" s="34" t="n"/>
    </row>
    <row r="99" ht="22" customHeight="1">
      <c r="B99" s="21">
        <f>IF(C99="","BCD-"&amp;TEXT(COUNTA($C$5:C99),"000"))</f>
        <v/>
      </c>
      <c r="C99" s="12" t="n"/>
      <c r="D99" s="12" t="n"/>
      <c r="E99" s="13" t="n"/>
      <c r="F99" s="13" t="n"/>
      <c r="G99" s="13" t="n"/>
      <c r="H99" s="15" t="n"/>
      <c r="I99" s="13" t="n"/>
      <c r="J99" s="33" t="n"/>
    </row>
    <row r="100" ht="22" customHeight="1">
      <c r="B100" s="20">
        <f>IF(C100="","BCD-"&amp;TEXT(COUNTA($C$5:C100),"000"))</f>
        <v/>
      </c>
      <c r="C100" s="16" t="n"/>
      <c r="D100" s="16" t="n"/>
      <c r="E100" s="17" t="n"/>
      <c r="F100" s="17" t="n"/>
      <c r="G100" s="17" t="n"/>
      <c r="H100" s="19" t="n"/>
      <c r="I100" s="17" t="n"/>
      <c r="J100" s="34" t="n"/>
    </row>
    <row r="101" ht="22" customHeight="1">
      <c r="B101" s="21">
        <f>IF(C101="","BCD-"&amp;TEXT(COUNTA($C$5:C101),"000"))</f>
        <v/>
      </c>
      <c r="C101" s="12" t="n"/>
      <c r="D101" s="12" t="n"/>
      <c r="E101" s="13" t="n"/>
      <c r="F101" s="13" t="n"/>
      <c r="G101" s="13" t="n"/>
      <c r="H101" s="15" t="n"/>
      <c r="I101" s="13" t="n"/>
      <c r="J101" s="33" t="n"/>
    </row>
    <row r="102" ht="22" customHeight="1">
      <c r="B102" s="20">
        <f>IF(C102="","BCD-"&amp;TEXT(COUNTA($C$5:C102),"000"))</f>
        <v/>
      </c>
      <c r="C102" s="16" t="n"/>
      <c r="D102" s="16" t="n"/>
      <c r="E102" s="17" t="n"/>
      <c r="F102" s="17" t="n"/>
      <c r="G102" s="17" t="n"/>
      <c r="H102" s="19" t="n"/>
      <c r="I102" s="17" t="n"/>
      <c r="J102" s="34" t="n"/>
    </row>
    <row r="103" ht="22" customHeight="1">
      <c r="B103" s="21">
        <f>IF(C103="","BCD-"&amp;TEXT(COUNTA($C$5:C103),"000"))</f>
        <v/>
      </c>
      <c r="C103" s="12" t="n"/>
      <c r="D103" s="12" t="n"/>
      <c r="E103" s="13" t="n"/>
      <c r="F103" s="13" t="n"/>
      <c r="G103" s="13" t="n"/>
      <c r="H103" s="15" t="n"/>
      <c r="I103" s="13" t="n"/>
      <c r="J103" s="33" t="n"/>
    </row>
    <row r="104" ht="22" customHeight="1">
      <c r="B104" s="20">
        <f>IF(C104="","BCD-"&amp;TEXT(COUNTA($C$5:C104),"000"))</f>
        <v/>
      </c>
      <c r="C104" s="16" t="n"/>
      <c r="D104" s="16" t="n"/>
      <c r="E104" s="17" t="n"/>
      <c r="F104" s="17" t="n"/>
      <c r="G104" s="17" t="n"/>
      <c r="H104" s="19" t="n"/>
      <c r="I104" s="17" t="n"/>
      <c r="J104" s="34" t="n"/>
    </row>
    <row r="105" ht="22" customHeight="1">
      <c r="B105" s="21">
        <f>IF(C105="","BCD-"&amp;TEXT(COUNTA($C$5:C105),"000"))</f>
        <v/>
      </c>
      <c r="C105" s="12" t="n"/>
      <c r="D105" s="12" t="n"/>
      <c r="E105" s="13" t="n"/>
      <c r="F105" s="13" t="n"/>
      <c r="G105" s="13" t="n"/>
      <c r="H105" s="15" t="n"/>
      <c r="I105" s="13" t="n"/>
      <c r="J105" s="33" t="n"/>
    </row>
    <row r="106" ht="22" customHeight="1">
      <c r="B106" s="20">
        <f>IF(C106="","BCD-"&amp;TEXT(COUNTA($C$5:C106),"000"))</f>
        <v/>
      </c>
      <c r="C106" s="16" t="n"/>
      <c r="D106" s="16" t="n"/>
      <c r="E106" s="17" t="n"/>
      <c r="F106" s="17" t="n"/>
      <c r="G106" s="17" t="n"/>
      <c r="H106" s="19" t="n"/>
      <c r="I106" s="17" t="n"/>
      <c r="J106" s="34" t="n"/>
    </row>
    <row r="107" ht="22" customHeight="1">
      <c r="B107" s="21">
        <f>IF(C107="","BCD-"&amp;TEXT(COUNTA($C$5:C107),"000"))</f>
        <v/>
      </c>
      <c r="C107" s="12" t="n"/>
      <c r="D107" s="12" t="n"/>
      <c r="E107" s="13" t="n"/>
      <c r="F107" s="13" t="n"/>
      <c r="G107" s="13" t="n"/>
      <c r="H107" s="15" t="n"/>
      <c r="I107" s="13" t="n"/>
      <c r="J107" s="33" t="n"/>
    </row>
    <row r="108" ht="22" customHeight="1">
      <c r="B108" s="20">
        <f>IF(C108="","BCD-"&amp;TEXT(COUNTA($C$5:C108),"000"))</f>
        <v/>
      </c>
      <c r="C108" s="16" t="n"/>
      <c r="D108" s="16" t="n"/>
      <c r="E108" s="17" t="n"/>
      <c r="F108" s="17" t="n"/>
      <c r="G108" s="17" t="n"/>
      <c r="H108" s="19" t="n"/>
      <c r="I108" s="17" t="n"/>
      <c r="J108" s="34" t="n"/>
    </row>
    <row r="109" ht="22" customHeight="1">
      <c r="B109" s="21">
        <f>IF(C109="","BCD-"&amp;TEXT(COUNTA($C$5:C109),"000"))</f>
        <v/>
      </c>
      <c r="C109" s="12" t="n"/>
      <c r="D109" s="12" t="n"/>
      <c r="E109" s="13" t="n"/>
      <c r="F109" s="13" t="n"/>
      <c r="G109" s="13" t="n"/>
      <c r="H109" s="15" t="n"/>
      <c r="I109" s="13" t="n"/>
      <c r="J109" s="33" t="n"/>
    </row>
    <row r="110" ht="22" customHeight="1">
      <c r="B110" s="20">
        <f>IF(C110="","BCD-"&amp;TEXT(COUNTA($C$5:C110),"000"))</f>
        <v/>
      </c>
      <c r="C110" s="16" t="n"/>
      <c r="D110" s="16" t="n"/>
      <c r="E110" s="17" t="n"/>
      <c r="F110" s="17" t="n"/>
      <c r="G110" s="17" t="n"/>
      <c r="H110" s="19" t="n"/>
      <c r="I110" s="17" t="n"/>
      <c r="J110" s="34" t="n"/>
    </row>
    <row r="111" ht="22" customHeight="1">
      <c r="B111" s="21">
        <f>IF(C111="","BCD-"&amp;TEXT(COUNTA($C$5:C111),"000"))</f>
        <v/>
      </c>
      <c r="C111" s="12" t="n"/>
      <c r="D111" s="12" t="n"/>
      <c r="E111" s="13" t="n"/>
      <c r="F111" s="13" t="n"/>
      <c r="G111" s="13" t="n"/>
      <c r="H111" s="15" t="n"/>
      <c r="I111" s="13" t="n"/>
      <c r="J111" s="33" t="n"/>
    </row>
    <row r="113" ht="26" customHeight="1">
      <c r="B113" s="22" t="inlineStr">
        <is>
          <t>TOTAL</t>
        </is>
      </c>
      <c r="C113" s="23" t="n"/>
      <c r="D113" s="23" t="n"/>
      <c r="E113" s="24">
        <f>SUM(E5:E104)</f>
        <v/>
      </c>
      <c r="F113" s="24">
        <f>SUM(F5:F104)</f>
        <v/>
      </c>
      <c r="G113" s="24">
        <f>SUM(G5:G104)</f>
        <v/>
      </c>
      <c r="H113" s="24">
        <f>SUM(H5:H104)</f>
        <v/>
      </c>
      <c r="I113" s="24">
        <f>SUM(I5:I104)</f>
        <v/>
      </c>
      <c r="J113" s="23" t="n"/>
    </row>
    <row r="115">
      <c r="B115" s="6" t="inlineStr">
        <is>
          <t>INDICATEURS (mis a jour automatiquement)</t>
        </is>
      </c>
    </row>
    <row r="116">
      <c r="B116" s="3" t="inlineStr">
        <is>
          <t>Departements suivis</t>
        </is>
      </c>
      <c r="D116" s="3" t="inlineStr">
        <is>
          <t>Total formations</t>
        </is>
      </c>
      <c r="F116" s="3" t="inlineStr">
        <is>
          <t>Total heures (h)</t>
        </is>
      </c>
      <c r="H116" s="3" t="inlineStr">
        <is>
          <t>Cout global (FCFA)</t>
        </is>
      </c>
    </row>
    <row r="117">
      <c r="B117" s="4">
        <f>COUNTIF(B5:B104,"&lt;&gt;")</f>
        <v/>
      </c>
      <c r="D117" s="4">
        <f>SUM(F5:F104)</f>
        <v/>
      </c>
      <c r="F117" s="4">
        <f>SUM(G5:G104)</f>
        <v/>
      </c>
      <c r="H117" s="4">
        <f>SUM(H5:H104)</f>
        <v/>
      </c>
    </row>
  </sheetData>
  <mergeCells count="3">
    <mergeCell ref="B3:J3"/>
    <mergeCell ref="B115:J115"/>
    <mergeCell ref="B2:J2"/>
  </mergeCells>
  <conditionalFormatting sqref="B12:B111">
    <cfRule type="expression" priority="1" dxfId="3">
      <formula>AND($C12="",$C11&lt;&gt;"")</formula>
    </cfRule>
  </conditionalFormatting>
  <conditionalFormatting sqref="C12:C111">
    <cfRule type="expression" priority="2" dxfId="3">
      <formula>AND($C12="",$C11&lt;&gt;"")</formula>
    </cfRule>
  </conditionalFormatting>
  <conditionalFormatting sqref="D12:D111">
    <cfRule type="expression" priority="3" dxfId="3">
      <formula>AND($C12="",$C11&lt;&gt;"")</formula>
    </cfRule>
  </conditionalFormatting>
  <conditionalFormatting sqref="E12:E111">
    <cfRule type="expression" priority="4" dxfId="3">
      <formula>AND($C12="",$C11&lt;&gt;"")</formula>
    </cfRule>
  </conditionalFormatting>
  <conditionalFormatting sqref="F12:F111">
    <cfRule type="expression" priority="5" dxfId="3">
      <formula>AND($C12="",$C11&lt;&gt;"")</formula>
    </cfRule>
  </conditionalFormatting>
  <conditionalFormatting sqref="G12:G111">
    <cfRule type="expression" priority="6" dxfId="3">
      <formula>AND($C12="",$C11&lt;&gt;"")</formula>
    </cfRule>
  </conditionalFormatting>
  <conditionalFormatting sqref="H12:H111">
    <cfRule type="expression" priority="7" dxfId="3">
      <formula>AND($C12="",$C11&lt;&gt;"")</formula>
    </cfRule>
  </conditionalFormatting>
  <conditionalFormatting sqref="I12:I111">
    <cfRule type="expression" priority="8" dxfId="3">
      <formula>AND($C12="",$C11&lt;&gt;"")</formula>
    </cfRule>
  </conditionalFormatting>
  <conditionalFormatting sqref="J12:J111">
    <cfRule type="expression" priority="9" dxfId="3">
      <formula>AND($C12="",$C11&lt;&gt;"")</formula>
    </cfRule>
  </conditionalFormatting>
  <dataValidations count="2">
    <dataValidation sqref="C5:C111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D5:D111" showDropDown="0" showInputMessage="0" showErrorMessage="0" allowBlank="1" errorTitle="Erreur" error="Valeur invalide" promptTitle="Liste" prompt="Choisir dans la liste" type="list">
      <formula1>'_Lists'!$P$2:$P$4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20" customWidth="1" min="4" max="4"/>
    <col width="22" customWidth="1" min="5" max="5"/>
    <col width="24" customWidth="1" min="6" max="6"/>
    <col width="20" customWidth="1" min="7" max="7"/>
    <col width="16" customWidth="1" min="8" max="8"/>
    <col width="16" customWidth="1" min="9" max="9"/>
    <col width="18" customWidth="1" min="10" max="10"/>
  </cols>
  <sheetData>
    <row r="1" ht="15" customHeight="1"/>
    <row r="2" ht="32" customHeight="1">
      <c r="B2" s="1" t="inlineStr">
        <is>
          <t>SUIVI DES CERTIFICATIONS &amp; QUALIFICATIONS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Matricule</t>
        </is>
      </c>
      <c r="D4" s="11" t="inlineStr">
        <is>
          <t>Nom Employe</t>
        </is>
      </c>
      <c r="E4" s="11" t="inlineStr">
        <is>
          <t>Departement</t>
        </is>
      </c>
      <c r="F4" s="11" t="inlineStr">
        <is>
          <t>Certification</t>
        </is>
      </c>
      <c r="G4" s="11" t="inlineStr">
        <is>
          <t>Organisme Delivrant</t>
        </is>
      </c>
      <c r="H4" s="11" t="inlineStr">
        <is>
          <t>Date Obtention</t>
        </is>
      </c>
      <c r="I4" s="11" t="inlineStr">
        <is>
          <t>Date Expiration</t>
        </is>
      </c>
      <c r="J4" s="11" t="inlineStr">
        <is>
          <t>Statut Certificat</t>
        </is>
      </c>
    </row>
    <row r="5" ht="22" customHeight="1">
      <c r="B5" s="12" t="inlineStr">
        <is>
          <t>CERT-001</t>
        </is>
      </c>
      <c r="C5" s="12" t="inlineStr">
        <is>
          <t>EMP-010</t>
        </is>
      </c>
      <c r="D5" s="12">
        <f>IF(C5="","",VLOOKUP(C5,'_Données Employés'!$B$5:$H$18,4,FALSE)&amp;" "&amp;VLOOKUP(C5,'_Données Employés'!$B$5:$H$18,5,FALSE))</f>
        <v/>
      </c>
      <c r="E5" s="12">
        <f>IF(C5="","",VLOOKUP(C5,'_Données Employés'!$B$5:$H$18,6,FALSE))</f>
        <v/>
      </c>
      <c r="F5" s="12" t="inlineStr">
        <is>
          <t>HACCP Niveau 1</t>
        </is>
      </c>
      <c r="G5" s="12" t="inlineStr">
        <is>
          <t>CNPS</t>
        </is>
      </c>
      <c r="H5" s="31" t="n">
        <v>45730</v>
      </c>
      <c r="I5" s="31" t="n">
        <v>46826</v>
      </c>
      <c r="J5" s="12" t="inlineStr">
        <is>
          <t>Valide</t>
        </is>
      </c>
    </row>
    <row r="6" ht="22" customHeight="1">
      <c r="B6" s="16" t="inlineStr">
        <is>
          <t>CERT-002</t>
        </is>
      </c>
      <c r="C6" s="16" t="inlineStr">
        <is>
          <t>EMP-001</t>
        </is>
      </c>
      <c r="D6" s="16">
        <f>IF(C6="","",VLOOKUP(C6,'_Données Employés'!$B$5:$H$18,4,FALSE)&amp;" "&amp;VLOOKUP(C6,'_Données Employés'!$B$5:$H$18,5,FALSE))</f>
        <v/>
      </c>
      <c r="E6" s="16">
        <f>IF(C6="","",VLOOKUP(C6,'_Données Employés'!$B$5:$H$18,6,FALSE))</f>
        <v/>
      </c>
      <c r="F6" s="16" t="inlineStr">
        <is>
          <t>HACCP Niveau 1</t>
        </is>
      </c>
      <c r="G6" s="16" t="inlineStr">
        <is>
          <t>CNPS</t>
        </is>
      </c>
      <c r="H6" s="32" t="n">
        <v>45730</v>
      </c>
      <c r="I6" s="32" t="n">
        <v>46826</v>
      </c>
      <c r="J6" s="16" t="inlineStr">
        <is>
          <t>Valide</t>
        </is>
      </c>
    </row>
    <row r="7" ht="22" customHeight="1">
      <c r="B7" s="12" t="inlineStr">
        <is>
          <t>CERT-003</t>
        </is>
      </c>
      <c r="C7" s="12" t="inlineStr">
        <is>
          <t>EMP-009</t>
        </is>
      </c>
      <c r="D7" s="12">
        <f>IF(C7="","",VLOOKUP(C7,'_Données Employés'!$B$5:$H$18,4,FALSE)&amp;" "&amp;VLOOKUP(C7,'_Données Employés'!$B$5:$H$18,5,FALSE))</f>
        <v/>
      </c>
      <c r="E7" s="12">
        <f>IF(C7="","",VLOOKUP(C7,'_Données Employés'!$B$5:$H$18,6,FALSE))</f>
        <v/>
      </c>
      <c r="F7" s="12" t="inlineStr">
        <is>
          <t>CVC Certifie</t>
        </is>
      </c>
      <c r="G7" s="12" t="inlineStr">
        <is>
          <t>GEFCO</t>
        </is>
      </c>
      <c r="H7" s="31" t="n">
        <v>45458</v>
      </c>
      <c r="I7" s="31" t="n">
        <v>45823</v>
      </c>
      <c r="J7" s="12" t="inlineStr">
        <is>
          <t>A renouveler</t>
        </is>
      </c>
    </row>
    <row r="8" ht="22" customHeight="1">
      <c r="B8" s="16" t="inlineStr">
        <is>
          <t>CERT-004</t>
        </is>
      </c>
      <c r="C8" s="16" t="inlineStr">
        <is>
          <t>EMP-011</t>
        </is>
      </c>
      <c r="D8" s="16">
        <f>IF(C8="","",VLOOKUP(C8,'_Données Employés'!$B$5:$H$18,4,FALSE)&amp;" "&amp;VLOOKUP(C8,'_Données Employés'!$B$5:$H$18,5,FALSE))</f>
        <v/>
      </c>
      <c r="E8" s="16">
        <f>IF(C8="","",VLOOKUP(C8,'_Données Employés'!$B$5:$H$18,6,FALSE))</f>
        <v/>
      </c>
      <c r="F8" s="16" t="inlineStr">
        <is>
          <t>Agent securite certifie</t>
        </is>
      </c>
      <c r="G8" s="16" t="inlineStr">
        <is>
          <t>Ministere Interieur</t>
        </is>
      </c>
      <c r="H8" s="32" t="n">
        <v>45170</v>
      </c>
      <c r="I8" s="32" t="n">
        <v>45901</v>
      </c>
      <c r="J8" s="16" t="inlineStr">
        <is>
          <t>Valide</t>
        </is>
      </c>
    </row>
    <row r="9" ht="22" customHeight="1">
      <c r="B9" s="12" t="inlineStr">
        <is>
          <t>CERT-005</t>
        </is>
      </c>
      <c r="C9" s="12" t="inlineStr">
        <is>
          <t>EMP-001</t>
        </is>
      </c>
      <c r="D9" s="12">
        <f>IF(C9="","",VLOOKUP(C9,'_Données Employés'!$B$5:$H$18,4,FALSE)&amp;" "&amp;VLOOKUP(C9,'_Données Employés'!$B$5:$H$18,5,FALSE))</f>
        <v/>
      </c>
      <c r="E9" s="12">
        <f>IF(C9="","",VLOOKUP(C9,'_Données Employés'!$B$5:$H$18,6,FALSE))</f>
        <v/>
      </c>
      <c r="F9" s="12" t="inlineStr">
        <is>
          <t>Master RH</t>
        </is>
      </c>
      <c r="G9" s="12" t="inlineStr">
        <is>
          <t>Unite de Douala</t>
        </is>
      </c>
      <c r="H9" s="31" t="n">
        <v>44012</v>
      </c>
      <c r="I9" s="31" t="n">
        <v>73050</v>
      </c>
      <c r="J9" s="12" t="inlineStr">
        <is>
          <t>Valide</t>
        </is>
      </c>
    </row>
    <row r="10" ht="22" customHeight="1">
      <c r="B10" s="20">
        <f>IF(C10="","CERT-"&amp;TEXT(COUNTA($C$5:C10),"000"))</f>
        <v/>
      </c>
      <c r="C10" s="16" t="n"/>
      <c r="D10" s="16" t="n"/>
      <c r="E10" s="16" t="n"/>
      <c r="F10" s="16" t="n"/>
      <c r="G10" s="16" t="n"/>
      <c r="H10" s="32" t="n"/>
      <c r="I10" s="32" t="n"/>
      <c r="J10" s="16" t="n"/>
    </row>
    <row r="11" ht="22" customHeight="1">
      <c r="B11" s="21">
        <f>IF(C11="","CERT-"&amp;TEXT(COUNTA($C$5:C11),"000"))</f>
        <v/>
      </c>
      <c r="C11" s="12" t="n"/>
      <c r="D11" s="12" t="n"/>
      <c r="E11" s="12" t="n"/>
      <c r="F11" s="12" t="n"/>
      <c r="G11" s="12" t="n"/>
      <c r="H11" s="31" t="n"/>
      <c r="I11" s="31" t="n"/>
      <c r="J11" s="12" t="n"/>
    </row>
    <row r="12" ht="22" customHeight="1">
      <c r="B12" s="20">
        <f>IF(C12="","CERT-"&amp;TEXT(COUNTA($C$5:C12),"000"))</f>
        <v/>
      </c>
      <c r="C12" s="16" t="n"/>
      <c r="D12" s="16" t="n"/>
      <c r="E12" s="16" t="n"/>
      <c r="F12" s="16" t="n"/>
      <c r="G12" s="16" t="n"/>
      <c r="H12" s="32" t="n"/>
      <c r="I12" s="32" t="n"/>
      <c r="J12" s="16" t="n"/>
    </row>
    <row r="13" ht="22" customHeight="1">
      <c r="B13" s="21">
        <f>IF(C13="","CERT-"&amp;TEXT(COUNTA($C$5:C13),"000"))</f>
        <v/>
      </c>
      <c r="C13" s="12" t="n"/>
      <c r="D13" s="12" t="n"/>
      <c r="E13" s="12" t="n"/>
      <c r="F13" s="12" t="n"/>
      <c r="G13" s="12" t="n"/>
      <c r="H13" s="31" t="n"/>
      <c r="I13" s="31" t="n"/>
      <c r="J13" s="12" t="n"/>
    </row>
    <row r="14" ht="22" customHeight="1">
      <c r="B14" s="20">
        <f>IF(C14="","CERT-"&amp;TEXT(COUNTA($C$5:C14),"000"))</f>
        <v/>
      </c>
      <c r="C14" s="16" t="n"/>
      <c r="D14" s="16" t="n"/>
      <c r="E14" s="16" t="n"/>
      <c r="F14" s="16" t="n"/>
      <c r="G14" s="16" t="n"/>
      <c r="H14" s="32" t="n"/>
      <c r="I14" s="32" t="n"/>
      <c r="J14" s="16" t="n"/>
    </row>
    <row r="15" ht="22" customHeight="1">
      <c r="B15" s="21">
        <f>IF(C15="","CERT-"&amp;TEXT(COUNTA($C$5:C15),"000"))</f>
        <v/>
      </c>
      <c r="C15" s="12" t="n"/>
      <c r="D15" s="12" t="n"/>
      <c r="E15" s="12" t="n"/>
      <c r="F15" s="12" t="n"/>
      <c r="G15" s="12" t="n"/>
      <c r="H15" s="31" t="n"/>
      <c r="I15" s="31" t="n"/>
      <c r="J15" s="12" t="n"/>
    </row>
    <row r="16" ht="22" customHeight="1">
      <c r="B16" s="20">
        <f>IF(C16="","CERT-"&amp;TEXT(COUNTA($C$5:C16),"000"))</f>
        <v/>
      </c>
      <c r="C16" s="16" t="n"/>
      <c r="D16" s="16" t="n"/>
      <c r="E16" s="16" t="n"/>
      <c r="F16" s="16" t="n"/>
      <c r="G16" s="16" t="n"/>
      <c r="H16" s="32" t="n"/>
      <c r="I16" s="32" t="n"/>
      <c r="J16" s="16" t="n"/>
    </row>
    <row r="17" ht="22" customHeight="1">
      <c r="B17" s="21">
        <f>IF(C17="","CERT-"&amp;TEXT(COUNTA($C$5:C17),"000"))</f>
        <v/>
      </c>
      <c r="C17" s="12" t="n"/>
      <c r="D17" s="12" t="n"/>
      <c r="E17" s="12" t="n"/>
      <c r="F17" s="12" t="n"/>
      <c r="G17" s="12" t="n"/>
      <c r="H17" s="31" t="n"/>
      <c r="I17" s="31" t="n"/>
      <c r="J17" s="12" t="n"/>
    </row>
    <row r="18" ht="22" customHeight="1">
      <c r="B18" s="20">
        <f>IF(C18="","CERT-"&amp;TEXT(COUNTA($C$5:C18),"000"))</f>
        <v/>
      </c>
      <c r="C18" s="16" t="n"/>
      <c r="D18" s="16" t="n"/>
      <c r="E18" s="16" t="n"/>
      <c r="F18" s="16" t="n"/>
      <c r="G18" s="16" t="n"/>
      <c r="H18" s="32" t="n"/>
      <c r="I18" s="32" t="n"/>
      <c r="J18" s="16" t="n"/>
    </row>
    <row r="19" ht="22" customHeight="1">
      <c r="B19" s="21">
        <f>IF(C19="","CERT-"&amp;TEXT(COUNTA($C$5:C19),"000"))</f>
        <v/>
      </c>
      <c r="C19" s="12" t="n"/>
      <c r="D19" s="12" t="n"/>
      <c r="E19" s="12" t="n"/>
      <c r="F19" s="12" t="n"/>
      <c r="G19" s="12" t="n"/>
      <c r="H19" s="31" t="n"/>
      <c r="I19" s="31" t="n"/>
      <c r="J19" s="12" t="n"/>
    </row>
    <row r="20" ht="22" customHeight="1">
      <c r="B20" s="20">
        <f>IF(C20="","CERT-"&amp;TEXT(COUNTA($C$5:C20),"000"))</f>
        <v/>
      </c>
      <c r="C20" s="16" t="n"/>
      <c r="D20" s="16" t="n"/>
      <c r="E20" s="16" t="n"/>
      <c r="F20" s="16" t="n"/>
      <c r="G20" s="16" t="n"/>
      <c r="H20" s="32" t="n"/>
      <c r="I20" s="32" t="n"/>
      <c r="J20" s="16" t="n"/>
    </row>
    <row r="21" ht="22" customHeight="1">
      <c r="B21" s="21">
        <f>IF(C21="","CERT-"&amp;TEXT(COUNTA($C$5:C21),"000"))</f>
        <v/>
      </c>
      <c r="C21" s="12" t="n"/>
      <c r="D21" s="12" t="n"/>
      <c r="E21" s="12" t="n"/>
      <c r="F21" s="12" t="n"/>
      <c r="G21" s="12" t="n"/>
      <c r="H21" s="31" t="n"/>
      <c r="I21" s="31" t="n"/>
      <c r="J21" s="12" t="n"/>
    </row>
    <row r="22" ht="22" customHeight="1">
      <c r="B22" s="20">
        <f>IF(C22="","CERT-"&amp;TEXT(COUNTA($C$5:C22),"000"))</f>
        <v/>
      </c>
      <c r="C22" s="16" t="n"/>
      <c r="D22" s="16" t="n"/>
      <c r="E22" s="16" t="n"/>
      <c r="F22" s="16" t="n"/>
      <c r="G22" s="16" t="n"/>
      <c r="H22" s="32" t="n"/>
      <c r="I22" s="32" t="n"/>
      <c r="J22" s="16" t="n"/>
    </row>
    <row r="23" ht="22" customHeight="1">
      <c r="B23" s="21">
        <f>IF(C23="","CERT-"&amp;TEXT(COUNTA($C$5:C23),"000"))</f>
        <v/>
      </c>
      <c r="C23" s="12" t="n"/>
      <c r="D23" s="12" t="n"/>
      <c r="E23" s="12" t="n"/>
      <c r="F23" s="12" t="n"/>
      <c r="G23" s="12" t="n"/>
      <c r="H23" s="31" t="n"/>
      <c r="I23" s="31" t="n"/>
      <c r="J23" s="12" t="n"/>
    </row>
    <row r="24" ht="22" customHeight="1">
      <c r="B24" s="20">
        <f>IF(C24="","CERT-"&amp;TEXT(COUNTA($C$5:C24),"000"))</f>
        <v/>
      </c>
      <c r="C24" s="16" t="n"/>
      <c r="D24" s="16" t="n"/>
      <c r="E24" s="16" t="n"/>
      <c r="F24" s="16" t="n"/>
      <c r="G24" s="16" t="n"/>
      <c r="H24" s="32" t="n"/>
      <c r="I24" s="32" t="n"/>
      <c r="J24" s="16" t="n"/>
    </row>
    <row r="25" ht="22" customHeight="1">
      <c r="B25" s="21">
        <f>IF(C25="","CERT-"&amp;TEXT(COUNTA($C$5:C25),"000"))</f>
        <v/>
      </c>
      <c r="C25" s="12" t="n"/>
      <c r="D25" s="12" t="n"/>
      <c r="E25" s="12" t="n"/>
      <c r="F25" s="12" t="n"/>
      <c r="G25" s="12" t="n"/>
      <c r="H25" s="31" t="n"/>
      <c r="I25" s="31" t="n"/>
      <c r="J25" s="12" t="n"/>
    </row>
    <row r="26" ht="22" customHeight="1">
      <c r="B26" s="20">
        <f>IF(C26="","CERT-"&amp;TEXT(COUNTA($C$5:C26),"000"))</f>
        <v/>
      </c>
      <c r="C26" s="16" t="n"/>
      <c r="D26" s="16" t="n"/>
      <c r="E26" s="16" t="n"/>
      <c r="F26" s="16" t="n"/>
      <c r="G26" s="16" t="n"/>
      <c r="H26" s="32" t="n"/>
      <c r="I26" s="32" t="n"/>
      <c r="J26" s="16" t="n"/>
    </row>
    <row r="27" ht="22" customHeight="1">
      <c r="B27" s="21">
        <f>IF(C27="","CERT-"&amp;TEXT(COUNTA($C$5:C27),"000"))</f>
        <v/>
      </c>
      <c r="C27" s="12" t="n"/>
      <c r="D27" s="12" t="n"/>
      <c r="E27" s="12" t="n"/>
      <c r="F27" s="12" t="n"/>
      <c r="G27" s="12" t="n"/>
      <c r="H27" s="31" t="n"/>
      <c r="I27" s="31" t="n"/>
      <c r="J27" s="12" t="n"/>
    </row>
    <row r="28" ht="22" customHeight="1">
      <c r="B28" s="20">
        <f>IF(C28="","CERT-"&amp;TEXT(COUNTA($C$5:C28),"000"))</f>
        <v/>
      </c>
      <c r="C28" s="16" t="n"/>
      <c r="D28" s="16" t="n"/>
      <c r="E28" s="16" t="n"/>
      <c r="F28" s="16" t="n"/>
      <c r="G28" s="16" t="n"/>
      <c r="H28" s="32" t="n"/>
      <c r="I28" s="32" t="n"/>
      <c r="J28" s="16" t="n"/>
    </row>
    <row r="29" ht="22" customHeight="1">
      <c r="B29" s="21">
        <f>IF(C29="","CERT-"&amp;TEXT(COUNTA($C$5:C29),"000"))</f>
        <v/>
      </c>
      <c r="C29" s="12" t="n"/>
      <c r="D29" s="12" t="n"/>
      <c r="E29" s="12" t="n"/>
      <c r="F29" s="12" t="n"/>
      <c r="G29" s="12" t="n"/>
      <c r="H29" s="31" t="n"/>
      <c r="I29" s="31" t="n"/>
      <c r="J29" s="12" t="n"/>
    </row>
    <row r="30" ht="22" customHeight="1">
      <c r="B30" s="20">
        <f>IF(C30="","CERT-"&amp;TEXT(COUNTA($C$5:C30),"000"))</f>
        <v/>
      </c>
      <c r="C30" s="16" t="n"/>
      <c r="D30" s="16" t="n"/>
      <c r="E30" s="16" t="n"/>
      <c r="F30" s="16" t="n"/>
      <c r="G30" s="16" t="n"/>
      <c r="H30" s="32" t="n"/>
      <c r="I30" s="32" t="n"/>
      <c r="J30" s="16" t="n"/>
    </row>
    <row r="31" ht="22" customHeight="1">
      <c r="B31" s="21">
        <f>IF(C31="","CERT-"&amp;TEXT(COUNTA($C$5:C31),"000"))</f>
        <v/>
      </c>
      <c r="C31" s="12" t="n"/>
      <c r="D31" s="12" t="n"/>
      <c r="E31" s="12" t="n"/>
      <c r="F31" s="12" t="n"/>
      <c r="G31" s="12" t="n"/>
      <c r="H31" s="31" t="n"/>
      <c r="I31" s="31" t="n"/>
      <c r="J31" s="12" t="n"/>
    </row>
    <row r="32" ht="22" customHeight="1">
      <c r="B32" s="20">
        <f>IF(C32="","CERT-"&amp;TEXT(COUNTA($C$5:C32),"000"))</f>
        <v/>
      </c>
      <c r="C32" s="16" t="n"/>
      <c r="D32" s="16" t="n"/>
      <c r="E32" s="16" t="n"/>
      <c r="F32" s="16" t="n"/>
      <c r="G32" s="16" t="n"/>
      <c r="H32" s="32" t="n"/>
      <c r="I32" s="32" t="n"/>
      <c r="J32" s="16" t="n"/>
    </row>
    <row r="33" ht="22" customHeight="1">
      <c r="B33" s="21">
        <f>IF(C33="","CERT-"&amp;TEXT(COUNTA($C$5:C33),"000"))</f>
        <v/>
      </c>
      <c r="C33" s="12" t="n"/>
      <c r="D33" s="12" t="n"/>
      <c r="E33" s="12" t="n"/>
      <c r="F33" s="12" t="n"/>
      <c r="G33" s="12" t="n"/>
      <c r="H33" s="31" t="n"/>
      <c r="I33" s="31" t="n"/>
      <c r="J33" s="12" t="n"/>
    </row>
    <row r="34" ht="22" customHeight="1">
      <c r="B34" s="20">
        <f>IF(C34="","CERT-"&amp;TEXT(COUNTA($C$5:C34),"000"))</f>
        <v/>
      </c>
      <c r="C34" s="16" t="n"/>
      <c r="D34" s="16" t="n"/>
      <c r="E34" s="16" t="n"/>
      <c r="F34" s="16" t="n"/>
      <c r="G34" s="16" t="n"/>
      <c r="H34" s="32" t="n"/>
      <c r="I34" s="32" t="n"/>
      <c r="J34" s="16" t="n"/>
    </row>
    <row r="35" ht="22" customHeight="1">
      <c r="B35" s="21">
        <f>IF(C35="","CERT-"&amp;TEXT(COUNTA($C$5:C35),"000"))</f>
        <v/>
      </c>
      <c r="C35" s="12" t="n"/>
      <c r="D35" s="12" t="n"/>
      <c r="E35" s="12" t="n"/>
      <c r="F35" s="12" t="n"/>
      <c r="G35" s="12" t="n"/>
      <c r="H35" s="31" t="n"/>
      <c r="I35" s="31" t="n"/>
      <c r="J35" s="12" t="n"/>
    </row>
    <row r="36" ht="22" customHeight="1">
      <c r="B36" s="20">
        <f>IF(C36="","CERT-"&amp;TEXT(COUNTA($C$5:C36),"000"))</f>
        <v/>
      </c>
      <c r="C36" s="16" t="n"/>
      <c r="D36" s="16" t="n"/>
      <c r="E36" s="16" t="n"/>
      <c r="F36" s="16" t="n"/>
      <c r="G36" s="16" t="n"/>
      <c r="H36" s="32" t="n"/>
      <c r="I36" s="32" t="n"/>
      <c r="J36" s="16" t="n"/>
    </row>
    <row r="37" ht="22" customHeight="1">
      <c r="B37" s="21">
        <f>IF(C37="","CERT-"&amp;TEXT(COUNTA($C$5:C37),"000"))</f>
        <v/>
      </c>
      <c r="C37" s="12" t="n"/>
      <c r="D37" s="12" t="n"/>
      <c r="E37" s="12" t="n"/>
      <c r="F37" s="12" t="n"/>
      <c r="G37" s="12" t="n"/>
      <c r="H37" s="31" t="n"/>
      <c r="I37" s="31" t="n"/>
      <c r="J37" s="12" t="n"/>
    </row>
    <row r="38" ht="22" customHeight="1">
      <c r="B38" s="20">
        <f>IF(C38="","CERT-"&amp;TEXT(COUNTA($C$5:C38),"000"))</f>
        <v/>
      </c>
      <c r="C38" s="16" t="n"/>
      <c r="D38" s="16" t="n"/>
      <c r="E38" s="16" t="n"/>
      <c r="F38" s="16" t="n"/>
      <c r="G38" s="16" t="n"/>
      <c r="H38" s="32" t="n"/>
      <c r="I38" s="32" t="n"/>
      <c r="J38" s="16" t="n"/>
    </row>
    <row r="39" ht="22" customHeight="1">
      <c r="B39" s="21">
        <f>IF(C39="","CERT-"&amp;TEXT(COUNTA($C$5:C39),"000"))</f>
        <v/>
      </c>
      <c r="C39" s="12" t="n"/>
      <c r="D39" s="12" t="n"/>
      <c r="E39" s="12" t="n"/>
      <c r="F39" s="12" t="n"/>
      <c r="G39" s="12" t="n"/>
      <c r="H39" s="31" t="n"/>
      <c r="I39" s="31" t="n"/>
      <c r="J39" s="12" t="n"/>
    </row>
    <row r="40" ht="22" customHeight="1">
      <c r="B40" s="20">
        <f>IF(C40="","CERT-"&amp;TEXT(COUNTA($C$5:C40),"000"))</f>
        <v/>
      </c>
      <c r="C40" s="16" t="n"/>
      <c r="D40" s="16" t="n"/>
      <c r="E40" s="16" t="n"/>
      <c r="F40" s="16" t="n"/>
      <c r="G40" s="16" t="n"/>
      <c r="H40" s="32" t="n"/>
      <c r="I40" s="32" t="n"/>
      <c r="J40" s="16" t="n"/>
    </row>
    <row r="41" ht="22" customHeight="1">
      <c r="B41" s="21">
        <f>IF(C41="","CERT-"&amp;TEXT(COUNTA($C$5:C41),"000"))</f>
        <v/>
      </c>
      <c r="C41" s="12" t="n"/>
      <c r="D41" s="12" t="n"/>
      <c r="E41" s="12" t="n"/>
      <c r="F41" s="12" t="n"/>
      <c r="G41" s="12" t="n"/>
      <c r="H41" s="31" t="n"/>
      <c r="I41" s="31" t="n"/>
      <c r="J41" s="12" t="n"/>
    </row>
    <row r="42" ht="22" customHeight="1">
      <c r="B42" s="20">
        <f>IF(C42="","CERT-"&amp;TEXT(COUNTA($C$5:C42),"000"))</f>
        <v/>
      </c>
      <c r="C42" s="16" t="n"/>
      <c r="D42" s="16" t="n"/>
      <c r="E42" s="16" t="n"/>
      <c r="F42" s="16" t="n"/>
      <c r="G42" s="16" t="n"/>
      <c r="H42" s="32" t="n"/>
      <c r="I42" s="32" t="n"/>
      <c r="J42" s="16" t="n"/>
    </row>
    <row r="43" ht="22" customHeight="1">
      <c r="B43" s="21">
        <f>IF(C43="","CERT-"&amp;TEXT(COUNTA($C$5:C43),"000"))</f>
        <v/>
      </c>
      <c r="C43" s="12" t="n"/>
      <c r="D43" s="12" t="n"/>
      <c r="E43" s="12" t="n"/>
      <c r="F43" s="12" t="n"/>
      <c r="G43" s="12" t="n"/>
      <c r="H43" s="31" t="n"/>
      <c r="I43" s="31" t="n"/>
      <c r="J43" s="12" t="n"/>
    </row>
    <row r="44" ht="22" customHeight="1">
      <c r="B44" s="20">
        <f>IF(C44="","CERT-"&amp;TEXT(COUNTA($C$5:C44),"000"))</f>
        <v/>
      </c>
      <c r="C44" s="16" t="n"/>
      <c r="D44" s="16" t="n"/>
      <c r="E44" s="16" t="n"/>
      <c r="F44" s="16" t="n"/>
      <c r="G44" s="16" t="n"/>
      <c r="H44" s="32" t="n"/>
      <c r="I44" s="32" t="n"/>
      <c r="J44" s="16" t="n"/>
    </row>
    <row r="45" ht="22" customHeight="1">
      <c r="B45" s="21">
        <f>IF(C45="","CERT-"&amp;TEXT(COUNTA($C$5:C45),"000"))</f>
        <v/>
      </c>
      <c r="C45" s="12" t="n"/>
      <c r="D45" s="12" t="n"/>
      <c r="E45" s="12" t="n"/>
      <c r="F45" s="12" t="n"/>
      <c r="G45" s="12" t="n"/>
      <c r="H45" s="31" t="n"/>
      <c r="I45" s="31" t="n"/>
      <c r="J45" s="12" t="n"/>
    </row>
    <row r="46" ht="22" customHeight="1">
      <c r="B46" s="20">
        <f>IF(C46="","CERT-"&amp;TEXT(COUNTA($C$5:C46),"000"))</f>
        <v/>
      </c>
      <c r="C46" s="16" t="n"/>
      <c r="D46" s="16" t="n"/>
      <c r="E46" s="16" t="n"/>
      <c r="F46" s="16" t="n"/>
      <c r="G46" s="16" t="n"/>
      <c r="H46" s="32" t="n"/>
      <c r="I46" s="32" t="n"/>
      <c r="J46" s="16" t="n"/>
    </row>
    <row r="47" ht="22" customHeight="1">
      <c r="B47" s="21">
        <f>IF(C47="","CERT-"&amp;TEXT(COUNTA($C$5:C47),"000"))</f>
        <v/>
      </c>
      <c r="C47" s="12" t="n"/>
      <c r="D47" s="12" t="n"/>
      <c r="E47" s="12" t="n"/>
      <c r="F47" s="12" t="n"/>
      <c r="G47" s="12" t="n"/>
      <c r="H47" s="31" t="n"/>
      <c r="I47" s="31" t="n"/>
      <c r="J47" s="12" t="n"/>
    </row>
    <row r="48" ht="22" customHeight="1">
      <c r="B48" s="20">
        <f>IF(C48="","CERT-"&amp;TEXT(COUNTA($C$5:C48),"000"))</f>
        <v/>
      </c>
      <c r="C48" s="16" t="n"/>
      <c r="D48" s="16" t="n"/>
      <c r="E48" s="16" t="n"/>
      <c r="F48" s="16" t="n"/>
      <c r="G48" s="16" t="n"/>
      <c r="H48" s="32" t="n"/>
      <c r="I48" s="32" t="n"/>
      <c r="J48" s="16" t="n"/>
    </row>
    <row r="49" ht="22" customHeight="1">
      <c r="B49" s="21">
        <f>IF(C49="","CERT-"&amp;TEXT(COUNTA($C$5:C49),"000"))</f>
        <v/>
      </c>
      <c r="C49" s="12" t="n"/>
      <c r="D49" s="12" t="n"/>
      <c r="E49" s="12" t="n"/>
      <c r="F49" s="12" t="n"/>
      <c r="G49" s="12" t="n"/>
      <c r="H49" s="31" t="n"/>
      <c r="I49" s="31" t="n"/>
      <c r="J49" s="12" t="n"/>
    </row>
    <row r="50" ht="22" customHeight="1">
      <c r="B50" s="20">
        <f>IF(C50="","CERT-"&amp;TEXT(COUNTA($C$5:C50),"000"))</f>
        <v/>
      </c>
      <c r="C50" s="16" t="n"/>
      <c r="D50" s="16" t="n"/>
      <c r="E50" s="16" t="n"/>
      <c r="F50" s="16" t="n"/>
      <c r="G50" s="16" t="n"/>
      <c r="H50" s="32" t="n"/>
      <c r="I50" s="32" t="n"/>
      <c r="J50" s="16" t="n"/>
    </row>
    <row r="51" ht="22" customHeight="1">
      <c r="B51" s="21">
        <f>IF(C51="","CERT-"&amp;TEXT(COUNTA($C$5:C51),"000"))</f>
        <v/>
      </c>
      <c r="C51" s="12" t="n"/>
      <c r="D51" s="12" t="n"/>
      <c r="E51" s="12" t="n"/>
      <c r="F51" s="12" t="n"/>
      <c r="G51" s="12" t="n"/>
      <c r="H51" s="31" t="n"/>
      <c r="I51" s="31" t="n"/>
      <c r="J51" s="12" t="n"/>
    </row>
    <row r="52" ht="22" customHeight="1">
      <c r="B52" s="20">
        <f>IF(C52="","CERT-"&amp;TEXT(COUNTA($C$5:C52),"000"))</f>
        <v/>
      </c>
      <c r="C52" s="16" t="n"/>
      <c r="D52" s="16" t="n"/>
      <c r="E52" s="16" t="n"/>
      <c r="F52" s="16" t="n"/>
      <c r="G52" s="16" t="n"/>
      <c r="H52" s="32" t="n"/>
      <c r="I52" s="32" t="n"/>
      <c r="J52" s="16" t="n"/>
    </row>
    <row r="53" ht="22" customHeight="1">
      <c r="B53" s="21">
        <f>IF(C53="","CERT-"&amp;TEXT(COUNTA($C$5:C53),"000"))</f>
        <v/>
      </c>
      <c r="C53" s="12" t="n"/>
      <c r="D53" s="12" t="n"/>
      <c r="E53" s="12" t="n"/>
      <c r="F53" s="12" t="n"/>
      <c r="G53" s="12" t="n"/>
      <c r="H53" s="31" t="n"/>
      <c r="I53" s="31" t="n"/>
      <c r="J53" s="12" t="n"/>
    </row>
    <row r="54" ht="22" customHeight="1">
      <c r="B54" s="20">
        <f>IF(C54="","CERT-"&amp;TEXT(COUNTA($C$5:C54),"000"))</f>
        <v/>
      </c>
      <c r="C54" s="16" t="n"/>
      <c r="D54" s="16" t="n"/>
      <c r="E54" s="16" t="n"/>
      <c r="F54" s="16" t="n"/>
      <c r="G54" s="16" t="n"/>
      <c r="H54" s="32" t="n"/>
      <c r="I54" s="32" t="n"/>
      <c r="J54" s="16" t="n"/>
    </row>
    <row r="55" ht="22" customHeight="1">
      <c r="B55" s="21">
        <f>IF(C55="","CERT-"&amp;TEXT(COUNTA($C$5:C55),"000"))</f>
        <v/>
      </c>
      <c r="C55" s="12" t="n"/>
      <c r="D55" s="12" t="n"/>
      <c r="E55" s="12" t="n"/>
      <c r="F55" s="12" t="n"/>
      <c r="G55" s="12" t="n"/>
      <c r="H55" s="31" t="n"/>
      <c r="I55" s="31" t="n"/>
      <c r="J55" s="12" t="n"/>
    </row>
    <row r="56" ht="22" customHeight="1">
      <c r="B56" s="20">
        <f>IF(C56="","CERT-"&amp;TEXT(COUNTA($C$5:C56),"000"))</f>
        <v/>
      </c>
      <c r="C56" s="16" t="n"/>
      <c r="D56" s="16" t="n"/>
      <c r="E56" s="16" t="n"/>
      <c r="F56" s="16" t="n"/>
      <c r="G56" s="16" t="n"/>
      <c r="H56" s="32" t="n"/>
      <c r="I56" s="32" t="n"/>
      <c r="J56" s="16" t="n"/>
    </row>
    <row r="57" ht="22" customHeight="1">
      <c r="B57" s="21">
        <f>IF(C57="","CERT-"&amp;TEXT(COUNTA($C$5:C57),"000"))</f>
        <v/>
      </c>
      <c r="C57" s="12" t="n"/>
      <c r="D57" s="12" t="n"/>
      <c r="E57" s="12" t="n"/>
      <c r="F57" s="12" t="n"/>
      <c r="G57" s="12" t="n"/>
      <c r="H57" s="31" t="n"/>
      <c r="I57" s="31" t="n"/>
      <c r="J57" s="12" t="n"/>
    </row>
    <row r="58" ht="22" customHeight="1">
      <c r="B58" s="20">
        <f>IF(C58="","CERT-"&amp;TEXT(COUNTA($C$5:C58),"000"))</f>
        <v/>
      </c>
      <c r="C58" s="16" t="n"/>
      <c r="D58" s="16" t="n"/>
      <c r="E58" s="16" t="n"/>
      <c r="F58" s="16" t="n"/>
      <c r="G58" s="16" t="n"/>
      <c r="H58" s="32" t="n"/>
      <c r="I58" s="32" t="n"/>
      <c r="J58" s="16" t="n"/>
    </row>
    <row r="59" ht="22" customHeight="1">
      <c r="B59" s="21">
        <f>IF(C59="","CERT-"&amp;TEXT(COUNTA($C$5:C59),"000"))</f>
        <v/>
      </c>
      <c r="C59" s="12" t="n"/>
      <c r="D59" s="12" t="n"/>
      <c r="E59" s="12" t="n"/>
      <c r="F59" s="12" t="n"/>
      <c r="G59" s="12" t="n"/>
      <c r="H59" s="31" t="n"/>
      <c r="I59" s="31" t="n"/>
      <c r="J59" s="12" t="n"/>
    </row>
    <row r="60" ht="22" customHeight="1">
      <c r="B60" s="20">
        <f>IF(C60="","CERT-"&amp;TEXT(COUNTA($C$5:C60),"000"))</f>
        <v/>
      </c>
      <c r="C60" s="16" t="n"/>
      <c r="D60" s="16" t="n"/>
      <c r="E60" s="16" t="n"/>
      <c r="F60" s="16" t="n"/>
      <c r="G60" s="16" t="n"/>
      <c r="H60" s="32" t="n"/>
      <c r="I60" s="32" t="n"/>
      <c r="J60" s="16" t="n"/>
    </row>
    <row r="61" ht="22" customHeight="1">
      <c r="B61" s="21">
        <f>IF(C61="","CERT-"&amp;TEXT(COUNTA($C$5:C61),"000"))</f>
        <v/>
      </c>
      <c r="C61" s="12" t="n"/>
      <c r="D61" s="12" t="n"/>
      <c r="E61" s="12" t="n"/>
      <c r="F61" s="12" t="n"/>
      <c r="G61" s="12" t="n"/>
      <c r="H61" s="31" t="n"/>
      <c r="I61" s="31" t="n"/>
      <c r="J61" s="12" t="n"/>
    </row>
    <row r="62" ht="22" customHeight="1">
      <c r="B62" s="20">
        <f>IF(C62="","CERT-"&amp;TEXT(COUNTA($C$5:C62),"000"))</f>
        <v/>
      </c>
      <c r="C62" s="16" t="n"/>
      <c r="D62" s="16" t="n"/>
      <c r="E62" s="16" t="n"/>
      <c r="F62" s="16" t="n"/>
      <c r="G62" s="16" t="n"/>
      <c r="H62" s="32" t="n"/>
      <c r="I62" s="32" t="n"/>
      <c r="J62" s="16" t="n"/>
    </row>
    <row r="63" ht="22" customHeight="1">
      <c r="B63" s="21">
        <f>IF(C63="","CERT-"&amp;TEXT(COUNTA($C$5:C63),"000"))</f>
        <v/>
      </c>
      <c r="C63" s="12" t="n"/>
      <c r="D63" s="12" t="n"/>
      <c r="E63" s="12" t="n"/>
      <c r="F63" s="12" t="n"/>
      <c r="G63" s="12" t="n"/>
      <c r="H63" s="31" t="n"/>
      <c r="I63" s="31" t="n"/>
      <c r="J63" s="12" t="n"/>
    </row>
    <row r="64" ht="22" customHeight="1">
      <c r="B64" s="20">
        <f>IF(C64="","CERT-"&amp;TEXT(COUNTA($C$5:C64),"000"))</f>
        <v/>
      </c>
      <c r="C64" s="16" t="n"/>
      <c r="D64" s="16" t="n"/>
      <c r="E64" s="16" t="n"/>
      <c r="F64" s="16" t="n"/>
      <c r="G64" s="16" t="n"/>
      <c r="H64" s="32" t="n"/>
      <c r="I64" s="32" t="n"/>
      <c r="J64" s="16" t="n"/>
    </row>
    <row r="65" ht="22" customHeight="1">
      <c r="B65" s="21">
        <f>IF(C65="","CERT-"&amp;TEXT(COUNTA($C$5:C65),"000"))</f>
        <v/>
      </c>
      <c r="C65" s="12" t="n"/>
      <c r="D65" s="12" t="n"/>
      <c r="E65" s="12" t="n"/>
      <c r="F65" s="12" t="n"/>
      <c r="G65" s="12" t="n"/>
      <c r="H65" s="31" t="n"/>
      <c r="I65" s="31" t="n"/>
      <c r="J65" s="12" t="n"/>
    </row>
    <row r="66" ht="22" customHeight="1">
      <c r="B66" s="20">
        <f>IF(C66="","CERT-"&amp;TEXT(COUNTA($C$5:C66),"000"))</f>
        <v/>
      </c>
      <c r="C66" s="16" t="n"/>
      <c r="D66" s="16" t="n"/>
      <c r="E66" s="16" t="n"/>
      <c r="F66" s="16" t="n"/>
      <c r="G66" s="16" t="n"/>
      <c r="H66" s="32" t="n"/>
      <c r="I66" s="32" t="n"/>
      <c r="J66" s="16" t="n"/>
    </row>
    <row r="67" ht="22" customHeight="1">
      <c r="B67" s="21">
        <f>IF(C67="","CERT-"&amp;TEXT(COUNTA($C$5:C67),"000"))</f>
        <v/>
      </c>
      <c r="C67" s="12" t="n"/>
      <c r="D67" s="12" t="n"/>
      <c r="E67" s="12" t="n"/>
      <c r="F67" s="12" t="n"/>
      <c r="G67" s="12" t="n"/>
      <c r="H67" s="31" t="n"/>
      <c r="I67" s="31" t="n"/>
      <c r="J67" s="12" t="n"/>
    </row>
    <row r="68" ht="22" customHeight="1">
      <c r="B68" s="20">
        <f>IF(C68="","CERT-"&amp;TEXT(COUNTA($C$5:C68),"000"))</f>
        <v/>
      </c>
      <c r="C68" s="16" t="n"/>
      <c r="D68" s="16" t="n"/>
      <c r="E68" s="16" t="n"/>
      <c r="F68" s="16" t="n"/>
      <c r="G68" s="16" t="n"/>
      <c r="H68" s="32" t="n"/>
      <c r="I68" s="32" t="n"/>
      <c r="J68" s="16" t="n"/>
    </row>
    <row r="69" ht="22" customHeight="1">
      <c r="B69" s="21">
        <f>IF(C69="","CERT-"&amp;TEXT(COUNTA($C$5:C69),"000"))</f>
        <v/>
      </c>
      <c r="C69" s="12" t="n"/>
      <c r="D69" s="12" t="n"/>
      <c r="E69" s="12" t="n"/>
      <c r="F69" s="12" t="n"/>
      <c r="G69" s="12" t="n"/>
      <c r="H69" s="31" t="n"/>
      <c r="I69" s="31" t="n"/>
      <c r="J69" s="12" t="n"/>
    </row>
    <row r="70" ht="22" customHeight="1">
      <c r="B70" s="20">
        <f>IF(C70="","CERT-"&amp;TEXT(COUNTA($C$5:C70),"000"))</f>
        <v/>
      </c>
      <c r="C70" s="16" t="n"/>
      <c r="D70" s="16" t="n"/>
      <c r="E70" s="16" t="n"/>
      <c r="F70" s="16" t="n"/>
      <c r="G70" s="16" t="n"/>
      <c r="H70" s="32" t="n"/>
      <c r="I70" s="32" t="n"/>
      <c r="J70" s="16" t="n"/>
    </row>
    <row r="71" ht="22" customHeight="1">
      <c r="B71" s="21">
        <f>IF(C71="","CERT-"&amp;TEXT(COUNTA($C$5:C71),"000"))</f>
        <v/>
      </c>
      <c r="C71" s="12" t="n"/>
      <c r="D71" s="12" t="n"/>
      <c r="E71" s="12" t="n"/>
      <c r="F71" s="12" t="n"/>
      <c r="G71" s="12" t="n"/>
      <c r="H71" s="31" t="n"/>
      <c r="I71" s="31" t="n"/>
      <c r="J71" s="12" t="n"/>
    </row>
    <row r="72" ht="22" customHeight="1">
      <c r="B72" s="20">
        <f>IF(C72="","CERT-"&amp;TEXT(COUNTA($C$5:C72),"000"))</f>
        <v/>
      </c>
      <c r="C72" s="16" t="n"/>
      <c r="D72" s="16" t="n"/>
      <c r="E72" s="16" t="n"/>
      <c r="F72" s="16" t="n"/>
      <c r="G72" s="16" t="n"/>
      <c r="H72" s="32" t="n"/>
      <c r="I72" s="32" t="n"/>
      <c r="J72" s="16" t="n"/>
    </row>
    <row r="73" ht="22" customHeight="1">
      <c r="B73" s="21">
        <f>IF(C73="","CERT-"&amp;TEXT(COUNTA($C$5:C73),"000"))</f>
        <v/>
      </c>
      <c r="C73" s="12" t="n"/>
      <c r="D73" s="12" t="n"/>
      <c r="E73" s="12" t="n"/>
      <c r="F73" s="12" t="n"/>
      <c r="G73" s="12" t="n"/>
      <c r="H73" s="31" t="n"/>
      <c r="I73" s="31" t="n"/>
      <c r="J73" s="12" t="n"/>
    </row>
    <row r="74" ht="22" customHeight="1">
      <c r="B74" s="20">
        <f>IF(C74="","CERT-"&amp;TEXT(COUNTA($C$5:C74),"000"))</f>
        <v/>
      </c>
      <c r="C74" s="16" t="n"/>
      <c r="D74" s="16" t="n"/>
      <c r="E74" s="16" t="n"/>
      <c r="F74" s="16" t="n"/>
      <c r="G74" s="16" t="n"/>
      <c r="H74" s="32" t="n"/>
      <c r="I74" s="32" t="n"/>
      <c r="J74" s="16" t="n"/>
    </row>
    <row r="75" ht="22" customHeight="1">
      <c r="B75" s="21">
        <f>IF(C75="","CERT-"&amp;TEXT(COUNTA($C$5:C75),"000"))</f>
        <v/>
      </c>
      <c r="C75" s="12" t="n"/>
      <c r="D75" s="12" t="n"/>
      <c r="E75" s="12" t="n"/>
      <c r="F75" s="12" t="n"/>
      <c r="G75" s="12" t="n"/>
      <c r="H75" s="31" t="n"/>
      <c r="I75" s="31" t="n"/>
      <c r="J75" s="12" t="n"/>
    </row>
    <row r="76" ht="22" customHeight="1">
      <c r="B76" s="20">
        <f>IF(C76="","CERT-"&amp;TEXT(COUNTA($C$5:C76),"000"))</f>
        <v/>
      </c>
      <c r="C76" s="16" t="n"/>
      <c r="D76" s="16" t="n"/>
      <c r="E76" s="16" t="n"/>
      <c r="F76" s="16" t="n"/>
      <c r="G76" s="16" t="n"/>
      <c r="H76" s="32" t="n"/>
      <c r="I76" s="32" t="n"/>
      <c r="J76" s="16" t="n"/>
    </row>
    <row r="77" ht="22" customHeight="1">
      <c r="B77" s="21">
        <f>IF(C77="","CERT-"&amp;TEXT(COUNTA($C$5:C77),"000"))</f>
        <v/>
      </c>
      <c r="C77" s="12" t="n"/>
      <c r="D77" s="12" t="n"/>
      <c r="E77" s="12" t="n"/>
      <c r="F77" s="12" t="n"/>
      <c r="G77" s="12" t="n"/>
      <c r="H77" s="31" t="n"/>
      <c r="I77" s="31" t="n"/>
      <c r="J77" s="12" t="n"/>
    </row>
    <row r="78" ht="22" customHeight="1">
      <c r="B78" s="20">
        <f>IF(C78="","CERT-"&amp;TEXT(COUNTA($C$5:C78),"000"))</f>
        <v/>
      </c>
      <c r="C78" s="16" t="n"/>
      <c r="D78" s="16" t="n"/>
      <c r="E78" s="16" t="n"/>
      <c r="F78" s="16" t="n"/>
      <c r="G78" s="16" t="n"/>
      <c r="H78" s="32" t="n"/>
      <c r="I78" s="32" t="n"/>
      <c r="J78" s="16" t="n"/>
    </row>
    <row r="79" ht="22" customHeight="1">
      <c r="B79" s="21">
        <f>IF(C79="","CERT-"&amp;TEXT(COUNTA($C$5:C79),"000"))</f>
        <v/>
      </c>
      <c r="C79" s="12" t="n"/>
      <c r="D79" s="12" t="n"/>
      <c r="E79" s="12" t="n"/>
      <c r="F79" s="12" t="n"/>
      <c r="G79" s="12" t="n"/>
      <c r="H79" s="31" t="n"/>
      <c r="I79" s="31" t="n"/>
      <c r="J79" s="12" t="n"/>
    </row>
    <row r="80" ht="22" customHeight="1">
      <c r="B80" s="20">
        <f>IF(C80="","CERT-"&amp;TEXT(COUNTA($C$5:C80),"000"))</f>
        <v/>
      </c>
      <c r="C80" s="16" t="n"/>
      <c r="D80" s="16" t="n"/>
      <c r="E80" s="16" t="n"/>
      <c r="F80" s="16" t="n"/>
      <c r="G80" s="16" t="n"/>
      <c r="H80" s="32" t="n"/>
      <c r="I80" s="32" t="n"/>
      <c r="J80" s="16" t="n"/>
    </row>
    <row r="81" ht="22" customHeight="1">
      <c r="B81" s="21">
        <f>IF(C81="","CERT-"&amp;TEXT(COUNTA($C$5:C81),"000"))</f>
        <v/>
      </c>
      <c r="C81" s="12" t="n"/>
      <c r="D81" s="12" t="n"/>
      <c r="E81" s="12" t="n"/>
      <c r="F81" s="12" t="n"/>
      <c r="G81" s="12" t="n"/>
      <c r="H81" s="31" t="n"/>
      <c r="I81" s="31" t="n"/>
      <c r="J81" s="12" t="n"/>
    </row>
    <row r="82" ht="22" customHeight="1">
      <c r="B82" s="20">
        <f>IF(C82="","CERT-"&amp;TEXT(COUNTA($C$5:C82),"000"))</f>
        <v/>
      </c>
      <c r="C82" s="16" t="n"/>
      <c r="D82" s="16" t="n"/>
      <c r="E82" s="16" t="n"/>
      <c r="F82" s="16" t="n"/>
      <c r="G82" s="16" t="n"/>
      <c r="H82" s="32" t="n"/>
      <c r="I82" s="32" t="n"/>
      <c r="J82" s="16" t="n"/>
    </row>
    <row r="83" ht="22" customHeight="1">
      <c r="B83" s="21">
        <f>IF(C83="","CERT-"&amp;TEXT(COUNTA($C$5:C83),"000"))</f>
        <v/>
      </c>
      <c r="C83" s="12" t="n"/>
      <c r="D83" s="12" t="n"/>
      <c r="E83" s="12" t="n"/>
      <c r="F83" s="12" t="n"/>
      <c r="G83" s="12" t="n"/>
      <c r="H83" s="31" t="n"/>
      <c r="I83" s="31" t="n"/>
      <c r="J83" s="12" t="n"/>
    </row>
    <row r="84" ht="22" customHeight="1">
      <c r="B84" s="20">
        <f>IF(C84="","CERT-"&amp;TEXT(COUNTA($C$5:C84),"000"))</f>
        <v/>
      </c>
      <c r="C84" s="16" t="n"/>
      <c r="D84" s="16" t="n"/>
      <c r="E84" s="16" t="n"/>
      <c r="F84" s="16" t="n"/>
      <c r="G84" s="16" t="n"/>
      <c r="H84" s="32" t="n"/>
      <c r="I84" s="32" t="n"/>
      <c r="J84" s="16" t="n"/>
    </row>
    <row r="85" ht="22" customHeight="1">
      <c r="B85" s="21">
        <f>IF(C85="","CERT-"&amp;TEXT(COUNTA($C$5:C85),"000"))</f>
        <v/>
      </c>
      <c r="C85" s="12" t="n"/>
      <c r="D85" s="12" t="n"/>
      <c r="E85" s="12" t="n"/>
      <c r="F85" s="12" t="n"/>
      <c r="G85" s="12" t="n"/>
      <c r="H85" s="31" t="n"/>
      <c r="I85" s="31" t="n"/>
      <c r="J85" s="12" t="n"/>
    </row>
    <row r="86" ht="22" customHeight="1">
      <c r="B86" s="20">
        <f>IF(C86="","CERT-"&amp;TEXT(COUNTA($C$5:C86),"000"))</f>
        <v/>
      </c>
      <c r="C86" s="16" t="n"/>
      <c r="D86" s="16" t="n"/>
      <c r="E86" s="16" t="n"/>
      <c r="F86" s="16" t="n"/>
      <c r="G86" s="16" t="n"/>
      <c r="H86" s="32" t="n"/>
      <c r="I86" s="32" t="n"/>
      <c r="J86" s="16" t="n"/>
    </row>
    <row r="87" ht="22" customHeight="1">
      <c r="B87" s="21">
        <f>IF(C87="","CERT-"&amp;TEXT(COUNTA($C$5:C87),"000"))</f>
        <v/>
      </c>
      <c r="C87" s="12" t="n"/>
      <c r="D87" s="12" t="n"/>
      <c r="E87" s="12" t="n"/>
      <c r="F87" s="12" t="n"/>
      <c r="G87" s="12" t="n"/>
      <c r="H87" s="31" t="n"/>
      <c r="I87" s="31" t="n"/>
      <c r="J87" s="12" t="n"/>
    </row>
    <row r="88" ht="22" customHeight="1">
      <c r="B88" s="20">
        <f>IF(C88="","CERT-"&amp;TEXT(COUNTA($C$5:C88),"000"))</f>
        <v/>
      </c>
      <c r="C88" s="16" t="n"/>
      <c r="D88" s="16" t="n"/>
      <c r="E88" s="16" t="n"/>
      <c r="F88" s="16" t="n"/>
      <c r="G88" s="16" t="n"/>
      <c r="H88" s="32" t="n"/>
      <c r="I88" s="32" t="n"/>
      <c r="J88" s="16" t="n"/>
    </row>
    <row r="89" ht="22" customHeight="1">
      <c r="B89" s="21">
        <f>IF(C89="","CERT-"&amp;TEXT(COUNTA($C$5:C89),"000"))</f>
        <v/>
      </c>
      <c r="C89" s="12" t="n"/>
      <c r="D89" s="12" t="n"/>
      <c r="E89" s="12" t="n"/>
      <c r="F89" s="12" t="n"/>
      <c r="G89" s="12" t="n"/>
      <c r="H89" s="31" t="n"/>
      <c r="I89" s="31" t="n"/>
      <c r="J89" s="12" t="n"/>
    </row>
    <row r="90" ht="22" customHeight="1">
      <c r="B90" s="20">
        <f>IF(C90="","CERT-"&amp;TEXT(COUNTA($C$5:C90),"000"))</f>
        <v/>
      </c>
      <c r="C90" s="16" t="n"/>
      <c r="D90" s="16" t="n"/>
      <c r="E90" s="16" t="n"/>
      <c r="F90" s="16" t="n"/>
      <c r="G90" s="16" t="n"/>
      <c r="H90" s="32" t="n"/>
      <c r="I90" s="32" t="n"/>
      <c r="J90" s="16" t="n"/>
    </row>
    <row r="91" ht="22" customHeight="1">
      <c r="B91" s="21">
        <f>IF(C91="","CERT-"&amp;TEXT(COUNTA($C$5:C91),"000"))</f>
        <v/>
      </c>
      <c r="C91" s="12" t="n"/>
      <c r="D91" s="12" t="n"/>
      <c r="E91" s="12" t="n"/>
      <c r="F91" s="12" t="n"/>
      <c r="G91" s="12" t="n"/>
      <c r="H91" s="31" t="n"/>
      <c r="I91" s="31" t="n"/>
      <c r="J91" s="12" t="n"/>
    </row>
    <row r="92" ht="22" customHeight="1">
      <c r="B92" s="20">
        <f>IF(C92="","CERT-"&amp;TEXT(COUNTA($C$5:C92),"000"))</f>
        <v/>
      </c>
      <c r="C92" s="16" t="n"/>
      <c r="D92" s="16" t="n"/>
      <c r="E92" s="16" t="n"/>
      <c r="F92" s="16" t="n"/>
      <c r="G92" s="16" t="n"/>
      <c r="H92" s="32" t="n"/>
      <c r="I92" s="32" t="n"/>
      <c r="J92" s="16" t="n"/>
    </row>
    <row r="93" ht="22" customHeight="1">
      <c r="B93" s="21">
        <f>IF(C93="","CERT-"&amp;TEXT(COUNTA($C$5:C93),"000"))</f>
        <v/>
      </c>
      <c r="C93" s="12" t="n"/>
      <c r="D93" s="12" t="n"/>
      <c r="E93" s="12" t="n"/>
      <c r="F93" s="12" t="n"/>
      <c r="G93" s="12" t="n"/>
      <c r="H93" s="31" t="n"/>
      <c r="I93" s="31" t="n"/>
      <c r="J93" s="12" t="n"/>
    </row>
    <row r="94" ht="22" customHeight="1">
      <c r="B94" s="20">
        <f>IF(C94="","CERT-"&amp;TEXT(COUNTA($C$5:C94),"000"))</f>
        <v/>
      </c>
      <c r="C94" s="16" t="n"/>
      <c r="D94" s="16" t="n"/>
      <c r="E94" s="16" t="n"/>
      <c r="F94" s="16" t="n"/>
      <c r="G94" s="16" t="n"/>
      <c r="H94" s="32" t="n"/>
      <c r="I94" s="32" t="n"/>
      <c r="J94" s="16" t="n"/>
    </row>
    <row r="95" ht="22" customHeight="1">
      <c r="B95" s="21">
        <f>IF(C95="","CERT-"&amp;TEXT(COUNTA($C$5:C95),"000"))</f>
        <v/>
      </c>
      <c r="C95" s="12" t="n"/>
      <c r="D95" s="12" t="n"/>
      <c r="E95" s="12" t="n"/>
      <c r="F95" s="12" t="n"/>
      <c r="G95" s="12" t="n"/>
      <c r="H95" s="31" t="n"/>
      <c r="I95" s="31" t="n"/>
      <c r="J95" s="12" t="n"/>
    </row>
    <row r="96" ht="22" customHeight="1">
      <c r="B96" s="20">
        <f>IF(C96="","CERT-"&amp;TEXT(COUNTA($C$5:C96),"000"))</f>
        <v/>
      </c>
      <c r="C96" s="16" t="n"/>
      <c r="D96" s="16" t="n"/>
      <c r="E96" s="16" t="n"/>
      <c r="F96" s="16" t="n"/>
      <c r="G96" s="16" t="n"/>
      <c r="H96" s="32" t="n"/>
      <c r="I96" s="32" t="n"/>
      <c r="J96" s="16" t="n"/>
    </row>
    <row r="97" ht="22" customHeight="1">
      <c r="B97" s="21">
        <f>IF(C97="","CERT-"&amp;TEXT(COUNTA($C$5:C97),"000"))</f>
        <v/>
      </c>
      <c r="C97" s="12" t="n"/>
      <c r="D97" s="12" t="n"/>
      <c r="E97" s="12" t="n"/>
      <c r="F97" s="12" t="n"/>
      <c r="G97" s="12" t="n"/>
      <c r="H97" s="31" t="n"/>
      <c r="I97" s="31" t="n"/>
      <c r="J97" s="12" t="n"/>
    </row>
    <row r="98" ht="22" customHeight="1">
      <c r="B98" s="20">
        <f>IF(C98="","CERT-"&amp;TEXT(COUNTA($C$5:C98),"000"))</f>
        <v/>
      </c>
      <c r="C98" s="16" t="n"/>
      <c r="D98" s="16" t="n"/>
      <c r="E98" s="16" t="n"/>
      <c r="F98" s="16" t="n"/>
      <c r="G98" s="16" t="n"/>
      <c r="H98" s="32" t="n"/>
      <c r="I98" s="32" t="n"/>
      <c r="J98" s="16" t="n"/>
    </row>
    <row r="99" ht="22" customHeight="1">
      <c r="B99" s="21">
        <f>IF(C99="","CERT-"&amp;TEXT(COUNTA($C$5:C99),"000"))</f>
        <v/>
      </c>
      <c r="C99" s="12" t="n"/>
      <c r="D99" s="12" t="n"/>
      <c r="E99" s="12" t="n"/>
      <c r="F99" s="12" t="n"/>
      <c r="G99" s="12" t="n"/>
      <c r="H99" s="31" t="n"/>
      <c r="I99" s="31" t="n"/>
      <c r="J99" s="12" t="n"/>
    </row>
    <row r="100" ht="22" customHeight="1">
      <c r="B100" s="20">
        <f>IF(C100="","CERT-"&amp;TEXT(COUNTA($C$5:C100),"000"))</f>
        <v/>
      </c>
      <c r="C100" s="16" t="n"/>
      <c r="D100" s="16" t="n"/>
      <c r="E100" s="16" t="n"/>
      <c r="F100" s="16" t="n"/>
      <c r="G100" s="16" t="n"/>
      <c r="H100" s="32" t="n"/>
      <c r="I100" s="32" t="n"/>
      <c r="J100" s="16" t="n"/>
    </row>
    <row r="101" ht="22" customHeight="1">
      <c r="B101" s="21">
        <f>IF(C101="","CERT-"&amp;TEXT(COUNTA($C$5:C101),"000"))</f>
        <v/>
      </c>
      <c r="C101" s="12" t="n"/>
      <c r="D101" s="12" t="n"/>
      <c r="E101" s="12" t="n"/>
      <c r="F101" s="12" t="n"/>
      <c r="G101" s="12" t="n"/>
      <c r="H101" s="31" t="n"/>
      <c r="I101" s="31" t="n"/>
      <c r="J101" s="12" t="n"/>
    </row>
    <row r="102" ht="22" customHeight="1">
      <c r="B102" s="20">
        <f>IF(C102="","CERT-"&amp;TEXT(COUNTA($C$5:C102),"000"))</f>
        <v/>
      </c>
      <c r="C102" s="16" t="n"/>
      <c r="D102" s="16" t="n"/>
      <c r="E102" s="16" t="n"/>
      <c r="F102" s="16" t="n"/>
      <c r="G102" s="16" t="n"/>
      <c r="H102" s="32" t="n"/>
      <c r="I102" s="32" t="n"/>
      <c r="J102" s="16" t="n"/>
    </row>
    <row r="103" ht="22" customHeight="1">
      <c r="B103" s="21">
        <f>IF(C103="","CERT-"&amp;TEXT(COUNTA($C$5:C103),"000"))</f>
        <v/>
      </c>
      <c r="C103" s="12" t="n"/>
      <c r="D103" s="12" t="n"/>
      <c r="E103" s="12" t="n"/>
      <c r="F103" s="12" t="n"/>
      <c r="G103" s="12" t="n"/>
      <c r="H103" s="31" t="n"/>
      <c r="I103" s="31" t="n"/>
      <c r="J103" s="12" t="n"/>
    </row>
    <row r="104" ht="22" customHeight="1">
      <c r="B104" s="20">
        <f>IF(C104="","CERT-"&amp;TEXT(COUNTA($C$5:C104),"000"))</f>
        <v/>
      </c>
      <c r="C104" s="16" t="n"/>
      <c r="D104" s="16" t="n"/>
      <c r="E104" s="16" t="n"/>
      <c r="F104" s="16" t="n"/>
      <c r="G104" s="16" t="n"/>
      <c r="H104" s="32" t="n"/>
      <c r="I104" s="32" t="n"/>
      <c r="J104" s="16" t="n"/>
    </row>
    <row r="105" ht="22" customHeight="1">
      <c r="B105" s="21">
        <f>IF(C105="","CERT-"&amp;TEXT(COUNTA($C$5:C105),"000"))</f>
        <v/>
      </c>
      <c r="C105" s="12" t="n"/>
      <c r="D105" s="12" t="n"/>
      <c r="E105" s="12" t="n"/>
      <c r="F105" s="12" t="n"/>
      <c r="G105" s="12" t="n"/>
      <c r="H105" s="31" t="n"/>
      <c r="I105" s="31" t="n"/>
      <c r="J105" s="12" t="n"/>
    </row>
    <row r="106" ht="22" customHeight="1">
      <c r="B106" s="20">
        <f>IF(C106="","CERT-"&amp;TEXT(COUNTA($C$5:C106),"000"))</f>
        <v/>
      </c>
      <c r="C106" s="16" t="n"/>
      <c r="D106" s="16" t="n"/>
      <c r="E106" s="16" t="n"/>
      <c r="F106" s="16" t="n"/>
      <c r="G106" s="16" t="n"/>
      <c r="H106" s="32" t="n"/>
      <c r="I106" s="32" t="n"/>
      <c r="J106" s="16" t="n"/>
    </row>
    <row r="107" ht="22" customHeight="1">
      <c r="B107" s="21">
        <f>IF(C107="","CERT-"&amp;TEXT(COUNTA($C$5:C107),"000"))</f>
        <v/>
      </c>
      <c r="C107" s="12" t="n"/>
      <c r="D107" s="12" t="n"/>
      <c r="E107" s="12" t="n"/>
      <c r="F107" s="12" t="n"/>
      <c r="G107" s="12" t="n"/>
      <c r="H107" s="31" t="n"/>
      <c r="I107" s="31" t="n"/>
      <c r="J107" s="12" t="n"/>
    </row>
    <row r="108" ht="22" customHeight="1">
      <c r="B108" s="20">
        <f>IF(C108="","CERT-"&amp;TEXT(COUNTA($C$5:C108),"000"))</f>
        <v/>
      </c>
      <c r="C108" s="16" t="n"/>
      <c r="D108" s="16" t="n"/>
      <c r="E108" s="16" t="n"/>
      <c r="F108" s="16" t="n"/>
      <c r="G108" s="16" t="n"/>
      <c r="H108" s="32" t="n"/>
      <c r="I108" s="32" t="n"/>
      <c r="J108" s="16" t="n"/>
    </row>
    <row r="109" ht="22" customHeight="1">
      <c r="B109" s="21">
        <f>IF(C109="","CERT-"&amp;TEXT(COUNTA($C$5:C109),"000"))</f>
        <v/>
      </c>
      <c r="C109" s="12" t="n"/>
      <c r="D109" s="12" t="n"/>
      <c r="E109" s="12" t="n"/>
      <c r="F109" s="12" t="n"/>
      <c r="G109" s="12" t="n"/>
      <c r="H109" s="31" t="n"/>
      <c r="I109" s="31" t="n"/>
      <c r="J109" s="12" t="n"/>
    </row>
    <row r="111">
      <c r="B111" s="6" t="inlineStr">
        <is>
          <t>INDICATEURS (mis a jour automatiquement)</t>
        </is>
      </c>
    </row>
    <row r="112">
      <c r="B112" s="3" t="inlineStr">
        <is>
          <t>Certifications</t>
        </is>
      </c>
      <c r="D112" s="3" t="inlineStr">
        <is>
          <t>Valides</t>
        </is>
      </c>
      <c r="F112" s="3" t="inlineStr">
        <is>
          <t>A renouveler</t>
        </is>
      </c>
      <c r="H112" s="3" t="inlineStr">
        <is>
          <t>Expirees</t>
        </is>
      </c>
    </row>
    <row r="113">
      <c r="B113" s="4">
        <f>COUNTIF(B5:B104,"&lt;&gt;")</f>
        <v/>
      </c>
      <c r="D113" s="4">
        <f>COUNTIF(J5:J104,"Valide")</f>
        <v/>
      </c>
      <c r="F113" s="4">
        <f>COUNTIF(J5:J104,"A renouveler")</f>
        <v/>
      </c>
      <c r="H113" s="4">
        <f>COUNTIF(J5:J104,"Expire")</f>
        <v/>
      </c>
    </row>
  </sheetData>
  <mergeCells count="3">
    <mergeCell ref="B3:J3"/>
    <mergeCell ref="B2:J2"/>
    <mergeCell ref="B111:J111"/>
  </mergeCells>
  <conditionalFormatting sqref="J5:J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1">
      <formula>"En attente"</formula>
    </cfRule>
    <cfRule type="cellIs" priority="28" operator="equal" dxfId="1">
      <formula>"A renouveler"</formula>
    </cfRule>
    <cfRule type="cellIs" priority="29" operator="equal" dxfId="1">
      <formula>"En cours"</formula>
    </cfRule>
    <cfRule type="cellIs" priority="30" operator="equal" dxfId="1">
      <formula>"En traitement"</formula>
    </cfRule>
    <cfRule type="cellIs" priority="31" operator="equal" dxfId="1">
      <formula>"En retard"</formula>
    </cfRule>
    <cfRule type="cellIs" priority="32" operator="equal" dxfId="1">
      <formula>"Suspendu"</formula>
    </cfRule>
    <cfRule type="cellIs" priority="33" operator="equal" dxfId="1">
      <formula>"Planifie"</formula>
    </cfRule>
    <cfRule type="cellIs" priority="34" operator="equal" dxfId="1">
      <formula>"Planifiee"</formula>
    </cfRule>
    <cfRule type="cellIs" priority="35" operator="equal" dxfId="1">
      <formula>"Brouillon"</formula>
    </cfRule>
    <cfRule type="cellIs" priority="36" operator="equal" dxfId="1">
      <formula>"En attente de justification"</formula>
    </cfRule>
    <cfRule type="cellIs" priority="37" operator="equal" dxfId="1">
      <formula>"Tolere"</formula>
    </cfRule>
    <cfRule type="cellIs" priority="38" operator="equal" dxfId="1">
      <formula>"Variable"</formula>
    </cfRule>
    <cfRule type="cellIs" priority="39" operator="equal" dxfId="1">
      <formula>"En elaboration"</formula>
    </cfRule>
    <cfRule type="cellIs" priority="40" operator="equal" dxfId="1">
      <formula>"Provisionne"</formula>
    </cfRule>
    <cfRule type="cellIs" priority="41" operator="equal" dxfId="1">
      <formula>"Consomme partiel"</formula>
    </cfRule>
    <cfRule type="cellIs" priority="42" operator="equal" dxfId="1">
      <formula>"Identifie"</formula>
    </cfRule>
    <cfRule type="cellIs" priority="43" operator="equal" dxfId="1">
      <formula>"Priorise"</formula>
    </cfRule>
    <cfRule type="cellIs" priority="44" operator="equal" dxfId="1">
      <formula>"Intermediaire"</formula>
    </cfRule>
    <cfRule type="cellIs" priority="45" operator="equal" dxfId="1">
      <formula>"Non evalue"</formula>
    </cfRule>
    <cfRule type="cellIs" priority="46" operator="equal" dxfId="1">
      <formula>"En cours de realisation"</formula>
    </cfRule>
    <cfRule type="cellIs" priority="47" operator="equal" dxfId="2">
      <formula>"Expire"</formula>
    </cfRule>
    <cfRule type="cellIs" priority="48" operator="equal" dxfId="2">
      <formula>"Rejete"</formula>
    </cfRule>
    <cfRule type="cellIs" priority="49" operator="equal" dxfId="2">
      <formula>"Rejetee"</formula>
    </cfRule>
    <cfRule type="cellIs" priority="50" operator="equal" dxfId="2">
      <formula>"Resilie"</formula>
    </cfRule>
    <cfRule type="cellIs" priority="51" operator="equal" dxfId="2">
      <formula>"Annule"</formula>
    </cfRule>
    <cfRule type="cellIs" priority="52" operator="equal" dxfId="2">
      <formula>"Annulee"</formula>
    </cfRule>
    <cfRule type="cellIs" priority="53" operator="equal" dxfId="2">
      <formula>"Refuse"</formula>
    </cfRule>
    <cfRule type="cellIs" priority="54" operator="equal" dxfId="2">
      <formula>"Non justifie"</formula>
    </cfRule>
    <cfRule type="cellIs" priority="55" operator="equal" dxfId="2">
      <formula>"Non justifiee"</formula>
    </cfRule>
    <cfRule type="cellIs" priority="56" operator="equal" dxfId="2">
      <formula>"Sanctionne"</formula>
    </cfRule>
    <cfRule type="cellIs" priority="57" operator="equal" dxfId="2">
      <formula>"Inaptitude"</formula>
    </cfRule>
    <cfRule type="cellIs" priority="58" operator="equal" dxfId="2">
      <formula>"Absent sans autorisation"</formula>
    </cfRule>
    <cfRule type="cellIs" priority="59" operator="equal" dxfId="2">
      <formula>"Abandon de poste"</formula>
    </cfRule>
    <cfRule type="cellIs" priority="60" operator="equal" dxfId="2">
      <formula>"Non satisfait"</formula>
    </cfRule>
    <cfRule type="cellIs" priority="61" operator="equal" dxfId="2">
      <formula>"Reportee"</formula>
    </cfRule>
    <cfRule type="cellIs" priority="62" operator="equal" dxfId="2">
      <formula>"Depasse"</formula>
    </cfRule>
    <cfRule type="cellIs" priority="63" operator="equal" dxfId="2">
      <formula>"Non utilise"</formula>
    </cfRule>
    <cfRule type="cellIs" priority="64" operator="equal" dxfId="2">
      <formula>"Non applicable"</formula>
    </cfRule>
    <cfRule type="cellIs" priority="65" operator="equal" dxfId="2">
      <formula>"Debutant"</formula>
    </cfRule>
  </conditionalFormatting>
  <conditionalFormatting sqref="B10:B109">
    <cfRule type="expression" priority="66" dxfId="3">
      <formula>AND($C10="",$C9&lt;&gt;"")</formula>
    </cfRule>
  </conditionalFormatting>
  <conditionalFormatting sqref="C10:C109">
    <cfRule type="expression" priority="67" dxfId="3">
      <formula>AND($C10="",$C9&lt;&gt;"")</formula>
    </cfRule>
  </conditionalFormatting>
  <conditionalFormatting sqref="D10:D109">
    <cfRule type="expression" priority="68" dxfId="3">
      <formula>AND($C10="",$C9&lt;&gt;"")</formula>
    </cfRule>
  </conditionalFormatting>
  <conditionalFormatting sqref="E10:E109">
    <cfRule type="expression" priority="69" dxfId="3">
      <formula>AND($C10="",$C9&lt;&gt;"")</formula>
    </cfRule>
  </conditionalFormatting>
  <conditionalFormatting sqref="F10:F109">
    <cfRule type="expression" priority="70" dxfId="3">
      <formula>AND($C10="",$C9&lt;&gt;"")</formula>
    </cfRule>
  </conditionalFormatting>
  <conditionalFormatting sqref="G10:G109">
    <cfRule type="expression" priority="71" dxfId="3">
      <formula>AND($C10="",$C9&lt;&gt;"")</formula>
    </cfRule>
  </conditionalFormatting>
  <conditionalFormatting sqref="H10:H109">
    <cfRule type="expression" priority="72" dxfId="3">
      <formula>AND($C10="",$C9&lt;&gt;"")</formula>
    </cfRule>
  </conditionalFormatting>
  <conditionalFormatting sqref="I10:I109">
    <cfRule type="expression" priority="73" dxfId="3">
      <formula>AND($C10="",$C9&lt;&gt;"")</formula>
    </cfRule>
  </conditionalFormatting>
  <conditionalFormatting sqref="J10:J109">
    <cfRule type="expression" priority="74" dxfId="3">
      <formula>AND($C10="",$C9&lt;&gt;"")</formula>
    </cfRule>
  </conditionalFormatting>
  <dataValidations count="2"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J5:J109" showDropDown="0" showInputMessage="0" showErrorMessage="0" allowBlank="1" errorTitle="Erreur" error="Valeur invalide" promptTitle="Liste" prompt="Choisir dans la liste" type="list">
      <formula1>'_Lists'!$G$2:$G$7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K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20" customWidth="1" min="4" max="4"/>
    <col width="22" customWidth="1" min="5" max="5"/>
    <col width="10" customWidth="1" min="6" max="6"/>
    <col width="16" customWidth="1" min="7" max="7"/>
    <col width="18" customWidth="1" min="8" max="8"/>
    <col width="18" customWidth="1" min="9" max="9"/>
    <col width="20" customWidth="1" min="10" max="10"/>
    <col width="20" customWidth="1" min="11" max="11"/>
  </cols>
  <sheetData>
    <row r="1" ht="15" customHeight="1"/>
    <row r="2" ht="32" customHeight="1">
      <c r="B2" s="1" t="inlineStr">
        <is>
          <t>HISTORIQUE FORMATIONS PAR EMPLOYE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Matricule</t>
        </is>
      </c>
      <c r="D4" s="11" t="inlineStr">
        <is>
          <t>Nom Employe</t>
        </is>
      </c>
      <c r="E4" s="11" t="inlineStr">
        <is>
          <t>Departement</t>
        </is>
      </c>
      <c r="F4" s="11" t="inlineStr">
        <is>
          <t>Annee</t>
        </is>
      </c>
      <c r="G4" s="11" t="inlineStr">
        <is>
          <t>Nb Formations</t>
        </is>
      </c>
      <c r="H4" s="11" t="inlineStr">
        <is>
          <t>Heures Totales (h)</t>
        </is>
      </c>
      <c r="I4" s="11" t="inlineStr">
        <is>
          <t>Cout Total (FCFA)</t>
        </is>
      </c>
      <c r="J4" s="11" t="inlineStr">
        <is>
          <t>Score Eval Chaud Moy.</t>
        </is>
      </c>
      <c r="K4" s="11" t="inlineStr">
        <is>
          <t>Score Eval Froid Moy.</t>
        </is>
      </c>
    </row>
    <row r="5" ht="22" customHeight="1">
      <c r="B5" s="12" t="inlineStr">
        <is>
          <t>HF-001</t>
        </is>
      </c>
      <c r="C5" s="12" t="inlineStr">
        <is>
          <t>EMP-010</t>
        </is>
      </c>
      <c r="D5" s="12">
        <f>IF(C5="","",VLOOKUP(C5,'_Données Employés'!$B$5:$H$18,4,FALSE)&amp;" "&amp;VLOOKUP(C5,'_Données Employés'!$B$5:$H$18,5,FALSE))</f>
        <v/>
      </c>
      <c r="E5" s="12">
        <f>IF(C5="","",VLOOKUP(C5,'_Données Employés'!$B$5:$H$18,6,FALSE))</f>
        <v/>
      </c>
      <c r="F5" s="12" t="inlineStr">
        <is>
          <t>2025</t>
        </is>
      </c>
      <c r="G5" s="13">
        <f>COUNTIF('4-Inscriptions Formation'!C:C,C5)</f>
        <v/>
      </c>
      <c r="H5" s="13" t="n">
        <v>24</v>
      </c>
      <c r="I5" s="15">
        <f>IFERROR(SUMIF('4-Inscriptions Formation'!C:C,C5,'4-Inscriptions Formation'!I:I),0)</f>
        <v/>
      </c>
      <c r="J5" s="33">
        <f>IFERROR(ROUND(AVERAGEIF('6-Evaluation a Chaud'!D:D,C5,'6-Evaluation a Chaud'!J:J),1),0)</f>
        <v/>
      </c>
      <c r="K5" s="33">
        <f>IFERROR(ROUND(AVERAGEIF('7-Evaluation a Froid'!D:D,C5,'7-Evaluation a Froid'!I:I),1),0)</f>
        <v/>
      </c>
    </row>
    <row r="6" ht="22" customHeight="1">
      <c r="B6" s="16" t="inlineStr">
        <is>
          <t>HF-002</t>
        </is>
      </c>
      <c r="C6" s="16" t="inlineStr">
        <is>
          <t>EMP-004</t>
        </is>
      </c>
      <c r="D6" s="16">
        <f>IF(C6="","",VLOOKUP(C6,'_Données Employés'!$B$5:$H$18,4,FALSE)&amp;" "&amp;VLOOKUP(C6,'_Données Employés'!$B$5:$H$18,5,FALSE))</f>
        <v/>
      </c>
      <c r="E6" s="16">
        <f>IF(C6="","",VLOOKUP(C6,'_Données Employés'!$B$5:$H$18,6,FALSE))</f>
        <v/>
      </c>
      <c r="F6" s="16" t="inlineStr">
        <is>
          <t>2025</t>
        </is>
      </c>
      <c r="G6" s="17">
        <f>COUNTIF('4-Inscriptions Formation'!C:C,C6)</f>
        <v/>
      </c>
      <c r="H6" s="17" t="n">
        <v>45</v>
      </c>
      <c r="I6" s="19">
        <f>IFERROR(SUMIF('4-Inscriptions Formation'!C:C,C6,'4-Inscriptions Formation'!I:I),0)</f>
        <v/>
      </c>
      <c r="J6" s="34">
        <f>IFERROR(ROUND(AVERAGEIF('6-Evaluation a Chaud'!D:D,C6,'6-Evaluation a Chaud'!J:J),1),0)</f>
        <v/>
      </c>
      <c r="K6" s="34">
        <f>IFERROR(ROUND(AVERAGEIF('7-Evaluation a Froid'!D:D,C6,'7-Evaluation a Froid'!I:I),1),0)</f>
        <v/>
      </c>
    </row>
    <row r="7" ht="22" customHeight="1">
      <c r="B7" s="12" t="inlineStr">
        <is>
          <t>HF-002</t>
        </is>
      </c>
      <c r="C7" s="12" t="inlineStr">
        <is>
          <t>EMP-004</t>
        </is>
      </c>
      <c r="D7" s="12">
        <f>IF(C7="","",VLOOKUP(C7,'_Données Employés'!$B$5:$H$18,4,FALSE)&amp;" "&amp;VLOOKUP(C7,'_Données Employés'!$B$5:$H$18,5,FALSE))</f>
        <v/>
      </c>
      <c r="E7" s="12">
        <f>IF(C7="","",VLOOKUP(C7,'_Données Employés'!$B$5:$H$18,6,FALSE))</f>
        <v/>
      </c>
      <c r="F7" s="12" t="inlineStr">
        <is>
          <t>2024</t>
        </is>
      </c>
      <c r="G7" s="13">
        <f>COUNTIF('4-Inscriptions Formation'!C:C,C7)</f>
        <v/>
      </c>
      <c r="H7" s="13" t="n">
        <v>20</v>
      </c>
      <c r="I7" s="15">
        <f>IFERROR(SUMIF('4-Inscriptions Formation'!C:C,C7,'4-Inscriptions Formation'!I:I),0)</f>
        <v/>
      </c>
      <c r="J7" s="33">
        <f>IFERROR(ROUND(AVERAGEIF('6-Evaluation a Chaud'!D:D,C7,'6-Evaluation a Chaud'!J:J),1),0)</f>
        <v/>
      </c>
      <c r="K7" s="33">
        <f>IFERROR(ROUND(AVERAGEIF('7-Evaluation a Froid'!D:D,C7,'7-Evaluation a Froid'!I:I),1),0)</f>
        <v/>
      </c>
    </row>
    <row r="8" ht="22" customHeight="1">
      <c r="B8" s="16" t="inlineStr">
        <is>
          <t>HF-003</t>
        </is>
      </c>
      <c r="C8" s="16" t="inlineStr">
        <is>
          <t>EMP-006</t>
        </is>
      </c>
      <c r="D8" s="16">
        <f>IF(C8="","",VLOOKUP(C8,'_Données Employés'!$B$5:$H$18,4,FALSE)&amp;" "&amp;VLOOKUP(C8,'_Données Employés'!$B$5:$H$18,5,FALSE))</f>
        <v/>
      </c>
      <c r="E8" s="16">
        <f>IF(C8="","",VLOOKUP(C8,'_Données Employés'!$B$5:$H$18,6,FALSE))</f>
        <v/>
      </c>
      <c r="F8" s="16" t="inlineStr">
        <is>
          <t>2025</t>
        </is>
      </c>
      <c r="G8" s="17">
        <f>COUNTIF('4-Inscriptions Formation'!C:C,C8)</f>
        <v/>
      </c>
      <c r="H8" s="17" t="n">
        <v>12</v>
      </c>
      <c r="I8" s="19">
        <f>IFERROR(SUMIF('4-Inscriptions Formation'!C:C,C8,'4-Inscriptions Formation'!I:I),0)</f>
        <v/>
      </c>
      <c r="J8" s="34">
        <f>IFERROR(ROUND(AVERAGEIF('6-Evaluation a Chaud'!D:D,C8,'6-Evaluation a Chaud'!J:J),1),0)</f>
        <v/>
      </c>
      <c r="K8" s="34">
        <f>IFERROR(ROUND(AVERAGEIF('7-Evaluation a Froid'!D:D,C8,'7-Evaluation a Froid'!I:I),1),0)</f>
        <v/>
      </c>
    </row>
    <row r="9" ht="22" customHeight="1">
      <c r="B9" s="12" t="inlineStr">
        <is>
          <t>HF-004</t>
        </is>
      </c>
      <c r="C9" s="12" t="inlineStr">
        <is>
          <t>EMP-001</t>
        </is>
      </c>
      <c r="D9" s="12">
        <f>IF(C9="","",VLOOKUP(C9,'_Données Employés'!$B$5:$H$18,4,FALSE)&amp;" "&amp;VLOOKUP(C9,'_Données Employés'!$B$5:$H$18,5,FALSE))</f>
        <v/>
      </c>
      <c r="E9" s="12">
        <f>IF(C9="","",VLOOKUP(C9,'_Données Employés'!$B$5:$H$18,6,FALSE))</f>
        <v/>
      </c>
      <c r="F9" s="12" t="inlineStr">
        <is>
          <t>2025</t>
        </is>
      </c>
      <c r="G9" s="13">
        <f>COUNTIF('4-Inscriptions Formation'!C:C,C9)</f>
        <v/>
      </c>
      <c r="H9" s="13" t="n">
        <v>4</v>
      </c>
      <c r="I9" s="15">
        <f>IFERROR(SUMIF('4-Inscriptions Formation'!C:C,C9,'4-Inscriptions Formation'!I:I),0)</f>
        <v/>
      </c>
      <c r="J9" s="33">
        <f>IFERROR(ROUND(AVERAGEIF('6-Evaluation a Chaud'!D:D,C9,'6-Evaluation a Chaud'!J:J),1),0)</f>
        <v/>
      </c>
      <c r="K9" s="33">
        <f>IFERROR(ROUND(AVERAGEIF('7-Evaluation a Froid'!D:D,C9,'7-Evaluation a Froid'!I:I),1),0)</f>
        <v/>
      </c>
    </row>
    <row r="10" ht="22" customHeight="1">
      <c r="B10" s="12" t="inlineStr">
        <is>
          <t>HF-007</t>
        </is>
      </c>
      <c r="C10" s="12" t="inlineStr">
        <is>
          <t>EMP-002</t>
        </is>
      </c>
      <c r="D10" s="12">
        <f>IF(C10="","",VLOOKUP(C10,'_Données Employés'!$B$5:$H$18,4,FALSE)&amp;" "&amp;VLOOKUP(C10,'_Données Employés'!$B$5:$H$18,5,FALSE))</f>
        <v/>
      </c>
      <c r="E10" s="12">
        <f>IF(C10="","",VLOOKUP(C10,'_Données Employés'!$B$5:$H$18,6,FALSE))</f>
        <v/>
      </c>
      <c r="F10" s="12" t="inlineStr">
        <is>
          <t>2025</t>
        </is>
      </c>
      <c r="G10" s="13" t="n"/>
      <c r="H10" s="13" t="n"/>
      <c r="I10" s="15" t="n"/>
      <c r="J10" s="33" t="n"/>
      <c r="K10" s="33" t="n"/>
    </row>
    <row r="11" ht="22" customHeight="1">
      <c r="B11" s="12" t="inlineStr">
        <is>
          <t>HF-008</t>
        </is>
      </c>
      <c r="C11" s="12" t="inlineStr">
        <is>
          <t>EMP-005</t>
        </is>
      </c>
      <c r="D11" s="12">
        <f>IF(C11="","",VLOOKUP(C11,'_Données Employés'!$B$5:$H$18,4,FALSE)&amp;" "&amp;VLOOKUP(C11,'_Données Employés'!$B$5:$H$18,5,FALSE))</f>
        <v/>
      </c>
      <c r="E11" s="12">
        <f>IF(C11="","",VLOOKUP(C11,'_Données Employés'!$B$5:$H$18,6,FALSE))</f>
        <v/>
      </c>
      <c r="F11" s="12" t="inlineStr">
        <is>
          <t>2025</t>
        </is>
      </c>
      <c r="G11" s="13" t="n"/>
      <c r="H11" s="13" t="n"/>
      <c r="I11" s="15" t="n"/>
      <c r="J11" s="33" t="n"/>
      <c r="K11" s="33" t="n"/>
    </row>
    <row r="12" ht="22" customHeight="1">
      <c r="B12" s="12" t="inlineStr">
        <is>
          <t>HF-009</t>
        </is>
      </c>
      <c r="C12" s="12" t="inlineStr">
        <is>
          <t>EMP-007</t>
        </is>
      </c>
      <c r="D12" s="12">
        <f>IF(C12="","",VLOOKUP(C12,'_Données Employés'!$B$5:$H$18,4,FALSE)&amp;" "&amp;VLOOKUP(C12,'_Données Employés'!$B$5:$H$18,5,FALSE))</f>
        <v/>
      </c>
      <c r="E12" s="12">
        <f>IF(C12="","",VLOOKUP(C12,'_Données Employés'!$B$5:$H$18,6,FALSE))</f>
        <v/>
      </c>
      <c r="F12" s="12" t="inlineStr">
        <is>
          <t>2025</t>
        </is>
      </c>
      <c r="G12" s="13" t="n"/>
      <c r="H12" s="13" t="n"/>
      <c r="I12" s="15" t="n"/>
      <c r="J12" s="33" t="n"/>
      <c r="K12" s="33" t="n"/>
    </row>
    <row r="13" ht="22" customHeight="1">
      <c r="B13" s="12" t="inlineStr">
        <is>
          <t>HF-010</t>
        </is>
      </c>
      <c r="C13" s="12" t="inlineStr">
        <is>
          <t>EMP-008</t>
        </is>
      </c>
      <c r="D13" s="12">
        <f>IF(C13="","",VLOOKUP(C13,'_Données Employés'!$B$5:$H$18,4,FALSE)&amp;" "&amp;VLOOKUP(C13,'_Données Employés'!$B$5:$H$18,5,FALSE))</f>
        <v/>
      </c>
      <c r="E13" s="12">
        <f>IF(C13="","",VLOOKUP(C13,'_Données Employés'!$B$5:$H$18,6,FALSE))</f>
        <v/>
      </c>
      <c r="F13" s="12" t="inlineStr">
        <is>
          <t>2025</t>
        </is>
      </c>
      <c r="G13" s="13" t="n"/>
      <c r="H13" s="13" t="n"/>
      <c r="I13" s="15" t="n"/>
      <c r="J13" s="33" t="n"/>
      <c r="K13" s="33" t="n"/>
    </row>
    <row r="14" ht="22" customHeight="1">
      <c r="B14" s="12" t="inlineStr">
        <is>
          <t>HF-011</t>
        </is>
      </c>
      <c r="C14" s="12" t="inlineStr">
        <is>
          <t>EMP-028</t>
        </is>
      </c>
      <c r="D14" s="12">
        <f>IF(C14="","",VLOOKUP(C14,'_Données Employés'!$B$5:$H$18,4,FALSE)&amp;" "&amp;VLOOKUP(C14,'_Données Employés'!$B$5:$H$18,5,FALSE))</f>
        <v/>
      </c>
      <c r="E14" s="12">
        <f>IF(C14="","",VLOOKUP(C14,'_Données Employés'!$B$5:$H$18,6,FALSE))</f>
        <v/>
      </c>
      <c r="F14" s="12" t="inlineStr">
        <is>
          <t>2025</t>
        </is>
      </c>
      <c r="G14" s="13" t="n"/>
      <c r="H14" s="13" t="n"/>
      <c r="I14" s="15" t="n"/>
      <c r="J14" s="33" t="n"/>
      <c r="K14" s="33" t="n"/>
    </row>
    <row r="15" ht="22" customHeight="1">
      <c r="B15" s="12" t="inlineStr">
        <is>
          <t>HF-012</t>
        </is>
      </c>
      <c r="C15" s="12" t="inlineStr">
        <is>
          <t>EMP-029</t>
        </is>
      </c>
      <c r="D15" s="12">
        <f>IF(C15="","",VLOOKUP(C15,'_Données Employés'!$B$5:$H$18,4,FALSE)&amp;" "&amp;VLOOKUP(C15,'_Données Employés'!$B$5:$H$18,5,FALSE))</f>
        <v/>
      </c>
      <c r="E15" s="12">
        <f>IF(C15="","",VLOOKUP(C15,'_Données Employés'!$B$5:$H$18,6,FALSE))</f>
        <v/>
      </c>
      <c r="F15" s="12" t="inlineStr">
        <is>
          <t>2025</t>
        </is>
      </c>
      <c r="G15" s="13" t="n"/>
      <c r="H15" s="13" t="n"/>
      <c r="I15" s="15" t="n"/>
      <c r="J15" s="33" t="n"/>
      <c r="K15" s="33" t="n"/>
    </row>
    <row r="16" ht="22" customHeight="1">
      <c r="B16" s="20">
        <f>IF(C16="","HF-"&amp;TEXT(COUNTA($C$5:C16),"000"))</f>
        <v/>
      </c>
      <c r="C16" s="16" t="n"/>
      <c r="D16" s="16" t="n"/>
      <c r="E16" s="16" t="n"/>
      <c r="F16" s="16" t="n"/>
      <c r="G16" s="17" t="n"/>
      <c r="H16" s="17" t="n"/>
      <c r="I16" s="19" t="n"/>
      <c r="J16" s="34" t="n"/>
      <c r="K16" s="34" t="n"/>
    </row>
    <row r="17" ht="22" customHeight="1">
      <c r="B17" s="21">
        <f>IF(C17="","HF-"&amp;TEXT(COUNTA($C$5:C17),"000"))</f>
        <v/>
      </c>
      <c r="C17" s="12" t="n"/>
      <c r="D17" s="12" t="n"/>
      <c r="E17" s="12" t="n"/>
      <c r="F17" s="12" t="n"/>
      <c r="G17" s="13" t="n"/>
      <c r="H17" s="13" t="n"/>
      <c r="I17" s="15" t="n"/>
      <c r="J17" s="33" t="n"/>
      <c r="K17" s="33" t="n"/>
    </row>
    <row r="18" ht="22" customHeight="1">
      <c r="B18" s="20">
        <f>IF(C18="","HF-"&amp;TEXT(COUNTA($C$5:C18),"000"))</f>
        <v/>
      </c>
      <c r="C18" s="16" t="n"/>
      <c r="D18" s="16" t="n"/>
      <c r="E18" s="16" t="n"/>
      <c r="F18" s="16" t="n"/>
      <c r="G18" s="17" t="n"/>
      <c r="H18" s="17" t="n"/>
      <c r="I18" s="19" t="n"/>
      <c r="J18" s="34" t="n"/>
      <c r="K18" s="34" t="n"/>
    </row>
    <row r="19" ht="22" customHeight="1">
      <c r="B19" s="21">
        <f>IF(C19="","HF-"&amp;TEXT(COUNTA($C$5:C19),"000"))</f>
        <v/>
      </c>
      <c r="C19" s="12" t="n"/>
      <c r="D19" s="12" t="n"/>
      <c r="E19" s="12" t="n"/>
      <c r="F19" s="12" t="n"/>
      <c r="G19" s="13" t="n"/>
      <c r="H19" s="13" t="n"/>
      <c r="I19" s="15" t="n"/>
      <c r="J19" s="33" t="n"/>
      <c r="K19" s="33" t="n"/>
    </row>
    <row r="20" ht="22" customHeight="1">
      <c r="B20" s="20">
        <f>IF(C20="","HF-"&amp;TEXT(COUNTA($C$5:C20),"000"))</f>
        <v/>
      </c>
      <c r="C20" s="16" t="n"/>
      <c r="D20" s="16" t="n"/>
      <c r="E20" s="16" t="n"/>
      <c r="F20" s="16" t="n"/>
      <c r="G20" s="17" t="n"/>
      <c r="H20" s="17" t="n"/>
      <c r="I20" s="19" t="n"/>
      <c r="J20" s="34" t="n"/>
      <c r="K20" s="34" t="n"/>
    </row>
    <row r="21" ht="22" customHeight="1">
      <c r="B21" s="21">
        <f>IF(C21="","HF-"&amp;TEXT(COUNTA($C$5:C21),"000"))</f>
        <v/>
      </c>
      <c r="C21" s="12" t="n"/>
      <c r="D21" s="12" t="n"/>
      <c r="E21" s="12" t="n"/>
      <c r="F21" s="12" t="n"/>
      <c r="G21" s="13" t="n"/>
      <c r="H21" s="13" t="n"/>
      <c r="I21" s="15" t="n"/>
      <c r="J21" s="33" t="n"/>
      <c r="K21" s="33" t="n"/>
    </row>
    <row r="22" ht="22" customHeight="1">
      <c r="B22" s="20">
        <f>IF(C22="","HF-"&amp;TEXT(COUNTA($C$5:C22),"000"))</f>
        <v/>
      </c>
      <c r="C22" s="16" t="n"/>
      <c r="D22" s="16" t="n"/>
      <c r="E22" s="16" t="n"/>
      <c r="F22" s="16" t="n"/>
      <c r="G22" s="17" t="n"/>
      <c r="H22" s="17" t="n"/>
      <c r="I22" s="19" t="n"/>
      <c r="J22" s="34" t="n"/>
      <c r="K22" s="34" t="n"/>
    </row>
    <row r="23" ht="22" customHeight="1">
      <c r="B23" s="21">
        <f>IF(C23="","HF-"&amp;TEXT(COUNTA($C$5:C23),"000"))</f>
        <v/>
      </c>
      <c r="C23" s="12" t="n"/>
      <c r="D23" s="12" t="n"/>
      <c r="E23" s="12" t="n"/>
      <c r="F23" s="12" t="n"/>
      <c r="G23" s="13" t="n"/>
      <c r="H23" s="13" t="n"/>
      <c r="I23" s="15" t="n"/>
      <c r="J23" s="33" t="n"/>
      <c r="K23" s="33" t="n"/>
    </row>
    <row r="24" ht="22" customHeight="1">
      <c r="B24" s="20">
        <f>IF(C24="","HF-"&amp;TEXT(COUNTA($C$5:C24),"000"))</f>
        <v/>
      </c>
      <c r="C24" s="16" t="n"/>
      <c r="D24" s="16" t="n"/>
      <c r="E24" s="16" t="n"/>
      <c r="F24" s="16" t="n"/>
      <c r="G24" s="17" t="n"/>
      <c r="H24" s="17" t="n"/>
      <c r="I24" s="19" t="n"/>
      <c r="J24" s="34" t="n"/>
      <c r="K24" s="34" t="n"/>
    </row>
    <row r="25" ht="22" customHeight="1">
      <c r="B25" s="21">
        <f>IF(C25="","HF-"&amp;TEXT(COUNTA($C$5:C25),"000"))</f>
        <v/>
      </c>
      <c r="C25" s="12" t="n"/>
      <c r="D25" s="12" t="n"/>
      <c r="E25" s="12" t="n"/>
      <c r="F25" s="12" t="n"/>
      <c r="G25" s="13" t="n"/>
      <c r="H25" s="13" t="n"/>
      <c r="I25" s="15" t="n"/>
      <c r="J25" s="33" t="n"/>
      <c r="K25" s="33" t="n"/>
    </row>
    <row r="26" ht="22" customHeight="1">
      <c r="B26" s="20">
        <f>IF(C26="","HF-"&amp;TEXT(COUNTA($C$5:C26),"000"))</f>
        <v/>
      </c>
      <c r="C26" s="16" t="n"/>
      <c r="D26" s="16" t="n"/>
      <c r="E26" s="16" t="n"/>
      <c r="F26" s="16" t="n"/>
      <c r="G26" s="17" t="n"/>
      <c r="H26" s="17" t="n"/>
      <c r="I26" s="19" t="n"/>
      <c r="J26" s="34" t="n"/>
      <c r="K26" s="34" t="n"/>
    </row>
    <row r="27" ht="22" customHeight="1">
      <c r="B27" s="21">
        <f>IF(C27="","HF-"&amp;TEXT(COUNTA($C$5:C27),"000"))</f>
        <v/>
      </c>
      <c r="C27" s="12" t="n"/>
      <c r="D27" s="12" t="n"/>
      <c r="E27" s="12" t="n"/>
      <c r="F27" s="12" t="n"/>
      <c r="G27" s="13" t="n"/>
      <c r="H27" s="13" t="n"/>
      <c r="I27" s="15" t="n"/>
      <c r="J27" s="33" t="n"/>
      <c r="K27" s="33" t="n"/>
    </row>
    <row r="28" ht="22" customHeight="1">
      <c r="B28" s="20">
        <f>IF(C28="","HF-"&amp;TEXT(COUNTA($C$5:C28),"000"))</f>
        <v/>
      </c>
      <c r="C28" s="16" t="n"/>
      <c r="D28" s="16" t="n"/>
      <c r="E28" s="16" t="n"/>
      <c r="F28" s="16" t="n"/>
      <c r="G28" s="17" t="n"/>
      <c r="H28" s="17" t="n"/>
      <c r="I28" s="19" t="n"/>
      <c r="J28" s="34" t="n"/>
      <c r="K28" s="34" t="n"/>
    </row>
    <row r="29" ht="22" customHeight="1">
      <c r="B29" s="21">
        <f>IF(C29="","HF-"&amp;TEXT(COUNTA($C$5:C29),"000"))</f>
        <v/>
      </c>
      <c r="C29" s="12" t="n"/>
      <c r="D29" s="12" t="n"/>
      <c r="E29" s="12" t="n"/>
      <c r="F29" s="12" t="n"/>
      <c r="G29" s="13" t="n"/>
      <c r="H29" s="13" t="n"/>
      <c r="I29" s="15" t="n"/>
      <c r="J29" s="33" t="n"/>
      <c r="K29" s="33" t="n"/>
    </row>
    <row r="30" ht="22" customHeight="1">
      <c r="B30" s="20">
        <f>IF(C30="","HF-"&amp;TEXT(COUNTA($C$5:C30),"000"))</f>
        <v/>
      </c>
      <c r="C30" s="16" t="n"/>
      <c r="D30" s="16" t="n"/>
      <c r="E30" s="16" t="n"/>
      <c r="F30" s="16" t="n"/>
      <c r="G30" s="17" t="n"/>
      <c r="H30" s="17" t="n"/>
      <c r="I30" s="19" t="n"/>
      <c r="J30" s="34" t="n"/>
      <c r="K30" s="34" t="n"/>
    </row>
    <row r="31" ht="22" customHeight="1">
      <c r="B31" s="21">
        <f>IF(C31="","HF-"&amp;TEXT(COUNTA($C$5:C31),"000"))</f>
        <v/>
      </c>
      <c r="C31" s="12" t="n"/>
      <c r="D31" s="12" t="n"/>
      <c r="E31" s="12" t="n"/>
      <c r="F31" s="12" t="n"/>
      <c r="G31" s="13" t="n"/>
      <c r="H31" s="13" t="n"/>
      <c r="I31" s="15" t="n"/>
      <c r="J31" s="33" t="n"/>
      <c r="K31" s="33" t="n"/>
    </row>
    <row r="32" ht="22" customHeight="1">
      <c r="B32" s="20">
        <f>IF(C32="","HF-"&amp;TEXT(COUNTA($C$5:C32),"000"))</f>
        <v/>
      </c>
      <c r="C32" s="16" t="n"/>
      <c r="D32" s="16" t="n"/>
      <c r="E32" s="16" t="n"/>
      <c r="F32" s="16" t="n"/>
      <c r="G32" s="17" t="n"/>
      <c r="H32" s="17" t="n"/>
      <c r="I32" s="19" t="n"/>
      <c r="J32" s="34" t="n"/>
      <c r="K32" s="34" t="n"/>
    </row>
    <row r="33" ht="22" customHeight="1">
      <c r="B33" s="21">
        <f>IF(C33="","HF-"&amp;TEXT(COUNTA($C$5:C33),"000"))</f>
        <v/>
      </c>
      <c r="C33" s="12" t="n"/>
      <c r="D33" s="12" t="n"/>
      <c r="E33" s="12" t="n"/>
      <c r="F33" s="12" t="n"/>
      <c r="G33" s="13" t="n"/>
      <c r="H33" s="13" t="n"/>
      <c r="I33" s="15" t="n"/>
      <c r="J33" s="33" t="n"/>
      <c r="K33" s="33" t="n"/>
    </row>
    <row r="34" ht="22" customHeight="1">
      <c r="B34" s="20">
        <f>IF(C34="","HF-"&amp;TEXT(COUNTA($C$5:C34),"000"))</f>
        <v/>
      </c>
      <c r="C34" s="16" t="n"/>
      <c r="D34" s="16" t="n"/>
      <c r="E34" s="16" t="n"/>
      <c r="F34" s="16" t="n"/>
      <c r="G34" s="17" t="n"/>
      <c r="H34" s="17" t="n"/>
      <c r="I34" s="19" t="n"/>
      <c r="J34" s="34" t="n"/>
      <c r="K34" s="34" t="n"/>
    </row>
    <row r="35" ht="22" customHeight="1">
      <c r="B35" s="21">
        <f>IF(C35="","HF-"&amp;TEXT(COUNTA($C$5:C35),"000"))</f>
        <v/>
      </c>
      <c r="C35" s="12" t="n"/>
      <c r="D35" s="12" t="n"/>
      <c r="E35" s="12" t="n"/>
      <c r="F35" s="12" t="n"/>
      <c r="G35" s="13" t="n"/>
      <c r="H35" s="13" t="n"/>
      <c r="I35" s="15" t="n"/>
      <c r="J35" s="33" t="n"/>
      <c r="K35" s="33" t="n"/>
    </row>
    <row r="36" ht="22" customHeight="1">
      <c r="B36" s="20">
        <f>IF(C36="","HF-"&amp;TEXT(COUNTA($C$5:C36),"000"))</f>
        <v/>
      </c>
      <c r="C36" s="16" t="n"/>
      <c r="D36" s="16" t="n"/>
      <c r="E36" s="16" t="n"/>
      <c r="F36" s="16" t="n"/>
      <c r="G36" s="17" t="n"/>
      <c r="H36" s="17" t="n"/>
      <c r="I36" s="19" t="n"/>
      <c r="J36" s="34" t="n"/>
      <c r="K36" s="34" t="n"/>
    </row>
    <row r="37" ht="22" customHeight="1">
      <c r="B37" s="21">
        <f>IF(C37="","HF-"&amp;TEXT(COUNTA($C$5:C37),"000"))</f>
        <v/>
      </c>
      <c r="C37" s="12" t="n"/>
      <c r="D37" s="12" t="n"/>
      <c r="E37" s="12" t="n"/>
      <c r="F37" s="12" t="n"/>
      <c r="G37" s="13" t="n"/>
      <c r="H37" s="13" t="n"/>
      <c r="I37" s="15" t="n"/>
      <c r="J37" s="33" t="n"/>
      <c r="K37" s="33" t="n"/>
    </row>
    <row r="38" ht="22" customHeight="1">
      <c r="B38" s="20">
        <f>IF(C38="","HF-"&amp;TEXT(COUNTA($C$5:C38),"000"))</f>
        <v/>
      </c>
      <c r="C38" s="16" t="n"/>
      <c r="D38" s="16" t="n"/>
      <c r="E38" s="16" t="n"/>
      <c r="F38" s="16" t="n"/>
      <c r="G38" s="17" t="n"/>
      <c r="H38" s="17" t="n"/>
      <c r="I38" s="19" t="n"/>
      <c r="J38" s="34" t="n"/>
      <c r="K38" s="34" t="n"/>
    </row>
    <row r="39" ht="22" customHeight="1">
      <c r="B39" s="21">
        <f>IF(C39="","HF-"&amp;TEXT(COUNTA($C$5:C39),"000"))</f>
        <v/>
      </c>
      <c r="C39" s="12" t="n"/>
      <c r="D39" s="12" t="n"/>
      <c r="E39" s="12" t="n"/>
      <c r="F39" s="12" t="n"/>
      <c r="G39" s="13" t="n"/>
      <c r="H39" s="13" t="n"/>
      <c r="I39" s="15" t="n"/>
      <c r="J39" s="33" t="n"/>
      <c r="K39" s="33" t="n"/>
    </row>
    <row r="40" ht="22" customHeight="1">
      <c r="B40" s="20">
        <f>IF(C40="","HF-"&amp;TEXT(COUNTA($C$5:C40),"000"))</f>
        <v/>
      </c>
      <c r="C40" s="16" t="n"/>
      <c r="D40" s="16" t="n"/>
      <c r="E40" s="16" t="n"/>
      <c r="F40" s="16" t="n"/>
      <c r="G40" s="17" t="n"/>
      <c r="H40" s="17" t="n"/>
      <c r="I40" s="19" t="n"/>
      <c r="J40" s="34" t="n"/>
      <c r="K40" s="34" t="n"/>
    </row>
    <row r="41" ht="22" customHeight="1">
      <c r="B41" s="21">
        <f>IF(C41="","HF-"&amp;TEXT(COUNTA($C$5:C41),"000"))</f>
        <v/>
      </c>
      <c r="C41" s="12" t="n"/>
      <c r="D41" s="12" t="n"/>
      <c r="E41" s="12" t="n"/>
      <c r="F41" s="12" t="n"/>
      <c r="G41" s="13" t="n"/>
      <c r="H41" s="13" t="n"/>
      <c r="I41" s="15" t="n"/>
      <c r="J41" s="33" t="n"/>
      <c r="K41" s="33" t="n"/>
    </row>
    <row r="42" ht="22" customHeight="1">
      <c r="B42" s="20">
        <f>IF(C42="","HF-"&amp;TEXT(COUNTA($C$5:C42),"000"))</f>
        <v/>
      </c>
      <c r="C42" s="16" t="n"/>
      <c r="D42" s="16" t="n"/>
      <c r="E42" s="16" t="n"/>
      <c r="F42" s="16" t="n"/>
      <c r="G42" s="17" t="n"/>
      <c r="H42" s="17" t="n"/>
      <c r="I42" s="19" t="n"/>
      <c r="J42" s="34" t="n"/>
      <c r="K42" s="34" t="n"/>
    </row>
    <row r="43" ht="22" customHeight="1">
      <c r="B43" s="21">
        <f>IF(C43="","HF-"&amp;TEXT(COUNTA($C$5:C43),"000"))</f>
        <v/>
      </c>
      <c r="C43" s="12" t="n"/>
      <c r="D43" s="12" t="n"/>
      <c r="E43" s="12" t="n"/>
      <c r="F43" s="12" t="n"/>
      <c r="G43" s="13" t="n"/>
      <c r="H43" s="13" t="n"/>
      <c r="I43" s="15" t="n"/>
      <c r="J43" s="33" t="n"/>
      <c r="K43" s="33" t="n"/>
    </row>
    <row r="44" ht="22" customHeight="1">
      <c r="B44" s="20">
        <f>IF(C44="","HF-"&amp;TEXT(COUNTA($C$5:C44),"000"))</f>
        <v/>
      </c>
      <c r="C44" s="16" t="n"/>
      <c r="D44" s="16" t="n"/>
      <c r="E44" s="16" t="n"/>
      <c r="F44" s="16" t="n"/>
      <c r="G44" s="17" t="n"/>
      <c r="H44" s="17" t="n"/>
      <c r="I44" s="19" t="n"/>
      <c r="J44" s="34" t="n"/>
      <c r="K44" s="34" t="n"/>
    </row>
    <row r="45" ht="22" customHeight="1">
      <c r="B45" s="21">
        <f>IF(C45="","HF-"&amp;TEXT(COUNTA($C$5:C45),"000"))</f>
        <v/>
      </c>
      <c r="C45" s="12" t="n"/>
      <c r="D45" s="12" t="n"/>
      <c r="E45" s="12" t="n"/>
      <c r="F45" s="12" t="n"/>
      <c r="G45" s="13" t="n"/>
      <c r="H45" s="13" t="n"/>
      <c r="I45" s="15" t="n"/>
      <c r="J45" s="33" t="n"/>
      <c r="K45" s="33" t="n"/>
    </row>
    <row r="46" ht="22" customHeight="1">
      <c r="B46" s="20">
        <f>IF(C46="","HF-"&amp;TEXT(COUNTA($C$5:C46),"000"))</f>
        <v/>
      </c>
      <c r="C46" s="16" t="n"/>
      <c r="D46" s="16" t="n"/>
      <c r="E46" s="16" t="n"/>
      <c r="F46" s="16" t="n"/>
      <c r="G46" s="17" t="n"/>
      <c r="H46" s="17" t="n"/>
      <c r="I46" s="19" t="n"/>
      <c r="J46" s="34" t="n"/>
      <c r="K46" s="34" t="n"/>
    </row>
    <row r="47" ht="22" customHeight="1">
      <c r="B47" s="21">
        <f>IF(C47="","HF-"&amp;TEXT(COUNTA($C$5:C47),"000"))</f>
        <v/>
      </c>
      <c r="C47" s="12" t="n"/>
      <c r="D47" s="12" t="n"/>
      <c r="E47" s="12" t="n"/>
      <c r="F47" s="12" t="n"/>
      <c r="G47" s="13" t="n"/>
      <c r="H47" s="13" t="n"/>
      <c r="I47" s="15" t="n"/>
      <c r="J47" s="33" t="n"/>
      <c r="K47" s="33" t="n"/>
    </row>
    <row r="48" ht="22" customHeight="1">
      <c r="B48" s="20">
        <f>IF(C48="","HF-"&amp;TEXT(COUNTA($C$5:C48),"000"))</f>
        <v/>
      </c>
      <c r="C48" s="16" t="n"/>
      <c r="D48" s="16" t="n"/>
      <c r="E48" s="16" t="n"/>
      <c r="F48" s="16" t="n"/>
      <c r="G48" s="17" t="n"/>
      <c r="H48" s="17" t="n"/>
      <c r="I48" s="19" t="n"/>
      <c r="J48" s="34" t="n"/>
      <c r="K48" s="34" t="n"/>
    </row>
    <row r="49" ht="22" customHeight="1">
      <c r="B49" s="21">
        <f>IF(C49="","HF-"&amp;TEXT(COUNTA($C$5:C49),"000"))</f>
        <v/>
      </c>
      <c r="C49" s="12" t="n"/>
      <c r="D49" s="12" t="n"/>
      <c r="E49" s="12" t="n"/>
      <c r="F49" s="12" t="n"/>
      <c r="G49" s="13" t="n"/>
      <c r="H49" s="13" t="n"/>
      <c r="I49" s="15" t="n"/>
      <c r="J49" s="33" t="n"/>
      <c r="K49" s="33" t="n"/>
    </row>
    <row r="50" ht="22" customHeight="1">
      <c r="B50" s="20">
        <f>IF(C50="","HF-"&amp;TEXT(COUNTA($C$5:C50),"000"))</f>
        <v/>
      </c>
      <c r="C50" s="16" t="n"/>
      <c r="D50" s="16" t="n"/>
      <c r="E50" s="16" t="n"/>
      <c r="F50" s="16" t="n"/>
      <c r="G50" s="17" t="n"/>
      <c r="H50" s="17" t="n"/>
      <c r="I50" s="19" t="n"/>
      <c r="J50" s="34" t="n"/>
      <c r="K50" s="34" t="n"/>
    </row>
    <row r="51" ht="22" customHeight="1">
      <c r="B51" s="21">
        <f>IF(C51="","HF-"&amp;TEXT(COUNTA($C$5:C51),"000"))</f>
        <v/>
      </c>
      <c r="C51" s="12" t="n"/>
      <c r="D51" s="12" t="n"/>
      <c r="E51" s="12" t="n"/>
      <c r="F51" s="12" t="n"/>
      <c r="G51" s="13" t="n"/>
      <c r="H51" s="13" t="n"/>
      <c r="I51" s="15" t="n"/>
      <c r="J51" s="33" t="n"/>
      <c r="K51" s="33" t="n"/>
    </row>
    <row r="52" ht="22" customHeight="1">
      <c r="B52" s="20">
        <f>IF(C52="","HF-"&amp;TEXT(COUNTA($C$5:C52),"000"))</f>
        <v/>
      </c>
      <c r="C52" s="16" t="n"/>
      <c r="D52" s="16" t="n"/>
      <c r="E52" s="16" t="n"/>
      <c r="F52" s="16" t="n"/>
      <c r="G52" s="17" t="n"/>
      <c r="H52" s="17" t="n"/>
      <c r="I52" s="19" t="n"/>
      <c r="J52" s="34" t="n"/>
      <c r="K52" s="34" t="n"/>
    </row>
    <row r="53" ht="22" customHeight="1">
      <c r="B53" s="21">
        <f>IF(C53="","HF-"&amp;TEXT(COUNTA($C$5:C53),"000"))</f>
        <v/>
      </c>
      <c r="C53" s="12" t="n"/>
      <c r="D53" s="12" t="n"/>
      <c r="E53" s="12" t="n"/>
      <c r="F53" s="12" t="n"/>
      <c r="G53" s="13" t="n"/>
      <c r="H53" s="13" t="n"/>
      <c r="I53" s="15" t="n"/>
      <c r="J53" s="33" t="n"/>
      <c r="K53" s="33" t="n"/>
    </row>
    <row r="54" ht="22" customHeight="1">
      <c r="B54" s="20">
        <f>IF(C54="","HF-"&amp;TEXT(COUNTA($C$5:C54),"000"))</f>
        <v/>
      </c>
      <c r="C54" s="16" t="n"/>
      <c r="D54" s="16" t="n"/>
      <c r="E54" s="16" t="n"/>
      <c r="F54" s="16" t="n"/>
      <c r="G54" s="17" t="n"/>
      <c r="H54" s="17" t="n"/>
      <c r="I54" s="19" t="n"/>
      <c r="J54" s="34" t="n"/>
      <c r="K54" s="34" t="n"/>
    </row>
    <row r="55" ht="22" customHeight="1">
      <c r="B55" s="21">
        <f>IF(C55="","HF-"&amp;TEXT(COUNTA($C$5:C55),"000"))</f>
        <v/>
      </c>
      <c r="C55" s="12" t="n"/>
      <c r="D55" s="12" t="n"/>
      <c r="E55" s="12" t="n"/>
      <c r="F55" s="12" t="n"/>
      <c r="G55" s="13" t="n"/>
      <c r="H55" s="13" t="n"/>
      <c r="I55" s="15" t="n"/>
      <c r="J55" s="33" t="n"/>
      <c r="K55" s="33" t="n"/>
    </row>
    <row r="56" ht="22" customHeight="1">
      <c r="B56" s="20">
        <f>IF(C56="","HF-"&amp;TEXT(COUNTA($C$5:C56),"000"))</f>
        <v/>
      </c>
      <c r="C56" s="16" t="n"/>
      <c r="D56" s="16" t="n"/>
      <c r="E56" s="16" t="n"/>
      <c r="F56" s="16" t="n"/>
      <c r="G56" s="17" t="n"/>
      <c r="H56" s="17" t="n"/>
      <c r="I56" s="19" t="n"/>
      <c r="J56" s="34" t="n"/>
      <c r="K56" s="34" t="n"/>
    </row>
    <row r="57" ht="22" customHeight="1">
      <c r="B57" s="21">
        <f>IF(C57="","HF-"&amp;TEXT(COUNTA($C$5:C57),"000"))</f>
        <v/>
      </c>
      <c r="C57" s="12" t="n"/>
      <c r="D57" s="12" t="n"/>
      <c r="E57" s="12" t="n"/>
      <c r="F57" s="12" t="n"/>
      <c r="G57" s="13" t="n"/>
      <c r="H57" s="13" t="n"/>
      <c r="I57" s="15" t="n"/>
      <c r="J57" s="33" t="n"/>
      <c r="K57" s="33" t="n"/>
    </row>
    <row r="58" ht="22" customHeight="1">
      <c r="B58" s="20">
        <f>IF(C58="","HF-"&amp;TEXT(COUNTA($C$5:C58),"000"))</f>
        <v/>
      </c>
      <c r="C58" s="16" t="n"/>
      <c r="D58" s="16" t="n"/>
      <c r="E58" s="16" t="n"/>
      <c r="F58" s="16" t="n"/>
      <c r="G58" s="17" t="n"/>
      <c r="H58" s="17" t="n"/>
      <c r="I58" s="19" t="n"/>
      <c r="J58" s="34" t="n"/>
      <c r="K58" s="34" t="n"/>
    </row>
    <row r="59" ht="22" customHeight="1">
      <c r="B59" s="21">
        <f>IF(C59="","HF-"&amp;TEXT(COUNTA($C$5:C59),"000"))</f>
        <v/>
      </c>
      <c r="C59" s="12" t="n"/>
      <c r="D59" s="12" t="n"/>
      <c r="E59" s="12" t="n"/>
      <c r="F59" s="12" t="n"/>
      <c r="G59" s="13" t="n"/>
      <c r="H59" s="13" t="n"/>
      <c r="I59" s="15" t="n"/>
      <c r="J59" s="33" t="n"/>
      <c r="K59" s="33" t="n"/>
    </row>
    <row r="60" ht="22" customHeight="1">
      <c r="B60" s="20">
        <f>IF(C60="","HF-"&amp;TEXT(COUNTA($C$5:C60),"000"))</f>
        <v/>
      </c>
      <c r="C60" s="16" t="n"/>
      <c r="D60" s="16" t="n"/>
      <c r="E60" s="16" t="n"/>
      <c r="F60" s="16" t="n"/>
      <c r="G60" s="17" t="n"/>
      <c r="H60" s="17" t="n"/>
      <c r="I60" s="19" t="n"/>
      <c r="J60" s="34" t="n"/>
      <c r="K60" s="34" t="n"/>
    </row>
    <row r="61" ht="22" customHeight="1">
      <c r="B61" s="21">
        <f>IF(C61="","HF-"&amp;TEXT(COUNTA($C$5:C61),"000"))</f>
        <v/>
      </c>
      <c r="C61" s="12" t="n"/>
      <c r="D61" s="12" t="n"/>
      <c r="E61" s="12" t="n"/>
      <c r="F61" s="12" t="n"/>
      <c r="G61" s="13" t="n"/>
      <c r="H61" s="13" t="n"/>
      <c r="I61" s="15" t="n"/>
      <c r="J61" s="33" t="n"/>
      <c r="K61" s="33" t="n"/>
    </row>
    <row r="62" ht="22" customHeight="1">
      <c r="B62" s="20">
        <f>IF(C62="","HF-"&amp;TEXT(COUNTA($C$5:C62),"000"))</f>
        <v/>
      </c>
      <c r="C62" s="16" t="n"/>
      <c r="D62" s="16" t="n"/>
      <c r="E62" s="16" t="n"/>
      <c r="F62" s="16" t="n"/>
      <c r="G62" s="17" t="n"/>
      <c r="H62" s="17" t="n"/>
      <c r="I62" s="19" t="n"/>
      <c r="J62" s="34" t="n"/>
      <c r="K62" s="34" t="n"/>
    </row>
    <row r="63" ht="22" customHeight="1">
      <c r="B63" s="21">
        <f>IF(C63="","HF-"&amp;TEXT(COUNTA($C$5:C63),"000"))</f>
        <v/>
      </c>
      <c r="C63" s="12" t="n"/>
      <c r="D63" s="12" t="n"/>
      <c r="E63" s="12" t="n"/>
      <c r="F63" s="12" t="n"/>
      <c r="G63" s="13" t="n"/>
      <c r="H63" s="13" t="n"/>
      <c r="I63" s="15" t="n"/>
      <c r="J63" s="33" t="n"/>
      <c r="K63" s="33" t="n"/>
    </row>
    <row r="64" ht="22" customHeight="1">
      <c r="B64" s="20">
        <f>IF(C64="","HF-"&amp;TEXT(COUNTA($C$5:C64),"000"))</f>
        <v/>
      </c>
      <c r="C64" s="16" t="n"/>
      <c r="D64" s="16" t="n"/>
      <c r="E64" s="16" t="n"/>
      <c r="F64" s="16" t="n"/>
      <c r="G64" s="17" t="n"/>
      <c r="H64" s="17" t="n"/>
      <c r="I64" s="19" t="n"/>
      <c r="J64" s="34" t="n"/>
      <c r="K64" s="34" t="n"/>
    </row>
    <row r="65" ht="22" customHeight="1">
      <c r="B65" s="21">
        <f>IF(C65="","HF-"&amp;TEXT(COUNTA($C$5:C65),"000"))</f>
        <v/>
      </c>
      <c r="C65" s="12" t="n"/>
      <c r="D65" s="12" t="n"/>
      <c r="E65" s="12" t="n"/>
      <c r="F65" s="12" t="n"/>
      <c r="G65" s="13" t="n"/>
      <c r="H65" s="13" t="n"/>
      <c r="I65" s="15" t="n"/>
      <c r="J65" s="33" t="n"/>
      <c r="K65" s="33" t="n"/>
    </row>
    <row r="66" ht="22" customHeight="1">
      <c r="B66" s="20">
        <f>IF(C66="","HF-"&amp;TEXT(COUNTA($C$5:C66),"000"))</f>
        <v/>
      </c>
      <c r="C66" s="16" t="n"/>
      <c r="D66" s="16" t="n"/>
      <c r="E66" s="16" t="n"/>
      <c r="F66" s="16" t="n"/>
      <c r="G66" s="17" t="n"/>
      <c r="H66" s="17" t="n"/>
      <c r="I66" s="19" t="n"/>
      <c r="J66" s="34" t="n"/>
      <c r="K66" s="34" t="n"/>
    </row>
    <row r="67" ht="22" customHeight="1">
      <c r="B67" s="21">
        <f>IF(C67="","HF-"&amp;TEXT(COUNTA($C$5:C67),"000"))</f>
        <v/>
      </c>
      <c r="C67" s="12" t="n"/>
      <c r="D67" s="12" t="n"/>
      <c r="E67" s="12" t="n"/>
      <c r="F67" s="12" t="n"/>
      <c r="G67" s="13" t="n"/>
      <c r="H67" s="13" t="n"/>
      <c r="I67" s="15" t="n"/>
      <c r="J67" s="33" t="n"/>
      <c r="K67" s="33" t="n"/>
    </row>
    <row r="68" ht="22" customHeight="1">
      <c r="B68" s="20">
        <f>IF(C68="","HF-"&amp;TEXT(COUNTA($C$5:C68),"000"))</f>
        <v/>
      </c>
      <c r="C68" s="16" t="n"/>
      <c r="D68" s="16" t="n"/>
      <c r="E68" s="16" t="n"/>
      <c r="F68" s="16" t="n"/>
      <c r="G68" s="17" t="n"/>
      <c r="H68" s="17" t="n"/>
      <c r="I68" s="19" t="n"/>
      <c r="J68" s="34" t="n"/>
      <c r="K68" s="34" t="n"/>
    </row>
    <row r="69" ht="22" customHeight="1">
      <c r="B69" s="21">
        <f>IF(C69="","HF-"&amp;TEXT(COUNTA($C$5:C69),"000"))</f>
        <v/>
      </c>
      <c r="C69" s="12" t="n"/>
      <c r="D69" s="12" t="n"/>
      <c r="E69" s="12" t="n"/>
      <c r="F69" s="12" t="n"/>
      <c r="G69" s="13" t="n"/>
      <c r="H69" s="13" t="n"/>
      <c r="I69" s="15" t="n"/>
      <c r="J69" s="33" t="n"/>
      <c r="K69" s="33" t="n"/>
    </row>
    <row r="70" ht="22" customHeight="1">
      <c r="B70" s="20">
        <f>IF(C70="","HF-"&amp;TEXT(COUNTA($C$5:C70),"000"))</f>
        <v/>
      </c>
      <c r="C70" s="16" t="n"/>
      <c r="D70" s="16" t="n"/>
      <c r="E70" s="16" t="n"/>
      <c r="F70" s="16" t="n"/>
      <c r="G70" s="17" t="n"/>
      <c r="H70" s="17" t="n"/>
      <c r="I70" s="19" t="n"/>
      <c r="J70" s="34" t="n"/>
      <c r="K70" s="34" t="n"/>
    </row>
    <row r="71" ht="22" customHeight="1">
      <c r="B71" s="21">
        <f>IF(C71="","HF-"&amp;TEXT(COUNTA($C$5:C71),"000"))</f>
        <v/>
      </c>
      <c r="C71" s="12" t="n"/>
      <c r="D71" s="12" t="n"/>
      <c r="E71" s="12" t="n"/>
      <c r="F71" s="12" t="n"/>
      <c r="G71" s="13" t="n"/>
      <c r="H71" s="13" t="n"/>
      <c r="I71" s="15" t="n"/>
      <c r="J71" s="33" t="n"/>
      <c r="K71" s="33" t="n"/>
    </row>
    <row r="72" ht="22" customHeight="1">
      <c r="B72" s="20">
        <f>IF(C72="","HF-"&amp;TEXT(COUNTA($C$5:C72),"000"))</f>
        <v/>
      </c>
      <c r="C72" s="16" t="n"/>
      <c r="D72" s="16" t="n"/>
      <c r="E72" s="16" t="n"/>
      <c r="F72" s="16" t="n"/>
      <c r="G72" s="17" t="n"/>
      <c r="H72" s="17" t="n"/>
      <c r="I72" s="19" t="n"/>
      <c r="J72" s="34" t="n"/>
      <c r="K72" s="34" t="n"/>
    </row>
    <row r="73" ht="22" customHeight="1">
      <c r="B73" s="21">
        <f>IF(C73="","HF-"&amp;TEXT(COUNTA($C$5:C73),"000"))</f>
        <v/>
      </c>
      <c r="C73" s="12" t="n"/>
      <c r="D73" s="12" t="n"/>
      <c r="E73" s="12" t="n"/>
      <c r="F73" s="12" t="n"/>
      <c r="G73" s="13" t="n"/>
      <c r="H73" s="13" t="n"/>
      <c r="I73" s="15" t="n"/>
      <c r="J73" s="33" t="n"/>
      <c r="K73" s="33" t="n"/>
    </row>
    <row r="74" ht="22" customHeight="1">
      <c r="B74" s="20">
        <f>IF(C74="","HF-"&amp;TEXT(COUNTA($C$5:C74),"000"))</f>
        <v/>
      </c>
      <c r="C74" s="16" t="n"/>
      <c r="D74" s="16" t="n"/>
      <c r="E74" s="16" t="n"/>
      <c r="F74" s="16" t="n"/>
      <c r="G74" s="17" t="n"/>
      <c r="H74" s="17" t="n"/>
      <c r="I74" s="19" t="n"/>
      <c r="J74" s="34" t="n"/>
      <c r="K74" s="34" t="n"/>
    </row>
    <row r="75" ht="22" customHeight="1">
      <c r="B75" s="21">
        <f>IF(C75="","HF-"&amp;TEXT(COUNTA($C$5:C75),"000"))</f>
        <v/>
      </c>
      <c r="C75" s="12" t="n"/>
      <c r="D75" s="12" t="n"/>
      <c r="E75" s="12" t="n"/>
      <c r="F75" s="12" t="n"/>
      <c r="G75" s="13" t="n"/>
      <c r="H75" s="13" t="n"/>
      <c r="I75" s="15" t="n"/>
      <c r="J75" s="33" t="n"/>
      <c r="K75" s="33" t="n"/>
    </row>
    <row r="76" ht="22" customHeight="1">
      <c r="B76" s="20">
        <f>IF(C76="","HF-"&amp;TEXT(COUNTA($C$5:C76),"000"))</f>
        <v/>
      </c>
      <c r="C76" s="16" t="n"/>
      <c r="D76" s="16" t="n"/>
      <c r="E76" s="16" t="n"/>
      <c r="F76" s="16" t="n"/>
      <c r="G76" s="17" t="n"/>
      <c r="H76" s="17" t="n"/>
      <c r="I76" s="19" t="n"/>
      <c r="J76" s="34" t="n"/>
      <c r="K76" s="34" t="n"/>
    </row>
    <row r="77" ht="22" customHeight="1">
      <c r="B77" s="21">
        <f>IF(C77="","HF-"&amp;TEXT(COUNTA($C$5:C77),"000"))</f>
        <v/>
      </c>
      <c r="C77" s="12" t="n"/>
      <c r="D77" s="12" t="n"/>
      <c r="E77" s="12" t="n"/>
      <c r="F77" s="12" t="n"/>
      <c r="G77" s="13" t="n"/>
      <c r="H77" s="13" t="n"/>
      <c r="I77" s="15" t="n"/>
      <c r="J77" s="33" t="n"/>
      <c r="K77" s="33" t="n"/>
    </row>
    <row r="78" ht="22" customHeight="1">
      <c r="B78" s="20">
        <f>IF(C78="","HF-"&amp;TEXT(COUNTA($C$5:C78),"000"))</f>
        <v/>
      </c>
      <c r="C78" s="16" t="n"/>
      <c r="D78" s="16" t="n"/>
      <c r="E78" s="16" t="n"/>
      <c r="F78" s="16" t="n"/>
      <c r="G78" s="17" t="n"/>
      <c r="H78" s="17" t="n"/>
      <c r="I78" s="19" t="n"/>
      <c r="J78" s="34" t="n"/>
      <c r="K78" s="34" t="n"/>
    </row>
    <row r="79" ht="22" customHeight="1">
      <c r="B79" s="21">
        <f>IF(C79="","HF-"&amp;TEXT(COUNTA($C$5:C79),"000"))</f>
        <v/>
      </c>
      <c r="C79" s="12" t="n"/>
      <c r="D79" s="12" t="n"/>
      <c r="E79" s="12" t="n"/>
      <c r="F79" s="12" t="n"/>
      <c r="G79" s="13" t="n"/>
      <c r="H79" s="13" t="n"/>
      <c r="I79" s="15" t="n"/>
      <c r="J79" s="33" t="n"/>
      <c r="K79" s="33" t="n"/>
    </row>
    <row r="80" ht="22" customHeight="1">
      <c r="B80" s="20">
        <f>IF(C80="","HF-"&amp;TEXT(COUNTA($C$5:C80),"000"))</f>
        <v/>
      </c>
      <c r="C80" s="16" t="n"/>
      <c r="D80" s="16" t="n"/>
      <c r="E80" s="16" t="n"/>
      <c r="F80" s="16" t="n"/>
      <c r="G80" s="17" t="n"/>
      <c r="H80" s="17" t="n"/>
      <c r="I80" s="19" t="n"/>
      <c r="J80" s="34" t="n"/>
      <c r="K80" s="34" t="n"/>
    </row>
    <row r="81" ht="22" customHeight="1">
      <c r="B81" s="21">
        <f>IF(C81="","HF-"&amp;TEXT(COUNTA($C$5:C81),"000"))</f>
        <v/>
      </c>
      <c r="C81" s="12" t="n"/>
      <c r="D81" s="12" t="n"/>
      <c r="E81" s="12" t="n"/>
      <c r="F81" s="12" t="n"/>
      <c r="G81" s="13" t="n"/>
      <c r="H81" s="13" t="n"/>
      <c r="I81" s="15" t="n"/>
      <c r="J81" s="33" t="n"/>
      <c r="K81" s="33" t="n"/>
    </row>
    <row r="82" ht="22" customHeight="1">
      <c r="B82" s="20">
        <f>IF(C82="","HF-"&amp;TEXT(COUNTA($C$5:C82),"000"))</f>
        <v/>
      </c>
      <c r="C82" s="16" t="n"/>
      <c r="D82" s="16" t="n"/>
      <c r="E82" s="16" t="n"/>
      <c r="F82" s="16" t="n"/>
      <c r="G82" s="17" t="n"/>
      <c r="H82" s="17" t="n"/>
      <c r="I82" s="19" t="n"/>
      <c r="J82" s="34" t="n"/>
      <c r="K82" s="34" t="n"/>
    </row>
    <row r="83" ht="22" customHeight="1">
      <c r="B83" s="21">
        <f>IF(C83="","HF-"&amp;TEXT(COUNTA($C$5:C83),"000"))</f>
        <v/>
      </c>
      <c r="C83" s="12" t="n"/>
      <c r="D83" s="12" t="n"/>
      <c r="E83" s="12" t="n"/>
      <c r="F83" s="12" t="n"/>
      <c r="G83" s="13" t="n"/>
      <c r="H83" s="13" t="n"/>
      <c r="I83" s="15" t="n"/>
      <c r="J83" s="33" t="n"/>
      <c r="K83" s="33" t="n"/>
    </row>
    <row r="84" ht="22" customHeight="1">
      <c r="B84" s="20">
        <f>IF(C84="","HF-"&amp;TEXT(COUNTA($C$5:C84),"000"))</f>
        <v/>
      </c>
      <c r="C84" s="16" t="n"/>
      <c r="D84" s="16" t="n"/>
      <c r="E84" s="16" t="n"/>
      <c r="F84" s="16" t="n"/>
      <c r="G84" s="17" t="n"/>
      <c r="H84" s="17" t="n"/>
      <c r="I84" s="19" t="n"/>
      <c r="J84" s="34" t="n"/>
      <c r="K84" s="34" t="n"/>
    </row>
    <row r="85" ht="22" customHeight="1">
      <c r="B85" s="21">
        <f>IF(C85="","HF-"&amp;TEXT(COUNTA($C$5:C85),"000"))</f>
        <v/>
      </c>
      <c r="C85" s="12" t="n"/>
      <c r="D85" s="12" t="n"/>
      <c r="E85" s="12" t="n"/>
      <c r="F85" s="12" t="n"/>
      <c r="G85" s="13" t="n"/>
      <c r="H85" s="13" t="n"/>
      <c r="I85" s="15" t="n"/>
      <c r="J85" s="33" t="n"/>
      <c r="K85" s="33" t="n"/>
    </row>
    <row r="86" ht="22" customHeight="1">
      <c r="B86" s="20">
        <f>IF(C86="","HF-"&amp;TEXT(COUNTA($C$5:C86),"000"))</f>
        <v/>
      </c>
      <c r="C86" s="16" t="n"/>
      <c r="D86" s="16" t="n"/>
      <c r="E86" s="16" t="n"/>
      <c r="F86" s="16" t="n"/>
      <c r="G86" s="17" t="n"/>
      <c r="H86" s="17" t="n"/>
      <c r="I86" s="19" t="n"/>
      <c r="J86" s="34" t="n"/>
      <c r="K86" s="34" t="n"/>
    </row>
    <row r="87" ht="22" customHeight="1">
      <c r="B87" s="21">
        <f>IF(C87="","HF-"&amp;TEXT(COUNTA($C$5:C87),"000"))</f>
        <v/>
      </c>
      <c r="C87" s="12" t="n"/>
      <c r="D87" s="12" t="n"/>
      <c r="E87" s="12" t="n"/>
      <c r="F87" s="12" t="n"/>
      <c r="G87" s="13" t="n"/>
      <c r="H87" s="13" t="n"/>
      <c r="I87" s="15" t="n"/>
      <c r="J87" s="33" t="n"/>
      <c r="K87" s="33" t="n"/>
    </row>
    <row r="88" ht="22" customHeight="1">
      <c r="B88" s="20">
        <f>IF(C88="","HF-"&amp;TEXT(COUNTA($C$5:C88),"000"))</f>
        <v/>
      </c>
      <c r="C88" s="16" t="n"/>
      <c r="D88" s="16" t="n"/>
      <c r="E88" s="16" t="n"/>
      <c r="F88" s="16" t="n"/>
      <c r="G88" s="17" t="n"/>
      <c r="H88" s="17" t="n"/>
      <c r="I88" s="19" t="n"/>
      <c r="J88" s="34" t="n"/>
      <c r="K88" s="34" t="n"/>
    </row>
    <row r="89" ht="22" customHeight="1">
      <c r="B89" s="21">
        <f>IF(C89="","HF-"&amp;TEXT(COUNTA($C$5:C89),"000"))</f>
        <v/>
      </c>
      <c r="C89" s="12" t="n"/>
      <c r="D89" s="12" t="n"/>
      <c r="E89" s="12" t="n"/>
      <c r="F89" s="12" t="n"/>
      <c r="G89" s="13" t="n"/>
      <c r="H89" s="13" t="n"/>
      <c r="I89" s="15" t="n"/>
      <c r="J89" s="33" t="n"/>
      <c r="K89" s="33" t="n"/>
    </row>
    <row r="90" ht="22" customHeight="1">
      <c r="B90" s="20">
        <f>IF(C90="","HF-"&amp;TEXT(COUNTA($C$5:C90),"000"))</f>
        <v/>
      </c>
      <c r="C90" s="16" t="n"/>
      <c r="D90" s="16" t="n"/>
      <c r="E90" s="16" t="n"/>
      <c r="F90" s="16" t="n"/>
      <c r="G90" s="17" t="n"/>
      <c r="H90" s="17" t="n"/>
      <c r="I90" s="19" t="n"/>
      <c r="J90" s="34" t="n"/>
      <c r="K90" s="34" t="n"/>
    </row>
    <row r="91" ht="22" customHeight="1">
      <c r="B91" s="21">
        <f>IF(C91="","HF-"&amp;TEXT(COUNTA($C$5:C91),"000"))</f>
        <v/>
      </c>
      <c r="C91" s="12" t="n"/>
      <c r="D91" s="12" t="n"/>
      <c r="E91" s="12" t="n"/>
      <c r="F91" s="12" t="n"/>
      <c r="G91" s="13" t="n"/>
      <c r="H91" s="13" t="n"/>
      <c r="I91" s="15" t="n"/>
      <c r="J91" s="33" t="n"/>
      <c r="K91" s="33" t="n"/>
    </row>
    <row r="92" ht="22" customHeight="1">
      <c r="B92" s="20">
        <f>IF(C92="","HF-"&amp;TEXT(COUNTA($C$5:C92),"000"))</f>
        <v/>
      </c>
      <c r="C92" s="16" t="n"/>
      <c r="D92" s="16" t="n"/>
      <c r="E92" s="16" t="n"/>
      <c r="F92" s="16" t="n"/>
      <c r="G92" s="17" t="n"/>
      <c r="H92" s="17" t="n"/>
      <c r="I92" s="19" t="n"/>
      <c r="J92" s="34" t="n"/>
      <c r="K92" s="34" t="n"/>
    </row>
    <row r="93" ht="22" customHeight="1">
      <c r="B93" s="21">
        <f>IF(C93="","HF-"&amp;TEXT(COUNTA($C$5:C93),"000"))</f>
        <v/>
      </c>
      <c r="C93" s="12" t="n"/>
      <c r="D93" s="12" t="n"/>
      <c r="E93" s="12" t="n"/>
      <c r="F93" s="12" t="n"/>
      <c r="G93" s="13" t="n"/>
      <c r="H93" s="13" t="n"/>
      <c r="I93" s="15" t="n"/>
      <c r="J93" s="33" t="n"/>
      <c r="K93" s="33" t="n"/>
    </row>
    <row r="94" ht="22" customHeight="1">
      <c r="B94" s="20">
        <f>IF(C94="","HF-"&amp;TEXT(COUNTA($C$5:C94),"000"))</f>
        <v/>
      </c>
      <c r="C94" s="16" t="n"/>
      <c r="D94" s="16" t="n"/>
      <c r="E94" s="16" t="n"/>
      <c r="F94" s="16" t="n"/>
      <c r="G94" s="17" t="n"/>
      <c r="H94" s="17" t="n"/>
      <c r="I94" s="19" t="n"/>
      <c r="J94" s="34" t="n"/>
      <c r="K94" s="34" t="n"/>
    </row>
    <row r="95" ht="22" customHeight="1">
      <c r="B95" s="21">
        <f>IF(C95="","HF-"&amp;TEXT(COUNTA($C$5:C95),"000"))</f>
        <v/>
      </c>
      <c r="C95" s="12" t="n"/>
      <c r="D95" s="12" t="n"/>
      <c r="E95" s="12" t="n"/>
      <c r="F95" s="12" t="n"/>
      <c r="G95" s="13" t="n"/>
      <c r="H95" s="13" t="n"/>
      <c r="I95" s="15" t="n"/>
      <c r="J95" s="33" t="n"/>
      <c r="K95" s="33" t="n"/>
    </row>
    <row r="96" ht="22" customHeight="1">
      <c r="B96" s="20">
        <f>IF(C96="","HF-"&amp;TEXT(COUNTA($C$5:C96),"000"))</f>
        <v/>
      </c>
      <c r="C96" s="16" t="n"/>
      <c r="D96" s="16" t="n"/>
      <c r="E96" s="16" t="n"/>
      <c r="F96" s="16" t="n"/>
      <c r="G96" s="17" t="n"/>
      <c r="H96" s="17" t="n"/>
      <c r="I96" s="19" t="n"/>
      <c r="J96" s="34" t="n"/>
      <c r="K96" s="34" t="n"/>
    </row>
    <row r="97" ht="22" customHeight="1">
      <c r="B97" s="21">
        <f>IF(C97="","HF-"&amp;TEXT(COUNTA($C$5:C97),"000"))</f>
        <v/>
      </c>
      <c r="C97" s="12" t="n"/>
      <c r="D97" s="12" t="n"/>
      <c r="E97" s="12" t="n"/>
      <c r="F97" s="12" t="n"/>
      <c r="G97" s="13" t="n"/>
      <c r="H97" s="13" t="n"/>
      <c r="I97" s="15" t="n"/>
      <c r="J97" s="33" t="n"/>
      <c r="K97" s="33" t="n"/>
    </row>
    <row r="98" ht="22" customHeight="1">
      <c r="B98" s="20">
        <f>IF(C98="","HF-"&amp;TEXT(COUNTA($C$5:C98),"000"))</f>
        <v/>
      </c>
      <c r="C98" s="16" t="n"/>
      <c r="D98" s="16" t="n"/>
      <c r="E98" s="16" t="n"/>
      <c r="F98" s="16" t="n"/>
      <c r="G98" s="17" t="n"/>
      <c r="H98" s="17" t="n"/>
      <c r="I98" s="19" t="n"/>
      <c r="J98" s="34" t="n"/>
      <c r="K98" s="34" t="n"/>
    </row>
    <row r="99" ht="22" customHeight="1">
      <c r="B99" s="21">
        <f>IF(C99="","HF-"&amp;TEXT(COUNTA($C$5:C99),"000"))</f>
        <v/>
      </c>
      <c r="C99" s="12" t="n"/>
      <c r="D99" s="12" t="n"/>
      <c r="E99" s="12" t="n"/>
      <c r="F99" s="12" t="n"/>
      <c r="G99" s="13" t="n"/>
      <c r="H99" s="13" t="n"/>
      <c r="I99" s="15" t="n"/>
      <c r="J99" s="33" t="n"/>
      <c r="K99" s="33" t="n"/>
    </row>
    <row r="100" ht="22" customHeight="1">
      <c r="B100" s="20">
        <f>IF(C100="","HF-"&amp;TEXT(COUNTA($C$5:C100),"000"))</f>
        <v/>
      </c>
      <c r="C100" s="16" t="n"/>
      <c r="D100" s="16" t="n"/>
      <c r="E100" s="16" t="n"/>
      <c r="F100" s="16" t="n"/>
      <c r="G100" s="17" t="n"/>
      <c r="H100" s="17" t="n"/>
      <c r="I100" s="19" t="n"/>
      <c r="J100" s="34" t="n"/>
      <c r="K100" s="34" t="n"/>
    </row>
    <row r="101" ht="22" customHeight="1">
      <c r="B101" s="21">
        <f>IF(C101="","HF-"&amp;TEXT(COUNTA($C$5:C101),"000"))</f>
        <v/>
      </c>
      <c r="C101" s="12" t="n"/>
      <c r="D101" s="12" t="n"/>
      <c r="E101" s="12" t="n"/>
      <c r="F101" s="12" t="n"/>
      <c r="G101" s="13" t="n"/>
      <c r="H101" s="13" t="n"/>
      <c r="I101" s="15" t="n"/>
      <c r="J101" s="33" t="n"/>
      <c r="K101" s="33" t="n"/>
    </row>
    <row r="102" ht="22" customHeight="1">
      <c r="B102" s="20">
        <f>IF(C102="","HF-"&amp;TEXT(COUNTA($C$5:C102),"000"))</f>
        <v/>
      </c>
      <c r="C102" s="16" t="n"/>
      <c r="D102" s="16" t="n"/>
      <c r="E102" s="16" t="n"/>
      <c r="F102" s="16" t="n"/>
      <c r="G102" s="17" t="n"/>
      <c r="H102" s="17" t="n"/>
      <c r="I102" s="19" t="n"/>
      <c r="J102" s="34" t="n"/>
      <c r="K102" s="34" t="n"/>
    </row>
    <row r="103" ht="22" customHeight="1">
      <c r="B103" s="21">
        <f>IF(C103="","HF-"&amp;TEXT(COUNTA($C$5:C103),"000"))</f>
        <v/>
      </c>
      <c r="C103" s="12" t="n"/>
      <c r="D103" s="12" t="n"/>
      <c r="E103" s="12" t="n"/>
      <c r="F103" s="12" t="n"/>
      <c r="G103" s="13" t="n"/>
      <c r="H103" s="13" t="n"/>
      <c r="I103" s="15" t="n"/>
      <c r="J103" s="33" t="n"/>
      <c r="K103" s="33" t="n"/>
    </row>
    <row r="104" ht="22" customHeight="1">
      <c r="B104" s="20">
        <f>IF(C104="","HF-"&amp;TEXT(COUNTA($C$5:C104),"000"))</f>
        <v/>
      </c>
      <c r="C104" s="16" t="n"/>
      <c r="D104" s="16" t="n"/>
      <c r="E104" s="16" t="n"/>
      <c r="F104" s="16" t="n"/>
      <c r="G104" s="17" t="n"/>
      <c r="H104" s="17" t="n"/>
      <c r="I104" s="19" t="n"/>
      <c r="J104" s="34" t="n"/>
      <c r="K104" s="34" t="n"/>
    </row>
    <row r="105" ht="22" customHeight="1">
      <c r="B105" s="21">
        <f>IF(C105="","HF-"&amp;TEXT(COUNTA($C$5:C105),"000"))</f>
        <v/>
      </c>
      <c r="C105" s="12" t="n"/>
      <c r="D105" s="12" t="n"/>
      <c r="E105" s="12" t="n"/>
      <c r="F105" s="12" t="n"/>
      <c r="G105" s="13" t="n"/>
      <c r="H105" s="13" t="n"/>
      <c r="I105" s="15" t="n"/>
      <c r="J105" s="33" t="n"/>
      <c r="K105" s="33" t="n"/>
    </row>
    <row r="106" ht="22" customHeight="1">
      <c r="B106" s="20">
        <f>IF(C106="","HF-"&amp;TEXT(COUNTA($C$5:C106),"000"))</f>
        <v/>
      </c>
      <c r="C106" s="16" t="n"/>
      <c r="D106" s="16" t="n"/>
      <c r="E106" s="16" t="n"/>
      <c r="F106" s="16" t="n"/>
      <c r="G106" s="17" t="n"/>
      <c r="H106" s="17" t="n"/>
      <c r="I106" s="19" t="n"/>
      <c r="J106" s="34" t="n"/>
      <c r="K106" s="34" t="n"/>
    </row>
    <row r="107" ht="22" customHeight="1">
      <c r="B107" s="21">
        <f>IF(C107="","HF-"&amp;TEXT(COUNTA($C$5:C107),"000"))</f>
        <v/>
      </c>
      <c r="C107" s="12" t="n"/>
      <c r="D107" s="12" t="n"/>
      <c r="E107" s="12" t="n"/>
      <c r="F107" s="12" t="n"/>
      <c r="G107" s="13" t="n"/>
      <c r="H107" s="13" t="n"/>
      <c r="I107" s="15" t="n"/>
      <c r="J107" s="33" t="n"/>
      <c r="K107" s="33" t="n"/>
    </row>
    <row r="108" ht="22" customHeight="1">
      <c r="B108" s="20">
        <f>IF(C108="","HF-"&amp;TEXT(COUNTA($C$5:C108),"000"))</f>
        <v/>
      </c>
      <c r="C108" s="16" t="n"/>
      <c r="D108" s="16" t="n"/>
      <c r="E108" s="16" t="n"/>
      <c r="F108" s="16" t="n"/>
      <c r="G108" s="17" t="n"/>
      <c r="H108" s="17" t="n"/>
      <c r="I108" s="19" t="n"/>
      <c r="J108" s="34" t="n"/>
      <c r="K108" s="34" t="n"/>
    </row>
    <row r="109" ht="22" customHeight="1">
      <c r="B109" s="21">
        <f>IF(C109="","HF-"&amp;TEXT(COUNTA($C$5:C109),"000"))</f>
        <v/>
      </c>
      <c r="C109" s="12" t="n"/>
      <c r="D109" s="12" t="n"/>
      <c r="E109" s="12" t="n"/>
      <c r="F109" s="12" t="n"/>
      <c r="G109" s="13" t="n"/>
      <c r="H109" s="13" t="n"/>
      <c r="I109" s="15" t="n"/>
      <c r="J109" s="33" t="n"/>
      <c r="K109" s="33" t="n"/>
    </row>
    <row r="111" ht="26" customHeight="1">
      <c r="B111" s="22" t="inlineStr">
        <is>
          <t>TOTAL</t>
        </is>
      </c>
      <c r="C111" s="23" t="n"/>
      <c r="D111" s="23" t="n"/>
      <c r="E111" s="23" t="n"/>
      <c r="F111" s="23" t="n"/>
      <c r="G111" s="24">
        <f>SUM(G5:G104)</f>
        <v/>
      </c>
      <c r="H111" s="24">
        <f>SUM(H5:H104)</f>
        <v/>
      </c>
      <c r="I111" s="24">
        <f>SUM(I5:I104)</f>
        <v/>
      </c>
      <c r="J111" s="23" t="n"/>
      <c r="K111" s="23" t="n"/>
    </row>
    <row r="113">
      <c r="B113" s="6" t="inlineStr">
        <is>
          <t>INDICATEURS (mis a jour automatiquement)</t>
        </is>
      </c>
    </row>
    <row r="114">
      <c r="B114" s="3" t="inlineStr">
        <is>
          <t>Lignes historique</t>
        </is>
      </c>
      <c r="D114" s="3" t="inlineStr">
        <is>
          <t>Total heures (h)</t>
        </is>
      </c>
      <c r="F114" s="3" t="inlineStr">
        <is>
          <t>Cout total (FCFA)</t>
        </is>
      </c>
      <c r="H114" s="3" t="inlineStr">
        <is>
          <t>Score chaud moyen</t>
        </is>
      </c>
    </row>
    <row r="115">
      <c r="B115" s="4">
        <f>COUNTIF(B5:B104,"&lt;&gt;")</f>
        <v/>
      </c>
      <c r="D115" s="4">
        <f>SUM(H5:H104)</f>
        <v/>
      </c>
      <c r="F115" s="4">
        <f>SUM(I5:I104)</f>
        <v/>
      </c>
      <c r="H115" s="4">
        <f>IFERROR(AVERAGE(J5:J104),0)</f>
        <v/>
      </c>
    </row>
  </sheetData>
  <mergeCells count="3">
    <mergeCell ref="B113:K113"/>
    <mergeCell ref="B3:K3"/>
    <mergeCell ref="B2:K2"/>
  </mergeCells>
  <conditionalFormatting sqref="B10:B109">
    <cfRule type="expression" priority="1" dxfId="3">
      <formula>AND($C10="",$C9&lt;&gt;"")</formula>
    </cfRule>
  </conditionalFormatting>
  <conditionalFormatting sqref="C10:C109">
    <cfRule type="expression" priority="2" dxfId="3">
      <formula>AND($C10="",$C9&lt;&gt;"")</formula>
    </cfRule>
  </conditionalFormatting>
  <conditionalFormatting sqref="D10:D109">
    <cfRule type="expression" priority="3" dxfId="3">
      <formula>AND($C10="",$C9&lt;&gt;"")</formula>
    </cfRule>
  </conditionalFormatting>
  <conditionalFormatting sqref="E10:E109">
    <cfRule type="expression" priority="4" dxfId="3">
      <formula>AND($C10="",$C9&lt;&gt;"")</formula>
    </cfRule>
  </conditionalFormatting>
  <conditionalFormatting sqref="F10:F109">
    <cfRule type="expression" priority="5" dxfId="3">
      <formula>AND($C10="",$C9&lt;&gt;"")</formula>
    </cfRule>
  </conditionalFormatting>
  <conditionalFormatting sqref="G10:G109">
    <cfRule type="expression" priority="6" dxfId="3">
      <formula>AND($C10="",$C9&lt;&gt;"")</formula>
    </cfRule>
  </conditionalFormatting>
  <conditionalFormatting sqref="H10:H109">
    <cfRule type="expression" priority="7" dxfId="3">
      <formula>AND($C10="",$C9&lt;&gt;"")</formula>
    </cfRule>
  </conditionalFormatting>
  <conditionalFormatting sqref="I10:I109">
    <cfRule type="expression" priority="8" dxfId="3">
      <formula>AND($C10="",$C9&lt;&gt;"")</formula>
    </cfRule>
  </conditionalFormatting>
  <conditionalFormatting sqref="J10:J109">
    <cfRule type="expression" priority="9" dxfId="3">
      <formula>AND($C10="",$C9&lt;&gt;"")</formula>
    </cfRule>
  </conditionalFormatting>
  <conditionalFormatting sqref="K10:K109">
    <cfRule type="expression" priority="10" dxfId="3">
      <formula>AND($C10="",$C9&lt;&gt;"")</formula>
    </cfRule>
  </conditionalFormatting>
  <dataValidations count="2"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9" showDropDown="0" showInputMessage="0" showErrorMessage="0" allowBlank="1" errorTitle="Erreur" error="Valeur invalide" promptTitle="Liste" prompt="Choisir dans la liste" type="list">
      <formula1>'_Lists'!$P$2:$P$4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I1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10" customWidth="1" min="4" max="4"/>
    <col width="22" customWidth="1" min="5" max="5"/>
    <col width="18" customWidth="1" min="6" max="6"/>
    <col width="18" customWidth="1" min="7" max="7"/>
    <col width="16" customWidth="1" min="8" max="8"/>
    <col width="24" customWidth="1" min="9" max="9"/>
  </cols>
  <sheetData>
    <row r="1" ht="15" customHeight="1"/>
    <row r="2" ht="32" customHeight="1">
      <c r="B2" s="1" t="inlineStr">
        <is>
          <t>SUIVI MENSUEL DES FORMATIONS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Mois</t>
        </is>
      </c>
      <c r="D4" s="11" t="inlineStr">
        <is>
          <t>Annee</t>
        </is>
      </c>
      <c r="E4" s="11" t="inlineStr">
        <is>
          <t>Nb Actions Realisees</t>
        </is>
      </c>
      <c r="F4" s="11" t="inlineStr">
        <is>
          <t>Nb Participants</t>
        </is>
      </c>
      <c r="G4" s="11" t="inlineStr">
        <is>
          <t>Heures Formation</t>
        </is>
      </c>
      <c r="H4" s="11" t="inlineStr">
        <is>
          <t>Cout (FCFA)</t>
        </is>
      </c>
      <c r="I4" s="11" t="inlineStr">
        <is>
          <t>Taux Realisation PAF (%)</t>
        </is>
      </c>
    </row>
    <row r="5" ht="22" customHeight="1">
      <c r="B5" s="12" t="inlineStr">
        <is>
          <t>SM-001</t>
        </is>
      </c>
      <c r="C5" s="12" t="inlineStr">
        <is>
          <t>Janvier</t>
        </is>
      </c>
      <c r="D5" s="12" t="inlineStr">
        <is>
          <t>2025</t>
        </is>
      </c>
      <c r="E5" s="13" t="n">
        <v>0</v>
      </c>
      <c r="F5" s="13" t="n">
        <v>0</v>
      </c>
      <c r="G5" s="13" t="n">
        <v>0</v>
      </c>
      <c r="H5" s="15" t="n">
        <v>0</v>
      </c>
      <c r="I5" s="29" t="n">
        <v>0</v>
      </c>
    </row>
    <row r="6" ht="22" customHeight="1">
      <c r="B6" s="16" t="inlineStr">
        <is>
          <t>SM-002</t>
        </is>
      </c>
      <c r="C6" s="16" t="inlineStr">
        <is>
          <t>Fevrier</t>
        </is>
      </c>
      <c r="D6" s="16" t="inlineStr">
        <is>
          <t>2025</t>
        </is>
      </c>
      <c r="E6" s="17" t="n">
        <v>1</v>
      </c>
      <c r="F6" s="17" t="n">
        <v>15</v>
      </c>
      <c r="G6" s="17" t="n">
        <v>4</v>
      </c>
      <c r="H6" s="19" t="n">
        <v>7500</v>
      </c>
      <c r="I6" s="30" t="n">
        <v>10</v>
      </c>
    </row>
    <row r="7" ht="22" customHeight="1">
      <c r="B7" s="12" t="inlineStr">
        <is>
          <t>SM-003</t>
        </is>
      </c>
      <c r="C7" s="12" t="inlineStr">
        <is>
          <t>Mars</t>
        </is>
      </c>
      <c r="D7" s="12" t="inlineStr">
        <is>
          <t>2025</t>
        </is>
      </c>
      <c r="E7" s="13" t="n">
        <v>1</v>
      </c>
      <c r="F7" s="13" t="n">
        <v>8</v>
      </c>
      <c r="G7" s="13" t="n">
        <v>20</v>
      </c>
      <c r="H7" s="15" t="n">
        <v>250000</v>
      </c>
      <c r="I7" s="29" t="n">
        <v>10</v>
      </c>
    </row>
    <row r="8" ht="22" customHeight="1">
      <c r="B8" s="16" t="inlineStr">
        <is>
          <t>SM-004</t>
        </is>
      </c>
      <c r="C8" s="16" t="inlineStr">
        <is>
          <t>Avril</t>
        </is>
      </c>
      <c r="D8" s="16" t="inlineStr">
        <is>
          <t>2025</t>
        </is>
      </c>
      <c r="E8" s="17" t="n">
        <v>1</v>
      </c>
      <c r="F8" s="17" t="n">
        <v>6</v>
      </c>
      <c r="G8" s="17" t="n">
        <v>30</v>
      </c>
      <c r="H8" s="19" t="n">
        <v>180000</v>
      </c>
      <c r="I8" s="30" t="n">
        <v>10</v>
      </c>
    </row>
    <row r="9" ht="22" customHeight="1">
      <c r="B9" s="12" t="inlineStr">
        <is>
          <t>SM-005</t>
        </is>
      </c>
      <c r="C9" s="12" t="inlineStr">
        <is>
          <t>Mai</t>
        </is>
      </c>
      <c r="D9" s="12" t="inlineStr">
        <is>
          <t>2025</t>
        </is>
      </c>
      <c r="E9" s="13" t="n">
        <v>0</v>
      </c>
      <c r="F9" s="13" t="n">
        <v>0</v>
      </c>
      <c r="G9" s="13" t="n">
        <v>0</v>
      </c>
      <c r="H9" s="15" t="n">
        <v>0</v>
      </c>
      <c r="I9" s="29" t="n">
        <v>0</v>
      </c>
    </row>
    <row r="10" ht="22" customHeight="1">
      <c r="B10" s="16" t="inlineStr">
        <is>
          <t>SM-006</t>
        </is>
      </c>
      <c r="C10" s="16" t="inlineStr">
        <is>
          <t>Juin</t>
        </is>
      </c>
      <c r="D10" s="16" t="inlineStr">
        <is>
          <t>2025</t>
        </is>
      </c>
      <c r="E10" s="17" t="n">
        <v>1</v>
      </c>
      <c r="F10" s="17" t="n">
        <v>5</v>
      </c>
      <c r="G10" s="17" t="n">
        <v>12</v>
      </c>
      <c r="H10" s="19" t="n">
        <v>96000</v>
      </c>
      <c r="I10" s="30" t="n">
        <v>10</v>
      </c>
    </row>
    <row r="11" ht="22" customHeight="1">
      <c r="B11" s="21">
        <f>IF(C11="","SM-"&amp;TEXT(COUNTA($C$5:C11),"000"))</f>
        <v/>
      </c>
      <c r="C11" s="12" t="n"/>
      <c r="D11" s="12" t="n"/>
      <c r="E11" s="13" t="n"/>
      <c r="F11" s="13" t="n"/>
      <c r="G11" s="13" t="n"/>
      <c r="H11" s="15" t="n"/>
      <c r="I11" s="29" t="n"/>
    </row>
    <row r="12" ht="22" customHeight="1">
      <c r="B12" s="20">
        <f>IF(C12="","SM-"&amp;TEXT(COUNTA($C$5:C12),"000"))</f>
        <v/>
      </c>
      <c r="C12" s="16" t="n"/>
      <c r="D12" s="16" t="n"/>
      <c r="E12" s="17" t="n"/>
      <c r="F12" s="17" t="n"/>
      <c r="G12" s="17" t="n"/>
      <c r="H12" s="19" t="n"/>
      <c r="I12" s="30" t="n"/>
    </row>
    <row r="13" ht="22" customHeight="1">
      <c r="B13" s="21">
        <f>IF(C13="","SM-"&amp;TEXT(COUNTA($C$5:C13),"000"))</f>
        <v/>
      </c>
      <c r="C13" s="12" t="n"/>
      <c r="D13" s="12" t="n"/>
      <c r="E13" s="13" t="n"/>
      <c r="F13" s="13" t="n"/>
      <c r="G13" s="13" t="n"/>
      <c r="H13" s="15" t="n"/>
      <c r="I13" s="29" t="n"/>
    </row>
    <row r="14" ht="22" customHeight="1">
      <c r="B14" s="20">
        <f>IF(C14="","SM-"&amp;TEXT(COUNTA($C$5:C14),"000"))</f>
        <v/>
      </c>
      <c r="C14" s="16" t="n"/>
      <c r="D14" s="16" t="n"/>
      <c r="E14" s="17" t="n"/>
      <c r="F14" s="17" t="n"/>
      <c r="G14" s="17" t="n"/>
      <c r="H14" s="19" t="n"/>
      <c r="I14" s="30" t="n"/>
    </row>
    <row r="15" ht="22" customHeight="1">
      <c r="B15" s="21">
        <f>IF(C15="","SM-"&amp;TEXT(COUNTA($C$5:C15),"000"))</f>
        <v/>
      </c>
      <c r="C15" s="12" t="n"/>
      <c r="D15" s="12" t="n"/>
      <c r="E15" s="13" t="n"/>
      <c r="F15" s="13" t="n"/>
      <c r="G15" s="13" t="n"/>
      <c r="H15" s="15" t="n"/>
      <c r="I15" s="29" t="n"/>
    </row>
    <row r="16" ht="22" customHeight="1">
      <c r="B16" s="20">
        <f>IF(C16="","SM-"&amp;TEXT(COUNTA($C$5:C16),"000"))</f>
        <v/>
      </c>
      <c r="C16" s="16" t="n"/>
      <c r="D16" s="16" t="n"/>
      <c r="E16" s="17" t="n"/>
      <c r="F16" s="17" t="n"/>
      <c r="G16" s="17" t="n"/>
      <c r="H16" s="19" t="n"/>
      <c r="I16" s="30" t="n"/>
    </row>
    <row r="17" ht="22" customHeight="1">
      <c r="B17" s="21">
        <f>IF(C17="","SM-"&amp;TEXT(COUNTA($C$5:C17),"000"))</f>
        <v/>
      </c>
      <c r="C17" s="12" t="n"/>
      <c r="D17" s="12" t="n"/>
      <c r="E17" s="13" t="n"/>
      <c r="F17" s="13" t="n"/>
      <c r="G17" s="13" t="n"/>
      <c r="H17" s="15" t="n"/>
      <c r="I17" s="29" t="n"/>
    </row>
    <row r="18" ht="22" customHeight="1">
      <c r="B18" s="20">
        <f>IF(C18="","SM-"&amp;TEXT(COUNTA($C$5:C18),"000"))</f>
        <v/>
      </c>
      <c r="C18" s="16" t="n"/>
      <c r="D18" s="16" t="n"/>
      <c r="E18" s="17" t="n"/>
      <c r="F18" s="17" t="n"/>
      <c r="G18" s="17" t="n"/>
      <c r="H18" s="19" t="n"/>
      <c r="I18" s="30" t="n"/>
    </row>
    <row r="19" ht="22" customHeight="1">
      <c r="B19" s="21">
        <f>IF(C19="","SM-"&amp;TEXT(COUNTA($C$5:C19),"000"))</f>
        <v/>
      </c>
      <c r="C19" s="12" t="n"/>
      <c r="D19" s="12" t="n"/>
      <c r="E19" s="13" t="n"/>
      <c r="F19" s="13" t="n"/>
      <c r="G19" s="13" t="n"/>
      <c r="H19" s="15" t="n"/>
      <c r="I19" s="29" t="n"/>
    </row>
    <row r="20" ht="22" customHeight="1">
      <c r="B20" s="20">
        <f>IF(C20="","SM-"&amp;TEXT(COUNTA($C$5:C20),"000"))</f>
        <v/>
      </c>
      <c r="C20" s="16" t="n"/>
      <c r="D20" s="16" t="n"/>
      <c r="E20" s="17" t="n"/>
      <c r="F20" s="17" t="n"/>
      <c r="G20" s="17" t="n"/>
      <c r="H20" s="19" t="n"/>
      <c r="I20" s="30" t="n"/>
    </row>
    <row r="21" ht="22" customHeight="1">
      <c r="B21" s="21">
        <f>IF(C21="","SM-"&amp;TEXT(COUNTA($C$5:C21),"000"))</f>
        <v/>
      </c>
      <c r="C21" s="12" t="n"/>
      <c r="D21" s="12" t="n"/>
      <c r="E21" s="13" t="n"/>
      <c r="F21" s="13" t="n"/>
      <c r="G21" s="13" t="n"/>
      <c r="H21" s="15" t="n"/>
      <c r="I21" s="29" t="n"/>
    </row>
    <row r="22" ht="22" customHeight="1">
      <c r="B22" s="20">
        <f>IF(C22="","SM-"&amp;TEXT(COUNTA($C$5:C22),"000"))</f>
        <v/>
      </c>
      <c r="C22" s="16" t="n"/>
      <c r="D22" s="16" t="n"/>
      <c r="E22" s="17" t="n"/>
      <c r="F22" s="17" t="n"/>
      <c r="G22" s="17" t="n"/>
      <c r="H22" s="19" t="n"/>
      <c r="I22" s="30" t="n"/>
    </row>
    <row r="23" ht="22" customHeight="1">
      <c r="B23" s="21">
        <f>IF(C23="","SM-"&amp;TEXT(COUNTA($C$5:C23),"000"))</f>
        <v/>
      </c>
      <c r="C23" s="12" t="n"/>
      <c r="D23" s="12" t="n"/>
      <c r="E23" s="13" t="n"/>
      <c r="F23" s="13" t="n"/>
      <c r="G23" s="13" t="n"/>
      <c r="H23" s="15" t="n"/>
      <c r="I23" s="29" t="n"/>
    </row>
    <row r="24" ht="22" customHeight="1">
      <c r="B24" s="20">
        <f>IF(C24="","SM-"&amp;TEXT(COUNTA($C$5:C24),"000"))</f>
        <v/>
      </c>
      <c r="C24" s="16" t="n"/>
      <c r="D24" s="16" t="n"/>
      <c r="E24" s="17" t="n"/>
      <c r="F24" s="17" t="n"/>
      <c r="G24" s="17" t="n"/>
      <c r="H24" s="19" t="n"/>
      <c r="I24" s="30" t="n"/>
    </row>
    <row r="25" ht="22" customHeight="1">
      <c r="B25" s="21">
        <f>IF(C25="","SM-"&amp;TEXT(COUNTA($C$5:C25),"000"))</f>
        <v/>
      </c>
      <c r="C25" s="12" t="n"/>
      <c r="D25" s="12" t="n"/>
      <c r="E25" s="13" t="n"/>
      <c r="F25" s="13" t="n"/>
      <c r="G25" s="13" t="n"/>
      <c r="H25" s="15" t="n"/>
      <c r="I25" s="29" t="n"/>
    </row>
    <row r="26" ht="22" customHeight="1">
      <c r="B26" s="20">
        <f>IF(C26="","SM-"&amp;TEXT(COUNTA($C$5:C26),"000"))</f>
        <v/>
      </c>
      <c r="C26" s="16" t="n"/>
      <c r="D26" s="16" t="n"/>
      <c r="E26" s="17" t="n"/>
      <c r="F26" s="17" t="n"/>
      <c r="G26" s="17" t="n"/>
      <c r="H26" s="19" t="n"/>
      <c r="I26" s="30" t="n"/>
    </row>
    <row r="27" ht="22" customHeight="1">
      <c r="B27" s="21">
        <f>IF(C27="","SM-"&amp;TEXT(COUNTA($C$5:C27),"000"))</f>
        <v/>
      </c>
      <c r="C27" s="12" t="n"/>
      <c r="D27" s="12" t="n"/>
      <c r="E27" s="13" t="n"/>
      <c r="F27" s="13" t="n"/>
      <c r="G27" s="13" t="n"/>
      <c r="H27" s="15" t="n"/>
      <c r="I27" s="29" t="n"/>
    </row>
    <row r="28" ht="22" customHeight="1">
      <c r="B28" s="20">
        <f>IF(C28="","SM-"&amp;TEXT(COUNTA($C$5:C28),"000"))</f>
        <v/>
      </c>
      <c r="C28" s="16" t="n"/>
      <c r="D28" s="16" t="n"/>
      <c r="E28" s="17" t="n"/>
      <c r="F28" s="17" t="n"/>
      <c r="G28" s="17" t="n"/>
      <c r="H28" s="19" t="n"/>
      <c r="I28" s="30" t="n"/>
    </row>
    <row r="29" ht="22" customHeight="1">
      <c r="B29" s="21">
        <f>IF(C29="","SM-"&amp;TEXT(COUNTA($C$5:C29),"000"))</f>
        <v/>
      </c>
      <c r="C29" s="12" t="n"/>
      <c r="D29" s="12" t="n"/>
      <c r="E29" s="13" t="n"/>
      <c r="F29" s="13" t="n"/>
      <c r="G29" s="13" t="n"/>
      <c r="H29" s="15" t="n"/>
      <c r="I29" s="29" t="n"/>
    </row>
    <row r="30" ht="22" customHeight="1">
      <c r="B30" s="20">
        <f>IF(C30="","SM-"&amp;TEXT(COUNTA($C$5:C30),"000"))</f>
        <v/>
      </c>
      <c r="C30" s="16" t="n"/>
      <c r="D30" s="16" t="n"/>
      <c r="E30" s="17" t="n"/>
      <c r="F30" s="17" t="n"/>
      <c r="G30" s="17" t="n"/>
      <c r="H30" s="19" t="n"/>
      <c r="I30" s="30" t="n"/>
    </row>
    <row r="31" ht="22" customHeight="1">
      <c r="B31" s="21">
        <f>IF(C31="","SM-"&amp;TEXT(COUNTA($C$5:C31),"000"))</f>
        <v/>
      </c>
      <c r="C31" s="12" t="n"/>
      <c r="D31" s="12" t="n"/>
      <c r="E31" s="13" t="n"/>
      <c r="F31" s="13" t="n"/>
      <c r="G31" s="13" t="n"/>
      <c r="H31" s="15" t="n"/>
      <c r="I31" s="29" t="n"/>
    </row>
    <row r="32" ht="22" customHeight="1">
      <c r="B32" s="20">
        <f>IF(C32="","SM-"&amp;TEXT(COUNTA($C$5:C32),"000"))</f>
        <v/>
      </c>
      <c r="C32" s="16" t="n"/>
      <c r="D32" s="16" t="n"/>
      <c r="E32" s="17" t="n"/>
      <c r="F32" s="17" t="n"/>
      <c r="G32" s="17" t="n"/>
      <c r="H32" s="19" t="n"/>
      <c r="I32" s="30" t="n"/>
    </row>
    <row r="33" ht="22" customHeight="1">
      <c r="B33" s="21">
        <f>IF(C33="","SM-"&amp;TEXT(COUNTA($C$5:C33),"000"))</f>
        <v/>
      </c>
      <c r="C33" s="12" t="n"/>
      <c r="D33" s="12" t="n"/>
      <c r="E33" s="13" t="n"/>
      <c r="F33" s="13" t="n"/>
      <c r="G33" s="13" t="n"/>
      <c r="H33" s="15" t="n"/>
      <c r="I33" s="29" t="n"/>
    </row>
    <row r="34" ht="22" customHeight="1">
      <c r="B34" s="20">
        <f>IF(C34="","SM-"&amp;TEXT(COUNTA($C$5:C34),"000"))</f>
        <v/>
      </c>
      <c r="C34" s="16" t="n"/>
      <c r="D34" s="16" t="n"/>
      <c r="E34" s="17" t="n"/>
      <c r="F34" s="17" t="n"/>
      <c r="G34" s="17" t="n"/>
      <c r="H34" s="19" t="n"/>
      <c r="I34" s="30" t="n"/>
    </row>
    <row r="35" ht="22" customHeight="1">
      <c r="B35" s="21">
        <f>IF(C35="","SM-"&amp;TEXT(COUNTA($C$5:C35),"000"))</f>
        <v/>
      </c>
      <c r="C35" s="12" t="n"/>
      <c r="D35" s="12" t="n"/>
      <c r="E35" s="13" t="n"/>
      <c r="F35" s="13" t="n"/>
      <c r="G35" s="13" t="n"/>
      <c r="H35" s="15" t="n"/>
      <c r="I35" s="29" t="n"/>
    </row>
    <row r="36" ht="22" customHeight="1">
      <c r="B36" s="20">
        <f>IF(C36="","SM-"&amp;TEXT(COUNTA($C$5:C36),"000"))</f>
        <v/>
      </c>
      <c r="C36" s="16" t="n"/>
      <c r="D36" s="16" t="n"/>
      <c r="E36" s="17" t="n"/>
      <c r="F36" s="17" t="n"/>
      <c r="G36" s="17" t="n"/>
      <c r="H36" s="19" t="n"/>
      <c r="I36" s="30" t="n"/>
    </row>
    <row r="37" ht="22" customHeight="1">
      <c r="B37" s="21">
        <f>IF(C37="","SM-"&amp;TEXT(COUNTA($C$5:C37),"000"))</f>
        <v/>
      </c>
      <c r="C37" s="12" t="n"/>
      <c r="D37" s="12" t="n"/>
      <c r="E37" s="13" t="n"/>
      <c r="F37" s="13" t="n"/>
      <c r="G37" s="13" t="n"/>
      <c r="H37" s="15" t="n"/>
      <c r="I37" s="29" t="n"/>
    </row>
    <row r="38" ht="22" customHeight="1">
      <c r="B38" s="20">
        <f>IF(C38="","SM-"&amp;TEXT(COUNTA($C$5:C38),"000"))</f>
        <v/>
      </c>
      <c r="C38" s="16" t="n"/>
      <c r="D38" s="16" t="n"/>
      <c r="E38" s="17" t="n"/>
      <c r="F38" s="17" t="n"/>
      <c r="G38" s="17" t="n"/>
      <c r="H38" s="19" t="n"/>
      <c r="I38" s="30" t="n"/>
    </row>
    <row r="39" ht="22" customHeight="1">
      <c r="B39" s="21">
        <f>IF(C39="","SM-"&amp;TEXT(COUNTA($C$5:C39),"000"))</f>
        <v/>
      </c>
      <c r="C39" s="12" t="n"/>
      <c r="D39" s="12" t="n"/>
      <c r="E39" s="13" t="n"/>
      <c r="F39" s="13" t="n"/>
      <c r="G39" s="13" t="n"/>
      <c r="H39" s="15" t="n"/>
      <c r="I39" s="29" t="n"/>
    </row>
    <row r="40" ht="22" customHeight="1">
      <c r="B40" s="20">
        <f>IF(C40="","SM-"&amp;TEXT(COUNTA($C$5:C40),"000"))</f>
        <v/>
      </c>
      <c r="C40" s="16" t="n"/>
      <c r="D40" s="16" t="n"/>
      <c r="E40" s="17" t="n"/>
      <c r="F40" s="17" t="n"/>
      <c r="G40" s="17" t="n"/>
      <c r="H40" s="19" t="n"/>
      <c r="I40" s="30" t="n"/>
    </row>
    <row r="41" ht="22" customHeight="1">
      <c r="B41" s="21">
        <f>IF(C41="","SM-"&amp;TEXT(COUNTA($C$5:C41),"000"))</f>
        <v/>
      </c>
      <c r="C41" s="12" t="n"/>
      <c r="D41" s="12" t="n"/>
      <c r="E41" s="13" t="n"/>
      <c r="F41" s="13" t="n"/>
      <c r="G41" s="13" t="n"/>
      <c r="H41" s="15" t="n"/>
      <c r="I41" s="29" t="n"/>
    </row>
    <row r="42" ht="22" customHeight="1">
      <c r="B42" s="20">
        <f>IF(C42="","SM-"&amp;TEXT(COUNTA($C$5:C42),"000"))</f>
        <v/>
      </c>
      <c r="C42" s="16" t="n"/>
      <c r="D42" s="16" t="n"/>
      <c r="E42" s="17" t="n"/>
      <c r="F42" s="17" t="n"/>
      <c r="G42" s="17" t="n"/>
      <c r="H42" s="19" t="n"/>
      <c r="I42" s="30" t="n"/>
    </row>
    <row r="43" ht="22" customHeight="1">
      <c r="B43" s="21">
        <f>IF(C43="","SM-"&amp;TEXT(COUNTA($C$5:C43),"000"))</f>
        <v/>
      </c>
      <c r="C43" s="12" t="n"/>
      <c r="D43" s="12" t="n"/>
      <c r="E43" s="13" t="n"/>
      <c r="F43" s="13" t="n"/>
      <c r="G43" s="13" t="n"/>
      <c r="H43" s="15" t="n"/>
      <c r="I43" s="29" t="n"/>
    </row>
    <row r="44" ht="22" customHeight="1">
      <c r="B44" s="20">
        <f>IF(C44="","SM-"&amp;TEXT(COUNTA($C$5:C44),"000"))</f>
        <v/>
      </c>
      <c r="C44" s="16" t="n"/>
      <c r="D44" s="16" t="n"/>
      <c r="E44" s="17" t="n"/>
      <c r="F44" s="17" t="n"/>
      <c r="G44" s="17" t="n"/>
      <c r="H44" s="19" t="n"/>
      <c r="I44" s="30" t="n"/>
    </row>
    <row r="45" ht="22" customHeight="1">
      <c r="B45" s="21">
        <f>IF(C45="","SM-"&amp;TEXT(COUNTA($C$5:C45),"000"))</f>
        <v/>
      </c>
      <c r="C45" s="12" t="n"/>
      <c r="D45" s="12" t="n"/>
      <c r="E45" s="13" t="n"/>
      <c r="F45" s="13" t="n"/>
      <c r="G45" s="13" t="n"/>
      <c r="H45" s="15" t="n"/>
      <c r="I45" s="29" t="n"/>
    </row>
    <row r="46" ht="22" customHeight="1">
      <c r="B46" s="20">
        <f>IF(C46="","SM-"&amp;TEXT(COUNTA($C$5:C46),"000"))</f>
        <v/>
      </c>
      <c r="C46" s="16" t="n"/>
      <c r="D46" s="16" t="n"/>
      <c r="E46" s="17" t="n"/>
      <c r="F46" s="17" t="n"/>
      <c r="G46" s="17" t="n"/>
      <c r="H46" s="19" t="n"/>
      <c r="I46" s="30" t="n"/>
    </row>
    <row r="47" ht="22" customHeight="1">
      <c r="B47" s="21">
        <f>IF(C47="","SM-"&amp;TEXT(COUNTA($C$5:C47),"000"))</f>
        <v/>
      </c>
      <c r="C47" s="12" t="n"/>
      <c r="D47" s="12" t="n"/>
      <c r="E47" s="13" t="n"/>
      <c r="F47" s="13" t="n"/>
      <c r="G47" s="13" t="n"/>
      <c r="H47" s="15" t="n"/>
      <c r="I47" s="29" t="n"/>
    </row>
    <row r="48" ht="22" customHeight="1">
      <c r="B48" s="20">
        <f>IF(C48="","SM-"&amp;TEXT(COUNTA($C$5:C48),"000"))</f>
        <v/>
      </c>
      <c r="C48" s="16" t="n"/>
      <c r="D48" s="16" t="n"/>
      <c r="E48" s="17" t="n"/>
      <c r="F48" s="17" t="n"/>
      <c r="G48" s="17" t="n"/>
      <c r="H48" s="19" t="n"/>
      <c r="I48" s="30" t="n"/>
    </row>
    <row r="49" ht="22" customHeight="1">
      <c r="B49" s="21">
        <f>IF(C49="","SM-"&amp;TEXT(COUNTA($C$5:C49),"000"))</f>
        <v/>
      </c>
      <c r="C49" s="12" t="n"/>
      <c r="D49" s="12" t="n"/>
      <c r="E49" s="13" t="n"/>
      <c r="F49" s="13" t="n"/>
      <c r="G49" s="13" t="n"/>
      <c r="H49" s="15" t="n"/>
      <c r="I49" s="29" t="n"/>
    </row>
    <row r="50" ht="22" customHeight="1">
      <c r="B50" s="20">
        <f>IF(C50="","SM-"&amp;TEXT(COUNTA($C$5:C50),"000"))</f>
        <v/>
      </c>
      <c r="C50" s="16" t="n"/>
      <c r="D50" s="16" t="n"/>
      <c r="E50" s="17" t="n"/>
      <c r="F50" s="17" t="n"/>
      <c r="G50" s="17" t="n"/>
      <c r="H50" s="19" t="n"/>
      <c r="I50" s="30" t="n"/>
    </row>
    <row r="51" ht="22" customHeight="1">
      <c r="B51" s="21">
        <f>IF(C51="","SM-"&amp;TEXT(COUNTA($C$5:C51),"000"))</f>
        <v/>
      </c>
      <c r="C51" s="12" t="n"/>
      <c r="D51" s="12" t="n"/>
      <c r="E51" s="13" t="n"/>
      <c r="F51" s="13" t="n"/>
      <c r="G51" s="13" t="n"/>
      <c r="H51" s="15" t="n"/>
      <c r="I51" s="29" t="n"/>
    </row>
    <row r="52" ht="22" customHeight="1">
      <c r="B52" s="20">
        <f>IF(C52="","SM-"&amp;TEXT(COUNTA($C$5:C52),"000"))</f>
        <v/>
      </c>
      <c r="C52" s="16" t="n"/>
      <c r="D52" s="16" t="n"/>
      <c r="E52" s="17" t="n"/>
      <c r="F52" s="17" t="n"/>
      <c r="G52" s="17" t="n"/>
      <c r="H52" s="19" t="n"/>
      <c r="I52" s="30" t="n"/>
    </row>
    <row r="53" ht="22" customHeight="1">
      <c r="B53" s="21">
        <f>IF(C53="","SM-"&amp;TEXT(COUNTA($C$5:C53),"000"))</f>
        <v/>
      </c>
      <c r="C53" s="12" t="n"/>
      <c r="D53" s="12" t="n"/>
      <c r="E53" s="13" t="n"/>
      <c r="F53" s="13" t="n"/>
      <c r="G53" s="13" t="n"/>
      <c r="H53" s="15" t="n"/>
      <c r="I53" s="29" t="n"/>
    </row>
    <row r="54" ht="22" customHeight="1">
      <c r="B54" s="20">
        <f>IF(C54="","SM-"&amp;TEXT(COUNTA($C$5:C54),"000"))</f>
        <v/>
      </c>
      <c r="C54" s="16" t="n"/>
      <c r="D54" s="16" t="n"/>
      <c r="E54" s="17" t="n"/>
      <c r="F54" s="17" t="n"/>
      <c r="G54" s="17" t="n"/>
      <c r="H54" s="19" t="n"/>
      <c r="I54" s="30" t="n"/>
    </row>
    <row r="55" ht="22" customHeight="1">
      <c r="B55" s="21">
        <f>IF(C55="","SM-"&amp;TEXT(COUNTA($C$5:C55),"000"))</f>
        <v/>
      </c>
      <c r="C55" s="12" t="n"/>
      <c r="D55" s="12" t="n"/>
      <c r="E55" s="13" t="n"/>
      <c r="F55" s="13" t="n"/>
      <c r="G55" s="13" t="n"/>
      <c r="H55" s="15" t="n"/>
      <c r="I55" s="29" t="n"/>
    </row>
    <row r="56" ht="22" customHeight="1">
      <c r="B56" s="20">
        <f>IF(C56="","SM-"&amp;TEXT(COUNTA($C$5:C56),"000"))</f>
        <v/>
      </c>
      <c r="C56" s="16" t="n"/>
      <c r="D56" s="16" t="n"/>
      <c r="E56" s="17" t="n"/>
      <c r="F56" s="17" t="n"/>
      <c r="G56" s="17" t="n"/>
      <c r="H56" s="19" t="n"/>
      <c r="I56" s="30" t="n"/>
    </row>
    <row r="57" ht="22" customHeight="1">
      <c r="B57" s="21">
        <f>IF(C57="","SM-"&amp;TEXT(COUNTA($C$5:C57),"000"))</f>
        <v/>
      </c>
      <c r="C57" s="12" t="n"/>
      <c r="D57" s="12" t="n"/>
      <c r="E57" s="13" t="n"/>
      <c r="F57" s="13" t="n"/>
      <c r="G57" s="13" t="n"/>
      <c r="H57" s="15" t="n"/>
      <c r="I57" s="29" t="n"/>
    </row>
    <row r="58" ht="22" customHeight="1">
      <c r="B58" s="20">
        <f>IF(C58="","SM-"&amp;TEXT(COUNTA($C$5:C58),"000"))</f>
        <v/>
      </c>
      <c r="C58" s="16" t="n"/>
      <c r="D58" s="16" t="n"/>
      <c r="E58" s="17" t="n"/>
      <c r="F58" s="17" t="n"/>
      <c r="G58" s="17" t="n"/>
      <c r="H58" s="19" t="n"/>
      <c r="I58" s="30" t="n"/>
    </row>
    <row r="59" ht="22" customHeight="1">
      <c r="B59" s="21">
        <f>IF(C59="","SM-"&amp;TEXT(COUNTA($C$5:C59),"000"))</f>
        <v/>
      </c>
      <c r="C59" s="12" t="n"/>
      <c r="D59" s="12" t="n"/>
      <c r="E59" s="13" t="n"/>
      <c r="F59" s="13" t="n"/>
      <c r="G59" s="13" t="n"/>
      <c r="H59" s="15" t="n"/>
      <c r="I59" s="29" t="n"/>
    </row>
    <row r="60" ht="22" customHeight="1">
      <c r="B60" s="20">
        <f>IF(C60="","SM-"&amp;TEXT(COUNTA($C$5:C60),"000"))</f>
        <v/>
      </c>
      <c r="C60" s="16" t="n"/>
      <c r="D60" s="16" t="n"/>
      <c r="E60" s="17" t="n"/>
      <c r="F60" s="17" t="n"/>
      <c r="G60" s="17" t="n"/>
      <c r="H60" s="19" t="n"/>
      <c r="I60" s="30" t="n"/>
    </row>
    <row r="61" ht="22" customHeight="1">
      <c r="B61" s="21">
        <f>IF(C61="","SM-"&amp;TEXT(COUNTA($C$5:C61),"000"))</f>
        <v/>
      </c>
      <c r="C61" s="12" t="n"/>
      <c r="D61" s="12" t="n"/>
      <c r="E61" s="13" t="n"/>
      <c r="F61" s="13" t="n"/>
      <c r="G61" s="13" t="n"/>
      <c r="H61" s="15" t="n"/>
      <c r="I61" s="29" t="n"/>
    </row>
    <row r="62" ht="22" customHeight="1">
      <c r="B62" s="20">
        <f>IF(C62="","SM-"&amp;TEXT(COUNTA($C$5:C62),"000"))</f>
        <v/>
      </c>
      <c r="C62" s="16" t="n"/>
      <c r="D62" s="16" t="n"/>
      <c r="E62" s="17" t="n"/>
      <c r="F62" s="17" t="n"/>
      <c r="G62" s="17" t="n"/>
      <c r="H62" s="19" t="n"/>
      <c r="I62" s="30" t="n"/>
    </row>
    <row r="63" ht="22" customHeight="1">
      <c r="B63" s="21">
        <f>IF(C63="","SM-"&amp;TEXT(COUNTA($C$5:C63),"000"))</f>
        <v/>
      </c>
      <c r="C63" s="12" t="n"/>
      <c r="D63" s="12" t="n"/>
      <c r="E63" s="13" t="n"/>
      <c r="F63" s="13" t="n"/>
      <c r="G63" s="13" t="n"/>
      <c r="H63" s="15" t="n"/>
      <c r="I63" s="29" t="n"/>
    </row>
    <row r="64" ht="22" customHeight="1">
      <c r="B64" s="20">
        <f>IF(C64="","SM-"&amp;TEXT(COUNTA($C$5:C64),"000"))</f>
        <v/>
      </c>
      <c r="C64" s="16" t="n"/>
      <c r="D64" s="16" t="n"/>
      <c r="E64" s="17" t="n"/>
      <c r="F64" s="17" t="n"/>
      <c r="G64" s="17" t="n"/>
      <c r="H64" s="19" t="n"/>
      <c r="I64" s="30" t="n"/>
    </row>
    <row r="65" ht="22" customHeight="1">
      <c r="B65" s="21">
        <f>IF(C65="","SM-"&amp;TEXT(COUNTA($C$5:C65),"000"))</f>
        <v/>
      </c>
      <c r="C65" s="12" t="n"/>
      <c r="D65" s="12" t="n"/>
      <c r="E65" s="13" t="n"/>
      <c r="F65" s="13" t="n"/>
      <c r="G65" s="13" t="n"/>
      <c r="H65" s="15" t="n"/>
      <c r="I65" s="29" t="n"/>
    </row>
    <row r="66" ht="22" customHeight="1">
      <c r="B66" s="20">
        <f>IF(C66="","SM-"&amp;TEXT(COUNTA($C$5:C66),"000"))</f>
        <v/>
      </c>
      <c r="C66" s="16" t="n"/>
      <c r="D66" s="16" t="n"/>
      <c r="E66" s="17" t="n"/>
      <c r="F66" s="17" t="n"/>
      <c r="G66" s="17" t="n"/>
      <c r="H66" s="19" t="n"/>
      <c r="I66" s="30" t="n"/>
    </row>
    <row r="67" ht="22" customHeight="1">
      <c r="B67" s="21">
        <f>IF(C67="","SM-"&amp;TEXT(COUNTA($C$5:C67),"000"))</f>
        <v/>
      </c>
      <c r="C67" s="12" t="n"/>
      <c r="D67" s="12" t="n"/>
      <c r="E67" s="13" t="n"/>
      <c r="F67" s="13" t="n"/>
      <c r="G67" s="13" t="n"/>
      <c r="H67" s="15" t="n"/>
      <c r="I67" s="29" t="n"/>
    </row>
    <row r="68" ht="22" customHeight="1">
      <c r="B68" s="20">
        <f>IF(C68="","SM-"&amp;TEXT(COUNTA($C$5:C68),"000"))</f>
        <v/>
      </c>
      <c r="C68" s="16" t="n"/>
      <c r="D68" s="16" t="n"/>
      <c r="E68" s="17" t="n"/>
      <c r="F68" s="17" t="n"/>
      <c r="G68" s="17" t="n"/>
      <c r="H68" s="19" t="n"/>
      <c r="I68" s="30" t="n"/>
    </row>
    <row r="69" ht="22" customHeight="1">
      <c r="B69" s="21">
        <f>IF(C69="","SM-"&amp;TEXT(COUNTA($C$5:C69),"000"))</f>
        <v/>
      </c>
      <c r="C69" s="12" t="n"/>
      <c r="D69" s="12" t="n"/>
      <c r="E69" s="13" t="n"/>
      <c r="F69" s="13" t="n"/>
      <c r="G69" s="13" t="n"/>
      <c r="H69" s="15" t="n"/>
      <c r="I69" s="29" t="n"/>
    </row>
    <row r="70" ht="22" customHeight="1">
      <c r="B70" s="20">
        <f>IF(C70="","SM-"&amp;TEXT(COUNTA($C$5:C70),"000"))</f>
        <v/>
      </c>
      <c r="C70" s="16" t="n"/>
      <c r="D70" s="16" t="n"/>
      <c r="E70" s="17" t="n"/>
      <c r="F70" s="17" t="n"/>
      <c r="G70" s="17" t="n"/>
      <c r="H70" s="19" t="n"/>
      <c r="I70" s="30" t="n"/>
    </row>
    <row r="71" ht="22" customHeight="1">
      <c r="B71" s="21">
        <f>IF(C71="","SM-"&amp;TEXT(COUNTA($C$5:C71),"000"))</f>
        <v/>
      </c>
      <c r="C71" s="12" t="n"/>
      <c r="D71" s="12" t="n"/>
      <c r="E71" s="13" t="n"/>
      <c r="F71" s="13" t="n"/>
      <c r="G71" s="13" t="n"/>
      <c r="H71" s="15" t="n"/>
      <c r="I71" s="29" t="n"/>
    </row>
    <row r="72" ht="22" customHeight="1">
      <c r="B72" s="20">
        <f>IF(C72="","SM-"&amp;TEXT(COUNTA($C$5:C72),"000"))</f>
        <v/>
      </c>
      <c r="C72" s="16" t="n"/>
      <c r="D72" s="16" t="n"/>
      <c r="E72" s="17" t="n"/>
      <c r="F72" s="17" t="n"/>
      <c r="G72" s="17" t="n"/>
      <c r="H72" s="19" t="n"/>
      <c r="I72" s="30" t="n"/>
    </row>
    <row r="73" ht="22" customHeight="1">
      <c r="B73" s="21">
        <f>IF(C73="","SM-"&amp;TEXT(COUNTA($C$5:C73),"000"))</f>
        <v/>
      </c>
      <c r="C73" s="12" t="n"/>
      <c r="D73" s="12" t="n"/>
      <c r="E73" s="13" t="n"/>
      <c r="F73" s="13" t="n"/>
      <c r="G73" s="13" t="n"/>
      <c r="H73" s="15" t="n"/>
      <c r="I73" s="29" t="n"/>
    </row>
    <row r="74" ht="22" customHeight="1">
      <c r="B74" s="20">
        <f>IF(C74="","SM-"&amp;TEXT(COUNTA($C$5:C74),"000"))</f>
        <v/>
      </c>
      <c r="C74" s="16" t="n"/>
      <c r="D74" s="16" t="n"/>
      <c r="E74" s="17" t="n"/>
      <c r="F74" s="17" t="n"/>
      <c r="G74" s="17" t="n"/>
      <c r="H74" s="19" t="n"/>
      <c r="I74" s="30" t="n"/>
    </row>
    <row r="75" ht="22" customHeight="1">
      <c r="B75" s="21">
        <f>IF(C75="","SM-"&amp;TEXT(COUNTA($C$5:C75),"000"))</f>
        <v/>
      </c>
      <c r="C75" s="12" t="n"/>
      <c r="D75" s="12" t="n"/>
      <c r="E75" s="13" t="n"/>
      <c r="F75" s="13" t="n"/>
      <c r="G75" s="13" t="n"/>
      <c r="H75" s="15" t="n"/>
      <c r="I75" s="29" t="n"/>
    </row>
    <row r="76" ht="22" customHeight="1">
      <c r="B76" s="20">
        <f>IF(C76="","SM-"&amp;TEXT(COUNTA($C$5:C76),"000"))</f>
        <v/>
      </c>
      <c r="C76" s="16" t="n"/>
      <c r="D76" s="16" t="n"/>
      <c r="E76" s="17" t="n"/>
      <c r="F76" s="17" t="n"/>
      <c r="G76" s="17" t="n"/>
      <c r="H76" s="19" t="n"/>
      <c r="I76" s="30" t="n"/>
    </row>
    <row r="77" ht="22" customHeight="1">
      <c r="B77" s="21">
        <f>IF(C77="","SM-"&amp;TEXT(COUNTA($C$5:C77),"000"))</f>
        <v/>
      </c>
      <c r="C77" s="12" t="n"/>
      <c r="D77" s="12" t="n"/>
      <c r="E77" s="13" t="n"/>
      <c r="F77" s="13" t="n"/>
      <c r="G77" s="13" t="n"/>
      <c r="H77" s="15" t="n"/>
      <c r="I77" s="29" t="n"/>
    </row>
    <row r="78" ht="22" customHeight="1">
      <c r="B78" s="20">
        <f>IF(C78="","SM-"&amp;TEXT(COUNTA($C$5:C78),"000"))</f>
        <v/>
      </c>
      <c r="C78" s="16" t="n"/>
      <c r="D78" s="16" t="n"/>
      <c r="E78" s="17" t="n"/>
      <c r="F78" s="17" t="n"/>
      <c r="G78" s="17" t="n"/>
      <c r="H78" s="19" t="n"/>
      <c r="I78" s="30" t="n"/>
    </row>
    <row r="79" ht="22" customHeight="1">
      <c r="B79" s="21">
        <f>IF(C79="","SM-"&amp;TEXT(COUNTA($C$5:C79),"000"))</f>
        <v/>
      </c>
      <c r="C79" s="12" t="n"/>
      <c r="D79" s="12" t="n"/>
      <c r="E79" s="13" t="n"/>
      <c r="F79" s="13" t="n"/>
      <c r="G79" s="13" t="n"/>
      <c r="H79" s="15" t="n"/>
      <c r="I79" s="29" t="n"/>
    </row>
    <row r="80" ht="22" customHeight="1">
      <c r="B80" s="20">
        <f>IF(C80="","SM-"&amp;TEXT(COUNTA($C$5:C80),"000"))</f>
        <v/>
      </c>
      <c r="C80" s="16" t="n"/>
      <c r="D80" s="16" t="n"/>
      <c r="E80" s="17" t="n"/>
      <c r="F80" s="17" t="n"/>
      <c r="G80" s="17" t="n"/>
      <c r="H80" s="19" t="n"/>
      <c r="I80" s="30" t="n"/>
    </row>
    <row r="81" ht="22" customHeight="1">
      <c r="B81" s="21">
        <f>IF(C81="","SM-"&amp;TEXT(COUNTA($C$5:C81),"000"))</f>
        <v/>
      </c>
      <c r="C81" s="12" t="n"/>
      <c r="D81" s="12" t="n"/>
      <c r="E81" s="13" t="n"/>
      <c r="F81" s="13" t="n"/>
      <c r="G81" s="13" t="n"/>
      <c r="H81" s="15" t="n"/>
      <c r="I81" s="29" t="n"/>
    </row>
    <row r="82" ht="22" customHeight="1">
      <c r="B82" s="20">
        <f>IF(C82="","SM-"&amp;TEXT(COUNTA($C$5:C82),"000"))</f>
        <v/>
      </c>
      <c r="C82" s="16" t="n"/>
      <c r="D82" s="16" t="n"/>
      <c r="E82" s="17" t="n"/>
      <c r="F82" s="17" t="n"/>
      <c r="G82" s="17" t="n"/>
      <c r="H82" s="19" t="n"/>
      <c r="I82" s="30" t="n"/>
    </row>
    <row r="83" ht="22" customHeight="1">
      <c r="B83" s="21">
        <f>IF(C83="","SM-"&amp;TEXT(COUNTA($C$5:C83),"000"))</f>
        <v/>
      </c>
      <c r="C83" s="12" t="n"/>
      <c r="D83" s="12" t="n"/>
      <c r="E83" s="13" t="n"/>
      <c r="F83" s="13" t="n"/>
      <c r="G83" s="13" t="n"/>
      <c r="H83" s="15" t="n"/>
      <c r="I83" s="29" t="n"/>
    </row>
    <row r="84" ht="22" customHeight="1">
      <c r="B84" s="20">
        <f>IF(C84="","SM-"&amp;TEXT(COUNTA($C$5:C84),"000"))</f>
        <v/>
      </c>
      <c r="C84" s="16" t="n"/>
      <c r="D84" s="16" t="n"/>
      <c r="E84" s="17" t="n"/>
      <c r="F84" s="17" t="n"/>
      <c r="G84" s="17" t="n"/>
      <c r="H84" s="19" t="n"/>
      <c r="I84" s="30" t="n"/>
    </row>
    <row r="85" ht="22" customHeight="1">
      <c r="B85" s="21">
        <f>IF(C85="","SM-"&amp;TEXT(COUNTA($C$5:C85),"000"))</f>
        <v/>
      </c>
      <c r="C85" s="12" t="n"/>
      <c r="D85" s="12" t="n"/>
      <c r="E85" s="13" t="n"/>
      <c r="F85" s="13" t="n"/>
      <c r="G85" s="13" t="n"/>
      <c r="H85" s="15" t="n"/>
      <c r="I85" s="29" t="n"/>
    </row>
    <row r="86" ht="22" customHeight="1">
      <c r="B86" s="20">
        <f>IF(C86="","SM-"&amp;TEXT(COUNTA($C$5:C86),"000"))</f>
        <v/>
      </c>
      <c r="C86" s="16" t="n"/>
      <c r="D86" s="16" t="n"/>
      <c r="E86" s="17" t="n"/>
      <c r="F86" s="17" t="n"/>
      <c r="G86" s="17" t="n"/>
      <c r="H86" s="19" t="n"/>
      <c r="I86" s="30" t="n"/>
    </row>
    <row r="87" ht="22" customHeight="1">
      <c r="B87" s="21">
        <f>IF(C87="","SM-"&amp;TEXT(COUNTA($C$5:C87),"000"))</f>
        <v/>
      </c>
      <c r="C87" s="12" t="n"/>
      <c r="D87" s="12" t="n"/>
      <c r="E87" s="13" t="n"/>
      <c r="F87" s="13" t="n"/>
      <c r="G87" s="13" t="n"/>
      <c r="H87" s="15" t="n"/>
      <c r="I87" s="29" t="n"/>
    </row>
    <row r="88" ht="22" customHeight="1">
      <c r="B88" s="20">
        <f>IF(C88="","SM-"&amp;TEXT(COUNTA($C$5:C88),"000"))</f>
        <v/>
      </c>
      <c r="C88" s="16" t="n"/>
      <c r="D88" s="16" t="n"/>
      <c r="E88" s="17" t="n"/>
      <c r="F88" s="17" t="n"/>
      <c r="G88" s="17" t="n"/>
      <c r="H88" s="19" t="n"/>
      <c r="I88" s="30" t="n"/>
    </row>
    <row r="89" ht="22" customHeight="1">
      <c r="B89" s="21">
        <f>IF(C89="","SM-"&amp;TEXT(COUNTA($C$5:C89),"000"))</f>
        <v/>
      </c>
      <c r="C89" s="12" t="n"/>
      <c r="D89" s="12" t="n"/>
      <c r="E89" s="13" t="n"/>
      <c r="F89" s="13" t="n"/>
      <c r="G89" s="13" t="n"/>
      <c r="H89" s="15" t="n"/>
      <c r="I89" s="29" t="n"/>
    </row>
    <row r="90" ht="22" customHeight="1">
      <c r="B90" s="20">
        <f>IF(C90="","SM-"&amp;TEXT(COUNTA($C$5:C90),"000"))</f>
        <v/>
      </c>
      <c r="C90" s="16" t="n"/>
      <c r="D90" s="16" t="n"/>
      <c r="E90" s="17" t="n"/>
      <c r="F90" s="17" t="n"/>
      <c r="G90" s="17" t="n"/>
      <c r="H90" s="19" t="n"/>
      <c r="I90" s="30" t="n"/>
    </row>
    <row r="91" ht="22" customHeight="1">
      <c r="B91" s="21">
        <f>IF(C91="","SM-"&amp;TEXT(COUNTA($C$5:C91),"000"))</f>
        <v/>
      </c>
      <c r="C91" s="12" t="n"/>
      <c r="D91" s="12" t="n"/>
      <c r="E91" s="13" t="n"/>
      <c r="F91" s="13" t="n"/>
      <c r="G91" s="13" t="n"/>
      <c r="H91" s="15" t="n"/>
      <c r="I91" s="29" t="n"/>
    </row>
    <row r="92" ht="22" customHeight="1">
      <c r="B92" s="20">
        <f>IF(C92="","SM-"&amp;TEXT(COUNTA($C$5:C92),"000"))</f>
        <v/>
      </c>
      <c r="C92" s="16" t="n"/>
      <c r="D92" s="16" t="n"/>
      <c r="E92" s="17" t="n"/>
      <c r="F92" s="17" t="n"/>
      <c r="G92" s="17" t="n"/>
      <c r="H92" s="19" t="n"/>
      <c r="I92" s="30" t="n"/>
    </row>
    <row r="93" ht="22" customHeight="1">
      <c r="B93" s="21">
        <f>IF(C93="","SM-"&amp;TEXT(COUNTA($C$5:C93),"000"))</f>
        <v/>
      </c>
      <c r="C93" s="12" t="n"/>
      <c r="D93" s="12" t="n"/>
      <c r="E93" s="13" t="n"/>
      <c r="F93" s="13" t="n"/>
      <c r="G93" s="13" t="n"/>
      <c r="H93" s="15" t="n"/>
      <c r="I93" s="29" t="n"/>
    </row>
    <row r="94" ht="22" customHeight="1">
      <c r="B94" s="20">
        <f>IF(C94="","SM-"&amp;TEXT(COUNTA($C$5:C94),"000"))</f>
        <v/>
      </c>
      <c r="C94" s="16" t="n"/>
      <c r="D94" s="16" t="n"/>
      <c r="E94" s="17" t="n"/>
      <c r="F94" s="17" t="n"/>
      <c r="G94" s="17" t="n"/>
      <c r="H94" s="19" t="n"/>
      <c r="I94" s="30" t="n"/>
    </row>
    <row r="95" ht="22" customHeight="1">
      <c r="B95" s="21">
        <f>IF(C95="","SM-"&amp;TEXT(COUNTA($C$5:C95),"000"))</f>
        <v/>
      </c>
      <c r="C95" s="12" t="n"/>
      <c r="D95" s="12" t="n"/>
      <c r="E95" s="13" t="n"/>
      <c r="F95" s="13" t="n"/>
      <c r="G95" s="13" t="n"/>
      <c r="H95" s="15" t="n"/>
      <c r="I95" s="29" t="n"/>
    </row>
    <row r="96" ht="22" customHeight="1">
      <c r="B96" s="20">
        <f>IF(C96="","SM-"&amp;TEXT(COUNTA($C$5:C96),"000"))</f>
        <v/>
      </c>
      <c r="C96" s="16" t="n"/>
      <c r="D96" s="16" t="n"/>
      <c r="E96" s="17" t="n"/>
      <c r="F96" s="17" t="n"/>
      <c r="G96" s="17" t="n"/>
      <c r="H96" s="19" t="n"/>
      <c r="I96" s="30" t="n"/>
    </row>
    <row r="97" ht="22" customHeight="1">
      <c r="B97" s="21">
        <f>IF(C97="","SM-"&amp;TEXT(COUNTA($C$5:C97),"000"))</f>
        <v/>
      </c>
      <c r="C97" s="12" t="n"/>
      <c r="D97" s="12" t="n"/>
      <c r="E97" s="13" t="n"/>
      <c r="F97" s="13" t="n"/>
      <c r="G97" s="13" t="n"/>
      <c r="H97" s="15" t="n"/>
      <c r="I97" s="29" t="n"/>
    </row>
    <row r="98" ht="22" customHeight="1">
      <c r="B98" s="20">
        <f>IF(C98="","SM-"&amp;TEXT(COUNTA($C$5:C98),"000"))</f>
        <v/>
      </c>
      <c r="C98" s="16" t="n"/>
      <c r="D98" s="16" t="n"/>
      <c r="E98" s="17" t="n"/>
      <c r="F98" s="17" t="n"/>
      <c r="G98" s="17" t="n"/>
      <c r="H98" s="19" t="n"/>
      <c r="I98" s="30" t="n"/>
    </row>
    <row r="99" ht="22" customHeight="1">
      <c r="B99" s="21">
        <f>IF(C99="","SM-"&amp;TEXT(COUNTA($C$5:C99),"000"))</f>
        <v/>
      </c>
      <c r="C99" s="12" t="n"/>
      <c r="D99" s="12" t="n"/>
      <c r="E99" s="13" t="n"/>
      <c r="F99" s="13" t="n"/>
      <c r="G99" s="13" t="n"/>
      <c r="H99" s="15" t="n"/>
      <c r="I99" s="29" t="n"/>
    </row>
    <row r="100" ht="22" customHeight="1">
      <c r="B100" s="20">
        <f>IF(C100="","SM-"&amp;TEXT(COUNTA($C$5:C100),"000"))</f>
        <v/>
      </c>
      <c r="C100" s="16" t="n"/>
      <c r="D100" s="16" t="n"/>
      <c r="E100" s="17" t="n"/>
      <c r="F100" s="17" t="n"/>
      <c r="G100" s="17" t="n"/>
      <c r="H100" s="19" t="n"/>
      <c r="I100" s="30" t="n"/>
    </row>
    <row r="101" ht="22" customHeight="1">
      <c r="B101" s="21">
        <f>IF(C101="","SM-"&amp;TEXT(COUNTA($C$5:C101),"000"))</f>
        <v/>
      </c>
      <c r="C101" s="12" t="n"/>
      <c r="D101" s="12" t="n"/>
      <c r="E101" s="13" t="n"/>
      <c r="F101" s="13" t="n"/>
      <c r="G101" s="13" t="n"/>
      <c r="H101" s="15" t="n"/>
      <c r="I101" s="29" t="n"/>
    </row>
    <row r="102" ht="22" customHeight="1">
      <c r="B102" s="20">
        <f>IF(C102="","SM-"&amp;TEXT(COUNTA($C$5:C102),"000"))</f>
        <v/>
      </c>
      <c r="C102" s="16" t="n"/>
      <c r="D102" s="16" t="n"/>
      <c r="E102" s="17" t="n"/>
      <c r="F102" s="17" t="n"/>
      <c r="G102" s="17" t="n"/>
      <c r="H102" s="19" t="n"/>
      <c r="I102" s="30" t="n"/>
    </row>
    <row r="103" ht="22" customHeight="1">
      <c r="B103" s="21">
        <f>IF(C103="","SM-"&amp;TEXT(COUNTA($C$5:C103),"000"))</f>
        <v/>
      </c>
      <c r="C103" s="12" t="n"/>
      <c r="D103" s="12" t="n"/>
      <c r="E103" s="13" t="n"/>
      <c r="F103" s="13" t="n"/>
      <c r="G103" s="13" t="n"/>
      <c r="H103" s="15" t="n"/>
      <c r="I103" s="29" t="n"/>
    </row>
    <row r="104" ht="22" customHeight="1">
      <c r="B104" s="20">
        <f>IF(C104="","SM-"&amp;TEXT(COUNTA($C$5:C104),"000"))</f>
        <v/>
      </c>
      <c r="C104" s="16" t="n"/>
      <c r="D104" s="16" t="n"/>
      <c r="E104" s="17" t="n"/>
      <c r="F104" s="17" t="n"/>
      <c r="G104" s="17" t="n"/>
      <c r="H104" s="19" t="n"/>
      <c r="I104" s="30" t="n"/>
    </row>
    <row r="105" ht="22" customHeight="1">
      <c r="B105" s="21">
        <f>IF(C105="","SM-"&amp;TEXT(COUNTA($C$5:C105),"000"))</f>
        <v/>
      </c>
      <c r="C105" s="12" t="n"/>
      <c r="D105" s="12" t="n"/>
      <c r="E105" s="13" t="n"/>
      <c r="F105" s="13" t="n"/>
      <c r="G105" s="13" t="n"/>
      <c r="H105" s="15" t="n"/>
      <c r="I105" s="29" t="n"/>
    </row>
    <row r="106" ht="22" customHeight="1">
      <c r="B106" s="20">
        <f>IF(C106="","SM-"&amp;TEXT(COUNTA($C$5:C106),"000"))</f>
        <v/>
      </c>
      <c r="C106" s="16" t="n"/>
      <c r="D106" s="16" t="n"/>
      <c r="E106" s="17" t="n"/>
      <c r="F106" s="17" t="n"/>
      <c r="G106" s="17" t="n"/>
      <c r="H106" s="19" t="n"/>
      <c r="I106" s="30" t="n"/>
    </row>
    <row r="107" ht="22" customHeight="1">
      <c r="B107" s="21">
        <f>IF(C107="","SM-"&amp;TEXT(COUNTA($C$5:C107),"000"))</f>
        <v/>
      </c>
      <c r="C107" s="12" t="n"/>
      <c r="D107" s="12" t="n"/>
      <c r="E107" s="13" t="n"/>
      <c r="F107" s="13" t="n"/>
      <c r="G107" s="13" t="n"/>
      <c r="H107" s="15" t="n"/>
      <c r="I107" s="29" t="n"/>
    </row>
    <row r="108" ht="22" customHeight="1">
      <c r="B108" s="20">
        <f>IF(C108="","SM-"&amp;TEXT(COUNTA($C$5:C108),"000"))</f>
        <v/>
      </c>
      <c r="C108" s="16" t="n"/>
      <c r="D108" s="16" t="n"/>
      <c r="E108" s="17" t="n"/>
      <c r="F108" s="17" t="n"/>
      <c r="G108" s="17" t="n"/>
      <c r="H108" s="19" t="n"/>
      <c r="I108" s="30" t="n"/>
    </row>
    <row r="109" ht="22" customHeight="1">
      <c r="B109" s="21">
        <f>IF(C109="","SM-"&amp;TEXT(COUNTA($C$5:C109),"000"))</f>
        <v/>
      </c>
      <c r="C109" s="12" t="n"/>
      <c r="D109" s="12" t="n"/>
      <c r="E109" s="13" t="n"/>
      <c r="F109" s="13" t="n"/>
      <c r="G109" s="13" t="n"/>
      <c r="H109" s="15" t="n"/>
      <c r="I109" s="29" t="n"/>
    </row>
    <row r="110" ht="22" customHeight="1">
      <c r="B110" s="20">
        <f>IF(C110="","SM-"&amp;TEXT(COUNTA($C$5:C110),"000"))</f>
        <v/>
      </c>
      <c r="C110" s="16" t="n"/>
      <c r="D110" s="16" t="n"/>
      <c r="E110" s="17" t="n"/>
      <c r="F110" s="17" t="n"/>
      <c r="G110" s="17" t="n"/>
      <c r="H110" s="19" t="n"/>
      <c r="I110" s="30" t="n"/>
    </row>
    <row r="112" ht="26" customHeight="1">
      <c r="B112" s="22" t="inlineStr">
        <is>
          <t>TOTAL</t>
        </is>
      </c>
      <c r="C112" s="23" t="n"/>
      <c r="D112" s="23" t="n"/>
      <c r="E112" s="24">
        <f>SUM(E5:E104)</f>
        <v/>
      </c>
      <c r="F112" s="24">
        <f>SUM(F5:F104)</f>
        <v/>
      </c>
      <c r="G112" s="24">
        <f>SUM(G5:G104)</f>
        <v/>
      </c>
      <c r="H112" s="24">
        <f>SUM(H5:H104)</f>
        <v/>
      </c>
      <c r="I112" s="23" t="n"/>
    </row>
    <row r="114">
      <c r="B114" s="6" t="inlineStr">
        <is>
          <t>INDICATEURS (mis a jour automatiquement)</t>
        </is>
      </c>
    </row>
    <row r="115">
      <c r="B115" s="3" t="inlineStr">
        <is>
          <t>Mois suivis</t>
        </is>
      </c>
      <c r="D115" s="3" t="inlineStr">
        <is>
          <t>Total actions annee</t>
        </is>
      </c>
      <c r="F115" s="3" t="inlineStr">
        <is>
          <t>Total participants</t>
        </is>
      </c>
      <c r="H115" s="3" t="inlineStr">
        <is>
          <t>Cout cumule (FCFA)</t>
        </is>
      </c>
    </row>
    <row r="116">
      <c r="B116" s="4">
        <f>COUNTIF(B5:B104,"&lt;&gt;")</f>
        <v/>
      </c>
      <c r="D116" s="4">
        <f>SUM(E5:E104)</f>
        <v/>
      </c>
      <c r="F116" s="4">
        <f>SUM(F5:F104)</f>
        <v/>
      </c>
      <c r="H116" s="4">
        <f>SUM(H5:H104)</f>
        <v/>
      </c>
    </row>
  </sheetData>
  <mergeCells count="3">
    <mergeCell ref="B3:I3"/>
    <mergeCell ref="B2:I2"/>
    <mergeCell ref="B114:I114"/>
  </mergeCells>
  <conditionalFormatting sqref="B11:B110">
    <cfRule type="expression" priority="1" dxfId="3">
      <formula>AND($C11="",$C10&lt;&gt;"")</formula>
    </cfRule>
  </conditionalFormatting>
  <conditionalFormatting sqref="C11:C110">
    <cfRule type="expression" priority="2" dxfId="3">
      <formula>AND($C11="",$C10&lt;&gt;"")</formula>
    </cfRule>
  </conditionalFormatting>
  <conditionalFormatting sqref="D11:D110">
    <cfRule type="expression" priority="3" dxfId="3">
      <formula>AND($C11="",$C10&lt;&gt;"")</formula>
    </cfRule>
  </conditionalFormatting>
  <conditionalFormatting sqref="E11:E110">
    <cfRule type="expression" priority="4" dxfId="3">
      <formula>AND($C11="",$C10&lt;&gt;"")</formula>
    </cfRule>
  </conditionalFormatting>
  <conditionalFormatting sqref="F11:F110">
    <cfRule type="expression" priority="5" dxfId="3">
      <formula>AND($C11="",$C10&lt;&gt;"")</formula>
    </cfRule>
  </conditionalFormatting>
  <conditionalFormatting sqref="G11:G110">
    <cfRule type="expression" priority="6" dxfId="3">
      <formula>AND($C11="",$C10&lt;&gt;"")</formula>
    </cfRule>
  </conditionalFormatting>
  <conditionalFormatting sqref="H11:H110">
    <cfRule type="expression" priority="7" dxfId="3">
      <formula>AND($C11="",$C10&lt;&gt;"")</formula>
    </cfRule>
  </conditionalFormatting>
  <conditionalFormatting sqref="I11:I110">
    <cfRule type="expression" priority="8" dxfId="3">
      <formula>AND($C11="",$C10&lt;&gt;"")</formula>
    </cfRule>
  </conditionalFormatting>
  <dataValidations count="2">
    <dataValidation sqref="C5:C110" showDropDown="0" showInputMessage="0" showErrorMessage="0" allowBlank="1" errorTitle="Erreur" error="Valeur invalide" promptTitle="Liste" prompt="Choisir dans la liste" type="list">
      <formula1>'_Lists'!$O$2:$O$13</formula1>
    </dataValidation>
    <dataValidation sqref="D5:D110" showDropDown="0" showInputMessage="0" showErrorMessage="0" allowBlank="1" errorTitle="Erreur" error="Valeur invalide" promptTitle="Liste" prompt="Choisir dans la liste" type="list">
      <formula1>'_Lists'!$P$2:$P$4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L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8" customWidth="1" min="3" max="3"/>
    <col width="28" customWidth="1" min="4" max="4"/>
    <col width="14" customWidth="1" min="5" max="5"/>
    <col width="14" customWidth="1" min="6" max="6"/>
    <col width="20" customWidth="1" min="7" max="7"/>
    <col width="16" customWidth="1" min="8" max="8"/>
    <col width="16" customWidth="1" min="9" max="9"/>
    <col width="18" customWidth="1" min="10" max="10"/>
    <col width="36" customWidth="1" min="11" max="11"/>
    <col width="14" customWidth="1" min="12" max="12"/>
  </cols>
  <sheetData>
    <row r="1" ht="15" customHeight="1"/>
    <row r="2" ht="32" customHeight="1">
      <c r="B2" s="1" t="inlineStr">
        <is>
          <t>RAPPORTS &amp; STATISTIQUES DE FORMATION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 Rapport</t>
        </is>
      </c>
      <c r="C4" s="11" t="inlineStr">
        <is>
          <t>Type Rapport</t>
        </is>
      </c>
      <c r="D4" s="11" t="inlineStr">
        <is>
          <t>Titre</t>
        </is>
      </c>
      <c r="E4" s="11" t="inlineStr">
        <is>
          <t>Periode Debut</t>
        </is>
      </c>
      <c r="F4" s="11" t="inlineStr">
        <is>
          <t>Periode Fin</t>
        </is>
      </c>
      <c r="G4" s="11" t="inlineStr">
        <is>
          <t>Departement</t>
        </is>
      </c>
      <c r="H4" s="11" t="inlineStr">
        <is>
          <t>Auteur</t>
        </is>
      </c>
      <c r="I4" s="11" t="inlineStr">
        <is>
          <t>Nb Formations</t>
        </is>
      </c>
      <c r="J4" s="11" t="inlineStr">
        <is>
          <t>Cout Total (FCFA)</t>
        </is>
      </c>
      <c r="K4" s="11" t="inlineStr">
        <is>
          <t>Recommandations</t>
        </is>
      </c>
      <c r="L4" s="11" t="inlineStr">
        <is>
          <t>Statut</t>
        </is>
      </c>
    </row>
    <row r="5" ht="22" customHeight="1">
      <c r="B5" s="12" t="inlineStr">
        <is>
          <t>RF-001</t>
        </is>
      </c>
      <c r="C5" s="12" t="inlineStr">
        <is>
          <t>Bilan trimestriel</t>
        </is>
      </c>
      <c r="D5" s="12" t="inlineStr">
        <is>
          <t>Bilan formation T1 2025</t>
        </is>
      </c>
      <c r="E5" s="31" t="n">
        <v>45658</v>
      </c>
      <c r="F5" s="31" t="n">
        <v>45747</v>
      </c>
      <c r="G5" s="12" t="inlineStr">
        <is>
          <t>Tous</t>
        </is>
      </c>
      <c r="H5" s="12" t="inlineStr">
        <is>
          <t>DRH Nganou</t>
        </is>
      </c>
      <c r="I5" s="13" t="n">
        <v>2</v>
      </c>
      <c r="J5" s="15" t="n">
        <v>257500</v>
      </c>
      <c r="K5" s="12" t="inlineStr">
        <is>
          <t>Intensifier formations langue reception</t>
        </is>
      </c>
      <c r="L5" s="12" t="inlineStr">
        <is>
          <t>Valide</t>
        </is>
      </c>
    </row>
    <row r="6" ht="22" customHeight="1">
      <c r="B6" s="16" t="inlineStr">
        <is>
          <t>RF-002</t>
        </is>
      </c>
      <c r="C6" s="16" t="inlineStr">
        <is>
          <t>Bilan mensuel</t>
        </is>
      </c>
      <c r="D6" s="16" t="inlineStr">
        <is>
          <t>Bilan formation Juin 2025</t>
        </is>
      </c>
      <c r="E6" s="32" t="n">
        <v>45809</v>
      </c>
      <c r="F6" s="32" t="n">
        <v>45838</v>
      </c>
      <c r="G6" s="16" t="inlineStr">
        <is>
          <t>Service Client</t>
        </is>
      </c>
      <c r="H6" s="16" t="inlineStr">
        <is>
          <t>Assistante RH</t>
        </is>
      </c>
      <c r="I6" s="17" t="n">
        <v>1</v>
      </c>
      <c r="J6" s="19" t="n">
        <v>96000</v>
      </c>
      <c r="K6" s="16" t="inlineStr">
        <is>
          <t>Prolonger formation conflits avec role-play</t>
        </is>
      </c>
      <c r="L6" s="16" t="inlineStr">
        <is>
          <t>Brouillon</t>
        </is>
      </c>
    </row>
    <row r="7" ht="22" customHeight="1">
      <c r="B7" s="12" t="inlineStr">
        <is>
          <t>RF-003</t>
        </is>
      </c>
      <c r="C7" s="12" t="inlineStr">
        <is>
          <t>Rapport annuel</t>
        </is>
      </c>
      <c r="D7" s="12" t="inlineStr">
        <is>
          <t>Bilan formation 2024</t>
        </is>
      </c>
      <c r="E7" s="31" t="n">
        <v>45292</v>
      </c>
      <c r="F7" s="31" t="n">
        <v>45657</v>
      </c>
      <c r="G7" s="12" t="inlineStr">
        <is>
          <t>Tous</t>
        </is>
      </c>
      <c r="H7" s="12" t="inlineStr">
        <is>
          <t>DRH Nganou</t>
        </is>
      </c>
      <c r="I7" s="13" t="n">
        <v>18</v>
      </c>
      <c r="J7" s="15" t="n">
        <v>1200000</v>
      </c>
      <c r="K7" s="12" t="inlineStr">
        <is>
          <t>Augmenter budget 2025 de 15%</t>
        </is>
      </c>
      <c r="L7" s="12" t="inlineStr">
        <is>
          <t>Approuve</t>
        </is>
      </c>
    </row>
    <row r="8" ht="22" customHeight="1">
      <c r="B8" s="20">
        <f>IF(C8="","RF-"&amp;TEXT(COUNTA($C$5:C8),"000"))</f>
        <v/>
      </c>
      <c r="C8" s="16" t="n"/>
      <c r="D8" s="16" t="n"/>
      <c r="E8" s="32" t="n"/>
      <c r="F8" s="32" t="n"/>
      <c r="G8" s="16" t="n"/>
      <c r="H8" s="16" t="n"/>
      <c r="I8" s="17" t="n"/>
      <c r="J8" s="19" t="n"/>
      <c r="K8" s="16" t="n"/>
      <c r="L8" s="16" t="n"/>
    </row>
    <row r="9" ht="22" customHeight="1">
      <c r="B9" s="21">
        <f>IF(C9="","RF-"&amp;TEXT(COUNTA($C$5:C9),"000"))</f>
        <v/>
      </c>
      <c r="C9" s="12" t="n"/>
      <c r="D9" s="12" t="n"/>
      <c r="E9" s="31" t="n"/>
      <c r="F9" s="31" t="n"/>
      <c r="G9" s="12" t="n"/>
      <c r="H9" s="12" t="n"/>
      <c r="I9" s="13" t="n"/>
      <c r="J9" s="15" t="n"/>
      <c r="K9" s="12" t="n"/>
      <c r="L9" s="12" t="n"/>
    </row>
    <row r="10" ht="22" customHeight="1">
      <c r="B10" s="20">
        <f>IF(C10="","RF-"&amp;TEXT(COUNTA($C$5:C10),"000"))</f>
        <v/>
      </c>
      <c r="C10" s="16" t="n"/>
      <c r="D10" s="16" t="n"/>
      <c r="E10" s="32" t="n"/>
      <c r="F10" s="32" t="n"/>
      <c r="G10" s="16" t="n"/>
      <c r="H10" s="16" t="n"/>
      <c r="I10" s="17" t="n"/>
      <c r="J10" s="19" t="n"/>
      <c r="K10" s="16" t="n"/>
      <c r="L10" s="16" t="n"/>
    </row>
    <row r="11" ht="22" customHeight="1">
      <c r="B11" s="21">
        <f>IF(C11="","RF-"&amp;TEXT(COUNTA($C$5:C11),"000"))</f>
        <v/>
      </c>
      <c r="C11" s="12" t="n"/>
      <c r="D11" s="12" t="n"/>
      <c r="E11" s="31" t="n"/>
      <c r="F11" s="31" t="n"/>
      <c r="G11" s="12" t="n"/>
      <c r="H11" s="12" t="n"/>
      <c r="I11" s="13" t="n"/>
      <c r="J11" s="15" t="n"/>
      <c r="K11" s="12" t="n"/>
      <c r="L11" s="12" t="n"/>
    </row>
    <row r="12" ht="22" customHeight="1">
      <c r="B12" s="20">
        <f>IF(C12="","RF-"&amp;TEXT(COUNTA($C$5:C12),"000"))</f>
        <v/>
      </c>
      <c r="C12" s="16" t="n"/>
      <c r="D12" s="16" t="n"/>
      <c r="E12" s="32" t="n"/>
      <c r="F12" s="32" t="n"/>
      <c r="G12" s="16" t="n"/>
      <c r="H12" s="16" t="n"/>
      <c r="I12" s="17" t="n"/>
      <c r="J12" s="19" t="n"/>
      <c r="K12" s="16" t="n"/>
      <c r="L12" s="16" t="n"/>
    </row>
    <row r="13" ht="22" customHeight="1">
      <c r="B13" s="21">
        <f>IF(C13="","RF-"&amp;TEXT(COUNTA($C$5:C13),"000"))</f>
        <v/>
      </c>
      <c r="C13" s="12" t="n"/>
      <c r="D13" s="12" t="n"/>
      <c r="E13" s="31" t="n"/>
      <c r="F13" s="31" t="n"/>
      <c r="G13" s="12" t="n"/>
      <c r="H13" s="12" t="n"/>
      <c r="I13" s="13" t="n"/>
      <c r="J13" s="15" t="n"/>
      <c r="K13" s="12" t="n"/>
      <c r="L13" s="12" t="n"/>
    </row>
    <row r="14" ht="22" customHeight="1">
      <c r="B14" s="20">
        <f>IF(C14="","RF-"&amp;TEXT(COUNTA($C$5:C14),"000"))</f>
        <v/>
      </c>
      <c r="C14" s="16" t="n"/>
      <c r="D14" s="16" t="n"/>
      <c r="E14" s="32" t="n"/>
      <c r="F14" s="32" t="n"/>
      <c r="G14" s="16" t="n"/>
      <c r="H14" s="16" t="n"/>
      <c r="I14" s="17" t="n"/>
      <c r="J14" s="19" t="n"/>
      <c r="K14" s="16" t="n"/>
      <c r="L14" s="16" t="n"/>
    </row>
    <row r="15" ht="22" customHeight="1">
      <c r="B15" s="21">
        <f>IF(C15="","RF-"&amp;TEXT(COUNTA($C$5:C15),"000"))</f>
        <v/>
      </c>
      <c r="C15" s="12" t="n"/>
      <c r="D15" s="12" t="n"/>
      <c r="E15" s="31" t="n"/>
      <c r="F15" s="31" t="n"/>
      <c r="G15" s="12" t="n"/>
      <c r="H15" s="12" t="n"/>
      <c r="I15" s="13" t="n"/>
      <c r="J15" s="15" t="n"/>
      <c r="K15" s="12" t="n"/>
      <c r="L15" s="12" t="n"/>
    </row>
    <row r="16" ht="22" customHeight="1">
      <c r="B16" s="20">
        <f>IF(C16="","RF-"&amp;TEXT(COUNTA($C$5:C16),"000"))</f>
        <v/>
      </c>
      <c r="C16" s="16" t="n"/>
      <c r="D16" s="16" t="n"/>
      <c r="E16" s="32" t="n"/>
      <c r="F16" s="32" t="n"/>
      <c r="G16" s="16" t="n"/>
      <c r="H16" s="16" t="n"/>
      <c r="I16" s="17" t="n"/>
      <c r="J16" s="19" t="n"/>
      <c r="K16" s="16" t="n"/>
      <c r="L16" s="16" t="n"/>
    </row>
    <row r="17" ht="22" customHeight="1">
      <c r="B17" s="21">
        <f>IF(C17="","RF-"&amp;TEXT(COUNTA($C$5:C17),"000"))</f>
        <v/>
      </c>
      <c r="C17" s="12" t="n"/>
      <c r="D17" s="12" t="n"/>
      <c r="E17" s="31" t="n"/>
      <c r="F17" s="31" t="n"/>
      <c r="G17" s="12" t="n"/>
      <c r="H17" s="12" t="n"/>
      <c r="I17" s="13" t="n"/>
      <c r="J17" s="15" t="n"/>
      <c r="K17" s="12" t="n"/>
      <c r="L17" s="12" t="n"/>
    </row>
    <row r="18" ht="22" customHeight="1">
      <c r="B18" s="20">
        <f>IF(C18="","RF-"&amp;TEXT(COUNTA($C$5:C18),"000"))</f>
        <v/>
      </c>
      <c r="C18" s="16" t="n"/>
      <c r="D18" s="16" t="n"/>
      <c r="E18" s="32" t="n"/>
      <c r="F18" s="32" t="n"/>
      <c r="G18" s="16" t="n"/>
      <c r="H18" s="16" t="n"/>
      <c r="I18" s="17" t="n"/>
      <c r="J18" s="19" t="n"/>
      <c r="K18" s="16" t="n"/>
      <c r="L18" s="16" t="n"/>
    </row>
    <row r="19" ht="22" customHeight="1">
      <c r="B19" s="21">
        <f>IF(C19="","RF-"&amp;TEXT(COUNTA($C$5:C19),"000"))</f>
        <v/>
      </c>
      <c r="C19" s="12" t="n"/>
      <c r="D19" s="12" t="n"/>
      <c r="E19" s="31" t="n"/>
      <c r="F19" s="31" t="n"/>
      <c r="G19" s="12" t="n"/>
      <c r="H19" s="12" t="n"/>
      <c r="I19" s="13" t="n"/>
      <c r="J19" s="15" t="n"/>
      <c r="K19" s="12" t="n"/>
      <c r="L19" s="12" t="n"/>
    </row>
    <row r="20" ht="22" customHeight="1">
      <c r="B20" s="20">
        <f>IF(C20="","RF-"&amp;TEXT(COUNTA($C$5:C20),"000"))</f>
        <v/>
      </c>
      <c r="C20" s="16" t="n"/>
      <c r="D20" s="16" t="n"/>
      <c r="E20" s="32" t="n"/>
      <c r="F20" s="32" t="n"/>
      <c r="G20" s="16" t="n"/>
      <c r="H20" s="16" t="n"/>
      <c r="I20" s="17" t="n"/>
      <c r="J20" s="19" t="n"/>
      <c r="K20" s="16" t="n"/>
      <c r="L20" s="16" t="n"/>
    </row>
    <row r="21" ht="22" customHeight="1">
      <c r="B21" s="21">
        <f>IF(C21="","RF-"&amp;TEXT(COUNTA($C$5:C21),"000"))</f>
        <v/>
      </c>
      <c r="C21" s="12" t="n"/>
      <c r="D21" s="12" t="n"/>
      <c r="E21" s="31" t="n"/>
      <c r="F21" s="31" t="n"/>
      <c r="G21" s="12" t="n"/>
      <c r="H21" s="12" t="n"/>
      <c r="I21" s="13" t="n"/>
      <c r="J21" s="15" t="n"/>
      <c r="K21" s="12" t="n"/>
      <c r="L21" s="12" t="n"/>
    </row>
    <row r="22" ht="22" customHeight="1">
      <c r="B22" s="20">
        <f>IF(C22="","RF-"&amp;TEXT(COUNTA($C$5:C22),"000"))</f>
        <v/>
      </c>
      <c r="C22" s="16" t="n"/>
      <c r="D22" s="16" t="n"/>
      <c r="E22" s="32" t="n"/>
      <c r="F22" s="32" t="n"/>
      <c r="G22" s="16" t="n"/>
      <c r="H22" s="16" t="n"/>
      <c r="I22" s="17" t="n"/>
      <c r="J22" s="19" t="n"/>
      <c r="K22" s="16" t="n"/>
      <c r="L22" s="16" t="n"/>
    </row>
    <row r="23" ht="22" customHeight="1">
      <c r="B23" s="21">
        <f>IF(C23="","RF-"&amp;TEXT(COUNTA($C$5:C23),"000"))</f>
        <v/>
      </c>
      <c r="C23" s="12" t="n"/>
      <c r="D23" s="12" t="n"/>
      <c r="E23" s="31" t="n"/>
      <c r="F23" s="31" t="n"/>
      <c r="G23" s="12" t="n"/>
      <c r="H23" s="12" t="n"/>
      <c r="I23" s="13" t="n"/>
      <c r="J23" s="15" t="n"/>
      <c r="K23" s="12" t="n"/>
      <c r="L23" s="12" t="n"/>
    </row>
    <row r="24" ht="22" customHeight="1">
      <c r="B24" s="20">
        <f>IF(C24="","RF-"&amp;TEXT(COUNTA($C$5:C24),"000"))</f>
        <v/>
      </c>
      <c r="C24" s="16" t="n"/>
      <c r="D24" s="16" t="n"/>
      <c r="E24" s="32" t="n"/>
      <c r="F24" s="32" t="n"/>
      <c r="G24" s="16" t="n"/>
      <c r="H24" s="16" t="n"/>
      <c r="I24" s="17" t="n"/>
      <c r="J24" s="19" t="n"/>
      <c r="K24" s="16" t="n"/>
      <c r="L24" s="16" t="n"/>
    </row>
    <row r="25" ht="22" customHeight="1">
      <c r="B25" s="21">
        <f>IF(C25="","RF-"&amp;TEXT(COUNTA($C$5:C25),"000"))</f>
        <v/>
      </c>
      <c r="C25" s="12" t="n"/>
      <c r="D25" s="12" t="n"/>
      <c r="E25" s="31" t="n"/>
      <c r="F25" s="31" t="n"/>
      <c r="G25" s="12" t="n"/>
      <c r="H25" s="12" t="n"/>
      <c r="I25" s="13" t="n"/>
      <c r="J25" s="15" t="n"/>
      <c r="K25" s="12" t="n"/>
      <c r="L25" s="12" t="n"/>
    </row>
    <row r="26" ht="22" customHeight="1">
      <c r="B26" s="20">
        <f>IF(C26="","RF-"&amp;TEXT(COUNTA($C$5:C26),"000"))</f>
        <v/>
      </c>
      <c r="C26" s="16" t="n"/>
      <c r="D26" s="16" t="n"/>
      <c r="E26" s="32" t="n"/>
      <c r="F26" s="32" t="n"/>
      <c r="G26" s="16" t="n"/>
      <c r="H26" s="16" t="n"/>
      <c r="I26" s="17" t="n"/>
      <c r="J26" s="19" t="n"/>
      <c r="K26" s="16" t="n"/>
      <c r="L26" s="16" t="n"/>
    </row>
    <row r="27" ht="22" customHeight="1">
      <c r="B27" s="21">
        <f>IF(C27="","RF-"&amp;TEXT(COUNTA($C$5:C27),"000"))</f>
        <v/>
      </c>
      <c r="C27" s="12" t="n"/>
      <c r="D27" s="12" t="n"/>
      <c r="E27" s="31" t="n"/>
      <c r="F27" s="31" t="n"/>
      <c r="G27" s="12" t="n"/>
      <c r="H27" s="12" t="n"/>
      <c r="I27" s="13" t="n"/>
      <c r="J27" s="15" t="n"/>
      <c r="K27" s="12" t="n"/>
      <c r="L27" s="12" t="n"/>
    </row>
    <row r="28" ht="22" customHeight="1">
      <c r="B28" s="20">
        <f>IF(C28="","RF-"&amp;TEXT(COUNTA($C$5:C28),"000"))</f>
        <v/>
      </c>
      <c r="C28" s="16" t="n"/>
      <c r="D28" s="16" t="n"/>
      <c r="E28" s="32" t="n"/>
      <c r="F28" s="32" t="n"/>
      <c r="G28" s="16" t="n"/>
      <c r="H28" s="16" t="n"/>
      <c r="I28" s="17" t="n"/>
      <c r="J28" s="19" t="n"/>
      <c r="K28" s="16" t="n"/>
      <c r="L28" s="16" t="n"/>
    </row>
    <row r="29" ht="22" customHeight="1">
      <c r="B29" s="21">
        <f>IF(C29="","RF-"&amp;TEXT(COUNTA($C$5:C29),"000"))</f>
        <v/>
      </c>
      <c r="C29" s="12" t="n"/>
      <c r="D29" s="12" t="n"/>
      <c r="E29" s="31" t="n"/>
      <c r="F29" s="31" t="n"/>
      <c r="G29" s="12" t="n"/>
      <c r="H29" s="12" t="n"/>
      <c r="I29" s="13" t="n"/>
      <c r="J29" s="15" t="n"/>
      <c r="K29" s="12" t="n"/>
      <c r="L29" s="12" t="n"/>
    </row>
    <row r="30" ht="22" customHeight="1">
      <c r="B30" s="20">
        <f>IF(C30="","RF-"&amp;TEXT(COUNTA($C$5:C30),"000"))</f>
        <v/>
      </c>
      <c r="C30" s="16" t="n"/>
      <c r="D30" s="16" t="n"/>
      <c r="E30" s="32" t="n"/>
      <c r="F30" s="32" t="n"/>
      <c r="G30" s="16" t="n"/>
      <c r="H30" s="16" t="n"/>
      <c r="I30" s="17" t="n"/>
      <c r="J30" s="19" t="n"/>
      <c r="K30" s="16" t="n"/>
      <c r="L30" s="16" t="n"/>
    </row>
    <row r="31" ht="22" customHeight="1">
      <c r="B31" s="21">
        <f>IF(C31="","RF-"&amp;TEXT(COUNTA($C$5:C31),"000"))</f>
        <v/>
      </c>
      <c r="C31" s="12" t="n"/>
      <c r="D31" s="12" t="n"/>
      <c r="E31" s="31" t="n"/>
      <c r="F31" s="31" t="n"/>
      <c r="G31" s="12" t="n"/>
      <c r="H31" s="12" t="n"/>
      <c r="I31" s="13" t="n"/>
      <c r="J31" s="15" t="n"/>
      <c r="K31" s="12" t="n"/>
      <c r="L31" s="12" t="n"/>
    </row>
    <row r="32" ht="22" customHeight="1">
      <c r="B32" s="20">
        <f>IF(C32="","RF-"&amp;TEXT(COUNTA($C$5:C32),"000"))</f>
        <v/>
      </c>
      <c r="C32" s="16" t="n"/>
      <c r="D32" s="16" t="n"/>
      <c r="E32" s="32" t="n"/>
      <c r="F32" s="32" t="n"/>
      <c r="G32" s="16" t="n"/>
      <c r="H32" s="16" t="n"/>
      <c r="I32" s="17" t="n"/>
      <c r="J32" s="19" t="n"/>
      <c r="K32" s="16" t="n"/>
      <c r="L32" s="16" t="n"/>
    </row>
    <row r="33" ht="22" customHeight="1">
      <c r="B33" s="21">
        <f>IF(C33="","RF-"&amp;TEXT(COUNTA($C$5:C33),"000"))</f>
        <v/>
      </c>
      <c r="C33" s="12" t="n"/>
      <c r="D33" s="12" t="n"/>
      <c r="E33" s="31" t="n"/>
      <c r="F33" s="31" t="n"/>
      <c r="G33" s="12" t="n"/>
      <c r="H33" s="12" t="n"/>
      <c r="I33" s="13" t="n"/>
      <c r="J33" s="15" t="n"/>
      <c r="K33" s="12" t="n"/>
      <c r="L33" s="12" t="n"/>
    </row>
    <row r="34" ht="22" customHeight="1">
      <c r="B34" s="20">
        <f>IF(C34="","RF-"&amp;TEXT(COUNTA($C$5:C34),"000"))</f>
        <v/>
      </c>
      <c r="C34" s="16" t="n"/>
      <c r="D34" s="16" t="n"/>
      <c r="E34" s="32" t="n"/>
      <c r="F34" s="32" t="n"/>
      <c r="G34" s="16" t="n"/>
      <c r="H34" s="16" t="n"/>
      <c r="I34" s="17" t="n"/>
      <c r="J34" s="19" t="n"/>
      <c r="K34" s="16" t="n"/>
      <c r="L34" s="16" t="n"/>
    </row>
    <row r="35" ht="22" customHeight="1">
      <c r="B35" s="21">
        <f>IF(C35="","RF-"&amp;TEXT(COUNTA($C$5:C35),"000"))</f>
        <v/>
      </c>
      <c r="C35" s="12" t="n"/>
      <c r="D35" s="12" t="n"/>
      <c r="E35" s="31" t="n"/>
      <c r="F35" s="31" t="n"/>
      <c r="G35" s="12" t="n"/>
      <c r="H35" s="12" t="n"/>
      <c r="I35" s="13" t="n"/>
      <c r="J35" s="15" t="n"/>
      <c r="K35" s="12" t="n"/>
      <c r="L35" s="12" t="n"/>
    </row>
    <row r="36" ht="22" customHeight="1">
      <c r="B36" s="20">
        <f>IF(C36="","RF-"&amp;TEXT(COUNTA($C$5:C36),"000"))</f>
        <v/>
      </c>
      <c r="C36" s="16" t="n"/>
      <c r="D36" s="16" t="n"/>
      <c r="E36" s="32" t="n"/>
      <c r="F36" s="32" t="n"/>
      <c r="G36" s="16" t="n"/>
      <c r="H36" s="16" t="n"/>
      <c r="I36" s="17" t="n"/>
      <c r="J36" s="19" t="n"/>
      <c r="K36" s="16" t="n"/>
      <c r="L36" s="16" t="n"/>
    </row>
    <row r="37" ht="22" customHeight="1">
      <c r="B37" s="21">
        <f>IF(C37="","RF-"&amp;TEXT(COUNTA($C$5:C37),"000"))</f>
        <v/>
      </c>
      <c r="C37" s="12" t="n"/>
      <c r="D37" s="12" t="n"/>
      <c r="E37" s="31" t="n"/>
      <c r="F37" s="31" t="n"/>
      <c r="G37" s="12" t="n"/>
      <c r="H37" s="12" t="n"/>
      <c r="I37" s="13" t="n"/>
      <c r="J37" s="15" t="n"/>
      <c r="K37" s="12" t="n"/>
      <c r="L37" s="12" t="n"/>
    </row>
    <row r="38" ht="22" customHeight="1">
      <c r="B38" s="20">
        <f>IF(C38="","RF-"&amp;TEXT(COUNTA($C$5:C38),"000"))</f>
        <v/>
      </c>
      <c r="C38" s="16" t="n"/>
      <c r="D38" s="16" t="n"/>
      <c r="E38" s="32" t="n"/>
      <c r="F38" s="32" t="n"/>
      <c r="G38" s="16" t="n"/>
      <c r="H38" s="16" t="n"/>
      <c r="I38" s="17" t="n"/>
      <c r="J38" s="19" t="n"/>
      <c r="K38" s="16" t="n"/>
      <c r="L38" s="16" t="n"/>
    </row>
    <row r="39" ht="22" customHeight="1">
      <c r="B39" s="21">
        <f>IF(C39="","RF-"&amp;TEXT(COUNTA($C$5:C39),"000"))</f>
        <v/>
      </c>
      <c r="C39" s="12" t="n"/>
      <c r="D39" s="12" t="n"/>
      <c r="E39" s="31" t="n"/>
      <c r="F39" s="31" t="n"/>
      <c r="G39" s="12" t="n"/>
      <c r="H39" s="12" t="n"/>
      <c r="I39" s="13" t="n"/>
      <c r="J39" s="15" t="n"/>
      <c r="K39" s="12" t="n"/>
      <c r="L39" s="12" t="n"/>
    </row>
    <row r="40" ht="22" customHeight="1">
      <c r="B40" s="20">
        <f>IF(C40="","RF-"&amp;TEXT(COUNTA($C$5:C40),"000"))</f>
        <v/>
      </c>
      <c r="C40" s="16" t="n"/>
      <c r="D40" s="16" t="n"/>
      <c r="E40" s="32" t="n"/>
      <c r="F40" s="32" t="n"/>
      <c r="G40" s="16" t="n"/>
      <c r="H40" s="16" t="n"/>
      <c r="I40" s="17" t="n"/>
      <c r="J40" s="19" t="n"/>
      <c r="K40" s="16" t="n"/>
      <c r="L40" s="16" t="n"/>
    </row>
    <row r="41" ht="22" customHeight="1">
      <c r="B41" s="21">
        <f>IF(C41="","RF-"&amp;TEXT(COUNTA($C$5:C41),"000"))</f>
        <v/>
      </c>
      <c r="C41" s="12" t="n"/>
      <c r="D41" s="12" t="n"/>
      <c r="E41" s="31" t="n"/>
      <c r="F41" s="31" t="n"/>
      <c r="G41" s="12" t="n"/>
      <c r="H41" s="12" t="n"/>
      <c r="I41" s="13" t="n"/>
      <c r="J41" s="15" t="n"/>
      <c r="K41" s="12" t="n"/>
      <c r="L41" s="12" t="n"/>
    </row>
    <row r="42" ht="22" customHeight="1">
      <c r="B42" s="20">
        <f>IF(C42="","RF-"&amp;TEXT(COUNTA($C$5:C42),"000"))</f>
        <v/>
      </c>
      <c r="C42" s="16" t="n"/>
      <c r="D42" s="16" t="n"/>
      <c r="E42" s="32" t="n"/>
      <c r="F42" s="32" t="n"/>
      <c r="G42" s="16" t="n"/>
      <c r="H42" s="16" t="n"/>
      <c r="I42" s="17" t="n"/>
      <c r="J42" s="19" t="n"/>
      <c r="K42" s="16" t="n"/>
      <c r="L42" s="16" t="n"/>
    </row>
    <row r="43" ht="22" customHeight="1">
      <c r="B43" s="21">
        <f>IF(C43="","RF-"&amp;TEXT(COUNTA($C$5:C43),"000"))</f>
        <v/>
      </c>
      <c r="C43" s="12" t="n"/>
      <c r="D43" s="12" t="n"/>
      <c r="E43" s="31" t="n"/>
      <c r="F43" s="31" t="n"/>
      <c r="G43" s="12" t="n"/>
      <c r="H43" s="12" t="n"/>
      <c r="I43" s="13" t="n"/>
      <c r="J43" s="15" t="n"/>
      <c r="K43" s="12" t="n"/>
      <c r="L43" s="12" t="n"/>
    </row>
    <row r="44" ht="22" customHeight="1">
      <c r="B44" s="20">
        <f>IF(C44="","RF-"&amp;TEXT(COUNTA($C$5:C44),"000"))</f>
        <v/>
      </c>
      <c r="C44" s="16" t="n"/>
      <c r="D44" s="16" t="n"/>
      <c r="E44" s="32" t="n"/>
      <c r="F44" s="32" t="n"/>
      <c r="G44" s="16" t="n"/>
      <c r="H44" s="16" t="n"/>
      <c r="I44" s="17" t="n"/>
      <c r="J44" s="19" t="n"/>
      <c r="K44" s="16" t="n"/>
      <c r="L44" s="16" t="n"/>
    </row>
    <row r="45" ht="22" customHeight="1">
      <c r="B45" s="21">
        <f>IF(C45="","RF-"&amp;TEXT(COUNTA($C$5:C45),"000"))</f>
        <v/>
      </c>
      <c r="C45" s="12" t="n"/>
      <c r="D45" s="12" t="n"/>
      <c r="E45" s="31" t="n"/>
      <c r="F45" s="31" t="n"/>
      <c r="G45" s="12" t="n"/>
      <c r="H45" s="12" t="n"/>
      <c r="I45" s="13" t="n"/>
      <c r="J45" s="15" t="n"/>
      <c r="K45" s="12" t="n"/>
      <c r="L45" s="12" t="n"/>
    </row>
    <row r="46" ht="22" customHeight="1">
      <c r="B46" s="20">
        <f>IF(C46="","RF-"&amp;TEXT(COUNTA($C$5:C46),"000"))</f>
        <v/>
      </c>
      <c r="C46" s="16" t="n"/>
      <c r="D46" s="16" t="n"/>
      <c r="E46" s="32" t="n"/>
      <c r="F46" s="32" t="n"/>
      <c r="G46" s="16" t="n"/>
      <c r="H46" s="16" t="n"/>
      <c r="I46" s="17" t="n"/>
      <c r="J46" s="19" t="n"/>
      <c r="K46" s="16" t="n"/>
      <c r="L46" s="16" t="n"/>
    </row>
    <row r="47" ht="22" customHeight="1">
      <c r="B47" s="21">
        <f>IF(C47="","RF-"&amp;TEXT(COUNTA($C$5:C47),"000"))</f>
        <v/>
      </c>
      <c r="C47" s="12" t="n"/>
      <c r="D47" s="12" t="n"/>
      <c r="E47" s="31" t="n"/>
      <c r="F47" s="31" t="n"/>
      <c r="G47" s="12" t="n"/>
      <c r="H47" s="12" t="n"/>
      <c r="I47" s="13" t="n"/>
      <c r="J47" s="15" t="n"/>
      <c r="K47" s="12" t="n"/>
      <c r="L47" s="12" t="n"/>
    </row>
    <row r="48" ht="22" customHeight="1">
      <c r="B48" s="20">
        <f>IF(C48="","RF-"&amp;TEXT(COUNTA($C$5:C48),"000"))</f>
        <v/>
      </c>
      <c r="C48" s="16" t="n"/>
      <c r="D48" s="16" t="n"/>
      <c r="E48" s="32" t="n"/>
      <c r="F48" s="32" t="n"/>
      <c r="G48" s="16" t="n"/>
      <c r="H48" s="16" t="n"/>
      <c r="I48" s="17" t="n"/>
      <c r="J48" s="19" t="n"/>
      <c r="K48" s="16" t="n"/>
      <c r="L48" s="16" t="n"/>
    </row>
    <row r="49" ht="22" customHeight="1">
      <c r="B49" s="21">
        <f>IF(C49="","RF-"&amp;TEXT(COUNTA($C$5:C49),"000"))</f>
        <v/>
      </c>
      <c r="C49" s="12" t="n"/>
      <c r="D49" s="12" t="n"/>
      <c r="E49" s="31" t="n"/>
      <c r="F49" s="31" t="n"/>
      <c r="G49" s="12" t="n"/>
      <c r="H49" s="12" t="n"/>
      <c r="I49" s="13" t="n"/>
      <c r="J49" s="15" t="n"/>
      <c r="K49" s="12" t="n"/>
      <c r="L49" s="12" t="n"/>
    </row>
    <row r="50" ht="22" customHeight="1">
      <c r="B50" s="20">
        <f>IF(C50="","RF-"&amp;TEXT(COUNTA($C$5:C50),"000"))</f>
        <v/>
      </c>
      <c r="C50" s="16" t="n"/>
      <c r="D50" s="16" t="n"/>
      <c r="E50" s="32" t="n"/>
      <c r="F50" s="32" t="n"/>
      <c r="G50" s="16" t="n"/>
      <c r="H50" s="16" t="n"/>
      <c r="I50" s="17" t="n"/>
      <c r="J50" s="19" t="n"/>
      <c r="K50" s="16" t="n"/>
      <c r="L50" s="16" t="n"/>
    </row>
    <row r="51" ht="22" customHeight="1">
      <c r="B51" s="21">
        <f>IF(C51="","RF-"&amp;TEXT(COUNTA($C$5:C51),"000"))</f>
        <v/>
      </c>
      <c r="C51" s="12" t="n"/>
      <c r="D51" s="12" t="n"/>
      <c r="E51" s="31" t="n"/>
      <c r="F51" s="31" t="n"/>
      <c r="G51" s="12" t="n"/>
      <c r="H51" s="12" t="n"/>
      <c r="I51" s="13" t="n"/>
      <c r="J51" s="15" t="n"/>
      <c r="K51" s="12" t="n"/>
      <c r="L51" s="12" t="n"/>
    </row>
    <row r="52" ht="22" customHeight="1">
      <c r="B52" s="20">
        <f>IF(C52="","RF-"&amp;TEXT(COUNTA($C$5:C52),"000"))</f>
        <v/>
      </c>
      <c r="C52" s="16" t="n"/>
      <c r="D52" s="16" t="n"/>
      <c r="E52" s="32" t="n"/>
      <c r="F52" s="32" t="n"/>
      <c r="G52" s="16" t="n"/>
      <c r="H52" s="16" t="n"/>
      <c r="I52" s="17" t="n"/>
      <c r="J52" s="19" t="n"/>
      <c r="K52" s="16" t="n"/>
      <c r="L52" s="16" t="n"/>
    </row>
    <row r="53" ht="22" customHeight="1">
      <c r="B53" s="21">
        <f>IF(C53="","RF-"&amp;TEXT(COUNTA($C$5:C53),"000"))</f>
        <v/>
      </c>
      <c r="C53" s="12" t="n"/>
      <c r="D53" s="12" t="n"/>
      <c r="E53" s="31" t="n"/>
      <c r="F53" s="31" t="n"/>
      <c r="G53" s="12" t="n"/>
      <c r="H53" s="12" t="n"/>
      <c r="I53" s="13" t="n"/>
      <c r="J53" s="15" t="n"/>
      <c r="K53" s="12" t="n"/>
      <c r="L53" s="12" t="n"/>
    </row>
    <row r="54" ht="22" customHeight="1">
      <c r="B54" s="20">
        <f>IF(C54="","RF-"&amp;TEXT(COUNTA($C$5:C54),"000"))</f>
        <v/>
      </c>
      <c r="C54" s="16" t="n"/>
      <c r="D54" s="16" t="n"/>
      <c r="E54" s="32" t="n"/>
      <c r="F54" s="32" t="n"/>
      <c r="G54" s="16" t="n"/>
      <c r="H54" s="16" t="n"/>
      <c r="I54" s="17" t="n"/>
      <c r="J54" s="19" t="n"/>
      <c r="K54" s="16" t="n"/>
      <c r="L54" s="16" t="n"/>
    </row>
    <row r="55" ht="22" customHeight="1">
      <c r="B55" s="21">
        <f>IF(C55="","RF-"&amp;TEXT(COUNTA($C$5:C55),"000"))</f>
        <v/>
      </c>
      <c r="C55" s="12" t="n"/>
      <c r="D55" s="12" t="n"/>
      <c r="E55" s="31" t="n"/>
      <c r="F55" s="31" t="n"/>
      <c r="G55" s="12" t="n"/>
      <c r="H55" s="12" t="n"/>
      <c r="I55" s="13" t="n"/>
      <c r="J55" s="15" t="n"/>
      <c r="K55" s="12" t="n"/>
      <c r="L55" s="12" t="n"/>
    </row>
    <row r="56" ht="22" customHeight="1">
      <c r="B56" s="20">
        <f>IF(C56="","RF-"&amp;TEXT(COUNTA($C$5:C56),"000"))</f>
        <v/>
      </c>
      <c r="C56" s="16" t="n"/>
      <c r="D56" s="16" t="n"/>
      <c r="E56" s="32" t="n"/>
      <c r="F56" s="32" t="n"/>
      <c r="G56" s="16" t="n"/>
      <c r="H56" s="16" t="n"/>
      <c r="I56" s="17" t="n"/>
      <c r="J56" s="19" t="n"/>
      <c r="K56" s="16" t="n"/>
      <c r="L56" s="16" t="n"/>
    </row>
    <row r="57" ht="22" customHeight="1">
      <c r="B57" s="21">
        <f>IF(C57="","RF-"&amp;TEXT(COUNTA($C$5:C57),"000"))</f>
        <v/>
      </c>
      <c r="C57" s="12" t="n"/>
      <c r="D57" s="12" t="n"/>
      <c r="E57" s="31" t="n"/>
      <c r="F57" s="31" t="n"/>
      <c r="G57" s="12" t="n"/>
      <c r="H57" s="12" t="n"/>
      <c r="I57" s="13" t="n"/>
      <c r="J57" s="15" t="n"/>
      <c r="K57" s="12" t="n"/>
      <c r="L57" s="12" t="n"/>
    </row>
    <row r="58" ht="22" customHeight="1">
      <c r="B58" s="20">
        <f>IF(C58="","RF-"&amp;TEXT(COUNTA($C$5:C58),"000"))</f>
        <v/>
      </c>
      <c r="C58" s="16" t="n"/>
      <c r="D58" s="16" t="n"/>
      <c r="E58" s="32" t="n"/>
      <c r="F58" s="32" t="n"/>
      <c r="G58" s="16" t="n"/>
      <c r="H58" s="16" t="n"/>
      <c r="I58" s="17" t="n"/>
      <c r="J58" s="19" t="n"/>
      <c r="K58" s="16" t="n"/>
      <c r="L58" s="16" t="n"/>
    </row>
    <row r="59" ht="22" customHeight="1">
      <c r="B59" s="21">
        <f>IF(C59="","RF-"&amp;TEXT(COUNTA($C$5:C59),"000"))</f>
        <v/>
      </c>
      <c r="C59" s="12" t="n"/>
      <c r="D59" s="12" t="n"/>
      <c r="E59" s="31" t="n"/>
      <c r="F59" s="31" t="n"/>
      <c r="G59" s="12" t="n"/>
      <c r="H59" s="12" t="n"/>
      <c r="I59" s="13" t="n"/>
      <c r="J59" s="15" t="n"/>
      <c r="K59" s="12" t="n"/>
      <c r="L59" s="12" t="n"/>
    </row>
    <row r="60" ht="22" customHeight="1">
      <c r="B60" s="20">
        <f>IF(C60="","RF-"&amp;TEXT(COUNTA($C$5:C60),"000"))</f>
        <v/>
      </c>
      <c r="C60" s="16" t="n"/>
      <c r="D60" s="16" t="n"/>
      <c r="E60" s="32" t="n"/>
      <c r="F60" s="32" t="n"/>
      <c r="G60" s="16" t="n"/>
      <c r="H60" s="16" t="n"/>
      <c r="I60" s="17" t="n"/>
      <c r="J60" s="19" t="n"/>
      <c r="K60" s="16" t="n"/>
      <c r="L60" s="16" t="n"/>
    </row>
    <row r="61" ht="22" customHeight="1">
      <c r="B61" s="21">
        <f>IF(C61="","RF-"&amp;TEXT(COUNTA($C$5:C61),"000"))</f>
        <v/>
      </c>
      <c r="C61" s="12" t="n"/>
      <c r="D61" s="12" t="n"/>
      <c r="E61" s="31" t="n"/>
      <c r="F61" s="31" t="n"/>
      <c r="G61" s="12" t="n"/>
      <c r="H61" s="12" t="n"/>
      <c r="I61" s="13" t="n"/>
      <c r="J61" s="15" t="n"/>
      <c r="K61" s="12" t="n"/>
      <c r="L61" s="12" t="n"/>
    </row>
    <row r="62" ht="22" customHeight="1">
      <c r="B62" s="20">
        <f>IF(C62="","RF-"&amp;TEXT(COUNTA($C$5:C62),"000"))</f>
        <v/>
      </c>
      <c r="C62" s="16" t="n"/>
      <c r="D62" s="16" t="n"/>
      <c r="E62" s="32" t="n"/>
      <c r="F62" s="32" t="n"/>
      <c r="G62" s="16" t="n"/>
      <c r="H62" s="16" t="n"/>
      <c r="I62" s="17" t="n"/>
      <c r="J62" s="19" t="n"/>
      <c r="K62" s="16" t="n"/>
      <c r="L62" s="16" t="n"/>
    </row>
    <row r="63" ht="22" customHeight="1">
      <c r="B63" s="21">
        <f>IF(C63="","RF-"&amp;TEXT(COUNTA($C$5:C63),"000"))</f>
        <v/>
      </c>
      <c r="C63" s="12" t="n"/>
      <c r="D63" s="12" t="n"/>
      <c r="E63" s="31" t="n"/>
      <c r="F63" s="31" t="n"/>
      <c r="G63" s="12" t="n"/>
      <c r="H63" s="12" t="n"/>
      <c r="I63" s="13" t="n"/>
      <c r="J63" s="15" t="n"/>
      <c r="K63" s="12" t="n"/>
      <c r="L63" s="12" t="n"/>
    </row>
    <row r="64" ht="22" customHeight="1">
      <c r="B64" s="20">
        <f>IF(C64="","RF-"&amp;TEXT(COUNTA($C$5:C64),"000"))</f>
        <v/>
      </c>
      <c r="C64" s="16" t="n"/>
      <c r="D64" s="16" t="n"/>
      <c r="E64" s="32" t="n"/>
      <c r="F64" s="32" t="n"/>
      <c r="G64" s="16" t="n"/>
      <c r="H64" s="16" t="n"/>
      <c r="I64" s="17" t="n"/>
      <c r="J64" s="19" t="n"/>
      <c r="K64" s="16" t="n"/>
      <c r="L64" s="16" t="n"/>
    </row>
    <row r="65" ht="22" customHeight="1">
      <c r="B65" s="21">
        <f>IF(C65="","RF-"&amp;TEXT(COUNTA($C$5:C65),"000"))</f>
        <v/>
      </c>
      <c r="C65" s="12" t="n"/>
      <c r="D65" s="12" t="n"/>
      <c r="E65" s="31" t="n"/>
      <c r="F65" s="31" t="n"/>
      <c r="G65" s="12" t="n"/>
      <c r="H65" s="12" t="n"/>
      <c r="I65" s="13" t="n"/>
      <c r="J65" s="15" t="n"/>
      <c r="K65" s="12" t="n"/>
      <c r="L65" s="12" t="n"/>
    </row>
    <row r="66" ht="22" customHeight="1">
      <c r="B66" s="20">
        <f>IF(C66="","RF-"&amp;TEXT(COUNTA($C$5:C66),"000"))</f>
        <v/>
      </c>
      <c r="C66" s="16" t="n"/>
      <c r="D66" s="16" t="n"/>
      <c r="E66" s="32" t="n"/>
      <c r="F66" s="32" t="n"/>
      <c r="G66" s="16" t="n"/>
      <c r="H66" s="16" t="n"/>
      <c r="I66" s="17" t="n"/>
      <c r="J66" s="19" t="n"/>
      <c r="K66" s="16" t="n"/>
      <c r="L66" s="16" t="n"/>
    </row>
    <row r="67" ht="22" customHeight="1">
      <c r="B67" s="21">
        <f>IF(C67="","RF-"&amp;TEXT(COUNTA($C$5:C67),"000"))</f>
        <v/>
      </c>
      <c r="C67" s="12" t="n"/>
      <c r="D67" s="12" t="n"/>
      <c r="E67" s="31" t="n"/>
      <c r="F67" s="31" t="n"/>
      <c r="G67" s="12" t="n"/>
      <c r="H67" s="12" t="n"/>
      <c r="I67" s="13" t="n"/>
      <c r="J67" s="15" t="n"/>
      <c r="K67" s="12" t="n"/>
      <c r="L67" s="12" t="n"/>
    </row>
    <row r="68" ht="22" customHeight="1">
      <c r="B68" s="20">
        <f>IF(C68="","RF-"&amp;TEXT(COUNTA($C$5:C68),"000"))</f>
        <v/>
      </c>
      <c r="C68" s="16" t="n"/>
      <c r="D68" s="16" t="n"/>
      <c r="E68" s="32" t="n"/>
      <c r="F68" s="32" t="n"/>
      <c r="G68" s="16" t="n"/>
      <c r="H68" s="16" t="n"/>
      <c r="I68" s="17" t="n"/>
      <c r="J68" s="19" t="n"/>
      <c r="K68" s="16" t="n"/>
      <c r="L68" s="16" t="n"/>
    </row>
    <row r="69" ht="22" customHeight="1">
      <c r="B69" s="21">
        <f>IF(C69="","RF-"&amp;TEXT(COUNTA($C$5:C69),"000"))</f>
        <v/>
      </c>
      <c r="C69" s="12" t="n"/>
      <c r="D69" s="12" t="n"/>
      <c r="E69" s="31" t="n"/>
      <c r="F69" s="31" t="n"/>
      <c r="G69" s="12" t="n"/>
      <c r="H69" s="12" t="n"/>
      <c r="I69" s="13" t="n"/>
      <c r="J69" s="15" t="n"/>
      <c r="K69" s="12" t="n"/>
      <c r="L69" s="12" t="n"/>
    </row>
    <row r="70" ht="22" customHeight="1">
      <c r="B70" s="20">
        <f>IF(C70="","RF-"&amp;TEXT(COUNTA($C$5:C70),"000"))</f>
        <v/>
      </c>
      <c r="C70" s="16" t="n"/>
      <c r="D70" s="16" t="n"/>
      <c r="E70" s="32" t="n"/>
      <c r="F70" s="32" t="n"/>
      <c r="G70" s="16" t="n"/>
      <c r="H70" s="16" t="n"/>
      <c r="I70" s="17" t="n"/>
      <c r="J70" s="19" t="n"/>
      <c r="K70" s="16" t="n"/>
      <c r="L70" s="16" t="n"/>
    </row>
    <row r="71" ht="22" customHeight="1">
      <c r="B71" s="21">
        <f>IF(C71="","RF-"&amp;TEXT(COUNTA($C$5:C71),"000"))</f>
        <v/>
      </c>
      <c r="C71" s="12" t="n"/>
      <c r="D71" s="12" t="n"/>
      <c r="E71" s="31" t="n"/>
      <c r="F71" s="31" t="n"/>
      <c r="G71" s="12" t="n"/>
      <c r="H71" s="12" t="n"/>
      <c r="I71" s="13" t="n"/>
      <c r="J71" s="15" t="n"/>
      <c r="K71" s="12" t="n"/>
      <c r="L71" s="12" t="n"/>
    </row>
    <row r="72" ht="22" customHeight="1">
      <c r="B72" s="20">
        <f>IF(C72="","RF-"&amp;TEXT(COUNTA($C$5:C72),"000"))</f>
        <v/>
      </c>
      <c r="C72" s="16" t="n"/>
      <c r="D72" s="16" t="n"/>
      <c r="E72" s="32" t="n"/>
      <c r="F72" s="32" t="n"/>
      <c r="G72" s="16" t="n"/>
      <c r="H72" s="16" t="n"/>
      <c r="I72" s="17" t="n"/>
      <c r="J72" s="19" t="n"/>
      <c r="K72" s="16" t="n"/>
      <c r="L72" s="16" t="n"/>
    </row>
    <row r="73" ht="22" customHeight="1">
      <c r="B73" s="21">
        <f>IF(C73="","RF-"&amp;TEXT(COUNTA($C$5:C73),"000"))</f>
        <v/>
      </c>
      <c r="C73" s="12" t="n"/>
      <c r="D73" s="12" t="n"/>
      <c r="E73" s="31" t="n"/>
      <c r="F73" s="31" t="n"/>
      <c r="G73" s="12" t="n"/>
      <c r="H73" s="12" t="n"/>
      <c r="I73" s="13" t="n"/>
      <c r="J73" s="15" t="n"/>
      <c r="K73" s="12" t="n"/>
      <c r="L73" s="12" t="n"/>
    </row>
    <row r="74" ht="22" customHeight="1">
      <c r="B74" s="20">
        <f>IF(C74="","RF-"&amp;TEXT(COUNTA($C$5:C74),"000"))</f>
        <v/>
      </c>
      <c r="C74" s="16" t="n"/>
      <c r="D74" s="16" t="n"/>
      <c r="E74" s="32" t="n"/>
      <c r="F74" s="32" t="n"/>
      <c r="G74" s="16" t="n"/>
      <c r="H74" s="16" t="n"/>
      <c r="I74" s="17" t="n"/>
      <c r="J74" s="19" t="n"/>
      <c r="K74" s="16" t="n"/>
      <c r="L74" s="16" t="n"/>
    </row>
    <row r="75" ht="22" customHeight="1">
      <c r="B75" s="21">
        <f>IF(C75="","RF-"&amp;TEXT(COUNTA($C$5:C75),"000"))</f>
        <v/>
      </c>
      <c r="C75" s="12" t="n"/>
      <c r="D75" s="12" t="n"/>
      <c r="E75" s="31" t="n"/>
      <c r="F75" s="31" t="n"/>
      <c r="G75" s="12" t="n"/>
      <c r="H75" s="12" t="n"/>
      <c r="I75" s="13" t="n"/>
      <c r="J75" s="15" t="n"/>
      <c r="K75" s="12" t="n"/>
      <c r="L75" s="12" t="n"/>
    </row>
    <row r="76" ht="22" customHeight="1">
      <c r="B76" s="20">
        <f>IF(C76="","RF-"&amp;TEXT(COUNTA($C$5:C76),"000"))</f>
        <v/>
      </c>
      <c r="C76" s="16" t="n"/>
      <c r="D76" s="16" t="n"/>
      <c r="E76" s="32" t="n"/>
      <c r="F76" s="32" t="n"/>
      <c r="G76" s="16" t="n"/>
      <c r="H76" s="16" t="n"/>
      <c r="I76" s="17" t="n"/>
      <c r="J76" s="19" t="n"/>
      <c r="K76" s="16" t="n"/>
      <c r="L76" s="16" t="n"/>
    </row>
    <row r="77" ht="22" customHeight="1">
      <c r="B77" s="21">
        <f>IF(C77="","RF-"&amp;TEXT(COUNTA($C$5:C77),"000"))</f>
        <v/>
      </c>
      <c r="C77" s="12" t="n"/>
      <c r="D77" s="12" t="n"/>
      <c r="E77" s="31" t="n"/>
      <c r="F77" s="31" t="n"/>
      <c r="G77" s="12" t="n"/>
      <c r="H77" s="12" t="n"/>
      <c r="I77" s="13" t="n"/>
      <c r="J77" s="15" t="n"/>
      <c r="K77" s="12" t="n"/>
      <c r="L77" s="12" t="n"/>
    </row>
    <row r="78" ht="22" customHeight="1">
      <c r="B78" s="20">
        <f>IF(C78="","RF-"&amp;TEXT(COUNTA($C$5:C78),"000"))</f>
        <v/>
      </c>
      <c r="C78" s="16" t="n"/>
      <c r="D78" s="16" t="n"/>
      <c r="E78" s="32" t="n"/>
      <c r="F78" s="32" t="n"/>
      <c r="G78" s="16" t="n"/>
      <c r="H78" s="16" t="n"/>
      <c r="I78" s="17" t="n"/>
      <c r="J78" s="19" t="n"/>
      <c r="K78" s="16" t="n"/>
      <c r="L78" s="16" t="n"/>
    </row>
    <row r="79" ht="22" customHeight="1">
      <c r="B79" s="21">
        <f>IF(C79="","RF-"&amp;TEXT(COUNTA($C$5:C79),"000"))</f>
        <v/>
      </c>
      <c r="C79" s="12" t="n"/>
      <c r="D79" s="12" t="n"/>
      <c r="E79" s="31" t="n"/>
      <c r="F79" s="31" t="n"/>
      <c r="G79" s="12" t="n"/>
      <c r="H79" s="12" t="n"/>
      <c r="I79" s="13" t="n"/>
      <c r="J79" s="15" t="n"/>
      <c r="K79" s="12" t="n"/>
      <c r="L79" s="12" t="n"/>
    </row>
    <row r="80" ht="22" customHeight="1">
      <c r="B80" s="20">
        <f>IF(C80="","RF-"&amp;TEXT(COUNTA($C$5:C80),"000"))</f>
        <v/>
      </c>
      <c r="C80" s="16" t="n"/>
      <c r="D80" s="16" t="n"/>
      <c r="E80" s="32" t="n"/>
      <c r="F80" s="32" t="n"/>
      <c r="G80" s="16" t="n"/>
      <c r="H80" s="16" t="n"/>
      <c r="I80" s="17" t="n"/>
      <c r="J80" s="19" t="n"/>
      <c r="K80" s="16" t="n"/>
      <c r="L80" s="16" t="n"/>
    </row>
    <row r="81" ht="22" customHeight="1">
      <c r="B81" s="21">
        <f>IF(C81="","RF-"&amp;TEXT(COUNTA($C$5:C81),"000"))</f>
        <v/>
      </c>
      <c r="C81" s="12" t="n"/>
      <c r="D81" s="12" t="n"/>
      <c r="E81" s="31" t="n"/>
      <c r="F81" s="31" t="n"/>
      <c r="G81" s="12" t="n"/>
      <c r="H81" s="12" t="n"/>
      <c r="I81" s="13" t="n"/>
      <c r="J81" s="15" t="n"/>
      <c r="K81" s="12" t="n"/>
      <c r="L81" s="12" t="n"/>
    </row>
    <row r="82" ht="22" customHeight="1">
      <c r="B82" s="20">
        <f>IF(C82="","RF-"&amp;TEXT(COUNTA($C$5:C82),"000"))</f>
        <v/>
      </c>
      <c r="C82" s="16" t="n"/>
      <c r="D82" s="16" t="n"/>
      <c r="E82" s="32" t="n"/>
      <c r="F82" s="32" t="n"/>
      <c r="G82" s="16" t="n"/>
      <c r="H82" s="16" t="n"/>
      <c r="I82" s="17" t="n"/>
      <c r="J82" s="19" t="n"/>
      <c r="K82" s="16" t="n"/>
      <c r="L82" s="16" t="n"/>
    </row>
    <row r="83" ht="22" customHeight="1">
      <c r="B83" s="21">
        <f>IF(C83="","RF-"&amp;TEXT(COUNTA($C$5:C83),"000"))</f>
        <v/>
      </c>
      <c r="C83" s="12" t="n"/>
      <c r="D83" s="12" t="n"/>
      <c r="E83" s="31" t="n"/>
      <c r="F83" s="31" t="n"/>
      <c r="G83" s="12" t="n"/>
      <c r="H83" s="12" t="n"/>
      <c r="I83" s="13" t="n"/>
      <c r="J83" s="15" t="n"/>
      <c r="K83" s="12" t="n"/>
      <c r="L83" s="12" t="n"/>
    </row>
    <row r="84" ht="22" customHeight="1">
      <c r="B84" s="20">
        <f>IF(C84="","RF-"&amp;TEXT(COUNTA($C$5:C84),"000"))</f>
        <v/>
      </c>
      <c r="C84" s="16" t="n"/>
      <c r="D84" s="16" t="n"/>
      <c r="E84" s="32" t="n"/>
      <c r="F84" s="32" t="n"/>
      <c r="G84" s="16" t="n"/>
      <c r="H84" s="16" t="n"/>
      <c r="I84" s="17" t="n"/>
      <c r="J84" s="19" t="n"/>
      <c r="K84" s="16" t="n"/>
      <c r="L84" s="16" t="n"/>
    </row>
    <row r="85" ht="22" customHeight="1">
      <c r="B85" s="21">
        <f>IF(C85="","RF-"&amp;TEXT(COUNTA($C$5:C85),"000"))</f>
        <v/>
      </c>
      <c r="C85" s="12" t="n"/>
      <c r="D85" s="12" t="n"/>
      <c r="E85" s="31" t="n"/>
      <c r="F85" s="31" t="n"/>
      <c r="G85" s="12" t="n"/>
      <c r="H85" s="12" t="n"/>
      <c r="I85" s="13" t="n"/>
      <c r="J85" s="15" t="n"/>
      <c r="K85" s="12" t="n"/>
      <c r="L85" s="12" t="n"/>
    </row>
    <row r="86" ht="22" customHeight="1">
      <c r="B86" s="20">
        <f>IF(C86="","RF-"&amp;TEXT(COUNTA($C$5:C86),"000"))</f>
        <v/>
      </c>
      <c r="C86" s="16" t="n"/>
      <c r="D86" s="16" t="n"/>
      <c r="E86" s="32" t="n"/>
      <c r="F86" s="32" t="n"/>
      <c r="G86" s="16" t="n"/>
      <c r="H86" s="16" t="n"/>
      <c r="I86" s="17" t="n"/>
      <c r="J86" s="19" t="n"/>
      <c r="K86" s="16" t="n"/>
      <c r="L86" s="16" t="n"/>
    </row>
    <row r="87" ht="22" customHeight="1">
      <c r="B87" s="21">
        <f>IF(C87="","RF-"&amp;TEXT(COUNTA($C$5:C87),"000"))</f>
        <v/>
      </c>
      <c r="C87" s="12" t="n"/>
      <c r="D87" s="12" t="n"/>
      <c r="E87" s="31" t="n"/>
      <c r="F87" s="31" t="n"/>
      <c r="G87" s="12" t="n"/>
      <c r="H87" s="12" t="n"/>
      <c r="I87" s="13" t="n"/>
      <c r="J87" s="15" t="n"/>
      <c r="K87" s="12" t="n"/>
      <c r="L87" s="12" t="n"/>
    </row>
    <row r="88" ht="22" customHeight="1">
      <c r="B88" s="20">
        <f>IF(C88="","RF-"&amp;TEXT(COUNTA($C$5:C88),"000"))</f>
        <v/>
      </c>
      <c r="C88" s="16" t="n"/>
      <c r="D88" s="16" t="n"/>
      <c r="E88" s="32" t="n"/>
      <c r="F88" s="32" t="n"/>
      <c r="G88" s="16" t="n"/>
      <c r="H88" s="16" t="n"/>
      <c r="I88" s="17" t="n"/>
      <c r="J88" s="19" t="n"/>
      <c r="K88" s="16" t="n"/>
      <c r="L88" s="16" t="n"/>
    </row>
    <row r="89" ht="22" customHeight="1">
      <c r="B89" s="21">
        <f>IF(C89="","RF-"&amp;TEXT(COUNTA($C$5:C89),"000"))</f>
        <v/>
      </c>
      <c r="C89" s="12" t="n"/>
      <c r="D89" s="12" t="n"/>
      <c r="E89" s="31" t="n"/>
      <c r="F89" s="31" t="n"/>
      <c r="G89" s="12" t="n"/>
      <c r="H89" s="12" t="n"/>
      <c r="I89" s="13" t="n"/>
      <c r="J89" s="15" t="n"/>
      <c r="K89" s="12" t="n"/>
      <c r="L89" s="12" t="n"/>
    </row>
    <row r="90" ht="22" customHeight="1">
      <c r="B90" s="20">
        <f>IF(C90="","RF-"&amp;TEXT(COUNTA($C$5:C90),"000"))</f>
        <v/>
      </c>
      <c r="C90" s="16" t="n"/>
      <c r="D90" s="16" t="n"/>
      <c r="E90" s="32" t="n"/>
      <c r="F90" s="32" t="n"/>
      <c r="G90" s="16" t="n"/>
      <c r="H90" s="16" t="n"/>
      <c r="I90" s="17" t="n"/>
      <c r="J90" s="19" t="n"/>
      <c r="K90" s="16" t="n"/>
      <c r="L90" s="16" t="n"/>
    </row>
    <row r="91" ht="22" customHeight="1">
      <c r="B91" s="21">
        <f>IF(C91="","RF-"&amp;TEXT(COUNTA($C$5:C91),"000"))</f>
        <v/>
      </c>
      <c r="C91" s="12" t="n"/>
      <c r="D91" s="12" t="n"/>
      <c r="E91" s="31" t="n"/>
      <c r="F91" s="31" t="n"/>
      <c r="G91" s="12" t="n"/>
      <c r="H91" s="12" t="n"/>
      <c r="I91" s="13" t="n"/>
      <c r="J91" s="15" t="n"/>
      <c r="K91" s="12" t="n"/>
      <c r="L91" s="12" t="n"/>
    </row>
    <row r="92" ht="22" customHeight="1">
      <c r="B92" s="20">
        <f>IF(C92="","RF-"&amp;TEXT(COUNTA($C$5:C92),"000"))</f>
        <v/>
      </c>
      <c r="C92" s="16" t="n"/>
      <c r="D92" s="16" t="n"/>
      <c r="E92" s="32" t="n"/>
      <c r="F92" s="32" t="n"/>
      <c r="G92" s="16" t="n"/>
      <c r="H92" s="16" t="n"/>
      <c r="I92" s="17" t="n"/>
      <c r="J92" s="19" t="n"/>
      <c r="K92" s="16" t="n"/>
      <c r="L92" s="16" t="n"/>
    </row>
    <row r="93" ht="22" customHeight="1">
      <c r="B93" s="21">
        <f>IF(C93="","RF-"&amp;TEXT(COUNTA($C$5:C93),"000"))</f>
        <v/>
      </c>
      <c r="C93" s="12" t="n"/>
      <c r="D93" s="12" t="n"/>
      <c r="E93" s="31" t="n"/>
      <c r="F93" s="31" t="n"/>
      <c r="G93" s="12" t="n"/>
      <c r="H93" s="12" t="n"/>
      <c r="I93" s="13" t="n"/>
      <c r="J93" s="15" t="n"/>
      <c r="K93" s="12" t="n"/>
      <c r="L93" s="12" t="n"/>
    </row>
    <row r="94" ht="22" customHeight="1">
      <c r="B94" s="20">
        <f>IF(C94="","RF-"&amp;TEXT(COUNTA($C$5:C94),"000"))</f>
        <v/>
      </c>
      <c r="C94" s="16" t="n"/>
      <c r="D94" s="16" t="n"/>
      <c r="E94" s="32" t="n"/>
      <c r="F94" s="32" t="n"/>
      <c r="G94" s="16" t="n"/>
      <c r="H94" s="16" t="n"/>
      <c r="I94" s="17" t="n"/>
      <c r="J94" s="19" t="n"/>
      <c r="K94" s="16" t="n"/>
      <c r="L94" s="16" t="n"/>
    </row>
    <row r="95" ht="22" customHeight="1">
      <c r="B95" s="21">
        <f>IF(C95="","RF-"&amp;TEXT(COUNTA($C$5:C95),"000"))</f>
        <v/>
      </c>
      <c r="C95" s="12" t="n"/>
      <c r="D95" s="12" t="n"/>
      <c r="E95" s="31" t="n"/>
      <c r="F95" s="31" t="n"/>
      <c r="G95" s="12" t="n"/>
      <c r="H95" s="12" t="n"/>
      <c r="I95" s="13" t="n"/>
      <c r="J95" s="15" t="n"/>
      <c r="K95" s="12" t="n"/>
      <c r="L95" s="12" t="n"/>
    </row>
    <row r="96" ht="22" customHeight="1">
      <c r="B96" s="20">
        <f>IF(C96="","RF-"&amp;TEXT(COUNTA($C$5:C96),"000"))</f>
        <v/>
      </c>
      <c r="C96" s="16" t="n"/>
      <c r="D96" s="16" t="n"/>
      <c r="E96" s="32" t="n"/>
      <c r="F96" s="32" t="n"/>
      <c r="G96" s="16" t="n"/>
      <c r="H96" s="16" t="n"/>
      <c r="I96" s="17" t="n"/>
      <c r="J96" s="19" t="n"/>
      <c r="K96" s="16" t="n"/>
      <c r="L96" s="16" t="n"/>
    </row>
    <row r="97" ht="22" customHeight="1">
      <c r="B97" s="21">
        <f>IF(C97="","RF-"&amp;TEXT(COUNTA($C$5:C97),"000"))</f>
        <v/>
      </c>
      <c r="C97" s="12" t="n"/>
      <c r="D97" s="12" t="n"/>
      <c r="E97" s="31" t="n"/>
      <c r="F97" s="31" t="n"/>
      <c r="G97" s="12" t="n"/>
      <c r="H97" s="12" t="n"/>
      <c r="I97" s="13" t="n"/>
      <c r="J97" s="15" t="n"/>
      <c r="K97" s="12" t="n"/>
      <c r="L97" s="12" t="n"/>
    </row>
    <row r="98" ht="22" customHeight="1">
      <c r="B98" s="20">
        <f>IF(C98="","RF-"&amp;TEXT(COUNTA($C$5:C98),"000"))</f>
        <v/>
      </c>
      <c r="C98" s="16" t="n"/>
      <c r="D98" s="16" t="n"/>
      <c r="E98" s="32" t="n"/>
      <c r="F98" s="32" t="n"/>
      <c r="G98" s="16" t="n"/>
      <c r="H98" s="16" t="n"/>
      <c r="I98" s="17" t="n"/>
      <c r="J98" s="19" t="n"/>
      <c r="K98" s="16" t="n"/>
      <c r="L98" s="16" t="n"/>
    </row>
    <row r="99" ht="22" customHeight="1">
      <c r="B99" s="21">
        <f>IF(C99="","RF-"&amp;TEXT(COUNTA($C$5:C99),"000"))</f>
        <v/>
      </c>
      <c r="C99" s="12" t="n"/>
      <c r="D99" s="12" t="n"/>
      <c r="E99" s="31" t="n"/>
      <c r="F99" s="31" t="n"/>
      <c r="G99" s="12" t="n"/>
      <c r="H99" s="12" t="n"/>
      <c r="I99" s="13" t="n"/>
      <c r="J99" s="15" t="n"/>
      <c r="K99" s="12" t="n"/>
      <c r="L99" s="12" t="n"/>
    </row>
    <row r="100" ht="22" customHeight="1">
      <c r="B100" s="20">
        <f>IF(C100="","RF-"&amp;TEXT(COUNTA($C$5:C100),"000"))</f>
        <v/>
      </c>
      <c r="C100" s="16" t="n"/>
      <c r="D100" s="16" t="n"/>
      <c r="E100" s="32" t="n"/>
      <c r="F100" s="32" t="n"/>
      <c r="G100" s="16" t="n"/>
      <c r="H100" s="16" t="n"/>
      <c r="I100" s="17" t="n"/>
      <c r="J100" s="19" t="n"/>
      <c r="K100" s="16" t="n"/>
      <c r="L100" s="16" t="n"/>
    </row>
    <row r="101" ht="22" customHeight="1">
      <c r="B101" s="21">
        <f>IF(C101="","RF-"&amp;TEXT(COUNTA($C$5:C101),"000"))</f>
        <v/>
      </c>
      <c r="C101" s="12" t="n"/>
      <c r="D101" s="12" t="n"/>
      <c r="E101" s="31" t="n"/>
      <c r="F101" s="31" t="n"/>
      <c r="G101" s="12" t="n"/>
      <c r="H101" s="12" t="n"/>
      <c r="I101" s="13" t="n"/>
      <c r="J101" s="15" t="n"/>
      <c r="K101" s="12" t="n"/>
      <c r="L101" s="12" t="n"/>
    </row>
    <row r="102" ht="22" customHeight="1">
      <c r="B102" s="20">
        <f>IF(C102="","RF-"&amp;TEXT(COUNTA($C$5:C102),"000"))</f>
        <v/>
      </c>
      <c r="C102" s="16" t="n"/>
      <c r="D102" s="16" t="n"/>
      <c r="E102" s="32" t="n"/>
      <c r="F102" s="32" t="n"/>
      <c r="G102" s="16" t="n"/>
      <c r="H102" s="16" t="n"/>
      <c r="I102" s="17" t="n"/>
      <c r="J102" s="19" t="n"/>
      <c r="K102" s="16" t="n"/>
      <c r="L102" s="16" t="n"/>
    </row>
    <row r="103" ht="22" customHeight="1">
      <c r="B103" s="21">
        <f>IF(C103="","RF-"&amp;TEXT(COUNTA($C$5:C103),"000"))</f>
        <v/>
      </c>
      <c r="C103" s="12" t="n"/>
      <c r="D103" s="12" t="n"/>
      <c r="E103" s="31" t="n"/>
      <c r="F103" s="31" t="n"/>
      <c r="G103" s="12" t="n"/>
      <c r="H103" s="12" t="n"/>
      <c r="I103" s="13" t="n"/>
      <c r="J103" s="15" t="n"/>
      <c r="K103" s="12" t="n"/>
      <c r="L103" s="12" t="n"/>
    </row>
    <row r="104" ht="22" customHeight="1">
      <c r="B104" s="20">
        <f>IF(C104="","RF-"&amp;TEXT(COUNTA($C$5:C104),"000"))</f>
        <v/>
      </c>
      <c r="C104" s="16" t="n"/>
      <c r="D104" s="16" t="n"/>
      <c r="E104" s="32" t="n"/>
      <c r="F104" s="32" t="n"/>
      <c r="G104" s="16" t="n"/>
      <c r="H104" s="16" t="n"/>
      <c r="I104" s="17" t="n"/>
      <c r="J104" s="19" t="n"/>
      <c r="K104" s="16" t="n"/>
      <c r="L104" s="16" t="n"/>
    </row>
    <row r="105" ht="22" customHeight="1">
      <c r="B105" s="21">
        <f>IF(C105="","RF-"&amp;TEXT(COUNTA($C$5:C105),"000"))</f>
        <v/>
      </c>
      <c r="C105" s="12" t="n"/>
      <c r="D105" s="12" t="n"/>
      <c r="E105" s="31" t="n"/>
      <c r="F105" s="31" t="n"/>
      <c r="G105" s="12" t="n"/>
      <c r="H105" s="12" t="n"/>
      <c r="I105" s="13" t="n"/>
      <c r="J105" s="15" t="n"/>
      <c r="K105" s="12" t="n"/>
      <c r="L105" s="12" t="n"/>
    </row>
    <row r="106" ht="22" customHeight="1">
      <c r="B106" s="20">
        <f>IF(C106="","RF-"&amp;TEXT(COUNTA($C$5:C106),"000"))</f>
        <v/>
      </c>
      <c r="C106" s="16" t="n"/>
      <c r="D106" s="16" t="n"/>
      <c r="E106" s="32" t="n"/>
      <c r="F106" s="32" t="n"/>
      <c r="G106" s="16" t="n"/>
      <c r="H106" s="16" t="n"/>
      <c r="I106" s="17" t="n"/>
      <c r="J106" s="19" t="n"/>
      <c r="K106" s="16" t="n"/>
      <c r="L106" s="16" t="n"/>
    </row>
    <row r="107" ht="22" customHeight="1">
      <c r="B107" s="21">
        <f>IF(C107="","RF-"&amp;TEXT(COUNTA($C$5:C107),"000"))</f>
        <v/>
      </c>
      <c r="C107" s="12" t="n"/>
      <c r="D107" s="12" t="n"/>
      <c r="E107" s="31" t="n"/>
      <c r="F107" s="31" t="n"/>
      <c r="G107" s="12" t="n"/>
      <c r="H107" s="12" t="n"/>
      <c r="I107" s="13" t="n"/>
      <c r="J107" s="15" t="n"/>
      <c r="K107" s="12" t="n"/>
      <c r="L107" s="12" t="n"/>
    </row>
    <row r="109" ht="26" customHeight="1">
      <c r="B109" s="22" t="inlineStr">
        <is>
          <t>TOTAL</t>
        </is>
      </c>
      <c r="C109" s="23" t="n"/>
      <c r="D109" s="23" t="n"/>
      <c r="E109" s="23" t="n"/>
      <c r="F109" s="23" t="n"/>
      <c r="G109" s="23" t="n"/>
      <c r="H109" s="23" t="n"/>
      <c r="I109" s="24">
        <f>SUM(I5:I104)</f>
        <v/>
      </c>
      <c r="J109" s="24">
        <f>SUM(J5:J104)</f>
        <v/>
      </c>
      <c r="K109" s="23" t="n"/>
      <c r="L109" s="23" t="n"/>
    </row>
    <row r="111">
      <c r="B111" s="6" t="inlineStr">
        <is>
          <t>INDICATEURS (mis a jour automatiquement)</t>
        </is>
      </c>
    </row>
    <row r="112">
      <c r="B112" s="3" t="inlineStr">
        <is>
          <t>Total rapports</t>
        </is>
      </c>
      <c r="D112" s="3" t="inlineStr">
        <is>
          <t>Total formations couvertes</t>
        </is>
      </c>
      <c r="F112" s="3" t="inlineStr">
        <is>
          <t>Cout total (FCFA)</t>
        </is>
      </c>
      <c r="H112" s="3" t="inlineStr">
        <is>
          <t>Approuves</t>
        </is>
      </c>
    </row>
    <row r="113">
      <c r="B113" s="4">
        <f>COUNTIF(B5:B104,"&lt;&gt;")</f>
        <v/>
      </c>
      <c r="D113" s="4">
        <f>SUM(I5:I104)</f>
        <v/>
      </c>
      <c r="F113" s="4">
        <f>SUM(J5:J104)</f>
        <v/>
      </c>
      <c r="H113" s="4">
        <f>COUNTIF(L5:L104,"Approuve")</f>
        <v/>
      </c>
    </row>
  </sheetData>
  <mergeCells count="3">
    <mergeCell ref="B2:L2"/>
    <mergeCell ref="B111:L111"/>
    <mergeCell ref="B3:L3"/>
  </mergeCells>
  <conditionalFormatting sqref="L5:L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1">
      <formula>"En attente"</formula>
    </cfRule>
    <cfRule type="cellIs" priority="28" operator="equal" dxfId="1">
      <formula>"A renouveler"</formula>
    </cfRule>
    <cfRule type="cellIs" priority="29" operator="equal" dxfId="1">
      <formula>"En cours"</formula>
    </cfRule>
    <cfRule type="cellIs" priority="30" operator="equal" dxfId="1">
      <formula>"En traitement"</formula>
    </cfRule>
    <cfRule type="cellIs" priority="31" operator="equal" dxfId="1">
      <formula>"En retard"</formula>
    </cfRule>
    <cfRule type="cellIs" priority="32" operator="equal" dxfId="1">
      <formula>"Suspendu"</formula>
    </cfRule>
    <cfRule type="cellIs" priority="33" operator="equal" dxfId="1">
      <formula>"Planifie"</formula>
    </cfRule>
    <cfRule type="cellIs" priority="34" operator="equal" dxfId="1">
      <formula>"Planifiee"</formula>
    </cfRule>
    <cfRule type="cellIs" priority="35" operator="equal" dxfId="1">
      <formula>"Brouillon"</formula>
    </cfRule>
    <cfRule type="cellIs" priority="36" operator="equal" dxfId="1">
      <formula>"En attente de justification"</formula>
    </cfRule>
    <cfRule type="cellIs" priority="37" operator="equal" dxfId="1">
      <formula>"Tolere"</formula>
    </cfRule>
    <cfRule type="cellIs" priority="38" operator="equal" dxfId="1">
      <formula>"Variable"</formula>
    </cfRule>
    <cfRule type="cellIs" priority="39" operator="equal" dxfId="1">
      <formula>"En elaboration"</formula>
    </cfRule>
    <cfRule type="cellIs" priority="40" operator="equal" dxfId="1">
      <formula>"Provisionne"</formula>
    </cfRule>
    <cfRule type="cellIs" priority="41" operator="equal" dxfId="1">
      <formula>"Consomme partiel"</formula>
    </cfRule>
    <cfRule type="cellIs" priority="42" operator="equal" dxfId="1">
      <formula>"Identifie"</formula>
    </cfRule>
    <cfRule type="cellIs" priority="43" operator="equal" dxfId="1">
      <formula>"Priorise"</formula>
    </cfRule>
    <cfRule type="cellIs" priority="44" operator="equal" dxfId="1">
      <formula>"Intermediaire"</formula>
    </cfRule>
    <cfRule type="cellIs" priority="45" operator="equal" dxfId="1">
      <formula>"Non evalue"</formula>
    </cfRule>
    <cfRule type="cellIs" priority="46" operator="equal" dxfId="1">
      <formula>"En cours de realisation"</formula>
    </cfRule>
    <cfRule type="cellIs" priority="47" operator="equal" dxfId="2">
      <formula>"Expire"</formula>
    </cfRule>
    <cfRule type="cellIs" priority="48" operator="equal" dxfId="2">
      <formula>"Rejete"</formula>
    </cfRule>
    <cfRule type="cellIs" priority="49" operator="equal" dxfId="2">
      <formula>"Rejetee"</formula>
    </cfRule>
    <cfRule type="cellIs" priority="50" operator="equal" dxfId="2">
      <formula>"Resilie"</formula>
    </cfRule>
    <cfRule type="cellIs" priority="51" operator="equal" dxfId="2">
      <formula>"Annule"</formula>
    </cfRule>
    <cfRule type="cellIs" priority="52" operator="equal" dxfId="2">
      <formula>"Annulee"</formula>
    </cfRule>
    <cfRule type="cellIs" priority="53" operator="equal" dxfId="2">
      <formula>"Refuse"</formula>
    </cfRule>
    <cfRule type="cellIs" priority="54" operator="equal" dxfId="2">
      <formula>"Non justifie"</formula>
    </cfRule>
    <cfRule type="cellIs" priority="55" operator="equal" dxfId="2">
      <formula>"Non justifiee"</formula>
    </cfRule>
    <cfRule type="cellIs" priority="56" operator="equal" dxfId="2">
      <formula>"Sanctionne"</formula>
    </cfRule>
    <cfRule type="cellIs" priority="57" operator="equal" dxfId="2">
      <formula>"Inaptitude"</formula>
    </cfRule>
    <cfRule type="cellIs" priority="58" operator="equal" dxfId="2">
      <formula>"Absent sans autorisation"</formula>
    </cfRule>
    <cfRule type="cellIs" priority="59" operator="equal" dxfId="2">
      <formula>"Abandon de poste"</formula>
    </cfRule>
    <cfRule type="cellIs" priority="60" operator="equal" dxfId="2">
      <formula>"Non satisfait"</formula>
    </cfRule>
    <cfRule type="cellIs" priority="61" operator="equal" dxfId="2">
      <formula>"Reportee"</formula>
    </cfRule>
    <cfRule type="cellIs" priority="62" operator="equal" dxfId="2">
      <formula>"Depasse"</formula>
    </cfRule>
    <cfRule type="cellIs" priority="63" operator="equal" dxfId="2">
      <formula>"Non utilise"</formula>
    </cfRule>
    <cfRule type="cellIs" priority="64" operator="equal" dxfId="2">
      <formula>"Non applicable"</formula>
    </cfRule>
    <cfRule type="cellIs" priority="65" operator="equal" dxfId="2">
      <formula>"Debutant"</formula>
    </cfRule>
  </conditionalFormatting>
  <conditionalFormatting sqref="B8:B107">
    <cfRule type="expression" priority="66" dxfId="3">
      <formula>AND($C8="",$C7&lt;&gt;"")</formula>
    </cfRule>
  </conditionalFormatting>
  <conditionalFormatting sqref="C8:C107">
    <cfRule type="expression" priority="67" dxfId="3">
      <formula>AND($C8="",$C7&lt;&gt;"")</formula>
    </cfRule>
  </conditionalFormatting>
  <conditionalFormatting sqref="D8:D107">
    <cfRule type="expression" priority="68" dxfId="3">
      <formula>AND($C8="",$C7&lt;&gt;"")</formula>
    </cfRule>
  </conditionalFormatting>
  <conditionalFormatting sqref="E8:E107">
    <cfRule type="expression" priority="69" dxfId="3">
      <formula>AND($C8="",$C7&lt;&gt;"")</formula>
    </cfRule>
  </conditionalFormatting>
  <conditionalFormatting sqref="F8:F107">
    <cfRule type="expression" priority="70" dxfId="3">
      <formula>AND($C8="",$C7&lt;&gt;"")</formula>
    </cfRule>
  </conditionalFormatting>
  <conditionalFormatting sqref="G8:G107">
    <cfRule type="expression" priority="71" dxfId="3">
      <formula>AND($C8="",$C7&lt;&gt;"")</formula>
    </cfRule>
  </conditionalFormatting>
  <conditionalFormatting sqref="H8:H107">
    <cfRule type="expression" priority="72" dxfId="3">
      <formula>AND($C8="",$C7&lt;&gt;"")</formula>
    </cfRule>
  </conditionalFormatting>
  <conditionalFormatting sqref="I8:I107">
    <cfRule type="expression" priority="73" dxfId="3">
      <formula>AND($C8="",$C7&lt;&gt;"")</formula>
    </cfRule>
  </conditionalFormatting>
  <conditionalFormatting sqref="J8:J107">
    <cfRule type="expression" priority="74" dxfId="3">
      <formula>AND($C8="",$C7&lt;&gt;"")</formula>
    </cfRule>
  </conditionalFormatting>
  <conditionalFormatting sqref="K8:K107">
    <cfRule type="expression" priority="75" dxfId="3">
      <formula>AND($C8="",$C7&lt;&gt;"")</formula>
    </cfRule>
  </conditionalFormatting>
  <conditionalFormatting sqref="L8:L107">
    <cfRule type="expression" priority="76" dxfId="3">
      <formula>AND($C8="",$C7&lt;&gt;"")</formula>
    </cfRule>
  </conditionalFormatting>
  <dataValidations count="2">
    <dataValidation sqref="G5:G107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L5:L107" showDropDown="0" showInputMessage="0" showErrorMessage="0" allowBlank="1" errorTitle="Erreur" error="Valeur invalide" promptTitle="Liste" prompt="Choisir dans la liste" type="list">
      <formula1>'_Lists'!$Q$2:$Q$5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2026-07-05T21:55:37Z</dcterms:created>
  <dcterms:modified xmlns:dcterms="http://purl.org/dc/terms/" xmlns:xsi="http://www.w3.org/2001/XMLSchema-instance" xsi:type="dcterms:W3CDTF">2026-07-09T16:14:26Z</dcterms:modified>
</cp:coreProperties>
</file>