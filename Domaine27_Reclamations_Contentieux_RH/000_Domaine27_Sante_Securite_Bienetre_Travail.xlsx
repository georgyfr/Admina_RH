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tabRatio="600" firstSheet="0" activeTab="0" autoFilterDateGrouping="1"/>
  </bookViews>
  <sheets>
    <sheet name="F01 - _Données Centrales" sheetId="1" state="visible" r:id="rId1"/>
    <sheet name="F02 - _Lists" sheetId="2" state="visible" r:id="rId2"/>
    <sheet name="F03 - 1-Tableau de Bord SST" sheetId="3" state="visible" r:id="rId3"/>
    <sheet name="F04 - 2-Registre Risques Prof." sheetId="4" state="visible" r:id="rId4"/>
    <sheet name="F05 - 3-Suivi Accidents Travail" sheetId="5" state="visible" r:id="rId5"/>
    <sheet name="F06 - 4-Visites Médicales" sheetId="6" state="visible" r:id="rId6"/>
    <sheet name="F07 - 5-EPI Équip. Protect." sheetId="7" state="visible" r:id="rId7"/>
    <sheet name="F08 - 6-Formation Sécurité" sheetId="8" state="visible" r:id="rId8"/>
    <sheet name="F09 - 7-Plan Évacuation Secours" sheetId="9" state="visible" r:id="rId9"/>
    <sheet name="F10 - 8-Maladies Prof." sheetId="10" state="visible" r:id="rId10"/>
    <sheet name="F11 - 9-Inspections Audits SST" sheetId="11" state="visible" r:id="rId11"/>
    <sheet name="F12 - 10-Taux Fréquence Gravité" sheetId="12" state="visible" r:id="rId12"/>
    <sheet name="F13 - 11-Équipements Médicaux" sheetId="13" state="visible" r:id="rId13"/>
    <sheet name="F14 - 12-Hygiène Sécurité Env." sheetId="14" state="visible" r:id="rId14"/>
    <sheet name="F15 - 13-Budget SST" sheetId="15" state="visible" r:id="rId15"/>
    <sheet name="F16 - 14-Reporting Mensuel SST" sheetId="16" state="visible" r:id="rId16"/>
    <sheet name="F17 - 15-Analyse Coûts Départ." sheetId="17" state="visible" r:id="rId17"/>
    <sheet name="F18 - 16-Simul. Scénar. SST" sheetId="18" state="visible" r:id="rId18"/>
    <sheet name="F19 - 17-TdB Consolidé SST" sheetId="19" state="visible" r:id="rId19"/>
    <sheet name="F20 - 18-Indic. Performance SST" sheetId="20" state="visible" r:id="rId20"/>
    <sheet name="F21 - 19-Audit Conform. Réglem.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color rgb="007f8c8d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5E20"/>
      <sz val="10"/>
    </font>
    <font>
      <name val="Calibri"/>
      <b val="1"/>
      <color rgb="00FF6F00"/>
      <sz val="12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FFFF"/>
        <bgColor rgb="00FFFFFF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>
        <color rgb="0081C784"/>
      </left>
      <right style="thin">
        <color rgb="0081C784"/>
      </right>
      <top style="thin">
        <color rgb="0081C784"/>
      </top>
      <bottom style="thin">
        <color rgb="0081C78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left" vertical="center" wrapText="1"/>
    </xf>
    <xf numFmtId="166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ill>
        <patternFill patternType="solid">
          <fgColor rgb="00FFF9C4"/>
          <bgColor rgb="00FFF9C4"/>
        </patternFill>
      </fill>
    </dxf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E8F5E9"/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2:P2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0" customWidth="1" min="4" max="4"/>
    <col width="22" customWidth="1" min="5" max="5"/>
    <col width="10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14" customWidth="1" min="12" max="12"/>
  </cols>
  <sheetData>
    <row r="2" ht="25" customHeight="1">
      <c r="A2" s="1" t="inlineStr">
        <is>
          <t>DOMAINE 27 — GESTION DE LA SANTÉ, SÉCURITÉ ET BIEN-ÊTRE AU TRAVAIL</t>
        </is>
      </c>
    </row>
    <row r="3" ht="18" customHeight="1">
      <c r="A3" s="2" t="inlineStr">
        <is>
          <t>DONNÉES CENTRALES — Base de référence (toutes les feuilles s'y réfèrent)</t>
        </is>
      </c>
    </row>
    <row r="5">
      <c r="A5" s="3" t="inlineStr">
        <is>
          <t>Code SST</t>
        </is>
      </c>
      <c r="B5" s="3" t="inlineStr">
        <is>
          <t>Département</t>
        </is>
      </c>
      <c r="C5" s="3" t="inlineStr">
        <is>
          <t>Poste de Travail</t>
        </is>
      </c>
      <c r="D5" s="3" t="inlineStr">
        <is>
          <t>Zone à Risque</t>
        </is>
      </c>
      <c r="E5" s="3" t="inlineStr">
        <is>
          <t>Catégorie de Risque</t>
        </is>
      </c>
      <c r="F5" s="3" t="inlineStr">
        <is>
          <t>Exercice</t>
        </is>
      </c>
      <c r="G5" s="3" t="inlineStr">
        <is>
          <t>Budget Alloué (FCFA)</t>
        </is>
      </c>
      <c r="H5" s="3" t="inlineStr">
        <is>
          <t>Budget Consommé (FCFA)</t>
        </is>
      </c>
      <c r="I5" s="3" t="inlineStr">
        <is>
          <t>Reste à Consommer (FCFA)</t>
        </is>
      </c>
      <c r="J5" s="3" t="inlineStr">
        <is>
          <t>Taux Consommation (%)</t>
        </is>
      </c>
      <c r="K5" s="3" t="inlineStr">
        <is>
          <t>Responsable SST</t>
        </is>
      </c>
      <c r="L5" s="3" t="inlineStr">
        <is>
          <t>Statut</t>
        </is>
      </c>
    </row>
    <row r="6">
      <c r="A6" s="4" t="inlineStr">
        <is>
          <t>SST-001</t>
        </is>
      </c>
      <c r="B6" s="4" t="inlineStr">
        <is>
          <t>Cuisine &amp; Restauration</t>
        </is>
      </c>
      <c r="C6" s="4" t="inlineStr">
        <is>
          <t>Chef cuisinier</t>
        </is>
      </c>
      <c r="D6" s="4" t="inlineStr">
        <is>
          <t>Zone cuisson</t>
        </is>
      </c>
      <c r="E6" s="4" t="inlineStr">
        <is>
          <t>Risque physique</t>
        </is>
      </c>
      <c r="F6" s="4" t="n">
        <v>2025</v>
      </c>
      <c r="G6" s="5" t="n">
        <v>4500000</v>
      </c>
      <c r="H6" s="5" t="n">
        <v>3200000</v>
      </c>
      <c r="I6" s="5">
        <f>G6-H6</f>
        <v/>
      </c>
      <c r="J6" s="6">
        <f>IFERROR(H6/G6,0)</f>
        <v/>
      </c>
      <c r="K6" s="4" t="inlineStr">
        <is>
          <t>M. Tchinda</t>
        </is>
      </c>
      <c r="L6" s="4" t="inlineStr">
        <is>
          <t>En cours</t>
        </is>
      </c>
    </row>
    <row r="7">
      <c r="A7" s="7" t="inlineStr">
        <is>
          <t>SST-002</t>
        </is>
      </c>
      <c r="B7" s="7" t="inlineStr">
        <is>
          <t>Cuisine &amp; Restauration</t>
        </is>
      </c>
      <c r="C7" s="7" t="inlineStr">
        <is>
          <t>Plongeur</t>
        </is>
      </c>
      <c r="D7" s="7" t="inlineStr">
        <is>
          <t>Zone lavage</t>
        </is>
      </c>
      <c r="E7" s="7" t="inlineStr">
        <is>
          <t>Risque chimique</t>
        </is>
      </c>
      <c r="F7" s="7" t="n">
        <v>2025</v>
      </c>
      <c r="G7" s="8" t="n">
        <v>1200000</v>
      </c>
      <c r="H7" s="8" t="n">
        <v>980000</v>
      </c>
      <c r="I7" s="8">
        <f>G7-H7</f>
        <v/>
      </c>
      <c r="J7" s="9">
        <f>IFERROR(H7/G7,0)</f>
        <v/>
      </c>
      <c r="K7" s="7" t="inlineStr">
        <is>
          <t>M. Tchinda</t>
        </is>
      </c>
      <c r="L7" s="7" t="inlineStr">
        <is>
          <t>En cours</t>
        </is>
      </c>
    </row>
    <row r="8">
      <c r="A8" s="4" t="inlineStr">
        <is>
          <t>SST-003</t>
        </is>
      </c>
      <c r="B8" s="4" t="inlineStr">
        <is>
          <t>Maintenance &amp; Technique</t>
        </is>
      </c>
      <c r="C8" s="4" t="inlineStr">
        <is>
          <t>Électricien</t>
        </is>
      </c>
      <c r="D8" s="4" t="inlineStr">
        <is>
          <t>Tableau électrique</t>
        </is>
      </c>
      <c r="E8" s="4" t="inlineStr">
        <is>
          <t>Risque électrique</t>
        </is>
      </c>
      <c r="F8" s="4" t="n">
        <v>2025</v>
      </c>
      <c r="G8" s="5" t="n">
        <v>3800000</v>
      </c>
      <c r="H8" s="5" t="n">
        <v>2900000</v>
      </c>
      <c r="I8" s="5">
        <f>G8-H8</f>
        <v/>
      </c>
      <c r="J8" s="6">
        <f>IFERROR(H8/G8,0)</f>
        <v/>
      </c>
      <c r="K8" s="4" t="inlineStr">
        <is>
          <t>M. Ondo</t>
        </is>
      </c>
      <c r="L8" s="4" t="inlineStr">
        <is>
          <t>En cours</t>
        </is>
      </c>
    </row>
    <row r="9">
      <c r="A9" s="7" t="inlineStr">
        <is>
          <t>SST-004</t>
        </is>
      </c>
      <c r="B9" s="7" t="inlineStr">
        <is>
          <t>Maintenance &amp; Technique</t>
        </is>
      </c>
      <c r="C9" s="7" t="inlineStr">
        <is>
          <t>Mécanicien</t>
        </is>
      </c>
      <c r="D9" s="7" t="inlineStr">
        <is>
          <t>Atelier</t>
        </is>
      </c>
      <c r="E9" s="7" t="inlineStr">
        <is>
          <t>Risque physique</t>
        </is>
      </c>
      <c r="F9" s="7" t="n">
        <v>2025</v>
      </c>
      <c r="G9" s="8" t="n">
        <v>2500000</v>
      </c>
      <c r="H9" s="8" t="n">
        <v>1850000</v>
      </c>
      <c r="I9" s="8">
        <f>G9-H9</f>
        <v/>
      </c>
      <c r="J9" s="9">
        <f>IFERROR(H9/G9,0)</f>
        <v/>
      </c>
      <c r="K9" s="7" t="inlineStr">
        <is>
          <t>M. Ondo</t>
        </is>
      </c>
      <c r="L9" s="7" t="inlineStr">
        <is>
          <t>En cours</t>
        </is>
      </c>
    </row>
    <row r="10">
      <c r="A10" s="4" t="inlineStr">
        <is>
          <t>SST-005</t>
        </is>
      </c>
      <c r="B10" s="4" t="inlineStr">
        <is>
          <t>Réception &amp; Front Office</t>
        </is>
      </c>
      <c r="C10" s="4" t="inlineStr">
        <is>
          <t>Réceptionniste</t>
        </is>
      </c>
      <c r="D10" s="4" t="inlineStr">
        <is>
          <t>Hall accueil</t>
        </is>
      </c>
      <c r="E10" s="4" t="inlineStr">
        <is>
          <t>Risque ergonomique</t>
        </is>
      </c>
      <c r="F10" s="4" t="n">
        <v>2025</v>
      </c>
      <c r="G10" s="5" t="n">
        <v>800000</v>
      </c>
      <c r="H10" s="5" t="n">
        <v>520000</v>
      </c>
      <c r="I10" s="5">
        <f>G10-H10</f>
        <v/>
      </c>
      <c r="J10" s="6">
        <f>IFERROR(H10/G10,0)</f>
        <v/>
      </c>
      <c r="K10" s="4" t="inlineStr">
        <is>
          <t>Mme. Ngassa</t>
        </is>
      </c>
      <c r="L10" s="4" t="inlineStr">
        <is>
          <t>En cours</t>
        </is>
      </c>
    </row>
    <row r="11">
      <c r="A11" s="7" t="inlineStr">
        <is>
          <t>SST-006</t>
        </is>
      </c>
      <c r="B11" s="7" t="inlineStr">
        <is>
          <t>Sécurité</t>
        </is>
      </c>
      <c r="C11" s="7" t="inlineStr">
        <is>
          <t>Agent sécurité</t>
        </is>
      </c>
      <c r="D11" s="7" t="inlineStr">
        <is>
          <t>Poste gardiennage</t>
        </is>
      </c>
      <c r="E11" s="7" t="inlineStr">
        <is>
          <t>Risque psychosocial</t>
        </is>
      </c>
      <c r="F11" s="7" t="n">
        <v>2025</v>
      </c>
      <c r="G11" s="8" t="n">
        <v>1500000</v>
      </c>
      <c r="H11" s="8" t="n">
        <v>1100000</v>
      </c>
      <c r="I11" s="8">
        <f>G11-H11</f>
        <v/>
      </c>
      <c r="J11" s="9">
        <f>IFERROR(H11/G11,0)</f>
        <v/>
      </c>
      <c r="K11" s="7" t="inlineStr">
        <is>
          <t>M. Essamba</t>
        </is>
      </c>
      <c r="L11" s="7" t="inlineStr">
        <is>
          <t>En cours</t>
        </is>
      </c>
    </row>
    <row r="12">
      <c r="A12" s="4" t="inlineStr">
        <is>
          <t>SST-007</t>
        </is>
      </c>
      <c r="B12" s="4" t="inlineStr">
        <is>
          <t>Cuisine &amp; Restauration</t>
        </is>
      </c>
      <c r="C12" s="4" t="inlineStr">
        <is>
          <t>Serveur</t>
        </is>
      </c>
      <c r="D12" s="4" t="inlineStr">
        <is>
          <t>Salle restaurant</t>
        </is>
      </c>
      <c r="E12" s="4" t="inlineStr">
        <is>
          <t>Risque glissade</t>
        </is>
      </c>
      <c r="F12" s="4" t="n">
        <v>2025</v>
      </c>
      <c r="G12" s="5" t="n">
        <v>600000</v>
      </c>
      <c r="H12" s="5" t="n">
        <v>420000</v>
      </c>
      <c r="I12" s="5">
        <f>G12-H12</f>
        <v/>
      </c>
      <c r="J12" s="6">
        <f>IFERROR(H12/G12,0)</f>
        <v/>
      </c>
      <c r="K12" s="4" t="inlineStr">
        <is>
          <t>M. Tchinda</t>
        </is>
      </c>
      <c r="L12" s="4" t="inlineStr">
        <is>
          <t>En cours</t>
        </is>
      </c>
    </row>
    <row r="13">
      <c r="A13" s="7" t="inlineStr">
        <is>
          <t>SST-008</t>
        </is>
      </c>
      <c r="B13" s="7" t="inlineStr">
        <is>
          <t>Maintenance &amp; Technique</t>
        </is>
      </c>
      <c r="C13" s="7" t="inlineStr">
        <is>
          <t>Plombier</t>
        </is>
      </c>
      <c r="D13" s="7" t="inlineStr">
        <is>
          <t>Local technique</t>
        </is>
      </c>
      <c r="E13" s="7" t="inlineStr">
        <is>
          <t>Risque chimique</t>
        </is>
      </c>
      <c r="F13" s="7" t="n">
        <v>2025</v>
      </c>
      <c r="G13" s="8" t="n">
        <v>1100000</v>
      </c>
      <c r="H13" s="8" t="n">
        <v>750000</v>
      </c>
      <c r="I13" s="8">
        <f>G13-H13</f>
        <v/>
      </c>
      <c r="J13" s="9">
        <f>IFERROR(H13/G13,0)</f>
        <v/>
      </c>
      <c r="K13" s="7" t="inlineStr">
        <is>
          <t>M. Ondo</t>
        </is>
      </c>
      <c r="L13" s="7" t="inlineStr">
        <is>
          <t>En cours</t>
        </is>
      </c>
    </row>
    <row r="14">
      <c r="A14" s="4" t="inlineStr">
        <is>
          <t>SST-009</t>
        </is>
      </c>
      <c r="B14" s="4" t="inlineStr">
        <is>
          <t>Spa &amp; Bien-être</t>
        </is>
      </c>
      <c r="C14" s="4" t="inlineStr">
        <is>
          <t>Esthéticienne</t>
        </is>
      </c>
      <c r="D14" s="4" t="inlineStr">
        <is>
          <t>Cabine soin</t>
        </is>
      </c>
      <c r="E14" s="4" t="inlineStr">
        <is>
          <t>Risque chimique</t>
        </is>
      </c>
      <c r="F14" s="4" t="n">
        <v>2025</v>
      </c>
      <c r="G14" s="5" t="n">
        <v>900000</v>
      </c>
      <c r="H14" s="5" t="n">
        <v>680000</v>
      </c>
      <c r="I14" s="5">
        <f>G14-H14</f>
        <v/>
      </c>
      <c r="J14" s="6">
        <f>IFERROR(H14/G14,0)</f>
        <v/>
      </c>
      <c r="K14" s="4" t="inlineStr">
        <is>
          <t>Mme. Fotso</t>
        </is>
      </c>
      <c r="L14" s="4" t="inlineStr">
        <is>
          <t>En cours</t>
        </is>
      </c>
    </row>
    <row r="15">
      <c r="A15" s="7" t="inlineStr">
        <is>
          <t>SST-010</t>
        </is>
      </c>
      <c r="B15" s="7" t="inlineStr">
        <is>
          <t>Commerce</t>
        </is>
      </c>
      <c r="C15" s="7" t="inlineStr">
        <is>
          <t>Vendeur</t>
        </is>
      </c>
      <c r="D15" s="7" t="inlineStr">
        <is>
          <t>Espace vente</t>
        </is>
      </c>
      <c r="E15" s="7" t="inlineStr">
        <is>
          <t>Risque ergonomique</t>
        </is>
      </c>
      <c r="F15" s="7" t="n">
        <v>2025</v>
      </c>
      <c r="G15" s="8" t="n">
        <v>500000</v>
      </c>
      <c r="H15" s="8" t="n">
        <v>320000</v>
      </c>
      <c r="I15" s="8">
        <f>G15-H15</f>
        <v/>
      </c>
      <c r="J15" s="9">
        <f>IFERROR(H15/G15,0)</f>
        <v/>
      </c>
      <c r="K15" s="7" t="inlineStr">
        <is>
          <t>M. Nkoulou</t>
        </is>
      </c>
      <c r="L15" s="7" t="inlineStr">
        <is>
          <t>En cours</t>
        </is>
      </c>
    </row>
    <row r="16">
      <c r="A16" s="4" t="inlineStr">
        <is>
          <t>SST-011</t>
        </is>
      </c>
      <c r="B16" s="4" t="inlineStr">
        <is>
          <t>Tous départements</t>
        </is>
      </c>
      <c r="C16" s="4" t="inlineStr">
        <is>
          <t>Tous postes</t>
        </is>
      </c>
      <c r="D16" s="4" t="inlineStr">
        <is>
          <t>Ensemble site</t>
        </is>
      </c>
      <c r="E16" s="4" t="inlineStr">
        <is>
          <t>Risque incendie</t>
        </is>
      </c>
      <c r="F16" s="4" t="n">
        <v>2025</v>
      </c>
      <c r="G16" s="5" t="n">
        <v>5200000</v>
      </c>
      <c r="H16" s="5" t="n">
        <v>4100000</v>
      </c>
      <c r="I16" s="5">
        <f>G16-H16</f>
        <v/>
      </c>
      <c r="J16" s="6">
        <f>IFERROR(H16/G16,0)</f>
        <v/>
      </c>
      <c r="K16" s="4" t="inlineStr">
        <is>
          <t>M. Ondo</t>
        </is>
      </c>
      <c r="L16" s="4" t="inlineStr">
        <is>
          <t>En cours</t>
        </is>
      </c>
    </row>
    <row r="17">
      <c r="A17" s="7" t="inlineStr">
        <is>
          <t>SST-012</t>
        </is>
      </c>
      <c r="B17" s="7" t="inlineStr">
        <is>
          <t>Tous départements</t>
        </is>
      </c>
      <c r="C17" s="7" t="inlineStr">
        <is>
          <t>Tous postes</t>
        </is>
      </c>
      <c r="D17" s="7" t="inlineStr">
        <is>
          <t>Ensemble site</t>
        </is>
      </c>
      <c r="E17" s="7" t="inlineStr">
        <is>
          <t>Risque sanitaire</t>
        </is>
      </c>
      <c r="F17" s="7" t="n">
        <v>2025</v>
      </c>
      <c r="G17" s="8" t="n">
        <v>3500000</v>
      </c>
      <c r="H17" s="8" t="n">
        <v>2800000</v>
      </c>
      <c r="I17" s="8">
        <f>G17-H17</f>
        <v/>
      </c>
      <c r="J17" s="9">
        <f>IFERROR(H17/G17,0)</f>
        <v/>
      </c>
      <c r="K17" s="7" t="inlineStr">
        <is>
          <t>Dr. Manga</t>
        </is>
      </c>
      <c r="L17" s="7" t="inlineStr">
        <is>
          <t>En cours</t>
        </is>
      </c>
    </row>
    <row r="18">
      <c r="A18" s="4" t="inlineStr">
        <is>
          <t>SST-013</t>
        </is>
      </c>
      <c r="B18" s="4" t="inlineStr">
        <is>
          <t>Tous départements</t>
        </is>
      </c>
      <c r="C18" s="4" t="inlineStr">
        <is>
          <t>Tous postes</t>
        </is>
      </c>
      <c r="D18" s="4" t="inlineStr">
        <is>
          <t>Ensemble site</t>
        </is>
      </c>
      <c r="E18" s="4" t="inlineStr">
        <is>
          <t>Risque psychosocial</t>
        </is>
      </c>
      <c r="F18" s="4" t="n">
        <v>2025</v>
      </c>
      <c r="G18" s="5" t="n">
        <v>2800000</v>
      </c>
      <c r="H18" s="5" t="n">
        <v>1900000</v>
      </c>
      <c r="I18" s="5">
        <f>G18-H18</f>
        <v/>
      </c>
      <c r="J18" s="6">
        <f>IFERROR(H18/G18,0)</f>
        <v/>
      </c>
      <c r="K18" s="4" t="inlineStr">
        <is>
          <t>Mme. Mbarga</t>
        </is>
      </c>
      <c r="L18" s="4" t="inlineStr">
        <is>
          <t>En cours</t>
        </is>
      </c>
    </row>
    <row r="19">
      <c r="A19" s="7" t="inlineStr">
        <is>
          <t>SST-014</t>
        </is>
      </c>
      <c r="B19" s="7" t="inlineStr">
        <is>
          <t>Direction Générale</t>
        </is>
      </c>
      <c r="C19" s="7" t="inlineStr">
        <is>
          <t>Cadres</t>
        </is>
      </c>
      <c r="D19" s="7" t="inlineStr">
        <is>
          <t>Bureaux</t>
        </is>
      </c>
      <c r="E19" s="7" t="inlineStr">
        <is>
          <t>Risque ergonomique</t>
        </is>
      </c>
      <c r="F19" s="7" t="n">
        <v>2025</v>
      </c>
      <c r="G19" s="8" t="n">
        <v>1200000</v>
      </c>
      <c r="H19" s="8" t="n">
        <v>850000</v>
      </c>
      <c r="I19" s="8">
        <f>G19-H19</f>
        <v/>
      </c>
      <c r="J19" s="9">
        <f>IFERROR(H19/G19,0)</f>
        <v/>
      </c>
      <c r="K19" s="7" t="inlineStr">
        <is>
          <t>M. Nkoulou</t>
        </is>
      </c>
      <c r="L19" s="7" t="inlineStr">
        <is>
          <t>En cours</t>
        </is>
      </c>
    </row>
    <row r="20">
      <c r="A20" s="4" t="inlineStr">
        <is>
          <t>SST-015</t>
        </is>
      </c>
      <c r="B20" s="4" t="inlineStr">
        <is>
          <t>Finance &amp; Comptabilité</t>
        </is>
      </c>
      <c r="C20" s="4" t="inlineStr">
        <is>
          <t>Comptables</t>
        </is>
      </c>
      <c r="D20" s="4" t="inlineStr">
        <is>
          <t>Bureaux</t>
        </is>
      </c>
      <c r="E20" s="4" t="inlineStr">
        <is>
          <t>Risque visuel</t>
        </is>
      </c>
      <c r="F20" s="4" t="n">
        <v>2025</v>
      </c>
      <c r="G20" s="5" t="n">
        <v>700000</v>
      </c>
      <c r="H20" s="5" t="n">
        <v>480000</v>
      </c>
      <c r="I20" s="5">
        <f>G20-H20</f>
        <v/>
      </c>
      <c r="J20" s="6">
        <f>IFERROR(H20/G20,0)</f>
        <v/>
      </c>
      <c r="K20" s="4" t="inlineStr">
        <is>
          <t>M. Eyenga</t>
        </is>
      </c>
      <c r="L20" s="4" t="inlineStr">
        <is>
          <t>En cours</t>
        </is>
      </c>
    </row>
  </sheetData>
  <mergeCells count="2">
    <mergeCell ref="A3:P3"/>
    <mergeCell ref="A2:P2"/>
  </mergeCells>
  <conditionalFormatting sqref="L6:L20">
    <cfRule type="cellIs" priority="1" operator="equal" dxfId="0">
      <formula>"En cours"</formula>
    </cfRule>
    <cfRule type="cellIs" priority="2" operator="equal" dxfId="1">
      <formula>"Clôturé"</formula>
    </cfRule>
    <cfRule type="cellIs" priority="3" operator="equal" dxfId="2">
      <formula>"Dépassé"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1C784"/>
    <outlinePr summaryBelow="1" summaryRight="1"/>
    <pageSetUpPr/>
  </sheetPr>
  <dimension ref="A2:T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2" ht="25" customHeight="1">
      <c r="A2" s="1" t="inlineStr">
        <is>
          <t>DOMAINE 27 — LISTES DE RÉFÉRENCE</t>
        </is>
      </c>
    </row>
    <row r="3" ht="18" customHeight="1">
      <c r="A3" s="2" t="inlineStr">
        <is>
          <t>Valeurs pour listes déroulantes — Saisissez vos propres valeurs</t>
        </is>
      </c>
    </row>
    <row r="5">
      <c r="A5" s="3" t="inlineStr">
        <is>
          <t>codes_sst</t>
        </is>
      </c>
      <c r="B5" s="3" t="inlineStr">
        <is>
          <t>departements</t>
        </is>
      </c>
      <c r="C5" s="3" t="inlineStr">
        <is>
          <t>postes_travail</t>
        </is>
      </c>
      <c r="D5" s="3" t="inlineStr">
        <is>
          <t>zones_risque</t>
        </is>
      </c>
      <c r="E5" s="3" t="inlineStr">
        <is>
          <t>categories_risque</t>
        </is>
      </c>
      <c r="F5" s="3" t="inlineStr">
        <is>
          <t>exercices</t>
        </is>
      </c>
      <c r="G5" s="3" t="inlineStr">
        <is>
          <t>statuts_sst</t>
        </is>
      </c>
      <c r="H5" s="3" t="inlineStr">
        <is>
          <t>types_accident</t>
        </is>
      </c>
      <c r="I5" s="3" t="inlineStr">
        <is>
          <t>gravites</t>
        </is>
      </c>
      <c r="J5" s="3" t="inlineStr">
        <is>
          <t>severites</t>
        </is>
      </c>
      <c r="K5" s="3" t="inlineStr">
        <is>
          <t>statuts_action</t>
        </is>
      </c>
      <c r="L5" s="3" t="inlineStr">
        <is>
          <t>niveaux_risque</t>
        </is>
      </c>
      <c r="M5" s="3" t="inlineStr">
        <is>
          <t>sources_risque</t>
        </is>
      </c>
      <c r="N5" s="3" t="inlineStr">
        <is>
          <t>types_formation</t>
        </is>
      </c>
      <c r="O5" s="3" t="inlineStr">
        <is>
          <t>types_epi</t>
        </is>
      </c>
      <c r="P5" s="3" t="inlineStr">
        <is>
          <t>frequences</t>
        </is>
      </c>
      <c r="Q5" s="3" t="inlineStr">
        <is>
          <t>statuts_conformite</t>
        </is>
      </c>
      <c r="R5" s="3" t="inlineStr">
        <is>
          <t>periodes</t>
        </is>
      </c>
      <c r="S5" s="3" t="inlineStr">
        <is>
          <t>mois</t>
        </is>
      </c>
      <c r="T5" s="3" t="inlineStr">
        <is>
          <t>types_audit</t>
        </is>
      </c>
    </row>
    <row r="6">
      <c r="A6" s="4" t="inlineStr">
        <is>
          <t>SST-001</t>
        </is>
      </c>
      <c r="B6" s="4" t="inlineStr">
        <is>
          <t>Direction Générale</t>
        </is>
      </c>
      <c r="C6" s="4" t="inlineStr">
        <is>
          <t>Chef cuisinier</t>
        </is>
      </c>
      <c r="D6" s="4" t="inlineStr">
        <is>
          <t>Zone cuisson</t>
        </is>
      </c>
      <c r="E6" s="4" t="inlineStr">
        <is>
          <t>Risque physique</t>
        </is>
      </c>
      <c r="F6" s="4" t="inlineStr">
        <is>
          <t>2024</t>
        </is>
      </c>
      <c r="G6" s="4" t="inlineStr">
        <is>
          <t>En cours</t>
        </is>
      </c>
      <c r="H6" s="4" t="inlineStr">
        <is>
          <t>Chute de plain-pied</t>
        </is>
      </c>
      <c r="I6" s="4" t="inlineStr">
        <is>
          <t>Mineure</t>
        </is>
      </c>
      <c r="J6" s="4" t="inlineStr">
        <is>
          <t>Faible</t>
        </is>
      </c>
      <c r="K6" s="4" t="inlineStr">
        <is>
          <t>En cours</t>
        </is>
      </c>
      <c r="L6" s="4" t="inlineStr">
        <is>
          <t>Faible</t>
        </is>
      </c>
      <c r="M6" s="4" t="inlineStr">
        <is>
          <t>Machines</t>
        </is>
      </c>
      <c r="N6" s="4" t="inlineStr">
        <is>
          <t>Habilitation électrique</t>
        </is>
      </c>
      <c r="O6" s="4" t="inlineStr">
        <is>
          <t>Casque</t>
        </is>
      </c>
      <c r="P6" s="4" t="inlineStr">
        <is>
          <t>Hebdomadaire</t>
        </is>
      </c>
      <c r="Q6" s="4" t="inlineStr">
        <is>
          <t>Conforme</t>
        </is>
      </c>
      <c r="R6" s="4" t="inlineStr">
        <is>
          <t>Janvier</t>
        </is>
      </c>
      <c r="S6" s="4" t="inlineStr">
        <is>
          <t>Janvier</t>
        </is>
      </c>
      <c r="T6" s="4" t="inlineStr">
        <is>
          <t>Interne</t>
        </is>
      </c>
    </row>
    <row r="7">
      <c r="A7" s="7" t="inlineStr">
        <is>
          <t>SST-002</t>
        </is>
      </c>
      <c r="B7" s="7" t="inlineStr">
        <is>
          <t>Ressources Humaines</t>
        </is>
      </c>
      <c r="C7" s="7" t="inlineStr">
        <is>
          <t>Plongeur</t>
        </is>
      </c>
      <c r="D7" s="7" t="inlineStr">
        <is>
          <t>Zone lavage</t>
        </is>
      </c>
      <c r="E7" s="7" t="inlineStr">
        <is>
          <t>Risque chimique</t>
        </is>
      </c>
      <c r="F7" s="7" t="inlineStr">
        <is>
          <t>2025</t>
        </is>
      </c>
      <c r="G7" s="7" t="inlineStr">
        <is>
          <t>Clôturé</t>
        </is>
      </c>
      <c r="H7" s="7" t="inlineStr">
        <is>
          <t>Chute de hauteur</t>
        </is>
      </c>
      <c r="I7" s="7" t="inlineStr">
        <is>
          <t>Modérée</t>
        </is>
      </c>
      <c r="J7" s="7" t="inlineStr">
        <is>
          <t>Moyenne</t>
        </is>
      </c>
      <c r="K7" s="7" t="inlineStr">
        <is>
          <t>Terminée</t>
        </is>
      </c>
      <c r="L7" s="7" t="inlineStr">
        <is>
          <t>Moyen</t>
        </is>
      </c>
      <c r="M7" s="7" t="inlineStr">
        <is>
          <t>Produits chimiques</t>
        </is>
      </c>
      <c r="N7" s="7" t="inlineStr">
        <is>
          <t>Secourisme</t>
        </is>
      </c>
      <c r="O7" s="7" t="inlineStr">
        <is>
          <t>Lunettes</t>
        </is>
      </c>
      <c r="P7" s="7" t="inlineStr">
        <is>
          <t>Mensuelle</t>
        </is>
      </c>
      <c r="Q7" s="7" t="inlineStr">
        <is>
          <t>Non conforme</t>
        </is>
      </c>
      <c r="R7" s="7" t="inlineStr">
        <is>
          <t>Février</t>
        </is>
      </c>
      <c r="S7" s="7" t="inlineStr">
        <is>
          <t>Février</t>
        </is>
      </c>
      <c r="T7" s="7" t="inlineStr">
        <is>
          <t>Externe</t>
        </is>
      </c>
    </row>
    <row r="8">
      <c r="A8" s="4" t="inlineStr">
        <is>
          <t>SST-003</t>
        </is>
      </c>
      <c r="B8" s="4" t="inlineStr">
        <is>
          <t>Finance &amp; Comptabilité</t>
        </is>
      </c>
      <c r="C8" s="4" t="inlineStr">
        <is>
          <t>Électricien</t>
        </is>
      </c>
      <c r="D8" s="4" t="inlineStr">
        <is>
          <t>Tableau électrique</t>
        </is>
      </c>
      <c r="E8" s="4" t="inlineStr">
        <is>
          <t>Risque électrique</t>
        </is>
      </c>
      <c r="F8" s="4" t="inlineStr">
        <is>
          <t>2026</t>
        </is>
      </c>
      <c r="G8" s="4" t="inlineStr">
        <is>
          <t>Dépassé</t>
        </is>
      </c>
      <c r="H8" s="4" t="inlineStr">
        <is>
          <t>Blessure coupure</t>
        </is>
      </c>
      <c r="I8" s="4" t="inlineStr">
        <is>
          <t>Grave</t>
        </is>
      </c>
      <c r="J8" s="4" t="inlineStr">
        <is>
          <t>Élevée</t>
        </is>
      </c>
      <c r="K8" s="4" t="inlineStr">
        <is>
          <t>Planifiée</t>
        </is>
      </c>
      <c r="L8" s="4" t="inlineStr">
        <is>
          <t>Élevé</t>
        </is>
      </c>
      <c r="M8" s="4" t="inlineStr">
        <is>
          <t>Électricité</t>
        </is>
      </c>
      <c r="N8" s="4" t="inlineStr">
        <is>
          <t>Manipulation produits</t>
        </is>
      </c>
      <c r="O8" s="4" t="inlineStr">
        <is>
          <t>Gants</t>
        </is>
      </c>
      <c r="P8" s="4" t="inlineStr">
        <is>
          <t>Trimestrielle</t>
        </is>
      </c>
      <c r="Q8" s="4" t="inlineStr">
        <is>
          <t>En attente</t>
        </is>
      </c>
      <c r="R8" s="4" t="inlineStr">
        <is>
          <t>Mars</t>
        </is>
      </c>
      <c r="S8" s="4" t="inlineStr">
        <is>
          <t>Mars</t>
        </is>
      </c>
      <c r="T8" s="4" t="inlineStr">
        <is>
          <t>Mixte</t>
        </is>
      </c>
    </row>
    <row r="9">
      <c r="A9" s="7" t="inlineStr">
        <is>
          <t>SST-004</t>
        </is>
      </c>
      <c r="B9" s="7" t="inlineStr">
        <is>
          <t>Cuisine &amp; Restauration</t>
        </is>
      </c>
      <c r="C9" s="7" t="inlineStr">
        <is>
          <t>Mécanicien</t>
        </is>
      </c>
      <c r="D9" s="7" t="inlineStr">
        <is>
          <t>Atelier</t>
        </is>
      </c>
      <c r="E9" s="7" t="inlineStr">
        <is>
          <t>Risque ergonomique</t>
        </is>
      </c>
      <c r="F9" s="7" t="inlineStr">
        <is>
          <t>2027</t>
        </is>
      </c>
      <c r="G9" s="7" t="inlineStr">
        <is>
          <t>En attente</t>
        </is>
      </c>
      <c r="H9" s="7" t="inlineStr">
        <is>
          <t>Brûlure</t>
        </is>
      </c>
      <c r="I9" s="7" t="inlineStr">
        <is>
          <t>Fatale</t>
        </is>
      </c>
      <c r="J9" s="7" t="inlineStr">
        <is>
          <t>Critique</t>
        </is>
      </c>
      <c r="K9" s="7" t="inlineStr">
        <is>
          <t>En attente</t>
        </is>
      </c>
      <c r="L9" s="7" t="inlineStr">
        <is>
          <t>Critique</t>
        </is>
      </c>
      <c r="M9" s="7" t="inlineStr">
        <is>
          <t>Ergonomie</t>
        </is>
      </c>
      <c r="N9" s="7" t="inlineStr">
        <is>
          <t>Travail en hauteur</t>
        </is>
      </c>
      <c r="O9" s="7" t="inlineStr">
        <is>
          <t>Chaussures sécurité</t>
        </is>
      </c>
      <c r="P9" s="7" t="inlineStr">
        <is>
          <t>Semestrielle</t>
        </is>
      </c>
      <c r="Q9" s="7" t="inlineStr">
        <is>
          <t>À régulariser</t>
        </is>
      </c>
      <c r="R9" s="7" t="inlineStr">
        <is>
          <t>Avril</t>
        </is>
      </c>
      <c r="S9" s="7" t="inlineStr">
        <is>
          <t>Avril</t>
        </is>
      </c>
      <c r="T9" s="7" t="inlineStr">
        <is>
          <t>Réglementaire</t>
        </is>
      </c>
    </row>
    <row r="10">
      <c r="A10" s="4" t="inlineStr">
        <is>
          <t>SST-005</t>
        </is>
      </c>
      <c r="B10" s="4" t="inlineStr">
        <is>
          <t>Réception &amp; Front Office</t>
        </is>
      </c>
      <c r="C10" s="4" t="inlineStr">
        <is>
          <t>Réceptionniste</t>
        </is>
      </c>
      <c r="D10" s="4" t="inlineStr">
        <is>
          <t>Hall accueil</t>
        </is>
      </c>
      <c r="E10" s="4" t="inlineStr">
        <is>
          <t>Risque psychosocial</t>
        </is>
      </c>
      <c r="F10" s="4" t="n"/>
      <c r="G10" s="4" t="inlineStr">
        <is>
          <t>Planifié</t>
        </is>
      </c>
      <c r="H10" s="4" t="inlineStr">
        <is>
          <t>Électrocution</t>
        </is>
      </c>
      <c r="I10" s="4" t="n"/>
      <c r="J10" s="4" t="n"/>
      <c r="K10" s="4" t="inlineStr">
        <is>
          <t>Annulée</t>
        </is>
      </c>
      <c r="L10" s="4" t="n"/>
      <c r="M10" s="4" t="inlineStr">
        <is>
          <t>Manutention</t>
        </is>
      </c>
      <c r="N10" s="4" t="inlineStr">
        <is>
          <t>Ergonomie poste</t>
        </is>
      </c>
      <c r="O10" s="4" t="inlineStr">
        <is>
          <t>Gilet haute visibilité</t>
        </is>
      </c>
      <c r="P10" s="4" t="inlineStr">
        <is>
          <t>Annuelle</t>
        </is>
      </c>
      <c r="Q10" s="4" t="inlineStr">
        <is>
          <t>En cours de vérification</t>
        </is>
      </c>
      <c r="R10" s="4" t="inlineStr">
        <is>
          <t>Mai</t>
        </is>
      </c>
      <c r="S10" s="4" t="inlineStr">
        <is>
          <t>Mai</t>
        </is>
      </c>
      <c r="T10" s="4" t="inlineStr">
        <is>
          <t>Inopiné</t>
        </is>
      </c>
    </row>
    <row r="11">
      <c r="A11" s="7" t="inlineStr">
        <is>
          <t>SST-006</t>
        </is>
      </c>
      <c r="B11" s="7" t="inlineStr">
        <is>
          <t>Maintenance &amp; Technique</t>
        </is>
      </c>
      <c r="C11" s="7" t="inlineStr">
        <is>
          <t>Agent sécurité</t>
        </is>
      </c>
      <c r="D11" s="7" t="inlineStr">
        <is>
          <t>Poste gardiennage</t>
        </is>
      </c>
      <c r="E11" s="7" t="inlineStr">
        <is>
          <t>Risque glissade</t>
        </is>
      </c>
      <c r="F11" s="7" t="n"/>
      <c r="G11" s="7" t="inlineStr">
        <is>
          <t>Annulé</t>
        </is>
      </c>
      <c r="H11" s="7" t="inlineStr">
        <is>
          <t>Intoxication</t>
        </is>
      </c>
      <c r="I11" s="7" t="n"/>
      <c r="J11" s="7" t="n"/>
      <c r="K11" s="7" t="inlineStr">
        <is>
          <t>Reportée</t>
        </is>
      </c>
      <c r="L11" s="7" t="n"/>
      <c r="M11" s="7" t="inlineStr">
        <is>
          <t>Circulation</t>
        </is>
      </c>
      <c r="N11" s="7" t="inlineStr">
        <is>
          <t>Incendie</t>
        </is>
      </c>
      <c r="O11" s="7" t="inlineStr">
        <is>
          <t>Masque</t>
        </is>
      </c>
      <c r="P11" s="7" t="inlineStr">
        <is>
          <t>Bisannuelle</t>
        </is>
      </c>
      <c r="Q11" s="7" t="inlineStr">
        <is>
          <t>Exempté</t>
        </is>
      </c>
      <c r="R11" s="7" t="inlineStr">
        <is>
          <t>Juin</t>
        </is>
      </c>
      <c r="S11" s="7" t="inlineStr">
        <is>
          <t>Juin</t>
        </is>
      </c>
      <c r="T11" s="7" t="inlineStr">
        <is>
          <t>Programmé</t>
        </is>
      </c>
    </row>
    <row r="12">
      <c r="A12" s="4" t="inlineStr">
        <is>
          <t>SST-007</t>
        </is>
      </c>
      <c r="B12" s="4" t="inlineStr">
        <is>
          <t>Marketing &amp; Communication</t>
        </is>
      </c>
      <c r="C12" s="4" t="inlineStr">
        <is>
          <t>Serveur</t>
        </is>
      </c>
      <c r="D12" s="4" t="inlineStr">
        <is>
          <t>Salle restaurant</t>
        </is>
      </c>
      <c r="E12" s="4" t="inlineStr">
        <is>
          <t>Risque incendie</t>
        </is>
      </c>
      <c r="F12" s="4" t="n"/>
      <c r="G12" s="4" t="inlineStr">
        <is>
          <t>Urgent</t>
        </is>
      </c>
      <c r="H12" s="4" t="inlineStr">
        <is>
          <t>TMS (troubles musculosquelettiques)</t>
        </is>
      </c>
      <c r="I12" s="4" t="n"/>
      <c r="J12" s="4" t="n"/>
      <c r="K12" s="4" t="n"/>
      <c r="L12" s="4" t="n"/>
      <c r="M12" s="4" t="inlineStr">
        <is>
          <t>Bruit</t>
        </is>
      </c>
      <c r="N12" s="4" t="inlineStr">
        <is>
          <t>Évacuation</t>
        </is>
      </c>
      <c r="O12" s="4" t="inlineStr">
        <is>
          <t>Bouchons antibruit</t>
        </is>
      </c>
      <c r="P12" s="4" t="inlineStr">
        <is>
          <t>Quinquennale</t>
        </is>
      </c>
      <c r="Q12" s="4" t="n"/>
      <c r="R12" s="4" t="inlineStr">
        <is>
          <t>Juillet</t>
        </is>
      </c>
      <c r="S12" s="4" t="inlineStr">
        <is>
          <t>Juillet</t>
        </is>
      </c>
      <c r="T12" s="4" t="n"/>
    </row>
    <row r="13">
      <c r="A13" s="7" t="inlineStr">
        <is>
          <t>SST-008</t>
        </is>
      </c>
      <c r="B13" s="7" t="inlineStr">
        <is>
          <t>Revenue Management</t>
        </is>
      </c>
      <c r="C13" s="7" t="inlineStr">
        <is>
          <t>Plombier</t>
        </is>
      </c>
      <c r="D13" s="7" t="inlineStr">
        <is>
          <t>Local technique</t>
        </is>
      </c>
      <c r="E13" s="7" t="inlineStr">
        <is>
          <t>Risque sanitaire</t>
        </is>
      </c>
      <c r="F13" s="7" t="n"/>
      <c r="G13" s="7" t="n"/>
      <c r="H13" s="7" t="inlineStr">
        <is>
          <t>Exposition chimique</t>
        </is>
      </c>
      <c r="I13" s="7" t="n"/>
      <c r="J13" s="7" t="n"/>
      <c r="K13" s="7" t="n"/>
      <c r="L13" s="7" t="n"/>
      <c r="M13" s="7" t="inlineStr">
        <is>
          <t>Vibrations</t>
        </is>
      </c>
      <c r="N13" s="7" t="inlineStr">
        <is>
          <t>Premiers gestes</t>
        </is>
      </c>
      <c r="O13" s="7" t="inlineStr">
        <is>
          <t>Harnais</t>
        </is>
      </c>
      <c r="P13" s="7" t="n"/>
      <c r="Q13" s="7" t="n"/>
      <c r="R13" s="7" t="inlineStr">
        <is>
          <t>Août</t>
        </is>
      </c>
      <c r="S13" s="7" t="inlineStr">
        <is>
          <t>Août</t>
        </is>
      </c>
      <c r="T13" s="7" t="n"/>
    </row>
    <row r="14">
      <c r="A14" s="4" t="inlineStr">
        <is>
          <t>SST-009</t>
        </is>
      </c>
      <c r="B14" s="4" t="inlineStr">
        <is>
          <t>Spa &amp; Bien-être</t>
        </is>
      </c>
      <c r="C14" s="4" t="inlineStr">
        <is>
          <t>Esthéticienne</t>
        </is>
      </c>
      <c r="D14" s="4" t="inlineStr">
        <is>
          <t>Cabine soin</t>
        </is>
      </c>
      <c r="E14" s="4" t="inlineStr">
        <is>
          <t>Risque visuel</t>
        </is>
      </c>
      <c r="F14" s="4" t="n"/>
      <c r="G14" s="4" t="n"/>
      <c r="H14" s="4" t="inlineStr">
        <is>
          <t>Accident véhicule</t>
        </is>
      </c>
      <c r="I14" s="4" t="n"/>
      <c r="J14" s="4" t="n"/>
      <c r="K14" s="4" t="n"/>
      <c r="L14" s="4" t="n"/>
      <c r="M14" s="4" t="inlineStr">
        <is>
          <t>Radiations</t>
        </is>
      </c>
      <c r="N14" s="4" t="inlineStr">
        <is>
          <t>TMS prévention</t>
        </is>
      </c>
      <c r="O14" s="4" t="inlineStr">
        <is>
          <t>Tablier</t>
        </is>
      </c>
      <c r="P14" s="4" t="n"/>
      <c r="Q14" s="4" t="n"/>
      <c r="R14" s="4" t="inlineStr">
        <is>
          <t>Septembre</t>
        </is>
      </c>
      <c r="S14" s="4" t="inlineStr">
        <is>
          <t>Septembre</t>
        </is>
      </c>
      <c r="T14" s="4" t="n"/>
    </row>
    <row r="15">
      <c r="A15" s="7" t="inlineStr">
        <is>
          <t>SST-010</t>
        </is>
      </c>
      <c r="B15" s="7" t="inlineStr">
        <is>
          <t>Sécurité</t>
        </is>
      </c>
      <c r="C15" s="7" t="inlineStr">
        <is>
          <t>Vendeur</t>
        </is>
      </c>
      <c r="D15" s="7" t="inlineStr">
        <is>
          <t>Espace vente</t>
        </is>
      </c>
      <c r="E15" s="7" t="inlineStr">
        <is>
          <t>Risque biologique</t>
        </is>
      </c>
      <c r="F15" s="7" t="n"/>
      <c r="G15" s="7" t="n"/>
      <c r="H15" s="7" t="inlineStr">
        <is>
          <t>Malaise</t>
        </is>
      </c>
      <c r="I15" s="7" t="n"/>
      <c r="J15" s="7" t="n"/>
      <c r="K15" s="7" t="n"/>
      <c r="L15" s="7" t="n"/>
      <c r="M15" s="7" t="inlineStr">
        <is>
          <t>Agents biologiques</t>
        </is>
      </c>
      <c r="N15" s="7" t="inlineStr">
        <is>
          <t>Gestion du stress</t>
        </is>
      </c>
      <c r="O15" s="7" t="inlineStr">
        <is>
          <t>Protège-bras</t>
        </is>
      </c>
      <c r="P15" s="7" t="n"/>
      <c r="Q15" s="7" t="n"/>
      <c r="R15" s="7" t="inlineStr">
        <is>
          <t>Octobre</t>
        </is>
      </c>
      <c r="S15" s="7" t="inlineStr">
        <is>
          <t>Octobre</t>
        </is>
      </c>
      <c r="T15" s="7" t="n"/>
    </row>
    <row r="16">
      <c r="A16" s="4" t="inlineStr">
        <is>
          <t>SST-011</t>
        </is>
      </c>
      <c r="B16" s="4" t="inlineStr">
        <is>
          <t>Commerce</t>
        </is>
      </c>
      <c r="C16" s="4" t="inlineStr">
        <is>
          <t>Cadre</t>
        </is>
      </c>
      <c r="D16" s="4" t="inlineStr">
        <is>
          <t>Bureaux</t>
        </is>
      </c>
      <c r="E16" s="4" t="inlineStr">
        <is>
          <t>Risque bruit</t>
        </is>
      </c>
      <c r="F16" s="4" t="n"/>
      <c r="G16" s="4" t="n"/>
      <c r="H16" s="4" t="inlineStr">
        <is>
          <t>Lombalgie</t>
        </is>
      </c>
      <c r="I16" s="4" t="n"/>
      <c r="J16" s="4" t="n"/>
      <c r="K16" s="4" t="n"/>
      <c r="L16" s="4" t="n"/>
      <c r="M16" s="4" t="inlineStr">
        <is>
          <t>Stress</t>
        </is>
      </c>
      <c r="N16" s="4" t="n"/>
      <c r="O16" s="4" t="inlineStr">
        <is>
          <t>Masque à gaz</t>
        </is>
      </c>
      <c r="P16" s="4" t="n"/>
      <c r="Q16" s="4" t="n"/>
      <c r="R16" s="4" t="inlineStr">
        <is>
          <t>Novembre</t>
        </is>
      </c>
      <c r="S16" s="4" t="inlineStr">
        <is>
          <t>Novembre</t>
        </is>
      </c>
      <c r="T16" s="4" t="n"/>
    </row>
    <row r="17">
      <c r="A17" s="7" t="inlineStr">
        <is>
          <t>SST-012</t>
        </is>
      </c>
      <c r="B17" s="7" t="inlineStr">
        <is>
          <t>Gouvernance</t>
        </is>
      </c>
      <c r="C17" s="7" t="inlineStr">
        <is>
          <t>Comptable</t>
        </is>
      </c>
      <c r="D17" s="7" t="inlineStr">
        <is>
          <t>Parking</t>
        </is>
      </c>
      <c r="E17" s="7" t="inlineStr">
        <is>
          <t>Risque vibration</t>
        </is>
      </c>
      <c r="F17" s="7" t="n"/>
      <c r="G17" s="7" t="n"/>
      <c r="H17" s="7" t="inlineStr">
        <is>
          <t>Contact oculaire</t>
        </is>
      </c>
      <c r="I17" s="7" t="n"/>
      <c r="J17" s="7" t="n"/>
      <c r="K17" s="7" t="n"/>
      <c r="L17" s="7" t="n"/>
      <c r="M17" s="7" t="inlineStr">
        <is>
          <t>Chaleur</t>
        </is>
      </c>
      <c r="N17" s="7" t="n"/>
      <c r="O17" s="7" t="inlineStr">
        <is>
          <t>Combinaison</t>
        </is>
      </c>
      <c r="P17" s="7" t="n"/>
      <c r="Q17" s="7" t="n"/>
      <c r="R17" s="7" t="inlineStr">
        <is>
          <t>Décembre</t>
        </is>
      </c>
      <c r="S17" s="7" t="inlineStr">
        <is>
          <t>Décembre</t>
        </is>
      </c>
      <c r="T17" s="7" t="n"/>
    </row>
    <row r="18">
      <c r="A18" s="4" t="inlineStr">
        <is>
          <t>SST-013</t>
        </is>
      </c>
      <c r="B18" s="4" t="n"/>
      <c r="C18" s="4" t="inlineStr">
        <is>
          <t>Agent entretien</t>
        </is>
      </c>
      <c r="D18" s="4" t="inlineStr">
        <is>
          <t>Entrepôt</t>
        </is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inlineStr">
        <is>
          <t>Froid</t>
        </is>
      </c>
      <c r="N18" s="4" t="n"/>
      <c r="O18" s="4" t="n"/>
      <c r="P18" s="4" t="n"/>
      <c r="Q18" s="4" t="n"/>
      <c r="R18" s="4" t="n"/>
      <c r="S18" s="4" t="n"/>
      <c r="T18" s="4" t="n"/>
    </row>
    <row r="19">
      <c r="A19" s="7" t="inlineStr">
        <is>
          <t>SST-014</t>
        </is>
      </c>
      <c r="B19" s="7" t="n"/>
      <c r="C19" s="7" t="inlineStr">
        <is>
          <t>Jardinier</t>
        </is>
      </c>
      <c r="D19" s="7" t="inlineStr">
        <is>
          <t>Jardin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inlineStr">
        <is>
          <t>Humidité</t>
        </is>
      </c>
      <c r="N19" s="7" t="n"/>
      <c r="O19" s="7" t="n"/>
      <c r="P19" s="7" t="n"/>
      <c r="Q19" s="7" t="n"/>
      <c r="R19" s="7" t="n"/>
      <c r="S19" s="7" t="n"/>
      <c r="T19" s="7" t="n"/>
    </row>
    <row r="20">
      <c r="A20" s="4" t="inlineStr">
        <is>
          <t>SST-015</t>
        </is>
      </c>
      <c r="B20" s="4" t="n"/>
      <c r="C20" s="4" t="inlineStr">
        <is>
          <t>Chauffeur</t>
        </is>
      </c>
      <c r="D20" s="4" t="inlineStr">
        <is>
          <t>Cuisine collective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</sheetData>
  <mergeCells count="2"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2:P9"/>
  <sheetViews>
    <sheetView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24" customWidth="1" min="3" max="3"/>
    <col width="4" customWidth="1" min="4" max="4"/>
    <col width="22" customWidth="1" min="5" max="5"/>
    <col width="4" customWidth="1" min="6" max="6"/>
    <col width="22" customWidth="1" min="7" max="7"/>
    <col width="4" customWidth="1" min="8" max="8"/>
    <col width="22" customWidth="1" min="9" max="9"/>
    <col width="4" customWidth="1" min="10" max="10"/>
    <col width="22" customWidth="1" min="11" max="11"/>
    <col width="4" customWidth="1" min="12" max="12"/>
    <col width="22" customWidth="1" min="13" max="13"/>
  </cols>
  <sheetData>
    <row r="2" ht="25" customHeight="1">
      <c r="A2" s="1" t="inlineStr">
        <is>
          <t>DOMAINE 27 — TABLEAU DE BORD SYNTHÉTIQUE SST</t>
        </is>
      </c>
    </row>
    <row r="3" ht="18" customHeight="1">
      <c r="A3" s="2" t="inlineStr">
        <is>
          <t>Vue globale de la santé, sécurité et bien-être au travail</t>
        </is>
      </c>
    </row>
    <row r="6">
      <c r="A6" s="10" t="inlineStr">
        <is>
          <t>Budget Total Alloué SST (FCFA)</t>
        </is>
      </c>
      <c r="B6" s="11">
        <f>SUM('F01 - _Données Centrales'!G6:G20)</f>
        <v/>
      </c>
      <c r="C6" s="10" t="inlineStr">
        <is>
          <t>Budget Consommé SST (FCFA)</t>
        </is>
      </c>
      <c r="D6" s="11">
        <f>SUM('F01 - _Données Centrales'!H6:H20)</f>
        <v/>
      </c>
      <c r="E6" s="10" t="inlineStr">
        <is>
          <t>Taux Consommation Global</t>
        </is>
      </c>
      <c r="F6" s="12">
        <f>IFERROR(SUM('F01 - _Données Centrales'!H6:H20)/SUM('F01 - _Données Centrales'!G6:G20),0)</f>
        <v/>
      </c>
      <c r="G6" s="10" t="inlineStr">
        <is>
          <t>Écart Budgétaire (FCFA)</t>
        </is>
      </c>
      <c r="H6" s="11">
        <f>SUM('F01 - _Données Centrales'!G6:G20)-SUM('F01 - _Données Centrales'!H6:H20)</f>
        <v/>
      </c>
      <c r="I6" s="10" t="inlineStr">
        <is>
          <t>Nb Accidents (Année)</t>
        </is>
      </c>
      <c r="J6" s="13" t="n">
        <v>12</v>
      </c>
      <c r="K6" s="10" t="inlineStr">
        <is>
          <t>Taux de Fréquence</t>
        </is>
      </c>
      <c r="L6" s="12" t="n">
        <v>8.5</v>
      </c>
    </row>
    <row r="9">
      <c r="A9" s="10" t="inlineStr">
        <is>
          <t>Nb Jours d'Arrêt Total</t>
        </is>
      </c>
      <c r="B9" s="13" t="n">
        <v>45</v>
      </c>
      <c r="C9" s="10" t="inlineStr">
        <is>
          <t>Taux de Gravité</t>
        </is>
      </c>
      <c r="D9" s="12" t="n">
        <v>0.35</v>
      </c>
      <c r="E9" s="10" t="inlineStr">
        <is>
          <t>Nb Visites Médicales</t>
        </is>
      </c>
      <c r="F9" s="13" t="n">
        <v>85</v>
      </c>
      <c r="G9" s="10" t="inlineStr">
        <is>
          <t>Formations SST Réalisées</t>
        </is>
      </c>
      <c r="H9" s="13" t="n">
        <v>14</v>
      </c>
      <c r="I9" s="10" t="inlineStr">
        <is>
          <t>Actions Correctives En Cours</t>
        </is>
      </c>
      <c r="J9" s="13">
        <f>COUNTIF('F01 - _Données Centrales'!L6:L20,"En cours")</f>
        <v/>
      </c>
      <c r="K9" s="10" t="inlineStr">
        <is>
          <t>Nb Zones à Risque</t>
        </is>
      </c>
      <c r="L9" s="13">
        <f>COUNTA('F01 - _Données Centrales'!D6:D20)</f>
        <v/>
      </c>
    </row>
  </sheetData>
  <mergeCells count="2">
    <mergeCell ref="A3:P3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20" customWidth="1" min="5" max="5"/>
    <col width="16" customWidth="1" min="6" max="6"/>
    <col width="14" customWidth="1" min="7" max="7"/>
    <col width="12" customWidth="1" min="8" max="8"/>
    <col width="12" customWidth="1" min="9" max="9"/>
    <col width="24" customWidth="1" min="10" max="10"/>
    <col width="24" customWidth="1" min="11" max="11"/>
    <col width="18" customWidth="1" min="12" max="12"/>
    <col width="14" customWidth="1" min="13" max="13"/>
  </cols>
  <sheetData>
    <row r="2" ht="25" customHeight="1">
      <c r="A2" s="1" t="inlineStr">
        <is>
          <t>DOMAINE 27 — 2-REGISTRE DES RISQUES PROFESSIONNELS</t>
        </is>
      </c>
    </row>
    <row r="3" ht="18" customHeight="1">
      <c r="A3" s="2" t="inlineStr">
        <is>
          <t>TABLEAU DYNAMIQUE — Identification et évaluation des risques par poste</t>
        </is>
      </c>
    </row>
    <row r="5">
      <c r="A5" s="3" t="inlineStr">
        <is>
          <t>Code Risque</t>
        </is>
      </c>
      <c r="B5" s="3" t="inlineStr">
        <is>
          <t>Département</t>
        </is>
      </c>
      <c r="C5" s="3" t="inlineStr">
        <is>
          <t>Poste</t>
        </is>
      </c>
      <c r="D5" s="3" t="inlineStr">
        <is>
          <t>Danger Identifié</t>
        </is>
      </c>
      <c r="E5" s="3" t="inlineStr">
        <is>
          <t>Source de Risque</t>
        </is>
      </c>
      <c r="F5" s="3" t="inlineStr">
        <is>
          <t>Population Exposée</t>
        </is>
      </c>
      <c r="G5" s="3" t="inlineStr">
        <is>
          <t>Probabilité (1-5)</t>
        </is>
      </c>
      <c r="H5" s="3" t="inlineStr">
        <is>
          <t>Gravité (1-5)</t>
        </is>
      </c>
      <c r="I5" s="3" t="inlineStr">
        <is>
          <t>Criticité</t>
        </is>
      </c>
      <c r="J5" s="3" t="inlineStr">
        <is>
          <t>Mesure de Prévention</t>
        </is>
      </c>
      <c r="K5" s="3" t="inlineStr">
        <is>
          <t>Mesure de Protection</t>
        </is>
      </c>
      <c r="L5" s="3" t="inlineStr">
        <is>
          <t>Niveau Risque Résiduel</t>
        </is>
      </c>
      <c r="M5" s="3" t="inlineStr">
        <is>
          <t>Date Évaluation</t>
        </is>
      </c>
    </row>
    <row r="6">
      <c r="A6" s="4" t="inlineStr">
        <is>
          <t>RP-001</t>
        </is>
      </c>
      <c r="B6" s="4" t="inlineStr">
        <is>
          <t>Cuisine &amp; Restauration</t>
        </is>
      </c>
      <c r="C6" s="4" t="inlineStr">
        <is>
          <t>Chef cuisinier</t>
        </is>
      </c>
      <c r="D6" s="4" t="inlineStr">
        <is>
          <t>Brûlure</t>
        </is>
      </c>
      <c r="E6" s="4" t="inlineStr">
        <is>
          <t>Machines</t>
        </is>
      </c>
      <c r="F6" s="4" t="n">
        <v>8</v>
      </c>
      <c r="G6" s="4" t="n">
        <v>4</v>
      </c>
      <c r="H6" s="4" t="n">
        <v>4</v>
      </c>
      <c r="I6" s="4">
        <f>G6*H6</f>
        <v/>
      </c>
      <c r="J6" s="4" t="inlineStr">
        <is>
          <t>Gants thermiques</t>
        </is>
      </c>
      <c r="K6" s="4" t="inlineStr">
        <is>
          <t>Extincteur proximité</t>
        </is>
      </c>
      <c r="L6" s="4">
        <f>IF(I6&gt;=20,"Critique",IF(I6&gt;=12,"Élevé",IF(I6&gt;=6,"Moyen","Faible")))</f>
        <v/>
      </c>
      <c r="M6" s="14" t="n">
        <v>45672</v>
      </c>
    </row>
    <row r="7">
      <c r="A7" s="7" t="inlineStr">
        <is>
          <t>RP-002</t>
        </is>
      </c>
      <c r="B7" s="7" t="inlineStr">
        <is>
          <t>Cuisine &amp; Restauration</t>
        </is>
      </c>
      <c r="C7" s="7" t="inlineStr">
        <is>
          <t>Plongeur</t>
        </is>
      </c>
      <c r="D7" s="7" t="inlineStr">
        <is>
          <t>Dermatite</t>
        </is>
      </c>
      <c r="E7" s="7" t="inlineStr">
        <is>
          <t>Produits chimiques</t>
        </is>
      </c>
      <c r="F7" s="7" t="n">
        <v>6</v>
      </c>
      <c r="G7" s="7" t="n">
        <v>3</v>
      </c>
      <c r="H7" s="7" t="n">
        <v>3</v>
      </c>
      <c r="I7" s="7">
        <f>G7*H7</f>
        <v/>
      </c>
      <c r="J7" s="7" t="inlineStr">
        <is>
          <t>Gants latex</t>
        </is>
      </c>
      <c r="K7" s="7" t="inlineStr">
        <is>
          <t>Crème protectrice</t>
        </is>
      </c>
      <c r="L7" s="7">
        <f>IF(I7&gt;=20,"Critique",IF(I7&gt;=12,"Élevé",IF(I7&gt;=6,"Moyen","Faible")))</f>
        <v/>
      </c>
      <c r="M7" s="15" t="n">
        <v>45672</v>
      </c>
    </row>
    <row r="8">
      <c r="A8" s="4" t="inlineStr">
        <is>
          <t>RP-003</t>
        </is>
      </c>
      <c r="B8" s="4" t="inlineStr">
        <is>
          <t>Maintenance</t>
        </is>
      </c>
      <c r="C8" s="4" t="inlineStr">
        <is>
          <t>Électricien</t>
        </is>
      </c>
      <c r="D8" s="4" t="inlineStr">
        <is>
          <t>Électrocution</t>
        </is>
      </c>
      <c r="E8" s="4" t="inlineStr">
        <is>
          <t>Électricité</t>
        </is>
      </c>
      <c r="F8" s="4" t="n">
        <v>5</v>
      </c>
      <c r="G8" s="4" t="n">
        <v>4</v>
      </c>
      <c r="H8" s="4" t="n">
        <v>5</v>
      </c>
      <c r="I8" s="4">
        <f>G8*H8</f>
        <v/>
      </c>
      <c r="J8" s="4" t="inlineStr">
        <is>
          <t>LOTO systématique</t>
        </is>
      </c>
      <c r="K8" s="4" t="inlineStr">
        <is>
          <t>EPI diélectrique</t>
        </is>
      </c>
      <c r="L8" s="4">
        <f>IF(I8&gt;=20,"Critique",IF(I8&gt;=12,"Élevé",IF(I8&gt;=6,"Moyen","Faible")))</f>
        <v/>
      </c>
      <c r="M8" s="14" t="n">
        <v>45677</v>
      </c>
    </row>
    <row r="9">
      <c r="A9" s="7" t="inlineStr">
        <is>
          <t>RP-004</t>
        </is>
      </c>
      <c r="B9" s="7" t="inlineStr">
        <is>
          <t>Maintenance</t>
        </is>
      </c>
      <c r="C9" s="7" t="inlineStr">
        <is>
          <t>Mécanicien</t>
        </is>
      </c>
      <c r="D9" s="7" t="inlineStr">
        <is>
          <t>Coupure</t>
        </is>
      </c>
      <c r="E9" s="7" t="inlineStr">
        <is>
          <t>Machines</t>
        </is>
      </c>
      <c r="F9" s="7" t="n">
        <v>7</v>
      </c>
      <c r="G9" s="7" t="n">
        <v>3</v>
      </c>
      <c r="H9" s="7" t="n">
        <v>3</v>
      </c>
      <c r="I9" s="7">
        <f>G9*H9</f>
        <v/>
      </c>
      <c r="J9" s="7" t="inlineStr">
        <is>
          <t>Protège-mains</t>
        </is>
      </c>
      <c r="K9" s="7" t="inlineStr">
        <is>
          <t>Machine avec protecteur</t>
        </is>
      </c>
      <c r="L9" s="7">
        <f>IF(I9&gt;=20,"Critique",IF(I9&gt;=12,"Élevé",IF(I9&gt;=6,"Moyen","Faible")))</f>
        <v/>
      </c>
      <c r="M9" s="15" t="n">
        <v>45677</v>
      </c>
    </row>
    <row r="10">
      <c r="A10" s="4" t="inlineStr">
        <is>
          <t>RP-005</t>
        </is>
      </c>
      <c r="B10" s="4" t="inlineStr">
        <is>
          <t>Réception</t>
        </is>
      </c>
      <c r="C10" s="4" t="inlineStr">
        <is>
          <t>Réceptionniste</t>
        </is>
      </c>
      <c r="D10" s="4" t="inlineStr">
        <is>
          <t>Lombalgie</t>
        </is>
      </c>
      <c r="E10" s="4" t="inlineStr">
        <is>
          <t>Ergonomie</t>
        </is>
      </c>
      <c r="F10" s="4" t="n">
        <v>25</v>
      </c>
      <c r="G10" s="4" t="n">
        <v>2</v>
      </c>
      <c r="H10" s="4" t="n">
        <v>2</v>
      </c>
      <c r="I10" s="4">
        <f>G10*H10</f>
        <v/>
      </c>
      <c r="J10" s="4" t="inlineStr">
        <is>
          <t>Aménagement poste</t>
        </is>
      </c>
      <c r="K10" s="4" t="inlineStr">
        <is>
          <t>Chaise ergonomique</t>
        </is>
      </c>
      <c r="L10" s="4">
        <f>IF(I10&gt;=20,"Critique",IF(I10&gt;=12,"Élevé",IF(I10&gt;=6,"Moyen","Faible")))</f>
        <v/>
      </c>
      <c r="M10" s="14" t="n">
        <v>45689</v>
      </c>
    </row>
    <row r="11">
      <c r="A11" s="7" t="inlineStr">
        <is>
          <t>RP-006</t>
        </is>
      </c>
      <c r="B11" s="7" t="inlineStr">
        <is>
          <t>Sécurité</t>
        </is>
      </c>
      <c r="C11" s="7" t="inlineStr">
        <is>
          <t>Agent sécurité</t>
        </is>
      </c>
      <c r="D11" s="7" t="inlineStr">
        <is>
          <t>Stress chronique</t>
        </is>
      </c>
      <c r="E11" s="7" t="inlineStr">
        <is>
          <t>Stress</t>
        </is>
      </c>
      <c r="F11" s="7" t="n">
        <v>15</v>
      </c>
      <c r="G11" s="7" t="n">
        <v>3</v>
      </c>
      <c r="H11" s="7" t="n">
        <v>4</v>
      </c>
      <c r="I11" s="7">
        <f>G11*H11</f>
        <v/>
      </c>
      <c r="J11" s="7" t="inlineStr">
        <is>
          <t>Rotation postes</t>
        </is>
      </c>
      <c r="K11" s="7" t="inlineStr">
        <is>
          <t>Entretien psychologique</t>
        </is>
      </c>
      <c r="L11" s="7">
        <f>IF(I11&gt;=20,"Critique",IF(I11&gt;=12,"Élevé",IF(I11&gt;=6,"Moyen","Faible")))</f>
        <v/>
      </c>
      <c r="M11" s="15" t="n">
        <v>45689</v>
      </c>
    </row>
    <row r="12">
      <c r="A12" s="4" t="inlineStr">
        <is>
          <t>RP-007</t>
        </is>
      </c>
      <c r="B12" s="4" t="inlineStr">
        <is>
          <t>Cuisine &amp; Restauration</t>
        </is>
      </c>
      <c r="C12" s="4" t="inlineStr">
        <is>
          <t>Serveur</t>
        </is>
      </c>
      <c r="D12" s="4" t="inlineStr">
        <is>
          <t>Glissade</t>
        </is>
      </c>
      <c r="E12" s="4" t="inlineStr">
        <is>
          <t>Circulation</t>
        </is>
      </c>
      <c r="F12" s="4" t="n">
        <v>12</v>
      </c>
      <c r="G12" s="4" t="n">
        <v>3</v>
      </c>
      <c r="H12" s="4" t="n">
        <v>2</v>
      </c>
      <c r="I12" s="4">
        <f>G12*H12</f>
        <v/>
      </c>
      <c r="J12" s="4" t="inlineStr">
        <is>
          <t>Revêtement antidérapant</t>
        </is>
      </c>
      <c r="K12" s="4" t="inlineStr">
        <is>
          <t>Signalisation</t>
        </is>
      </c>
      <c r="L12" s="4">
        <f>IF(I12&gt;=20,"Critique",IF(I12&gt;=12,"Élevé",IF(I12&gt;=6,"Moyen","Faible")))</f>
        <v/>
      </c>
      <c r="M12" s="14" t="n">
        <v>45698</v>
      </c>
    </row>
    <row r="13">
      <c r="A13" s="7" t="inlineStr">
        <is>
          <t>RP-008</t>
        </is>
      </c>
      <c r="B13" s="7" t="inlineStr">
        <is>
          <t>Maintenance</t>
        </is>
      </c>
      <c r="C13" s="7" t="inlineStr">
        <is>
          <t>Plombier</t>
        </is>
      </c>
      <c r="D13" s="7" t="inlineStr">
        <is>
          <t>Intoxication</t>
        </is>
      </c>
      <c r="E13" s="7" t="inlineStr">
        <is>
          <t>Produits chimiques</t>
        </is>
      </c>
      <c r="F13" s="7" t="n">
        <v>4</v>
      </c>
      <c r="G13" s="7" t="n">
        <v>3</v>
      </c>
      <c r="H13" s="7" t="n">
        <v>4</v>
      </c>
      <c r="I13" s="7">
        <f>G13*H13</f>
        <v/>
      </c>
      <c r="J13" s="7" t="inlineStr">
        <is>
          <t>Masque respiratoire</t>
        </is>
      </c>
      <c r="K13" s="7" t="inlineStr">
        <is>
          <t>Ventilation locale</t>
        </is>
      </c>
      <c r="L13" s="7">
        <f>IF(I13&gt;=20,"Critique",IF(I13&gt;=12,"Élevé",IF(I13&gt;=6,"Moyen","Faible")))</f>
        <v/>
      </c>
      <c r="M13" s="15" t="n">
        <v>45703</v>
      </c>
    </row>
    <row r="14">
      <c r="A14" s="4" t="inlineStr">
        <is>
          <t>RP-009</t>
        </is>
      </c>
      <c r="B14" s="4" t="inlineStr">
        <is>
          <t>Spa &amp; Bien-être</t>
        </is>
      </c>
      <c r="C14" s="4" t="inlineStr">
        <is>
          <t>Esthéticienne</t>
        </is>
      </c>
      <c r="D14" s="4" t="inlineStr">
        <is>
          <t>Allergie cutanée</t>
        </is>
      </c>
      <c r="E14" s="4" t="inlineStr">
        <is>
          <t>Produits chimiques</t>
        </is>
      </c>
      <c r="F14" s="4" t="n">
        <v>6</v>
      </c>
      <c r="G14" s="4" t="n">
        <v>2</v>
      </c>
      <c r="H14" s="4" t="n">
        <v>2</v>
      </c>
      <c r="I14" s="4">
        <f>G14*H14</f>
        <v/>
      </c>
      <c r="J14" s="4" t="inlineStr">
        <is>
          <t>Gants nitrile</t>
        </is>
      </c>
      <c r="K14" s="4" t="inlineStr">
        <is>
          <t>Fiche données produit</t>
        </is>
      </c>
      <c r="L14" s="4">
        <f>IF(I14&gt;=20,"Critique",IF(I14&gt;=12,"Élevé",IF(I14&gt;=6,"Moyen","Faible")))</f>
        <v/>
      </c>
      <c r="M14" s="14" t="n">
        <v>45717</v>
      </c>
    </row>
    <row r="15">
      <c r="A15" s="7" t="inlineStr">
        <is>
          <t>RP-010</t>
        </is>
      </c>
      <c r="B15" s="7" t="inlineStr">
        <is>
          <t>Tous départements</t>
        </is>
      </c>
      <c r="C15" s="7" t="inlineStr">
        <is>
          <t>Tous</t>
        </is>
      </c>
      <c r="D15" s="7" t="inlineStr">
        <is>
          <t>Incendie</t>
        </is>
      </c>
      <c r="E15" s="7" t="inlineStr">
        <is>
          <t>Circulation</t>
        </is>
      </c>
      <c r="F15" s="7" t="n">
        <v>154</v>
      </c>
      <c r="G15" s="7" t="n">
        <v>1</v>
      </c>
      <c r="H15" s="7" t="n">
        <v>5</v>
      </c>
      <c r="I15" s="7">
        <f>G15*H15</f>
        <v/>
      </c>
      <c r="J15" s="7" t="inlineStr">
        <is>
          <t>Extincteurs, alarmes</t>
        </is>
      </c>
      <c r="K15" s="7" t="inlineStr">
        <is>
          <t>Plan évacuation</t>
        </is>
      </c>
      <c r="L15" s="7">
        <f>IF(I15&gt;=20,"Critique",IF(I15&gt;=12,"Élevé",IF(I15&gt;=6,"Moyen","Faible")))</f>
        <v/>
      </c>
      <c r="M15" s="15" t="n">
        <v>45667</v>
      </c>
    </row>
    <row r="16">
      <c r="A16" s="4" t="inlineStr">
        <is>
          <t>RP-011</t>
        </is>
      </c>
      <c r="B16" s="4" t="inlineStr">
        <is>
          <t>Tous départements</t>
        </is>
      </c>
      <c r="C16" s="4" t="inlineStr">
        <is>
          <t>Tous</t>
        </is>
      </c>
      <c r="D16" s="4" t="inlineStr">
        <is>
          <t>Pandémie</t>
        </is>
      </c>
      <c r="E16" s="4" t="inlineStr">
        <is>
          <t>Agents biologiques</t>
        </is>
      </c>
      <c r="F16" s="4" t="n">
        <v>154</v>
      </c>
      <c r="G16" s="4" t="n">
        <v>2</v>
      </c>
      <c r="H16" s="4" t="n">
        <v>4</v>
      </c>
      <c r="I16" s="4">
        <f>G16*H16</f>
        <v/>
      </c>
      <c r="J16" s="4" t="inlineStr">
        <is>
          <t>Protocole sanitaire</t>
        </is>
      </c>
      <c r="K16" s="4" t="inlineStr">
        <is>
          <t>Masks, gel hydroalcoolique</t>
        </is>
      </c>
      <c r="L16" s="4">
        <f>IF(I16&gt;=20,"Critique",IF(I16&gt;=12,"Élevé",IF(I16&gt;=6,"Moyen","Faible")))</f>
        <v/>
      </c>
      <c r="M16" s="14" t="n">
        <v>45667</v>
      </c>
    </row>
    <row r="17">
      <c r="A17" s="7" t="inlineStr">
        <is>
          <t>RP-012</t>
        </is>
      </c>
      <c r="B17" s="7" t="inlineStr">
        <is>
          <t>Commerce</t>
        </is>
      </c>
      <c r="C17" s="7" t="inlineStr">
        <is>
          <t>Vendeur</t>
        </is>
      </c>
      <c r="D17" s="7" t="inlineStr">
        <is>
          <t>TMS épaule</t>
        </is>
      </c>
      <c r="E17" s="7" t="inlineStr">
        <is>
          <t>Manutention</t>
        </is>
      </c>
      <c r="F17" s="7" t="n">
        <v>10</v>
      </c>
      <c r="G17" s="7" t="n">
        <v>3</v>
      </c>
      <c r="H17" s="7" t="n">
        <v>2</v>
      </c>
      <c r="I17" s="7">
        <f>G17*H17</f>
        <v/>
      </c>
      <c r="J17" s="7" t="inlineStr">
        <is>
          <t>Formation manutention</t>
        </is>
      </c>
      <c r="K17" s="7" t="inlineStr">
        <is>
          <t>Chariot aide</t>
        </is>
      </c>
      <c r="L17" s="7">
        <f>IF(I17&gt;=20,"Critique",IF(I17&gt;=12,"Élevé",IF(I17&gt;=6,"Moyen","Faible")))</f>
        <v/>
      </c>
      <c r="M17" s="15" t="n">
        <v>45731</v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>
        <f>IF(G18="","",G18*H18)</f>
        <v/>
      </c>
      <c r="J18" s="4" t="n"/>
      <c r="K18" s="4" t="n"/>
      <c r="L18" s="4">
        <f>IF(I18="","",IF(I18&gt;=20,"Critique",IF(I18&gt;=12,"Élevé",IF(I18&gt;=6,"Moyen","Faible"))))</f>
        <v/>
      </c>
      <c r="M18" s="4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>
        <f>IF(G19="","",G19*H19)</f>
        <v/>
      </c>
      <c r="J19" s="7" t="n"/>
      <c r="K19" s="7" t="n"/>
      <c r="L19" s="7">
        <f>IF(I19="","",IF(I19&gt;=20,"Critique",IF(I19&gt;=12,"Élevé",IF(I19&gt;=6,"Moyen","Faible"))))</f>
        <v/>
      </c>
      <c r="M19" s="7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>
        <f>IF(G20="","",G20*H20)</f>
        <v/>
      </c>
      <c r="J20" s="4" t="n"/>
      <c r="K20" s="4" t="n"/>
      <c r="L20" s="4">
        <f>IF(I20="","",IF(I20&gt;=20,"Critique",IF(I20&gt;=12,"Élevé",IF(I20&gt;=6,"Moyen","Faible"))))</f>
        <v/>
      </c>
      <c r="M20" s="4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>
        <f>IF(G21="","",G21*H21)</f>
        <v/>
      </c>
      <c r="J21" s="7" t="n"/>
      <c r="K21" s="7" t="n"/>
      <c r="L21" s="7">
        <f>IF(I21="","",IF(I21&gt;=20,"Critique",IF(I21&gt;=12,"Élevé",IF(I21&gt;=6,"Moyen","Faible"))))</f>
        <v/>
      </c>
      <c r="M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>
        <f>IF(G22="","",G22*H22)</f>
        <v/>
      </c>
      <c r="J22" s="4" t="n"/>
      <c r="K22" s="4" t="n"/>
      <c r="L22" s="4">
        <f>IF(I22="","",IF(I22&gt;=20,"Critique",IF(I22&gt;=12,"Élevé",IF(I22&gt;=6,"Moyen","Faible"))))</f>
        <v/>
      </c>
      <c r="M22" s="4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>
        <f>IF(G23="","",G23*H23)</f>
        <v/>
      </c>
      <c r="J23" s="7" t="n"/>
      <c r="K23" s="7" t="n"/>
      <c r="L23" s="7">
        <f>IF(I23="","",IF(I23&gt;=20,"Critique",IF(I23&gt;=12,"Élevé",IF(I23&gt;=6,"Moyen","Faible"))))</f>
        <v/>
      </c>
      <c r="M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>
        <f>IF(G24="","",G24*H24)</f>
        <v/>
      </c>
      <c r="J24" s="4" t="n"/>
      <c r="K24" s="4" t="n"/>
      <c r="L24" s="4">
        <f>IF(I24="","",IF(I24&gt;=20,"Critique",IF(I24&gt;=12,"Élevé",IF(I24&gt;=6,"Moyen","Faible"))))</f>
        <v/>
      </c>
      <c r="M24" s="4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>
        <f>IF(G25="","",G25*H25)</f>
        <v/>
      </c>
      <c r="J25" s="7" t="n"/>
      <c r="K25" s="7" t="n"/>
      <c r="L25" s="7">
        <f>IF(I25="","",IF(I25&gt;=20,"Critique",IF(I25&gt;=12,"Élevé",IF(I25&gt;=6,"Moyen","Faible"))))</f>
        <v/>
      </c>
      <c r="M25" s="7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>
        <f>IF(G26="","",G26*H26)</f>
        <v/>
      </c>
      <c r="J26" s="4" t="n"/>
      <c r="K26" s="4" t="n"/>
      <c r="L26" s="4">
        <f>IF(I26="","",IF(I26&gt;=20,"Critique",IF(I26&gt;=12,"Élevé",IF(I26&gt;=6,"Moyen","Faible"))))</f>
        <v/>
      </c>
      <c r="M26" s="4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>
        <f>IF(G27="","",G27*H27)</f>
        <v/>
      </c>
      <c r="J27" s="7" t="n"/>
      <c r="K27" s="7" t="n"/>
      <c r="L27" s="7">
        <f>IF(I27="","",IF(I27&gt;=20,"Critique",IF(I27&gt;=12,"Élevé",IF(I27&gt;=6,"Moyen","Faible"))))</f>
        <v/>
      </c>
      <c r="M27" s="7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>
        <f>IF(G28="","",G28*H28)</f>
        <v/>
      </c>
      <c r="J28" s="4" t="n"/>
      <c r="K28" s="4" t="n"/>
      <c r="L28" s="4">
        <f>IF(I28="","",IF(I28&gt;=20,"Critique",IF(I28&gt;=12,"Élevé",IF(I28&gt;=6,"Moyen","Faible"))))</f>
        <v/>
      </c>
      <c r="M28" s="4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>
        <f>IF(G29="","",G29*H29)</f>
        <v/>
      </c>
      <c r="J29" s="7" t="n"/>
      <c r="K29" s="7" t="n"/>
      <c r="L29" s="7">
        <f>IF(I29="","",IF(I29&gt;=20,"Critique",IF(I29&gt;=12,"Élevé",IF(I29&gt;=6,"Moyen","Faible"))))</f>
        <v/>
      </c>
      <c r="M29" s="7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>
        <f>IF(G30="","",G30*H30)</f>
        <v/>
      </c>
      <c r="J30" s="4" t="n"/>
      <c r="K30" s="4" t="n"/>
      <c r="L30" s="4">
        <f>IF(I30="","",IF(I30&gt;=20,"Critique",IF(I30&gt;=12,"Élevé",IF(I30&gt;=6,"Moyen","Faible"))))</f>
        <v/>
      </c>
      <c r="M30" s="4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>
        <f>IF(G31="","",G31*H31)</f>
        <v/>
      </c>
      <c r="J31" s="7" t="n"/>
      <c r="K31" s="7" t="n"/>
      <c r="L31" s="7">
        <f>IF(I31="","",IF(I31&gt;=20,"Critique",IF(I31&gt;=12,"Élevé",IF(I31&gt;=6,"Moyen","Faible"))))</f>
        <v/>
      </c>
      <c r="M31" s="7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>
        <f>IF(G32="","",G32*H32)</f>
        <v/>
      </c>
      <c r="J32" s="4" t="n"/>
      <c r="K32" s="4" t="n"/>
      <c r="L32" s="4">
        <f>IF(I32="","",IF(I32&gt;=20,"Critique",IF(I32&gt;=12,"Élevé",IF(I32&gt;=6,"Moyen","Faible"))))</f>
        <v/>
      </c>
      <c r="M32" s="4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>
        <f>IF(G33="","",G33*H33)</f>
        <v/>
      </c>
      <c r="J33" s="7" t="n"/>
      <c r="K33" s="7" t="n"/>
      <c r="L33" s="7">
        <f>IF(I33="","",IF(I33&gt;=20,"Critique",IF(I33&gt;=12,"Élevé",IF(I33&gt;=6,"Moyen","Faible"))))</f>
        <v/>
      </c>
      <c r="M33" s="7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>
        <f>IF(G34="","",G34*H34)</f>
        <v/>
      </c>
      <c r="J34" s="4" t="n"/>
      <c r="K34" s="4" t="n"/>
      <c r="L34" s="4">
        <f>IF(I34="","",IF(I34&gt;=20,"Critique",IF(I34&gt;=12,"Élevé",IF(I34&gt;=6,"Moyen","Faible"))))</f>
        <v/>
      </c>
      <c r="M34" s="4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>
        <f>IF(G35="","",G35*H35)</f>
        <v/>
      </c>
      <c r="J35" s="7" t="n"/>
      <c r="K35" s="7" t="n"/>
      <c r="L35" s="7">
        <f>IF(I35="","",IF(I35&gt;=20,"Critique",IF(I35&gt;=12,"Élevé",IF(I35&gt;=6,"Moyen","Faible"))))</f>
        <v/>
      </c>
      <c r="M35" s="7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>
        <f>IF(G36="","",G36*H36)</f>
        <v/>
      </c>
      <c r="J36" s="4" t="n"/>
      <c r="K36" s="4" t="n"/>
      <c r="L36" s="4">
        <f>IF(I36="","",IF(I36&gt;=20,"Critique",IF(I36&gt;=12,"Élevé",IF(I36&gt;=6,"Moyen","Faible"))))</f>
        <v/>
      </c>
      <c r="M36" s="4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>
        <f>IF(G37="","",G37*H37)</f>
        <v/>
      </c>
      <c r="J37" s="7" t="n"/>
      <c r="K37" s="7" t="n"/>
      <c r="L37" s="7">
        <f>IF(I37="","",IF(I37&gt;=20,"Critique",IF(I37&gt;=12,"Élevé",IF(I37&gt;=6,"Moyen","Faible"))))</f>
        <v/>
      </c>
      <c r="M37" s="7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>
        <f>IF(G38="","",G38*H38)</f>
        <v/>
      </c>
      <c r="J38" s="4" t="n"/>
      <c r="K38" s="4" t="n"/>
      <c r="L38" s="4">
        <f>IF(I38="","",IF(I38&gt;=20,"Critique",IF(I38&gt;=12,"Élevé",IF(I38&gt;=6,"Moyen","Faible"))))</f>
        <v/>
      </c>
      <c r="M38" s="4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>
        <f>IF(G39="","",G39*H39)</f>
        <v/>
      </c>
      <c r="J39" s="7" t="n"/>
      <c r="K39" s="7" t="n"/>
      <c r="L39" s="7">
        <f>IF(I39="","",IF(I39&gt;=20,"Critique",IF(I39&gt;=12,"Élevé",IF(I39&gt;=6,"Moyen","Faible"))))</f>
        <v/>
      </c>
      <c r="M39" s="7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>
        <f>IF(G40="","",G40*H40)</f>
        <v/>
      </c>
      <c r="J40" s="4" t="n"/>
      <c r="K40" s="4" t="n"/>
      <c r="L40" s="4">
        <f>IF(I40="","",IF(I40&gt;=20,"Critique",IF(I40&gt;=12,"Élevé",IF(I40&gt;=6,"Moyen","Faible"))))</f>
        <v/>
      </c>
      <c r="M40" s="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>
        <f>IF(G41="","",G41*H41)</f>
        <v/>
      </c>
      <c r="J41" s="7" t="n"/>
      <c r="K41" s="7" t="n"/>
      <c r="L41" s="7">
        <f>IF(I41="","",IF(I41&gt;=20,"Critique",IF(I41&gt;=12,"Élevé",IF(I41&gt;=6,"Moyen","Faible"))))</f>
        <v/>
      </c>
      <c r="M41" s="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>
        <f>IF(G42="","",G42*H42)</f>
        <v/>
      </c>
      <c r="J42" s="4" t="n"/>
      <c r="K42" s="4" t="n"/>
      <c r="L42" s="4">
        <f>IF(I42="","",IF(I42&gt;=20,"Critique",IF(I42&gt;=12,"Élevé",IF(I42&gt;=6,"Moyen","Faible"))))</f>
        <v/>
      </c>
      <c r="M42" s="4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>
        <f>IF(G43="","",G43*H43)</f>
        <v/>
      </c>
      <c r="J43" s="7" t="n"/>
      <c r="K43" s="7" t="n"/>
      <c r="L43" s="7">
        <f>IF(I43="","",IF(I43&gt;=20,"Critique",IF(I43&gt;=12,"Élevé",IF(I43&gt;=6,"Moyen","Faible"))))</f>
        <v/>
      </c>
      <c r="M43" s="7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>
        <f>IF(G44="","",G44*H44)</f>
        <v/>
      </c>
      <c r="J44" s="4" t="n"/>
      <c r="K44" s="4" t="n"/>
      <c r="L44" s="4">
        <f>IF(I44="","",IF(I44&gt;=20,"Critique",IF(I44&gt;=12,"Élevé",IF(I44&gt;=6,"Moyen","Faible"))))</f>
        <v/>
      </c>
      <c r="M44" s="4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>
        <f>IF(G45="","",G45*H45)</f>
        <v/>
      </c>
      <c r="J45" s="7" t="n"/>
      <c r="K45" s="7" t="n"/>
      <c r="L45" s="7">
        <f>IF(I45="","",IF(I45&gt;=20,"Critique",IF(I45&gt;=12,"Élevé",IF(I45&gt;=6,"Moyen","Faible"))))</f>
        <v/>
      </c>
      <c r="M45" s="7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>
        <f>IF(G46="","",G46*H46)</f>
        <v/>
      </c>
      <c r="J46" s="4" t="n"/>
      <c r="K46" s="4" t="n"/>
      <c r="L46" s="4">
        <f>IF(I46="","",IF(I46&gt;=20,"Critique",IF(I46&gt;=12,"Élevé",IF(I46&gt;=6,"Moyen","Faible"))))</f>
        <v/>
      </c>
      <c r="M46" s="4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>
        <f>IF(G47="","",G47*H47)</f>
        <v/>
      </c>
      <c r="J47" s="7" t="n"/>
      <c r="K47" s="7" t="n"/>
      <c r="L47" s="7">
        <f>IF(I47="","",IF(I47&gt;=20,"Critique",IF(I47&gt;=12,"Élevé",IF(I47&gt;=6,"Moyen","Faible"))))</f>
        <v/>
      </c>
      <c r="M47" s="7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>
        <f>IF(G48="","",G48*H48)</f>
        <v/>
      </c>
      <c r="J48" s="4" t="n"/>
      <c r="K48" s="4" t="n"/>
      <c r="L48" s="4">
        <f>IF(I48="","",IF(I48&gt;=20,"Critique",IF(I48&gt;=12,"Élevé",IF(I48&gt;=6,"Moyen","Faible"))))</f>
        <v/>
      </c>
      <c r="M48" s="4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>
        <f>IF(G49="","",G49*H49)</f>
        <v/>
      </c>
      <c r="J49" s="7" t="n"/>
      <c r="K49" s="7" t="n"/>
      <c r="L49" s="7">
        <f>IF(I49="","",IF(I49&gt;=20,"Critique",IF(I49&gt;=12,"Élevé",IF(I49&gt;=6,"Moyen","Faible"))))</f>
        <v/>
      </c>
      <c r="M49" s="7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>
        <f>IF(G50="","",G50*H50)</f>
        <v/>
      </c>
      <c r="J50" s="4" t="n"/>
      <c r="K50" s="4" t="n"/>
      <c r="L50" s="4">
        <f>IF(I50="","",IF(I50&gt;=20,"Critique",IF(I50&gt;=12,"Élevé",IF(I50&gt;=6,"Moyen","Faible"))))</f>
        <v/>
      </c>
      <c r="M50" s="4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>
        <f>IF(G51="","",G51*H51)</f>
        <v/>
      </c>
      <c r="J51" s="7" t="n"/>
      <c r="K51" s="7" t="n"/>
      <c r="L51" s="7">
        <f>IF(I51="","",IF(I51&gt;=20,"Critique",IF(I51&gt;=12,"Élevé",IF(I51&gt;=6,"Moyen","Faible"))))</f>
        <v/>
      </c>
      <c r="M51" s="7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>
        <f>IF(G52="","",G52*H52)</f>
        <v/>
      </c>
      <c r="J52" s="4" t="n"/>
      <c r="K52" s="4" t="n"/>
      <c r="L52" s="4">
        <f>IF(I52="","",IF(I52&gt;=20,"Critique",IF(I52&gt;=12,"Élevé",IF(I52&gt;=6,"Moyen","Faible"))))</f>
        <v/>
      </c>
      <c r="M52" s="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>
        <f>IF(G53="","",G53*H53)</f>
        <v/>
      </c>
      <c r="J53" s="7" t="n"/>
      <c r="K53" s="7" t="n"/>
      <c r="L53" s="7">
        <f>IF(I53="","",IF(I53&gt;=20,"Critique",IF(I53&gt;=12,"Élevé",IF(I53&gt;=6,"Moyen","Faible"))))</f>
        <v/>
      </c>
      <c r="M53" s="7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>
        <f>IF(G54="","",G54*H54)</f>
        <v/>
      </c>
      <c r="J54" s="4" t="n"/>
      <c r="K54" s="4" t="n"/>
      <c r="L54" s="4">
        <f>IF(I54="","",IF(I54&gt;=20,"Critique",IF(I54&gt;=12,"Élevé",IF(I54&gt;=6,"Moyen","Faible"))))</f>
        <v/>
      </c>
      <c r="M54" s="4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>
        <f>IF(G55="","",G55*H55)</f>
        <v/>
      </c>
      <c r="J55" s="7" t="n"/>
      <c r="K55" s="7" t="n"/>
      <c r="L55" s="7">
        <f>IF(I55="","",IF(I55&gt;=20,"Critique",IF(I55&gt;=12,"Élevé",IF(I55&gt;=6,"Moyen","Faible"))))</f>
        <v/>
      </c>
      <c r="M55" s="7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>
        <f>IF(G56="","",G56*H56)</f>
        <v/>
      </c>
      <c r="J56" s="4" t="n"/>
      <c r="K56" s="4" t="n"/>
      <c r="L56" s="4">
        <f>IF(I56="","",IF(I56&gt;=20,"Critique",IF(I56&gt;=12,"Élevé",IF(I56&gt;=6,"Moyen","Faible"))))</f>
        <v/>
      </c>
      <c r="M56" s="4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>
        <f>IF(G57="","",G57*H57)</f>
        <v/>
      </c>
      <c r="J57" s="7" t="n"/>
      <c r="K57" s="7" t="n"/>
      <c r="L57" s="7">
        <f>IF(I57="","",IF(I57&gt;=20,"Critique",IF(I57&gt;=12,"Élevé",IF(I57&gt;=6,"Moyen","Faible"))))</f>
        <v/>
      </c>
      <c r="M57" s="7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>
        <f>IF(G58="","",G58*H58)</f>
        <v/>
      </c>
      <c r="J58" s="4" t="n"/>
      <c r="K58" s="4" t="n"/>
      <c r="L58" s="4">
        <f>IF(I58="","",IF(I58&gt;=20,"Critique",IF(I58&gt;=12,"Élevé",IF(I58&gt;=6,"Moyen","Faible"))))</f>
        <v/>
      </c>
      <c r="M58" s="4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>
        <f>IF(G59="","",G59*H59)</f>
        <v/>
      </c>
      <c r="J59" s="7" t="n"/>
      <c r="K59" s="7" t="n"/>
      <c r="L59" s="7">
        <f>IF(I59="","",IF(I59&gt;=20,"Critique",IF(I59&gt;=12,"Élevé",IF(I59&gt;=6,"Moyen","Faible"))))</f>
        <v/>
      </c>
      <c r="M59" s="7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>
        <f>IF(G60="","",G60*H60)</f>
        <v/>
      </c>
      <c r="J60" s="4" t="n"/>
      <c r="K60" s="4" t="n"/>
      <c r="L60" s="4">
        <f>IF(I60="","",IF(I60&gt;=20,"Critique",IF(I60&gt;=12,"Élevé",IF(I60&gt;=6,"Moyen","Faible"))))</f>
        <v/>
      </c>
      <c r="M60" s="4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>
        <f>IF(G61="","",G61*H61)</f>
        <v/>
      </c>
      <c r="J61" s="7" t="n"/>
      <c r="K61" s="7" t="n"/>
      <c r="L61" s="7">
        <f>IF(I61="","",IF(I61&gt;=20,"Critique",IF(I61&gt;=12,"Élevé",IF(I61&gt;=6,"Moyen","Faible"))))</f>
        <v/>
      </c>
      <c r="M61" s="7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>
        <f>IF(G62="","",G62*H62)</f>
        <v/>
      </c>
      <c r="J62" s="4" t="n"/>
      <c r="K62" s="4" t="n"/>
      <c r="L62" s="4">
        <f>IF(I62="","",IF(I62&gt;=20,"Critique",IF(I62&gt;=12,"Élevé",IF(I62&gt;=6,"Moyen","Faible"))))</f>
        <v/>
      </c>
      <c r="M62" s="4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>
        <f>IF(G63="","",G63*H63)</f>
        <v/>
      </c>
      <c r="J63" s="7" t="n"/>
      <c r="K63" s="7" t="n"/>
      <c r="L63" s="7">
        <f>IF(I63="","",IF(I63&gt;=20,"Critique",IF(I63&gt;=12,"Élevé",IF(I63&gt;=6,"Moyen","Faible"))))</f>
        <v/>
      </c>
      <c r="M63" s="7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>
        <f>IF(G64="","",G64*H64)</f>
        <v/>
      </c>
      <c r="J64" s="4" t="n"/>
      <c r="K64" s="4" t="n"/>
      <c r="L64" s="4">
        <f>IF(I64="","",IF(I64&gt;=20,"Critique",IF(I64&gt;=12,"Élevé",IF(I64&gt;=6,"Moyen","Faible"))))</f>
        <v/>
      </c>
      <c r="M64" s="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>
        <f>IF(G65="","",G65*H65)</f>
        <v/>
      </c>
      <c r="J65" s="7" t="n"/>
      <c r="K65" s="7" t="n"/>
      <c r="L65" s="7">
        <f>IF(I65="","",IF(I65&gt;=20,"Critique",IF(I65&gt;=12,"Élevé",IF(I65&gt;=6,"Moyen","Faible"))))</f>
        <v/>
      </c>
      <c r="M65" s="7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>
        <f>IF(G66="","",G66*H66)</f>
        <v/>
      </c>
      <c r="J66" s="4" t="n"/>
      <c r="K66" s="4" t="n"/>
      <c r="L66" s="4">
        <f>IF(I66="","",IF(I66&gt;=20,"Critique",IF(I66&gt;=12,"Élevé",IF(I66&gt;=6,"Moyen","Faible"))))</f>
        <v/>
      </c>
      <c r="M66" s="4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>
        <f>IF(G67="","",G67*H67)</f>
        <v/>
      </c>
      <c r="J67" s="7" t="n"/>
      <c r="K67" s="7" t="n"/>
      <c r="L67" s="7">
        <f>IF(I67="","",IF(I67&gt;=20,"Critique",IF(I67&gt;=12,"Élevé",IF(I67&gt;=6,"Moyen","Faible"))))</f>
        <v/>
      </c>
      <c r="M67" s="7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>
        <f>IF(G68="","",G68*H68)</f>
        <v/>
      </c>
      <c r="J68" s="4" t="n"/>
      <c r="K68" s="4" t="n"/>
      <c r="L68" s="4">
        <f>IF(I68="","",IF(I68&gt;=20,"Critique",IF(I68&gt;=12,"Élevé",IF(I68&gt;=6,"Moyen","Faible"))))</f>
        <v/>
      </c>
      <c r="M68" s="4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>
        <f>IF(G69="","",G69*H69)</f>
        <v/>
      </c>
      <c r="J69" s="7" t="n"/>
      <c r="K69" s="7" t="n"/>
      <c r="L69" s="7">
        <f>IF(I69="","",IF(I69&gt;=20,"Critique",IF(I69&gt;=12,"Élevé",IF(I69&gt;=6,"Moyen","Faible"))))</f>
        <v/>
      </c>
      <c r="M69" s="7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>
        <f>IF(G70="","",G70*H70)</f>
        <v/>
      </c>
      <c r="J70" s="4" t="n"/>
      <c r="K70" s="4" t="n"/>
      <c r="L70" s="4">
        <f>IF(I70="","",IF(I70&gt;=20,"Critique",IF(I70&gt;=12,"Élevé",IF(I70&gt;=6,"Moyen","Faible"))))</f>
        <v/>
      </c>
      <c r="M70" s="4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>
        <f>IF(G71="","",G71*H71)</f>
        <v/>
      </c>
      <c r="J71" s="7" t="n"/>
      <c r="K71" s="7" t="n"/>
      <c r="L71" s="7">
        <f>IF(I71="","",IF(I71&gt;=20,"Critique",IF(I71&gt;=12,"Élevé",IF(I71&gt;=6,"Moyen","Faible"))))</f>
        <v/>
      </c>
      <c r="M71" s="7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>
        <f>IF(G72="","",G72*H72)</f>
        <v/>
      </c>
      <c r="J72" s="4" t="n"/>
      <c r="K72" s="4" t="n"/>
      <c r="L72" s="4">
        <f>IF(I72="","",IF(I72&gt;=20,"Critique",IF(I72&gt;=12,"Élevé",IF(I72&gt;=6,"Moyen","Faible"))))</f>
        <v/>
      </c>
      <c r="M72" s="4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>
        <f>IF(G73="","",G73*H73)</f>
        <v/>
      </c>
      <c r="J73" s="7" t="n"/>
      <c r="K73" s="7" t="n"/>
      <c r="L73" s="7">
        <f>IF(I73="","",IF(I73&gt;=20,"Critique",IF(I73&gt;=12,"Élevé",IF(I73&gt;=6,"Moyen","Faible"))))</f>
        <v/>
      </c>
      <c r="M73" s="7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>
        <f>IF(G74="","",G74*H74)</f>
        <v/>
      </c>
      <c r="J74" s="4" t="n"/>
      <c r="K74" s="4" t="n"/>
      <c r="L74" s="4">
        <f>IF(I74="","",IF(I74&gt;=20,"Critique",IF(I74&gt;=12,"Élevé",IF(I74&gt;=6,"Moyen","Faible"))))</f>
        <v/>
      </c>
      <c r="M74" s="4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>
        <f>IF(G75="","",G75*H75)</f>
        <v/>
      </c>
      <c r="J75" s="7" t="n"/>
      <c r="K75" s="7" t="n"/>
      <c r="L75" s="7">
        <f>IF(I75="","",IF(I75&gt;=20,"Critique",IF(I75&gt;=12,"Élevé",IF(I75&gt;=6,"Moyen","Faible"))))</f>
        <v/>
      </c>
      <c r="M75" s="7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>
        <f>IF(G76="","",G76*H76)</f>
        <v/>
      </c>
      <c r="J76" s="4" t="n"/>
      <c r="K76" s="4" t="n"/>
      <c r="L76" s="4">
        <f>IF(I76="","",IF(I76&gt;=20,"Critique",IF(I76&gt;=12,"Élevé",IF(I76&gt;=6,"Moyen","Faible"))))</f>
        <v/>
      </c>
      <c r="M76" s="4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>
        <f>IF(G77="","",G77*H77)</f>
        <v/>
      </c>
      <c r="J77" s="7" t="n"/>
      <c r="K77" s="7" t="n"/>
      <c r="L77" s="7">
        <f>IF(I77="","",IF(I77&gt;=20,"Critique",IF(I77&gt;=12,"Élevé",IF(I77&gt;=6,"Moyen","Faible"))))</f>
        <v/>
      </c>
      <c r="M77" s="7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>
        <f>IF(G78="","",G78*H78)</f>
        <v/>
      </c>
      <c r="J78" s="4" t="n"/>
      <c r="K78" s="4" t="n"/>
      <c r="L78" s="4">
        <f>IF(I78="","",IF(I78&gt;=20,"Critique",IF(I78&gt;=12,"Élevé",IF(I78&gt;=6,"Moyen","Faible"))))</f>
        <v/>
      </c>
      <c r="M78" s="4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>
        <f>IF(G79="","",G79*H79)</f>
        <v/>
      </c>
      <c r="J79" s="7" t="n"/>
      <c r="K79" s="7" t="n"/>
      <c r="L79" s="7">
        <f>IF(I79="","",IF(I79&gt;=20,"Critique",IF(I79&gt;=12,"Élevé",IF(I79&gt;=6,"Moyen","Faible"))))</f>
        <v/>
      </c>
      <c r="M79" s="7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>
        <f>IF(G80="","",G80*H80)</f>
        <v/>
      </c>
      <c r="J80" s="4" t="n"/>
      <c r="K80" s="4" t="n"/>
      <c r="L80" s="4">
        <f>IF(I80="","",IF(I80&gt;=20,"Critique",IF(I80&gt;=12,"Élevé",IF(I80&gt;=6,"Moyen","Faible"))))</f>
        <v/>
      </c>
      <c r="M80" s="4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>
        <f>IF(G81="","",G81*H81)</f>
        <v/>
      </c>
      <c r="J81" s="7" t="n"/>
      <c r="K81" s="7" t="n"/>
      <c r="L81" s="7">
        <f>IF(I81="","",IF(I81&gt;=20,"Critique",IF(I81&gt;=12,"Élevé",IF(I81&gt;=6,"Moyen","Faible"))))</f>
        <v/>
      </c>
      <c r="M81" s="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>
        <f>IF(G82="","",G82*H82)</f>
        <v/>
      </c>
      <c r="J82" s="4" t="n"/>
      <c r="K82" s="4" t="n"/>
      <c r="L82" s="4">
        <f>IF(I82="","",IF(I82&gt;=20,"Critique",IF(I82&gt;=12,"Élevé",IF(I82&gt;=6,"Moyen","Faible"))))</f>
        <v/>
      </c>
      <c r="M82" s="4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>
        <f>IF(G83="","",G83*H83)</f>
        <v/>
      </c>
      <c r="J83" s="7" t="n"/>
      <c r="K83" s="7" t="n"/>
      <c r="L83" s="7">
        <f>IF(I83="","",IF(I83&gt;=20,"Critique",IF(I83&gt;=12,"Élevé",IF(I83&gt;=6,"Moyen","Faible"))))</f>
        <v/>
      </c>
      <c r="M83" s="7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>
        <f>IF(G84="","",G84*H84)</f>
        <v/>
      </c>
      <c r="J84" s="4" t="n"/>
      <c r="K84" s="4" t="n"/>
      <c r="L84" s="4">
        <f>IF(I84="","",IF(I84&gt;=20,"Critique",IF(I84&gt;=12,"Élevé",IF(I84&gt;=6,"Moyen","Faible"))))</f>
        <v/>
      </c>
      <c r="M84" s="4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>
        <f>IF(G85="","",G85*H85)</f>
        <v/>
      </c>
      <c r="J85" s="7" t="n"/>
      <c r="K85" s="7" t="n"/>
      <c r="L85" s="7">
        <f>IF(I85="","",IF(I85&gt;=20,"Critique",IF(I85&gt;=12,"Élevé",IF(I85&gt;=6,"Moyen","Faible"))))</f>
        <v/>
      </c>
      <c r="M85" s="7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>
        <f>IF(G86="","",G86*H86)</f>
        <v/>
      </c>
      <c r="J86" s="4" t="n"/>
      <c r="K86" s="4" t="n"/>
      <c r="L86" s="4">
        <f>IF(I86="","",IF(I86&gt;=20,"Critique",IF(I86&gt;=12,"Élevé",IF(I86&gt;=6,"Moyen","Faible"))))</f>
        <v/>
      </c>
      <c r="M86" s="4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>
        <f>IF(G87="","",G87*H87)</f>
        <v/>
      </c>
      <c r="J87" s="7" t="n"/>
      <c r="K87" s="7" t="n"/>
      <c r="L87" s="7">
        <f>IF(I87="","",IF(I87&gt;=20,"Critique",IF(I87&gt;=12,"Élevé",IF(I87&gt;=6,"Moyen","Faible"))))</f>
        <v/>
      </c>
      <c r="M87" s="7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>
        <f>IF(G88="","",G88*H88)</f>
        <v/>
      </c>
      <c r="J88" s="4" t="n"/>
      <c r="K88" s="4" t="n"/>
      <c r="L88" s="4">
        <f>IF(I88="","",IF(I88&gt;=20,"Critique",IF(I88&gt;=12,"Élevé",IF(I88&gt;=6,"Moyen","Faible"))))</f>
        <v/>
      </c>
      <c r="M88" s="4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>
        <f>IF(G89="","",G89*H89)</f>
        <v/>
      </c>
      <c r="J89" s="7" t="n"/>
      <c r="K89" s="7" t="n"/>
      <c r="L89" s="7">
        <f>IF(I89="","",IF(I89&gt;=20,"Critique",IF(I89&gt;=12,"Élevé",IF(I89&gt;=6,"Moyen","Faible"))))</f>
        <v/>
      </c>
      <c r="M89" s="7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>
        <f>IF(G90="","",G90*H90)</f>
        <v/>
      </c>
      <c r="J90" s="4" t="n"/>
      <c r="K90" s="4" t="n"/>
      <c r="L90" s="4">
        <f>IF(I90="","",IF(I90&gt;=20,"Critique",IF(I90&gt;=12,"Élevé",IF(I90&gt;=6,"Moyen","Faible"))))</f>
        <v/>
      </c>
      <c r="M90" s="4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>
        <f>IF(G91="","",G91*H91)</f>
        <v/>
      </c>
      <c r="J91" s="7" t="n"/>
      <c r="K91" s="7" t="n"/>
      <c r="L91" s="7">
        <f>IF(I91="","",IF(I91&gt;=20,"Critique",IF(I91&gt;=12,"Élevé",IF(I91&gt;=6,"Moyen","Faible"))))</f>
        <v/>
      </c>
      <c r="M91" s="7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>
        <f>IF(G92="","",G92*H92)</f>
        <v/>
      </c>
      <c r="J92" s="4" t="n"/>
      <c r="K92" s="4" t="n"/>
      <c r="L92" s="4">
        <f>IF(I92="","",IF(I92&gt;=20,"Critique",IF(I92&gt;=12,"Élevé",IF(I92&gt;=6,"Moyen","Faible"))))</f>
        <v/>
      </c>
      <c r="M92" s="4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>
        <f>IF(G93="","",G93*H93)</f>
        <v/>
      </c>
      <c r="J93" s="7" t="n"/>
      <c r="K93" s="7" t="n"/>
      <c r="L93" s="7">
        <f>IF(I93="","",IF(I93&gt;=20,"Critique",IF(I93&gt;=12,"Élevé",IF(I93&gt;=6,"Moyen","Faible"))))</f>
        <v/>
      </c>
      <c r="M93" s="7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>
        <f>IF(G94="","",G94*H94)</f>
        <v/>
      </c>
      <c r="J94" s="4" t="n"/>
      <c r="K94" s="4" t="n"/>
      <c r="L94" s="4">
        <f>IF(I94="","",IF(I94&gt;=20,"Critique",IF(I94&gt;=12,"Élevé",IF(I94&gt;=6,"Moyen","Faible"))))</f>
        <v/>
      </c>
      <c r="M94" s="4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>
        <f>IF(G95="","",G95*H95)</f>
        <v/>
      </c>
      <c r="J95" s="7" t="n"/>
      <c r="K95" s="7" t="n"/>
      <c r="L95" s="7">
        <f>IF(I95="","",IF(I95&gt;=20,"Critique",IF(I95&gt;=12,"Élevé",IF(I95&gt;=6,"Moyen","Faible"))))</f>
        <v/>
      </c>
      <c r="M95" s="7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>
        <f>IF(G96="","",G96*H96)</f>
        <v/>
      </c>
      <c r="J96" s="4" t="n"/>
      <c r="K96" s="4" t="n"/>
      <c r="L96" s="4">
        <f>IF(I96="","",IF(I96&gt;=20,"Critique",IF(I96&gt;=12,"Élevé",IF(I96&gt;=6,"Moyen","Faible"))))</f>
        <v/>
      </c>
      <c r="M96" s="4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>
        <f>IF(G97="","",G97*H97)</f>
        <v/>
      </c>
      <c r="J97" s="7" t="n"/>
      <c r="K97" s="7" t="n"/>
      <c r="L97" s="7">
        <f>IF(I97="","",IF(I97&gt;=20,"Critique",IF(I97&gt;=12,"Élevé",IF(I97&gt;=6,"Moyen","Faible"))))</f>
        <v/>
      </c>
      <c r="M97" s="7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>
        <f>IF(G98="","",G98*H98)</f>
        <v/>
      </c>
      <c r="J98" s="4" t="n"/>
      <c r="K98" s="4" t="n"/>
      <c r="L98" s="4">
        <f>IF(I98="","",IF(I98&gt;=20,"Critique",IF(I98&gt;=12,"Élevé",IF(I98&gt;=6,"Moyen","Faible"))))</f>
        <v/>
      </c>
      <c r="M98" s="4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>
        <f>IF(G99="","",G99*H99)</f>
        <v/>
      </c>
      <c r="J99" s="7" t="n"/>
      <c r="K99" s="7" t="n"/>
      <c r="L99" s="7">
        <f>IF(I99="","",IF(I99&gt;=20,"Critique",IF(I99&gt;=12,"Élevé",IF(I99&gt;=6,"Moyen","Faible"))))</f>
        <v/>
      </c>
      <c r="M99" s="7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>
        <f>IF(G100="","",G100*H100)</f>
        <v/>
      </c>
      <c r="J100" s="4" t="n"/>
      <c r="K100" s="4" t="n"/>
      <c r="L100" s="4">
        <f>IF(I100="","",IF(I100&gt;=20,"Critique",IF(I100&gt;=12,"Élevé",IF(I100&gt;=6,"Moyen","Faible"))))</f>
        <v/>
      </c>
      <c r="M100" s="4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>
        <f>IF(G101="","",G101*H101)</f>
        <v/>
      </c>
      <c r="J101" s="7" t="n"/>
      <c r="K101" s="7" t="n"/>
      <c r="L101" s="7">
        <f>IF(I101="","",IF(I101&gt;=20,"Critique",IF(I101&gt;=12,"Élevé",IF(I101&gt;=6,"Moyen","Faible"))))</f>
        <v/>
      </c>
      <c r="M101" s="7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>
        <f>IF(G102="","",G102*H102)</f>
        <v/>
      </c>
      <c r="J102" s="4" t="n"/>
      <c r="K102" s="4" t="n"/>
      <c r="L102" s="4">
        <f>IF(I102="","",IF(I102&gt;=20,"Critique",IF(I102&gt;=12,"Élevé",IF(I102&gt;=6,"Moyen","Faible"))))</f>
        <v/>
      </c>
      <c r="M102" s="4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>
        <f>IF(G103="","",G103*H103)</f>
        <v/>
      </c>
      <c r="J103" s="7" t="n"/>
      <c r="K103" s="7" t="n"/>
      <c r="L103" s="7">
        <f>IF(I103="","",IF(I103&gt;=20,"Critique",IF(I103&gt;=12,"Élevé",IF(I103&gt;=6,"Moyen","Faible"))))</f>
        <v/>
      </c>
      <c r="M103" s="7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>
        <f>IF(G104="","",G104*H104)</f>
        <v/>
      </c>
      <c r="J104" s="4" t="n"/>
      <c r="K104" s="4" t="n"/>
      <c r="L104" s="4">
        <f>IF(I104="","",IF(I104&gt;=20,"Critique",IF(I104&gt;=12,"Élevé",IF(I104&gt;=6,"Moyen","Faible"))))</f>
        <v/>
      </c>
      <c r="M104" s="4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>
        <f>IF(G105="","",G105*H105)</f>
        <v/>
      </c>
      <c r="J105" s="7" t="n"/>
      <c r="K105" s="7" t="n"/>
      <c r="L105" s="7">
        <f>IF(I105="","",IF(I105&gt;=20,"Critique",IF(I105&gt;=12,"Élevé",IF(I105&gt;=6,"Moyen","Faible"))))</f>
        <v/>
      </c>
      <c r="M105" s="7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>
        <f>IF(G106="","",G106*H106)</f>
        <v/>
      </c>
      <c r="J106" s="4" t="n"/>
      <c r="K106" s="4" t="n"/>
      <c r="L106" s="4">
        <f>IF(I106="","",IF(I106&gt;=20,"Critique",IF(I106&gt;=12,"Élevé",IF(I106&gt;=6,"Moyen","Faible"))))</f>
        <v/>
      </c>
      <c r="M106" s="4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>
        <f>IF(G107="","",G107*H107)</f>
        <v/>
      </c>
      <c r="J107" s="7" t="n"/>
      <c r="K107" s="7" t="n"/>
      <c r="L107" s="7">
        <f>IF(I107="","",IF(I107&gt;=20,"Critique",IF(I107&gt;=12,"Élevé",IF(I107&gt;=6,"Moyen","Faible"))))</f>
        <v/>
      </c>
      <c r="M107" s="7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>
        <f>IF(G108="","",G108*H108)</f>
        <v/>
      </c>
      <c r="J108" s="4" t="n"/>
      <c r="K108" s="4" t="n"/>
      <c r="L108" s="4">
        <f>IF(I108="","",IF(I108&gt;=20,"Critique",IF(I108&gt;=12,"Élevé",IF(I108&gt;=6,"Moyen","Faible"))))</f>
        <v/>
      </c>
      <c r="M108" s="4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>
        <f>IF(G109="","",G109*H109)</f>
        <v/>
      </c>
      <c r="J109" s="7" t="n"/>
      <c r="K109" s="7" t="n"/>
      <c r="L109" s="7">
        <f>IF(I109="","",IF(I109&gt;=20,"Critique",IF(I109&gt;=12,"Élevé",IF(I109&gt;=6,"Moyen","Faible"))))</f>
        <v/>
      </c>
      <c r="M109" s="7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>
        <f>IF(G110="","",G110*H110)</f>
        <v/>
      </c>
      <c r="J110" s="4" t="n"/>
      <c r="K110" s="4" t="n"/>
      <c r="L110" s="4">
        <f>IF(I110="","",IF(I110&gt;=20,"Critique",IF(I110&gt;=12,"Élevé",IF(I110&gt;=6,"Moyen","Faible"))))</f>
        <v/>
      </c>
      <c r="M110" s="4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>
        <f>IF(G111="","",G111*H111)</f>
        <v/>
      </c>
      <c r="J111" s="7" t="n"/>
      <c r="K111" s="7" t="n"/>
      <c r="L111" s="7">
        <f>IF(I111="","",IF(I111&gt;=20,"Critique",IF(I111&gt;=12,"Élevé",IF(I111&gt;=6,"Moyen","Faible"))))</f>
        <v/>
      </c>
      <c r="M111" s="7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>
        <f>IF(G112="","",G112*H112)</f>
        <v/>
      </c>
      <c r="J112" s="4" t="n"/>
      <c r="K112" s="4" t="n"/>
      <c r="L112" s="4">
        <f>IF(I112="","",IF(I112&gt;=20,"Critique",IF(I112&gt;=12,"Élevé",IF(I112&gt;=6,"Moyen","Faible"))))</f>
        <v/>
      </c>
      <c r="M112" s="4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>
        <f>IF(G113="","",G113*H113)</f>
        <v/>
      </c>
      <c r="J113" s="7" t="n"/>
      <c r="K113" s="7" t="n"/>
      <c r="L113" s="7">
        <f>IF(I113="","",IF(I113&gt;=20,"Critique",IF(I113&gt;=12,"Élevé",IF(I113&gt;=6,"Moyen","Faible"))))</f>
        <v/>
      </c>
      <c r="M113" s="7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>
        <f>IF(G114="","",G114*H114)</f>
        <v/>
      </c>
      <c r="J114" s="4" t="n"/>
      <c r="K114" s="4" t="n"/>
      <c r="L114" s="4">
        <f>IF(I114="","",IF(I114&gt;=20,"Critique",IF(I114&gt;=12,"Élevé",IF(I114&gt;=6,"Moyen","Faible"))))</f>
        <v/>
      </c>
      <c r="M114" s="4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>
        <f>IF(G115="","",G115*H115)</f>
        <v/>
      </c>
      <c r="J115" s="7" t="n"/>
      <c r="K115" s="7" t="n"/>
      <c r="L115" s="7">
        <f>IF(I115="","",IF(I115&gt;=20,"Critique",IF(I115&gt;=12,"Élevé",IF(I115&gt;=6,"Moyen","Faible"))))</f>
        <v/>
      </c>
      <c r="M115" s="7" t="n"/>
    </row>
  </sheetData>
  <mergeCells count="2">
    <mergeCell ref="A3:P3"/>
    <mergeCell ref="A2:P2"/>
  </mergeCells>
  <conditionalFormatting sqref="L6:L115">
    <cfRule type="cellIs" priority="1" operator="equal" dxfId="2">
      <formula>"Critique"</formula>
    </cfRule>
    <cfRule type="cellIs" priority="2" operator="equal" dxfId="3">
      <formula>"Élevé"</formula>
    </cfRule>
    <cfRule type="cellIs" priority="3" operator="equal" dxfId="0">
      <formula>"Moyen"</formula>
    </cfRule>
    <cfRule type="cellIs" priority="4" operator="equal" dxfId="1">
      <formula>"Faible"</formula>
    </cfRule>
  </conditionalFormatting>
  <dataValidations count="2">
    <dataValidation sqref="B6:B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  <dataValidation sqref="M6:M115" showDropDown="0" showInputMessage="0" showErrorMessage="0" allowBlank="1" errorTitle="Erreur de saisie" error="Valeur non autorisée" promptTitle="Liste déroulante" prompt="Sélectionnez dans la liste" type="list">
      <formula1>'F02 - _Lists'!$M$6:$M$35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6" customWidth="1" min="4" max="4"/>
    <col width="28" customWidth="1" min="5" max="5"/>
    <col width="12" customWidth="1" min="6" max="6"/>
    <col width="18" customWidth="1" min="7" max="7"/>
    <col width="30" customWidth="1" min="8" max="8"/>
    <col width="14" customWidth="1" min="9" max="9"/>
    <col width="16" customWidth="1" min="10" max="10"/>
    <col width="18" customWidth="1" min="11" max="11"/>
    <col width="18" customWidth="1" min="12" max="12"/>
    <col width="14" customWidth="1" min="13" max="13"/>
    <col width="28" customWidth="1" min="14" max="14"/>
    <col width="14" customWidth="1" min="15" max="15"/>
  </cols>
  <sheetData>
    <row r="2" ht="25" customHeight="1">
      <c r="A2" s="1" t="inlineStr">
        <is>
          <t>DOMAINE 27 — 3-SUIVI DES ACCIDENTS DE TRAVAIL</t>
        </is>
      </c>
    </row>
    <row r="3" ht="18" customHeight="1">
      <c r="A3" s="2" t="inlineStr">
        <is>
          <t>TABLEAU DYNAMIQUE — Enregistrement et analyse des accidents</t>
        </is>
      </c>
    </row>
    <row r="5">
      <c r="A5" s="3" t="inlineStr">
        <is>
          <t>Code Accident</t>
        </is>
      </c>
      <c r="B5" s="3" t="inlineStr">
        <is>
          <t>Date</t>
        </is>
      </c>
      <c r="C5" s="3" t="inlineStr">
        <is>
          <t>Département</t>
        </is>
      </c>
      <c r="D5" s="3" t="inlineStr">
        <is>
          <t>Victime</t>
        </is>
      </c>
      <c r="E5" s="3" t="inlineStr">
        <is>
          <t>Type d'Accident</t>
        </is>
      </c>
      <c r="F5" s="3" t="inlineStr">
        <is>
          <t>Gravité</t>
        </is>
      </c>
      <c r="G5" s="3" t="inlineStr">
        <is>
          <t>Lieu Exact</t>
        </is>
      </c>
      <c r="H5" s="3" t="inlineStr">
        <is>
          <t>Description</t>
        </is>
      </c>
      <c r="I5" s="3" t="inlineStr">
        <is>
          <t>Jours d'Arrêt</t>
        </is>
      </c>
      <c r="J5" s="3" t="inlineStr">
        <is>
          <t>Coût Direct (FCFA)</t>
        </is>
      </c>
      <c r="K5" s="3" t="inlineStr">
        <is>
          <t>Coût Indirect (FCFA)</t>
        </is>
      </c>
      <c r="L5" s="3" t="inlineStr">
        <is>
          <t>Coût Total (FCFA)</t>
        </is>
      </c>
      <c r="M5" s="3" t="inlineStr">
        <is>
          <t>Enquête Menée</t>
        </is>
      </c>
      <c r="N5" s="3" t="inlineStr">
        <is>
          <t>Action Corrective</t>
        </is>
      </c>
      <c r="O5" s="3" t="inlineStr">
        <is>
          <t>Statut</t>
        </is>
      </c>
    </row>
    <row r="6">
      <c r="A6" s="4" t="inlineStr">
        <is>
          <t>AT-2025-001</t>
        </is>
      </c>
      <c r="B6" s="14" t="n">
        <v>45679</v>
      </c>
      <c r="C6" s="4" t="inlineStr">
        <is>
          <t>Cuisine &amp; Restauration</t>
        </is>
      </c>
      <c r="D6" s="4" t="inlineStr">
        <is>
          <t>M. Kamga</t>
        </is>
      </c>
      <c r="E6" s="4" t="inlineStr">
        <is>
          <t>Brûlure</t>
        </is>
      </c>
      <c r="F6" s="4" t="inlineStr">
        <is>
          <t>Modérée</t>
        </is>
      </c>
      <c r="G6" s="4" t="inlineStr">
        <is>
          <t>Zone cuisson</t>
        </is>
      </c>
      <c r="H6" s="4" t="inlineStr">
        <is>
          <t>Brûlure 2e degré main gauche</t>
        </is>
      </c>
      <c r="I6" s="4" t="n">
        <v>5</v>
      </c>
      <c r="J6" s="5" t="n">
        <v>150000</v>
      </c>
      <c r="K6" s="5" t="n">
        <v>350000</v>
      </c>
      <c r="L6" s="5">
        <f>J6+K6</f>
        <v/>
      </c>
      <c r="M6" s="4" t="inlineStr">
        <is>
          <t>Oui</t>
        </is>
      </c>
      <c r="N6" s="4" t="inlineStr">
        <is>
          <t>Gants renforcés fournis</t>
        </is>
      </c>
      <c r="O6" s="4" t="inlineStr">
        <is>
          <t>Clôturé</t>
        </is>
      </c>
    </row>
    <row r="7">
      <c r="A7" s="7" t="inlineStr">
        <is>
          <t>AT-2025-002</t>
        </is>
      </c>
      <c r="B7" s="15" t="n">
        <v>45702</v>
      </c>
      <c r="C7" s="7" t="inlineStr">
        <is>
          <t>Maintenance</t>
        </is>
      </c>
      <c r="D7" s="7" t="inlineStr">
        <is>
          <t>M. Nganou</t>
        </is>
      </c>
      <c r="E7" s="7" t="inlineStr">
        <is>
          <t>Blessure coupure</t>
        </is>
      </c>
      <c r="F7" s="7" t="inlineStr">
        <is>
          <t>Mineure</t>
        </is>
      </c>
      <c r="G7" s="7" t="inlineStr">
        <is>
          <t>Atelier</t>
        </is>
      </c>
      <c r="H7" s="7" t="inlineStr">
        <is>
          <t>Coupure doigt droit scie</t>
        </is>
      </c>
      <c r="I7" s="7" t="n">
        <v>2</v>
      </c>
      <c r="J7" s="8" t="n">
        <v>50000</v>
      </c>
      <c r="K7" s="8" t="n">
        <v>120000</v>
      </c>
      <c r="L7" s="8">
        <f>J7+K7</f>
        <v/>
      </c>
      <c r="M7" s="7" t="inlineStr">
        <is>
          <t>Oui</t>
        </is>
      </c>
      <c r="N7" s="7" t="inlineStr">
        <is>
          <t>Protecteur de scie vérifié</t>
        </is>
      </c>
      <c r="O7" s="7" t="inlineStr">
        <is>
          <t>Clôturé</t>
        </is>
      </c>
    </row>
    <row r="8">
      <c r="A8" s="4" t="inlineStr">
        <is>
          <t>AT-2025-003</t>
        </is>
      </c>
      <c r="B8" s="14" t="n">
        <v>45721</v>
      </c>
      <c r="C8" s="4" t="inlineStr">
        <is>
          <t>Réception</t>
        </is>
      </c>
      <c r="D8" s="4" t="inlineStr">
        <is>
          <t>Mme. Awa</t>
        </is>
      </c>
      <c r="E8" s="4" t="inlineStr">
        <is>
          <t>Chute de plain-pied</t>
        </is>
      </c>
      <c r="F8" s="4" t="inlineStr">
        <is>
          <t>Modérée</t>
        </is>
      </c>
      <c r="G8" s="4" t="inlineStr">
        <is>
          <t>Hall accueil</t>
        </is>
      </c>
      <c r="H8" s="4" t="inlineStr">
        <is>
          <t>Entorse cheville droite</t>
        </is>
      </c>
      <c r="I8" s="4" t="n">
        <v>14</v>
      </c>
      <c r="J8" s="5" t="n">
        <v>200000</v>
      </c>
      <c r="K8" s="5" t="n">
        <v>800000</v>
      </c>
      <c r="L8" s="5">
        <f>J8+K8</f>
        <v/>
      </c>
      <c r="M8" s="4" t="inlineStr">
        <is>
          <t>Oui</t>
        </is>
      </c>
      <c r="N8" s="4" t="inlineStr">
        <is>
          <t>Tapis antidérapant posé</t>
        </is>
      </c>
      <c r="O8" s="4" t="inlineStr">
        <is>
          <t>En cours</t>
        </is>
      </c>
    </row>
    <row r="9">
      <c r="A9" s="7" t="inlineStr">
        <is>
          <t>AT-2025-004</t>
        </is>
      </c>
      <c r="B9" s="15" t="n">
        <v>45734</v>
      </c>
      <c r="C9" s="7" t="inlineStr">
        <is>
          <t>Cuisine &amp; Restauration</t>
        </is>
      </c>
      <c r="D9" s="7" t="inlineStr">
        <is>
          <t>M. Bouba</t>
        </is>
      </c>
      <c r="E9" s="7" t="inlineStr">
        <is>
          <t>Intoxication</t>
        </is>
      </c>
      <c r="F9" s="7" t="inlineStr">
        <is>
          <t>Grave</t>
        </is>
      </c>
      <c r="G9" s="7" t="inlineStr">
        <is>
          <t>Zone stockage</t>
        </is>
      </c>
      <c r="H9" s="7" t="inlineStr">
        <is>
          <t>Intoxication alimentaire</t>
        </is>
      </c>
      <c r="I9" s="7" t="n">
        <v>7</v>
      </c>
      <c r="J9" s="8" t="n">
        <v>350000</v>
      </c>
      <c r="K9" s="8" t="n">
        <v>600000</v>
      </c>
      <c r="L9" s="8">
        <f>J9+K9</f>
        <v/>
      </c>
      <c r="M9" s="7" t="inlineStr">
        <is>
          <t>Oui</t>
        </is>
      </c>
      <c r="N9" s="7" t="inlineStr">
        <is>
          <t>Chaîne du froid renforcée</t>
        </is>
      </c>
      <c r="O9" s="7" t="inlineStr">
        <is>
          <t>En cours</t>
        </is>
      </c>
    </row>
    <row r="10">
      <c r="A10" s="4" t="inlineStr">
        <is>
          <t>AT-2025-005</t>
        </is>
      </c>
      <c r="B10" s="14" t="n">
        <v>45749</v>
      </c>
      <c r="C10" s="4" t="inlineStr">
        <is>
          <t>Maintenance</t>
        </is>
      </c>
      <c r="D10" s="4" t="inlineStr">
        <is>
          <t>M. Tabi</t>
        </is>
      </c>
      <c r="E10" s="4" t="inlineStr">
        <is>
          <t>Électrocution</t>
        </is>
      </c>
      <c r="F10" s="4" t="inlineStr">
        <is>
          <t>Grave</t>
        </is>
      </c>
      <c r="G10" s="4" t="inlineStr">
        <is>
          <t>Tableau électrique</t>
        </is>
      </c>
      <c r="H10" s="4" t="inlineStr">
        <is>
          <t>Choc électrique bras gauche</t>
        </is>
      </c>
      <c r="I10" s="4" t="n">
        <v>21</v>
      </c>
      <c r="J10" s="5" t="n">
        <v>500000</v>
      </c>
      <c r="K10" s="5" t="n">
        <v>1500000</v>
      </c>
      <c r="L10" s="5">
        <f>J10+K10</f>
        <v/>
      </c>
      <c r="M10" s="4" t="inlineStr">
        <is>
          <t>Oui</t>
        </is>
      </c>
      <c r="N10" s="4" t="inlineStr">
        <is>
          <t>LOTO obligatoire décrété</t>
        </is>
      </c>
      <c r="O10" s="4" t="inlineStr">
        <is>
          <t>En cours</t>
        </is>
      </c>
    </row>
    <row r="11">
      <c r="A11" s="7" t="inlineStr">
        <is>
          <t>AT-2025-006</t>
        </is>
      </c>
      <c r="B11" s="15" t="n">
        <v>45767</v>
      </c>
      <c r="C11" s="7" t="inlineStr">
        <is>
          <t>Commerce</t>
        </is>
      </c>
      <c r="D11" s="7" t="inlineStr">
        <is>
          <t>Mme. Djiade</t>
        </is>
      </c>
      <c r="E11" s="7" t="inlineStr">
        <is>
          <t>TMS (troubles musculosquelettiques)</t>
        </is>
      </c>
      <c r="F11" s="7" t="inlineStr">
        <is>
          <t>Modérée</t>
        </is>
      </c>
      <c r="G11" s="7" t="inlineStr">
        <is>
          <t>Espace vente</t>
        </is>
      </c>
      <c r="H11" s="7" t="inlineStr">
        <is>
          <t>Douleur épaule droite manutention</t>
        </is>
      </c>
      <c r="I11" s="7" t="n">
        <v>10</v>
      </c>
      <c r="J11" s="8" t="n">
        <v>120000</v>
      </c>
      <c r="K11" s="8" t="n">
        <v>400000</v>
      </c>
      <c r="L11" s="8">
        <f>J11+K11</f>
        <v/>
      </c>
      <c r="M11" s="7" t="inlineStr">
        <is>
          <t>Oui</t>
        </is>
      </c>
      <c r="N11" s="7" t="inlineStr">
        <is>
          <t>Formation manutention prévue</t>
        </is>
      </c>
      <c r="O11" s="7" t="inlineStr">
        <is>
          <t>Planifié</t>
        </is>
      </c>
    </row>
    <row r="12">
      <c r="A12" s="4" t="inlineStr">
        <is>
          <t>AT-2025-007</t>
        </is>
      </c>
      <c r="B12" s="14" t="n">
        <v>45785</v>
      </c>
      <c r="C12" s="4" t="inlineStr">
        <is>
          <t>Sécurité</t>
        </is>
      </c>
      <c r="D12" s="4" t="inlineStr">
        <is>
          <t>M. Essamba</t>
        </is>
      </c>
      <c r="E12" s="4" t="inlineStr">
        <is>
          <t>Lombalgie</t>
        </is>
      </c>
      <c r="F12" s="4" t="inlineStr">
        <is>
          <t>Mineure</t>
        </is>
      </c>
      <c r="G12" s="4" t="inlineStr">
        <is>
          <t>Poste gardiennage</t>
        </is>
      </c>
      <c r="H12" s="4" t="inlineStr">
        <is>
          <t>Lombalgie aiguë posture</t>
        </is>
      </c>
      <c r="I12" s="4" t="n">
        <v>3</v>
      </c>
      <c r="J12" s="5" t="n">
        <v>80000</v>
      </c>
      <c r="K12" s="5" t="n">
        <v>150000</v>
      </c>
      <c r="L12" s="5">
        <f>J12+K12</f>
        <v/>
      </c>
      <c r="M12" s="4" t="inlineStr">
        <is>
          <t>Non</t>
        </is>
      </c>
      <c r="N12" s="4" t="inlineStr">
        <is>
          <t>Siège ergonomique commandé</t>
        </is>
      </c>
      <c r="O12" s="4" t="inlineStr">
        <is>
          <t>Planifié</t>
        </is>
      </c>
    </row>
    <row r="13">
      <c r="A13" s="7" t="inlineStr">
        <is>
          <t>AT-2025-008</t>
        </is>
      </c>
      <c r="B13" s="15" t="n">
        <v>45792</v>
      </c>
      <c r="C13" s="7" t="inlineStr">
        <is>
          <t>Cuisine &amp; Restauration</t>
        </is>
      </c>
      <c r="D13" s="7" t="inlineStr">
        <is>
          <t>Mme. Feuzeu</t>
        </is>
      </c>
      <c r="E13" s="7" t="inlineStr">
        <is>
          <t>Chute de plain-pied</t>
        </is>
      </c>
      <c r="F13" s="7" t="inlineStr">
        <is>
          <t>Mineure</t>
        </is>
      </c>
      <c r="G13" s="7" t="inlineStr">
        <is>
          <t>Salle restaurant</t>
        </is>
      </c>
      <c r="H13" s="7" t="inlineStr">
        <is>
          <t>Glissage sol mouillé</t>
        </is>
      </c>
      <c r="I13" s="7" t="n">
        <v>1</v>
      </c>
      <c r="J13" s="8" t="n">
        <v>30000</v>
      </c>
      <c r="K13" s="8" t="n">
        <v>60000</v>
      </c>
      <c r="L13" s="8">
        <f>J13+K13</f>
        <v/>
      </c>
      <c r="M13" s="7" t="inlineStr">
        <is>
          <t>Oui</t>
        </is>
      </c>
      <c r="N13" s="7" t="inlineStr">
        <is>
          <t>Signalisation zone humide</t>
        </is>
      </c>
      <c r="O13" s="7" t="inlineStr">
        <is>
          <t>Clôturé</t>
        </is>
      </c>
    </row>
    <row r="14">
      <c r="A14" s="4" t="inlineStr">
        <is>
          <t>AT-2025-009</t>
        </is>
      </c>
      <c r="B14" s="14" t="n">
        <v>45811</v>
      </c>
      <c r="C14" s="4" t="inlineStr">
        <is>
          <t>Maintenance</t>
        </is>
      </c>
      <c r="D14" s="4" t="inlineStr">
        <is>
          <t>M. Fotso</t>
        </is>
      </c>
      <c r="E14" s="4" t="inlineStr">
        <is>
          <t>Contact oculaire</t>
        </is>
      </c>
      <c r="F14" s="4" t="inlineStr">
        <is>
          <t>Modérée</t>
        </is>
      </c>
      <c r="G14" s="4" t="inlineStr">
        <is>
          <t>Local technique</t>
        </is>
      </c>
      <c r="H14" s="4" t="inlineStr">
        <is>
          <t>Projection produit nettoyant</t>
        </is>
      </c>
      <c r="I14" s="4" t="n">
        <v>4</v>
      </c>
      <c r="J14" s="5" t="n">
        <v>100000</v>
      </c>
      <c r="K14" s="5" t="n">
        <v>250000</v>
      </c>
      <c r="L14" s="5">
        <f>J14+K14</f>
        <v/>
      </c>
      <c r="M14" s="4" t="inlineStr">
        <is>
          <t>Oui</t>
        </is>
      </c>
      <c r="N14" s="4" t="inlineStr">
        <is>
          <t>Lunettes de protection fournies</t>
        </is>
      </c>
      <c r="O14" s="4" t="inlineStr">
        <is>
          <t>En cours</t>
        </is>
      </c>
    </row>
    <row r="15">
      <c r="A15" s="7" t="inlineStr">
        <is>
          <t>AT-2025-010</t>
        </is>
      </c>
      <c r="B15" s="15" t="n">
        <v>45820</v>
      </c>
      <c r="C15" s="7" t="inlineStr">
        <is>
          <t>Spa &amp; Bien-être</t>
        </is>
      </c>
      <c r="D15" s="7" t="inlineStr">
        <is>
          <t>Mme. Ngo</t>
        </is>
      </c>
      <c r="E15" s="7" t="inlineStr">
        <is>
          <t>Exposition chimique</t>
        </is>
      </c>
      <c r="F15" s="7" t="inlineStr">
        <is>
          <t>Mineure</t>
        </is>
      </c>
      <c r="G15" s="7" t="inlineStr">
        <is>
          <t>Cabine soin</t>
        </is>
      </c>
      <c r="H15" s="7" t="inlineStr">
        <is>
          <t>Irritation cutanée produit</t>
        </is>
      </c>
      <c r="I15" s="7" t="n">
        <v>2</v>
      </c>
      <c r="J15" s="8" t="n">
        <v>40000</v>
      </c>
      <c r="K15" s="8" t="n">
        <v>80000</v>
      </c>
      <c r="L15" s="8">
        <f>J15+K15</f>
        <v/>
      </c>
      <c r="M15" s="7" t="inlineStr">
        <is>
          <t>Oui</t>
        </is>
      </c>
      <c r="N15" s="7" t="inlineStr">
        <is>
          <t>Substitution produit prévue</t>
        </is>
      </c>
      <c r="O15" s="7" t="inlineStr">
        <is>
          <t>Planifié</t>
        </is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  <c r="K16" s="5" t="n"/>
      <c r="L16" s="5">
        <f>IF(J16="","",J16+K16)</f>
        <v/>
      </c>
      <c r="M16" s="4" t="n"/>
      <c r="N16" s="4" t="n"/>
      <c r="O16" s="4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8" t="n"/>
      <c r="K17" s="8" t="n"/>
      <c r="L17" s="8">
        <f>IF(J17="","",J17+K17)</f>
        <v/>
      </c>
      <c r="M17" s="7" t="n"/>
      <c r="N17" s="7" t="n"/>
      <c r="O17" s="7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  <c r="K18" s="5" t="n"/>
      <c r="L18" s="5">
        <f>IF(J18="","",J18+K18)</f>
        <v/>
      </c>
      <c r="M18" s="4" t="n"/>
      <c r="N18" s="4" t="n"/>
      <c r="O18" s="4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n"/>
      <c r="K19" s="8" t="n"/>
      <c r="L19" s="8">
        <f>IF(J19="","",J19+K19)</f>
        <v/>
      </c>
      <c r="M19" s="7" t="n"/>
      <c r="N19" s="7" t="n"/>
      <c r="O19" s="7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  <c r="K20" s="5" t="n"/>
      <c r="L20" s="5">
        <f>IF(J20="","",J20+K20)</f>
        <v/>
      </c>
      <c r="M20" s="4" t="n"/>
      <c r="N20" s="4" t="n"/>
      <c r="O20" s="4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n"/>
      <c r="K21" s="8" t="n"/>
      <c r="L21" s="8">
        <f>IF(J21="","",J21+K21)</f>
        <v/>
      </c>
      <c r="M21" s="7" t="n"/>
      <c r="N21" s="7" t="n"/>
      <c r="O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  <c r="K22" s="5" t="n"/>
      <c r="L22" s="5">
        <f>IF(J22="","",J22+K22)</f>
        <v/>
      </c>
      <c r="M22" s="4" t="n"/>
      <c r="N22" s="4" t="n"/>
      <c r="O22" s="4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8" t="n"/>
      <c r="K23" s="8" t="n"/>
      <c r="L23" s="8">
        <f>IF(J23="","",J23+K23)</f>
        <v/>
      </c>
      <c r="M23" s="7" t="n"/>
      <c r="N23" s="7" t="n"/>
      <c r="O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  <c r="K24" s="5" t="n"/>
      <c r="L24" s="5">
        <f>IF(J24="","",J24+K24)</f>
        <v/>
      </c>
      <c r="M24" s="4" t="n"/>
      <c r="N24" s="4" t="n"/>
      <c r="O24" s="4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n"/>
      <c r="K25" s="8" t="n"/>
      <c r="L25" s="8">
        <f>IF(J25="","",J25+K25)</f>
        <v/>
      </c>
      <c r="M25" s="7" t="n"/>
      <c r="N25" s="7" t="n"/>
      <c r="O25" s="7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  <c r="K26" s="5" t="n"/>
      <c r="L26" s="5">
        <f>IF(J26="","",J26+K26)</f>
        <v/>
      </c>
      <c r="M26" s="4" t="n"/>
      <c r="N26" s="4" t="n"/>
      <c r="O26" s="4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n"/>
      <c r="K27" s="8" t="n"/>
      <c r="L27" s="8">
        <f>IF(J27="","",J27+K27)</f>
        <v/>
      </c>
      <c r="M27" s="7" t="n"/>
      <c r="N27" s="7" t="n"/>
      <c r="O27" s="7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 t="n"/>
      <c r="K28" s="5" t="n"/>
      <c r="L28" s="5">
        <f>IF(J28="","",J28+K28)</f>
        <v/>
      </c>
      <c r="M28" s="4" t="n"/>
      <c r="N28" s="4" t="n"/>
      <c r="O28" s="4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8" t="n"/>
      <c r="K29" s="8" t="n"/>
      <c r="L29" s="8">
        <f>IF(J29="","",J29+K29)</f>
        <v/>
      </c>
      <c r="M29" s="7" t="n"/>
      <c r="N29" s="7" t="n"/>
      <c r="O29" s="7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  <c r="K30" s="5" t="n"/>
      <c r="L30" s="5">
        <f>IF(J30="","",J30+K30)</f>
        <v/>
      </c>
      <c r="M30" s="4" t="n"/>
      <c r="N30" s="4" t="n"/>
      <c r="O30" s="4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8" t="n"/>
      <c r="K31" s="8" t="n"/>
      <c r="L31" s="8">
        <f>IF(J31="","",J31+K31)</f>
        <v/>
      </c>
      <c r="M31" s="7" t="n"/>
      <c r="N31" s="7" t="n"/>
      <c r="O31" s="7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  <c r="K32" s="5" t="n"/>
      <c r="L32" s="5">
        <f>IF(J32="","",J32+K32)</f>
        <v/>
      </c>
      <c r="M32" s="4" t="n"/>
      <c r="N32" s="4" t="n"/>
      <c r="O32" s="4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8" t="n"/>
      <c r="K33" s="8" t="n"/>
      <c r="L33" s="8">
        <f>IF(J33="","",J33+K33)</f>
        <v/>
      </c>
      <c r="M33" s="7" t="n"/>
      <c r="N33" s="7" t="n"/>
      <c r="O33" s="7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  <c r="K34" s="5" t="n"/>
      <c r="L34" s="5">
        <f>IF(J34="","",J34+K34)</f>
        <v/>
      </c>
      <c r="M34" s="4" t="n"/>
      <c r="N34" s="4" t="n"/>
      <c r="O34" s="4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8" t="n"/>
      <c r="K35" s="8" t="n"/>
      <c r="L35" s="8">
        <f>IF(J35="","",J35+K35)</f>
        <v/>
      </c>
      <c r="M35" s="7" t="n"/>
      <c r="N35" s="7" t="n"/>
      <c r="O35" s="7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5" t="n"/>
      <c r="K36" s="5" t="n"/>
      <c r="L36" s="5">
        <f>IF(J36="","",J36+K36)</f>
        <v/>
      </c>
      <c r="M36" s="4" t="n"/>
      <c r="N36" s="4" t="n"/>
      <c r="O36" s="4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8" t="n"/>
      <c r="K37" s="8" t="n"/>
      <c r="L37" s="8">
        <f>IF(J37="","",J37+K37)</f>
        <v/>
      </c>
      <c r="M37" s="7" t="n"/>
      <c r="N37" s="7" t="n"/>
      <c r="O37" s="7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  <c r="K38" s="5" t="n"/>
      <c r="L38" s="5">
        <f>IF(J38="","",J38+K38)</f>
        <v/>
      </c>
      <c r="M38" s="4" t="n"/>
      <c r="N38" s="4" t="n"/>
      <c r="O38" s="4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8" t="n"/>
      <c r="K39" s="8" t="n"/>
      <c r="L39" s="8">
        <f>IF(J39="","",J39+K39)</f>
        <v/>
      </c>
      <c r="M39" s="7" t="n"/>
      <c r="N39" s="7" t="n"/>
      <c r="O39" s="7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  <c r="K40" s="5" t="n"/>
      <c r="L40" s="5">
        <f>IF(J40="","",J40+K40)</f>
        <v/>
      </c>
      <c r="M40" s="4" t="n"/>
      <c r="N40" s="4" t="n"/>
      <c r="O40" s="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8" t="n"/>
      <c r="K41" s="8" t="n"/>
      <c r="L41" s="8">
        <f>IF(J41="","",J41+K41)</f>
        <v/>
      </c>
      <c r="M41" s="7" t="n"/>
      <c r="N41" s="7" t="n"/>
      <c r="O41" s="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5" t="n"/>
      <c r="K42" s="5" t="n"/>
      <c r="L42" s="5">
        <f>IF(J42="","",J42+K42)</f>
        <v/>
      </c>
      <c r="M42" s="4" t="n"/>
      <c r="N42" s="4" t="n"/>
      <c r="O42" s="4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8" t="n"/>
      <c r="K43" s="8" t="n"/>
      <c r="L43" s="8">
        <f>IF(J43="","",J43+K43)</f>
        <v/>
      </c>
      <c r="M43" s="7" t="n"/>
      <c r="N43" s="7" t="n"/>
      <c r="O43" s="7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  <c r="K44" s="5" t="n"/>
      <c r="L44" s="5">
        <f>IF(J44="","",J44+K44)</f>
        <v/>
      </c>
      <c r="M44" s="4" t="n"/>
      <c r="N44" s="4" t="n"/>
      <c r="O44" s="4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8" t="n"/>
      <c r="K45" s="8" t="n"/>
      <c r="L45" s="8">
        <f>IF(J45="","",J45+K45)</f>
        <v/>
      </c>
      <c r="M45" s="7" t="n"/>
      <c r="N45" s="7" t="n"/>
      <c r="O45" s="7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 t="n"/>
      <c r="K46" s="5" t="n"/>
      <c r="L46" s="5">
        <f>IF(J46="","",J46+K46)</f>
        <v/>
      </c>
      <c r="M46" s="4" t="n"/>
      <c r="N46" s="4" t="n"/>
      <c r="O46" s="4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8" t="n"/>
      <c r="K47" s="8" t="n"/>
      <c r="L47" s="8">
        <f>IF(J47="","",J47+K47)</f>
        <v/>
      </c>
      <c r="M47" s="7" t="n"/>
      <c r="N47" s="7" t="n"/>
      <c r="O47" s="7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5" t="n"/>
      <c r="K48" s="5" t="n"/>
      <c r="L48" s="5">
        <f>IF(J48="","",J48+K48)</f>
        <v/>
      </c>
      <c r="M48" s="4" t="n"/>
      <c r="N48" s="4" t="n"/>
      <c r="O48" s="4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8" t="n"/>
      <c r="K49" s="8" t="n"/>
      <c r="L49" s="8">
        <f>IF(J49="","",J49+K49)</f>
        <v/>
      </c>
      <c r="M49" s="7" t="n"/>
      <c r="N49" s="7" t="n"/>
      <c r="O49" s="7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 t="n"/>
      <c r="K50" s="5" t="n"/>
      <c r="L50" s="5">
        <f>IF(J50="","",J50+K50)</f>
        <v/>
      </c>
      <c r="M50" s="4" t="n"/>
      <c r="N50" s="4" t="n"/>
      <c r="O50" s="4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8" t="n"/>
      <c r="K51" s="8" t="n"/>
      <c r="L51" s="8">
        <f>IF(J51="","",J51+K51)</f>
        <v/>
      </c>
      <c r="M51" s="7" t="n"/>
      <c r="N51" s="7" t="n"/>
      <c r="O51" s="7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 t="n"/>
      <c r="K52" s="5" t="n"/>
      <c r="L52" s="5">
        <f>IF(J52="","",J52+K52)</f>
        <v/>
      </c>
      <c r="M52" s="4" t="n"/>
      <c r="N52" s="4" t="n"/>
      <c r="O52" s="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8" t="n"/>
      <c r="K53" s="8" t="n"/>
      <c r="L53" s="8">
        <f>IF(J53="","",J53+K53)</f>
        <v/>
      </c>
      <c r="M53" s="7" t="n"/>
      <c r="N53" s="7" t="n"/>
      <c r="O53" s="7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  <c r="K54" s="5" t="n"/>
      <c r="L54" s="5">
        <f>IF(J54="","",J54+K54)</f>
        <v/>
      </c>
      <c r="M54" s="4" t="n"/>
      <c r="N54" s="4" t="n"/>
      <c r="O54" s="4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8" t="n"/>
      <c r="K55" s="8" t="n"/>
      <c r="L55" s="8">
        <f>IF(J55="","",J55+K55)</f>
        <v/>
      </c>
      <c r="M55" s="7" t="n"/>
      <c r="N55" s="7" t="n"/>
      <c r="O55" s="7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5" t="n"/>
      <c r="K56" s="5" t="n"/>
      <c r="L56" s="5">
        <f>IF(J56="","",J56+K56)</f>
        <v/>
      </c>
      <c r="M56" s="4" t="n"/>
      <c r="N56" s="4" t="n"/>
      <c r="O56" s="4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8" t="n"/>
      <c r="K57" s="8" t="n"/>
      <c r="L57" s="8">
        <f>IF(J57="","",J57+K57)</f>
        <v/>
      </c>
      <c r="M57" s="7" t="n"/>
      <c r="N57" s="7" t="n"/>
      <c r="O57" s="7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  <c r="K58" s="5" t="n"/>
      <c r="L58" s="5">
        <f>IF(J58="","",J58+K58)</f>
        <v/>
      </c>
      <c r="M58" s="4" t="n"/>
      <c r="N58" s="4" t="n"/>
      <c r="O58" s="4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8" t="n"/>
      <c r="K59" s="8" t="n"/>
      <c r="L59" s="8">
        <f>IF(J59="","",J59+K59)</f>
        <v/>
      </c>
      <c r="M59" s="7" t="n"/>
      <c r="N59" s="7" t="n"/>
      <c r="O59" s="7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5" t="n"/>
      <c r="K60" s="5" t="n"/>
      <c r="L60" s="5">
        <f>IF(J60="","",J60+K60)</f>
        <v/>
      </c>
      <c r="M60" s="4" t="n"/>
      <c r="N60" s="4" t="n"/>
      <c r="O60" s="4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8" t="n"/>
      <c r="K61" s="8" t="n"/>
      <c r="L61" s="8">
        <f>IF(J61="","",J61+K61)</f>
        <v/>
      </c>
      <c r="M61" s="7" t="n"/>
      <c r="N61" s="7" t="n"/>
      <c r="O61" s="7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5" t="n"/>
      <c r="K62" s="5" t="n"/>
      <c r="L62" s="5">
        <f>IF(J62="","",J62+K62)</f>
        <v/>
      </c>
      <c r="M62" s="4" t="n"/>
      <c r="N62" s="4" t="n"/>
      <c r="O62" s="4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8" t="n"/>
      <c r="K63" s="8" t="n"/>
      <c r="L63" s="8">
        <f>IF(J63="","",J63+K63)</f>
        <v/>
      </c>
      <c r="M63" s="7" t="n"/>
      <c r="N63" s="7" t="n"/>
      <c r="O63" s="7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5" t="n"/>
      <c r="K64" s="5" t="n"/>
      <c r="L64" s="5">
        <f>IF(J64="","",J64+K64)</f>
        <v/>
      </c>
      <c r="M64" s="4" t="n"/>
      <c r="N64" s="4" t="n"/>
      <c r="O64" s="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8" t="n"/>
      <c r="K65" s="8" t="n"/>
      <c r="L65" s="8">
        <f>IF(J65="","",J65+K65)</f>
        <v/>
      </c>
      <c r="M65" s="7" t="n"/>
      <c r="N65" s="7" t="n"/>
      <c r="O65" s="7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5" t="n"/>
      <c r="K66" s="5" t="n"/>
      <c r="L66" s="5">
        <f>IF(J66="","",J66+K66)</f>
        <v/>
      </c>
      <c r="M66" s="4" t="n"/>
      <c r="N66" s="4" t="n"/>
      <c r="O66" s="4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8" t="n"/>
      <c r="K67" s="8" t="n"/>
      <c r="L67" s="8">
        <f>IF(J67="","",J67+K67)</f>
        <v/>
      </c>
      <c r="M67" s="7" t="n"/>
      <c r="N67" s="7" t="n"/>
      <c r="O67" s="7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5" t="n"/>
      <c r="K68" s="5" t="n"/>
      <c r="L68" s="5">
        <f>IF(J68="","",J68+K68)</f>
        <v/>
      </c>
      <c r="M68" s="4" t="n"/>
      <c r="N68" s="4" t="n"/>
      <c r="O68" s="4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8" t="n"/>
      <c r="K69" s="8" t="n"/>
      <c r="L69" s="8">
        <f>IF(J69="","",J69+K69)</f>
        <v/>
      </c>
      <c r="M69" s="7" t="n"/>
      <c r="N69" s="7" t="n"/>
      <c r="O69" s="7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5" t="n"/>
      <c r="K70" s="5" t="n"/>
      <c r="L70" s="5">
        <f>IF(J70="","",J70+K70)</f>
        <v/>
      </c>
      <c r="M70" s="4" t="n"/>
      <c r="N70" s="4" t="n"/>
      <c r="O70" s="4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8" t="n"/>
      <c r="K71" s="8" t="n"/>
      <c r="L71" s="8">
        <f>IF(J71="","",J71+K71)</f>
        <v/>
      </c>
      <c r="M71" s="7" t="n"/>
      <c r="N71" s="7" t="n"/>
      <c r="O71" s="7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5" t="n"/>
      <c r="K72" s="5" t="n"/>
      <c r="L72" s="5">
        <f>IF(J72="","",J72+K72)</f>
        <v/>
      </c>
      <c r="M72" s="4" t="n"/>
      <c r="N72" s="4" t="n"/>
      <c r="O72" s="4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8" t="n"/>
      <c r="K73" s="8" t="n"/>
      <c r="L73" s="8">
        <f>IF(J73="","",J73+K73)</f>
        <v/>
      </c>
      <c r="M73" s="7" t="n"/>
      <c r="N73" s="7" t="n"/>
      <c r="O73" s="7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5" t="n"/>
      <c r="K74" s="5" t="n"/>
      <c r="L74" s="5">
        <f>IF(J74="","",J74+K74)</f>
        <v/>
      </c>
      <c r="M74" s="4" t="n"/>
      <c r="N74" s="4" t="n"/>
      <c r="O74" s="4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8" t="n"/>
      <c r="K75" s="8" t="n"/>
      <c r="L75" s="8">
        <f>IF(J75="","",J75+K75)</f>
        <v/>
      </c>
      <c r="M75" s="7" t="n"/>
      <c r="N75" s="7" t="n"/>
      <c r="O75" s="7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5" t="n"/>
      <c r="K76" s="5" t="n"/>
      <c r="L76" s="5">
        <f>IF(J76="","",J76+K76)</f>
        <v/>
      </c>
      <c r="M76" s="4" t="n"/>
      <c r="N76" s="4" t="n"/>
      <c r="O76" s="4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8" t="n"/>
      <c r="K77" s="8" t="n"/>
      <c r="L77" s="8">
        <f>IF(J77="","",J77+K77)</f>
        <v/>
      </c>
      <c r="M77" s="7" t="n"/>
      <c r="N77" s="7" t="n"/>
      <c r="O77" s="7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5" t="n"/>
      <c r="K78" s="5" t="n"/>
      <c r="L78" s="5">
        <f>IF(J78="","",J78+K78)</f>
        <v/>
      </c>
      <c r="M78" s="4" t="n"/>
      <c r="N78" s="4" t="n"/>
      <c r="O78" s="4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8" t="n"/>
      <c r="K79" s="8" t="n"/>
      <c r="L79" s="8">
        <f>IF(J79="","",J79+K79)</f>
        <v/>
      </c>
      <c r="M79" s="7" t="n"/>
      <c r="N79" s="7" t="n"/>
      <c r="O79" s="7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5" t="n"/>
      <c r="K80" s="5" t="n"/>
      <c r="L80" s="5">
        <f>IF(J80="","",J80+K80)</f>
        <v/>
      </c>
      <c r="M80" s="4" t="n"/>
      <c r="N80" s="4" t="n"/>
      <c r="O80" s="4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8" t="n"/>
      <c r="K81" s="8" t="n"/>
      <c r="L81" s="8">
        <f>IF(J81="","",J81+K81)</f>
        <v/>
      </c>
      <c r="M81" s="7" t="n"/>
      <c r="N81" s="7" t="n"/>
      <c r="O81" s="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5" t="n"/>
      <c r="K82" s="5" t="n"/>
      <c r="L82" s="5">
        <f>IF(J82="","",J82+K82)</f>
        <v/>
      </c>
      <c r="M82" s="4" t="n"/>
      <c r="N82" s="4" t="n"/>
      <c r="O82" s="4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8" t="n"/>
      <c r="K83" s="8" t="n"/>
      <c r="L83" s="8">
        <f>IF(J83="","",J83+K83)</f>
        <v/>
      </c>
      <c r="M83" s="7" t="n"/>
      <c r="N83" s="7" t="n"/>
      <c r="O83" s="7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5" t="n"/>
      <c r="K84" s="5" t="n"/>
      <c r="L84" s="5">
        <f>IF(J84="","",J84+K84)</f>
        <v/>
      </c>
      <c r="M84" s="4" t="n"/>
      <c r="N84" s="4" t="n"/>
      <c r="O84" s="4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8" t="n"/>
      <c r="K85" s="8" t="n"/>
      <c r="L85" s="8">
        <f>IF(J85="","",J85+K85)</f>
        <v/>
      </c>
      <c r="M85" s="7" t="n"/>
      <c r="N85" s="7" t="n"/>
      <c r="O85" s="7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5" t="n"/>
      <c r="K86" s="5" t="n"/>
      <c r="L86" s="5">
        <f>IF(J86="","",J86+K86)</f>
        <v/>
      </c>
      <c r="M86" s="4" t="n"/>
      <c r="N86" s="4" t="n"/>
      <c r="O86" s="4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8" t="n"/>
      <c r="K87" s="8" t="n"/>
      <c r="L87" s="8">
        <f>IF(J87="","",J87+K87)</f>
        <v/>
      </c>
      <c r="M87" s="7" t="n"/>
      <c r="N87" s="7" t="n"/>
      <c r="O87" s="7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5" t="n"/>
      <c r="K88" s="5" t="n"/>
      <c r="L88" s="5">
        <f>IF(J88="","",J88+K88)</f>
        <v/>
      </c>
      <c r="M88" s="4" t="n"/>
      <c r="N88" s="4" t="n"/>
      <c r="O88" s="4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8" t="n"/>
      <c r="K89" s="8" t="n"/>
      <c r="L89" s="8">
        <f>IF(J89="","",J89+K89)</f>
        <v/>
      </c>
      <c r="M89" s="7" t="n"/>
      <c r="N89" s="7" t="n"/>
      <c r="O89" s="7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5" t="n"/>
      <c r="K90" s="5" t="n"/>
      <c r="L90" s="5">
        <f>IF(J90="","",J90+K90)</f>
        <v/>
      </c>
      <c r="M90" s="4" t="n"/>
      <c r="N90" s="4" t="n"/>
      <c r="O90" s="4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8" t="n"/>
      <c r="K91" s="8" t="n"/>
      <c r="L91" s="8">
        <f>IF(J91="","",J91+K91)</f>
        <v/>
      </c>
      <c r="M91" s="7" t="n"/>
      <c r="N91" s="7" t="n"/>
      <c r="O91" s="7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5" t="n"/>
      <c r="K92" s="5" t="n"/>
      <c r="L92" s="5">
        <f>IF(J92="","",J92+K92)</f>
        <v/>
      </c>
      <c r="M92" s="4" t="n"/>
      <c r="N92" s="4" t="n"/>
      <c r="O92" s="4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8" t="n"/>
      <c r="K93" s="8" t="n"/>
      <c r="L93" s="8">
        <f>IF(J93="","",J93+K93)</f>
        <v/>
      </c>
      <c r="M93" s="7" t="n"/>
      <c r="N93" s="7" t="n"/>
      <c r="O93" s="7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5" t="n"/>
      <c r="K94" s="5" t="n"/>
      <c r="L94" s="5">
        <f>IF(J94="","",J94+K94)</f>
        <v/>
      </c>
      <c r="M94" s="4" t="n"/>
      <c r="N94" s="4" t="n"/>
      <c r="O94" s="4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8" t="n"/>
      <c r="K95" s="8" t="n"/>
      <c r="L95" s="8">
        <f>IF(J95="","",J95+K95)</f>
        <v/>
      </c>
      <c r="M95" s="7" t="n"/>
      <c r="N95" s="7" t="n"/>
      <c r="O95" s="7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5" t="n"/>
      <c r="K96" s="5" t="n"/>
      <c r="L96" s="5">
        <f>IF(J96="","",J96+K96)</f>
        <v/>
      </c>
      <c r="M96" s="4" t="n"/>
      <c r="N96" s="4" t="n"/>
      <c r="O96" s="4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8" t="n"/>
      <c r="K97" s="8" t="n"/>
      <c r="L97" s="8">
        <f>IF(J97="","",J97+K97)</f>
        <v/>
      </c>
      <c r="M97" s="7" t="n"/>
      <c r="N97" s="7" t="n"/>
      <c r="O97" s="7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5" t="n"/>
      <c r="K98" s="5" t="n"/>
      <c r="L98" s="5">
        <f>IF(J98="","",J98+K98)</f>
        <v/>
      </c>
      <c r="M98" s="4" t="n"/>
      <c r="N98" s="4" t="n"/>
      <c r="O98" s="4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8" t="n"/>
      <c r="K99" s="8" t="n"/>
      <c r="L99" s="8">
        <f>IF(J99="","",J99+K99)</f>
        <v/>
      </c>
      <c r="M99" s="7" t="n"/>
      <c r="N99" s="7" t="n"/>
      <c r="O99" s="7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5" t="n"/>
      <c r="K100" s="5" t="n"/>
      <c r="L100" s="5">
        <f>IF(J100="","",J100+K100)</f>
        <v/>
      </c>
      <c r="M100" s="4" t="n"/>
      <c r="N100" s="4" t="n"/>
      <c r="O100" s="4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8" t="n"/>
      <c r="K101" s="8" t="n"/>
      <c r="L101" s="8">
        <f>IF(J101="","",J101+K101)</f>
        <v/>
      </c>
      <c r="M101" s="7" t="n"/>
      <c r="N101" s="7" t="n"/>
      <c r="O101" s="7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5" t="n"/>
      <c r="K102" s="5" t="n"/>
      <c r="L102" s="5">
        <f>IF(J102="","",J102+K102)</f>
        <v/>
      </c>
      <c r="M102" s="4" t="n"/>
      <c r="N102" s="4" t="n"/>
      <c r="O102" s="4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8" t="n"/>
      <c r="K103" s="8" t="n"/>
      <c r="L103" s="8">
        <f>IF(J103="","",J103+K103)</f>
        <v/>
      </c>
      <c r="M103" s="7" t="n"/>
      <c r="N103" s="7" t="n"/>
      <c r="O103" s="7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5" t="n"/>
      <c r="K104" s="5" t="n"/>
      <c r="L104" s="5">
        <f>IF(J104="","",J104+K104)</f>
        <v/>
      </c>
      <c r="M104" s="4" t="n"/>
      <c r="N104" s="4" t="n"/>
      <c r="O104" s="4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8" t="n"/>
      <c r="K105" s="8" t="n"/>
      <c r="L105" s="8">
        <f>IF(J105="","",J105+K105)</f>
        <v/>
      </c>
      <c r="M105" s="7" t="n"/>
      <c r="N105" s="7" t="n"/>
      <c r="O105" s="7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5" t="n"/>
      <c r="K106" s="5" t="n"/>
      <c r="L106" s="5">
        <f>IF(J106="","",J106+K106)</f>
        <v/>
      </c>
      <c r="M106" s="4" t="n"/>
      <c r="N106" s="4" t="n"/>
      <c r="O106" s="4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8" t="n"/>
      <c r="K107" s="8" t="n"/>
      <c r="L107" s="8">
        <f>IF(J107="","",J107+K107)</f>
        <v/>
      </c>
      <c r="M107" s="7" t="n"/>
      <c r="N107" s="7" t="n"/>
      <c r="O107" s="7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5" t="n"/>
      <c r="K108" s="5" t="n"/>
      <c r="L108" s="5">
        <f>IF(J108="","",J108+K108)</f>
        <v/>
      </c>
      <c r="M108" s="4" t="n"/>
      <c r="N108" s="4" t="n"/>
      <c r="O108" s="4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8" t="n"/>
      <c r="K109" s="8" t="n"/>
      <c r="L109" s="8">
        <f>IF(J109="","",J109+K109)</f>
        <v/>
      </c>
      <c r="M109" s="7" t="n"/>
      <c r="N109" s="7" t="n"/>
      <c r="O109" s="7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5" t="n"/>
      <c r="K110" s="5" t="n"/>
      <c r="L110" s="5">
        <f>IF(J110="","",J110+K110)</f>
        <v/>
      </c>
      <c r="M110" s="4" t="n"/>
      <c r="N110" s="4" t="n"/>
      <c r="O110" s="4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8" t="n"/>
      <c r="K111" s="8" t="n"/>
      <c r="L111" s="8">
        <f>IF(J111="","",J111+K111)</f>
        <v/>
      </c>
      <c r="M111" s="7" t="n"/>
      <c r="N111" s="7" t="n"/>
      <c r="O111" s="7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5" t="n"/>
      <c r="K112" s="5" t="n"/>
      <c r="L112" s="5">
        <f>IF(J112="","",J112+K112)</f>
        <v/>
      </c>
      <c r="M112" s="4" t="n"/>
      <c r="N112" s="4" t="n"/>
      <c r="O112" s="4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8" t="n"/>
      <c r="K113" s="8" t="n"/>
      <c r="L113" s="8">
        <f>IF(J113="","",J113+K113)</f>
        <v/>
      </c>
      <c r="M113" s="7" t="n"/>
      <c r="N113" s="7" t="n"/>
      <c r="O113" s="7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5" t="n"/>
      <c r="K114" s="5" t="n"/>
      <c r="L114" s="5">
        <f>IF(J114="","",J114+K114)</f>
        <v/>
      </c>
      <c r="M114" s="4" t="n"/>
      <c r="N114" s="4" t="n"/>
      <c r="O114" s="4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8" t="n"/>
      <c r="K115" s="8" t="n"/>
      <c r="L115" s="8">
        <f>IF(J115="","",J115+K115)</f>
        <v/>
      </c>
      <c r="M115" s="7" t="n"/>
      <c r="N115" s="7" t="n"/>
      <c r="O115" s="7" t="n"/>
    </row>
  </sheetData>
  <mergeCells count="2">
    <mergeCell ref="A3:P3"/>
    <mergeCell ref="A2:P2"/>
  </mergeCells>
  <conditionalFormatting sqref="F6:F115">
    <cfRule type="cellIs" priority="1" operator="equal" dxfId="2">
      <formula>"Fatale"</formula>
    </cfRule>
    <cfRule type="cellIs" priority="2" operator="equal" dxfId="3">
      <formula>"Grave"</formula>
    </cfRule>
    <cfRule type="cellIs" priority="3" operator="equal" dxfId="0">
      <formula>"Modérée"</formula>
    </cfRule>
    <cfRule type="cellIs" priority="4" operator="equal" dxfId="1">
      <formula>"Mineure"</formula>
    </cfRule>
  </conditionalFormatting>
  <conditionalFormatting sqref="O6:O115">
    <cfRule type="cellIs" priority="5" operator="equal" dxfId="1">
      <formula>"Clôturé"</formula>
    </cfRule>
    <cfRule type="cellIs" priority="6" operator="equal" dxfId="0">
      <formula>"En cours"</formula>
    </cfRule>
    <cfRule type="cellIs" priority="7" operator="equal" dxfId="4">
      <formula>"Planifié"</formula>
    </cfRule>
  </conditionalFormatting>
  <dataValidations count="4">
    <dataValidation sqref="C6:C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  <dataValidation sqref="E6:E115" showDropDown="0" showInputMessage="0" showErrorMessage="0" allowBlank="1" errorTitle="Erreur de saisie" error="Valeur non autorisée" promptTitle="Liste déroulante" prompt="Sélectionnez dans la liste" type="list">
      <formula1>'F02 - _Lists'!$H$6:$H$35</formula1>
    </dataValidation>
    <dataValidation sqref="F6:F115" showDropDown="0" showInputMessage="0" showErrorMessage="0" allowBlank="1" errorTitle="Erreur de saisie" error="Valeur non autorisée" promptTitle="Liste déroulante" prompt="Sélectionnez dans la liste" type="list">
      <formula1>'F02 - _Lists'!$I$6:$I$35</formula1>
    </dataValidation>
    <dataValidation sqref="O6:O115" showDropDown="0" showInputMessage="0" showErrorMessage="0" allowBlank="1" errorTitle="Erreur de saisie" error="Valeur non autorisée" promptTitle="Liste déroulante" prompt="Sélectionnez dans la liste" type="list">
      <formula1>'F02 - _Lists'!$K$6:$K$35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88E3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0" customWidth="1" min="4" max="4"/>
    <col width="14" customWidth="1" min="5" max="5"/>
    <col width="14" customWidth="1" min="6" max="6"/>
    <col width="22" customWidth="1" min="7" max="7"/>
    <col width="22" customWidth="1" min="8" max="8"/>
    <col width="30" customWidth="1" min="9" max="9"/>
    <col width="16" customWidth="1" min="10" max="10"/>
    <col width="18" customWidth="1" min="11" max="11"/>
    <col width="14" customWidth="1" min="12" max="12"/>
  </cols>
  <sheetData>
    <row r="2" ht="25" customHeight="1">
      <c r="A2" s="1" t="inlineStr">
        <is>
          <t>DOMAINE 27 — 4-VISITES MÉDICALES DU TRAVAIL</t>
        </is>
      </c>
    </row>
    <row r="3" ht="18" customHeight="1">
      <c r="A3" s="2" t="inlineStr">
        <is>
          <t>TABLEAU DYNAMIQUE — Suivi des examens médicaux obligatoires</t>
        </is>
      </c>
    </row>
    <row r="5">
      <c r="A5" s="3" t="inlineStr">
        <is>
          <t>Matricule</t>
        </is>
      </c>
      <c r="B5" s="3" t="inlineStr">
        <is>
          <t>Nom Complet</t>
        </is>
      </c>
      <c r="C5" s="3" t="inlineStr">
        <is>
          <t>Département</t>
        </is>
      </c>
      <c r="D5" s="3" t="inlineStr">
        <is>
          <t>Type de Visite</t>
        </is>
      </c>
      <c r="E5" s="3" t="inlineStr">
        <is>
          <t>Date Visite</t>
        </is>
      </c>
      <c r="F5" s="3" t="inlineStr">
        <is>
          <t>Médecin</t>
        </is>
      </c>
      <c r="G5" s="3" t="inlineStr">
        <is>
          <t>Résultat</t>
        </is>
      </c>
      <c r="H5" s="3" t="inlineStr">
        <is>
          <t>Aptitude</t>
        </is>
      </c>
      <c r="I5" s="3" t="inlineStr">
        <is>
          <t>Restrictions</t>
        </is>
      </c>
      <c r="J5" s="3" t="inlineStr">
        <is>
          <t>Date Prochaine Visite</t>
        </is>
      </c>
      <c r="K5" s="3" t="inlineStr">
        <is>
          <t>Rappels Médicaux (FCFA)</t>
        </is>
      </c>
      <c r="L5" s="3" t="inlineStr">
        <is>
          <t>Statut</t>
        </is>
      </c>
    </row>
    <row r="6">
      <c r="A6" s="4" t="inlineStr">
        <is>
          <t>EMP-001</t>
        </is>
      </c>
      <c r="B6" s="4" t="inlineStr">
        <is>
          <t>M. Nkoulou Paul</t>
        </is>
      </c>
      <c r="C6" s="4" t="inlineStr">
        <is>
          <t>Direction Générale</t>
        </is>
      </c>
      <c r="D6" s="4" t="inlineStr">
        <is>
          <t>Visite annuelle</t>
        </is>
      </c>
      <c r="E6" s="14" t="n">
        <v>45677</v>
      </c>
      <c r="F6" s="4" t="inlineStr">
        <is>
          <t>Dr. Manga</t>
        </is>
      </c>
      <c r="G6" s="4" t="inlineStr">
        <is>
          <t>Normal</t>
        </is>
      </c>
      <c r="H6" s="4" t="inlineStr">
        <is>
          <t>Apte</t>
        </is>
      </c>
      <c r="I6" s="4" t="inlineStr">
        <is>
          <t>Aucune</t>
        </is>
      </c>
      <c r="J6" s="14" t="n">
        <v>46042</v>
      </c>
      <c r="K6" s="5" t="n">
        <v>25000</v>
      </c>
      <c r="L6" s="4" t="inlineStr">
        <is>
          <t>Effectuée</t>
        </is>
      </c>
    </row>
    <row r="7">
      <c r="A7" s="7" t="inlineStr">
        <is>
          <t>EMP-015</t>
        </is>
      </c>
      <c r="B7" s="7" t="inlineStr">
        <is>
          <t>M. Tchinda Jean</t>
        </is>
      </c>
      <c r="C7" s="7" t="inlineStr">
        <is>
          <t>Cuisine &amp; Restauration</t>
        </is>
      </c>
      <c r="D7" s="7" t="inlineStr">
        <is>
          <t>Visite annuelle</t>
        </is>
      </c>
      <c r="E7" s="15" t="n">
        <v>45698</v>
      </c>
      <c r="F7" s="7" t="inlineStr">
        <is>
          <t>Dr. Manga</t>
        </is>
      </c>
      <c r="G7" s="7" t="inlineStr">
        <is>
          <t>Normal</t>
        </is>
      </c>
      <c r="H7" s="7" t="inlineStr">
        <is>
          <t>Apte</t>
        </is>
      </c>
      <c r="I7" s="7" t="inlineStr">
        <is>
          <t>Aucune</t>
        </is>
      </c>
      <c r="J7" s="15" t="n">
        <v>46063</v>
      </c>
      <c r="K7" s="8" t="n">
        <v>25000</v>
      </c>
      <c r="L7" s="7" t="inlineStr">
        <is>
          <t>Effectuée</t>
        </is>
      </c>
    </row>
    <row r="8">
      <c r="A8" s="4" t="inlineStr">
        <is>
          <t>EMP-023</t>
        </is>
      </c>
      <c r="B8" s="4" t="inlineStr">
        <is>
          <t>M. Ondo André</t>
        </is>
      </c>
      <c r="C8" s="4" t="inlineStr">
        <is>
          <t>Maintenance &amp; Technique</t>
        </is>
      </c>
      <c r="D8" s="4" t="inlineStr">
        <is>
          <t>Visite annuelle</t>
        </is>
      </c>
      <c r="E8" s="14" t="n">
        <v>45703</v>
      </c>
      <c r="F8" s="4" t="inlineStr">
        <is>
          <t>Dr. Manga</t>
        </is>
      </c>
      <c r="G8" s="4" t="inlineStr">
        <is>
          <t>Tension élevée</t>
        </is>
      </c>
      <c r="H8" s="4" t="inlineStr">
        <is>
          <t>Apte avec restrictions</t>
        </is>
      </c>
      <c r="I8" s="4" t="inlineStr">
        <is>
          <t>Pas port de charges lourdes</t>
        </is>
      </c>
      <c r="J8" s="14" t="n">
        <v>45884</v>
      </c>
      <c r="K8" s="5" t="n">
        <v>25000</v>
      </c>
      <c r="L8" s="4" t="inlineStr">
        <is>
          <t>Effectuée</t>
        </is>
      </c>
    </row>
    <row r="9">
      <c r="A9" s="7" t="inlineStr">
        <is>
          <t>EMP-032</t>
        </is>
      </c>
      <c r="B9" s="7" t="inlineStr">
        <is>
          <t>Mme. Ngassa Marie</t>
        </is>
      </c>
      <c r="C9" s="7" t="inlineStr">
        <is>
          <t>Réception &amp; Front Office</t>
        </is>
      </c>
      <c r="D9" s="7" t="inlineStr">
        <is>
          <t>Visite de reprise</t>
        </is>
      </c>
      <c r="E9" s="15" t="n">
        <v>45721</v>
      </c>
      <c r="F9" s="7" t="inlineStr">
        <is>
          <t>Dr. Manga</t>
        </is>
      </c>
      <c r="G9" s="7" t="inlineStr">
        <is>
          <t>Convalescence</t>
        </is>
      </c>
      <c r="H9" s="7" t="inlineStr">
        <is>
          <t>Inapte temporaire</t>
        </is>
      </c>
      <c r="I9" s="7" t="inlineStr">
        <is>
          <t>Repos 2 semaines supp.</t>
        </is>
      </c>
      <c r="J9" s="15" t="n">
        <v>45735</v>
      </c>
      <c r="K9" s="8" t="n">
        <v>35000</v>
      </c>
      <c r="L9" s="7" t="inlineStr">
        <is>
          <t>En cours</t>
        </is>
      </c>
    </row>
    <row r="10">
      <c r="A10" s="4" t="inlineStr">
        <is>
          <t>EMP-045</t>
        </is>
      </c>
      <c r="B10" s="4" t="inlineStr">
        <is>
          <t>M. Kamga Ibrahim</t>
        </is>
      </c>
      <c r="C10" s="4" t="inlineStr">
        <is>
          <t>Cuisine &amp; Restauration</t>
        </is>
      </c>
      <c r="D10" s="4" t="inlineStr">
        <is>
          <t>Visite après accident</t>
        </is>
      </c>
      <c r="E10" s="14" t="n">
        <v>45682</v>
      </c>
      <c r="F10" s="4" t="inlineStr">
        <is>
          <t>Dr. Manga</t>
        </is>
      </c>
      <c r="G10" s="4" t="inlineStr">
        <is>
          <t>Brûlure en cicatrisation</t>
        </is>
      </c>
      <c r="H10" s="4" t="inlineStr">
        <is>
          <t>Apte avec restrictions</t>
        </is>
      </c>
      <c r="I10" s="4" t="inlineStr">
        <is>
          <t>Pas manipulation chauffante</t>
        </is>
      </c>
      <c r="J10" s="14" t="n">
        <v>45772</v>
      </c>
      <c r="K10" s="5" t="n">
        <v>40000</v>
      </c>
      <c r="L10" s="4" t="inlineStr">
        <is>
          <t>Effectuée</t>
        </is>
      </c>
    </row>
    <row r="11">
      <c r="A11" s="7" t="inlineStr">
        <is>
          <t>EMP-067</t>
        </is>
      </c>
      <c r="B11" s="7" t="inlineStr">
        <is>
          <t>M. Essamba Pierre</t>
        </is>
      </c>
      <c r="C11" s="7" t="inlineStr">
        <is>
          <t>Sécurité</t>
        </is>
      </c>
      <c r="D11" s="7" t="inlineStr">
        <is>
          <t>Visite annuelle</t>
        </is>
      </c>
      <c r="E11" s="15" t="n">
        <v>45736</v>
      </c>
      <c r="F11" s="7" t="inlineStr">
        <is>
          <t>Dr. Manga</t>
        </is>
      </c>
      <c r="G11" s="7" t="inlineStr">
        <is>
          <t>Stress professionnel</t>
        </is>
      </c>
      <c r="H11" s="7" t="inlineStr">
        <is>
          <t>Apte</t>
        </is>
      </c>
      <c r="I11" s="7" t="inlineStr">
        <is>
          <t>Suivi psychologique recommandé</t>
        </is>
      </c>
      <c r="J11" s="15" t="n">
        <v>46101</v>
      </c>
      <c r="K11" s="8" t="n">
        <v>25000</v>
      </c>
      <c r="L11" s="7" t="inlineStr">
        <is>
          <t>Effectuée</t>
        </is>
      </c>
    </row>
    <row r="12">
      <c r="A12" s="4" t="inlineStr">
        <is>
          <t>EMP-078</t>
        </is>
      </c>
      <c r="B12" s="4" t="inlineStr">
        <is>
          <t>M. Nganou René</t>
        </is>
      </c>
      <c r="C12" s="4" t="inlineStr">
        <is>
          <t>Maintenance &amp; Technique</t>
        </is>
      </c>
      <c r="D12" s="4" t="inlineStr">
        <is>
          <t>Visite après accident</t>
        </is>
      </c>
      <c r="E12" s="14" t="n">
        <v>45706</v>
      </c>
      <c r="F12" s="4" t="inlineStr">
        <is>
          <t>Dr. Manga</t>
        </is>
      </c>
      <c r="G12" s="4" t="inlineStr">
        <is>
          <t>Cicatrisation doigt</t>
        </is>
      </c>
      <c r="H12" s="4" t="inlineStr">
        <is>
          <t>Apte</t>
        </is>
      </c>
      <c r="I12" s="4" t="inlineStr">
        <is>
          <t>Aucune</t>
        </is>
      </c>
      <c r="J12" s="14" t="n">
        <v>45795</v>
      </c>
      <c r="K12" s="5" t="n">
        <v>35000</v>
      </c>
      <c r="L12" s="4" t="inlineStr">
        <is>
          <t>Effectuée</t>
        </is>
      </c>
    </row>
    <row r="13">
      <c r="A13" s="7" t="inlineStr">
        <is>
          <t>EMP-089</t>
        </is>
      </c>
      <c r="B13" s="7" t="inlineStr">
        <is>
          <t>Mme. Awa Fatou</t>
        </is>
      </c>
      <c r="C13" s="7" t="inlineStr">
        <is>
          <t>Réception &amp; Front Office</t>
        </is>
      </c>
      <c r="D13" s="7" t="inlineStr">
        <is>
          <t>Visite de reprise</t>
        </is>
      </c>
      <c r="E13" s="15" t="n">
        <v>45757</v>
      </c>
      <c r="F13" s="7" t="inlineStr">
        <is>
          <t>Dr. Manga</t>
        </is>
      </c>
      <c r="G13" s="7" t="inlineStr">
        <is>
          <t>Entorse résolue</t>
        </is>
      </c>
      <c r="H13" s="7" t="inlineStr">
        <is>
          <t>Apte</t>
        </is>
      </c>
      <c r="I13" s="7" t="inlineStr">
        <is>
          <t>Rééducation terminée</t>
        </is>
      </c>
      <c r="J13" s="15" t="n">
        <v>45940</v>
      </c>
      <c r="K13" s="8" t="n">
        <v>35000</v>
      </c>
      <c r="L13" s="7" t="inlineStr">
        <is>
          <t>En cours</t>
        </is>
      </c>
    </row>
    <row r="14">
      <c r="A14" s="4" t="inlineStr">
        <is>
          <t>EMP-092</t>
        </is>
      </c>
      <c r="B14" s="4" t="inlineStr">
        <is>
          <t>M. Tabi Célestin</t>
        </is>
      </c>
      <c r="C14" s="4" t="inlineStr">
        <is>
          <t>Maintenance &amp; Technique</t>
        </is>
      </c>
      <c r="D14" s="4" t="inlineStr">
        <is>
          <t>Visite après accident</t>
        </is>
      </c>
      <c r="E14" s="14" t="n">
        <v>45757</v>
      </c>
      <c r="F14" s="4" t="inlineStr">
        <is>
          <t>Dr. Manga</t>
        </is>
      </c>
      <c r="G14" s="4" t="inlineStr">
        <is>
          <t>Suivi neurologique</t>
        </is>
      </c>
      <c r="H14" s="4" t="inlineStr">
        <is>
          <t>Inapte temporaire</t>
        </is>
      </c>
      <c r="I14" s="4" t="inlineStr">
        <is>
          <t>Arrêt prolongé 3 semaines</t>
        </is>
      </c>
      <c r="J14" s="14" t="n">
        <v>45848</v>
      </c>
      <c r="K14" s="5" t="n">
        <v>50000</v>
      </c>
      <c r="L14" s="4" t="inlineStr">
        <is>
          <t>En cours</t>
        </is>
      </c>
    </row>
    <row r="15">
      <c r="A15" s="7" t="inlineStr">
        <is>
          <t>EMP-110</t>
        </is>
      </c>
      <c r="B15" s="7" t="inlineStr">
        <is>
          <t>Mme. Ngo Béatrice</t>
        </is>
      </c>
      <c r="C15" s="7" t="inlineStr">
        <is>
          <t>Spa &amp; Bien-être</t>
        </is>
      </c>
      <c r="D15" s="7" t="inlineStr">
        <is>
          <t>Visite annuelle</t>
        </is>
      </c>
      <c r="E15" s="15" t="n">
        <v>45782</v>
      </c>
      <c r="F15" s="7" t="inlineStr">
        <is>
          <t>Dr. Manga</t>
        </is>
      </c>
      <c r="G15" s="7" t="inlineStr">
        <is>
          <t>Irritation cutanée</t>
        </is>
      </c>
      <c r="H15" s="7" t="inlineStr">
        <is>
          <t>Apte avec restrictions</t>
        </is>
      </c>
      <c r="I15" s="7" t="inlineStr">
        <is>
          <t>Port gants obligatoire</t>
        </is>
      </c>
      <c r="J15" s="15" t="n">
        <v>46147</v>
      </c>
      <c r="K15" s="8" t="n">
        <v>25000</v>
      </c>
      <c r="L15" s="7" t="inlineStr">
        <is>
          <t>Effectuée</t>
        </is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5" t="n"/>
      <c r="L16" s="4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8" t="n"/>
      <c r="L17" s="7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5" t="n"/>
      <c r="L18" s="4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8" t="n"/>
      <c r="L19" s="7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5" t="n"/>
      <c r="L20" s="4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8" t="n"/>
      <c r="L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5" t="n"/>
      <c r="L22" s="4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8" t="n"/>
      <c r="L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5" t="n"/>
      <c r="L24" s="4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8" t="n"/>
      <c r="L25" s="7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  <c r="L26" s="4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8" t="n"/>
      <c r="L27" s="7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5" t="n"/>
      <c r="L28" s="4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8" t="n"/>
      <c r="L29" s="7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5" t="n"/>
      <c r="L30" s="4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8" t="n"/>
      <c r="L31" s="7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5" t="n"/>
      <c r="L32" s="4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8" t="n"/>
      <c r="L33" s="7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5" t="n"/>
      <c r="L34" s="4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8" t="n"/>
      <c r="L35" s="7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5" t="n"/>
      <c r="L36" s="4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8" t="n"/>
      <c r="L37" s="7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5" t="n"/>
      <c r="L38" s="4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8" t="n"/>
      <c r="L39" s="7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5" t="n"/>
      <c r="L40" s="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8" t="n"/>
      <c r="L41" s="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5" t="n"/>
      <c r="L42" s="4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8" t="n"/>
      <c r="L43" s="7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5" t="n"/>
      <c r="L44" s="4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8" t="n"/>
      <c r="L45" s="7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5" t="n"/>
      <c r="L46" s="4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8" t="n"/>
      <c r="L47" s="7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5" t="n"/>
      <c r="L48" s="4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8" t="n"/>
      <c r="L49" s="7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5" t="n"/>
      <c r="L50" s="4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8" t="n"/>
      <c r="L51" s="7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5" t="n"/>
      <c r="L52" s="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8" t="n"/>
      <c r="L53" s="7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5" t="n"/>
      <c r="L54" s="4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8" t="n"/>
      <c r="L55" s="7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5" t="n"/>
      <c r="L56" s="4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8" t="n"/>
      <c r="L57" s="7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5" t="n"/>
      <c r="L58" s="4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8" t="n"/>
      <c r="L59" s="7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5" t="n"/>
      <c r="L60" s="4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8" t="n"/>
      <c r="L61" s="7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5" t="n"/>
      <c r="L62" s="4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8" t="n"/>
      <c r="L63" s="7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5" t="n"/>
      <c r="L64" s="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8" t="n"/>
      <c r="L65" s="7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5" t="n"/>
      <c r="L66" s="4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8" t="n"/>
      <c r="L67" s="7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5" t="n"/>
      <c r="L68" s="4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8" t="n"/>
      <c r="L69" s="7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5" t="n"/>
      <c r="L70" s="4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8" t="n"/>
      <c r="L71" s="7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5" t="n"/>
      <c r="L72" s="4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8" t="n"/>
      <c r="L73" s="7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5" t="n"/>
      <c r="L74" s="4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8" t="n"/>
      <c r="L75" s="7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5" t="n"/>
      <c r="L76" s="4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8" t="n"/>
      <c r="L77" s="7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5" t="n"/>
      <c r="L78" s="4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8" t="n"/>
      <c r="L79" s="7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5" t="n"/>
      <c r="L80" s="4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8" t="n"/>
      <c r="L81" s="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5" t="n"/>
      <c r="L82" s="4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8" t="n"/>
      <c r="L83" s="7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5" t="n"/>
      <c r="L84" s="4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8" t="n"/>
      <c r="L85" s="7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5" t="n"/>
      <c r="L86" s="4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8" t="n"/>
      <c r="L87" s="7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5" t="n"/>
      <c r="L88" s="4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8" t="n"/>
      <c r="L89" s="7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5" t="n"/>
      <c r="L90" s="4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8" t="n"/>
      <c r="L91" s="7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5" t="n"/>
      <c r="L92" s="4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8" t="n"/>
      <c r="L93" s="7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5" t="n"/>
      <c r="L94" s="4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8" t="n"/>
      <c r="L95" s="7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5" t="n"/>
      <c r="L96" s="4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8" t="n"/>
      <c r="L97" s="7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5" t="n"/>
      <c r="L98" s="4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8" t="n"/>
      <c r="L99" s="7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5" t="n"/>
      <c r="L100" s="4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8" t="n"/>
      <c r="L101" s="7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5" t="n"/>
      <c r="L102" s="4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8" t="n"/>
      <c r="L103" s="7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5" t="n"/>
      <c r="L104" s="4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8" t="n"/>
      <c r="L105" s="7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5" t="n"/>
      <c r="L106" s="4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8" t="n"/>
      <c r="L107" s="7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5" t="n"/>
      <c r="L108" s="4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8" t="n"/>
      <c r="L109" s="7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5" t="n"/>
      <c r="L110" s="4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8" t="n"/>
      <c r="L111" s="7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5" t="n"/>
      <c r="L112" s="4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8" t="n"/>
      <c r="L113" s="7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5" t="n"/>
      <c r="L114" s="4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8" t="n"/>
      <c r="L115" s="7" t="n"/>
    </row>
  </sheetData>
  <mergeCells count="2">
    <mergeCell ref="A3:P3"/>
    <mergeCell ref="A2:P2"/>
  </mergeCells>
  <conditionalFormatting sqref="H6:H115">
    <cfRule type="cellIs" priority="1" operator="equal" dxfId="1">
      <formula>"Apte"</formula>
    </cfRule>
    <cfRule type="cellIs" priority="2" operator="equal" dxfId="0">
      <formula>"Apte avec restrictions"</formula>
    </cfRule>
    <cfRule type="cellIs" priority="3" operator="equal" dxfId="2">
      <formula>"Inapte temporaire"</formula>
    </cfRule>
    <cfRule type="cellIs" priority="4" operator="equal" dxfId="2">
      <formula>"Inapte"</formula>
    </cfRule>
  </conditionalFormatting>
  <dataValidations count="3">
    <dataValidation sqref="C6:C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  <dataValidation sqref="H6:H115" showDropDown="0" showInputMessage="0" showErrorMessage="0" allowBlank="1" errorTitle="Erreur de saisie" error="Valeur non autorisée" promptTitle="Liste déroulante" prompt="Sélectionnez dans la liste" type="list">
      <formula1>'F02 - _Lists'!$Q$6:$Q$35</formula1>
    </dataValidation>
    <dataValidation sqref="L6:L115" showDropDown="0" showInputMessage="0" showErrorMessage="0" allowBlank="1" errorTitle="Erreur de saisie" error="Valeur non autorisée" promptTitle="Liste déroulante" prompt="Sélectionnez dans la liste" type="list">
      <formula1>'F02 - _Lists'!$F$6:$F$35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88E3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16" customWidth="1" min="11" max="11"/>
    <col width="18" customWidth="1" min="12" max="12"/>
    <col width="18" customWidth="1" min="13" max="13"/>
  </cols>
  <sheetData>
    <row r="2" ht="25" customHeight="1">
      <c r="A2" s="1" t="inlineStr">
        <is>
          <t>DOMAINE 27 — 5-EPI ET ÉQUIPEMENTS DE PROTECTION INDIVIDUELLE</t>
        </is>
      </c>
    </row>
    <row r="3" ht="18" customHeight="1">
      <c r="A3" s="2" t="inlineStr">
        <is>
          <t>TABLEAU DYNAMIQUE — Gestion des stocks et distributions EPI</t>
        </is>
      </c>
    </row>
    <row r="5">
      <c r="A5" s="3" t="inlineStr">
        <is>
          <t>Code EPI</t>
        </is>
      </c>
      <c r="B5" s="3" t="inlineStr">
        <is>
          <t>Type EPI</t>
        </is>
      </c>
      <c r="C5" s="3" t="inlineStr">
        <is>
          <t>Département</t>
        </is>
      </c>
      <c r="D5" s="3" t="inlineStr">
        <is>
          <t>Quantité en Stock</t>
        </is>
      </c>
      <c r="E5" s="3" t="inlineStr">
        <is>
          <t>Quantité Distribuée</t>
        </is>
      </c>
      <c r="F5" s="3" t="inlineStr">
        <is>
          <t>Quantité Restante</t>
        </is>
      </c>
      <c r="G5" s="3" t="inlineStr">
        <is>
          <t>Seuil Minimum</t>
        </is>
      </c>
      <c r="H5" s="3" t="inlineStr">
        <is>
          <t>État Stock</t>
        </is>
      </c>
      <c r="I5" s="3" t="inlineStr">
        <is>
          <t>Coût Unitaire (FCFA)</t>
        </is>
      </c>
      <c r="J5" s="3" t="inlineStr">
        <is>
          <t>Coût Total Stock (FCFA)</t>
        </is>
      </c>
      <c r="K5" s="3" t="inlineStr">
        <is>
          <t>Date Dernier Réappro.</t>
        </is>
      </c>
      <c r="L5" s="3" t="inlineStr">
        <is>
          <t>Fournisseur</t>
        </is>
      </c>
      <c r="M5" s="3" t="inlineStr">
        <is>
          <t>Fréquence Remplacement</t>
        </is>
      </c>
    </row>
    <row r="6">
      <c r="A6" s="4" t="inlineStr">
        <is>
          <t>EPI-001</t>
        </is>
      </c>
      <c r="B6" s="4" t="inlineStr">
        <is>
          <t>Gants thermiques</t>
        </is>
      </c>
      <c r="C6" s="4" t="inlineStr">
        <is>
          <t>Cuisine &amp; Restauration</t>
        </is>
      </c>
      <c r="D6" s="4" t="n">
        <v>50</v>
      </c>
      <c r="E6" s="4" t="n">
        <v>35</v>
      </c>
      <c r="F6" s="4">
        <f>D6-E6</f>
        <v/>
      </c>
      <c r="G6" s="4" t="n">
        <v>10</v>
      </c>
      <c r="H6" s="4">
        <f>IF(F6&lt;=G6,"À commander","OK")</f>
        <v/>
      </c>
      <c r="I6" s="5" t="n">
        <v>3500</v>
      </c>
      <c r="J6" s="5">
        <f>D6*I6</f>
        <v/>
      </c>
      <c r="K6" s="14" t="n">
        <v>45717</v>
      </c>
      <c r="L6" s="4" t="inlineStr">
        <is>
          <t>SecurPro SARL</t>
        </is>
      </c>
      <c r="M6" s="4" t="inlineStr">
        <is>
          <t>Mensuelle</t>
        </is>
      </c>
    </row>
    <row r="7">
      <c r="A7" s="7" t="inlineStr">
        <is>
          <t>EPI-002</t>
        </is>
      </c>
      <c r="B7" s="7" t="inlineStr">
        <is>
          <t>Gants latex</t>
        </is>
      </c>
      <c r="C7" s="7" t="inlineStr">
        <is>
          <t>Cuisine &amp; Restauration</t>
        </is>
      </c>
      <c r="D7" s="7" t="n">
        <v>200</v>
      </c>
      <c r="E7" s="7" t="n">
        <v>150</v>
      </c>
      <c r="F7" s="7">
        <f>D7-E7</f>
        <v/>
      </c>
      <c r="G7" s="7" t="n">
        <v>50</v>
      </c>
      <c r="H7" s="7">
        <f>IF(F7&lt;=G7,"À commander","OK")</f>
        <v/>
      </c>
      <c r="I7" s="8" t="n">
        <v>800</v>
      </c>
      <c r="J7" s="8">
        <f>D7*I7</f>
        <v/>
      </c>
      <c r="K7" s="15" t="n">
        <v>45748</v>
      </c>
      <c r="L7" s="7" t="inlineStr">
        <is>
          <t>MediSupply</t>
        </is>
      </c>
      <c r="M7" s="7" t="inlineStr">
        <is>
          <t>Mensuelle</t>
        </is>
      </c>
    </row>
    <row r="8">
      <c r="A8" s="4" t="inlineStr">
        <is>
          <t>EPI-003</t>
        </is>
      </c>
      <c r="B8" s="4" t="inlineStr">
        <is>
          <t>Casque électrique</t>
        </is>
      </c>
      <c r="C8" s="4" t="inlineStr">
        <is>
          <t>Maintenance</t>
        </is>
      </c>
      <c r="D8" s="4" t="n">
        <v>15</v>
      </c>
      <c r="E8" s="4" t="n">
        <v>10</v>
      </c>
      <c r="F8" s="4">
        <f>D8-E8</f>
        <v/>
      </c>
      <c r="G8" s="4" t="n">
        <v>5</v>
      </c>
      <c r="H8" s="4">
        <f>IF(F8&lt;=G8,"À commander","OK")</f>
        <v/>
      </c>
      <c r="I8" s="5" t="n">
        <v>25000</v>
      </c>
      <c r="J8" s="5">
        <f>D8*I8</f>
        <v/>
      </c>
      <c r="K8" s="14" t="n">
        <v>45703</v>
      </c>
      <c r="L8" s="4" t="inlineStr">
        <is>
          <t>ElecSafe</t>
        </is>
      </c>
      <c r="M8" s="4" t="inlineStr">
        <is>
          <t>Annuelle</t>
        </is>
      </c>
    </row>
    <row r="9">
      <c r="A9" s="7" t="inlineStr">
        <is>
          <t>EPI-004</t>
        </is>
      </c>
      <c r="B9" s="7" t="inlineStr">
        <is>
          <t>Lunettes protection</t>
        </is>
      </c>
      <c r="C9" s="7" t="inlineStr">
        <is>
          <t>Maintenance</t>
        </is>
      </c>
      <c r="D9" s="7" t="n">
        <v>40</v>
      </c>
      <c r="E9" s="7" t="n">
        <v>28</v>
      </c>
      <c r="F9" s="7">
        <f>D9-E9</f>
        <v/>
      </c>
      <c r="G9" s="7" t="n">
        <v>10</v>
      </c>
      <c r="H9" s="7">
        <f>IF(F9&lt;=G9,"À commander","OK")</f>
        <v/>
      </c>
      <c r="I9" s="8" t="n">
        <v>5000</v>
      </c>
      <c r="J9" s="8">
        <f>D9*I9</f>
        <v/>
      </c>
      <c r="K9" s="15" t="n">
        <v>45731</v>
      </c>
      <c r="L9" s="7" t="inlineStr">
        <is>
          <t>SecurPro SARL</t>
        </is>
      </c>
      <c r="M9" s="7" t="inlineStr">
        <is>
          <t>Trimestrielle</t>
        </is>
      </c>
    </row>
    <row r="10">
      <c r="A10" s="4" t="inlineStr">
        <is>
          <t>EPI-005</t>
        </is>
      </c>
      <c r="B10" s="4" t="inlineStr">
        <is>
          <t>Chaussures sécurité</t>
        </is>
      </c>
      <c r="C10" s="4" t="inlineStr">
        <is>
          <t>Tous départements</t>
        </is>
      </c>
      <c r="D10" s="4" t="n">
        <v>80</v>
      </c>
      <c r="E10" s="4" t="n">
        <v>65</v>
      </c>
      <c r="F10" s="4">
        <f>D10-E10</f>
        <v/>
      </c>
      <c r="G10" s="4" t="n">
        <v>15</v>
      </c>
      <c r="H10" s="4">
        <f>IF(F10&lt;=G10,"À commander","OK")</f>
        <v/>
      </c>
      <c r="I10" s="5" t="n">
        <v>18000</v>
      </c>
      <c r="J10" s="5">
        <f>D10*I10</f>
        <v/>
      </c>
      <c r="K10" s="14" t="n">
        <v>45677</v>
      </c>
      <c r="L10" s="4" t="inlineStr">
        <is>
          <t>SafetyWear</t>
        </is>
      </c>
      <c r="M10" s="4" t="inlineStr">
        <is>
          <t>Annuelle</t>
        </is>
      </c>
    </row>
    <row r="11">
      <c r="A11" s="7" t="inlineStr">
        <is>
          <t>EPI-006</t>
        </is>
      </c>
      <c r="B11" s="7" t="inlineStr">
        <is>
          <t>Gilet haute visibilité</t>
        </is>
      </c>
      <c r="C11" s="7" t="inlineStr">
        <is>
          <t>Sécurité</t>
        </is>
      </c>
      <c r="D11" s="7" t="n">
        <v>25</v>
      </c>
      <c r="E11" s="7" t="n">
        <v>20</v>
      </c>
      <c r="F11" s="7">
        <f>D11-E11</f>
        <v/>
      </c>
      <c r="G11" s="7" t="n">
        <v>5</v>
      </c>
      <c r="H11" s="7">
        <f>IF(F11&lt;=G11,"À commander","OK")</f>
        <v/>
      </c>
      <c r="I11" s="8" t="n">
        <v>8000</v>
      </c>
      <c r="J11" s="8">
        <f>D11*I11</f>
        <v/>
      </c>
      <c r="K11" s="15" t="n">
        <v>45689</v>
      </c>
      <c r="L11" s="7" t="inlineStr">
        <is>
          <t>SafetyWear</t>
        </is>
      </c>
      <c r="M11" s="7" t="inlineStr">
        <is>
          <t>Semestrielle</t>
        </is>
      </c>
    </row>
    <row r="12">
      <c r="A12" s="4" t="inlineStr">
        <is>
          <t>EPI-007</t>
        </is>
      </c>
      <c r="B12" s="4" t="inlineStr">
        <is>
          <t>Masque respiratoire</t>
        </is>
      </c>
      <c r="C12" s="4" t="inlineStr">
        <is>
          <t>Maintenance</t>
        </is>
      </c>
      <c r="D12" s="4" t="n">
        <v>30</v>
      </c>
      <c r="E12" s="4" t="n">
        <v>18</v>
      </c>
      <c r="F12" s="4">
        <f>D12-E12</f>
        <v/>
      </c>
      <c r="G12" s="4" t="n">
        <v>8</v>
      </c>
      <c r="H12" s="4">
        <f>IF(F12&lt;=G12,"À commander","OK")</f>
        <v/>
      </c>
      <c r="I12" s="5" t="n">
        <v>12000</v>
      </c>
      <c r="J12" s="5">
        <f>D12*I12</f>
        <v/>
      </c>
      <c r="K12" s="14" t="n">
        <v>45717</v>
      </c>
      <c r="L12" s="4" t="inlineStr">
        <is>
          <t>ElecSafe</t>
        </is>
      </c>
      <c r="M12" s="4" t="inlineStr">
        <is>
          <t>Mensuelle</t>
        </is>
      </c>
    </row>
    <row r="13">
      <c r="A13" s="7" t="inlineStr">
        <is>
          <t>EPI-008</t>
        </is>
      </c>
      <c r="B13" s="7" t="inlineStr">
        <is>
          <t>Bouchons antibruit</t>
        </is>
      </c>
      <c r="C13" s="7" t="inlineStr">
        <is>
          <t>Maintenance</t>
        </is>
      </c>
      <c r="D13" s="7" t="n">
        <v>100</v>
      </c>
      <c r="E13" s="7" t="n">
        <v>72</v>
      </c>
      <c r="F13" s="7">
        <f>D13-E13</f>
        <v/>
      </c>
      <c r="G13" s="7" t="n">
        <v>20</v>
      </c>
      <c r="H13" s="7">
        <f>IF(F13&lt;=G13,"À commander","OK")</f>
        <v/>
      </c>
      <c r="I13" s="8" t="n">
        <v>1500</v>
      </c>
      <c r="J13" s="8">
        <f>D13*I13</f>
        <v/>
      </c>
      <c r="K13" s="15" t="n">
        <v>45748</v>
      </c>
      <c r="L13" s="7" t="inlineStr">
        <is>
          <t>SecurPro SARL</t>
        </is>
      </c>
      <c r="M13" s="7" t="inlineStr">
        <is>
          <t>Mensuelle</t>
        </is>
      </c>
    </row>
    <row r="14">
      <c r="A14" s="4" t="inlineStr">
        <is>
          <t>EPI-009</t>
        </is>
      </c>
      <c r="B14" s="4" t="inlineStr">
        <is>
          <t>Tablier cuisson</t>
        </is>
      </c>
      <c r="C14" s="4" t="inlineStr">
        <is>
          <t>Cuisine &amp; Restauration</t>
        </is>
      </c>
      <c r="D14" s="4" t="n">
        <v>30</v>
      </c>
      <c r="E14" s="4" t="n">
        <v>22</v>
      </c>
      <c r="F14" s="4">
        <f>D14-E14</f>
        <v/>
      </c>
      <c r="G14" s="4" t="n">
        <v>8</v>
      </c>
      <c r="H14" s="4">
        <f>IF(F14&lt;=G14,"À commander","OK")</f>
        <v/>
      </c>
      <c r="I14" s="5" t="n">
        <v>7000</v>
      </c>
      <c r="J14" s="5">
        <f>D14*I14</f>
        <v/>
      </c>
      <c r="K14" s="14" t="n">
        <v>45698</v>
      </c>
      <c r="L14" s="4" t="inlineStr">
        <is>
          <t>RestoEquip</t>
        </is>
      </c>
      <c r="M14" s="4" t="inlineStr">
        <is>
          <t>Trimestrielle</t>
        </is>
      </c>
    </row>
    <row r="15">
      <c r="A15" s="7" t="inlineStr">
        <is>
          <t>EPI-010</t>
        </is>
      </c>
      <c r="B15" s="7" t="inlineStr">
        <is>
          <t>Gants nitrile</t>
        </is>
      </c>
      <c r="C15" s="7" t="inlineStr">
        <is>
          <t>Spa &amp; Bien-être</t>
        </is>
      </c>
      <c r="D15" s="7" t="n">
        <v>150</v>
      </c>
      <c r="E15" s="7" t="n">
        <v>110</v>
      </c>
      <c r="F15" s="7">
        <f>D15-E15</f>
        <v/>
      </c>
      <c r="G15" s="7" t="n">
        <v>30</v>
      </c>
      <c r="H15" s="7">
        <f>IF(F15&lt;=G15,"À commander","OK")</f>
        <v/>
      </c>
      <c r="I15" s="8" t="n">
        <v>1200</v>
      </c>
      <c r="J15" s="8">
        <f>D15*I15</f>
        <v/>
      </c>
      <c r="K15" s="15" t="n">
        <v>45736</v>
      </c>
      <c r="L15" s="7" t="inlineStr">
        <is>
          <t>MediSupply</t>
        </is>
      </c>
      <c r="M15" s="7" t="inlineStr">
        <is>
          <t>Mensuelle</t>
        </is>
      </c>
    </row>
    <row r="16">
      <c r="A16" s="4" t="inlineStr">
        <is>
          <t>EPI-011</t>
        </is>
      </c>
      <c r="B16" s="4" t="inlineStr">
        <is>
          <t>Harnais sécurité</t>
        </is>
      </c>
      <c r="C16" s="4" t="inlineStr">
        <is>
          <t>Maintenance</t>
        </is>
      </c>
      <c r="D16" s="4" t="n">
        <v>8</v>
      </c>
      <c r="E16" s="4" t="n">
        <v>4</v>
      </c>
      <c r="F16" s="4">
        <f>D16-E16</f>
        <v/>
      </c>
      <c r="G16" s="4" t="n">
        <v>3</v>
      </c>
      <c r="H16" s="4">
        <f>IF(F16&lt;=G16,"À commander","OK")</f>
        <v/>
      </c>
      <c r="I16" s="5" t="n">
        <v>85000</v>
      </c>
      <c r="J16" s="5">
        <f>D16*I16</f>
        <v/>
      </c>
      <c r="K16" s="14" t="n">
        <v>45667</v>
      </c>
      <c r="L16" s="4" t="inlineStr">
        <is>
          <t>ElecSafe</t>
        </is>
      </c>
      <c r="M16" s="4" t="inlineStr">
        <is>
          <t>Annuelle</t>
        </is>
      </c>
    </row>
    <row r="17">
      <c r="A17" s="7" t="inlineStr">
        <is>
          <t>EPI-012</t>
        </is>
      </c>
      <c r="B17" s="7" t="inlineStr">
        <is>
          <t>Extincteur 6kg</t>
        </is>
      </c>
      <c r="C17" s="7" t="inlineStr">
        <is>
          <t>Tous départements</t>
        </is>
      </c>
      <c r="D17" s="7" t="n">
        <v>25</v>
      </c>
      <c r="E17" s="7" t="n">
        <v>0</v>
      </c>
      <c r="F17" s="7">
        <f>D17-E17</f>
        <v/>
      </c>
      <c r="G17" s="7" t="n">
        <v>5</v>
      </c>
      <c r="H17" s="7">
        <f>IF(F17&lt;=G17,"À commander","OK")</f>
        <v/>
      </c>
      <c r="I17" s="8" t="n">
        <v>35000</v>
      </c>
      <c r="J17" s="8">
        <f>D17*I17</f>
        <v/>
      </c>
      <c r="K17" s="15" t="n">
        <v>45662</v>
      </c>
      <c r="L17" s="7" t="inlineStr">
        <is>
          <t>FireSafe SARL</t>
        </is>
      </c>
      <c r="M17" s="7" t="inlineStr">
        <is>
          <t>Annuelle</t>
        </is>
      </c>
    </row>
    <row r="18">
      <c r="A18" s="4" t="n"/>
      <c r="B18" s="4" t="n"/>
      <c r="C18" s="4" t="n"/>
      <c r="D18" s="4" t="n"/>
      <c r="E18" s="4" t="n"/>
      <c r="F18" s="4">
        <f>IF(D18="","",D18-E18)</f>
        <v/>
      </c>
      <c r="G18" s="4" t="n"/>
      <c r="H18" s="4">
        <f>IF(OR(D18="",G18=""),"",IF(F18&lt;=G18,"À commander","OK"))</f>
        <v/>
      </c>
      <c r="I18" s="5" t="n"/>
      <c r="J18" s="5">
        <f>IF(D18="","",D18*I18)</f>
        <v/>
      </c>
      <c r="K18" s="4" t="n"/>
      <c r="L18" s="4" t="n"/>
      <c r="M18" s="4" t="n"/>
    </row>
    <row r="19">
      <c r="A19" s="7" t="n"/>
      <c r="B19" s="7" t="n"/>
      <c r="C19" s="7" t="n"/>
      <c r="D19" s="7" t="n"/>
      <c r="E19" s="7" t="n"/>
      <c r="F19" s="7">
        <f>IF(D19="","",D19-E19)</f>
        <v/>
      </c>
      <c r="G19" s="7" t="n"/>
      <c r="H19" s="7">
        <f>IF(OR(D19="",G19=""),"",IF(F19&lt;=G19,"À commander","OK"))</f>
        <v/>
      </c>
      <c r="I19" s="8" t="n"/>
      <c r="J19" s="8">
        <f>IF(D19="","",D19*I19)</f>
        <v/>
      </c>
      <c r="K19" s="7" t="n"/>
      <c r="L19" s="7" t="n"/>
      <c r="M19" s="7" t="n"/>
    </row>
    <row r="20">
      <c r="A20" s="4" t="n"/>
      <c r="B20" s="4" t="n"/>
      <c r="C20" s="4" t="n"/>
      <c r="D20" s="4" t="n"/>
      <c r="E20" s="4" t="n"/>
      <c r="F20" s="4">
        <f>IF(D20="","",D20-E20)</f>
        <v/>
      </c>
      <c r="G20" s="4" t="n"/>
      <c r="H20" s="4">
        <f>IF(OR(D20="",G20=""),"",IF(F20&lt;=G20,"À commander","OK"))</f>
        <v/>
      </c>
      <c r="I20" s="5" t="n"/>
      <c r="J20" s="5">
        <f>IF(D20="","",D20*I20)</f>
        <v/>
      </c>
      <c r="K20" s="4" t="n"/>
      <c r="L20" s="4" t="n"/>
      <c r="M20" s="4" t="n"/>
    </row>
    <row r="21">
      <c r="A21" s="7" t="n"/>
      <c r="B21" s="7" t="n"/>
      <c r="C21" s="7" t="n"/>
      <c r="D21" s="7" t="n"/>
      <c r="E21" s="7" t="n"/>
      <c r="F21" s="7">
        <f>IF(D21="","",D21-E21)</f>
        <v/>
      </c>
      <c r="G21" s="7" t="n"/>
      <c r="H21" s="7">
        <f>IF(OR(D21="",G21=""),"",IF(F21&lt;=G21,"À commander","OK"))</f>
        <v/>
      </c>
      <c r="I21" s="8" t="n"/>
      <c r="J21" s="8">
        <f>IF(D21="","",D21*I21)</f>
        <v/>
      </c>
      <c r="K21" s="7" t="n"/>
      <c r="L21" s="7" t="n"/>
      <c r="M21" s="7" t="n"/>
    </row>
    <row r="22">
      <c r="A22" s="4" t="n"/>
      <c r="B22" s="4" t="n"/>
      <c r="C22" s="4" t="n"/>
      <c r="D22" s="4" t="n"/>
      <c r="E22" s="4" t="n"/>
      <c r="F22" s="4">
        <f>IF(D22="","",D22-E22)</f>
        <v/>
      </c>
      <c r="G22" s="4" t="n"/>
      <c r="H22" s="4">
        <f>IF(OR(D22="",G22=""),"",IF(F22&lt;=G22,"À commander","OK"))</f>
        <v/>
      </c>
      <c r="I22" s="5" t="n"/>
      <c r="J22" s="5">
        <f>IF(D22="","",D22*I22)</f>
        <v/>
      </c>
      <c r="K22" s="4" t="n"/>
      <c r="L22" s="4" t="n"/>
      <c r="M22" s="4" t="n"/>
    </row>
    <row r="23">
      <c r="A23" s="7" t="n"/>
      <c r="B23" s="7" t="n"/>
      <c r="C23" s="7" t="n"/>
      <c r="D23" s="7" t="n"/>
      <c r="E23" s="7" t="n"/>
      <c r="F23" s="7">
        <f>IF(D23="","",D23-E23)</f>
        <v/>
      </c>
      <c r="G23" s="7" t="n"/>
      <c r="H23" s="7">
        <f>IF(OR(D23="",G23=""),"",IF(F23&lt;=G23,"À commander","OK"))</f>
        <v/>
      </c>
      <c r="I23" s="8" t="n"/>
      <c r="J23" s="8">
        <f>IF(D23="","",D23*I23)</f>
        <v/>
      </c>
      <c r="K23" s="7" t="n"/>
      <c r="L23" s="7" t="n"/>
      <c r="M23" s="7" t="n"/>
    </row>
    <row r="24">
      <c r="A24" s="4" t="n"/>
      <c r="B24" s="4" t="n"/>
      <c r="C24" s="4" t="n"/>
      <c r="D24" s="4" t="n"/>
      <c r="E24" s="4" t="n"/>
      <c r="F24" s="4">
        <f>IF(D24="","",D24-E24)</f>
        <v/>
      </c>
      <c r="G24" s="4" t="n"/>
      <c r="H24" s="4">
        <f>IF(OR(D24="",G24=""),"",IF(F24&lt;=G24,"À commander","OK"))</f>
        <v/>
      </c>
      <c r="I24" s="5" t="n"/>
      <c r="J24" s="5">
        <f>IF(D24="","",D24*I24)</f>
        <v/>
      </c>
      <c r="K24" s="4" t="n"/>
      <c r="L24" s="4" t="n"/>
      <c r="M24" s="4" t="n"/>
    </row>
    <row r="25">
      <c r="A25" s="7" t="n"/>
      <c r="B25" s="7" t="n"/>
      <c r="C25" s="7" t="n"/>
      <c r="D25" s="7" t="n"/>
      <c r="E25" s="7" t="n"/>
      <c r="F25" s="7">
        <f>IF(D25="","",D25-E25)</f>
        <v/>
      </c>
      <c r="G25" s="7" t="n"/>
      <c r="H25" s="7">
        <f>IF(OR(D25="",G25=""),"",IF(F25&lt;=G25,"À commander","OK"))</f>
        <v/>
      </c>
      <c r="I25" s="8" t="n"/>
      <c r="J25" s="8">
        <f>IF(D25="","",D25*I25)</f>
        <v/>
      </c>
      <c r="K25" s="7" t="n"/>
      <c r="L25" s="7" t="n"/>
      <c r="M25" s="7" t="n"/>
    </row>
    <row r="26">
      <c r="A26" s="4" t="n"/>
      <c r="B26" s="4" t="n"/>
      <c r="C26" s="4" t="n"/>
      <c r="D26" s="4" t="n"/>
      <c r="E26" s="4" t="n"/>
      <c r="F26" s="4">
        <f>IF(D26="","",D26-E26)</f>
        <v/>
      </c>
      <c r="G26" s="4" t="n"/>
      <c r="H26" s="4">
        <f>IF(OR(D26="",G26=""),"",IF(F26&lt;=G26,"À commander","OK"))</f>
        <v/>
      </c>
      <c r="I26" s="5" t="n"/>
      <c r="J26" s="5">
        <f>IF(D26="","",D26*I26)</f>
        <v/>
      </c>
      <c r="K26" s="4" t="n"/>
      <c r="L26" s="4" t="n"/>
      <c r="M26" s="4" t="n"/>
    </row>
    <row r="27">
      <c r="A27" s="7" t="n"/>
      <c r="B27" s="7" t="n"/>
      <c r="C27" s="7" t="n"/>
      <c r="D27" s="7" t="n"/>
      <c r="E27" s="7" t="n"/>
      <c r="F27" s="7">
        <f>IF(D27="","",D27-E27)</f>
        <v/>
      </c>
      <c r="G27" s="7" t="n"/>
      <c r="H27" s="7">
        <f>IF(OR(D27="",G27=""),"",IF(F27&lt;=G27,"À commander","OK"))</f>
        <v/>
      </c>
      <c r="I27" s="8" t="n"/>
      <c r="J27" s="8">
        <f>IF(D27="","",D27*I27)</f>
        <v/>
      </c>
      <c r="K27" s="7" t="n"/>
      <c r="L27" s="7" t="n"/>
      <c r="M27" s="7" t="n"/>
    </row>
    <row r="28">
      <c r="A28" s="4" t="n"/>
      <c r="B28" s="4" t="n"/>
      <c r="C28" s="4" t="n"/>
      <c r="D28" s="4" t="n"/>
      <c r="E28" s="4" t="n"/>
      <c r="F28" s="4">
        <f>IF(D28="","",D28-E28)</f>
        <v/>
      </c>
      <c r="G28" s="4" t="n"/>
      <c r="H28" s="4">
        <f>IF(OR(D28="",G28=""),"",IF(F28&lt;=G28,"À commander","OK"))</f>
        <v/>
      </c>
      <c r="I28" s="5" t="n"/>
      <c r="J28" s="5">
        <f>IF(D28="","",D28*I28)</f>
        <v/>
      </c>
      <c r="K28" s="4" t="n"/>
      <c r="L28" s="4" t="n"/>
      <c r="M28" s="4" t="n"/>
    </row>
    <row r="29">
      <c r="A29" s="7" t="n"/>
      <c r="B29" s="7" t="n"/>
      <c r="C29" s="7" t="n"/>
      <c r="D29" s="7" t="n"/>
      <c r="E29" s="7" t="n"/>
      <c r="F29" s="7">
        <f>IF(D29="","",D29-E29)</f>
        <v/>
      </c>
      <c r="G29" s="7" t="n"/>
      <c r="H29" s="7">
        <f>IF(OR(D29="",G29=""),"",IF(F29&lt;=G29,"À commander","OK"))</f>
        <v/>
      </c>
      <c r="I29" s="8" t="n"/>
      <c r="J29" s="8">
        <f>IF(D29="","",D29*I29)</f>
        <v/>
      </c>
      <c r="K29" s="7" t="n"/>
      <c r="L29" s="7" t="n"/>
      <c r="M29" s="7" t="n"/>
    </row>
    <row r="30">
      <c r="A30" s="4" t="n"/>
      <c r="B30" s="4" t="n"/>
      <c r="C30" s="4" t="n"/>
      <c r="D30" s="4" t="n"/>
      <c r="E30" s="4" t="n"/>
      <c r="F30" s="4">
        <f>IF(D30="","",D30-E30)</f>
        <v/>
      </c>
      <c r="G30" s="4" t="n"/>
      <c r="H30" s="4">
        <f>IF(OR(D30="",G30=""),"",IF(F30&lt;=G30,"À commander","OK"))</f>
        <v/>
      </c>
      <c r="I30" s="5" t="n"/>
      <c r="J30" s="5">
        <f>IF(D30="","",D30*I30)</f>
        <v/>
      </c>
      <c r="K30" s="4" t="n"/>
      <c r="L30" s="4" t="n"/>
      <c r="M30" s="4" t="n"/>
    </row>
    <row r="31">
      <c r="A31" s="7" t="n"/>
      <c r="B31" s="7" t="n"/>
      <c r="C31" s="7" t="n"/>
      <c r="D31" s="7" t="n"/>
      <c r="E31" s="7" t="n"/>
      <c r="F31" s="7">
        <f>IF(D31="","",D31-E31)</f>
        <v/>
      </c>
      <c r="G31" s="7" t="n"/>
      <c r="H31" s="7">
        <f>IF(OR(D31="",G31=""),"",IF(F31&lt;=G31,"À commander","OK"))</f>
        <v/>
      </c>
      <c r="I31" s="8" t="n"/>
      <c r="J31" s="8">
        <f>IF(D31="","",D31*I31)</f>
        <v/>
      </c>
      <c r="K31" s="7" t="n"/>
      <c r="L31" s="7" t="n"/>
      <c r="M31" s="7" t="n"/>
    </row>
    <row r="32">
      <c r="A32" s="4" t="n"/>
      <c r="B32" s="4" t="n"/>
      <c r="C32" s="4" t="n"/>
      <c r="D32" s="4" t="n"/>
      <c r="E32" s="4" t="n"/>
      <c r="F32" s="4">
        <f>IF(D32="","",D32-E32)</f>
        <v/>
      </c>
      <c r="G32" s="4" t="n"/>
      <c r="H32" s="4">
        <f>IF(OR(D32="",G32=""),"",IF(F32&lt;=G32,"À commander","OK"))</f>
        <v/>
      </c>
      <c r="I32" s="5" t="n"/>
      <c r="J32" s="5">
        <f>IF(D32="","",D32*I32)</f>
        <v/>
      </c>
      <c r="K32" s="4" t="n"/>
      <c r="L32" s="4" t="n"/>
      <c r="M32" s="4" t="n"/>
    </row>
    <row r="33">
      <c r="A33" s="7" t="n"/>
      <c r="B33" s="7" t="n"/>
      <c r="C33" s="7" t="n"/>
      <c r="D33" s="7" t="n"/>
      <c r="E33" s="7" t="n"/>
      <c r="F33" s="7">
        <f>IF(D33="","",D33-E33)</f>
        <v/>
      </c>
      <c r="G33" s="7" t="n"/>
      <c r="H33" s="7">
        <f>IF(OR(D33="",G33=""),"",IF(F33&lt;=G33,"À commander","OK"))</f>
        <v/>
      </c>
      <c r="I33" s="8" t="n"/>
      <c r="J33" s="8">
        <f>IF(D33="","",D33*I33)</f>
        <v/>
      </c>
      <c r="K33" s="7" t="n"/>
      <c r="L33" s="7" t="n"/>
      <c r="M33" s="7" t="n"/>
    </row>
    <row r="34">
      <c r="A34" s="4" t="n"/>
      <c r="B34" s="4" t="n"/>
      <c r="C34" s="4" t="n"/>
      <c r="D34" s="4" t="n"/>
      <c r="E34" s="4" t="n"/>
      <c r="F34" s="4">
        <f>IF(D34="","",D34-E34)</f>
        <v/>
      </c>
      <c r="G34" s="4" t="n"/>
      <c r="H34" s="4">
        <f>IF(OR(D34="",G34=""),"",IF(F34&lt;=G34,"À commander","OK"))</f>
        <v/>
      </c>
      <c r="I34" s="5" t="n"/>
      <c r="J34" s="5">
        <f>IF(D34="","",D34*I34)</f>
        <v/>
      </c>
      <c r="K34" s="4" t="n"/>
      <c r="L34" s="4" t="n"/>
      <c r="M34" s="4" t="n"/>
    </row>
    <row r="35">
      <c r="A35" s="7" t="n"/>
      <c r="B35" s="7" t="n"/>
      <c r="C35" s="7" t="n"/>
      <c r="D35" s="7" t="n"/>
      <c r="E35" s="7" t="n"/>
      <c r="F35" s="7">
        <f>IF(D35="","",D35-E35)</f>
        <v/>
      </c>
      <c r="G35" s="7" t="n"/>
      <c r="H35" s="7">
        <f>IF(OR(D35="",G35=""),"",IF(F35&lt;=G35,"À commander","OK"))</f>
        <v/>
      </c>
      <c r="I35" s="8" t="n"/>
      <c r="J35" s="8">
        <f>IF(D35="","",D35*I35)</f>
        <v/>
      </c>
      <c r="K35" s="7" t="n"/>
      <c r="L35" s="7" t="n"/>
      <c r="M35" s="7" t="n"/>
    </row>
    <row r="36">
      <c r="A36" s="4" t="n"/>
      <c r="B36" s="4" t="n"/>
      <c r="C36" s="4" t="n"/>
      <c r="D36" s="4" t="n"/>
      <c r="E36" s="4" t="n"/>
      <c r="F36" s="4">
        <f>IF(D36="","",D36-E36)</f>
        <v/>
      </c>
      <c r="G36" s="4" t="n"/>
      <c r="H36" s="4">
        <f>IF(OR(D36="",G36=""),"",IF(F36&lt;=G36,"À commander","OK"))</f>
        <v/>
      </c>
      <c r="I36" s="5" t="n"/>
      <c r="J36" s="5">
        <f>IF(D36="","",D36*I36)</f>
        <v/>
      </c>
      <c r="K36" s="4" t="n"/>
      <c r="L36" s="4" t="n"/>
      <c r="M36" s="4" t="n"/>
    </row>
    <row r="37">
      <c r="A37" s="7" t="n"/>
      <c r="B37" s="7" t="n"/>
      <c r="C37" s="7" t="n"/>
      <c r="D37" s="7" t="n"/>
      <c r="E37" s="7" t="n"/>
      <c r="F37" s="7">
        <f>IF(D37="","",D37-E37)</f>
        <v/>
      </c>
      <c r="G37" s="7" t="n"/>
      <c r="H37" s="7">
        <f>IF(OR(D37="",G37=""),"",IF(F37&lt;=G37,"À commander","OK"))</f>
        <v/>
      </c>
      <c r="I37" s="8" t="n"/>
      <c r="J37" s="8">
        <f>IF(D37="","",D37*I37)</f>
        <v/>
      </c>
      <c r="K37" s="7" t="n"/>
      <c r="L37" s="7" t="n"/>
      <c r="M37" s="7" t="n"/>
    </row>
    <row r="38">
      <c r="A38" s="4" t="n"/>
      <c r="B38" s="4" t="n"/>
      <c r="C38" s="4" t="n"/>
      <c r="D38" s="4" t="n"/>
      <c r="E38" s="4" t="n"/>
      <c r="F38" s="4">
        <f>IF(D38="","",D38-E38)</f>
        <v/>
      </c>
      <c r="G38" s="4" t="n"/>
      <c r="H38" s="4">
        <f>IF(OR(D38="",G38=""),"",IF(F38&lt;=G38,"À commander","OK"))</f>
        <v/>
      </c>
      <c r="I38" s="5" t="n"/>
      <c r="J38" s="5">
        <f>IF(D38="","",D38*I38)</f>
        <v/>
      </c>
      <c r="K38" s="4" t="n"/>
      <c r="L38" s="4" t="n"/>
      <c r="M38" s="4" t="n"/>
    </row>
    <row r="39">
      <c r="A39" s="7" t="n"/>
      <c r="B39" s="7" t="n"/>
      <c r="C39" s="7" t="n"/>
      <c r="D39" s="7" t="n"/>
      <c r="E39" s="7" t="n"/>
      <c r="F39" s="7">
        <f>IF(D39="","",D39-E39)</f>
        <v/>
      </c>
      <c r="G39" s="7" t="n"/>
      <c r="H39" s="7">
        <f>IF(OR(D39="",G39=""),"",IF(F39&lt;=G39,"À commander","OK"))</f>
        <v/>
      </c>
      <c r="I39" s="8" t="n"/>
      <c r="J39" s="8">
        <f>IF(D39="","",D39*I39)</f>
        <v/>
      </c>
      <c r="K39" s="7" t="n"/>
      <c r="L39" s="7" t="n"/>
      <c r="M39" s="7" t="n"/>
    </row>
    <row r="40">
      <c r="A40" s="4" t="n"/>
      <c r="B40" s="4" t="n"/>
      <c r="C40" s="4" t="n"/>
      <c r="D40" s="4" t="n"/>
      <c r="E40" s="4" t="n"/>
      <c r="F40" s="4">
        <f>IF(D40="","",D40-E40)</f>
        <v/>
      </c>
      <c r="G40" s="4" t="n"/>
      <c r="H40" s="4">
        <f>IF(OR(D40="",G40=""),"",IF(F40&lt;=G40,"À commander","OK"))</f>
        <v/>
      </c>
      <c r="I40" s="5" t="n"/>
      <c r="J40" s="5">
        <f>IF(D40="","",D40*I40)</f>
        <v/>
      </c>
      <c r="K40" s="4" t="n"/>
      <c r="L40" s="4" t="n"/>
      <c r="M40" s="4" t="n"/>
    </row>
    <row r="41">
      <c r="A41" s="7" t="n"/>
      <c r="B41" s="7" t="n"/>
      <c r="C41" s="7" t="n"/>
      <c r="D41" s="7" t="n"/>
      <c r="E41" s="7" t="n"/>
      <c r="F41" s="7">
        <f>IF(D41="","",D41-E41)</f>
        <v/>
      </c>
      <c r="G41" s="7" t="n"/>
      <c r="H41" s="7">
        <f>IF(OR(D41="",G41=""),"",IF(F41&lt;=G41,"À commander","OK"))</f>
        <v/>
      </c>
      <c r="I41" s="8" t="n"/>
      <c r="J41" s="8">
        <f>IF(D41="","",D41*I41)</f>
        <v/>
      </c>
      <c r="K41" s="7" t="n"/>
      <c r="L41" s="7" t="n"/>
      <c r="M41" s="7" t="n"/>
    </row>
    <row r="42">
      <c r="A42" s="4" t="n"/>
      <c r="B42" s="4" t="n"/>
      <c r="C42" s="4" t="n"/>
      <c r="D42" s="4" t="n"/>
      <c r="E42" s="4" t="n"/>
      <c r="F42" s="4">
        <f>IF(D42="","",D42-E42)</f>
        <v/>
      </c>
      <c r="G42" s="4" t="n"/>
      <c r="H42" s="4">
        <f>IF(OR(D42="",G42=""),"",IF(F42&lt;=G42,"À commander","OK"))</f>
        <v/>
      </c>
      <c r="I42" s="5" t="n"/>
      <c r="J42" s="5">
        <f>IF(D42="","",D42*I42)</f>
        <v/>
      </c>
      <c r="K42" s="4" t="n"/>
      <c r="L42" s="4" t="n"/>
      <c r="M42" s="4" t="n"/>
    </row>
    <row r="43">
      <c r="A43" s="7" t="n"/>
      <c r="B43" s="7" t="n"/>
      <c r="C43" s="7" t="n"/>
      <c r="D43" s="7" t="n"/>
      <c r="E43" s="7" t="n"/>
      <c r="F43" s="7">
        <f>IF(D43="","",D43-E43)</f>
        <v/>
      </c>
      <c r="G43" s="7" t="n"/>
      <c r="H43" s="7">
        <f>IF(OR(D43="",G43=""),"",IF(F43&lt;=G43,"À commander","OK"))</f>
        <v/>
      </c>
      <c r="I43" s="8" t="n"/>
      <c r="J43" s="8">
        <f>IF(D43="","",D43*I43)</f>
        <v/>
      </c>
      <c r="K43" s="7" t="n"/>
      <c r="L43" s="7" t="n"/>
      <c r="M43" s="7" t="n"/>
    </row>
    <row r="44">
      <c r="A44" s="4" t="n"/>
      <c r="B44" s="4" t="n"/>
      <c r="C44" s="4" t="n"/>
      <c r="D44" s="4" t="n"/>
      <c r="E44" s="4" t="n"/>
      <c r="F44" s="4">
        <f>IF(D44="","",D44-E44)</f>
        <v/>
      </c>
      <c r="G44" s="4" t="n"/>
      <c r="H44" s="4">
        <f>IF(OR(D44="",G44=""),"",IF(F44&lt;=G44,"À commander","OK"))</f>
        <v/>
      </c>
      <c r="I44" s="5" t="n"/>
      <c r="J44" s="5">
        <f>IF(D44="","",D44*I44)</f>
        <v/>
      </c>
      <c r="K44" s="4" t="n"/>
      <c r="L44" s="4" t="n"/>
      <c r="M44" s="4" t="n"/>
    </row>
    <row r="45">
      <c r="A45" s="7" t="n"/>
      <c r="B45" s="7" t="n"/>
      <c r="C45" s="7" t="n"/>
      <c r="D45" s="7" t="n"/>
      <c r="E45" s="7" t="n"/>
      <c r="F45" s="7">
        <f>IF(D45="","",D45-E45)</f>
        <v/>
      </c>
      <c r="G45" s="7" t="n"/>
      <c r="H45" s="7">
        <f>IF(OR(D45="",G45=""),"",IF(F45&lt;=G45,"À commander","OK"))</f>
        <v/>
      </c>
      <c r="I45" s="8" t="n"/>
      <c r="J45" s="8">
        <f>IF(D45="","",D45*I45)</f>
        <v/>
      </c>
      <c r="K45" s="7" t="n"/>
      <c r="L45" s="7" t="n"/>
      <c r="M45" s="7" t="n"/>
    </row>
    <row r="46">
      <c r="A46" s="4" t="n"/>
      <c r="B46" s="4" t="n"/>
      <c r="C46" s="4" t="n"/>
      <c r="D46" s="4" t="n"/>
      <c r="E46" s="4" t="n"/>
      <c r="F46" s="4">
        <f>IF(D46="","",D46-E46)</f>
        <v/>
      </c>
      <c r="G46" s="4" t="n"/>
      <c r="H46" s="4">
        <f>IF(OR(D46="",G46=""),"",IF(F46&lt;=G46,"À commander","OK"))</f>
        <v/>
      </c>
      <c r="I46" s="5" t="n"/>
      <c r="J46" s="5">
        <f>IF(D46="","",D46*I46)</f>
        <v/>
      </c>
      <c r="K46" s="4" t="n"/>
      <c r="L46" s="4" t="n"/>
      <c r="M46" s="4" t="n"/>
    </row>
    <row r="47">
      <c r="A47" s="7" t="n"/>
      <c r="B47" s="7" t="n"/>
      <c r="C47" s="7" t="n"/>
      <c r="D47" s="7" t="n"/>
      <c r="E47" s="7" t="n"/>
      <c r="F47" s="7">
        <f>IF(D47="","",D47-E47)</f>
        <v/>
      </c>
      <c r="G47" s="7" t="n"/>
      <c r="H47" s="7">
        <f>IF(OR(D47="",G47=""),"",IF(F47&lt;=G47,"À commander","OK"))</f>
        <v/>
      </c>
      <c r="I47" s="8" t="n"/>
      <c r="J47" s="8">
        <f>IF(D47="","",D47*I47)</f>
        <v/>
      </c>
      <c r="K47" s="7" t="n"/>
      <c r="L47" s="7" t="n"/>
      <c r="M47" s="7" t="n"/>
    </row>
    <row r="48">
      <c r="A48" s="4" t="n"/>
      <c r="B48" s="4" t="n"/>
      <c r="C48" s="4" t="n"/>
      <c r="D48" s="4" t="n"/>
      <c r="E48" s="4" t="n"/>
      <c r="F48" s="4">
        <f>IF(D48="","",D48-E48)</f>
        <v/>
      </c>
      <c r="G48" s="4" t="n"/>
      <c r="H48" s="4">
        <f>IF(OR(D48="",G48=""),"",IF(F48&lt;=G48,"À commander","OK"))</f>
        <v/>
      </c>
      <c r="I48" s="5" t="n"/>
      <c r="J48" s="5">
        <f>IF(D48="","",D48*I48)</f>
        <v/>
      </c>
      <c r="K48" s="4" t="n"/>
      <c r="L48" s="4" t="n"/>
      <c r="M48" s="4" t="n"/>
    </row>
    <row r="49">
      <c r="A49" s="7" t="n"/>
      <c r="B49" s="7" t="n"/>
      <c r="C49" s="7" t="n"/>
      <c r="D49" s="7" t="n"/>
      <c r="E49" s="7" t="n"/>
      <c r="F49" s="7">
        <f>IF(D49="","",D49-E49)</f>
        <v/>
      </c>
      <c r="G49" s="7" t="n"/>
      <c r="H49" s="7">
        <f>IF(OR(D49="",G49=""),"",IF(F49&lt;=G49,"À commander","OK"))</f>
        <v/>
      </c>
      <c r="I49" s="8" t="n"/>
      <c r="J49" s="8">
        <f>IF(D49="","",D49*I49)</f>
        <v/>
      </c>
      <c r="K49" s="7" t="n"/>
      <c r="L49" s="7" t="n"/>
      <c r="M49" s="7" t="n"/>
    </row>
    <row r="50">
      <c r="A50" s="4" t="n"/>
      <c r="B50" s="4" t="n"/>
      <c r="C50" s="4" t="n"/>
      <c r="D50" s="4" t="n"/>
      <c r="E50" s="4" t="n"/>
      <c r="F50" s="4">
        <f>IF(D50="","",D50-E50)</f>
        <v/>
      </c>
      <c r="G50" s="4" t="n"/>
      <c r="H50" s="4">
        <f>IF(OR(D50="",G50=""),"",IF(F50&lt;=G50,"À commander","OK"))</f>
        <v/>
      </c>
      <c r="I50" s="5" t="n"/>
      <c r="J50" s="5">
        <f>IF(D50="","",D50*I50)</f>
        <v/>
      </c>
      <c r="K50" s="4" t="n"/>
      <c r="L50" s="4" t="n"/>
      <c r="M50" s="4" t="n"/>
    </row>
    <row r="51">
      <c r="A51" s="7" t="n"/>
      <c r="B51" s="7" t="n"/>
      <c r="C51" s="7" t="n"/>
      <c r="D51" s="7" t="n"/>
      <c r="E51" s="7" t="n"/>
      <c r="F51" s="7">
        <f>IF(D51="","",D51-E51)</f>
        <v/>
      </c>
      <c r="G51" s="7" t="n"/>
      <c r="H51" s="7">
        <f>IF(OR(D51="",G51=""),"",IF(F51&lt;=G51,"À commander","OK"))</f>
        <v/>
      </c>
      <c r="I51" s="8" t="n"/>
      <c r="J51" s="8">
        <f>IF(D51="","",D51*I51)</f>
        <v/>
      </c>
      <c r="K51" s="7" t="n"/>
      <c r="L51" s="7" t="n"/>
      <c r="M51" s="7" t="n"/>
    </row>
    <row r="52">
      <c r="A52" s="4" t="n"/>
      <c r="B52" s="4" t="n"/>
      <c r="C52" s="4" t="n"/>
      <c r="D52" s="4" t="n"/>
      <c r="E52" s="4" t="n"/>
      <c r="F52" s="4">
        <f>IF(D52="","",D52-E52)</f>
        <v/>
      </c>
      <c r="G52" s="4" t="n"/>
      <c r="H52" s="4">
        <f>IF(OR(D52="",G52=""),"",IF(F52&lt;=G52,"À commander","OK"))</f>
        <v/>
      </c>
      <c r="I52" s="5" t="n"/>
      <c r="J52" s="5">
        <f>IF(D52="","",D52*I52)</f>
        <v/>
      </c>
      <c r="K52" s="4" t="n"/>
      <c r="L52" s="4" t="n"/>
      <c r="M52" s="4" t="n"/>
    </row>
    <row r="53">
      <c r="A53" s="7" t="n"/>
      <c r="B53" s="7" t="n"/>
      <c r="C53" s="7" t="n"/>
      <c r="D53" s="7" t="n"/>
      <c r="E53" s="7" t="n"/>
      <c r="F53" s="7">
        <f>IF(D53="","",D53-E53)</f>
        <v/>
      </c>
      <c r="G53" s="7" t="n"/>
      <c r="H53" s="7">
        <f>IF(OR(D53="",G53=""),"",IF(F53&lt;=G53,"À commander","OK"))</f>
        <v/>
      </c>
      <c r="I53" s="8" t="n"/>
      <c r="J53" s="8">
        <f>IF(D53="","",D53*I53)</f>
        <v/>
      </c>
      <c r="K53" s="7" t="n"/>
      <c r="L53" s="7" t="n"/>
      <c r="M53" s="7" t="n"/>
    </row>
    <row r="54">
      <c r="A54" s="4" t="n"/>
      <c r="B54" s="4" t="n"/>
      <c r="C54" s="4" t="n"/>
      <c r="D54" s="4" t="n"/>
      <c r="E54" s="4" t="n"/>
      <c r="F54" s="4">
        <f>IF(D54="","",D54-E54)</f>
        <v/>
      </c>
      <c r="G54" s="4" t="n"/>
      <c r="H54" s="4">
        <f>IF(OR(D54="",G54=""),"",IF(F54&lt;=G54,"À commander","OK"))</f>
        <v/>
      </c>
      <c r="I54" s="5" t="n"/>
      <c r="J54" s="5">
        <f>IF(D54="","",D54*I54)</f>
        <v/>
      </c>
      <c r="K54" s="4" t="n"/>
      <c r="L54" s="4" t="n"/>
      <c r="M54" s="4" t="n"/>
    </row>
    <row r="55">
      <c r="A55" s="7" t="n"/>
      <c r="B55" s="7" t="n"/>
      <c r="C55" s="7" t="n"/>
      <c r="D55" s="7" t="n"/>
      <c r="E55" s="7" t="n"/>
      <c r="F55" s="7">
        <f>IF(D55="","",D55-E55)</f>
        <v/>
      </c>
      <c r="G55" s="7" t="n"/>
      <c r="H55" s="7">
        <f>IF(OR(D55="",G55=""),"",IF(F55&lt;=G55,"À commander","OK"))</f>
        <v/>
      </c>
      <c r="I55" s="8" t="n"/>
      <c r="J55" s="8">
        <f>IF(D55="","",D55*I55)</f>
        <v/>
      </c>
      <c r="K55" s="7" t="n"/>
      <c r="L55" s="7" t="n"/>
      <c r="M55" s="7" t="n"/>
    </row>
    <row r="56">
      <c r="A56" s="4" t="n"/>
      <c r="B56" s="4" t="n"/>
      <c r="C56" s="4" t="n"/>
      <c r="D56" s="4" t="n"/>
      <c r="E56" s="4" t="n"/>
      <c r="F56" s="4">
        <f>IF(D56="","",D56-E56)</f>
        <v/>
      </c>
      <c r="G56" s="4" t="n"/>
      <c r="H56" s="4">
        <f>IF(OR(D56="",G56=""),"",IF(F56&lt;=G56,"À commander","OK"))</f>
        <v/>
      </c>
      <c r="I56" s="5" t="n"/>
      <c r="J56" s="5">
        <f>IF(D56="","",D56*I56)</f>
        <v/>
      </c>
      <c r="K56" s="4" t="n"/>
      <c r="L56" s="4" t="n"/>
      <c r="M56" s="4" t="n"/>
    </row>
    <row r="57">
      <c r="A57" s="7" t="n"/>
      <c r="B57" s="7" t="n"/>
      <c r="C57" s="7" t="n"/>
      <c r="D57" s="7" t="n"/>
      <c r="E57" s="7" t="n"/>
      <c r="F57" s="7">
        <f>IF(D57="","",D57-E57)</f>
        <v/>
      </c>
      <c r="G57" s="7" t="n"/>
      <c r="H57" s="7">
        <f>IF(OR(D57="",G57=""),"",IF(F57&lt;=G57,"À commander","OK"))</f>
        <v/>
      </c>
      <c r="I57" s="8" t="n"/>
      <c r="J57" s="8">
        <f>IF(D57="","",D57*I57)</f>
        <v/>
      </c>
      <c r="K57" s="7" t="n"/>
      <c r="L57" s="7" t="n"/>
      <c r="M57" s="7" t="n"/>
    </row>
    <row r="58">
      <c r="A58" s="4" t="n"/>
      <c r="B58" s="4" t="n"/>
      <c r="C58" s="4" t="n"/>
      <c r="D58" s="4" t="n"/>
      <c r="E58" s="4" t="n"/>
      <c r="F58" s="4">
        <f>IF(D58="","",D58-E58)</f>
        <v/>
      </c>
      <c r="G58" s="4" t="n"/>
      <c r="H58" s="4">
        <f>IF(OR(D58="",G58=""),"",IF(F58&lt;=G58,"À commander","OK"))</f>
        <v/>
      </c>
      <c r="I58" s="5" t="n"/>
      <c r="J58" s="5">
        <f>IF(D58="","",D58*I58)</f>
        <v/>
      </c>
      <c r="K58" s="4" t="n"/>
      <c r="L58" s="4" t="n"/>
      <c r="M58" s="4" t="n"/>
    </row>
    <row r="59">
      <c r="A59" s="7" t="n"/>
      <c r="B59" s="7" t="n"/>
      <c r="C59" s="7" t="n"/>
      <c r="D59" s="7" t="n"/>
      <c r="E59" s="7" t="n"/>
      <c r="F59" s="7">
        <f>IF(D59="","",D59-E59)</f>
        <v/>
      </c>
      <c r="G59" s="7" t="n"/>
      <c r="H59" s="7">
        <f>IF(OR(D59="",G59=""),"",IF(F59&lt;=G59,"À commander","OK"))</f>
        <v/>
      </c>
      <c r="I59" s="8" t="n"/>
      <c r="J59" s="8">
        <f>IF(D59="","",D59*I59)</f>
        <v/>
      </c>
      <c r="K59" s="7" t="n"/>
      <c r="L59" s="7" t="n"/>
      <c r="M59" s="7" t="n"/>
    </row>
    <row r="60">
      <c r="A60" s="4" t="n"/>
      <c r="B60" s="4" t="n"/>
      <c r="C60" s="4" t="n"/>
      <c r="D60" s="4" t="n"/>
      <c r="E60" s="4" t="n"/>
      <c r="F60" s="4">
        <f>IF(D60="","",D60-E60)</f>
        <v/>
      </c>
      <c r="G60" s="4" t="n"/>
      <c r="H60" s="4">
        <f>IF(OR(D60="",G60=""),"",IF(F60&lt;=G60,"À commander","OK"))</f>
        <v/>
      </c>
      <c r="I60" s="5" t="n"/>
      <c r="J60" s="5">
        <f>IF(D60="","",D60*I60)</f>
        <v/>
      </c>
      <c r="K60" s="4" t="n"/>
      <c r="L60" s="4" t="n"/>
      <c r="M60" s="4" t="n"/>
    </row>
    <row r="61">
      <c r="A61" s="7" t="n"/>
      <c r="B61" s="7" t="n"/>
      <c r="C61" s="7" t="n"/>
      <c r="D61" s="7" t="n"/>
      <c r="E61" s="7" t="n"/>
      <c r="F61" s="7">
        <f>IF(D61="","",D61-E61)</f>
        <v/>
      </c>
      <c r="G61" s="7" t="n"/>
      <c r="H61" s="7">
        <f>IF(OR(D61="",G61=""),"",IF(F61&lt;=G61,"À commander","OK"))</f>
        <v/>
      </c>
      <c r="I61" s="8" t="n"/>
      <c r="J61" s="8">
        <f>IF(D61="","",D61*I61)</f>
        <v/>
      </c>
      <c r="K61" s="7" t="n"/>
      <c r="L61" s="7" t="n"/>
      <c r="M61" s="7" t="n"/>
    </row>
    <row r="62">
      <c r="A62" s="4" t="n"/>
      <c r="B62" s="4" t="n"/>
      <c r="C62" s="4" t="n"/>
      <c r="D62" s="4" t="n"/>
      <c r="E62" s="4" t="n"/>
      <c r="F62" s="4">
        <f>IF(D62="","",D62-E62)</f>
        <v/>
      </c>
      <c r="G62" s="4" t="n"/>
      <c r="H62" s="4">
        <f>IF(OR(D62="",G62=""),"",IF(F62&lt;=G62,"À commander","OK"))</f>
        <v/>
      </c>
      <c r="I62" s="5" t="n"/>
      <c r="J62" s="5">
        <f>IF(D62="","",D62*I62)</f>
        <v/>
      </c>
      <c r="K62" s="4" t="n"/>
      <c r="L62" s="4" t="n"/>
      <c r="M62" s="4" t="n"/>
    </row>
    <row r="63">
      <c r="A63" s="7" t="n"/>
      <c r="B63" s="7" t="n"/>
      <c r="C63" s="7" t="n"/>
      <c r="D63" s="7" t="n"/>
      <c r="E63" s="7" t="n"/>
      <c r="F63" s="7">
        <f>IF(D63="","",D63-E63)</f>
        <v/>
      </c>
      <c r="G63" s="7" t="n"/>
      <c r="H63" s="7">
        <f>IF(OR(D63="",G63=""),"",IF(F63&lt;=G63,"À commander","OK"))</f>
        <v/>
      </c>
      <c r="I63" s="8" t="n"/>
      <c r="J63" s="8">
        <f>IF(D63="","",D63*I63)</f>
        <v/>
      </c>
      <c r="K63" s="7" t="n"/>
      <c r="L63" s="7" t="n"/>
      <c r="M63" s="7" t="n"/>
    </row>
    <row r="64">
      <c r="A64" s="4" t="n"/>
      <c r="B64" s="4" t="n"/>
      <c r="C64" s="4" t="n"/>
      <c r="D64" s="4" t="n"/>
      <c r="E64" s="4" t="n"/>
      <c r="F64" s="4">
        <f>IF(D64="","",D64-E64)</f>
        <v/>
      </c>
      <c r="G64" s="4" t="n"/>
      <c r="H64" s="4">
        <f>IF(OR(D64="",G64=""),"",IF(F64&lt;=G64,"À commander","OK"))</f>
        <v/>
      </c>
      <c r="I64" s="5" t="n"/>
      <c r="J64" s="5">
        <f>IF(D64="","",D64*I64)</f>
        <v/>
      </c>
      <c r="K64" s="4" t="n"/>
      <c r="L64" s="4" t="n"/>
      <c r="M64" s="4" t="n"/>
    </row>
    <row r="65">
      <c r="A65" s="7" t="n"/>
      <c r="B65" s="7" t="n"/>
      <c r="C65" s="7" t="n"/>
      <c r="D65" s="7" t="n"/>
      <c r="E65" s="7" t="n"/>
      <c r="F65" s="7">
        <f>IF(D65="","",D65-E65)</f>
        <v/>
      </c>
      <c r="G65" s="7" t="n"/>
      <c r="H65" s="7">
        <f>IF(OR(D65="",G65=""),"",IF(F65&lt;=G65,"À commander","OK"))</f>
        <v/>
      </c>
      <c r="I65" s="8" t="n"/>
      <c r="J65" s="8">
        <f>IF(D65="","",D65*I65)</f>
        <v/>
      </c>
      <c r="K65" s="7" t="n"/>
      <c r="L65" s="7" t="n"/>
      <c r="M65" s="7" t="n"/>
    </row>
    <row r="66">
      <c r="A66" s="4" t="n"/>
      <c r="B66" s="4" t="n"/>
      <c r="C66" s="4" t="n"/>
      <c r="D66" s="4" t="n"/>
      <c r="E66" s="4" t="n"/>
      <c r="F66" s="4">
        <f>IF(D66="","",D66-E66)</f>
        <v/>
      </c>
      <c r="G66" s="4" t="n"/>
      <c r="H66" s="4">
        <f>IF(OR(D66="",G66=""),"",IF(F66&lt;=G66,"À commander","OK"))</f>
        <v/>
      </c>
      <c r="I66" s="5" t="n"/>
      <c r="J66" s="5">
        <f>IF(D66="","",D66*I66)</f>
        <v/>
      </c>
      <c r="K66" s="4" t="n"/>
      <c r="L66" s="4" t="n"/>
      <c r="M66" s="4" t="n"/>
    </row>
    <row r="67">
      <c r="A67" s="7" t="n"/>
      <c r="B67" s="7" t="n"/>
      <c r="C67" s="7" t="n"/>
      <c r="D67" s="7" t="n"/>
      <c r="E67" s="7" t="n"/>
      <c r="F67" s="7">
        <f>IF(D67="","",D67-E67)</f>
        <v/>
      </c>
      <c r="G67" s="7" t="n"/>
      <c r="H67" s="7">
        <f>IF(OR(D67="",G67=""),"",IF(F67&lt;=G67,"À commander","OK"))</f>
        <v/>
      </c>
      <c r="I67" s="8" t="n"/>
      <c r="J67" s="8">
        <f>IF(D67="","",D67*I67)</f>
        <v/>
      </c>
      <c r="K67" s="7" t="n"/>
      <c r="L67" s="7" t="n"/>
      <c r="M67" s="7" t="n"/>
    </row>
    <row r="68">
      <c r="A68" s="4" t="n"/>
      <c r="B68" s="4" t="n"/>
      <c r="C68" s="4" t="n"/>
      <c r="D68" s="4" t="n"/>
      <c r="E68" s="4" t="n"/>
      <c r="F68" s="4">
        <f>IF(D68="","",D68-E68)</f>
        <v/>
      </c>
      <c r="G68" s="4" t="n"/>
      <c r="H68" s="4">
        <f>IF(OR(D68="",G68=""),"",IF(F68&lt;=G68,"À commander","OK"))</f>
        <v/>
      </c>
      <c r="I68" s="5" t="n"/>
      <c r="J68" s="5">
        <f>IF(D68="","",D68*I68)</f>
        <v/>
      </c>
      <c r="K68" s="4" t="n"/>
      <c r="L68" s="4" t="n"/>
      <c r="M68" s="4" t="n"/>
    </row>
    <row r="69">
      <c r="A69" s="7" t="n"/>
      <c r="B69" s="7" t="n"/>
      <c r="C69" s="7" t="n"/>
      <c r="D69" s="7" t="n"/>
      <c r="E69" s="7" t="n"/>
      <c r="F69" s="7">
        <f>IF(D69="","",D69-E69)</f>
        <v/>
      </c>
      <c r="G69" s="7" t="n"/>
      <c r="H69" s="7">
        <f>IF(OR(D69="",G69=""),"",IF(F69&lt;=G69,"À commander","OK"))</f>
        <v/>
      </c>
      <c r="I69" s="8" t="n"/>
      <c r="J69" s="8">
        <f>IF(D69="","",D69*I69)</f>
        <v/>
      </c>
      <c r="K69" s="7" t="n"/>
      <c r="L69" s="7" t="n"/>
      <c r="M69" s="7" t="n"/>
    </row>
    <row r="70">
      <c r="A70" s="4" t="n"/>
      <c r="B70" s="4" t="n"/>
      <c r="C70" s="4" t="n"/>
      <c r="D70" s="4" t="n"/>
      <c r="E70" s="4" t="n"/>
      <c r="F70" s="4">
        <f>IF(D70="","",D70-E70)</f>
        <v/>
      </c>
      <c r="G70" s="4" t="n"/>
      <c r="H70" s="4">
        <f>IF(OR(D70="",G70=""),"",IF(F70&lt;=G70,"À commander","OK"))</f>
        <v/>
      </c>
      <c r="I70" s="5" t="n"/>
      <c r="J70" s="5">
        <f>IF(D70="","",D70*I70)</f>
        <v/>
      </c>
      <c r="K70" s="4" t="n"/>
      <c r="L70" s="4" t="n"/>
      <c r="M70" s="4" t="n"/>
    </row>
    <row r="71">
      <c r="A71" s="7" t="n"/>
      <c r="B71" s="7" t="n"/>
      <c r="C71" s="7" t="n"/>
      <c r="D71" s="7" t="n"/>
      <c r="E71" s="7" t="n"/>
      <c r="F71" s="7">
        <f>IF(D71="","",D71-E71)</f>
        <v/>
      </c>
      <c r="G71" s="7" t="n"/>
      <c r="H71" s="7">
        <f>IF(OR(D71="",G71=""),"",IF(F71&lt;=G71,"À commander","OK"))</f>
        <v/>
      </c>
      <c r="I71" s="8" t="n"/>
      <c r="J71" s="8">
        <f>IF(D71="","",D71*I71)</f>
        <v/>
      </c>
      <c r="K71" s="7" t="n"/>
      <c r="L71" s="7" t="n"/>
      <c r="M71" s="7" t="n"/>
    </row>
    <row r="72">
      <c r="A72" s="4" t="n"/>
      <c r="B72" s="4" t="n"/>
      <c r="C72" s="4" t="n"/>
      <c r="D72" s="4" t="n"/>
      <c r="E72" s="4" t="n"/>
      <c r="F72" s="4">
        <f>IF(D72="","",D72-E72)</f>
        <v/>
      </c>
      <c r="G72" s="4" t="n"/>
      <c r="H72" s="4">
        <f>IF(OR(D72="",G72=""),"",IF(F72&lt;=G72,"À commander","OK"))</f>
        <v/>
      </c>
      <c r="I72" s="5" t="n"/>
      <c r="J72" s="5">
        <f>IF(D72="","",D72*I72)</f>
        <v/>
      </c>
      <c r="K72" s="4" t="n"/>
      <c r="L72" s="4" t="n"/>
      <c r="M72" s="4" t="n"/>
    </row>
    <row r="73">
      <c r="A73" s="7" t="n"/>
      <c r="B73" s="7" t="n"/>
      <c r="C73" s="7" t="n"/>
      <c r="D73" s="7" t="n"/>
      <c r="E73" s="7" t="n"/>
      <c r="F73" s="7">
        <f>IF(D73="","",D73-E73)</f>
        <v/>
      </c>
      <c r="G73" s="7" t="n"/>
      <c r="H73" s="7">
        <f>IF(OR(D73="",G73=""),"",IF(F73&lt;=G73,"À commander","OK"))</f>
        <v/>
      </c>
      <c r="I73" s="8" t="n"/>
      <c r="J73" s="8">
        <f>IF(D73="","",D73*I73)</f>
        <v/>
      </c>
      <c r="K73" s="7" t="n"/>
      <c r="L73" s="7" t="n"/>
      <c r="M73" s="7" t="n"/>
    </row>
    <row r="74">
      <c r="A74" s="4" t="n"/>
      <c r="B74" s="4" t="n"/>
      <c r="C74" s="4" t="n"/>
      <c r="D74" s="4" t="n"/>
      <c r="E74" s="4" t="n"/>
      <c r="F74" s="4">
        <f>IF(D74="","",D74-E74)</f>
        <v/>
      </c>
      <c r="G74" s="4" t="n"/>
      <c r="H74" s="4">
        <f>IF(OR(D74="",G74=""),"",IF(F74&lt;=G74,"À commander","OK"))</f>
        <v/>
      </c>
      <c r="I74" s="5" t="n"/>
      <c r="J74" s="5">
        <f>IF(D74="","",D74*I74)</f>
        <v/>
      </c>
      <c r="K74" s="4" t="n"/>
      <c r="L74" s="4" t="n"/>
      <c r="M74" s="4" t="n"/>
    </row>
    <row r="75">
      <c r="A75" s="7" t="n"/>
      <c r="B75" s="7" t="n"/>
      <c r="C75" s="7" t="n"/>
      <c r="D75" s="7" t="n"/>
      <c r="E75" s="7" t="n"/>
      <c r="F75" s="7">
        <f>IF(D75="","",D75-E75)</f>
        <v/>
      </c>
      <c r="G75" s="7" t="n"/>
      <c r="H75" s="7">
        <f>IF(OR(D75="",G75=""),"",IF(F75&lt;=G75,"À commander","OK"))</f>
        <v/>
      </c>
      <c r="I75" s="8" t="n"/>
      <c r="J75" s="8">
        <f>IF(D75="","",D75*I75)</f>
        <v/>
      </c>
      <c r="K75" s="7" t="n"/>
      <c r="L75" s="7" t="n"/>
      <c r="M75" s="7" t="n"/>
    </row>
    <row r="76">
      <c r="A76" s="4" t="n"/>
      <c r="B76" s="4" t="n"/>
      <c r="C76" s="4" t="n"/>
      <c r="D76" s="4" t="n"/>
      <c r="E76" s="4" t="n"/>
      <c r="F76" s="4">
        <f>IF(D76="","",D76-E76)</f>
        <v/>
      </c>
      <c r="G76" s="4" t="n"/>
      <c r="H76" s="4">
        <f>IF(OR(D76="",G76=""),"",IF(F76&lt;=G76,"À commander","OK"))</f>
        <v/>
      </c>
      <c r="I76" s="5" t="n"/>
      <c r="J76" s="5">
        <f>IF(D76="","",D76*I76)</f>
        <v/>
      </c>
      <c r="K76" s="4" t="n"/>
      <c r="L76" s="4" t="n"/>
      <c r="M76" s="4" t="n"/>
    </row>
    <row r="77">
      <c r="A77" s="7" t="n"/>
      <c r="B77" s="7" t="n"/>
      <c r="C77" s="7" t="n"/>
      <c r="D77" s="7" t="n"/>
      <c r="E77" s="7" t="n"/>
      <c r="F77" s="7">
        <f>IF(D77="","",D77-E77)</f>
        <v/>
      </c>
      <c r="G77" s="7" t="n"/>
      <c r="H77" s="7">
        <f>IF(OR(D77="",G77=""),"",IF(F77&lt;=G77,"À commander","OK"))</f>
        <v/>
      </c>
      <c r="I77" s="8" t="n"/>
      <c r="J77" s="8">
        <f>IF(D77="","",D77*I77)</f>
        <v/>
      </c>
      <c r="K77" s="7" t="n"/>
      <c r="L77" s="7" t="n"/>
      <c r="M77" s="7" t="n"/>
    </row>
    <row r="78">
      <c r="A78" s="4" t="n"/>
      <c r="B78" s="4" t="n"/>
      <c r="C78" s="4" t="n"/>
      <c r="D78" s="4" t="n"/>
      <c r="E78" s="4" t="n"/>
      <c r="F78" s="4">
        <f>IF(D78="","",D78-E78)</f>
        <v/>
      </c>
      <c r="G78" s="4" t="n"/>
      <c r="H78" s="4">
        <f>IF(OR(D78="",G78=""),"",IF(F78&lt;=G78,"À commander","OK"))</f>
        <v/>
      </c>
      <c r="I78" s="5" t="n"/>
      <c r="J78" s="5">
        <f>IF(D78="","",D78*I78)</f>
        <v/>
      </c>
      <c r="K78" s="4" t="n"/>
      <c r="L78" s="4" t="n"/>
      <c r="M78" s="4" t="n"/>
    </row>
    <row r="79">
      <c r="A79" s="7" t="n"/>
      <c r="B79" s="7" t="n"/>
      <c r="C79" s="7" t="n"/>
      <c r="D79" s="7" t="n"/>
      <c r="E79" s="7" t="n"/>
      <c r="F79" s="7">
        <f>IF(D79="","",D79-E79)</f>
        <v/>
      </c>
      <c r="G79" s="7" t="n"/>
      <c r="H79" s="7">
        <f>IF(OR(D79="",G79=""),"",IF(F79&lt;=G79,"À commander","OK"))</f>
        <v/>
      </c>
      <c r="I79" s="8" t="n"/>
      <c r="J79" s="8">
        <f>IF(D79="","",D79*I79)</f>
        <v/>
      </c>
      <c r="K79" s="7" t="n"/>
      <c r="L79" s="7" t="n"/>
      <c r="M79" s="7" t="n"/>
    </row>
    <row r="80">
      <c r="A80" s="4" t="n"/>
      <c r="B80" s="4" t="n"/>
      <c r="C80" s="4" t="n"/>
      <c r="D80" s="4" t="n"/>
      <c r="E80" s="4" t="n"/>
      <c r="F80" s="4">
        <f>IF(D80="","",D80-E80)</f>
        <v/>
      </c>
      <c r="G80" s="4" t="n"/>
      <c r="H80" s="4">
        <f>IF(OR(D80="",G80=""),"",IF(F80&lt;=G80,"À commander","OK"))</f>
        <v/>
      </c>
      <c r="I80" s="5" t="n"/>
      <c r="J80" s="5">
        <f>IF(D80="","",D80*I80)</f>
        <v/>
      </c>
      <c r="K80" s="4" t="n"/>
      <c r="L80" s="4" t="n"/>
      <c r="M80" s="4" t="n"/>
    </row>
    <row r="81">
      <c r="A81" s="7" t="n"/>
      <c r="B81" s="7" t="n"/>
      <c r="C81" s="7" t="n"/>
      <c r="D81" s="7" t="n"/>
      <c r="E81" s="7" t="n"/>
      <c r="F81" s="7">
        <f>IF(D81="","",D81-E81)</f>
        <v/>
      </c>
      <c r="G81" s="7" t="n"/>
      <c r="H81" s="7">
        <f>IF(OR(D81="",G81=""),"",IF(F81&lt;=G81,"À commander","OK"))</f>
        <v/>
      </c>
      <c r="I81" s="8" t="n"/>
      <c r="J81" s="8">
        <f>IF(D81="","",D81*I81)</f>
        <v/>
      </c>
      <c r="K81" s="7" t="n"/>
      <c r="L81" s="7" t="n"/>
      <c r="M81" s="7" t="n"/>
    </row>
    <row r="82">
      <c r="A82" s="4" t="n"/>
      <c r="B82" s="4" t="n"/>
      <c r="C82" s="4" t="n"/>
      <c r="D82" s="4" t="n"/>
      <c r="E82" s="4" t="n"/>
      <c r="F82" s="4">
        <f>IF(D82="","",D82-E82)</f>
        <v/>
      </c>
      <c r="G82" s="4" t="n"/>
      <c r="H82" s="4">
        <f>IF(OR(D82="",G82=""),"",IF(F82&lt;=G82,"À commander","OK"))</f>
        <v/>
      </c>
      <c r="I82" s="5" t="n"/>
      <c r="J82" s="5">
        <f>IF(D82="","",D82*I82)</f>
        <v/>
      </c>
      <c r="K82" s="4" t="n"/>
      <c r="L82" s="4" t="n"/>
      <c r="M82" s="4" t="n"/>
    </row>
    <row r="83">
      <c r="A83" s="7" t="n"/>
      <c r="B83" s="7" t="n"/>
      <c r="C83" s="7" t="n"/>
      <c r="D83" s="7" t="n"/>
      <c r="E83" s="7" t="n"/>
      <c r="F83" s="7">
        <f>IF(D83="","",D83-E83)</f>
        <v/>
      </c>
      <c r="G83" s="7" t="n"/>
      <c r="H83" s="7">
        <f>IF(OR(D83="",G83=""),"",IF(F83&lt;=G83,"À commander","OK"))</f>
        <v/>
      </c>
      <c r="I83" s="8" t="n"/>
      <c r="J83" s="8">
        <f>IF(D83="","",D83*I83)</f>
        <v/>
      </c>
      <c r="K83" s="7" t="n"/>
      <c r="L83" s="7" t="n"/>
      <c r="M83" s="7" t="n"/>
    </row>
    <row r="84">
      <c r="A84" s="4" t="n"/>
      <c r="B84" s="4" t="n"/>
      <c r="C84" s="4" t="n"/>
      <c r="D84" s="4" t="n"/>
      <c r="E84" s="4" t="n"/>
      <c r="F84" s="4">
        <f>IF(D84="","",D84-E84)</f>
        <v/>
      </c>
      <c r="G84" s="4" t="n"/>
      <c r="H84" s="4">
        <f>IF(OR(D84="",G84=""),"",IF(F84&lt;=G84,"À commander","OK"))</f>
        <v/>
      </c>
      <c r="I84" s="5" t="n"/>
      <c r="J84" s="5">
        <f>IF(D84="","",D84*I84)</f>
        <v/>
      </c>
      <c r="K84" s="4" t="n"/>
      <c r="L84" s="4" t="n"/>
      <c r="M84" s="4" t="n"/>
    </row>
    <row r="85">
      <c r="A85" s="7" t="n"/>
      <c r="B85" s="7" t="n"/>
      <c r="C85" s="7" t="n"/>
      <c r="D85" s="7" t="n"/>
      <c r="E85" s="7" t="n"/>
      <c r="F85" s="7">
        <f>IF(D85="","",D85-E85)</f>
        <v/>
      </c>
      <c r="G85" s="7" t="n"/>
      <c r="H85" s="7">
        <f>IF(OR(D85="",G85=""),"",IF(F85&lt;=G85,"À commander","OK"))</f>
        <v/>
      </c>
      <c r="I85" s="8" t="n"/>
      <c r="J85" s="8">
        <f>IF(D85="","",D85*I85)</f>
        <v/>
      </c>
      <c r="K85" s="7" t="n"/>
      <c r="L85" s="7" t="n"/>
      <c r="M85" s="7" t="n"/>
    </row>
    <row r="86">
      <c r="A86" s="4" t="n"/>
      <c r="B86" s="4" t="n"/>
      <c r="C86" s="4" t="n"/>
      <c r="D86" s="4" t="n"/>
      <c r="E86" s="4" t="n"/>
      <c r="F86" s="4">
        <f>IF(D86="","",D86-E86)</f>
        <v/>
      </c>
      <c r="G86" s="4" t="n"/>
      <c r="H86" s="4">
        <f>IF(OR(D86="",G86=""),"",IF(F86&lt;=G86,"À commander","OK"))</f>
        <v/>
      </c>
      <c r="I86" s="5" t="n"/>
      <c r="J86" s="5">
        <f>IF(D86="","",D86*I86)</f>
        <v/>
      </c>
      <c r="K86" s="4" t="n"/>
      <c r="L86" s="4" t="n"/>
      <c r="M86" s="4" t="n"/>
    </row>
    <row r="87">
      <c r="A87" s="7" t="n"/>
      <c r="B87" s="7" t="n"/>
      <c r="C87" s="7" t="n"/>
      <c r="D87" s="7" t="n"/>
      <c r="E87" s="7" t="n"/>
      <c r="F87" s="7">
        <f>IF(D87="","",D87-E87)</f>
        <v/>
      </c>
      <c r="G87" s="7" t="n"/>
      <c r="H87" s="7">
        <f>IF(OR(D87="",G87=""),"",IF(F87&lt;=G87,"À commander","OK"))</f>
        <v/>
      </c>
      <c r="I87" s="8" t="n"/>
      <c r="J87" s="8">
        <f>IF(D87="","",D87*I87)</f>
        <v/>
      </c>
      <c r="K87" s="7" t="n"/>
      <c r="L87" s="7" t="n"/>
      <c r="M87" s="7" t="n"/>
    </row>
    <row r="88">
      <c r="A88" s="4" t="n"/>
      <c r="B88" s="4" t="n"/>
      <c r="C88" s="4" t="n"/>
      <c r="D88" s="4" t="n"/>
      <c r="E88" s="4" t="n"/>
      <c r="F88" s="4">
        <f>IF(D88="","",D88-E88)</f>
        <v/>
      </c>
      <c r="G88" s="4" t="n"/>
      <c r="H88" s="4">
        <f>IF(OR(D88="",G88=""),"",IF(F88&lt;=G88,"À commander","OK"))</f>
        <v/>
      </c>
      <c r="I88" s="5" t="n"/>
      <c r="J88" s="5">
        <f>IF(D88="","",D88*I88)</f>
        <v/>
      </c>
      <c r="K88" s="4" t="n"/>
      <c r="L88" s="4" t="n"/>
      <c r="M88" s="4" t="n"/>
    </row>
    <row r="89">
      <c r="A89" s="7" t="n"/>
      <c r="B89" s="7" t="n"/>
      <c r="C89" s="7" t="n"/>
      <c r="D89" s="7" t="n"/>
      <c r="E89" s="7" t="n"/>
      <c r="F89" s="7">
        <f>IF(D89="","",D89-E89)</f>
        <v/>
      </c>
      <c r="G89" s="7" t="n"/>
      <c r="H89" s="7">
        <f>IF(OR(D89="",G89=""),"",IF(F89&lt;=G89,"À commander","OK"))</f>
        <v/>
      </c>
      <c r="I89" s="8" t="n"/>
      <c r="J89" s="8">
        <f>IF(D89="","",D89*I89)</f>
        <v/>
      </c>
      <c r="K89" s="7" t="n"/>
      <c r="L89" s="7" t="n"/>
      <c r="M89" s="7" t="n"/>
    </row>
    <row r="90">
      <c r="A90" s="4" t="n"/>
      <c r="B90" s="4" t="n"/>
      <c r="C90" s="4" t="n"/>
      <c r="D90" s="4" t="n"/>
      <c r="E90" s="4" t="n"/>
      <c r="F90" s="4">
        <f>IF(D90="","",D90-E90)</f>
        <v/>
      </c>
      <c r="G90" s="4" t="n"/>
      <c r="H90" s="4">
        <f>IF(OR(D90="",G90=""),"",IF(F90&lt;=G90,"À commander","OK"))</f>
        <v/>
      </c>
      <c r="I90" s="5" t="n"/>
      <c r="J90" s="5">
        <f>IF(D90="","",D90*I90)</f>
        <v/>
      </c>
      <c r="K90" s="4" t="n"/>
      <c r="L90" s="4" t="n"/>
      <c r="M90" s="4" t="n"/>
    </row>
    <row r="91">
      <c r="A91" s="7" t="n"/>
      <c r="B91" s="7" t="n"/>
      <c r="C91" s="7" t="n"/>
      <c r="D91" s="7" t="n"/>
      <c r="E91" s="7" t="n"/>
      <c r="F91" s="7">
        <f>IF(D91="","",D91-E91)</f>
        <v/>
      </c>
      <c r="G91" s="7" t="n"/>
      <c r="H91" s="7">
        <f>IF(OR(D91="",G91=""),"",IF(F91&lt;=G91,"À commander","OK"))</f>
        <v/>
      </c>
      <c r="I91" s="8" t="n"/>
      <c r="J91" s="8">
        <f>IF(D91="","",D91*I91)</f>
        <v/>
      </c>
      <c r="K91" s="7" t="n"/>
      <c r="L91" s="7" t="n"/>
      <c r="M91" s="7" t="n"/>
    </row>
    <row r="92">
      <c r="A92" s="4" t="n"/>
      <c r="B92" s="4" t="n"/>
      <c r="C92" s="4" t="n"/>
      <c r="D92" s="4" t="n"/>
      <c r="E92" s="4" t="n"/>
      <c r="F92" s="4">
        <f>IF(D92="","",D92-E92)</f>
        <v/>
      </c>
      <c r="G92" s="4" t="n"/>
      <c r="H92" s="4">
        <f>IF(OR(D92="",G92=""),"",IF(F92&lt;=G92,"À commander","OK"))</f>
        <v/>
      </c>
      <c r="I92" s="5" t="n"/>
      <c r="J92" s="5">
        <f>IF(D92="","",D92*I92)</f>
        <v/>
      </c>
      <c r="K92" s="4" t="n"/>
      <c r="L92" s="4" t="n"/>
      <c r="M92" s="4" t="n"/>
    </row>
    <row r="93">
      <c r="A93" s="7" t="n"/>
      <c r="B93" s="7" t="n"/>
      <c r="C93" s="7" t="n"/>
      <c r="D93" s="7" t="n"/>
      <c r="E93" s="7" t="n"/>
      <c r="F93" s="7">
        <f>IF(D93="","",D93-E93)</f>
        <v/>
      </c>
      <c r="G93" s="7" t="n"/>
      <c r="H93" s="7">
        <f>IF(OR(D93="",G93=""),"",IF(F93&lt;=G93,"À commander","OK"))</f>
        <v/>
      </c>
      <c r="I93" s="8" t="n"/>
      <c r="J93" s="8">
        <f>IF(D93="","",D93*I93)</f>
        <v/>
      </c>
      <c r="K93" s="7" t="n"/>
      <c r="L93" s="7" t="n"/>
      <c r="M93" s="7" t="n"/>
    </row>
    <row r="94">
      <c r="A94" s="4" t="n"/>
      <c r="B94" s="4" t="n"/>
      <c r="C94" s="4" t="n"/>
      <c r="D94" s="4" t="n"/>
      <c r="E94" s="4" t="n"/>
      <c r="F94" s="4">
        <f>IF(D94="","",D94-E94)</f>
        <v/>
      </c>
      <c r="G94" s="4" t="n"/>
      <c r="H94" s="4">
        <f>IF(OR(D94="",G94=""),"",IF(F94&lt;=G94,"À commander","OK"))</f>
        <v/>
      </c>
      <c r="I94" s="5" t="n"/>
      <c r="J94" s="5">
        <f>IF(D94="","",D94*I94)</f>
        <v/>
      </c>
      <c r="K94" s="4" t="n"/>
      <c r="L94" s="4" t="n"/>
      <c r="M94" s="4" t="n"/>
    </row>
    <row r="95">
      <c r="A95" s="7" t="n"/>
      <c r="B95" s="7" t="n"/>
      <c r="C95" s="7" t="n"/>
      <c r="D95" s="7" t="n"/>
      <c r="E95" s="7" t="n"/>
      <c r="F95" s="7">
        <f>IF(D95="","",D95-E95)</f>
        <v/>
      </c>
      <c r="G95" s="7" t="n"/>
      <c r="H95" s="7">
        <f>IF(OR(D95="",G95=""),"",IF(F95&lt;=G95,"À commander","OK"))</f>
        <v/>
      </c>
      <c r="I95" s="8" t="n"/>
      <c r="J95" s="8">
        <f>IF(D95="","",D95*I95)</f>
        <v/>
      </c>
      <c r="K95" s="7" t="n"/>
      <c r="L95" s="7" t="n"/>
      <c r="M95" s="7" t="n"/>
    </row>
    <row r="96">
      <c r="A96" s="4" t="n"/>
      <c r="B96" s="4" t="n"/>
      <c r="C96" s="4" t="n"/>
      <c r="D96" s="4" t="n"/>
      <c r="E96" s="4" t="n"/>
      <c r="F96" s="4">
        <f>IF(D96="","",D96-E96)</f>
        <v/>
      </c>
      <c r="G96" s="4" t="n"/>
      <c r="H96" s="4">
        <f>IF(OR(D96="",G96=""),"",IF(F96&lt;=G96,"À commander","OK"))</f>
        <v/>
      </c>
      <c r="I96" s="5" t="n"/>
      <c r="J96" s="5">
        <f>IF(D96="","",D96*I96)</f>
        <v/>
      </c>
      <c r="K96" s="4" t="n"/>
      <c r="L96" s="4" t="n"/>
      <c r="M96" s="4" t="n"/>
    </row>
    <row r="97">
      <c r="A97" s="7" t="n"/>
      <c r="B97" s="7" t="n"/>
      <c r="C97" s="7" t="n"/>
      <c r="D97" s="7" t="n"/>
      <c r="E97" s="7" t="n"/>
      <c r="F97" s="7">
        <f>IF(D97="","",D97-E97)</f>
        <v/>
      </c>
      <c r="G97" s="7" t="n"/>
      <c r="H97" s="7">
        <f>IF(OR(D97="",G97=""),"",IF(F97&lt;=G97,"À commander","OK"))</f>
        <v/>
      </c>
      <c r="I97" s="8" t="n"/>
      <c r="J97" s="8">
        <f>IF(D97="","",D97*I97)</f>
        <v/>
      </c>
      <c r="K97" s="7" t="n"/>
      <c r="L97" s="7" t="n"/>
      <c r="M97" s="7" t="n"/>
    </row>
    <row r="98">
      <c r="A98" s="4" t="n"/>
      <c r="B98" s="4" t="n"/>
      <c r="C98" s="4" t="n"/>
      <c r="D98" s="4" t="n"/>
      <c r="E98" s="4" t="n"/>
      <c r="F98" s="4">
        <f>IF(D98="","",D98-E98)</f>
        <v/>
      </c>
      <c r="G98" s="4" t="n"/>
      <c r="H98" s="4">
        <f>IF(OR(D98="",G98=""),"",IF(F98&lt;=G98,"À commander","OK"))</f>
        <v/>
      </c>
      <c r="I98" s="5" t="n"/>
      <c r="J98" s="5">
        <f>IF(D98="","",D98*I98)</f>
        <v/>
      </c>
      <c r="K98" s="4" t="n"/>
      <c r="L98" s="4" t="n"/>
      <c r="M98" s="4" t="n"/>
    </row>
    <row r="99">
      <c r="A99" s="7" t="n"/>
      <c r="B99" s="7" t="n"/>
      <c r="C99" s="7" t="n"/>
      <c r="D99" s="7" t="n"/>
      <c r="E99" s="7" t="n"/>
      <c r="F99" s="7">
        <f>IF(D99="","",D99-E99)</f>
        <v/>
      </c>
      <c r="G99" s="7" t="n"/>
      <c r="H99" s="7">
        <f>IF(OR(D99="",G99=""),"",IF(F99&lt;=G99,"À commander","OK"))</f>
        <v/>
      </c>
      <c r="I99" s="8" t="n"/>
      <c r="J99" s="8">
        <f>IF(D99="","",D99*I99)</f>
        <v/>
      </c>
      <c r="K99" s="7" t="n"/>
      <c r="L99" s="7" t="n"/>
      <c r="M99" s="7" t="n"/>
    </row>
    <row r="100">
      <c r="A100" s="4" t="n"/>
      <c r="B100" s="4" t="n"/>
      <c r="C100" s="4" t="n"/>
      <c r="D100" s="4" t="n"/>
      <c r="E100" s="4" t="n"/>
      <c r="F100" s="4">
        <f>IF(D100="","",D100-E100)</f>
        <v/>
      </c>
      <c r="G100" s="4" t="n"/>
      <c r="H100" s="4">
        <f>IF(OR(D100="",G100=""),"",IF(F100&lt;=G100,"À commander","OK"))</f>
        <v/>
      </c>
      <c r="I100" s="5" t="n"/>
      <c r="J100" s="5">
        <f>IF(D100="","",D100*I100)</f>
        <v/>
      </c>
      <c r="K100" s="4" t="n"/>
      <c r="L100" s="4" t="n"/>
      <c r="M100" s="4" t="n"/>
    </row>
    <row r="101">
      <c r="A101" s="7" t="n"/>
      <c r="B101" s="7" t="n"/>
      <c r="C101" s="7" t="n"/>
      <c r="D101" s="7" t="n"/>
      <c r="E101" s="7" t="n"/>
      <c r="F101" s="7">
        <f>IF(D101="","",D101-E101)</f>
        <v/>
      </c>
      <c r="G101" s="7" t="n"/>
      <c r="H101" s="7">
        <f>IF(OR(D101="",G101=""),"",IF(F101&lt;=G101,"À commander","OK"))</f>
        <v/>
      </c>
      <c r="I101" s="8" t="n"/>
      <c r="J101" s="8">
        <f>IF(D101="","",D101*I101)</f>
        <v/>
      </c>
      <c r="K101" s="7" t="n"/>
      <c r="L101" s="7" t="n"/>
      <c r="M101" s="7" t="n"/>
    </row>
    <row r="102">
      <c r="A102" s="4" t="n"/>
      <c r="B102" s="4" t="n"/>
      <c r="C102" s="4" t="n"/>
      <c r="D102" s="4" t="n"/>
      <c r="E102" s="4" t="n"/>
      <c r="F102" s="4">
        <f>IF(D102="","",D102-E102)</f>
        <v/>
      </c>
      <c r="G102" s="4" t="n"/>
      <c r="H102" s="4">
        <f>IF(OR(D102="",G102=""),"",IF(F102&lt;=G102,"À commander","OK"))</f>
        <v/>
      </c>
      <c r="I102" s="5" t="n"/>
      <c r="J102" s="5">
        <f>IF(D102="","",D102*I102)</f>
        <v/>
      </c>
      <c r="K102" s="4" t="n"/>
      <c r="L102" s="4" t="n"/>
      <c r="M102" s="4" t="n"/>
    </row>
    <row r="103">
      <c r="A103" s="7" t="n"/>
      <c r="B103" s="7" t="n"/>
      <c r="C103" s="7" t="n"/>
      <c r="D103" s="7" t="n"/>
      <c r="E103" s="7" t="n"/>
      <c r="F103" s="7">
        <f>IF(D103="","",D103-E103)</f>
        <v/>
      </c>
      <c r="G103" s="7" t="n"/>
      <c r="H103" s="7">
        <f>IF(OR(D103="",G103=""),"",IF(F103&lt;=G103,"À commander","OK"))</f>
        <v/>
      </c>
      <c r="I103" s="8" t="n"/>
      <c r="J103" s="8">
        <f>IF(D103="","",D103*I103)</f>
        <v/>
      </c>
      <c r="K103" s="7" t="n"/>
      <c r="L103" s="7" t="n"/>
      <c r="M103" s="7" t="n"/>
    </row>
    <row r="104">
      <c r="A104" s="4" t="n"/>
      <c r="B104" s="4" t="n"/>
      <c r="C104" s="4" t="n"/>
      <c r="D104" s="4" t="n"/>
      <c r="E104" s="4" t="n"/>
      <c r="F104" s="4">
        <f>IF(D104="","",D104-E104)</f>
        <v/>
      </c>
      <c r="G104" s="4" t="n"/>
      <c r="H104" s="4">
        <f>IF(OR(D104="",G104=""),"",IF(F104&lt;=G104,"À commander","OK"))</f>
        <v/>
      </c>
      <c r="I104" s="5" t="n"/>
      <c r="J104" s="5">
        <f>IF(D104="","",D104*I104)</f>
        <v/>
      </c>
      <c r="K104" s="4" t="n"/>
      <c r="L104" s="4" t="n"/>
      <c r="M104" s="4" t="n"/>
    </row>
    <row r="105">
      <c r="A105" s="7" t="n"/>
      <c r="B105" s="7" t="n"/>
      <c r="C105" s="7" t="n"/>
      <c r="D105" s="7" t="n"/>
      <c r="E105" s="7" t="n"/>
      <c r="F105" s="7">
        <f>IF(D105="","",D105-E105)</f>
        <v/>
      </c>
      <c r="G105" s="7" t="n"/>
      <c r="H105" s="7">
        <f>IF(OR(D105="",G105=""),"",IF(F105&lt;=G105,"À commander","OK"))</f>
        <v/>
      </c>
      <c r="I105" s="8" t="n"/>
      <c r="J105" s="8">
        <f>IF(D105="","",D105*I105)</f>
        <v/>
      </c>
      <c r="K105" s="7" t="n"/>
      <c r="L105" s="7" t="n"/>
      <c r="M105" s="7" t="n"/>
    </row>
    <row r="106">
      <c r="A106" s="4" t="n"/>
      <c r="B106" s="4" t="n"/>
      <c r="C106" s="4" t="n"/>
      <c r="D106" s="4" t="n"/>
      <c r="E106" s="4" t="n"/>
      <c r="F106" s="4">
        <f>IF(D106="","",D106-E106)</f>
        <v/>
      </c>
      <c r="G106" s="4" t="n"/>
      <c r="H106" s="4">
        <f>IF(OR(D106="",G106=""),"",IF(F106&lt;=G106,"À commander","OK"))</f>
        <v/>
      </c>
      <c r="I106" s="5" t="n"/>
      <c r="J106" s="5">
        <f>IF(D106="","",D106*I106)</f>
        <v/>
      </c>
      <c r="K106" s="4" t="n"/>
      <c r="L106" s="4" t="n"/>
      <c r="M106" s="4" t="n"/>
    </row>
    <row r="107">
      <c r="A107" s="7" t="n"/>
      <c r="B107" s="7" t="n"/>
      <c r="C107" s="7" t="n"/>
      <c r="D107" s="7" t="n"/>
      <c r="E107" s="7" t="n"/>
      <c r="F107" s="7">
        <f>IF(D107="","",D107-E107)</f>
        <v/>
      </c>
      <c r="G107" s="7" t="n"/>
      <c r="H107" s="7">
        <f>IF(OR(D107="",G107=""),"",IF(F107&lt;=G107,"À commander","OK"))</f>
        <v/>
      </c>
      <c r="I107" s="8" t="n"/>
      <c r="J107" s="8">
        <f>IF(D107="","",D107*I107)</f>
        <v/>
      </c>
      <c r="K107" s="7" t="n"/>
      <c r="L107" s="7" t="n"/>
      <c r="M107" s="7" t="n"/>
    </row>
    <row r="108">
      <c r="A108" s="4" t="n"/>
      <c r="B108" s="4" t="n"/>
      <c r="C108" s="4" t="n"/>
      <c r="D108" s="4" t="n"/>
      <c r="E108" s="4" t="n"/>
      <c r="F108" s="4">
        <f>IF(D108="","",D108-E108)</f>
        <v/>
      </c>
      <c r="G108" s="4" t="n"/>
      <c r="H108" s="4">
        <f>IF(OR(D108="",G108=""),"",IF(F108&lt;=G108,"À commander","OK"))</f>
        <v/>
      </c>
      <c r="I108" s="5" t="n"/>
      <c r="J108" s="5">
        <f>IF(D108="","",D108*I108)</f>
        <v/>
      </c>
      <c r="K108" s="4" t="n"/>
      <c r="L108" s="4" t="n"/>
      <c r="M108" s="4" t="n"/>
    </row>
    <row r="109">
      <c r="A109" s="7" t="n"/>
      <c r="B109" s="7" t="n"/>
      <c r="C109" s="7" t="n"/>
      <c r="D109" s="7" t="n"/>
      <c r="E109" s="7" t="n"/>
      <c r="F109" s="7">
        <f>IF(D109="","",D109-E109)</f>
        <v/>
      </c>
      <c r="G109" s="7" t="n"/>
      <c r="H109" s="7">
        <f>IF(OR(D109="",G109=""),"",IF(F109&lt;=G109,"À commander","OK"))</f>
        <v/>
      </c>
      <c r="I109" s="8" t="n"/>
      <c r="J109" s="8">
        <f>IF(D109="","",D109*I109)</f>
        <v/>
      </c>
      <c r="K109" s="7" t="n"/>
      <c r="L109" s="7" t="n"/>
      <c r="M109" s="7" t="n"/>
    </row>
    <row r="110">
      <c r="A110" s="4" t="n"/>
      <c r="B110" s="4" t="n"/>
      <c r="C110" s="4" t="n"/>
      <c r="D110" s="4" t="n"/>
      <c r="E110" s="4" t="n"/>
      <c r="F110" s="4">
        <f>IF(D110="","",D110-E110)</f>
        <v/>
      </c>
      <c r="G110" s="4" t="n"/>
      <c r="H110" s="4">
        <f>IF(OR(D110="",G110=""),"",IF(F110&lt;=G110,"À commander","OK"))</f>
        <v/>
      </c>
      <c r="I110" s="5" t="n"/>
      <c r="J110" s="5">
        <f>IF(D110="","",D110*I110)</f>
        <v/>
      </c>
      <c r="K110" s="4" t="n"/>
      <c r="L110" s="4" t="n"/>
      <c r="M110" s="4" t="n"/>
    </row>
    <row r="111">
      <c r="A111" s="7" t="n"/>
      <c r="B111" s="7" t="n"/>
      <c r="C111" s="7" t="n"/>
      <c r="D111" s="7" t="n"/>
      <c r="E111" s="7" t="n"/>
      <c r="F111" s="7">
        <f>IF(D111="","",D111-E111)</f>
        <v/>
      </c>
      <c r="G111" s="7" t="n"/>
      <c r="H111" s="7">
        <f>IF(OR(D111="",G111=""),"",IF(F111&lt;=G111,"À commander","OK"))</f>
        <v/>
      </c>
      <c r="I111" s="8" t="n"/>
      <c r="J111" s="8">
        <f>IF(D111="","",D111*I111)</f>
        <v/>
      </c>
      <c r="K111" s="7" t="n"/>
      <c r="L111" s="7" t="n"/>
      <c r="M111" s="7" t="n"/>
    </row>
    <row r="112">
      <c r="A112" s="4" t="n"/>
      <c r="B112" s="4" t="n"/>
      <c r="C112" s="4" t="n"/>
      <c r="D112" s="4" t="n"/>
      <c r="E112" s="4" t="n"/>
      <c r="F112" s="4">
        <f>IF(D112="","",D112-E112)</f>
        <v/>
      </c>
      <c r="G112" s="4" t="n"/>
      <c r="H112" s="4">
        <f>IF(OR(D112="",G112=""),"",IF(F112&lt;=G112,"À commander","OK"))</f>
        <v/>
      </c>
      <c r="I112" s="5" t="n"/>
      <c r="J112" s="5">
        <f>IF(D112="","",D112*I112)</f>
        <v/>
      </c>
      <c r="K112" s="4" t="n"/>
      <c r="L112" s="4" t="n"/>
      <c r="M112" s="4" t="n"/>
    </row>
    <row r="113">
      <c r="A113" s="7" t="n"/>
      <c r="B113" s="7" t="n"/>
      <c r="C113" s="7" t="n"/>
      <c r="D113" s="7" t="n"/>
      <c r="E113" s="7" t="n"/>
      <c r="F113" s="7">
        <f>IF(D113="","",D113-E113)</f>
        <v/>
      </c>
      <c r="G113" s="7" t="n"/>
      <c r="H113" s="7">
        <f>IF(OR(D113="",G113=""),"",IF(F113&lt;=G113,"À commander","OK"))</f>
        <v/>
      </c>
      <c r="I113" s="8" t="n"/>
      <c r="J113" s="8">
        <f>IF(D113="","",D113*I113)</f>
        <v/>
      </c>
      <c r="K113" s="7" t="n"/>
      <c r="L113" s="7" t="n"/>
      <c r="M113" s="7" t="n"/>
    </row>
    <row r="114">
      <c r="A114" s="4" t="n"/>
      <c r="B114" s="4" t="n"/>
      <c r="C114" s="4" t="n"/>
      <c r="D114" s="4" t="n"/>
      <c r="E114" s="4" t="n"/>
      <c r="F114" s="4">
        <f>IF(D114="","",D114-E114)</f>
        <v/>
      </c>
      <c r="G114" s="4" t="n"/>
      <c r="H114" s="4">
        <f>IF(OR(D114="",G114=""),"",IF(F114&lt;=G114,"À commander","OK"))</f>
        <v/>
      </c>
      <c r="I114" s="5" t="n"/>
      <c r="J114" s="5">
        <f>IF(D114="","",D114*I114)</f>
        <v/>
      </c>
      <c r="K114" s="4" t="n"/>
      <c r="L114" s="4" t="n"/>
      <c r="M114" s="4" t="n"/>
    </row>
    <row r="115">
      <c r="A115" s="7" t="n"/>
      <c r="B115" s="7" t="n"/>
      <c r="C115" s="7" t="n"/>
      <c r="D115" s="7" t="n"/>
      <c r="E115" s="7" t="n"/>
      <c r="F115" s="7">
        <f>IF(D115="","",D115-E115)</f>
        <v/>
      </c>
      <c r="G115" s="7" t="n"/>
      <c r="H115" s="7">
        <f>IF(OR(D115="",G115=""),"",IF(F115&lt;=G115,"À commander","OK"))</f>
        <v/>
      </c>
      <c r="I115" s="8" t="n"/>
      <c r="J115" s="8">
        <f>IF(D115="","",D115*I115)</f>
        <v/>
      </c>
      <c r="K115" s="7" t="n"/>
      <c r="L115" s="7" t="n"/>
      <c r="M115" s="7" t="n"/>
    </row>
  </sheetData>
  <mergeCells count="2">
    <mergeCell ref="A3:P3"/>
    <mergeCell ref="A2:P2"/>
  </mergeCells>
  <conditionalFormatting sqref="H6:H115">
    <cfRule type="cellIs" priority="1" operator="equal" dxfId="2">
      <formula>"À commander"</formula>
    </cfRule>
    <cfRule type="cellIs" priority="2" operator="equal" dxfId="1">
      <formula>"OK"</formula>
    </cfRule>
  </conditionalFormatting>
  <dataValidations count="3">
    <dataValidation sqref="B6:B115" showDropDown="0" showInputMessage="0" showErrorMessage="0" allowBlank="1" errorTitle="Erreur de saisie" error="Valeur non autorisée" promptTitle="Liste déroulante" prompt="Sélectionnez dans la liste" type="list">
      <formula1>'F02 - _Lists'!$P$6:$P$35</formula1>
    </dataValidation>
    <dataValidation sqref="C6:C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  <dataValidation sqref="M6:M115" showDropDown="0" showInputMessage="0" showErrorMessage="0" allowBlank="1" errorTitle="Erreur de saisie" error="Valeur non autorisée" promptTitle="Liste déroulante" prompt="Sélectionnez dans la liste" type="list">
      <formula1>'F02 - _Lists'!$P$6:$P$35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3A047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8" customWidth="1" min="4" max="4"/>
    <col width="18" customWidth="1" min="5" max="5"/>
    <col width="18" customWidth="1" min="6" max="6"/>
    <col width="16" customWidth="1" min="7" max="7"/>
    <col width="14" customWidth="1" min="8" max="8"/>
    <col width="14" customWidth="1" min="9" max="9"/>
    <col width="18" customWidth="1" min="10" max="10"/>
    <col width="18" customWidth="1" min="11" max="11"/>
    <col width="16" customWidth="1" min="12" max="12"/>
    <col width="14" customWidth="1" min="13" max="13"/>
  </cols>
  <sheetData>
    <row r="2" ht="25" customHeight="1">
      <c r="A2" s="1" t="inlineStr">
        <is>
          <t>DOMAINE 27 — 6-FORMATION EN SÉCURITÉ ET SANTÉ AU TRAVAIL</t>
        </is>
      </c>
    </row>
    <row r="3" ht="18" customHeight="1">
      <c r="A3" s="2" t="inlineStr">
        <is>
          <t>TABLEAU DYNAMIQUE — Plan de formation SST et suivi des effectifs formés</t>
        </is>
      </c>
    </row>
    <row r="5">
      <c r="A5" s="3" t="inlineStr">
        <is>
          <t>Code Formation</t>
        </is>
      </c>
      <c r="B5" s="3" t="inlineStr">
        <is>
          <t>Type de Formation</t>
        </is>
      </c>
      <c r="C5" s="3" t="inlineStr">
        <is>
          <t>Département</t>
        </is>
      </c>
      <c r="D5" s="3" t="inlineStr">
        <is>
          <t>Formateur</t>
        </is>
      </c>
      <c r="E5" s="3" t="inlineStr">
        <is>
          <t>Nb Participants Prévus</t>
        </is>
      </c>
      <c r="F5" s="3" t="inlineStr">
        <is>
          <t>Nb Participants Réels</t>
        </is>
      </c>
      <c r="G5" s="3" t="inlineStr">
        <is>
          <t>Taux Présence (%)</t>
        </is>
      </c>
      <c r="H5" s="3" t="inlineStr">
        <is>
          <t>Date Formation</t>
        </is>
      </c>
      <c r="I5" s="3" t="inlineStr">
        <is>
          <t>Durée (heures)</t>
        </is>
      </c>
      <c r="J5" s="3" t="inlineStr">
        <is>
          <t>Coût Formation (FCFA)</t>
        </is>
      </c>
      <c r="K5" s="3" t="inlineStr">
        <is>
          <t>Coût/Participant (FCFA)</t>
        </is>
      </c>
      <c r="L5" s="3" t="inlineStr">
        <is>
          <t>Évaluation</t>
        </is>
      </c>
      <c r="M5" s="3" t="inlineStr">
        <is>
          <t>Statut</t>
        </is>
      </c>
    </row>
    <row r="6">
      <c r="A6" s="4" t="inlineStr">
        <is>
          <t>FST-001</t>
        </is>
      </c>
      <c r="B6" s="4" t="inlineStr">
        <is>
          <t>Incendie</t>
        </is>
      </c>
      <c r="C6" s="4" t="inlineStr">
        <is>
          <t>Tous départements</t>
        </is>
      </c>
      <c r="D6" s="4" t="inlineStr">
        <is>
          <t>Capitaine Mba</t>
        </is>
      </c>
      <c r="E6" s="4" t="n">
        <v>154</v>
      </c>
      <c r="F6" s="4" t="n">
        <v>142</v>
      </c>
      <c r="G6" s="6">
        <f>IFERROR(F6/E6,0)</f>
        <v/>
      </c>
      <c r="H6" s="14" t="n">
        <v>45682</v>
      </c>
      <c r="I6" s="4" t="n">
        <v>3</v>
      </c>
      <c r="J6" s="5" t="n">
        <v>450000</v>
      </c>
      <c r="K6" s="5">
        <f>IFERROR(J6/F6,0)</f>
        <v/>
      </c>
      <c r="L6" s="4" t="inlineStr">
        <is>
          <t>Bon</t>
        </is>
      </c>
      <c r="M6" s="4" t="inlineStr">
        <is>
          <t>Terminée</t>
        </is>
      </c>
    </row>
    <row r="7">
      <c r="A7" s="7" t="inlineStr">
        <is>
          <t>FST-002</t>
        </is>
      </c>
      <c r="B7" s="7" t="inlineStr">
        <is>
          <t>Secourisme</t>
        </is>
      </c>
      <c r="C7" s="7" t="inlineStr">
        <is>
          <t>Tous départements</t>
        </is>
      </c>
      <c r="D7" s="7" t="inlineStr">
        <is>
          <t>Dr. Manga</t>
        </is>
      </c>
      <c r="E7" s="7" t="n">
        <v>30</v>
      </c>
      <c r="F7" s="7" t="n">
        <v>28</v>
      </c>
      <c r="G7" s="9">
        <f>IFERROR(F7/E7,0)</f>
        <v/>
      </c>
      <c r="H7" s="15" t="n">
        <v>45703</v>
      </c>
      <c r="I7" s="7" t="n">
        <v>8</v>
      </c>
      <c r="J7" s="8" t="n">
        <v>750000</v>
      </c>
      <c r="K7" s="8">
        <f>IFERROR(J7/F7,0)</f>
        <v/>
      </c>
      <c r="L7" s="7" t="inlineStr">
        <is>
          <t>Excellent</t>
        </is>
      </c>
      <c r="M7" s="7" t="inlineStr">
        <is>
          <t>Terminée</t>
        </is>
      </c>
    </row>
    <row r="8">
      <c r="A8" s="4" t="inlineStr">
        <is>
          <t>FST-003</t>
        </is>
      </c>
      <c r="B8" s="4" t="inlineStr">
        <is>
          <t>Habilitation électrique</t>
        </is>
      </c>
      <c r="C8" s="4" t="inlineStr">
        <is>
          <t>Maintenance</t>
        </is>
      </c>
      <c r="D8" s="4" t="inlineStr">
        <is>
          <t>Ing. Owona</t>
        </is>
      </c>
      <c r="E8" s="4" t="n">
        <v>8</v>
      </c>
      <c r="F8" s="4" t="n">
        <v>8</v>
      </c>
      <c r="G8" s="6">
        <f>IFERROR(F8/E8,0)</f>
        <v/>
      </c>
      <c r="H8" s="14" t="n">
        <v>45717</v>
      </c>
      <c r="I8" s="4" t="n">
        <v>16</v>
      </c>
      <c r="J8" s="5" t="n">
        <v>1200000</v>
      </c>
      <c r="K8" s="5">
        <f>IFERROR(J8/F8,0)</f>
        <v/>
      </c>
      <c r="L8" s="4" t="inlineStr">
        <is>
          <t>Bon</t>
        </is>
      </c>
      <c r="M8" s="4" t="inlineStr">
        <is>
          <t>Terminée</t>
        </is>
      </c>
    </row>
    <row r="9">
      <c r="A9" s="7" t="inlineStr">
        <is>
          <t>FST-004</t>
        </is>
      </c>
      <c r="B9" s="7" t="inlineStr">
        <is>
          <t>Manipulation produits</t>
        </is>
      </c>
      <c r="C9" s="7" t="inlineStr">
        <is>
          <t>Cuisine &amp; Restauration</t>
        </is>
      </c>
      <c r="D9" s="7" t="inlineStr">
        <is>
          <t>M. Tchinda</t>
        </is>
      </c>
      <c r="E9" s="7" t="n">
        <v>45</v>
      </c>
      <c r="F9" s="7" t="n">
        <v>42</v>
      </c>
      <c r="G9" s="9">
        <f>IFERROR(F9/E9,0)</f>
        <v/>
      </c>
      <c r="H9" s="15" t="n">
        <v>45731</v>
      </c>
      <c r="I9" s="7" t="n">
        <v>4</v>
      </c>
      <c r="J9" s="8" t="n">
        <v>180000</v>
      </c>
      <c r="K9" s="8">
        <f>IFERROR(J9/F9,0)</f>
        <v/>
      </c>
      <c r="L9" s="7" t="inlineStr">
        <is>
          <t>Satisfaisant</t>
        </is>
      </c>
      <c r="M9" s="7" t="inlineStr">
        <is>
          <t>Terminée</t>
        </is>
      </c>
    </row>
    <row r="10">
      <c r="A10" s="4" t="inlineStr">
        <is>
          <t>FST-005</t>
        </is>
      </c>
      <c r="B10" s="4" t="inlineStr">
        <is>
          <t>Travail en hauteur</t>
        </is>
      </c>
      <c r="C10" s="4" t="inlineStr">
        <is>
          <t>Maintenance</t>
        </is>
      </c>
      <c r="D10" s="4" t="inlineStr">
        <is>
          <t>Capitaine Mba</t>
        </is>
      </c>
      <c r="E10" s="4" t="n">
        <v>10</v>
      </c>
      <c r="F10" s="4" t="n">
        <v>9</v>
      </c>
      <c r="G10" s="6">
        <f>IFERROR(F10/E10,0)</f>
        <v/>
      </c>
      <c r="H10" s="14" t="n">
        <v>45752</v>
      </c>
      <c r="I10" s="4" t="n">
        <v>6</v>
      </c>
      <c r="J10" s="5" t="n">
        <v>350000</v>
      </c>
      <c r="K10" s="5">
        <f>IFERROR(J10/F10,0)</f>
        <v/>
      </c>
      <c r="L10" s="4" t="inlineStr">
        <is>
          <t>Bon</t>
        </is>
      </c>
      <c r="M10" s="4" t="inlineStr">
        <is>
          <t>Terminée</t>
        </is>
      </c>
    </row>
    <row r="11">
      <c r="A11" s="7" t="inlineStr">
        <is>
          <t>FST-006</t>
        </is>
      </c>
      <c r="B11" s="7" t="inlineStr">
        <is>
          <t>Ergonomie poste</t>
        </is>
      </c>
      <c r="C11" s="7" t="inlineStr">
        <is>
          <t>Réception &amp; Front Office</t>
        </is>
      </c>
      <c r="D11" s="7" t="inlineStr">
        <is>
          <t>Mme. Mbarga</t>
        </is>
      </c>
      <c r="E11" s="7" t="n">
        <v>25</v>
      </c>
      <c r="F11" s="7" t="n">
        <v>23</v>
      </c>
      <c r="G11" s="9">
        <f>IFERROR(F11/E11,0)</f>
        <v/>
      </c>
      <c r="H11" s="15" t="n">
        <v>45767</v>
      </c>
      <c r="I11" s="7" t="n">
        <v>3</v>
      </c>
      <c r="J11" s="8" t="n">
        <v>150000</v>
      </c>
      <c r="K11" s="8">
        <f>IFERROR(J11/F11,0)</f>
        <v/>
      </c>
      <c r="L11" s="7" t="inlineStr">
        <is>
          <t>Satisfaisant</t>
        </is>
      </c>
      <c r="M11" s="7" t="inlineStr">
        <is>
          <t>Terminée</t>
        </is>
      </c>
    </row>
    <row r="12">
      <c r="A12" s="4" t="inlineStr">
        <is>
          <t>FST-007</t>
        </is>
      </c>
      <c r="B12" s="4" t="inlineStr">
        <is>
          <t>TMS prévention</t>
        </is>
      </c>
      <c r="C12" s="4" t="inlineStr">
        <is>
          <t>Commerce</t>
        </is>
      </c>
      <c r="D12" s="4" t="inlineStr">
        <is>
          <t>Dr. Manga</t>
        </is>
      </c>
      <c r="E12" s="4" t="n">
        <v>10</v>
      </c>
      <c r="F12" s="4" t="n">
        <v>8</v>
      </c>
      <c r="G12" s="6">
        <f>IFERROR(F12/E12,0)</f>
        <v/>
      </c>
      <c r="H12" s="14" t="n">
        <v>45787</v>
      </c>
      <c r="I12" s="4" t="n">
        <v>4</v>
      </c>
      <c r="J12" s="5" t="n">
        <v>120000</v>
      </c>
      <c r="K12" s="5">
        <f>IFERROR(J12/F12,0)</f>
        <v/>
      </c>
      <c r="L12" s="4" t="inlineStr">
        <is>
          <t>Bon</t>
        </is>
      </c>
      <c r="M12" s="4" t="inlineStr">
        <is>
          <t>En cours</t>
        </is>
      </c>
    </row>
    <row r="13">
      <c r="A13" s="7" t="inlineStr">
        <is>
          <t>FST-008</t>
        </is>
      </c>
      <c r="B13" s="7" t="inlineStr">
        <is>
          <t>Gestion du stress</t>
        </is>
      </c>
      <c r="C13" s="7" t="inlineStr">
        <is>
          <t>Sécurité</t>
        </is>
      </c>
      <c r="D13" s="7" t="inlineStr">
        <is>
          <t>Psych. Ndongo</t>
        </is>
      </c>
      <c r="E13" s="7" t="n">
        <v>15</v>
      </c>
      <c r="F13" s="7" t="n">
        <v>12</v>
      </c>
      <c r="G13" s="9">
        <f>IFERROR(F13/E13,0)</f>
        <v/>
      </c>
      <c r="H13" s="15" t="n">
        <v>45802</v>
      </c>
      <c r="I13" s="7" t="n">
        <v>3</v>
      </c>
      <c r="J13" s="8" t="n">
        <v>200000</v>
      </c>
      <c r="K13" s="8">
        <f>IFERROR(J13/F13,0)</f>
        <v/>
      </c>
      <c r="L13" s="7" t="inlineStr">
        <is>
          <t>Satisfaisant</t>
        </is>
      </c>
      <c r="M13" s="7" t="inlineStr">
        <is>
          <t>En cours</t>
        </is>
      </c>
    </row>
    <row r="14">
      <c r="A14" s="4" t="inlineStr">
        <is>
          <t>FST-009</t>
        </is>
      </c>
      <c r="B14" s="4" t="inlineStr">
        <is>
          <t>Évacuation</t>
        </is>
      </c>
      <c r="C14" s="4" t="inlineStr">
        <is>
          <t>Tous départements</t>
        </is>
      </c>
      <c r="D14" s="4" t="inlineStr">
        <is>
          <t>Capitaine Mba</t>
        </is>
      </c>
      <c r="E14" s="4" t="n">
        <v>154</v>
      </c>
      <c r="F14" s="4" t="n">
        <v>0</v>
      </c>
      <c r="G14" s="6">
        <f>IFERROR(F14/E14,0)</f>
        <v/>
      </c>
      <c r="H14" s="14" t="n">
        <v>45853</v>
      </c>
      <c r="I14" s="4" t="n">
        <v>2</v>
      </c>
      <c r="J14" s="5" t="n">
        <v>300000</v>
      </c>
      <c r="K14" s="5">
        <f>IFERROR(J14/F14,0)</f>
        <v/>
      </c>
      <c r="L14" s="4" t="inlineStr"/>
      <c r="M14" s="4" t="inlineStr">
        <is>
          <t>Planifiée</t>
        </is>
      </c>
    </row>
    <row r="15">
      <c r="A15" s="7" t="inlineStr">
        <is>
          <t>FST-010</t>
        </is>
      </c>
      <c r="B15" s="7" t="inlineStr">
        <is>
          <t>Premiers gestes</t>
        </is>
      </c>
      <c r="C15" s="7" t="inlineStr">
        <is>
          <t>Cuisine &amp; Restauration</t>
        </is>
      </c>
      <c r="D15" s="7" t="inlineStr">
        <is>
          <t>Dr. Manga</t>
        </is>
      </c>
      <c r="E15" s="7" t="n">
        <v>45</v>
      </c>
      <c r="F15" s="7" t="n">
        <v>0</v>
      </c>
      <c r="G15" s="9">
        <f>IFERROR(F15/E15,0)</f>
        <v/>
      </c>
      <c r="H15" s="15" t="n">
        <v>45879</v>
      </c>
      <c r="I15" s="7" t="n">
        <v>4</v>
      </c>
      <c r="J15" s="8" t="n">
        <v>250000</v>
      </c>
      <c r="K15" s="8">
        <f>IFERROR(J15/F15,0)</f>
        <v/>
      </c>
      <c r="L15" s="7" t="inlineStr"/>
      <c r="M15" s="7" t="inlineStr">
        <is>
          <t>Planifiée</t>
        </is>
      </c>
    </row>
    <row r="16">
      <c r="A16" s="4" t="n"/>
      <c r="B16" s="4" t="n"/>
      <c r="C16" s="4" t="n"/>
      <c r="D16" s="4" t="n"/>
      <c r="E16" s="4" t="n"/>
      <c r="F16" s="4" t="n"/>
      <c r="G16" s="6">
        <f>IF(E16="","",IFERROR(F16/E16,0))</f>
        <v/>
      </c>
      <c r="H16" s="4" t="n"/>
      <c r="I16" s="4" t="n"/>
      <c r="J16" s="5" t="n"/>
      <c r="K16" s="5">
        <f>IF(F16="","",IFERROR(J16/F16,0))</f>
        <v/>
      </c>
      <c r="L16" s="4" t="n"/>
      <c r="M16" s="4" t="n"/>
    </row>
    <row r="17">
      <c r="A17" s="7" t="n"/>
      <c r="B17" s="7" t="n"/>
      <c r="C17" s="7" t="n"/>
      <c r="D17" s="7" t="n"/>
      <c r="E17" s="7" t="n"/>
      <c r="F17" s="7" t="n"/>
      <c r="G17" s="9">
        <f>IF(E17="","",IFERROR(F17/E17,0))</f>
        <v/>
      </c>
      <c r="H17" s="7" t="n"/>
      <c r="I17" s="7" t="n"/>
      <c r="J17" s="8" t="n"/>
      <c r="K17" s="8">
        <f>IF(F17="","",IFERROR(J17/F17,0))</f>
        <v/>
      </c>
      <c r="L17" s="7" t="n"/>
      <c r="M17" s="7" t="n"/>
    </row>
    <row r="18">
      <c r="A18" s="4" t="n"/>
      <c r="B18" s="4" t="n"/>
      <c r="C18" s="4" t="n"/>
      <c r="D18" s="4" t="n"/>
      <c r="E18" s="4" t="n"/>
      <c r="F18" s="4" t="n"/>
      <c r="G18" s="6">
        <f>IF(E18="","",IFERROR(F18/E18,0))</f>
        <v/>
      </c>
      <c r="H18" s="4" t="n"/>
      <c r="I18" s="4" t="n"/>
      <c r="J18" s="5" t="n"/>
      <c r="K18" s="5">
        <f>IF(F18="","",IFERROR(J18/F18,0))</f>
        <v/>
      </c>
      <c r="L18" s="4" t="n"/>
      <c r="M18" s="4" t="n"/>
    </row>
    <row r="19">
      <c r="A19" s="7" t="n"/>
      <c r="B19" s="7" t="n"/>
      <c r="C19" s="7" t="n"/>
      <c r="D19" s="7" t="n"/>
      <c r="E19" s="7" t="n"/>
      <c r="F19" s="7" t="n"/>
      <c r="G19" s="9">
        <f>IF(E19="","",IFERROR(F19/E19,0))</f>
        <v/>
      </c>
      <c r="H19" s="7" t="n"/>
      <c r="I19" s="7" t="n"/>
      <c r="J19" s="8" t="n"/>
      <c r="K19" s="8">
        <f>IF(F19="","",IFERROR(J19/F19,0))</f>
        <v/>
      </c>
      <c r="L19" s="7" t="n"/>
      <c r="M19" s="7" t="n"/>
    </row>
    <row r="20">
      <c r="A20" s="4" t="n"/>
      <c r="B20" s="4" t="n"/>
      <c r="C20" s="4" t="n"/>
      <c r="D20" s="4" t="n"/>
      <c r="E20" s="4" t="n"/>
      <c r="F20" s="4" t="n"/>
      <c r="G20" s="6">
        <f>IF(E20="","",IFERROR(F20/E20,0))</f>
        <v/>
      </c>
      <c r="H20" s="4" t="n"/>
      <c r="I20" s="4" t="n"/>
      <c r="J20" s="5" t="n"/>
      <c r="K20" s="5">
        <f>IF(F20="","",IFERROR(J20/F20,0))</f>
        <v/>
      </c>
      <c r="L20" s="4" t="n"/>
      <c r="M20" s="4" t="n"/>
    </row>
    <row r="21">
      <c r="A21" s="7" t="n"/>
      <c r="B21" s="7" t="n"/>
      <c r="C21" s="7" t="n"/>
      <c r="D21" s="7" t="n"/>
      <c r="E21" s="7" t="n"/>
      <c r="F21" s="7" t="n"/>
      <c r="G21" s="9">
        <f>IF(E21="","",IFERROR(F21/E21,0))</f>
        <v/>
      </c>
      <c r="H21" s="7" t="n"/>
      <c r="I21" s="7" t="n"/>
      <c r="J21" s="8" t="n"/>
      <c r="K21" s="8">
        <f>IF(F21="","",IFERROR(J21/F21,0))</f>
        <v/>
      </c>
      <c r="L21" s="7" t="n"/>
      <c r="M21" s="7" t="n"/>
    </row>
    <row r="22">
      <c r="A22" s="4" t="n"/>
      <c r="B22" s="4" t="n"/>
      <c r="C22" s="4" t="n"/>
      <c r="D22" s="4" t="n"/>
      <c r="E22" s="4" t="n"/>
      <c r="F22" s="4" t="n"/>
      <c r="G22" s="6">
        <f>IF(E22="","",IFERROR(F22/E22,0))</f>
        <v/>
      </c>
      <c r="H22" s="4" t="n"/>
      <c r="I22" s="4" t="n"/>
      <c r="J22" s="5" t="n"/>
      <c r="K22" s="5">
        <f>IF(F22="","",IFERROR(J22/F22,0))</f>
        <v/>
      </c>
      <c r="L22" s="4" t="n"/>
      <c r="M22" s="4" t="n"/>
    </row>
    <row r="23">
      <c r="A23" s="7" t="n"/>
      <c r="B23" s="7" t="n"/>
      <c r="C23" s="7" t="n"/>
      <c r="D23" s="7" t="n"/>
      <c r="E23" s="7" t="n"/>
      <c r="F23" s="7" t="n"/>
      <c r="G23" s="9">
        <f>IF(E23="","",IFERROR(F23/E23,0))</f>
        <v/>
      </c>
      <c r="H23" s="7" t="n"/>
      <c r="I23" s="7" t="n"/>
      <c r="J23" s="8" t="n"/>
      <c r="K23" s="8">
        <f>IF(F23="","",IFERROR(J23/F23,0))</f>
        <v/>
      </c>
      <c r="L23" s="7" t="n"/>
      <c r="M23" s="7" t="n"/>
    </row>
    <row r="24">
      <c r="A24" s="4" t="n"/>
      <c r="B24" s="4" t="n"/>
      <c r="C24" s="4" t="n"/>
      <c r="D24" s="4" t="n"/>
      <c r="E24" s="4" t="n"/>
      <c r="F24" s="4" t="n"/>
      <c r="G24" s="6">
        <f>IF(E24="","",IFERROR(F24/E24,0))</f>
        <v/>
      </c>
      <c r="H24" s="4" t="n"/>
      <c r="I24" s="4" t="n"/>
      <c r="J24" s="5" t="n"/>
      <c r="K24" s="5">
        <f>IF(F24="","",IFERROR(J24/F24,0))</f>
        <v/>
      </c>
      <c r="L24" s="4" t="n"/>
      <c r="M24" s="4" t="n"/>
    </row>
    <row r="25">
      <c r="A25" s="7" t="n"/>
      <c r="B25" s="7" t="n"/>
      <c r="C25" s="7" t="n"/>
      <c r="D25" s="7" t="n"/>
      <c r="E25" s="7" t="n"/>
      <c r="F25" s="7" t="n"/>
      <c r="G25" s="9">
        <f>IF(E25="","",IFERROR(F25/E25,0))</f>
        <v/>
      </c>
      <c r="H25" s="7" t="n"/>
      <c r="I25" s="7" t="n"/>
      <c r="J25" s="8" t="n"/>
      <c r="K25" s="8">
        <f>IF(F25="","",IFERROR(J25/F25,0))</f>
        <v/>
      </c>
      <c r="L25" s="7" t="n"/>
      <c r="M25" s="7" t="n"/>
    </row>
    <row r="26">
      <c r="A26" s="4" t="n"/>
      <c r="B26" s="4" t="n"/>
      <c r="C26" s="4" t="n"/>
      <c r="D26" s="4" t="n"/>
      <c r="E26" s="4" t="n"/>
      <c r="F26" s="4" t="n"/>
      <c r="G26" s="6">
        <f>IF(E26="","",IFERROR(F26/E26,0))</f>
        <v/>
      </c>
      <c r="H26" s="4" t="n"/>
      <c r="I26" s="4" t="n"/>
      <c r="J26" s="5" t="n"/>
      <c r="K26" s="5">
        <f>IF(F26="","",IFERROR(J26/F26,0))</f>
        <v/>
      </c>
      <c r="L26" s="4" t="n"/>
      <c r="M26" s="4" t="n"/>
    </row>
    <row r="27">
      <c r="A27" s="7" t="n"/>
      <c r="B27" s="7" t="n"/>
      <c r="C27" s="7" t="n"/>
      <c r="D27" s="7" t="n"/>
      <c r="E27" s="7" t="n"/>
      <c r="F27" s="7" t="n"/>
      <c r="G27" s="9">
        <f>IF(E27="","",IFERROR(F27/E27,0))</f>
        <v/>
      </c>
      <c r="H27" s="7" t="n"/>
      <c r="I27" s="7" t="n"/>
      <c r="J27" s="8" t="n"/>
      <c r="K27" s="8">
        <f>IF(F27="","",IFERROR(J27/F27,0))</f>
        <v/>
      </c>
      <c r="L27" s="7" t="n"/>
      <c r="M27" s="7" t="n"/>
    </row>
    <row r="28">
      <c r="A28" s="4" t="n"/>
      <c r="B28" s="4" t="n"/>
      <c r="C28" s="4" t="n"/>
      <c r="D28" s="4" t="n"/>
      <c r="E28" s="4" t="n"/>
      <c r="F28" s="4" t="n"/>
      <c r="G28" s="6">
        <f>IF(E28="","",IFERROR(F28/E28,0))</f>
        <v/>
      </c>
      <c r="H28" s="4" t="n"/>
      <c r="I28" s="4" t="n"/>
      <c r="J28" s="5" t="n"/>
      <c r="K28" s="5">
        <f>IF(F28="","",IFERROR(J28/F28,0))</f>
        <v/>
      </c>
      <c r="L28" s="4" t="n"/>
      <c r="M28" s="4" t="n"/>
    </row>
    <row r="29">
      <c r="A29" s="7" t="n"/>
      <c r="B29" s="7" t="n"/>
      <c r="C29" s="7" t="n"/>
      <c r="D29" s="7" t="n"/>
      <c r="E29" s="7" t="n"/>
      <c r="F29" s="7" t="n"/>
      <c r="G29" s="9">
        <f>IF(E29="","",IFERROR(F29/E29,0))</f>
        <v/>
      </c>
      <c r="H29" s="7" t="n"/>
      <c r="I29" s="7" t="n"/>
      <c r="J29" s="8" t="n"/>
      <c r="K29" s="8">
        <f>IF(F29="","",IFERROR(J29/F29,0))</f>
        <v/>
      </c>
      <c r="L29" s="7" t="n"/>
      <c r="M29" s="7" t="n"/>
    </row>
    <row r="30">
      <c r="A30" s="4" t="n"/>
      <c r="B30" s="4" t="n"/>
      <c r="C30" s="4" t="n"/>
      <c r="D30" s="4" t="n"/>
      <c r="E30" s="4" t="n"/>
      <c r="F30" s="4" t="n"/>
      <c r="G30" s="6">
        <f>IF(E30="","",IFERROR(F30/E30,0))</f>
        <v/>
      </c>
      <c r="H30" s="4" t="n"/>
      <c r="I30" s="4" t="n"/>
      <c r="J30" s="5" t="n"/>
      <c r="K30" s="5">
        <f>IF(F30="","",IFERROR(J30/F30,0))</f>
        <v/>
      </c>
      <c r="L30" s="4" t="n"/>
      <c r="M30" s="4" t="n"/>
    </row>
    <row r="31">
      <c r="A31" s="7" t="n"/>
      <c r="B31" s="7" t="n"/>
      <c r="C31" s="7" t="n"/>
      <c r="D31" s="7" t="n"/>
      <c r="E31" s="7" t="n"/>
      <c r="F31" s="7" t="n"/>
      <c r="G31" s="9">
        <f>IF(E31="","",IFERROR(F31/E31,0))</f>
        <v/>
      </c>
      <c r="H31" s="7" t="n"/>
      <c r="I31" s="7" t="n"/>
      <c r="J31" s="8" t="n"/>
      <c r="K31" s="8">
        <f>IF(F31="","",IFERROR(J31/F31,0))</f>
        <v/>
      </c>
      <c r="L31" s="7" t="n"/>
      <c r="M31" s="7" t="n"/>
    </row>
    <row r="32">
      <c r="A32" s="4" t="n"/>
      <c r="B32" s="4" t="n"/>
      <c r="C32" s="4" t="n"/>
      <c r="D32" s="4" t="n"/>
      <c r="E32" s="4" t="n"/>
      <c r="F32" s="4" t="n"/>
      <c r="G32" s="6">
        <f>IF(E32="","",IFERROR(F32/E32,0))</f>
        <v/>
      </c>
      <c r="H32" s="4" t="n"/>
      <c r="I32" s="4" t="n"/>
      <c r="J32" s="5" t="n"/>
      <c r="K32" s="5">
        <f>IF(F32="","",IFERROR(J32/F32,0))</f>
        <v/>
      </c>
      <c r="L32" s="4" t="n"/>
      <c r="M32" s="4" t="n"/>
    </row>
    <row r="33">
      <c r="A33" s="7" t="n"/>
      <c r="B33" s="7" t="n"/>
      <c r="C33" s="7" t="n"/>
      <c r="D33" s="7" t="n"/>
      <c r="E33" s="7" t="n"/>
      <c r="F33" s="7" t="n"/>
      <c r="G33" s="9">
        <f>IF(E33="","",IFERROR(F33/E33,0))</f>
        <v/>
      </c>
      <c r="H33" s="7" t="n"/>
      <c r="I33" s="7" t="n"/>
      <c r="J33" s="8" t="n"/>
      <c r="K33" s="8">
        <f>IF(F33="","",IFERROR(J33/F33,0))</f>
        <v/>
      </c>
      <c r="L33" s="7" t="n"/>
      <c r="M33" s="7" t="n"/>
    </row>
    <row r="34">
      <c r="A34" s="4" t="n"/>
      <c r="B34" s="4" t="n"/>
      <c r="C34" s="4" t="n"/>
      <c r="D34" s="4" t="n"/>
      <c r="E34" s="4" t="n"/>
      <c r="F34" s="4" t="n"/>
      <c r="G34" s="6">
        <f>IF(E34="","",IFERROR(F34/E34,0))</f>
        <v/>
      </c>
      <c r="H34" s="4" t="n"/>
      <c r="I34" s="4" t="n"/>
      <c r="J34" s="5" t="n"/>
      <c r="K34" s="5">
        <f>IF(F34="","",IFERROR(J34/F34,0))</f>
        <v/>
      </c>
      <c r="L34" s="4" t="n"/>
      <c r="M34" s="4" t="n"/>
    </row>
    <row r="35">
      <c r="A35" s="7" t="n"/>
      <c r="B35" s="7" t="n"/>
      <c r="C35" s="7" t="n"/>
      <c r="D35" s="7" t="n"/>
      <c r="E35" s="7" t="n"/>
      <c r="F35" s="7" t="n"/>
      <c r="G35" s="9">
        <f>IF(E35="","",IFERROR(F35/E35,0))</f>
        <v/>
      </c>
      <c r="H35" s="7" t="n"/>
      <c r="I35" s="7" t="n"/>
      <c r="J35" s="8" t="n"/>
      <c r="K35" s="8">
        <f>IF(F35="","",IFERROR(J35/F35,0))</f>
        <v/>
      </c>
      <c r="L35" s="7" t="n"/>
      <c r="M35" s="7" t="n"/>
    </row>
    <row r="36">
      <c r="A36" s="4" t="n"/>
      <c r="B36" s="4" t="n"/>
      <c r="C36" s="4" t="n"/>
      <c r="D36" s="4" t="n"/>
      <c r="E36" s="4" t="n"/>
      <c r="F36" s="4" t="n"/>
      <c r="G36" s="6">
        <f>IF(E36="","",IFERROR(F36/E36,0))</f>
        <v/>
      </c>
      <c r="H36" s="4" t="n"/>
      <c r="I36" s="4" t="n"/>
      <c r="J36" s="5" t="n"/>
      <c r="K36" s="5">
        <f>IF(F36="","",IFERROR(J36/F36,0))</f>
        <v/>
      </c>
      <c r="L36" s="4" t="n"/>
      <c r="M36" s="4" t="n"/>
    </row>
    <row r="37">
      <c r="A37" s="7" t="n"/>
      <c r="B37" s="7" t="n"/>
      <c r="C37" s="7" t="n"/>
      <c r="D37" s="7" t="n"/>
      <c r="E37" s="7" t="n"/>
      <c r="F37" s="7" t="n"/>
      <c r="G37" s="9">
        <f>IF(E37="","",IFERROR(F37/E37,0))</f>
        <v/>
      </c>
      <c r="H37" s="7" t="n"/>
      <c r="I37" s="7" t="n"/>
      <c r="J37" s="8" t="n"/>
      <c r="K37" s="8">
        <f>IF(F37="","",IFERROR(J37/F37,0))</f>
        <v/>
      </c>
      <c r="L37" s="7" t="n"/>
      <c r="M37" s="7" t="n"/>
    </row>
    <row r="38">
      <c r="A38" s="4" t="n"/>
      <c r="B38" s="4" t="n"/>
      <c r="C38" s="4" t="n"/>
      <c r="D38" s="4" t="n"/>
      <c r="E38" s="4" t="n"/>
      <c r="F38" s="4" t="n"/>
      <c r="G38" s="6">
        <f>IF(E38="","",IFERROR(F38/E38,0))</f>
        <v/>
      </c>
      <c r="H38" s="4" t="n"/>
      <c r="I38" s="4" t="n"/>
      <c r="J38" s="5" t="n"/>
      <c r="K38" s="5">
        <f>IF(F38="","",IFERROR(J38/F38,0))</f>
        <v/>
      </c>
      <c r="L38" s="4" t="n"/>
      <c r="M38" s="4" t="n"/>
    </row>
    <row r="39">
      <c r="A39" s="7" t="n"/>
      <c r="B39" s="7" t="n"/>
      <c r="C39" s="7" t="n"/>
      <c r="D39" s="7" t="n"/>
      <c r="E39" s="7" t="n"/>
      <c r="F39" s="7" t="n"/>
      <c r="G39" s="9">
        <f>IF(E39="","",IFERROR(F39/E39,0))</f>
        <v/>
      </c>
      <c r="H39" s="7" t="n"/>
      <c r="I39" s="7" t="n"/>
      <c r="J39" s="8" t="n"/>
      <c r="K39" s="8">
        <f>IF(F39="","",IFERROR(J39/F39,0))</f>
        <v/>
      </c>
      <c r="L39" s="7" t="n"/>
      <c r="M39" s="7" t="n"/>
    </row>
    <row r="40">
      <c r="A40" s="4" t="n"/>
      <c r="B40" s="4" t="n"/>
      <c r="C40" s="4" t="n"/>
      <c r="D40" s="4" t="n"/>
      <c r="E40" s="4" t="n"/>
      <c r="F40" s="4" t="n"/>
      <c r="G40" s="6">
        <f>IF(E40="","",IFERROR(F40/E40,0))</f>
        <v/>
      </c>
      <c r="H40" s="4" t="n"/>
      <c r="I40" s="4" t="n"/>
      <c r="J40" s="5" t="n"/>
      <c r="K40" s="5">
        <f>IF(F40="","",IFERROR(J40/F40,0))</f>
        <v/>
      </c>
      <c r="L40" s="4" t="n"/>
      <c r="M40" s="4" t="n"/>
    </row>
    <row r="41">
      <c r="A41" s="7" t="n"/>
      <c r="B41" s="7" t="n"/>
      <c r="C41" s="7" t="n"/>
      <c r="D41" s="7" t="n"/>
      <c r="E41" s="7" t="n"/>
      <c r="F41" s="7" t="n"/>
      <c r="G41" s="9">
        <f>IF(E41="","",IFERROR(F41/E41,0))</f>
        <v/>
      </c>
      <c r="H41" s="7" t="n"/>
      <c r="I41" s="7" t="n"/>
      <c r="J41" s="8" t="n"/>
      <c r="K41" s="8">
        <f>IF(F41="","",IFERROR(J41/F41,0))</f>
        <v/>
      </c>
      <c r="L41" s="7" t="n"/>
      <c r="M41" s="7" t="n"/>
    </row>
    <row r="42">
      <c r="A42" s="4" t="n"/>
      <c r="B42" s="4" t="n"/>
      <c r="C42" s="4" t="n"/>
      <c r="D42" s="4" t="n"/>
      <c r="E42" s="4" t="n"/>
      <c r="F42" s="4" t="n"/>
      <c r="G42" s="6">
        <f>IF(E42="","",IFERROR(F42/E42,0))</f>
        <v/>
      </c>
      <c r="H42" s="4" t="n"/>
      <c r="I42" s="4" t="n"/>
      <c r="J42" s="5" t="n"/>
      <c r="K42" s="5">
        <f>IF(F42="","",IFERROR(J42/F42,0))</f>
        <v/>
      </c>
      <c r="L42" s="4" t="n"/>
      <c r="M42" s="4" t="n"/>
    </row>
    <row r="43">
      <c r="A43" s="7" t="n"/>
      <c r="B43" s="7" t="n"/>
      <c r="C43" s="7" t="n"/>
      <c r="D43" s="7" t="n"/>
      <c r="E43" s="7" t="n"/>
      <c r="F43" s="7" t="n"/>
      <c r="G43" s="9">
        <f>IF(E43="","",IFERROR(F43/E43,0))</f>
        <v/>
      </c>
      <c r="H43" s="7" t="n"/>
      <c r="I43" s="7" t="n"/>
      <c r="J43" s="8" t="n"/>
      <c r="K43" s="8">
        <f>IF(F43="","",IFERROR(J43/F43,0))</f>
        <v/>
      </c>
      <c r="L43" s="7" t="n"/>
      <c r="M43" s="7" t="n"/>
    </row>
    <row r="44">
      <c r="A44" s="4" t="n"/>
      <c r="B44" s="4" t="n"/>
      <c r="C44" s="4" t="n"/>
      <c r="D44" s="4" t="n"/>
      <c r="E44" s="4" t="n"/>
      <c r="F44" s="4" t="n"/>
      <c r="G44" s="6">
        <f>IF(E44="","",IFERROR(F44/E44,0))</f>
        <v/>
      </c>
      <c r="H44" s="4" t="n"/>
      <c r="I44" s="4" t="n"/>
      <c r="J44" s="5" t="n"/>
      <c r="K44" s="5">
        <f>IF(F44="","",IFERROR(J44/F44,0))</f>
        <v/>
      </c>
      <c r="L44" s="4" t="n"/>
      <c r="M44" s="4" t="n"/>
    </row>
    <row r="45">
      <c r="A45" s="7" t="n"/>
      <c r="B45" s="7" t="n"/>
      <c r="C45" s="7" t="n"/>
      <c r="D45" s="7" t="n"/>
      <c r="E45" s="7" t="n"/>
      <c r="F45" s="7" t="n"/>
      <c r="G45" s="9">
        <f>IF(E45="","",IFERROR(F45/E45,0))</f>
        <v/>
      </c>
      <c r="H45" s="7" t="n"/>
      <c r="I45" s="7" t="n"/>
      <c r="J45" s="8" t="n"/>
      <c r="K45" s="8">
        <f>IF(F45="","",IFERROR(J45/F45,0))</f>
        <v/>
      </c>
      <c r="L45" s="7" t="n"/>
      <c r="M45" s="7" t="n"/>
    </row>
    <row r="46">
      <c r="A46" s="4" t="n"/>
      <c r="B46" s="4" t="n"/>
      <c r="C46" s="4" t="n"/>
      <c r="D46" s="4" t="n"/>
      <c r="E46" s="4" t="n"/>
      <c r="F46" s="4" t="n"/>
      <c r="G46" s="6">
        <f>IF(E46="","",IFERROR(F46/E46,0))</f>
        <v/>
      </c>
      <c r="H46" s="4" t="n"/>
      <c r="I46" s="4" t="n"/>
      <c r="J46" s="5" t="n"/>
      <c r="K46" s="5">
        <f>IF(F46="","",IFERROR(J46/F46,0))</f>
        <v/>
      </c>
      <c r="L46" s="4" t="n"/>
      <c r="M46" s="4" t="n"/>
    </row>
    <row r="47">
      <c r="A47" s="7" t="n"/>
      <c r="B47" s="7" t="n"/>
      <c r="C47" s="7" t="n"/>
      <c r="D47" s="7" t="n"/>
      <c r="E47" s="7" t="n"/>
      <c r="F47" s="7" t="n"/>
      <c r="G47" s="9">
        <f>IF(E47="","",IFERROR(F47/E47,0))</f>
        <v/>
      </c>
      <c r="H47" s="7" t="n"/>
      <c r="I47" s="7" t="n"/>
      <c r="J47" s="8" t="n"/>
      <c r="K47" s="8">
        <f>IF(F47="","",IFERROR(J47/F47,0))</f>
        <v/>
      </c>
      <c r="L47" s="7" t="n"/>
      <c r="M47" s="7" t="n"/>
    </row>
    <row r="48">
      <c r="A48" s="4" t="n"/>
      <c r="B48" s="4" t="n"/>
      <c r="C48" s="4" t="n"/>
      <c r="D48" s="4" t="n"/>
      <c r="E48" s="4" t="n"/>
      <c r="F48" s="4" t="n"/>
      <c r="G48" s="6">
        <f>IF(E48="","",IFERROR(F48/E48,0))</f>
        <v/>
      </c>
      <c r="H48" s="4" t="n"/>
      <c r="I48" s="4" t="n"/>
      <c r="J48" s="5" t="n"/>
      <c r="K48" s="5">
        <f>IF(F48="","",IFERROR(J48/F48,0))</f>
        <v/>
      </c>
      <c r="L48" s="4" t="n"/>
      <c r="M48" s="4" t="n"/>
    </row>
    <row r="49">
      <c r="A49" s="7" t="n"/>
      <c r="B49" s="7" t="n"/>
      <c r="C49" s="7" t="n"/>
      <c r="D49" s="7" t="n"/>
      <c r="E49" s="7" t="n"/>
      <c r="F49" s="7" t="n"/>
      <c r="G49" s="9">
        <f>IF(E49="","",IFERROR(F49/E49,0))</f>
        <v/>
      </c>
      <c r="H49" s="7" t="n"/>
      <c r="I49" s="7" t="n"/>
      <c r="J49" s="8" t="n"/>
      <c r="K49" s="8">
        <f>IF(F49="","",IFERROR(J49/F49,0))</f>
        <v/>
      </c>
      <c r="L49" s="7" t="n"/>
      <c r="M49" s="7" t="n"/>
    </row>
    <row r="50">
      <c r="A50" s="4" t="n"/>
      <c r="B50" s="4" t="n"/>
      <c r="C50" s="4" t="n"/>
      <c r="D50" s="4" t="n"/>
      <c r="E50" s="4" t="n"/>
      <c r="F50" s="4" t="n"/>
      <c r="G50" s="6">
        <f>IF(E50="","",IFERROR(F50/E50,0))</f>
        <v/>
      </c>
      <c r="H50" s="4" t="n"/>
      <c r="I50" s="4" t="n"/>
      <c r="J50" s="5" t="n"/>
      <c r="K50" s="5">
        <f>IF(F50="","",IFERROR(J50/F50,0))</f>
        <v/>
      </c>
      <c r="L50" s="4" t="n"/>
      <c r="M50" s="4" t="n"/>
    </row>
    <row r="51">
      <c r="A51" s="7" t="n"/>
      <c r="B51" s="7" t="n"/>
      <c r="C51" s="7" t="n"/>
      <c r="D51" s="7" t="n"/>
      <c r="E51" s="7" t="n"/>
      <c r="F51" s="7" t="n"/>
      <c r="G51" s="9">
        <f>IF(E51="","",IFERROR(F51/E51,0))</f>
        <v/>
      </c>
      <c r="H51" s="7" t="n"/>
      <c r="I51" s="7" t="n"/>
      <c r="J51" s="8" t="n"/>
      <c r="K51" s="8">
        <f>IF(F51="","",IFERROR(J51/F51,0))</f>
        <v/>
      </c>
      <c r="L51" s="7" t="n"/>
      <c r="M51" s="7" t="n"/>
    </row>
    <row r="52">
      <c r="A52" s="4" t="n"/>
      <c r="B52" s="4" t="n"/>
      <c r="C52" s="4" t="n"/>
      <c r="D52" s="4" t="n"/>
      <c r="E52" s="4" t="n"/>
      <c r="F52" s="4" t="n"/>
      <c r="G52" s="6">
        <f>IF(E52="","",IFERROR(F52/E52,0))</f>
        <v/>
      </c>
      <c r="H52" s="4" t="n"/>
      <c r="I52" s="4" t="n"/>
      <c r="J52" s="5" t="n"/>
      <c r="K52" s="5">
        <f>IF(F52="","",IFERROR(J52/F52,0))</f>
        <v/>
      </c>
      <c r="L52" s="4" t="n"/>
      <c r="M52" s="4" t="n"/>
    </row>
    <row r="53">
      <c r="A53" s="7" t="n"/>
      <c r="B53" s="7" t="n"/>
      <c r="C53" s="7" t="n"/>
      <c r="D53" s="7" t="n"/>
      <c r="E53" s="7" t="n"/>
      <c r="F53" s="7" t="n"/>
      <c r="G53" s="9">
        <f>IF(E53="","",IFERROR(F53/E53,0))</f>
        <v/>
      </c>
      <c r="H53" s="7" t="n"/>
      <c r="I53" s="7" t="n"/>
      <c r="J53" s="8" t="n"/>
      <c r="K53" s="8">
        <f>IF(F53="","",IFERROR(J53/F53,0))</f>
        <v/>
      </c>
      <c r="L53" s="7" t="n"/>
      <c r="M53" s="7" t="n"/>
    </row>
    <row r="54">
      <c r="A54" s="4" t="n"/>
      <c r="B54" s="4" t="n"/>
      <c r="C54" s="4" t="n"/>
      <c r="D54" s="4" t="n"/>
      <c r="E54" s="4" t="n"/>
      <c r="F54" s="4" t="n"/>
      <c r="G54" s="6">
        <f>IF(E54="","",IFERROR(F54/E54,0))</f>
        <v/>
      </c>
      <c r="H54" s="4" t="n"/>
      <c r="I54" s="4" t="n"/>
      <c r="J54" s="5" t="n"/>
      <c r="K54" s="5">
        <f>IF(F54="","",IFERROR(J54/F54,0))</f>
        <v/>
      </c>
      <c r="L54" s="4" t="n"/>
      <c r="M54" s="4" t="n"/>
    </row>
    <row r="55">
      <c r="A55" s="7" t="n"/>
      <c r="B55" s="7" t="n"/>
      <c r="C55" s="7" t="n"/>
      <c r="D55" s="7" t="n"/>
      <c r="E55" s="7" t="n"/>
      <c r="F55" s="7" t="n"/>
      <c r="G55" s="9">
        <f>IF(E55="","",IFERROR(F55/E55,0))</f>
        <v/>
      </c>
      <c r="H55" s="7" t="n"/>
      <c r="I55" s="7" t="n"/>
      <c r="J55" s="8" t="n"/>
      <c r="K55" s="8">
        <f>IF(F55="","",IFERROR(J55/F55,0))</f>
        <v/>
      </c>
      <c r="L55" s="7" t="n"/>
      <c r="M55" s="7" t="n"/>
    </row>
    <row r="56">
      <c r="A56" s="4" t="n"/>
      <c r="B56" s="4" t="n"/>
      <c r="C56" s="4" t="n"/>
      <c r="D56" s="4" t="n"/>
      <c r="E56" s="4" t="n"/>
      <c r="F56" s="4" t="n"/>
      <c r="G56" s="6">
        <f>IF(E56="","",IFERROR(F56/E56,0))</f>
        <v/>
      </c>
      <c r="H56" s="4" t="n"/>
      <c r="I56" s="4" t="n"/>
      <c r="J56" s="5" t="n"/>
      <c r="K56" s="5">
        <f>IF(F56="","",IFERROR(J56/F56,0))</f>
        <v/>
      </c>
      <c r="L56" s="4" t="n"/>
      <c r="M56" s="4" t="n"/>
    </row>
    <row r="57">
      <c r="A57" s="7" t="n"/>
      <c r="B57" s="7" t="n"/>
      <c r="C57" s="7" t="n"/>
      <c r="D57" s="7" t="n"/>
      <c r="E57" s="7" t="n"/>
      <c r="F57" s="7" t="n"/>
      <c r="G57" s="9">
        <f>IF(E57="","",IFERROR(F57/E57,0))</f>
        <v/>
      </c>
      <c r="H57" s="7" t="n"/>
      <c r="I57" s="7" t="n"/>
      <c r="J57" s="8" t="n"/>
      <c r="K57" s="8">
        <f>IF(F57="","",IFERROR(J57/F57,0))</f>
        <v/>
      </c>
      <c r="L57" s="7" t="n"/>
      <c r="M57" s="7" t="n"/>
    </row>
    <row r="58">
      <c r="A58" s="4" t="n"/>
      <c r="B58" s="4" t="n"/>
      <c r="C58" s="4" t="n"/>
      <c r="D58" s="4" t="n"/>
      <c r="E58" s="4" t="n"/>
      <c r="F58" s="4" t="n"/>
      <c r="G58" s="6">
        <f>IF(E58="","",IFERROR(F58/E58,0))</f>
        <v/>
      </c>
      <c r="H58" s="4" t="n"/>
      <c r="I58" s="4" t="n"/>
      <c r="J58" s="5" t="n"/>
      <c r="K58" s="5">
        <f>IF(F58="","",IFERROR(J58/F58,0))</f>
        <v/>
      </c>
      <c r="L58" s="4" t="n"/>
      <c r="M58" s="4" t="n"/>
    </row>
    <row r="59">
      <c r="A59" s="7" t="n"/>
      <c r="B59" s="7" t="n"/>
      <c r="C59" s="7" t="n"/>
      <c r="D59" s="7" t="n"/>
      <c r="E59" s="7" t="n"/>
      <c r="F59" s="7" t="n"/>
      <c r="G59" s="9">
        <f>IF(E59="","",IFERROR(F59/E59,0))</f>
        <v/>
      </c>
      <c r="H59" s="7" t="n"/>
      <c r="I59" s="7" t="n"/>
      <c r="J59" s="8" t="n"/>
      <c r="K59" s="8">
        <f>IF(F59="","",IFERROR(J59/F59,0))</f>
        <v/>
      </c>
      <c r="L59" s="7" t="n"/>
      <c r="M59" s="7" t="n"/>
    </row>
    <row r="60">
      <c r="A60" s="4" t="n"/>
      <c r="B60" s="4" t="n"/>
      <c r="C60" s="4" t="n"/>
      <c r="D60" s="4" t="n"/>
      <c r="E60" s="4" t="n"/>
      <c r="F60" s="4" t="n"/>
      <c r="G60" s="6">
        <f>IF(E60="","",IFERROR(F60/E60,0))</f>
        <v/>
      </c>
      <c r="H60" s="4" t="n"/>
      <c r="I60" s="4" t="n"/>
      <c r="J60" s="5" t="n"/>
      <c r="K60" s="5">
        <f>IF(F60="","",IFERROR(J60/F60,0))</f>
        <v/>
      </c>
      <c r="L60" s="4" t="n"/>
      <c r="M60" s="4" t="n"/>
    </row>
    <row r="61">
      <c r="A61" s="7" t="n"/>
      <c r="B61" s="7" t="n"/>
      <c r="C61" s="7" t="n"/>
      <c r="D61" s="7" t="n"/>
      <c r="E61" s="7" t="n"/>
      <c r="F61" s="7" t="n"/>
      <c r="G61" s="9">
        <f>IF(E61="","",IFERROR(F61/E61,0))</f>
        <v/>
      </c>
      <c r="H61" s="7" t="n"/>
      <c r="I61" s="7" t="n"/>
      <c r="J61" s="8" t="n"/>
      <c r="K61" s="8">
        <f>IF(F61="","",IFERROR(J61/F61,0))</f>
        <v/>
      </c>
      <c r="L61" s="7" t="n"/>
      <c r="M61" s="7" t="n"/>
    </row>
    <row r="62">
      <c r="A62" s="4" t="n"/>
      <c r="B62" s="4" t="n"/>
      <c r="C62" s="4" t="n"/>
      <c r="D62" s="4" t="n"/>
      <c r="E62" s="4" t="n"/>
      <c r="F62" s="4" t="n"/>
      <c r="G62" s="6">
        <f>IF(E62="","",IFERROR(F62/E62,0))</f>
        <v/>
      </c>
      <c r="H62" s="4" t="n"/>
      <c r="I62" s="4" t="n"/>
      <c r="J62" s="5" t="n"/>
      <c r="K62" s="5">
        <f>IF(F62="","",IFERROR(J62/F62,0))</f>
        <v/>
      </c>
      <c r="L62" s="4" t="n"/>
      <c r="M62" s="4" t="n"/>
    </row>
    <row r="63">
      <c r="A63" s="7" t="n"/>
      <c r="B63" s="7" t="n"/>
      <c r="C63" s="7" t="n"/>
      <c r="D63" s="7" t="n"/>
      <c r="E63" s="7" t="n"/>
      <c r="F63" s="7" t="n"/>
      <c r="G63" s="9">
        <f>IF(E63="","",IFERROR(F63/E63,0))</f>
        <v/>
      </c>
      <c r="H63" s="7" t="n"/>
      <c r="I63" s="7" t="n"/>
      <c r="J63" s="8" t="n"/>
      <c r="K63" s="8">
        <f>IF(F63="","",IFERROR(J63/F63,0))</f>
        <v/>
      </c>
      <c r="L63" s="7" t="n"/>
      <c r="M63" s="7" t="n"/>
    </row>
    <row r="64">
      <c r="A64" s="4" t="n"/>
      <c r="B64" s="4" t="n"/>
      <c r="C64" s="4" t="n"/>
      <c r="D64" s="4" t="n"/>
      <c r="E64" s="4" t="n"/>
      <c r="F64" s="4" t="n"/>
      <c r="G64" s="6">
        <f>IF(E64="","",IFERROR(F64/E64,0))</f>
        <v/>
      </c>
      <c r="H64" s="4" t="n"/>
      <c r="I64" s="4" t="n"/>
      <c r="J64" s="5" t="n"/>
      <c r="K64" s="5">
        <f>IF(F64="","",IFERROR(J64/F64,0))</f>
        <v/>
      </c>
      <c r="L64" s="4" t="n"/>
      <c r="M64" s="4" t="n"/>
    </row>
    <row r="65">
      <c r="A65" s="7" t="n"/>
      <c r="B65" s="7" t="n"/>
      <c r="C65" s="7" t="n"/>
      <c r="D65" s="7" t="n"/>
      <c r="E65" s="7" t="n"/>
      <c r="F65" s="7" t="n"/>
      <c r="G65" s="9">
        <f>IF(E65="","",IFERROR(F65/E65,0))</f>
        <v/>
      </c>
      <c r="H65" s="7" t="n"/>
      <c r="I65" s="7" t="n"/>
      <c r="J65" s="8" t="n"/>
      <c r="K65" s="8">
        <f>IF(F65="","",IFERROR(J65/F65,0))</f>
        <v/>
      </c>
      <c r="L65" s="7" t="n"/>
      <c r="M65" s="7" t="n"/>
    </row>
    <row r="66">
      <c r="A66" s="4" t="n"/>
      <c r="B66" s="4" t="n"/>
      <c r="C66" s="4" t="n"/>
      <c r="D66" s="4" t="n"/>
      <c r="E66" s="4" t="n"/>
      <c r="F66" s="4" t="n"/>
      <c r="G66" s="6">
        <f>IF(E66="","",IFERROR(F66/E66,0))</f>
        <v/>
      </c>
      <c r="H66" s="4" t="n"/>
      <c r="I66" s="4" t="n"/>
      <c r="J66" s="5" t="n"/>
      <c r="K66" s="5">
        <f>IF(F66="","",IFERROR(J66/F66,0))</f>
        <v/>
      </c>
      <c r="L66" s="4" t="n"/>
      <c r="M66" s="4" t="n"/>
    </row>
    <row r="67">
      <c r="A67" s="7" t="n"/>
      <c r="B67" s="7" t="n"/>
      <c r="C67" s="7" t="n"/>
      <c r="D67" s="7" t="n"/>
      <c r="E67" s="7" t="n"/>
      <c r="F67" s="7" t="n"/>
      <c r="G67" s="9">
        <f>IF(E67="","",IFERROR(F67/E67,0))</f>
        <v/>
      </c>
      <c r="H67" s="7" t="n"/>
      <c r="I67" s="7" t="n"/>
      <c r="J67" s="8" t="n"/>
      <c r="K67" s="8">
        <f>IF(F67="","",IFERROR(J67/F67,0))</f>
        <v/>
      </c>
      <c r="L67" s="7" t="n"/>
      <c r="M67" s="7" t="n"/>
    </row>
    <row r="68">
      <c r="A68" s="4" t="n"/>
      <c r="B68" s="4" t="n"/>
      <c r="C68" s="4" t="n"/>
      <c r="D68" s="4" t="n"/>
      <c r="E68" s="4" t="n"/>
      <c r="F68" s="4" t="n"/>
      <c r="G68" s="6">
        <f>IF(E68="","",IFERROR(F68/E68,0))</f>
        <v/>
      </c>
      <c r="H68" s="4" t="n"/>
      <c r="I68" s="4" t="n"/>
      <c r="J68" s="5" t="n"/>
      <c r="K68" s="5">
        <f>IF(F68="","",IFERROR(J68/F68,0))</f>
        <v/>
      </c>
      <c r="L68" s="4" t="n"/>
      <c r="M68" s="4" t="n"/>
    </row>
    <row r="69">
      <c r="A69" s="7" t="n"/>
      <c r="B69" s="7" t="n"/>
      <c r="C69" s="7" t="n"/>
      <c r="D69" s="7" t="n"/>
      <c r="E69" s="7" t="n"/>
      <c r="F69" s="7" t="n"/>
      <c r="G69" s="9">
        <f>IF(E69="","",IFERROR(F69/E69,0))</f>
        <v/>
      </c>
      <c r="H69" s="7" t="n"/>
      <c r="I69" s="7" t="n"/>
      <c r="J69" s="8" t="n"/>
      <c r="K69" s="8">
        <f>IF(F69="","",IFERROR(J69/F69,0))</f>
        <v/>
      </c>
      <c r="L69" s="7" t="n"/>
      <c r="M69" s="7" t="n"/>
    </row>
    <row r="70">
      <c r="A70" s="4" t="n"/>
      <c r="B70" s="4" t="n"/>
      <c r="C70" s="4" t="n"/>
      <c r="D70" s="4" t="n"/>
      <c r="E70" s="4" t="n"/>
      <c r="F70" s="4" t="n"/>
      <c r="G70" s="6">
        <f>IF(E70="","",IFERROR(F70/E70,0))</f>
        <v/>
      </c>
      <c r="H70" s="4" t="n"/>
      <c r="I70" s="4" t="n"/>
      <c r="J70" s="5" t="n"/>
      <c r="K70" s="5">
        <f>IF(F70="","",IFERROR(J70/F70,0))</f>
        <v/>
      </c>
      <c r="L70" s="4" t="n"/>
      <c r="M70" s="4" t="n"/>
    </row>
    <row r="71">
      <c r="A71" s="7" t="n"/>
      <c r="B71" s="7" t="n"/>
      <c r="C71" s="7" t="n"/>
      <c r="D71" s="7" t="n"/>
      <c r="E71" s="7" t="n"/>
      <c r="F71" s="7" t="n"/>
      <c r="G71" s="9">
        <f>IF(E71="","",IFERROR(F71/E71,0))</f>
        <v/>
      </c>
      <c r="H71" s="7" t="n"/>
      <c r="I71" s="7" t="n"/>
      <c r="J71" s="8" t="n"/>
      <c r="K71" s="8">
        <f>IF(F71="","",IFERROR(J71/F71,0))</f>
        <v/>
      </c>
      <c r="L71" s="7" t="n"/>
      <c r="M71" s="7" t="n"/>
    </row>
    <row r="72">
      <c r="A72" s="4" t="n"/>
      <c r="B72" s="4" t="n"/>
      <c r="C72" s="4" t="n"/>
      <c r="D72" s="4" t="n"/>
      <c r="E72" s="4" t="n"/>
      <c r="F72" s="4" t="n"/>
      <c r="G72" s="6">
        <f>IF(E72="","",IFERROR(F72/E72,0))</f>
        <v/>
      </c>
      <c r="H72" s="4" t="n"/>
      <c r="I72" s="4" t="n"/>
      <c r="J72" s="5" t="n"/>
      <c r="K72" s="5">
        <f>IF(F72="","",IFERROR(J72/F72,0))</f>
        <v/>
      </c>
      <c r="L72" s="4" t="n"/>
      <c r="M72" s="4" t="n"/>
    </row>
    <row r="73">
      <c r="A73" s="7" t="n"/>
      <c r="B73" s="7" t="n"/>
      <c r="C73" s="7" t="n"/>
      <c r="D73" s="7" t="n"/>
      <c r="E73" s="7" t="n"/>
      <c r="F73" s="7" t="n"/>
      <c r="G73" s="9">
        <f>IF(E73="","",IFERROR(F73/E73,0))</f>
        <v/>
      </c>
      <c r="H73" s="7" t="n"/>
      <c r="I73" s="7" t="n"/>
      <c r="J73" s="8" t="n"/>
      <c r="K73" s="8">
        <f>IF(F73="","",IFERROR(J73/F73,0))</f>
        <v/>
      </c>
      <c r="L73" s="7" t="n"/>
      <c r="M73" s="7" t="n"/>
    </row>
    <row r="74">
      <c r="A74" s="4" t="n"/>
      <c r="B74" s="4" t="n"/>
      <c r="C74" s="4" t="n"/>
      <c r="D74" s="4" t="n"/>
      <c r="E74" s="4" t="n"/>
      <c r="F74" s="4" t="n"/>
      <c r="G74" s="6">
        <f>IF(E74="","",IFERROR(F74/E74,0))</f>
        <v/>
      </c>
      <c r="H74" s="4" t="n"/>
      <c r="I74" s="4" t="n"/>
      <c r="J74" s="5" t="n"/>
      <c r="K74" s="5">
        <f>IF(F74="","",IFERROR(J74/F74,0))</f>
        <v/>
      </c>
      <c r="L74" s="4" t="n"/>
      <c r="M74" s="4" t="n"/>
    </row>
    <row r="75">
      <c r="A75" s="7" t="n"/>
      <c r="B75" s="7" t="n"/>
      <c r="C75" s="7" t="n"/>
      <c r="D75" s="7" t="n"/>
      <c r="E75" s="7" t="n"/>
      <c r="F75" s="7" t="n"/>
      <c r="G75" s="9">
        <f>IF(E75="","",IFERROR(F75/E75,0))</f>
        <v/>
      </c>
      <c r="H75" s="7" t="n"/>
      <c r="I75" s="7" t="n"/>
      <c r="J75" s="8" t="n"/>
      <c r="K75" s="8">
        <f>IF(F75="","",IFERROR(J75/F75,0))</f>
        <v/>
      </c>
      <c r="L75" s="7" t="n"/>
      <c r="M75" s="7" t="n"/>
    </row>
    <row r="76">
      <c r="A76" s="4" t="n"/>
      <c r="B76" s="4" t="n"/>
      <c r="C76" s="4" t="n"/>
      <c r="D76" s="4" t="n"/>
      <c r="E76" s="4" t="n"/>
      <c r="F76" s="4" t="n"/>
      <c r="G76" s="6">
        <f>IF(E76="","",IFERROR(F76/E76,0))</f>
        <v/>
      </c>
      <c r="H76" s="4" t="n"/>
      <c r="I76" s="4" t="n"/>
      <c r="J76" s="5" t="n"/>
      <c r="K76" s="5">
        <f>IF(F76="","",IFERROR(J76/F76,0))</f>
        <v/>
      </c>
      <c r="L76" s="4" t="n"/>
      <c r="M76" s="4" t="n"/>
    </row>
    <row r="77">
      <c r="A77" s="7" t="n"/>
      <c r="B77" s="7" t="n"/>
      <c r="C77" s="7" t="n"/>
      <c r="D77" s="7" t="n"/>
      <c r="E77" s="7" t="n"/>
      <c r="F77" s="7" t="n"/>
      <c r="G77" s="9">
        <f>IF(E77="","",IFERROR(F77/E77,0))</f>
        <v/>
      </c>
      <c r="H77" s="7" t="n"/>
      <c r="I77" s="7" t="n"/>
      <c r="J77" s="8" t="n"/>
      <c r="K77" s="8">
        <f>IF(F77="","",IFERROR(J77/F77,0))</f>
        <v/>
      </c>
      <c r="L77" s="7" t="n"/>
      <c r="M77" s="7" t="n"/>
    </row>
    <row r="78">
      <c r="A78" s="4" t="n"/>
      <c r="B78" s="4" t="n"/>
      <c r="C78" s="4" t="n"/>
      <c r="D78" s="4" t="n"/>
      <c r="E78" s="4" t="n"/>
      <c r="F78" s="4" t="n"/>
      <c r="G78" s="6">
        <f>IF(E78="","",IFERROR(F78/E78,0))</f>
        <v/>
      </c>
      <c r="H78" s="4" t="n"/>
      <c r="I78" s="4" t="n"/>
      <c r="J78" s="5" t="n"/>
      <c r="K78" s="5">
        <f>IF(F78="","",IFERROR(J78/F78,0))</f>
        <v/>
      </c>
      <c r="L78" s="4" t="n"/>
      <c r="M78" s="4" t="n"/>
    </row>
    <row r="79">
      <c r="A79" s="7" t="n"/>
      <c r="B79" s="7" t="n"/>
      <c r="C79" s="7" t="n"/>
      <c r="D79" s="7" t="n"/>
      <c r="E79" s="7" t="n"/>
      <c r="F79" s="7" t="n"/>
      <c r="G79" s="9">
        <f>IF(E79="","",IFERROR(F79/E79,0))</f>
        <v/>
      </c>
      <c r="H79" s="7" t="n"/>
      <c r="I79" s="7" t="n"/>
      <c r="J79" s="8" t="n"/>
      <c r="K79" s="8">
        <f>IF(F79="","",IFERROR(J79/F79,0))</f>
        <v/>
      </c>
      <c r="L79" s="7" t="n"/>
      <c r="M79" s="7" t="n"/>
    </row>
    <row r="80">
      <c r="A80" s="4" t="n"/>
      <c r="B80" s="4" t="n"/>
      <c r="C80" s="4" t="n"/>
      <c r="D80" s="4" t="n"/>
      <c r="E80" s="4" t="n"/>
      <c r="F80" s="4" t="n"/>
      <c r="G80" s="6">
        <f>IF(E80="","",IFERROR(F80/E80,0))</f>
        <v/>
      </c>
      <c r="H80" s="4" t="n"/>
      <c r="I80" s="4" t="n"/>
      <c r="J80" s="5" t="n"/>
      <c r="K80" s="5">
        <f>IF(F80="","",IFERROR(J80/F80,0))</f>
        <v/>
      </c>
      <c r="L80" s="4" t="n"/>
      <c r="M80" s="4" t="n"/>
    </row>
    <row r="81">
      <c r="A81" s="7" t="n"/>
      <c r="B81" s="7" t="n"/>
      <c r="C81" s="7" t="n"/>
      <c r="D81" s="7" t="n"/>
      <c r="E81" s="7" t="n"/>
      <c r="F81" s="7" t="n"/>
      <c r="G81" s="9">
        <f>IF(E81="","",IFERROR(F81/E81,0))</f>
        <v/>
      </c>
      <c r="H81" s="7" t="n"/>
      <c r="I81" s="7" t="n"/>
      <c r="J81" s="8" t="n"/>
      <c r="K81" s="8">
        <f>IF(F81="","",IFERROR(J81/F81,0))</f>
        <v/>
      </c>
      <c r="L81" s="7" t="n"/>
      <c r="M81" s="7" t="n"/>
    </row>
    <row r="82">
      <c r="A82" s="4" t="n"/>
      <c r="B82" s="4" t="n"/>
      <c r="C82" s="4" t="n"/>
      <c r="D82" s="4" t="n"/>
      <c r="E82" s="4" t="n"/>
      <c r="F82" s="4" t="n"/>
      <c r="G82" s="6">
        <f>IF(E82="","",IFERROR(F82/E82,0))</f>
        <v/>
      </c>
      <c r="H82" s="4" t="n"/>
      <c r="I82" s="4" t="n"/>
      <c r="J82" s="5" t="n"/>
      <c r="K82" s="5">
        <f>IF(F82="","",IFERROR(J82/F82,0))</f>
        <v/>
      </c>
      <c r="L82" s="4" t="n"/>
      <c r="M82" s="4" t="n"/>
    </row>
    <row r="83">
      <c r="A83" s="7" t="n"/>
      <c r="B83" s="7" t="n"/>
      <c r="C83" s="7" t="n"/>
      <c r="D83" s="7" t="n"/>
      <c r="E83" s="7" t="n"/>
      <c r="F83" s="7" t="n"/>
      <c r="G83" s="9">
        <f>IF(E83="","",IFERROR(F83/E83,0))</f>
        <v/>
      </c>
      <c r="H83" s="7" t="n"/>
      <c r="I83" s="7" t="n"/>
      <c r="J83" s="8" t="n"/>
      <c r="K83" s="8">
        <f>IF(F83="","",IFERROR(J83/F83,0))</f>
        <v/>
      </c>
      <c r="L83" s="7" t="n"/>
      <c r="M83" s="7" t="n"/>
    </row>
    <row r="84">
      <c r="A84" s="4" t="n"/>
      <c r="B84" s="4" t="n"/>
      <c r="C84" s="4" t="n"/>
      <c r="D84" s="4" t="n"/>
      <c r="E84" s="4" t="n"/>
      <c r="F84" s="4" t="n"/>
      <c r="G84" s="6">
        <f>IF(E84="","",IFERROR(F84/E84,0))</f>
        <v/>
      </c>
      <c r="H84" s="4" t="n"/>
      <c r="I84" s="4" t="n"/>
      <c r="J84" s="5" t="n"/>
      <c r="K84" s="5">
        <f>IF(F84="","",IFERROR(J84/F84,0))</f>
        <v/>
      </c>
      <c r="L84" s="4" t="n"/>
      <c r="M84" s="4" t="n"/>
    </row>
    <row r="85">
      <c r="A85" s="7" t="n"/>
      <c r="B85" s="7" t="n"/>
      <c r="C85" s="7" t="n"/>
      <c r="D85" s="7" t="n"/>
      <c r="E85" s="7" t="n"/>
      <c r="F85" s="7" t="n"/>
      <c r="G85" s="9">
        <f>IF(E85="","",IFERROR(F85/E85,0))</f>
        <v/>
      </c>
      <c r="H85" s="7" t="n"/>
      <c r="I85" s="7" t="n"/>
      <c r="J85" s="8" t="n"/>
      <c r="K85" s="8">
        <f>IF(F85="","",IFERROR(J85/F85,0))</f>
        <v/>
      </c>
      <c r="L85" s="7" t="n"/>
      <c r="M85" s="7" t="n"/>
    </row>
    <row r="86">
      <c r="A86" s="4" t="n"/>
      <c r="B86" s="4" t="n"/>
      <c r="C86" s="4" t="n"/>
      <c r="D86" s="4" t="n"/>
      <c r="E86" s="4" t="n"/>
      <c r="F86" s="4" t="n"/>
      <c r="G86" s="6">
        <f>IF(E86="","",IFERROR(F86/E86,0))</f>
        <v/>
      </c>
      <c r="H86" s="4" t="n"/>
      <c r="I86" s="4" t="n"/>
      <c r="J86" s="5" t="n"/>
      <c r="K86" s="5">
        <f>IF(F86="","",IFERROR(J86/F86,0))</f>
        <v/>
      </c>
      <c r="L86" s="4" t="n"/>
      <c r="M86" s="4" t="n"/>
    </row>
    <row r="87">
      <c r="A87" s="7" t="n"/>
      <c r="B87" s="7" t="n"/>
      <c r="C87" s="7" t="n"/>
      <c r="D87" s="7" t="n"/>
      <c r="E87" s="7" t="n"/>
      <c r="F87" s="7" t="n"/>
      <c r="G87" s="9">
        <f>IF(E87="","",IFERROR(F87/E87,0))</f>
        <v/>
      </c>
      <c r="H87" s="7" t="n"/>
      <c r="I87" s="7" t="n"/>
      <c r="J87" s="8" t="n"/>
      <c r="K87" s="8">
        <f>IF(F87="","",IFERROR(J87/F87,0))</f>
        <v/>
      </c>
      <c r="L87" s="7" t="n"/>
      <c r="M87" s="7" t="n"/>
    </row>
    <row r="88">
      <c r="A88" s="4" t="n"/>
      <c r="B88" s="4" t="n"/>
      <c r="C88" s="4" t="n"/>
      <c r="D88" s="4" t="n"/>
      <c r="E88" s="4" t="n"/>
      <c r="F88" s="4" t="n"/>
      <c r="G88" s="6">
        <f>IF(E88="","",IFERROR(F88/E88,0))</f>
        <v/>
      </c>
      <c r="H88" s="4" t="n"/>
      <c r="I88" s="4" t="n"/>
      <c r="J88" s="5" t="n"/>
      <c r="K88" s="5">
        <f>IF(F88="","",IFERROR(J88/F88,0))</f>
        <v/>
      </c>
      <c r="L88" s="4" t="n"/>
      <c r="M88" s="4" t="n"/>
    </row>
    <row r="89">
      <c r="A89" s="7" t="n"/>
      <c r="B89" s="7" t="n"/>
      <c r="C89" s="7" t="n"/>
      <c r="D89" s="7" t="n"/>
      <c r="E89" s="7" t="n"/>
      <c r="F89" s="7" t="n"/>
      <c r="G89" s="9">
        <f>IF(E89="","",IFERROR(F89/E89,0))</f>
        <v/>
      </c>
      <c r="H89" s="7" t="n"/>
      <c r="I89" s="7" t="n"/>
      <c r="J89" s="8" t="n"/>
      <c r="K89" s="8">
        <f>IF(F89="","",IFERROR(J89/F89,0))</f>
        <v/>
      </c>
      <c r="L89" s="7" t="n"/>
      <c r="M89" s="7" t="n"/>
    </row>
    <row r="90">
      <c r="A90" s="4" t="n"/>
      <c r="B90" s="4" t="n"/>
      <c r="C90" s="4" t="n"/>
      <c r="D90" s="4" t="n"/>
      <c r="E90" s="4" t="n"/>
      <c r="F90" s="4" t="n"/>
      <c r="G90" s="6">
        <f>IF(E90="","",IFERROR(F90/E90,0))</f>
        <v/>
      </c>
      <c r="H90" s="4" t="n"/>
      <c r="I90" s="4" t="n"/>
      <c r="J90" s="5" t="n"/>
      <c r="K90" s="5">
        <f>IF(F90="","",IFERROR(J90/F90,0))</f>
        <v/>
      </c>
      <c r="L90" s="4" t="n"/>
      <c r="M90" s="4" t="n"/>
    </row>
    <row r="91">
      <c r="A91" s="7" t="n"/>
      <c r="B91" s="7" t="n"/>
      <c r="C91" s="7" t="n"/>
      <c r="D91" s="7" t="n"/>
      <c r="E91" s="7" t="n"/>
      <c r="F91" s="7" t="n"/>
      <c r="G91" s="9">
        <f>IF(E91="","",IFERROR(F91/E91,0))</f>
        <v/>
      </c>
      <c r="H91" s="7" t="n"/>
      <c r="I91" s="7" t="n"/>
      <c r="J91" s="8" t="n"/>
      <c r="K91" s="8">
        <f>IF(F91="","",IFERROR(J91/F91,0))</f>
        <v/>
      </c>
      <c r="L91" s="7" t="n"/>
      <c r="M91" s="7" t="n"/>
    </row>
    <row r="92">
      <c r="A92" s="4" t="n"/>
      <c r="B92" s="4" t="n"/>
      <c r="C92" s="4" t="n"/>
      <c r="D92" s="4" t="n"/>
      <c r="E92" s="4" t="n"/>
      <c r="F92" s="4" t="n"/>
      <c r="G92" s="6">
        <f>IF(E92="","",IFERROR(F92/E92,0))</f>
        <v/>
      </c>
      <c r="H92" s="4" t="n"/>
      <c r="I92" s="4" t="n"/>
      <c r="J92" s="5" t="n"/>
      <c r="K92" s="5">
        <f>IF(F92="","",IFERROR(J92/F92,0))</f>
        <v/>
      </c>
      <c r="L92" s="4" t="n"/>
      <c r="M92" s="4" t="n"/>
    </row>
    <row r="93">
      <c r="A93" s="7" t="n"/>
      <c r="B93" s="7" t="n"/>
      <c r="C93" s="7" t="n"/>
      <c r="D93" s="7" t="n"/>
      <c r="E93" s="7" t="n"/>
      <c r="F93" s="7" t="n"/>
      <c r="G93" s="9">
        <f>IF(E93="","",IFERROR(F93/E93,0))</f>
        <v/>
      </c>
      <c r="H93" s="7" t="n"/>
      <c r="I93" s="7" t="n"/>
      <c r="J93" s="8" t="n"/>
      <c r="K93" s="8">
        <f>IF(F93="","",IFERROR(J93/F93,0))</f>
        <v/>
      </c>
      <c r="L93" s="7" t="n"/>
      <c r="M93" s="7" t="n"/>
    </row>
    <row r="94">
      <c r="A94" s="4" t="n"/>
      <c r="B94" s="4" t="n"/>
      <c r="C94" s="4" t="n"/>
      <c r="D94" s="4" t="n"/>
      <c r="E94" s="4" t="n"/>
      <c r="F94" s="4" t="n"/>
      <c r="G94" s="6">
        <f>IF(E94="","",IFERROR(F94/E94,0))</f>
        <v/>
      </c>
      <c r="H94" s="4" t="n"/>
      <c r="I94" s="4" t="n"/>
      <c r="J94" s="5" t="n"/>
      <c r="K94" s="5">
        <f>IF(F94="","",IFERROR(J94/F94,0))</f>
        <v/>
      </c>
      <c r="L94" s="4" t="n"/>
      <c r="M94" s="4" t="n"/>
    </row>
    <row r="95">
      <c r="A95" s="7" t="n"/>
      <c r="B95" s="7" t="n"/>
      <c r="C95" s="7" t="n"/>
      <c r="D95" s="7" t="n"/>
      <c r="E95" s="7" t="n"/>
      <c r="F95" s="7" t="n"/>
      <c r="G95" s="9">
        <f>IF(E95="","",IFERROR(F95/E95,0))</f>
        <v/>
      </c>
      <c r="H95" s="7" t="n"/>
      <c r="I95" s="7" t="n"/>
      <c r="J95" s="8" t="n"/>
      <c r="K95" s="8">
        <f>IF(F95="","",IFERROR(J95/F95,0))</f>
        <v/>
      </c>
      <c r="L95" s="7" t="n"/>
      <c r="M95" s="7" t="n"/>
    </row>
    <row r="96">
      <c r="A96" s="4" t="n"/>
      <c r="B96" s="4" t="n"/>
      <c r="C96" s="4" t="n"/>
      <c r="D96" s="4" t="n"/>
      <c r="E96" s="4" t="n"/>
      <c r="F96" s="4" t="n"/>
      <c r="G96" s="6">
        <f>IF(E96="","",IFERROR(F96/E96,0))</f>
        <v/>
      </c>
      <c r="H96" s="4" t="n"/>
      <c r="I96" s="4" t="n"/>
      <c r="J96" s="5" t="n"/>
      <c r="K96" s="5">
        <f>IF(F96="","",IFERROR(J96/F96,0))</f>
        <v/>
      </c>
      <c r="L96" s="4" t="n"/>
      <c r="M96" s="4" t="n"/>
    </row>
    <row r="97">
      <c r="A97" s="7" t="n"/>
      <c r="B97" s="7" t="n"/>
      <c r="C97" s="7" t="n"/>
      <c r="D97" s="7" t="n"/>
      <c r="E97" s="7" t="n"/>
      <c r="F97" s="7" t="n"/>
      <c r="G97" s="9">
        <f>IF(E97="","",IFERROR(F97/E97,0))</f>
        <v/>
      </c>
      <c r="H97" s="7" t="n"/>
      <c r="I97" s="7" t="n"/>
      <c r="J97" s="8" t="n"/>
      <c r="K97" s="8">
        <f>IF(F97="","",IFERROR(J97/F97,0))</f>
        <v/>
      </c>
      <c r="L97" s="7" t="n"/>
      <c r="M97" s="7" t="n"/>
    </row>
    <row r="98">
      <c r="A98" s="4" t="n"/>
      <c r="B98" s="4" t="n"/>
      <c r="C98" s="4" t="n"/>
      <c r="D98" s="4" t="n"/>
      <c r="E98" s="4" t="n"/>
      <c r="F98" s="4" t="n"/>
      <c r="G98" s="6">
        <f>IF(E98="","",IFERROR(F98/E98,0))</f>
        <v/>
      </c>
      <c r="H98" s="4" t="n"/>
      <c r="I98" s="4" t="n"/>
      <c r="J98" s="5" t="n"/>
      <c r="K98" s="5">
        <f>IF(F98="","",IFERROR(J98/F98,0))</f>
        <v/>
      </c>
      <c r="L98" s="4" t="n"/>
      <c r="M98" s="4" t="n"/>
    </row>
    <row r="99">
      <c r="A99" s="7" t="n"/>
      <c r="B99" s="7" t="n"/>
      <c r="C99" s="7" t="n"/>
      <c r="D99" s="7" t="n"/>
      <c r="E99" s="7" t="n"/>
      <c r="F99" s="7" t="n"/>
      <c r="G99" s="9">
        <f>IF(E99="","",IFERROR(F99/E99,0))</f>
        <v/>
      </c>
      <c r="H99" s="7" t="n"/>
      <c r="I99" s="7" t="n"/>
      <c r="J99" s="8" t="n"/>
      <c r="K99" s="8">
        <f>IF(F99="","",IFERROR(J99/F99,0))</f>
        <v/>
      </c>
      <c r="L99" s="7" t="n"/>
      <c r="M99" s="7" t="n"/>
    </row>
    <row r="100">
      <c r="A100" s="4" t="n"/>
      <c r="B100" s="4" t="n"/>
      <c r="C100" s="4" t="n"/>
      <c r="D100" s="4" t="n"/>
      <c r="E100" s="4" t="n"/>
      <c r="F100" s="4" t="n"/>
      <c r="G100" s="6">
        <f>IF(E100="","",IFERROR(F100/E100,0))</f>
        <v/>
      </c>
      <c r="H100" s="4" t="n"/>
      <c r="I100" s="4" t="n"/>
      <c r="J100" s="5" t="n"/>
      <c r="K100" s="5">
        <f>IF(F100="","",IFERROR(J100/F100,0))</f>
        <v/>
      </c>
      <c r="L100" s="4" t="n"/>
      <c r="M100" s="4" t="n"/>
    </row>
    <row r="101">
      <c r="A101" s="7" t="n"/>
      <c r="B101" s="7" t="n"/>
      <c r="C101" s="7" t="n"/>
      <c r="D101" s="7" t="n"/>
      <c r="E101" s="7" t="n"/>
      <c r="F101" s="7" t="n"/>
      <c r="G101" s="9">
        <f>IF(E101="","",IFERROR(F101/E101,0))</f>
        <v/>
      </c>
      <c r="H101" s="7" t="n"/>
      <c r="I101" s="7" t="n"/>
      <c r="J101" s="8" t="n"/>
      <c r="K101" s="8">
        <f>IF(F101="","",IFERROR(J101/F101,0))</f>
        <v/>
      </c>
      <c r="L101" s="7" t="n"/>
      <c r="M101" s="7" t="n"/>
    </row>
    <row r="102">
      <c r="A102" s="4" t="n"/>
      <c r="B102" s="4" t="n"/>
      <c r="C102" s="4" t="n"/>
      <c r="D102" s="4" t="n"/>
      <c r="E102" s="4" t="n"/>
      <c r="F102" s="4" t="n"/>
      <c r="G102" s="6">
        <f>IF(E102="","",IFERROR(F102/E102,0))</f>
        <v/>
      </c>
      <c r="H102" s="4" t="n"/>
      <c r="I102" s="4" t="n"/>
      <c r="J102" s="5" t="n"/>
      <c r="K102" s="5">
        <f>IF(F102="","",IFERROR(J102/F102,0))</f>
        <v/>
      </c>
      <c r="L102" s="4" t="n"/>
      <c r="M102" s="4" t="n"/>
    </row>
    <row r="103">
      <c r="A103" s="7" t="n"/>
      <c r="B103" s="7" t="n"/>
      <c r="C103" s="7" t="n"/>
      <c r="D103" s="7" t="n"/>
      <c r="E103" s="7" t="n"/>
      <c r="F103" s="7" t="n"/>
      <c r="G103" s="9">
        <f>IF(E103="","",IFERROR(F103/E103,0))</f>
        <v/>
      </c>
      <c r="H103" s="7" t="n"/>
      <c r="I103" s="7" t="n"/>
      <c r="J103" s="8" t="n"/>
      <c r="K103" s="8">
        <f>IF(F103="","",IFERROR(J103/F103,0))</f>
        <v/>
      </c>
      <c r="L103" s="7" t="n"/>
      <c r="M103" s="7" t="n"/>
    </row>
    <row r="104">
      <c r="A104" s="4" t="n"/>
      <c r="B104" s="4" t="n"/>
      <c r="C104" s="4" t="n"/>
      <c r="D104" s="4" t="n"/>
      <c r="E104" s="4" t="n"/>
      <c r="F104" s="4" t="n"/>
      <c r="G104" s="6">
        <f>IF(E104="","",IFERROR(F104/E104,0))</f>
        <v/>
      </c>
      <c r="H104" s="4" t="n"/>
      <c r="I104" s="4" t="n"/>
      <c r="J104" s="5" t="n"/>
      <c r="K104" s="5">
        <f>IF(F104="","",IFERROR(J104/F104,0))</f>
        <v/>
      </c>
      <c r="L104" s="4" t="n"/>
      <c r="M104" s="4" t="n"/>
    </row>
    <row r="105">
      <c r="A105" s="7" t="n"/>
      <c r="B105" s="7" t="n"/>
      <c r="C105" s="7" t="n"/>
      <c r="D105" s="7" t="n"/>
      <c r="E105" s="7" t="n"/>
      <c r="F105" s="7" t="n"/>
      <c r="G105" s="9">
        <f>IF(E105="","",IFERROR(F105/E105,0))</f>
        <v/>
      </c>
      <c r="H105" s="7" t="n"/>
      <c r="I105" s="7" t="n"/>
      <c r="J105" s="8" t="n"/>
      <c r="K105" s="8">
        <f>IF(F105="","",IFERROR(J105/F105,0))</f>
        <v/>
      </c>
      <c r="L105" s="7" t="n"/>
      <c r="M105" s="7" t="n"/>
    </row>
    <row r="106">
      <c r="A106" s="4" t="n"/>
      <c r="B106" s="4" t="n"/>
      <c r="C106" s="4" t="n"/>
      <c r="D106" s="4" t="n"/>
      <c r="E106" s="4" t="n"/>
      <c r="F106" s="4" t="n"/>
      <c r="G106" s="6">
        <f>IF(E106="","",IFERROR(F106/E106,0))</f>
        <v/>
      </c>
      <c r="H106" s="4" t="n"/>
      <c r="I106" s="4" t="n"/>
      <c r="J106" s="5" t="n"/>
      <c r="K106" s="5">
        <f>IF(F106="","",IFERROR(J106/F106,0))</f>
        <v/>
      </c>
      <c r="L106" s="4" t="n"/>
      <c r="M106" s="4" t="n"/>
    </row>
    <row r="107">
      <c r="A107" s="7" t="n"/>
      <c r="B107" s="7" t="n"/>
      <c r="C107" s="7" t="n"/>
      <c r="D107" s="7" t="n"/>
      <c r="E107" s="7" t="n"/>
      <c r="F107" s="7" t="n"/>
      <c r="G107" s="9">
        <f>IF(E107="","",IFERROR(F107/E107,0))</f>
        <v/>
      </c>
      <c r="H107" s="7" t="n"/>
      <c r="I107" s="7" t="n"/>
      <c r="J107" s="8" t="n"/>
      <c r="K107" s="8">
        <f>IF(F107="","",IFERROR(J107/F107,0))</f>
        <v/>
      </c>
      <c r="L107" s="7" t="n"/>
      <c r="M107" s="7" t="n"/>
    </row>
    <row r="108">
      <c r="A108" s="4" t="n"/>
      <c r="B108" s="4" t="n"/>
      <c r="C108" s="4" t="n"/>
      <c r="D108" s="4" t="n"/>
      <c r="E108" s="4" t="n"/>
      <c r="F108" s="4" t="n"/>
      <c r="G108" s="6">
        <f>IF(E108="","",IFERROR(F108/E108,0))</f>
        <v/>
      </c>
      <c r="H108" s="4" t="n"/>
      <c r="I108" s="4" t="n"/>
      <c r="J108" s="5" t="n"/>
      <c r="K108" s="5">
        <f>IF(F108="","",IFERROR(J108/F108,0))</f>
        <v/>
      </c>
      <c r="L108" s="4" t="n"/>
      <c r="M108" s="4" t="n"/>
    </row>
    <row r="109">
      <c r="A109" s="7" t="n"/>
      <c r="B109" s="7" t="n"/>
      <c r="C109" s="7" t="n"/>
      <c r="D109" s="7" t="n"/>
      <c r="E109" s="7" t="n"/>
      <c r="F109" s="7" t="n"/>
      <c r="G109" s="9">
        <f>IF(E109="","",IFERROR(F109/E109,0))</f>
        <v/>
      </c>
      <c r="H109" s="7" t="n"/>
      <c r="I109" s="7" t="n"/>
      <c r="J109" s="8" t="n"/>
      <c r="K109" s="8">
        <f>IF(F109="","",IFERROR(J109/F109,0))</f>
        <v/>
      </c>
      <c r="L109" s="7" t="n"/>
      <c r="M109" s="7" t="n"/>
    </row>
    <row r="110">
      <c r="A110" s="4" t="n"/>
      <c r="B110" s="4" t="n"/>
      <c r="C110" s="4" t="n"/>
      <c r="D110" s="4" t="n"/>
      <c r="E110" s="4" t="n"/>
      <c r="F110" s="4" t="n"/>
      <c r="G110" s="6">
        <f>IF(E110="","",IFERROR(F110/E110,0))</f>
        <v/>
      </c>
      <c r="H110" s="4" t="n"/>
      <c r="I110" s="4" t="n"/>
      <c r="J110" s="5" t="n"/>
      <c r="K110" s="5">
        <f>IF(F110="","",IFERROR(J110/F110,0))</f>
        <v/>
      </c>
      <c r="L110" s="4" t="n"/>
      <c r="M110" s="4" t="n"/>
    </row>
    <row r="111">
      <c r="A111" s="7" t="n"/>
      <c r="B111" s="7" t="n"/>
      <c r="C111" s="7" t="n"/>
      <c r="D111" s="7" t="n"/>
      <c r="E111" s="7" t="n"/>
      <c r="F111" s="7" t="n"/>
      <c r="G111" s="9">
        <f>IF(E111="","",IFERROR(F111/E111,0))</f>
        <v/>
      </c>
      <c r="H111" s="7" t="n"/>
      <c r="I111" s="7" t="n"/>
      <c r="J111" s="8" t="n"/>
      <c r="K111" s="8">
        <f>IF(F111="","",IFERROR(J111/F111,0))</f>
        <v/>
      </c>
      <c r="L111" s="7" t="n"/>
      <c r="M111" s="7" t="n"/>
    </row>
    <row r="112">
      <c r="A112" s="4" t="n"/>
      <c r="B112" s="4" t="n"/>
      <c r="C112" s="4" t="n"/>
      <c r="D112" s="4" t="n"/>
      <c r="E112" s="4" t="n"/>
      <c r="F112" s="4" t="n"/>
      <c r="G112" s="6">
        <f>IF(E112="","",IFERROR(F112/E112,0))</f>
        <v/>
      </c>
      <c r="H112" s="4" t="n"/>
      <c r="I112" s="4" t="n"/>
      <c r="J112" s="5" t="n"/>
      <c r="K112" s="5">
        <f>IF(F112="","",IFERROR(J112/F112,0))</f>
        <v/>
      </c>
      <c r="L112" s="4" t="n"/>
      <c r="M112" s="4" t="n"/>
    </row>
    <row r="113">
      <c r="A113" s="7" t="n"/>
      <c r="B113" s="7" t="n"/>
      <c r="C113" s="7" t="n"/>
      <c r="D113" s="7" t="n"/>
      <c r="E113" s="7" t="n"/>
      <c r="F113" s="7" t="n"/>
      <c r="G113" s="9">
        <f>IF(E113="","",IFERROR(F113/E113,0))</f>
        <v/>
      </c>
      <c r="H113" s="7" t="n"/>
      <c r="I113" s="7" t="n"/>
      <c r="J113" s="8" t="n"/>
      <c r="K113" s="8">
        <f>IF(F113="","",IFERROR(J113/F113,0))</f>
        <v/>
      </c>
      <c r="L113" s="7" t="n"/>
      <c r="M113" s="7" t="n"/>
    </row>
    <row r="114">
      <c r="A114" s="4" t="n"/>
      <c r="B114" s="4" t="n"/>
      <c r="C114" s="4" t="n"/>
      <c r="D114" s="4" t="n"/>
      <c r="E114" s="4" t="n"/>
      <c r="F114" s="4" t="n"/>
      <c r="G114" s="6">
        <f>IF(E114="","",IFERROR(F114/E114,0))</f>
        <v/>
      </c>
      <c r="H114" s="4" t="n"/>
      <c r="I114" s="4" t="n"/>
      <c r="J114" s="5" t="n"/>
      <c r="K114" s="5">
        <f>IF(F114="","",IFERROR(J114/F114,0))</f>
        <v/>
      </c>
      <c r="L114" s="4" t="n"/>
      <c r="M114" s="4" t="n"/>
    </row>
    <row r="115">
      <c r="A115" s="7" t="n"/>
      <c r="B115" s="7" t="n"/>
      <c r="C115" s="7" t="n"/>
      <c r="D115" s="7" t="n"/>
      <c r="E115" s="7" t="n"/>
      <c r="F115" s="7" t="n"/>
      <c r="G115" s="9">
        <f>IF(E115="","",IFERROR(F115/E115,0))</f>
        <v/>
      </c>
      <c r="H115" s="7" t="n"/>
      <c r="I115" s="7" t="n"/>
      <c r="J115" s="8" t="n"/>
      <c r="K115" s="8">
        <f>IF(F115="","",IFERROR(J115/F115,0))</f>
        <v/>
      </c>
      <c r="L115" s="7" t="n"/>
      <c r="M115" s="7" t="n"/>
    </row>
  </sheetData>
  <mergeCells count="2">
    <mergeCell ref="A3:P3"/>
    <mergeCell ref="A2:P2"/>
  </mergeCells>
  <conditionalFormatting sqref="M6:M115">
    <cfRule type="cellIs" priority="1" operator="equal" dxfId="1">
      <formula>"Terminée"</formula>
    </cfRule>
    <cfRule type="cellIs" priority="2" operator="equal" dxfId="0">
      <formula>"En cours"</formula>
    </cfRule>
    <cfRule type="cellIs" priority="3" operator="equal" dxfId="4">
      <formula>"Planifiée"</formula>
    </cfRule>
  </conditionalFormatting>
  <dataValidations count="4">
    <dataValidation sqref="B6:B115" showDropDown="0" showInputMessage="0" showErrorMessage="0" allowBlank="1" errorTitle="Erreur de saisie" error="Valeur non autorisée" promptTitle="Liste déroulante" prompt="Sélectionnez dans la liste" type="list">
      <formula1>'F02 - _Lists'!$N$6:$N$35</formula1>
    </dataValidation>
    <dataValidation sqref="C6:C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  <dataValidation sqref="L6:L115" showDropDown="0" showInputMessage="0" showErrorMessage="0" allowBlank="1" errorTitle="Erreur de saisie" error="Valeur non autorisée" promptTitle="Liste déroulante" prompt="Sélectionnez dans la liste" type="list">
      <formula1>'F02 - _Lists'!$T$6:$T$35</formula1>
    </dataValidation>
    <dataValidation sqref="M6:M115" showDropDown="0" showInputMessage="0" showErrorMessage="0" allowBlank="1" errorTitle="Erreur de saisie" error="Valeur non autorisée" promptTitle="Liste déroulante" prompt="Sélectionnez dans la liste" type="list">
      <formula1>'F02 - _Lists'!$K$6:$K$35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3A047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20" customWidth="1" min="5" max="5"/>
    <col width="14" customWidth="1" min="6" max="6"/>
    <col width="30" customWidth="1" min="7" max="7"/>
    <col width="16" customWidth="1" min="8" max="8"/>
    <col width="16" customWidth="1" min="9" max="9"/>
    <col width="18" customWidth="1" min="10" max="10"/>
    <col width="28" customWidth="1" min="11" max="11"/>
  </cols>
  <sheetData>
    <row r="2" ht="25" customHeight="1">
      <c r="A2" s="1" t="inlineStr">
        <is>
          <t>DOMAINE 27 — 7-PLAN D'ÉVACUATION ET SECOURS</t>
        </is>
      </c>
    </row>
    <row r="3" ht="18" customHeight="1">
      <c r="A3" s="2" t="inlineStr">
        <is>
          <t>TABLEAU DYNAMIQUE — Consignes, équipements et exercices</t>
        </is>
      </c>
    </row>
    <row r="5">
      <c r="A5" s="3" t="inlineStr">
        <is>
          <t>Code Zone</t>
        </is>
      </c>
      <c r="B5" s="3" t="inlineStr">
        <is>
          <t>Zone / Bâtiment</t>
        </is>
      </c>
      <c r="C5" s="3" t="inlineStr">
        <is>
          <t>Nb Sorties Secours</t>
        </is>
      </c>
      <c r="D5" s="3" t="inlineStr">
        <is>
          <t>Nb Extincteurs</t>
        </is>
      </c>
      <c r="E5" s="3" t="inlineStr">
        <is>
          <t>Point Rassemblement</t>
        </is>
      </c>
      <c r="F5" s="3" t="inlineStr">
        <is>
          <t>Capacité Zone</t>
        </is>
      </c>
      <c r="G5" s="3" t="inlineStr">
        <is>
          <t>Équipements Spécifiques</t>
        </is>
      </c>
      <c r="H5" s="3" t="inlineStr">
        <is>
          <t>Dernier Exercice</t>
        </is>
      </c>
      <c r="I5" s="3" t="inlineStr">
        <is>
          <t>Prochain Exercice</t>
        </is>
      </c>
      <c r="J5" s="3" t="inlineStr">
        <is>
          <t>Taux Évacuation (%)</t>
        </is>
      </c>
      <c r="K5" s="3" t="inlineStr">
        <is>
          <t>Observations</t>
        </is>
      </c>
    </row>
    <row r="6">
      <c r="A6" s="4" t="inlineStr">
        <is>
          <t>ZONE-01</t>
        </is>
      </c>
      <c r="B6" s="4" t="inlineStr">
        <is>
          <t>Bâtiment principal RDC</t>
        </is>
      </c>
      <c r="C6" s="4" t="n">
        <v>4</v>
      </c>
      <c r="D6" s="4" t="n">
        <v>12</v>
      </c>
      <c r="E6" s="4" t="inlineStr">
        <is>
          <t>Parking Nord</t>
        </is>
      </c>
      <c r="F6" s="4" t="n">
        <v>80</v>
      </c>
      <c r="G6" s="4" t="inlineStr">
        <is>
          <t>Alarme, sprinkleur, DAS</t>
        </is>
      </c>
      <c r="H6" s="14" t="n">
        <v>45731</v>
      </c>
      <c r="I6" s="14" t="n">
        <v>45915</v>
      </c>
      <c r="J6" s="4" t="n">
        <v>95</v>
      </c>
      <c r="K6" s="4" t="inlineStr">
        <is>
          <t>Évacuation en 4 min</t>
        </is>
      </c>
    </row>
    <row r="7">
      <c r="A7" s="7" t="inlineStr">
        <is>
          <t>ZONE-02</t>
        </is>
      </c>
      <c r="B7" s="7" t="inlineStr">
        <is>
          <t>Bâtiment principal Étage</t>
        </is>
      </c>
      <c r="C7" s="7" t="n">
        <v>3</v>
      </c>
      <c r="D7" s="7" t="n">
        <v>8</v>
      </c>
      <c r="E7" s="7" t="inlineStr">
        <is>
          <t>Parking Nord</t>
        </is>
      </c>
      <c r="F7" s="7" t="n">
        <v>60</v>
      </c>
      <c r="G7" s="7" t="inlineStr">
        <is>
          <t>Alarme, échelle, DAS</t>
        </is>
      </c>
      <c r="H7" s="15" t="n">
        <v>45731</v>
      </c>
      <c r="I7" s="15" t="n">
        <v>45915</v>
      </c>
      <c r="J7" s="7" t="n">
        <v>92</v>
      </c>
      <c r="K7" s="7" t="inlineStr">
        <is>
          <t>Évacuation en 5 min</t>
        </is>
      </c>
    </row>
    <row r="8">
      <c r="A8" s="4" t="inlineStr">
        <is>
          <t>ZONE-03</t>
        </is>
      </c>
      <c r="B8" s="4" t="inlineStr">
        <is>
          <t>Cuisine industrielle</t>
        </is>
      </c>
      <c r="C8" s="4" t="n">
        <v>2</v>
      </c>
      <c r="D8" s="4" t="n">
        <v>6</v>
      </c>
      <c r="E8" s="4" t="inlineStr">
        <is>
          <t>Jardin Est</t>
        </is>
      </c>
      <c r="F8" s="4" t="n">
        <v>45</v>
      </c>
      <c r="G8" s="4" t="inlineStr">
        <is>
          <t>Coupe-feu, hood, extincteur CO2</t>
        </is>
      </c>
      <c r="H8" s="14" t="n">
        <v>45757</v>
      </c>
      <c r="I8" s="14" t="n">
        <v>45940</v>
      </c>
      <c r="J8" s="4" t="n">
        <v>88</v>
      </c>
      <c r="K8" s="4" t="inlineStr">
        <is>
          <t>Risque feu cuisine élevé</t>
        </is>
      </c>
    </row>
    <row r="9">
      <c r="A9" s="7" t="inlineStr">
        <is>
          <t>ZONE-04</t>
        </is>
      </c>
      <c r="B9" s="7" t="inlineStr">
        <is>
          <t>Atelier maintenance</t>
        </is>
      </c>
      <c r="C9" s="7" t="n">
        <v>2</v>
      </c>
      <c r="D9" s="7" t="n">
        <v>4</v>
      </c>
      <c r="E9" s="7" t="inlineStr">
        <is>
          <t>Parking Sud</t>
        </is>
      </c>
      <c r="F9" s="7" t="n">
        <v>18</v>
      </c>
      <c r="G9" s="7" t="inlineStr">
        <is>
          <t>Armoire à outils sécurité</t>
        </is>
      </c>
      <c r="H9" s="15" t="n">
        <v>45757</v>
      </c>
      <c r="I9" s="15" t="n">
        <v>45940</v>
      </c>
      <c r="J9" s="7" t="n">
        <v>100</v>
      </c>
      <c r="K9" s="7" t="inlineStr">
        <is>
          <t>Petit effectif, évacuation rapide</t>
        </is>
      </c>
    </row>
    <row r="10">
      <c r="A10" s="4" t="inlineStr">
        <is>
          <t>ZONE-05</t>
        </is>
      </c>
      <c r="B10" s="4" t="inlineStr">
        <is>
          <t>Spa &amp; Bien-être</t>
        </is>
      </c>
      <c r="C10" s="4" t="n">
        <v>2</v>
      </c>
      <c r="D10" s="4" t="n">
        <v>4</v>
      </c>
      <c r="E10" s="4" t="inlineStr">
        <is>
          <t>Jardin Ouest</t>
        </is>
      </c>
      <c r="F10" s="4" t="n">
        <v>20</v>
      </c>
      <c r="G10" s="4" t="inlineStr">
        <is>
          <t>Trousse premiers soins</t>
        </is>
      </c>
      <c r="H10" s="14" t="n">
        <v>45782</v>
      </c>
      <c r="I10" s="14" t="n">
        <v>45966</v>
      </c>
      <c r="J10" s="4" t="n">
        <v>90</v>
      </c>
      <c r="K10" s="4" t="inlineStr">
        <is>
          <t>Clientèle à guider</t>
        </is>
      </c>
    </row>
    <row r="11">
      <c r="A11" s="7" t="inlineStr">
        <is>
          <t>ZONE-06</t>
        </is>
      </c>
      <c r="B11" s="7" t="inlineStr">
        <is>
          <t>Réception &amp; Hall</t>
        </is>
      </c>
      <c r="C11" s="7" t="n">
        <v>3</v>
      </c>
      <c r="D11" s="7" t="n">
        <v>6</v>
      </c>
      <c r="E11" s="7" t="inlineStr">
        <is>
          <t>Parking Nord</t>
        </is>
      </c>
      <c r="F11" s="7" t="n">
        <v>40</v>
      </c>
      <c r="G11" s="7" t="inlineStr">
        <is>
          <t>Alarme visuelle, DAS</t>
        </is>
      </c>
      <c r="H11" s="15" t="n">
        <v>45731</v>
      </c>
      <c r="I11" s="15" t="n">
        <v>45915</v>
      </c>
      <c r="J11" s="7" t="n">
        <v>85</v>
      </c>
      <c r="K11" s="7" t="inlineStr">
        <is>
          <t>Public important à gérer</t>
        </is>
      </c>
    </row>
    <row r="12">
      <c r="A12" s="4" t="inlineStr">
        <is>
          <t>ZONE-07</t>
        </is>
      </c>
      <c r="B12" s="4" t="inlineStr">
        <is>
          <t>Entrepôt &amp; Stockage</t>
        </is>
      </c>
      <c r="C12" s="4" t="n">
        <v>2</v>
      </c>
      <c r="D12" s="4" t="n">
        <v>6</v>
      </c>
      <c r="E12" s="4" t="inlineStr">
        <is>
          <t>Parking Sud</t>
        </is>
      </c>
      <c r="F12" s="4" t="n">
        <v>10</v>
      </c>
      <c r="G12" s="4" t="inlineStr">
        <is>
          <t>Détection fumée, sprinkleur</t>
        </is>
      </c>
      <c r="H12" s="14" t="n">
        <v>45797</v>
      </c>
      <c r="I12" s="14" t="n">
        <v>45981</v>
      </c>
      <c r="J12" s="4" t="n">
        <v>100</v>
      </c>
      <c r="K12" s="4" t="inlineStr">
        <is>
          <t>Accès restreint</t>
        </is>
      </c>
    </row>
    <row r="13">
      <c r="A13" s="7" t="inlineStr">
        <is>
          <t>ZONE-08</t>
        </is>
      </c>
      <c r="B13" s="7" t="inlineStr">
        <is>
          <t>Parking</t>
        </is>
      </c>
      <c r="C13" s="7" t="n">
        <v>2</v>
      </c>
      <c r="D13" s="7" t="n">
        <v>2</v>
      </c>
      <c r="E13" s="7" t="inlineStr">
        <is>
          <t>Route principale</t>
        </is>
      </c>
      <c r="F13" s="7" t="n">
        <v>50</v>
      </c>
      <c r="G13" s="7" t="inlineStr">
        <is>
          <t xml:space="preserve"> extincteur véhicule, couverture</t>
        </is>
      </c>
      <c r="H13" s="15" t="n">
        <v>45767</v>
      </c>
      <c r="I13" s="15" t="n">
        <v>45950</v>
      </c>
      <c r="J13" s="7" t="n">
        <v>78</v>
      </c>
      <c r="K13" s="7" t="inlineStr">
        <is>
          <t>Zone ouverte, risque véhicule</t>
        </is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</sheetData>
  <mergeCells count="2">
    <mergeCell ref="A3:P3"/>
    <mergeCell ref="A2:P2"/>
  </mergeCells>
  <conditionalFormatting sqref="J6:J115">
    <cfRule type="cellIs" priority="1" operator="equal" dxfId="1">
      <formula>"100%"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CAF50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6" customWidth="1" min="4" max="4"/>
    <col width="14" customWidth="1" min="5" max="5"/>
    <col width="20" customWidth="1" min="6" max="6"/>
    <col width="10" customWidth="1" min="7" max="7"/>
    <col width="18" customWidth="1" min="8" max="8"/>
    <col width="16" customWidth="1" min="9" max="9"/>
    <col width="18" customWidth="1" min="10" max="10"/>
    <col width="30" customWidth="1" min="11" max="11"/>
    <col width="14" customWidth="1" min="12" max="12"/>
  </cols>
  <sheetData>
    <row r="2" ht="25" customHeight="1">
      <c r="A2" s="1" t="inlineStr">
        <is>
          <t>DOMAINE 27 — 8-SUIVI DES MALADIES PROFESSIONNELLES</t>
        </is>
      </c>
    </row>
    <row r="3" ht="18" customHeight="1">
      <c r="A3" s="2" t="inlineStr">
        <is>
          <t>TABLEAU DYNAMIQUE — Déclaration, suivi et prévention</t>
        </is>
      </c>
    </row>
    <row r="5">
      <c r="A5" s="3" t="inlineStr">
        <is>
          <t>Code Maladie</t>
        </is>
      </c>
      <c r="B5" s="3" t="inlineStr">
        <is>
          <t>Employé</t>
        </is>
      </c>
      <c r="C5" s="3" t="inlineStr">
        <is>
          <t>Département</t>
        </is>
      </c>
      <c r="D5" s="3" t="inlineStr">
        <is>
          <t>Type de Maladie</t>
        </is>
      </c>
      <c r="E5" s="3" t="inlineStr">
        <is>
          <t>Date Déclaration</t>
        </is>
      </c>
      <c r="F5" s="3" t="inlineStr">
        <is>
          <t>Date Apparition Symptômes</t>
        </is>
      </c>
      <c r="G5" s="3" t="inlineStr">
        <is>
          <t>CIM-10</t>
        </is>
      </c>
      <c r="H5" s="3" t="inlineStr">
        <is>
          <t>Jours d'Incapacité</t>
        </is>
      </c>
      <c r="I5" s="3" t="inlineStr">
        <is>
          <t>Coût (FCFA)</t>
        </is>
      </c>
      <c r="J5" s="3" t="inlineStr">
        <is>
          <t>Reconnaissance CNPS</t>
        </is>
      </c>
      <c r="K5" s="3" t="inlineStr">
        <is>
          <t>Action de Prévention</t>
        </is>
      </c>
      <c r="L5" s="3" t="inlineStr">
        <is>
          <t>Statut</t>
        </is>
      </c>
    </row>
    <row r="6">
      <c r="A6" s="4" t="inlineStr">
        <is>
          <t>MP-001</t>
        </is>
      </c>
      <c r="B6" s="4" t="inlineStr">
        <is>
          <t>M. Ondo André</t>
        </is>
      </c>
      <c r="C6" s="4" t="inlineStr">
        <is>
          <t>Maintenance</t>
        </is>
      </c>
      <c r="D6" s="4" t="inlineStr">
        <is>
          <t>Surdité professionnelle</t>
        </is>
      </c>
      <c r="E6" s="14" t="n">
        <v>45689</v>
      </c>
      <c r="F6" s="14" t="n">
        <v>45444</v>
      </c>
      <c r="G6" s="4" t="inlineStr">
        <is>
          <t>H83.9</t>
        </is>
      </c>
      <c r="H6" s="4" t="n">
        <v>60</v>
      </c>
      <c r="I6" s="5" t="n">
        <v>850000</v>
      </c>
      <c r="J6" s="4" t="inlineStr">
        <is>
          <t>En cours</t>
        </is>
      </c>
      <c r="K6" s="4" t="inlineStr">
        <is>
          <t>Bouchons antibruit renforcés</t>
        </is>
      </c>
      <c r="L6" s="4" t="inlineStr">
        <is>
          <t>En cours</t>
        </is>
      </c>
    </row>
    <row r="7">
      <c r="A7" s="7" t="inlineStr">
        <is>
          <t>MP-002</t>
        </is>
      </c>
      <c r="B7" s="7" t="inlineStr">
        <is>
          <t>Mme. Feuzeu Clarisse</t>
        </is>
      </c>
      <c r="C7" s="7" t="inlineStr">
        <is>
          <t>Cuisine</t>
        </is>
      </c>
      <c r="D7" s="7" t="inlineStr">
        <is>
          <t>Dermatose professionnelle</t>
        </is>
      </c>
      <c r="E7" s="15" t="n">
        <v>45731</v>
      </c>
      <c r="F7" s="15" t="n">
        <v>45536</v>
      </c>
      <c r="G7" s="7" t="inlineStr">
        <is>
          <t>L25.9</t>
        </is>
      </c>
      <c r="H7" s="7" t="n">
        <v>30</v>
      </c>
      <c r="I7" s="8" t="n">
        <v>350000</v>
      </c>
      <c r="J7" s="7" t="inlineStr">
        <is>
          <t>En cours</t>
        </is>
      </c>
      <c r="K7" s="7" t="inlineStr">
        <is>
          <t>Substitution produit nettoyant</t>
        </is>
      </c>
      <c r="L7" s="7" t="inlineStr">
        <is>
          <t>En cours</t>
        </is>
      </c>
    </row>
    <row r="8">
      <c r="A8" s="4" t="inlineStr">
        <is>
          <t>MP-003</t>
        </is>
      </c>
      <c r="B8" s="4" t="inlineStr">
        <is>
          <t>M. Kamga Ibrahim</t>
        </is>
      </c>
      <c r="C8" s="4" t="inlineStr">
        <is>
          <t>Cuisine</t>
        </is>
      </c>
      <c r="D8" s="4" t="inlineStr">
        <is>
          <t>Brûlure chronique</t>
        </is>
      </c>
      <c r="E8" s="14" t="n">
        <v>45748</v>
      </c>
      <c r="F8" s="14" t="n">
        <v>45505</v>
      </c>
      <c r="G8" s="4" t="inlineStr">
        <is>
          <t>L59.0</t>
        </is>
      </c>
      <c r="H8" s="4" t="n">
        <v>15</v>
      </c>
      <c r="I8" s="5" t="n">
        <v>200000</v>
      </c>
      <c r="J8" s="4" t="inlineStr">
        <is>
          <t>Reconnue</t>
        </is>
      </c>
      <c r="K8" s="4" t="inlineStr">
        <is>
          <t>Gants haute température</t>
        </is>
      </c>
      <c r="L8" s="4" t="inlineStr">
        <is>
          <t>Clôturé</t>
        </is>
      </c>
    </row>
    <row r="9">
      <c r="A9" s="7" t="inlineStr">
        <is>
          <t>MP-004</t>
        </is>
      </c>
      <c r="B9" s="7" t="inlineStr">
        <is>
          <t>M. Tabi Célestin</t>
        </is>
      </c>
      <c r="C9" s="7" t="inlineStr">
        <is>
          <t>Maintenance</t>
        </is>
      </c>
      <c r="D9" s="7" t="inlineStr">
        <is>
          <t>Névrite post-électrique</t>
        </is>
      </c>
      <c r="E9" s="15" t="n">
        <v>45778</v>
      </c>
      <c r="F9" s="15" t="n">
        <v>45749</v>
      </c>
      <c r="G9" s="7" t="inlineStr">
        <is>
          <t>G62.9</t>
        </is>
      </c>
      <c r="H9" s="7" t="n">
        <v>90</v>
      </c>
      <c r="I9" s="8" t="n">
        <v>1500000</v>
      </c>
      <c r="J9" s="7" t="inlineStr">
        <is>
          <t>En cours</t>
        </is>
      </c>
      <c r="K9" s="7" t="inlineStr">
        <is>
          <t>Protocole LOTO renforcé</t>
        </is>
      </c>
      <c r="L9" s="7" t="inlineStr">
        <is>
          <t>En cours</t>
        </is>
      </c>
    </row>
    <row r="10">
      <c r="A10" s="4" t="inlineStr">
        <is>
          <t>MP-005</t>
        </is>
      </c>
      <c r="B10" s="4" t="inlineStr">
        <is>
          <t>Mme. Djiade Aïcha</t>
        </is>
      </c>
      <c r="C10" s="4" t="inlineStr">
        <is>
          <t>Commerce</t>
        </is>
      </c>
      <c r="D10" s="4" t="inlineStr">
        <is>
          <t>TMS épaule</t>
        </is>
      </c>
      <c r="E10" s="14" t="n">
        <v>45767</v>
      </c>
      <c r="F10" s="14" t="n">
        <v>45597</v>
      </c>
      <c r="G10" s="4" t="inlineStr">
        <is>
          <t>M75.1</t>
        </is>
      </c>
      <c r="H10" s="4" t="n">
        <v>45</v>
      </c>
      <c r="I10" s="5" t="n">
        <v>600000</v>
      </c>
      <c r="J10" s="4" t="inlineStr">
        <is>
          <t>En cours</t>
        </is>
      </c>
      <c r="K10" s="4" t="inlineStr">
        <is>
          <t>Aide à la manutention</t>
        </is>
      </c>
      <c r="L10" s="4" t="inlineStr">
        <is>
          <t>En cours</t>
        </is>
      </c>
    </row>
    <row r="11">
      <c r="A11" s="7" t="inlineStr">
        <is>
          <t>MP-006</t>
        </is>
      </c>
      <c r="B11" s="7" t="inlineStr">
        <is>
          <t>M. Bouba Moussa</t>
        </is>
      </c>
      <c r="C11" s="7" t="inlineStr">
        <is>
          <t>Cuisine</t>
        </is>
      </c>
      <c r="D11" s="7" t="inlineStr">
        <is>
          <t>Intoxication alimentaire</t>
        </is>
      </c>
      <c r="E11" s="15" t="n">
        <v>45736</v>
      </c>
      <c r="F11" s="15" t="n">
        <v>45731</v>
      </c>
      <c r="G11" s="7" t="inlineStr">
        <is>
          <t>A05.9</t>
        </is>
      </c>
      <c r="H11" s="7" t="n">
        <v>7</v>
      </c>
      <c r="I11" s="8" t="n">
        <v>150000</v>
      </c>
      <c r="J11" s="7" t="inlineStr">
        <is>
          <t>Reconnue</t>
        </is>
      </c>
      <c r="K11" s="7" t="inlineStr">
        <is>
          <t>Hygiène alimentaire renforcée</t>
        </is>
      </c>
      <c r="L11" s="7" t="inlineStr">
        <is>
          <t>Clôturé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5" t="n"/>
      <c r="J12" s="4" t="n"/>
      <c r="K12" s="4" t="n"/>
      <c r="L12" s="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8" t="n"/>
      <c r="J13" s="7" t="n"/>
      <c r="K13" s="7" t="n"/>
      <c r="L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5" t="n"/>
      <c r="J14" s="4" t="n"/>
      <c r="K14" s="4" t="n"/>
      <c r="L14" s="4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8" t="n"/>
      <c r="J15" s="7" t="n"/>
      <c r="K15" s="7" t="n"/>
      <c r="L15" s="7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5" t="n"/>
      <c r="J16" s="4" t="n"/>
      <c r="K16" s="4" t="n"/>
      <c r="L16" s="4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8" t="n"/>
      <c r="J17" s="7" t="n"/>
      <c r="K17" s="7" t="n"/>
      <c r="L17" s="7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5" t="n"/>
      <c r="J18" s="4" t="n"/>
      <c r="K18" s="4" t="n"/>
      <c r="L18" s="4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8" t="n"/>
      <c r="J19" s="7" t="n"/>
      <c r="K19" s="7" t="n"/>
      <c r="L19" s="7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5" t="n"/>
      <c r="J20" s="4" t="n"/>
      <c r="K20" s="4" t="n"/>
      <c r="L20" s="4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8" t="n"/>
      <c r="J21" s="7" t="n"/>
      <c r="K21" s="7" t="n"/>
      <c r="L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5" t="n"/>
      <c r="J22" s="4" t="n"/>
      <c r="K22" s="4" t="n"/>
      <c r="L22" s="4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8" t="n"/>
      <c r="J23" s="7" t="n"/>
      <c r="K23" s="7" t="n"/>
      <c r="L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5" t="n"/>
      <c r="J24" s="4" t="n"/>
      <c r="K24" s="4" t="n"/>
      <c r="L24" s="4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8" t="n"/>
      <c r="J25" s="7" t="n"/>
      <c r="K25" s="7" t="n"/>
      <c r="L25" s="7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5" t="n"/>
      <c r="J26" s="4" t="n"/>
      <c r="K26" s="4" t="n"/>
      <c r="L26" s="4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8" t="n"/>
      <c r="J27" s="7" t="n"/>
      <c r="K27" s="7" t="n"/>
      <c r="L27" s="7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5" t="n"/>
      <c r="J28" s="4" t="n"/>
      <c r="K28" s="4" t="n"/>
      <c r="L28" s="4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8" t="n"/>
      <c r="J29" s="7" t="n"/>
      <c r="K29" s="7" t="n"/>
      <c r="L29" s="7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5" t="n"/>
      <c r="J30" s="4" t="n"/>
      <c r="K30" s="4" t="n"/>
      <c r="L30" s="4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8" t="n"/>
      <c r="J31" s="7" t="n"/>
      <c r="K31" s="7" t="n"/>
      <c r="L31" s="7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5" t="n"/>
      <c r="J32" s="4" t="n"/>
      <c r="K32" s="4" t="n"/>
      <c r="L32" s="4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8" t="n"/>
      <c r="J33" s="7" t="n"/>
      <c r="K33" s="7" t="n"/>
      <c r="L33" s="7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5" t="n"/>
      <c r="J34" s="4" t="n"/>
      <c r="K34" s="4" t="n"/>
      <c r="L34" s="4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8" t="n"/>
      <c r="J35" s="7" t="n"/>
      <c r="K35" s="7" t="n"/>
      <c r="L35" s="7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5" t="n"/>
      <c r="J36" s="4" t="n"/>
      <c r="K36" s="4" t="n"/>
      <c r="L36" s="4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8" t="n"/>
      <c r="J37" s="7" t="n"/>
      <c r="K37" s="7" t="n"/>
      <c r="L37" s="7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5" t="n"/>
      <c r="J38" s="4" t="n"/>
      <c r="K38" s="4" t="n"/>
      <c r="L38" s="4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8" t="n"/>
      <c r="J39" s="7" t="n"/>
      <c r="K39" s="7" t="n"/>
      <c r="L39" s="7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5" t="n"/>
      <c r="J40" s="4" t="n"/>
      <c r="K40" s="4" t="n"/>
      <c r="L40" s="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8" t="n"/>
      <c r="J41" s="7" t="n"/>
      <c r="K41" s="7" t="n"/>
      <c r="L41" s="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5" t="n"/>
      <c r="J42" s="4" t="n"/>
      <c r="K42" s="4" t="n"/>
      <c r="L42" s="4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8" t="n"/>
      <c r="J43" s="7" t="n"/>
      <c r="K43" s="7" t="n"/>
      <c r="L43" s="7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5" t="n"/>
      <c r="J44" s="4" t="n"/>
      <c r="K44" s="4" t="n"/>
      <c r="L44" s="4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8" t="n"/>
      <c r="J45" s="7" t="n"/>
      <c r="K45" s="7" t="n"/>
      <c r="L45" s="7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5" t="n"/>
      <c r="J46" s="4" t="n"/>
      <c r="K46" s="4" t="n"/>
      <c r="L46" s="4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8" t="n"/>
      <c r="J47" s="7" t="n"/>
      <c r="K47" s="7" t="n"/>
      <c r="L47" s="7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5" t="n"/>
      <c r="J48" s="4" t="n"/>
      <c r="K48" s="4" t="n"/>
      <c r="L48" s="4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8" t="n"/>
      <c r="J49" s="7" t="n"/>
      <c r="K49" s="7" t="n"/>
      <c r="L49" s="7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5" t="n"/>
      <c r="J50" s="4" t="n"/>
      <c r="K50" s="4" t="n"/>
      <c r="L50" s="4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8" t="n"/>
      <c r="J51" s="7" t="n"/>
      <c r="K51" s="7" t="n"/>
      <c r="L51" s="7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5" t="n"/>
      <c r="J52" s="4" t="n"/>
      <c r="K52" s="4" t="n"/>
      <c r="L52" s="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8" t="n"/>
      <c r="J53" s="7" t="n"/>
      <c r="K53" s="7" t="n"/>
      <c r="L53" s="7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5" t="n"/>
      <c r="J54" s="4" t="n"/>
      <c r="K54" s="4" t="n"/>
      <c r="L54" s="4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8" t="n"/>
      <c r="J55" s="7" t="n"/>
      <c r="K55" s="7" t="n"/>
      <c r="L55" s="7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5" t="n"/>
      <c r="J56" s="4" t="n"/>
      <c r="K56" s="4" t="n"/>
      <c r="L56" s="4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8" t="n"/>
      <c r="J57" s="7" t="n"/>
      <c r="K57" s="7" t="n"/>
      <c r="L57" s="7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5" t="n"/>
      <c r="J58" s="4" t="n"/>
      <c r="K58" s="4" t="n"/>
      <c r="L58" s="4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8" t="n"/>
      <c r="J59" s="7" t="n"/>
      <c r="K59" s="7" t="n"/>
      <c r="L59" s="7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5" t="n"/>
      <c r="J60" s="4" t="n"/>
      <c r="K60" s="4" t="n"/>
      <c r="L60" s="4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8" t="n"/>
      <c r="J61" s="7" t="n"/>
      <c r="K61" s="7" t="n"/>
      <c r="L61" s="7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5" t="n"/>
      <c r="J62" s="4" t="n"/>
      <c r="K62" s="4" t="n"/>
      <c r="L62" s="4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8" t="n"/>
      <c r="J63" s="7" t="n"/>
      <c r="K63" s="7" t="n"/>
      <c r="L63" s="7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5" t="n"/>
      <c r="J64" s="4" t="n"/>
      <c r="K64" s="4" t="n"/>
      <c r="L64" s="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8" t="n"/>
      <c r="J65" s="7" t="n"/>
      <c r="K65" s="7" t="n"/>
      <c r="L65" s="7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5" t="n"/>
      <c r="J66" s="4" t="n"/>
      <c r="K66" s="4" t="n"/>
      <c r="L66" s="4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8" t="n"/>
      <c r="J67" s="7" t="n"/>
      <c r="K67" s="7" t="n"/>
      <c r="L67" s="7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5" t="n"/>
      <c r="J68" s="4" t="n"/>
      <c r="K68" s="4" t="n"/>
      <c r="L68" s="4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8" t="n"/>
      <c r="J69" s="7" t="n"/>
      <c r="K69" s="7" t="n"/>
      <c r="L69" s="7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5" t="n"/>
      <c r="J70" s="4" t="n"/>
      <c r="K70" s="4" t="n"/>
      <c r="L70" s="4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8" t="n"/>
      <c r="J71" s="7" t="n"/>
      <c r="K71" s="7" t="n"/>
      <c r="L71" s="7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5" t="n"/>
      <c r="J72" s="4" t="n"/>
      <c r="K72" s="4" t="n"/>
      <c r="L72" s="4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8" t="n"/>
      <c r="J73" s="7" t="n"/>
      <c r="K73" s="7" t="n"/>
      <c r="L73" s="7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5" t="n"/>
      <c r="J74" s="4" t="n"/>
      <c r="K74" s="4" t="n"/>
      <c r="L74" s="4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8" t="n"/>
      <c r="J75" s="7" t="n"/>
      <c r="K75" s="7" t="n"/>
      <c r="L75" s="7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5" t="n"/>
      <c r="J76" s="4" t="n"/>
      <c r="K76" s="4" t="n"/>
      <c r="L76" s="4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8" t="n"/>
      <c r="J77" s="7" t="n"/>
      <c r="K77" s="7" t="n"/>
      <c r="L77" s="7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5" t="n"/>
      <c r="J78" s="4" t="n"/>
      <c r="K78" s="4" t="n"/>
      <c r="L78" s="4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8" t="n"/>
      <c r="J79" s="7" t="n"/>
      <c r="K79" s="7" t="n"/>
      <c r="L79" s="7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5" t="n"/>
      <c r="J80" s="4" t="n"/>
      <c r="K80" s="4" t="n"/>
      <c r="L80" s="4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8" t="n"/>
      <c r="J81" s="7" t="n"/>
      <c r="K81" s="7" t="n"/>
      <c r="L81" s="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5" t="n"/>
      <c r="J82" s="4" t="n"/>
      <c r="K82" s="4" t="n"/>
      <c r="L82" s="4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8" t="n"/>
      <c r="J83" s="7" t="n"/>
      <c r="K83" s="7" t="n"/>
      <c r="L83" s="7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5" t="n"/>
      <c r="J84" s="4" t="n"/>
      <c r="K84" s="4" t="n"/>
      <c r="L84" s="4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8" t="n"/>
      <c r="J85" s="7" t="n"/>
      <c r="K85" s="7" t="n"/>
      <c r="L85" s="7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5" t="n"/>
      <c r="J86" s="4" t="n"/>
      <c r="K86" s="4" t="n"/>
      <c r="L86" s="4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8" t="n"/>
      <c r="J87" s="7" t="n"/>
      <c r="K87" s="7" t="n"/>
      <c r="L87" s="7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5" t="n"/>
      <c r="J88" s="4" t="n"/>
      <c r="K88" s="4" t="n"/>
      <c r="L88" s="4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8" t="n"/>
      <c r="J89" s="7" t="n"/>
      <c r="K89" s="7" t="n"/>
      <c r="L89" s="7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5" t="n"/>
      <c r="J90" s="4" t="n"/>
      <c r="K90" s="4" t="n"/>
      <c r="L90" s="4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8" t="n"/>
      <c r="J91" s="7" t="n"/>
      <c r="K91" s="7" t="n"/>
      <c r="L91" s="7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5" t="n"/>
      <c r="J92" s="4" t="n"/>
      <c r="K92" s="4" t="n"/>
      <c r="L92" s="4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8" t="n"/>
      <c r="J93" s="7" t="n"/>
      <c r="K93" s="7" t="n"/>
      <c r="L93" s="7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5" t="n"/>
      <c r="J94" s="4" t="n"/>
      <c r="K94" s="4" t="n"/>
      <c r="L94" s="4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8" t="n"/>
      <c r="J95" s="7" t="n"/>
      <c r="K95" s="7" t="n"/>
      <c r="L95" s="7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5" t="n"/>
      <c r="J96" s="4" t="n"/>
      <c r="K96" s="4" t="n"/>
      <c r="L96" s="4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8" t="n"/>
      <c r="J97" s="7" t="n"/>
      <c r="K97" s="7" t="n"/>
      <c r="L97" s="7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5" t="n"/>
      <c r="J98" s="4" t="n"/>
      <c r="K98" s="4" t="n"/>
      <c r="L98" s="4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8" t="n"/>
      <c r="J99" s="7" t="n"/>
      <c r="K99" s="7" t="n"/>
      <c r="L99" s="7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5" t="n"/>
      <c r="J100" s="4" t="n"/>
      <c r="K100" s="4" t="n"/>
      <c r="L100" s="4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8" t="n"/>
      <c r="J101" s="7" t="n"/>
      <c r="K101" s="7" t="n"/>
      <c r="L101" s="7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5" t="n"/>
      <c r="J102" s="4" t="n"/>
      <c r="K102" s="4" t="n"/>
      <c r="L102" s="4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8" t="n"/>
      <c r="J103" s="7" t="n"/>
      <c r="K103" s="7" t="n"/>
      <c r="L103" s="7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5" t="n"/>
      <c r="J104" s="4" t="n"/>
      <c r="K104" s="4" t="n"/>
      <c r="L104" s="4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8" t="n"/>
      <c r="J105" s="7" t="n"/>
      <c r="K105" s="7" t="n"/>
      <c r="L105" s="7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5" t="n"/>
      <c r="J106" s="4" t="n"/>
      <c r="K106" s="4" t="n"/>
      <c r="L106" s="4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8" t="n"/>
      <c r="J107" s="7" t="n"/>
      <c r="K107" s="7" t="n"/>
      <c r="L107" s="7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5" t="n"/>
      <c r="J108" s="4" t="n"/>
      <c r="K108" s="4" t="n"/>
      <c r="L108" s="4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8" t="n"/>
      <c r="J109" s="7" t="n"/>
      <c r="K109" s="7" t="n"/>
      <c r="L109" s="7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5" t="n"/>
      <c r="J110" s="4" t="n"/>
      <c r="K110" s="4" t="n"/>
      <c r="L110" s="4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8" t="n"/>
      <c r="J111" s="7" t="n"/>
      <c r="K111" s="7" t="n"/>
      <c r="L111" s="7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5" t="n"/>
      <c r="J112" s="4" t="n"/>
      <c r="K112" s="4" t="n"/>
      <c r="L112" s="4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8" t="n"/>
      <c r="J113" s="7" t="n"/>
      <c r="K113" s="7" t="n"/>
      <c r="L113" s="7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5" t="n"/>
      <c r="J114" s="4" t="n"/>
      <c r="K114" s="4" t="n"/>
      <c r="L114" s="4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8" t="n"/>
      <c r="J115" s="7" t="n"/>
      <c r="K115" s="7" t="n"/>
      <c r="L115" s="7" t="n"/>
    </row>
  </sheetData>
  <mergeCells count="2">
    <mergeCell ref="A3:P3"/>
    <mergeCell ref="A2:P2"/>
  </mergeCells>
  <conditionalFormatting sqref="L6:L115">
    <cfRule type="cellIs" priority="1" operator="equal" dxfId="1">
      <formula>"Clôturé"</formula>
    </cfRule>
    <cfRule type="cellIs" priority="2" operator="equal" dxfId="0">
      <formula>"En cours"</formula>
    </cfRule>
    <cfRule type="cellIs" priority="3" operator="equal" dxfId="4">
      <formula>"Planifié"</formula>
    </cfRule>
  </conditionalFormatting>
  <dataValidations count="2">
    <dataValidation sqref="C6:C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  <dataValidation sqref="L6:L115" showDropDown="0" showInputMessage="0" showErrorMessage="0" allowBlank="1" errorTitle="Erreur de saisie" error="Valeur non autorisée" promptTitle="Liste déroulante" prompt="Sélectionnez dans la liste" type="list">
      <formula1>'F02 - _Lists'!$K$6:$K$35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CAF50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4" customWidth="1" min="4" max="4"/>
    <col width="18" customWidth="1" min="5" max="5"/>
    <col width="18" customWidth="1" min="6" max="6"/>
    <col width="14" customWidth="1" min="7" max="7"/>
    <col width="18" customWidth="1" min="8" max="8"/>
    <col width="32" customWidth="1" min="9" max="9"/>
    <col width="32" customWidth="1" min="10" max="10"/>
    <col width="14" customWidth="1" min="11" max="11"/>
    <col width="14" customWidth="1" min="12" max="12"/>
  </cols>
  <sheetData>
    <row r="2" ht="25" customHeight="1">
      <c r="A2" s="1" t="inlineStr">
        <is>
          <t>DOMAINE 27 — 9-INSPECTIONS ET AUDITS SANTÉ SÉCURITÉ</t>
        </is>
      </c>
    </row>
    <row r="3" ht="18" customHeight="1">
      <c r="A3" s="2" t="inlineStr">
        <is>
          <t>TABLEAU DYNAMIQUE — Planification et résultats des contrôles</t>
        </is>
      </c>
    </row>
    <row r="5">
      <c r="A5" s="3" t="inlineStr">
        <is>
          <t>Code Inspection</t>
        </is>
      </c>
      <c r="B5" s="3" t="inlineStr">
        <is>
          <t>Type Audit</t>
        </is>
      </c>
      <c r="C5" s="3" t="inlineStr">
        <is>
          <t>Zone Inspectée</t>
        </is>
      </c>
      <c r="D5" s="3" t="inlineStr">
        <is>
          <t>Date Inspection</t>
        </is>
      </c>
      <c r="E5" s="3" t="inlineStr">
        <is>
          <t>Inspecteur</t>
        </is>
      </c>
      <c r="F5" s="3" t="inlineStr">
        <is>
          <t>Nb Non-Conformités</t>
        </is>
      </c>
      <c r="G5" s="3" t="inlineStr">
        <is>
          <t>Nb Critiques</t>
        </is>
      </c>
      <c r="H5" s="3" t="inlineStr">
        <is>
          <t>Taux Conformité (%)</t>
        </is>
      </c>
      <c r="I5" s="3" t="inlineStr">
        <is>
          <t>Observations Principales</t>
        </is>
      </c>
      <c r="J5" s="3" t="inlineStr">
        <is>
          <t>Plan Action</t>
        </is>
      </c>
      <c r="K5" s="3" t="inlineStr">
        <is>
          <t>Date Relance</t>
        </is>
      </c>
      <c r="L5" s="3" t="inlineStr">
        <is>
          <t>Statut</t>
        </is>
      </c>
    </row>
    <row r="6">
      <c r="A6" s="4" t="inlineStr">
        <is>
          <t>INS-001</t>
        </is>
      </c>
      <c r="B6" s="4" t="inlineStr">
        <is>
          <t>Interne</t>
        </is>
      </c>
      <c r="C6" s="4" t="inlineStr">
        <is>
          <t>Cuisine industrielle</t>
        </is>
      </c>
      <c r="D6" s="14" t="n">
        <v>45672</v>
      </c>
      <c r="E6" s="4" t="inlineStr">
        <is>
          <t>M. Ondo</t>
        </is>
      </c>
      <c r="F6" s="4" t="n">
        <v>3</v>
      </c>
      <c r="G6" s="4" t="n">
        <v>1</v>
      </c>
      <c r="H6" s="6">
        <f>IFERROR(1-F6/(F6+10),0)</f>
        <v/>
      </c>
      <c r="I6" s="4" t="inlineStr">
        <is>
          <t>Extincteur périmé, sol glissant</t>
        </is>
      </c>
      <c r="J6" s="4" t="inlineStr">
        <is>
          <t>Remplacement extincteur + revêtement</t>
        </is>
      </c>
      <c r="K6" s="14" t="n">
        <v>45716</v>
      </c>
      <c r="L6" s="4" t="inlineStr">
        <is>
          <t>Clôturé</t>
        </is>
      </c>
    </row>
    <row r="7">
      <c r="A7" s="7" t="inlineStr">
        <is>
          <t>INS-002</t>
        </is>
      </c>
      <c r="B7" s="7" t="inlineStr">
        <is>
          <t>Interne</t>
        </is>
      </c>
      <c r="C7" s="7" t="inlineStr">
        <is>
          <t>Atelier maintenance</t>
        </is>
      </c>
      <c r="D7" s="15" t="n">
        <v>45677</v>
      </c>
      <c r="E7" s="7" t="inlineStr">
        <is>
          <t>M. Ondo</t>
        </is>
      </c>
      <c r="F7" s="7" t="n">
        <v>5</v>
      </c>
      <c r="G7" s="7" t="n">
        <v>2</v>
      </c>
      <c r="H7" s="9">
        <f>IFERROR(1-F7/(F7+10),0)</f>
        <v/>
      </c>
      <c r="I7" s="7" t="inlineStr">
        <is>
          <t>LOTO non appliqué, EPI manquants</t>
        </is>
      </c>
      <c r="J7" s="7" t="inlineStr">
        <is>
          <t>Formation LOTO + réappro EPI</t>
        </is>
      </c>
      <c r="K7" s="15" t="n">
        <v>45731</v>
      </c>
      <c r="L7" s="7" t="inlineStr">
        <is>
          <t>Clôturé</t>
        </is>
      </c>
    </row>
    <row r="8">
      <c r="A8" s="4" t="inlineStr">
        <is>
          <t>INS-003</t>
        </is>
      </c>
      <c r="B8" s="4" t="inlineStr">
        <is>
          <t>Externe</t>
        </is>
      </c>
      <c r="C8" s="4" t="inlineStr">
        <is>
          <t>Ensemble site</t>
        </is>
      </c>
      <c r="D8" s="14" t="n">
        <v>45698</v>
      </c>
      <c r="E8" s="4" t="inlineStr">
        <is>
          <t>Bureau Veritas</t>
        </is>
      </c>
      <c r="F8" s="4" t="n">
        <v>8</v>
      </c>
      <c r="G8" s="4" t="n">
        <v>3</v>
      </c>
      <c r="H8" s="6">
        <f>IFERROR(1-F8/(F8+10),0)</f>
        <v/>
      </c>
      <c r="I8" s="4" t="inlineStr">
        <is>
          <t>Alarmes défectueuses, sorties encombrées</t>
        </is>
      </c>
      <c r="J8" s="4" t="inlineStr">
        <is>
          <t>Réparation alarmes + dégagement sorties</t>
        </is>
      </c>
      <c r="K8" s="14" t="n">
        <v>45777</v>
      </c>
      <c r="L8" s="4" t="inlineStr">
        <is>
          <t>En cours</t>
        </is>
      </c>
    </row>
    <row r="9">
      <c r="A9" s="7" t="inlineStr">
        <is>
          <t>INS-004</t>
        </is>
      </c>
      <c r="B9" s="7" t="inlineStr">
        <is>
          <t>Réglementaire</t>
        </is>
      </c>
      <c r="C9" s="7" t="inlineStr">
        <is>
          <t>Cuisine industrielle</t>
        </is>
      </c>
      <c r="D9" s="15" t="n">
        <v>45721</v>
      </c>
      <c r="E9" s="7" t="inlineStr">
        <is>
          <t>Inspection du travail</t>
        </is>
      </c>
      <c r="F9" s="7" t="n">
        <v>2</v>
      </c>
      <c r="G9" s="7" t="n">
        <v>0</v>
      </c>
      <c r="H9" s="9">
        <f>IFERROR(1-F9/(F9+10),0)</f>
        <v/>
      </c>
      <c r="I9" s="7" t="inlineStr">
        <is>
          <t>Fiche produit manquante</t>
        </is>
      </c>
      <c r="J9" s="7" t="inlineStr">
        <is>
          <t>Mise à jour documentation</t>
        </is>
      </c>
      <c r="K9" s="15" t="n">
        <v>45752</v>
      </c>
      <c r="L9" s="7" t="inlineStr">
        <is>
          <t>Clôturé</t>
        </is>
      </c>
    </row>
    <row r="10">
      <c r="A10" s="4" t="inlineStr">
        <is>
          <t>INS-005</t>
        </is>
      </c>
      <c r="B10" s="4" t="inlineStr">
        <is>
          <t>Interne</t>
        </is>
      </c>
      <c r="C10" s="4" t="inlineStr">
        <is>
          <t>Spa &amp; Bien-être</t>
        </is>
      </c>
      <c r="D10" s="14" t="n">
        <v>45736</v>
      </c>
      <c r="E10" s="4" t="inlineStr">
        <is>
          <t>Mme. Fotso</t>
        </is>
      </c>
      <c r="F10" s="4" t="n">
        <v>4</v>
      </c>
      <c r="G10" s="4" t="n">
        <v>1</v>
      </c>
      <c r="H10" s="6">
        <f>IFERROR(1-F10/(F10+10),0)</f>
        <v/>
      </c>
      <c r="I10" s="4" t="inlineStr">
        <is>
          <t>Produits non étiquetés, pas de MSDS</t>
        </is>
      </c>
      <c r="J10" s="4" t="inlineStr">
        <is>
          <t>Étiquetage + formation produits</t>
        </is>
      </c>
      <c r="K10" s="14" t="n">
        <v>45797</v>
      </c>
      <c r="L10" s="4" t="inlineStr">
        <is>
          <t>En cours</t>
        </is>
      </c>
    </row>
    <row r="11">
      <c r="A11" s="7" t="inlineStr">
        <is>
          <t>INS-006</t>
        </is>
      </c>
      <c r="B11" s="7" t="inlineStr">
        <is>
          <t>Programmé</t>
        </is>
      </c>
      <c r="C11" s="7" t="inlineStr">
        <is>
          <t>Ensemble site</t>
        </is>
      </c>
      <c r="D11" s="15" t="n">
        <v>45823</v>
      </c>
      <c r="E11" s="7" t="inlineStr">
        <is>
          <t>Capitaine Mba</t>
        </is>
      </c>
      <c r="F11" s="7" t="n">
        <v>0</v>
      </c>
      <c r="G11" s="7" t="n">
        <v>0</v>
      </c>
      <c r="H11" s="9">
        <f>IFERROR(1-F11/(F11+10),0)</f>
        <v/>
      </c>
      <c r="I11" s="7" t="inlineStr"/>
      <c r="J11" s="7" t="inlineStr"/>
      <c r="K11" s="15" t="n">
        <v>45915</v>
      </c>
      <c r="L11" s="7" t="inlineStr">
        <is>
          <t>Planifié</t>
        </is>
      </c>
    </row>
    <row r="12">
      <c r="A12" s="4" t="inlineStr">
        <is>
          <t>INS-007</t>
        </is>
      </c>
      <c r="B12" s="4" t="inlineStr">
        <is>
          <t>Inopiné</t>
        </is>
      </c>
      <c r="C12" s="4" t="inlineStr">
        <is>
          <t>Entrepôt</t>
        </is>
      </c>
      <c r="D12" s="14" t="n">
        <v>45748</v>
      </c>
      <c r="E12" s="4" t="inlineStr">
        <is>
          <t>M. Ondo</t>
        </is>
      </c>
      <c r="F12" s="4" t="n">
        <v>6</v>
      </c>
      <c r="G12" s="4" t="n">
        <v>2</v>
      </c>
      <c r="H12" s="6">
        <f>IFERROR(1-F12/(F12+10),0)</f>
        <v/>
      </c>
      <c r="I12" s="4" t="inlineStr">
        <is>
          <t>Extincteurs non vérifiés, PPE absents</t>
        </is>
      </c>
      <c r="J12" s="4" t="inlineStr">
        <is>
          <t>Vérification + commande urgente</t>
        </is>
      </c>
      <c r="K12" s="14" t="n">
        <v>45808</v>
      </c>
      <c r="L12" s="4" t="inlineStr">
        <is>
          <t>En cours</t>
        </is>
      </c>
    </row>
    <row r="13">
      <c r="A13" s="7" t="inlineStr">
        <is>
          <t>INS-008</t>
        </is>
      </c>
      <c r="B13" s="7" t="inlineStr">
        <is>
          <t>Interne</t>
        </is>
      </c>
      <c r="C13" s="7" t="inlineStr">
        <is>
          <t>Réception &amp; Hall</t>
        </is>
      </c>
      <c r="D13" s="15" t="n">
        <v>45762</v>
      </c>
      <c r="E13" s="7" t="inlineStr">
        <is>
          <t>Mme. Ngassa</t>
        </is>
      </c>
      <c r="F13" s="7" t="n">
        <v>2</v>
      </c>
      <c r="G13" s="7" t="n">
        <v>0</v>
      </c>
      <c r="H13" s="9">
        <f>IFERROR(1-F13/(F13+10),0)</f>
        <v/>
      </c>
      <c r="I13" s="7" t="inlineStr">
        <is>
          <t>Tapis usé, éclairage insuffisant</t>
        </is>
      </c>
      <c r="J13" s="7" t="inlineStr">
        <is>
          <t>Remplacement tapis + ampoules</t>
        </is>
      </c>
      <c r="K13" s="15" t="n">
        <v>45807</v>
      </c>
      <c r="L13" s="7" t="inlineStr">
        <is>
          <t>En cours</t>
        </is>
      </c>
    </row>
    <row r="14">
      <c r="A14" s="4" t="n"/>
      <c r="B14" s="4" t="n"/>
      <c r="C14" s="4" t="n"/>
      <c r="D14" s="4" t="n"/>
      <c r="E14" s="4" t="n"/>
      <c r="F14" s="4" t="n"/>
      <c r="G14" s="4" t="n"/>
      <c r="H14" s="6">
        <f>IF(B14="","",IFERROR(1-F14/(F14+10),0))</f>
        <v/>
      </c>
      <c r="I14" s="4" t="n"/>
      <c r="J14" s="4" t="n"/>
      <c r="K14" s="4" t="n"/>
      <c r="L14" s="4" t="n"/>
    </row>
    <row r="15">
      <c r="A15" s="7" t="n"/>
      <c r="B15" s="7" t="n"/>
      <c r="C15" s="7" t="n"/>
      <c r="D15" s="7" t="n"/>
      <c r="E15" s="7" t="n"/>
      <c r="F15" s="7" t="n"/>
      <c r="G15" s="7" t="n"/>
      <c r="H15" s="9">
        <f>IF(B15="","",IFERROR(1-F15/(F15+10),0))</f>
        <v/>
      </c>
      <c r="I15" s="7" t="n"/>
      <c r="J15" s="7" t="n"/>
      <c r="K15" s="7" t="n"/>
      <c r="L15" s="7" t="n"/>
    </row>
    <row r="16">
      <c r="A16" s="4" t="n"/>
      <c r="B16" s="4" t="n"/>
      <c r="C16" s="4" t="n"/>
      <c r="D16" s="4" t="n"/>
      <c r="E16" s="4" t="n"/>
      <c r="F16" s="4" t="n"/>
      <c r="G16" s="4" t="n"/>
      <c r="H16" s="6">
        <f>IF(B16="","",IFERROR(1-F16/(F16+10),0))</f>
        <v/>
      </c>
      <c r="I16" s="4" t="n"/>
      <c r="J16" s="4" t="n"/>
      <c r="K16" s="4" t="n"/>
      <c r="L16" s="4" t="n"/>
    </row>
    <row r="17">
      <c r="A17" s="7" t="n"/>
      <c r="B17" s="7" t="n"/>
      <c r="C17" s="7" t="n"/>
      <c r="D17" s="7" t="n"/>
      <c r="E17" s="7" t="n"/>
      <c r="F17" s="7" t="n"/>
      <c r="G17" s="7" t="n"/>
      <c r="H17" s="9">
        <f>IF(B17="","",IFERROR(1-F17/(F17+10),0))</f>
        <v/>
      </c>
      <c r="I17" s="7" t="n"/>
      <c r="J17" s="7" t="n"/>
      <c r="K17" s="7" t="n"/>
      <c r="L17" s="7" t="n"/>
    </row>
    <row r="18">
      <c r="A18" s="4" t="n"/>
      <c r="B18" s="4" t="n"/>
      <c r="C18" s="4" t="n"/>
      <c r="D18" s="4" t="n"/>
      <c r="E18" s="4" t="n"/>
      <c r="F18" s="4" t="n"/>
      <c r="G18" s="4" t="n"/>
      <c r="H18" s="6">
        <f>IF(B18="","",IFERROR(1-F18/(F18+10),0))</f>
        <v/>
      </c>
      <c r="I18" s="4" t="n"/>
      <c r="J18" s="4" t="n"/>
      <c r="K18" s="4" t="n"/>
      <c r="L18" s="4" t="n"/>
    </row>
    <row r="19">
      <c r="A19" s="7" t="n"/>
      <c r="B19" s="7" t="n"/>
      <c r="C19" s="7" t="n"/>
      <c r="D19" s="7" t="n"/>
      <c r="E19" s="7" t="n"/>
      <c r="F19" s="7" t="n"/>
      <c r="G19" s="7" t="n"/>
      <c r="H19" s="9">
        <f>IF(B19="","",IFERROR(1-F19/(F19+10),0))</f>
        <v/>
      </c>
      <c r="I19" s="7" t="n"/>
      <c r="J19" s="7" t="n"/>
      <c r="K19" s="7" t="n"/>
      <c r="L19" s="7" t="n"/>
    </row>
    <row r="20">
      <c r="A20" s="4" t="n"/>
      <c r="B20" s="4" t="n"/>
      <c r="C20" s="4" t="n"/>
      <c r="D20" s="4" t="n"/>
      <c r="E20" s="4" t="n"/>
      <c r="F20" s="4" t="n"/>
      <c r="G20" s="4" t="n"/>
      <c r="H20" s="6">
        <f>IF(B20="","",IFERROR(1-F20/(F20+10),0))</f>
        <v/>
      </c>
      <c r="I20" s="4" t="n"/>
      <c r="J20" s="4" t="n"/>
      <c r="K20" s="4" t="n"/>
      <c r="L20" s="4" t="n"/>
    </row>
    <row r="21">
      <c r="A21" s="7" t="n"/>
      <c r="B21" s="7" t="n"/>
      <c r="C21" s="7" t="n"/>
      <c r="D21" s="7" t="n"/>
      <c r="E21" s="7" t="n"/>
      <c r="F21" s="7" t="n"/>
      <c r="G21" s="7" t="n"/>
      <c r="H21" s="9">
        <f>IF(B21="","",IFERROR(1-F21/(F21+10),0))</f>
        <v/>
      </c>
      <c r="I21" s="7" t="n"/>
      <c r="J21" s="7" t="n"/>
      <c r="K21" s="7" t="n"/>
      <c r="L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6">
        <f>IF(B22="","",IFERROR(1-F22/(F22+10),0))</f>
        <v/>
      </c>
      <c r="I22" s="4" t="n"/>
      <c r="J22" s="4" t="n"/>
      <c r="K22" s="4" t="n"/>
      <c r="L22" s="4" t="n"/>
    </row>
    <row r="23">
      <c r="A23" s="7" t="n"/>
      <c r="B23" s="7" t="n"/>
      <c r="C23" s="7" t="n"/>
      <c r="D23" s="7" t="n"/>
      <c r="E23" s="7" t="n"/>
      <c r="F23" s="7" t="n"/>
      <c r="G23" s="7" t="n"/>
      <c r="H23" s="9">
        <f>IF(B23="","",IFERROR(1-F23/(F23+10),0))</f>
        <v/>
      </c>
      <c r="I23" s="7" t="n"/>
      <c r="J23" s="7" t="n"/>
      <c r="K23" s="7" t="n"/>
      <c r="L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6">
        <f>IF(B24="","",IFERROR(1-F24/(F24+10),0))</f>
        <v/>
      </c>
      <c r="I24" s="4" t="n"/>
      <c r="J24" s="4" t="n"/>
      <c r="K24" s="4" t="n"/>
      <c r="L24" s="4" t="n"/>
    </row>
    <row r="25">
      <c r="A25" s="7" t="n"/>
      <c r="B25" s="7" t="n"/>
      <c r="C25" s="7" t="n"/>
      <c r="D25" s="7" t="n"/>
      <c r="E25" s="7" t="n"/>
      <c r="F25" s="7" t="n"/>
      <c r="G25" s="7" t="n"/>
      <c r="H25" s="9">
        <f>IF(B25="","",IFERROR(1-F25/(F25+10),0))</f>
        <v/>
      </c>
      <c r="I25" s="7" t="n"/>
      <c r="J25" s="7" t="n"/>
      <c r="K25" s="7" t="n"/>
      <c r="L25" s="7" t="n"/>
    </row>
    <row r="26">
      <c r="A26" s="4" t="n"/>
      <c r="B26" s="4" t="n"/>
      <c r="C26" s="4" t="n"/>
      <c r="D26" s="4" t="n"/>
      <c r="E26" s="4" t="n"/>
      <c r="F26" s="4" t="n"/>
      <c r="G26" s="4" t="n"/>
      <c r="H26" s="6">
        <f>IF(B26="","",IFERROR(1-F26/(F26+10),0))</f>
        <v/>
      </c>
      <c r="I26" s="4" t="n"/>
      <c r="J26" s="4" t="n"/>
      <c r="K26" s="4" t="n"/>
      <c r="L26" s="4" t="n"/>
    </row>
    <row r="27">
      <c r="A27" s="7" t="n"/>
      <c r="B27" s="7" t="n"/>
      <c r="C27" s="7" t="n"/>
      <c r="D27" s="7" t="n"/>
      <c r="E27" s="7" t="n"/>
      <c r="F27" s="7" t="n"/>
      <c r="G27" s="7" t="n"/>
      <c r="H27" s="9">
        <f>IF(B27="","",IFERROR(1-F27/(F27+10),0))</f>
        <v/>
      </c>
      <c r="I27" s="7" t="n"/>
      <c r="J27" s="7" t="n"/>
      <c r="K27" s="7" t="n"/>
      <c r="L27" s="7" t="n"/>
    </row>
    <row r="28">
      <c r="A28" s="4" t="n"/>
      <c r="B28" s="4" t="n"/>
      <c r="C28" s="4" t="n"/>
      <c r="D28" s="4" t="n"/>
      <c r="E28" s="4" t="n"/>
      <c r="F28" s="4" t="n"/>
      <c r="G28" s="4" t="n"/>
      <c r="H28" s="6">
        <f>IF(B28="","",IFERROR(1-F28/(F28+10),0))</f>
        <v/>
      </c>
      <c r="I28" s="4" t="n"/>
      <c r="J28" s="4" t="n"/>
      <c r="K28" s="4" t="n"/>
      <c r="L28" s="4" t="n"/>
    </row>
    <row r="29">
      <c r="A29" s="7" t="n"/>
      <c r="B29" s="7" t="n"/>
      <c r="C29" s="7" t="n"/>
      <c r="D29" s="7" t="n"/>
      <c r="E29" s="7" t="n"/>
      <c r="F29" s="7" t="n"/>
      <c r="G29" s="7" t="n"/>
      <c r="H29" s="9">
        <f>IF(B29="","",IFERROR(1-F29/(F29+10),0))</f>
        <v/>
      </c>
      <c r="I29" s="7" t="n"/>
      <c r="J29" s="7" t="n"/>
      <c r="K29" s="7" t="n"/>
      <c r="L29" s="7" t="n"/>
    </row>
    <row r="30">
      <c r="A30" s="4" t="n"/>
      <c r="B30" s="4" t="n"/>
      <c r="C30" s="4" t="n"/>
      <c r="D30" s="4" t="n"/>
      <c r="E30" s="4" t="n"/>
      <c r="F30" s="4" t="n"/>
      <c r="G30" s="4" t="n"/>
      <c r="H30" s="6">
        <f>IF(B30="","",IFERROR(1-F30/(F30+10),0))</f>
        <v/>
      </c>
      <c r="I30" s="4" t="n"/>
      <c r="J30" s="4" t="n"/>
      <c r="K30" s="4" t="n"/>
      <c r="L30" s="4" t="n"/>
    </row>
    <row r="31">
      <c r="A31" s="7" t="n"/>
      <c r="B31" s="7" t="n"/>
      <c r="C31" s="7" t="n"/>
      <c r="D31" s="7" t="n"/>
      <c r="E31" s="7" t="n"/>
      <c r="F31" s="7" t="n"/>
      <c r="G31" s="7" t="n"/>
      <c r="H31" s="9">
        <f>IF(B31="","",IFERROR(1-F31/(F31+10),0))</f>
        <v/>
      </c>
      <c r="I31" s="7" t="n"/>
      <c r="J31" s="7" t="n"/>
      <c r="K31" s="7" t="n"/>
      <c r="L31" s="7" t="n"/>
    </row>
    <row r="32">
      <c r="A32" s="4" t="n"/>
      <c r="B32" s="4" t="n"/>
      <c r="C32" s="4" t="n"/>
      <c r="D32" s="4" t="n"/>
      <c r="E32" s="4" t="n"/>
      <c r="F32" s="4" t="n"/>
      <c r="G32" s="4" t="n"/>
      <c r="H32" s="6">
        <f>IF(B32="","",IFERROR(1-F32/(F32+10),0))</f>
        <v/>
      </c>
      <c r="I32" s="4" t="n"/>
      <c r="J32" s="4" t="n"/>
      <c r="K32" s="4" t="n"/>
      <c r="L32" s="4" t="n"/>
    </row>
    <row r="33">
      <c r="A33" s="7" t="n"/>
      <c r="B33" s="7" t="n"/>
      <c r="C33" s="7" t="n"/>
      <c r="D33" s="7" t="n"/>
      <c r="E33" s="7" t="n"/>
      <c r="F33" s="7" t="n"/>
      <c r="G33" s="7" t="n"/>
      <c r="H33" s="9">
        <f>IF(B33="","",IFERROR(1-F33/(F33+10),0))</f>
        <v/>
      </c>
      <c r="I33" s="7" t="n"/>
      <c r="J33" s="7" t="n"/>
      <c r="K33" s="7" t="n"/>
      <c r="L33" s="7" t="n"/>
    </row>
    <row r="34">
      <c r="A34" s="4" t="n"/>
      <c r="B34" s="4" t="n"/>
      <c r="C34" s="4" t="n"/>
      <c r="D34" s="4" t="n"/>
      <c r="E34" s="4" t="n"/>
      <c r="F34" s="4" t="n"/>
      <c r="G34" s="4" t="n"/>
      <c r="H34" s="6">
        <f>IF(B34="","",IFERROR(1-F34/(F34+10),0))</f>
        <v/>
      </c>
      <c r="I34" s="4" t="n"/>
      <c r="J34" s="4" t="n"/>
      <c r="K34" s="4" t="n"/>
      <c r="L34" s="4" t="n"/>
    </row>
    <row r="35">
      <c r="A35" s="7" t="n"/>
      <c r="B35" s="7" t="n"/>
      <c r="C35" s="7" t="n"/>
      <c r="D35" s="7" t="n"/>
      <c r="E35" s="7" t="n"/>
      <c r="F35" s="7" t="n"/>
      <c r="G35" s="7" t="n"/>
      <c r="H35" s="9">
        <f>IF(B35="","",IFERROR(1-F35/(F35+10),0))</f>
        <v/>
      </c>
      <c r="I35" s="7" t="n"/>
      <c r="J35" s="7" t="n"/>
      <c r="K35" s="7" t="n"/>
      <c r="L35" s="7" t="n"/>
    </row>
    <row r="36">
      <c r="A36" s="4" t="n"/>
      <c r="B36" s="4" t="n"/>
      <c r="C36" s="4" t="n"/>
      <c r="D36" s="4" t="n"/>
      <c r="E36" s="4" t="n"/>
      <c r="F36" s="4" t="n"/>
      <c r="G36" s="4" t="n"/>
      <c r="H36" s="6">
        <f>IF(B36="","",IFERROR(1-F36/(F36+10),0))</f>
        <v/>
      </c>
      <c r="I36" s="4" t="n"/>
      <c r="J36" s="4" t="n"/>
      <c r="K36" s="4" t="n"/>
      <c r="L36" s="4" t="n"/>
    </row>
    <row r="37">
      <c r="A37" s="7" t="n"/>
      <c r="B37" s="7" t="n"/>
      <c r="C37" s="7" t="n"/>
      <c r="D37" s="7" t="n"/>
      <c r="E37" s="7" t="n"/>
      <c r="F37" s="7" t="n"/>
      <c r="G37" s="7" t="n"/>
      <c r="H37" s="9">
        <f>IF(B37="","",IFERROR(1-F37/(F37+10),0))</f>
        <v/>
      </c>
      <c r="I37" s="7" t="n"/>
      <c r="J37" s="7" t="n"/>
      <c r="K37" s="7" t="n"/>
      <c r="L37" s="7" t="n"/>
    </row>
    <row r="38">
      <c r="A38" s="4" t="n"/>
      <c r="B38" s="4" t="n"/>
      <c r="C38" s="4" t="n"/>
      <c r="D38" s="4" t="n"/>
      <c r="E38" s="4" t="n"/>
      <c r="F38" s="4" t="n"/>
      <c r="G38" s="4" t="n"/>
      <c r="H38" s="6">
        <f>IF(B38="","",IFERROR(1-F38/(F38+10),0))</f>
        <v/>
      </c>
      <c r="I38" s="4" t="n"/>
      <c r="J38" s="4" t="n"/>
      <c r="K38" s="4" t="n"/>
      <c r="L38" s="4" t="n"/>
    </row>
    <row r="39">
      <c r="A39" s="7" t="n"/>
      <c r="B39" s="7" t="n"/>
      <c r="C39" s="7" t="n"/>
      <c r="D39" s="7" t="n"/>
      <c r="E39" s="7" t="n"/>
      <c r="F39" s="7" t="n"/>
      <c r="G39" s="7" t="n"/>
      <c r="H39" s="9">
        <f>IF(B39="","",IFERROR(1-F39/(F39+10),0))</f>
        <v/>
      </c>
      <c r="I39" s="7" t="n"/>
      <c r="J39" s="7" t="n"/>
      <c r="K39" s="7" t="n"/>
      <c r="L39" s="7" t="n"/>
    </row>
    <row r="40">
      <c r="A40" s="4" t="n"/>
      <c r="B40" s="4" t="n"/>
      <c r="C40" s="4" t="n"/>
      <c r="D40" s="4" t="n"/>
      <c r="E40" s="4" t="n"/>
      <c r="F40" s="4" t="n"/>
      <c r="G40" s="4" t="n"/>
      <c r="H40" s="6">
        <f>IF(B40="","",IFERROR(1-F40/(F40+10),0))</f>
        <v/>
      </c>
      <c r="I40" s="4" t="n"/>
      <c r="J40" s="4" t="n"/>
      <c r="K40" s="4" t="n"/>
      <c r="L40" s="4" t="n"/>
    </row>
    <row r="41">
      <c r="A41" s="7" t="n"/>
      <c r="B41" s="7" t="n"/>
      <c r="C41" s="7" t="n"/>
      <c r="D41" s="7" t="n"/>
      <c r="E41" s="7" t="n"/>
      <c r="F41" s="7" t="n"/>
      <c r="G41" s="7" t="n"/>
      <c r="H41" s="9">
        <f>IF(B41="","",IFERROR(1-F41/(F41+10),0))</f>
        <v/>
      </c>
      <c r="I41" s="7" t="n"/>
      <c r="J41" s="7" t="n"/>
      <c r="K41" s="7" t="n"/>
      <c r="L41" s="7" t="n"/>
    </row>
    <row r="42">
      <c r="A42" s="4" t="n"/>
      <c r="B42" s="4" t="n"/>
      <c r="C42" s="4" t="n"/>
      <c r="D42" s="4" t="n"/>
      <c r="E42" s="4" t="n"/>
      <c r="F42" s="4" t="n"/>
      <c r="G42" s="4" t="n"/>
      <c r="H42" s="6">
        <f>IF(B42="","",IFERROR(1-F42/(F42+10),0))</f>
        <v/>
      </c>
      <c r="I42" s="4" t="n"/>
      <c r="J42" s="4" t="n"/>
      <c r="K42" s="4" t="n"/>
      <c r="L42" s="4" t="n"/>
    </row>
    <row r="43">
      <c r="A43" s="7" t="n"/>
      <c r="B43" s="7" t="n"/>
      <c r="C43" s="7" t="n"/>
      <c r="D43" s="7" t="n"/>
      <c r="E43" s="7" t="n"/>
      <c r="F43" s="7" t="n"/>
      <c r="G43" s="7" t="n"/>
      <c r="H43" s="9">
        <f>IF(B43="","",IFERROR(1-F43/(F43+10),0))</f>
        <v/>
      </c>
      <c r="I43" s="7" t="n"/>
      <c r="J43" s="7" t="n"/>
      <c r="K43" s="7" t="n"/>
      <c r="L43" s="7" t="n"/>
    </row>
    <row r="44">
      <c r="A44" s="4" t="n"/>
      <c r="B44" s="4" t="n"/>
      <c r="C44" s="4" t="n"/>
      <c r="D44" s="4" t="n"/>
      <c r="E44" s="4" t="n"/>
      <c r="F44" s="4" t="n"/>
      <c r="G44" s="4" t="n"/>
      <c r="H44" s="6">
        <f>IF(B44="","",IFERROR(1-F44/(F44+10),0))</f>
        <v/>
      </c>
      <c r="I44" s="4" t="n"/>
      <c r="J44" s="4" t="n"/>
      <c r="K44" s="4" t="n"/>
      <c r="L44" s="4" t="n"/>
    </row>
    <row r="45">
      <c r="A45" s="7" t="n"/>
      <c r="B45" s="7" t="n"/>
      <c r="C45" s="7" t="n"/>
      <c r="D45" s="7" t="n"/>
      <c r="E45" s="7" t="n"/>
      <c r="F45" s="7" t="n"/>
      <c r="G45" s="7" t="n"/>
      <c r="H45" s="9">
        <f>IF(B45="","",IFERROR(1-F45/(F45+10),0))</f>
        <v/>
      </c>
      <c r="I45" s="7" t="n"/>
      <c r="J45" s="7" t="n"/>
      <c r="K45" s="7" t="n"/>
      <c r="L45" s="7" t="n"/>
    </row>
    <row r="46">
      <c r="A46" s="4" t="n"/>
      <c r="B46" s="4" t="n"/>
      <c r="C46" s="4" t="n"/>
      <c r="D46" s="4" t="n"/>
      <c r="E46" s="4" t="n"/>
      <c r="F46" s="4" t="n"/>
      <c r="G46" s="4" t="n"/>
      <c r="H46" s="6">
        <f>IF(B46="","",IFERROR(1-F46/(F46+10),0))</f>
        <v/>
      </c>
      <c r="I46" s="4" t="n"/>
      <c r="J46" s="4" t="n"/>
      <c r="K46" s="4" t="n"/>
      <c r="L46" s="4" t="n"/>
    </row>
    <row r="47">
      <c r="A47" s="7" t="n"/>
      <c r="B47" s="7" t="n"/>
      <c r="C47" s="7" t="n"/>
      <c r="D47" s="7" t="n"/>
      <c r="E47" s="7" t="n"/>
      <c r="F47" s="7" t="n"/>
      <c r="G47" s="7" t="n"/>
      <c r="H47" s="9">
        <f>IF(B47="","",IFERROR(1-F47/(F47+10),0))</f>
        <v/>
      </c>
      <c r="I47" s="7" t="n"/>
      <c r="J47" s="7" t="n"/>
      <c r="K47" s="7" t="n"/>
      <c r="L47" s="7" t="n"/>
    </row>
    <row r="48">
      <c r="A48" s="4" t="n"/>
      <c r="B48" s="4" t="n"/>
      <c r="C48" s="4" t="n"/>
      <c r="D48" s="4" t="n"/>
      <c r="E48" s="4" t="n"/>
      <c r="F48" s="4" t="n"/>
      <c r="G48" s="4" t="n"/>
      <c r="H48" s="6">
        <f>IF(B48="","",IFERROR(1-F48/(F48+10),0))</f>
        <v/>
      </c>
      <c r="I48" s="4" t="n"/>
      <c r="J48" s="4" t="n"/>
      <c r="K48" s="4" t="n"/>
      <c r="L48" s="4" t="n"/>
    </row>
    <row r="49">
      <c r="A49" s="7" t="n"/>
      <c r="B49" s="7" t="n"/>
      <c r="C49" s="7" t="n"/>
      <c r="D49" s="7" t="n"/>
      <c r="E49" s="7" t="n"/>
      <c r="F49" s="7" t="n"/>
      <c r="G49" s="7" t="n"/>
      <c r="H49" s="9">
        <f>IF(B49="","",IFERROR(1-F49/(F49+10),0))</f>
        <v/>
      </c>
      <c r="I49" s="7" t="n"/>
      <c r="J49" s="7" t="n"/>
      <c r="K49" s="7" t="n"/>
      <c r="L49" s="7" t="n"/>
    </row>
    <row r="50">
      <c r="A50" s="4" t="n"/>
      <c r="B50" s="4" t="n"/>
      <c r="C50" s="4" t="n"/>
      <c r="D50" s="4" t="n"/>
      <c r="E50" s="4" t="n"/>
      <c r="F50" s="4" t="n"/>
      <c r="G50" s="4" t="n"/>
      <c r="H50" s="6">
        <f>IF(B50="","",IFERROR(1-F50/(F50+10),0))</f>
        <v/>
      </c>
      <c r="I50" s="4" t="n"/>
      <c r="J50" s="4" t="n"/>
      <c r="K50" s="4" t="n"/>
      <c r="L50" s="4" t="n"/>
    </row>
    <row r="51">
      <c r="A51" s="7" t="n"/>
      <c r="B51" s="7" t="n"/>
      <c r="C51" s="7" t="n"/>
      <c r="D51" s="7" t="n"/>
      <c r="E51" s="7" t="n"/>
      <c r="F51" s="7" t="n"/>
      <c r="G51" s="7" t="n"/>
      <c r="H51" s="9">
        <f>IF(B51="","",IFERROR(1-F51/(F51+10),0))</f>
        <v/>
      </c>
      <c r="I51" s="7" t="n"/>
      <c r="J51" s="7" t="n"/>
      <c r="K51" s="7" t="n"/>
      <c r="L51" s="7" t="n"/>
    </row>
    <row r="52">
      <c r="A52" s="4" t="n"/>
      <c r="B52" s="4" t="n"/>
      <c r="C52" s="4" t="n"/>
      <c r="D52" s="4" t="n"/>
      <c r="E52" s="4" t="n"/>
      <c r="F52" s="4" t="n"/>
      <c r="G52" s="4" t="n"/>
      <c r="H52" s="6">
        <f>IF(B52="","",IFERROR(1-F52/(F52+10),0))</f>
        <v/>
      </c>
      <c r="I52" s="4" t="n"/>
      <c r="J52" s="4" t="n"/>
      <c r="K52" s="4" t="n"/>
      <c r="L52" s="4" t="n"/>
    </row>
    <row r="53">
      <c r="A53" s="7" t="n"/>
      <c r="B53" s="7" t="n"/>
      <c r="C53" s="7" t="n"/>
      <c r="D53" s="7" t="n"/>
      <c r="E53" s="7" t="n"/>
      <c r="F53" s="7" t="n"/>
      <c r="G53" s="7" t="n"/>
      <c r="H53" s="9">
        <f>IF(B53="","",IFERROR(1-F53/(F53+10),0))</f>
        <v/>
      </c>
      <c r="I53" s="7" t="n"/>
      <c r="J53" s="7" t="n"/>
      <c r="K53" s="7" t="n"/>
      <c r="L53" s="7" t="n"/>
    </row>
    <row r="54">
      <c r="A54" s="4" t="n"/>
      <c r="B54" s="4" t="n"/>
      <c r="C54" s="4" t="n"/>
      <c r="D54" s="4" t="n"/>
      <c r="E54" s="4" t="n"/>
      <c r="F54" s="4" t="n"/>
      <c r="G54" s="4" t="n"/>
      <c r="H54" s="6">
        <f>IF(B54="","",IFERROR(1-F54/(F54+10),0))</f>
        <v/>
      </c>
      <c r="I54" s="4" t="n"/>
      <c r="J54" s="4" t="n"/>
      <c r="K54" s="4" t="n"/>
      <c r="L54" s="4" t="n"/>
    </row>
    <row r="55">
      <c r="A55" s="7" t="n"/>
      <c r="B55" s="7" t="n"/>
      <c r="C55" s="7" t="n"/>
      <c r="D55" s="7" t="n"/>
      <c r="E55" s="7" t="n"/>
      <c r="F55" s="7" t="n"/>
      <c r="G55" s="7" t="n"/>
      <c r="H55" s="9">
        <f>IF(B55="","",IFERROR(1-F55/(F55+10),0))</f>
        <v/>
      </c>
      <c r="I55" s="7" t="n"/>
      <c r="J55" s="7" t="n"/>
      <c r="K55" s="7" t="n"/>
      <c r="L55" s="7" t="n"/>
    </row>
    <row r="56">
      <c r="A56" s="4" t="n"/>
      <c r="B56" s="4" t="n"/>
      <c r="C56" s="4" t="n"/>
      <c r="D56" s="4" t="n"/>
      <c r="E56" s="4" t="n"/>
      <c r="F56" s="4" t="n"/>
      <c r="G56" s="4" t="n"/>
      <c r="H56" s="6">
        <f>IF(B56="","",IFERROR(1-F56/(F56+10),0))</f>
        <v/>
      </c>
      <c r="I56" s="4" t="n"/>
      <c r="J56" s="4" t="n"/>
      <c r="K56" s="4" t="n"/>
      <c r="L56" s="4" t="n"/>
    </row>
    <row r="57">
      <c r="A57" s="7" t="n"/>
      <c r="B57" s="7" t="n"/>
      <c r="C57" s="7" t="n"/>
      <c r="D57" s="7" t="n"/>
      <c r="E57" s="7" t="n"/>
      <c r="F57" s="7" t="n"/>
      <c r="G57" s="7" t="n"/>
      <c r="H57" s="9">
        <f>IF(B57="","",IFERROR(1-F57/(F57+10),0))</f>
        <v/>
      </c>
      <c r="I57" s="7" t="n"/>
      <c r="J57" s="7" t="n"/>
      <c r="K57" s="7" t="n"/>
      <c r="L57" s="7" t="n"/>
    </row>
    <row r="58">
      <c r="A58" s="4" t="n"/>
      <c r="B58" s="4" t="n"/>
      <c r="C58" s="4" t="n"/>
      <c r="D58" s="4" t="n"/>
      <c r="E58" s="4" t="n"/>
      <c r="F58" s="4" t="n"/>
      <c r="G58" s="4" t="n"/>
      <c r="H58" s="6">
        <f>IF(B58="","",IFERROR(1-F58/(F58+10),0))</f>
        <v/>
      </c>
      <c r="I58" s="4" t="n"/>
      <c r="J58" s="4" t="n"/>
      <c r="K58" s="4" t="n"/>
      <c r="L58" s="4" t="n"/>
    </row>
    <row r="59">
      <c r="A59" s="7" t="n"/>
      <c r="B59" s="7" t="n"/>
      <c r="C59" s="7" t="n"/>
      <c r="D59" s="7" t="n"/>
      <c r="E59" s="7" t="n"/>
      <c r="F59" s="7" t="n"/>
      <c r="G59" s="7" t="n"/>
      <c r="H59" s="9">
        <f>IF(B59="","",IFERROR(1-F59/(F59+10),0))</f>
        <v/>
      </c>
      <c r="I59" s="7" t="n"/>
      <c r="J59" s="7" t="n"/>
      <c r="K59" s="7" t="n"/>
      <c r="L59" s="7" t="n"/>
    </row>
    <row r="60">
      <c r="A60" s="4" t="n"/>
      <c r="B60" s="4" t="n"/>
      <c r="C60" s="4" t="n"/>
      <c r="D60" s="4" t="n"/>
      <c r="E60" s="4" t="n"/>
      <c r="F60" s="4" t="n"/>
      <c r="G60" s="4" t="n"/>
      <c r="H60" s="6">
        <f>IF(B60="","",IFERROR(1-F60/(F60+10),0))</f>
        <v/>
      </c>
      <c r="I60" s="4" t="n"/>
      <c r="J60" s="4" t="n"/>
      <c r="K60" s="4" t="n"/>
      <c r="L60" s="4" t="n"/>
    </row>
    <row r="61">
      <c r="A61" s="7" t="n"/>
      <c r="B61" s="7" t="n"/>
      <c r="C61" s="7" t="n"/>
      <c r="D61" s="7" t="n"/>
      <c r="E61" s="7" t="n"/>
      <c r="F61" s="7" t="n"/>
      <c r="G61" s="7" t="n"/>
      <c r="H61" s="9">
        <f>IF(B61="","",IFERROR(1-F61/(F61+10),0))</f>
        <v/>
      </c>
      <c r="I61" s="7" t="n"/>
      <c r="J61" s="7" t="n"/>
      <c r="K61" s="7" t="n"/>
      <c r="L61" s="7" t="n"/>
    </row>
    <row r="62">
      <c r="A62" s="4" t="n"/>
      <c r="B62" s="4" t="n"/>
      <c r="C62" s="4" t="n"/>
      <c r="D62" s="4" t="n"/>
      <c r="E62" s="4" t="n"/>
      <c r="F62" s="4" t="n"/>
      <c r="G62" s="4" t="n"/>
      <c r="H62" s="6">
        <f>IF(B62="","",IFERROR(1-F62/(F62+10),0))</f>
        <v/>
      </c>
      <c r="I62" s="4" t="n"/>
      <c r="J62" s="4" t="n"/>
      <c r="K62" s="4" t="n"/>
      <c r="L62" s="4" t="n"/>
    </row>
    <row r="63">
      <c r="A63" s="7" t="n"/>
      <c r="B63" s="7" t="n"/>
      <c r="C63" s="7" t="n"/>
      <c r="D63" s="7" t="n"/>
      <c r="E63" s="7" t="n"/>
      <c r="F63" s="7" t="n"/>
      <c r="G63" s="7" t="n"/>
      <c r="H63" s="9">
        <f>IF(B63="","",IFERROR(1-F63/(F63+10),0))</f>
        <v/>
      </c>
      <c r="I63" s="7" t="n"/>
      <c r="J63" s="7" t="n"/>
      <c r="K63" s="7" t="n"/>
      <c r="L63" s="7" t="n"/>
    </row>
    <row r="64">
      <c r="A64" s="4" t="n"/>
      <c r="B64" s="4" t="n"/>
      <c r="C64" s="4" t="n"/>
      <c r="D64" s="4" t="n"/>
      <c r="E64" s="4" t="n"/>
      <c r="F64" s="4" t="n"/>
      <c r="G64" s="4" t="n"/>
      <c r="H64" s="6">
        <f>IF(B64="","",IFERROR(1-F64/(F64+10),0))</f>
        <v/>
      </c>
      <c r="I64" s="4" t="n"/>
      <c r="J64" s="4" t="n"/>
      <c r="K64" s="4" t="n"/>
      <c r="L64" s="4" t="n"/>
    </row>
    <row r="65">
      <c r="A65" s="7" t="n"/>
      <c r="B65" s="7" t="n"/>
      <c r="C65" s="7" t="n"/>
      <c r="D65" s="7" t="n"/>
      <c r="E65" s="7" t="n"/>
      <c r="F65" s="7" t="n"/>
      <c r="G65" s="7" t="n"/>
      <c r="H65" s="9">
        <f>IF(B65="","",IFERROR(1-F65/(F65+10),0))</f>
        <v/>
      </c>
      <c r="I65" s="7" t="n"/>
      <c r="J65" s="7" t="n"/>
      <c r="K65" s="7" t="n"/>
      <c r="L65" s="7" t="n"/>
    </row>
    <row r="66">
      <c r="A66" s="4" t="n"/>
      <c r="B66" s="4" t="n"/>
      <c r="C66" s="4" t="n"/>
      <c r="D66" s="4" t="n"/>
      <c r="E66" s="4" t="n"/>
      <c r="F66" s="4" t="n"/>
      <c r="G66" s="4" t="n"/>
      <c r="H66" s="6">
        <f>IF(B66="","",IFERROR(1-F66/(F66+10),0))</f>
        <v/>
      </c>
      <c r="I66" s="4" t="n"/>
      <c r="J66" s="4" t="n"/>
      <c r="K66" s="4" t="n"/>
      <c r="L66" s="4" t="n"/>
    </row>
    <row r="67">
      <c r="A67" s="7" t="n"/>
      <c r="B67" s="7" t="n"/>
      <c r="C67" s="7" t="n"/>
      <c r="D67" s="7" t="n"/>
      <c r="E67" s="7" t="n"/>
      <c r="F67" s="7" t="n"/>
      <c r="G67" s="7" t="n"/>
      <c r="H67" s="9">
        <f>IF(B67="","",IFERROR(1-F67/(F67+10),0))</f>
        <v/>
      </c>
      <c r="I67" s="7" t="n"/>
      <c r="J67" s="7" t="n"/>
      <c r="K67" s="7" t="n"/>
      <c r="L67" s="7" t="n"/>
    </row>
    <row r="68">
      <c r="A68" s="4" t="n"/>
      <c r="B68" s="4" t="n"/>
      <c r="C68" s="4" t="n"/>
      <c r="D68" s="4" t="n"/>
      <c r="E68" s="4" t="n"/>
      <c r="F68" s="4" t="n"/>
      <c r="G68" s="4" t="n"/>
      <c r="H68" s="6">
        <f>IF(B68="","",IFERROR(1-F68/(F68+10),0))</f>
        <v/>
      </c>
      <c r="I68" s="4" t="n"/>
      <c r="J68" s="4" t="n"/>
      <c r="K68" s="4" t="n"/>
      <c r="L68" s="4" t="n"/>
    </row>
    <row r="69">
      <c r="A69" s="7" t="n"/>
      <c r="B69" s="7" t="n"/>
      <c r="C69" s="7" t="n"/>
      <c r="D69" s="7" t="n"/>
      <c r="E69" s="7" t="n"/>
      <c r="F69" s="7" t="n"/>
      <c r="G69" s="7" t="n"/>
      <c r="H69" s="9">
        <f>IF(B69="","",IFERROR(1-F69/(F69+10),0))</f>
        <v/>
      </c>
      <c r="I69" s="7" t="n"/>
      <c r="J69" s="7" t="n"/>
      <c r="K69" s="7" t="n"/>
      <c r="L69" s="7" t="n"/>
    </row>
    <row r="70">
      <c r="A70" s="4" t="n"/>
      <c r="B70" s="4" t="n"/>
      <c r="C70" s="4" t="n"/>
      <c r="D70" s="4" t="n"/>
      <c r="E70" s="4" t="n"/>
      <c r="F70" s="4" t="n"/>
      <c r="G70" s="4" t="n"/>
      <c r="H70" s="6">
        <f>IF(B70="","",IFERROR(1-F70/(F70+10),0))</f>
        <v/>
      </c>
      <c r="I70" s="4" t="n"/>
      <c r="J70" s="4" t="n"/>
      <c r="K70" s="4" t="n"/>
      <c r="L70" s="4" t="n"/>
    </row>
    <row r="71">
      <c r="A71" s="7" t="n"/>
      <c r="B71" s="7" t="n"/>
      <c r="C71" s="7" t="n"/>
      <c r="D71" s="7" t="n"/>
      <c r="E71" s="7" t="n"/>
      <c r="F71" s="7" t="n"/>
      <c r="G71" s="7" t="n"/>
      <c r="H71" s="9">
        <f>IF(B71="","",IFERROR(1-F71/(F71+10),0))</f>
        <v/>
      </c>
      <c r="I71" s="7" t="n"/>
      <c r="J71" s="7" t="n"/>
      <c r="K71" s="7" t="n"/>
      <c r="L71" s="7" t="n"/>
    </row>
    <row r="72">
      <c r="A72" s="4" t="n"/>
      <c r="B72" s="4" t="n"/>
      <c r="C72" s="4" t="n"/>
      <c r="D72" s="4" t="n"/>
      <c r="E72" s="4" t="n"/>
      <c r="F72" s="4" t="n"/>
      <c r="G72" s="4" t="n"/>
      <c r="H72" s="6">
        <f>IF(B72="","",IFERROR(1-F72/(F72+10),0))</f>
        <v/>
      </c>
      <c r="I72" s="4" t="n"/>
      <c r="J72" s="4" t="n"/>
      <c r="K72" s="4" t="n"/>
      <c r="L72" s="4" t="n"/>
    </row>
    <row r="73">
      <c r="A73" s="7" t="n"/>
      <c r="B73" s="7" t="n"/>
      <c r="C73" s="7" t="n"/>
      <c r="D73" s="7" t="n"/>
      <c r="E73" s="7" t="n"/>
      <c r="F73" s="7" t="n"/>
      <c r="G73" s="7" t="n"/>
      <c r="H73" s="9">
        <f>IF(B73="","",IFERROR(1-F73/(F73+10),0))</f>
        <v/>
      </c>
      <c r="I73" s="7" t="n"/>
      <c r="J73" s="7" t="n"/>
      <c r="K73" s="7" t="n"/>
      <c r="L73" s="7" t="n"/>
    </row>
    <row r="74">
      <c r="A74" s="4" t="n"/>
      <c r="B74" s="4" t="n"/>
      <c r="C74" s="4" t="n"/>
      <c r="D74" s="4" t="n"/>
      <c r="E74" s="4" t="n"/>
      <c r="F74" s="4" t="n"/>
      <c r="G74" s="4" t="n"/>
      <c r="H74" s="6">
        <f>IF(B74="","",IFERROR(1-F74/(F74+10),0))</f>
        <v/>
      </c>
      <c r="I74" s="4" t="n"/>
      <c r="J74" s="4" t="n"/>
      <c r="K74" s="4" t="n"/>
      <c r="L74" s="4" t="n"/>
    </row>
    <row r="75">
      <c r="A75" s="7" t="n"/>
      <c r="B75" s="7" t="n"/>
      <c r="C75" s="7" t="n"/>
      <c r="D75" s="7" t="n"/>
      <c r="E75" s="7" t="n"/>
      <c r="F75" s="7" t="n"/>
      <c r="G75" s="7" t="n"/>
      <c r="H75" s="9">
        <f>IF(B75="","",IFERROR(1-F75/(F75+10),0))</f>
        <v/>
      </c>
      <c r="I75" s="7" t="n"/>
      <c r="J75" s="7" t="n"/>
      <c r="K75" s="7" t="n"/>
      <c r="L75" s="7" t="n"/>
    </row>
    <row r="76">
      <c r="A76" s="4" t="n"/>
      <c r="B76" s="4" t="n"/>
      <c r="C76" s="4" t="n"/>
      <c r="D76" s="4" t="n"/>
      <c r="E76" s="4" t="n"/>
      <c r="F76" s="4" t="n"/>
      <c r="G76" s="4" t="n"/>
      <c r="H76" s="6">
        <f>IF(B76="","",IFERROR(1-F76/(F76+10),0))</f>
        <v/>
      </c>
      <c r="I76" s="4" t="n"/>
      <c r="J76" s="4" t="n"/>
      <c r="K76" s="4" t="n"/>
      <c r="L76" s="4" t="n"/>
    </row>
    <row r="77">
      <c r="A77" s="7" t="n"/>
      <c r="B77" s="7" t="n"/>
      <c r="C77" s="7" t="n"/>
      <c r="D77" s="7" t="n"/>
      <c r="E77" s="7" t="n"/>
      <c r="F77" s="7" t="n"/>
      <c r="G77" s="7" t="n"/>
      <c r="H77" s="9">
        <f>IF(B77="","",IFERROR(1-F77/(F77+10),0))</f>
        <v/>
      </c>
      <c r="I77" s="7" t="n"/>
      <c r="J77" s="7" t="n"/>
      <c r="K77" s="7" t="n"/>
      <c r="L77" s="7" t="n"/>
    </row>
    <row r="78">
      <c r="A78" s="4" t="n"/>
      <c r="B78" s="4" t="n"/>
      <c r="C78" s="4" t="n"/>
      <c r="D78" s="4" t="n"/>
      <c r="E78" s="4" t="n"/>
      <c r="F78" s="4" t="n"/>
      <c r="G78" s="4" t="n"/>
      <c r="H78" s="6">
        <f>IF(B78="","",IFERROR(1-F78/(F78+10),0))</f>
        <v/>
      </c>
      <c r="I78" s="4" t="n"/>
      <c r="J78" s="4" t="n"/>
      <c r="K78" s="4" t="n"/>
      <c r="L78" s="4" t="n"/>
    </row>
    <row r="79">
      <c r="A79" s="7" t="n"/>
      <c r="B79" s="7" t="n"/>
      <c r="C79" s="7" t="n"/>
      <c r="D79" s="7" t="n"/>
      <c r="E79" s="7" t="n"/>
      <c r="F79" s="7" t="n"/>
      <c r="G79" s="7" t="n"/>
      <c r="H79" s="9">
        <f>IF(B79="","",IFERROR(1-F79/(F79+10),0))</f>
        <v/>
      </c>
      <c r="I79" s="7" t="n"/>
      <c r="J79" s="7" t="n"/>
      <c r="K79" s="7" t="n"/>
      <c r="L79" s="7" t="n"/>
    </row>
    <row r="80">
      <c r="A80" s="4" t="n"/>
      <c r="B80" s="4" t="n"/>
      <c r="C80" s="4" t="n"/>
      <c r="D80" s="4" t="n"/>
      <c r="E80" s="4" t="n"/>
      <c r="F80" s="4" t="n"/>
      <c r="G80" s="4" t="n"/>
      <c r="H80" s="6">
        <f>IF(B80="","",IFERROR(1-F80/(F80+10),0))</f>
        <v/>
      </c>
      <c r="I80" s="4" t="n"/>
      <c r="J80" s="4" t="n"/>
      <c r="K80" s="4" t="n"/>
      <c r="L80" s="4" t="n"/>
    </row>
    <row r="81">
      <c r="A81" s="7" t="n"/>
      <c r="B81" s="7" t="n"/>
      <c r="C81" s="7" t="n"/>
      <c r="D81" s="7" t="n"/>
      <c r="E81" s="7" t="n"/>
      <c r="F81" s="7" t="n"/>
      <c r="G81" s="7" t="n"/>
      <c r="H81" s="9">
        <f>IF(B81="","",IFERROR(1-F81/(F81+10),0))</f>
        <v/>
      </c>
      <c r="I81" s="7" t="n"/>
      <c r="J81" s="7" t="n"/>
      <c r="K81" s="7" t="n"/>
      <c r="L81" s="7" t="n"/>
    </row>
    <row r="82">
      <c r="A82" s="4" t="n"/>
      <c r="B82" s="4" t="n"/>
      <c r="C82" s="4" t="n"/>
      <c r="D82" s="4" t="n"/>
      <c r="E82" s="4" t="n"/>
      <c r="F82" s="4" t="n"/>
      <c r="G82" s="4" t="n"/>
      <c r="H82" s="6">
        <f>IF(B82="","",IFERROR(1-F82/(F82+10),0))</f>
        <v/>
      </c>
      <c r="I82" s="4" t="n"/>
      <c r="J82" s="4" t="n"/>
      <c r="K82" s="4" t="n"/>
      <c r="L82" s="4" t="n"/>
    </row>
    <row r="83">
      <c r="A83" s="7" t="n"/>
      <c r="B83" s="7" t="n"/>
      <c r="C83" s="7" t="n"/>
      <c r="D83" s="7" t="n"/>
      <c r="E83" s="7" t="n"/>
      <c r="F83" s="7" t="n"/>
      <c r="G83" s="7" t="n"/>
      <c r="H83" s="9">
        <f>IF(B83="","",IFERROR(1-F83/(F83+10),0))</f>
        <v/>
      </c>
      <c r="I83" s="7" t="n"/>
      <c r="J83" s="7" t="n"/>
      <c r="K83" s="7" t="n"/>
      <c r="L83" s="7" t="n"/>
    </row>
    <row r="84">
      <c r="A84" s="4" t="n"/>
      <c r="B84" s="4" t="n"/>
      <c r="C84" s="4" t="n"/>
      <c r="D84" s="4" t="n"/>
      <c r="E84" s="4" t="n"/>
      <c r="F84" s="4" t="n"/>
      <c r="G84" s="4" t="n"/>
      <c r="H84" s="6">
        <f>IF(B84="","",IFERROR(1-F84/(F84+10),0))</f>
        <v/>
      </c>
      <c r="I84" s="4" t="n"/>
      <c r="J84" s="4" t="n"/>
      <c r="K84" s="4" t="n"/>
      <c r="L84" s="4" t="n"/>
    </row>
    <row r="85">
      <c r="A85" s="7" t="n"/>
      <c r="B85" s="7" t="n"/>
      <c r="C85" s="7" t="n"/>
      <c r="D85" s="7" t="n"/>
      <c r="E85" s="7" t="n"/>
      <c r="F85" s="7" t="n"/>
      <c r="G85" s="7" t="n"/>
      <c r="H85" s="9">
        <f>IF(B85="","",IFERROR(1-F85/(F85+10),0))</f>
        <v/>
      </c>
      <c r="I85" s="7" t="n"/>
      <c r="J85" s="7" t="n"/>
      <c r="K85" s="7" t="n"/>
      <c r="L85" s="7" t="n"/>
    </row>
    <row r="86">
      <c r="A86" s="4" t="n"/>
      <c r="B86" s="4" t="n"/>
      <c r="C86" s="4" t="n"/>
      <c r="D86" s="4" t="n"/>
      <c r="E86" s="4" t="n"/>
      <c r="F86" s="4" t="n"/>
      <c r="G86" s="4" t="n"/>
      <c r="H86" s="6">
        <f>IF(B86="","",IFERROR(1-F86/(F86+10),0))</f>
        <v/>
      </c>
      <c r="I86" s="4" t="n"/>
      <c r="J86" s="4" t="n"/>
      <c r="K86" s="4" t="n"/>
      <c r="L86" s="4" t="n"/>
    </row>
    <row r="87">
      <c r="A87" s="7" t="n"/>
      <c r="B87" s="7" t="n"/>
      <c r="C87" s="7" t="n"/>
      <c r="D87" s="7" t="n"/>
      <c r="E87" s="7" t="n"/>
      <c r="F87" s="7" t="n"/>
      <c r="G87" s="7" t="n"/>
      <c r="H87" s="9">
        <f>IF(B87="","",IFERROR(1-F87/(F87+10),0))</f>
        <v/>
      </c>
      <c r="I87" s="7" t="n"/>
      <c r="J87" s="7" t="n"/>
      <c r="K87" s="7" t="n"/>
      <c r="L87" s="7" t="n"/>
    </row>
    <row r="88">
      <c r="A88" s="4" t="n"/>
      <c r="B88" s="4" t="n"/>
      <c r="C88" s="4" t="n"/>
      <c r="D88" s="4" t="n"/>
      <c r="E88" s="4" t="n"/>
      <c r="F88" s="4" t="n"/>
      <c r="G88" s="4" t="n"/>
      <c r="H88" s="6">
        <f>IF(B88="","",IFERROR(1-F88/(F88+10),0))</f>
        <v/>
      </c>
      <c r="I88" s="4" t="n"/>
      <c r="J88" s="4" t="n"/>
      <c r="K88" s="4" t="n"/>
      <c r="L88" s="4" t="n"/>
    </row>
    <row r="89">
      <c r="A89" s="7" t="n"/>
      <c r="B89" s="7" t="n"/>
      <c r="C89" s="7" t="n"/>
      <c r="D89" s="7" t="n"/>
      <c r="E89" s="7" t="n"/>
      <c r="F89" s="7" t="n"/>
      <c r="G89" s="7" t="n"/>
      <c r="H89" s="9">
        <f>IF(B89="","",IFERROR(1-F89/(F89+10),0))</f>
        <v/>
      </c>
      <c r="I89" s="7" t="n"/>
      <c r="J89" s="7" t="n"/>
      <c r="K89" s="7" t="n"/>
      <c r="L89" s="7" t="n"/>
    </row>
    <row r="90">
      <c r="A90" s="4" t="n"/>
      <c r="B90" s="4" t="n"/>
      <c r="C90" s="4" t="n"/>
      <c r="D90" s="4" t="n"/>
      <c r="E90" s="4" t="n"/>
      <c r="F90" s="4" t="n"/>
      <c r="G90" s="4" t="n"/>
      <c r="H90" s="6">
        <f>IF(B90="","",IFERROR(1-F90/(F90+10),0))</f>
        <v/>
      </c>
      <c r="I90" s="4" t="n"/>
      <c r="J90" s="4" t="n"/>
      <c r="K90" s="4" t="n"/>
      <c r="L90" s="4" t="n"/>
    </row>
    <row r="91">
      <c r="A91" s="7" t="n"/>
      <c r="B91" s="7" t="n"/>
      <c r="C91" s="7" t="n"/>
      <c r="D91" s="7" t="n"/>
      <c r="E91" s="7" t="n"/>
      <c r="F91" s="7" t="n"/>
      <c r="G91" s="7" t="n"/>
      <c r="H91" s="9">
        <f>IF(B91="","",IFERROR(1-F91/(F91+10),0))</f>
        <v/>
      </c>
      <c r="I91" s="7" t="n"/>
      <c r="J91" s="7" t="n"/>
      <c r="K91" s="7" t="n"/>
      <c r="L91" s="7" t="n"/>
    </row>
    <row r="92">
      <c r="A92" s="4" t="n"/>
      <c r="B92" s="4" t="n"/>
      <c r="C92" s="4" t="n"/>
      <c r="D92" s="4" t="n"/>
      <c r="E92" s="4" t="n"/>
      <c r="F92" s="4" t="n"/>
      <c r="G92" s="4" t="n"/>
      <c r="H92" s="6">
        <f>IF(B92="","",IFERROR(1-F92/(F92+10),0))</f>
        <v/>
      </c>
      <c r="I92" s="4" t="n"/>
      <c r="J92" s="4" t="n"/>
      <c r="K92" s="4" t="n"/>
      <c r="L92" s="4" t="n"/>
    </row>
    <row r="93">
      <c r="A93" s="7" t="n"/>
      <c r="B93" s="7" t="n"/>
      <c r="C93" s="7" t="n"/>
      <c r="D93" s="7" t="n"/>
      <c r="E93" s="7" t="n"/>
      <c r="F93" s="7" t="n"/>
      <c r="G93" s="7" t="n"/>
      <c r="H93" s="9">
        <f>IF(B93="","",IFERROR(1-F93/(F93+10),0))</f>
        <v/>
      </c>
      <c r="I93" s="7" t="n"/>
      <c r="J93" s="7" t="n"/>
      <c r="K93" s="7" t="n"/>
      <c r="L93" s="7" t="n"/>
    </row>
    <row r="94">
      <c r="A94" s="4" t="n"/>
      <c r="B94" s="4" t="n"/>
      <c r="C94" s="4" t="n"/>
      <c r="D94" s="4" t="n"/>
      <c r="E94" s="4" t="n"/>
      <c r="F94" s="4" t="n"/>
      <c r="G94" s="4" t="n"/>
      <c r="H94" s="6">
        <f>IF(B94="","",IFERROR(1-F94/(F94+10),0))</f>
        <v/>
      </c>
      <c r="I94" s="4" t="n"/>
      <c r="J94" s="4" t="n"/>
      <c r="K94" s="4" t="n"/>
      <c r="L94" s="4" t="n"/>
    </row>
    <row r="95">
      <c r="A95" s="7" t="n"/>
      <c r="B95" s="7" t="n"/>
      <c r="C95" s="7" t="n"/>
      <c r="D95" s="7" t="n"/>
      <c r="E95" s="7" t="n"/>
      <c r="F95" s="7" t="n"/>
      <c r="G95" s="7" t="n"/>
      <c r="H95" s="9">
        <f>IF(B95="","",IFERROR(1-F95/(F95+10),0))</f>
        <v/>
      </c>
      <c r="I95" s="7" t="n"/>
      <c r="J95" s="7" t="n"/>
      <c r="K95" s="7" t="n"/>
      <c r="L95" s="7" t="n"/>
    </row>
    <row r="96">
      <c r="A96" s="4" t="n"/>
      <c r="B96" s="4" t="n"/>
      <c r="C96" s="4" t="n"/>
      <c r="D96" s="4" t="n"/>
      <c r="E96" s="4" t="n"/>
      <c r="F96" s="4" t="n"/>
      <c r="G96" s="4" t="n"/>
      <c r="H96" s="6">
        <f>IF(B96="","",IFERROR(1-F96/(F96+10),0))</f>
        <v/>
      </c>
      <c r="I96" s="4" t="n"/>
      <c r="J96" s="4" t="n"/>
      <c r="K96" s="4" t="n"/>
      <c r="L96" s="4" t="n"/>
    </row>
    <row r="97">
      <c r="A97" s="7" t="n"/>
      <c r="B97" s="7" t="n"/>
      <c r="C97" s="7" t="n"/>
      <c r="D97" s="7" t="n"/>
      <c r="E97" s="7" t="n"/>
      <c r="F97" s="7" t="n"/>
      <c r="G97" s="7" t="n"/>
      <c r="H97" s="9">
        <f>IF(B97="","",IFERROR(1-F97/(F97+10),0))</f>
        <v/>
      </c>
      <c r="I97" s="7" t="n"/>
      <c r="J97" s="7" t="n"/>
      <c r="K97" s="7" t="n"/>
      <c r="L97" s="7" t="n"/>
    </row>
    <row r="98">
      <c r="A98" s="4" t="n"/>
      <c r="B98" s="4" t="n"/>
      <c r="C98" s="4" t="n"/>
      <c r="D98" s="4" t="n"/>
      <c r="E98" s="4" t="n"/>
      <c r="F98" s="4" t="n"/>
      <c r="G98" s="4" t="n"/>
      <c r="H98" s="6">
        <f>IF(B98="","",IFERROR(1-F98/(F98+10),0))</f>
        <v/>
      </c>
      <c r="I98" s="4" t="n"/>
      <c r="J98" s="4" t="n"/>
      <c r="K98" s="4" t="n"/>
      <c r="L98" s="4" t="n"/>
    </row>
    <row r="99">
      <c r="A99" s="7" t="n"/>
      <c r="B99" s="7" t="n"/>
      <c r="C99" s="7" t="n"/>
      <c r="D99" s="7" t="n"/>
      <c r="E99" s="7" t="n"/>
      <c r="F99" s="7" t="n"/>
      <c r="G99" s="7" t="n"/>
      <c r="H99" s="9">
        <f>IF(B99="","",IFERROR(1-F99/(F99+10),0))</f>
        <v/>
      </c>
      <c r="I99" s="7" t="n"/>
      <c r="J99" s="7" t="n"/>
      <c r="K99" s="7" t="n"/>
      <c r="L99" s="7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6">
        <f>IF(B100="","",IFERROR(1-F100/(F100+10),0))</f>
        <v/>
      </c>
      <c r="I100" s="4" t="n"/>
      <c r="J100" s="4" t="n"/>
      <c r="K100" s="4" t="n"/>
      <c r="L100" s="4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9">
        <f>IF(B101="","",IFERROR(1-F101/(F101+10),0))</f>
        <v/>
      </c>
      <c r="I101" s="7" t="n"/>
      <c r="J101" s="7" t="n"/>
      <c r="K101" s="7" t="n"/>
      <c r="L101" s="7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6">
        <f>IF(B102="","",IFERROR(1-F102/(F102+10),0))</f>
        <v/>
      </c>
      <c r="I102" s="4" t="n"/>
      <c r="J102" s="4" t="n"/>
      <c r="K102" s="4" t="n"/>
      <c r="L102" s="4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9">
        <f>IF(B103="","",IFERROR(1-F103/(F103+10),0))</f>
        <v/>
      </c>
      <c r="I103" s="7" t="n"/>
      <c r="J103" s="7" t="n"/>
      <c r="K103" s="7" t="n"/>
      <c r="L103" s="7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6">
        <f>IF(B104="","",IFERROR(1-F104/(F104+10),0))</f>
        <v/>
      </c>
      <c r="I104" s="4" t="n"/>
      <c r="J104" s="4" t="n"/>
      <c r="K104" s="4" t="n"/>
      <c r="L104" s="4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9">
        <f>IF(B105="","",IFERROR(1-F105/(F105+10),0))</f>
        <v/>
      </c>
      <c r="I105" s="7" t="n"/>
      <c r="J105" s="7" t="n"/>
      <c r="K105" s="7" t="n"/>
      <c r="L105" s="7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6">
        <f>IF(B106="","",IFERROR(1-F106/(F106+10),0))</f>
        <v/>
      </c>
      <c r="I106" s="4" t="n"/>
      <c r="J106" s="4" t="n"/>
      <c r="K106" s="4" t="n"/>
      <c r="L106" s="4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9">
        <f>IF(B107="","",IFERROR(1-F107/(F107+10),0))</f>
        <v/>
      </c>
      <c r="I107" s="7" t="n"/>
      <c r="J107" s="7" t="n"/>
      <c r="K107" s="7" t="n"/>
      <c r="L107" s="7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6">
        <f>IF(B108="","",IFERROR(1-F108/(F108+10),0))</f>
        <v/>
      </c>
      <c r="I108" s="4" t="n"/>
      <c r="J108" s="4" t="n"/>
      <c r="K108" s="4" t="n"/>
      <c r="L108" s="4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9">
        <f>IF(B109="","",IFERROR(1-F109/(F109+10),0))</f>
        <v/>
      </c>
      <c r="I109" s="7" t="n"/>
      <c r="J109" s="7" t="n"/>
      <c r="K109" s="7" t="n"/>
      <c r="L109" s="7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6">
        <f>IF(B110="","",IFERROR(1-F110/(F110+10),0))</f>
        <v/>
      </c>
      <c r="I110" s="4" t="n"/>
      <c r="J110" s="4" t="n"/>
      <c r="K110" s="4" t="n"/>
      <c r="L110" s="4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9">
        <f>IF(B111="","",IFERROR(1-F111/(F111+10),0))</f>
        <v/>
      </c>
      <c r="I111" s="7" t="n"/>
      <c r="J111" s="7" t="n"/>
      <c r="K111" s="7" t="n"/>
      <c r="L111" s="7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6">
        <f>IF(B112="","",IFERROR(1-F112/(F112+10),0))</f>
        <v/>
      </c>
      <c r="I112" s="4" t="n"/>
      <c r="J112" s="4" t="n"/>
      <c r="K112" s="4" t="n"/>
      <c r="L112" s="4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9">
        <f>IF(B113="","",IFERROR(1-F113/(F113+10),0))</f>
        <v/>
      </c>
      <c r="I113" s="7" t="n"/>
      <c r="J113" s="7" t="n"/>
      <c r="K113" s="7" t="n"/>
      <c r="L113" s="7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6">
        <f>IF(B114="","",IFERROR(1-F114/(F114+10),0))</f>
        <v/>
      </c>
      <c r="I114" s="4" t="n"/>
      <c r="J114" s="4" t="n"/>
      <c r="K114" s="4" t="n"/>
      <c r="L114" s="4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9">
        <f>IF(B115="","",IFERROR(1-F115/(F115+10),0))</f>
        <v/>
      </c>
      <c r="I115" s="7" t="n"/>
      <c r="J115" s="7" t="n"/>
      <c r="K115" s="7" t="n"/>
      <c r="L115" s="7" t="n"/>
    </row>
  </sheetData>
  <mergeCells count="2">
    <mergeCell ref="A3:P3"/>
    <mergeCell ref="A2:P2"/>
  </mergeCells>
  <conditionalFormatting sqref="L6:L115">
    <cfRule type="cellIs" priority="1" operator="equal" dxfId="1">
      <formula>"Clôturé"</formula>
    </cfRule>
    <cfRule type="cellIs" priority="2" operator="equal" dxfId="0">
      <formula>"En cours"</formula>
    </cfRule>
    <cfRule type="cellIs" priority="3" operator="equal" dxfId="4">
      <formula>"Planifié"</formula>
    </cfRule>
  </conditionalFormatting>
  <dataValidations count="2">
    <dataValidation sqref="B6:B115" showDropDown="0" showInputMessage="0" showErrorMessage="0" allowBlank="1" errorTitle="Erreur de saisie" error="Valeur non autorisée" promptTitle="Liste déroulante" prompt="Sélectionnez dans la liste" type="list">
      <formula1>'F02 - _Lists'!$T$6:$T$35</formula1>
    </dataValidation>
    <dataValidation sqref="L6:L115" showDropDown="0" showInputMessage="0" showErrorMessage="0" allowBlank="1" errorTitle="Erreur de saisie" error="Valeur non autorisée" promptTitle="Liste déroulante" prompt="Sélectionnez dans la liste" type="list">
      <formula1>'F02 - _Lists'!$K$6:$K$35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6BB6A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22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</cols>
  <sheetData>
    <row r="2" ht="25" customHeight="1">
      <c r="A2" s="1" t="inlineStr">
        <is>
          <t>DOMAINE 27 — 10-INDICATEURS : TAUX DE FRÉQUENCE ET DE GRAVITÉ</t>
        </is>
      </c>
    </row>
    <row r="3" ht="18" customHeight="1">
      <c r="A3" s="2" t="inlineStr">
        <is>
          <t>TABLEAU DYNAMIQUE — Calcul et suivi des indicateurs SST clés</t>
        </is>
      </c>
    </row>
    <row r="5">
      <c r="A5" s="3" t="inlineStr">
        <is>
          <t>Département</t>
        </is>
      </c>
      <c r="B5" s="3" t="inlineStr">
        <is>
          <t>Effectif</t>
        </is>
      </c>
      <c r="C5" s="3" t="inlineStr">
        <is>
          <t>Heures Travailées</t>
        </is>
      </c>
      <c r="D5" s="3" t="inlineStr">
        <is>
          <t>Nb Accidents avec Arrêt</t>
        </is>
      </c>
      <c r="E5" s="3" t="inlineStr">
        <is>
          <t>Nb Jours d'Arrêt Total</t>
        </is>
      </c>
      <c r="F5" s="3" t="inlineStr">
        <is>
          <t>Taux de Fréquence (TF)</t>
        </is>
      </c>
      <c r="G5" s="3" t="inlineStr">
        <is>
          <t>Taux de Gravité (TG)</t>
        </is>
      </c>
      <c r="H5" s="3" t="inlineStr">
        <is>
          <t>Nb Accidents sans Arrêt</t>
        </is>
      </c>
      <c r="I5" s="3" t="inlineStr">
        <is>
          <t>Nb Presque-Accidents</t>
        </is>
      </c>
      <c r="J5" s="3" t="inlineStr">
        <is>
          <t>Ratio Présque-Acc/Acc</t>
        </is>
      </c>
      <c r="K5" s="3" t="inlineStr">
        <is>
          <t>Indice Fréquence Cible</t>
        </is>
      </c>
      <c r="L5" s="3" t="inlineStr">
        <is>
          <t>Écart TF</t>
        </is>
      </c>
      <c r="M5" s="3" t="inlineStr">
        <is>
          <t>Tendance</t>
        </is>
      </c>
    </row>
    <row r="6">
      <c r="A6" s="4" t="inlineStr">
        <is>
          <t>Cuisine &amp; Restauration</t>
        </is>
      </c>
      <c r="B6" s="4" t="n">
        <v>45</v>
      </c>
      <c r="C6" s="5" t="n">
        <v>93600</v>
      </c>
      <c r="D6" s="4" t="n">
        <v>4</v>
      </c>
      <c r="E6" s="4" t="n">
        <v>27</v>
      </c>
      <c r="F6" s="16">
        <f>IFERROR(D6*1000000/C6,0)</f>
        <v/>
      </c>
      <c r="G6" s="17">
        <f>IFERROR(E6*1000/C6,0)</f>
        <v/>
      </c>
      <c r="H6" s="4" t="n">
        <v>6</v>
      </c>
      <c r="I6" s="4" t="n">
        <v>12</v>
      </c>
      <c r="J6" s="16">
        <f>IF(D6=0,"",IFERROR(I6/D6,0))</f>
        <v/>
      </c>
      <c r="K6" s="4" t="n">
        <v>25</v>
      </c>
      <c r="L6" s="16">
        <f>F6-K6</f>
        <v/>
      </c>
      <c r="M6" s="4">
        <f>IF(L6&gt;0,"Hausse",IF(L6&lt;0,"Baisse","Stable"))</f>
        <v/>
      </c>
    </row>
    <row r="7">
      <c r="A7" s="7" t="inlineStr">
        <is>
          <t>Maintenance &amp; Technique</t>
        </is>
      </c>
      <c r="B7" s="7" t="n">
        <v>18</v>
      </c>
      <c r="C7" s="8" t="n">
        <v>37440</v>
      </c>
      <c r="D7" s="7" t="n">
        <v>3</v>
      </c>
      <c r="E7" s="7" t="n">
        <v>27</v>
      </c>
      <c r="F7" s="18">
        <f>IFERROR(D7*1000000/C7,0)</f>
        <v/>
      </c>
      <c r="G7" s="19">
        <f>IFERROR(E7*1000/C7,0)</f>
        <v/>
      </c>
      <c r="H7" s="7" t="n">
        <v>4</v>
      </c>
      <c r="I7" s="7" t="n">
        <v>8</v>
      </c>
      <c r="J7" s="18">
        <f>IF(D7=0,"",IFERROR(I7/D7,0))</f>
        <v/>
      </c>
      <c r="K7" s="7" t="n">
        <v>30</v>
      </c>
      <c r="L7" s="18">
        <f>F7-K7</f>
        <v/>
      </c>
      <c r="M7" s="7">
        <f>IF(L7&gt;0,"Hausse",IF(L7&lt;0,"Baisse","Stable"))</f>
        <v/>
      </c>
    </row>
    <row r="8">
      <c r="A8" s="4" t="inlineStr">
        <is>
          <t>Réception &amp; Front Office</t>
        </is>
      </c>
      <c r="B8" s="4" t="n">
        <v>25</v>
      </c>
      <c r="C8" s="5" t="n">
        <v>52000</v>
      </c>
      <c r="D8" s="4" t="n">
        <v>1</v>
      </c>
      <c r="E8" s="4" t="n">
        <v>14</v>
      </c>
      <c r="F8" s="16">
        <f>IFERROR(D8*1000000/C8,0)</f>
        <v/>
      </c>
      <c r="G8" s="17">
        <f>IFERROR(E8*1000/C8,0)</f>
        <v/>
      </c>
      <c r="H8" s="4" t="n">
        <v>3</v>
      </c>
      <c r="I8" s="4" t="n">
        <v>5</v>
      </c>
      <c r="J8" s="16">
        <f>IF(D8=0,"",IFERROR(I8/D8,0))</f>
        <v/>
      </c>
      <c r="K8" s="4" t="n">
        <v>15</v>
      </c>
      <c r="L8" s="16">
        <f>F8-K8</f>
        <v/>
      </c>
      <c r="M8" s="4">
        <f>IF(L8&gt;0,"Hausse",IF(L8&lt;0,"Baisse","Stable"))</f>
        <v/>
      </c>
    </row>
    <row r="9">
      <c r="A9" s="7" t="inlineStr">
        <is>
          <t>Sécurité</t>
        </is>
      </c>
      <c r="B9" s="7" t="n">
        <v>15</v>
      </c>
      <c r="C9" s="8" t="n">
        <v>31200</v>
      </c>
      <c r="D9" s="7" t="n">
        <v>1</v>
      </c>
      <c r="E9" s="7" t="n">
        <v>3</v>
      </c>
      <c r="F9" s="18">
        <f>IFERROR(D9*1000000/C9,0)</f>
        <v/>
      </c>
      <c r="G9" s="19">
        <f>IFERROR(E9*1000/C9,0)</f>
        <v/>
      </c>
      <c r="H9" s="7" t="n">
        <v>2</v>
      </c>
      <c r="I9" s="7" t="n">
        <v>4</v>
      </c>
      <c r="J9" s="18">
        <f>IF(D9=0,"",IFERROR(I9/D9,0))</f>
        <v/>
      </c>
      <c r="K9" s="7" t="n">
        <v>20</v>
      </c>
      <c r="L9" s="18">
        <f>F9-K9</f>
        <v/>
      </c>
      <c r="M9" s="7">
        <f>IF(L9&gt;0,"Hausse",IF(L9&lt;0,"Baisse","Stable"))</f>
        <v/>
      </c>
    </row>
    <row r="10">
      <c r="A10" s="4" t="inlineStr">
        <is>
          <t>Commerce</t>
        </is>
      </c>
      <c r="B10" s="4" t="n">
        <v>10</v>
      </c>
      <c r="C10" s="5" t="n">
        <v>20800</v>
      </c>
      <c r="D10" s="4" t="n">
        <v>1</v>
      </c>
      <c r="E10" s="4" t="n">
        <v>10</v>
      </c>
      <c r="F10" s="16">
        <f>IFERROR(D10*1000000/C10,0)</f>
        <v/>
      </c>
      <c r="G10" s="17">
        <f>IFERROR(E10*1000/C10,0)</f>
        <v/>
      </c>
      <c r="H10" s="4" t="n">
        <v>2</v>
      </c>
      <c r="I10" s="4" t="n">
        <v>3</v>
      </c>
      <c r="J10" s="16">
        <f>IF(D10=0,"",IFERROR(I10/D10,0))</f>
        <v/>
      </c>
      <c r="K10" s="4" t="n">
        <v>30</v>
      </c>
      <c r="L10" s="16">
        <f>F10-K10</f>
        <v/>
      </c>
      <c r="M10" s="4">
        <f>IF(L10&gt;0,"Hausse",IF(L10&lt;0,"Baisse","Stable"))</f>
        <v/>
      </c>
    </row>
    <row r="11">
      <c r="A11" s="7" t="inlineStr">
        <is>
          <t>Spa &amp; Bien-être</t>
        </is>
      </c>
      <c r="B11" s="7" t="n">
        <v>8</v>
      </c>
      <c r="C11" s="8" t="n">
        <v>16640</v>
      </c>
      <c r="D11" s="7" t="n">
        <v>1</v>
      </c>
      <c r="E11" s="7" t="n">
        <v>2</v>
      </c>
      <c r="F11" s="18">
        <f>IFERROR(D11*1000000/C11,0)</f>
        <v/>
      </c>
      <c r="G11" s="19">
        <f>IFERROR(E11*1000/C11,0)</f>
        <v/>
      </c>
      <c r="H11" s="7" t="n">
        <v>1</v>
      </c>
      <c r="I11" s="7" t="n">
        <v>2</v>
      </c>
      <c r="J11" s="18">
        <f>IF(D11=0,"",IFERROR(I11/D11,0))</f>
        <v/>
      </c>
      <c r="K11" s="7" t="n">
        <v>40</v>
      </c>
      <c r="L11" s="18">
        <f>F11-K11</f>
        <v/>
      </c>
      <c r="M11" s="7">
        <f>IF(L11&gt;0,"Hausse",IF(L11&lt;0,"Baisse","Stable"))</f>
        <v/>
      </c>
    </row>
    <row r="12">
      <c r="A12" s="4" t="inlineStr">
        <is>
          <t>Direction Générale</t>
        </is>
      </c>
      <c r="B12" s="4" t="n">
        <v>5</v>
      </c>
      <c r="C12" s="5" t="n">
        <v>10400</v>
      </c>
      <c r="D12" s="4" t="n">
        <v>0</v>
      </c>
      <c r="E12" s="4" t="n">
        <v>0</v>
      </c>
      <c r="F12" s="16">
        <f>IFERROR(D12*1000000/C12,0)</f>
        <v/>
      </c>
      <c r="G12" s="17">
        <f>IFERROR(E12*1000/C12,0)</f>
        <v/>
      </c>
      <c r="H12" s="4" t="n">
        <v>1</v>
      </c>
      <c r="I12" s="4" t="n">
        <v>1</v>
      </c>
      <c r="J12" s="16">
        <f>IF(D12=0,"",IFERROR(I12/D12,0))</f>
        <v/>
      </c>
      <c r="K12" s="4" t="n">
        <v>0</v>
      </c>
      <c r="L12" s="16">
        <f>F12-K12</f>
        <v/>
      </c>
      <c r="M12" s="4">
        <f>IF(L12&gt;0,"Hausse",IF(L12&lt;0,"Baisse","Stable"))</f>
        <v/>
      </c>
    </row>
    <row r="13">
      <c r="A13" s="7" t="inlineStr">
        <is>
          <t>Finance &amp; Comptabilité</t>
        </is>
      </c>
      <c r="B13" s="7" t="n">
        <v>10</v>
      </c>
      <c r="C13" s="8" t="n">
        <v>20800</v>
      </c>
      <c r="D13" s="7" t="n">
        <v>0</v>
      </c>
      <c r="E13" s="7" t="n">
        <v>0</v>
      </c>
      <c r="F13" s="18">
        <f>IFERROR(D13*1000000/C13,0)</f>
        <v/>
      </c>
      <c r="G13" s="19">
        <f>IFERROR(E13*1000/C13,0)</f>
        <v/>
      </c>
      <c r="H13" s="7" t="n">
        <v>0</v>
      </c>
      <c r="I13" s="7" t="n">
        <v>2</v>
      </c>
      <c r="J13" s="18">
        <f>IF(D13=0,"",IFERROR(I13/D13,0))</f>
        <v/>
      </c>
      <c r="K13" s="7" t="n">
        <v>0</v>
      </c>
      <c r="L13" s="18">
        <f>F13-K13</f>
        <v/>
      </c>
      <c r="M13" s="7">
        <f>IF(L13&gt;0,"Hausse",IF(L13&lt;0,"Baisse","Stable"))</f>
        <v/>
      </c>
    </row>
    <row r="14">
      <c r="A14" s="4" t="inlineStr">
        <is>
          <t>Marketing &amp; Communication</t>
        </is>
      </c>
      <c r="B14" s="4" t="n">
        <v>8</v>
      </c>
      <c r="C14" s="5" t="n">
        <v>16640</v>
      </c>
      <c r="D14" s="4" t="n">
        <v>0</v>
      </c>
      <c r="E14" s="4" t="n">
        <v>0</v>
      </c>
      <c r="F14" s="16">
        <f>IFERROR(D14*1000000/C14,0)</f>
        <v/>
      </c>
      <c r="G14" s="17">
        <f>IFERROR(E14*1000/C14,0)</f>
        <v/>
      </c>
      <c r="H14" s="4" t="n">
        <v>1</v>
      </c>
      <c r="I14" s="4" t="n">
        <v>1</v>
      </c>
      <c r="J14" s="16">
        <f>IF(D14=0,"",IFERROR(I14/D14,0))</f>
        <v/>
      </c>
      <c r="K14" s="4" t="n">
        <v>0</v>
      </c>
      <c r="L14" s="16">
        <f>F14-K14</f>
        <v/>
      </c>
      <c r="M14" s="4">
        <f>IF(L14&gt;0,"Hausse",IF(L14&lt;0,"Baisse","Stable"))</f>
        <v/>
      </c>
    </row>
    <row r="15">
      <c r="A15" s="7" t="inlineStr">
        <is>
          <t>Revenue Management</t>
        </is>
      </c>
      <c r="B15" s="7" t="n">
        <v>6</v>
      </c>
      <c r="C15" s="8" t="n">
        <v>12480</v>
      </c>
      <c r="D15" s="7" t="n">
        <v>0</v>
      </c>
      <c r="E15" s="7" t="n">
        <v>0</v>
      </c>
      <c r="F15" s="18">
        <f>IFERROR(D15*1000000/C15,0)</f>
        <v/>
      </c>
      <c r="G15" s="19">
        <f>IFERROR(E15*1000/C15,0)</f>
        <v/>
      </c>
      <c r="H15" s="7" t="n">
        <v>0</v>
      </c>
      <c r="I15" s="7" t="n">
        <v>0</v>
      </c>
      <c r="J15" s="18">
        <f>IF(D15=0,"",IFERROR(I15/D15,0))</f>
        <v/>
      </c>
      <c r="K15" s="7" t="n">
        <v>0</v>
      </c>
      <c r="L15" s="18">
        <f>F15-K15</f>
        <v/>
      </c>
      <c r="M15" s="7">
        <f>IF(L15&gt;0,"Hausse",IF(L15&lt;0,"Baisse","Stable"))</f>
        <v/>
      </c>
    </row>
    <row r="16">
      <c r="A16" s="4" t="n"/>
      <c r="B16" s="4" t="n"/>
      <c r="C16" s="5" t="n"/>
      <c r="D16" s="4" t="n"/>
      <c r="E16" s="4" t="n"/>
      <c r="F16" s="16">
        <f>IF(C16="","",IFERROR(D16*1000000/C16,0))</f>
        <v/>
      </c>
      <c r="G16" s="17">
        <f>IF(C16="","",IFERROR(E16*1000/C16,0))</f>
        <v/>
      </c>
      <c r="H16" s="4" t="n"/>
      <c r="I16" s="4" t="n"/>
      <c r="J16" s="16">
        <f>IF(D16="","",IFERROR(I16/D16,0))</f>
        <v/>
      </c>
      <c r="K16" s="4" t="n"/>
      <c r="L16" s="16">
        <f>IF(F16="","",F16-K16)</f>
        <v/>
      </c>
      <c r="M16" s="4">
        <f>IF(L16="","",IF(L16&gt;0,"Hausse",IF(L16&lt;0,"Baisse","Stable")))</f>
        <v/>
      </c>
    </row>
    <row r="17">
      <c r="A17" s="7" t="n"/>
      <c r="B17" s="7" t="n"/>
      <c r="C17" s="8" t="n"/>
      <c r="D17" s="7" t="n"/>
      <c r="E17" s="7" t="n"/>
      <c r="F17" s="18">
        <f>IF(C17="","",IFERROR(D17*1000000/C17,0))</f>
        <v/>
      </c>
      <c r="G17" s="19">
        <f>IF(C17="","",IFERROR(E17*1000/C17,0))</f>
        <v/>
      </c>
      <c r="H17" s="7" t="n"/>
      <c r="I17" s="7" t="n"/>
      <c r="J17" s="18">
        <f>IF(D17="","",IFERROR(I17/D17,0))</f>
        <v/>
      </c>
      <c r="K17" s="7" t="n"/>
      <c r="L17" s="18">
        <f>IF(F17="","",F17-K17)</f>
        <v/>
      </c>
      <c r="M17" s="7">
        <f>IF(L17="","",IF(L17&gt;0,"Hausse",IF(L17&lt;0,"Baisse","Stable")))</f>
        <v/>
      </c>
    </row>
    <row r="18">
      <c r="A18" s="4" t="n"/>
      <c r="B18" s="4" t="n"/>
      <c r="C18" s="5" t="n"/>
      <c r="D18" s="4" t="n"/>
      <c r="E18" s="4" t="n"/>
      <c r="F18" s="16">
        <f>IF(C18="","",IFERROR(D18*1000000/C18,0))</f>
        <v/>
      </c>
      <c r="G18" s="17">
        <f>IF(C18="","",IFERROR(E18*1000/C18,0))</f>
        <v/>
      </c>
      <c r="H18" s="4" t="n"/>
      <c r="I18" s="4" t="n"/>
      <c r="J18" s="16">
        <f>IF(D18="","",IFERROR(I18/D18,0))</f>
        <v/>
      </c>
      <c r="K18" s="4" t="n"/>
      <c r="L18" s="16">
        <f>IF(F18="","",F18-K18)</f>
        <v/>
      </c>
      <c r="M18" s="4">
        <f>IF(L18="","",IF(L18&gt;0,"Hausse",IF(L18&lt;0,"Baisse","Stable")))</f>
        <v/>
      </c>
    </row>
    <row r="19">
      <c r="A19" s="7" t="n"/>
      <c r="B19" s="7" t="n"/>
      <c r="C19" s="8" t="n"/>
      <c r="D19" s="7" t="n"/>
      <c r="E19" s="7" t="n"/>
      <c r="F19" s="18">
        <f>IF(C19="","",IFERROR(D19*1000000/C19,0))</f>
        <v/>
      </c>
      <c r="G19" s="19">
        <f>IF(C19="","",IFERROR(E19*1000/C19,0))</f>
        <v/>
      </c>
      <c r="H19" s="7" t="n"/>
      <c r="I19" s="7" t="n"/>
      <c r="J19" s="18">
        <f>IF(D19="","",IFERROR(I19/D19,0))</f>
        <v/>
      </c>
      <c r="K19" s="7" t="n"/>
      <c r="L19" s="18">
        <f>IF(F19="","",F19-K19)</f>
        <v/>
      </c>
      <c r="M19" s="7">
        <f>IF(L19="","",IF(L19&gt;0,"Hausse",IF(L19&lt;0,"Baisse","Stable")))</f>
        <v/>
      </c>
    </row>
    <row r="20">
      <c r="A20" s="4" t="n"/>
      <c r="B20" s="4" t="n"/>
      <c r="C20" s="5" t="n"/>
      <c r="D20" s="4" t="n"/>
      <c r="E20" s="4" t="n"/>
      <c r="F20" s="16">
        <f>IF(C20="","",IFERROR(D20*1000000/C20,0))</f>
        <v/>
      </c>
      <c r="G20" s="17">
        <f>IF(C20="","",IFERROR(E20*1000/C20,0))</f>
        <v/>
      </c>
      <c r="H20" s="4" t="n"/>
      <c r="I20" s="4" t="n"/>
      <c r="J20" s="16">
        <f>IF(D20="","",IFERROR(I20/D20,0))</f>
        <v/>
      </c>
      <c r="K20" s="4" t="n"/>
      <c r="L20" s="16">
        <f>IF(F20="","",F20-K20)</f>
        <v/>
      </c>
      <c r="M20" s="4">
        <f>IF(L20="","",IF(L20&gt;0,"Hausse",IF(L20&lt;0,"Baisse","Stable")))</f>
        <v/>
      </c>
    </row>
    <row r="21">
      <c r="A21" s="7" t="n"/>
      <c r="B21" s="7" t="n"/>
      <c r="C21" s="8" t="n"/>
      <c r="D21" s="7" t="n"/>
      <c r="E21" s="7" t="n"/>
      <c r="F21" s="18">
        <f>IF(C21="","",IFERROR(D21*1000000/C21,0))</f>
        <v/>
      </c>
      <c r="G21" s="19">
        <f>IF(C21="","",IFERROR(E21*1000/C21,0))</f>
        <v/>
      </c>
      <c r="H21" s="7" t="n"/>
      <c r="I21" s="7" t="n"/>
      <c r="J21" s="18">
        <f>IF(D21="","",IFERROR(I21/D21,0))</f>
        <v/>
      </c>
      <c r="K21" s="7" t="n"/>
      <c r="L21" s="18">
        <f>IF(F21="","",F21-K21)</f>
        <v/>
      </c>
      <c r="M21" s="7">
        <f>IF(L21="","",IF(L21&gt;0,"Hausse",IF(L21&lt;0,"Baisse","Stable")))</f>
        <v/>
      </c>
    </row>
    <row r="22">
      <c r="A22" s="4" t="n"/>
      <c r="B22" s="4" t="n"/>
      <c r="C22" s="5" t="n"/>
      <c r="D22" s="4" t="n"/>
      <c r="E22" s="4" t="n"/>
      <c r="F22" s="16">
        <f>IF(C22="","",IFERROR(D22*1000000/C22,0))</f>
        <v/>
      </c>
      <c r="G22" s="17">
        <f>IF(C22="","",IFERROR(E22*1000/C22,0))</f>
        <v/>
      </c>
      <c r="H22" s="4" t="n"/>
      <c r="I22" s="4" t="n"/>
      <c r="J22" s="16">
        <f>IF(D22="","",IFERROR(I22/D22,0))</f>
        <v/>
      </c>
      <c r="K22" s="4" t="n"/>
      <c r="L22" s="16">
        <f>IF(F22="","",F22-K22)</f>
        <v/>
      </c>
      <c r="M22" s="4">
        <f>IF(L22="","",IF(L22&gt;0,"Hausse",IF(L22&lt;0,"Baisse","Stable")))</f>
        <v/>
      </c>
    </row>
    <row r="23">
      <c r="A23" s="7" t="n"/>
      <c r="B23" s="7" t="n"/>
      <c r="C23" s="8" t="n"/>
      <c r="D23" s="7" t="n"/>
      <c r="E23" s="7" t="n"/>
      <c r="F23" s="18">
        <f>IF(C23="","",IFERROR(D23*1000000/C23,0))</f>
        <v/>
      </c>
      <c r="G23" s="19">
        <f>IF(C23="","",IFERROR(E23*1000/C23,0))</f>
        <v/>
      </c>
      <c r="H23" s="7" t="n"/>
      <c r="I23" s="7" t="n"/>
      <c r="J23" s="18">
        <f>IF(D23="","",IFERROR(I23/D23,0))</f>
        <v/>
      </c>
      <c r="K23" s="7" t="n"/>
      <c r="L23" s="18">
        <f>IF(F23="","",F23-K23)</f>
        <v/>
      </c>
      <c r="M23" s="7">
        <f>IF(L23="","",IF(L23&gt;0,"Hausse",IF(L23&lt;0,"Baisse","Stable")))</f>
        <v/>
      </c>
    </row>
    <row r="24">
      <c r="A24" s="4" t="n"/>
      <c r="B24" s="4" t="n"/>
      <c r="C24" s="5" t="n"/>
      <c r="D24" s="4" t="n"/>
      <c r="E24" s="4" t="n"/>
      <c r="F24" s="16">
        <f>IF(C24="","",IFERROR(D24*1000000/C24,0))</f>
        <v/>
      </c>
      <c r="G24" s="17">
        <f>IF(C24="","",IFERROR(E24*1000/C24,0))</f>
        <v/>
      </c>
      <c r="H24" s="4" t="n"/>
      <c r="I24" s="4" t="n"/>
      <c r="J24" s="16">
        <f>IF(D24="","",IFERROR(I24/D24,0))</f>
        <v/>
      </c>
      <c r="K24" s="4" t="n"/>
      <c r="L24" s="16">
        <f>IF(F24="","",F24-K24)</f>
        <v/>
      </c>
      <c r="M24" s="4">
        <f>IF(L24="","",IF(L24&gt;0,"Hausse",IF(L24&lt;0,"Baisse","Stable")))</f>
        <v/>
      </c>
    </row>
    <row r="25">
      <c r="A25" s="7" t="n"/>
      <c r="B25" s="7" t="n"/>
      <c r="C25" s="8" t="n"/>
      <c r="D25" s="7" t="n"/>
      <c r="E25" s="7" t="n"/>
      <c r="F25" s="18">
        <f>IF(C25="","",IFERROR(D25*1000000/C25,0))</f>
        <v/>
      </c>
      <c r="G25" s="19">
        <f>IF(C25="","",IFERROR(E25*1000/C25,0))</f>
        <v/>
      </c>
      <c r="H25" s="7" t="n"/>
      <c r="I25" s="7" t="n"/>
      <c r="J25" s="18">
        <f>IF(D25="","",IFERROR(I25/D25,0))</f>
        <v/>
      </c>
      <c r="K25" s="7" t="n"/>
      <c r="L25" s="18">
        <f>IF(F25="","",F25-K25)</f>
        <v/>
      </c>
      <c r="M25" s="7">
        <f>IF(L25="","",IF(L25&gt;0,"Hausse",IF(L25&lt;0,"Baisse","Stable")))</f>
        <v/>
      </c>
    </row>
    <row r="26">
      <c r="A26" s="4" t="n"/>
      <c r="B26" s="4" t="n"/>
      <c r="C26" s="5" t="n"/>
      <c r="D26" s="4" t="n"/>
      <c r="E26" s="4" t="n"/>
      <c r="F26" s="16">
        <f>IF(C26="","",IFERROR(D26*1000000/C26,0))</f>
        <v/>
      </c>
      <c r="G26" s="17">
        <f>IF(C26="","",IFERROR(E26*1000/C26,0))</f>
        <v/>
      </c>
      <c r="H26" s="4" t="n"/>
      <c r="I26" s="4" t="n"/>
      <c r="J26" s="16">
        <f>IF(D26="","",IFERROR(I26/D26,0))</f>
        <v/>
      </c>
      <c r="K26" s="4" t="n"/>
      <c r="L26" s="16">
        <f>IF(F26="","",F26-K26)</f>
        <v/>
      </c>
      <c r="M26" s="4">
        <f>IF(L26="","",IF(L26&gt;0,"Hausse",IF(L26&lt;0,"Baisse","Stable")))</f>
        <v/>
      </c>
    </row>
    <row r="27">
      <c r="A27" s="7" t="n"/>
      <c r="B27" s="7" t="n"/>
      <c r="C27" s="8" t="n"/>
      <c r="D27" s="7" t="n"/>
      <c r="E27" s="7" t="n"/>
      <c r="F27" s="18">
        <f>IF(C27="","",IFERROR(D27*1000000/C27,0))</f>
        <v/>
      </c>
      <c r="G27" s="19">
        <f>IF(C27="","",IFERROR(E27*1000/C27,0))</f>
        <v/>
      </c>
      <c r="H27" s="7" t="n"/>
      <c r="I27" s="7" t="n"/>
      <c r="J27" s="18">
        <f>IF(D27="","",IFERROR(I27/D27,0))</f>
        <v/>
      </c>
      <c r="K27" s="7" t="n"/>
      <c r="L27" s="18">
        <f>IF(F27="","",F27-K27)</f>
        <v/>
      </c>
      <c r="M27" s="7">
        <f>IF(L27="","",IF(L27&gt;0,"Hausse",IF(L27&lt;0,"Baisse","Stable")))</f>
        <v/>
      </c>
    </row>
    <row r="28">
      <c r="A28" s="4" t="n"/>
      <c r="B28" s="4" t="n"/>
      <c r="C28" s="5" t="n"/>
      <c r="D28" s="4" t="n"/>
      <c r="E28" s="4" t="n"/>
      <c r="F28" s="16">
        <f>IF(C28="","",IFERROR(D28*1000000/C28,0))</f>
        <v/>
      </c>
      <c r="G28" s="17">
        <f>IF(C28="","",IFERROR(E28*1000/C28,0))</f>
        <v/>
      </c>
      <c r="H28" s="4" t="n"/>
      <c r="I28" s="4" t="n"/>
      <c r="J28" s="16">
        <f>IF(D28="","",IFERROR(I28/D28,0))</f>
        <v/>
      </c>
      <c r="K28" s="4" t="n"/>
      <c r="L28" s="16">
        <f>IF(F28="","",F28-K28)</f>
        <v/>
      </c>
      <c r="M28" s="4">
        <f>IF(L28="","",IF(L28&gt;0,"Hausse",IF(L28&lt;0,"Baisse","Stable")))</f>
        <v/>
      </c>
    </row>
    <row r="29">
      <c r="A29" s="7" t="n"/>
      <c r="B29" s="7" t="n"/>
      <c r="C29" s="8" t="n"/>
      <c r="D29" s="7" t="n"/>
      <c r="E29" s="7" t="n"/>
      <c r="F29" s="18">
        <f>IF(C29="","",IFERROR(D29*1000000/C29,0))</f>
        <v/>
      </c>
      <c r="G29" s="19">
        <f>IF(C29="","",IFERROR(E29*1000/C29,0))</f>
        <v/>
      </c>
      <c r="H29" s="7" t="n"/>
      <c r="I29" s="7" t="n"/>
      <c r="J29" s="18">
        <f>IF(D29="","",IFERROR(I29/D29,0))</f>
        <v/>
      </c>
      <c r="K29" s="7" t="n"/>
      <c r="L29" s="18">
        <f>IF(F29="","",F29-K29)</f>
        <v/>
      </c>
      <c r="M29" s="7">
        <f>IF(L29="","",IF(L29&gt;0,"Hausse",IF(L29&lt;0,"Baisse","Stable")))</f>
        <v/>
      </c>
    </row>
    <row r="30">
      <c r="A30" s="4" t="n"/>
      <c r="B30" s="4" t="n"/>
      <c r="C30" s="5" t="n"/>
      <c r="D30" s="4" t="n"/>
      <c r="E30" s="4" t="n"/>
      <c r="F30" s="16">
        <f>IF(C30="","",IFERROR(D30*1000000/C30,0))</f>
        <v/>
      </c>
      <c r="G30" s="17">
        <f>IF(C30="","",IFERROR(E30*1000/C30,0))</f>
        <v/>
      </c>
      <c r="H30" s="4" t="n"/>
      <c r="I30" s="4" t="n"/>
      <c r="J30" s="16">
        <f>IF(D30="","",IFERROR(I30/D30,0))</f>
        <v/>
      </c>
      <c r="K30" s="4" t="n"/>
      <c r="L30" s="16">
        <f>IF(F30="","",F30-K30)</f>
        <v/>
      </c>
      <c r="M30" s="4">
        <f>IF(L30="","",IF(L30&gt;0,"Hausse",IF(L30&lt;0,"Baisse","Stable")))</f>
        <v/>
      </c>
    </row>
    <row r="31">
      <c r="A31" s="7" t="n"/>
      <c r="B31" s="7" t="n"/>
      <c r="C31" s="8" t="n"/>
      <c r="D31" s="7" t="n"/>
      <c r="E31" s="7" t="n"/>
      <c r="F31" s="18">
        <f>IF(C31="","",IFERROR(D31*1000000/C31,0))</f>
        <v/>
      </c>
      <c r="G31" s="19">
        <f>IF(C31="","",IFERROR(E31*1000/C31,0))</f>
        <v/>
      </c>
      <c r="H31" s="7" t="n"/>
      <c r="I31" s="7" t="n"/>
      <c r="J31" s="18">
        <f>IF(D31="","",IFERROR(I31/D31,0))</f>
        <v/>
      </c>
      <c r="K31" s="7" t="n"/>
      <c r="L31" s="18">
        <f>IF(F31="","",F31-K31)</f>
        <v/>
      </c>
      <c r="M31" s="7">
        <f>IF(L31="","",IF(L31&gt;0,"Hausse",IF(L31&lt;0,"Baisse","Stable")))</f>
        <v/>
      </c>
    </row>
    <row r="32">
      <c r="A32" s="4" t="n"/>
      <c r="B32" s="4" t="n"/>
      <c r="C32" s="5" t="n"/>
      <c r="D32" s="4" t="n"/>
      <c r="E32" s="4" t="n"/>
      <c r="F32" s="16">
        <f>IF(C32="","",IFERROR(D32*1000000/C32,0))</f>
        <v/>
      </c>
      <c r="G32" s="17">
        <f>IF(C32="","",IFERROR(E32*1000/C32,0))</f>
        <v/>
      </c>
      <c r="H32" s="4" t="n"/>
      <c r="I32" s="4" t="n"/>
      <c r="J32" s="16">
        <f>IF(D32="","",IFERROR(I32/D32,0))</f>
        <v/>
      </c>
      <c r="K32" s="4" t="n"/>
      <c r="L32" s="16">
        <f>IF(F32="","",F32-K32)</f>
        <v/>
      </c>
      <c r="M32" s="4">
        <f>IF(L32="","",IF(L32&gt;0,"Hausse",IF(L32&lt;0,"Baisse","Stable")))</f>
        <v/>
      </c>
    </row>
    <row r="33">
      <c r="A33" s="7" t="n"/>
      <c r="B33" s="7" t="n"/>
      <c r="C33" s="8" t="n"/>
      <c r="D33" s="7" t="n"/>
      <c r="E33" s="7" t="n"/>
      <c r="F33" s="18">
        <f>IF(C33="","",IFERROR(D33*1000000/C33,0))</f>
        <v/>
      </c>
      <c r="G33" s="19">
        <f>IF(C33="","",IFERROR(E33*1000/C33,0))</f>
        <v/>
      </c>
      <c r="H33" s="7" t="n"/>
      <c r="I33" s="7" t="n"/>
      <c r="J33" s="18">
        <f>IF(D33="","",IFERROR(I33/D33,0))</f>
        <v/>
      </c>
      <c r="K33" s="7" t="n"/>
      <c r="L33" s="18">
        <f>IF(F33="","",F33-K33)</f>
        <v/>
      </c>
      <c r="M33" s="7">
        <f>IF(L33="","",IF(L33&gt;0,"Hausse",IF(L33&lt;0,"Baisse","Stable")))</f>
        <v/>
      </c>
    </row>
    <row r="34">
      <c r="A34" s="4" t="n"/>
      <c r="B34" s="4" t="n"/>
      <c r="C34" s="5" t="n"/>
      <c r="D34" s="4" t="n"/>
      <c r="E34" s="4" t="n"/>
      <c r="F34" s="16">
        <f>IF(C34="","",IFERROR(D34*1000000/C34,0))</f>
        <v/>
      </c>
      <c r="G34" s="17">
        <f>IF(C34="","",IFERROR(E34*1000/C34,0))</f>
        <v/>
      </c>
      <c r="H34" s="4" t="n"/>
      <c r="I34" s="4" t="n"/>
      <c r="J34" s="16">
        <f>IF(D34="","",IFERROR(I34/D34,0))</f>
        <v/>
      </c>
      <c r="K34" s="4" t="n"/>
      <c r="L34" s="16">
        <f>IF(F34="","",F34-K34)</f>
        <v/>
      </c>
      <c r="M34" s="4">
        <f>IF(L34="","",IF(L34&gt;0,"Hausse",IF(L34&lt;0,"Baisse","Stable")))</f>
        <v/>
      </c>
    </row>
    <row r="35">
      <c r="A35" s="7" t="n"/>
      <c r="B35" s="7" t="n"/>
      <c r="C35" s="8" t="n"/>
      <c r="D35" s="7" t="n"/>
      <c r="E35" s="7" t="n"/>
      <c r="F35" s="18">
        <f>IF(C35="","",IFERROR(D35*1000000/C35,0))</f>
        <v/>
      </c>
      <c r="G35" s="19">
        <f>IF(C35="","",IFERROR(E35*1000/C35,0))</f>
        <v/>
      </c>
      <c r="H35" s="7" t="n"/>
      <c r="I35" s="7" t="n"/>
      <c r="J35" s="18">
        <f>IF(D35="","",IFERROR(I35/D35,0))</f>
        <v/>
      </c>
      <c r="K35" s="7" t="n"/>
      <c r="L35" s="18">
        <f>IF(F35="","",F35-K35)</f>
        <v/>
      </c>
      <c r="M35" s="7">
        <f>IF(L35="","",IF(L35&gt;0,"Hausse",IF(L35&lt;0,"Baisse","Stable")))</f>
        <v/>
      </c>
    </row>
    <row r="36">
      <c r="A36" s="4" t="n"/>
      <c r="B36" s="4" t="n"/>
      <c r="C36" s="5" t="n"/>
      <c r="D36" s="4" t="n"/>
      <c r="E36" s="4" t="n"/>
      <c r="F36" s="16">
        <f>IF(C36="","",IFERROR(D36*1000000/C36,0))</f>
        <v/>
      </c>
      <c r="G36" s="17">
        <f>IF(C36="","",IFERROR(E36*1000/C36,0))</f>
        <v/>
      </c>
      <c r="H36" s="4" t="n"/>
      <c r="I36" s="4" t="n"/>
      <c r="J36" s="16">
        <f>IF(D36="","",IFERROR(I36/D36,0))</f>
        <v/>
      </c>
      <c r="K36" s="4" t="n"/>
      <c r="L36" s="16">
        <f>IF(F36="","",F36-K36)</f>
        <v/>
      </c>
      <c r="M36" s="4">
        <f>IF(L36="","",IF(L36&gt;0,"Hausse",IF(L36&lt;0,"Baisse","Stable")))</f>
        <v/>
      </c>
    </row>
    <row r="37">
      <c r="A37" s="7" t="n"/>
      <c r="B37" s="7" t="n"/>
      <c r="C37" s="8" t="n"/>
      <c r="D37" s="7" t="n"/>
      <c r="E37" s="7" t="n"/>
      <c r="F37" s="18">
        <f>IF(C37="","",IFERROR(D37*1000000/C37,0))</f>
        <v/>
      </c>
      <c r="G37" s="19">
        <f>IF(C37="","",IFERROR(E37*1000/C37,0))</f>
        <v/>
      </c>
      <c r="H37" s="7" t="n"/>
      <c r="I37" s="7" t="n"/>
      <c r="J37" s="18">
        <f>IF(D37="","",IFERROR(I37/D37,0))</f>
        <v/>
      </c>
      <c r="K37" s="7" t="n"/>
      <c r="L37" s="18">
        <f>IF(F37="","",F37-K37)</f>
        <v/>
      </c>
      <c r="M37" s="7">
        <f>IF(L37="","",IF(L37&gt;0,"Hausse",IF(L37&lt;0,"Baisse","Stable")))</f>
        <v/>
      </c>
    </row>
    <row r="38">
      <c r="A38" s="4" t="n"/>
      <c r="B38" s="4" t="n"/>
      <c r="C38" s="5" t="n"/>
      <c r="D38" s="4" t="n"/>
      <c r="E38" s="4" t="n"/>
      <c r="F38" s="16">
        <f>IF(C38="","",IFERROR(D38*1000000/C38,0))</f>
        <v/>
      </c>
      <c r="G38" s="17">
        <f>IF(C38="","",IFERROR(E38*1000/C38,0))</f>
        <v/>
      </c>
      <c r="H38" s="4" t="n"/>
      <c r="I38" s="4" t="n"/>
      <c r="J38" s="16">
        <f>IF(D38="","",IFERROR(I38/D38,0))</f>
        <v/>
      </c>
      <c r="K38" s="4" t="n"/>
      <c r="L38" s="16">
        <f>IF(F38="","",F38-K38)</f>
        <v/>
      </c>
      <c r="M38" s="4">
        <f>IF(L38="","",IF(L38&gt;0,"Hausse",IF(L38&lt;0,"Baisse","Stable")))</f>
        <v/>
      </c>
    </row>
    <row r="39">
      <c r="A39" s="7" t="n"/>
      <c r="B39" s="7" t="n"/>
      <c r="C39" s="8" t="n"/>
      <c r="D39" s="7" t="n"/>
      <c r="E39" s="7" t="n"/>
      <c r="F39" s="18">
        <f>IF(C39="","",IFERROR(D39*1000000/C39,0))</f>
        <v/>
      </c>
      <c r="G39" s="19">
        <f>IF(C39="","",IFERROR(E39*1000/C39,0))</f>
        <v/>
      </c>
      <c r="H39" s="7" t="n"/>
      <c r="I39" s="7" t="n"/>
      <c r="J39" s="18">
        <f>IF(D39="","",IFERROR(I39/D39,0))</f>
        <v/>
      </c>
      <c r="K39" s="7" t="n"/>
      <c r="L39" s="18">
        <f>IF(F39="","",F39-K39)</f>
        <v/>
      </c>
      <c r="M39" s="7">
        <f>IF(L39="","",IF(L39&gt;0,"Hausse",IF(L39&lt;0,"Baisse","Stable")))</f>
        <v/>
      </c>
    </row>
    <row r="40">
      <c r="A40" s="4" t="n"/>
      <c r="B40" s="4" t="n"/>
      <c r="C40" s="5" t="n"/>
      <c r="D40" s="4" t="n"/>
      <c r="E40" s="4" t="n"/>
      <c r="F40" s="16">
        <f>IF(C40="","",IFERROR(D40*1000000/C40,0))</f>
        <v/>
      </c>
      <c r="G40" s="17">
        <f>IF(C40="","",IFERROR(E40*1000/C40,0))</f>
        <v/>
      </c>
      <c r="H40" s="4" t="n"/>
      <c r="I40" s="4" t="n"/>
      <c r="J40" s="16">
        <f>IF(D40="","",IFERROR(I40/D40,0))</f>
        <v/>
      </c>
      <c r="K40" s="4" t="n"/>
      <c r="L40" s="16">
        <f>IF(F40="","",F40-K40)</f>
        <v/>
      </c>
      <c r="M40" s="4">
        <f>IF(L40="","",IF(L40&gt;0,"Hausse",IF(L40&lt;0,"Baisse","Stable")))</f>
        <v/>
      </c>
    </row>
    <row r="41">
      <c r="A41" s="7" t="n"/>
      <c r="B41" s="7" t="n"/>
      <c r="C41" s="8" t="n"/>
      <c r="D41" s="7" t="n"/>
      <c r="E41" s="7" t="n"/>
      <c r="F41" s="18">
        <f>IF(C41="","",IFERROR(D41*1000000/C41,0))</f>
        <v/>
      </c>
      <c r="G41" s="19">
        <f>IF(C41="","",IFERROR(E41*1000/C41,0))</f>
        <v/>
      </c>
      <c r="H41" s="7" t="n"/>
      <c r="I41" s="7" t="n"/>
      <c r="J41" s="18">
        <f>IF(D41="","",IFERROR(I41/D41,0))</f>
        <v/>
      </c>
      <c r="K41" s="7" t="n"/>
      <c r="L41" s="18">
        <f>IF(F41="","",F41-K41)</f>
        <v/>
      </c>
      <c r="M41" s="7">
        <f>IF(L41="","",IF(L41&gt;0,"Hausse",IF(L41&lt;0,"Baisse","Stable")))</f>
        <v/>
      </c>
    </row>
    <row r="42">
      <c r="A42" s="4" t="n"/>
      <c r="B42" s="4" t="n"/>
      <c r="C42" s="5" t="n"/>
      <c r="D42" s="4" t="n"/>
      <c r="E42" s="4" t="n"/>
      <c r="F42" s="16">
        <f>IF(C42="","",IFERROR(D42*1000000/C42,0))</f>
        <v/>
      </c>
      <c r="G42" s="17">
        <f>IF(C42="","",IFERROR(E42*1000/C42,0))</f>
        <v/>
      </c>
      <c r="H42" s="4" t="n"/>
      <c r="I42" s="4" t="n"/>
      <c r="J42" s="16">
        <f>IF(D42="","",IFERROR(I42/D42,0))</f>
        <v/>
      </c>
      <c r="K42" s="4" t="n"/>
      <c r="L42" s="16">
        <f>IF(F42="","",F42-K42)</f>
        <v/>
      </c>
      <c r="M42" s="4">
        <f>IF(L42="","",IF(L42&gt;0,"Hausse",IF(L42&lt;0,"Baisse","Stable")))</f>
        <v/>
      </c>
    </row>
    <row r="43">
      <c r="A43" s="7" t="n"/>
      <c r="B43" s="7" t="n"/>
      <c r="C43" s="8" t="n"/>
      <c r="D43" s="7" t="n"/>
      <c r="E43" s="7" t="n"/>
      <c r="F43" s="18">
        <f>IF(C43="","",IFERROR(D43*1000000/C43,0))</f>
        <v/>
      </c>
      <c r="G43" s="19">
        <f>IF(C43="","",IFERROR(E43*1000/C43,0))</f>
        <v/>
      </c>
      <c r="H43" s="7" t="n"/>
      <c r="I43" s="7" t="n"/>
      <c r="J43" s="18">
        <f>IF(D43="","",IFERROR(I43/D43,0))</f>
        <v/>
      </c>
      <c r="K43" s="7" t="n"/>
      <c r="L43" s="18">
        <f>IF(F43="","",F43-K43)</f>
        <v/>
      </c>
      <c r="M43" s="7">
        <f>IF(L43="","",IF(L43&gt;0,"Hausse",IF(L43&lt;0,"Baisse","Stable")))</f>
        <v/>
      </c>
    </row>
    <row r="44">
      <c r="A44" s="4" t="n"/>
      <c r="B44" s="4" t="n"/>
      <c r="C44" s="5" t="n"/>
      <c r="D44" s="4" t="n"/>
      <c r="E44" s="4" t="n"/>
      <c r="F44" s="16">
        <f>IF(C44="","",IFERROR(D44*1000000/C44,0))</f>
        <v/>
      </c>
      <c r="G44" s="17">
        <f>IF(C44="","",IFERROR(E44*1000/C44,0))</f>
        <v/>
      </c>
      <c r="H44" s="4" t="n"/>
      <c r="I44" s="4" t="n"/>
      <c r="J44" s="16">
        <f>IF(D44="","",IFERROR(I44/D44,0))</f>
        <v/>
      </c>
      <c r="K44" s="4" t="n"/>
      <c r="L44" s="16">
        <f>IF(F44="","",F44-K44)</f>
        <v/>
      </c>
      <c r="M44" s="4">
        <f>IF(L44="","",IF(L44&gt;0,"Hausse",IF(L44&lt;0,"Baisse","Stable")))</f>
        <v/>
      </c>
    </row>
    <row r="45">
      <c r="A45" s="7" t="n"/>
      <c r="B45" s="7" t="n"/>
      <c r="C45" s="8" t="n"/>
      <c r="D45" s="7" t="n"/>
      <c r="E45" s="7" t="n"/>
      <c r="F45" s="18">
        <f>IF(C45="","",IFERROR(D45*1000000/C45,0))</f>
        <v/>
      </c>
      <c r="G45" s="19">
        <f>IF(C45="","",IFERROR(E45*1000/C45,0))</f>
        <v/>
      </c>
      <c r="H45" s="7" t="n"/>
      <c r="I45" s="7" t="n"/>
      <c r="J45" s="18">
        <f>IF(D45="","",IFERROR(I45/D45,0))</f>
        <v/>
      </c>
      <c r="K45" s="7" t="n"/>
      <c r="L45" s="18">
        <f>IF(F45="","",F45-K45)</f>
        <v/>
      </c>
      <c r="M45" s="7">
        <f>IF(L45="","",IF(L45&gt;0,"Hausse",IF(L45&lt;0,"Baisse","Stable")))</f>
        <v/>
      </c>
    </row>
    <row r="46">
      <c r="A46" s="4" t="n"/>
      <c r="B46" s="4" t="n"/>
      <c r="C46" s="5" t="n"/>
      <c r="D46" s="4" t="n"/>
      <c r="E46" s="4" t="n"/>
      <c r="F46" s="16">
        <f>IF(C46="","",IFERROR(D46*1000000/C46,0))</f>
        <v/>
      </c>
      <c r="G46" s="17">
        <f>IF(C46="","",IFERROR(E46*1000/C46,0))</f>
        <v/>
      </c>
      <c r="H46" s="4" t="n"/>
      <c r="I46" s="4" t="n"/>
      <c r="J46" s="16">
        <f>IF(D46="","",IFERROR(I46/D46,0))</f>
        <v/>
      </c>
      <c r="K46" s="4" t="n"/>
      <c r="L46" s="16">
        <f>IF(F46="","",F46-K46)</f>
        <v/>
      </c>
      <c r="M46" s="4">
        <f>IF(L46="","",IF(L46&gt;0,"Hausse",IF(L46&lt;0,"Baisse","Stable")))</f>
        <v/>
      </c>
    </row>
    <row r="47">
      <c r="A47" s="7" t="n"/>
      <c r="B47" s="7" t="n"/>
      <c r="C47" s="8" t="n"/>
      <c r="D47" s="7" t="n"/>
      <c r="E47" s="7" t="n"/>
      <c r="F47" s="18">
        <f>IF(C47="","",IFERROR(D47*1000000/C47,0))</f>
        <v/>
      </c>
      <c r="G47" s="19">
        <f>IF(C47="","",IFERROR(E47*1000/C47,0))</f>
        <v/>
      </c>
      <c r="H47" s="7" t="n"/>
      <c r="I47" s="7" t="n"/>
      <c r="J47" s="18">
        <f>IF(D47="","",IFERROR(I47/D47,0))</f>
        <v/>
      </c>
      <c r="K47" s="7" t="n"/>
      <c r="L47" s="18">
        <f>IF(F47="","",F47-K47)</f>
        <v/>
      </c>
      <c r="M47" s="7">
        <f>IF(L47="","",IF(L47&gt;0,"Hausse",IF(L47&lt;0,"Baisse","Stable")))</f>
        <v/>
      </c>
    </row>
    <row r="48">
      <c r="A48" s="4" t="n"/>
      <c r="B48" s="4" t="n"/>
      <c r="C48" s="5" t="n"/>
      <c r="D48" s="4" t="n"/>
      <c r="E48" s="4" t="n"/>
      <c r="F48" s="16">
        <f>IF(C48="","",IFERROR(D48*1000000/C48,0))</f>
        <v/>
      </c>
      <c r="G48" s="17">
        <f>IF(C48="","",IFERROR(E48*1000/C48,0))</f>
        <v/>
      </c>
      <c r="H48" s="4" t="n"/>
      <c r="I48" s="4" t="n"/>
      <c r="J48" s="16">
        <f>IF(D48="","",IFERROR(I48/D48,0))</f>
        <v/>
      </c>
      <c r="K48" s="4" t="n"/>
      <c r="L48" s="16">
        <f>IF(F48="","",F48-K48)</f>
        <v/>
      </c>
      <c r="M48" s="4">
        <f>IF(L48="","",IF(L48&gt;0,"Hausse",IF(L48&lt;0,"Baisse","Stable")))</f>
        <v/>
      </c>
    </row>
    <row r="49">
      <c r="A49" s="7" t="n"/>
      <c r="B49" s="7" t="n"/>
      <c r="C49" s="8" t="n"/>
      <c r="D49" s="7" t="n"/>
      <c r="E49" s="7" t="n"/>
      <c r="F49" s="18">
        <f>IF(C49="","",IFERROR(D49*1000000/C49,0))</f>
        <v/>
      </c>
      <c r="G49" s="19">
        <f>IF(C49="","",IFERROR(E49*1000/C49,0))</f>
        <v/>
      </c>
      <c r="H49" s="7" t="n"/>
      <c r="I49" s="7" t="n"/>
      <c r="J49" s="18">
        <f>IF(D49="","",IFERROR(I49/D49,0))</f>
        <v/>
      </c>
      <c r="K49" s="7" t="n"/>
      <c r="L49" s="18">
        <f>IF(F49="","",F49-K49)</f>
        <v/>
      </c>
      <c r="M49" s="7">
        <f>IF(L49="","",IF(L49&gt;0,"Hausse",IF(L49&lt;0,"Baisse","Stable")))</f>
        <v/>
      </c>
    </row>
    <row r="50">
      <c r="A50" s="4" t="n"/>
      <c r="B50" s="4" t="n"/>
      <c r="C50" s="5" t="n"/>
      <c r="D50" s="4" t="n"/>
      <c r="E50" s="4" t="n"/>
      <c r="F50" s="16">
        <f>IF(C50="","",IFERROR(D50*1000000/C50,0))</f>
        <v/>
      </c>
      <c r="G50" s="17">
        <f>IF(C50="","",IFERROR(E50*1000/C50,0))</f>
        <v/>
      </c>
      <c r="H50" s="4" t="n"/>
      <c r="I50" s="4" t="n"/>
      <c r="J50" s="16">
        <f>IF(D50="","",IFERROR(I50/D50,0))</f>
        <v/>
      </c>
      <c r="K50" s="4" t="n"/>
      <c r="L50" s="16">
        <f>IF(F50="","",F50-K50)</f>
        <v/>
      </c>
      <c r="M50" s="4">
        <f>IF(L50="","",IF(L50&gt;0,"Hausse",IF(L50&lt;0,"Baisse","Stable")))</f>
        <v/>
      </c>
    </row>
    <row r="51">
      <c r="A51" s="7" t="n"/>
      <c r="B51" s="7" t="n"/>
      <c r="C51" s="8" t="n"/>
      <c r="D51" s="7" t="n"/>
      <c r="E51" s="7" t="n"/>
      <c r="F51" s="18">
        <f>IF(C51="","",IFERROR(D51*1000000/C51,0))</f>
        <v/>
      </c>
      <c r="G51" s="19">
        <f>IF(C51="","",IFERROR(E51*1000/C51,0))</f>
        <v/>
      </c>
      <c r="H51" s="7" t="n"/>
      <c r="I51" s="7" t="n"/>
      <c r="J51" s="18">
        <f>IF(D51="","",IFERROR(I51/D51,0))</f>
        <v/>
      </c>
      <c r="K51" s="7" t="n"/>
      <c r="L51" s="18">
        <f>IF(F51="","",F51-K51)</f>
        <v/>
      </c>
      <c r="M51" s="7">
        <f>IF(L51="","",IF(L51&gt;0,"Hausse",IF(L51&lt;0,"Baisse","Stable")))</f>
        <v/>
      </c>
    </row>
    <row r="52">
      <c r="A52" s="4" t="n"/>
      <c r="B52" s="4" t="n"/>
      <c r="C52" s="5" t="n"/>
      <c r="D52" s="4" t="n"/>
      <c r="E52" s="4" t="n"/>
      <c r="F52" s="16">
        <f>IF(C52="","",IFERROR(D52*1000000/C52,0))</f>
        <v/>
      </c>
      <c r="G52" s="17">
        <f>IF(C52="","",IFERROR(E52*1000/C52,0))</f>
        <v/>
      </c>
      <c r="H52" s="4" t="n"/>
      <c r="I52" s="4" t="n"/>
      <c r="J52" s="16">
        <f>IF(D52="","",IFERROR(I52/D52,0))</f>
        <v/>
      </c>
      <c r="K52" s="4" t="n"/>
      <c r="L52" s="16">
        <f>IF(F52="","",F52-K52)</f>
        <v/>
      </c>
      <c r="M52" s="4">
        <f>IF(L52="","",IF(L52&gt;0,"Hausse",IF(L52&lt;0,"Baisse","Stable")))</f>
        <v/>
      </c>
    </row>
    <row r="53">
      <c r="A53" s="7" t="n"/>
      <c r="B53" s="7" t="n"/>
      <c r="C53" s="8" t="n"/>
      <c r="D53" s="7" t="n"/>
      <c r="E53" s="7" t="n"/>
      <c r="F53" s="18">
        <f>IF(C53="","",IFERROR(D53*1000000/C53,0))</f>
        <v/>
      </c>
      <c r="G53" s="19">
        <f>IF(C53="","",IFERROR(E53*1000/C53,0))</f>
        <v/>
      </c>
      <c r="H53" s="7" t="n"/>
      <c r="I53" s="7" t="n"/>
      <c r="J53" s="18">
        <f>IF(D53="","",IFERROR(I53/D53,0))</f>
        <v/>
      </c>
      <c r="K53" s="7" t="n"/>
      <c r="L53" s="18">
        <f>IF(F53="","",F53-K53)</f>
        <v/>
      </c>
      <c r="M53" s="7">
        <f>IF(L53="","",IF(L53&gt;0,"Hausse",IF(L53&lt;0,"Baisse","Stable")))</f>
        <v/>
      </c>
    </row>
    <row r="54">
      <c r="A54" s="4" t="n"/>
      <c r="B54" s="4" t="n"/>
      <c r="C54" s="5" t="n"/>
      <c r="D54" s="4" t="n"/>
      <c r="E54" s="4" t="n"/>
      <c r="F54" s="16">
        <f>IF(C54="","",IFERROR(D54*1000000/C54,0))</f>
        <v/>
      </c>
      <c r="G54" s="17">
        <f>IF(C54="","",IFERROR(E54*1000/C54,0))</f>
        <v/>
      </c>
      <c r="H54" s="4" t="n"/>
      <c r="I54" s="4" t="n"/>
      <c r="J54" s="16">
        <f>IF(D54="","",IFERROR(I54/D54,0))</f>
        <v/>
      </c>
      <c r="K54" s="4" t="n"/>
      <c r="L54" s="16">
        <f>IF(F54="","",F54-K54)</f>
        <v/>
      </c>
      <c r="M54" s="4">
        <f>IF(L54="","",IF(L54&gt;0,"Hausse",IF(L54&lt;0,"Baisse","Stable")))</f>
        <v/>
      </c>
    </row>
    <row r="55">
      <c r="A55" s="7" t="n"/>
      <c r="B55" s="7" t="n"/>
      <c r="C55" s="8" t="n"/>
      <c r="D55" s="7" t="n"/>
      <c r="E55" s="7" t="n"/>
      <c r="F55" s="18">
        <f>IF(C55="","",IFERROR(D55*1000000/C55,0))</f>
        <v/>
      </c>
      <c r="G55" s="19">
        <f>IF(C55="","",IFERROR(E55*1000/C55,0))</f>
        <v/>
      </c>
      <c r="H55" s="7" t="n"/>
      <c r="I55" s="7" t="n"/>
      <c r="J55" s="18">
        <f>IF(D55="","",IFERROR(I55/D55,0))</f>
        <v/>
      </c>
      <c r="K55" s="7" t="n"/>
      <c r="L55" s="18">
        <f>IF(F55="","",F55-K55)</f>
        <v/>
      </c>
      <c r="M55" s="7">
        <f>IF(L55="","",IF(L55&gt;0,"Hausse",IF(L55&lt;0,"Baisse","Stable")))</f>
        <v/>
      </c>
    </row>
    <row r="56">
      <c r="A56" s="4" t="n"/>
      <c r="B56" s="4" t="n"/>
      <c r="C56" s="5" t="n"/>
      <c r="D56" s="4" t="n"/>
      <c r="E56" s="4" t="n"/>
      <c r="F56" s="16">
        <f>IF(C56="","",IFERROR(D56*1000000/C56,0))</f>
        <v/>
      </c>
      <c r="G56" s="17">
        <f>IF(C56="","",IFERROR(E56*1000/C56,0))</f>
        <v/>
      </c>
      <c r="H56" s="4" t="n"/>
      <c r="I56" s="4" t="n"/>
      <c r="J56" s="16">
        <f>IF(D56="","",IFERROR(I56/D56,0))</f>
        <v/>
      </c>
      <c r="K56" s="4" t="n"/>
      <c r="L56" s="16">
        <f>IF(F56="","",F56-K56)</f>
        <v/>
      </c>
      <c r="M56" s="4">
        <f>IF(L56="","",IF(L56&gt;0,"Hausse",IF(L56&lt;0,"Baisse","Stable")))</f>
        <v/>
      </c>
    </row>
    <row r="57">
      <c r="A57" s="7" t="n"/>
      <c r="B57" s="7" t="n"/>
      <c r="C57" s="8" t="n"/>
      <c r="D57" s="7" t="n"/>
      <c r="E57" s="7" t="n"/>
      <c r="F57" s="18">
        <f>IF(C57="","",IFERROR(D57*1000000/C57,0))</f>
        <v/>
      </c>
      <c r="G57" s="19">
        <f>IF(C57="","",IFERROR(E57*1000/C57,0))</f>
        <v/>
      </c>
      <c r="H57" s="7" t="n"/>
      <c r="I57" s="7" t="n"/>
      <c r="J57" s="18">
        <f>IF(D57="","",IFERROR(I57/D57,0))</f>
        <v/>
      </c>
      <c r="K57" s="7" t="n"/>
      <c r="L57" s="18">
        <f>IF(F57="","",F57-K57)</f>
        <v/>
      </c>
      <c r="M57" s="7">
        <f>IF(L57="","",IF(L57&gt;0,"Hausse",IF(L57&lt;0,"Baisse","Stable")))</f>
        <v/>
      </c>
    </row>
    <row r="58">
      <c r="A58" s="4" t="n"/>
      <c r="B58" s="4" t="n"/>
      <c r="C58" s="5" t="n"/>
      <c r="D58" s="4" t="n"/>
      <c r="E58" s="4" t="n"/>
      <c r="F58" s="16">
        <f>IF(C58="","",IFERROR(D58*1000000/C58,0))</f>
        <v/>
      </c>
      <c r="G58" s="17">
        <f>IF(C58="","",IFERROR(E58*1000/C58,0))</f>
        <v/>
      </c>
      <c r="H58" s="4" t="n"/>
      <c r="I58" s="4" t="n"/>
      <c r="J58" s="16">
        <f>IF(D58="","",IFERROR(I58/D58,0))</f>
        <v/>
      </c>
      <c r="K58" s="4" t="n"/>
      <c r="L58" s="16">
        <f>IF(F58="","",F58-K58)</f>
        <v/>
      </c>
      <c r="M58" s="4">
        <f>IF(L58="","",IF(L58&gt;0,"Hausse",IF(L58&lt;0,"Baisse","Stable")))</f>
        <v/>
      </c>
    </row>
    <row r="59">
      <c r="A59" s="7" t="n"/>
      <c r="B59" s="7" t="n"/>
      <c r="C59" s="8" t="n"/>
      <c r="D59" s="7" t="n"/>
      <c r="E59" s="7" t="n"/>
      <c r="F59" s="18">
        <f>IF(C59="","",IFERROR(D59*1000000/C59,0))</f>
        <v/>
      </c>
      <c r="G59" s="19">
        <f>IF(C59="","",IFERROR(E59*1000/C59,0))</f>
        <v/>
      </c>
      <c r="H59" s="7" t="n"/>
      <c r="I59" s="7" t="n"/>
      <c r="J59" s="18">
        <f>IF(D59="","",IFERROR(I59/D59,0))</f>
        <v/>
      </c>
      <c r="K59" s="7" t="n"/>
      <c r="L59" s="18">
        <f>IF(F59="","",F59-K59)</f>
        <v/>
      </c>
      <c r="M59" s="7">
        <f>IF(L59="","",IF(L59&gt;0,"Hausse",IF(L59&lt;0,"Baisse","Stable")))</f>
        <v/>
      </c>
    </row>
    <row r="60">
      <c r="A60" s="4" t="n"/>
      <c r="B60" s="4" t="n"/>
      <c r="C60" s="5" t="n"/>
      <c r="D60" s="4" t="n"/>
      <c r="E60" s="4" t="n"/>
      <c r="F60" s="16">
        <f>IF(C60="","",IFERROR(D60*1000000/C60,0))</f>
        <v/>
      </c>
      <c r="G60" s="17">
        <f>IF(C60="","",IFERROR(E60*1000/C60,0))</f>
        <v/>
      </c>
      <c r="H60" s="4" t="n"/>
      <c r="I60" s="4" t="n"/>
      <c r="J60" s="16">
        <f>IF(D60="","",IFERROR(I60/D60,0))</f>
        <v/>
      </c>
      <c r="K60" s="4" t="n"/>
      <c r="L60" s="16">
        <f>IF(F60="","",F60-K60)</f>
        <v/>
      </c>
      <c r="M60" s="4">
        <f>IF(L60="","",IF(L60&gt;0,"Hausse",IF(L60&lt;0,"Baisse","Stable")))</f>
        <v/>
      </c>
    </row>
    <row r="61">
      <c r="A61" s="7" t="n"/>
      <c r="B61" s="7" t="n"/>
      <c r="C61" s="8" t="n"/>
      <c r="D61" s="7" t="n"/>
      <c r="E61" s="7" t="n"/>
      <c r="F61" s="18">
        <f>IF(C61="","",IFERROR(D61*1000000/C61,0))</f>
        <v/>
      </c>
      <c r="G61" s="19">
        <f>IF(C61="","",IFERROR(E61*1000/C61,0))</f>
        <v/>
      </c>
      <c r="H61" s="7" t="n"/>
      <c r="I61" s="7" t="n"/>
      <c r="J61" s="18">
        <f>IF(D61="","",IFERROR(I61/D61,0))</f>
        <v/>
      </c>
      <c r="K61" s="7" t="n"/>
      <c r="L61" s="18">
        <f>IF(F61="","",F61-K61)</f>
        <v/>
      </c>
      <c r="M61" s="7">
        <f>IF(L61="","",IF(L61&gt;0,"Hausse",IF(L61&lt;0,"Baisse","Stable")))</f>
        <v/>
      </c>
    </row>
    <row r="62">
      <c r="A62" s="4" t="n"/>
      <c r="B62" s="4" t="n"/>
      <c r="C62" s="5" t="n"/>
      <c r="D62" s="4" t="n"/>
      <c r="E62" s="4" t="n"/>
      <c r="F62" s="16">
        <f>IF(C62="","",IFERROR(D62*1000000/C62,0))</f>
        <v/>
      </c>
      <c r="G62" s="17">
        <f>IF(C62="","",IFERROR(E62*1000/C62,0))</f>
        <v/>
      </c>
      <c r="H62" s="4" t="n"/>
      <c r="I62" s="4" t="n"/>
      <c r="J62" s="16">
        <f>IF(D62="","",IFERROR(I62/D62,0))</f>
        <v/>
      </c>
      <c r="K62" s="4" t="n"/>
      <c r="L62" s="16">
        <f>IF(F62="","",F62-K62)</f>
        <v/>
      </c>
      <c r="M62" s="4">
        <f>IF(L62="","",IF(L62&gt;0,"Hausse",IF(L62&lt;0,"Baisse","Stable")))</f>
        <v/>
      </c>
    </row>
    <row r="63">
      <c r="A63" s="7" t="n"/>
      <c r="B63" s="7" t="n"/>
      <c r="C63" s="8" t="n"/>
      <c r="D63" s="7" t="n"/>
      <c r="E63" s="7" t="n"/>
      <c r="F63" s="18">
        <f>IF(C63="","",IFERROR(D63*1000000/C63,0))</f>
        <v/>
      </c>
      <c r="G63" s="19">
        <f>IF(C63="","",IFERROR(E63*1000/C63,0))</f>
        <v/>
      </c>
      <c r="H63" s="7" t="n"/>
      <c r="I63" s="7" t="n"/>
      <c r="J63" s="18">
        <f>IF(D63="","",IFERROR(I63/D63,0))</f>
        <v/>
      </c>
      <c r="K63" s="7" t="n"/>
      <c r="L63" s="18">
        <f>IF(F63="","",F63-K63)</f>
        <v/>
      </c>
      <c r="M63" s="7">
        <f>IF(L63="","",IF(L63&gt;0,"Hausse",IF(L63&lt;0,"Baisse","Stable")))</f>
        <v/>
      </c>
    </row>
    <row r="64">
      <c r="A64" s="4" t="n"/>
      <c r="B64" s="4" t="n"/>
      <c r="C64" s="5" t="n"/>
      <c r="D64" s="4" t="n"/>
      <c r="E64" s="4" t="n"/>
      <c r="F64" s="16">
        <f>IF(C64="","",IFERROR(D64*1000000/C64,0))</f>
        <v/>
      </c>
      <c r="G64" s="17">
        <f>IF(C64="","",IFERROR(E64*1000/C64,0))</f>
        <v/>
      </c>
      <c r="H64" s="4" t="n"/>
      <c r="I64" s="4" t="n"/>
      <c r="J64" s="16">
        <f>IF(D64="","",IFERROR(I64/D64,0))</f>
        <v/>
      </c>
      <c r="K64" s="4" t="n"/>
      <c r="L64" s="16">
        <f>IF(F64="","",F64-K64)</f>
        <v/>
      </c>
      <c r="M64" s="4">
        <f>IF(L64="","",IF(L64&gt;0,"Hausse",IF(L64&lt;0,"Baisse","Stable")))</f>
        <v/>
      </c>
    </row>
    <row r="65">
      <c r="A65" s="7" t="n"/>
      <c r="B65" s="7" t="n"/>
      <c r="C65" s="8" t="n"/>
      <c r="D65" s="7" t="n"/>
      <c r="E65" s="7" t="n"/>
      <c r="F65" s="18">
        <f>IF(C65="","",IFERROR(D65*1000000/C65,0))</f>
        <v/>
      </c>
      <c r="G65" s="19">
        <f>IF(C65="","",IFERROR(E65*1000/C65,0))</f>
        <v/>
      </c>
      <c r="H65" s="7" t="n"/>
      <c r="I65" s="7" t="n"/>
      <c r="J65" s="18">
        <f>IF(D65="","",IFERROR(I65/D65,0))</f>
        <v/>
      </c>
      <c r="K65" s="7" t="n"/>
      <c r="L65" s="18">
        <f>IF(F65="","",F65-K65)</f>
        <v/>
      </c>
      <c r="M65" s="7">
        <f>IF(L65="","",IF(L65&gt;0,"Hausse",IF(L65&lt;0,"Baisse","Stable")))</f>
        <v/>
      </c>
    </row>
    <row r="66">
      <c r="A66" s="4" t="n"/>
      <c r="B66" s="4" t="n"/>
      <c r="C66" s="5" t="n"/>
      <c r="D66" s="4" t="n"/>
      <c r="E66" s="4" t="n"/>
      <c r="F66" s="16">
        <f>IF(C66="","",IFERROR(D66*1000000/C66,0))</f>
        <v/>
      </c>
      <c r="G66" s="17">
        <f>IF(C66="","",IFERROR(E66*1000/C66,0))</f>
        <v/>
      </c>
      <c r="H66" s="4" t="n"/>
      <c r="I66" s="4" t="n"/>
      <c r="J66" s="16">
        <f>IF(D66="","",IFERROR(I66/D66,0))</f>
        <v/>
      </c>
      <c r="K66" s="4" t="n"/>
      <c r="L66" s="16">
        <f>IF(F66="","",F66-K66)</f>
        <v/>
      </c>
      <c r="M66" s="4">
        <f>IF(L66="","",IF(L66&gt;0,"Hausse",IF(L66&lt;0,"Baisse","Stable")))</f>
        <v/>
      </c>
    </row>
    <row r="67">
      <c r="A67" s="7" t="n"/>
      <c r="B67" s="7" t="n"/>
      <c r="C67" s="8" t="n"/>
      <c r="D67" s="7" t="n"/>
      <c r="E67" s="7" t="n"/>
      <c r="F67" s="18">
        <f>IF(C67="","",IFERROR(D67*1000000/C67,0))</f>
        <v/>
      </c>
      <c r="G67" s="19">
        <f>IF(C67="","",IFERROR(E67*1000/C67,0))</f>
        <v/>
      </c>
      <c r="H67" s="7" t="n"/>
      <c r="I67" s="7" t="n"/>
      <c r="J67" s="18">
        <f>IF(D67="","",IFERROR(I67/D67,0))</f>
        <v/>
      </c>
      <c r="K67" s="7" t="n"/>
      <c r="L67" s="18">
        <f>IF(F67="","",F67-K67)</f>
        <v/>
      </c>
      <c r="M67" s="7">
        <f>IF(L67="","",IF(L67&gt;0,"Hausse",IF(L67&lt;0,"Baisse","Stable")))</f>
        <v/>
      </c>
    </row>
    <row r="68">
      <c r="A68" s="4" t="n"/>
      <c r="B68" s="4" t="n"/>
      <c r="C68" s="5" t="n"/>
      <c r="D68" s="4" t="n"/>
      <c r="E68" s="4" t="n"/>
      <c r="F68" s="16">
        <f>IF(C68="","",IFERROR(D68*1000000/C68,0))</f>
        <v/>
      </c>
      <c r="G68" s="17">
        <f>IF(C68="","",IFERROR(E68*1000/C68,0))</f>
        <v/>
      </c>
      <c r="H68" s="4" t="n"/>
      <c r="I68" s="4" t="n"/>
      <c r="J68" s="16">
        <f>IF(D68="","",IFERROR(I68/D68,0))</f>
        <v/>
      </c>
      <c r="K68" s="4" t="n"/>
      <c r="L68" s="16">
        <f>IF(F68="","",F68-K68)</f>
        <v/>
      </c>
      <c r="M68" s="4">
        <f>IF(L68="","",IF(L68&gt;0,"Hausse",IF(L68&lt;0,"Baisse","Stable")))</f>
        <v/>
      </c>
    </row>
    <row r="69">
      <c r="A69" s="7" t="n"/>
      <c r="B69" s="7" t="n"/>
      <c r="C69" s="8" t="n"/>
      <c r="D69" s="7" t="n"/>
      <c r="E69" s="7" t="n"/>
      <c r="F69" s="18">
        <f>IF(C69="","",IFERROR(D69*1000000/C69,0))</f>
        <v/>
      </c>
      <c r="G69" s="19">
        <f>IF(C69="","",IFERROR(E69*1000/C69,0))</f>
        <v/>
      </c>
      <c r="H69" s="7" t="n"/>
      <c r="I69" s="7" t="n"/>
      <c r="J69" s="18">
        <f>IF(D69="","",IFERROR(I69/D69,0))</f>
        <v/>
      </c>
      <c r="K69" s="7" t="n"/>
      <c r="L69" s="18">
        <f>IF(F69="","",F69-K69)</f>
        <v/>
      </c>
      <c r="M69" s="7">
        <f>IF(L69="","",IF(L69&gt;0,"Hausse",IF(L69&lt;0,"Baisse","Stable")))</f>
        <v/>
      </c>
    </row>
    <row r="70">
      <c r="A70" s="4" t="n"/>
      <c r="B70" s="4" t="n"/>
      <c r="C70" s="5" t="n"/>
      <c r="D70" s="4" t="n"/>
      <c r="E70" s="4" t="n"/>
      <c r="F70" s="16">
        <f>IF(C70="","",IFERROR(D70*1000000/C70,0))</f>
        <v/>
      </c>
      <c r="G70" s="17">
        <f>IF(C70="","",IFERROR(E70*1000/C70,0))</f>
        <v/>
      </c>
      <c r="H70" s="4" t="n"/>
      <c r="I70" s="4" t="n"/>
      <c r="J70" s="16">
        <f>IF(D70="","",IFERROR(I70/D70,0))</f>
        <v/>
      </c>
      <c r="K70" s="4" t="n"/>
      <c r="L70" s="16">
        <f>IF(F70="","",F70-K70)</f>
        <v/>
      </c>
      <c r="M70" s="4">
        <f>IF(L70="","",IF(L70&gt;0,"Hausse",IF(L70&lt;0,"Baisse","Stable")))</f>
        <v/>
      </c>
    </row>
    <row r="71">
      <c r="A71" s="7" t="n"/>
      <c r="B71" s="7" t="n"/>
      <c r="C71" s="8" t="n"/>
      <c r="D71" s="7" t="n"/>
      <c r="E71" s="7" t="n"/>
      <c r="F71" s="18">
        <f>IF(C71="","",IFERROR(D71*1000000/C71,0))</f>
        <v/>
      </c>
      <c r="G71" s="19">
        <f>IF(C71="","",IFERROR(E71*1000/C71,0))</f>
        <v/>
      </c>
      <c r="H71" s="7" t="n"/>
      <c r="I71" s="7" t="n"/>
      <c r="J71" s="18">
        <f>IF(D71="","",IFERROR(I71/D71,0))</f>
        <v/>
      </c>
      <c r="K71" s="7" t="n"/>
      <c r="L71" s="18">
        <f>IF(F71="","",F71-K71)</f>
        <v/>
      </c>
      <c r="M71" s="7">
        <f>IF(L71="","",IF(L71&gt;0,"Hausse",IF(L71&lt;0,"Baisse","Stable")))</f>
        <v/>
      </c>
    </row>
    <row r="72">
      <c r="A72" s="4" t="n"/>
      <c r="B72" s="4" t="n"/>
      <c r="C72" s="5" t="n"/>
      <c r="D72" s="4" t="n"/>
      <c r="E72" s="4" t="n"/>
      <c r="F72" s="16">
        <f>IF(C72="","",IFERROR(D72*1000000/C72,0))</f>
        <v/>
      </c>
      <c r="G72" s="17">
        <f>IF(C72="","",IFERROR(E72*1000/C72,0))</f>
        <v/>
      </c>
      <c r="H72" s="4" t="n"/>
      <c r="I72" s="4" t="n"/>
      <c r="J72" s="16">
        <f>IF(D72="","",IFERROR(I72/D72,0))</f>
        <v/>
      </c>
      <c r="K72" s="4" t="n"/>
      <c r="L72" s="16">
        <f>IF(F72="","",F72-K72)</f>
        <v/>
      </c>
      <c r="M72" s="4">
        <f>IF(L72="","",IF(L72&gt;0,"Hausse",IF(L72&lt;0,"Baisse","Stable")))</f>
        <v/>
      </c>
    </row>
    <row r="73">
      <c r="A73" s="7" t="n"/>
      <c r="B73" s="7" t="n"/>
      <c r="C73" s="8" t="n"/>
      <c r="D73" s="7" t="n"/>
      <c r="E73" s="7" t="n"/>
      <c r="F73" s="18">
        <f>IF(C73="","",IFERROR(D73*1000000/C73,0))</f>
        <v/>
      </c>
      <c r="G73" s="19">
        <f>IF(C73="","",IFERROR(E73*1000/C73,0))</f>
        <v/>
      </c>
      <c r="H73" s="7" t="n"/>
      <c r="I73" s="7" t="n"/>
      <c r="J73" s="18">
        <f>IF(D73="","",IFERROR(I73/D73,0))</f>
        <v/>
      </c>
      <c r="K73" s="7" t="n"/>
      <c r="L73" s="18">
        <f>IF(F73="","",F73-K73)</f>
        <v/>
      </c>
      <c r="M73" s="7">
        <f>IF(L73="","",IF(L73&gt;0,"Hausse",IF(L73&lt;0,"Baisse","Stable")))</f>
        <v/>
      </c>
    </row>
    <row r="74">
      <c r="A74" s="4" t="n"/>
      <c r="B74" s="4" t="n"/>
      <c r="C74" s="5" t="n"/>
      <c r="D74" s="4" t="n"/>
      <c r="E74" s="4" t="n"/>
      <c r="F74" s="16">
        <f>IF(C74="","",IFERROR(D74*1000000/C74,0))</f>
        <v/>
      </c>
      <c r="G74" s="17">
        <f>IF(C74="","",IFERROR(E74*1000/C74,0))</f>
        <v/>
      </c>
      <c r="H74" s="4" t="n"/>
      <c r="I74" s="4" t="n"/>
      <c r="J74" s="16">
        <f>IF(D74="","",IFERROR(I74/D74,0))</f>
        <v/>
      </c>
      <c r="K74" s="4" t="n"/>
      <c r="L74" s="16">
        <f>IF(F74="","",F74-K74)</f>
        <v/>
      </c>
      <c r="M74" s="4">
        <f>IF(L74="","",IF(L74&gt;0,"Hausse",IF(L74&lt;0,"Baisse","Stable")))</f>
        <v/>
      </c>
    </row>
    <row r="75">
      <c r="A75" s="7" t="n"/>
      <c r="B75" s="7" t="n"/>
      <c r="C75" s="8" t="n"/>
      <c r="D75" s="7" t="n"/>
      <c r="E75" s="7" t="n"/>
      <c r="F75" s="18">
        <f>IF(C75="","",IFERROR(D75*1000000/C75,0))</f>
        <v/>
      </c>
      <c r="G75" s="19">
        <f>IF(C75="","",IFERROR(E75*1000/C75,0))</f>
        <v/>
      </c>
      <c r="H75" s="7" t="n"/>
      <c r="I75" s="7" t="n"/>
      <c r="J75" s="18">
        <f>IF(D75="","",IFERROR(I75/D75,0))</f>
        <v/>
      </c>
      <c r="K75" s="7" t="n"/>
      <c r="L75" s="18">
        <f>IF(F75="","",F75-K75)</f>
        <v/>
      </c>
      <c r="M75" s="7">
        <f>IF(L75="","",IF(L75&gt;0,"Hausse",IF(L75&lt;0,"Baisse","Stable")))</f>
        <v/>
      </c>
    </row>
    <row r="76">
      <c r="A76" s="4" t="n"/>
      <c r="B76" s="4" t="n"/>
      <c r="C76" s="5" t="n"/>
      <c r="D76" s="4" t="n"/>
      <c r="E76" s="4" t="n"/>
      <c r="F76" s="16">
        <f>IF(C76="","",IFERROR(D76*1000000/C76,0))</f>
        <v/>
      </c>
      <c r="G76" s="17">
        <f>IF(C76="","",IFERROR(E76*1000/C76,0))</f>
        <v/>
      </c>
      <c r="H76" s="4" t="n"/>
      <c r="I76" s="4" t="n"/>
      <c r="J76" s="16">
        <f>IF(D76="","",IFERROR(I76/D76,0))</f>
        <v/>
      </c>
      <c r="K76" s="4" t="n"/>
      <c r="L76" s="16">
        <f>IF(F76="","",F76-K76)</f>
        <v/>
      </c>
      <c r="M76" s="4">
        <f>IF(L76="","",IF(L76&gt;0,"Hausse",IF(L76&lt;0,"Baisse","Stable")))</f>
        <v/>
      </c>
    </row>
    <row r="77">
      <c r="A77" s="7" t="n"/>
      <c r="B77" s="7" t="n"/>
      <c r="C77" s="8" t="n"/>
      <c r="D77" s="7" t="n"/>
      <c r="E77" s="7" t="n"/>
      <c r="F77" s="18">
        <f>IF(C77="","",IFERROR(D77*1000000/C77,0))</f>
        <v/>
      </c>
      <c r="G77" s="19">
        <f>IF(C77="","",IFERROR(E77*1000/C77,0))</f>
        <v/>
      </c>
      <c r="H77" s="7" t="n"/>
      <c r="I77" s="7" t="n"/>
      <c r="J77" s="18">
        <f>IF(D77="","",IFERROR(I77/D77,0))</f>
        <v/>
      </c>
      <c r="K77" s="7" t="n"/>
      <c r="L77" s="18">
        <f>IF(F77="","",F77-K77)</f>
        <v/>
      </c>
      <c r="M77" s="7">
        <f>IF(L77="","",IF(L77&gt;0,"Hausse",IF(L77&lt;0,"Baisse","Stable")))</f>
        <v/>
      </c>
    </row>
    <row r="78">
      <c r="A78" s="4" t="n"/>
      <c r="B78" s="4" t="n"/>
      <c r="C78" s="5" t="n"/>
      <c r="D78" s="4" t="n"/>
      <c r="E78" s="4" t="n"/>
      <c r="F78" s="16">
        <f>IF(C78="","",IFERROR(D78*1000000/C78,0))</f>
        <v/>
      </c>
      <c r="G78" s="17">
        <f>IF(C78="","",IFERROR(E78*1000/C78,0))</f>
        <v/>
      </c>
      <c r="H78" s="4" t="n"/>
      <c r="I78" s="4" t="n"/>
      <c r="J78" s="16">
        <f>IF(D78="","",IFERROR(I78/D78,0))</f>
        <v/>
      </c>
      <c r="K78" s="4" t="n"/>
      <c r="L78" s="16">
        <f>IF(F78="","",F78-K78)</f>
        <v/>
      </c>
      <c r="M78" s="4">
        <f>IF(L78="","",IF(L78&gt;0,"Hausse",IF(L78&lt;0,"Baisse","Stable")))</f>
        <v/>
      </c>
    </row>
    <row r="79">
      <c r="A79" s="7" t="n"/>
      <c r="B79" s="7" t="n"/>
      <c r="C79" s="8" t="n"/>
      <c r="D79" s="7" t="n"/>
      <c r="E79" s="7" t="n"/>
      <c r="F79" s="18">
        <f>IF(C79="","",IFERROR(D79*1000000/C79,0))</f>
        <v/>
      </c>
      <c r="G79" s="19">
        <f>IF(C79="","",IFERROR(E79*1000/C79,0))</f>
        <v/>
      </c>
      <c r="H79" s="7" t="n"/>
      <c r="I79" s="7" t="n"/>
      <c r="J79" s="18">
        <f>IF(D79="","",IFERROR(I79/D79,0))</f>
        <v/>
      </c>
      <c r="K79" s="7" t="n"/>
      <c r="L79" s="18">
        <f>IF(F79="","",F79-K79)</f>
        <v/>
      </c>
      <c r="M79" s="7">
        <f>IF(L79="","",IF(L79&gt;0,"Hausse",IF(L79&lt;0,"Baisse","Stable")))</f>
        <v/>
      </c>
    </row>
    <row r="80">
      <c r="A80" s="4" t="n"/>
      <c r="B80" s="4" t="n"/>
      <c r="C80" s="5" t="n"/>
      <c r="D80" s="4" t="n"/>
      <c r="E80" s="4" t="n"/>
      <c r="F80" s="16">
        <f>IF(C80="","",IFERROR(D80*1000000/C80,0))</f>
        <v/>
      </c>
      <c r="G80" s="17">
        <f>IF(C80="","",IFERROR(E80*1000/C80,0))</f>
        <v/>
      </c>
      <c r="H80" s="4" t="n"/>
      <c r="I80" s="4" t="n"/>
      <c r="J80" s="16">
        <f>IF(D80="","",IFERROR(I80/D80,0))</f>
        <v/>
      </c>
      <c r="K80" s="4" t="n"/>
      <c r="L80" s="16">
        <f>IF(F80="","",F80-K80)</f>
        <v/>
      </c>
      <c r="M80" s="4">
        <f>IF(L80="","",IF(L80&gt;0,"Hausse",IF(L80&lt;0,"Baisse","Stable")))</f>
        <v/>
      </c>
    </row>
    <row r="81">
      <c r="A81" s="7" t="n"/>
      <c r="B81" s="7" t="n"/>
      <c r="C81" s="8" t="n"/>
      <c r="D81" s="7" t="n"/>
      <c r="E81" s="7" t="n"/>
      <c r="F81" s="18">
        <f>IF(C81="","",IFERROR(D81*1000000/C81,0))</f>
        <v/>
      </c>
      <c r="G81" s="19">
        <f>IF(C81="","",IFERROR(E81*1000/C81,0))</f>
        <v/>
      </c>
      <c r="H81" s="7" t="n"/>
      <c r="I81" s="7" t="n"/>
      <c r="J81" s="18">
        <f>IF(D81="","",IFERROR(I81/D81,0))</f>
        <v/>
      </c>
      <c r="K81" s="7" t="n"/>
      <c r="L81" s="18">
        <f>IF(F81="","",F81-K81)</f>
        <v/>
      </c>
      <c r="M81" s="7">
        <f>IF(L81="","",IF(L81&gt;0,"Hausse",IF(L81&lt;0,"Baisse","Stable")))</f>
        <v/>
      </c>
    </row>
    <row r="82">
      <c r="A82" s="4" t="n"/>
      <c r="B82" s="4" t="n"/>
      <c r="C82" s="5" t="n"/>
      <c r="D82" s="4" t="n"/>
      <c r="E82" s="4" t="n"/>
      <c r="F82" s="16">
        <f>IF(C82="","",IFERROR(D82*1000000/C82,0))</f>
        <v/>
      </c>
      <c r="G82" s="17">
        <f>IF(C82="","",IFERROR(E82*1000/C82,0))</f>
        <v/>
      </c>
      <c r="H82" s="4" t="n"/>
      <c r="I82" s="4" t="n"/>
      <c r="J82" s="16">
        <f>IF(D82="","",IFERROR(I82/D82,0))</f>
        <v/>
      </c>
      <c r="K82" s="4" t="n"/>
      <c r="L82" s="16">
        <f>IF(F82="","",F82-K82)</f>
        <v/>
      </c>
      <c r="M82" s="4">
        <f>IF(L82="","",IF(L82&gt;0,"Hausse",IF(L82&lt;0,"Baisse","Stable")))</f>
        <v/>
      </c>
    </row>
    <row r="83">
      <c r="A83" s="7" t="n"/>
      <c r="B83" s="7" t="n"/>
      <c r="C83" s="8" t="n"/>
      <c r="D83" s="7" t="n"/>
      <c r="E83" s="7" t="n"/>
      <c r="F83" s="18">
        <f>IF(C83="","",IFERROR(D83*1000000/C83,0))</f>
        <v/>
      </c>
      <c r="G83" s="19">
        <f>IF(C83="","",IFERROR(E83*1000/C83,0))</f>
        <v/>
      </c>
      <c r="H83" s="7" t="n"/>
      <c r="I83" s="7" t="n"/>
      <c r="J83" s="18">
        <f>IF(D83="","",IFERROR(I83/D83,0))</f>
        <v/>
      </c>
      <c r="K83" s="7" t="n"/>
      <c r="L83" s="18">
        <f>IF(F83="","",F83-K83)</f>
        <v/>
      </c>
      <c r="M83" s="7">
        <f>IF(L83="","",IF(L83&gt;0,"Hausse",IF(L83&lt;0,"Baisse","Stable")))</f>
        <v/>
      </c>
    </row>
    <row r="84">
      <c r="A84" s="4" t="n"/>
      <c r="B84" s="4" t="n"/>
      <c r="C84" s="5" t="n"/>
      <c r="D84" s="4" t="n"/>
      <c r="E84" s="4" t="n"/>
      <c r="F84" s="16">
        <f>IF(C84="","",IFERROR(D84*1000000/C84,0))</f>
        <v/>
      </c>
      <c r="G84" s="17">
        <f>IF(C84="","",IFERROR(E84*1000/C84,0))</f>
        <v/>
      </c>
      <c r="H84" s="4" t="n"/>
      <c r="I84" s="4" t="n"/>
      <c r="J84" s="16">
        <f>IF(D84="","",IFERROR(I84/D84,0))</f>
        <v/>
      </c>
      <c r="K84" s="4" t="n"/>
      <c r="L84" s="16">
        <f>IF(F84="","",F84-K84)</f>
        <v/>
      </c>
      <c r="M84" s="4">
        <f>IF(L84="","",IF(L84&gt;0,"Hausse",IF(L84&lt;0,"Baisse","Stable")))</f>
        <v/>
      </c>
    </row>
    <row r="85">
      <c r="A85" s="7" t="n"/>
      <c r="B85" s="7" t="n"/>
      <c r="C85" s="8" t="n"/>
      <c r="D85" s="7" t="n"/>
      <c r="E85" s="7" t="n"/>
      <c r="F85" s="18">
        <f>IF(C85="","",IFERROR(D85*1000000/C85,0))</f>
        <v/>
      </c>
      <c r="G85" s="19">
        <f>IF(C85="","",IFERROR(E85*1000/C85,0))</f>
        <v/>
      </c>
      <c r="H85" s="7" t="n"/>
      <c r="I85" s="7" t="n"/>
      <c r="J85" s="18">
        <f>IF(D85="","",IFERROR(I85/D85,0))</f>
        <v/>
      </c>
      <c r="K85" s="7" t="n"/>
      <c r="L85" s="18">
        <f>IF(F85="","",F85-K85)</f>
        <v/>
      </c>
      <c r="M85" s="7">
        <f>IF(L85="","",IF(L85&gt;0,"Hausse",IF(L85&lt;0,"Baisse","Stable")))</f>
        <v/>
      </c>
    </row>
    <row r="86">
      <c r="A86" s="4" t="n"/>
      <c r="B86" s="4" t="n"/>
      <c r="C86" s="5" t="n"/>
      <c r="D86" s="4" t="n"/>
      <c r="E86" s="4" t="n"/>
      <c r="F86" s="16">
        <f>IF(C86="","",IFERROR(D86*1000000/C86,0))</f>
        <v/>
      </c>
      <c r="G86" s="17">
        <f>IF(C86="","",IFERROR(E86*1000/C86,0))</f>
        <v/>
      </c>
      <c r="H86" s="4" t="n"/>
      <c r="I86" s="4" t="n"/>
      <c r="J86" s="16">
        <f>IF(D86="","",IFERROR(I86/D86,0))</f>
        <v/>
      </c>
      <c r="K86" s="4" t="n"/>
      <c r="L86" s="16">
        <f>IF(F86="","",F86-K86)</f>
        <v/>
      </c>
      <c r="M86" s="4">
        <f>IF(L86="","",IF(L86&gt;0,"Hausse",IF(L86&lt;0,"Baisse","Stable")))</f>
        <v/>
      </c>
    </row>
    <row r="87">
      <c r="A87" s="7" t="n"/>
      <c r="B87" s="7" t="n"/>
      <c r="C87" s="8" t="n"/>
      <c r="D87" s="7" t="n"/>
      <c r="E87" s="7" t="n"/>
      <c r="F87" s="18">
        <f>IF(C87="","",IFERROR(D87*1000000/C87,0))</f>
        <v/>
      </c>
      <c r="G87" s="19">
        <f>IF(C87="","",IFERROR(E87*1000/C87,0))</f>
        <v/>
      </c>
      <c r="H87" s="7" t="n"/>
      <c r="I87" s="7" t="n"/>
      <c r="J87" s="18">
        <f>IF(D87="","",IFERROR(I87/D87,0))</f>
        <v/>
      </c>
      <c r="K87" s="7" t="n"/>
      <c r="L87" s="18">
        <f>IF(F87="","",F87-K87)</f>
        <v/>
      </c>
      <c r="M87" s="7">
        <f>IF(L87="","",IF(L87&gt;0,"Hausse",IF(L87&lt;0,"Baisse","Stable")))</f>
        <v/>
      </c>
    </row>
    <row r="88">
      <c r="A88" s="4" t="n"/>
      <c r="B88" s="4" t="n"/>
      <c r="C88" s="5" t="n"/>
      <c r="D88" s="4" t="n"/>
      <c r="E88" s="4" t="n"/>
      <c r="F88" s="16">
        <f>IF(C88="","",IFERROR(D88*1000000/C88,0))</f>
        <v/>
      </c>
      <c r="G88" s="17">
        <f>IF(C88="","",IFERROR(E88*1000/C88,0))</f>
        <v/>
      </c>
      <c r="H88" s="4" t="n"/>
      <c r="I88" s="4" t="n"/>
      <c r="J88" s="16">
        <f>IF(D88="","",IFERROR(I88/D88,0))</f>
        <v/>
      </c>
      <c r="K88" s="4" t="n"/>
      <c r="L88" s="16">
        <f>IF(F88="","",F88-K88)</f>
        <v/>
      </c>
      <c r="M88" s="4">
        <f>IF(L88="","",IF(L88&gt;0,"Hausse",IF(L88&lt;0,"Baisse","Stable")))</f>
        <v/>
      </c>
    </row>
    <row r="89">
      <c r="A89" s="7" t="n"/>
      <c r="B89" s="7" t="n"/>
      <c r="C89" s="8" t="n"/>
      <c r="D89" s="7" t="n"/>
      <c r="E89" s="7" t="n"/>
      <c r="F89" s="18">
        <f>IF(C89="","",IFERROR(D89*1000000/C89,0))</f>
        <v/>
      </c>
      <c r="G89" s="19">
        <f>IF(C89="","",IFERROR(E89*1000/C89,0))</f>
        <v/>
      </c>
      <c r="H89" s="7" t="n"/>
      <c r="I89" s="7" t="n"/>
      <c r="J89" s="18">
        <f>IF(D89="","",IFERROR(I89/D89,0))</f>
        <v/>
      </c>
      <c r="K89" s="7" t="n"/>
      <c r="L89" s="18">
        <f>IF(F89="","",F89-K89)</f>
        <v/>
      </c>
      <c r="M89" s="7">
        <f>IF(L89="","",IF(L89&gt;0,"Hausse",IF(L89&lt;0,"Baisse","Stable")))</f>
        <v/>
      </c>
    </row>
    <row r="90">
      <c r="A90" s="4" t="n"/>
      <c r="B90" s="4" t="n"/>
      <c r="C90" s="5" t="n"/>
      <c r="D90" s="4" t="n"/>
      <c r="E90" s="4" t="n"/>
      <c r="F90" s="16">
        <f>IF(C90="","",IFERROR(D90*1000000/C90,0))</f>
        <v/>
      </c>
      <c r="G90" s="17">
        <f>IF(C90="","",IFERROR(E90*1000/C90,0))</f>
        <v/>
      </c>
      <c r="H90" s="4" t="n"/>
      <c r="I90" s="4" t="n"/>
      <c r="J90" s="16">
        <f>IF(D90="","",IFERROR(I90/D90,0))</f>
        <v/>
      </c>
      <c r="K90" s="4" t="n"/>
      <c r="L90" s="16">
        <f>IF(F90="","",F90-K90)</f>
        <v/>
      </c>
      <c r="M90" s="4">
        <f>IF(L90="","",IF(L90&gt;0,"Hausse",IF(L90&lt;0,"Baisse","Stable")))</f>
        <v/>
      </c>
    </row>
    <row r="91">
      <c r="A91" s="7" t="n"/>
      <c r="B91" s="7" t="n"/>
      <c r="C91" s="8" t="n"/>
      <c r="D91" s="7" t="n"/>
      <c r="E91" s="7" t="n"/>
      <c r="F91" s="18">
        <f>IF(C91="","",IFERROR(D91*1000000/C91,0))</f>
        <v/>
      </c>
      <c r="G91" s="19">
        <f>IF(C91="","",IFERROR(E91*1000/C91,0))</f>
        <v/>
      </c>
      <c r="H91" s="7" t="n"/>
      <c r="I91" s="7" t="n"/>
      <c r="J91" s="18">
        <f>IF(D91="","",IFERROR(I91/D91,0))</f>
        <v/>
      </c>
      <c r="K91" s="7" t="n"/>
      <c r="L91" s="18">
        <f>IF(F91="","",F91-K91)</f>
        <v/>
      </c>
      <c r="M91" s="7">
        <f>IF(L91="","",IF(L91&gt;0,"Hausse",IF(L91&lt;0,"Baisse","Stable")))</f>
        <v/>
      </c>
    </row>
    <row r="92">
      <c r="A92" s="4" t="n"/>
      <c r="B92" s="4" t="n"/>
      <c r="C92" s="5" t="n"/>
      <c r="D92" s="4" t="n"/>
      <c r="E92" s="4" t="n"/>
      <c r="F92" s="16">
        <f>IF(C92="","",IFERROR(D92*1000000/C92,0))</f>
        <v/>
      </c>
      <c r="G92" s="17">
        <f>IF(C92="","",IFERROR(E92*1000/C92,0))</f>
        <v/>
      </c>
      <c r="H92" s="4" t="n"/>
      <c r="I92" s="4" t="n"/>
      <c r="J92" s="16">
        <f>IF(D92="","",IFERROR(I92/D92,0))</f>
        <v/>
      </c>
      <c r="K92" s="4" t="n"/>
      <c r="L92" s="16">
        <f>IF(F92="","",F92-K92)</f>
        <v/>
      </c>
      <c r="M92" s="4">
        <f>IF(L92="","",IF(L92&gt;0,"Hausse",IF(L92&lt;0,"Baisse","Stable")))</f>
        <v/>
      </c>
    </row>
    <row r="93">
      <c r="A93" s="7" t="n"/>
      <c r="B93" s="7" t="n"/>
      <c r="C93" s="8" t="n"/>
      <c r="D93" s="7" t="n"/>
      <c r="E93" s="7" t="n"/>
      <c r="F93" s="18">
        <f>IF(C93="","",IFERROR(D93*1000000/C93,0))</f>
        <v/>
      </c>
      <c r="G93" s="19">
        <f>IF(C93="","",IFERROR(E93*1000/C93,0))</f>
        <v/>
      </c>
      <c r="H93" s="7" t="n"/>
      <c r="I93" s="7" t="n"/>
      <c r="J93" s="18">
        <f>IF(D93="","",IFERROR(I93/D93,0))</f>
        <v/>
      </c>
      <c r="K93" s="7" t="n"/>
      <c r="L93" s="18">
        <f>IF(F93="","",F93-K93)</f>
        <v/>
      </c>
      <c r="M93" s="7">
        <f>IF(L93="","",IF(L93&gt;0,"Hausse",IF(L93&lt;0,"Baisse","Stable")))</f>
        <v/>
      </c>
    </row>
    <row r="94">
      <c r="A94" s="4" t="n"/>
      <c r="B94" s="4" t="n"/>
      <c r="C94" s="5" t="n"/>
      <c r="D94" s="4" t="n"/>
      <c r="E94" s="4" t="n"/>
      <c r="F94" s="16">
        <f>IF(C94="","",IFERROR(D94*1000000/C94,0))</f>
        <v/>
      </c>
      <c r="G94" s="17">
        <f>IF(C94="","",IFERROR(E94*1000/C94,0))</f>
        <v/>
      </c>
      <c r="H94" s="4" t="n"/>
      <c r="I94" s="4" t="n"/>
      <c r="J94" s="16">
        <f>IF(D94="","",IFERROR(I94/D94,0))</f>
        <v/>
      </c>
      <c r="K94" s="4" t="n"/>
      <c r="L94" s="16">
        <f>IF(F94="","",F94-K94)</f>
        <v/>
      </c>
      <c r="M94" s="4">
        <f>IF(L94="","",IF(L94&gt;0,"Hausse",IF(L94&lt;0,"Baisse","Stable")))</f>
        <v/>
      </c>
    </row>
    <row r="95">
      <c r="A95" s="7" t="n"/>
      <c r="B95" s="7" t="n"/>
      <c r="C95" s="8" t="n"/>
      <c r="D95" s="7" t="n"/>
      <c r="E95" s="7" t="n"/>
      <c r="F95" s="18">
        <f>IF(C95="","",IFERROR(D95*1000000/C95,0))</f>
        <v/>
      </c>
      <c r="G95" s="19">
        <f>IF(C95="","",IFERROR(E95*1000/C95,0))</f>
        <v/>
      </c>
      <c r="H95" s="7" t="n"/>
      <c r="I95" s="7" t="n"/>
      <c r="J95" s="18">
        <f>IF(D95="","",IFERROR(I95/D95,0))</f>
        <v/>
      </c>
      <c r="K95" s="7" t="n"/>
      <c r="L95" s="18">
        <f>IF(F95="","",F95-K95)</f>
        <v/>
      </c>
      <c r="M95" s="7">
        <f>IF(L95="","",IF(L95&gt;0,"Hausse",IF(L95&lt;0,"Baisse","Stable")))</f>
        <v/>
      </c>
    </row>
    <row r="96">
      <c r="A96" s="4" t="n"/>
      <c r="B96" s="4" t="n"/>
      <c r="C96" s="5" t="n"/>
      <c r="D96" s="4" t="n"/>
      <c r="E96" s="4" t="n"/>
      <c r="F96" s="16">
        <f>IF(C96="","",IFERROR(D96*1000000/C96,0))</f>
        <v/>
      </c>
      <c r="G96" s="17">
        <f>IF(C96="","",IFERROR(E96*1000/C96,0))</f>
        <v/>
      </c>
      <c r="H96" s="4" t="n"/>
      <c r="I96" s="4" t="n"/>
      <c r="J96" s="16">
        <f>IF(D96="","",IFERROR(I96/D96,0))</f>
        <v/>
      </c>
      <c r="K96" s="4" t="n"/>
      <c r="L96" s="16">
        <f>IF(F96="","",F96-K96)</f>
        <v/>
      </c>
      <c r="M96" s="4">
        <f>IF(L96="","",IF(L96&gt;0,"Hausse",IF(L96&lt;0,"Baisse","Stable")))</f>
        <v/>
      </c>
    </row>
    <row r="97">
      <c r="A97" s="7" t="n"/>
      <c r="B97" s="7" t="n"/>
      <c r="C97" s="8" t="n"/>
      <c r="D97" s="7" t="n"/>
      <c r="E97" s="7" t="n"/>
      <c r="F97" s="18">
        <f>IF(C97="","",IFERROR(D97*1000000/C97,0))</f>
        <v/>
      </c>
      <c r="G97" s="19">
        <f>IF(C97="","",IFERROR(E97*1000/C97,0))</f>
        <v/>
      </c>
      <c r="H97" s="7" t="n"/>
      <c r="I97" s="7" t="n"/>
      <c r="J97" s="18">
        <f>IF(D97="","",IFERROR(I97/D97,0))</f>
        <v/>
      </c>
      <c r="K97" s="7" t="n"/>
      <c r="L97" s="18">
        <f>IF(F97="","",F97-K97)</f>
        <v/>
      </c>
      <c r="M97" s="7">
        <f>IF(L97="","",IF(L97&gt;0,"Hausse",IF(L97&lt;0,"Baisse","Stable")))</f>
        <v/>
      </c>
    </row>
    <row r="98">
      <c r="A98" s="4" t="n"/>
      <c r="B98" s="4" t="n"/>
      <c r="C98" s="5" t="n"/>
      <c r="D98" s="4" t="n"/>
      <c r="E98" s="4" t="n"/>
      <c r="F98" s="16">
        <f>IF(C98="","",IFERROR(D98*1000000/C98,0))</f>
        <v/>
      </c>
      <c r="G98" s="17">
        <f>IF(C98="","",IFERROR(E98*1000/C98,0))</f>
        <v/>
      </c>
      <c r="H98" s="4" t="n"/>
      <c r="I98" s="4" t="n"/>
      <c r="J98" s="16">
        <f>IF(D98="","",IFERROR(I98/D98,0))</f>
        <v/>
      </c>
      <c r="K98" s="4" t="n"/>
      <c r="L98" s="16">
        <f>IF(F98="","",F98-K98)</f>
        <v/>
      </c>
      <c r="M98" s="4">
        <f>IF(L98="","",IF(L98&gt;0,"Hausse",IF(L98&lt;0,"Baisse","Stable")))</f>
        <v/>
      </c>
    </row>
    <row r="99">
      <c r="A99" s="7" t="n"/>
      <c r="B99" s="7" t="n"/>
      <c r="C99" s="8" t="n"/>
      <c r="D99" s="7" t="n"/>
      <c r="E99" s="7" t="n"/>
      <c r="F99" s="18">
        <f>IF(C99="","",IFERROR(D99*1000000/C99,0))</f>
        <v/>
      </c>
      <c r="G99" s="19">
        <f>IF(C99="","",IFERROR(E99*1000/C99,0))</f>
        <v/>
      </c>
      <c r="H99" s="7" t="n"/>
      <c r="I99" s="7" t="n"/>
      <c r="J99" s="18">
        <f>IF(D99="","",IFERROR(I99/D99,0))</f>
        <v/>
      </c>
      <c r="K99" s="7" t="n"/>
      <c r="L99" s="18">
        <f>IF(F99="","",F99-K99)</f>
        <v/>
      </c>
      <c r="M99" s="7">
        <f>IF(L99="","",IF(L99&gt;0,"Hausse",IF(L99&lt;0,"Baisse","Stable")))</f>
        <v/>
      </c>
    </row>
    <row r="100">
      <c r="A100" s="4" t="n"/>
      <c r="B100" s="4" t="n"/>
      <c r="C100" s="5" t="n"/>
      <c r="D100" s="4" t="n"/>
      <c r="E100" s="4" t="n"/>
      <c r="F100" s="16">
        <f>IF(C100="","",IFERROR(D100*1000000/C100,0))</f>
        <v/>
      </c>
      <c r="G100" s="17">
        <f>IF(C100="","",IFERROR(E100*1000/C100,0))</f>
        <v/>
      </c>
      <c r="H100" s="4" t="n"/>
      <c r="I100" s="4" t="n"/>
      <c r="J100" s="16">
        <f>IF(D100="","",IFERROR(I100/D100,0))</f>
        <v/>
      </c>
      <c r="K100" s="4" t="n"/>
      <c r="L100" s="16">
        <f>IF(F100="","",F100-K100)</f>
        <v/>
      </c>
      <c r="M100" s="4">
        <f>IF(L100="","",IF(L100&gt;0,"Hausse",IF(L100&lt;0,"Baisse","Stable")))</f>
        <v/>
      </c>
    </row>
    <row r="101">
      <c r="A101" s="7" t="n"/>
      <c r="B101" s="7" t="n"/>
      <c r="C101" s="8" t="n"/>
      <c r="D101" s="7" t="n"/>
      <c r="E101" s="7" t="n"/>
      <c r="F101" s="18">
        <f>IF(C101="","",IFERROR(D101*1000000/C101,0))</f>
        <v/>
      </c>
      <c r="G101" s="19">
        <f>IF(C101="","",IFERROR(E101*1000/C101,0))</f>
        <v/>
      </c>
      <c r="H101" s="7" t="n"/>
      <c r="I101" s="7" t="n"/>
      <c r="J101" s="18">
        <f>IF(D101="","",IFERROR(I101/D101,0))</f>
        <v/>
      </c>
      <c r="K101" s="7" t="n"/>
      <c r="L101" s="18">
        <f>IF(F101="","",F101-K101)</f>
        <v/>
      </c>
      <c r="M101" s="7">
        <f>IF(L101="","",IF(L101&gt;0,"Hausse",IF(L101&lt;0,"Baisse","Stable")))</f>
        <v/>
      </c>
    </row>
    <row r="102">
      <c r="A102" s="4" t="n"/>
      <c r="B102" s="4" t="n"/>
      <c r="C102" s="5" t="n"/>
      <c r="D102" s="4" t="n"/>
      <c r="E102" s="4" t="n"/>
      <c r="F102" s="16">
        <f>IF(C102="","",IFERROR(D102*1000000/C102,0))</f>
        <v/>
      </c>
      <c r="G102" s="17">
        <f>IF(C102="","",IFERROR(E102*1000/C102,0))</f>
        <v/>
      </c>
      <c r="H102" s="4" t="n"/>
      <c r="I102" s="4" t="n"/>
      <c r="J102" s="16">
        <f>IF(D102="","",IFERROR(I102/D102,0))</f>
        <v/>
      </c>
      <c r="K102" s="4" t="n"/>
      <c r="L102" s="16">
        <f>IF(F102="","",F102-K102)</f>
        <v/>
      </c>
      <c r="M102" s="4">
        <f>IF(L102="","",IF(L102&gt;0,"Hausse",IF(L102&lt;0,"Baisse","Stable")))</f>
        <v/>
      </c>
    </row>
    <row r="103">
      <c r="A103" s="7" t="n"/>
      <c r="B103" s="7" t="n"/>
      <c r="C103" s="8" t="n"/>
      <c r="D103" s="7" t="n"/>
      <c r="E103" s="7" t="n"/>
      <c r="F103" s="18">
        <f>IF(C103="","",IFERROR(D103*1000000/C103,0))</f>
        <v/>
      </c>
      <c r="G103" s="19">
        <f>IF(C103="","",IFERROR(E103*1000/C103,0))</f>
        <v/>
      </c>
      <c r="H103" s="7" t="n"/>
      <c r="I103" s="7" t="n"/>
      <c r="J103" s="18">
        <f>IF(D103="","",IFERROR(I103/D103,0))</f>
        <v/>
      </c>
      <c r="K103" s="7" t="n"/>
      <c r="L103" s="18">
        <f>IF(F103="","",F103-K103)</f>
        <v/>
      </c>
      <c r="M103" s="7">
        <f>IF(L103="","",IF(L103&gt;0,"Hausse",IF(L103&lt;0,"Baisse","Stable")))</f>
        <v/>
      </c>
    </row>
    <row r="104">
      <c r="A104" s="4" t="n"/>
      <c r="B104" s="4" t="n"/>
      <c r="C104" s="5" t="n"/>
      <c r="D104" s="4" t="n"/>
      <c r="E104" s="4" t="n"/>
      <c r="F104" s="16">
        <f>IF(C104="","",IFERROR(D104*1000000/C104,0))</f>
        <v/>
      </c>
      <c r="G104" s="17">
        <f>IF(C104="","",IFERROR(E104*1000/C104,0))</f>
        <v/>
      </c>
      <c r="H104" s="4" t="n"/>
      <c r="I104" s="4" t="n"/>
      <c r="J104" s="16">
        <f>IF(D104="","",IFERROR(I104/D104,0))</f>
        <v/>
      </c>
      <c r="K104" s="4" t="n"/>
      <c r="L104" s="16">
        <f>IF(F104="","",F104-K104)</f>
        <v/>
      </c>
      <c r="M104" s="4">
        <f>IF(L104="","",IF(L104&gt;0,"Hausse",IF(L104&lt;0,"Baisse","Stable")))</f>
        <v/>
      </c>
    </row>
    <row r="105">
      <c r="A105" s="7" t="n"/>
      <c r="B105" s="7" t="n"/>
      <c r="C105" s="8" t="n"/>
      <c r="D105" s="7" t="n"/>
      <c r="E105" s="7" t="n"/>
      <c r="F105" s="18">
        <f>IF(C105="","",IFERROR(D105*1000000/C105,0))</f>
        <v/>
      </c>
      <c r="G105" s="19">
        <f>IF(C105="","",IFERROR(E105*1000/C105,0))</f>
        <v/>
      </c>
      <c r="H105" s="7" t="n"/>
      <c r="I105" s="7" t="n"/>
      <c r="J105" s="18">
        <f>IF(D105="","",IFERROR(I105/D105,0))</f>
        <v/>
      </c>
      <c r="K105" s="7" t="n"/>
      <c r="L105" s="18">
        <f>IF(F105="","",F105-K105)</f>
        <v/>
      </c>
      <c r="M105" s="7">
        <f>IF(L105="","",IF(L105&gt;0,"Hausse",IF(L105&lt;0,"Baisse","Stable")))</f>
        <v/>
      </c>
    </row>
    <row r="106">
      <c r="A106" s="4" t="n"/>
      <c r="B106" s="4" t="n"/>
      <c r="C106" s="5" t="n"/>
      <c r="D106" s="4" t="n"/>
      <c r="E106" s="4" t="n"/>
      <c r="F106" s="16">
        <f>IF(C106="","",IFERROR(D106*1000000/C106,0))</f>
        <v/>
      </c>
      <c r="G106" s="17">
        <f>IF(C106="","",IFERROR(E106*1000/C106,0))</f>
        <v/>
      </c>
      <c r="H106" s="4" t="n"/>
      <c r="I106" s="4" t="n"/>
      <c r="J106" s="16">
        <f>IF(D106="","",IFERROR(I106/D106,0))</f>
        <v/>
      </c>
      <c r="K106" s="4" t="n"/>
      <c r="L106" s="16">
        <f>IF(F106="","",F106-K106)</f>
        <v/>
      </c>
      <c r="M106" s="4">
        <f>IF(L106="","",IF(L106&gt;0,"Hausse",IF(L106&lt;0,"Baisse","Stable")))</f>
        <v/>
      </c>
    </row>
    <row r="107">
      <c r="A107" s="7" t="n"/>
      <c r="B107" s="7" t="n"/>
      <c r="C107" s="8" t="n"/>
      <c r="D107" s="7" t="n"/>
      <c r="E107" s="7" t="n"/>
      <c r="F107" s="18">
        <f>IF(C107="","",IFERROR(D107*1000000/C107,0))</f>
        <v/>
      </c>
      <c r="G107" s="19">
        <f>IF(C107="","",IFERROR(E107*1000/C107,0))</f>
        <v/>
      </c>
      <c r="H107" s="7" t="n"/>
      <c r="I107" s="7" t="n"/>
      <c r="J107" s="18">
        <f>IF(D107="","",IFERROR(I107/D107,0))</f>
        <v/>
      </c>
      <c r="K107" s="7" t="n"/>
      <c r="L107" s="18">
        <f>IF(F107="","",F107-K107)</f>
        <v/>
      </c>
      <c r="M107" s="7">
        <f>IF(L107="","",IF(L107&gt;0,"Hausse",IF(L107&lt;0,"Baisse","Stable")))</f>
        <v/>
      </c>
    </row>
    <row r="108">
      <c r="A108" s="4" t="n"/>
      <c r="B108" s="4" t="n"/>
      <c r="C108" s="5" t="n"/>
      <c r="D108" s="4" t="n"/>
      <c r="E108" s="4" t="n"/>
      <c r="F108" s="16">
        <f>IF(C108="","",IFERROR(D108*1000000/C108,0))</f>
        <v/>
      </c>
      <c r="G108" s="17">
        <f>IF(C108="","",IFERROR(E108*1000/C108,0))</f>
        <v/>
      </c>
      <c r="H108" s="4" t="n"/>
      <c r="I108" s="4" t="n"/>
      <c r="J108" s="16">
        <f>IF(D108="","",IFERROR(I108/D108,0))</f>
        <v/>
      </c>
      <c r="K108" s="4" t="n"/>
      <c r="L108" s="16">
        <f>IF(F108="","",F108-K108)</f>
        <v/>
      </c>
      <c r="M108" s="4">
        <f>IF(L108="","",IF(L108&gt;0,"Hausse",IF(L108&lt;0,"Baisse","Stable")))</f>
        <v/>
      </c>
    </row>
    <row r="109">
      <c r="A109" s="7" t="n"/>
      <c r="B109" s="7" t="n"/>
      <c r="C109" s="8" t="n"/>
      <c r="D109" s="7" t="n"/>
      <c r="E109" s="7" t="n"/>
      <c r="F109" s="18">
        <f>IF(C109="","",IFERROR(D109*1000000/C109,0))</f>
        <v/>
      </c>
      <c r="G109" s="19">
        <f>IF(C109="","",IFERROR(E109*1000/C109,0))</f>
        <v/>
      </c>
      <c r="H109" s="7" t="n"/>
      <c r="I109" s="7" t="n"/>
      <c r="J109" s="18">
        <f>IF(D109="","",IFERROR(I109/D109,0))</f>
        <v/>
      </c>
      <c r="K109" s="7" t="n"/>
      <c r="L109" s="18">
        <f>IF(F109="","",F109-K109)</f>
        <v/>
      </c>
      <c r="M109" s="7">
        <f>IF(L109="","",IF(L109&gt;0,"Hausse",IF(L109&lt;0,"Baisse","Stable")))</f>
        <v/>
      </c>
    </row>
    <row r="110">
      <c r="A110" s="4" t="n"/>
      <c r="B110" s="4" t="n"/>
      <c r="C110" s="5" t="n"/>
      <c r="D110" s="4" t="n"/>
      <c r="E110" s="4" t="n"/>
      <c r="F110" s="16">
        <f>IF(C110="","",IFERROR(D110*1000000/C110,0))</f>
        <v/>
      </c>
      <c r="G110" s="17">
        <f>IF(C110="","",IFERROR(E110*1000/C110,0))</f>
        <v/>
      </c>
      <c r="H110" s="4" t="n"/>
      <c r="I110" s="4" t="n"/>
      <c r="J110" s="16">
        <f>IF(D110="","",IFERROR(I110/D110,0))</f>
        <v/>
      </c>
      <c r="K110" s="4" t="n"/>
      <c r="L110" s="16">
        <f>IF(F110="","",F110-K110)</f>
        <v/>
      </c>
      <c r="M110" s="4">
        <f>IF(L110="","",IF(L110&gt;0,"Hausse",IF(L110&lt;0,"Baisse","Stable")))</f>
        <v/>
      </c>
    </row>
    <row r="111">
      <c r="A111" s="7" t="n"/>
      <c r="B111" s="7" t="n"/>
      <c r="C111" s="8" t="n"/>
      <c r="D111" s="7" t="n"/>
      <c r="E111" s="7" t="n"/>
      <c r="F111" s="18">
        <f>IF(C111="","",IFERROR(D111*1000000/C111,0))</f>
        <v/>
      </c>
      <c r="G111" s="19">
        <f>IF(C111="","",IFERROR(E111*1000/C111,0))</f>
        <v/>
      </c>
      <c r="H111" s="7" t="n"/>
      <c r="I111" s="7" t="n"/>
      <c r="J111" s="18">
        <f>IF(D111="","",IFERROR(I111/D111,0))</f>
        <v/>
      </c>
      <c r="K111" s="7" t="n"/>
      <c r="L111" s="18">
        <f>IF(F111="","",F111-K111)</f>
        <v/>
      </c>
      <c r="M111" s="7">
        <f>IF(L111="","",IF(L111&gt;0,"Hausse",IF(L111&lt;0,"Baisse","Stable")))</f>
        <v/>
      </c>
    </row>
    <row r="112">
      <c r="A112" s="4" t="n"/>
      <c r="B112" s="4" t="n"/>
      <c r="C112" s="5" t="n"/>
      <c r="D112" s="4" t="n"/>
      <c r="E112" s="4" t="n"/>
      <c r="F112" s="16">
        <f>IF(C112="","",IFERROR(D112*1000000/C112,0))</f>
        <v/>
      </c>
      <c r="G112" s="17">
        <f>IF(C112="","",IFERROR(E112*1000/C112,0))</f>
        <v/>
      </c>
      <c r="H112" s="4" t="n"/>
      <c r="I112" s="4" t="n"/>
      <c r="J112" s="16">
        <f>IF(D112="","",IFERROR(I112/D112,0))</f>
        <v/>
      </c>
      <c r="K112" s="4" t="n"/>
      <c r="L112" s="16">
        <f>IF(F112="","",F112-K112)</f>
        <v/>
      </c>
      <c r="M112" s="4">
        <f>IF(L112="","",IF(L112&gt;0,"Hausse",IF(L112&lt;0,"Baisse","Stable")))</f>
        <v/>
      </c>
    </row>
    <row r="113">
      <c r="A113" s="7" t="n"/>
      <c r="B113" s="7" t="n"/>
      <c r="C113" s="8" t="n"/>
      <c r="D113" s="7" t="n"/>
      <c r="E113" s="7" t="n"/>
      <c r="F113" s="18">
        <f>IF(C113="","",IFERROR(D113*1000000/C113,0))</f>
        <v/>
      </c>
      <c r="G113" s="19">
        <f>IF(C113="","",IFERROR(E113*1000/C113,0))</f>
        <v/>
      </c>
      <c r="H113" s="7" t="n"/>
      <c r="I113" s="7" t="n"/>
      <c r="J113" s="18">
        <f>IF(D113="","",IFERROR(I113/D113,0))</f>
        <v/>
      </c>
      <c r="K113" s="7" t="n"/>
      <c r="L113" s="18">
        <f>IF(F113="","",F113-K113)</f>
        <v/>
      </c>
      <c r="M113" s="7">
        <f>IF(L113="","",IF(L113&gt;0,"Hausse",IF(L113&lt;0,"Baisse","Stable")))</f>
        <v/>
      </c>
    </row>
    <row r="114">
      <c r="A114" s="4" t="n"/>
      <c r="B114" s="4" t="n"/>
      <c r="C114" s="5" t="n"/>
      <c r="D114" s="4" t="n"/>
      <c r="E114" s="4" t="n"/>
      <c r="F114" s="16">
        <f>IF(C114="","",IFERROR(D114*1000000/C114,0))</f>
        <v/>
      </c>
      <c r="G114" s="17">
        <f>IF(C114="","",IFERROR(E114*1000/C114,0))</f>
        <v/>
      </c>
      <c r="H114" s="4" t="n"/>
      <c r="I114" s="4" t="n"/>
      <c r="J114" s="16">
        <f>IF(D114="","",IFERROR(I114/D114,0))</f>
        <v/>
      </c>
      <c r="K114" s="4" t="n"/>
      <c r="L114" s="16">
        <f>IF(F114="","",F114-K114)</f>
        <v/>
      </c>
      <c r="M114" s="4">
        <f>IF(L114="","",IF(L114&gt;0,"Hausse",IF(L114&lt;0,"Baisse","Stable")))</f>
        <v/>
      </c>
    </row>
    <row r="115">
      <c r="A115" s="7" t="n"/>
      <c r="B115" s="7" t="n"/>
      <c r="C115" s="8" t="n"/>
      <c r="D115" s="7" t="n"/>
      <c r="E115" s="7" t="n"/>
      <c r="F115" s="18">
        <f>IF(C115="","",IFERROR(D115*1000000/C115,0))</f>
        <v/>
      </c>
      <c r="G115" s="19">
        <f>IF(C115="","",IFERROR(E115*1000/C115,0))</f>
        <v/>
      </c>
      <c r="H115" s="7" t="n"/>
      <c r="I115" s="7" t="n"/>
      <c r="J115" s="18">
        <f>IF(D115="","",IFERROR(I115/D115,0))</f>
        <v/>
      </c>
      <c r="K115" s="7" t="n"/>
      <c r="L115" s="18">
        <f>IF(F115="","",F115-K115)</f>
        <v/>
      </c>
      <c r="M115" s="7">
        <f>IF(L115="","",IF(L115&gt;0,"Hausse",IF(L115&lt;0,"Baisse","Stable")))</f>
        <v/>
      </c>
    </row>
  </sheetData>
  <mergeCells count="2">
    <mergeCell ref="A3:P3"/>
    <mergeCell ref="A2:P2"/>
  </mergeCells>
  <conditionalFormatting sqref="M6:M115">
    <cfRule type="cellIs" priority="1" operator="equal" dxfId="2">
      <formula>"Hausse"</formula>
    </cfRule>
    <cfRule type="cellIs" priority="2" operator="equal" dxfId="1">
      <formula>"Baisse"</formula>
    </cfRule>
    <cfRule type="cellIs" priority="3" operator="equal" dxfId="0">
      <formula>"Stable"</formula>
    </cfRule>
  </conditionalFormatting>
  <dataValidations count="1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6BB6A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6" customWidth="1" min="10" max="10"/>
    <col width="16" customWidth="1" min="11" max="11"/>
    <col width="30" customWidth="1" min="12" max="12"/>
  </cols>
  <sheetData>
    <row r="2" ht="25" customHeight="1">
      <c r="A2" s="1" t="inlineStr">
        <is>
          <t>DOMAINE 27 — 11-GESTION DES ÉQUIPEMENTS MÉDICAUX ET TROUSSES DE SECOURS</t>
        </is>
      </c>
    </row>
    <row r="3" ht="18" customHeight="1">
      <c r="A3" s="2" t="inlineStr">
        <is>
          <t>TABLEAU DYNAMIQUE — Inventaire, vérification et renouvellement</t>
        </is>
      </c>
    </row>
    <row r="5">
      <c r="A5" s="3" t="inlineStr">
        <is>
          <t>Code Équip.</t>
        </is>
      </c>
      <c r="B5" s="3" t="inlineStr">
        <is>
          <t>Désignation</t>
        </is>
      </c>
      <c r="C5" s="3" t="inlineStr">
        <is>
          <t>Localisation</t>
        </is>
      </c>
      <c r="D5" s="3" t="inlineStr">
        <is>
          <t>Quantité</t>
        </is>
      </c>
      <c r="E5" s="3" t="inlineStr">
        <is>
          <t>Date Acquisition</t>
        </is>
      </c>
      <c r="F5" s="3" t="inlineStr">
        <is>
          <t>Date Validité</t>
        </is>
      </c>
      <c r="G5" s="3" t="inlineStr">
        <is>
          <t>État</t>
        </is>
      </c>
      <c r="H5" s="3" t="inlineStr">
        <is>
          <t>Coût (FCFA)</t>
        </is>
      </c>
      <c r="I5" s="3" t="inlineStr">
        <is>
          <t>Dernière Vérification</t>
        </is>
      </c>
      <c r="J5" s="3" t="inlineStr">
        <is>
          <t>Prochaine Vérification</t>
        </is>
      </c>
      <c r="K5" s="3" t="inlineStr">
        <is>
          <t>Responsable</t>
        </is>
      </c>
      <c r="L5" s="3" t="inlineStr">
        <is>
          <t>Observations</t>
        </is>
      </c>
    </row>
    <row r="6">
      <c r="A6" s="4" t="inlineStr">
        <is>
          <t>EQM-001</t>
        </is>
      </c>
      <c r="B6" s="4" t="inlineStr">
        <is>
          <t>Défibrillateur (DEA)</t>
        </is>
      </c>
      <c r="C6" s="4" t="inlineStr">
        <is>
          <t>Hall réception</t>
        </is>
      </c>
      <c r="D6" s="4" t="n">
        <v>1</v>
      </c>
      <c r="E6" s="14" t="n">
        <v>45306</v>
      </c>
      <c r="F6" s="14" t="n">
        <v>46402</v>
      </c>
      <c r="G6" s="4" t="inlineStr">
        <is>
          <t>Bon</t>
        </is>
      </c>
      <c r="H6" s="5" t="n">
        <v>850000</v>
      </c>
      <c r="I6" s="14" t="n">
        <v>45748</v>
      </c>
      <c r="J6" s="14" t="n">
        <v>45931</v>
      </c>
      <c r="K6" s="4" t="inlineStr">
        <is>
          <t>M. Ondo</t>
        </is>
      </c>
      <c r="L6" s="4" t="inlineStr">
        <is>
          <t>Batterie OK, électrodes en stock</t>
        </is>
      </c>
    </row>
    <row r="7">
      <c r="A7" s="7" t="inlineStr">
        <is>
          <t>EQM-002</t>
        </is>
      </c>
      <c r="B7" s="7" t="inlineStr">
        <is>
          <t>Trousse premiers soins</t>
        </is>
      </c>
      <c r="C7" s="7" t="inlineStr">
        <is>
          <t>Cuisine</t>
        </is>
      </c>
      <c r="D7" s="7" t="n">
        <v>2</v>
      </c>
      <c r="E7" s="15" t="n">
        <v>45667</v>
      </c>
      <c r="F7" s="15" t="n">
        <v>46032</v>
      </c>
      <c r="G7" s="7" t="inlineStr">
        <is>
          <t>Bon</t>
        </is>
      </c>
      <c r="H7" s="8" t="n">
        <v>35000</v>
      </c>
      <c r="I7" s="15" t="n">
        <v>45778</v>
      </c>
      <c r="J7" s="15" t="n">
        <v>45870</v>
      </c>
      <c r="K7" s="7" t="inlineStr">
        <is>
          <t>M. Tchinda</t>
        </is>
      </c>
      <c r="L7" s="7" t="inlineStr">
        <is>
          <t>Consommables à renouveler Q3</t>
        </is>
      </c>
    </row>
    <row r="8">
      <c r="A8" s="4" t="inlineStr">
        <is>
          <t>EQM-003</t>
        </is>
      </c>
      <c r="B8" s="4" t="inlineStr">
        <is>
          <t>Trousse premiers soins</t>
        </is>
      </c>
      <c r="C8" s="4" t="inlineStr">
        <is>
          <t>Maintenance</t>
        </is>
      </c>
      <c r="D8" s="4" t="n">
        <v>1</v>
      </c>
      <c r="E8" s="14" t="n">
        <v>45667</v>
      </c>
      <c r="F8" s="14" t="n">
        <v>46032</v>
      </c>
      <c r="G8" s="4" t="inlineStr">
        <is>
          <t>Bon</t>
        </is>
      </c>
      <c r="H8" s="5" t="n">
        <v>35000</v>
      </c>
      <c r="I8" s="14" t="n">
        <v>45778</v>
      </c>
      <c r="J8" s="14" t="n">
        <v>45870</v>
      </c>
      <c r="K8" s="4" t="inlineStr">
        <is>
          <t>M. Ondo</t>
        </is>
      </c>
      <c r="L8" s="4" t="inlineStr">
        <is>
          <t>Stock complet</t>
        </is>
      </c>
    </row>
    <row r="9">
      <c r="A9" s="7" t="inlineStr">
        <is>
          <t>EQM-004</t>
        </is>
      </c>
      <c r="B9" s="7" t="inlineStr">
        <is>
          <t>Tensiomètre</t>
        </is>
      </c>
      <c r="C9" s="7" t="inlineStr">
        <is>
          <t>Infirmerie</t>
        </is>
      </c>
      <c r="D9" s="7" t="n">
        <v>1</v>
      </c>
      <c r="E9" s="15" t="n">
        <v>45444</v>
      </c>
      <c r="F9" s="15" t="n">
        <v>46539</v>
      </c>
      <c r="G9" s="7" t="inlineStr">
        <is>
          <t>Bon</t>
        </is>
      </c>
      <c r="H9" s="8" t="n">
        <v>120000</v>
      </c>
      <c r="I9" s="15" t="n">
        <v>45717</v>
      </c>
      <c r="J9" s="15" t="n">
        <v>45901</v>
      </c>
      <c r="K9" s="7" t="inlineStr">
        <is>
          <t>Dr. Manga</t>
        </is>
      </c>
      <c r="L9" s="7" t="inlineStr">
        <is>
          <t>Étalonnage OK</t>
        </is>
      </c>
    </row>
    <row r="10">
      <c r="A10" s="4" t="inlineStr">
        <is>
          <t>EQM-005</t>
        </is>
      </c>
      <c r="B10" s="4" t="inlineStr">
        <is>
          <t>Oxymètre</t>
        </is>
      </c>
      <c r="C10" s="4" t="inlineStr">
        <is>
          <t>Infirmerie</t>
        </is>
      </c>
      <c r="D10" s="4" t="n">
        <v>2</v>
      </c>
      <c r="E10" s="14" t="n">
        <v>45505</v>
      </c>
      <c r="F10" s="14" t="n">
        <v>46600</v>
      </c>
      <c r="G10" s="4" t="inlineStr">
        <is>
          <t>Bon</t>
        </is>
      </c>
      <c r="H10" s="5" t="n">
        <v>45000</v>
      </c>
      <c r="I10" s="14" t="n">
        <v>45717</v>
      </c>
      <c r="J10" s="14" t="n">
        <v>45901</v>
      </c>
      <c r="K10" s="4" t="inlineStr">
        <is>
          <t>Dr. Manga</t>
        </is>
      </c>
      <c r="L10" s="4" t="inlineStr">
        <is>
          <t>Fonctionnel</t>
        </is>
      </c>
    </row>
    <row r="11">
      <c r="A11" s="7" t="inlineStr">
        <is>
          <t>EQM-006</t>
        </is>
      </c>
      <c r="B11" s="7" t="inlineStr">
        <is>
          <t>Brancard</t>
        </is>
      </c>
      <c r="C11" s="7" t="inlineStr">
        <is>
          <t>Infirmerie</t>
        </is>
      </c>
      <c r="D11" s="7" t="n">
        <v>1</v>
      </c>
      <c r="E11" s="15" t="n">
        <v>44986</v>
      </c>
      <c r="F11" s="15" t="n">
        <v>46813</v>
      </c>
      <c r="G11" s="7" t="inlineStr">
        <is>
          <t>Usé</t>
        </is>
      </c>
      <c r="H11" s="8" t="n">
        <v>180000</v>
      </c>
      <c r="I11" s="15" t="n">
        <v>45748</v>
      </c>
      <c r="J11" s="15" t="n">
        <v>45931</v>
      </c>
      <c r="K11" s="7" t="inlineStr">
        <is>
          <t>Dr. Manga</t>
        </is>
      </c>
      <c r="L11" s="7" t="inlineStr">
        <is>
          <t>Remplacement prévu 2026</t>
        </is>
      </c>
    </row>
    <row r="12">
      <c r="A12" s="4" t="inlineStr">
        <is>
          <t>EQM-007</t>
        </is>
      </c>
      <c r="B12" s="4" t="inlineStr">
        <is>
          <t>Collier cervical</t>
        </is>
      </c>
      <c r="C12" s="4" t="inlineStr">
        <is>
          <t>Infirmerie</t>
        </is>
      </c>
      <c r="D12" s="4" t="n">
        <v>4</v>
      </c>
      <c r="E12" s="14" t="n">
        <v>45292</v>
      </c>
      <c r="F12" s="14" t="n">
        <v>47119</v>
      </c>
      <c r="G12" s="4" t="inlineStr">
        <is>
          <t>Bon</t>
        </is>
      </c>
      <c r="H12" s="5" t="n">
        <v>15000</v>
      </c>
      <c r="I12" s="14" t="n">
        <v>45748</v>
      </c>
      <c r="J12" s="14" t="n">
        <v>45931</v>
      </c>
      <c r="K12" s="4" t="inlineStr">
        <is>
          <t>Dr. Manga</t>
        </is>
      </c>
      <c r="L12" s="4" t="inlineStr">
        <is>
          <t>Tailles S, M, L, XL</t>
        </is>
      </c>
    </row>
    <row r="13">
      <c r="A13" s="7" t="inlineStr">
        <is>
          <t>EQM-008</t>
        </is>
      </c>
      <c r="B13" s="7" t="inlineStr">
        <is>
          <t>Trousse brûlures</t>
        </is>
      </c>
      <c r="C13" s="7" t="inlineStr">
        <is>
          <t>Cuisine</t>
        </is>
      </c>
      <c r="D13" s="7" t="n">
        <v>1</v>
      </c>
      <c r="E13" s="15" t="n">
        <v>45689</v>
      </c>
      <c r="F13" s="15" t="n">
        <v>46054</v>
      </c>
      <c r="G13" s="7" t="inlineStr">
        <is>
          <t>Bon</t>
        </is>
      </c>
      <c r="H13" s="8" t="n">
        <v>25000</v>
      </c>
      <c r="I13" s="15" t="n">
        <v>45778</v>
      </c>
      <c r="J13" s="15" t="n">
        <v>45870</v>
      </c>
      <c r="K13" s="7" t="inlineStr">
        <is>
          <t>M. Tchinda</t>
        </is>
      </c>
      <c r="L13" s="7" t="inlineStr">
        <is>
          <t>Spécial brûlures thermiques</t>
        </is>
      </c>
    </row>
    <row r="14">
      <c r="A14" s="4" t="inlineStr">
        <is>
          <t>EQM-009</t>
        </is>
      </c>
      <c r="B14" s="4" t="inlineStr">
        <is>
          <t>Sac d'évacuation</t>
        </is>
      </c>
      <c r="C14" s="4" t="inlineStr">
        <is>
          <t>Bâtiment principal</t>
        </is>
      </c>
      <c r="D14" s="4" t="n">
        <v>2</v>
      </c>
      <c r="E14" s="14" t="n">
        <v>45444</v>
      </c>
      <c r="F14" s="14" t="n">
        <v>46539</v>
      </c>
      <c r="G14" s="4" t="inlineStr">
        <is>
          <t>Bon</t>
        </is>
      </c>
      <c r="H14" s="5" t="n">
        <v>95000</v>
      </c>
      <c r="I14" s="14" t="n">
        <v>45748</v>
      </c>
      <c r="J14" s="14" t="n">
        <v>45931</v>
      </c>
      <c r="K14" s="4" t="inlineStr">
        <is>
          <t>Capitaine Mba</t>
        </is>
      </c>
      <c r="L14" s="4" t="inlineStr">
        <is>
          <t>Contenu vérifié avril</t>
        </is>
      </c>
    </row>
    <row r="15">
      <c r="A15" s="7" t="inlineStr">
        <is>
          <t>EQM-010</t>
        </is>
      </c>
      <c r="B15" s="7" t="inlineStr">
        <is>
          <t>Stéthoscope</t>
        </is>
      </c>
      <c r="C15" s="7" t="inlineStr">
        <is>
          <t>Infirmerie</t>
        </is>
      </c>
      <c r="D15" s="7" t="n">
        <v>2</v>
      </c>
      <c r="E15" s="15" t="n">
        <v>45352</v>
      </c>
      <c r="F15" s="15" t="n">
        <v>47178</v>
      </c>
      <c r="G15" s="7" t="inlineStr">
        <is>
          <t>Bon</t>
        </is>
      </c>
      <c r="H15" s="8" t="n">
        <v>35000</v>
      </c>
      <c r="I15" s="15" t="n">
        <v>45717</v>
      </c>
      <c r="J15" s="15" t="n">
        <v>45901</v>
      </c>
      <c r="K15" s="7" t="inlineStr">
        <is>
          <t>Dr. Manga</t>
        </is>
      </c>
      <c r="L15" s="7" t="inlineStr">
        <is>
          <t>Fonctionnel</t>
        </is>
      </c>
    </row>
    <row r="16">
      <c r="A16" s="4" t="n"/>
      <c r="B16" s="4" t="n"/>
      <c r="C16" s="4" t="n"/>
      <c r="D16" s="4" t="n"/>
      <c r="E16" s="4" t="n"/>
      <c r="F16" s="4" t="n"/>
      <c r="G16" s="4" t="n"/>
      <c r="H16" s="5" t="n"/>
      <c r="I16" s="4" t="n"/>
      <c r="J16" s="4" t="n"/>
      <c r="K16" s="4" t="n"/>
      <c r="L16" s="4" t="n"/>
    </row>
    <row r="17">
      <c r="A17" s="7" t="n"/>
      <c r="B17" s="7" t="n"/>
      <c r="C17" s="7" t="n"/>
      <c r="D17" s="7" t="n"/>
      <c r="E17" s="7" t="n"/>
      <c r="F17" s="7" t="n"/>
      <c r="G17" s="7" t="n"/>
      <c r="H17" s="8" t="n"/>
      <c r="I17" s="7" t="n"/>
      <c r="J17" s="7" t="n"/>
      <c r="K17" s="7" t="n"/>
      <c r="L17" s="7" t="n"/>
    </row>
    <row r="18">
      <c r="A18" s="4" t="n"/>
      <c r="B18" s="4" t="n"/>
      <c r="C18" s="4" t="n"/>
      <c r="D18" s="4" t="n"/>
      <c r="E18" s="4" t="n"/>
      <c r="F18" s="4" t="n"/>
      <c r="G18" s="4" t="n"/>
      <c r="H18" s="5" t="n"/>
      <c r="I18" s="4" t="n"/>
      <c r="J18" s="4" t="n"/>
      <c r="K18" s="4" t="n"/>
      <c r="L18" s="4" t="n"/>
    </row>
    <row r="19">
      <c r="A19" s="7" t="n"/>
      <c r="B19" s="7" t="n"/>
      <c r="C19" s="7" t="n"/>
      <c r="D19" s="7" t="n"/>
      <c r="E19" s="7" t="n"/>
      <c r="F19" s="7" t="n"/>
      <c r="G19" s="7" t="n"/>
      <c r="H19" s="8" t="n"/>
      <c r="I19" s="7" t="n"/>
      <c r="J19" s="7" t="n"/>
      <c r="K19" s="7" t="n"/>
      <c r="L19" s="7" t="n"/>
    </row>
    <row r="20">
      <c r="A20" s="4" t="n"/>
      <c r="B20" s="4" t="n"/>
      <c r="C20" s="4" t="n"/>
      <c r="D20" s="4" t="n"/>
      <c r="E20" s="4" t="n"/>
      <c r="F20" s="4" t="n"/>
      <c r="G20" s="4" t="n"/>
      <c r="H20" s="5" t="n"/>
      <c r="I20" s="4" t="n"/>
      <c r="J20" s="4" t="n"/>
      <c r="K20" s="4" t="n"/>
      <c r="L20" s="4" t="n"/>
    </row>
    <row r="21">
      <c r="A21" s="7" t="n"/>
      <c r="B21" s="7" t="n"/>
      <c r="C21" s="7" t="n"/>
      <c r="D21" s="7" t="n"/>
      <c r="E21" s="7" t="n"/>
      <c r="F21" s="7" t="n"/>
      <c r="G21" s="7" t="n"/>
      <c r="H21" s="8" t="n"/>
      <c r="I21" s="7" t="n"/>
      <c r="J21" s="7" t="n"/>
      <c r="K21" s="7" t="n"/>
      <c r="L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5" t="n"/>
      <c r="I22" s="4" t="n"/>
      <c r="J22" s="4" t="n"/>
      <c r="K22" s="4" t="n"/>
      <c r="L22" s="4" t="n"/>
    </row>
    <row r="23">
      <c r="A23" s="7" t="n"/>
      <c r="B23" s="7" t="n"/>
      <c r="C23" s="7" t="n"/>
      <c r="D23" s="7" t="n"/>
      <c r="E23" s="7" t="n"/>
      <c r="F23" s="7" t="n"/>
      <c r="G23" s="7" t="n"/>
      <c r="H23" s="8" t="n"/>
      <c r="I23" s="7" t="n"/>
      <c r="J23" s="7" t="n"/>
      <c r="K23" s="7" t="n"/>
      <c r="L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5" t="n"/>
      <c r="I24" s="4" t="n"/>
      <c r="J24" s="4" t="n"/>
      <c r="K24" s="4" t="n"/>
      <c r="L24" s="4" t="n"/>
    </row>
    <row r="25">
      <c r="A25" s="7" t="n"/>
      <c r="B25" s="7" t="n"/>
      <c r="C25" s="7" t="n"/>
      <c r="D25" s="7" t="n"/>
      <c r="E25" s="7" t="n"/>
      <c r="F25" s="7" t="n"/>
      <c r="G25" s="7" t="n"/>
      <c r="H25" s="8" t="n"/>
      <c r="I25" s="7" t="n"/>
      <c r="J25" s="7" t="n"/>
      <c r="K25" s="7" t="n"/>
      <c r="L25" s="7" t="n"/>
    </row>
    <row r="26">
      <c r="A26" s="4" t="n"/>
      <c r="B26" s="4" t="n"/>
      <c r="C26" s="4" t="n"/>
      <c r="D26" s="4" t="n"/>
      <c r="E26" s="4" t="n"/>
      <c r="F26" s="4" t="n"/>
      <c r="G26" s="4" t="n"/>
      <c r="H26" s="5" t="n"/>
      <c r="I26" s="4" t="n"/>
      <c r="J26" s="4" t="n"/>
      <c r="K26" s="4" t="n"/>
      <c r="L26" s="4" t="n"/>
    </row>
    <row r="27">
      <c r="A27" s="7" t="n"/>
      <c r="B27" s="7" t="n"/>
      <c r="C27" s="7" t="n"/>
      <c r="D27" s="7" t="n"/>
      <c r="E27" s="7" t="n"/>
      <c r="F27" s="7" t="n"/>
      <c r="G27" s="7" t="n"/>
      <c r="H27" s="8" t="n"/>
      <c r="I27" s="7" t="n"/>
      <c r="J27" s="7" t="n"/>
      <c r="K27" s="7" t="n"/>
      <c r="L27" s="7" t="n"/>
    </row>
    <row r="28">
      <c r="A28" s="4" t="n"/>
      <c r="B28" s="4" t="n"/>
      <c r="C28" s="4" t="n"/>
      <c r="D28" s="4" t="n"/>
      <c r="E28" s="4" t="n"/>
      <c r="F28" s="4" t="n"/>
      <c r="G28" s="4" t="n"/>
      <c r="H28" s="5" t="n"/>
      <c r="I28" s="4" t="n"/>
      <c r="J28" s="4" t="n"/>
      <c r="K28" s="4" t="n"/>
      <c r="L28" s="4" t="n"/>
    </row>
    <row r="29">
      <c r="A29" s="7" t="n"/>
      <c r="B29" s="7" t="n"/>
      <c r="C29" s="7" t="n"/>
      <c r="D29" s="7" t="n"/>
      <c r="E29" s="7" t="n"/>
      <c r="F29" s="7" t="n"/>
      <c r="G29" s="7" t="n"/>
      <c r="H29" s="8" t="n"/>
      <c r="I29" s="7" t="n"/>
      <c r="J29" s="7" t="n"/>
      <c r="K29" s="7" t="n"/>
      <c r="L29" s="7" t="n"/>
    </row>
    <row r="30">
      <c r="A30" s="4" t="n"/>
      <c r="B30" s="4" t="n"/>
      <c r="C30" s="4" t="n"/>
      <c r="D30" s="4" t="n"/>
      <c r="E30" s="4" t="n"/>
      <c r="F30" s="4" t="n"/>
      <c r="G30" s="4" t="n"/>
      <c r="H30" s="5" t="n"/>
      <c r="I30" s="4" t="n"/>
      <c r="J30" s="4" t="n"/>
      <c r="K30" s="4" t="n"/>
      <c r="L30" s="4" t="n"/>
    </row>
    <row r="31">
      <c r="A31" s="7" t="n"/>
      <c r="B31" s="7" t="n"/>
      <c r="C31" s="7" t="n"/>
      <c r="D31" s="7" t="n"/>
      <c r="E31" s="7" t="n"/>
      <c r="F31" s="7" t="n"/>
      <c r="G31" s="7" t="n"/>
      <c r="H31" s="8" t="n"/>
      <c r="I31" s="7" t="n"/>
      <c r="J31" s="7" t="n"/>
      <c r="K31" s="7" t="n"/>
      <c r="L31" s="7" t="n"/>
    </row>
    <row r="32">
      <c r="A32" s="4" t="n"/>
      <c r="B32" s="4" t="n"/>
      <c r="C32" s="4" t="n"/>
      <c r="D32" s="4" t="n"/>
      <c r="E32" s="4" t="n"/>
      <c r="F32" s="4" t="n"/>
      <c r="G32" s="4" t="n"/>
      <c r="H32" s="5" t="n"/>
      <c r="I32" s="4" t="n"/>
      <c r="J32" s="4" t="n"/>
      <c r="K32" s="4" t="n"/>
      <c r="L32" s="4" t="n"/>
    </row>
    <row r="33">
      <c r="A33" s="7" t="n"/>
      <c r="B33" s="7" t="n"/>
      <c r="C33" s="7" t="n"/>
      <c r="D33" s="7" t="n"/>
      <c r="E33" s="7" t="n"/>
      <c r="F33" s="7" t="n"/>
      <c r="G33" s="7" t="n"/>
      <c r="H33" s="8" t="n"/>
      <c r="I33" s="7" t="n"/>
      <c r="J33" s="7" t="n"/>
      <c r="K33" s="7" t="n"/>
      <c r="L33" s="7" t="n"/>
    </row>
    <row r="34">
      <c r="A34" s="4" t="n"/>
      <c r="B34" s="4" t="n"/>
      <c r="C34" s="4" t="n"/>
      <c r="D34" s="4" t="n"/>
      <c r="E34" s="4" t="n"/>
      <c r="F34" s="4" t="n"/>
      <c r="G34" s="4" t="n"/>
      <c r="H34" s="5" t="n"/>
      <c r="I34" s="4" t="n"/>
      <c r="J34" s="4" t="n"/>
      <c r="K34" s="4" t="n"/>
      <c r="L34" s="4" t="n"/>
    </row>
    <row r="35">
      <c r="A35" s="7" t="n"/>
      <c r="B35" s="7" t="n"/>
      <c r="C35" s="7" t="n"/>
      <c r="D35" s="7" t="n"/>
      <c r="E35" s="7" t="n"/>
      <c r="F35" s="7" t="n"/>
      <c r="G35" s="7" t="n"/>
      <c r="H35" s="8" t="n"/>
      <c r="I35" s="7" t="n"/>
      <c r="J35" s="7" t="n"/>
      <c r="K35" s="7" t="n"/>
      <c r="L35" s="7" t="n"/>
    </row>
    <row r="36">
      <c r="A36" s="4" t="n"/>
      <c r="B36" s="4" t="n"/>
      <c r="C36" s="4" t="n"/>
      <c r="D36" s="4" t="n"/>
      <c r="E36" s="4" t="n"/>
      <c r="F36" s="4" t="n"/>
      <c r="G36" s="4" t="n"/>
      <c r="H36" s="5" t="n"/>
      <c r="I36" s="4" t="n"/>
      <c r="J36" s="4" t="n"/>
      <c r="K36" s="4" t="n"/>
      <c r="L36" s="4" t="n"/>
    </row>
    <row r="37">
      <c r="A37" s="7" t="n"/>
      <c r="B37" s="7" t="n"/>
      <c r="C37" s="7" t="n"/>
      <c r="D37" s="7" t="n"/>
      <c r="E37" s="7" t="n"/>
      <c r="F37" s="7" t="n"/>
      <c r="G37" s="7" t="n"/>
      <c r="H37" s="8" t="n"/>
      <c r="I37" s="7" t="n"/>
      <c r="J37" s="7" t="n"/>
      <c r="K37" s="7" t="n"/>
      <c r="L37" s="7" t="n"/>
    </row>
    <row r="38">
      <c r="A38" s="4" t="n"/>
      <c r="B38" s="4" t="n"/>
      <c r="C38" s="4" t="n"/>
      <c r="D38" s="4" t="n"/>
      <c r="E38" s="4" t="n"/>
      <c r="F38" s="4" t="n"/>
      <c r="G38" s="4" t="n"/>
      <c r="H38" s="5" t="n"/>
      <c r="I38" s="4" t="n"/>
      <c r="J38" s="4" t="n"/>
      <c r="K38" s="4" t="n"/>
      <c r="L38" s="4" t="n"/>
    </row>
    <row r="39">
      <c r="A39" s="7" t="n"/>
      <c r="B39" s="7" t="n"/>
      <c r="C39" s="7" t="n"/>
      <c r="D39" s="7" t="n"/>
      <c r="E39" s="7" t="n"/>
      <c r="F39" s="7" t="n"/>
      <c r="G39" s="7" t="n"/>
      <c r="H39" s="8" t="n"/>
      <c r="I39" s="7" t="n"/>
      <c r="J39" s="7" t="n"/>
      <c r="K39" s="7" t="n"/>
      <c r="L39" s="7" t="n"/>
    </row>
    <row r="40">
      <c r="A40" s="4" t="n"/>
      <c r="B40" s="4" t="n"/>
      <c r="C40" s="4" t="n"/>
      <c r="D40" s="4" t="n"/>
      <c r="E40" s="4" t="n"/>
      <c r="F40" s="4" t="n"/>
      <c r="G40" s="4" t="n"/>
      <c r="H40" s="5" t="n"/>
      <c r="I40" s="4" t="n"/>
      <c r="J40" s="4" t="n"/>
      <c r="K40" s="4" t="n"/>
      <c r="L40" s="4" t="n"/>
    </row>
    <row r="41">
      <c r="A41" s="7" t="n"/>
      <c r="B41" s="7" t="n"/>
      <c r="C41" s="7" t="n"/>
      <c r="D41" s="7" t="n"/>
      <c r="E41" s="7" t="n"/>
      <c r="F41" s="7" t="n"/>
      <c r="G41" s="7" t="n"/>
      <c r="H41" s="8" t="n"/>
      <c r="I41" s="7" t="n"/>
      <c r="J41" s="7" t="n"/>
      <c r="K41" s="7" t="n"/>
      <c r="L41" s="7" t="n"/>
    </row>
    <row r="42">
      <c r="A42" s="4" t="n"/>
      <c r="B42" s="4" t="n"/>
      <c r="C42" s="4" t="n"/>
      <c r="D42" s="4" t="n"/>
      <c r="E42" s="4" t="n"/>
      <c r="F42" s="4" t="n"/>
      <c r="G42" s="4" t="n"/>
      <c r="H42" s="5" t="n"/>
      <c r="I42" s="4" t="n"/>
      <c r="J42" s="4" t="n"/>
      <c r="K42" s="4" t="n"/>
      <c r="L42" s="4" t="n"/>
    </row>
    <row r="43">
      <c r="A43" s="7" t="n"/>
      <c r="B43" s="7" t="n"/>
      <c r="C43" s="7" t="n"/>
      <c r="D43" s="7" t="n"/>
      <c r="E43" s="7" t="n"/>
      <c r="F43" s="7" t="n"/>
      <c r="G43" s="7" t="n"/>
      <c r="H43" s="8" t="n"/>
      <c r="I43" s="7" t="n"/>
      <c r="J43" s="7" t="n"/>
      <c r="K43" s="7" t="n"/>
      <c r="L43" s="7" t="n"/>
    </row>
    <row r="44">
      <c r="A44" s="4" t="n"/>
      <c r="B44" s="4" t="n"/>
      <c r="C44" s="4" t="n"/>
      <c r="D44" s="4" t="n"/>
      <c r="E44" s="4" t="n"/>
      <c r="F44" s="4" t="n"/>
      <c r="G44" s="4" t="n"/>
      <c r="H44" s="5" t="n"/>
      <c r="I44" s="4" t="n"/>
      <c r="J44" s="4" t="n"/>
      <c r="K44" s="4" t="n"/>
      <c r="L44" s="4" t="n"/>
    </row>
    <row r="45">
      <c r="A45" s="7" t="n"/>
      <c r="B45" s="7" t="n"/>
      <c r="C45" s="7" t="n"/>
      <c r="D45" s="7" t="n"/>
      <c r="E45" s="7" t="n"/>
      <c r="F45" s="7" t="n"/>
      <c r="G45" s="7" t="n"/>
      <c r="H45" s="8" t="n"/>
      <c r="I45" s="7" t="n"/>
      <c r="J45" s="7" t="n"/>
      <c r="K45" s="7" t="n"/>
      <c r="L45" s="7" t="n"/>
    </row>
    <row r="46">
      <c r="A46" s="4" t="n"/>
      <c r="B46" s="4" t="n"/>
      <c r="C46" s="4" t="n"/>
      <c r="D46" s="4" t="n"/>
      <c r="E46" s="4" t="n"/>
      <c r="F46" s="4" t="n"/>
      <c r="G46" s="4" t="n"/>
      <c r="H46" s="5" t="n"/>
      <c r="I46" s="4" t="n"/>
      <c r="J46" s="4" t="n"/>
      <c r="K46" s="4" t="n"/>
      <c r="L46" s="4" t="n"/>
    </row>
    <row r="47">
      <c r="A47" s="7" t="n"/>
      <c r="B47" s="7" t="n"/>
      <c r="C47" s="7" t="n"/>
      <c r="D47" s="7" t="n"/>
      <c r="E47" s="7" t="n"/>
      <c r="F47" s="7" t="n"/>
      <c r="G47" s="7" t="n"/>
      <c r="H47" s="8" t="n"/>
      <c r="I47" s="7" t="n"/>
      <c r="J47" s="7" t="n"/>
      <c r="K47" s="7" t="n"/>
      <c r="L47" s="7" t="n"/>
    </row>
    <row r="48">
      <c r="A48" s="4" t="n"/>
      <c r="B48" s="4" t="n"/>
      <c r="C48" s="4" t="n"/>
      <c r="D48" s="4" t="n"/>
      <c r="E48" s="4" t="n"/>
      <c r="F48" s="4" t="n"/>
      <c r="G48" s="4" t="n"/>
      <c r="H48" s="5" t="n"/>
      <c r="I48" s="4" t="n"/>
      <c r="J48" s="4" t="n"/>
      <c r="K48" s="4" t="n"/>
      <c r="L48" s="4" t="n"/>
    </row>
    <row r="49">
      <c r="A49" s="7" t="n"/>
      <c r="B49" s="7" t="n"/>
      <c r="C49" s="7" t="n"/>
      <c r="D49" s="7" t="n"/>
      <c r="E49" s="7" t="n"/>
      <c r="F49" s="7" t="n"/>
      <c r="G49" s="7" t="n"/>
      <c r="H49" s="8" t="n"/>
      <c r="I49" s="7" t="n"/>
      <c r="J49" s="7" t="n"/>
      <c r="K49" s="7" t="n"/>
      <c r="L49" s="7" t="n"/>
    </row>
    <row r="50">
      <c r="A50" s="4" t="n"/>
      <c r="B50" s="4" t="n"/>
      <c r="C50" s="4" t="n"/>
      <c r="D50" s="4" t="n"/>
      <c r="E50" s="4" t="n"/>
      <c r="F50" s="4" t="n"/>
      <c r="G50" s="4" t="n"/>
      <c r="H50" s="5" t="n"/>
      <c r="I50" s="4" t="n"/>
      <c r="J50" s="4" t="n"/>
      <c r="K50" s="4" t="n"/>
      <c r="L50" s="4" t="n"/>
    </row>
    <row r="51">
      <c r="A51" s="7" t="n"/>
      <c r="B51" s="7" t="n"/>
      <c r="C51" s="7" t="n"/>
      <c r="D51" s="7" t="n"/>
      <c r="E51" s="7" t="n"/>
      <c r="F51" s="7" t="n"/>
      <c r="G51" s="7" t="n"/>
      <c r="H51" s="8" t="n"/>
      <c r="I51" s="7" t="n"/>
      <c r="J51" s="7" t="n"/>
      <c r="K51" s="7" t="n"/>
      <c r="L51" s="7" t="n"/>
    </row>
    <row r="52">
      <c r="A52" s="4" t="n"/>
      <c r="B52" s="4" t="n"/>
      <c r="C52" s="4" t="n"/>
      <c r="D52" s="4" t="n"/>
      <c r="E52" s="4" t="n"/>
      <c r="F52" s="4" t="n"/>
      <c r="G52" s="4" t="n"/>
      <c r="H52" s="5" t="n"/>
      <c r="I52" s="4" t="n"/>
      <c r="J52" s="4" t="n"/>
      <c r="K52" s="4" t="n"/>
      <c r="L52" s="4" t="n"/>
    </row>
    <row r="53">
      <c r="A53" s="7" t="n"/>
      <c r="B53" s="7" t="n"/>
      <c r="C53" s="7" t="n"/>
      <c r="D53" s="7" t="n"/>
      <c r="E53" s="7" t="n"/>
      <c r="F53" s="7" t="n"/>
      <c r="G53" s="7" t="n"/>
      <c r="H53" s="8" t="n"/>
      <c r="I53" s="7" t="n"/>
      <c r="J53" s="7" t="n"/>
      <c r="K53" s="7" t="n"/>
      <c r="L53" s="7" t="n"/>
    </row>
    <row r="54">
      <c r="A54" s="4" t="n"/>
      <c r="B54" s="4" t="n"/>
      <c r="C54" s="4" t="n"/>
      <c r="D54" s="4" t="n"/>
      <c r="E54" s="4" t="n"/>
      <c r="F54" s="4" t="n"/>
      <c r="G54" s="4" t="n"/>
      <c r="H54" s="5" t="n"/>
      <c r="I54" s="4" t="n"/>
      <c r="J54" s="4" t="n"/>
      <c r="K54" s="4" t="n"/>
      <c r="L54" s="4" t="n"/>
    </row>
    <row r="55">
      <c r="A55" s="7" t="n"/>
      <c r="B55" s="7" t="n"/>
      <c r="C55" s="7" t="n"/>
      <c r="D55" s="7" t="n"/>
      <c r="E55" s="7" t="n"/>
      <c r="F55" s="7" t="n"/>
      <c r="G55" s="7" t="n"/>
      <c r="H55" s="8" t="n"/>
      <c r="I55" s="7" t="n"/>
      <c r="J55" s="7" t="n"/>
      <c r="K55" s="7" t="n"/>
      <c r="L55" s="7" t="n"/>
    </row>
    <row r="56">
      <c r="A56" s="4" t="n"/>
      <c r="B56" s="4" t="n"/>
      <c r="C56" s="4" t="n"/>
      <c r="D56" s="4" t="n"/>
      <c r="E56" s="4" t="n"/>
      <c r="F56" s="4" t="n"/>
      <c r="G56" s="4" t="n"/>
      <c r="H56" s="5" t="n"/>
      <c r="I56" s="4" t="n"/>
      <c r="J56" s="4" t="n"/>
      <c r="K56" s="4" t="n"/>
      <c r="L56" s="4" t="n"/>
    </row>
    <row r="57">
      <c r="A57" s="7" t="n"/>
      <c r="B57" s="7" t="n"/>
      <c r="C57" s="7" t="n"/>
      <c r="D57" s="7" t="n"/>
      <c r="E57" s="7" t="n"/>
      <c r="F57" s="7" t="n"/>
      <c r="G57" s="7" t="n"/>
      <c r="H57" s="8" t="n"/>
      <c r="I57" s="7" t="n"/>
      <c r="J57" s="7" t="n"/>
      <c r="K57" s="7" t="n"/>
      <c r="L57" s="7" t="n"/>
    </row>
    <row r="58">
      <c r="A58" s="4" t="n"/>
      <c r="B58" s="4" t="n"/>
      <c r="C58" s="4" t="n"/>
      <c r="D58" s="4" t="n"/>
      <c r="E58" s="4" t="n"/>
      <c r="F58" s="4" t="n"/>
      <c r="G58" s="4" t="n"/>
      <c r="H58" s="5" t="n"/>
      <c r="I58" s="4" t="n"/>
      <c r="J58" s="4" t="n"/>
      <c r="K58" s="4" t="n"/>
      <c r="L58" s="4" t="n"/>
    </row>
    <row r="59">
      <c r="A59" s="7" t="n"/>
      <c r="B59" s="7" t="n"/>
      <c r="C59" s="7" t="n"/>
      <c r="D59" s="7" t="n"/>
      <c r="E59" s="7" t="n"/>
      <c r="F59" s="7" t="n"/>
      <c r="G59" s="7" t="n"/>
      <c r="H59" s="8" t="n"/>
      <c r="I59" s="7" t="n"/>
      <c r="J59" s="7" t="n"/>
      <c r="K59" s="7" t="n"/>
      <c r="L59" s="7" t="n"/>
    </row>
    <row r="60">
      <c r="A60" s="4" t="n"/>
      <c r="B60" s="4" t="n"/>
      <c r="C60" s="4" t="n"/>
      <c r="D60" s="4" t="n"/>
      <c r="E60" s="4" t="n"/>
      <c r="F60" s="4" t="n"/>
      <c r="G60" s="4" t="n"/>
      <c r="H60" s="5" t="n"/>
      <c r="I60" s="4" t="n"/>
      <c r="J60" s="4" t="n"/>
      <c r="K60" s="4" t="n"/>
      <c r="L60" s="4" t="n"/>
    </row>
    <row r="61">
      <c r="A61" s="7" t="n"/>
      <c r="B61" s="7" t="n"/>
      <c r="C61" s="7" t="n"/>
      <c r="D61" s="7" t="n"/>
      <c r="E61" s="7" t="n"/>
      <c r="F61" s="7" t="n"/>
      <c r="G61" s="7" t="n"/>
      <c r="H61" s="8" t="n"/>
      <c r="I61" s="7" t="n"/>
      <c r="J61" s="7" t="n"/>
      <c r="K61" s="7" t="n"/>
      <c r="L61" s="7" t="n"/>
    </row>
    <row r="62">
      <c r="A62" s="4" t="n"/>
      <c r="B62" s="4" t="n"/>
      <c r="C62" s="4" t="n"/>
      <c r="D62" s="4" t="n"/>
      <c r="E62" s="4" t="n"/>
      <c r="F62" s="4" t="n"/>
      <c r="G62" s="4" t="n"/>
      <c r="H62" s="5" t="n"/>
      <c r="I62" s="4" t="n"/>
      <c r="J62" s="4" t="n"/>
      <c r="K62" s="4" t="n"/>
      <c r="L62" s="4" t="n"/>
    </row>
    <row r="63">
      <c r="A63" s="7" t="n"/>
      <c r="B63" s="7" t="n"/>
      <c r="C63" s="7" t="n"/>
      <c r="D63" s="7" t="n"/>
      <c r="E63" s="7" t="n"/>
      <c r="F63" s="7" t="n"/>
      <c r="G63" s="7" t="n"/>
      <c r="H63" s="8" t="n"/>
      <c r="I63" s="7" t="n"/>
      <c r="J63" s="7" t="n"/>
      <c r="K63" s="7" t="n"/>
      <c r="L63" s="7" t="n"/>
    </row>
    <row r="64">
      <c r="A64" s="4" t="n"/>
      <c r="B64" s="4" t="n"/>
      <c r="C64" s="4" t="n"/>
      <c r="D64" s="4" t="n"/>
      <c r="E64" s="4" t="n"/>
      <c r="F64" s="4" t="n"/>
      <c r="G64" s="4" t="n"/>
      <c r="H64" s="5" t="n"/>
      <c r="I64" s="4" t="n"/>
      <c r="J64" s="4" t="n"/>
      <c r="K64" s="4" t="n"/>
      <c r="L64" s="4" t="n"/>
    </row>
    <row r="65">
      <c r="A65" s="7" t="n"/>
      <c r="B65" s="7" t="n"/>
      <c r="C65" s="7" t="n"/>
      <c r="D65" s="7" t="n"/>
      <c r="E65" s="7" t="n"/>
      <c r="F65" s="7" t="n"/>
      <c r="G65" s="7" t="n"/>
      <c r="H65" s="8" t="n"/>
      <c r="I65" s="7" t="n"/>
      <c r="J65" s="7" t="n"/>
      <c r="K65" s="7" t="n"/>
      <c r="L65" s="7" t="n"/>
    </row>
    <row r="66">
      <c r="A66" s="4" t="n"/>
      <c r="B66" s="4" t="n"/>
      <c r="C66" s="4" t="n"/>
      <c r="D66" s="4" t="n"/>
      <c r="E66" s="4" t="n"/>
      <c r="F66" s="4" t="n"/>
      <c r="G66" s="4" t="n"/>
      <c r="H66" s="5" t="n"/>
      <c r="I66" s="4" t="n"/>
      <c r="J66" s="4" t="n"/>
      <c r="K66" s="4" t="n"/>
      <c r="L66" s="4" t="n"/>
    </row>
    <row r="67">
      <c r="A67" s="7" t="n"/>
      <c r="B67" s="7" t="n"/>
      <c r="C67" s="7" t="n"/>
      <c r="D67" s="7" t="n"/>
      <c r="E67" s="7" t="n"/>
      <c r="F67" s="7" t="n"/>
      <c r="G67" s="7" t="n"/>
      <c r="H67" s="8" t="n"/>
      <c r="I67" s="7" t="n"/>
      <c r="J67" s="7" t="n"/>
      <c r="K67" s="7" t="n"/>
      <c r="L67" s="7" t="n"/>
    </row>
    <row r="68">
      <c r="A68" s="4" t="n"/>
      <c r="B68" s="4" t="n"/>
      <c r="C68" s="4" t="n"/>
      <c r="D68" s="4" t="n"/>
      <c r="E68" s="4" t="n"/>
      <c r="F68" s="4" t="n"/>
      <c r="G68" s="4" t="n"/>
      <c r="H68" s="5" t="n"/>
      <c r="I68" s="4" t="n"/>
      <c r="J68" s="4" t="n"/>
      <c r="K68" s="4" t="n"/>
      <c r="L68" s="4" t="n"/>
    </row>
    <row r="69">
      <c r="A69" s="7" t="n"/>
      <c r="B69" s="7" t="n"/>
      <c r="C69" s="7" t="n"/>
      <c r="D69" s="7" t="n"/>
      <c r="E69" s="7" t="n"/>
      <c r="F69" s="7" t="n"/>
      <c r="G69" s="7" t="n"/>
      <c r="H69" s="8" t="n"/>
      <c r="I69" s="7" t="n"/>
      <c r="J69" s="7" t="n"/>
      <c r="K69" s="7" t="n"/>
      <c r="L69" s="7" t="n"/>
    </row>
    <row r="70">
      <c r="A70" s="4" t="n"/>
      <c r="B70" s="4" t="n"/>
      <c r="C70" s="4" t="n"/>
      <c r="D70" s="4" t="n"/>
      <c r="E70" s="4" t="n"/>
      <c r="F70" s="4" t="n"/>
      <c r="G70" s="4" t="n"/>
      <c r="H70" s="5" t="n"/>
      <c r="I70" s="4" t="n"/>
      <c r="J70" s="4" t="n"/>
      <c r="K70" s="4" t="n"/>
      <c r="L70" s="4" t="n"/>
    </row>
    <row r="71">
      <c r="A71" s="7" t="n"/>
      <c r="B71" s="7" t="n"/>
      <c r="C71" s="7" t="n"/>
      <c r="D71" s="7" t="n"/>
      <c r="E71" s="7" t="n"/>
      <c r="F71" s="7" t="n"/>
      <c r="G71" s="7" t="n"/>
      <c r="H71" s="8" t="n"/>
      <c r="I71" s="7" t="n"/>
      <c r="J71" s="7" t="n"/>
      <c r="K71" s="7" t="n"/>
      <c r="L71" s="7" t="n"/>
    </row>
    <row r="72">
      <c r="A72" s="4" t="n"/>
      <c r="B72" s="4" t="n"/>
      <c r="C72" s="4" t="n"/>
      <c r="D72" s="4" t="n"/>
      <c r="E72" s="4" t="n"/>
      <c r="F72" s="4" t="n"/>
      <c r="G72" s="4" t="n"/>
      <c r="H72" s="5" t="n"/>
      <c r="I72" s="4" t="n"/>
      <c r="J72" s="4" t="n"/>
      <c r="K72" s="4" t="n"/>
      <c r="L72" s="4" t="n"/>
    </row>
    <row r="73">
      <c r="A73" s="7" t="n"/>
      <c r="B73" s="7" t="n"/>
      <c r="C73" s="7" t="n"/>
      <c r="D73" s="7" t="n"/>
      <c r="E73" s="7" t="n"/>
      <c r="F73" s="7" t="n"/>
      <c r="G73" s="7" t="n"/>
      <c r="H73" s="8" t="n"/>
      <c r="I73" s="7" t="n"/>
      <c r="J73" s="7" t="n"/>
      <c r="K73" s="7" t="n"/>
      <c r="L73" s="7" t="n"/>
    </row>
    <row r="74">
      <c r="A74" s="4" t="n"/>
      <c r="B74" s="4" t="n"/>
      <c r="C74" s="4" t="n"/>
      <c r="D74" s="4" t="n"/>
      <c r="E74" s="4" t="n"/>
      <c r="F74" s="4" t="n"/>
      <c r="G74" s="4" t="n"/>
      <c r="H74" s="5" t="n"/>
      <c r="I74" s="4" t="n"/>
      <c r="J74" s="4" t="n"/>
      <c r="K74" s="4" t="n"/>
      <c r="L74" s="4" t="n"/>
    </row>
    <row r="75">
      <c r="A75" s="7" t="n"/>
      <c r="B75" s="7" t="n"/>
      <c r="C75" s="7" t="n"/>
      <c r="D75" s="7" t="n"/>
      <c r="E75" s="7" t="n"/>
      <c r="F75" s="7" t="n"/>
      <c r="G75" s="7" t="n"/>
      <c r="H75" s="8" t="n"/>
      <c r="I75" s="7" t="n"/>
      <c r="J75" s="7" t="n"/>
      <c r="K75" s="7" t="n"/>
      <c r="L75" s="7" t="n"/>
    </row>
    <row r="76">
      <c r="A76" s="4" t="n"/>
      <c r="B76" s="4" t="n"/>
      <c r="C76" s="4" t="n"/>
      <c r="D76" s="4" t="n"/>
      <c r="E76" s="4" t="n"/>
      <c r="F76" s="4" t="n"/>
      <c r="G76" s="4" t="n"/>
      <c r="H76" s="5" t="n"/>
      <c r="I76" s="4" t="n"/>
      <c r="J76" s="4" t="n"/>
      <c r="K76" s="4" t="n"/>
      <c r="L76" s="4" t="n"/>
    </row>
    <row r="77">
      <c r="A77" s="7" t="n"/>
      <c r="B77" s="7" t="n"/>
      <c r="C77" s="7" t="n"/>
      <c r="D77" s="7" t="n"/>
      <c r="E77" s="7" t="n"/>
      <c r="F77" s="7" t="n"/>
      <c r="G77" s="7" t="n"/>
      <c r="H77" s="8" t="n"/>
      <c r="I77" s="7" t="n"/>
      <c r="J77" s="7" t="n"/>
      <c r="K77" s="7" t="n"/>
      <c r="L77" s="7" t="n"/>
    </row>
    <row r="78">
      <c r="A78" s="4" t="n"/>
      <c r="B78" s="4" t="n"/>
      <c r="C78" s="4" t="n"/>
      <c r="D78" s="4" t="n"/>
      <c r="E78" s="4" t="n"/>
      <c r="F78" s="4" t="n"/>
      <c r="G78" s="4" t="n"/>
      <c r="H78" s="5" t="n"/>
      <c r="I78" s="4" t="n"/>
      <c r="J78" s="4" t="n"/>
      <c r="K78" s="4" t="n"/>
      <c r="L78" s="4" t="n"/>
    </row>
    <row r="79">
      <c r="A79" s="7" t="n"/>
      <c r="B79" s="7" t="n"/>
      <c r="C79" s="7" t="n"/>
      <c r="D79" s="7" t="n"/>
      <c r="E79" s="7" t="n"/>
      <c r="F79" s="7" t="n"/>
      <c r="G79" s="7" t="n"/>
      <c r="H79" s="8" t="n"/>
      <c r="I79" s="7" t="n"/>
      <c r="J79" s="7" t="n"/>
      <c r="K79" s="7" t="n"/>
      <c r="L79" s="7" t="n"/>
    </row>
    <row r="80">
      <c r="A80" s="4" t="n"/>
      <c r="B80" s="4" t="n"/>
      <c r="C80" s="4" t="n"/>
      <c r="D80" s="4" t="n"/>
      <c r="E80" s="4" t="n"/>
      <c r="F80" s="4" t="n"/>
      <c r="G80" s="4" t="n"/>
      <c r="H80" s="5" t="n"/>
      <c r="I80" s="4" t="n"/>
      <c r="J80" s="4" t="n"/>
      <c r="K80" s="4" t="n"/>
      <c r="L80" s="4" t="n"/>
    </row>
    <row r="81">
      <c r="A81" s="7" t="n"/>
      <c r="B81" s="7" t="n"/>
      <c r="C81" s="7" t="n"/>
      <c r="D81" s="7" t="n"/>
      <c r="E81" s="7" t="n"/>
      <c r="F81" s="7" t="n"/>
      <c r="G81" s="7" t="n"/>
      <c r="H81" s="8" t="n"/>
      <c r="I81" s="7" t="n"/>
      <c r="J81" s="7" t="n"/>
      <c r="K81" s="7" t="n"/>
      <c r="L81" s="7" t="n"/>
    </row>
    <row r="82">
      <c r="A82" s="4" t="n"/>
      <c r="B82" s="4" t="n"/>
      <c r="C82" s="4" t="n"/>
      <c r="D82" s="4" t="n"/>
      <c r="E82" s="4" t="n"/>
      <c r="F82" s="4" t="n"/>
      <c r="G82" s="4" t="n"/>
      <c r="H82" s="5" t="n"/>
      <c r="I82" s="4" t="n"/>
      <c r="J82" s="4" t="n"/>
      <c r="K82" s="4" t="n"/>
      <c r="L82" s="4" t="n"/>
    </row>
    <row r="83">
      <c r="A83" s="7" t="n"/>
      <c r="B83" s="7" t="n"/>
      <c r="C83" s="7" t="n"/>
      <c r="D83" s="7" t="n"/>
      <c r="E83" s="7" t="n"/>
      <c r="F83" s="7" t="n"/>
      <c r="G83" s="7" t="n"/>
      <c r="H83" s="8" t="n"/>
      <c r="I83" s="7" t="n"/>
      <c r="J83" s="7" t="n"/>
      <c r="K83" s="7" t="n"/>
      <c r="L83" s="7" t="n"/>
    </row>
    <row r="84">
      <c r="A84" s="4" t="n"/>
      <c r="B84" s="4" t="n"/>
      <c r="C84" s="4" t="n"/>
      <c r="D84" s="4" t="n"/>
      <c r="E84" s="4" t="n"/>
      <c r="F84" s="4" t="n"/>
      <c r="G84" s="4" t="n"/>
      <c r="H84" s="5" t="n"/>
      <c r="I84" s="4" t="n"/>
      <c r="J84" s="4" t="n"/>
      <c r="K84" s="4" t="n"/>
      <c r="L84" s="4" t="n"/>
    </row>
    <row r="85">
      <c r="A85" s="7" t="n"/>
      <c r="B85" s="7" t="n"/>
      <c r="C85" s="7" t="n"/>
      <c r="D85" s="7" t="n"/>
      <c r="E85" s="7" t="n"/>
      <c r="F85" s="7" t="n"/>
      <c r="G85" s="7" t="n"/>
      <c r="H85" s="8" t="n"/>
      <c r="I85" s="7" t="n"/>
      <c r="J85" s="7" t="n"/>
      <c r="K85" s="7" t="n"/>
      <c r="L85" s="7" t="n"/>
    </row>
    <row r="86">
      <c r="A86" s="4" t="n"/>
      <c r="B86" s="4" t="n"/>
      <c r="C86" s="4" t="n"/>
      <c r="D86" s="4" t="n"/>
      <c r="E86" s="4" t="n"/>
      <c r="F86" s="4" t="n"/>
      <c r="G86" s="4" t="n"/>
      <c r="H86" s="5" t="n"/>
      <c r="I86" s="4" t="n"/>
      <c r="J86" s="4" t="n"/>
      <c r="K86" s="4" t="n"/>
      <c r="L86" s="4" t="n"/>
    </row>
    <row r="87">
      <c r="A87" s="7" t="n"/>
      <c r="B87" s="7" t="n"/>
      <c r="C87" s="7" t="n"/>
      <c r="D87" s="7" t="n"/>
      <c r="E87" s="7" t="n"/>
      <c r="F87" s="7" t="n"/>
      <c r="G87" s="7" t="n"/>
      <c r="H87" s="8" t="n"/>
      <c r="I87" s="7" t="n"/>
      <c r="J87" s="7" t="n"/>
      <c r="K87" s="7" t="n"/>
      <c r="L87" s="7" t="n"/>
    </row>
    <row r="88">
      <c r="A88" s="4" t="n"/>
      <c r="B88" s="4" t="n"/>
      <c r="C88" s="4" t="n"/>
      <c r="D88" s="4" t="n"/>
      <c r="E88" s="4" t="n"/>
      <c r="F88" s="4" t="n"/>
      <c r="G88" s="4" t="n"/>
      <c r="H88" s="5" t="n"/>
      <c r="I88" s="4" t="n"/>
      <c r="J88" s="4" t="n"/>
      <c r="K88" s="4" t="n"/>
      <c r="L88" s="4" t="n"/>
    </row>
    <row r="89">
      <c r="A89" s="7" t="n"/>
      <c r="B89" s="7" t="n"/>
      <c r="C89" s="7" t="n"/>
      <c r="D89" s="7" t="n"/>
      <c r="E89" s="7" t="n"/>
      <c r="F89" s="7" t="n"/>
      <c r="G89" s="7" t="n"/>
      <c r="H89" s="8" t="n"/>
      <c r="I89" s="7" t="n"/>
      <c r="J89" s="7" t="n"/>
      <c r="K89" s="7" t="n"/>
      <c r="L89" s="7" t="n"/>
    </row>
    <row r="90">
      <c r="A90" s="4" t="n"/>
      <c r="B90" s="4" t="n"/>
      <c r="C90" s="4" t="n"/>
      <c r="D90" s="4" t="n"/>
      <c r="E90" s="4" t="n"/>
      <c r="F90" s="4" t="n"/>
      <c r="G90" s="4" t="n"/>
      <c r="H90" s="5" t="n"/>
      <c r="I90" s="4" t="n"/>
      <c r="J90" s="4" t="n"/>
      <c r="K90" s="4" t="n"/>
      <c r="L90" s="4" t="n"/>
    </row>
    <row r="91">
      <c r="A91" s="7" t="n"/>
      <c r="B91" s="7" t="n"/>
      <c r="C91" s="7" t="n"/>
      <c r="D91" s="7" t="n"/>
      <c r="E91" s="7" t="n"/>
      <c r="F91" s="7" t="n"/>
      <c r="G91" s="7" t="n"/>
      <c r="H91" s="8" t="n"/>
      <c r="I91" s="7" t="n"/>
      <c r="J91" s="7" t="n"/>
      <c r="K91" s="7" t="n"/>
      <c r="L91" s="7" t="n"/>
    </row>
    <row r="92">
      <c r="A92" s="4" t="n"/>
      <c r="B92" s="4" t="n"/>
      <c r="C92" s="4" t="n"/>
      <c r="D92" s="4" t="n"/>
      <c r="E92" s="4" t="n"/>
      <c r="F92" s="4" t="n"/>
      <c r="G92" s="4" t="n"/>
      <c r="H92" s="5" t="n"/>
      <c r="I92" s="4" t="n"/>
      <c r="J92" s="4" t="n"/>
      <c r="K92" s="4" t="n"/>
      <c r="L92" s="4" t="n"/>
    </row>
    <row r="93">
      <c r="A93" s="7" t="n"/>
      <c r="B93" s="7" t="n"/>
      <c r="C93" s="7" t="n"/>
      <c r="D93" s="7" t="n"/>
      <c r="E93" s="7" t="n"/>
      <c r="F93" s="7" t="n"/>
      <c r="G93" s="7" t="n"/>
      <c r="H93" s="8" t="n"/>
      <c r="I93" s="7" t="n"/>
      <c r="J93" s="7" t="n"/>
      <c r="K93" s="7" t="n"/>
      <c r="L93" s="7" t="n"/>
    </row>
    <row r="94">
      <c r="A94" s="4" t="n"/>
      <c r="B94" s="4" t="n"/>
      <c r="C94" s="4" t="n"/>
      <c r="D94" s="4" t="n"/>
      <c r="E94" s="4" t="n"/>
      <c r="F94" s="4" t="n"/>
      <c r="G94" s="4" t="n"/>
      <c r="H94" s="5" t="n"/>
      <c r="I94" s="4" t="n"/>
      <c r="J94" s="4" t="n"/>
      <c r="K94" s="4" t="n"/>
      <c r="L94" s="4" t="n"/>
    </row>
    <row r="95">
      <c r="A95" s="7" t="n"/>
      <c r="B95" s="7" t="n"/>
      <c r="C95" s="7" t="n"/>
      <c r="D95" s="7" t="n"/>
      <c r="E95" s="7" t="n"/>
      <c r="F95" s="7" t="n"/>
      <c r="G95" s="7" t="n"/>
      <c r="H95" s="8" t="n"/>
      <c r="I95" s="7" t="n"/>
      <c r="J95" s="7" t="n"/>
      <c r="K95" s="7" t="n"/>
      <c r="L95" s="7" t="n"/>
    </row>
    <row r="96">
      <c r="A96" s="4" t="n"/>
      <c r="B96" s="4" t="n"/>
      <c r="C96" s="4" t="n"/>
      <c r="D96" s="4" t="n"/>
      <c r="E96" s="4" t="n"/>
      <c r="F96" s="4" t="n"/>
      <c r="G96" s="4" t="n"/>
      <c r="H96" s="5" t="n"/>
      <c r="I96" s="4" t="n"/>
      <c r="J96" s="4" t="n"/>
      <c r="K96" s="4" t="n"/>
      <c r="L96" s="4" t="n"/>
    </row>
    <row r="97">
      <c r="A97" s="7" t="n"/>
      <c r="B97" s="7" t="n"/>
      <c r="C97" s="7" t="n"/>
      <c r="D97" s="7" t="n"/>
      <c r="E97" s="7" t="n"/>
      <c r="F97" s="7" t="n"/>
      <c r="G97" s="7" t="n"/>
      <c r="H97" s="8" t="n"/>
      <c r="I97" s="7" t="n"/>
      <c r="J97" s="7" t="n"/>
      <c r="K97" s="7" t="n"/>
      <c r="L97" s="7" t="n"/>
    </row>
    <row r="98">
      <c r="A98" s="4" t="n"/>
      <c r="B98" s="4" t="n"/>
      <c r="C98" s="4" t="n"/>
      <c r="D98" s="4" t="n"/>
      <c r="E98" s="4" t="n"/>
      <c r="F98" s="4" t="n"/>
      <c r="G98" s="4" t="n"/>
      <c r="H98" s="5" t="n"/>
      <c r="I98" s="4" t="n"/>
      <c r="J98" s="4" t="n"/>
      <c r="K98" s="4" t="n"/>
      <c r="L98" s="4" t="n"/>
    </row>
    <row r="99">
      <c r="A99" s="7" t="n"/>
      <c r="B99" s="7" t="n"/>
      <c r="C99" s="7" t="n"/>
      <c r="D99" s="7" t="n"/>
      <c r="E99" s="7" t="n"/>
      <c r="F99" s="7" t="n"/>
      <c r="G99" s="7" t="n"/>
      <c r="H99" s="8" t="n"/>
      <c r="I99" s="7" t="n"/>
      <c r="J99" s="7" t="n"/>
      <c r="K99" s="7" t="n"/>
      <c r="L99" s="7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5" t="n"/>
      <c r="I100" s="4" t="n"/>
      <c r="J100" s="4" t="n"/>
      <c r="K100" s="4" t="n"/>
      <c r="L100" s="4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8" t="n"/>
      <c r="I101" s="7" t="n"/>
      <c r="J101" s="7" t="n"/>
      <c r="K101" s="7" t="n"/>
      <c r="L101" s="7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5" t="n"/>
      <c r="I102" s="4" t="n"/>
      <c r="J102" s="4" t="n"/>
      <c r="K102" s="4" t="n"/>
      <c r="L102" s="4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8" t="n"/>
      <c r="I103" s="7" t="n"/>
      <c r="J103" s="7" t="n"/>
      <c r="K103" s="7" t="n"/>
      <c r="L103" s="7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5" t="n"/>
      <c r="I104" s="4" t="n"/>
      <c r="J104" s="4" t="n"/>
      <c r="K104" s="4" t="n"/>
      <c r="L104" s="4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8" t="n"/>
      <c r="I105" s="7" t="n"/>
      <c r="J105" s="7" t="n"/>
      <c r="K105" s="7" t="n"/>
      <c r="L105" s="7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5" t="n"/>
      <c r="I106" s="4" t="n"/>
      <c r="J106" s="4" t="n"/>
      <c r="K106" s="4" t="n"/>
      <c r="L106" s="4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8" t="n"/>
      <c r="I107" s="7" t="n"/>
      <c r="J107" s="7" t="n"/>
      <c r="K107" s="7" t="n"/>
      <c r="L107" s="7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5" t="n"/>
      <c r="I108" s="4" t="n"/>
      <c r="J108" s="4" t="n"/>
      <c r="K108" s="4" t="n"/>
      <c r="L108" s="4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8" t="n"/>
      <c r="I109" s="7" t="n"/>
      <c r="J109" s="7" t="n"/>
      <c r="K109" s="7" t="n"/>
      <c r="L109" s="7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5" t="n"/>
      <c r="I110" s="4" t="n"/>
      <c r="J110" s="4" t="n"/>
      <c r="K110" s="4" t="n"/>
      <c r="L110" s="4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8" t="n"/>
      <c r="I111" s="7" t="n"/>
      <c r="J111" s="7" t="n"/>
      <c r="K111" s="7" t="n"/>
      <c r="L111" s="7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5" t="n"/>
      <c r="I112" s="4" t="n"/>
      <c r="J112" s="4" t="n"/>
      <c r="K112" s="4" t="n"/>
      <c r="L112" s="4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8" t="n"/>
      <c r="I113" s="7" t="n"/>
      <c r="J113" s="7" t="n"/>
      <c r="K113" s="7" t="n"/>
      <c r="L113" s="7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5" t="n"/>
      <c r="I114" s="4" t="n"/>
      <c r="J114" s="4" t="n"/>
      <c r="K114" s="4" t="n"/>
      <c r="L114" s="4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8" t="n"/>
      <c r="I115" s="7" t="n"/>
      <c r="J115" s="7" t="n"/>
      <c r="K115" s="7" t="n"/>
      <c r="L115" s="7" t="n"/>
    </row>
  </sheetData>
  <mergeCells count="2">
    <mergeCell ref="A3:P3"/>
    <mergeCell ref="A2:P2"/>
  </mergeCells>
  <conditionalFormatting sqref="G6:G115">
    <cfRule type="cellIs" priority="1" operator="equal" dxfId="1">
      <formula>"Bon"</formula>
    </cfRule>
    <cfRule type="cellIs" priority="2" operator="equal" dxfId="0">
      <formula>"Usé"</formula>
    </cfRule>
    <cfRule type="cellIs" priority="3" operator="equal" dxfId="2">
      <formula>"Hors service"</formula>
    </cfRule>
  </conditionalFormatting>
  <dataValidations count="1">
    <dataValidation sqref="G6:G115" showDropDown="0" showInputMessage="0" showErrorMessage="0" allowBlank="1" errorTitle="Erreur de saisie" error="Valeur non autorisée" promptTitle="Liste déroulante" prompt="Sélectionnez dans la liste" type="list">
      <formula1>'F02 - _Lists'!$Q$6:$Q$35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1C784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30" customWidth="1" min="11" max="11"/>
    <col width="22" customWidth="1" min="12" max="12"/>
  </cols>
  <sheetData>
    <row r="2" ht="25" customHeight="1">
      <c r="A2" s="1" t="inlineStr">
        <is>
          <t>DOMAINE 27 — 12-HYGIÈNE ET SÉCURITÉ DE L'ENVIRONNEMENT DE TRAVAIL</t>
        </is>
      </c>
    </row>
    <row r="3" ht="18" customHeight="1">
      <c r="A3" s="2" t="inlineStr">
        <is>
          <t>TABLEAU DYNAMIQUE — Conditions de travail, ergonomie, ambiance</t>
        </is>
      </c>
    </row>
    <row r="5">
      <c r="A5" s="3" t="inlineStr">
        <is>
          <t>Code Contrôle</t>
        </is>
      </c>
      <c r="B5" s="3" t="inlineStr">
        <is>
          <t>Localisation</t>
        </is>
      </c>
      <c r="C5" s="3" t="inlineStr">
        <is>
          <t>Type de Contrôle</t>
        </is>
      </c>
      <c r="D5" s="3" t="inlineStr">
        <is>
          <t>Paramètre Mesuré</t>
        </is>
      </c>
      <c r="E5" s="3" t="inlineStr">
        <is>
          <t>Valeur Mesurée</t>
        </is>
      </c>
      <c r="F5" s="3" t="inlineStr">
        <is>
          <t>Valeur Norme</t>
        </is>
      </c>
      <c r="G5" s="3" t="inlineStr">
        <is>
          <t>Conformité</t>
        </is>
      </c>
      <c r="H5" s="3" t="inlineStr">
        <is>
          <t>Date Mesure</t>
        </is>
      </c>
      <c r="I5" s="3" t="inlineStr">
        <is>
          <t>Fréquence Contrôle</t>
        </is>
      </c>
      <c r="J5" s="3" t="inlineStr">
        <is>
          <t>Responsable</t>
        </is>
      </c>
      <c r="K5" s="3" t="inlineStr">
        <is>
          <t>Action si Non-Conforme</t>
        </is>
      </c>
      <c r="L5" s="3" t="inlineStr">
        <is>
          <t>Coût Mise en Conformité (FCFA)</t>
        </is>
      </c>
    </row>
    <row r="6">
      <c r="A6" s="4" t="inlineStr">
        <is>
          <t>HYG-001</t>
        </is>
      </c>
      <c r="B6" s="4" t="inlineStr">
        <is>
          <t>Cuisine</t>
        </is>
      </c>
      <c r="C6" s="4" t="inlineStr">
        <is>
          <t>Ambiance thermique</t>
        </is>
      </c>
      <c r="D6" s="4" t="inlineStr">
        <is>
          <t>Température (°C)</t>
        </is>
      </c>
      <c r="E6" s="4" t="n">
        <v>28</v>
      </c>
      <c r="F6" s="4" t="n">
        <v>25</v>
      </c>
      <c r="G6" s="4" t="inlineStr">
        <is>
          <t>Non conforme</t>
        </is>
      </c>
      <c r="H6" s="14" t="n">
        <v>45717</v>
      </c>
      <c r="I6" s="4" t="inlineStr">
        <is>
          <t>Trimestrielle</t>
        </is>
      </c>
      <c r="J6" s="4" t="inlineStr">
        <is>
          <t>M. Ondo</t>
        </is>
      </c>
      <c r="K6" s="4" t="inlineStr">
        <is>
          <t>Installation ventilation renforcée</t>
        </is>
      </c>
      <c r="L6" s="5" t="n">
        <v>2500000</v>
      </c>
    </row>
    <row r="7">
      <c r="A7" s="7" t="inlineStr">
        <is>
          <t>HYG-002</t>
        </is>
      </c>
      <c r="B7" s="7" t="inlineStr">
        <is>
          <t>Atelier</t>
        </is>
      </c>
      <c r="C7" s="7" t="inlineStr">
        <is>
          <t>Bruit</t>
        </is>
      </c>
      <c r="D7" s="7" t="inlineStr">
        <is>
          <t>Niveau dB(A)</t>
        </is>
      </c>
      <c r="E7" s="7" t="n">
        <v>87</v>
      </c>
      <c r="F7" s="7" t="n">
        <v>85</v>
      </c>
      <c r="G7" s="7" t="inlineStr">
        <is>
          <t>Non conforme</t>
        </is>
      </c>
      <c r="H7" s="15" t="n">
        <v>45717</v>
      </c>
      <c r="I7" s="7" t="inlineStr">
        <is>
          <t>Trimestrielle</t>
        </is>
      </c>
      <c r="J7" s="7" t="inlineStr">
        <is>
          <t>M. Ondo</t>
        </is>
      </c>
      <c r="K7" s="7" t="inlineStr">
        <is>
          <t>Silencieux + bouchons obligatoires</t>
        </is>
      </c>
      <c r="L7" s="8" t="n">
        <v>800000</v>
      </c>
    </row>
    <row r="8">
      <c r="A8" s="4" t="inlineStr">
        <is>
          <t>HYG-003</t>
        </is>
      </c>
      <c r="B8" s="4" t="inlineStr">
        <is>
          <t>Bureaux</t>
        </is>
      </c>
      <c r="C8" s="4" t="inlineStr">
        <is>
          <t>Éclairage</t>
        </is>
      </c>
      <c r="D8" s="4" t="inlineStr">
        <is>
          <t>Lux</t>
        </is>
      </c>
      <c r="E8" s="4" t="n">
        <v>350</v>
      </c>
      <c r="F8" s="4" t="n">
        <v>500</v>
      </c>
      <c r="G8" s="4" t="inlineStr">
        <is>
          <t>Non conforme</t>
        </is>
      </c>
      <c r="H8" s="14" t="n">
        <v>45731</v>
      </c>
      <c r="I8" s="4" t="inlineStr">
        <is>
          <t>Semestrielle</t>
        </is>
      </c>
      <c r="J8" s="4" t="inlineStr">
        <is>
          <t>M. Ondo</t>
        </is>
      </c>
      <c r="K8" s="4" t="inlineStr">
        <is>
          <t>Remplacement ampoules LED</t>
        </is>
      </c>
      <c r="L8" s="5" t="n">
        <v>500000</v>
      </c>
    </row>
    <row r="9">
      <c r="A9" s="7" t="inlineStr">
        <is>
          <t>HYG-004</t>
        </is>
      </c>
      <c r="B9" s="7" t="inlineStr">
        <is>
          <t>Cuisine</t>
        </is>
      </c>
      <c r="C9" s="7" t="inlineStr">
        <is>
          <t>Qualité air</t>
        </is>
      </c>
      <c r="D9" s="7" t="inlineStr">
        <is>
          <t>CO2 (ppm)</t>
        </is>
      </c>
      <c r="E9" s="7" t="n">
        <v>650</v>
      </c>
      <c r="F9" s="7" t="n">
        <v>1000</v>
      </c>
      <c r="G9" s="7" t="inlineStr">
        <is>
          <t>Conforme</t>
        </is>
      </c>
      <c r="H9" s="15" t="n">
        <v>45731</v>
      </c>
      <c r="I9" s="7" t="inlineStr">
        <is>
          <t>Semestrielle</t>
        </is>
      </c>
      <c r="J9" s="7" t="inlineStr">
        <is>
          <t>Dr. Manga</t>
        </is>
      </c>
      <c r="K9" s="7" t="inlineStr">
        <is>
          <t>Néant</t>
        </is>
      </c>
      <c r="L9" s="8" t="n">
        <v>0</v>
      </c>
    </row>
    <row r="10">
      <c r="A10" s="4" t="inlineStr">
        <is>
          <t>HYG-005</t>
        </is>
      </c>
      <c r="B10" s="4" t="inlineStr">
        <is>
          <t>Salle restaurant</t>
        </is>
      </c>
      <c r="C10" s="4" t="inlineStr">
        <is>
          <t>Hygiène sol</t>
        </is>
      </c>
      <c r="D10" s="4" t="inlineStr">
        <is>
          <t>ATP (RLU)</t>
        </is>
      </c>
      <c r="E10" s="4" t="n">
        <v>120</v>
      </c>
      <c r="F10" s="4" t="n">
        <v>150</v>
      </c>
      <c r="G10" s="4" t="inlineStr">
        <is>
          <t>Conforme</t>
        </is>
      </c>
      <c r="H10" s="14" t="n">
        <v>45748</v>
      </c>
      <c r="I10" s="4" t="inlineStr">
        <is>
          <t>Mensuelle</t>
        </is>
      </c>
      <c r="J10" s="4" t="inlineStr">
        <is>
          <t>M. Tchinda</t>
        </is>
      </c>
      <c r="K10" s="4" t="inlineStr">
        <is>
          <t>Néant</t>
        </is>
      </c>
      <c r="L10" s="5" t="n">
        <v>0</v>
      </c>
    </row>
    <row r="11">
      <c r="A11" s="7" t="inlineStr">
        <is>
          <t>HYG-006</t>
        </is>
      </c>
      <c r="B11" s="7" t="inlineStr">
        <is>
          <t>Infirmerie</t>
        </is>
      </c>
      <c r="C11" s="7" t="inlineStr">
        <is>
          <t>Qualité eau</t>
        </is>
      </c>
      <c r="D11" s="7" t="inlineStr">
        <is>
          <t>Potabilité</t>
        </is>
      </c>
      <c r="E11" s="7" t="inlineStr">
        <is>
          <t>Conforme</t>
        </is>
      </c>
      <c r="F11" s="7" t="inlineStr">
        <is>
          <t>Conforme</t>
        </is>
      </c>
      <c r="G11" s="7" t="inlineStr">
        <is>
          <t>Conforme</t>
        </is>
      </c>
      <c r="H11" s="15" t="n">
        <v>45748</v>
      </c>
      <c r="I11" s="7" t="inlineStr">
        <is>
          <t>Trimestrielle</t>
        </is>
      </c>
      <c r="J11" s="7" t="inlineStr">
        <is>
          <t>Dr. Manga</t>
        </is>
      </c>
      <c r="K11" s="7" t="inlineStr">
        <is>
          <t>Néant</t>
        </is>
      </c>
      <c r="L11" s="8" t="n">
        <v>0</v>
      </c>
    </row>
    <row r="12">
      <c r="A12" s="4" t="inlineStr">
        <is>
          <t>HYG-007</t>
        </is>
      </c>
      <c r="B12" s="4" t="inlineStr">
        <is>
          <t>Entrepôt</t>
        </is>
      </c>
      <c r="C12" s="4" t="inlineStr">
        <is>
          <t>Ventilation</t>
        </is>
      </c>
      <c r="D12" s="4" t="inlineStr">
        <is>
          <t>Débit air (m3/h)</t>
        </is>
      </c>
      <c r="E12" s="4" t="n">
        <v>800</v>
      </c>
      <c r="F12" s="4" t="n">
        <v>1000</v>
      </c>
      <c r="G12" s="4" t="inlineStr">
        <is>
          <t>Non conforme</t>
        </is>
      </c>
      <c r="H12" s="14" t="n">
        <v>45762</v>
      </c>
      <c r="I12" s="4" t="inlineStr">
        <is>
          <t>Semestrielle</t>
        </is>
      </c>
      <c r="J12" s="4" t="inlineStr">
        <is>
          <t>M. Ondo</t>
        </is>
      </c>
      <c r="K12" s="4" t="inlineStr">
        <is>
          <t>Installation extracteur</t>
        </is>
      </c>
      <c r="L12" s="5" t="n">
        <v>1200000</v>
      </c>
    </row>
    <row r="13">
      <c r="A13" s="7" t="inlineStr">
        <is>
          <t>HYG-008</t>
        </is>
      </c>
      <c r="B13" s="7" t="inlineStr">
        <is>
          <t>Bureaux</t>
        </is>
      </c>
      <c r="C13" s="7" t="inlineStr">
        <is>
          <t>Ergonomie</t>
        </is>
      </c>
      <c r="D13" s="7" t="inlineStr">
        <is>
          <t>Taux satisfaction</t>
        </is>
      </c>
      <c r="E13" s="7" t="inlineStr">
        <is>
          <t>72%</t>
        </is>
      </c>
      <c r="F13" s="7" t="inlineStr">
        <is>
          <t>80%</t>
        </is>
      </c>
      <c r="G13" s="7" t="inlineStr">
        <is>
          <t>Non conforme</t>
        </is>
      </c>
      <c r="H13" s="15" t="n">
        <v>45778</v>
      </c>
      <c r="I13" s="7" t="inlineStr">
        <is>
          <t>Annuelle</t>
        </is>
      </c>
      <c r="J13" s="7" t="inlineStr">
        <is>
          <t>Mme. Mbarga</t>
        </is>
      </c>
      <c r="K13" s="7" t="inlineStr">
        <is>
          <t>Audit ergonomique complet</t>
        </is>
      </c>
      <c r="L13" s="8" t="n">
        <v>600000</v>
      </c>
    </row>
    <row r="14">
      <c r="A14" s="4" t="inlineStr">
        <is>
          <t>HYG-009</t>
        </is>
      </c>
      <c r="B14" s="4" t="inlineStr">
        <is>
          <t>Spa</t>
        </is>
      </c>
      <c r="C14" s="4" t="inlineStr">
        <is>
          <t>Hygiène</t>
        </is>
      </c>
      <c r="D14" s="4" t="inlineStr">
        <is>
          <t>Bactériologie eau</t>
        </is>
      </c>
      <c r="E14" s="4" t="inlineStr">
        <is>
          <t>0 UFC/mL</t>
        </is>
      </c>
      <c r="F14" s="4" t="inlineStr">
        <is>
          <t>&lt; 100 UFC/mL</t>
        </is>
      </c>
      <c r="G14" s="4" t="inlineStr">
        <is>
          <t>Conforme</t>
        </is>
      </c>
      <c r="H14" s="14" t="n">
        <v>45778</v>
      </c>
      <c r="I14" s="4" t="inlineStr">
        <is>
          <t>Mensuelle</t>
        </is>
      </c>
      <c r="J14" s="4" t="inlineStr">
        <is>
          <t>Mme. Fotso</t>
        </is>
      </c>
      <c r="K14" s="4" t="inlineStr">
        <is>
          <t>Néant</t>
        </is>
      </c>
      <c r="L14" s="5" t="n">
        <v>0</v>
      </c>
    </row>
    <row r="15">
      <c r="A15" s="7" t="inlineStr">
        <is>
          <t>HYG-010</t>
        </is>
      </c>
      <c r="B15" s="7" t="inlineStr">
        <is>
          <t>Parking</t>
        </is>
      </c>
      <c r="C15" s="7" t="inlineStr">
        <is>
          <t>Sécurité</t>
        </is>
      </c>
      <c r="D15" s="7" t="inlineStr">
        <is>
          <t>Éclairage lux</t>
        </is>
      </c>
      <c r="E15" s="7" t="n">
        <v>80</v>
      </c>
      <c r="F15" s="7" t="n">
        <v>100</v>
      </c>
      <c r="G15" s="7" t="inlineStr">
        <is>
          <t>Non conforme</t>
        </is>
      </c>
      <c r="H15" s="15" t="n">
        <v>45792</v>
      </c>
      <c r="I15" s="7" t="inlineStr">
        <is>
          <t>Semestrielle</t>
        </is>
      </c>
      <c r="J15" s="7" t="inlineStr">
        <is>
          <t>M. Ondo</t>
        </is>
      </c>
      <c r="K15" s="7" t="inlineStr">
        <is>
          <t>Ajout projecteurs LED</t>
        </is>
      </c>
      <c r="L15" s="8" t="n">
        <v>350000</v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8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5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5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5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8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5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8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5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5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8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8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5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5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8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5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8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5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8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5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8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5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8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5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5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8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5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8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5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8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5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8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5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8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8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5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5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8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5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8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5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5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8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5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8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5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8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5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8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5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8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5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8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5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8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5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8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5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8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5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8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5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8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5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8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5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8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5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8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5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8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5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8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5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8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5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8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5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8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5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8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5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8" t="n"/>
    </row>
  </sheetData>
  <mergeCells count="2">
    <mergeCell ref="A3:P3"/>
    <mergeCell ref="A2:P2"/>
  </mergeCells>
  <conditionalFormatting sqref="G6:G115">
    <cfRule type="cellIs" priority="1" operator="equal" dxfId="1">
      <formula>"Conforme"</formula>
    </cfRule>
    <cfRule type="cellIs" priority="2" operator="equal" dxfId="2">
      <formula>"Non conforme"</formula>
    </cfRule>
  </conditionalFormatting>
  <dataValidations count="2">
    <dataValidation sqref="G6:G115" showDropDown="0" showInputMessage="0" showErrorMessage="0" allowBlank="1" errorTitle="Erreur de saisie" error="Valeur non autorisée" promptTitle="Liste déroulante" prompt="Sélectionnez dans la liste" type="list">
      <formula1>'F02 - _Lists'!$Q$6:$Q$35</formula1>
    </dataValidation>
    <dataValidation sqref="I6:I115" showDropDown="0" showInputMessage="0" showErrorMessage="0" allowBlank="1" errorTitle="Erreur de saisie" error="Valeur non autorisée" promptTitle="Liste déroulante" prompt="Sélectionnez dans la liste" type="list">
      <formula1>'F02 - _Lists'!$P$6:$P$35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1C784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6" customWidth="1" min="13" max="13"/>
    <col width="18" customWidth="1" min="14" max="14"/>
  </cols>
  <sheetData>
    <row r="2" ht="25" customHeight="1">
      <c r="A2" s="1" t="inlineStr">
        <is>
          <t>DOMAINE 27 — 13-BUDGET SANTÉ, SÉCURITÉ ET BIEN-ÊTRE AU TRAVAIL</t>
        </is>
      </c>
    </row>
    <row r="3" ht="18" customHeight="1">
      <c r="A3" s="2" t="inlineStr">
        <is>
          <t>TABLEAU DYNAMIQUE — Suivi budgétaire par poste et trimestre</t>
        </is>
      </c>
    </row>
    <row r="5">
      <c r="A5" s="3" t="inlineStr">
        <is>
          <t>Poste Budgétaire</t>
        </is>
      </c>
      <c r="B5" s="3" t="inlineStr">
        <is>
          <t>Département</t>
        </is>
      </c>
      <c r="C5" s="3" t="inlineStr">
        <is>
          <t>Q1 Alloué (FCFA)</t>
        </is>
      </c>
      <c r="D5" s="3" t="inlineStr">
        <is>
          <t>Q1 Consommé (FCFA)</t>
        </is>
      </c>
      <c r="E5" s="3" t="inlineStr">
        <is>
          <t>Q2 Alloué (FCFA)</t>
        </is>
      </c>
      <c r="F5" s="3" t="inlineStr">
        <is>
          <t>Q2 Consommé (FCFA)</t>
        </is>
      </c>
      <c r="G5" s="3" t="inlineStr">
        <is>
          <t>Q3 Alloué (FCFA)</t>
        </is>
      </c>
      <c r="H5" s="3" t="inlineStr">
        <is>
          <t>Q3 Consommé (FCFA)</t>
        </is>
      </c>
      <c r="I5" s="3" t="inlineStr">
        <is>
          <t>Q4 Alloué (FCFA)</t>
        </is>
      </c>
      <c r="J5" s="3" t="inlineStr">
        <is>
          <t>Q4 Consommé (FCFA)</t>
        </is>
      </c>
      <c r="K5" s="3" t="inlineStr">
        <is>
          <t>Total Alloué (FCFA)</t>
        </is>
      </c>
      <c r="L5" s="3" t="inlineStr">
        <is>
          <t>Total Consommé (FCFA)</t>
        </is>
      </c>
      <c r="M5" s="3" t="inlineStr">
        <is>
          <t>Reste (FCFA)</t>
        </is>
      </c>
      <c r="N5" s="3" t="inlineStr">
        <is>
          <t>Taux Consommation (%)</t>
        </is>
      </c>
    </row>
    <row r="6">
      <c r="A6" s="4" t="inlineStr">
        <is>
          <t>EPI et équipements</t>
        </is>
      </c>
      <c r="B6" s="4" t="inlineStr">
        <is>
          <t>Maintenance</t>
        </is>
      </c>
      <c r="C6" s="5" t="n">
        <v>800000</v>
      </c>
      <c r="D6" s="5" t="n">
        <v>650000</v>
      </c>
      <c r="E6" s="5" t="n">
        <v>800000</v>
      </c>
      <c r="F6" s="5" t="n">
        <v>720000</v>
      </c>
      <c r="G6" s="5" t="n">
        <v>600000</v>
      </c>
      <c r="H6" s="5" t="n">
        <v>0</v>
      </c>
      <c r="I6" s="5" t="n">
        <v>600000</v>
      </c>
      <c r="J6" s="5" t="n">
        <v>0</v>
      </c>
      <c r="K6" s="5">
        <f>C6+E6+G6+I6</f>
        <v/>
      </c>
      <c r="L6" s="5">
        <f>D6+F6+H6+J6</f>
        <v/>
      </c>
      <c r="M6" s="5">
        <f>K6-L6</f>
        <v/>
      </c>
      <c r="N6" s="6">
        <f>IFERROR(L6/K6,0)</f>
        <v/>
      </c>
    </row>
    <row r="7">
      <c r="A7" s="7" t="inlineStr">
        <is>
          <t>EPI et équipements</t>
        </is>
      </c>
      <c r="B7" s="7" t="inlineStr">
        <is>
          <t>Cuisine &amp; Restauration</t>
        </is>
      </c>
      <c r="C7" s="8" t="n">
        <v>500000</v>
      </c>
      <c r="D7" s="8" t="n">
        <v>420000</v>
      </c>
      <c r="E7" s="8" t="n">
        <v>500000</v>
      </c>
      <c r="F7" s="8" t="n">
        <v>380000</v>
      </c>
      <c r="G7" s="8" t="n">
        <v>400000</v>
      </c>
      <c r="H7" s="8" t="n">
        <v>0</v>
      </c>
      <c r="I7" s="8" t="n">
        <v>400000</v>
      </c>
      <c r="J7" s="8" t="n">
        <v>0</v>
      </c>
      <c r="K7" s="8">
        <f>C7+E7+G7+I7</f>
        <v/>
      </c>
      <c r="L7" s="8">
        <f>D7+F7+H7+J7</f>
        <v/>
      </c>
      <c r="M7" s="8">
        <f>K7-L7</f>
        <v/>
      </c>
      <c r="N7" s="9">
        <f>IFERROR(L7/K7,0)</f>
        <v/>
      </c>
    </row>
    <row r="8">
      <c r="A8" s="4" t="inlineStr">
        <is>
          <t>Formations SST</t>
        </is>
      </c>
      <c r="B8" s="4" t="inlineStr">
        <is>
          <t>Tous départements</t>
        </is>
      </c>
      <c r="C8" s="5" t="n">
        <v>1500000</v>
      </c>
      <c r="D8" s="5" t="n">
        <v>1350000</v>
      </c>
      <c r="E8" s="5" t="n">
        <v>1000000</v>
      </c>
      <c r="F8" s="5" t="n">
        <v>520000</v>
      </c>
      <c r="G8" s="5" t="n">
        <v>800000</v>
      </c>
      <c r="H8" s="5" t="n">
        <v>0</v>
      </c>
      <c r="I8" s="5" t="n">
        <v>800000</v>
      </c>
      <c r="J8" s="5" t="n">
        <v>0</v>
      </c>
      <c r="K8" s="5">
        <f>C8+E8+G8+I8</f>
        <v/>
      </c>
      <c r="L8" s="5">
        <f>D8+F8+H8+J8</f>
        <v/>
      </c>
      <c r="M8" s="5">
        <f>K8-L8</f>
        <v/>
      </c>
      <c r="N8" s="6">
        <f>IFERROR(L8/K8,0)</f>
        <v/>
      </c>
    </row>
    <row r="9">
      <c r="A9" s="7" t="inlineStr">
        <is>
          <t>Visites médicales</t>
        </is>
      </c>
      <c r="B9" s="7" t="inlineStr">
        <is>
          <t>Tous départements</t>
        </is>
      </c>
      <c r="C9" s="8" t="n">
        <v>600000</v>
      </c>
      <c r="D9" s="8" t="n">
        <v>450000</v>
      </c>
      <c r="E9" s="8" t="n">
        <v>600000</v>
      </c>
      <c r="F9" s="8" t="n">
        <v>350000</v>
      </c>
      <c r="G9" s="8" t="n">
        <v>600000</v>
      </c>
      <c r="H9" s="8" t="n">
        <v>0</v>
      </c>
      <c r="I9" s="8" t="n">
        <v>600000</v>
      </c>
      <c r="J9" s="8" t="n">
        <v>0</v>
      </c>
      <c r="K9" s="8">
        <f>C9+E9+G9+I9</f>
        <v/>
      </c>
      <c r="L9" s="8">
        <f>D9+F9+H9+J9</f>
        <v/>
      </c>
      <c r="M9" s="8">
        <f>K9-L9</f>
        <v/>
      </c>
      <c r="N9" s="9">
        <f>IFERROR(L9/K9,0)</f>
        <v/>
      </c>
    </row>
    <row r="10">
      <c r="A10" s="4" t="inlineStr">
        <is>
          <t>Équipements médicaux</t>
        </is>
      </c>
      <c r="B10" s="4" t="inlineStr">
        <is>
          <t>Infirmerie</t>
        </is>
      </c>
      <c r="C10" s="5" t="n">
        <v>400000</v>
      </c>
      <c r="D10" s="5" t="n">
        <v>300000</v>
      </c>
      <c r="E10" s="5" t="n">
        <v>300000</v>
      </c>
      <c r="F10" s="5" t="n">
        <v>200000</v>
      </c>
      <c r="G10" s="5" t="n">
        <v>200000</v>
      </c>
      <c r="H10" s="5" t="n">
        <v>0</v>
      </c>
      <c r="I10" s="5" t="n">
        <v>200000</v>
      </c>
      <c r="J10" s="5" t="n">
        <v>0</v>
      </c>
      <c r="K10" s="5">
        <f>C10+E10+G10+I10</f>
        <v/>
      </c>
      <c r="L10" s="5">
        <f>D10+F10+H10+J10</f>
        <v/>
      </c>
      <c r="M10" s="5">
        <f>K10-L10</f>
        <v/>
      </c>
      <c r="N10" s="6">
        <f>IFERROR(L10/K10,0)</f>
        <v/>
      </c>
    </row>
    <row r="11">
      <c r="A11" s="7" t="inlineStr">
        <is>
          <t>Prévention incendie</t>
        </is>
      </c>
      <c r="B11" s="7" t="inlineStr">
        <is>
          <t>Ensemble site</t>
        </is>
      </c>
      <c r="C11" s="8" t="n">
        <v>1200000</v>
      </c>
      <c r="D11" s="8" t="n">
        <v>1000000</v>
      </c>
      <c r="E11" s="8" t="n">
        <v>800000</v>
      </c>
      <c r="F11" s="8" t="n">
        <v>500000</v>
      </c>
      <c r="G11" s="8" t="n">
        <v>800000</v>
      </c>
      <c r="H11" s="8" t="n">
        <v>0</v>
      </c>
      <c r="I11" s="8" t="n">
        <v>800000</v>
      </c>
      <c r="J11" s="8" t="n">
        <v>0</v>
      </c>
      <c r="K11" s="8">
        <f>C11+E11+G11+I11</f>
        <v/>
      </c>
      <c r="L11" s="8">
        <f>D11+F11+H11+J11</f>
        <v/>
      </c>
      <c r="M11" s="8">
        <f>K11-L11</f>
        <v/>
      </c>
      <c r="N11" s="9">
        <f>IFERROR(L11/K11,0)</f>
        <v/>
      </c>
    </row>
    <row r="12">
      <c r="A12" s="4" t="inlineStr">
        <is>
          <t>Hygiène environnement</t>
        </is>
      </c>
      <c r="B12" s="4" t="inlineStr">
        <is>
          <t>Ensemble site</t>
        </is>
      </c>
      <c r="C12" s="5" t="n">
        <v>500000</v>
      </c>
      <c r="D12" s="5" t="n">
        <v>350000</v>
      </c>
      <c r="E12" s="5" t="n">
        <v>500000</v>
      </c>
      <c r="F12" s="5" t="n">
        <v>420000</v>
      </c>
      <c r="G12" s="5" t="n">
        <v>400000</v>
      </c>
      <c r="H12" s="5" t="n">
        <v>0</v>
      </c>
      <c r="I12" s="5" t="n">
        <v>400000</v>
      </c>
      <c r="J12" s="5" t="n">
        <v>0</v>
      </c>
      <c r="K12" s="5">
        <f>C12+E12+G12+I12</f>
        <v/>
      </c>
      <c r="L12" s="5">
        <f>D12+F12+H12+J12</f>
        <v/>
      </c>
      <c r="M12" s="5">
        <f>K12-L12</f>
        <v/>
      </c>
      <c r="N12" s="6">
        <f>IFERROR(L12/K12,0)</f>
        <v/>
      </c>
    </row>
    <row r="13">
      <c r="A13" s="7" t="inlineStr">
        <is>
          <t>Bien-être employés</t>
        </is>
      </c>
      <c r="B13" s="7" t="inlineStr">
        <is>
          <t>Tous départements</t>
        </is>
      </c>
      <c r="C13" s="8" t="n">
        <v>800000</v>
      </c>
      <c r="D13" s="8" t="n">
        <v>600000</v>
      </c>
      <c r="E13" s="8" t="n">
        <v>800000</v>
      </c>
      <c r="F13" s="8" t="n">
        <v>500000</v>
      </c>
      <c r="G13" s="8" t="n">
        <v>800000</v>
      </c>
      <c r="H13" s="8" t="n">
        <v>0</v>
      </c>
      <c r="I13" s="8" t="n">
        <v>800000</v>
      </c>
      <c r="J13" s="8" t="n">
        <v>0</v>
      </c>
      <c r="K13" s="8">
        <f>C13+E13+G13+I13</f>
        <v/>
      </c>
      <c r="L13" s="8">
        <f>D13+F13+H13+J13</f>
        <v/>
      </c>
      <c r="M13" s="8">
        <f>K13-L13</f>
        <v/>
      </c>
      <c r="N13" s="9">
        <f>IFERROR(L13/K13,0)</f>
        <v/>
      </c>
    </row>
    <row r="14">
      <c r="A14" s="4" t="inlineStr">
        <is>
          <t>Audits et contrôles</t>
        </is>
      </c>
      <c r="B14" s="4" t="inlineStr">
        <is>
          <t>Ensemble site</t>
        </is>
      </c>
      <c r="C14" s="5" t="n">
        <v>400000</v>
      </c>
      <c r="D14" s="5" t="n">
        <v>250000</v>
      </c>
      <c r="E14" s="5" t="n">
        <v>400000</v>
      </c>
      <c r="F14" s="5" t="n">
        <v>150000</v>
      </c>
      <c r="G14" s="5" t="n">
        <v>400000</v>
      </c>
      <c r="H14" s="5" t="n">
        <v>0</v>
      </c>
      <c r="I14" s="5" t="n">
        <v>400000</v>
      </c>
      <c r="J14" s="5" t="n">
        <v>0</v>
      </c>
      <c r="K14" s="5">
        <f>C14+E14+G14+I14</f>
        <v/>
      </c>
      <c r="L14" s="5">
        <f>D14+F14+H14+J14</f>
        <v/>
      </c>
      <c r="M14" s="5">
        <f>K14-L14</f>
        <v/>
      </c>
      <c r="N14" s="6">
        <f>IFERROR(L14/K14,0)</f>
        <v/>
      </c>
    </row>
    <row r="15">
      <c r="A15" s="7" t="inlineStr">
        <is>
          <t>Indemnités AT/MP</t>
        </is>
      </c>
      <c r="B15" s="7" t="inlineStr">
        <is>
          <t>Tous départements</t>
        </is>
      </c>
      <c r="C15" s="8" t="n">
        <v>1500000</v>
      </c>
      <c r="D15" s="8" t="n">
        <v>1200000</v>
      </c>
      <c r="E15" s="8" t="n">
        <v>1500000</v>
      </c>
      <c r="F15" s="8" t="n">
        <v>980000</v>
      </c>
      <c r="G15" s="8" t="n">
        <v>1500000</v>
      </c>
      <c r="H15" s="8" t="n">
        <v>0</v>
      </c>
      <c r="I15" s="8" t="n">
        <v>1500000</v>
      </c>
      <c r="J15" s="8" t="n">
        <v>0</v>
      </c>
      <c r="K15" s="8">
        <f>C15+E15+G15+I15</f>
        <v/>
      </c>
      <c r="L15" s="8">
        <f>D15+F15+H15+J15</f>
        <v/>
      </c>
      <c r="M15" s="8">
        <f>K15-L15</f>
        <v/>
      </c>
      <c r="N15" s="9">
        <f>IFERROR(L15/K15,0)</f>
        <v/>
      </c>
    </row>
    <row r="16">
      <c r="A16" s="4" t="n"/>
      <c r="B16" s="4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>
        <f>IF(A16="","",C16+E16+G16+I16)</f>
        <v/>
      </c>
      <c r="L16" s="5">
        <f>IF(A16="","",D16+F16+H16+J16)</f>
        <v/>
      </c>
      <c r="M16" s="5">
        <f>IF(A16="","",K16-L16)</f>
        <v/>
      </c>
      <c r="N16" s="6">
        <f>IF(A16="","",IFERROR(L16/K16,0))</f>
        <v/>
      </c>
    </row>
    <row r="17">
      <c r="A17" s="7" t="n"/>
      <c r="B17" s="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>
        <f>IF(A17="","",C17+E17+G17+I17)</f>
        <v/>
      </c>
      <c r="L17" s="8">
        <f>IF(A17="","",D17+F17+H17+J17)</f>
        <v/>
      </c>
      <c r="M17" s="8">
        <f>IF(A17="","",K17-L17)</f>
        <v/>
      </c>
      <c r="N17" s="9">
        <f>IF(A17="","",IFERROR(L17/K17,0))</f>
        <v/>
      </c>
    </row>
    <row r="18">
      <c r="A18" s="4" t="n"/>
      <c r="B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>
        <f>IF(A18="","",C18+E18+G18+I18)</f>
        <v/>
      </c>
      <c r="L18" s="5">
        <f>IF(A18="","",D18+F18+H18+J18)</f>
        <v/>
      </c>
      <c r="M18" s="5">
        <f>IF(A18="","",K18-L18)</f>
        <v/>
      </c>
      <c r="N18" s="6">
        <f>IF(A18="","",IFERROR(L18/K18,0))</f>
        <v/>
      </c>
    </row>
    <row r="19">
      <c r="A19" s="7" t="n"/>
      <c r="B19" s="7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>
        <f>IF(A19="","",C19+E19+G19+I19)</f>
        <v/>
      </c>
      <c r="L19" s="8">
        <f>IF(A19="","",D19+F19+H19+J19)</f>
        <v/>
      </c>
      <c r="M19" s="8">
        <f>IF(A19="","",K19-L19)</f>
        <v/>
      </c>
      <c r="N19" s="9">
        <f>IF(A19="","",IFERROR(L19/K19,0))</f>
        <v/>
      </c>
    </row>
    <row r="20">
      <c r="A20" s="4" t="n"/>
      <c r="B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>
        <f>IF(A20="","",C20+E20+G20+I20)</f>
        <v/>
      </c>
      <c r="L20" s="5">
        <f>IF(A20="","",D20+F20+H20+J20)</f>
        <v/>
      </c>
      <c r="M20" s="5">
        <f>IF(A20="","",K20-L20)</f>
        <v/>
      </c>
      <c r="N20" s="6">
        <f>IF(A20="","",IFERROR(L20/K20,0))</f>
        <v/>
      </c>
    </row>
    <row r="21">
      <c r="A21" s="7" t="n"/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>
        <f>IF(A21="","",C21+E21+G21+I21)</f>
        <v/>
      </c>
      <c r="L21" s="8">
        <f>IF(A21="","",D21+F21+H21+J21)</f>
        <v/>
      </c>
      <c r="M21" s="8">
        <f>IF(A21="","",K21-L21)</f>
        <v/>
      </c>
      <c r="N21" s="9">
        <f>IF(A21="","",IFERROR(L21/K21,0))</f>
        <v/>
      </c>
    </row>
    <row r="22">
      <c r="A22" s="4" t="n"/>
      <c r="B22" s="4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>
        <f>IF(A22="","",C22+E22+G22+I22)</f>
        <v/>
      </c>
      <c r="L22" s="5">
        <f>IF(A22="","",D22+F22+H22+J22)</f>
        <v/>
      </c>
      <c r="M22" s="5">
        <f>IF(A22="","",K22-L22)</f>
        <v/>
      </c>
      <c r="N22" s="6">
        <f>IF(A22="","",IFERROR(L22/K22,0))</f>
        <v/>
      </c>
    </row>
    <row r="23">
      <c r="A23" s="7" t="n"/>
      <c r="B23" s="7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>
        <f>IF(A23="","",C23+E23+G23+I23)</f>
        <v/>
      </c>
      <c r="L23" s="8">
        <f>IF(A23="","",D23+F23+H23+J23)</f>
        <v/>
      </c>
      <c r="M23" s="8">
        <f>IF(A23="","",K23-L23)</f>
        <v/>
      </c>
      <c r="N23" s="9">
        <f>IF(A23="","",IFERROR(L23/K23,0))</f>
        <v/>
      </c>
    </row>
    <row r="24">
      <c r="A24" s="4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>
        <f>IF(A24="","",C24+E24+G24+I24)</f>
        <v/>
      </c>
      <c r="L24" s="5">
        <f>IF(A24="","",D24+F24+H24+J24)</f>
        <v/>
      </c>
      <c r="M24" s="5">
        <f>IF(A24="","",K24-L24)</f>
        <v/>
      </c>
      <c r="N24" s="6">
        <f>IF(A24="","",IFERROR(L24/K24,0))</f>
        <v/>
      </c>
    </row>
    <row r="25">
      <c r="A25" s="7" t="n"/>
      <c r="B25" s="7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>
        <f>IF(A25="","",C25+E25+G25+I25)</f>
        <v/>
      </c>
      <c r="L25" s="8">
        <f>IF(A25="","",D25+F25+H25+J25)</f>
        <v/>
      </c>
      <c r="M25" s="8">
        <f>IF(A25="","",K25-L25)</f>
        <v/>
      </c>
      <c r="N25" s="9">
        <f>IF(A25="","",IFERROR(L25/K25,0))</f>
        <v/>
      </c>
    </row>
    <row r="26">
      <c r="A26" s="4" t="n"/>
      <c r="B26" s="4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>
        <f>IF(A26="","",C26+E26+G26+I26)</f>
        <v/>
      </c>
      <c r="L26" s="5">
        <f>IF(A26="","",D26+F26+H26+J26)</f>
        <v/>
      </c>
      <c r="M26" s="5">
        <f>IF(A26="","",K26-L26)</f>
        <v/>
      </c>
      <c r="N26" s="6">
        <f>IF(A26="","",IFERROR(L26/K26,0))</f>
        <v/>
      </c>
    </row>
    <row r="27">
      <c r="A27" s="7" t="n"/>
      <c r="B27" s="7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>
        <f>IF(A27="","",C27+E27+G27+I27)</f>
        <v/>
      </c>
      <c r="L27" s="8">
        <f>IF(A27="","",D27+F27+H27+J27)</f>
        <v/>
      </c>
      <c r="M27" s="8">
        <f>IF(A27="","",K27-L27)</f>
        <v/>
      </c>
      <c r="N27" s="9">
        <f>IF(A27="","",IFERROR(L27/K27,0))</f>
        <v/>
      </c>
    </row>
    <row r="28">
      <c r="A28" s="4" t="n"/>
      <c r="B28" s="4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>
        <f>IF(A28="","",C28+E28+G28+I28)</f>
        <v/>
      </c>
      <c r="L28" s="5">
        <f>IF(A28="","",D28+F28+H28+J28)</f>
        <v/>
      </c>
      <c r="M28" s="5">
        <f>IF(A28="","",K28-L28)</f>
        <v/>
      </c>
      <c r="N28" s="6">
        <f>IF(A28="","",IFERROR(L28/K28,0))</f>
        <v/>
      </c>
    </row>
    <row r="29">
      <c r="A29" s="7" t="n"/>
      <c r="B29" s="7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>
        <f>IF(A29="","",C29+E29+G29+I29)</f>
        <v/>
      </c>
      <c r="L29" s="8">
        <f>IF(A29="","",D29+F29+H29+J29)</f>
        <v/>
      </c>
      <c r="M29" s="8">
        <f>IF(A29="","",K29-L29)</f>
        <v/>
      </c>
      <c r="N29" s="9">
        <f>IF(A29="","",IFERROR(L29/K29,0))</f>
        <v/>
      </c>
    </row>
    <row r="30">
      <c r="A30" s="4" t="n"/>
      <c r="B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>
        <f>IF(A30="","",C30+E30+G30+I30)</f>
        <v/>
      </c>
      <c r="L30" s="5">
        <f>IF(A30="","",D30+F30+H30+J30)</f>
        <v/>
      </c>
      <c r="M30" s="5">
        <f>IF(A30="","",K30-L30)</f>
        <v/>
      </c>
      <c r="N30" s="6">
        <f>IF(A30="","",IFERROR(L30/K30,0))</f>
        <v/>
      </c>
    </row>
    <row r="31">
      <c r="A31" s="7" t="n"/>
      <c r="B31" s="7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>
        <f>IF(A31="","",C31+E31+G31+I31)</f>
        <v/>
      </c>
      <c r="L31" s="8">
        <f>IF(A31="","",D31+F31+H31+J31)</f>
        <v/>
      </c>
      <c r="M31" s="8">
        <f>IF(A31="","",K31-L31)</f>
        <v/>
      </c>
      <c r="N31" s="9">
        <f>IF(A31="","",IFERROR(L31/K31,0))</f>
        <v/>
      </c>
    </row>
    <row r="32">
      <c r="A32" s="4" t="n"/>
      <c r="B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>
        <f>IF(A32="","",C32+E32+G32+I32)</f>
        <v/>
      </c>
      <c r="L32" s="5">
        <f>IF(A32="","",D32+F32+H32+J32)</f>
        <v/>
      </c>
      <c r="M32" s="5">
        <f>IF(A32="","",K32-L32)</f>
        <v/>
      </c>
      <c r="N32" s="6">
        <f>IF(A32="","",IFERROR(L32/K32,0))</f>
        <v/>
      </c>
    </row>
    <row r="33">
      <c r="A33" s="7" t="n"/>
      <c r="B33" s="7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>
        <f>IF(A33="","",C33+E33+G33+I33)</f>
        <v/>
      </c>
      <c r="L33" s="8">
        <f>IF(A33="","",D33+F33+H33+J33)</f>
        <v/>
      </c>
      <c r="M33" s="8">
        <f>IF(A33="","",K33-L33)</f>
        <v/>
      </c>
      <c r="N33" s="9">
        <f>IF(A33="","",IFERROR(L33/K33,0))</f>
        <v/>
      </c>
    </row>
    <row r="34">
      <c r="A34" s="4" t="n"/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>
        <f>IF(A34="","",C34+E34+G34+I34)</f>
        <v/>
      </c>
      <c r="L34" s="5">
        <f>IF(A34="","",D34+F34+H34+J34)</f>
        <v/>
      </c>
      <c r="M34" s="5">
        <f>IF(A34="","",K34-L34)</f>
        <v/>
      </c>
      <c r="N34" s="6">
        <f>IF(A34="","",IFERROR(L34/K34,0))</f>
        <v/>
      </c>
    </row>
    <row r="35">
      <c r="A35" s="7" t="n"/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>
        <f>IF(A35="","",C35+E35+G35+I35)</f>
        <v/>
      </c>
      <c r="L35" s="8">
        <f>IF(A35="","",D35+F35+H35+J35)</f>
        <v/>
      </c>
      <c r="M35" s="8">
        <f>IF(A35="","",K35-L35)</f>
        <v/>
      </c>
      <c r="N35" s="9">
        <f>IF(A35="","",IFERROR(L35/K35,0))</f>
        <v/>
      </c>
    </row>
    <row r="36">
      <c r="A36" s="4" t="n"/>
      <c r="B36" s="4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>
        <f>IF(A36="","",C36+E36+G36+I36)</f>
        <v/>
      </c>
      <c r="L36" s="5">
        <f>IF(A36="","",D36+F36+H36+J36)</f>
        <v/>
      </c>
      <c r="M36" s="5">
        <f>IF(A36="","",K36-L36)</f>
        <v/>
      </c>
      <c r="N36" s="6">
        <f>IF(A36="","",IFERROR(L36/K36,0))</f>
        <v/>
      </c>
    </row>
    <row r="37">
      <c r="A37" s="7" t="n"/>
      <c r="B37" s="7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>
        <f>IF(A37="","",C37+E37+G37+I37)</f>
        <v/>
      </c>
      <c r="L37" s="8">
        <f>IF(A37="","",D37+F37+H37+J37)</f>
        <v/>
      </c>
      <c r="M37" s="8">
        <f>IF(A37="","",K37-L37)</f>
        <v/>
      </c>
      <c r="N37" s="9">
        <f>IF(A37="","",IFERROR(L37/K37,0))</f>
        <v/>
      </c>
    </row>
    <row r="38">
      <c r="A38" s="4" t="n"/>
      <c r="B38" s="4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>
        <f>IF(A38="","",C38+E38+G38+I38)</f>
        <v/>
      </c>
      <c r="L38" s="5">
        <f>IF(A38="","",D38+F38+H38+J38)</f>
        <v/>
      </c>
      <c r="M38" s="5">
        <f>IF(A38="","",K38-L38)</f>
        <v/>
      </c>
      <c r="N38" s="6">
        <f>IF(A38="","",IFERROR(L38/K38,0))</f>
        <v/>
      </c>
    </row>
    <row r="39">
      <c r="A39" s="7" t="n"/>
      <c r="B39" s="7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>
        <f>IF(A39="","",C39+E39+G39+I39)</f>
        <v/>
      </c>
      <c r="L39" s="8">
        <f>IF(A39="","",D39+F39+H39+J39)</f>
        <v/>
      </c>
      <c r="M39" s="8">
        <f>IF(A39="","",K39-L39)</f>
        <v/>
      </c>
      <c r="N39" s="9">
        <f>IF(A39="","",IFERROR(L39/K39,0))</f>
        <v/>
      </c>
    </row>
    <row r="40">
      <c r="A40" s="4" t="n"/>
      <c r="B40" s="4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>
        <f>IF(A40="","",C40+E40+G40+I40)</f>
        <v/>
      </c>
      <c r="L40" s="5">
        <f>IF(A40="","",D40+F40+H40+J40)</f>
        <v/>
      </c>
      <c r="M40" s="5">
        <f>IF(A40="","",K40-L40)</f>
        <v/>
      </c>
      <c r="N40" s="6">
        <f>IF(A40="","",IFERROR(L40/K40,0))</f>
        <v/>
      </c>
    </row>
    <row r="41">
      <c r="A41" s="7" t="n"/>
      <c r="B41" s="7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>
        <f>IF(A41="","",C41+E41+G41+I41)</f>
        <v/>
      </c>
      <c r="L41" s="8">
        <f>IF(A41="","",D41+F41+H41+J41)</f>
        <v/>
      </c>
      <c r="M41" s="8">
        <f>IF(A41="","",K41-L41)</f>
        <v/>
      </c>
      <c r="N41" s="9">
        <f>IF(A41="","",IFERROR(L41/K41,0))</f>
        <v/>
      </c>
    </row>
    <row r="42">
      <c r="A42" s="4" t="n"/>
      <c r="B42" s="4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>
        <f>IF(A42="","",C42+E42+G42+I42)</f>
        <v/>
      </c>
      <c r="L42" s="5">
        <f>IF(A42="","",D42+F42+H42+J42)</f>
        <v/>
      </c>
      <c r="M42" s="5">
        <f>IF(A42="","",K42-L42)</f>
        <v/>
      </c>
      <c r="N42" s="6">
        <f>IF(A42="","",IFERROR(L42/K42,0))</f>
        <v/>
      </c>
    </row>
    <row r="43">
      <c r="A43" s="7" t="n"/>
      <c r="B43" s="7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>
        <f>IF(A43="","",C43+E43+G43+I43)</f>
        <v/>
      </c>
      <c r="L43" s="8">
        <f>IF(A43="","",D43+F43+H43+J43)</f>
        <v/>
      </c>
      <c r="M43" s="8">
        <f>IF(A43="","",K43-L43)</f>
        <v/>
      </c>
      <c r="N43" s="9">
        <f>IF(A43="","",IFERROR(L43/K43,0))</f>
        <v/>
      </c>
    </row>
    <row r="44">
      <c r="A44" s="4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>
        <f>IF(A44="","",C44+E44+G44+I44)</f>
        <v/>
      </c>
      <c r="L44" s="5">
        <f>IF(A44="","",D44+F44+H44+J44)</f>
        <v/>
      </c>
      <c r="M44" s="5">
        <f>IF(A44="","",K44-L44)</f>
        <v/>
      </c>
      <c r="N44" s="6">
        <f>IF(A44="","",IFERROR(L44/K44,0))</f>
        <v/>
      </c>
    </row>
    <row r="45">
      <c r="A45" s="7" t="n"/>
      <c r="B45" s="7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>
        <f>IF(A45="","",C45+E45+G45+I45)</f>
        <v/>
      </c>
      <c r="L45" s="8">
        <f>IF(A45="","",D45+F45+H45+J45)</f>
        <v/>
      </c>
      <c r="M45" s="8">
        <f>IF(A45="","",K45-L45)</f>
        <v/>
      </c>
      <c r="N45" s="9">
        <f>IF(A45="","",IFERROR(L45/K45,0))</f>
        <v/>
      </c>
    </row>
    <row r="46">
      <c r="A46" s="4" t="n"/>
      <c r="B46" s="4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>
        <f>IF(A46="","",C46+E46+G46+I46)</f>
        <v/>
      </c>
      <c r="L46" s="5">
        <f>IF(A46="","",D46+F46+H46+J46)</f>
        <v/>
      </c>
      <c r="M46" s="5">
        <f>IF(A46="","",K46-L46)</f>
        <v/>
      </c>
      <c r="N46" s="6">
        <f>IF(A46="","",IFERROR(L46/K46,0))</f>
        <v/>
      </c>
    </row>
    <row r="47">
      <c r="A47" s="7" t="n"/>
      <c r="B47" s="7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>
        <f>IF(A47="","",C47+E47+G47+I47)</f>
        <v/>
      </c>
      <c r="L47" s="8">
        <f>IF(A47="","",D47+F47+H47+J47)</f>
        <v/>
      </c>
      <c r="M47" s="8">
        <f>IF(A47="","",K47-L47)</f>
        <v/>
      </c>
      <c r="N47" s="9">
        <f>IF(A47="","",IFERROR(L47/K47,0))</f>
        <v/>
      </c>
    </row>
    <row r="48">
      <c r="A48" s="4" t="n"/>
      <c r="B48" s="4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>
        <f>IF(A48="","",C48+E48+G48+I48)</f>
        <v/>
      </c>
      <c r="L48" s="5">
        <f>IF(A48="","",D48+F48+H48+J48)</f>
        <v/>
      </c>
      <c r="M48" s="5">
        <f>IF(A48="","",K48-L48)</f>
        <v/>
      </c>
      <c r="N48" s="6">
        <f>IF(A48="","",IFERROR(L48/K48,0))</f>
        <v/>
      </c>
    </row>
    <row r="49">
      <c r="A49" s="7" t="n"/>
      <c r="B49" s="7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>
        <f>IF(A49="","",C49+E49+G49+I49)</f>
        <v/>
      </c>
      <c r="L49" s="8">
        <f>IF(A49="","",D49+F49+H49+J49)</f>
        <v/>
      </c>
      <c r="M49" s="8">
        <f>IF(A49="","",K49-L49)</f>
        <v/>
      </c>
      <c r="N49" s="9">
        <f>IF(A49="","",IFERROR(L49/K49,0))</f>
        <v/>
      </c>
    </row>
    <row r="50">
      <c r="A50" s="4" t="n"/>
      <c r="B50" s="4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>
        <f>IF(A50="","",C50+E50+G50+I50)</f>
        <v/>
      </c>
      <c r="L50" s="5">
        <f>IF(A50="","",D50+F50+H50+J50)</f>
        <v/>
      </c>
      <c r="M50" s="5">
        <f>IF(A50="","",K50-L50)</f>
        <v/>
      </c>
      <c r="N50" s="6">
        <f>IF(A50="","",IFERROR(L50/K50,0))</f>
        <v/>
      </c>
    </row>
    <row r="51">
      <c r="A51" s="7" t="n"/>
      <c r="B51" s="7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>
        <f>IF(A51="","",C51+E51+G51+I51)</f>
        <v/>
      </c>
      <c r="L51" s="8">
        <f>IF(A51="","",D51+F51+H51+J51)</f>
        <v/>
      </c>
      <c r="M51" s="8">
        <f>IF(A51="","",K51-L51)</f>
        <v/>
      </c>
      <c r="N51" s="9">
        <f>IF(A51="","",IFERROR(L51/K51,0))</f>
        <v/>
      </c>
    </row>
    <row r="52">
      <c r="A52" s="4" t="n"/>
      <c r="B52" s="4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>
        <f>IF(A52="","",C52+E52+G52+I52)</f>
        <v/>
      </c>
      <c r="L52" s="5">
        <f>IF(A52="","",D52+F52+H52+J52)</f>
        <v/>
      </c>
      <c r="M52" s="5">
        <f>IF(A52="","",K52-L52)</f>
        <v/>
      </c>
      <c r="N52" s="6">
        <f>IF(A52="","",IFERROR(L52/K52,0))</f>
        <v/>
      </c>
    </row>
    <row r="53">
      <c r="A53" s="7" t="n"/>
      <c r="B53" s="7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>
        <f>IF(A53="","",C53+E53+G53+I53)</f>
        <v/>
      </c>
      <c r="L53" s="8">
        <f>IF(A53="","",D53+F53+H53+J53)</f>
        <v/>
      </c>
      <c r="M53" s="8">
        <f>IF(A53="","",K53-L53)</f>
        <v/>
      </c>
      <c r="N53" s="9">
        <f>IF(A53="","",IFERROR(L53/K53,0))</f>
        <v/>
      </c>
    </row>
    <row r="54">
      <c r="A54" s="4" t="n"/>
      <c r="B54" s="4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>
        <f>IF(A54="","",C54+E54+G54+I54)</f>
        <v/>
      </c>
      <c r="L54" s="5">
        <f>IF(A54="","",D54+F54+H54+J54)</f>
        <v/>
      </c>
      <c r="M54" s="5">
        <f>IF(A54="","",K54-L54)</f>
        <v/>
      </c>
      <c r="N54" s="6">
        <f>IF(A54="","",IFERROR(L54/K54,0))</f>
        <v/>
      </c>
    </row>
    <row r="55">
      <c r="A55" s="7" t="n"/>
      <c r="B55" s="7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>
        <f>IF(A55="","",C55+E55+G55+I55)</f>
        <v/>
      </c>
      <c r="L55" s="8">
        <f>IF(A55="","",D55+F55+H55+J55)</f>
        <v/>
      </c>
      <c r="M55" s="8">
        <f>IF(A55="","",K55-L55)</f>
        <v/>
      </c>
      <c r="N55" s="9">
        <f>IF(A55="","",IFERROR(L55/K55,0))</f>
        <v/>
      </c>
    </row>
    <row r="56">
      <c r="A56" s="4" t="n"/>
      <c r="B56" s="4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>
        <f>IF(A56="","",C56+E56+G56+I56)</f>
        <v/>
      </c>
      <c r="L56" s="5">
        <f>IF(A56="","",D56+F56+H56+J56)</f>
        <v/>
      </c>
      <c r="M56" s="5">
        <f>IF(A56="","",K56-L56)</f>
        <v/>
      </c>
      <c r="N56" s="6">
        <f>IF(A56="","",IFERROR(L56/K56,0))</f>
        <v/>
      </c>
    </row>
    <row r="57">
      <c r="A57" s="7" t="n"/>
      <c r="B57" s="7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>
        <f>IF(A57="","",C57+E57+G57+I57)</f>
        <v/>
      </c>
      <c r="L57" s="8">
        <f>IF(A57="","",D57+F57+H57+J57)</f>
        <v/>
      </c>
      <c r="M57" s="8">
        <f>IF(A57="","",K57-L57)</f>
        <v/>
      </c>
      <c r="N57" s="9">
        <f>IF(A57="","",IFERROR(L57/K57,0))</f>
        <v/>
      </c>
    </row>
    <row r="58">
      <c r="A58" s="4" t="n"/>
      <c r="B58" s="4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>
        <f>IF(A58="","",C58+E58+G58+I58)</f>
        <v/>
      </c>
      <c r="L58" s="5">
        <f>IF(A58="","",D58+F58+H58+J58)</f>
        <v/>
      </c>
      <c r="M58" s="5">
        <f>IF(A58="","",K58-L58)</f>
        <v/>
      </c>
      <c r="N58" s="6">
        <f>IF(A58="","",IFERROR(L58/K58,0))</f>
        <v/>
      </c>
    </row>
    <row r="59">
      <c r="A59" s="7" t="n"/>
      <c r="B59" s="7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>
        <f>IF(A59="","",C59+E59+G59+I59)</f>
        <v/>
      </c>
      <c r="L59" s="8">
        <f>IF(A59="","",D59+F59+H59+J59)</f>
        <v/>
      </c>
      <c r="M59" s="8">
        <f>IF(A59="","",K59-L59)</f>
        <v/>
      </c>
      <c r="N59" s="9">
        <f>IF(A59="","",IFERROR(L59/K59,0))</f>
        <v/>
      </c>
    </row>
    <row r="60">
      <c r="A60" s="4" t="n"/>
      <c r="B60" s="4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>
        <f>IF(A60="","",C60+E60+G60+I60)</f>
        <v/>
      </c>
      <c r="L60" s="5">
        <f>IF(A60="","",D60+F60+H60+J60)</f>
        <v/>
      </c>
      <c r="M60" s="5">
        <f>IF(A60="","",K60-L60)</f>
        <v/>
      </c>
      <c r="N60" s="6">
        <f>IF(A60="","",IFERROR(L60/K60,0))</f>
        <v/>
      </c>
    </row>
    <row r="61">
      <c r="A61" s="7" t="n"/>
      <c r="B61" s="7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>
        <f>IF(A61="","",C61+E61+G61+I61)</f>
        <v/>
      </c>
      <c r="L61" s="8">
        <f>IF(A61="","",D61+F61+H61+J61)</f>
        <v/>
      </c>
      <c r="M61" s="8">
        <f>IF(A61="","",K61-L61)</f>
        <v/>
      </c>
      <c r="N61" s="9">
        <f>IF(A61="","",IFERROR(L61/K61,0))</f>
        <v/>
      </c>
    </row>
    <row r="62">
      <c r="A62" s="4" t="n"/>
      <c r="B62" s="4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>
        <f>IF(A62="","",C62+E62+G62+I62)</f>
        <v/>
      </c>
      <c r="L62" s="5">
        <f>IF(A62="","",D62+F62+H62+J62)</f>
        <v/>
      </c>
      <c r="M62" s="5">
        <f>IF(A62="","",K62-L62)</f>
        <v/>
      </c>
      <c r="N62" s="6">
        <f>IF(A62="","",IFERROR(L62/K62,0))</f>
        <v/>
      </c>
    </row>
    <row r="63">
      <c r="A63" s="7" t="n"/>
      <c r="B63" s="7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>
        <f>IF(A63="","",C63+E63+G63+I63)</f>
        <v/>
      </c>
      <c r="L63" s="8">
        <f>IF(A63="","",D63+F63+H63+J63)</f>
        <v/>
      </c>
      <c r="M63" s="8">
        <f>IF(A63="","",K63-L63)</f>
        <v/>
      </c>
      <c r="N63" s="9">
        <f>IF(A63="","",IFERROR(L63/K63,0))</f>
        <v/>
      </c>
    </row>
    <row r="64">
      <c r="A64" s="4" t="n"/>
      <c r="B64" s="4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>
        <f>IF(A64="","",C64+E64+G64+I64)</f>
        <v/>
      </c>
      <c r="L64" s="5">
        <f>IF(A64="","",D64+F64+H64+J64)</f>
        <v/>
      </c>
      <c r="M64" s="5">
        <f>IF(A64="","",K64-L64)</f>
        <v/>
      </c>
      <c r="N64" s="6">
        <f>IF(A64="","",IFERROR(L64/K64,0))</f>
        <v/>
      </c>
    </row>
    <row r="65">
      <c r="A65" s="7" t="n"/>
      <c r="B65" s="7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>
        <f>IF(A65="","",C65+E65+G65+I65)</f>
        <v/>
      </c>
      <c r="L65" s="8">
        <f>IF(A65="","",D65+F65+H65+J65)</f>
        <v/>
      </c>
      <c r="M65" s="8">
        <f>IF(A65="","",K65-L65)</f>
        <v/>
      </c>
      <c r="N65" s="9">
        <f>IF(A65="","",IFERROR(L65/K65,0))</f>
        <v/>
      </c>
    </row>
    <row r="66">
      <c r="A66" s="4" t="n"/>
      <c r="B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>
        <f>IF(A66="","",C66+E66+G66+I66)</f>
        <v/>
      </c>
      <c r="L66" s="5">
        <f>IF(A66="","",D66+F66+H66+J66)</f>
        <v/>
      </c>
      <c r="M66" s="5">
        <f>IF(A66="","",K66-L66)</f>
        <v/>
      </c>
      <c r="N66" s="6">
        <f>IF(A66="","",IFERROR(L66/K66,0))</f>
        <v/>
      </c>
    </row>
    <row r="67">
      <c r="A67" s="7" t="n"/>
      <c r="B67" s="7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>
        <f>IF(A67="","",C67+E67+G67+I67)</f>
        <v/>
      </c>
      <c r="L67" s="8">
        <f>IF(A67="","",D67+F67+H67+J67)</f>
        <v/>
      </c>
      <c r="M67" s="8">
        <f>IF(A67="","",K67-L67)</f>
        <v/>
      </c>
      <c r="N67" s="9">
        <f>IF(A67="","",IFERROR(L67/K67,0))</f>
        <v/>
      </c>
    </row>
    <row r="68">
      <c r="A68" s="4" t="n"/>
      <c r="B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>
        <f>IF(A68="","",C68+E68+G68+I68)</f>
        <v/>
      </c>
      <c r="L68" s="5">
        <f>IF(A68="","",D68+F68+H68+J68)</f>
        <v/>
      </c>
      <c r="M68" s="5">
        <f>IF(A68="","",K68-L68)</f>
        <v/>
      </c>
      <c r="N68" s="6">
        <f>IF(A68="","",IFERROR(L68/K68,0))</f>
        <v/>
      </c>
    </row>
    <row r="69">
      <c r="A69" s="7" t="n"/>
      <c r="B69" s="7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>
        <f>IF(A69="","",C69+E69+G69+I69)</f>
        <v/>
      </c>
      <c r="L69" s="8">
        <f>IF(A69="","",D69+F69+H69+J69)</f>
        <v/>
      </c>
      <c r="M69" s="8">
        <f>IF(A69="","",K69-L69)</f>
        <v/>
      </c>
      <c r="N69" s="9">
        <f>IF(A69="","",IFERROR(L69/K69,0))</f>
        <v/>
      </c>
    </row>
    <row r="70">
      <c r="A70" s="4" t="n"/>
      <c r="B70" s="4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>
        <f>IF(A70="","",C70+E70+G70+I70)</f>
        <v/>
      </c>
      <c r="L70" s="5">
        <f>IF(A70="","",D70+F70+H70+J70)</f>
        <v/>
      </c>
      <c r="M70" s="5">
        <f>IF(A70="","",K70-L70)</f>
        <v/>
      </c>
      <c r="N70" s="6">
        <f>IF(A70="","",IFERROR(L70/K70,0))</f>
        <v/>
      </c>
    </row>
    <row r="71">
      <c r="A71" s="7" t="n"/>
      <c r="B71" s="7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>
        <f>IF(A71="","",C71+E71+G71+I71)</f>
        <v/>
      </c>
      <c r="L71" s="8">
        <f>IF(A71="","",D71+F71+H71+J71)</f>
        <v/>
      </c>
      <c r="M71" s="8">
        <f>IF(A71="","",K71-L71)</f>
        <v/>
      </c>
      <c r="N71" s="9">
        <f>IF(A71="","",IFERROR(L71/K71,0))</f>
        <v/>
      </c>
    </row>
    <row r="72">
      <c r="A72" s="4" t="n"/>
      <c r="B72" s="4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>
        <f>IF(A72="","",C72+E72+G72+I72)</f>
        <v/>
      </c>
      <c r="L72" s="5">
        <f>IF(A72="","",D72+F72+H72+J72)</f>
        <v/>
      </c>
      <c r="M72" s="5">
        <f>IF(A72="","",K72-L72)</f>
        <v/>
      </c>
      <c r="N72" s="6">
        <f>IF(A72="","",IFERROR(L72/K72,0))</f>
        <v/>
      </c>
    </row>
    <row r="73">
      <c r="A73" s="7" t="n"/>
      <c r="B73" s="7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>
        <f>IF(A73="","",C73+E73+G73+I73)</f>
        <v/>
      </c>
      <c r="L73" s="8">
        <f>IF(A73="","",D73+F73+H73+J73)</f>
        <v/>
      </c>
      <c r="M73" s="8">
        <f>IF(A73="","",K73-L73)</f>
        <v/>
      </c>
      <c r="N73" s="9">
        <f>IF(A73="","",IFERROR(L73/K73,0))</f>
        <v/>
      </c>
    </row>
    <row r="74">
      <c r="A74" s="4" t="n"/>
      <c r="B74" s="4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>
        <f>IF(A74="","",C74+E74+G74+I74)</f>
        <v/>
      </c>
      <c r="L74" s="5">
        <f>IF(A74="","",D74+F74+H74+J74)</f>
        <v/>
      </c>
      <c r="M74" s="5">
        <f>IF(A74="","",K74-L74)</f>
        <v/>
      </c>
      <c r="N74" s="6">
        <f>IF(A74="","",IFERROR(L74/K74,0))</f>
        <v/>
      </c>
    </row>
    <row r="75">
      <c r="A75" s="7" t="n"/>
      <c r="B75" s="7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>
        <f>IF(A75="","",C75+E75+G75+I75)</f>
        <v/>
      </c>
      <c r="L75" s="8">
        <f>IF(A75="","",D75+F75+H75+J75)</f>
        <v/>
      </c>
      <c r="M75" s="8">
        <f>IF(A75="","",K75-L75)</f>
        <v/>
      </c>
      <c r="N75" s="9">
        <f>IF(A75="","",IFERROR(L75/K75,0))</f>
        <v/>
      </c>
    </row>
    <row r="76">
      <c r="A76" s="4" t="n"/>
      <c r="B76" s="4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>
        <f>IF(A76="","",C76+E76+G76+I76)</f>
        <v/>
      </c>
      <c r="L76" s="5">
        <f>IF(A76="","",D76+F76+H76+J76)</f>
        <v/>
      </c>
      <c r="M76" s="5">
        <f>IF(A76="","",K76-L76)</f>
        <v/>
      </c>
      <c r="N76" s="6">
        <f>IF(A76="","",IFERROR(L76/K76,0))</f>
        <v/>
      </c>
    </row>
    <row r="77">
      <c r="A77" s="7" t="n"/>
      <c r="B77" s="7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>
        <f>IF(A77="","",C77+E77+G77+I77)</f>
        <v/>
      </c>
      <c r="L77" s="8">
        <f>IF(A77="","",D77+F77+H77+J77)</f>
        <v/>
      </c>
      <c r="M77" s="8">
        <f>IF(A77="","",K77-L77)</f>
        <v/>
      </c>
      <c r="N77" s="9">
        <f>IF(A77="","",IFERROR(L77/K77,0))</f>
        <v/>
      </c>
    </row>
    <row r="78">
      <c r="A78" s="4" t="n"/>
      <c r="B78" s="4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>
        <f>IF(A78="","",C78+E78+G78+I78)</f>
        <v/>
      </c>
      <c r="L78" s="5">
        <f>IF(A78="","",D78+F78+H78+J78)</f>
        <v/>
      </c>
      <c r="M78" s="5">
        <f>IF(A78="","",K78-L78)</f>
        <v/>
      </c>
      <c r="N78" s="6">
        <f>IF(A78="","",IFERROR(L78/K78,0))</f>
        <v/>
      </c>
    </row>
    <row r="79">
      <c r="A79" s="7" t="n"/>
      <c r="B79" s="7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>
        <f>IF(A79="","",C79+E79+G79+I79)</f>
        <v/>
      </c>
      <c r="L79" s="8">
        <f>IF(A79="","",D79+F79+H79+J79)</f>
        <v/>
      </c>
      <c r="M79" s="8">
        <f>IF(A79="","",K79-L79)</f>
        <v/>
      </c>
      <c r="N79" s="9">
        <f>IF(A79="","",IFERROR(L79/K79,0))</f>
        <v/>
      </c>
    </row>
    <row r="80">
      <c r="A80" s="4" t="n"/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>
        <f>IF(A80="","",C80+E80+G80+I80)</f>
        <v/>
      </c>
      <c r="L80" s="5">
        <f>IF(A80="","",D80+F80+H80+J80)</f>
        <v/>
      </c>
      <c r="M80" s="5">
        <f>IF(A80="","",K80-L80)</f>
        <v/>
      </c>
      <c r="N80" s="6">
        <f>IF(A80="","",IFERROR(L80/K80,0))</f>
        <v/>
      </c>
    </row>
    <row r="81">
      <c r="A81" s="7" t="n"/>
      <c r="B81" s="7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>
        <f>IF(A81="","",C81+E81+G81+I81)</f>
        <v/>
      </c>
      <c r="L81" s="8">
        <f>IF(A81="","",D81+F81+H81+J81)</f>
        <v/>
      </c>
      <c r="M81" s="8">
        <f>IF(A81="","",K81-L81)</f>
        <v/>
      </c>
      <c r="N81" s="9">
        <f>IF(A81="","",IFERROR(L81/K81,0))</f>
        <v/>
      </c>
    </row>
    <row r="82">
      <c r="A82" s="4" t="n"/>
      <c r="B82" s="4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>
        <f>IF(A82="","",C82+E82+G82+I82)</f>
        <v/>
      </c>
      <c r="L82" s="5">
        <f>IF(A82="","",D82+F82+H82+J82)</f>
        <v/>
      </c>
      <c r="M82" s="5">
        <f>IF(A82="","",K82-L82)</f>
        <v/>
      </c>
      <c r="N82" s="6">
        <f>IF(A82="","",IFERROR(L82/K82,0))</f>
        <v/>
      </c>
    </row>
    <row r="83">
      <c r="A83" s="7" t="n"/>
      <c r="B83" s="7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>
        <f>IF(A83="","",C83+E83+G83+I83)</f>
        <v/>
      </c>
      <c r="L83" s="8">
        <f>IF(A83="","",D83+F83+H83+J83)</f>
        <v/>
      </c>
      <c r="M83" s="8">
        <f>IF(A83="","",K83-L83)</f>
        <v/>
      </c>
      <c r="N83" s="9">
        <f>IF(A83="","",IFERROR(L83/K83,0))</f>
        <v/>
      </c>
    </row>
    <row r="84">
      <c r="A84" s="4" t="n"/>
      <c r="B84" s="4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>
        <f>IF(A84="","",C84+E84+G84+I84)</f>
        <v/>
      </c>
      <c r="L84" s="5">
        <f>IF(A84="","",D84+F84+H84+J84)</f>
        <v/>
      </c>
      <c r="M84" s="5">
        <f>IF(A84="","",K84-L84)</f>
        <v/>
      </c>
      <c r="N84" s="6">
        <f>IF(A84="","",IFERROR(L84/K84,0))</f>
        <v/>
      </c>
    </row>
    <row r="85">
      <c r="A85" s="7" t="n"/>
      <c r="B85" s="7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>
        <f>IF(A85="","",C85+E85+G85+I85)</f>
        <v/>
      </c>
      <c r="L85" s="8">
        <f>IF(A85="","",D85+F85+H85+J85)</f>
        <v/>
      </c>
      <c r="M85" s="8">
        <f>IF(A85="","",K85-L85)</f>
        <v/>
      </c>
      <c r="N85" s="9">
        <f>IF(A85="","",IFERROR(L85/K85,0))</f>
        <v/>
      </c>
    </row>
    <row r="86">
      <c r="A86" s="4" t="n"/>
      <c r="B86" s="4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>
        <f>IF(A86="","",C86+E86+G86+I86)</f>
        <v/>
      </c>
      <c r="L86" s="5">
        <f>IF(A86="","",D86+F86+H86+J86)</f>
        <v/>
      </c>
      <c r="M86" s="5">
        <f>IF(A86="","",K86-L86)</f>
        <v/>
      </c>
      <c r="N86" s="6">
        <f>IF(A86="","",IFERROR(L86/K86,0))</f>
        <v/>
      </c>
    </row>
    <row r="87">
      <c r="A87" s="7" t="n"/>
      <c r="B87" s="7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>
        <f>IF(A87="","",C87+E87+G87+I87)</f>
        <v/>
      </c>
      <c r="L87" s="8">
        <f>IF(A87="","",D87+F87+H87+J87)</f>
        <v/>
      </c>
      <c r="M87" s="8">
        <f>IF(A87="","",K87-L87)</f>
        <v/>
      </c>
      <c r="N87" s="9">
        <f>IF(A87="","",IFERROR(L87/K87,0))</f>
        <v/>
      </c>
    </row>
    <row r="88">
      <c r="A88" s="4" t="n"/>
      <c r="B88" s="4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>
        <f>IF(A88="","",C88+E88+G88+I88)</f>
        <v/>
      </c>
      <c r="L88" s="5">
        <f>IF(A88="","",D88+F88+H88+J88)</f>
        <v/>
      </c>
      <c r="M88" s="5">
        <f>IF(A88="","",K88-L88)</f>
        <v/>
      </c>
      <c r="N88" s="6">
        <f>IF(A88="","",IFERROR(L88/K88,0))</f>
        <v/>
      </c>
    </row>
    <row r="89">
      <c r="A89" s="7" t="n"/>
      <c r="B89" s="7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>
        <f>IF(A89="","",C89+E89+G89+I89)</f>
        <v/>
      </c>
      <c r="L89" s="8">
        <f>IF(A89="","",D89+F89+H89+J89)</f>
        <v/>
      </c>
      <c r="M89" s="8">
        <f>IF(A89="","",K89-L89)</f>
        <v/>
      </c>
      <c r="N89" s="9">
        <f>IF(A89="","",IFERROR(L89/K89,0))</f>
        <v/>
      </c>
    </row>
    <row r="90">
      <c r="A90" s="4" t="n"/>
      <c r="B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>
        <f>IF(A90="","",C90+E90+G90+I90)</f>
        <v/>
      </c>
      <c r="L90" s="5">
        <f>IF(A90="","",D90+F90+H90+J90)</f>
        <v/>
      </c>
      <c r="M90" s="5">
        <f>IF(A90="","",K90-L90)</f>
        <v/>
      </c>
      <c r="N90" s="6">
        <f>IF(A90="","",IFERROR(L90/K90,0))</f>
        <v/>
      </c>
    </row>
    <row r="91">
      <c r="A91" s="7" t="n"/>
      <c r="B91" s="7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>
        <f>IF(A91="","",C91+E91+G91+I91)</f>
        <v/>
      </c>
      <c r="L91" s="8">
        <f>IF(A91="","",D91+F91+H91+J91)</f>
        <v/>
      </c>
      <c r="M91" s="8">
        <f>IF(A91="","",K91-L91)</f>
        <v/>
      </c>
      <c r="N91" s="9">
        <f>IF(A91="","",IFERROR(L91/K91,0))</f>
        <v/>
      </c>
    </row>
    <row r="92">
      <c r="A92" s="4" t="n"/>
      <c r="B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>
        <f>IF(A92="","",C92+E92+G92+I92)</f>
        <v/>
      </c>
      <c r="L92" s="5">
        <f>IF(A92="","",D92+F92+H92+J92)</f>
        <v/>
      </c>
      <c r="M92" s="5">
        <f>IF(A92="","",K92-L92)</f>
        <v/>
      </c>
      <c r="N92" s="6">
        <f>IF(A92="","",IFERROR(L92/K92,0))</f>
        <v/>
      </c>
    </row>
    <row r="93">
      <c r="A93" s="7" t="n"/>
      <c r="B93" s="7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>
        <f>IF(A93="","",C93+E93+G93+I93)</f>
        <v/>
      </c>
      <c r="L93" s="8">
        <f>IF(A93="","",D93+F93+H93+J93)</f>
        <v/>
      </c>
      <c r="M93" s="8">
        <f>IF(A93="","",K93-L93)</f>
        <v/>
      </c>
      <c r="N93" s="9">
        <f>IF(A93="","",IFERROR(L93/K93,0))</f>
        <v/>
      </c>
    </row>
    <row r="94">
      <c r="A94" s="4" t="n"/>
      <c r="B94" s="4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>
        <f>IF(A94="","",C94+E94+G94+I94)</f>
        <v/>
      </c>
      <c r="L94" s="5">
        <f>IF(A94="","",D94+F94+H94+J94)</f>
        <v/>
      </c>
      <c r="M94" s="5">
        <f>IF(A94="","",K94-L94)</f>
        <v/>
      </c>
      <c r="N94" s="6">
        <f>IF(A94="","",IFERROR(L94/K94,0))</f>
        <v/>
      </c>
    </row>
    <row r="95">
      <c r="A95" s="7" t="n"/>
      <c r="B95" s="7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>
        <f>IF(A95="","",C95+E95+G95+I95)</f>
        <v/>
      </c>
      <c r="L95" s="8">
        <f>IF(A95="","",D95+F95+H95+J95)</f>
        <v/>
      </c>
      <c r="M95" s="8">
        <f>IF(A95="","",K95-L95)</f>
        <v/>
      </c>
      <c r="N95" s="9">
        <f>IF(A95="","",IFERROR(L95/K95,0))</f>
        <v/>
      </c>
    </row>
    <row r="96">
      <c r="A96" s="4" t="n"/>
      <c r="B96" s="4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>
        <f>IF(A96="","",C96+E96+G96+I96)</f>
        <v/>
      </c>
      <c r="L96" s="5">
        <f>IF(A96="","",D96+F96+H96+J96)</f>
        <v/>
      </c>
      <c r="M96" s="5">
        <f>IF(A96="","",K96-L96)</f>
        <v/>
      </c>
      <c r="N96" s="6">
        <f>IF(A96="","",IFERROR(L96/K96,0))</f>
        <v/>
      </c>
    </row>
    <row r="97">
      <c r="A97" s="7" t="n"/>
      <c r="B97" s="7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>
        <f>IF(A97="","",C97+E97+G97+I97)</f>
        <v/>
      </c>
      <c r="L97" s="8">
        <f>IF(A97="","",D97+F97+H97+J97)</f>
        <v/>
      </c>
      <c r="M97" s="8">
        <f>IF(A97="","",K97-L97)</f>
        <v/>
      </c>
      <c r="N97" s="9">
        <f>IF(A97="","",IFERROR(L97/K97,0))</f>
        <v/>
      </c>
    </row>
    <row r="98">
      <c r="A98" s="4" t="n"/>
      <c r="B98" s="4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>
        <f>IF(A98="","",C98+E98+G98+I98)</f>
        <v/>
      </c>
      <c r="L98" s="5">
        <f>IF(A98="","",D98+F98+H98+J98)</f>
        <v/>
      </c>
      <c r="M98" s="5">
        <f>IF(A98="","",K98-L98)</f>
        <v/>
      </c>
      <c r="N98" s="6">
        <f>IF(A98="","",IFERROR(L98/K98,0))</f>
        <v/>
      </c>
    </row>
    <row r="99">
      <c r="A99" s="7" t="n"/>
      <c r="B99" s="7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>
        <f>IF(A99="","",C99+E99+G99+I99)</f>
        <v/>
      </c>
      <c r="L99" s="8">
        <f>IF(A99="","",D99+F99+H99+J99)</f>
        <v/>
      </c>
      <c r="M99" s="8">
        <f>IF(A99="","",K99-L99)</f>
        <v/>
      </c>
      <c r="N99" s="9">
        <f>IF(A99="","",IFERROR(L99/K99,0))</f>
        <v/>
      </c>
    </row>
    <row r="100">
      <c r="A100" s="4" t="n"/>
      <c r="B100" s="4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>
        <f>IF(A100="","",C100+E100+G100+I100)</f>
        <v/>
      </c>
      <c r="L100" s="5">
        <f>IF(A100="","",D100+F100+H100+J100)</f>
        <v/>
      </c>
      <c r="M100" s="5">
        <f>IF(A100="","",K100-L100)</f>
        <v/>
      </c>
      <c r="N100" s="6">
        <f>IF(A100="","",IFERROR(L100/K100,0))</f>
        <v/>
      </c>
    </row>
    <row r="101">
      <c r="A101" s="7" t="n"/>
      <c r="B101" s="7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>
        <f>IF(A101="","",C101+E101+G101+I101)</f>
        <v/>
      </c>
      <c r="L101" s="8">
        <f>IF(A101="","",D101+F101+H101+J101)</f>
        <v/>
      </c>
      <c r="M101" s="8">
        <f>IF(A101="","",K101-L101)</f>
        <v/>
      </c>
      <c r="N101" s="9">
        <f>IF(A101="","",IFERROR(L101/K101,0))</f>
        <v/>
      </c>
    </row>
    <row r="102">
      <c r="A102" s="4" t="n"/>
      <c r="B102" s="4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>
        <f>IF(A102="","",C102+E102+G102+I102)</f>
        <v/>
      </c>
      <c r="L102" s="5">
        <f>IF(A102="","",D102+F102+H102+J102)</f>
        <v/>
      </c>
      <c r="M102" s="5">
        <f>IF(A102="","",K102-L102)</f>
        <v/>
      </c>
      <c r="N102" s="6">
        <f>IF(A102="","",IFERROR(L102/K102,0))</f>
        <v/>
      </c>
    </row>
    <row r="103">
      <c r="A103" s="7" t="n"/>
      <c r="B103" s="7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>
        <f>IF(A103="","",C103+E103+G103+I103)</f>
        <v/>
      </c>
      <c r="L103" s="8">
        <f>IF(A103="","",D103+F103+H103+J103)</f>
        <v/>
      </c>
      <c r="M103" s="8">
        <f>IF(A103="","",K103-L103)</f>
        <v/>
      </c>
      <c r="N103" s="9">
        <f>IF(A103="","",IFERROR(L103/K103,0))</f>
        <v/>
      </c>
    </row>
    <row r="104">
      <c r="A104" s="4" t="n"/>
      <c r="B104" s="4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>
        <f>IF(A104="","",C104+E104+G104+I104)</f>
        <v/>
      </c>
      <c r="L104" s="5">
        <f>IF(A104="","",D104+F104+H104+J104)</f>
        <v/>
      </c>
      <c r="M104" s="5">
        <f>IF(A104="","",K104-L104)</f>
        <v/>
      </c>
      <c r="N104" s="6">
        <f>IF(A104="","",IFERROR(L104/K104,0))</f>
        <v/>
      </c>
    </row>
    <row r="105">
      <c r="A105" s="7" t="n"/>
      <c r="B105" s="7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>
        <f>IF(A105="","",C105+E105+G105+I105)</f>
        <v/>
      </c>
      <c r="L105" s="8">
        <f>IF(A105="","",D105+F105+H105+J105)</f>
        <v/>
      </c>
      <c r="M105" s="8">
        <f>IF(A105="","",K105-L105)</f>
        <v/>
      </c>
      <c r="N105" s="9">
        <f>IF(A105="","",IFERROR(L105/K105,0))</f>
        <v/>
      </c>
    </row>
    <row r="106">
      <c r="A106" s="4" t="n"/>
      <c r="B106" s="4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>
        <f>IF(A106="","",C106+E106+G106+I106)</f>
        <v/>
      </c>
      <c r="L106" s="5">
        <f>IF(A106="","",D106+F106+H106+J106)</f>
        <v/>
      </c>
      <c r="M106" s="5">
        <f>IF(A106="","",K106-L106)</f>
        <v/>
      </c>
      <c r="N106" s="6">
        <f>IF(A106="","",IFERROR(L106/K106,0))</f>
        <v/>
      </c>
    </row>
    <row r="107">
      <c r="A107" s="7" t="n"/>
      <c r="B107" s="7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>
        <f>IF(A107="","",C107+E107+G107+I107)</f>
        <v/>
      </c>
      <c r="L107" s="8">
        <f>IF(A107="","",D107+F107+H107+J107)</f>
        <v/>
      </c>
      <c r="M107" s="8">
        <f>IF(A107="","",K107-L107)</f>
        <v/>
      </c>
      <c r="N107" s="9">
        <f>IF(A107="","",IFERROR(L107/K107,0))</f>
        <v/>
      </c>
    </row>
    <row r="108">
      <c r="A108" s="4" t="n"/>
      <c r="B108" s="4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>
        <f>IF(A108="","",C108+E108+G108+I108)</f>
        <v/>
      </c>
      <c r="L108" s="5">
        <f>IF(A108="","",D108+F108+H108+J108)</f>
        <v/>
      </c>
      <c r="M108" s="5">
        <f>IF(A108="","",K108-L108)</f>
        <v/>
      </c>
      <c r="N108" s="6">
        <f>IF(A108="","",IFERROR(L108/K108,0))</f>
        <v/>
      </c>
    </row>
    <row r="109">
      <c r="A109" s="7" t="n"/>
      <c r="B109" s="7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>
        <f>IF(A109="","",C109+E109+G109+I109)</f>
        <v/>
      </c>
      <c r="L109" s="8">
        <f>IF(A109="","",D109+F109+H109+J109)</f>
        <v/>
      </c>
      <c r="M109" s="8">
        <f>IF(A109="","",K109-L109)</f>
        <v/>
      </c>
      <c r="N109" s="9">
        <f>IF(A109="","",IFERROR(L109/K109,0))</f>
        <v/>
      </c>
    </row>
    <row r="110">
      <c r="A110" s="4" t="n"/>
      <c r="B110" s="4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>
        <f>IF(A110="","",C110+E110+G110+I110)</f>
        <v/>
      </c>
      <c r="L110" s="5">
        <f>IF(A110="","",D110+F110+H110+J110)</f>
        <v/>
      </c>
      <c r="M110" s="5">
        <f>IF(A110="","",K110-L110)</f>
        <v/>
      </c>
      <c r="N110" s="6">
        <f>IF(A110="","",IFERROR(L110/K110,0))</f>
        <v/>
      </c>
    </row>
    <row r="111">
      <c r="A111" s="7" t="n"/>
      <c r="B111" s="7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>
        <f>IF(A111="","",C111+E111+G111+I111)</f>
        <v/>
      </c>
      <c r="L111" s="8">
        <f>IF(A111="","",D111+F111+H111+J111)</f>
        <v/>
      </c>
      <c r="M111" s="8">
        <f>IF(A111="","",K111-L111)</f>
        <v/>
      </c>
      <c r="N111" s="9">
        <f>IF(A111="","",IFERROR(L111/K111,0))</f>
        <v/>
      </c>
    </row>
    <row r="112">
      <c r="A112" s="4" t="n"/>
      <c r="B112" s="4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>
        <f>IF(A112="","",C112+E112+G112+I112)</f>
        <v/>
      </c>
      <c r="L112" s="5">
        <f>IF(A112="","",D112+F112+H112+J112)</f>
        <v/>
      </c>
      <c r="M112" s="5">
        <f>IF(A112="","",K112-L112)</f>
        <v/>
      </c>
      <c r="N112" s="6">
        <f>IF(A112="","",IFERROR(L112/K112,0))</f>
        <v/>
      </c>
    </row>
    <row r="113">
      <c r="A113" s="7" t="n"/>
      <c r="B113" s="7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>
        <f>IF(A113="","",C113+E113+G113+I113)</f>
        <v/>
      </c>
      <c r="L113" s="8">
        <f>IF(A113="","",D113+F113+H113+J113)</f>
        <v/>
      </c>
      <c r="M113" s="8">
        <f>IF(A113="","",K113-L113)</f>
        <v/>
      </c>
      <c r="N113" s="9">
        <f>IF(A113="","",IFERROR(L113/K113,0))</f>
        <v/>
      </c>
    </row>
    <row r="114">
      <c r="A114" s="4" t="n"/>
      <c r="B114" s="4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>
        <f>IF(A114="","",C114+E114+G114+I114)</f>
        <v/>
      </c>
      <c r="L114" s="5">
        <f>IF(A114="","",D114+F114+H114+J114)</f>
        <v/>
      </c>
      <c r="M114" s="5">
        <f>IF(A114="","",K114-L114)</f>
        <v/>
      </c>
      <c r="N114" s="6">
        <f>IF(A114="","",IFERROR(L114/K114,0))</f>
        <v/>
      </c>
    </row>
    <row r="115">
      <c r="A115" s="7" t="n"/>
      <c r="B115" s="7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>
        <f>IF(A115="","",C115+E115+G115+I115)</f>
        <v/>
      </c>
      <c r="L115" s="8">
        <f>IF(A115="","",D115+F115+H115+J115)</f>
        <v/>
      </c>
      <c r="M115" s="8">
        <f>IF(A115="","",K115-L115)</f>
        <v/>
      </c>
      <c r="N115" s="9">
        <f>IF(A115="","",IFERROR(L115/K115,0))</f>
        <v/>
      </c>
    </row>
  </sheetData>
  <mergeCells count="2">
    <mergeCell ref="A3:P3"/>
    <mergeCell ref="A2:P2"/>
  </mergeCells>
  <dataValidations count="1">
    <dataValidation sqref="B6:B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A5D6A7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8" customWidth="1" min="10" max="10"/>
    <col width="18" customWidth="1" min="11" max="11"/>
    <col width="14" customWidth="1" min="12" max="12"/>
    <col width="14" customWidth="1" min="13" max="13"/>
    <col width="16" customWidth="1" min="14" max="14"/>
  </cols>
  <sheetData>
    <row r="2" ht="25" customHeight="1">
      <c r="A2" s="1" t="inlineStr">
        <is>
          <t>DOMAINE 27 — 14-REPORTING MENSUEL SANTÉ SÉCURITÉ</t>
        </is>
      </c>
    </row>
    <row r="3" ht="18" customHeight="1">
      <c r="A3" s="2" t="inlineStr">
        <is>
          <t>TABLEAU DYNAMIQUE — Synthèse mensuelle des indicateurs SST</t>
        </is>
      </c>
    </row>
    <row r="5">
      <c r="A5" s="3" t="inlineStr">
        <is>
          <t>Mois</t>
        </is>
      </c>
      <c r="B5" s="3" t="inlineStr">
        <is>
          <t>Nb Accidents</t>
        </is>
      </c>
      <c r="C5" s="3" t="inlineStr">
        <is>
          <t>Nb Jours Arrêt</t>
        </is>
      </c>
      <c r="D5" s="3" t="inlineStr">
        <is>
          <t>Nb Visites Méd.</t>
        </is>
      </c>
      <c r="E5" s="3" t="inlineStr">
        <is>
          <t>Nb Formations</t>
        </is>
      </c>
      <c r="F5" s="3" t="inlineStr">
        <is>
          <t>Nb Inspections</t>
        </is>
      </c>
      <c r="G5" s="3" t="inlineStr">
        <is>
          <t>Coût Accidents (FCFA)</t>
        </is>
      </c>
      <c r="H5" s="3" t="inlineStr">
        <is>
          <t>Coût Prévention (FCFA)</t>
        </is>
      </c>
      <c r="I5" s="3" t="inlineStr">
        <is>
          <t>Total Coûts (FCFA)</t>
        </is>
      </c>
      <c r="J5" s="3" t="inlineStr">
        <is>
          <t>Budget Mensuel (FCFA)</t>
        </is>
      </c>
      <c r="K5" s="3" t="inlineStr">
        <is>
          <t>Écart Mensuel (FCFA)</t>
        </is>
      </c>
      <c r="L5" s="3" t="inlineStr">
        <is>
          <t>Taux Fréquence</t>
        </is>
      </c>
      <c r="M5" s="3" t="inlineStr">
        <is>
          <t>Taux Gravité</t>
        </is>
      </c>
      <c r="N5" s="3" t="inlineStr">
        <is>
          <t>Cumul Accidents</t>
        </is>
      </c>
    </row>
    <row r="6">
      <c r="A6" s="4" t="inlineStr">
        <is>
          <t>Janvier 2025</t>
        </is>
      </c>
      <c r="B6" s="4" t="n">
        <v>1</v>
      </c>
      <c r="C6" s="4" t="n">
        <v>5</v>
      </c>
      <c r="D6" s="4" t="n">
        <v>12</v>
      </c>
      <c r="E6" s="4" t="n">
        <v>1</v>
      </c>
      <c r="F6" s="4" t="n">
        <v>1</v>
      </c>
      <c r="G6" s="5" t="n">
        <v>150000</v>
      </c>
      <c r="H6" s="5" t="n">
        <v>1200000</v>
      </c>
      <c r="I6" s="5">
        <f>G6+H6</f>
        <v/>
      </c>
      <c r="J6" s="5" t="n">
        <v>1800000</v>
      </c>
      <c r="K6" s="5">
        <f>J6-I6</f>
        <v/>
      </c>
      <c r="L6" s="4" t="n">
        <v>10.7</v>
      </c>
      <c r="M6" s="4" t="n">
        <v>0.53</v>
      </c>
      <c r="N6" s="4">
        <f>B6</f>
        <v/>
      </c>
    </row>
    <row r="7">
      <c r="A7" s="7" t="inlineStr">
        <is>
          <t>Février 2025</t>
        </is>
      </c>
      <c r="B7" s="7" t="n">
        <v>2</v>
      </c>
      <c r="C7" s="7" t="n">
        <v>4</v>
      </c>
      <c r="D7" s="7" t="n">
        <v>10</v>
      </c>
      <c r="E7" s="7" t="n">
        <v>1</v>
      </c>
      <c r="F7" s="7" t="n">
        <v>1</v>
      </c>
      <c r="G7" s="8" t="n">
        <v>200000</v>
      </c>
      <c r="H7" s="8" t="n">
        <v>950000</v>
      </c>
      <c r="I7" s="8">
        <f>G7+H7</f>
        <v/>
      </c>
      <c r="J7" s="8" t="n">
        <v>1800000</v>
      </c>
      <c r="K7" s="8">
        <f>J7-I7</f>
        <v/>
      </c>
      <c r="L7" s="7" t="n">
        <v>15.5</v>
      </c>
      <c r="M7" s="7" t="n">
        <v>0.21</v>
      </c>
      <c r="N7" s="7">
        <f>N6+B7</f>
        <v/>
      </c>
    </row>
    <row r="8">
      <c r="A8" s="4" t="inlineStr">
        <is>
          <t>Mars 2025</t>
        </is>
      </c>
      <c r="B8" s="4" t="n">
        <v>3</v>
      </c>
      <c r="C8" s="4" t="n">
        <v>21</v>
      </c>
      <c r="D8" s="4" t="n">
        <v>14</v>
      </c>
      <c r="E8" s="4" t="n">
        <v>2</v>
      </c>
      <c r="F8" s="4" t="n">
        <v>2</v>
      </c>
      <c r="G8" s="5" t="n">
        <v>550000</v>
      </c>
      <c r="H8" s="5" t="n">
        <v>1800000</v>
      </c>
      <c r="I8" s="5">
        <f>G8+H8</f>
        <v/>
      </c>
      <c r="J8" s="5" t="n">
        <v>2200000</v>
      </c>
      <c r="K8" s="5">
        <f>J8-I8</f>
        <v/>
      </c>
      <c r="L8" s="4" t="n">
        <v>19.1</v>
      </c>
      <c r="M8" s="4" t="n">
        <v>1.34</v>
      </c>
      <c r="N8" s="4">
        <f>N7+B8</f>
        <v/>
      </c>
    </row>
    <row r="9">
      <c r="A9" s="7" t="inlineStr">
        <is>
          <t>Avril 2025</t>
        </is>
      </c>
      <c r="B9" s="7" t="n">
        <v>2</v>
      </c>
      <c r="C9" s="7" t="n">
        <v>25</v>
      </c>
      <c r="D9" s="7" t="n">
        <v>8</v>
      </c>
      <c r="E9" s="7" t="n">
        <v>2</v>
      </c>
      <c r="F9" s="7" t="n">
        <v>2</v>
      </c>
      <c r="G9" s="8" t="n">
        <v>600000</v>
      </c>
      <c r="H9" s="8" t="n">
        <v>1100000</v>
      </c>
      <c r="I9" s="8">
        <f>G9+H9</f>
        <v/>
      </c>
      <c r="J9" s="8" t="n">
        <v>2000000</v>
      </c>
      <c r="K9" s="8">
        <f>J9-I9</f>
        <v/>
      </c>
      <c r="L9" s="7" t="n">
        <v>12.8</v>
      </c>
      <c r="M9" s="7" t="n">
        <v>1.6</v>
      </c>
      <c r="N9" s="7">
        <f>N8+B9</f>
        <v/>
      </c>
    </row>
    <row r="10">
      <c r="A10" s="4" t="inlineStr">
        <is>
          <t>Mai 2025</t>
        </is>
      </c>
      <c r="B10" s="4" t="n">
        <v>1</v>
      </c>
      <c r="C10" s="4" t="n">
        <v>3</v>
      </c>
      <c r="D10" s="4" t="n">
        <v>6</v>
      </c>
      <c r="E10" s="4" t="n">
        <v>1</v>
      </c>
      <c r="F10" s="4" t="n">
        <v>1</v>
      </c>
      <c r="G10" s="5" t="n">
        <v>80000</v>
      </c>
      <c r="H10" s="5" t="n">
        <v>700000</v>
      </c>
      <c r="I10" s="5">
        <f>G10+H10</f>
        <v/>
      </c>
      <c r="J10" s="5" t="n">
        <v>1700000</v>
      </c>
      <c r="K10" s="5">
        <f>J10-I10</f>
        <v/>
      </c>
      <c r="L10" s="4" t="n">
        <v>6.4</v>
      </c>
      <c r="M10" s="4" t="n">
        <v>0.19</v>
      </c>
      <c r="N10" s="4">
        <f>N9+B10</f>
        <v/>
      </c>
    </row>
    <row r="11">
      <c r="A11" s="7" t="inlineStr">
        <is>
          <t>Juin 2025</t>
        </is>
      </c>
      <c r="B11" s="7" t="n">
        <v>1</v>
      </c>
      <c r="C11" s="7" t="n">
        <v>4</v>
      </c>
      <c r="D11" s="7" t="n">
        <v>5</v>
      </c>
      <c r="E11" s="7" t="n">
        <v>1</v>
      </c>
      <c r="F11" s="7" t="n">
        <v>0</v>
      </c>
      <c r="G11" s="8" t="n">
        <v>140000</v>
      </c>
      <c r="H11" s="8" t="n">
        <v>500000</v>
      </c>
      <c r="I11" s="8">
        <f>G11+H11</f>
        <v/>
      </c>
      <c r="J11" s="8" t="n">
        <v>1600000</v>
      </c>
      <c r="K11" s="8">
        <f>J11-I11</f>
        <v/>
      </c>
      <c r="L11" s="7" t="n">
        <v>6.4</v>
      </c>
      <c r="M11" s="7" t="n">
        <v>0.26</v>
      </c>
      <c r="N11" s="7">
        <f>N10+B11</f>
        <v/>
      </c>
    </row>
    <row r="12">
      <c r="A12" s="4" t="n"/>
      <c r="B12" s="4" t="n"/>
      <c r="C12" s="4" t="n"/>
      <c r="D12" s="4" t="n"/>
      <c r="E12" s="4" t="n"/>
      <c r="F12" s="4" t="n"/>
      <c r="G12" s="5" t="n"/>
      <c r="H12" s="5" t="n"/>
      <c r="I12" s="5">
        <f>IF(A12="","",G12+H12)</f>
        <v/>
      </c>
      <c r="J12" s="5" t="n"/>
      <c r="K12" s="5">
        <f>IF(A12="","",J12-I12)</f>
        <v/>
      </c>
      <c r="L12" s="4" t="n"/>
      <c r="M12" s="4" t="n"/>
      <c r="N12" s="4">
        <f>IF(A12="","",B12)</f>
        <v/>
      </c>
    </row>
    <row r="13">
      <c r="A13" s="7" t="n"/>
      <c r="B13" s="7" t="n"/>
      <c r="C13" s="7" t="n"/>
      <c r="D13" s="7" t="n"/>
      <c r="E13" s="7" t="n"/>
      <c r="F13" s="7" t="n"/>
      <c r="G13" s="8" t="n"/>
      <c r="H13" s="8" t="n"/>
      <c r="I13" s="8">
        <f>IF(A13="","",G13+H13)</f>
        <v/>
      </c>
      <c r="J13" s="8" t="n"/>
      <c r="K13" s="8">
        <f>IF(A13="","",J13-I13)</f>
        <v/>
      </c>
      <c r="L13" s="7" t="n"/>
      <c r="M13" s="7" t="n"/>
      <c r="N13" s="7">
        <f>IF(A13="","",N12+B13)</f>
        <v/>
      </c>
    </row>
    <row r="14">
      <c r="A14" s="4" t="n"/>
      <c r="B14" s="4" t="n"/>
      <c r="C14" s="4" t="n"/>
      <c r="D14" s="4" t="n"/>
      <c r="E14" s="4" t="n"/>
      <c r="F14" s="4" t="n"/>
      <c r="G14" s="5" t="n"/>
      <c r="H14" s="5" t="n"/>
      <c r="I14" s="5">
        <f>IF(A14="","",G14+H14)</f>
        <v/>
      </c>
      <c r="J14" s="5" t="n"/>
      <c r="K14" s="5">
        <f>IF(A14="","",J14-I14)</f>
        <v/>
      </c>
      <c r="L14" s="4" t="n"/>
      <c r="M14" s="4" t="n"/>
      <c r="N14" s="4">
        <f>IF(A14="","",N13+B14)</f>
        <v/>
      </c>
    </row>
    <row r="15">
      <c r="A15" s="7" t="n"/>
      <c r="B15" s="7" t="n"/>
      <c r="C15" s="7" t="n"/>
      <c r="D15" s="7" t="n"/>
      <c r="E15" s="7" t="n"/>
      <c r="F15" s="7" t="n"/>
      <c r="G15" s="8" t="n"/>
      <c r="H15" s="8" t="n"/>
      <c r="I15" s="8">
        <f>IF(A15="","",G15+H15)</f>
        <v/>
      </c>
      <c r="J15" s="8" t="n"/>
      <c r="K15" s="8">
        <f>IF(A15="","",J15-I15)</f>
        <v/>
      </c>
      <c r="L15" s="7" t="n"/>
      <c r="M15" s="7" t="n"/>
      <c r="N15" s="7">
        <f>IF(A15="","",N14+B15)</f>
        <v/>
      </c>
    </row>
    <row r="16">
      <c r="A16" s="4" t="n"/>
      <c r="B16" s="4" t="n"/>
      <c r="C16" s="4" t="n"/>
      <c r="D16" s="4" t="n"/>
      <c r="E16" s="4" t="n"/>
      <c r="F16" s="4" t="n"/>
      <c r="G16" s="5" t="n"/>
      <c r="H16" s="5" t="n"/>
      <c r="I16" s="5">
        <f>IF(A16="","",G16+H16)</f>
        <v/>
      </c>
      <c r="J16" s="5" t="n"/>
      <c r="K16" s="5">
        <f>IF(A16="","",J16-I16)</f>
        <v/>
      </c>
      <c r="L16" s="4" t="n"/>
      <c r="M16" s="4" t="n"/>
      <c r="N16" s="4">
        <f>IF(A16="","",N15+B16)</f>
        <v/>
      </c>
    </row>
    <row r="17">
      <c r="A17" s="7" t="n"/>
      <c r="B17" s="7" t="n"/>
      <c r="C17" s="7" t="n"/>
      <c r="D17" s="7" t="n"/>
      <c r="E17" s="7" t="n"/>
      <c r="F17" s="7" t="n"/>
      <c r="G17" s="8" t="n"/>
      <c r="H17" s="8" t="n"/>
      <c r="I17" s="8">
        <f>IF(A17="","",G17+H17)</f>
        <v/>
      </c>
      <c r="J17" s="8" t="n"/>
      <c r="K17" s="8">
        <f>IF(A17="","",J17-I17)</f>
        <v/>
      </c>
      <c r="L17" s="7" t="n"/>
      <c r="M17" s="7" t="n"/>
      <c r="N17" s="7">
        <f>IF(A17="","",N16+B17)</f>
        <v/>
      </c>
    </row>
    <row r="18">
      <c r="A18" s="4" t="n"/>
      <c r="B18" s="4" t="n"/>
      <c r="C18" s="4" t="n"/>
      <c r="D18" s="4" t="n"/>
      <c r="E18" s="4" t="n"/>
      <c r="F18" s="4" t="n"/>
      <c r="G18" s="5" t="n"/>
      <c r="H18" s="5" t="n"/>
      <c r="I18" s="5">
        <f>IF(A18="","",G18+H18)</f>
        <v/>
      </c>
      <c r="J18" s="5" t="n"/>
      <c r="K18" s="5">
        <f>IF(A18="","",J18-I18)</f>
        <v/>
      </c>
      <c r="L18" s="4" t="n"/>
      <c r="M18" s="4" t="n"/>
      <c r="N18" s="4">
        <f>IF(A18="","",N17+B18)</f>
        <v/>
      </c>
    </row>
    <row r="19">
      <c r="A19" s="7" t="n"/>
      <c r="B19" s="7" t="n"/>
      <c r="C19" s="7" t="n"/>
      <c r="D19" s="7" t="n"/>
      <c r="E19" s="7" t="n"/>
      <c r="F19" s="7" t="n"/>
      <c r="G19" s="8" t="n"/>
      <c r="H19" s="8" t="n"/>
      <c r="I19" s="8">
        <f>IF(A19="","",G19+H19)</f>
        <v/>
      </c>
      <c r="J19" s="8" t="n"/>
      <c r="K19" s="8">
        <f>IF(A19="","",J19-I19)</f>
        <v/>
      </c>
      <c r="L19" s="7" t="n"/>
      <c r="M19" s="7" t="n"/>
      <c r="N19" s="7">
        <f>IF(A19="","",N18+B19)</f>
        <v/>
      </c>
    </row>
    <row r="20">
      <c r="A20" s="4" t="n"/>
      <c r="B20" s="4" t="n"/>
      <c r="C20" s="4" t="n"/>
      <c r="D20" s="4" t="n"/>
      <c r="E20" s="4" t="n"/>
      <c r="F20" s="4" t="n"/>
      <c r="G20" s="5" t="n"/>
      <c r="H20" s="5" t="n"/>
      <c r="I20" s="5">
        <f>IF(A20="","",G20+H20)</f>
        <v/>
      </c>
      <c r="J20" s="5" t="n"/>
      <c r="K20" s="5">
        <f>IF(A20="","",J20-I20)</f>
        <v/>
      </c>
      <c r="L20" s="4" t="n"/>
      <c r="M20" s="4" t="n"/>
      <c r="N20" s="4">
        <f>IF(A20="","",N19+B20)</f>
        <v/>
      </c>
    </row>
    <row r="21">
      <c r="A21" s="7" t="n"/>
      <c r="B21" s="7" t="n"/>
      <c r="C21" s="7" t="n"/>
      <c r="D21" s="7" t="n"/>
      <c r="E21" s="7" t="n"/>
      <c r="F21" s="7" t="n"/>
      <c r="G21" s="8" t="n"/>
      <c r="H21" s="8" t="n"/>
      <c r="I21" s="8">
        <f>IF(A21="","",G21+H21)</f>
        <v/>
      </c>
      <c r="J21" s="8" t="n"/>
      <c r="K21" s="8">
        <f>IF(A21="","",J21-I21)</f>
        <v/>
      </c>
      <c r="L21" s="7" t="n"/>
      <c r="M21" s="7" t="n"/>
      <c r="N21" s="7">
        <f>IF(A21="","",N20+B21)</f>
        <v/>
      </c>
    </row>
    <row r="22">
      <c r="A22" s="4" t="n"/>
      <c r="B22" s="4" t="n"/>
      <c r="C22" s="4" t="n"/>
      <c r="D22" s="4" t="n"/>
      <c r="E22" s="4" t="n"/>
      <c r="F22" s="4" t="n"/>
      <c r="G22" s="5" t="n"/>
      <c r="H22" s="5" t="n"/>
      <c r="I22" s="5">
        <f>IF(A22="","",G22+H22)</f>
        <v/>
      </c>
      <c r="J22" s="5" t="n"/>
      <c r="K22" s="5">
        <f>IF(A22="","",J22-I22)</f>
        <v/>
      </c>
      <c r="L22" s="4" t="n"/>
      <c r="M22" s="4" t="n"/>
      <c r="N22" s="4">
        <f>IF(A22="","",N21+B22)</f>
        <v/>
      </c>
    </row>
    <row r="23">
      <c r="A23" s="7" t="n"/>
      <c r="B23" s="7" t="n"/>
      <c r="C23" s="7" t="n"/>
      <c r="D23" s="7" t="n"/>
      <c r="E23" s="7" t="n"/>
      <c r="F23" s="7" t="n"/>
      <c r="G23" s="8" t="n"/>
      <c r="H23" s="8" t="n"/>
      <c r="I23" s="8">
        <f>IF(A23="","",G23+H23)</f>
        <v/>
      </c>
      <c r="J23" s="8" t="n"/>
      <c r="K23" s="8">
        <f>IF(A23="","",J23-I23)</f>
        <v/>
      </c>
      <c r="L23" s="7" t="n"/>
      <c r="M23" s="7" t="n"/>
      <c r="N23" s="7">
        <f>IF(A23="","",N22+B23)</f>
        <v/>
      </c>
    </row>
    <row r="24">
      <c r="A24" s="4" t="n"/>
      <c r="B24" s="4" t="n"/>
      <c r="C24" s="4" t="n"/>
      <c r="D24" s="4" t="n"/>
      <c r="E24" s="4" t="n"/>
      <c r="F24" s="4" t="n"/>
      <c r="G24" s="5" t="n"/>
      <c r="H24" s="5" t="n"/>
      <c r="I24" s="5">
        <f>IF(A24="","",G24+H24)</f>
        <v/>
      </c>
      <c r="J24" s="5" t="n"/>
      <c r="K24" s="5">
        <f>IF(A24="","",J24-I24)</f>
        <v/>
      </c>
      <c r="L24" s="4" t="n"/>
      <c r="M24" s="4" t="n"/>
      <c r="N24" s="4">
        <f>IF(A24="","",N23+B24)</f>
        <v/>
      </c>
    </row>
    <row r="25">
      <c r="A25" s="7" t="n"/>
      <c r="B25" s="7" t="n"/>
      <c r="C25" s="7" t="n"/>
      <c r="D25" s="7" t="n"/>
      <c r="E25" s="7" t="n"/>
      <c r="F25" s="7" t="n"/>
      <c r="G25" s="8" t="n"/>
      <c r="H25" s="8" t="n"/>
      <c r="I25" s="8">
        <f>IF(A25="","",G25+H25)</f>
        <v/>
      </c>
      <c r="J25" s="8" t="n"/>
      <c r="K25" s="8">
        <f>IF(A25="","",J25-I25)</f>
        <v/>
      </c>
      <c r="L25" s="7" t="n"/>
      <c r="M25" s="7" t="n"/>
      <c r="N25" s="7">
        <f>IF(A25="","",N24+B25)</f>
        <v/>
      </c>
    </row>
    <row r="26">
      <c r="A26" s="4" t="n"/>
      <c r="B26" s="4" t="n"/>
      <c r="C26" s="4" t="n"/>
      <c r="D26" s="4" t="n"/>
      <c r="E26" s="4" t="n"/>
      <c r="F26" s="4" t="n"/>
      <c r="G26" s="5" t="n"/>
      <c r="H26" s="5" t="n"/>
      <c r="I26" s="5">
        <f>IF(A26="","",G26+H26)</f>
        <v/>
      </c>
      <c r="J26" s="5" t="n"/>
      <c r="K26" s="5">
        <f>IF(A26="","",J26-I26)</f>
        <v/>
      </c>
      <c r="L26" s="4" t="n"/>
      <c r="M26" s="4" t="n"/>
      <c r="N26" s="4">
        <f>IF(A26="","",N25+B26)</f>
        <v/>
      </c>
    </row>
    <row r="27">
      <c r="A27" s="7" t="n"/>
      <c r="B27" s="7" t="n"/>
      <c r="C27" s="7" t="n"/>
      <c r="D27" s="7" t="n"/>
      <c r="E27" s="7" t="n"/>
      <c r="F27" s="7" t="n"/>
      <c r="G27" s="8" t="n"/>
      <c r="H27" s="8" t="n"/>
      <c r="I27" s="8">
        <f>IF(A27="","",G27+H27)</f>
        <v/>
      </c>
      <c r="J27" s="8" t="n"/>
      <c r="K27" s="8">
        <f>IF(A27="","",J27-I27)</f>
        <v/>
      </c>
      <c r="L27" s="7" t="n"/>
      <c r="M27" s="7" t="n"/>
      <c r="N27" s="7">
        <f>IF(A27="","",N26+B27)</f>
        <v/>
      </c>
    </row>
    <row r="28">
      <c r="A28" s="4" t="n"/>
      <c r="B28" s="4" t="n"/>
      <c r="C28" s="4" t="n"/>
      <c r="D28" s="4" t="n"/>
      <c r="E28" s="4" t="n"/>
      <c r="F28" s="4" t="n"/>
      <c r="G28" s="5" t="n"/>
      <c r="H28" s="5" t="n"/>
      <c r="I28" s="5">
        <f>IF(A28="","",G28+H28)</f>
        <v/>
      </c>
      <c r="J28" s="5" t="n"/>
      <c r="K28" s="5">
        <f>IF(A28="","",J28-I28)</f>
        <v/>
      </c>
      <c r="L28" s="4" t="n"/>
      <c r="M28" s="4" t="n"/>
      <c r="N28" s="4">
        <f>IF(A28="","",N27+B28)</f>
        <v/>
      </c>
    </row>
    <row r="29">
      <c r="A29" s="7" t="n"/>
      <c r="B29" s="7" t="n"/>
      <c r="C29" s="7" t="n"/>
      <c r="D29" s="7" t="n"/>
      <c r="E29" s="7" t="n"/>
      <c r="F29" s="7" t="n"/>
      <c r="G29" s="8" t="n"/>
      <c r="H29" s="8" t="n"/>
      <c r="I29" s="8">
        <f>IF(A29="","",G29+H29)</f>
        <v/>
      </c>
      <c r="J29" s="8" t="n"/>
      <c r="K29" s="8">
        <f>IF(A29="","",J29-I29)</f>
        <v/>
      </c>
      <c r="L29" s="7" t="n"/>
      <c r="M29" s="7" t="n"/>
      <c r="N29" s="7">
        <f>IF(A29="","",N28+B29)</f>
        <v/>
      </c>
    </row>
    <row r="30">
      <c r="A30" s="4" t="n"/>
      <c r="B30" s="4" t="n"/>
      <c r="C30" s="4" t="n"/>
      <c r="D30" s="4" t="n"/>
      <c r="E30" s="4" t="n"/>
      <c r="F30" s="4" t="n"/>
      <c r="G30" s="5" t="n"/>
      <c r="H30" s="5" t="n"/>
      <c r="I30" s="5">
        <f>IF(A30="","",G30+H30)</f>
        <v/>
      </c>
      <c r="J30" s="5" t="n"/>
      <c r="K30" s="5">
        <f>IF(A30="","",J30-I30)</f>
        <v/>
      </c>
      <c r="L30" s="4" t="n"/>
      <c r="M30" s="4" t="n"/>
      <c r="N30" s="4">
        <f>IF(A30="","",N29+B30)</f>
        <v/>
      </c>
    </row>
    <row r="31">
      <c r="A31" s="7" t="n"/>
      <c r="B31" s="7" t="n"/>
      <c r="C31" s="7" t="n"/>
      <c r="D31" s="7" t="n"/>
      <c r="E31" s="7" t="n"/>
      <c r="F31" s="7" t="n"/>
      <c r="G31" s="8" t="n"/>
      <c r="H31" s="8" t="n"/>
      <c r="I31" s="8">
        <f>IF(A31="","",G31+H31)</f>
        <v/>
      </c>
      <c r="J31" s="8" t="n"/>
      <c r="K31" s="8">
        <f>IF(A31="","",J31-I31)</f>
        <v/>
      </c>
      <c r="L31" s="7" t="n"/>
      <c r="M31" s="7" t="n"/>
      <c r="N31" s="7">
        <f>IF(A31="","",N30+B31)</f>
        <v/>
      </c>
    </row>
    <row r="32">
      <c r="A32" s="4" t="n"/>
      <c r="B32" s="4" t="n"/>
      <c r="C32" s="4" t="n"/>
      <c r="D32" s="4" t="n"/>
      <c r="E32" s="4" t="n"/>
      <c r="F32" s="4" t="n"/>
      <c r="G32" s="5" t="n"/>
      <c r="H32" s="5" t="n"/>
      <c r="I32" s="5">
        <f>IF(A32="","",G32+H32)</f>
        <v/>
      </c>
      <c r="J32" s="5" t="n"/>
      <c r="K32" s="5">
        <f>IF(A32="","",J32-I32)</f>
        <v/>
      </c>
      <c r="L32" s="4" t="n"/>
      <c r="M32" s="4" t="n"/>
      <c r="N32" s="4">
        <f>IF(A32="","",N31+B32)</f>
        <v/>
      </c>
    </row>
    <row r="33">
      <c r="A33" s="7" t="n"/>
      <c r="B33" s="7" t="n"/>
      <c r="C33" s="7" t="n"/>
      <c r="D33" s="7" t="n"/>
      <c r="E33" s="7" t="n"/>
      <c r="F33" s="7" t="n"/>
      <c r="G33" s="8" t="n"/>
      <c r="H33" s="8" t="n"/>
      <c r="I33" s="8">
        <f>IF(A33="","",G33+H33)</f>
        <v/>
      </c>
      <c r="J33" s="8" t="n"/>
      <c r="K33" s="8">
        <f>IF(A33="","",J33-I33)</f>
        <v/>
      </c>
      <c r="L33" s="7" t="n"/>
      <c r="M33" s="7" t="n"/>
      <c r="N33" s="7">
        <f>IF(A33="","",N32+B33)</f>
        <v/>
      </c>
    </row>
    <row r="34">
      <c r="A34" s="4" t="n"/>
      <c r="B34" s="4" t="n"/>
      <c r="C34" s="4" t="n"/>
      <c r="D34" s="4" t="n"/>
      <c r="E34" s="4" t="n"/>
      <c r="F34" s="4" t="n"/>
      <c r="G34" s="5" t="n"/>
      <c r="H34" s="5" t="n"/>
      <c r="I34" s="5">
        <f>IF(A34="","",G34+H34)</f>
        <v/>
      </c>
      <c r="J34" s="5" t="n"/>
      <c r="K34" s="5">
        <f>IF(A34="","",J34-I34)</f>
        <v/>
      </c>
      <c r="L34" s="4" t="n"/>
      <c r="M34" s="4" t="n"/>
      <c r="N34" s="4">
        <f>IF(A34="","",N33+B34)</f>
        <v/>
      </c>
    </row>
    <row r="35">
      <c r="A35" s="7" t="n"/>
      <c r="B35" s="7" t="n"/>
      <c r="C35" s="7" t="n"/>
      <c r="D35" s="7" t="n"/>
      <c r="E35" s="7" t="n"/>
      <c r="F35" s="7" t="n"/>
      <c r="G35" s="8" t="n"/>
      <c r="H35" s="8" t="n"/>
      <c r="I35" s="8">
        <f>IF(A35="","",G35+H35)</f>
        <v/>
      </c>
      <c r="J35" s="8" t="n"/>
      <c r="K35" s="8">
        <f>IF(A35="","",J35-I35)</f>
        <v/>
      </c>
      <c r="L35" s="7" t="n"/>
      <c r="M35" s="7" t="n"/>
      <c r="N35" s="7">
        <f>IF(A35="","",N34+B35)</f>
        <v/>
      </c>
    </row>
    <row r="36">
      <c r="A36" s="4" t="n"/>
      <c r="B36" s="4" t="n"/>
      <c r="C36" s="4" t="n"/>
      <c r="D36" s="4" t="n"/>
      <c r="E36" s="4" t="n"/>
      <c r="F36" s="4" t="n"/>
      <c r="G36" s="5" t="n"/>
      <c r="H36" s="5" t="n"/>
      <c r="I36" s="5">
        <f>IF(A36="","",G36+H36)</f>
        <v/>
      </c>
      <c r="J36" s="5" t="n"/>
      <c r="K36" s="5">
        <f>IF(A36="","",J36-I36)</f>
        <v/>
      </c>
      <c r="L36" s="4" t="n"/>
      <c r="M36" s="4" t="n"/>
      <c r="N36" s="4">
        <f>IF(A36="","",N35+B36)</f>
        <v/>
      </c>
    </row>
    <row r="37">
      <c r="A37" s="7" t="n"/>
      <c r="B37" s="7" t="n"/>
      <c r="C37" s="7" t="n"/>
      <c r="D37" s="7" t="n"/>
      <c r="E37" s="7" t="n"/>
      <c r="F37" s="7" t="n"/>
      <c r="G37" s="8" t="n"/>
      <c r="H37" s="8" t="n"/>
      <c r="I37" s="8">
        <f>IF(A37="","",G37+H37)</f>
        <v/>
      </c>
      <c r="J37" s="8" t="n"/>
      <c r="K37" s="8">
        <f>IF(A37="","",J37-I37)</f>
        <v/>
      </c>
      <c r="L37" s="7" t="n"/>
      <c r="M37" s="7" t="n"/>
      <c r="N37" s="7">
        <f>IF(A37="","",N36+B37)</f>
        <v/>
      </c>
    </row>
    <row r="38">
      <c r="A38" s="4" t="n"/>
      <c r="B38" s="4" t="n"/>
      <c r="C38" s="4" t="n"/>
      <c r="D38" s="4" t="n"/>
      <c r="E38" s="4" t="n"/>
      <c r="F38" s="4" t="n"/>
      <c r="G38" s="5" t="n"/>
      <c r="H38" s="5" t="n"/>
      <c r="I38" s="5">
        <f>IF(A38="","",G38+H38)</f>
        <v/>
      </c>
      <c r="J38" s="5" t="n"/>
      <c r="K38" s="5">
        <f>IF(A38="","",J38-I38)</f>
        <v/>
      </c>
      <c r="L38" s="4" t="n"/>
      <c r="M38" s="4" t="n"/>
      <c r="N38" s="4">
        <f>IF(A38="","",N37+B38)</f>
        <v/>
      </c>
    </row>
    <row r="39">
      <c r="A39" s="7" t="n"/>
      <c r="B39" s="7" t="n"/>
      <c r="C39" s="7" t="n"/>
      <c r="D39" s="7" t="n"/>
      <c r="E39" s="7" t="n"/>
      <c r="F39" s="7" t="n"/>
      <c r="G39" s="8" t="n"/>
      <c r="H39" s="8" t="n"/>
      <c r="I39" s="8">
        <f>IF(A39="","",G39+H39)</f>
        <v/>
      </c>
      <c r="J39" s="8" t="n"/>
      <c r="K39" s="8">
        <f>IF(A39="","",J39-I39)</f>
        <v/>
      </c>
      <c r="L39" s="7" t="n"/>
      <c r="M39" s="7" t="n"/>
      <c r="N39" s="7">
        <f>IF(A39="","",N38+B39)</f>
        <v/>
      </c>
    </row>
    <row r="40">
      <c r="A40" s="4" t="n"/>
      <c r="B40" s="4" t="n"/>
      <c r="C40" s="4" t="n"/>
      <c r="D40" s="4" t="n"/>
      <c r="E40" s="4" t="n"/>
      <c r="F40" s="4" t="n"/>
      <c r="G40" s="5" t="n"/>
      <c r="H40" s="5" t="n"/>
      <c r="I40" s="5">
        <f>IF(A40="","",G40+H40)</f>
        <v/>
      </c>
      <c r="J40" s="5" t="n"/>
      <c r="K40" s="5">
        <f>IF(A40="","",J40-I40)</f>
        <v/>
      </c>
      <c r="L40" s="4" t="n"/>
      <c r="M40" s="4" t="n"/>
      <c r="N40" s="4">
        <f>IF(A40="","",N39+B40)</f>
        <v/>
      </c>
    </row>
    <row r="41">
      <c r="A41" s="7" t="n"/>
      <c r="B41" s="7" t="n"/>
      <c r="C41" s="7" t="n"/>
      <c r="D41" s="7" t="n"/>
      <c r="E41" s="7" t="n"/>
      <c r="F41" s="7" t="n"/>
      <c r="G41" s="8" t="n"/>
      <c r="H41" s="8" t="n"/>
      <c r="I41" s="8">
        <f>IF(A41="","",G41+H41)</f>
        <v/>
      </c>
      <c r="J41" s="8" t="n"/>
      <c r="K41" s="8">
        <f>IF(A41="","",J41-I41)</f>
        <v/>
      </c>
      <c r="L41" s="7" t="n"/>
      <c r="M41" s="7" t="n"/>
      <c r="N41" s="7">
        <f>IF(A41="","",N40+B41)</f>
        <v/>
      </c>
    </row>
    <row r="42">
      <c r="A42" s="4" t="n"/>
      <c r="B42" s="4" t="n"/>
      <c r="C42" s="4" t="n"/>
      <c r="D42" s="4" t="n"/>
      <c r="E42" s="4" t="n"/>
      <c r="F42" s="4" t="n"/>
      <c r="G42" s="5" t="n"/>
      <c r="H42" s="5" t="n"/>
      <c r="I42" s="5">
        <f>IF(A42="","",G42+H42)</f>
        <v/>
      </c>
      <c r="J42" s="5" t="n"/>
      <c r="K42" s="5">
        <f>IF(A42="","",J42-I42)</f>
        <v/>
      </c>
      <c r="L42" s="4" t="n"/>
      <c r="M42" s="4" t="n"/>
      <c r="N42" s="4">
        <f>IF(A42="","",N41+B42)</f>
        <v/>
      </c>
    </row>
    <row r="43">
      <c r="A43" s="7" t="n"/>
      <c r="B43" s="7" t="n"/>
      <c r="C43" s="7" t="n"/>
      <c r="D43" s="7" t="n"/>
      <c r="E43" s="7" t="n"/>
      <c r="F43" s="7" t="n"/>
      <c r="G43" s="8" t="n"/>
      <c r="H43" s="8" t="n"/>
      <c r="I43" s="8">
        <f>IF(A43="","",G43+H43)</f>
        <v/>
      </c>
      <c r="J43" s="8" t="n"/>
      <c r="K43" s="8">
        <f>IF(A43="","",J43-I43)</f>
        <v/>
      </c>
      <c r="L43" s="7" t="n"/>
      <c r="M43" s="7" t="n"/>
      <c r="N43" s="7">
        <f>IF(A43="","",N42+B43)</f>
        <v/>
      </c>
    </row>
    <row r="44">
      <c r="A44" s="4" t="n"/>
      <c r="B44" s="4" t="n"/>
      <c r="C44" s="4" t="n"/>
      <c r="D44" s="4" t="n"/>
      <c r="E44" s="4" t="n"/>
      <c r="F44" s="4" t="n"/>
      <c r="G44" s="5" t="n"/>
      <c r="H44" s="5" t="n"/>
      <c r="I44" s="5">
        <f>IF(A44="","",G44+H44)</f>
        <v/>
      </c>
      <c r="J44" s="5" t="n"/>
      <c r="K44" s="5">
        <f>IF(A44="","",J44-I44)</f>
        <v/>
      </c>
      <c r="L44" s="4" t="n"/>
      <c r="M44" s="4" t="n"/>
      <c r="N44" s="4">
        <f>IF(A44="","",N43+B44)</f>
        <v/>
      </c>
    </row>
    <row r="45">
      <c r="A45" s="7" t="n"/>
      <c r="B45" s="7" t="n"/>
      <c r="C45" s="7" t="n"/>
      <c r="D45" s="7" t="n"/>
      <c r="E45" s="7" t="n"/>
      <c r="F45" s="7" t="n"/>
      <c r="G45" s="8" t="n"/>
      <c r="H45" s="8" t="n"/>
      <c r="I45" s="8">
        <f>IF(A45="","",G45+H45)</f>
        <v/>
      </c>
      <c r="J45" s="8" t="n"/>
      <c r="K45" s="8">
        <f>IF(A45="","",J45-I45)</f>
        <v/>
      </c>
      <c r="L45" s="7" t="n"/>
      <c r="M45" s="7" t="n"/>
      <c r="N45" s="7">
        <f>IF(A45="","",N44+B45)</f>
        <v/>
      </c>
    </row>
    <row r="46">
      <c r="A46" s="4" t="n"/>
      <c r="B46" s="4" t="n"/>
      <c r="C46" s="4" t="n"/>
      <c r="D46" s="4" t="n"/>
      <c r="E46" s="4" t="n"/>
      <c r="F46" s="4" t="n"/>
      <c r="G46" s="5" t="n"/>
      <c r="H46" s="5" t="n"/>
      <c r="I46" s="5">
        <f>IF(A46="","",G46+H46)</f>
        <v/>
      </c>
      <c r="J46" s="5" t="n"/>
      <c r="K46" s="5">
        <f>IF(A46="","",J46-I46)</f>
        <v/>
      </c>
      <c r="L46" s="4" t="n"/>
      <c r="M46" s="4" t="n"/>
      <c r="N46" s="4">
        <f>IF(A46="","",N45+B46)</f>
        <v/>
      </c>
    </row>
    <row r="47">
      <c r="A47" s="7" t="n"/>
      <c r="B47" s="7" t="n"/>
      <c r="C47" s="7" t="n"/>
      <c r="D47" s="7" t="n"/>
      <c r="E47" s="7" t="n"/>
      <c r="F47" s="7" t="n"/>
      <c r="G47" s="8" t="n"/>
      <c r="H47" s="8" t="n"/>
      <c r="I47" s="8">
        <f>IF(A47="","",G47+H47)</f>
        <v/>
      </c>
      <c r="J47" s="8" t="n"/>
      <c r="K47" s="8">
        <f>IF(A47="","",J47-I47)</f>
        <v/>
      </c>
      <c r="L47" s="7" t="n"/>
      <c r="M47" s="7" t="n"/>
      <c r="N47" s="7">
        <f>IF(A47="","",N46+B47)</f>
        <v/>
      </c>
    </row>
    <row r="48">
      <c r="A48" s="4" t="n"/>
      <c r="B48" s="4" t="n"/>
      <c r="C48" s="4" t="n"/>
      <c r="D48" s="4" t="n"/>
      <c r="E48" s="4" t="n"/>
      <c r="F48" s="4" t="n"/>
      <c r="G48" s="5" t="n"/>
      <c r="H48" s="5" t="n"/>
      <c r="I48" s="5">
        <f>IF(A48="","",G48+H48)</f>
        <v/>
      </c>
      <c r="J48" s="5" t="n"/>
      <c r="K48" s="5">
        <f>IF(A48="","",J48-I48)</f>
        <v/>
      </c>
      <c r="L48" s="4" t="n"/>
      <c r="M48" s="4" t="n"/>
      <c r="N48" s="4">
        <f>IF(A48="","",N47+B48)</f>
        <v/>
      </c>
    </row>
    <row r="49">
      <c r="A49" s="7" t="n"/>
      <c r="B49" s="7" t="n"/>
      <c r="C49" s="7" t="n"/>
      <c r="D49" s="7" t="n"/>
      <c r="E49" s="7" t="n"/>
      <c r="F49" s="7" t="n"/>
      <c r="G49" s="8" t="n"/>
      <c r="H49" s="8" t="n"/>
      <c r="I49" s="8">
        <f>IF(A49="","",G49+H49)</f>
        <v/>
      </c>
      <c r="J49" s="8" t="n"/>
      <c r="K49" s="8">
        <f>IF(A49="","",J49-I49)</f>
        <v/>
      </c>
      <c r="L49" s="7" t="n"/>
      <c r="M49" s="7" t="n"/>
      <c r="N49" s="7">
        <f>IF(A49="","",N48+B49)</f>
        <v/>
      </c>
    </row>
    <row r="50">
      <c r="A50" s="4" t="n"/>
      <c r="B50" s="4" t="n"/>
      <c r="C50" s="4" t="n"/>
      <c r="D50" s="4" t="n"/>
      <c r="E50" s="4" t="n"/>
      <c r="F50" s="4" t="n"/>
      <c r="G50" s="5" t="n"/>
      <c r="H50" s="5" t="n"/>
      <c r="I50" s="5">
        <f>IF(A50="","",G50+H50)</f>
        <v/>
      </c>
      <c r="J50" s="5" t="n"/>
      <c r="K50" s="5">
        <f>IF(A50="","",J50-I50)</f>
        <v/>
      </c>
      <c r="L50" s="4" t="n"/>
      <c r="M50" s="4" t="n"/>
      <c r="N50" s="4">
        <f>IF(A50="","",N49+B50)</f>
        <v/>
      </c>
    </row>
    <row r="51">
      <c r="A51" s="7" t="n"/>
      <c r="B51" s="7" t="n"/>
      <c r="C51" s="7" t="n"/>
      <c r="D51" s="7" t="n"/>
      <c r="E51" s="7" t="n"/>
      <c r="F51" s="7" t="n"/>
      <c r="G51" s="8" t="n"/>
      <c r="H51" s="8" t="n"/>
      <c r="I51" s="8">
        <f>IF(A51="","",G51+H51)</f>
        <v/>
      </c>
      <c r="J51" s="8" t="n"/>
      <c r="K51" s="8">
        <f>IF(A51="","",J51-I51)</f>
        <v/>
      </c>
      <c r="L51" s="7" t="n"/>
      <c r="M51" s="7" t="n"/>
      <c r="N51" s="7">
        <f>IF(A51="","",N50+B51)</f>
        <v/>
      </c>
    </row>
    <row r="52">
      <c r="A52" s="4" t="n"/>
      <c r="B52" s="4" t="n"/>
      <c r="C52" s="4" t="n"/>
      <c r="D52" s="4" t="n"/>
      <c r="E52" s="4" t="n"/>
      <c r="F52" s="4" t="n"/>
      <c r="G52" s="5" t="n"/>
      <c r="H52" s="5" t="n"/>
      <c r="I52" s="5">
        <f>IF(A52="","",G52+H52)</f>
        <v/>
      </c>
      <c r="J52" s="5" t="n"/>
      <c r="K52" s="5">
        <f>IF(A52="","",J52-I52)</f>
        <v/>
      </c>
      <c r="L52" s="4" t="n"/>
      <c r="M52" s="4" t="n"/>
      <c r="N52" s="4">
        <f>IF(A52="","",N51+B52)</f>
        <v/>
      </c>
    </row>
    <row r="53">
      <c r="A53" s="7" t="n"/>
      <c r="B53" s="7" t="n"/>
      <c r="C53" s="7" t="n"/>
      <c r="D53" s="7" t="n"/>
      <c r="E53" s="7" t="n"/>
      <c r="F53" s="7" t="n"/>
      <c r="G53" s="8" t="n"/>
      <c r="H53" s="8" t="n"/>
      <c r="I53" s="8">
        <f>IF(A53="","",G53+H53)</f>
        <v/>
      </c>
      <c r="J53" s="8" t="n"/>
      <c r="K53" s="8">
        <f>IF(A53="","",J53-I53)</f>
        <v/>
      </c>
      <c r="L53" s="7" t="n"/>
      <c r="M53" s="7" t="n"/>
      <c r="N53" s="7">
        <f>IF(A53="","",N52+B53)</f>
        <v/>
      </c>
    </row>
    <row r="54">
      <c r="A54" s="4" t="n"/>
      <c r="B54" s="4" t="n"/>
      <c r="C54" s="4" t="n"/>
      <c r="D54" s="4" t="n"/>
      <c r="E54" s="4" t="n"/>
      <c r="F54" s="4" t="n"/>
      <c r="G54" s="5" t="n"/>
      <c r="H54" s="5" t="n"/>
      <c r="I54" s="5">
        <f>IF(A54="","",G54+H54)</f>
        <v/>
      </c>
      <c r="J54" s="5" t="n"/>
      <c r="K54" s="5">
        <f>IF(A54="","",J54-I54)</f>
        <v/>
      </c>
      <c r="L54" s="4" t="n"/>
      <c r="M54" s="4" t="n"/>
      <c r="N54" s="4">
        <f>IF(A54="","",N53+B54)</f>
        <v/>
      </c>
    </row>
    <row r="55">
      <c r="A55" s="7" t="n"/>
      <c r="B55" s="7" t="n"/>
      <c r="C55" s="7" t="n"/>
      <c r="D55" s="7" t="n"/>
      <c r="E55" s="7" t="n"/>
      <c r="F55" s="7" t="n"/>
      <c r="G55" s="8" t="n"/>
      <c r="H55" s="8" t="n"/>
      <c r="I55" s="8">
        <f>IF(A55="","",G55+H55)</f>
        <v/>
      </c>
      <c r="J55" s="8" t="n"/>
      <c r="K55" s="8">
        <f>IF(A55="","",J55-I55)</f>
        <v/>
      </c>
      <c r="L55" s="7" t="n"/>
      <c r="M55" s="7" t="n"/>
      <c r="N55" s="7">
        <f>IF(A55="","",N54+B55)</f>
        <v/>
      </c>
    </row>
    <row r="56">
      <c r="A56" s="4" t="n"/>
      <c r="B56" s="4" t="n"/>
      <c r="C56" s="4" t="n"/>
      <c r="D56" s="4" t="n"/>
      <c r="E56" s="4" t="n"/>
      <c r="F56" s="4" t="n"/>
      <c r="G56" s="5" t="n"/>
      <c r="H56" s="5" t="n"/>
      <c r="I56" s="5">
        <f>IF(A56="","",G56+H56)</f>
        <v/>
      </c>
      <c r="J56" s="5" t="n"/>
      <c r="K56" s="5">
        <f>IF(A56="","",J56-I56)</f>
        <v/>
      </c>
      <c r="L56" s="4" t="n"/>
      <c r="M56" s="4" t="n"/>
      <c r="N56" s="4">
        <f>IF(A56="","",N55+B56)</f>
        <v/>
      </c>
    </row>
    <row r="57">
      <c r="A57" s="7" t="n"/>
      <c r="B57" s="7" t="n"/>
      <c r="C57" s="7" t="n"/>
      <c r="D57" s="7" t="n"/>
      <c r="E57" s="7" t="n"/>
      <c r="F57" s="7" t="n"/>
      <c r="G57" s="8" t="n"/>
      <c r="H57" s="8" t="n"/>
      <c r="I57" s="8">
        <f>IF(A57="","",G57+H57)</f>
        <v/>
      </c>
      <c r="J57" s="8" t="n"/>
      <c r="K57" s="8">
        <f>IF(A57="","",J57-I57)</f>
        <v/>
      </c>
      <c r="L57" s="7" t="n"/>
      <c r="M57" s="7" t="n"/>
      <c r="N57" s="7">
        <f>IF(A57="","",N56+B57)</f>
        <v/>
      </c>
    </row>
    <row r="58">
      <c r="A58" s="4" t="n"/>
      <c r="B58" s="4" t="n"/>
      <c r="C58" s="4" t="n"/>
      <c r="D58" s="4" t="n"/>
      <c r="E58" s="4" t="n"/>
      <c r="F58" s="4" t="n"/>
      <c r="G58" s="5" t="n"/>
      <c r="H58" s="5" t="n"/>
      <c r="I58" s="5">
        <f>IF(A58="","",G58+H58)</f>
        <v/>
      </c>
      <c r="J58" s="5" t="n"/>
      <c r="K58" s="5">
        <f>IF(A58="","",J58-I58)</f>
        <v/>
      </c>
      <c r="L58" s="4" t="n"/>
      <c r="M58" s="4" t="n"/>
      <c r="N58" s="4">
        <f>IF(A58="","",N57+B58)</f>
        <v/>
      </c>
    </row>
    <row r="59">
      <c r="A59" s="7" t="n"/>
      <c r="B59" s="7" t="n"/>
      <c r="C59" s="7" t="n"/>
      <c r="D59" s="7" t="n"/>
      <c r="E59" s="7" t="n"/>
      <c r="F59" s="7" t="n"/>
      <c r="G59" s="8" t="n"/>
      <c r="H59" s="8" t="n"/>
      <c r="I59" s="8">
        <f>IF(A59="","",G59+H59)</f>
        <v/>
      </c>
      <c r="J59" s="8" t="n"/>
      <c r="K59" s="8">
        <f>IF(A59="","",J59-I59)</f>
        <v/>
      </c>
      <c r="L59" s="7" t="n"/>
      <c r="M59" s="7" t="n"/>
      <c r="N59" s="7">
        <f>IF(A59="","",N58+B59)</f>
        <v/>
      </c>
    </row>
    <row r="60">
      <c r="A60" s="4" t="n"/>
      <c r="B60" s="4" t="n"/>
      <c r="C60" s="4" t="n"/>
      <c r="D60" s="4" t="n"/>
      <c r="E60" s="4" t="n"/>
      <c r="F60" s="4" t="n"/>
      <c r="G60" s="5" t="n"/>
      <c r="H60" s="5" t="n"/>
      <c r="I60" s="5">
        <f>IF(A60="","",G60+H60)</f>
        <v/>
      </c>
      <c r="J60" s="5" t="n"/>
      <c r="K60" s="5">
        <f>IF(A60="","",J60-I60)</f>
        <v/>
      </c>
      <c r="L60" s="4" t="n"/>
      <c r="M60" s="4" t="n"/>
      <c r="N60" s="4">
        <f>IF(A60="","",N59+B60)</f>
        <v/>
      </c>
    </row>
    <row r="61">
      <c r="A61" s="7" t="n"/>
      <c r="B61" s="7" t="n"/>
      <c r="C61" s="7" t="n"/>
      <c r="D61" s="7" t="n"/>
      <c r="E61" s="7" t="n"/>
      <c r="F61" s="7" t="n"/>
      <c r="G61" s="8" t="n"/>
      <c r="H61" s="8" t="n"/>
      <c r="I61" s="8">
        <f>IF(A61="","",G61+H61)</f>
        <v/>
      </c>
      <c r="J61" s="8" t="n"/>
      <c r="K61" s="8">
        <f>IF(A61="","",J61-I61)</f>
        <v/>
      </c>
      <c r="L61" s="7" t="n"/>
      <c r="M61" s="7" t="n"/>
      <c r="N61" s="7">
        <f>IF(A61="","",N60+B61)</f>
        <v/>
      </c>
    </row>
    <row r="62">
      <c r="A62" s="4" t="n"/>
      <c r="B62" s="4" t="n"/>
      <c r="C62" s="4" t="n"/>
      <c r="D62" s="4" t="n"/>
      <c r="E62" s="4" t="n"/>
      <c r="F62" s="4" t="n"/>
      <c r="G62" s="5" t="n"/>
      <c r="H62" s="5" t="n"/>
      <c r="I62" s="5">
        <f>IF(A62="","",G62+H62)</f>
        <v/>
      </c>
      <c r="J62" s="5" t="n"/>
      <c r="K62" s="5">
        <f>IF(A62="","",J62-I62)</f>
        <v/>
      </c>
      <c r="L62" s="4" t="n"/>
      <c r="M62" s="4" t="n"/>
      <c r="N62" s="4">
        <f>IF(A62="","",N61+B62)</f>
        <v/>
      </c>
    </row>
    <row r="63">
      <c r="A63" s="7" t="n"/>
      <c r="B63" s="7" t="n"/>
      <c r="C63" s="7" t="n"/>
      <c r="D63" s="7" t="n"/>
      <c r="E63" s="7" t="n"/>
      <c r="F63" s="7" t="n"/>
      <c r="G63" s="8" t="n"/>
      <c r="H63" s="8" t="n"/>
      <c r="I63" s="8">
        <f>IF(A63="","",G63+H63)</f>
        <v/>
      </c>
      <c r="J63" s="8" t="n"/>
      <c r="K63" s="8">
        <f>IF(A63="","",J63-I63)</f>
        <v/>
      </c>
      <c r="L63" s="7" t="n"/>
      <c r="M63" s="7" t="n"/>
      <c r="N63" s="7">
        <f>IF(A63="","",N62+B63)</f>
        <v/>
      </c>
    </row>
    <row r="64">
      <c r="A64" s="4" t="n"/>
      <c r="B64" s="4" t="n"/>
      <c r="C64" s="4" t="n"/>
      <c r="D64" s="4" t="n"/>
      <c r="E64" s="4" t="n"/>
      <c r="F64" s="4" t="n"/>
      <c r="G64" s="5" t="n"/>
      <c r="H64" s="5" t="n"/>
      <c r="I64" s="5">
        <f>IF(A64="","",G64+H64)</f>
        <v/>
      </c>
      <c r="J64" s="5" t="n"/>
      <c r="K64" s="5">
        <f>IF(A64="","",J64-I64)</f>
        <v/>
      </c>
      <c r="L64" s="4" t="n"/>
      <c r="M64" s="4" t="n"/>
      <c r="N64" s="4">
        <f>IF(A64="","",N63+B64)</f>
        <v/>
      </c>
    </row>
    <row r="65">
      <c r="A65" s="7" t="n"/>
      <c r="B65" s="7" t="n"/>
      <c r="C65" s="7" t="n"/>
      <c r="D65" s="7" t="n"/>
      <c r="E65" s="7" t="n"/>
      <c r="F65" s="7" t="n"/>
      <c r="G65" s="8" t="n"/>
      <c r="H65" s="8" t="n"/>
      <c r="I65" s="8">
        <f>IF(A65="","",G65+H65)</f>
        <v/>
      </c>
      <c r="J65" s="8" t="n"/>
      <c r="K65" s="8">
        <f>IF(A65="","",J65-I65)</f>
        <v/>
      </c>
      <c r="L65" s="7" t="n"/>
      <c r="M65" s="7" t="n"/>
      <c r="N65" s="7">
        <f>IF(A65="","",N64+B65)</f>
        <v/>
      </c>
    </row>
    <row r="66">
      <c r="A66" s="4" t="n"/>
      <c r="B66" s="4" t="n"/>
      <c r="C66" s="4" t="n"/>
      <c r="D66" s="4" t="n"/>
      <c r="E66" s="4" t="n"/>
      <c r="F66" s="4" t="n"/>
      <c r="G66" s="5" t="n"/>
      <c r="H66" s="5" t="n"/>
      <c r="I66" s="5">
        <f>IF(A66="","",G66+H66)</f>
        <v/>
      </c>
      <c r="J66" s="5" t="n"/>
      <c r="K66" s="5">
        <f>IF(A66="","",J66-I66)</f>
        <v/>
      </c>
      <c r="L66" s="4" t="n"/>
      <c r="M66" s="4" t="n"/>
      <c r="N66" s="4">
        <f>IF(A66="","",N65+B66)</f>
        <v/>
      </c>
    </row>
    <row r="67">
      <c r="A67" s="7" t="n"/>
      <c r="B67" s="7" t="n"/>
      <c r="C67" s="7" t="n"/>
      <c r="D67" s="7" t="n"/>
      <c r="E67" s="7" t="n"/>
      <c r="F67" s="7" t="n"/>
      <c r="G67" s="8" t="n"/>
      <c r="H67" s="8" t="n"/>
      <c r="I67" s="8">
        <f>IF(A67="","",G67+H67)</f>
        <v/>
      </c>
      <c r="J67" s="8" t="n"/>
      <c r="K67" s="8">
        <f>IF(A67="","",J67-I67)</f>
        <v/>
      </c>
      <c r="L67" s="7" t="n"/>
      <c r="M67" s="7" t="n"/>
      <c r="N67" s="7">
        <f>IF(A67="","",N66+B67)</f>
        <v/>
      </c>
    </row>
    <row r="68">
      <c r="A68" s="4" t="n"/>
      <c r="B68" s="4" t="n"/>
      <c r="C68" s="4" t="n"/>
      <c r="D68" s="4" t="n"/>
      <c r="E68" s="4" t="n"/>
      <c r="F68" s="4" t="n"/>
      <c r="G68" s="5" t="n"/>
      <c r="H68" s="5" t="n"/>
      <c r="I68" s="5">
        <f>IF(A68="","",G68+H68)</f>
        <v/>
      </c>
      <c r="J68" s="5" t="n"/>
      <c r="K68" s="5">
        <f>IF(A68="","",J68-I68)</f>
        <v/>
      </c>
      <c r="L68" s="4" t="n"/>
      <c r="M68" s="4" t="n"/>
      <c r="N68" s="4">
        <f>IF(A68="","",N67+B68)</f>
        <v/>
      </c>
    </row>
    <row r="69">
      <c r="A69" s="7" t="n"/>
      <c r="B69" s="7" t="n"/>
      <c r="C69" s="7" t="n"/>
      <c r="D69" s="7" t="n"/>
      <c r="E69" s="7" t="n"/>
      <c r="F69" s="7" t="n"/>
      <c r="G69" s="8" t="n"/>
      <c r="H69" s="8" t="n"/>
      <c r="I69" s="8">
        <f>IF(A69="","",G69+H69)</f>
        <v/>
      </c>
      <c r="J69" s="8" t="n"/>
      <c r="K69" s="8">
        <f>IF(A69="","",J69-I69)</f>
        <v/>
      </c>
      <c r="L69" s="7" t="n"/>
      <c r="M69" s="7" t="n"/>
      <c r="N69" s="7">
        <f>IF(A69="","",N68+B69)</f>
        <v/>
      </c>
    </row>
    <row r="70">
      <c r="A70" s="4" t="n"/>
      <c r="B70" s="4" t="n"/>
      <c r="C70" s="4" t="n"/>
      <c r="D70" s="4" t="n"/>
      <c r="E70" s="4" t="n"/>
      <c r="F70" s="4" t="n"/>
      <c r="G70" s="5" t="n"/>
      <c r="H70" s="5" t="n"/>
      <c r="I70" s="5">
        <f>IF(A70="","",G70+H70)</f>
        <v/>
      </c>
      <c r="J70" s="5" t="n"/>
      <c r="K70" s="5">
        <f>IF(A70="","",J70-I70)</f>
        <v/>
      </c>
      <c r="L70" s="4" t="n"/>
      <c r="M70" s="4" t="n"/>
      <c r="N70" s="4">
        <f>IF(A70="","",N69+B70)</f>
        <v/>
      </c>
    </row>
    <row r="71">
      <c r="A71" s="7" t="n"/>
      <c r="B71" s="7" t="n"/>
      <c r="C71" s="7" t="n"/>
      <c r="D71" s="7" t="n"/>
      <c r="E71" s="7" t="n"/>
      <c r="F71" s="7" t="n"/>
      <c r="G71" s="8" t="n"/>
      <c r="H71" s="8" t="n"/>
      <c r="I71" s="8">
        <f>IF(A71="","",G71+H71)</f>
        <v/>
      </c>
      <c r="J71" s="8" t="n"/>
      <c r="K71" s="8">
        <f>IF(A71="","",J71-I71)</f>
        <v/>
      </c>
      <c r="L71" s="7" t="n"/>
      <c r="M71" s="7" t="n"/>
      <c r="N71" s="7">
        <f>IF(A71="","",N70+B71)</f>
        <v/>
      </c>
    </row>
    <row r="72">
      <c r="A72" s="4" t="n"/>
      <c r="B72" s="4" t="n"/>
      <c r="C72" s="4" t="n"/>
      <c r="D72" s="4" t="n"/>
      <c r="E72" s="4" t="n"/>
      <c r="F72" s="4" t="n"/>
      <c r="G72" s="5" t="n"/>
      <c r="H72" s="5" t="n"/>
      <c r="I72" s="5">
        <f>IF(A72="","",G72+H72)</f>
        <v/>
      </c>
      <c r="J72" s="5" t="n"/>
      <c r="K72" s="5">
        <f>IF(A72="","",J72-I72)</f>
        <v/>
      </c>
      <c r="L72" s="4" t="n"/>
      <c r="M72" s="4" t="n"/>
      <c r="N72" s="4">
        <f>IF(A72="","",N71+B72)</f>
        <v/>
      </c>
    </row>
    <row r="73">
      <c r="A73" s="7" t="n"/>
      <c r="B73" s="7" t="n"/>
      <c r="C73" s="7" t="n"/>
      <c r="D73" s="7" t="n"/>
      <c r="E73" s="7" t="n"/>
      <c r="F73" s="7" t="n"/>
      <c r="G73" s="8" t="n"/>
      <c r="H73" s="8" t="n"/>
      <c r="I73" s="8">
        <f>IF(A73="","",G73+H73)</f>
        <v/>
      </c>
      <c r="J73" s="8" t="n"/>
      <c r="K73" s="8">
        <f>IF(A73="","",J73-I73)</f>
        <v/>
      </c>
      <c r="L73" s="7" t="n"/>
      <c r="M73" s="7" t="n"/>
      <c r="N73" s="7">
        <f>IF(A73="","",N72+B73)</f>
        <v/>
      </c>
    </row>
    <row r="74">
      <c r="A74" s="4" t="n"/>
      <c r="B74" s="4" t="n"/>
      <c r="C74" s="4" t="n"/>
      <c r="D74" s="4" t="n"/>
      <c r="E74" s="4" t="n"/>
      <c r="F74" s="4" t="n"/>
      <c r="G74" s="5" t="n"/>
      <c r="H74" s="5" t="n"/>
      <c r="I74" s="5">
        <f>IF(A74="","",G74+H74)</f>
        <v/>
      </c>
      <c r="J74" s="5" t="n"/>
      <c r="K74" s="5">
        <f>IF(A74="","",J74-I74)</f>
        <v/>
      </c>
      <c r="L74" s="4" t="n"/>
      <c r="M74" s="4" t="n"/>
      <c r="N74" s="4">
        <f>IF(A74="","",N73+B74)</f>
        <v/>
      </c>
    </row>
    <row r="75">
      <c r="A75" s="7" t="n"/>
      <c r="B75" s="7" t="n"/>
      <c r="C75" s="7" t="n"/>
      <c r="D75" s="7" t="n"/>
      <c r="E75" s="7" t="n"/>
      <c r="F75" s="7" t="n"/>
      <c r="G75" s="8" t="n"/>
      <c r="H75" s="8" t="n"/>
      <c r="I75" s="8">
        <f>IF(A75="","",G75+H75)</f>
        <v/>
      </c>
      <c r="J75" s="8" t="n"/>
      <c r="K75" s="8">
        <f>IF(A75="","",J75-I75)</f>
        <v/>
      </c>
      <c r="L75" s="7" t="n"/>
      <c r="M75" s="7" t="n"/>
      <c r="N75" s="7">
        <f>IF(A75="","",N74+B75)</f>
        <v/>
      </c>
    </row>
    <row r="76">
      <c r="A76" s="4" t="n"/>
      <c r="B76" s="4" t="n"/>
      <c r="C76" s="4" t="n"/>
      <c r="D76" s="4" t="n"/>
      <c r="E76" s="4" t="n"/>
      <c r="F76" s="4" t="n"/>
      <c r="G76" s="5" t="n"/>
      <c r="H76" s="5" t="n"/>
      <c r="I76" s="5">
        <f>IF(A76="","",G76+H76)</f>
        <v/>
      </c>
      <c r="J76" s="5" t="n"/>
      <c r="K76" s="5">
        <f>IF(A76="","",J76-I76)</f>
        <v/>
      </c>
      <c r="L76" s="4" t="n"/>
      <c r="M76" s="4" t="n"/>
      <c r="N76" s="4">
        <f>IF(A76="","",N75+B76)</f>
        <v/>
      </c>
    </row>
    <row r="77">
      <c r="A77" s="7" t="n"/>
      <c r="B77" s="7" t="n"/>
      <c r="C77" s="7" t="n"/>
      <c r="D77" s="7" t="n"/>
      <c r="E77" s="7" t="n"/>
      <c r="F77" s="7" t="n"/>
      <c r="G77" s="8" t="n"/>
      <c r="H77" s="8" t="n"/>
      <c r="I77" s="8">
        <f>IF(A77="","",G77+H77)</f>
        <v/>
      </c>
      <c r="J77" s="8" t="n"/>
      <c r="K77" s="8">
        <f>IF(A77="","",J77-I77)</f>
        <v/>
      </c>
      <c r="L77" s="7" t="n"/>
      <c r="M77" s="7" t="n"/>
      <c r="N77" s="7">
        <f>IF(A77="","",N76+B77)</f>
        <v/>
      </c>
    </row>
    <row r="78">
      <c r="A78" s="4" t="n"/>
      <c r="B78" s="4" t="n"/>
      <c r="C78" s="4" t="n"/>
      <c r="D78" s="4" t="n"/>
      <c r="E78" s="4" t="n"/>
      <c r="F78" s="4" t="n"/>
      <c r="G78" s="5" t="n"/>
      <c r="H78" s="5" t="n"/>
      <c r="I78" s="5">
        <f>IF(A78="","",G78+H78)</f>
        <v/>
      </c>
      <c r="J78" s="5" t="n"/>
      <c r="K78" s="5">
        <f>IF(A78="","",J78-I78)</f>
        <v/>
      </c>
      <c r="L78" s="4" t="n"/>
      <c r="M78" s="4" t="n"/>
      <c r="N78" s="4">
        <f>IF(A78="","",N77+B78)</f>
        <v/>
      </c>
    </row>
    <row r="79">
      <c r="A79" s="7" t="n"/>
      <c r="B79" s="7" t="n"/>
      <c r="C79" s="7" t="n"/>
      <c r="D79" s="7" t="n"/>
      <c r="E79" s="7" t="n"/>
      <c r="F79" s="7" t="n"/>
      <c r="G79" s="8" t="n"/>
      <c r="H79" s="8" t="n"/>
      <c r="I79" s="8">
        <f>IF(A79="","",G79+H79)</f>
        <v/>
      </c>
      <c r="J79" s="8" t="n"/>
      <c r="K79" s="8">
        <f>IF(A79="","",J79-I79)</f>
        <v/>
      </c>
      <c r="L79" s="7" t="n"/>
      <c r="M79" s="7" t="n"/>
      <c r="N79" s="7">
        <f>IF(A79="","",N78+B79)</f>
        <v/>
      </c>
    </row>
    <row r="80">
      <c r="A80" s="4" t="n"/>
      <c r="B80" s="4" t="n"/>
      <c r="C80" s="4" t="n"/>
      <c r="D80" s="4" t="n"/>
      <c r="E80" s="4" t="n"/>
      <c r="F80" s="4" t="n"/>
      <c r="G80" s="5" t="n"/>
      <c r="H80" s="5" t="n"/>
      <c r="I80" s="5">
        <f>IF(A80="","",G80+H80)</f>
        <v/>
      </c>
      <c r="J80" s="5" t="n"/>
      <c r="K80" s="5">
        <f>IF(A80="","",J80-I80)</f>
        <v/>
      </c>
      <c r="L80" s="4" t="n"/>
      <c r="M80" s="4" t="n"/>
      <c r="N80" s="4">
        <f>IF(A80="","",N79+B80)</f>
        <v/>
      </c>
    </row>
    <row r="81">
      <c r="A81" s="7" t="n"/>
      <c r="B81" s="7" t="n"/>
      <c r="C81" s="7" t="n"/>
      <c r="D81" s="7" t="n"/>
      <c r="E81" s="7" t="n"/>
      <c r="F81" s="7" t="n"/>
      <c r="G81" s="8" t="n"/>
      <c r="H81" s="8" t="n"/>
      <c r="I81" s="8">
        <f>IF(A81="","",G81+H81)</f>
        <v/>
      </c>
      <c r="J81" s="8" t="n"/>
      <c r="K81" s="8">
        <f>IF(A81="","",J81-I81)</f>
        <v/>
      </c>
      <c r="L81" s="7" t="n"/>
      <c r="M81" s="7" t="n"/>
      <c r="N81" s="7">
        <f>IF(A81="","",N80+B81)</f>
        <v/>
      </c>
    </row>
    <row r="82">
      <c r="A82" s="4" t="n"/>
      <c r="B82" s="4" t="n"/>
      <c r="C82" s="4" t="n"/>
      <c r="D82" s="4" t="n"/>
      <c r="E82" s="4" t="n"/>
      <c r="F82" s="4" t="n"/>
      <c r="G82" s="5" t="n"/>
      <c r="H82" s="5" t="n"/>
      <c r="I82" s="5">
        <f>IF(A82="","",G82+H82)</f>
        <v/>
      </c>
      <c r="J82" s="5" t="n"/>
      <c r="K82" s="5">
        <f>IF(A82="","",J82-I82)</f>
        <v/>
      </c>
      <c r="L82" s="4" t="n"/>
      <c r="M82" s="4" t="n"/>
      <c r="N82" s="4">
        <f>IF(A82="","",N81+B82)</f>
        <v/>
      </c>
    </row>
    <row r="83">
      <c r="A83" s="7" t="n"/>
      <c r="B83" s="7" t="n"/>
      <c r="C83" s="7" t="n"/>
      <c r="D83" s="7" t="n"/>
      <c r="E83" s="7" t="n"/>
      <c r="F83" s="7" t="n"/>
      <c r="G83" s="8" t="n"/>
      <c r="H83" s="8" t="n"/>
      <c r="I83" s="8">
        <f>IF(A83="","",G83+H83)</f>
        <v/>
      </c>
      <c r="J83" s="8" t="n"/>
      <c r="K83" s="8">
        <f>IF(A83="","",J83-I83)</f>
        <v/>
      </c>
      <c r="L83" s="7" t="n"/>
      <c r="M83" s="7" t="n"/>
      <c r="N83" s="7">
        <f>IF(A83="","",N82+B83)</f>
        <v/>
      </c>
    </row>
    <row r="84">
      <c r="A84" s="4" t="n"/>
      <c r="B84" s="4" t="n"/>
      <c r="C84" s="4" t="n"/>
      <c r="D84" s="4" t="n"/>
      <c r="E84" s="4" t="n"/>
      <c r="F84" s="4" t="n"/>
      <c r="G84" s="5" t="n"/>
      <c r="H84" s="5" t="n"/>
      <c r="I84" s="5">
        <f>IF(A84="","",G84+H84)</f>
        <v/>
      </c>
      <c r="J84" s="5" t="n"/>
      <c r="K84" s="5">
        <f>IF(A84="","",J84-I84)</f>
        <v/>
      </c>
      <c r="L84" s="4" t="n"/>
      <c r="M84" s="4" t="n"/>
      <c r="N84" s="4">
        <f>IF(A84="","",N83+B84)</f>
        <v/>
      </c>
    </row>
    <row r="85">
      <c r="A85" s="7" t="n"/>
      <c r="B85" s="7" t="n"/>
      <c r="C85" s="7" t="n"/>
      <c r="D85" s="7" t="n"/>
      <c r="E85" s="7" t="n"/>
      <c r="F85" s="7" t="n"/>
      <c r="G85" s="8" t="n"/>
      <c r="H85" s="8" t="n"/>
      <c r="I85" s="8">
        <f>IF(A85="","",G85+H85)</f>
        <v/>
      </c>
      <c r="J85" s="8" t="n"/>
      <c r="K85" s="8">
        <f>IF(A85="","",J85-I85)</f>
        <v/>
      </c>
      <c r="L85" s="7" t="n"/>
      <c r="M85" s="7" t="n"/>
      <c r="N85" s="7">
        <f>IF(A85="","",N84+B85)</f>
        <v/>
      </c>
    </row>
    <row r="86">
      <c r="A86" s="4" t="n"/>
      <c r="B86" s="4" t="n"/>
      <c r="C86" s="4" t="n"/>
      <c r="D86" s="4" t="n"/>
      <c r="E86" s="4" t="n"/>
      <c r="F86" s="4" t="n"/>
      <c r="G86" s="5" t="n"/>
      <c r="H86" s="5" t="n"/>
      <c r="I86" s="5">
        <f>IF(A86="","",G86+H86)</f>
        <v/>
      </c>
      <c r="J86" s="5" t="n"/>
      <c r="K86" s="5">
        <f>IF(A86="","",J86-I86)</f>
        <v/>
      </c>
      <c r="L86" s="4" t="n"/>
      <c r="M86" s="4" t="n"/>
      <c r="N86" s="4">
        <f>IF(A86="","",N85+B86)</f>
        <v/>
      </c>
    </row>
    <row r="87">
      <c r="A87" s="7" t="n"/>
      <c r="B87" s="7" t="n"/>
      <c r="C87" s="7" t="n"/>
      <c r="D87" s="7" t="n"/>
      <c r="E87" s="7" t="n"/>
      <c r="F87" s="7" t="n"/>
      <c r="G87" s="8" t="n"/>
      <c r="H87" s="8" t="n"/>
      <c r="I87" s="8">
        <f>IF(A87="","",G87+H87)</f>
        <v/>
      </c>
      <c r="J87" s="8" t="n"/>
      <c r="K87" s="8">
        <f>IF(A87="","",J87-I87)</f>
        <v/>
      </c>
      <c r="L87" s="7" t="n"/>
      <c r="M87" s="7" t="n"/>
      <c r="N87" s="7">
        <f>IF(A87="","",N86+B87)</f>
        <v/>
      </c>
    </row>
    <row r="88">
      <c r="A88" s="4" t="n"/>
      <c r="B88" s="4" t="n"/>
      <c r="C88" s="4" t="n"/>
      <c r="D88" s="4" t="n"/>
      <c r="E88" s="4" t="n"/>
      <c r="F88" s="4" t="n"/>
      <c r="G88" s="5" t="n"/>
      <c r="H88" s="5" t="n"/>
      <c r="I88" s="5">
        <f>IF(A88="","",G88+H88)</f>
        <v/>
      </c>
      <c r="J88" s="5" t="n"/>
      <c r="K88" s="5">
        <f>IF(A88="","",J88-I88)</f>
        <v/>
      </c>
      <c r="L88" s="4" t="n"/>
      <c r="M88" s="4" t="n"/>
      <c r="N88" s="4">
        <f>IF(A88="","",N87+B88)</f>
        <v/>
      </c>
    </row>
    <row r="89">
      <c r="A89" s="7" t="n"/>
      <c r="B89" s="7" t="n"/>
      <c r="C89" s="7" t="n"/>
      <c r="D89" s="7" t="n"/>
      <c r="E89" s="7" t="n"/>
      <c r="F89" s="7" t="n"/>
      <c r="G89" s="8" t="n"/>
      <c r="H89" s="8" t="n"/>
      <c r="I89" s="8">
        <f>IF(A89="","",G89+H89)</f>
        <v/>
      </c>
      <c r="J89" s="8" t="n"/>
      <c r="K89" s="8">
        <f>IF(A89="","",J89-I89)</f>
        <v/>
      </c>
      <c r="L89" s="7" t="n"/>
      <c r="M89" s="7" t="n"/>
      <c r="N89" s="7">
        <f>IF(A89="","",N88+B89)</f>
        <v/>
      </c>
    </row>
    <row r="90">
      <c r="A90" s="4" t="n"/>
      <c r="B90" s="4" t="n"/>
      <c r="C90" s="4" t="n"/>
      <c r="D90" s="4" t="n"/>
      <c r="E90" s="4" t="n"/>
      <c r="F90" s="4" t="n"/>
      <c r="G90" s="5" t="n"/>
      <c r="H90" s="5" t="n"/>
      <c r="I90" s="5">
        <f>IF(A90="","",G90+H90)</f>
        <v/>
      </c>
      <c r="J90" s="5" t="n"/>
      <c r="K90" s="5">
        <f>IF(A90="","",J90-I90)</f>
        <v/>
      </c>
      <c r="L90" s="4" t="n"/>
      <c r="M90" s="4" t="n"/>
      <c r="N90" s="4">
        <f>IF(A90="","",N89+B90)</f>
        <v/>
      </c>
    </row>
    <row r="91">
      <c r="A91" s="7" t="n"/>
      <c r="B91" s="7" t="n"/>
      <c r="C91" s="7" t="n"/>
      <c r="D91" s="7" t="n"/>
      <c r="E91" s="7" t="n"/>
      <c r="F91" s="7" t="n"/>
      <c r="G91" s="8" t="n"/>
      <c r="H91" s="8" t="n"/>
      <c r="I91" s="8">
        <f>IF(A91="","",G91+H91)</f>
        <v/>
      </c>
      <c r="J91" s="8" t="n"/>
      <c r="K91" s="8">
        <f>IF(A91="","",J91-I91)</f>
        <v/>
      </c>
      <c r="L91" s="7" t="n"/>
      <c r="M91" s="7" t="n"/>
      <c r="N91" s="7">
        <f>IF(A91="","",N90+B91)</f>
        <v/>
      </c>
    </row>
    <row r="92">
      <c r="A92" s="4" t="n"/>
      <c r="B92" s="4" t="n"/>
      <c r="C92" s="4" t="n"/>
      <c r="D92" s="4" t="n"/>
      <c r="E92" s="4" t="n"/>
      <c r="F92" s="4" t="n"/>
      <c r="G92" s="5" t="n"/>
      <c r="H92" s="5" t="n"/>
      <c r="I92" s="5">
        <f>IF(A92="","",G92+H92)</f>
        <v/>
      </c>
      <c r="J92" s="5" t="n"/>
      <c r="K92" s="5">
        <f>IF(A92="","",J92-I92)</f>
        <v/>
      </c>
      <c r="L92" s="4" t="n"/>
      <c r="M92" s="4" t="n"/>
      <c r="N92" s="4">
        <f>IF(A92="","",N91+B92)</f>
        <v/>
      </c>
    </row>
    <row r="93">
      <c r="A93" s="7" t="n"/>
      <c r="B93" s="7" t="n"/>
      <c r="C93" s="7" t="n"/>
      <c r="D93" s="7" t="n"/>
      <c r="E93" s="7" t="n"/>
      <c r="F93" s="7" t="n"/>
      <c r="G93" s="8" t="n"/>
      <c r="H93" s="8" t="n"/>
      <c r="I93" s="8">
        <f>IF(A93="","",G93+H93)</f>
        <v/>
      </c>
      <c r="J93" s="8" t="n"/>
      <c r="K93" s="8">
        <f>IF(A93="","",J93-I93)</f>
        <v/>
      </c>
      <c r="L93" s="7" t="n"/>
      <c r="M93" s="7" t="n"/>
      <c r="N93" s="7">
        <f>IF(A93="","",N92+B93)</f>
        <v/>
      </c>
    </row>
    <row r="94">
      <c r="A94" s="4" t="n"/>
      <c r="B94" s="4" t="n"/>
      <c r="C94" s="4" t="n"/>
      <c r="D94" s="4" t="n"/>
      <c r="E94" s="4" t="n"/>
      <c r="F94" s="4" t="n"/>
      <c r="G94" s="5" t="n"/>
      <c r="H94" s="5" t="n"/>
      <c r="I94" s="5">
        <f>IF(A94="","",G94+H94)</f>
        <v/>
      </c>
      <c r="J94" s="5" t="n"/>
      <c r="K94" s="5">
        <f>IF(A94="","",J94-I94)</f>
        <v/>
      </c>
      <c r="L94" s="4" t="n"/>
      <c r="M94" s="4" t="n"/>
      <c r="N94" s="4">
        <f>IF(A94="","",N93+B94)</f>
        <v/>
      </c>
    </row>
    <row r="95">
      <c r="A95" s="7" t="n"/>
      <c r="B95" s="7" t="n"/>
      <c r="C95" s="7" t="n"/>
      <c r="D95" s="7" t="n"/>
      <c r="E95" s="7" t="n"/>
      <c r="F95" s="7" t="n"/>
      <c r="G95" s="8" t="n"/>
      <c r="H95" s="8" t="n"/>
      <c r="I95" s="8">
        <f>IF(A95="","",G95+H95)</f>
        <v/>
      </c>
      <c r="J95" s="8" t="n"/>
      <c r="K95" s="8">
        <f>IF(A95="","",J95-I95)</f>
        <v/>
      </c>
      <c r="L95" s="7" t="n"/>
      <c r="M95" s="7" t="n"/>
      <c r="N95" s="7">
        <f>IF(A95="","",N94+B95)</f>
        <v/>
      </c>
    </row>
    <row r="96">
      <c r="A96" s="4" t="n"/>
      <c r="B96" s="4" t="n"/>
      <c r="C96" s="4" t="n"/>
      <c r="D96" s="4" t="n"/>
      <c r="E96" s="4" t="n"/>
      <c r="F96" s="4" t="n"/>
      <c r="G96" s="5" t="n"/>
      <c r="H96" s="5" t="n"/>
      <c r="I96" s="5">
        <f>IF(A96="","",G96+H96)</f>
        <v/>
      </c>
      <c r="J96" s="5" t="n"/>
      <c r="K96" s="5">
        <f>IF(A96="","",J96-I96)</f>
        <v/>
      </c>
      <c r="L96" s="4" t="n"/>
      <c r="M96" s="4" t="n"/>
      <c r="N96" s="4">
        <f>IF(A96="","",N95+B96)</f>
        <v/>
      </c>
    </row>
    <row r="97">
      <c r="A97" s="7" t="n"/>
      <c r="B97" s="7" t="n"/>
      <c r="C97" s="7" t="n"/>
      <c r="D97" s="7" t="n"/>
      <c r="E97" s="7" t="n"/>
      <c r="F97" s="7" t="n"/>
      <c r="G97" s="8" t="n"/>
      <c r="H97" s="8" t="n"/>
      <c r="I97" s="8">
        <f>IF(A97="","",G97+H97)</f>
        <v/>
      </c>
      <c r="J97" s="8" t="n"/>
      <c r="K97" s="8">
        <f>IF(A97="","",J97-I97)</f>
        <v/>
      </c>
      <c r="L97" s="7" t="n"/>
      <c r="M97" s="7" t="n"/>
      <c r="N97" s="7">
        <f>IF(A97="","",N96+B97)</f>
        <v/>
      </c>
    </row>
    <row r="98">
      <c r="A98" s="4" t="n"/>
      <c r="B98" s="4" t="n"/>
      <c r="C98" s="4" t="n"/>
      <c r="D98" s="4" t="n"/>
      <c r="E98" s="4" t="n"/>
      <c r="F98" s="4" t="n"/>
      <c r="G98" s="5" t="n"/>
      <c r="H98" s="5" t="n"/>
      <c r="I98" s="5">
        <f>IF(A98="","",G98+H98)</f>
        <v/>
      </c>
      <c r="J98" s="5" t="n"/>
      <c r="K98" s="5">
        <f>IF(A98="","",J98-I98)</f>
        <v/>
      </c>
      <c r="L98" s="4" t="n"/>
      <c r="M98" s="4" t="n"/>
      <c r="N98" s="4">
        <f>IF(A98="","",N97+B98)</f>
        <v/>
      </c>
    </row>
    <row r="99">
      <c r="A99" s="7" t="n"/>
      <c r="B99" s="7" t="n"/>
      <c r="C99" s="7" t="n"/>
      <c r="D99" s="7" t="n"/>
      <c r="E99" s="7" t="n"/>
      <c r="F99" s="7" t="n"/>
      <c r="G99" s="8" t="n"/>
      <c r="H99" s="8" t="n"/>
      <c r="I99" s="8">
        <f>IF(A99="","",G99+H99)</f>
        <v/>
      </c>
      <c r="J99" s="8" t="n"/>
      <c r="K99" s="8">
        <f>IF(A99="","",J99-I99)</f>
        <v/>
      </c>
      <c r="L99" s="7" t="n"/>
      <c r="M99" s="7" t="n"/>
      <c r="N99" s="7">
        <f>IF(A99="","",N98+B99)</f>
        <v/>
      </c>
    </row>
    <row r="100">
      <c r="A100" s="4" t="n"/>
      <c r="B100" s="4" t="n"/>
      <c r="C100" s="4" t="n"/>
      <c r="D100" s="4" t="n"/>
      <c r="E100" s="4" t="n"/>
      <c r="F100" s="4" t="n"/>
      <c r="G100" s="5" t="n"/>
      <c r="H100" s="5" t="n"/>
      <c r="I100" s="5">
        <f>IF(A100="","",G100+H100)</f>
        <v/>
      </c>
      <c r="J100" s="5" t="n"/>
      <c r="K100" s="5">
        <f>IF(A100="","",J100-I100)</f>
        <v/>
      </c>
      <c r="L100" s="4" t="n"/>
      <c r="M100" s="4" t="n"/>
      <c r="N100" s="4">
        <f>IF(A100="","",N99+B100)</f>
        <v/>
      </c>
    </row>
    <row r="101">
      <c r="A101" s="7" t="n"/>
      <c r="B101" s="7" t="n"/>
      <c r="C101" s="7" t="n"/>
      <c r="D101" s="7" t="n"/>
      <c r="E101" s="7" t="n"/>
      <c r="F101" s="7" t="n"/>
      <c r="G101" s="8" t="n"/>
      <c r="H101" s="8" t="n"/>
      <c r="I101" s="8">
        <f>IF(A101="","",G101+H101)</f>
        <v/>
      </c>
      <c r="J101" s="8" t="n"/>
      <c r="K101" s="8">
        <f>IF(A101="","",J101-I101)</f>
        <v/>
      </c>
      <c r="L101" s="7" t="n"/>
      <c r="M101" s="7" t="n"/>
      <c r="N101" s="7">
        <f>IF(A101="","",N100+B101)</f>
        <v/>
      </c>
    </row>
    <row r="102">
      <c r="A102" s="4" t="n"/>
      <c r="B102" s="4" t="n"/>
      <c r="C102" s="4" t="n"/>
      <c r="D102" s="4" t="n"/>
      <c r="E102" s="4" t="n"/>
      <c r="F102" s="4" t="n"/>
      <c r="G102" s="5" t="n"/>
      <c r="H102" s="5" t="n"/>
      <c r="I102" s="5">
        <f>IF(A102="","",G102+H102)</f>
        <v/>
      </c>
      <c r="J102" s="5" t="n"/>
      <c r="K102" s="5">
        <f>IF(A102="","",J102-I102)</f>
        <v/>
      </c>
      <c r="L102" s="4" t="n"/>
      <c r="M102" s="4" t="n"/>
      <c r="N102" s="4">
        <f>IF(A102="","",N101+B102)</f>
        <v/>
      </c>
    </row>
    <row r="103">
      <c r="A103" s="7" t="n"/>
      <c r="B103" s="7" t="n"/>
      <c r="C103" s="7" t="n"/>
      <c r="D103" s="7" t="n"/>
      <c r="E103" s="7" t="n"/>
      <c r="F103" s="7" t="n"/>
      <c r="G103" s="8" t="n"/>
      <c r="H103" s="8" t="n"/>
      <c r="I103" s="8">
        <f>IF(A103="","",G103+H103)</f>
        <v/>
      </c>
      <c r="J103" s="8" t="n"/>
      <c r="K103" s="8">
        <f>IF(A103="","",J103-I103)</f>
        <v/>
      </c>
      <c r="L103" s="7" t="n"/>
      <c r="M103" s="7" t="n"/>
      <c r="N103" s="7">
        <f>IF(A103="","",N102+B103)</f>
        <v/>
      </c>
    </row>
    <row r="104">
      <c r="A104" s="4" t="n"/>
      <c r="B104" s="4" t="n"/>
      <c r="C104" s="4" t="n"/>
      <c r="D104" s="4" t="n"/>
      <c r="E104" s="4" t="n"/>
      <c r="F104" s="4" t="n"/>
      <c r="G104" s="5" t="n"/>
      <c r="H104" s="5" t="n"/>
      <c r="I104" s="5">
        <f>IF(A104="","",G104+H104)</f>
        <v/>
      </c>
      <c r="J104" s="5" t="n"/>
      <c r="K104" s="5">
        <f>IF(A104="","",J104-I104)</f>
        <v/>
      </c>
      <c r="L104" s="4" t="n"/>
      <c r="M104" s="4" t="n"/>
      <c r="N104" s="4">
        <f>IF(A104="","",N103+B104)</f>
        <v/>
      </c>
    </row>
    <row r="105">
      <c r="A105" s="7" t="n"/>
      <c r="B105" s="7" t="n"/>
      <c r="C105" s="7" t="n"/>
      <c r="D105" s="7" t="n"/>
      <c r="E105" s="7" t="n"/>
      <c r="F105" s="7" t="n"/>
      <c r="G105" s="8" t="n"/>
      <c r="H105" s="8" t="n"/>
      <c r="I105" s="8">
        <f>IF(A105="","",G105+H105)</f>
        <v/>
      </c>
      <c r="J105" s="8" t="n"/>
      <c r="K105" s="8">
        <f>IF(A105="","",J105-I105)</f>
        <v/>
      </c>
      <c r="L105" s="7" t="n"/>
      <c r="M105" s="7" t="n"/>
      <c r="N105" s="7">
        <f>IF(A105="","",N104+B105)</f>
        <v/>
      </c>
    </row>
    <row r="106">
      <c r="A106" s="4" t="n"/>
      <c r="B106" s="4" t="n"/>
      <c r="C106" s="4" t="n"/>
      <c r="D106" s="4" t="n"/>
      <c r="E106" s="4" t="n"/>
      <c r="F106" s="4" t="n"/>
      <c r="G106" s="5" t="n"/>
      <c r="H106" s="5" t="n"/>
      <c r="I106" s="5">
        <f>IF(A106="","",G106+H106)</f>
        <v/>
      </c>
      <c r="J106" s="5" t="n"/>
      <c r="K106" s="5">
        <f>IF(A106="","",J106-I106)</f>
        <v/>
      </c>
      <c r="L106" s="4" t="n"/>
      <c r="M106" s="4" t="n"/>
      <c r="N106" s="4">
        <f>IF(A106="","",N105+B106)</f>
        <v/>
      </c>
    </row>
    <row r="107">
      <c r="A107" s="7" t="n"/>
      <c r="B107" s="7" t="n"/>
      <c r="C107" s="7" t="n"/>
      <c r="D107" s="7" t="n"/>
      <c r="E107" s="7" t="n"/>
      <c r="F107" s="7" t="n"/>
      <c r="G107" s="8" t="n"/>
      <c r="H107" s="8" t="n"/>
      <c r="I107" s="8">
        <f>IF(A107="","",G107+H107)</f>
        <v/>
      </c>
      <c r="J107" s="8" t="n"/>
      <c r="K107" s="8">
        <f>IF(A107="","",J107-I107)</f>
        <v/>
      </c>
      <c r="L107" s="7" t="n"/>
      <c r="M107" s="7" t="n"/>
      <c r="N107" s="7">
        <f>IF(A107="","",N106+B107)</f>
        <v/>
      </c>
    </row>
    <row r="108">
      <c r="A108" s="4" t="n"/>
      <c r="B108" s="4" t="n"/>
      <c r="C108" s="4" t="n"/>
      <c r="D108" s="4" t="n"/>
      <c r="E108" s="4" t="n"/>
      <c r="F108" s="4" t="n"/>
      <c r="G108" s="5" t="n"/>
      <c r="H108" s="5" t="n"/>
      <c r="I108" s="5">
        <f>IF(A108="","",G108+H108)</f>
        <v/>
      </c>
      <c r="J108" s="5" t="n"/>
      <c r="K108" s="5">
        <f>IF(A108="","",J108-I108)</f>
        <v/>
      </c>
      <c r="L108" s="4" t="n"/>
      <c r="M108" s="4" t="n"/>
      <c r="N108" s="4">
        <f>IF(A108="","",N107+B108)</f>
        <v/>
      </c>
    </row>
    <row r="109">
      <c r="A109" s="7" t="n"/>
      <c r="B109" s="7" t="n"/>
      <c r="C109" s="7" t="n"/>
      <c r="D109" s="7" t="n"/>
      <c r="E109" s="7" t="n"/>
      <c r="F109" s="7" t="n"/>
      <c r="G109" s="8" t="n"/>
      <c r="H109" s="8" t="n"/>
      <c r="I109" s="8">
        <f>IF(A109="","",G109+H109)</f>
        <v/>
      </c>
      <c r="J109" s="8" t="n"/>
      <c r="K109" s="8">
        <f>IF(A109="","",J109-I109)</f>
        <v/>
      </c>
      <c r="L109" s="7" t="n"/>
      <c r="M109" s="7" t="n"/>
      <c r="N109" s="7">
        <f>IF(A109="","",N108+B109)</f>
        <v/>
      </c>
    </row>
    <row r="110">
      <c r="A110" s="4" t="n"/>
      <c r="B110" s="4" t="n"/>
      <c r="C110" s="4" t="n"/>
      <c r="D110" s="4" t="n"/>
      <c r="E110" s="4" t="n"/>
      <c r="F110" s="4" t="n"/>
      <c r="G110" s="5" t="n"/>
      <c r="H110" s="5" t="n"/>
      <c r="I110" s="5">
        <f>IF(A110="","",G110+H110)</f>
        <v/>
      </c>
      <c r="J110" s="5" t="n"/>
      <c r="K110" s="5">
        <f>IF(A110="","",J110-I110)</f>
        <v/>
      </c>
      <c r="L110" s="4" t="n"/>
      <c r="M110" s="4" t="n"/>
      <c r="N110" s="4">
        <f>IF(A110="","",N109+B110)</f>
        <v/>
      </c>
    </row>
    <row r="111">
      <c r="A111" s="7" t="n"/>
      <c r="B111" s="7" t="n"/>
      <c r="C111" s="7" t="n"/>
      <c r="D111" s="7" t="n"/>
      <c r="E111" s="7" t="n"/>
      <c r="F111" s="7" t="n"/>
      <c r="G111" s="8" t="n"/>
      <c r="H111" s="8" t="n"/>
      <c r="I111" s="8">
        <f>IF(A111="","",G111+H111)</f>
        <v/>
      </c>
      <c r="J111" s="8" t="n"/>
      <c r="K111" s="8">
        <f>IF(A111="","",J111-I111)</f>
        <v/>
      </c>
      <c r="L111" s="7" t="n"/>
      <c r="M111" s="7" t="n"/>
      <c r="N111" s="7">
        <f>IF(A111="","",N110+B111)</f>
        <v/>
      </c>
    </row>
    <row r="112">
      <c r="A112" s="4" t="n"/>
      <c r="B112" s="4" t="n"/>
      <c r="C112" s="4" t="n"/>
      <c r="D112" s="4" t="n"/>
      <c r="E112" s="4" t="n"/>
      <c r="F112" s="4" t="n"/>
      <c r="G112" s="5" t="n"/>
      <c r="H112" s="5" t="n"/>
      <c r="I112" s="5">
        <f>IF(A112="","",G112+H112)</f>
        <v/>
      </c>
      <c r="J112" s="5" t="n"/>
      <c r="K112" s="5">
        <f>IF(A112="","",J112-I112)</f>
        <v/>
      </c>
      <c r="L112" s="4" t="n"/>
      <c r="M112" s="4" t="n"/>
      <c r="N112" s="4">
        <f>IF(A112="","",N111+B112)</f>
        <v/>
      </c>
    </row>
    <row r="113">
      <c r="A113" s="7" t="n"/>
      <c r="B113" s="7" t="n"/>
      <c r="C113" s="7" t="n"/>
      <c r="D113" s="7" t="n"/>
      <c r="E113" s="7" t="n"/>
      <c r="F113" s="7" t="n"/>
      <c r="G113" s="8" t="n"/>
      <c r="H113" s="8" t="n"/>
      <c r="I113" s="8">
        <f>IF(A113="","",G113+H113)</f>
        <v/>
      </c>
      <c r="J113" s="8" t="n"/>
      <c r="K113" s="8">
        <f>IF(A113="","",J113-I113)</f>
        <v/>
      </c>
      <c r="L113" s="7" t="n"/>
      <c r="M113" s="7" t="n"/>
      <c r="N113" s="7">
        <f>IF(A113="","",N112+B113)</f>
        <v/>
      </c>
    </row>
    <row r="114">
      <c r="A114" s="4" t="n"/>
      <c r="B114" s="4" t="n"/>
      <c r="C114" s="4" t="n"/>
      <c r="D114" s="4" t="n"/>
      <c r="E114" s="4" t="n"/>
      <c r="F114" s="4" t="n"/>
      <c r="G114" s="5" t="n"/>
      <c r="H114" s="5" t="n"/>
      <c r="I114" s="5">
        <f>IF(A114="","",G114+H114)</f>
        <v/>
      </c>
      <c r="J114" s="5" t="n"/>
      <c r="K114" s="5">
        <f>IF(A114="","",J114-I114)</f>
        <v/>
      </c>
      <c r="L114" s="4" t="n"/>
      <c r="M114" s="4" t="n"/>
      <c r="N114" s="4">
        <f>IF(A114="","",N113+B114)</f>
        <v/>
      </c>
    </row>
    <row r="115">
      <c r="A115" s="7" t="n"/>
      <c r="B115" s="7" t="n"/>
      <c r="C115" s="7" t="n"/>
      <c r="D115" s="7" t="n"/>
      <c r="E115" s="7" t="n"/>
      <c r="F115" s="7" t="n"/>
      <c r="G115" s="8" t="n"/>
      <c r="H115" s="8" t="n"/>
      <c r="I115" s="8">
        <f>IF(A115="","",G115+H115)</f>
        <v/>
      </c>
      <c r="J115" s="8" t="n"/>
      <c r="K115" s="8">
        <f>IF(A115="","",J115-I115)</f>
        <v/>
      </c>
      <c r="L115" s="7" t="n"/>
      <c r="M115" s="7" t="n"/>
      <c r="N115" s="7">
        <f>IF(A115="","",N114+B115)</f>
        <v/>
      </c>
    </row>
  </sheetData>
  <mergeCells count="2">
    <mergeCell ref="A3:P3"/>
    <mergeCell ref="A2:P2"/>
  </mergeCells>
  <dataValidations count="1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_Lists'!$S$6:$S$35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5D6A7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2" ht="25" customHeight="1">
      <c r="A2" s="1" t="inlineStr">
        <is>
          <t>DOMAINE 27 — 15-ANALYSE DES COÛTS SST PAR DÉPARTEMENT</t>
        </is>
      </c>
    </row>
    <row r="3" ht="18" customHeight="1">
      <c r="A3" s="2" t="inlineStr">
        <is>
          <t>TABLEAU DYNAMIQUE — Ventilation des coûts sécurité par département</t>
        </is>
      </c>
    </row>
    <row r="5">
      <c r="A5" s="3" t="inlineStr">
        <is>
          <t>Département</t>
        </is>
      </c>
      <c r="B5" s="3" t="inlineStr">
        <is>
          <t>Coût Accidents (FCFA)</t>
        </is>
      </c>
      <c r="C5" s="3" t="inlineStr">
        <is>
          <t>Coût Prévention (FCFA)</t>
        </is>
      </c>
      <c r="D5" s="3" t="inlineStr">
        <is>
          <t>Coût EPI (FCFA)</t>
        </is>
      </c>
      <c r="E5" s="3" t="inlineStr">
        <is>
          <t>Coût Formations (FCFA)</t>
        </is>
      </c>
      <c r="F5" s="3" t="inlineStr">
        <is>
          <t>Coût Médical (FCFA)</t>
        </is>
      </c>
      <c r="G5" s="3" t="inlineStr">
        <is>
          <t>Coût Total (FCFA)</t>
        </is>
      </c>
      <c r="H5" s="3" t="inlineStr">
        <is>
          <t>Effectif</t>
        </is>
      </c>
      <c r="I5" s="3" t="inlineStr">
        <is>
          <t>Coût/Employé (FCFA)</t>
        </is>
      </c>
      <c r="J5" s="3" t="inlineStr">
        <is>
          <t>% du Total SST</t>
        </is>
      </c>
    </row>
    <row r="6">
      <c r="A6" s="4" t="inlineStr">
        <is>
          <t>Cuisine &amp; Restauration</t>
        </is>
      </c>
      <c r="B6" s="5" t="n">
        <v>900000</v>
      </c>
      <c r="C6" s="5" t="n">
        <v>850000</v>
      </c>
      <c r="D6" s="5" t="n">
        <v>520000</v>
      </c>
      <c r="E6" s="5" t="n">
        <v>280000</v>
      </c>
      <c r="F6" s="5" t="n">
        <v>310000</v>
      </c>
      <c r="G6" s="5">
        <f>SUM(B6:F6)</f>
        <v/>
      </c>
      <c r="H6" s="5" t="n">
        <v>45</v>
      </c>
      <c r="I6" s="5">
        <f>IFERROR(G6/H6,0)</f>
        <v/>
      </c>
      <c r="J6" s="6">
        <f>IFERROR(G6/SUM($G$6:$G$15),0)</f>
        <v/>
      </c>
    </row>
    <row r="7">
      <c r="A7" s="7" t="inlineStr">
        <is>
          <t>Maintenance &amp; Technique</t>
        </is>
      </c>
      <c r="B7" s="8" t="n">
        <v>600000</v>
      </c>
      <c r="C7" s="8" t="n">
        <v>720000</v>
      </c>
      <c r="D7" s="8" t="n">
        <v>680000</v>
      </c>
      <c r="E7" s="8" t="n">
        <v>450000</v>
      </c>
      <c r="F7" s="8" t="n">
        <v>250000</v>
      </c>
      <c r="G7" s="8">
        <f>SUM(B7:F7)</f>
        <v/>
      </c>
      <c r="H7" s="8" t="n">
        <v>18</v>
      </c>
      <c r="I7" s="8">
        <f>IFERROR(G7/H7,0)</f>
        <v/>
      </c>
      <c r="J7" s="9">
        <f>IFERROR(G7/SUM($G$6:$G$15),0)</f>
        <v/>
      </c>
    </row>
    <row r="8">
      <c r="A8" s="4" t="inlineStr">
        <is>
          <t>Réception &amp; Front Office</t>
        </is>
      </c>
      <c r="B8" s="5" t="n">
        <v>200000</v>
      </c>
      <c r="C8" s="5" t="n">
        <v>300000</v>
      </c>
      <c r="D8" s="5" t="n">
        <v>120000</v>
      </c>
      <c r="E8" s="5" t="n">
        <v>150000</v>
      </c>
      <c r="F8" s="5" t="n">
        <v>140000</v>
      </c>
      <c r="G8" s="5">
        <f>SUM(B8:F8)</f>
        <v/>
      </c>
      <c r="H8" s="5" t="n">
        <v>25</v>
      </c>
      <c r="I8" s="5">
        <f>IFERROR(G8/H8,0)</f>
        <v/>
      </c>
      <c r="J8" s="6">
        <f>IFERROR(G8/SUM($G$6:$G$15),0)</f>
        <v/>
      </c>
    </row>
    <row r="9">
      <c r="A9" s="7" t="inlineStr">
        <is>
          <t>Sécurité</t>
        </is>
      </c>
      <c r="B9" s="8" t="n">
        <v>80000</v>
      </c>
      <c r="C9" s="8" t="n">
        <v>200000</v>
      </c>
      <c r="D9" s="8" t="n">
        <v>150000</v>
      </c>
      <c r="E9" s="8" t="n">
        <v>200000</v>
      </c>
      <c r="F9" s="8" t="n">
        <v>80000</v>
      </c>
      <c r="G9" s="8">
        <f>SUM(B9:F9)</f>
        <v/>
      </c>
      <c r="H9" s="8" t="n">
        <v>15</v>
      </c>
      <c r="I9" s="8">
        <f>IFERROR(G9/H9,0)</f>
        <v/>
      </c>
      <c r="J9" s="9">
        <f>IFERROR(G9/SUM($G$6:$G$15),0)</f>
        <v/>
      </c>
    </row>
    <row r="10">
      <c r="A10" s="4" t="inlineStr">
        <is>
          <t>Commerce</t>
        </is>
      </c>
      <c r="B10" s="5" t="n">
        <v>120000</v>
      </c>
      <c r="C10" s="5" t="n">
        <v>150000</v>
      </c>
      <c r="D10" s="5" t="n">
        <v>80000</v>
      </c>
      <c r="E10" s="5" t="n">
        <v>120000</v>
      </c>
      <c r="F10" s="5" t="n">
        <v>60000</v>
      </c>
      <c r="G10" s="5">
        <f>SUM(B10:F10)</f>
        <v/>
      </c>
      <c r="H10" s="5" t="n">
        <v>10</v>
      </c>
      <c r="I10" s="5">
        <f>IFERROR(G10/H10,0)</f>
        <v/>
      </c>
      <c r="J10" s="6">
        <f>IFERROR(G10/SUM($G$6:$G$15),0)</f>
        <v/>
      </c>
    </row>
    <row r="11">
      <c r="A11" s="7" t="inlineStr">
        <is>
          <t>Spa &amp; Bien-être</t>
        </is>
      </c>
      <c r="B11" s="8" t="n">
        <v>40000</v>
      </c>
      <c r="C11" s="8" t="n">
        <v>100000</v>
      </c>
      <c r="D11" s="8" t="n">
        <v>120000</v>
      </c>
      <c r="E11" s="8" t="n">
        <v>60000</v>
      </c>
      <c r="F11" s="8" t="n">
        <v>50000</v>
      </c>
      <c r="G11" s="8">
        <f>SUM(B11:F11)</f>
        <v/>
      </c>
      <c r="H11" s="8" t="n">
        <v>8</v>
      </c>
      <c r="I11" s="8">
        <f>IFERROR(G11/H11,0)</f>
        <v/>
      </c>
      <c r="J11" s="9">
        <f>IFERROR(G11/SUM($G$6:$G$15),0)</f>
        <v/>
      </c>
    </row>
    <row r="12">
      <c r="A12" s="4" t="inlineStr">
        <is>
          <t>Direction Générale</t>
        </is>
      </c>
      <c r="B12" s="5" t="n">
        <v>0</v>
      </c>
      <c r="C12" s="5" t="n">
        <v>100000</v>
      </c>
      <c r="D12" s="5" t="n">
        <v>50000</v>
      </c>
      <c r="E12" s="5" t="n">
        <v>50000</v>
      </c>
      <c r="F12" s="5" t="n">
        <v>50000</v>
      </c>
      <c r="G12" s="5">
        <f>SUM(B12:F12)</f>
        <v/>
      </c>
      <c r="H12" s="5" t="n">
        <v>5</v>
      </c>
      <c r="I12" s="5">
        <f>IFERROR(G12/H12,0)</f>
        <v/>
      </c>
      <c r="J12" s="6">
        <f>IFERROR(G12/SUM($G$6:$G$15),0)</f>
        <v/>
      </c>
    </row>
    <row r="13">
      <c r="A13" s="7" t="inlineStr">
        <is>
          <t>Finance &amp; Comptabilité</t>
        </is>
      </c>
      <c r="B13" s="8" t="n">
        <v>0</v>
      </c>
      <c r="C13" s="8" t="n">
        <v>80000</v>
      </c>
      <c r="D13" s="8" t="n">
        <v>40000</v>
      </c>
      <c r="E13" s="8" t="n">
        <v>30000</v>
      </c>
      <c r="F13" s="8" t="n">
        <v>40000</v>
      </c>
      <c r="G13" s="8">
        <f>SUM(B13:F13)</f>
        <v/>
      </c>
      <c r="H13" s="8" t="n">
        <v>10</v>
      </c>
      <c r="I13" s="8">
        <f>IFERROR(G13/H13,0)</f>
        <v/>
      </c>
      <c r="J13" s="9">
        <f>IFERROR(G13/SUM($G$6:$G$15),0)</f>
        <v/>
      </c>
    </row>
    <row r="14">
      <c r="A14" s="4" t="inlineStr">
        <is>
          <t>Marketing &amp; Communication</t>
        </is>
      </c>
      <c r="B14" s="5" t="n">
        <v>0</v>
      </c>
      <c r="C14" s="5" t="n">
        <v>60000</v>
      </c>
      <c r="D14" s="5" t="n">
        <v>30000</v>
      </c>
      <c r="E14" s="5" t="n">
        <v>20000</v>
      </c>
      <c r="F14" s="5" t="n">
        <v>30000</v>
      </c>
      <c r="G14" s="5">
        <f>SUM(B14:F14)</f>
        <v/>
      </c>
      <c r="H14" s="5" t="n">
        <v>8</v>
      </c>
      <c r="I14" s="5">
        <f>IFERROR(G14/H14,0)</f>
        <v/>
      </c>
      <c r="J14" s="6">
        <f>IFERROR(G14/SUM($G$6:$G$15),0)</f>
        <v/>
      </c>
    </row>
    <row r="15">
      <c r="A15" s="7" t="inlineStr">
        <is>
          <t>Revenue Management</t>
        </is>
      </c>
      <c r="B15" s="8" t="n">
        <v>0</v>
      </c>
      <c r="C15" s="8" t="n">
        <v>40000</v>
      </c>
      <c r="D15" s="8" t="n">
        <v>20000</v>
      </c>
      <c r="E15" s="8" t="n">
        <v>15000</v>
      </c>
      <c r="F15" s="8" t="n">
        <v>20000</v>
      </c>
      <c r="G15" s="8">
        <f>SUM(B15:F15)</f>
        <v/>
      </c>
      <c r="H15" s="8" t="n">
        <v>6</v>
      </c>
      <c r="I15" s="8">
        <f>IFERROR(G15/H15,0)</f>
        <v/>
      </c>
      <c r="J15" s="9">
        <f>IFERROR(G15/SUM($G$6:$G$15),0)</f>
        <v/>
      </c>
    </row>
    <row r="16">
      <c r="A16" s="4" t="n"/>
      <c r="B16" s="5" t="n"/>
      <c r="C16" s="5" t="n"/>
      <c r="D16" s="5" t="n"/>
      <c r="E16" s="5" t="n"/>
      <c r="F16" s="5" t="n"/>
      <c r="G16" s="5">
        <f>IF(A16="","",SUM(B16:F16))</f>
        <v/>
      </c>
      <c r="H16" s="5" t="n"/>
      <c r="I16" s="5">
        <f>IF(OR(A16="",H16=""),"",IFERROR(G16/H16,0))</f>
        <v/>
      </c>
      <c r="J16" s="6">
        <f>IF(A16="","",IFERROR(G16/SUM($G$6:$G$115),0))</f>
        <v/>
      </c>
    </row>
    <row r="17">
      <c r="A17" s="7" t="n"/>
      <c r="B17" s="8" t="n"/>
      <c r="C17" s="8" t="n"/>
      <c r="D17" s="8" t="n"/>
      <c r="E17" s="8" t="n"/>
      <c r="F17" s="8" t="n"/>
      <c r="G17" s="8">
        <f>IF(A17="","",SUM(B17:F17))</f>
        <v/>
      </c>
      <c r="H17" s="8" t="n"/>
      <c r="I17" s="8">
        <f>IF(OR(A17="",H17=""),"",IFERROR(G17/H17,0))</f>
        <v/>
      </c>
      <c r="J17" s="9">
        <f>IF(A17="","",IFERROR(G17/SUM($G$6:$G$115),0))</f>
        <v/>
      </c>
    </row>
    <row r="18">
      <c r="A18" s="4" t="n"/>
      <c r="B18" s="5" t="n"/>
      <c r="C18" s="5" t="n"/>
      <c r="D18" s="5" t="n"/>
      <c r="E18" s="5" t="n"/>
      <c r="F18" s="5" t="n"/>
      <c r="G18" s="5">
        <f>IF(A18="","",SUM(B18:F18))</f>
        <v/>
      </c>
      <c r="H18" s="5" t="n"/>
      <c r="I18" s="5">
        <f>IF(OR(A18="",H18=""),"",IFERROR(G18/H18,0))</f>
        <v/>
      </c>
      <c r="J18" s="6">
        <f>IF(A18="","",IFERROR(G18/SUM($G$6:$G$115),0))</f>
        <v/>
      </c>
    </row>
    <row r="19">
      <c r="A19" s="7" t="n"/>
      <c r="B19" s="8" t="n"/>
      <c r="C19" s="8" t="n"/>
      <c r="D19" s="8" t="n"/>
      <c r="E19" s="8" t="n"/>
      <c r="F19" s="8" t="n"/>
      <c r="G19" s="8">
        <f>IF(A19="","",SUM(B19:F19))</f>
        <v/>
      </c>
      <c r="H19" s="8" t="n"/>
      <c r="I19" s="8">
        <f>IF(OR(A19="",H19=""),"",IFERROR(G19/H19,0))</f>
        <v/>
      </c>
      <c r="J19" s="9">
        <f>IF(A19="","",IFERROR(G19/SUM($G$6:$G$115),0))</f>
        <v/>
      </c>
    </row>
    <row r="20">
      <c r="A20" s="4" t="n"/>
      <c r="B20" s="5" t="n"/>
      <c r="C20" s="5" t="n"/>
      <c r="D20" s="5" t="n"/>
      <c r="E20" s="5" t="n"/>
      <c r="F20" s="5" t="n"/>
      <c r="G20" s="5">
        <f>IF(A20="","",SUM(B20:F20))</f>
        <v/>
      </c>
      <c r="H20" s="5" t="n"/>
      <c r="I20" s="5">
        <f>IF(OR(A20="",H20=""),"",IFERROR(G20/H20,0))</f>
        <v/>
      </c>
      <c r="J20" s="6">
        <f>IF(A20="","",IFERROR(G20/SUM($G$6:$G$115),0))</f>
        <v/>
      </c>
    </row>
    <row r="21">
      <c r="A21" s="7" t="n"/>
      <c r="B21" s="8" t="n"/>
      <c r="C21" s="8" t="n"/>
      <c r="D21" s="8" t="n"/>
      <c r="E21" s="8" t="n"/>
      <c r="F21" s="8" t="n"/>
      <c r="G21" s="8">
        <f>IF(A21="","",SUM(B21:F21))</f>
        <v/>
      </c>
      <c r="H21" s="8" t="n"/>
      <c r="I21" s="8">
        <f>IF(OR(A21="",H21=""),"",IFERROR(G21/H21,0))</f>
        <v/>
      </c>
      <c r="J21" s="9">
        <f>IF(A21="","",IFERROR(G21/SUM($G$6:$G$115),0))</f>
        <v/>
      </c>
    </row>
    <row r="22">
      <c r="A22" s="4" t="n"/>
      <c r="B22" s="5" t="n"/>
      <c r="C22" s="5" t="n"/>
      <c r="D22" s="5" t="n"/>
      <c r="E22" s="5" t="n"/>
      <c r="F22" s="5" t="n"/>
      <c r="G22" s="5">
        <f>IF(A22="","",SUM(B22:F22))</f>
        <v/>
      </c>
      <c r="H22" s="5" t="n"/>
      <c r="I22" s="5">
        <f>IF(OR(A22="",H22=""),"",IFERROR(G22/H22,0))</f>
        <v/>
      </c>
      <c r="J22" s="6">
        <f>IF(A22="","",IFERROR(G22/SUM($G$6:$G$115),0))</f>
        <v/>
      </c>
    </row>
    <row r="23">
      <c r="A23" s="7" t="n"/>
      <c r="B23" s="8" t="n"/>
      <c r="C23" s="8" t="n"/>
      <c r="D23" s="8" t="n"/>
      <c r="E23" s="8" t="n"/>
      <c r="F23" s="8" t="n"/>
      <c r="G23" s="8">
        <f>IF(A23="","",SUM(B23:F23))</f>
        <v/>
      </c>
      <c r="H23" s="8" t="n"/>
      <c r="I23" s="8">
        <f>IF(OR(A23="",H23=""),"",IFERROR(G23/H23,0))</f>
        <v/>
      </c>
      <c r="J23" s="9">
        <f>IF(A23="","",IFERROR(G23/SUM($G$6:$G$115),0))</f>
        <v/>
      </c>
    </row>
    <row r="24">
      <c r="A24" s="4" t="n"/>
      <c r="B24" s="5" t="n"/>
      <c r="C24" s="5" t="n"/>
      <c r="D24" s="5" t="n"/>
      <c r="E24" s="5" t="n"/>
      <c r="F24" s="5" t="n"/>
      <c r="G24" s="5">
        <f>IF(A24="","",SUM(B24:F24))</f>
        <v/>
      </c>
      <c r="H24" s="5" t="n"/>
      <c r="I24" s="5">
        <f>IF(OR(A24="",H24=""),"",IFERROR(G24/H24,0))</f>
        <v/>
      </c>
      <c r="J24" s="6">
        <f>IF(A24="","",IFERROR(G24/SUM($G$6:$G$115),0))</f>
        <v/>
      </c>
    </row>
    <row r="25">
      <c r="A25" s="7" t="n"/>
      <c r="B25" s="8" t="n"/>
      <c r="C25" s="8" t="n"/>
      <c r="D25" s="8" t="n"/>
      <c r="E25" s="8" t="n"/>
      <c r="F25" s="8" t="n"/>
      <c r="G25" s="8">
        <f>IF(A25="","",SUM(B25:F25))</f>
        <v/>
      </c>
      <c r="H25" s="8" t="n"/>
      <c r="I25" s="8">
        <f>IF(OR(A25="",H25=""),"",IFERROR(G25/H25,0))</f>
        <v/>
      </c>
      <c r="J25" s="9">
        <f>IF(A25="","",IFERROR(G25/SUM($G$6:$G$115),0))</f>
        <v/>
      </c>
    </row>
    <row r="26">
      <c r="A26" s="4" t="n"/>
      <c r="B26" s="5" t="n"/>
      <c r="C26" s="5" t="n"/>
      <c r="D26" s="5" t="n"/>
      <c r="E26" s="5" t="n"/>
      <c r="F26" s="5" t="n"/>
      <c r="G26" s="5">
        <f>IF(A26="","",SUM(B26:F26))</f>
        <v/>
      </c>
      <c r="H26" s="5" t="n"/>
      <c r="I26" s="5">
        <f>IF(OR(A26="",H26=""),"",IFERROR(G26/H26,0))</f>
        <v/>
      </c>
      <c r="J26" s="6">
        <f>IF(A26="","",IFERROR(G26/SUM($G$6:$G$115),0))</f>
        <v/>
      </c>
    </row>
    <row r="27">
      <c r="A27" s="7" t="n"/>
      <c r="B27" s="8" t="n"/>
      <c r="C27" s="8" t="n"/>
      <c r="D27" s="8" t="n"/>
      <c r="E27" s="8" t="n"/>
      <c r="F27" s="8" t="n"/>
      <c r="G27" s="8">
        <f>IF(A27="","",SUM(B27:F27))</f>
        <v/>
      </c>
      <c r="H27" s="8" t="n"/>
      <c r="I27" s="8">
        <f>IF(OR(A27="",H27=""),"",IFERROR(G27/H27,0))</f>
        <v/>
      </c>
      <c r="J27" s="9">
        <f>IF(A27="","",IFERROR(G27/SUM($G$6:$G$115),0))</f>
        <v/>
      </c>
    </row>
    <row r="28">
      <c r="A28" s="4" t="n"/>
      <c r="B28" s="5" t="n"/>
      <c r="C28" s="5" t="n"/>
      <c r="D28" s="5" t="n"/>
      <c r="E28" s="5" t="n"/>
      <c r="F28" s="5" t="n"/>
      <c r="G28" s="5">
        <f>IF(A28="","",SUM(B28:F28))</f>
        <v/>
      </c>
      <c r="H28" s="5" t="n"/>
      <c r="I28" s="5">
        <f>IF(OR(A28="",H28=""),"",IFERROR(G28/H28,0))</f>
        <v/>
      </c>
      <c r="J28" s="6">
        <f>IF(A28="","",IFERROR(G28/SUM($G$6:$G$115),0))</f>
        <v/>
      </c>
    </row>
    <row r="29">
      <c r="A29" s="7" t="n"/>
      <c r="B29" s="8" t="n"/>
      <c r="C29" s="8" t="n"/>
      <c r="D29" s="8" t="n"/>
      <c r="E29" s="8" t="n"/>
      <c r="F29" s="8" t="n"/>
      <c r="G29" s="8">
        <f>IF(A29="","",SUM(B29:F29))</f>
        <v/>
      </c>
      <c r="H29" s="8" t="n"/>
      <c r="I29" s="8">
        <f>IF(OR(A29="",H29=""),"",IFERROR(G29/H29,0))</f>
        <v/>
      </c>
      <c r="J29" s="9">
        <f>IF(A29="","",IFERROR(G29/SUM($G$6:$G$115),0))</f>
        <v/>
      </c>
    </row>
    <row r="30">
      <c r="A30" s="4" t="n"/>
      <c r="B30" s="5" t="n"/>
      <c r="C30" s="5" t="n"/>
      <c r="D30" s="5" t="n"/>
      <c r="E30" s="5" t="n"/>
      <c r="F30" s="5" t="n"/>
      <c r="G30" s="5">
        <f>IF(A30="","",SUM(B30:F30))</f>
        <v/>
      </c>
      <c r="H30" s="5" t="n"/>
      <c r="I30" s="5">
        <f>IF(OR(A30="",H30=""),"",IFERROR(G30/H30,0))</f>
        <v/>
      </c>
      <c r="J30" s="6">
        <f>IF(A30="","",IFERROR(G30/SUM($G$6:$G$115),0))</f>
        <v/>
      </c>
    </row>
    <row r="31">
      <c r="A31" s="7" t="n"/>
      <c r="B31" s="8" t="n"/>
      <c r="C31" s="8" t="n"/>
      <c r="D31" s="8" t="n"/>
      <c r="E31" s="8" t="n"/>
      <c r="F31" s="8" t="n"/>
      <c r="G31" s="8">
        <f>IF(A31="","",SUM(B31:F31))</f>
        <v/>
      </c>
      <c r="H31" s="8" t="n"/>
      <c r="I31" s="8">
        <f>IF(OR(A31="",H31=""),"",IFERROR(G31/H31,0))</f>
        <v/>
      </c>
      <c r="J31" s="9">
        <f>IF(A31="","",IFERROR(G31/SUM($G$6:$G$115),0))</f>
        <v/>
      </c>
    </row>
    <row r="32">
      <c r="A32" s="4" t="n"/>
      <c r="B32" s="5" t="n"/>
      <c r="C32" s="5" t="n"/>
      <c r="D32" s="5" t="n"/>
      <c r="E32" s="5" t="n"/>
      <c r="F32" s="5" t="n"/>
      <c r="G32" s="5">
        <f>IF(A32="","",SUM(B32:F32))</f>
        <v/>
      </c>
      <c r="H32" s="5" t="n"/>
      <c r="I32" s="5">
        <f>IF(OR(A32="",H32=""),"",IFERROR(G32/H32,0))</f>
        <v/>
      </c>
      <c r="J32" s="6">
        <f>IF(A32="","",IFERROR(G32/SUM($G$6:$G$115),0))</f>
        <v/>
      </c>
    </row>
    <row r="33">
      <c r="A33" s="7" t="n"/>
      <c r="B33" s="8" t="n"/>
      <c r="C33" s="8" t="n"/>
      <c r="D33" s="8" t="n"/>
      <c r="E33" s="8" t="n"/>
      <c r="F33" s="8" t="n"/>
      <c r="G33" s="8">
        <f>IF(A33="","",SUM(B33:F33))</f>
        <v/>
      </c>
      <c r="H33" s="8" t="n"/>
      <c r="I33" s="8">
        <f>IF(OR(A33="",H33=""),"",IFERROR(G33/H33,0))</f>
        <v/>
      </c>
      <c r="J33" s="9">
        <f>IF(A33="","",IFERROR(G33/SUM($G$6:$G$115),0))</f>
        <v/>
      </c>
    </row>
    <row r="34">
      <c r="A34" s="4" t="n"/>
      <c r="B34" s="5" t="n"/>
      <c r="C34" s="5" t="n"/>
      <c r="D34" s="5" t="n"/>
      <c r="E34" s="5" t="n"/>
      <c r="F34" s="5" t="n"/>
      <c r="G34" s="5">
        <f>IF(A34="","",SUM(B34:F34))</f>
        <v/>
      </c>
      <c r="H34" s="5" t="n"/>
      <c r="I34" s="5">
        <f>IF(OR(A34="",H34=""),"",IFERROR(G34/H34,0))</f>
        <v/>
      </c>
      <c r="J34" s="6">
        <f>IF(A34="","",IFERROR(G34/SUM($G$6:$G$115),0))</f>
        <v/>
      </c>
    </row>
    <row r="35">
      <c r="A35" s="7" t="n"/>
      <c r="B35" s="8" t="n"/>
      <c r="C35" s="8" t="n"/>
      <c r="D35" s="8" t="n"/>
      <c r="E35" s="8" t="n"/>
      <c r="F35" s="8" t="n"/>
      <c r="G35" s="8">
        <f>IF(A35="","",SUM(B35:F35))</f>
        <v/>
      </c>
      <c r="H35" s="8" t="n"/>
      <c r="I35" s="8">
        <f>IF(OR(A35="",H35=""),"",IFERROR(G35/H35,0))</f>
        <v/>
      </c>
      <c r="J35" s="9">
        <f>IF(A35="","",IFERROR(G35/SUM($G$6:$G$115),0))</f>
        <v/>
      </c>
    </row>
    <row r="36">
      <c r="A36" s="4" t="n"/>
      <c r="B36" s="5" t="n"/>
      <c r="C36" s="5" t="n"/>
      <c r="D36" s="5" t="n"/>
      <c r="E36" s="5" t="n"/>
      <c r="F36" s="5" t="n"/>
      <c r="G36" s="5">
        <f>IF(A36="","",SUM(B36:F36))</f>
        <v/>
      </c>
      <c r="H36" s="5" t="n"/>
      <c r="I36" s="5">
        <f>IF(OR(A36="",H36=""),"",IFERROR(G36/H36,0))</f>
        <v/>
      </c>
      <c r="J36" s="6">
        <f>IF(A36="","",IFERROR(G36/SUM($G$6:$G$115),0))</f>
        <v/>
      </c>
    </row>
    <row r="37">
      <c r="A37" s="7" t="n"/>
      <c r="B37" s="8" t="n"/>
      <c r="C37" s="8" t="n"/>
      <c r="D37" s="8" t="n"/>
      <c r="E37" s="8" t="n"/>
      <c r="F37" s="8" t="n"/>
      <c r="G37" s="8">
        <f>IF(A37="","",SUM(B37:F37))</f>
        <v/>
      </c>
      <c r="H37" s="8" t="n"/>
      <c r="I37" s="8">
        <f>IF(OR(A37="",H37=""),"",IFERROR(G37/H37,0))</f>
        <v/>
      </c>
      <c r="J37" s="9">
        <f>IF(A37="","",IFERROR(G37/SUM($G$6:$G$115),0))</f>
        <v/>
      </c>
    </row>
    <row r="38">
      <c r="A38" s="4" t="n"/>
      <c r="B38" s="5" t="n"/>
      <c r="C38" s="5" t="n"/>
      <c r="D38" s="5" t="n"/>
      <c r="E38" s="5" t="n"/>
      <c r="F38" s="5" t="n"/>
      <c r="G38" s="5">
        <f>IF(A38="","",SUM(B38:F38))</f>
        <v/>
      </c>
      <c r="H38" s="5" t="n"/>
      <c r="I38" s="5">
        <f>IF(OR(A38="",H38=""),"",IFERROR(G38/H38,0))</f>
        <v/>
      </c>
      <c r="J38" s="6">
        <f>IF(A38="","",IFERROR(G38/SUM($G$6:$G$115),0))</f>
        <v/>
      </c>
    </row>
    <row r="39">
      <c r="A39" s="7" t="n"/>
      <c r="B39" s="8" t="n"/>
      <c r="C39" s="8" t="n"/>
      <c r="D39" s="8" t="n"/>
      <c r="E39" s="8" t="n"/>
      <c r="F39" s="8" t="n"/>
      <c r="G39" s="8">
        <f>IF(A39="","",SUM(B39:F39))</f>
        <v/>
      </c>
      <c r="H39" s="8" t="n"/>
      <c r="I39" s="8">
        <f>IF(OR(A39="",H39=""),"",IFERROR(G39/H39,0))</f>
        <v/>
      </c>
      <c r="J39" s="9">
        <f>IF(A39="","",IFERROR(G39/SUM($G$6:$G$115),0))</f>
        <v/>
      </c>
    </row>
    <row r="40">
      <c r="A40" s="4" t="n"/>
      <c r="B40" s="5" t="n"/>
      <c r="C40" s="5" t="n"/>
      <c r="D40" s="5" t="n"/>
      <c r="E40" s="5" t="n"/>
      <c r="F40" s="5" t="n"/>
      <c r="G40" s="5">
        <f>IF(A40="","",SUM(B40:F40))</f>
        <v/>
      </c>
      <c r="H40" s="5" t="n"/>
      <c r="I40" s="5">
        <f>IF(OR(A40="",H40=""),"",IFERROR(G40/H40,0))</f>
        <v/>
      </c>
      <c r="J40" s="6">
        <f>IF(A40="","",IFERROR(G40/SUM($G$6:$G$115),0))</f>
        <v/>
      </c>
    </row>
    <row r="41">
      <c r="A41" s="7" t="n"/>
      <c r="B41" s="8" t="n"/>
      <c r="C41" s="8" t="n"/>
      <c r="D41" s="8" t="n"/>
      <c r="E41" s="8" t="n"/>
      <c r="F41" s="8" t="n"/>
      <c r="G41" s="8">
        <f>IF(A41="","",SUM(B41:F41))</f>
        <v/>
      </c>
      <c r="H41" s="8" t="n"/>
      <c r="I41" s="8">
        <f>IF(OR(A41="",H41=""),"",IFERROR(G41/H41,0))</f>
        <v/>
      </c>
      <c r="J41" s="9">
        <f>IF(A41="","",IFERROR(G41/SUM($G$6:$G$115),0))</f>
        <v/>
      </c>
    </row>
    <row r="42">
      <c r="A42" s="4" t="n"/>
      <c r="B42" s="5" t="n"/>
      <c r="C42" s="5" t="n"/>
      <c r="D42" s="5" t="n"/>
      <c r="E42" s="5" t="n"/>
      <c r="F42" s="5" t="n"/>
      <c r="G42" s="5">
        <f>IF(A42="","",SUM(B42:F42))</f>
        <v/>
      </c>
      <c r="H42" s="5" t="n"/>
      <c r="I42" s="5">
        <f>IF(OR(A42="",H42=""),"",IFERROR(G42/H42,0))</f>
        <v/>
      </c>
      <c r="J42" s="6">
        <f>IF(A42="","",IFERROR(G42/SUM($G$6:$G$115),0))</f>
        <v/>
      </c>
    </row>
    <row r="43">
      <c r="A43" s="7" t="n"/>
      <c r="B43" s="8" t="n"/>
      <c r="C43" s="8" t="n"/>
      <c r="D43" s="8" t="n"/>
      <c r="E43" s="8" t="n"/>
      <c r="F43" s="8" t="n"/>
      <c r="G43" s="8">
        <f>IF(A43="","",SUM(B43:F43))</f>
        <v/>
      </c>
      <c r="H43" s="8" t="n"/>
      <c r="I43" s="8">
        <f>IF(OR(A43="",H43=""),"",IFERROR(G43/H43,0))</f>
        <v/>
      </c>
      <c r="J43" s="9">
        <f>IF(A43="","",IFERROR(G43/SUM($G$6:$G$115),0))</f>
        <v/>
      </c>
    </row>
    <row r="44">
      <c r="A44" s="4" t="n"/>
      <c r="B44" s="5" t="n"/>
      <c r="C44" s="5" t="n"/>
      <c r="D44" s="5" t="n"/>
      <c r="E44" s="5" t="n"/>
      <c r="F44" s="5" t="n"/>
      <c r="G44" s="5">
        <f>IF(A44="","",SUM(B44:F44))</f>
        <v/>
      </c>
      <c r="H44" s="5" t="n"/>
      <c r="I44" s="5">
        <f>IF(OR(A44="",H44=""),"",IFERROR(G44/H44,0))</f>
        <v/>
      </c>
      <c r="J44" s="6">
        <f>IF(A44="","",IFERROR(G44/SUM($G$6:$G$115),0))</f>
        <v/>
      </c>
    </row>
    <row r="45">
      <c r="A45" s="7" t="n"/>
      <c r="B45" s="8" t="n"/>
      <c r="C45" s="8" t="n"/>
      <c r="D45" s="8" t="n"/>
      <c r="E45" s="8" t="n"/>
      <c r="F45" s="8" t="n"/>
      <c r="G45" s="8">
        <f>IF(A45="","",SUM(B45:F45))</f>
        <v/>
      </c>
      <c r="H45" s="8" t="n"/>
      <c r="I45" s="8">
        <f>IF(OR(A45="",H45=""),"",IFERROR(G45/H45,0))</f>
        <v/>
      </c>
      <c r="J45" s="9">
        <f>IF(A45="","",IFERROR(G45/SUM($G$6:$G$115),0))</f>
        <v/>
      </c>
    </row>
    <row r="46">
      <c r="A46" s="4" t="n"/>
      <c r="B46" s="5" t="n"/>
      <c r="C46" s="5" t="n"/>
      <c r="D46" s="5" t="n"/>
      <c r="E46" s="5" t="n"/>
      <c r="F46" s="5" t="n"/>
      <c r="G46" s="5">
        <f>IF(A46="","",SUM(B46:F46))</f>
        <v/>
      </c>
      <c r="H46" s="5" t="n"/>
      <c r="I46" s="5">
        <f>IF(OR(A46="",H46=""),"",IFERROR(G46/H46,0))</f>
        <v/>
      </c>
      <c r="J46" s="6">
        <f>IF(A46="","",IFERROR(G46/SUM($G$6:$G$115),0))</f>
        <v/>
      </c>
    </row>
    <row r="47">
      <c r="A47" s="7" t="n"/>
      <c r="B47" s="8" t="n"/>
      <c r="C47" s="8" t="n"/>
      <c r="D47" s="8" t="n"/>
      <c r="E47" s="8" t="n"/>
      <c r="F47" s="8" t="n"/>
      <c r="G47" s="8">
        <f>IF(A47="","",SUM(B47:F47))</f>
        <v/>
      </c>
      <c r="H47" s="8" t="n"/>
      <c r="I47" s="8">
        <f>IF(OR(A47="",H47=""),"",IFERROR(G47/H47,0))</f>
        <v/>
      </c>
      <c r="J47" s="9">
        <f>IF(A47="","",IFERROR(G47/SUM($G$6:$G$115),0))</f>
        <v/>
      </c>
    </row>
    <row r="48">
      <c r="A48" s="4" t="n"/>
      <c r="B48" s="5" t="n"/>
      <c r="C48" s="5" t="n"/>
      <c r="D48" s="5" t="n"/>
      <c r="E48" s="5" t="n"/>
      <c r="F48" s="5" t="n"/>
      <c r="G48" s="5">
        <f>IF(A48="","",SUM(B48:F48))</f>
        <v/>
      </c>
      <c r="H48" s="5" t="n"/>
      <c r="I48" s="5">
        <f>IF(OR(A48="",H48=""),"",IFERROR(G48/H48,0))</f>
        <v/>
      </c>
      <c r="J48" s="6">
        <f>IF(A48="","",IFERROR(G48/SUM($G$6:$G$115),0))</f>
        <v/>
      </c>
    </row>
    <row r="49">
      <c r="A49" s="7" t="n"/>
      <c r="B49" s="8" t="n"/>
      <c r="C49" s="8" t="n"/>
      <c r="D49" s="8" t="n"/>
      <c r="E49" s="8" t="n"/>
      <c r="F49" s="8" t="n"/>
      <c r="G49" s="8">
        <f>IF(A49="","",SUM(B49:F49))</f>
        <v/>
      </c>
      <c r="H49" s="8" t="n"/>
      <c r="I49" s="8">
        <f>IF(OR(A49="",H49=""),"",IFERROR(G49/H49,0))</f>
        <v/>
      </c>
      <c r="J49" s="9">
        <f>IF(A49="","",IFERROR(G49/SUM($G$6:$G$115),0))</f>
        <v/>
      </c>
    </row>
    <row r="50">
      <c r="A50" s="4" t="n"/>
      <c r="B50" s="5" t="n"/>
      <c r="C50" s="5" t="n"/>
      <c r="D50" s="5" t="n"/>
      <c r="E50" s="5" t="n"/>
      <c r="F50" s="5" t="n"/>
      <c r="G50" s="5">
        <f>IF(A50="","",SUM(B50:F50))</f>
        <v/>
      </c>
      <c r="H50" s="5" t="n"/>
      <c r="I50" s="5">
        <f>IF(OR(A50="",H50=""),"",IFERROR(G50/H50,0))</f>
        <v/>
      </c>
      <c r="J50" s="6">
        <f>IF(A50="","",IFERROR(G50/SUM($G$6:$G$115),0))</f>
        <v/>
      </c>
    </row>
    <row r="51">
      <c r="A51" s="7" t="n"/>
      <c r="B51" s="8" t="n"/>
      <c r="C51" s="8" t="n"/>
      <c r="D51" s="8" t="n"/>
      <c r="E51" s="8" t="n"/>
      <c r="F51" s="8" t="n"/>
      <c r="G51" s="8">
        <f>IF(A51="","",SUM(B51:F51))</f>
        <v/>
      </c>
      <c r="H51" s="8" t="n"/>
      <c r="I51" s="8">
        <f>IF(OR(A51="",H51=""),"",IFERROR(G51/H51,0))</f>
        <v/>
      </c>
      <c r="J51" s="9">
        <f>IF(A51="","",IFERROR(G51/SUM($G$6:$G$115),0))</f>
        <v/>
      </c>
    </row>
    <row r="52">
      <c r="A52" s="4" t="n"/>
      <c r="B52" s="5" t="n"/>
      <c r="C52" s="5" t="n"/>
      <c r="D52" s="5" t="n"/>
      <c r="E52" s="5" t="n"/>
      <c r="F52" s="5" t="n"/>
      <c r="G52" s="5">
        <f>IF(A52="","",SUM(B52:F52))</f>
        <v/>
      </c>
      <c r="H52" s="5" t="n"/>
      <c r="I52" s="5">
        <f>IF(OR(A52="",H52=""),"",IFERROR(G52/H52,0))</f>
        <v/>
      </c>
      <c r="J52" s="6">
        <f>IF(A52="","",IFERROR(G52/SUM($G$6:$G$115),0))</f>
        <v/>
      </c>
    </row>
    <row r="53">
      <c r="A53" s="7" t="n"/>
      <c r="B53" s="8" t="n"/>
      <c r="C53" s="8" t="n"/>
      <c r="D53" s="8" t="n"/>
      <c r="E53" s="8" t="n"/>
      <c r="F53" s="8" t="n"/>
      <c r="G53" s="8">
        <f>IF(A53="","",SUM(B53:F53))</f>
        <v/>
      </c>
      <c r="H53" s="8" t="n"/>
      <c r="I53" s="8">
        <f>IF(OR(A53="",H53=""),"",IFERROR(G53/H53,0))</f>
        <v/>
      </c>
      <c r="J53" s="9">
        <f>IF(A53="","",IFERROR(G53/SUM($G$6:$G$115),0))</f>
        <v/>
      </c>
    </row>
    <row r="54">
      <c r="A54" s="4" t="n"/>
      <c r="B54" s="5" t="n"/>
      <c r="C54" s="5" t="n"/>
      <c r="D54" s="5" t="n"/>
      <c r="E54" s="5" t="n"/>
      <c r="F54" s="5" t="n"/>
      <c r="G54" s="5">
        <f>IF(A54="","",SUM(B54:F54))</f>
        <v/>
      </c>
      <c r="H54" s="5" t="n"/>
      <c r="I54" s="5">
        <f>IF(OR(A54="",H54=""),"",IFERROR(G54/H54,0))</f>
        <v/>
      </c>
      <c r="J54" s="6">
        <f>IF(A54="","",IFERROR(G54/SUM($G$6:$G$115),0))</f>
        <v/>
      </c>
    </row>
    <row r="55">
      <c r="A55" s="7" t="n"/>
      <c r="B55" s="8" t="n"/>
      <c r="C55" s="8" t="n"/>
      <c r="D55" s="8" t="n"/>
      <c r="E55" s="8" t="n"/>
      <c r="F55" s="8" t="n"/>
      <c r="G55" s="8">
        <f>IF(A55="","",SUM(B55:F55))</f>
        <v/>
      </c>
      <c r="H55" s="8" t="n"/>
      <c r="I55" s="8">
        <f>IF(OR(A55="",H55=""),"",IFERROR(G55/H55,0))</f>
        <v/>
      </c>
      <c r="J55" s="9">
        <f>IF(A55="","",IFERROR(G55/SUM($G$6:$G$115),0))</f>
        <v/>
      </c>
    </row>
    <row r="56">
      <c r="A56" s="4" t="n"/>
      <c r="B56" s="5" t="n"/>
      <c r="C56" s="5" t="n"/>
      <c r="D56" s="5" t="n"/>
      <c r="E56" s="5" t="n"/>
      <c r="F56" s="5" t="n"/>
      <c r="G56" s="5">
        <f>IF(A56="","",SUM(B56:F56))</f>
        <v/>
      </c>
      <c r="H56" s="5" t="n"/>
      <c r="I56" s="5">
        <f>IF(OR(A56="",H56=""),"",IFERROR(G56/H56,0))</f>
        <v/>
      </c>
      <c r="J56" s="6">
        <f>IF(A56="","",IFERROR(G56/SUM($G$6:$G$115),0))</f>
        <v/>
      </c>
    </row>
    <row r="57">
      <c r="A57" s="7" t="n"/>
      <c r="B57" s="8" t="n"/>
      <c r="C57" s="8" t="n"/>
      <c r="D57" s="8" t="n"/>
      <c r="E57" s="8" t="n"/>
      <c r="F57" s="8" t="n"/>
      <c r="G57" s="8">
        <f>IF(A57="","",SUM(B57:F57))</f>
        <v/>
      </c>
      <c r="H57" s="8" t="n"/>
      <c r="I57" s="8">
        <f>IF(OR(A57="",H57=""),"",IFERROR(G57/H57,0))</f>
        <v/>
      </c>
      <c r="J57" s="9">
        <f>IF(A57="","",IFERROR(G57/SUM($G$6:$G$115),0))</f>
        <v/>
      </c>
    </row>
    <row r="58">
      <c r="A58" s="4" t="n"/>
      <c r="B58" s="5" t="n"/>
      <c r="C58" s="5" t="n"/>
      <c r="D58" s="5" t="n"/>
      <c r="E58" s="5" t="n"/>
      <c r="F58" s="5" t="n"/>
      <c r="G58" s="5">
        <f>IF(A58="","",SUM(B58:F58))</f>
        <v/>
      </c>
      <c r="H58" s="5" t="n"/>
      <c r="I58" s="5">
        <f>IF(OR(A58="",H58=""),"",IFERROR(G58/H58,0))</f>
        <v/>
      </c>
      <c r="J58" s="6">
        <f>IF(A58="","",IFERROR(G58/SUM($G$6:$G$115),0))</f>
        <v/>
      </c>
    </row>
    <row r="59">
      <c r="A59" s="7" t="n"/>
      <c r="B59" s="8" t="n"/>
      <c r="C59" s="8" t="n"/>
      <c r="D59" s="8" t="n"/>
      <c r="E59" s="8" t="n"/>
      <c r="F59" s="8" t="n"/>
      <c r="G59" s="8">
        <f>IF(A59="","",SUM(B59:F59))</f>
        <v/>
      </c>
      <c r="H59" s="8" t="n"/>
      <c r="I59" s="8">
        <f>IF(OR(A59="",H59=""),"",IFERROR(G59/H59,0))</f>
        <v/>
      </c>
      <c r="J59" s="9">
        <f>IF(A59="","",IFERROR(G59/SUM($G$6:$G$115),0))</f>
        <v/>
      </c>
    </row>
    <row r="60">
      <c r="A60" s="4" t="n"/>
      <c r="B60" s="5" t="n"/>
      <c r="C60" s="5" t="n"/>
      <c r="D60" s="5" t="n"/>
      <c r="E60" s="5" t="n"/>
      <c r="F60" s="5" t="n"/>
      <c r="G60" s="5">
        <f>IF(A60="","",SUM(B60:F60))</f>
        <v/>
      </c>
      <c r="H60" s="5" t="n"/>
      <c r="I60" s="5">
        <f>IF(OR(A60="",H60=""),"",IFERROR(G60/H60,0))</f>
        <v/>
      </c>
      <c r="J60" s="6">
        <f>IF(A60="","",IFERROR(G60/SUM($G$6:$G$115),0))</f>
        <v/>
      </c>
    </row>
    <row r="61">
      <c r="A61" s="7" t="n"/>
      <c r="B61" s="8" t="n"/>
      <c r="C61" s="8" t="n"/>
      <c r="D61" s="8" t="n"/>
      <c r="E61" s="8" t="n"/>
      <c r="F61" s="8" t="n"/>
      <c r="G61" s="8">
        <f>IF(A61="","",SUM(B61:F61))</f>
        <v/>
      </c>
      <c r="H61" s="8" t="n"/>
      <c r="I61" s="8">
        <f>IF(OR(A61="",H61=""),"",IFERROR(G61/H61,0))</f>
        <v/>
      </c>
      <c r="J61" s="9">
        <f>IF(A61="","",IFERROR(G61/SUM($G$6:$G$115),0))</f>
        <v/>
      </c>
    </row>
    <row r="62">
      <c r="A62" s="4" t="n"/>
      <c r="B62" s="5" t="n"/>
      <c r="C62" s="5" t="n"/>
      <c r="D62" s="5" t="n"/>
      <c r="E62" s="5" t="n"/>
      <c r="F62" s="5" t="n"/>
      <c r="G62" s="5">
        <f>IF(A62="","",SUM(B62:F62))</f>
        <v/>
      </c>
      <c r="H62" s="5" t="n"/>
      <c r="I62" s="5">
        <f>IF(OR(A62="",H62=""),"",IFERROR(G62/H62,0))</f>
        <v/>
      </c>
      <c r="J62" s="6">
        <f>IF(A62="","",IFERROR(G62/SUM($G$6:$G$115),0))</f>
        <v/>
      </c>
    </row>
    <row r="63">
      <c r="A63" s="7" t="n"/>
      <c r="B63" s="8" t="n"/>
      <c r="C63" s="8" t="n"/>
      <c r="D63" s="8" t="n"/>
      <c r="E63" s="8" t="n"/>
      <c r="F63" s="8" t="n"/>
      <c r="G63" s="8">
        <f>IF(A63="","",SUM(B63:F63))</f>
        <v/>
      </c>
      <c r="H63" s="8" t="n"/>
      <c r="I63" s="8">
        <f>IF(OR(A63="",H63=""),"",IFERROR(G63/H63,0))</f>
        <v/>
      </c>
      <c r="J63" s="9">
        <f>IF(A63="","",IFERROR(G63/SUM($G$6:$G$115),0))</f>
        <v/>
      </c>
    </row>
    <row r="64">
      <c r="A64" s="4" t="n"/>
      <c r="B64" s="5" t="n"/>
      <c r="C64" s="5" t="n"/>
      <c r="D64" s="5" t="n"/>
      <c r="E64" s="5" t="n"/>
      <c r="F64" s="5" t="n"/>
      <c r="G64" s="5">
        <f>IF(A64="","",SUM(B64:F64))</f>
        <v/>
      </c>
      <c r="H64" s="5" t="n"/>
      <c r="I64" s="5">
        <f>IF(OR(A64="",H64=""),"",IFERROR(G64/H64,0))</f>
        <v/>
      </c>
      <c r="J64" s="6">
        <f>IF(A64="","",IFERROR(G64/SUM($G$6:$G$115),0))</f>
        <v/>
      </c>
    </row>
    <row r="65">
      <c r="A65" s="7" t="n"/>
      <c r="B65" s="8" t="n"/>
      <c r="C65" s="8" t="n"/>
      <c r="D65" s="8" t="n"/>
      <c r="E65" s="8" t="n"/>
      <c r="F65" s="8" t="n"/>
      <c r="G65" s="8">
        <f>IF(A65="","",SUM(B65:F65))</f>
        <v/>
      </c>
      <c r="H65" s="8" t="n"/>
      <c r="I65" s="8">
        <f>IF(OR(A65="",H65=""),"",IFERROR(G65/H65,0))</f>
        <v/>
      </c>
      <c r="J65" s="9">
        <f>IF(A65="","",IFERROR(G65/SUM($G$6:$G$115),0))</f>
        <v/>
      </c>
    </row>
    <row r="66">
      <c r="A66" s="4" t="n"/>
      <c r="B66" s="5" t="n"/>
      <c r="C66" s="5" t="n"/>
      <c r="D66" s="5" t="n"/>
      <c r="E66" s="5" t="n"/>
      <c r="F66" s="5" t="n"/>
      <c r="G66" s="5">
        <f>IF(A66="","",SUM(B66:F66))</f>
        <v/>
      </c>
      <c r="H66" s="5" t="n"/>
      <c r="I66" s="5">
        <f>IF(OR(A66="",H66=""),"",IFERROR(G66/H66,0))</f>
        <v/>
      </c>
      <c r="J66" s="6">
        <f>IF(A66="","",IFERROR(G66/SUM($G$6:$G$115),0))</f>
        <v/>
      </c>
    </row>
    <row r="67">
      <c r="A67" s="7" t="n"/>
      <c r="B67" s="8" t="n"/>
      <c r="C67" s="8" t="n"/>
      <c r="D67" s="8" t="n"/>
      <c r="E67" s="8" t="n"/>
      <c r="F67" s="8" t="n"/>
      <c r="G67" s="8">
        <f>IF(A67="","",SUM(B67:F67))</f>
        <v/>
      </c>
      <c r="H67" s="8" t="n"/>
      <c r="I67" s="8">
        <f>IF(OR(A67="",H67=""),"",IFERROR(G67/H67,0))</f>
        <v/>
      </c>
      <c r="J67" s="9">
        <f>IF(A67="","",IFERROR(G67/SUM($G$6:$G$115),0))</f>
        <v/>
      </c>
    </row>
    <row r="68">
      <c r="A68" s="4" t="n"/>
      <c r="B68" s="5" t="n"/>
      <c r="C68" s="5" t="n"/>
      <c r="D68" s="5" t="n"/>
      <c r="E68" s="5" t="n"/>
      <c r="F68" s="5" t="n"/>
      <c r="G68" s="5">
        <f>IF(A68="","",SUM(B68:F68))</f>
        <v/>
      </c>
      <c r="H68" s="5" t="n"/>
      <c r="I68" s="5">
        <f>IF(OR(A68="",H68=""),"",IFERROR(G68/H68,0))</f>
        <v/>
      </c>
      <c r="J68" s="6">
        <f>IF(A68="","",IFERROR(G68/SUM($G$6:$G$115),0))</f>
        <v/>
      </c>
    </row>
    <row r="69">
      <c r="A69" s="7" t="n"/>
      <c r="B69" s="8" t="n"/>
      <c r="C69" s="8" t="n"/>
      <c r="D69" s="8" t="n"/>
      <c r="E69" s="8" t="n"/>
      <c r="F69" s="8" t="n"/>
      <c r="G69" s="8">
        <f>IF(A69="","",SUM(B69:F69))</f>
        <v/>
      </c>
      <c r="H69" s="8" t="n"/>
      <c r="I69" s="8">
        <f>IF(OR(A69="",H69=""),"",IFERROR(G69/H69,0))</f>
        <v/>
      </c>
      <c r="J69" s="9">
        <f>IF(A69="","",IFERROR(G69/SUM($G$6:$G$115),0))</f>
        <v/>
      </c>
    </row>
    <row r="70">
      <c r="A70" s="4" t="n"/>
      <c r="B70" s="5" t="n"/>
      <c r="C70" s="5" t="n"/>
      <c r="D70" s="5" t="n"/>
      <c r="E70" s="5" t="n"/>
      <c r="F70" s="5" t="n"/>
      <c r="G70" s="5">
        <f>IF(A70="","",SUM(B70:F70))</f>
        <v/>
      </c>
      <c r="H70" s="5" t="n"/>
      <c r="I70" s="5">
        <f>IF(OR(A70="",H70=""),"",IFERROR(G70/H70,0))</f>
        <v/>
      </c>
      <c r="J70" s="6">
        <f>IF(A70="","",IFERROR(G70/SUM($G$6:$G$115),0))</f>
        <v/>
      </c>
    </row>
    <row r="71">
      <c r="A71" s="7" t="n"/>
      <c r="B71" s="8" t="n"/>
      <c r="C71" s="8" t="n"/>
      <c r="D71" s="8" t="n"/>
      <c r="E71" s="8" t="n"/>
      <c r="F71" s="8" t="n"/>
      <c r="G71" s="8">
        <f>IF(A71="","",SUM(B71:F71))</f>
        <v/>
      </c>
      <c r="H71" s="8" t="n"/>
      <c r="I71" s="8">
        <f>IF(OR(A71="",H71=""),"",IFERROR(G71/H71,0))</f>
        <v/>
      </c>
      <c r="J71" s="9">
        <f>IF(A71="","",IFERROR(G71/SUM($G$6:$G$115),0))</f>
        <v/>
      </c>
    </row>
    <row r="72">
      <c r="A72" s="4" t="n"/>
      <c r="B72" s="5" t="n"/>
      <c r="C72" s="5" t="n"/>
      <c r="D72" s="5" t="n"/>
      <c r="E72" s="5" t="n"/>
      <c r="F72" s="5" t="n"/>
      <c r="G72" s="5">
        <f>IF(A72="","",SUM(B72:F72))</f>
        <v/>
      </c>
      <c r="H72" s="5" t="n"/>
      <c r="I72" s="5">
        <f>IF(OR(A72="",H72=""),"",IFERROR(G72/H72,0))</f>
        <v/>
      </c>
      <c r="J72" s="6">
        <f>IF(A72="","",IFERROR(G72/SUM($G$6:$G$115),0))</f>
        <v/>
      </c>
    </row>
    <row r="73">
      <c r="A73" s="7" t="n"/>
      <c r="B73" s="8" t="n"/>
      <c r="C73" s="8" t="n"/>
      <c r="D73" s="8" t="n"/>
      <c r="E73" s="8" t="n"/>
      <c r="F73" s="8" t="n"/>
      <c r="G73" s="8">
        <f>IF(A73="","",SUM(B73:F73))</f>
        <v/>
      </c>
      <c r="H73" s="8" t="n"/>
      <c r="I73" s="8">
        <f>IF(OR(A73="",H73=""),"",IFERROR(G73/H73,0))</f>
        <v/>
      </c>
      <c r="J73" s="9">
        <f>IF(A73="","",IFERROR(G73/SUM($G$6:$G$115),0))</f>
        <v/>
      </c>
    </row>
    <row r="74">
      <c r="A74" s="4" t="n"/>
      <c r="B74" s="5" t="n"/>
      <c r="C74" s="5" t="n"/>
      <c r="D74" s="5" t="n"/>
      <c r="E74" s="5" t="n"/>
      <c r="F74" s="5" t="n"/>
      <c r="G74" s="5">
        <f>IF(A74="","",SUM(B74:F74))</f>
        <v/>
      </c>
      <c r="H74" s="5" t="n"/>
      <c r="I74" s="5">
        <f>IF(OR(A74="",H74=""),"",IFERROR(G74/H74,0))</f>
        <v/>
      </c>
      <c r="J74" s="6">
        <f>IF(A74="","",IFERROR(G74/SUM($G$6:$G$115),0))</f>
        <v/>
      </c>
    </row>
    <row r="75">
      <c r="A75" s="7" t="n"/>
      <c r="B75" s="8" t="n"/>
      <c r="C75" s="8" t="n"/>
      <c r="D75" s="8" t="n"/>
      <c r="E75" s="8" t="n"/>
      <c r="F75" s="8" t="n"/>
      <c r="G75" s="8">
        <f>IF(A75="","",SUM(B75:F75))</f>
        <v/>
      </c>
      <c r="H75" s="8" t="n"/>
      <c r="I75" s="8">
        <f>IF(OR(A75="",H75=""),"",IFERROR(G75/H75,0))</f>
        <v/>
      </c>
      <c r="J75" s="9">
        <f>IF(A75="","",IFERROR(G75/SUM($G$6:$G$115),0))</f>
        <v/>
      </c>
    </row>
    <row r="76">
      <c r="A76" s="4" t="n"/>
      <c r="B76" s="5" t="n"/>
      <c r="C76" s="5" t="n"/>
      <c r="D76" s="5" t="n"/>
      <c r="E76" s="5" t="n"/>
      <c r="F76" s="5" t="n"/>
      <c r="G76" s="5">
        <f>IF(A76="","",SUM(B76:F76))</f>
        <v/>
      </c>
      <c r="H76" s="5" t="n"/>
      <c r="I76" s="5">
        <f>IF(OR(A76="",H76=""),"",IFERROR(G76/H76,0))</f>
        <v/>
      </c>
      <c r="J76" s="6">
        <f>IF(A76="","",IFERROR(G76/SUM($G$6:$G$115),0))</f>
        <v/>
      </c>
    </row>
    <row r="77">
      <c r="A77" s="7" t="n"/>
      <c r="B77" s="8" t="n"/>
      <c r="C77" s="8" t="n"/>
      <c r="D77" s="8" t="n"/>
      <c r="E77" s="8" t="n"/>
      <c r="F77" s="8" t="n"/>
      <c r="G77" s="8">
        <f>IF(A77="","",SUM(B77:F77))</f>
        <v/>
      </c>
      <c r="H77" s="8" t="n"/>
      <c r="I77" s="8">
        <f>IF(OR(A77="",H77=""),"",IFERROR(G77/H77,0))</f>
        <v/>
      </c>
      <c r="J77" s="9">
        <f>IF(A77="","",IFERROR(G77/SUM($G$6:$G$115),0))</f>
        <v/>
      </c>
    </row>
    <row r="78">
      <c r="A78" s="4" t="n"/>
      <c r="B78" s="5" t="n"/>
      <c r="C78" s="5" t="n"/>
      <c r="D78" s="5" t="n"/>
      <c r="E78" s="5" t="n"/>
      <c r="F78" s="5" t="n"/>
      <c r="G78" s="5">
        <f>IF(A78="","",SUM(B78:F78))</f>
        <v/>
      </c>
      <c r="H78" s="5" t="n"/>
      <c r="I78" s="5">
        <f>IF(OR(A78="",H78=""),"",IFERROR(G78/H78,0))</f>
        <v/>
      </c>
      <c r="J78" s="6">
        <f>IF(A78="","",IFERROR(G78/SUM($G$6:$G$115),0))</f>
        <v/>
      </c>
    </row>
    <row r="79">
      <c r="A79" s="7" t="n"/>
      <c r="B79" s="8" t="n"/>
      <c r="C79" s="8" t="n"/>
      <c r="D79" s="8" t="n"/>
      <c r="E79" s="8" t="n"/>
      <c r="F79" s="8" t="n"/>
      <c r="G79" s="8">
        <f>IF(A79="","",SUM(B79:F79))</f>
        <v/>
      </c>
      <c r="H79" s="8" t="n"/>
      <c r="I79" s="8">
        <f>IF(OR(A79="",H79=""),"",IFERROR(G79/H79,0))</f>
        <v/>
      </c>
      <c r="J79" s="9">
        <f>IF(A79="","",IFERROR(G79/SUM($G$6:$G$115),0))</f>
        <v/>
      </c>
    </row>
    <row r="80">
      <c r="A80" s="4" t="n"/>
      <c r="B80" s="5" t="n"/>
      <c r="C80" s="5" t="n"/>
      <c r="D80" s="5" t="n"/>
      <c r="E80" s="5" t="n"/>
      <c r="F80" s="5" t="n"/>
      <c r="G80" s="5">
        <f>IF(A80="","",SUM(B80:F80))</f>
        <v/>
      </c>
      <c r="H80" s="5" t="n"/>
      <c r="I80" s="5">
        <f>IF(OR(A80="",H80=""),"",IFERROR(G80/H80,0))</f>
        <v/>
      </c>
      <c r="J80" s="6">
        <f>IF(A80="","",IFERROR(G80/SUM($G$6:$G$115),0))</f>
        <v/>
      </c>
    </row>
    <row r="81">
      <c r="A81" s="7" t="n"/>
      <c r="B81" s="8" t="n"/>
      <c r="C81" s="8" t="n"/>
      <c r="D81" s="8" t="n"/>
      <c r="E81" s="8" t="n"/>
      <c r="F81" s="8" t="n"/>
      <c r="G81" s="8">
        <f>IF(A81="","",SUM(B81:F81))</f>
        <v/>
      </c>
      <c r="H81" s="8" t="n"/>
      <c r="I81" s="8">
        <f>IF(OR(A81="",H81=""),"",IFERROR(G81/H81,0))</f>
        <v/>
      </c>
      <c r="J81" s="9">
        <f>IF(A81="","",IFERROR(G81/SUM($G$6:$G$115),0))</f>
        <v/>
      </c>
    </row>
    <row r="82">
      <c r="A82" s="4" t="n"/>
      <c r="B82" s="5" t="n"/>
      <c r="C82" s="5" t="n"/>
      <c r="D82" s="5" t="n"/>
      <c r="E82" s="5" t="n"/>
      <c r="F82" s="5" t="n"/>
      <c r="G82" s="5">
        <f>IF(A82="","",SUM(B82:F82))</f>
        <v/>
      </c>
      <c r="H82" s="5" t="n"/>
      <c r="I82" s="5">
        <f>IF(OR(A82="",H82=""),"",IFERROR(G82/H82,0))</f>
        <v/>
      </c>
      <c r="J82" s="6">
        <f>IF(A82="","",IFERROR(G82/SUM($G$6:$G$115),0))</f>
        <v/>
      </c>
    </row>
    <row r="83">
      <c r="A83" s="7" t="n"/>
      <c r="B83" s="8" t="n"/>
      <c r="C83" s="8" t="n"/>
      <c r="D83" s="8" t="n"/>
      <c r="E83" s="8" t="n"/>
      <c r="F83" s="8" t="n"/>
      <c r="G83" s="8">
        <f>IF(A83="","",SUM(B83:F83))</f>
        <v/>
      </c>
      <c r="H83" s="8" t="n"/>
      <c r="I83" s="8">
        <f>IF(OR(A83="",H83=""),"",IFERROR(G83/H83,0))</f>
        <v/>
      </c>
      <c r="J83" s="9">
        <f>IF(A83="","",IFERROR(G83/SUM($G$6:$G$115),0))</f>
        <v/>
      </c>
    </row>
    <row r="84">
      <c r="A84" s="4" t="n"/>
      <c r="B84" s="5" t="n"/>
      <c r="C84" s="5" t="n"/>
      <c r="D84" s="5" t="n"/>
      <c r="E84" s="5" t="n"/>
      <c r="F84" s="5" t="n"/>
      <c r="G84" s="5">
        <f>IF(A84="","",SUM(B84:F84))</f>
        <v/>
      </c>
      <c r="H84" s="5" t="n"/>
      <c r="I84" s="5">
        <f>IF(OR(A84="",H84=""),"",IFERROR(G84/H84,0))</f>
        <v/>
      </c>
      <c r="J84" s="6">
        <f>IF(A84="","",IFERROR(G84/SUM($G$6:$G$115),0))</f>
        <v/>
      </c>
    </row>
    <row r="85">
      <c r="A85" s="7" t="n"/>
      <c r="B85" s="8" t="n"/>
      <c r="C85" s="8" t="n"/>
      <c r="D85" s="8" t="n"/>
      <c r="E85" s="8" t="n"/>
      <c r="F85" s="8" t="n"/>
      <c r="G85" s="8">
        <f>IF(A85="","",SUM(B85:F85))</f>
        <v/>
      </c>
      <c r="H85" s="8" t="n"/>
      <c r="I85" s="8">
        <f>IF(OR(A85="",H85=""),"",IFERROR(G85/H85,0))</f>
        <v/>
      </c>
      <c r="J85" s="9">
        <f>IF(A85="","",IFERROR(G85/SUM($G$6:$G$115),0))</f>
        <v/>
      </c>
    </row>
    <row r="86">
      <c r="A86" s="4" t="n"/>
      <c r="B86" s="5" t="n"/>
      <c r="C86" s="5" t="n"/>
      <c r="D86" s="5" t="n"/>
      <c r="E86" s="5" t="n"/>
      <c r="F86" s="5" t="n"/>
      <c r="G86" s="5">
        <f>IF(A86="","",SUM(B86:F86))</f>
        <v/>
      </c>
      <c r="H86" s="5" t="n"/>
      <c r="I86" s="5">
        <f>IF(OR(A86="",H86=""),"",IFERROR(G86/H86,0))</f>
        <v/>
      </c>
      <c r="J86" s="6">
        <f>IF(A86="","",IFERROR(G86/SUM($G$6:$G$115),0))</f>
        <v/>
      </c>
    </row>
    <row r="87">
      <c r="A87" s="7" t="n"/>
      <c r="B87" s="8" t="n"/>
      <c r="C87" s="8" t="n"/>
      <c r="D87" s="8" t="n"/>
      <c r="E87" s="8" t="n"/>
      <c r="F87" s="8" t="n"/>
      <c r="G87" s="8">
        <f>IF(A87="","",SUM(B87:F87))</f>
        <v/>
      </c>
      <c r="H87" s="8" t="n"/>
      <c r="I87" s="8">
        <f>IF(OR(A87="",H87=""),"",IFERROR(G87/H87,0))</f>
        <v/>
      </c>
      <c r="J87" s="9">
        <f>IF(A87="","",IFERROR(G87/SUM($G$6:$G$115),0))</f>
        <v/>
      </c>
    </row>
    <row r="88">
      <c r="A88" s="4" t="n"/>
      <c r="B88" s="5" t="n"/>
      <c r="C88" s="5" t="n"/>
      <c r="D88" s="5" t="n"/>
      <c r="E88" s="5" t="n"/>
      <c r="F88" s="5" t="n"/>
      <c r="G88" s="5">
        <f>IF(A88="","",SUM(B88:F88))</f>
        <v/>
      </c>
      <c r="H88" s="5" t="n"/>
      <c r="I88" s="5">
        <f>IF(OR(A88="",H88=""),"",IFERROR(G88/H88,0))</f>
        <v/>
      </c>
      <c r="J88" s="6">
        <f>IF(A88="","",IFERROR(G88/SUM($G$6:$G$115),0))</f>
        <v/>
      </c>
    </row>
    <row r="89">
      <c r="A89" s="7" t="n"/>
      <c r="B89" s="8" t="n"/>
      <c r="C89" s="8" t="n"/>
      <c r="D89" s="8" t="n"/>
      <c r="E89" s="8" t="n"/>
      <c r="F89" s="8" t="n"/>
      <c r="G89" s="8">
        <f>IF(A89="","",SUM(B89:F89))</f>
        <v/>
      </c>
      <c r="H89" s="8" t="n"/>
      <c r="I89" s="8">
        <f>IF(OR(A89="",H89=""),"",IFERROR(G89/H89,0))</f>
        <v/>
      </c>
      <c r="J89" s="9">
        <f>IF(A89="","",IFERROR(G89/SUM($G$6:$G$115),0))</f>
        <v/>
      </c>
    </row>
    <row r="90">
      <c r="A90" s="4" t="n"/>
      <c r="B90" s="5" t="n"/>
      <c r="C90" s="5" t="n"/>
      <c r="D90" s="5" t="n"/>
      <c r="E90" s="5" t="n"/>
      <c r="F90" s="5" t="n"/>
      <c r="G90" s="5">
        <f>IF(A90="","",SUM(B90:F90))</f>
        <v/>
      </c>
      <c r="H90" s="5" t="n"/>
      <c r="I90" s="5">
        <f>IF(OR(A90="",H90=""),"",IFERROR(G90/H90,0))</f>
        <v/>
      </c>
      <c r="J90" s="6">
        <f>IF(A90="","",IFERROR(G90/SUM($G$6:$G$115),0))</f>
        <v/>
      </c>
    </row>
    <row r="91">
      <c r="A91" s="7" t="n"/>
      <c r="B91" s="8" t="n"/>
      <c r="C91" s="8" t="n"/>
      <c r="D91" s="8" t="n"/>
      <c r="E91" s="8" t="n"/>
      <c r="F91" s="8" t="n"/>
      <c r="G91" s="8">
        <f>IF(A91="","",SUM(B91:F91))</f>
        <v/>
      </c>
      <c r="H91" s="8" t="n"/>
      <c r="I91" s="8">
        <f>IF(OR(A91="",H91=""),"",IFERROR(G91/H91,0))</f>
        <v/>
      </c>
      <c r="J91" s="9">
        <f>IF(A91="","",IFERROR(G91/SUM($G$6:$G$115),0))</f>
        <v/>
      </c>
    </row>
    <row r="92">
      <c r="A92" s="4" t="n"/>
      <c r="B92" s="5" t="n"/>
      <c r="C92" s="5" t="n"/>
      <c r="D92" s="5" t="n"/>
      <c r="E92" s="5" t="n"/>
      <c r="F92" s="5" t="n"/>
      <c r="G92" s="5">
        <f>IF(A92="","",SUM(B92:F92))</f>
        <v/>
      </c>
      <c r="H92" s="5" t="n"/>
      <c r="I92" s="5">
        <f>IF(OR(A92="",H92=""),"",IFERROR(G92/H92,0))</f>
        <v/>
      </c>
      <c r="J92" s="6">
        <f>IF(A92="","",IFERROR(G92/SUM($G$6:$G$115),0))</f>
        <v/>
      </c>
    </row>
    <row r="93">
      <c r="A93" s="7" t="n"/>
      <c r="B93" s="8" t="n"/>
      <c r="C93" s="8" t="n"/>
      <c r="D93" s="8" t="n"/>
      <c r="E93" s="8" t="n"/>
      <c r="F93" s="8" t="n"/>
      <c r="G93" s="8">
        <f>IF(A93="","",SUM(B93:F93))</f>
        <v/>
      </c>
      <c r="H93" s="8" t="n"/>
      <c r="I93" s="8">
        <f>IF(OR(A93="",H93=""),"",IFERROR(G93/H93,0))</f>
        <v/>
      </c>
      <c r="J93" s="9">
        <f>IF(A93="","",IFERROR(G93/SUM($G$6:$G$115),0))</f>
        <v/>
      </c>
    </row>
    <row r="94">
      <c r="A94" s="4" t="n"/>
      <c r="B94" s="5" t="n"/>
      <c r="C94" s="5" t="n"/>
      <c r="D94" s="5" t="n"/>
      <c r="E94" s="5" t="n"/>
      <c r="F94" s="5" t="n"/>
      <c r="G94" s="5">
        <f>IF(A94="","",SUM(B94:F94))</f>
        <v/>
      </c>
      <c r="H94" s="5" t="n"/>
      <c r="I94" s="5">
        <f>IF(OR(A94="",H94=""),"",IFERROR(G94/H94,0))</f>
        <v/>
      </c>
      <c r="J94" s="6">
        <f>IF(A94="","",IFERROR(G94/SUM($G$6:$G$115),0))</f>
        <v/>
      </c>
    </row>
    <row r="95">
      <c r="A95" s="7" t="n"/>
      <c r="B95" s="8" t="n"/>
      <c r="C95" s="8" t="n"/>
      <c r="D95" s="8" t="n"/>
      <c r="E95" s="8" t="n"/>
      <c r="F95" s="8" t="n"/>
      <c r="G95" s="8">
        <f>IF(A95="","",SUM(B95:F95))</f>
        <v/>
      </c>
      <c r="H95" s="8" t="n"/>
      <c r="I95" s="8">
        <f>IF(OR(A95="",H95=""),"",IFERROR(G95/H95,0))</f>
        <v/>
      </c>
      <c r="J95" s="9">
        <f>IF(A95="","",IFERROR(G95/SUM($G$6:$G$115),0))</f>
        <v/>
      </c>
    </row>
    <row r="96">
      <c r="A96" s="4" t="n"/>
      <c r="B96" s="5" t="n"/>
      <c r="C96" s="5" t="n"/>
      <c r="D96" s="5" t="n"/>
      <c r="E96" s="5" t="n"/>
      <c r="F96" s="5" t="n"/>
      <c r="G96" s="5">
        <f>IF(A96="","",SUM(B96:F96))</f>
        <v/>
      </c>
      <c r="H96" s="5" t="n"/>
      <c r="I96" s="5">
        <f>IF(OR(A96="",H96=""),"",IFERROR(G96/H96,0))</f>
        <v/>
      </c>
      <c r="J96" s="6">
        <f>IF(A96="","",IFERROR(G96/SUM($G$6:$G$115),0))</f>
        <v/>
      </c>
    </row>
    <row r="97">
      <c r="A97" s="7" t="n"/>
      <c r="B97" s="8" t="n"/>
      <c r="C97" s="8" t="n"/>
      <c r="D97" s="8" t="n"/>
      <c r="E97" s="8" t="n"/>
      <c r="F97" s="8" t="n"/>
      <c r="G97" s="8">
        <f>IF(A97="","",SUM(B97:F97))</f>
        <v/>
      </c>
      <c r="H97" s="8" t="n"/>
      <c r="I97" s="8">
        <f>IF(OR(A97="",H97=""),"",IFERROR(G97/H97,0))</f>
        <v/>
      </c>
      <c r="J97" s="9">
        <f>IF(A97="","",IFERROR(G97/SUM($G$6:$G$115),0))</f>
        <v/>
      </c>
    </row>
    <row r="98">
      <c r="A98" s="4" t="n"/>
      <c r="B98" s="5" t="n"/>
      <c r="C98" s="5" t="n"/>
      <c r="D98" s="5" t="n"/>
      <c r="E98" s="5" t="n"/>
      <c r="F98" s="5" t="n"/>
      <c r="G98" s="5">
        <f>IF(A98="","",SUM(B98:F98))</f>
        <v/>
      </c>
      <c r="H98" s="5" t="n"/>
      <c r="I98" s="5">
        <f>IF(OR(A98="",H98=""),"",IFERROR(G98/H98,0))</f>
        <v/>
      </c>
      <c r="J98" s="6">
        <f>IF(A98="","",IFERROR(G98/SUM($G$6:$G$115),0))</f>
        <v/>
      </c>
    </row>
    <row r="99">
      <c r="A99" s="7" t="n"/>
      <c r="B99" s="8" t="n"/>
      <c r="C99" s="8" t="n"/>
      <c r="D99" s="8" t="n"/>
      <c r="E99" s="8" t="n"/>
      <c r="F99" s="8" t="n"/>
      <c r="G99" s="8">
        <f>IF(A99="","",SUM(B99:F99))</f>
        <v/>
      </c>
      <c r="H99" s="8" t="n"/>
      <c r="I99" s="8">
        <f>IF(OR(A99="",H99=""),"",IFERROR(G99/H99,0))</f>
        <v/>
      </c>
      <c r="J99" s="9">
        <f>IF(A99="","",IFERROR(G99/SUM($G$6:$G$115),0))</f>
        <v/>
      </c>
    </row>
    <row r="100">
      <c r="A100" s="4" t="n"/>
      <c r="B100" s="5" t="n"/>
      <c r="C100" s="5" t="n"/>
      <c r="D100" s="5" t="n"/>
      <c r="E100" s="5" t="n"/>
      <c r="F100" s="5" t="n"/>
      <c r="G100" s="5">
        <f>IF(A100="","",SUM(B100:F100))</f>
        <v/>
      </c>
      <c r="H100" s="5" t="n"/>
      <c r="I100" s="5">
        <f>IF(OR(A100="",H100=""),"",IFERROR(G100/H100,0))</f>
        <v/>
      </c>
      <c r="J100" s="6">
        <f>IF(A100="","",IFERROR(G100/SUM($G$6:$G$115),0))</f>
        <v/>
      </c>
    </row>
    <row r="101">
      <c r="A101" s="7" t="n"/>
      <c r="B101" s="8" t="n"/>
      <c r="C101" s="8" t="n"/>
      <c r="D101" s="8" t="n"/>
      <c r="E101" s="8" t="n"/>
      <c r="F101" s="8" t="n"/>
      <c r="G101" s="8">
        <f>IF(A101="","",SUM(B101:F101))</f>
        <v/>
      </c>
      <c r="H101" s="8" t="n"/>
      <c r="I101" s="8">
        <f>IF(OR(A101="",H101=""),"",IFERROR(G101/H101,0))</f>
        <v/>
      </c>
      <c r="J101" s="9">
        <f>IF(A101="","",IFERROR(G101/SUM($G$6:$G$115),0))</f>
        <v/>
      </c>
    </row>
    <row r="102">
      <c r="A102" s="4" t="n"/>
      <c r="B102" s="5" t="n"/>
      <c r="C102" s="5" t="n"/>
      <c r="D102" s="5" t="n"/>
      <c r="E102" s="5" t="n"/>
      <c r="F102" s="5" t="n"/>
      <c r="G102" s="5">
        <f>IF(A102="","",SUM(B102:F102))</f>
        <v/>
      </c>
      <c r="H102" s="5" t="n"/>
      <c r="I102" s="5">
        <f>IF(OR(A102="",H102=""),"",IFERROR(G102/H102,0))</f>
        <v/>
      </c>
      <c r="J102" s="6">
        <f>IF(A102="","",IFERROR(G102/SUM($G$6:$G$115),0))</f>
        <v/>
      </c>
    </row>
    <row r="103">
      <c r="A103" s="7" t="n"/>
      <c r="B103" s="8" t="n"/>
      <c r="C103" s="8" t="n"/>
      <c r="D103" s="8" t="n"/>
      <c r="E103" s="8" t="n"/>
      <c r="F103" s="8" t="n"/>
      <c r="G103" s="8">
        <f>IF(A103="","",SUM(B103:F103))</f>
        <v/>
      </c>
      <c r="H103" s="8" t="n"/>
      <c r="I103" s="8">
        <f>IF(OR(A103="",H103=""),"",IFERROR(G103/H103,0))</f>
        <v/>
      </c>
      <c r="J103" s="9">
        <f>IF(A103="","",IFERROR(G103/SUM($G$6:$G$115),0))</f>
        <v/>
      </c>
    </row>
    <row r="104">
      <c r="A104" s="4" t="n"/>
      <c r="B104" s="5" t="n"/>
      <c r="C104" s="5" t="n"/>
      <c r="D104" s="5" t="n"/>
      <c r="E104" s="5" t="n"/>
      <c r="F104" s="5" t="n"/>
      <c r="G104" s="5">
        <f>IF(A104="","",SUM(B104:F104))</f>
        <v/>
      </c>
      <c r="H104" s="5" t="n"/>
      <c r="I104" s="5">
        <f>IF(OR(A104="",H104=""),"",IFERROR(G104/H104,0))</f>
        <v/>
      </c>
      <c r="J104" s="6">
        <f>IF(A104="","",IFERROR(G104/SUM($G$6:$G$115),0))</f>
        <v/>
      </c>
    </row>
    <row r="105">
      <c r="A105" s="7" t="n"/>
      <c r="B105" s="8" t="n"/>
      <c r="C105" s="8" t="n"/>
      <c r="D105" s="8" t="n"/>
      <c r="E105" s="8" t="n"/>
      <c r="F105" s="8" t="n"/>
      <c r="G105" s="8">
        <f>IF(A105="","",SUM(B105:F105))</f>
        <v/>
      </c>
      <c r="H105" s="8" t="n"/>
      <c r="I105" s="8">
        <f>IF(OR(A105="",H105=""),"",IFERROR(G105/H105,0))</f>
        <v/>
      </c>
      <c r="J105" s="9">
        <f>IF(A105="","",IFERROR(G105/SUM($G$6:$G$115),0))</f>
        <v/>
      </c>
    </row>
    <row r="106">
      <c r="A106" s="4" t="n"/>
      <c r="B106" s="5" t="n"/>
      <c r="C106" s="5" t="n"/>
      <c r="D106" s="5" t="n"/>
      <c r="E106" s="5" t="n"/>
      <c r="F106" s="5" t="n"/>
      <c r="G106" s="5">
        <f>IF(A106="","",SUM(B106:F106))</f>
        <v/>
      </c>
      <c r="H106" s="5" t="n"/>
      <c r="I106" s="5">
        <f>IF(OR(A106="",H106=""),"",IFERROR(G106/H106,0))</f>
        <v/>
      </c>
      <c r="J106" s="6">
        <f>IF(A106="","",IFERROR(G106/SUM($G$6:$G$115),0))</f>
        <v/>
      </c>
    </row>
    <row r="107">
      <c r="A107" s="7" t="n"/>
      <c r="B107" s="8" t="n"/>
      <c r="C107" s="8" t="n"/>
      <c r="D107" s="8" t="n"/>
      <c r="E107" s="8" t="n"/>
      <c r="F107" s="8" t="n"/>
      <c r="G107" s="8">
        <f>IF(A107="","",SUM(B107:F107))</f>
        <v/>
      </c>
      <c r="H107" s="8" t="n"/>
      <c r="I107" s="8">
        <f>IF(OR(A107="",H107=""),"",IFERROR(G107/H107,0))</f>
        <v/>
      </c>
      <c r="J107" s="9">
        <f>IF(A107="","",IFERROR(G107/SUM($G$6:$G$115),0))</f>
        <v/>
      </c>
    </row>
    <row r="108">
      <c r="A108" s="4" t="n"/>
      <c r="B108" s="5" t="n"/>
      <c r="C108" s="5" t="n"/>
      <c r="D108" s="5" t="n"/>
      <c r="E108" s="5" t="n"/>
      <c r="F108" s="5" t="n"/>
      <c r="G108" s="5">
        <f>IF(A108="","",SUM(B108:F108))</f>
        <v/>
      </c>
      <c r="H108" s="5" t="n"/>
      <c r="I108" s="5">
        <f>IF(OR(A108="",H108=""),"",IFERROR(G108/H108,0))</f>
        <v/>
      </c>
      <c r="J108" s="6">
        <f>IF(A108="","",IFERROR(G108/SUM($G$6:$G$115),0))</f>
        <v/>
      </c>
    </row>
    <row r="109">
      <c r="A109" s="7" t="n"/>
      <c r="B109" s="8" t="n"/>
      <c r="C109" s="8" t="n"/>
      <c r="D109" s="8" t="n"/>
      <c r="E109" s="8" t="n"/>
      <c r="F109" s="8" t="n"/>
      <c r="G109" s="8">
        <f>IF(A109="","",SUM(B109:F109))</f>
        <v/>
      </c>
      <c r="H109" s="8" t="n"/>
      <c r="I109" s="8">
        <f>IF(OR(A109="",H109=""),"",IFERROR(G109/H109,0))</f>
        <v/>
      </c>
      <c r="J109" s="9">
        <f>IF(A109="","",IFERROR(G109/SUM($G$6:$G$115),0))</f>
        <v/>
      </c>
    </row>
    <row r="110">
      <c r="A110" s="4" t="n"/>
      <c r="B110" s="5" t="n"/>
      <c r="C110" s="5" t="n"/>
      <c r="D110" s="5" t="n"/>
      <c r="E110" s="5" t="n"/>
      <c r="F110" s="5" t="n"/>
      <c r="G110" s="5">
        <f>IF(A110="","",SUM(B110:F110))</f>
        <v/>
      </c>
      <c r="H110" s="5" t="n"/>
      <c r="I110" s="5">
        <f>IF(OR(A110="",H110=""),"",IFERROR(G110/H110,0))</f>
        <v/>
      </c>
      <c r="J110" s="6">
        <f>IF(A110="","",IFERROR(G110/SUM($G$6:$G$115),0))</f>
        <v/>
      </c>
    </row>
    <row r="111">
      <c r="A111" s="7" t="n"/>
      <c r="B111" s="8" t="n"/>
      <c r="C111" s="8" t="n"/>
      <c r="D111" s="8" t="n"/>
      <c r="E111" s="8" t="n"/>
      <c r="F111" s="8" t="n"/>
      <c r="G111" s="8">
        <f>IF(A111="","",SUM(B111:F111))</f>
        <v/>
      </c>
      <c r="H111" s="8" t="n"/>
      <c r="I111" s="8">
        <f>IF(OR(A111="",H111=""),"",IFERROR(G111/H111,0))</f>
        <v/>
      </c>
      <c r="J111" s="9">
        <f>IF(A111="","",IFERROR(G111/SUM($G$6:$G$115),0))</f>
        <v/>
      </c>
    </row>
    <row r="112">
      <c r="A112" s="4" t="n"/>
      <c r="B112" s="5" t="n"/>
      <c r="C112" s="5" t="n"/>
      <c r="D112" s="5" t="n"/>
      <c r="E112" s="5" t="n"/>
      <c r="F112" s="5" t="n"/>
      <c r="G112" s="5">
        <f>IF(A112="","",SUM(B112:F112))</f>
        <v/>
      </c>
      <c r="H112" s="5" t="n"/>
      <c r="I112" s="5">
        <f>IF(OR(A112="",H112=""),"",IFERROR(G112/H112,0))</f>
        <v/>
      </c>
      <c r="J112" s="6">
        <f>IF(A112="","",IFERROR(G112/SUM($G$6:$G$115),0))</f>
        <v/>
      </c>
    </row>
    <row r="113">
      <c r="A113" s="7" t="n"/>
      <c r="B113" s="8" t="n"/>
      <c r="C113" s="8" t="n"/>
      <c r="D113" s="8" t="n"/>
      <c r="E113" s="8" t="n"/>
      <c r="F113" s="8" t="n"/>
      <c r="G113" s="8">
        <f>IF(A113="","",SUM(B113:F113))</f>
        <v/>
      </c>
      <c r="H113" s="8" t="n"/>
      <c r="I113" s="8">
        <f>IF(OR(A113="",H113=""),"",IFERROR(G113/H113,0))</f>
        <v/>
      </c>
      <c r="J113" s="9">
        <f>IF(A113="","",IFERROR(G113/SUM($G$6:$G$115),0))</f>
        <v/>
      </c>
    </row>
    <row r="114">
      <c r="A114" s="4" t="n"/>
      <c r="B114" s="5" t="n"/>
      <c r="C114" s="5" t="n"/>
      <c r="D114" s="5" t="n"/>
      <c r="E114" s="5" t="n"/>
      <c r="F114" s="5" t="n"/>
      <c r="G114" s="5">
        <f>IF(A114="","",SUM(B114:F114))</f>
        <v/>
      </c>
      <c r="H114" s="5" t="n"/>
      <c r="I114" s="5">
        <f>IF(OR(A114="",H114=""),"",IFERROR(G114/H114,0))</f>
        <v/>
      </c>
      <c r="J114" s="6">
        <f>IF(A114="","",IFERROR(G114/SUM($G$6:$G$115),0))</f>
        <v/>
      </c>
    </row>
    <row r="115">
      <c r="A115" s="7" t="n"/>
      <c r="B115" s="8" t="n"/>
      <c r="C115" s="8" t="n"/>
      <c r="D115" s="8" t="n"/>
      <c r="E115" s="8" t="n"/>
      <c r="F115" s="8" t="n"/>
      <c r="G115" s="8">
        <f>IF(A115="","",SUM(B115:F115))</f>
        <v/>
      </c>
      <c r="H115" s="8" t="n"/>
      <c r="I115" s="8">
        <f>IF(OR(A115="",H115=""),"",IFERROR(G115/H115,0))</f>
        <v/>
      </c>
      <c r="J115" s="9">
        <f>IF(A115="","",IFERROR(G115/SUM($G$6:$G$115),0))</f>
        <v/>
      </c>
    </row>
  </sheetData>
  <mergeCells count="2">
    <mergeCell ref="A3:P3"/>
    <mergeCell ref="A2:P2"/>
  </mergeCells>
  <dataValidations count="1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_Lists'!$B$6:$B$35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5D6A7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4" customWidth="1" min="4" max="4"/>
    <col width="24" customWidth="1" min="5" max="5"/>
    <col width="24" customWidth="1" min="6" max="6"/>
    <col width="22" customWidth="1" min="7" max="7"/>
    <col width="14" customWidth="1" min="8" max="8"/>
    <col width="32" customWidth="1" min="9" max="9"/>
  </cols>
  <sheetData>
    <row r="2" ht="25" customHeight="1">
      <c r="A2" s="1" t="inlineStr">
        <is>
          <t>DOMAINE 27 — 16-SIMULATIONS SCÉNARIOS SST</t>
        </is>
      </c>
    </row>
    <row r="3" ht="18" customHeight="1">
      <c r="A3" s="2" t="inlineStr">
        <is>
          <t>TABLEAU DYNAMIQUE — Modélisation d'impacts et scénarios prévention</t>
        </is>
      </c>
    </row>
    <row r="5">
      <c r="A5" s="3" t="inlineStr">
        <is>
          <t>Scénario</t>
        </is>
      </c>
      <c r="B5" s="3" t="inlineStr">
        <is>
          <t>Variable Modifiée</t>
        </is>
      </c>
      <c r="C5" s="3" t="inlineStr">
        <is>
          <t>Valeur Base</t>
        </is>
      </c>
      <c r="D5" s="3" t="inlineStr">
        <is>
          <t>Valeur Simulée</t>
        </is>
      </c>
      <c r="E5" s="3" t="inlineStr">
        <is>
          <t>Impact Coûts Accidents (FCFA)</t>
        </is>
      </c>
      <c r="F5" s="3" t="inlineStr">
        <is>
          <t>Impact Coûts Prévention (FCFA)</t>
        </is>
      </c>
      <c r="G5" s="3" t="inlineStr">
        <is>
          <t>Impact Coûts Total (FCFA)</t>
        </is>
      </c>
      <c r="H5" s="3" t="inlineStr">
        <is>
          <t>Économie/Perte</t>
        </is>
      </c>
      <c r="I5" s="3" t="inlineStr">
        <is>
          <t>Recommandation</t>
        </is>
      </c>
    </row>
    <row r="6">
      <c r="A6" s="4" t="inlineStr">
        <is>
          <t>Scénario A</t>
        </is>
      </c>
      <c r="B6" s="4" t="inlineStr">
        <is>
          <t>Renforcement EPI cuisine</t>
        </is>
      </c>
      <c r="C6" s="4" t="inlineStr">
        <is>
          <t>Budget EPI: 400000 FCFA/tri</t>
        </is>
      </c>
      <c r="D6" s="4" t="inlineStr">
        <is>
          <t>Budget EPI: 600000 FCFA/tri</t>
        </is>
      </c>
      <c r="E6" s="5" t="n">
        <v>-600000</v>
      </c>
      <c r="F6" s="5" t="n">
        <v>800000</v>
      </c>
      <c r="G6" s="5">
        <f>E6+F6</f>
        <v/>
      </c>
      <c r="H6" s="4">
        <f>IF(G6&lt;0,"Économie","Perte")</f>
        <v/>
      </c>
      <c r="I6" s="4" t="inlineStr">
        <is>
          <t>Réduction brûlures estimée -40%</t>
        </is>
      </c>
    </row>
    <row r="7">
      <c r="A7" s="7" t="inlineStr">
        <is>
          <t>Scénario B</t>
        </is>
      </c>
      <c r="B7" s="7" t="inlineStr">
        <is>
          <t>Formation LOTO obligatoire</t>
        </is>
      </c>
      <c r="C7" s="7" t="inlineStr">
        <is>
          <t>0% formés</t>
        </is>
      </c>
      <c r="D7" s="7" t="inlineStr">
        <is>
          <t>100% électriciens formés</t>
        </is>
      </c>
      <c r="E7" s="8" t="n">
        <v>-400000</v>
      </c>
      <c r="F7" s="8" t="n">
        <v>350000</v>
      </c>
      <c r="G7" s="8">
        <f>E7+F7</f>
        <v/>
      </c>
      <c r="H7" s="7">
        <f>IF(G7&lt;0,"Économie","Perte")</f>
        <v/>
      </c>
      <c r="I7" s="7" t="inlineStr">
        <is>
          <t>Zéro accident électrique visé</t>
        </is>
      </c>
    </row>
    <row r="8">
      <c r="A8" s="4" t="inlineStr">
        <is>
          <t>Scénario C</t>
        </is>
      </c>
      <c r="B8" s="4" t="inlineStr">
        <is>
          <t>Audit ergonomique bureaux</t>
        </is>
      </c>
      <c r="C8" s="4" t="inlineStr">
        <is>
          <t>Score 72%</t>
        </is>
      </c>
      <c r="D8" s="4" t="inlineStr">
        <is>
          <t>Score 90%</t>
        </is>
      </c>
      <c r="E8" s="5" t="n">
        <v>-200000</v>
      </c>
      <c r="F8" s="5" t="n">
        <v>600000</v>
      </c>
      <c r="G8" s="5">
        <f>E8+F8</f>
        <v/>
      </c>
      <c r="H8" s="4">
        <f>IF(G8&lt;0,"Économie","Perte")</f>
        <v/>
      </c>
      <c r="I8" s="4" t="inlineStr">
        <is>
          <t>Baisse TMS bureaux attendue</t>
        </is>
      </c>
    </row>
    <row r="9">
      <c r="A9" s="7" t="inlineStr">
        <is>
          <t>Scénario D</t>
        </is>
      </c>
      <c r="B9" s="7" t="inlineStr">
        <is>
          <t>Externalisation sécurité</t>
        </is>
      </c>
      <c r="C9" s="7" t="inlineStr">
        <is>
          <t>15 agents internes</t>
        </is>
      </c>
      <c r="D9" s="7" t="inlineStr">
        <is>
          <t>8 internes + prestataire</t>
        </is>
      </c>
      <c r="E9" s="8" t="n">
        <v>-150000</v>
      </c>
      <c r="F9" s="8" t="n">
        <v>1200000</v>
      </c>
      <c r="G9" s="8">
        <f>E9+F9</f>
        <v/>
      </c>
      <c r="H9" s="7">
        <f>IF(G9&lt;0,"Économie","Perte")</f>
        <v/>
      </c>
      <c r="I9" s="7" t="inlineStr">
        <is>
          <t>Transfert risque employeur</t>
        </is>
      </c>
    </row>
    <row r="10">
      <c r="A10" s="4" t="inlineStr">
        <is>
          <t>Scénario E</t>
        </is>
      </c>
      <c r="B10" s="4" t="inlineStr">
        <is>
          <t>Télétravail 20% effectif</t>
        </is>
      </c>
      <c r="C10" s="4" t="inlineStr">
        <is>
          <t>0 télétravailleurs</t>
        </is>
      </c>
      <c r="D10" s="4" t="inlineStr">
        <is>
          <t>30 télétravailleurs</t>
        </is>
      </c>
      <c r="E10" s="5" t="n">
        <v>-100000</v>
      </c>
      <c r="F10" s="5" t="n">
        <v>50000</v>
      </c>
      <c r="G10" s="5">
        <f>E10+F10</f>
        <v/>
      </c>
      <c r="H10" s="4">
        <f>IF(G10&lt;0,"Économie","Perte")</f>
        <v/>
      </c>
      <c r="I10" s="4" t="inlineStr">
        <is>
          <t>Réduction risques trajet</t>
        </is>
      </c>
    </row>
    <row r="11">
      <c r="A11" s="7" t="inlineStr">
        <is>
          <t>Scénario F</t>
        </is>
      </c>
      <c r="B11" s="7" t="inlineStr">
        <is>
          <t>Système de surveillance IA</t>
        </is>
      </c>
      <c r="C11" s="7" t="inlineStr">
        <is>
          <t>Caméras analogiques</t>
        </is>
      </c>
      <c r="D11" s="7" t="inlineStr">
        <is>
          <t>Détection IA incendie</t>
        </is>
      </c>
      <c r="E11" s="8" t="n">
        <v>-2000000</v>
      </c>
      <c r="F11" s="8" t="n">
        <v>3500000</v>
      </c>
      <c r="G11" s="8">
        <f>E11+F11</f>
        <v/>
      </c>
      <c r="H11" s="7">
        <f>IF(G11&lt;0,"Économie","Perte")</f>
        <v/>
      </c>
      <c r="I11" s="7" t="inlineStr">
        <is>
          <t>Réaction 30s vs 5 min</t>
        </is>
      </c>
    </row>
    <row r="12">
      <c r="A12" s="4" t="inlineStr">
        <is>
          <t>Scénario G</t>
        </is>
      </c>
      <c r="B12" s="4" t="inlineStr">
        <is>
          <t>Programme bien-être</t>
        </is>
      </c>
      <c r="C12" s="4" t="inlineStr">
        <is>
          <t>0 activités</t>
        </is>
      </c>
      <c r="D12" s="4" t="inlineStr">
        <is>
          <t>Sport + relaxation hebdo</t>
        </is>
      </c>
      <c r="E12" s="5" t="n">
        <v>-300000</v>
      </c>
      <c r="F12" s="5" t="n">
        <v>1500000</v>
      </c>
      <c r="G12" s="5">
        <f>E12+F12</f>
        <v/>
      </c>
      <c r="H12" s="4">
        <f>IF(G12&lt;0,"Économie","Perte")</f>
        <v/>
      </c>
      <c r="I12" s="4" t="inlineStr">
        <is>
          <t>Baisse absentéisme -15%</t>
        </is>
      </c>
    </row>
    <row r="13">
      <c r="A13" s="7" t="n"/>
      <c r="B13" s="7" t="n"/>
      <c r="C13" s="7" t="n"/>
      <c r="D13" s="7" t="n"/>
      <c r="E13" s="8" t="n"/>
      <c r="F13" s="8" t="n"/>
      <c r="G13" s="8">
        <f>IF(A13="","",E13+F13)</f>
        <v/>
      </c>
      <c r="H13" s="7">
        <f>IF(A13="","",IF(G13&lt;0,"Économie","Perte"))</f>
        <v/>
      </c>
      <c r="I13" s="7" t="n"/>
    </row>
    <row r="14">
      <c r="A14" s="4" t="n"/>
      <c r="B14" s="4" t="n"/>
      <c r="C14" s="4" t="n"/>
      <c r="D14" s="4" t="n"/>
      <c r="E14" s="5" t="n"/>
      <c r="F14" s="5" t="n"/>
      <c r="G14" s="5">
        <f>IF(A14="","",E14+F14)</f>
        <v/>
      </c>
      <c r="H14" s="4">
        <f>IF(A14="","",IF(G14&lt;0,"Économie","Perte"))</f>
        <v/>
      </c>
      <c r="I14" s="4" t="n"/>
    </row>
    <row r="15">
      <c r="A15" s="7" t="n"/>
      <c r="B15" s="7" t="n"/>
      <c r="C15" s="7" t="n"/>
      <c r="D15" s="7" t="n"/>
      <c r="E15" s="8" t="n"/>
      <c r="F15" s="8" t="n"/>
      <c r="G15" s="8">
        <f>IF(A15="","",E15+F15)</f>
        <v/>
      </c>
      <c r="H15" s="7">
        <f>IF(A15="","",IF(G15&lt;0,"Économie","Perte"))</f>
        <v/>
      </c>
      <c r="I15" s="7" t="n"/>
    </row>
    <row r="16">
      <c r="A16" s="4" t="n"/>
      <c r="B16" s="4" t="n"/>
      <c r="C16" s="4" t="n"/>
      <c r="D16" s="4" t="n"/>
      <c r="E16" s="5" t="n"/>
      <c r="F16" s="5" t="n"/>
      <c r="G16" s="5">
        <f>IF(A16="","",E16+F16)</f>
        <v/>
      </c>
      <c r="H16" s="4">
        <f>IF(A16="","",IF(G16&lt;0,"Économie","Perte"))</f>
        <v/>
      </c>
      <c r="I16" s="4" t="n"/>
    </row>
    <row r="17">
      <c r="A17" s="7" t="n"/>
      <c r="B17" s="7" t="n"/>
      <c r="C17" s="7" t="n"/>
      <c r="D17" s="7" t="n"/>
      <c r="E17" s="8" t="n"/>
      <c r="F17" s="8" t="n"/>
      <c r="G17" s="8">
        <f>IF(A17="","",E17+F17)</f>
        <v/>
      </c>
      <c r="H17" s="7">
        <f>IF(A17="","",IF(G17&lt;0,"Économie","Perte"))</f>
        <v/>
      </c>
      <c r="I17" s="7" t="n"/>
    </row>
    <row r="18">
      <c r="A18" s="4" t="n"/>
      <c r="B18" s="4" t="n"/>
      <c r="C18" s="4" t="n"/>
      <c r="D18" s="4" t="n"/>
      <c r="E18" s="5" t="n"/>
      <c r="F18" s="5" t="n"/>
      <c r="G18" s="5">
        <f>IF(A18="","",E18+F18)</f>
        <v/>
      </c>
      <c r="H18" s="4">
        <f>IF(A18="","",IF(G18&lt;0,"Économie","Perte"))</f>
        <v/>
      </c>
      <c r="I18" s="4" t="n"/>
    </row>
    <row r="19">
      <c r="A19" s="7" t="n"/>
      <c r="B19" s="7" t="n"/>
      <c r="C19" s="7" t="n"/>
      <c r="D19" s="7" t="n"/>
      <c r="E19" s="8" t="n"/>
      <c r="F19" s="8" t="n"/>
      <c r="G19" s="8">
        <f>IF(A19="","",E19+F19)</f>
        <v/>
      </c>
      <c r="H19" s="7">
        <f>IF(A19="","",IF(G19&lt;0,"Économie","Perte"))</f>
        <v/>
      </c>
      <c r="I19" s="7" t="n"/>
    </row>
    <row r="20">
      <c r="A20" s="4" t="n"/>
      <c r="B20" s="4" t="n"/>
      <c r="C20" s="4" t="n"/>
      <c r="D20" s="4" t="n"/>
      <c r="E20" s="5" t="n"/>
      <c r="F20" s="5" t="n"/>
      <c r="G20" s="5">
        <f>IF(A20="","",E20+F20)</f>
        <v/>
      </c>
      <c r="H20" s="4">
        <f>IF(A20="","",IF(G20&lt;0,"Économie","Perte"))</f>
        <v/>
      </c>
      <c r="I20" s="4" t="n"/>
    </row>
    <row r="21">
      <c r="A21" s="7" t="n"/>
      <c r="B21" s="7" t="n"/>
      <c r="C21" s="7" t="n"/>
      <c r="D21" s="7" t="n"/>
      <c r="E21" s="8" t="n"/>
      <c r="F21" s="8" t="n"/>
      <c r="G21" s="8">
        <f>IF(A21="","",E21+F21)</f>
        <v/>
      </c>
      <c r="H21" s="7">
        <f>IF(A21="","",IF(G21&lt;0,"Économie","Perte"))</f>
        <v/>
      </c>
      <c r="I21" s="7" t="n"/>
    </row>
    <row r="22">
      <c r="A22" s="4" t="n"/>
      <c r="B22" s="4" t="n"/>
      <c r="C22" s="4" t="n"/>
      <c r="D22" s="4" t="n"/>
      <c r="E22" s="5" t="n"/>
      <c r="F22" s="5" t="n"/>
      <c r="G22" s="5">
        <f>IF(A22="","",E22+F22)</f>
        <v/>
      </c>
      <c r="H22" s="4">
        <f>IF(A22="","",IF(G22&lt;0,"Économie","Perte"))</f>
        <v/>
      </c>
      <c r="I22" s="4" t="n"/>
    </row>
    <row r="23">
      <c r="A23" s="7" t="n"/>
      <c r="B23" s="7" t="n"/>
      <c r="C23" s="7" t="n"/>
      <c r="D23" s="7" t="n"/>
      <c r="E23" s="8" t="n"/>
      <c r="F23" s="8" t="n"/>
      <c r="G23" s="8">
        <f>IF(A23="","",E23+F23)</f>
        <v/>
      </c>
      <c r="H23" s="7">
        <f>IF(A23="","",IF(G23&lt;0,"Économie","Perte"))</f>
        <v/>
      </c>
      <c r="I23" s="7" t="n"/>
    </row>
    <row r="24">
      <c r="A24" s="4" t="n"/>
      <c r="B24" s="4" t="n"/>
      <c r="C24" s="4" t="n"/>
      <c r="D24" s="4" t="n"/>
      <c r="E24" s="5" t="n"/>
      <c r="F24" s="5" t="n"/>
      <c r="G24" s="5">
        <f>IF(A24="","",E24+F24)</f>
        <v/>
      </c>
      <c r="H24" s="4">
        <f>IF(A24="","",IF(G24&lt;0,"Économie","Perte"))</f>
        <v/>
      </c>
      <c r="I24" s="4" t="n"/>
    </row>
    <row r="25">
      <c r="A25" s="7" t="n"/>
      <c r="B25" s="7" t="n"/>
      <c r="C25" s="7" t="n"/>
      <c r="D25" s="7" t="n"/>
      <c r="E25" s="8" t="n"/>
      <c r="F25" s="8" t="n"/>
      <c r="G25" s="8">
        <f>IF(A25="","",E25+F25)</f>
        <v/>
      </c>
      <c r="H25" s="7">
        <f>IF(A25="","",IF(G25&lt;0,"Économie","Perte"))</f>
        <v/>
      </c>
      <c r="I25" s="7" t="n"/>
    </row>
    <row r="26">
      <c r="A26" s="4" t="n"/>
      <c r="B26" s="4" t="n"/>
      <c r="C26" s="4" t="n"/>
      <c r="D26" s="4" t="n"/>
      <c r="E26" s="5" t="n"/>
      <c r="F26" s="5" t="n"/>
      <c r="G26" s="5">
        <f>IF(A26="","",E26+F26)</f>
        <v/>
      </c>
      <c r="H26" s="4">
        <f>IF(A26="","",IF(G26&lt;0,"Économie","Perte"))</f>
        <v/>
      </c>
      <c r="I26" s="4" t="n"/>
    </row>
    <row r="27">
      <c r="A27" s="7" t="n"/>
      <c r="B27" s="7" t="n"/>
      <c r="C27" s="7" t="n"/>
      <c r="D27" s="7" t="n"/>
      <c r="E27" s="8" t="n"/>
      <c r="F27" s="8" t="n"/>
      <c r="G27" s="8">
        <f>IF(A27="","",E27+F27)</f>
        <v/>
      </c>
      <c r="H27" s="7">
        <f>IF(A27="","",IF(G27&lt;0,"Économie","Perte"))</f>
        <v/>
      </c>
      <c r="I27" s="7" t="n"/>
    </row>
    <row r="28">
      <c r="A28" s="4" t="n"/>
      <c r="B28" s="4" t="n"/>
      <c r="C28" s="4" t="n"/>
      <c r="D28" s="4" t="n"/>
      <c r="E28" s="5" t="n"/>
      <c r="F28" s="5" t="n"/>
      <c r="G28" s="5">
        <f>IF(A28="","",E28+F28)</f>
        <v/>
      </c>
      <c r="H28" s="4">
        <f>IF(A28="","",IF(G28&lt;0,"Économie","Perte"))</f>
        <v/>
      </c>
      <c r="I28" s="4" t="n"/>
    </row>
    <row r="29">
      <c r="A29" s="7" t="n"/>
      <c r="B29" s="7" t="n"/>
      <c r="C29" s="7" t="n"/>
      <c r="D29" s="7" t="n"/>
      <c r="E29" s="8" t="n"/>
      <c r="F29" s="8" t="n"/>
      <c r="G29" s="8">
        <f>IF(A29="","",E29+F29)</f>
        <v/>
      </c>
      <c r="H29" s="7">
        <f>IF(A29="","",IF(G29&lt;0,"Économie","Perte"))</f>
        <v/>
      </c>
      <c r="I29" s="7" t="n"/>
    </row>
    <row r="30">
      <c r="A30" s="4" t="n"/>
      <c r="B30" s="4" t="n"/>
      <c r="C30" s="4" t="n"/>
      <c r="D30" s="4" t="n"/>
      <c r="E30" s="5" t="n"/>
      <c r="F30" s="5" t="n"/>
      <c r="G30" s="5">
        <f>IF(A30="","",E30+F30)</f>
        <v/>
      </c>
      <c r="H30" s="4">
        <f>IF(A30="","",IF(G30&lt;0,"Économie","Perte"))</f>
        <v/>
      </c>
      <c r="I30" s="4" t="n"/>
    </row>
    <row r="31">
      <c r="A31" s="7" t="n"/>
      <c r="B31" s="7" t="n"/>
      <c r="C31" s="7" t="n"/>
      <c r="D31" s="7" t="n"/>
      <c r="E31" s="8" t="n"/>
      <c r="F31" s="8" t="n"/>
      <c r="G31" s="8">
        <f>IF(A31="","",E31+F31)</f>
        <v/>
      </c>
      <c r="H31" s="7">
        <f>IF(A31="","",IF(G31&lt;0,"Économie","Perte"))</f>
        <v/>
      </c>
      <c r="I31" s="7" t="n"/>
    </row>
    <row r="32">
      <c r="A32" s="4" t="n"/>
      <c r="B32" s="4" t="n"/>
      <c r="C32" s="4" t="n"/>
      <c r="D32" s="4" t="n"/>
      <c r="E32" s="5" t="n"/>
      <c r="F32" s="5" t="n"/>
      <c r="G32" s="5">
        <f>IF(A32="","",E32+F32)</f>
        <v/>
      </c>
      <c r="H32" s="4">
        <f>IF(A32="","",IF(G32&lt;0,"Économie","Perte"))</f>
        <v/>
      </c>
      <c r="I32" s="4" t="n"/>
    </row>
    <row r="33">
      <c r="A33" s="7" t="n"/>
      <c r="B33" s="7" t="n"/>
      <c r="C33" s="7" t="n"/>
      <c r="D33" s="7" t="n"/>
      <c r="E33" s="8" t="n"/>
      <c r="F33" s="8" t="n"/>
      <c r="G33" s="8">
        <f>IF(A33="","",E33+F33)</f>
        <v/>
      </c>
      <c r="H33" s="7">
        <f>IF(A33="","",IF(G33&lt;0,"Économie","Perte"))</f>
        <v/>
      </c>
      <c r="I33" s="7" t="n"/>
    </row>
    <row r="34">
      <c r="A34" s="4" t="n"/>
      <c r="B34" s="4" t="n"/>
      <c r="C34" s="4" t="n"/>
      <c r="D34" s="4" t="n"/>
      <c r="E34" s="5" t="n"/>
      <c r="F34" s="5" t="n"/>
      <c r="G34" s="5">
        <f>IF(A34="","",E34+F34)</f>
        <v/>
      </c>
      <c r="H34" s="4">
        <f>IF(A34="","",IF(G34&lt;0,"Économie","Perte"))</f>
        <v/>
      </c>
      <c r="I34" s="4" t="n"/>
    </row>
    <row r="35">
      <c r="A35" s="7" t="n"/>
      <c r="B35" s="7" t="n"/>
      <c r="C35" s="7" t="n"/>
      <c r="D35" s="7" t="n"/>
      <c r="E35" s="8" t="n"/>
      <c r="F35" s="8" t="n"/>
      <c r="G35" s="8">
        <f>IF(A35="","",E35+F35)</f>
        <v/>
      </c>
      <c r="H35" s="7">
        <f>IF(A35="","",IF(G35&lt;0,"Économie","Perte"))</f>
        <v/>
      </c>
      <c r="I35" s="7" t="n"/>
    </row>
    <row r="36">
      <c r="A36" s="4" t="n"/>
      <c r="B36" s="4" t="n"/>
      <c r="C36" s="4" t="n"/>
      <c r="D36" s="4" t="n"/>
      <c r="E36" s="5" t="n"/>
      <c r="F36" s="5" t="n"/>
      <c r="G36" s="5">
        <f>IF(A36="","",E36+F36)</f>
        <v/>
      </c>
      <c r="H36" s="4">
        <f>IF(A36="","",IF(G36&lt;0,"Économie","Perte"))</f>
        <v/>
      </c>
      <c r="I36" s="4" t="n"/>
    </row>
    <row r="37">
      <c r="A37" s="7" t="n"/>
      <c r="B37" s="7" t="n"/>
      <c r="C37" s="7" t="n"/>
      <c r="D37" s="7" t="n"/>
      <c r="E37" s="8" t="n"/>
      <c r="F37" s="8" t="n"/>
      <c r="G37" s="8">
        <f>IF(A37="","",E37+F37)</f>
        <v/>
      </c>
      <c r="H37" s="7">
        <f>IF(A37="","",IF(G37&lt;0,"Économie","Perte"))</f>
        <v/>
      </c>
      <c r="I37" s="7" t="n"/>
    </row>
    <row r="38">
      <c r="A38" s="4" t="n"/>
      <c r="B38" s="4" t="n"/>
      <c r="C38" s="4" t="n"/>
      <c r="D38" s="4" t="n"/>
      <c r="E38" s="5" t="n"/>
      <c r="F38" s="5" t="n"/>
      <c r="G38" s="5">
        <f>IF(A38="","",E38+F38)</f>
        <v/>
      </c>
      <c r="H38" s="4">
        <f>IF(A38="","",IF(G38&lt;0,"Économie","Perte"))</f>
        <v/>
      </c>
      <c r="I38" s="4" t="n"/>
    </row>
    <row r="39">
      <c r="A39" s="7" t="n"/>
      <c r="B39" s="7" t="n"/>
      <c r="C39" s="7" t="n"/>
      <c r="D39" s="7" t="n"/>
      <c r="E39" s="8" t="n"/>
      <c r="F39" s="8" t="n"/>
      <c r="G39" s="8">
        <f>IF(A39="","",E39+F39)</f>
        <v/>
      </c>
      <c r="H39" s="7">
        <f>IF(A39="","",IF(G39&lt;0,"Économie","Perte"))</f>
        <v/>
      </c>
      <c r="I39" s="7" t="n"/>
    </row>
    <row r="40">
      <c r="A40" s="4" t="n"/>
      <c r="B40" s="4" t="n"/>
      <c r="C40" s="4" t="n"/>
      <c r="D40" s="4" t="n"/>
      <c r="E40" s="5" t="n"/>
      <c r="F40" s="5" t="n"/>
      <c r="G40" s="5">
        <f>IF(A40="","",E40+F40)</f>
        <v/>
      </c>
      <c r="H40" s="4">
        <f>IF(A40="","",IF(G40&lt;0,"Économie","Perte"))</f>
        <v/>
      </c>
      <c r="I40" s="4" t="n"/>
    </row>
    <row r="41">
      <c r="A41" s="7" t="n"/>
      <c r="B41" s="7" t="n"/>
      <c r="C41" s="7" t="n"/>
      <c r="D41" s="7" t="n"/>
      <c r="E41" s="8" t="n"/>
      <c r="F41" s="8" t="n"/>
      <c r="G41" s="8">
        <f>IF(A41="","",E41+F41)</f>
        <v/>
      </c>
      <c r="H41" s="7">
        <f>IF(A41="","",IF(G41&lt;0,"Économie","Perte"))</f>
        <v/>
      </c>
      <c r="I41" s="7" t="n"/>
    </row>
    <row r="42">
      <c r="A42" s="4" t="n"/>
      <c r="B42" s="4" t="n"/>
      <c r="C42" s="4" t="n"/>
      <c r="D42" s="4" t="n"/>
      <c r="E42" s="5" t="n"/>
      <c r="F42" s="5" t="n"/>
      <c r="G42" s="5">
        <f>IF(A42="","",E42+F42)</f>
        <v/>
      </c>
      <c r="H42" s="4">
        <f>IF(A42="","",IF(G42&lt;0,"Économie","Perte"))</f>
        <v/>
      </c>
      <c r="I42" s="4" t="n"/>
    </row>
    <row r="43">
      <c r="A43" s="7" t="n"/>
      <c r="B43" s="7" t="n"/>
      <c r="C43" s="7" t="n"/>
      <c r="D43" s="7" t="n"/>
      <c r="E43" s="8" t="n"/>
      <c r="F43" s="8" t="n"/>
      <c r="G43" s="8">
        <f>IF(A43="","",E43+F43)</f>
        <v/>
      </c>
      <c r="H43" s="7">
        <f>IF(A43="","",IF(G43&lt;0,"Économie","Perte"))</f>
        <v/>
      </c>
      <c r="I43" s="7" t="n"/>
    </row>
    <row r="44">
      <c r="A44" s="4" t="n"/>
      <c r="B44" s="4" t="n"/>
      <c r="C44" s="4" t="n"/>
      <c r="D44" s="4" t="n"/>
      <c r="E44" s="5" t="n"/>
      <c r="F44" s="5" t="n"/>
      <c r="G44" s="5">
        <f>IF(A44="","",E44+F44)</f>
        <v/>
      </c>
      <c r="H44" s="4">
        <f>IF(A44="","",IF(G44&lt;0,"Économie","Perte"))</f>
        <v/>
      </c>
      <c r="I44" s="4" t="n"/>
    </row>
    <row r="45">
      <c r="A45" s="7" t="n"/>
      <c r="B45" s="7" t="n"/>
      <c r="C45" s="7" t="n"/>
      <c r="D45" s="7" t="n"/>
      <c r="E45" s="8" t="n"/>
      <c r="F45" s="8" t="n"/>
      <c r="G45" s="8">
        <f>IF(A45="","",E45+F45)</f>
        <v/>
      </c>
      <c r="H45" s="7">
        <f>IF(A45="","",IF(G45&lt;0,"Économie","Perte"))</f>
        <v/>
      </c>
      <c r="I45" s="7" t="n"/>
    </row>
    <row r="46">
      <c r="A46" s="4" t="n"/>
      <c r="B46" s="4" t="n"/>
      <c r="C46" s="4" t="n"/>
      <c r="D46" s="4" t="n"/>
      <c r="E46" s="5" t="n"/>
      <c r="F46" s="5" t="n"/>
      <c r="G46" s="5">
        <f>IF(A46="","",E46+F46)</f>
        <v/>
      </c>
      <c r="H46" s="4">
        <f>IF(A46="","",IF(G46&lt;0,"Économie","Perte"))</f>
        <v/>
      </c>
      <c r="I46" s="4" t="n"/>
    </row>
    <row r="47">
      <c r="A47" s="7" t="n"/>
      <c r="B47" s="7" t="n"/>
      <c r="C47" s="7" t="n"/>
      <c r="D47" s="7" t="n"/>
      <c r="E47" s="8" t="n"/>
      <c r="F47" s="8" t="n"/>
      <c r="G47" s="8">
        <f>IF(A47="","",E47+F47)</f>
        <v/>
      </c>
      <c r="H47" s="7">
        <f>IF(A47="","",IF(G47&lt;0,"Économie","Perte"))</f>
        <v/>
      </c>
      <c r="I47" s="7" t="n"/>
    </row>
    <row r="48">
      <c r="A48" s="4" t="n"/>
      <c r="B48" s="4" t="n"/>
      <c r="C48" s="4" t="n"/>
      <c r="D48" s="4" t="n"/>
      <c r="E48" s="5" t="n"/>
      <c r="F48" s="5" t="n"/>
      <c r="G48" s="5">
        <f>IF(A48="","",E48+F48)</f>
        <v/>
      </c>
      <c r="H48" s="4">
        <f>IF(A48="","",IF(G48&lt;0,"Économie","Perte"))</f>
        <v/>
      </c>
      <c r="I48" s="4" t="n"/>
    </row>
    <row r="49">
      <c r="A49" s="7" t="n"/>
      <c r="B49" s="7" t="n"/>
      <c r="C49" s="7" t="n"/>
      <c r="D49" s="7" t="n"/>
      <c r="E49" s="8" t="n"/>
      <c r="F49" s="8" t="n"/>
      <c r="G49" s="8">
        <f>IF(A49="","",E49+F49)</f>
        <v/>
      </c>
      <c r="H49" s="7">
        <f>IF(A49="","",IF(G49&lt;0,"Économie","Perte"))</f>
        <v/>
      </c>
      <c r="I49" s="7" t="n"/>
    </row>
    <row r="50">
      <c r="A50" s="4" t="n"/>
      <c r="B50" s="4" t="n"/>
      <c r="C50" s="4" t="n"/>
      <c r="D50" s="4" t="n"/>
      <c r="E50" s="5" t="n"/>
      <c r="F50" s="5" t="n"/>
      <c r="G50" s="5">
        <f>IF(A50="","",E50+F50)</f>
        <v/>
      </c>
      <c r="H50" s="4">
        <f>IF(A50="","",IF(G50&lt;0,"Économie","Perte"))</f>
        <v/>
      </c>
      <c r="I50" s="4" t="n"/>
    </row>
    <row r="51">
      <c r="A51" s="7" t="n"/>
      <c r="B51" s="7" t="n"/>
      <c r="C51" s="7" t="n"/>
      <c r="D51" s="7" t="n"/>
      <c r="E51" s="8" t="n"/>
      <c r="F51" s="8" t="n"/>
      <c r="G51" s="8">
        <f>IF(A51="","",E51+F51)</f>
        <v/>
      </c>
      <c r="H51" s="7">
        <f>IF(A51="","",IF(G51&lt;0,"Économie","Perte"))</f>
        <v/>
      </c>
      <c r="I51" s="7" t="n"/>
    </row>
    <row r="52">
      <c r="A52" s="4" t="n"/>
      <c r="B52" s="4" t="n"/>
      <c r="C52" s="4" t="n"/>
      <c r="D52" s="4" t="n"/>
      <c r="E52" s="5" t="n"/>
      <c r="F52" s="5" t="n"/>
      <c r="G52" s="5">
        <f>IF(A52="","",E52+F52)</f>
        <v/>
      </c>
      <c r="H52" s="4">
        <f>IF(A52="","",IF(G52&lt;0,"Économie","Perte"))</f>
        <v/>
      </c>
      <c r="I52" s="4" t="n"/>
    </row>
    <row r="53">
      <c r="A53" s="7" t="n"/>
      <c r="B53" s="7" t="n"/>
      <c r="C53" s="7" t="n"/>
      <c r="D53" s="7" t="n"/>
      <c r="E53" s="8" t="n"/>
      <c r="F53" s="8" t="n"/>
      <c r="G53" s="8">
        <f>IF(A53="","",E53+F53)</f>
        <v/>
      </c>
      <c r="H53" s="7">
        <f>IF(A53="","",IF(G53&lt;0,"Économie","Perte"))</f>
        <v/>
      </c>
      <c r="I53" s="7" t="n"/>
    </row>
    <row r="54">
      <c r="A54" s="4" t="n"/>
      <c r="B54" s="4" t="n"/>
      <c r="C54" s="4" t="n"/>
      <c r="D54" s="4" t="n"/>
      <c r="E54" s="5" t="n"/>
      <c r="F54" s="5" t="n"/>
      <c r="G54" s="5">
        <f>IF(A54="","",E54+F54)</f>
        <v/>
      </c>
      <c r="H54" s="4">
        <f>IF(A54="","",IF(G54&lt;0,"Économie","Perte"))</f>
        <v/>
      </c>
      <c r="I54" s="4" t="n"/>
    </row>
    <row r="55">
      <c r="A55" s="7" t="n"/>
      <c r="B55" s="7" t="n"/>
      <c r="C55" s="7" t="n"/>
      <c r="D55" s="7" t="n"/>
      <c r="E55" s="8" t="n"/>
      <c r="F55" s="8" t="n"/>
      <c r="G55" s="8">
        <f>IF(A55="","",E55+F55)</f>
        <v/>
      </c>
      <c r="H55" s="7">
        <f>IF(A55="","",IF(G55&lt;0,"Économie","Perte"))</f>
        <v/>
      </c>
      <c r="I55" s="7" t="n"/>
    </row>
    <row r="56">
      <c r="A56" s="4" t="n"/>
      <c r="B56" s="4" t="n"/>
      <c r="C56" s="4" t="n"/>
      <c r="D56" s="4" t="n"/>
      <c r="E56" s="5" t="n"/>
      <c r="F56" s="5" t="n"/>
      <c r="G56" s="5">
        <f>IF(A56="","",E56+F56)</f>
        <v/>
      </c>
      <c r="H56" s="4">
        <f>IF(A56="","",IF(G56&lt;0,"Économie","Perte"))</f>
        <v/>
      </c>
      <c r="I56" s="4" t="n"/>
    </row>
    <row r="57">
      <c r="A57" s="7" t="n"/>
      <c r="B57" s="7" t="n"/>
      <c r="C57" s="7" t="n"/>
      <c r="D57" s="7" t="n"/>
      <c r="E57" s="8" t="n"/>
      <c r="F57" s="8" t="n"/>
      <c r="G57" s="8">
        <f>IF(A57="","",E57+F57)</f>
        <v/>
      </c>
      <c r="H57" s="7">
        <f>IF(A57="","",IF(G57&lt;0,"Économie","Perte"))</f>
        <v/>
      </c>
      <c r="I57" s="7" t="n"/>
    </row>
    <row r="58">
      <c r="A58" s="4" t="n"/>
      <c r="B58" s="4" t="n"/>
      <c r="C58" s="4" t="n"/>
      <c r="D58" s="4" t="n"/>
      <c r="E58" s="5" t="n"/>
      <c r="F58" s="5" t="n"/>
      <c r="G58" s="5">
        <f>IF(A58="","",E58+F58)</f>
        <v/>
      </c>
      <c r="H58" s="4">
        <f>IF(A58="","",IF(G58&lt;0,"Économie","Perte"))</f>
        <v/>
      </c>
      <c r="I58" s="4" t="n"/>
    </row>
    <row r="59">
      <c r="A59" s="7" t="n"/>
      <c r="B59" s="7" t="n"/>
      <c r="C59" s="7" t="n"/>
      <c r="D59" s="7" t="n"/>
      <c r="E59" s="8" t="n"/>
      <c r="F59" s="8" t="n"/>
      <c r="G59" s="8">
        <f>IF(A59="","",E59+F59)</f>
        <v/>
      </c>
      <c r="H59" s="7">
        <f>IF(A59="","",IF(G59&lt;0,"Économie","Perte"))</f>
        <v/>
      </c>
      <c r="I59" s="7" t="n"/>
    </row>
    <row r="60">
      <c r="A60" s="4" t="n"/>
      <c r="B60" s="4" t="n"/>
      <c r="C60" s="4" t="n"/>
      <c r="D60" s="4" t="n"/>
      <c r="E60" s="5" t="n"/>
      <c r="F60" s="5" t="n"/>
      <c r="G60" s="5">
        <f>IF(A60="","",E60+F60)</f>
        <v/>
      </c>
      <c r="H60" s="4">
        <f>IF(A60="","",IF(G60&lt;0,"Économie","Perte"))</f>
        <v/>
      </c>
      <c r="I60" s="4" t="n"/>
    </row>
    <row r="61">
      <c r="A61" s="7" t="n"/>
      <c r="B61" s="7" t="n"/>
      <c r="C61" s="7" t="n"/>
      <c r="D61" s="7" t="n"/>
      <c r="E61" s="8" t="n"/>
      <c r="F61" s="8" t="n"/>
      <c r="G61" s="8">
        <f>IF(A61="","",E61+F61)</f>
        <v/>
      </c>
      <c r="H61" s="7">
        <f>IF(A61="","",IF(G61&lt;0,"Économie","Perte"))</f>
        <v/>
      </c>
      <c r="I61" s="7" t="n"/>
    </row>
    <row r="62">
      <c r="A62" s="4" t="n"/>
      <c r="B62" s="4" t="n"/>
      <c r="C62" s="4" t="n"/>
      <c r="D62" s="4" t="n"/>
      <c r="E62" s="5" t="n"/>
      <c r="F62" s="5" t="n"/>
      <c r="G62" s="5">
        <f>IF(A62="","",E62+F62)</f>
        <v/>
      </c>
      <c r="H62" s="4">
        <f>IF(A62="","",IF(G62&lt;0,"Économie","Perte"))</f>
        <v/>
      </c>
      <c r="I62" s="4" t="n"/>
    </row>
    <row r="63">
      <c r="A63" s="7" t="n"/>
      <c r="B63" s="7" t="n"/>
      <c r="C63" s="7" t="n"/>
      <c r="D63" s="7" t="n"/>
      <c r="E63" s="8" t="n"/>
      <c r="F63" s="8" t="n"/>
      <c r="G63" s="8">
        <f>IF(A63="","",E63+F63)</f>
        <v/>
      </c>
      <c r="H63" s="7">
        <f>IF(A63="","",IF(G63&lt;0,"Économie","Perte"))</f>
        <v/>
      </c>
      <c r="I63" s="7" t="n"/>
    </row>
    <row r="64">
      <c r="A64" s="4" t="n"/>
      <c r="B64" s="4" t="n"/>
      <c r="C64" s="4" t="n"/>
      <c r="D64" s="4" t="n"/>
      <c r="E64" s="5" t="n"/>
      <c r="F64" s="5" t="n"/>
      <c r="G64" s="5">
        <f>IF(A64="","",E64+F64)</f>
        <v/>
      </c>
      <c r="H64" s="4">
        <f>IF(A64="","",IF(G64&lt;0,"Économie","Perte"))</f>
        <v/>
      </c>
      <c r="I64" s="4" t="n"/>
    </row>
    <row r="65">
      <c r="A65" s="7" t="n"/>
      <c r="B65" s="7" t="n"/>
      <c r="C65" s="7" t="n"/>
      <c r="D65" s="7" t="n"/>
      <c r="E65" s="8" t="n"/>
      <c r="F65" s="8" t="n"/>
      <c r="G65" s="8">
        <f>IF(A65="","",E65+F65)</f>
        <v/>
      </c>
      <c r="H65" s="7">
        <f>IF(A65="","",IF(G65&lt;0,"Économie","Perte"))</f>
        <v/>
      </c>
      <c r="I65" s="7" t="n"/>
    </row>
    <row r="66">
      <c r="A66" s="4" t="n"/>
      <c r="B66" s="4" t="n"/>
      <c r="C66" s="4" t="n"/>
      <c r="D66" s="4" t="n"/>
      <c r="E66" s="5" t="n"/>
      <c r="F66" s="5" t="n"/>
      <c r="G66" s="5">
        <f>IF(A66="","",E66+F66)</f>
        <v/>
      </c>
      <c r="H66" s="4">
        <f>IF(A66="","",IF(G66&lt;0,"Économie","Perte"))</f>
        <v/>
      </c>
      <c r="I66" s="4" t="n"/>
    </row>
    <row r="67">
      <c r="A67" s="7" t="n"/>
      <c r="B67" s="7" t="n"/>
      <c r="C67" s="7" t="n"/>
      <c r="D67" s="7" t="n"/>
      <c r="E67" s="8" t="n"/>
      <c r="F67" s="8" t="n"/>
      <c r="G67" s="8">
        <f>IF(A67="","",E67+F67)</f>
        <v/>
      </c>
      <c r="H67" s="7">
        <f>IF(A67="","",IF(G67&lt;0,"Économie","Perte"))</f>
        <v/>
      </c>
      <c r="I67" s="7" t="n"/>
    </row>
    <row r="68">
      <c r="A68" s="4" t="n"/>
      <c r="B68" s="4" t="n"/>
      <c r="C68" s="4" t="n"/>
      <c r="D68" s="4" t="n"/>
      <c r="E68" s="5" t="n"/>
      <c r="F68" s="5" t="n"/>
      <c r="G68" s="5">
        <f>IF(A68="","",E68+F68)</f>
        <v/>
      </c>
      <c r="H68" s="4">
        <f>IF(A68="","",IF(G68&lt;0,"Économie","Perte"))</f>
        <v/>
      </c>
      <c r="I68" s="4" t="n"/>
    </row>
    <row r="69">
      <c r="A69" s="7" t="n"/>
      <c r="B69" s="7" t="n"/>
      <c r="C69" s="7" t="n"/>
      <c r="D69" s="7" t="n"/>
      <c r="E69" s="8" t="n"/>
      <c r="F69" s="8" t="n"/>
      <c r="G69" s="8">
        <f>IF(A69="","",E69+F69)</f>
        <v/>
      </c>
      <c r="H69" s="7">
        <f>IF(A69="","",IF(G69&lt;0,"Économie","Perte"))</f>
        <v/>
      </c>
      <c r="I69" s="7" t="n"/>
    </row>
    <row r="70">
      <c r="A70" s="4" t="n"/>
      <c r="B70" s="4" t="n"/>
      <c r="C70" s="4" t="n"/>
      <c r="D70" s="4" t="n"/>
      <c r="E70" s="5" t="n"/>
      <c r="F70" s="5" t="n"/>
      <c r="G70" s="5">
        <f>IF(A70="","",E70+F70)</f>
        <v/>
      </c>
      <c r="H70" s="4">
        <f>IF(A70="","",IF(G70&lt;0,"Économie","Perte"))</f>
        <v/>
      </c>
      <c r="I70" s="4" t="n"/>
    </row>
    <row r="71">
      <c r="A71" s="7" t="n"/>
      <c r="B71" s="7" t="n"/>
      <c r="C71" s="7" t="n"/>
      <c r="D71" s="7" t="n"/>
      <c r="E71" s="8" t="n"/>
      <c r="F71" s="8" t="n"/>
      <c r="G71" s="8">
        <f>IF(A71="","",E71+F71)</f>
        <v/>
      </c>
      <c r="H71" s="7">
        <f>IF(A71="","",IF(G71&lt;0,"Économie","Perte"))</f>
        <v/>
      </c>
      <c r="I71" s="7" t="n"/>
    </row>
    <row r="72">
      <c r="A72" s="4" t="n"/>
      <c r="B72" s="4" t="n"/>
      <c r="C72" s="4" t="n"/>
      <c r="D72" s="4" t="n"/>
      <c r="E72" s="5" t="n"/>
      <c r="F72" s="5" t="n"/>
      <c r="G72" s="5">
        <f>IF(A72="","",E72+F72)</f>
        <v/>
      </c>
      <c r="H72" s="4">
        <f>IF(A72="","",IF(G72&lt;0,"Économie","Perte"))</f>
        <v/>
      </c>
      <c r="I72" s="4" t="n"/>
    </row>
    <row r="73">
      <c r="A73" s="7" t="n"/>
      <c r="B73" s="7" t="n"/>
      <c r="C73" s="7" t="n"/>
      <c r="D73" s="7" t="n"/>
      <c r="E73" s="8" t="n"/>
      <c r="F73" s="8" t="n"/>
      <c r="G73" s="8">
        <f>IF(A73="","",E73+F73)</f>
        <v/>
      </c>
      <c r="H73" s="7">
        <f>IF(A73="","",IF(G73&lt;0,"Économie","Perte"))</f>
        <v/>
      </c>
      <c r="I73" s="7" t="n"/>
    </row>
    <row r="74">
      <c r="A74" s="4" t="n"/>
      <c r="B74" s="4" t="n"/>
      <c r="C74" s="4" t="n"/>
      <c r="D74" s="4" t="n"/>
      <c r="E74" s="5" t="n"/>
      <c r="F74" s="5" t="n"/>
      <c r="G74" s="5">
        <f>IF(A74="","",E74+F74)</f>
        <v/>
      </c>
      <c r="H74" s="4">
        <f>IF(A74="","",IF(G74&lt;0,"Économie","Perte"))</f>
        <v/>
      </c>
      <c r="I74" s="4" t="n"/>
    </row>
    <row r="75">
      <c r="A75" s="7" t="n"/>
      <c r="B75" s="7" t="n"/>
      <c r="C75" s="7" t="n"/>
      <c r="D75" s="7" t="n"/>
      <c r="E75" s="8" t="n"/>
      <c r="F75" s="8" t="n"/>
      <c r="G75" s="8">
        <f>IF(A75="","",E75+F75)</f>
        <v/>
      </c>
      <c r="H75" s="7">
        <f>IF(A75="","",IF(G75&lt;0,"Économie","Perte"))</f>
        <v/>
      </c>
      <c r="I75" s="7" t="n"/>
    </row>
    <row r="76">
      <c r="A76" s="4" t="n"/>
      <c r="B76" s="4" t="n"/>
      <c r="C76" s="4" t="n"/>
      <c r="D76" s="4" t="n"/>
      <c r="E76" s="5" t="n"/>
      <c r="F76" s="5" t="n"/>
      <c r="G76" s="5">
        <f>IF(A76="","",E76+F76)</f>
        <v/>
      </c>
      <c r="H76" s="4">
        <f>IF(A76="","",IF(G76&lt;0,"Économie","Perte"))</f>
        <v/>
      </c>
      <c r="I76" s="4" t="n"/>
    </row>
    <row r="77">
      <c r="A77" s="7" t="n"/>
      <c r="B77" s="7" t="n"/>
      <c r="C77" s="7" t="n"/>
      <c r="D77" s="7" t="n"/>
      <c r="E77" s="8" t="n"/>
      <c r="F77" s="8" t="n"/>
      <c r="G77" s="8">
        <f>IF(A77="","",E77+F77)</f>
        <v/>
      </c>
      <c r="H77" s="7">
        <f>IF(A77="","",IF(G77&lt;0,"Économie","Perte"))</f>
        <v/>
      </c>
      <c r="I77" s="7" t="n"/>
    </row>
    <row r="78">
      <c r="A78" s="4" t="n"/>
      <c r="B78" s="4" t="n"/>
      <c r="C78" s="4" t="n"/>
      <c r="D78" s="4" t="n"/>
      <c r="E78" s="5" t="n"/>
      <c r="F78" s="5" t="n"/>
      <c r="G78" s="5">
        <f>IF(A78="","",E78+F78)</f>
        <v/>
      </c>
      <c r="H78" s="4">
        <f>IF(A78="","",IF(G78&lt;0,"Économie","Perte"))</f>
        <v/>
      </c>
      <c r="I78" s="4" t="n"/>
    </row>
    <row r="79">
      <c r="A79" s="7" t="n"/>
      <c r="B79" s="7" t="n"/>
      <c r="C79" s="7" t="n"/>
      <c r="D79" s="7" t="n"/>
      <c r="E79" s="8" t="n"/>
      <c r="F79" s="8" t="n"/>
      <c r="G79" s="8">
        <f>IF(A79="","",E79+F79)</f>
        <v/>
      </c>
      <c r="H79" s="7">
        <f>IF(A79="","",IF(G79&lt;0,"Économie","Perte"))</f>
        <v/>
      </c>
      <c r="I79" s="7" t="n"/>
    </row>
    <row r="80">
      <c r="A80" s="4" t="n"/>
      <c r="B80" s="4" t="n"/>
      <c r="C80" s="4" t="n"/>
      <c r="D80" s="4" t="n"/>
      <c r="E80" s="5" t="n"/>
      <c r="F80" s="5" t="n"/>
      <c r="G80" s="5">
        <f>IF(A80="","",E80+F80)</f>
        <v/>
      </c>
      <c r="H80" s="4">
        <f>IF(A80="","",IF(G80&lt;0,"Économie","Perte"))</f>
        <v/>
      </c>
      <c r="I80" s="4" t="n"/>
    </row>
    <row r="81">
      <c r="A81" s="7" t="n"/>
      <c r="B81" s="7" t="n"/>
      <c r="C81" s="7" t="n"/>
      <c r="D81" s="7" t="n"/>
      <c r="E81" s="8" t="n"/>
      <c r="F81" s="8" t="n"/>
      <c r="G81" s="8">
        <f>IF(A81="","",E81+F81)</f>
        <v/>
      </c>
      <c r="H81" s="7">
        <f>IF(A81="","",IF(G81&lt;0,"Économie","Perte"))</f>
        <v/>
      </c>
      <c r="I81" s="7" t="n"/>
    </row>
    <row r="82">
      <c r="A82" s="4" t="n"/>
      <c r="B82" s="4" t="n"/>
      <c r="C82" s="4" t="n"/>
      <c r="D82" s="4" t="n"/>
      <c r="E82" s="5" t="n"/>
      <c r="F82" s="5" t="n"/>
      <c r="G82" s="5">
        <f>IF(A82="","",E82+F82)</f>
        <v/>
      </c>
      <c r="H82" s="4">
        <f>IF(A82="","",IF(G82&lt;0,"Économie","Perte"))</f>
        <v/>
      </c>
      <c r="I82" s="4" t="n"/>
    </row>
    <row r="83">
      <c r="A83" s="7" t="n"/>
      <c r="B83" s="7" t="n"/>
      <c r="C83" s="7" t="n"/>
      <c r="D83" s="7" t="n"/>
      <c r="E83" s="8" t="n"/>
      <c r="F83" s="8" t="n"/>
      <c r="G83" s="8">
        <f>IF(A83="","",E83+F83)</f>
        <v/>
      </c>
      <c r="H83" s="7">
        <f>IF(A83="","",IF(G83&lt;0,"Économie","Perte"))</f>
        <v/>
      </c>
      <c r="I83" s="7" t="n"/>
    </row>
    <row r="84">
      <c r="A84" s="4" t="n"/>
      <c r="B84" s="4" t="n"/>
      <c r="C84" s="4" t="n"/>
      <c r="D84" s="4" t="n"/>
      <c r="E84" s="5" t="n"/>
      <c r="F84" s="5" t="n"/>
      <c r="G84" s="5">
        <f>IF(A84="","",E84+F84)</f>
        <v/>
      </c>
      <c r="H84" s="4">
        <f>IF(A84="","",IF(G84&lt;0,"Économie","Perte"))</f>
        <v/>
      </c>
      <c r="I84" s="4" t="n"/>
    </row>
    <row r="85">
      <c r="A85" s="7" t="n"/>
      <c r="B85" s="7" t="n"/>
      <c r="C85" s="7" t="n"/>
      <c r="D85" s="7" t="n"/>
      <c r="E85" s="8" t="n"/>
      <c r="F85" s="8" t="n"/>
      <c r="G85" s="8">
        <f>IF(A85="","",E85+F85)</f>
        <v/>
      </c>
      <c r="H85" s="7">
        <f>IF(A85="","",IF(G85&lt;0,"Économie","Perte"))</f>
        <v/>
      </c>
      <c r="I85" s="7" t="n"/>
    </row>
    <row r="86">
      <c r="A86" s="4" t="n"/>
      <c r="B86" s="4" t="n"/>
      <c r="C86" s="4" t="n"/>
      <c r="D86" s="4" t="n"/>
      <c r="E86" s="5" t="n"/>
      <c r="F86" s="5" t="n"/>
      <c r="G86" s="5">
        <f>IF(A86="","",E86+F86)</f>
        <v/>
      </c>
      <c r="H86" s="4">
        <f>IF(A86="","",IF(G86&lt;0,"Économie","Perte"))</f>
        <v/>
      </c>
      <c r="I86" s="4" t="n"/>
    </row>
    <row r="87">
      <c r="A87" s="7" t="n"/>
      <c r="B87" s="7" t="n"/>
      <c r="C87" s="7" t="n"/>
      <c r="D87" s="7" t="n"/>
      <c r="E87" s="8" t="n"/>
      <c r="F87" s="8" t="n"/>
      <c r="G87" s="8">
        <f>IF(A87="","",E87+F87)</f>
        <v/>
      </c>
      <c r="H87" s="7">
        <f>IF(A87="","",IF(G87&lt;0,"Économie","Perte"))</f>
        <v/>
      </c>
      <c r="I87" s="7" t="n"/>
    </row>
    <row r="88">
      <c r="A88" s="4" t="n"/>
      <c r="B88" s="4" t="n"/>
      <c r="C88" s="4" t="n"/>
      <c r="D88" s="4" t="n"/>
      <c r="E88" s="5" t="n"/>
      <c r="F88" s="5" t="n"/>
      <c r="G88" s="5">
        <f>IF(A88="","",E88+F88)</f>
        <v/>
      </c>
      <c r="H88" s="4">
        <f>IF(A88="","",IF(G88&lt;0,"Économie","Perte"))</f>
        <v/>
      </c>
      <c r="I88" s="4" t="n"/>
    </row>
    <row r="89">
      <c r="A89" s="7" t="n"/>
      <c r="B89" s="7" t="n"/>
      <c r="C89" s="7" t="n"/>
      <c r="D89" s="7" t="n"/>
      <c r="E89" s="8" t="n"/>
      <c r="F89" s="8" t="n"/>
      <c r="G89" s="8">
        <f>IF(A89="","",E89+F89)</f>
        <v/>
      </c>
      <c r="H89" s="7">
        <f>IF(A89="","",IF(G89&lt;0,"Économie","Perte"))</f>
        <v/>
      </c>
      <c r="I89" s="7" t="n"/>
    </row>
    <row r="90">
      <c r="A90" s="4" t="n"/>
      <c r="B90" s="4" t="n"/>
      <c r="C90" s="4" t="n"/>
      <c r="D90" s="4" t="n"/>
      <c r="E90" s="5" t="n"/>
      <c r="F90" s="5" t="n"/>
      <c r="G90" s="5">
        <f>IF(A90="","",E90+F90)</f>
        <v/>
      </c>
      <c r="H90" s="4">
        <f>IF(A90="","",IF(G90&lt;0,"Économie","Perte"))</f>
        <v/>
      </c>
      <c r="I90" s="4" t="n"/>
    </row>
    <row r="91">
      <c r="A91" s="7" t="n"/>
      <c r="B91" s="7" t="n"/>
      <c r="C91" s="7" t="n"/>
      <c r="D91" s="7" t="n"/>
      <c r="E91" s="8" t="n"/>
      <c r="F91" s="8" t="n"/>
      <c r="G91" s="8">
        <f>IF(A91="","",E91+F91)</f>
        <v/>
      </c>
      <c r="H91" s="7">
        <f>IF(A91="","",IF(G91&lt;0,"Économie","Perte"))</f>
        <v/>
      </c>
      <c r="I91" s="7" t="n"/>
    </row>
    <row r="92">
      <c r="A92" s="4" t="n"/>
      <c r="B92" s="4" t="n"/>
      <c r="C92" s="4" t="n"/>
      <c r="D92" s="4" t="n"/>
      <c r="E92" s="5" t="n"/>
      <c r="F92" s="5" t="n"/>
      <c r="G92" s="5">
        <f>IF(A92="","",E92+F92)</f>
        <v/>
      </c>
      <c r="H92" s="4">
        <f>IF(A92="","",IF(G92&lt;0,"Économie","Perte"))</f>
        <v/>
      </c>
      <c r="I92" s="4" t="n"/>
    </row>
    <row r="93">
      <c r="A93" s="7" t="n"/>
      <c r="B93" s="7" t="n"/>
      <c r="C93" s="7" t="n"/>
      <c r="D93" s="7" t="n"/>
      <c r="E93" s="8" t="n"/>
      <c r="F93" s="8" t="n"/>
      <c r="G93" s="8">
        <f>IF(A93="","",E93+F93)</f>
        <v/>
      </c>
      <c r="H93" s="7">
        <f>IF(A93="","",IF(G93&lt;0,"Économie","Perte"))</f>
        <v/>
      </c>
      <c r="I93" s="7" t="n"/>
    </row>
    <row r="94">
      <c r="A94" s="4" t="n"/>
      <c r="B94" s="4" t="n"/>
      <c r="C94" s="4" t="n"/>
      <c r="D94" s="4" t="n"/>
      <c r="E94" s="5" t="n"/>
      <c r="F94" s="5" t="n"/>
      <c r="G94" s="5">
        <f>IF(A94="","",E94+F94)</f>
        <v/>
      </c>
      <c r="H94" s="4">
        <f>IF(A94="","",IF(G94&lt;0,"Économie","Perte"))</f>
        <v/>
      </c>
      <c r="I94" s="4" t="n"/>
    </row>
    <row r="95">
      <c r="A95" s="7" t="n"/>
      <c r="B95" s="7" t="n"/>
      <c r="C95" s="7" t="n"/>
      <c r="D95" s="7" t="n"/>
      <c r="E95" s="8" t="n"/>
      <c r="F95" s="8" t="n"/>
      <c r="G95" s="8">
        <f>IF(A95="","",E95+F95)</f>
        <v/>
      </c>
      <c r="H95" s="7">
        <f>IF(A95="","",IF(G95&lt;0,"Économie","Perte"))</f>
        <v/>
      </c>
      <c r="I95" s="7" t="n"/>
    </row>
    <row r="96">
      <c r="A96" s="4" t="n"/>
      <c r="B96" s="4" t="n"/>
      <c r="C96" s="4" t="n"/>
      <c r="D96" s="4" t="n"/>
      <c r="E96" s="5" t="n"/>
      <c r="F96" s="5" t="n"/>
      <c r="G96" s="5">
        <f>IF(A96="","",E96+F96)</f>
        <v/>
      </c>
      <c r="H96" s="4">
        <f>IF(A96="","",IF(G96&lt;0,"Économie","Perte"))</f>
        <v/>
      </c>
      <c r="I96" s="4" t="n"/>
    </row>
    <row r="97">
      <c r="A97" s="7" t="n"/>
      <c r="B97" s="7" t="n"/>
      <c r="C97" s="7" t="n"/>
      <c r="D97" s="7" t="n"/>
      <c r="E97" s="8" t="n"/>
      <c r="F97" s="8" t="n"/>
      <c r="G97" s="8">
        <f>IF(A97="","",E97+F97)</f>
        <v/>
      </c>
      <c r="H97" s="7">
        <f>IF(A97="","",IF(G97&lt;0,"Économie","Perte"))</f>
        <v/>
      </c>
      <c r="I97" s="7" t="n"/>
    </row>
    <row r="98">
      <c r="A98" s="4" t="n"/>
      <c r="B98" s="4" t="n"/>
      <c r="C98" s="4" t="n"/>
      <c r="D98" s="4" t="n"/>
      <c r="E98" s="5" t="n"/>
      <c r="F98" s="5" t="n"/>
      <c r="G98" s="5">
        <f>IF(A98="","",E98+F98)</f>
        <v/>
      </c>
      <c r="H98" s="4">
        <f>IF(A98="","",IF(G98&lt;0,"Économie","Perte"))</f>
        <v/>
      </c>
      <c r="I98" s="4" t="n"/>
    </row>
    <row r="99">
      <c r="A99" s="7" t="n"/>
      <c r="B99" s="7" t="n"/>
      <c r="C99" s="7" t="n"/>
      <c r="D99" s="7" t="n"/>
      <c r="E99" s="8" t="n"/>
      <c r="F99" s="8" t="n"/>
      <c r="G99" s="8">
        <f>IF(A99="","",E99+F99)</f>
        <v/>
      </c>
      <c r="H99" s="7">
        <f>IF(A99="","",IF(G99&lt;0,"Économie","Perte"))</f>
        <v/>
      </c>
      <c r="I99" s="7" t="n"/>
    </row>
    <row r="100">
      <c r="A100" s="4" t="n"/>
      <c r="B100" s="4" t="n"/>
      <c r="C100" s="4" t="n"/>
      <c r="D100" s="4" t="n"/>
      <c r="E100" s="5" t="n"/>
      <c r="F100" s="5" t="n"/>
      <c r="G100" s="5">
        <f>IF(A100="","",E100+F100)</f>
        <v/>
      </c>
      <c r="H100" s="4">
        <f>IF(A100="","",IF(G100&lt;0,"Économie","Perte"))</f>
        <v/>
      </c>
      <c r="I100" s="4" t="n"/>
    </row>
    <row r="101">
      <c r="A101" s="7" t="n"/>
      <c r="B101" s="7" t="n"/>
      <c r="C101" s="7" t="n"/>
      <c r="D101" s="7" t="n"/>
      <c r="E101" s="8" t="n"/>
      <c r="F101" s="8" t="n"/>
      <c r="G101" s="8">
        <f>IF(A101="","",E101+F101)</f>
        <v/>
      </c>
      <c r="H101" s="7">
        <f>IF(A101="","",IF(G101&lt;0,"Économie","Perte"))</f>
        <v/>
      </c>
      <c r="I101" s="7" t="n"/>
    </row>
    <row r="102">
      <c r="A102" s="4" t="n"/>
      <c r="B102" s="4" t="n"/>
      <c r="C102" s="4" t="n"/>
      <c r="D102" s="4" t="n"/>
      <c r="E102" s="5" t="n"/>
      <c r="F102" s="5" t="n"/>
      <c r="G102" s="5">
        <f>IF(A102="","",E102+F102)</f>
        <v/>
      </c>
      <c r="H102" s="4">
        <f>IF(A102="","",IF(G102&lt;0,"Économie","Perte"))</f>
        <v/>
      </c>
      <c r="I102" s="4" t="n"/>
    </row>
    <row r="103">
      <c r="A103" s="7" t="n"/>
      <c r="B103" s="7" t="n"/>
      <c r="C103" s="7" t="n"/>
      <c r="D103" s="7" t="n"/>
      <c r="E103" s="8" t="n"/>
      <c r="F103" s="8" t="n"/>
      <c r="G103" s="8">
        <f>IF(A103="","",E103+F103)</f>
        <v/>
      </c>
      <c r="H103" s="7">
        <f>IF(A103="","",IF(G103&lt;0,"Économie","Perte"))</f>
        <v/>
      </c>
      <c r="I103" s="7" t="n"/>
    </row>
    <row r="104">
      <c r="A104" s="4" t="n"/>
      <c r="B104" s="4" t="n"/>
      <c r="C104" s="4" t="n"/>
      <c r="D104" s="4" t="n"/>
      <c r="E104" s="5" t="n"/>
      <c r="F104" s="5" t="n"/>
      <c r="G104" s="5">
        <f>IF(A104="","",E104+F104)</f>
        <v/>
      </c>
      <c r="H104" s="4">
        <f>IF(A104="","",IF(G104&lt;0,"Économie","Perte"))</f>
        <v/>
      </c>
      <c r="I104" s="4" t="n"/>
    </row>
    <row r="105">
      <c r="A105" s="7" t="n"/>
      <c r="B105" s="7" t="n"/>
      <c r="C105" s="7" t="n"/>
      <c r="D105" s="7" t="n"/>
      <c r="E105" s="8" t="n"/>
      <c r="F105" s="8" t="n"/>
      <c r="G105" s="8">
        <f>IF(A105="","",E105+F105)</f>
        <v/>
      </c>
      <c r="H105" s="7">
        <f>IF(A105="","",IF(G105&lt;0,"Économie","Perte"))</f>
        <v/>
      </c>
      <c r="I105" s="7" t="n"/>
    </row>
    <row r="106">
      <c r="A106" s="4" t="n"/>
      <c r="B106" s="4" t="n"/>
      <c r="C106" s="4" t="n"/>
      <c r="D106" s="4" t="n"/>
      <c r="E106" s="5" t="n"/>
      <c r="F106" s="5" t="n"/>
      <c r="G106" s="5">
        <f>IF(A106="","",E106+F106)</f>
        <v/>
      </c>
      <c r="H106" s="4">
        <f>IF(A106="","",IF(G106&lt;0,"Économie","Perte"))</f>
        <v/>
      </c>
      <c r="I106" s="4" t="n"/>
    </row>
    <row r="107">
      <c r="A107" s="7" t="n"/>
      <c r="B107" s="7" t="n"/>
      <c r="C107" s="7" t="n"/>
      <c r="D107" s="7" t="n"/>
      <c r="E107" s="8" t="n"/>
      <c r="F107" s="8" t="n"/>
      <c r="G107" s="8">
        <f>IF(A107="","",E107+F107)</f>
        <v/>
      </c>
      <c r="H107" s="7">
        <f>IF(A107="","",IF(G107&lt;0,"Économie","Perte"))</f>
        <v/>
      </c>
      <c r="I107" s="7" t="n"/>
    </row>
    <row r="108">
      <c r="A108" s="4" t="n"/>
      <c r="B108" s="4" t="n"/>
      <c r="C108" s="4" t="n"/>
      <c r="D108" s="4" t="n"/>
      <c r="E108" s="5" t="n"/>
      <c r="F108" s="5" t="n"/>
      <c r="G108" s="5">
        <f>IF(A108="","",E108+F108)</f>
        <v/>
      </c>
      <c r="H108" s="4">
        <f>IF(A108="","",IF(G108&lt;0,"Économie","Perte"))</f>
        <v/>
      </c>
      <c r="I108" s="4" t="n"/>
    </row>
    <row r="109">
      <c r="A109" s="7" t="n"/>
      <c r="B109" s="7" t="n"/>
      <c r="C109" s="7" t="n"/>
      <c r="D109" s="7" t="n"/>
      <c r="E109" s="8" t="n"/>
      <c r="F109" s="8" t="n"/>
      <c r="G109" s="8">
        <f>IF(A109="","",E109+F109)</f>
        <v/>
      </c>
      <c r="H109" s="7">
        <f>IF(A109="","",IF(G109&lt;0,"Économie","Perte"))</f>
        <v/>
      </c>
      <c r="I109" s="7" t="n"/>
    </row>
    <row r="110">
      <c r="A110" s="4" t="n"/>
      <c r="B110" s="4" t="n"/>
      <c r="C110" s="4" t="n"/>
      <c r="D110" s="4" t="n"/>
      <c r="E110" s="5" t="n"/>
      <c r="F110" s="5" t="n"/>
      <c r="G110" s="5">
        <f>IF(A110="","",E110+F110)</f>
        <v/>
      </c>
      <c r="H110" s="4">
        <f>IF(A110="","",IF(G110&lt;0,"Économie","Perte"))</f>
        <v/>
      </c>
      <c r="I110" s="4" t="n"/>
    </row>
    <row r="111">
      <c r="A111" s="7" t="n"/>
      <c r="B111" s="7" t="n"/>
      <c r="C111" s="7" t="n"/>
      <c r="D111" s="7" t="n"/>
      <c r="E111" s="8" t="n"/>
      <c r="F111" s="8" t="n"/>
      <c r="G111" s="8">
        <f>IF(A111="","",E111+F111)</f>
        <v/>
      </c>
      <c r="H111" s="7">
        <f>IF(A111="","",IF(G111&lt;0,"Économie","Perte"))</f>
        <v/>
      </c>
      <c r="I111" s="7" t="n"/>
    </row>
    <row r="112">
      <c r="A112" s="4" t="n"/>
      <c r="B112" s="4" t="n"/>
      <c r="C112" s="4" t="n"/>
      <c r="D112" s="4" t="n"/>
      <c r="E112" s="5" t="n"/>
      <c r="F112" s="5" t="n"/>
      <c r="G112" s="5">
        <f>IF(A112="","",E112+F112)</f>
        <v/>
      </c>
      <c r="H112" s="4">
        <f>IF(A112="","",IF(G112&lt;0,"Économie","Perte"))</f>
        <v/>
      </c>
      <c r="I112" s="4" t="n"/>
    </row>
    <row r="113">
      <c r="A113" s="7" t="n"/>
      <c r="B113" s="7" t="n"/>
      <c r="C113" s="7" t="n"/>
      <c r="D113" s="7" t="n"/>
      <c r="E113" s="8" t="n"/>
      <c r="F113" s="8" t="n"/>
      <c r="G113" s="8">
        <f>IF(A113="","",E113+F113)</f>
        <v/>
      </c>
      <c r="H113" s="7">
        <f>IF(A113="","",IF(G113&lt;0,"Économie","Perte"))</f>
        <v/>
      </c>
      <c r="I113" s="7" t="n"/>
    </row>
    <row r="114">
      <c r="A114" s="4" t="n"/>
      <c r="B114" s="4" t="n"/>
      <c r="C114" s="4" t="n"/>
      <c r="D114" s="4" t="n"/>
      <c r="E114" s="5" t="n"/>
      <c r="F114" s="5" t="n"/>
      <c r="G114" s="5">
        <f>IF(A114="","",E114+F114)</f>
        <v/>
      </c>
      <c r="H114" s="4">
        <f>IF(A114="","",IF(G114&lt;0,"Économie","Perte"))</f>
        <v/>
      </c>
      <c r="I114" s="4" t="n"/>
    </row>
    <row r="115">
      <c r="A115" s="7" t="n"/>
      <c r="B115" s="7" t="n"/>
      <c r="C115" s="7" t="n"/>
      <c r="D115" s="7" t="n"/>
      <c r="E115" s="8" t="n"/>
      <c r="F115" s="8" t="n"/>
      <c r="G115" s="8">
        <f>IF(A115="","",E115+F115)</f>
        <v/>
      </c>
      <c r="H115" s="7">
        <f>IF(A115="","",IF(G115&lt;0,"Économie","Perte"))</f>
        <v/>
      </c>
      <c r="I115" s="7" t="n"/>
    </row>
  </sheetData>
  <mergeCells count="2">
    <mergeCell ref="A3:P3"/>
    <mergeCell ref="A2:P2"/>
  </mergeCells>
  <conditionalFormatting sqref="H6:H115">
    <cfRule type="cellIs" priority="1" operator="equal" dxfId="1">
      <formula>"Économie"</formula>
    </cfRule>
    <cfRule type="cellIs" priority="2" operator="equal" dxfId="2">
      <formula>"Perte"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B5E20"/>
    <outlinePr summaryBelow="1" summaryRight="1"/>
    <pageSetUpPr/>
  </sheetPr>
  <dimension ref="A2:R1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</cols>
  <sheetData>
    <row r="2" ht="25" customHeight="1">
      <c r="A2" s="1" t="inlineStr">
        <is>
          <t>DOMAINE 27 — 17-TABLEAU DE BORD CONSOLIDÉ SANTÉ SÉCURITÉ</t>
        </is>
      </c>
    </row>
    <row r="3" ht="18" customHeight="1">
      <c r="A3" s="2" t="inlineStr">
        <is>
          <t>TABLEAU DYNAMIQUE — Vue consolidée trimestrielle</t>
        </is>
      </c>
    </row>
    <row r="5">
      <c r="A5" s="3" t="inlineStr">
        <is>
          <t>Indicateur</t>
        </is>
      </c>
      <c r="B5" s="3" t="inlineStr">
        <is>
          <t>Janvier</t>
        </is>
      </c>
      <c r="C5" s="3" t="inlineStr">
        <is>
          <t>Février</t>
        </is>
      </c>
      <c r="D5" s="3" t="inlineStr">
        <is>
          <t>Mars</t>
        </is>
      </c>
      <c r="E5" s="3" t="inlineStr">
        <is>
          <t>T1</t>
        </is>
      </c>
      <c r="F5" s="3" t="inlineStr">
        <is>
          <t>Avril</t>
        </is>
      </c>
      <c r="G5" s="3" t="inlineStr">
        <is>
          <t>Mai</t>
        </is>
      </c>
      <c r="H5" s="3" t="inlineStr">
        <is>
          <t>Juin</t>
        </is>
      </c>
      <c r="I5" s="3" t="inlineStr">
        <is>
          <t>T2</t>
        </is>
      </c>
      <c r="J5" s="3" t="inlineStr">
        <is>
          <t>Juillet</t>
        </is>
      </c>
      <c r="K5" s="3" t="inlineStr">
        <is>
          <t>Août</t>
        </is>
      </c>
      <c r="L5" s="3" t="inlineStr">
        <is>
          <t>Septembre</t>
        </is>
      </c>
      <c r="M5" s="3" t="inlineStr">
        <is>
          <t>T3</t>
        </is>
      </c>
      <c r="N5" s="3" t="inlineStr">
        <is>
          <t>Octobre</t>
        </is>
      </c>
      <c r="O5" s="3" t="inlineStr">
        <is>
          <t>Novembre</t>
        </is>
      </c>
      <c r="P5" s="3" t="inlineStr">
        <is>
          <t>Décembre</t>
        </is>
      </c>
      <c r="Q5" s="3" t="inlineStr">
        <is>
          <t>T4</t>
        </is>
      </c>
      <c r="R5" s="3" t="inlineStr">
        <is>
          <t>Total Annuel</t>
        </is>
      </c>
    </row>
    <row r="6">
      <c r="A6" s="4" t="inlineStr">
        <is>
          <t>Nb Accidents</t>
        </is>
      </c>
      <c r="B6" s="5" t="n">
        <v>1</v>
      </c>
      <c r="C6" s="5" t="n">
        <v>2</v>
      </c>
      <c r="D6" s="5" t="n">
        <v>3</v>
      </c>
      <c r="E6" s="5" t="n"/>
      <c r="F6" s="5" t="n">
        <v>2</v>
      </c>
      <c r="G6" s="5" t="n">
        <v>1</v>
      </c>
      <c r="H6" s="5" t="n">
        <v>1</v>
      </c>
      <c r="I6" s="5">
        <f>SUM(F6:H6)</f>
        <v/>
      </c>
      <c r="J6" s="5" t="n">
        <v>0</v>
      </c>
      <c r="K6" s="5" t="n">
        <v>0</v>
      </c>
      <c r="L6" s="5" t="n">
        <v>0</v>
      </c>
      <c r="M6" s="5">
        <f>SUM(J6:L6)</f>
        <v/>
      </c>
      <c r="N6" s="5" t="n">
        <v>0</v>
      </c>
      <c r="O6" s="5" t="n">
        <v>0</v>
      </c>
      <c r="P6" s="5" t="n">
        <v>0</v>
      </c>
      <c r="Q6" s="5">
        <f>SUM(N6:P6)</f>
        <v/>
      </c>
      <c r="R6" s="5">
        <f>E6+I6+M6+Q6</f>
        <v/>
      </c>
    </row>
    <row r="7">
      <c r="A7" s="7" t="inlineStr">
        <is>
          <t>Jours d'Arrêt</t>
        </is>
      </c>
      <c r="B7" s="8" t="n">
        <v>5</v>
      </c>
      <c r="C7" s="8" t="n">
        <v>4</v>
      </c>
      <c r="D7" s="8" t="n">
        <v>21</v>
      </c>
      <c r="E7" s="8" t="n"/>
      <c r="F7" s="8" t="n">
        <v>25</v>
      </c>
      <c r="G7" s="8" t="n">
        <v>3</v>
      </c>
      <c r="H7" s="8" t="n">
        <v>4</v>
      </c>
      <c r="I7" s="8">
        <f>SUM(F7:H7)</f>
        <v/>
      </c>
      <c r="J7" s="8" t="n">
        <v>0</v>
      </c>
      <c r="K7" s="8" t="n">
        <v>0</v>
      </c>
      <c r="L7" s="8" t="n">
        <v>0</v>
      </c>
      <c r="M7" s="8">
        <f>SUM(J7:L7)</f>
        <v/>
      </c>
      <c r="N7" s="8" t="n">
        <v>0</v>
      </c>
      <c r="O7" s="8" t="n">
        <v>0</v>
      </c>
      <c r="P7" s="8" t="n">
        <v>0</v>
      </c>
      <c r="Q7" s="8">
        <f>SUM(N7:P7)</f>
        <v/>
      </c>
      <c r="R7" s="8">
        <f>E7+I7+M7+Q7</f>
        <v/>
      </c>
    </row>
    <row r="8">
      <c r="A8" s="4" t="inlineStr">
        <is>
          <t>Coûts Accidents (FCFA)</t>
        </is>
      </c>
      <c r="B8" s="5" t="n">
        <v>150000</v>
      </c>
      <c r="C8" s="5" t="n">
        <v>200000</v>
      </c>
      <c r="D8" s="5" t="n">
        <v>550000</v>
      </c>
      <c r="E8" s="5" t="n"/>
      <c r="F8" s="5" t="n">
        <v>600000</v>
      </c>
      <c r="G8" s="5" t="n">
        <v>80000</v>
      </c>
      <c r="H8" s="5" t="n">
        <v>140000</v>
      </c>
      <c r="I8" s="5">
        <f>SUM(F8:H8)</f>
        <v/>
      </c>
      <c r="J8" s="5" t="n">
        <v>0</v>
      </c>
      <c r="K8" s="5" t="n">
        <v>0</v>
      </c>
      <c r="L8" s="5" t="n">
        <v>0</v>
      </c>
      <c r="M8" s="5">
        <f>SUM(J8:L8)</f>
        <v/>
      </c>
      <c r="N8" s="5" t="n">
        <v>0</v>
      </c>
      <c r="O8" s="5" t="n">
        <v>0</v>
      </c>
      <c r="P8" s="5" t="n">
        <v>0</v>
      </c>
      <c r="Q8" s="5">
        <f>SUM(N8:P8)</f>
        <v/>
      </c>
      <c r="R8" s="5">
        <f>E8+I8+M8+Q8</f>
        <v/>
      </c>
    </row>
    <row r="9">
      <c r="A9" s="7" t="inlineStr">
        <is>
          <t>Coûts Prévention (FCFA)</t>
        </is>
      </c>
      <c r="B9" s="8" t="n">
        <v>1200000</v>
      </c>
      <c r="C9" s="8" t="n">
        <v>950000</v>
      </c>
      <c r="D9" s="8" t="n">
        <v>1800000</v>
      </c>
      <c r="E9" s="8" t="n"/>
      <c r="F9" s="8" t="n">
        <v>1100000</v>
      </c>
      <c r="G9" s="8" t="n">
        <v>700000</v>
      </c>
      <c r="H9" s="8" t="n">
        <v>500000</v>
      </c>
      <c r="I9" s="8">
        <f>SUM(F9:H9)</f>
        <v/>
      </c>
      <c r="J9" s="8" t="n">
        <v>600000</v>
      </c>
      <c r="K9" s="8" t="n">
        <v>500000</v>
      </c>
      <c r="L9" s="8" t="n">
        <v>400000</v>
      </c>
      <c r="M9" s="8">
        <f>SUM(J9:L9)</f>
        <v/>
      </c>
      <c r="N9" s="8" t="n">
        <v>500000</v>
      </c>
      <c r="O9" s="8" t="n">
        <v>500000</v>
      </c>
      <c r="P9" s="8" t="n">
        <v>400000</v>
      </c>
      <c r="Q9" s="8">
        <f>SUM(N9:P9)</f>
        <v/>
      </c>
      <c r="R9" s="8">
        <f>E9+I9+M9+Q9</f>
        <v/>
      </c>
    </row>
    <row r="10">
      <c r="A10" s="4" t="inlineStr">
        <is>
          <t>Nb Formations</t>
        </is>
      </c>
      <c r="B10" s="5" t="n">
        <v>1</v>
      </c>
      <c r="C10" s="5" t="n">
        <v>1</v>
      </c>
      <c r="D10" s="5" t="n">
        <v>2</v>
      </c>
      <c r="E10" s="5" t="n"/>
      <c r="F10" s="5" t="n">
        <v>2</v>
      </c>
      <c r="G10" s="5" t="n">
        <v>1</v>
      </c>
      <c r="H10" s="5" t="n">
        <v>1</v>
      </c>
      <c r="I10" s="5">
        <f>SUM(F10:H10)</f>
        <v/>
      </c>
      <c r="J10" s="5" t="n">
        <v>1</v>
      </c>
      <c r="K10" s="5" t="n">
        <v>0</v>
      </c>
      <c r="L10" s="5" t="n">
        <v>1</v>
      </c>
      <c r="M10" s="5">
        <f>SUM(J10:L10)</f>
        <v/>
      </c>
      <c r="N10" s="5" t="n">
        <v>1</v>
      </c>
      <c r="O10" s="5" t="n">
        <v>1</v>
      </c>
      <c r="P10" s="5" t="n">
        <v>1</v>
      </c>
      <c r="Q10" s="5">
        <f>SUM(N10:P10)</f>
        <v/>
      </c>
      <c r="R10" s="5">
        <f>E10+I10+M10+Q10</f>
        <v/>
      </c>
    </row>
    <row r="11">
      <c r="A11" s="7" t="inlineStr">
        <is>
          <t>Nb Inspections</t>
        </is>
      </c>
      <c r="B11" s="8" t="n">
        <v>1</v>
      </c>
      <c r="C11" s="8" t="n">
        <v>1</v>
      </c>
      <c r="D11" s="8" t="n">
        <v>2</v>
      </c>
      <c r="E11" s="8" t="n"/>
      <c r="F11" s="8" t="n">
        <v>2</v>
      </c>
      <c r="G11" s="8" t="n">
        <v>1</v>
      </c>
      <c r="H11" s="8" t="n">
        <v>0</v>
      </c>
      <c r="I11" s="8">
        <f>SUM(F11:H11)</f>
        <v/>
      </c>
      <c r="J11" s="8" t="n">
        <v>1</v>
      </c>
      <c r="K11" s="8" t="n">
        <v>1</v>
      </c>
      <c r="L11" s="8" t="n">
        <v>1</v>
      </c>
      <c r="M11" s="8">
        <f>SUM(J11:L11)</f>
        <v/>
      </c>
      <c r="N11" s="8" t="n">
        <v>1</v>
      </c>
      <c r="O11" s="8" t="n">
        <v>1</v>
      </c>
      <c r="P11" s="8" t="n">
        <v>1</v>
      </c>
      <c r="Q11" s="8">
        <f>SUM(N11:P11)</f>
        <v/>
      </c>
      <c r="R11" s="8">
        <f>E11+I11+M11+Q11</f>
        <v/>
      </c>
    </row>
    <row r="12">
      <c r="A12" s="4" t="inlineStr">
        <is>
          <t>TOTAL COÛTS (FCFA)</t>
        </is>
      </c>
      <c r="B12" s="5">
        <f>SUM(B8:B9)</f>
        <v/>
      </c>
      <c r="C12" s="5">
        <f>SUM(C8:C9)</f>
        <v/>
      </c>
      <c r="D12" s="5">
        <f>SUM(D8:D9)</f>
        <v/>
      </c>
      <c r="E12" s="5">
        <f>SUM(E8:E9)</f>
        <v/>
      </c>
      <c r="F12" s="5">
        <f>SUM(F8:F9)</f>
        <v/>
      </c>
      <c r="G12" s="5">
        <f>SUM(G8:G9)</f>
        <v/>
      </c>
      <c r="H12" s="5">
        <f>SUM(H8:H9)</f>
        <v/>
      </c>
      <c r="I12" s="5">
        <f>SUM(I8:I9)</f>
        <v/>
      </c>
      <c r="J12" s="5">
        <f>SUM(J8:J9)</f>
        <v/>
      </c>
      <c r="K12" s="5">
        <f>SUM(K8:K9)</f>
        <v/>
      </c>
      <c r="L12" s="5">
        <f>SUM(L8:L9)</f>
        <v/>
      </c>
      <c r="M12" s="5">
        <f>SUM(M8:M9)</f>
        <v/>
      </c>
      <c r="N12" s="5">
        <f>SUM(N8:N9)</f>
        <v/>
      </c>
      <c r="O12" s="5">
        <f>SUM(O8:O9)</f>
        <v/>
      </c>
      <c r="P12" s="5">
        <f>SUM(P8:P9)</f>
        <v/>
      </c>
      <c r="Q12" s="5">
        <f>SUM(Q8:Q9)</f>
        <v/>
      </c>
      <c r="R12" s="5">
        <f>SUM(R8:R9)</f>
        <v/>
      </c>
    </row>
    <row r="13">
      <c r="A13" s="7" t="n"/>
      <c r="B13" s="8" t="n"/>
      <c r="C13" s="8" t="n"/>
      <c r="D13" s="8" t="n"/>
      <c r="E13" s="8">
        <f>IF(A13="","",SUM(B13:D13))</f>
        <v/>
      </c>
      <c r="F13" s="8" t="n"/>
      <c r="G13" s="8" t="n"/>
      <c r="H13" s="8" t="n"/>
      <c r="I13" s="8">
        <f>IF(A13="","",SUM(F13:H13))</f>
        <v/>
      </c>
      <c r="J13" s="8" t="n"/>
      <c r="K13" s="8" t="n"/>
      <c r="L13" s="8" t="n"/>
      <c r="M13" s="8">
        <f>IF(A13="","",SUM(J13:L13))</f>
        <v/>
      </c>
      <c r="N13" s="8" t="n"/>
      <c r="O13" s="8" t="n"/>
      <c r="P13" s="8" t="n"/>
      <c r="Q13" s="8">
        <f>IF(A13="","",SUM(N13:P13))</f>
        <v/>
      </c>
      <c r="R13" s="8">
        <f>IF(A13="","",E13+I13+M13+Q13)</f>
        <v/>
      </c>
    </row>
    <row r="14">
      <c r="A14" s="4" t="n"/>
      <c r="B14" s="5" t="n"/>
      <c r="C14" s="5" t="n"/>
      <c r="D14" s="5" t="n"/>
      <c r="E14" s="5">
        <f>IF(A14="","",SUM(B14:D14))</f>
        <v/>
      </c>
      <c r="F14" s="5" t="n"/>
      <c r="G14" s="5" t="n"/>
      <c r="H14" s="5" t="n"/>
      <c r="I14" s="5">
        <f>IF(A14="","",SUM(F14:H14))</f>
        <v/>
      </c>
      <c r="J14" s="5" t="n"/>
      <c r="K14" s="5" t="n"/>
      <c r="L14" s="5" t="n"/>
      <c r="M14" s="5">
        <f>IF(A14="","",SUM(J14:L14))</f>
        <v/>
      </c>
      <c r="N14" s="5" t="n"/>
      <c r="O14" s="5" t="n"/>
      <c r="P14" s="5" t="n"/>
      <c r="Q14" s="5">
        <f>IF(A14="","",SUM(N14:P14))</f>
        <v/>
      </c>
      <c r="R14" s="5">
        <f>IF(A14="","",E14+I14+M14+Q14)</f>
        <v/>
      </c>
    </row>
    <row r="15">
      <c r="A15" s="7" t="n"/>
      <c r="B15" s="8" t="n"/>
      <c r="C15" s="8" t="n"/>
      <c r="D15" s="8" t="n"/>
      <c r="E15" s="8">
        <f>IF(A15="","",SUM(B15:D15))</f>
        <v/>
      </c>
      <c r="F15" s="8" t="n"/>
      <c r="G15" s="8" t="n"/>
      <c r="H15" s="8" t="n"/>
      <c r="I15" s="8">
        <f>IF(A15="","",SUM(F15:H15))</f>
        <v/>
      </c>
      <c r="J15" s="8" t="n"/>
      <c r="K15" s="8" t="n"/>
      <c r="L15" s="8" t="n"/>
      <c r="M15" s="8">
        <f>IF(A15="","",SUM(J15:L15))</f>
        <v/>
      </c>
      <c r="N15" s="8" t="n"/>
      <c r="O15" s="8" t="n"/>
      <c r="P15" s="8" t="n"/>
      <c r="Q15" s="8">
        <f>IF(A15="","",SUM(N15:P15))</f>
        <v/>
      </c>
      <c r="R15" s="8">
        <f>IF(A15="","",E15+I15+M15+Q15)</f>
        <v/>
      </c>
    </row>
    <row r="16">
      <c r="A16" s="4" t="n"/>
      <c r="B16" s="5" t="n"/>
      <c r="C16" s="5" t="n"/>
      <c r="D16" s="5" t="n"/>
      <c r="E16" s="5">
        <f>IF(A16="","",SUM(B16:D16))</f>
        <v/>
      </c>
      <c r="F16" s="5" t="n"/>
      <c r="G16" s="5" t="n"/>
      <c r="H16" s="5" t="n"/>
      <c r="I16" s="5">
        <f>IF(A16="","",SUM(F16:H16))</f>
        <v/>
      </c>
      <c r="J16" s="5" t="n"/>
      <c r="K16" s="5" t="n"/>
      <c r="L16" s="5" t="n"/>
      <c r="M16" s="5">
        <f>IF(A16="","",SUM(J16:L16))</f>
        <v/>
      </c>
      <c r="N16" s="5" t="n"/>
      <c r="O16" s="5" t="n"/>
      <c r="P16" s="5" t="n"/>
      <c r="Q16" s="5">
        <f>IF(A16="","",SUM(N16:P16))</f>
        <v/>
      </c>
      <c r="R16" s="5">
        <f>IF(A16="","",E16+I16+M16+Q16)</f>
        <v/>
      </c>
    </row>
    <row r="17">
      <c r="A17" s="7" t="n"/>
      <c r="B17" s="8" t="n"/>
      <c r="C17" s="8" t="n"/>
      <c r="D17" s="8" t="n"/>
      <c r="E17" s="8">
        <f>IF(A17="","",SUM(B17:D17))</f>
        <v/>
      </c>
      <c r="F17" s="8" t="n"/>
      <c r="G17" s="8" t="n"/>
      <c r="H17" s="8" t="n"/>
      <c r="I17" s="8">
        <f>IF(A17="","",SUM(F17:H17))</f>
        <v/>
      </c>
      <c r="J17" s="8" t="n"/>
      <c r="K17" s="8" t="n"/>
      <c r="L17" s="8" t="n"/>
      <c r="M17" s="8">
        <f>IF(A17="","",SUM(J17:L17))</f>
        <v/>
      </c>
      <c r="N17" s="8" t="n"/>
      <c r="O17" s="8" t="n"/>
      <c r="P17" s="8" t="n"/>
      <c r="Q17" s="8">
        <f>IF(A17="","",SUM(N17:P17))</f>
        <v/>
      </c>
      <c r="R17" s="8">
        <f>IF(A17="","",E17+I17+M17+Q17)</f>
        <v/>
      </c>
    </row>
    <row r="18">
      <c r="A18" s="4" t="n"/>
      <c r="B18" s="5" t="n"/>
      <c r="C18" s="5" t="n"/>
      <c r="D18" s="5" t="n"/>
      <c r="E18" s="5">
        <f>IF(A18="","",SUM(B18:D18))</f>
        <v/>
      </c>
      <c r="F18" s="5" t="n"/>
      <c r="G18" s="5" t="n"/>
      <c r="H18" s="5" t="n"/>
      <c r="I18" s="5">
        <f>IF(A18="","",SUM(F18:H18))</f>
        <v/>
      </c>
      <c r="J18" s="5" t="n"/>
      <c r="K18" s="5" t="n"/>
      <c r="L18" s="5" t="n"/>
      <c r="M18" s="5">
        <f>IF(A18="","",SUM(J18:L18))</f>
        <v/>
      </c>
      <c r="N18" s="5" t="n"/>
      <c r="O18" s="5" t="n"/>
      <c r="P18" s="5" t="n"/>
      <c r="Q18" s="5">
        <f>IF(A18="","",SUM(N18:P18))</f>
        <v/>
      </c>
      <c r="R18" s="5">
        <f>IF(A18="","",E18+I18+M18+Q18)</f>
        <v/>
      </c>
    </row>
    <row r="19">
      <c r="A19" s="7" t="n"/>
      <c r="B19" s="8" t="n"/>
      <c r="C19" s="8" t="n"/>
      <c r="D19" s="8" t="n"/>
      <c r="E19" s="8">
        <f>IF(A19="","",SUM(B19:D19))</f>
        <v/>
      </c>
      <c r="F19" s="8" t="n"/>
      <c r="G19" s="8" t="n"/>
      <c r="H19" s="8" t="n"/>
      <c r="I19" s="8">
        <f>IF(A19="","",SUM(F19:H19))</f>
        <v/>
      </c>
      <c r="J19" s="8" t="n"/>
      <c r="K19" s="8" t="n"/>
      <c r="L19" s="8" t="n"/>
      <c r="M19" s="8">
        <f>IF(A19="","",SUM(J19:L19))</f>
        <v/>
      </c>
      <c r="N19" s="8" t="n"/>
      <c r="O19" s="8" t="n"/>
      <c r="P19" s="8" t="n"/>
      <c r="Q19" s="8">
        <f>IF(A19="","",SUM(N19:P19))</f>
        <v/>
      </c>
      <c r="R19" s="8">
        <f>IF(A19="","",E19+I19+M19+Q19)</f>
        <v/>
      </c>
    </row>
    <row r="20">
      <c r="A20" s="4" t="n"/>
      <c r="B20" s="5" t="n"/>
      <c r="C20" s="5" t="n"/>
      <c r="D20" s="5" t="n"/>
      <c r="E20" s="5">
        <f>IF(A20="","",SUM(B20:D20))</f>
        <v/>
      </c>
      <c r="F20" s="5" t="n"/>
      <c r="G20" s="5" t="n"/>
      <c r="H20" s="5" t="n"/>
      <c r="I20" s="5">
        <f>IF(A20="","",SUM(F20:H20))</f>
        <v/>
      </c>
      <c r="J20" s="5" t="n"/>
      <c r="K20" s="5" t="n"/>
      <c r="L20" s="5" t="n"/>
      <c r="M20" s="5">
        <f>IF(A20="","",SUM(J20:L20))</f>
        <v/>
      </c>
      <c r="N20" s="5" t="n"/>
      <c r="O20" s="5" t="n"/>
      <c r="P20" s="5" t="n"/>
      <c r="Q20" s="5">
        <f>IF(A20="","",SUM(N20:P20))</f>
        <v/>
      </c>
      <c r="R20" s="5">
        <f>IF(A20="","",E20+I20+M20+Q20)</f>
        <v/>
      </c>
    </row>
    <row r="21">
      <c r="A21" s="7" t="n"/>
      <c r="B21" s="8" t="n"/>
      <c r="C21" s="8" t="n"/>
      <c r="D21" s="8" t="n"/>
      <c r="E21" s="8">
        <f>IF(A21="","",SUM(B21:D21))</f>
        <v/>
      </c>
      <c r="F21" s="8" t="n"/>
      <c r="G21" s="8" t="n"/>
      <c r="H21" s="8" t="n"/>
      <c r="I21" s="8">
        <f>IF(A21="","",SUM(F21:H21))</f>
        <v/>
      </c>
      <c r="J21" s="8" t="n"/>
      <c r="K21" s="8" t="n"/>
      <c r="L21" s="8" t="n"/>
      <c r="M21" s="8">
        <f>IF(A21="","",SUM(J21:L21))</f>
        <v/>
      </c>
      <c r="N21" s="8" t="n"/>
      <c r="O21" s="8" t="n"/>
      <c r="P21" s="8" t="n"/>
      <c r="Q21" s="8">
        <f>IF(A21="","",SUM(N21:P21))</f>
        <v/>
      </c>
      <c r="R21" s="8">
        <f>IF(A21="","",E21+I21+M21+Q21)</f>
        <v/>
      </c>
    </row>
    <row r="22">
      <c r="A22" s="4" t="n"/>
      <c r="B22" s="5" t="n"/>
      <c r="C22" s="5" t="n"/>
      <c r="D22" s="5" t="n"/>
      <c r="E22" s="5">
        <f>IF(A22="","",SUM(B22:D22))</f>
        <v/>
      </c>
      <c r="F22" s="5" t="n"/>
      <c r="G22" s="5" t="n"/>
      <c r="H22" s="5" t="n"/>
      <c r="I22" s="5">
        <f>IF(A22="","",SUM(F22:H22))</f>
        <v/>
      </c>
      <c r="J22" s="5" t="n"/>
      <c r="K22" s="5" t="n"/>
      <c r="L22" s="5" t="n"/>
      <c r="M22" s="5">
        <f>IF(A22="","",SUM(J22:L22))</f>
        <v/>
      </c>
      <c r="N22" s="5" t="n"/>
      <c r="O22" s="5" t="n"/>
      <c r="P22" s="5" t="n"/>
      <c r="Q22" s="5">
        <f>IF(A22="","",SUM(N22:P22))</f>
        <v/>
      </c>
      <c r="R22" s="5">
        <f>IF(A22="","",E22+I22+M22+Q22)</f>
        <v/>
      </c>
    </row>
    <row r="23">
      <c r="A23" s="7" t="n"/>
      <c r="B23" s="8" t="n"/>
      <c r="C23" s="8" t="n"/>
      <c r="D23" s="8" t="n"/>
      <c r="E23" s="8">
        <f>IF(A23="","",SUM(B23:D23))</f>
        <v/>
      </c>
      <c r="F23" s="8" t="n"/>
      <c r="G23" s="8" t="n"/>
      <c r="H23" s="8" t="n"/>
      <c r="I23" s="8">
        <f>IF(A23="","",SUM(F23:H23))</f>
        <v/>
      </c>
      <c r="J23" s="8" t="n"/>
      <c r="K23" s="8" t="n"/>
      <c r="L23" s="8" t="n"/>
      <c r="M23" s="8">
        <f>IF(A23="","",SUM(J23:L23))</f>
        <v/>
      </c>
      <c r="N23" s="8" t="n"/>
      <c r="O23" s="8" t="n"/>
      <c r="P23" s="8" t="n"/>
      <c r="Q23" s="8">
        <f>IF(A23="","",SUM(N23:P23))</f>
        <v/>
      </c>
      <c r="R23" s="8">
        <f>IF(A23="","",E23+I23+M23+Q23)</f>
        <v/>
      </c>
    </row>
    <row r="24">
      <c r="A24" s="4" t="n"/>
      <c r="B24" s="5" t="n"/>
      <c r="C24" s="5" t="n"/>
      <c r="D24" s="5" t="n"/>
      <c r="E24" s="5">
        <f>IF(A24="","",SUM(B24:D24))</f>
        <v/>
      </c>
      <c r="F24" s="5" t="n"/>
      <c r="G24" s="5" t="n"/>
      <c r="H24" s="5" t="n"/>
      <c r="I24" s="5">
        <f>IF(A24="","",SUM(F24:H24))</f>
        <v/>
      </c>
      <c r="J24" s="5" t="n"/>
      <c r="K24" s="5" t="n"/>
      <c r="L24" s="5" t="n"/>
      <c r="M24" s="5">
        <f>IF(A24="","",SUM(J24:L24))</f>
        <v/>
      </c>
      <c r="N24" s="5" t="n"/>
      <c r="O24" s="5" t="n"/>
      <c r="P24" s="5" t="n"/>
      <c r="Q24" s="5">
        <f>IF(A24="","",SUM(N24:P24))</f>
        <v/>
      </c>
      <c r="R24" s="5">
        <f>IF(A24="","",E24+I24+M24+Q24)</f>
        <v/>
      </c>
    </row>
    <row r="25">
      <c r="A25" s="7" t="n"/>
      <c r="B25" s="8" t="n"/>
      <c r="C25" s="8" t="n"/>
      <c r="D25" s="8" t="n"/>
      <c r="E25" s="8">
        <f>IF(A25="","",SUM(B25:D25))</f>
        <v/>
      </c>
      <c r="F25" s="8" t="n"/>
      <c r="G25" s="8" t="n"/>
      <c r="H25" s="8" t="n"/>
      <c r="I25" s="8">
        <f>IF(A25="","",SUM(F25:H25))</f>
        <v/>
      </c>
      <c r="J25" s="8" t="n"/>
      <c r="K25" s="8" t="n"/>
      <c r="L25" s="8" t="n"/>
      <c r="M25" s="8">
        <f>IF(A25="","",SUM(J25:L25))</f>
        <v/>
      </c>
      <c r="N25" s="8" t="n"/>
      <c r="O25" s="8" t="n"/>
      <c r="P25" s="8" t="n"/>
      <c r="Q25" s="8">
        <f>IF(A25="","",SUM(N25:P25))</f>
        <v/>
      </c>
      <c r="R25" s="8">
        <f>IF(A25="","",E25+I25+M25+Q25)</f>
        <v/>
      </c>
    </row>
    <row r="26">
      <c r="A26" s="4" t="n"/>
      <c r="B26" s="5" t="n"/>
      <c r="C26" s="5" t="n"/>
      <c r="D26" s="5" t="n"/>
      <c r="E26" s="5">
        <f>IF(A26="","",SUM(B26:D26))</f>
        <v/>
      </c>
      <c r="F26" s="5" t="n"/>
      <c r="G26" s="5" t="n"/>
      <c r="H26" s="5" t="n"/>
      <c r="I26" s="5">
        <f>IF(A26="","",SUM(F26:H26))</f>
        <v/>
      </c>
      <c r="J26" s="5" t="n"/>
      <c r="K26" s="5" t="n"/>
      <c r="L26" s="5" t="n"/>
      <c r="M26" s="5">
        <f>IF(A26="","",SUM(J26:L26))</f>
        <v/>
      </c>
      <c r="N26" s="5" t="n"/>
      <c r="O26" s="5" t="n"/>
      <c r="P26" s="5" t="n"/>
      <c r="Q26" s="5">
        <f>IF(A26="","",SUM(N26:P26))</f>
        <v/>
      </c>
      <c r="R26" s="5">
        <f>IF(A26="","",E26+I26+M26+Q26)</f>
        <v/>
      </c>
    </row>
    <row r="27">
      <c r="A27" s="7" t="n"/>
      <c r="B27" s="8" t="n"/>
      <c r="C27" s="8" t="n"/>
      <c r="D27" s="8" t="n"/>
      <c r="E27" s="8">
        <f>IF(A27="","",SUM(B27:D27))</f>
        <v/>
      </c>
      <c r="F27" s="8" t="n"/>
      <c r="G27" s="8" t="n"/>
      <c r="H27" s="8" t="n"/>
      <c r="I27" s="8">
        <f>IF(A27="","",SUM(F27:H27))</f>
        <v/>
      </c>
      <c r="J27" s="8" t="n"/>
      <c r="K27" s="8" t="n"/>
      <c r="L27" s="8" t="n"/>
      <c r="M27" s="8">
        <f>IF(A27="","",SUM(J27:L27))</f>
        <v/>
      </c>
      <c r="N27" s="8" t="n"/>
      <c r="O27" s="8" t="n"/>
      <c r="P27" s="8" t="n"/>
      <c r="Q27" s="8">
        <f>IF(A27="","",SUM(N27:P27))</f>
        <v/>
      </c>
      <c r="R27" s="8">
        <f>IF(A27="","",E27+I27+M27+Q27)</f>
        <v/>
      </c>
    </row>
    <row r="28">
      <c r="A28" s="4" t="n"/>
      <c r="B28" s="5" t="n"/>
      <c r="C28" s="5" t="n"/>
      <c r="D28" s="5" t="n"/>
      <c r="E28" s="5">
        <f>IF(A28="","",SUM(B28:D28))</f>
        <v/>
      </c>
      <c r="F28" s="5" t="n"/>
      <c r="G28" s="5" t="n"/>
      <c r="H28" s="5" t="n"/>
      <c r="I28" s="5">
        <f>IF(A28="","",SUM(F28:H28))</f>
        <v/>
      </c>
      <c r="J28" s="5" t="n"/>
      <c r="K28" s="5" t="n"/>
      <c r="L28" s="5" t="n"/>
      <c r="M28" s="5">
        <f>IF(A28="","",SUM(J28:L28))</f>
        <v/>
      </c>
      <c r="N28" s="5" t="n"/>
      <c r="O28" s="5" t="n"/>
      <c r="P28" s="5" t="n"/>
      <c r="Q28" s="5">
        <f>IF(A28="","",SUM(N28:P28))</f>
        <v/>
      </c>
      <c r="R28" s="5">
        <f>IF(A28="","",E28+I28+M28+Q28)</f>
        <v/>
      </c>
    </row>
    <row r="29">
      <c r="A29" s="7" t="n"/>
      <c r="B29" s="8" t="n"/>
      <c r="C29" s="8" t="n"/>
      <c r="D29" s="8" t="n"/>
      <c r="E29" s="8">
        <f>IF(A29="","",SUM(B29:D29))</f>
        <v/>
      </c>
      <c r="F29" s="8" t="n"/>
      <c r="G29" s="8" t="n"/>
      <c r="H29" s="8" t="n"/>
      <c r="I29" s="8">
        <f>IF(A29="","",SUM(F29:H29))</f>
        <v/>
      </c>
      <c r="J29" s="8" t="n"/>
      <c r="K29" s="8" t="n"/>
      <c r="L29" s="8" t="n"/>
      <c r="M29" s="8">
        <f>IF(A29="","",SUM(J29:L29))</f>
        <v/>
      </c>
      <c r="N29" s="8" t="n"/>
      <c r="O29" s="8" t="n"/>
      <c r="P29" s="8" t="n"/>
      <c r="Q29" s="8">
        <f>IF(A29="","",SUM(N29:P29))</f>
        <v/>
      </c>
      <c r="R29" s="8">
        <f>IF(A29="","",E29+I29+M29+Q29)</f>
        <v/>
      </c>
    </row>
    <row r="30">
      <c r="A30" s="4" t="n"/>
      <c r="B30" s="5" t="n"/>
      <c r="C30" s="5" t="n"/>
      <c r="D30" s="5" t="n"/>
      <c r="E30" s="5">
        <f>IF(A30="","",SUM(B30:D30))</f>
        <v/>
      </c>
      <c r="F30" s="5" t="n"/>
      <c r="G30" s="5" t="n"/>
      <c r="H30" s="5" t="n"/>
      <c r="I30" s="5">
        <f>IF(A30="","",SUM(F30:H30))</f>
        <v/>
      </c>
      <c r="J30" s="5" t="n"/>
      <c r="K30" s="5" t="n"/>
      <c r="L30" s="5" t="n"/>
      <c r="M30" s="5">
        <f>IF(A30="","",SUM(J30:L30))</f>
        <v/>
      </c>
      <c r="N30" s="5" t="n"/>
      <c r="O30" s="5" t="n"/>
      <c r="P30" s="5" t="n"/>
      <c r="Q30" s="5">
        <f>IF(A30="","",SUM(N30:P30))</f>
        <v/>
      </c>
      <c r="R30" s="5">
        <f>IF(A30="","",E30+I30+M30+Q30)</f>
        <v/>
      </c>
    </row>
    <row r="31">
      <c r="A31" s="7" t="n"/>
      <c r="B31" s="8" t="n"/>
      <c r="C31" s="8" t="n"/>
      <c r="D31" s="8" t="n"/>
      <c r="E31" s="8">
        <f>IF(A31="","",SUM(B31:D31))</f>
        <v/>
      </c>
      <c r="F31" s="8" t="n"/>
      <c r="G31" s="8" t="n"/>
      <c r="H31" s="8" t="n"/>
      <c r="I31" s="8">
        <f>IF(A31="","",SUM(F31:H31))</f>
        <v/>
      </c>
      <c r="J31" s="8" t="n"/>
      <c r="K31" s="8" t="n"/>
      <c r="L31" s="8" t="n"/>
      <c r="M31" s="8">
        <f>IF(A31="","",SUM(J31:L31))</f>
        <v/>
      </c>
      <c r="N31" s="8" t="n"/>
      <c r="O31" s="8" t="n"/>
      <c r="P31" s="8" t="n"/>
      <c r="Q31" s="8">
        <f>IF(A31="","",SUM(N31:P31))</f>
        <v/>
      </c>
      <c r="R31" s="8">
        <f>IF(A31="","",E31+I31+M31+Q31)</f>
        <v/>
      </c>
    </row>
    <row r="32">
      <c r="A32" s="4" t="n"/>
      <c r="B32" s="5" t="n"/>
      <c r="C32" s="5" t="n"/>
      <c r="D32" s="5" t="n"/>
      <c r="E32" s="5">
        <f>IF(A32="","",SUM(B32:D32))</f>
        <v/>
      </c>
      <c r="F32" s="5" t="n"/>
      <c r="G32" s="5" t="n"/>
      <c r="H32" s="5" t="n"/>
      <c r="I32" s="5">
        <f>IF(A32="","",SUM(F32:H32))</f>
        <v/>
      </c>
      <c r="J32" s="5" t="n"/>
      <c r="K32" s="5" t="n"/>
      <c r="L32" s="5" t="n"/>
      <c r="M32" s="5">
        <f>IF(A32="","",SUM(J32:L32))</f>
        <v/>
      </c>
      <c r="N32" s="5" t="n"/>
      <c r="O32" s="5" t="n"/>
      <c r="P32" s="5" t="n"/>
      <c r="Q32" s="5">
        <f>IF(A32="","",SUM(N32:P32))</f>
        <v/>
      </c>
      <c r="R32" s="5">
        <f>IF(A32="","",E32+I32+M32+Q32)</f>
        <v/>
      </c>
    </row>
    <row r="33">
      <c r="A33" s="7" t="n"/>
      <c r="B33" s="8" t="n"/>
      <c r="C33" s="8" t="n"/>
      <c r="D33" s="8" t="n"/>
      <c r="E33" s="8">
        <f>IF(A33="","",SUM(B33:D33))</f>
        <v/>
      </c>
      <c r="F33" s="8" t="n"/>
      <c r="G33" s="8" t="n"/>
      <c r="H33" s="8" t="n"/>
      <c r="I33" s="8">
        <f>IF(A33="","",SUM(F33:H33))</f>
        <v/>
      </c>
      <c r="J33" s="8" t="n"/>
      <c r="K33" s="8" t="n"/>
      <c r="L33" s="8" t="n"/>
      <c r="M33" s="8">
        <f>IF(A33="","",SUM(J33:L33))</f>
        <v/>
      </c>
      <c r="N33" s="8" t="n"/>
      <c r="O33" s="8" t="n"/>
      <c r="P33" s="8" t="n"/>
      <c r="Q33" s="8">
        <f>IF(A33="","",SUM(N33:P33))</f>
        <v/>
      </c>
      <c r="R33" s="8">
        <f>IF(A33="","",E33+I33+M33+Q33)</f>
        <v/>
      </c>
    </row>
    <row r="34">
      <c r="A34" s="4" t="n"/>
      <c r="B34" s="5" t="n"/>
      <c r="C34" s="5" t="n"/>
      <c r="D34" s="5" t="n"/>
      <c r="E34" s="5">
        <f>IF(A34="","",SUM(B34:D34))</f>
        <v/>
      </c>
      <c r="F34" s="5" t="n"/>
      <c r="G34" s="5" t="n"/>
      <c r="H34" s="5" t="n"/>
      <c r="I34" s="5">
        <f>IF(A34="","",SUM(F34:H34))</f>
        <v/>
      </c>
      <c r="J34" s="5" t="n"/>
      <c r="K34" s="5" t="n"/>
      <c r="L34" s="5" t="n"/>
      <c r="M34" s="5">
        <f>IF(A34="","",SUM(J34:L34))</f>
        <v/>
      </c>
      <c r="N34" s="5" t="n"/>
      <c r="O34" s="5" t="n"/>
      <c r="P34" s="5" t="n"/>
      <c r="Q34" s="5">
        <f>IF(A34="","",SUM(N34:P34))</f>
        <v/>
      </c>
      <c r="R34" s="5">
        <f>IF(A34="","",E34+I34+M34+Q34)</f>
        <v/>
      </c>
    </row>
    <row r="35">
      <c r="A35" s="7" t="n"/>
      <c r="B35" s="8" t="n"/>
      <c r="C35" s="8" t="n"/>
      <c r="D35" s="8" t="n"/>
      <c r="E35" s="8">
        <f>IF(A35="","",SUM(B35:D35))</f>
        <v/>
      </c>
      <c r="F35" s="8" t="n"/>
      <c r="G35" s="8" t="n"/>
      <c r="H35" s="8" t="n"/>
      <c r="I35" s="8">
        <f>IF(A35="","",SUM(F35:H35))</f>
        <v/>
      </c>
      <c r="J35" s="8" t="n"/>
      <c r="K35" s="8" t="n"/>
      <c r="L35" s="8" t="n"/>
      <c r="M35" s="8">
        <f>IF(A35="","",SUM(J35:L35))</f>
        <v/>
      </c>
      <c r="N35" s="8" t="n"/>
      <c r="O35" s="8" t="n"/>
      <c r="P35" s="8" t="n"/>
      <c r="Q35" s="8">
        <f>IF(A35="","",SUM(N35:P35))</f>
        <v/>
      </c>
      <c r="R35" s="8">
        <f>IF(A35="","",E35+I35+M35+Q35)</f>
        <v/>
      </c>
    </row>
    <row r="36">
      <c r="A36" s="4" t="n"/>
      <c r="B36" s="5" t="n"/>
      <c r="C36" s="5" t="n"/>
      <c r="D36" s="5" t="n"/>
      <c r="E36" s="5">
        <f>IF(A36="","",SUM(B36:D36))</f>
        <v/>
      </c>
      <c r="F36" s="5" t="n"/>
      <c r="G36" s="5" t="n"/>
      <c r="H36" s="5" t="n"/>
      <c r="I36" s="5">
        <f>IF(A36="","",SUM(F36:H36))</f>
        <v/>
      </c>
      <c r="J36" s="5" t="n"/>
      <c r="K36" s="5" t="n"/>
      <c r="L36" s="5" t="n"/>
      <c r="M36" s="5">
        <f>IF(A36="","",SUM(J36:L36))</f>
        <v/>
      </c>
      <c r="N36" s="5" t="n"/>
      <c r="O36" s="5" t="n"/>
      <c r="P36" s="5" t="n"/>
      <c r="Q36" s="5">
        <f>IF(A36="","",SUM(N36:P36))</f>
        <v/>
      </c>
      <c r="R36" s="5">
        <f>IF(A36="","",E36+I36+M36+Q36)</f>
        <v/>
      </c>
    </row>
    <row r="37">
      <c r="A37" s="7" t="n"/>
      <c r="B37" s="8" t="n"/>
      <c r="C37" s="8" t="n"/>
      <c r="D37" s="8" t="n"/>
      <c r="E37" s="8">
        <f>IF(A37="","",SUM(B37:D37))</f>
        <v/>
      </c>
      <c r="F37" s="8" t="n"/>
      <c r="G37" s="8" t="n"/>
      <c r="H37" s="8" t="n"/>
      <c r="I37" s="8">
        <f>IF(A37="","",SUM(F37:H37))</f>
        <v/>
      </c>
      <c r="J37" s="8" t="n"/>
      <c r="K37" s="8" t="n"/>
      <c r="L37" s="8" t="n"/>
      <c r="M37" s="8">
        <f>IF(A37="","",SUM(J37:L37))</f>
        <v/>
      </c>
      <c r="N37" s="8" t="n"/>
      <c r="O37" s="8" t="n"/>
      <c r="P37" s="8" t="n"/>
      <c r="Q37" s="8">
        <f>IF(A37="","",SUM(N37:P37))</f>
        <v/>
      </c>
      <c r="R37" s="8">
        <f>IF(A37="","",E37+I37+M37+Q37)</f>
        <v/>
      </c>
    </row>
    <row r="38">
      <c r="A38" s="4" t="n"/>
      <c r="B38" s="5" t="n"/>
      <c r="C38" s="5" t="n"/>
      <c r="D38" s="5" t="n"/>
      <c r="E38" s="5">
        <f>IF(A38="","",SUM(B38:D38))</f>
        <v/>
      </c>
      <c r="F38" s="5" t="n"/>
      <c r="G38" s="5" t="n"/>
      <c r="H38" s="5" t="n"/>
      <c r="I38" s="5">
        <f>IF(A38="","",SUM(F38:H38))</f>
        <v/>
      </c>
      <c r="J38" s="5" t="n"/>
      <c r="K38" s="5" t="n"/>
      <c r="L38" s="5" t="n"/>
      <c r="M38" s="5">
        <f>IF(A38="","",SUM(J38:L38))</f>
        <v/>
      </c>
      <c r="N38" s="5" t="n"/>
      <c r="O38" s="5" t="n"/>
      <c r="P38" s="5" t="n"/>
      <c r="Q38" s="5">
        <f>IF(A38="","",SUM(N38:P38))</f>
        <v/>
      </c>
      <c r="R38" s="5">
        <f>IF(A38="","",E38+I38+M38+Q38)</f>
        <v/>
      </c>
    </row>
    <row r="39">
      <c r="A39" s="7" t="n"/>
      <c r="B39" s="8" t="n"/>
      <c r="C39" s="8" t="n"/>
      <c r="D39" s="8" t="n"/>
      <c r="E39" s="8">
        <f>IF(A39="","",SUM(B39:D39))</f>
        <v/>
      </c>
      <c r="F39" s="8" t="n"/>
      <c r="G39" s="8" t="n"/>
      <c r="H39" s="8" t="n"/>
      <c r="I39" s="8">
        <f>IF(A39="","",SUM(F39:H39))</f>
        <v/>
      </c>
      <c r="J39" s="8" t="n"/>
      <c r="K39" s="8" t="n"/>
      <c r="L39" s="8" t="n"/>
      <c r="M39" s="8">
        <f>IF(A39="","",SUM(J39:L39))</f>
        <v/>
      </c>
      <c r="N39" s="8" t="n"/>
      <c r="O39" s="8" t="n"/>
      <c r="P39" s="8" t="n"/>
      <c r="Q39" s="8">
        <f>IF(A39="","",SUM(N39:P39))</f>
        <v/>
      </c>
      <c r="R39" s="8">
        <f>IF(A39="","",E39+I39+M39+Q39)</f>
        <v/>
      </c>
    </row>
    <row r="40">
      <c r="A40" s="4" t="n"/>
      <c r="B40" s="5" t="n"/>
      <c r="C40" s="5" t="n"/>
      <c r="D40" s="5" t="n"/>
      <c r="E40" s="5">
        <f>IF(A40="","",SUM(B40:D40))</f>
        <v/>
      </c>
      <c r="F40" s="5" t="n"/>
      <c r="G40" s="5" t="n"/>
      <c r="H40" s="5" t="n"/>
      <c r="I40" s="5">
        <f>IF(A40="","",SUM(F40:H40))</f>
        <v/>
      </c>
      <c r="J40" s="5" t="n"/>
      <c r="K40" s="5" t="n"/>
      <c r="L40" s="5" t="n"/>
      <c r="M40" s="5">
        <f>IF(A40="","",SUM(J40:L40))</f>
        <v/>
      </c>
      <c r="N40" s="5" t="n"/>
      <c r="O40" s="5" t="n"/>
      <c r="P40" s="5" t="n"/>
      <c r="Q40" s="5">
        <f>IF(A40="","",SUM(N40:P40))</f>
        <v/>
      </c>
      <c r="R40" s="5">
        <f>IF(A40="","",E40+I40+M40+Q40)</f>
        <v/>
      </c>
    </row>
    <row r="41">
      <c r="A41" s="7" t="n"/>
      <c r="B41" s="8" t="n"/>
      <c r="C41" s="8" t="n"/>
      <c r="D41" s="8" t="n"/>
      <c r="E41" s="8">
        <f>IF(A41="","",SUM(B41:D41))</f>
        <v/>
      </c>
      <c r="F41" s="8" t="n"/>
      <c r="G41" s="8" t="n"/>
      <c r="H41" s="8" t="n"/>
      <c r="I41" s="8">
        <f>IF(A41="","",SUM(F41:H41))</f>
        <v/>
      </c>
      <c r="J41" s="8" t="n"/>
      <c r="K41" s="8" t="n"/>
      <c r="L41" s="8" t="n"/>
      <c r="M41" s="8">
        <f>IF(A41="","",SUM(J41:L41))</f>
        <v/>
      </c>
      <c r="N41" s="8" t="n"/>
      <c r="O41" s="8" t="n"/>
      <c r="P41" s="8" t="n"/>
      <c r="Q41" s="8">
        <f>IF(A41="","",SUM(N41:P41))</f>
        <v/>
      </c>
      <c r="R41" s="8">
        <f>IF(A41="","",E41+I41+M41+Q41)</f>
        <v/>
      </c>
    </row>
    <row r="42">
      <c r="A42" s="4" t="n"/>
      <c r="B42" s="5" t="n"/>
      <c r="C42" s="5" t="n"/>
      <c r="D42" s="5" t="n"/>
      <c r="E42" s="5">
        <f>IF(A42="","",SUM(B42:D42))</f>
        <v/>
      </c>
      <c r="F42" s="5" t="n"/>
      <c r="G42" s="5" t="n"/>
      <c r="H42" s="5" t="n"/>
      <c r="I42" s="5">
        <f>IF(A42="","",SUM(F42:H42))</f>
        <v/>
      </c>
      <c r="J42" s="5" t="n"/>
      <c r="K42" s="5" t="n"/>
      <c r="L42" s="5" t="n"/>
      <c r="M42" s="5">
        <f>IF(A42="","",SUM(J42:L42))</f>
        <v/>
      </c>
      <c r="N42" s="5" t="n"/>
      <c r="O42" s="5" t="n"/>
      <c r="P42" s="5" t="n"/>
      <c r="Q42" s="5">
        <f>IF(A42="","",SUM(N42:P42))</f>
        <v/>
      </c>
      <c r="R42" s="5">
        <f>IF(A42="","",E42+I42+M42+Q42)</f>
        <v/>
      </c>
    </row>
    <row r="43">
      <c r="A43" s="7" t="n"/>
      <c r="B43" s="8" t="n"/>
      <c r="C43" s="8" t="n"/>
      <c r="D43" s="8" t="n"/>
      <c r="E43" s="8">
        <f>IF(A43="","",SUM(B43:D43))</f>
        <v/>
      </c>
      <c r="F43" s="8" t="n"/>
      <c r="G43" s="8" t="n"/>
      <c r="H43" s="8" t="n"/>
      <c r="I43" s="8">
        <f>IF(A43="","",SUM(F43:H43))</f>
        <v/>
      </c>
      <c r="J43" s="8" t="n"/>
      <c r="K43" s="8" t="n"/>
      <c r="L43" s="8" t="n"/>
      <c r="M43" s="8">
        <f>IF(A43="","",SUM(J43:L43))</f>
        <v/>
      </c>
      <c r="N43" s="8" t="n"/>
      <c r="O43" s="8" t="n"/>
      <c r="P43" s="8" t="n"/>
      <c r="Q43" s="8">
        <f>IF(A43="","",SUM(N43:P43))</f>
        <v/>
      </c>
      <c r="R43" s="8">
        <f>IF(A43="","",E43+I43+M43+Q43)</f>
        <v/>
      </c>
    </row>
    <row r="44">
      <c r="A44" s="4" t="n"/>
      <c r="B44" s="5" t="n"/>
      <c r="C44" s="5" t="n"/>
      <c r="D44" s="5" t="n"/>
      <c r="E44" s="5">
        <f>IF(A44="","",SUM(B44:D44))</f>
        <v/>
      </c>
      <c r="F44" s="5" t="n"/>
      <c r="G44" s="5" t="n"/>
      <c r="H44" s="5" t="n"/>
      <c r="I44" s="5">
        <f>IF(A44="","",SUM(F44:H44))</f>
        <v/>
      </c>
      <c r="J44" s="5" t="n"/>
      <c r="K44" s="5" t="n"/>
      <c r="L44" s="5" t="n"/>
      <c r="M44" s="5">
        <f>IF(A44="","",SUM(J44:L44))</f>
        <v/>
      </c>
      <c r="N44" s="5" t="n"/>
      <c r="O44" s="5" t="n"/>
      <c r="P44" s="5" t="n"/>
      <c r="Q44" s="5">
        <f>IF(A44="","",SUM(N44:P44))</f>
        <v/>
      </c>
      <c r="R44" s="5">
        <f>IF(A44="","",E44+I44+M44+Q44)</f>
        <v/>
      </c>
    </row>
    <row r="45">
      <c r="A45" s="7" t="n"/>
      <c r="B45" s="8" t="n"/>
      <c r="C45" s="8" t="n"/>
      <c r="D45" s="8" t="n"/>
      <c r="E45" s="8">
        <f>IF(A45="","",SUM(B45:D45))</f>
        <v/>
      </c>
      <c r="F45" s="8" t="n"/>
      <c r="G45" s="8" t="n"/>
      <c r="H45" s="8" t="n"/>
      <c r="I45" s="8">
        <f>IF(A45="","",SUM(F45:H45))</f>
        <v/>
      </c>
      <c r="J45" s="8" t="n"/>
      <c r="K45" s="8" t="n"/>
      <c r="L45" s="8" t="n"/>
      <c r="M45" s="8">
        <f>IF(A45="","",SUM(J45:L45))</f>
        <v/>
      </c>
      <c r="N45" s="8" t="n"/>
      <c r="O45" s="8" t="n"/>
      <c r="P45" s="8" t="n"/>
      <c r="Q45" s="8">
        <f>IF(A45="","",SUM(N45:P45))</f>
        <v/>
      </c>
      <c r="R45" s="8">
        <f>IF(A45="","",E45+I45+M45+Q45)</f>
        <v/>
      </c>
    </row>
    <row r="46">
      <c r="A46" s="4" t="n"/>
      <c r="B46" s="5" t="n"/>
      <c r="C46" s="5" t="n"/>
      <c r="D46" s="5" t="n"/>
      <c r="E46" s="5">
        <f>IF(A46="","",SUM(B46:D46))</f>
        <v/>
      </c>
      <c r="F46" s="5" t="n"/>
      <c r="G46" s="5" t="n"/>
      <c r="H46" s="5" t="n"/>
      <c r="I46" s="5">
        <f>IF(A46="","",SUM(F46:H46))</f>
        <v/>
      </c>
      <c r="J46" s="5" t="n"/>
      <c r="K46" s="5" t="n"/>
      <c r="L46" s="5" t="n"/>
      <c r="M46" s="5">
        <f>IF(A46="","",SUM(J46:L46))</f>
        <v/>
      </c>
      <c r="N46" s="5" t="n"/>
      <c r="O46" s="5" t="n"/>
      <c r="P46" s="5" t="n"/>
      <c r="Q46" s="5">
        <f>IF(A46="","",SUM(N46:P46))</f>
        <v/>
      </c>
      <c r="R46" s="5">
        <f>IF(A46="","",E46+I46+M46+Q46)</f>
        <v/>
      </c>
    </row>
    <row r="47">
      <c r="A47" s="7" t="n"/>
      <c r="B47" s="8" t="n"/>
      <c r="C47" s="8" t="n"/>
      <c r="D47" s="8" t="n"/>
      <c r="E47" s="8">
        <f>IF(A47="","",SUM(B47:D47))</f>
        <v/>
      </c>
      <c r="F47" s="8" t="n"/>
      <c r="G47" s="8" t="n"/>
      <c r="H47" s="8" t="n"/>
      <c r="I47" s="8">
        <f>IF(A47="","",SUM(F47:H47))</f>
        <v/>
      </c>
      <c r="J47" s="8" t="n"/>
      <c r="K47" s="8" t="n"/>
      <c r="L47" s="8" t="n"/>
      <c r="M47" s="8">
        <f>IF(A47="","",SUM(J47:L47))</f>
        <v/>
      </c>
      <c r="N47" s="8" t="n"/>
      <c r="O47" s="8" t="n"/>
      <c r="P47" s="8" t="n"/>
      <c r="Q47" s="8">
        <f>IF(A47="","",SUM(N47:P47))</f>
        <v/>
      </c>
      <c r="R47" s="8">
        <f>IF(A47="","",E47+I47+M47+Q47)</f>
        <v/>
      </c>
    </row>
    <row r="48">
      <c r="A48" s="4" t="n"/>
      <c r="B48" s="5" t="n"/>
      <c r="C48" s="5" t="n"/>
      <c r="D48" s="5" t="n"/>
      <c r="E48" s="5">
        <f>IF(A48="","",SUM(B48:D48))</f>
        <v/>
      </c>
      <c r="F48" s="5" t="n"/>
      <c r="G48" s="5" t="n"/>
      <c r="H48" s="5" t="n"/>
      <c r="I48" s="5">
        <f>IF(A48="","",SUM(F48:H48))</f>
        <v/>
      </c>
      <c r="J48" s="5" t="n"/>
      <c r="K48" s="5" t="n"/>
      <c r="L48" s="5" t="n"/>
      <c r="M48" s="5">
        <f>IF(A48="","",SUM(J48:L48))</f>
        <v/>
      </c>
      <c r="N48" s="5" t="n"/>
      <c r="O48" s="5" t="n"/>
      <c r="P48" s="5" t="n"/>
      <c r="Q48" s="5">
        <f>IF(A48="","",SUM(N48:P48))</f>
        <v/>
      </c>
      <c r="R48" s="5">
        <f>IF(A48="","",E48+I48+M48+Q48)</f>
        <v/>
      </c>
    </row>
    <row r="49">
      <c r="A49" s="7" t="n"/>
      <c r="B49" s="8" t="n"/>
      <c r="C49" s="8" t="n"/>
      <c r="D49" s="8" t="n"/>
      <c r="E49" s="8">
        <f>IF(A49="","",SUM(B49:D49))</f>
        <v/>
      </c>
      <c r="F49" s="8" t="n"/>
      <c r="G49" s="8" t="n"/>
      <c r="H49" s="8" t="n"/>
      <c r="I49" s="8">
        <f>IF(A49="","",SUM(F49:H49))</f>
        <v/>
      </c>
      <c r="J49" s="8" t="n"/>
      <c r="K49" s="8" t="n"/>
      <c r="L49" s="8" t="n"/>
      <c r="M49" s="8">
        <f>IF(A49="","",SUM(J49:L49))</f>
        <v/>
      </c>
      <c r="N49" s="8" t="n"/>
      <c r="O49" s="8" t="n"/>
      <c r="P49" s="8" t="n"/>
      <c r="Q49" s="8">
        <f>IF(A49="","",SUM(N49:P49))</f>
        <v/>
      </c>
      <c r="R49" s="8">
        <f>IF(A49="","",E49+I49+M49+Q49)</f>
        <v/>
      </c>
    </row>
    <row r="50">
      <c r="A50" s="4" t="n"/>
      <c r="B50" s="5" t="n"/>
      <c r="C50" s="5" t="n"/>
      <c r="D50" s="5" t="n"/>
      <c r="E50" s="5">
        <f>IF(A50="","",SUM(B50:D50))</f>
        <v/>
      </c>
      <c r="F50" s="5" t="n"/>
      <c r="G50" s="5" t="n"/>
      <c r="H50" s="5" t="n"/>
      <c r="I50" s="5">
        <f>IF(A50="","",SUM(F50:H50))</f>
        <v/>
      </c>
      <c r="J50" s="5" t="n"/>
      <c r="K50" s="5" t="n"/>
      <c r="L50" s="5" t="n"/>
      <c r="M50" s="5">
        <f>IF(A50="","",SUM(J50:L50))</f>
        <v/>
      </c>
      <c r="N50" s="5" t="n"/>
      <c r="O50" s="5" t="n"/>
      <c r="P50" s="5" t="n"/>
      <c r="Q50" s="5">
        <f>IF(A50="","",SUM(N50:P50))</f>
        <v/>
      </c>
      <c r="R50" s="5">
        <f>IF(A50="","",E50+I50+M50+Q50)</f>
        <v/>
      </c>
    </row>
    <row r="51">
      <c r="A51" s="7" t="n"/>
      <c r="B51" s="8" t="n"/>
      <c r="C51" s="8" t="n"/>
      <c r="D51" s="8" t="n"/>
      <c r="E51" s="8">
        <f>IF(A51="","",SUM(B51:D51))</f>
        <v/>
      </c>
      <c r="F51" s="8" t="n"/>
      <c r="G51" s="8" t="n"/>
      <c r="H51" s="8" t="n"/>
      <c r="I51" s="8">
        <f>IF(A51="","",SUM(F51:H51))</f>
        <v/>
      </c>
      <c r="J51" s="8" t="n"/>
      <c r="K51" s="8" t="n"/>
      <c r="L51" s="8" t="n"/>
      <c r="M51" s="8">
        <f>IF(A51="","",SUM(J51:L51))</f>
        <v/>
      </c>
      <c r="N51" s="8" t="n"/>
      <c r="O51" s="8" t="n"/>
      <c r="P51" s="8" t="n"/>
      <c r="Q51" s="8">
        <f>IF(A51="","",SUM(N51:P51))</f>
        <v/>
      </c>
      <c r="R51" s="8">
        <f>IF(A51="","",E51+I51+M51+Q51)</f>
        <v/>
      </c>
    </row>
    <row r="52">
      <c r="A52" s="4" t="n"/>
      <c r="B52" s="5" t="n"/>
      <c r="C52" s="5" t="n"/>
      <c r="D52" s="5" t="n"/>
      <c r="E52" s="5">
        <f>IF(A52="","",SUM(B52:D52))</f>
        <v/>
      </c>
      <c r="F52" s="5" t="n"/>
      <c r="G52" s="5" t="n"/>
      <c r="H52" s="5" t="n"/>
      <c r="I52" s="5">
        <f>IF(A52="","",SUM(F52:H52))</f>
        <v/>
      </c>
      <c r="J52" s="5" t="n"/>
      <c r="K52" s="5" t="n"/>
      <c r="L52" s="5" t="n"/>
      <c r="M52" s="5">
        <f>IF(A52="","",SUM(J52:L52))</f>
        <v/>
      </c>
      <c r="N52" s="5" t="n"/>
      <c r="O52" s="5" t="n"/>
      <c r="P52" s="5" t="n"/>
      <c r="Q52" s="5">
        <f>IF(A52="","",SUM(N52:P52))</f>
        <v/>
      </c>
      <c r="R52" s="5">
        <f>IF(A52="","",E52+I52+M52+Q52)</f>
        <v/>
      </c>
    </row>
    <row r="53">
      <c r="A53" s="7" t="n"/>
      <c r="B53" s="8" t="n"/>
      <c r="C53" s="8" t="n"/>
      <c r="D53" s="8" t="n"/>
      <c r="E53" s="8">
        <f>IF(A53="","",SUM(B53:D53))</f>
        <v/>
      </c>
      <c r="F53" s="8" t="n"/>
      <c r="G53" s="8" t="n"/>
      <c r="H53" s="8" t="n"/>
      <c r="I53" s="8">
        <f>IF(A53="","",SUM(F53:H53))</f>
        <v/>
      </c>
      <c r="J53" s="8" t="n"/>
      <c r="K53" s="8" t="n"/>
      <c r="L53" s="8" t="n"/>
      <c r="M53" s="8">
        <f>IF(A53="","",SUM(J53:L53))</f>
        <v/>
      </c>
      <c r="N53" s="8" t="n"/>
      <c r="O53" s="8" t="n"/>
      <c r="P53" s="8" t="n"/>
      <c r="Q53" s="8">
        <f>IF(A53="","",SUM(N53:P53))</f>
        <v/>
      </c>
      <c r="R53" s="8">
        <f>IF(A53="","",E53+I53+M53+Q53)</f>
        <v/>
      </c>
    </row>
    <row r="54">
      <c r="A54" s="4" t="n"/>
      <c r="B54" s="5" t="n"/>
      <c r="C54" s="5" t="n"/>
      <c r="D54" s="5" t="n"/>
      <c r="E54" s="5">
        <f>IF(A54="","",SUM(B54:D54))</f>
        <v/>
      </c>
      <c r="F54" s="5" t="n"/>
      <c r="G54" s="5" t="n"/>
      <c r="H54" s="5" t="n"/>
      <c r="I54" s="5">
        <f>IF(A54="","",SUM(F54:H54))</f>
        <v/>
      </c>
      <c r="J54" s="5" t="n"/>
      <c r="K54" s="5" t="n"/>
      <c r="L54" s="5" t="n"/>
      <c r="M54" s="5">
        <f>IF(A54="","",SUM(J54:L54))</f>
        <v/>
      </c>
      <c r="N54" s="5" t="n"/>
      <c r="O54" s="5" t="n"/>
      <c r="P54" s="5" t="n"/>
      <c r="Q54" s="5">
        <f>IF(A54="","",SUM(N54:P54))</f>
        <v/>
      </c>
      <c r="R54" s="5">
        <f>IF(A54="","",E54+I54+M54+Q54)</f>
        <v/>
      </c>
    </row>
    <row r="55">
      <c r="A55" s="7" t="n"/>
      <c r="B55" s="8" t="n"/>
      <c r="C55" s="8" t="n"/>
      <c r="D55" s="8" t="n"/>
      <c r="E55" s="8">
        <f>IF(A55="","",SUM(B55:D55))</f>
        <v/>
      </c>
      <c r="F55" s="8" t="n"/>
      <c r="G55" s="8" t="n"/>
      <c r="H55" s="8" t="n"/>
      <c r="I55" s="8">
        <f>IF(A55="","",SUM(F55:H55))</f>
        <v/>
      </c>
      <c r="J55" s="8" t="n"/>
      <c r="K55" s="8" t="n"/>
      <c r="L55" s="8" t="n"/>
      <c r="M55" s="8">
        <f>IF(A55="","",SUM(J55:L55))</f>
        <v/>
      </c>
      <c r="N55" s="8" t="n"/>
      <c r="O55" s="8" t="n"/>
      <c r="P55" s="8" t="n"/>
      <c r="Q55" s="8">
        <f>IF(A55="","",SUM(N55:P55))</f>
        <v/>
      </c>
      <c r="R55" s="8">
        <f>IF(A55="","",E55+I55+M55+Q55)</f>
        <v/>
      </c>
    </row>
    <row r="56">
      <c r="A56" s="4" t="n"/>
      <c r="B56" s="5" t="n"/>
      <c r="C56" s="5" t="n"/>
      <c r="D56" s="5" t="n"/>
      <c r="E56" s="5">
        <f>IF(A56="","",SUM(B56:D56))</f>
        <v/>
      </c>
      <c r="F56" s="5" t="n"/>
      <c r="G56" s="5" t="n"/>
      <c r="H56" s="5" t="n"/>
      <c r="I56" s="5">
        <f>IF(A56="","",SUM(F56:H56))</f>
        <v/>
      </c>
      <c r="J56" s="5" t="n"/>
      <c r="K56" s="5" t="n"/>
      <c r="L56" s="5" t="n"/>
      <c r="M56" s="5">
        <f>IF(A56="","",SUM(J56:L56))</f>
        <v/>
      </c>
      <c r="N56" s="5" t="n"/>
      <c r="O56" s="5" t="n"/>
      <c r="P56" s="5" t="n"/>
      <c r="Q56" s="5">
        <f>IF(A56="","",SUM(N56:P56))</f>
        <v/>
      </c>
      <c r="R56" s="5">
        <f>IF(A56="","",E56+I56+M56+Q56)</f>
        <v/>
      </c>
    </row>
    <row r="57">
      <c r="A57" s="7" t="n"/>
      <c r="B57" s="8" t="n"/>
      <c r="C57" s="8" t="n"/>
      <c r="D57" s="8" t="n"/>
      <c r="E57" s="8">
        <f>IF(A57="","",SUM(B57:D57))</f>
        <v/>
      </c>
      <c r="F57" s="8" t="n"/>
      <c r="G57" s="8" t="n"/>
      <c r="H57" s="8" t="n"/>
      <c r="I57" s="8">
        <f>IF(A57="","",SUM(F57:H57))</f>
        <v/>
      </c>
      <c r="J57" s="8" t="n"/>
      <c r="K57" s="8" t="n"/>
      <c r="L57" s="8" t="n"/>
      <c r="M57" s="8">
        <f>IF(A57="","",SUM(J57:L57))</f>
        <v/>
      </c>
      <c r="N57" s="8" t="n"/>
      <c r="O57" s="8" t="n"/>
      <c r="P57" s="8" t="n"/>
      <c r="Q57" s="8">
        <f>IF(A57="","",SUM(N57:P57))</f>
        <v/>
      </c>
      <c r="R57" s="8">
        <f>IF(A57="","",E57+I57+M57+Q57)</f>
        <v/>
      </c>
    </row>
    <row r="58">
      <c r="A58" s="4" t="n"/>
      <c r="B58" s="5" t="n"/>
      <c r="C58" s="5" t="n"/>
      <c r="D58" s="5" t="n"/>
      <c r="E58" s="5">
        <f>IF(A58="","",SUM(B58:D58))</f>
        <v/>
      </c>
      <c r="F58" s="5" t="n"/>
      <c r="G58" s="5" t="n"/>
      <c r="H58" s="5" t="n"/>
      <c r="I58" s="5">
        <f>IF(A58="","",SUM(F58:H58))</f>
        <v/>
      </c>
      <c r="J58" s="5" t="n"/>
      <c r="K58" s="5" t="n"/>
      <c r="L58" s="5" t="n"/>
      <c r="M58" s="5">
        <f>IF(A58="","",SUM(J58:L58))</f>
        <v/>
      </c>
      <c r="N58" s="5" t="n"/>
      <c r="O58" s="5" t="n"/>
      <c r="P58" s="5" t="n"/>
      <c r="Q58" s="5">
        <f>IF(A58="","",SUM(N58:P58))</f>
        <v/>
      </c>
      <c r="R58" s="5">
        <f>IF(A58="","",E58+I58+M58+Q58)</f>
        <v/>
      </c>
    </row>
    <row r="59">
      <c r="A59" s="7" t="n"/>
      <c r="B59" s="8" t="n"/>
      <c r="C59" s="8" t="n"/>
      <c r="D59" s="8" t="n"/>
      <c r="E59" s="8">
        <f>IF(A59="","",SUM(B59:D59))</f>
        <v/>
      </c>
      <c r="F59" s="8" t="n"/>
      <c r="G59" s="8" t="n"/>
      <c r="H59" s="8" t="n"/>
      <c r="I59" s="8">
        <f>IF(A59="","",SUM(F59:H59))</f>
        <v/>
      </c>
      <c r="J59" s="8" t="n"/>
      <c r="K59" s="8" t="n"/>
      <c r="L59" s="8" t="n"/>
      <c r="M59" s="8">
        <f>IF(A59="","",SUM(J59:L59))</f>
        <v/>
      </c>
      <c r="N59" s="8" t="n"/>
      <c r="O59" s="8" t="n"/>
      <c r="P59" s="8" t="n"/>
      <c r="Q59" s="8">
        <f>IF(A59="","",SUM(N59:P59))</f>
        <v/>
      </c>
      <c r="R59" s="8">
        <f>IF(A59="","",E59+I59+M59+Q59)</f>
        <v/>
      </c>
    </row>
    <row r="60">
      <c r="A60" s="4" t="n"/>
      <c r="B60" s="5" t="n"/>
      <c r="C60" s="5" t="n"/>
      <c r="D60" s="5" t="n"/>
      <c r="E60" s="5">
        <f>IF(A60="","",SUM(B60:D60))</f>
        <v/>
      </c>
      <c r="F60" s="5" t="n"/>
      <c r="G60" s="5" t="n"/>
      <c r="H60" s="5" t="n"/>
      <c r="I60" s="5">
        <f>IF(A60="","",SUM(F60:H60))</f>
        <v/>
      </c>
      <c r="J60" s="5" t="n"/>
      <c r="K60" s="5" t="n"/>
      <c r="L60" s="5" t="n"/>
      <c r="M60" s="5">
        <f>IF(A60="","",SUM(J60:L60))</f>
        <v/>
      </c>
      <c r="N60" s="5" t="n"/>
      <c r="O60" s="5" t="n"/>
      <c r="P60" s="5" t="n"/>
      <c r="Q60" s="5">
        <f>IF(A60="","",SUM(N60:P60))</f>
        <v/>
      </c>
      <c r="R60" s="5">
        <f>IF(A60="","",E60+I60+M60+Q60)</f>
        <v/>
      </c>
    </row>
    <row r="61">
      <c r="A61" s="7" t="n"/>
      <c r="B61" s="8" t="n"/>
      <c r="C61" s="8" t="n"/>
      <c r="D61" s="8" t="n"/>
      <c r="E61" s="8">
        <f>IF(A61="","",SUM(B61:D61))</f>
        <v/>
      </c>
      <c r="F61" s="8" t="n"/>
      <c r="G61" s="8" t="n"/>
      <c r="H61" s="8" t="n"/>
      <c r="I61" s="8">
        <f>IF(A61="","",SUM(F61:H61))</f>
        <v/>
      </c>
      <c r="J61" s="8" t="n"/>
      <c r="K61" s="8" t="n"/>
      <c r="L61" s="8" t="n"/>
      <c r="M61" s="8">
        <f>IF(A61="","",SUM(J61:L61))</f>
        <v/>
      </c>
      <c r="N61" s="8" t="n"/>
      <c r="O61" s="8" t="n"/>
      <c r="P61" s="8" t="n"/>
      <c r="Q61" s="8">
        <f>IF(A61="","",SUM(N61:P61))</f>
        <v/>
      </c>
      <c r="R61" s="8">
        <f>IF(A61="","",E61+I61+M61+Q61)</f>
        <v/>
      </c>
    </row>
    <row r="62">
      <c r="A62" s="4" t="n"/>
      <c r="B62" s="5" t="n"/>
      <c r="C62" s="5" t="n"/>
      <c r="D62" s="5" t="n"/>
      <c r="E62" s="5">
        <f>IF(A62="","",SUM(B62:D62))</f>
        <v/>
      </c>
      <c r="F62" s="5" t="n"/>
      <c r="G62" s="5" t="n"/>
      <c r="H62" s="5" t="n"/>
      <c r="I62" s="5">
        <f>IF(A62="","",SUM(F62:H62))</f>
        <v/>
      </c>
      <c r="J62" s="5" t="n"/>
      <c r="K62" s="5" t="n"/>
      <c r="L62" s="5" t="n"/>
      <c r="M62" s="5">
        <f>IF(A62="","",SUM(J62:L62))</f>
        <v/>
      </c>
      <c r="N62" s="5" t="n"/>
      <c r="O62" s="5" t="n"/>
      <c r="P62" s="5" t="n"/>
      <c r="Q62" s="5">
        <f>IF(A62="","",SUM(N62:P62))</f>
        <v/>
      </c>
      <c r="R62" s="5">
        <f>IF(A62="","",E62+I62+M62+Q62)</f>
        <v/>
      </c>
    </row>
    <row r="63">
      <c r="A63" s="7" t="n"/>
      <c r="B63" s="8" t="n"/>
      <c r="C63" s="8" t="n"/>
      <c r="D63" s="8" t="n"/>
      <c r="E63" s="8">
        <f>IF(A63="","",SUM(B63:D63))</f>
        <v/>
      </c>
      <c r="F63" s="8" t="n"/>
      <c r="G63" s="8" t="n"/>
      <c r="H63" s="8" t="n"/>
      <c r="I63" s="8">
        <f>IF(A63="","",SUM(F63:H63))</f>
        <v/>
      </c>
      <c r="J63" s="8" t="n"/>
      <c r="K63" s="8" t="n"/>
      <c r="L63" s="8" t="n"/>
      <c r="M63" s="8">
        <f>IF(A63="","",SUM(J63:L63))</f>
        <v/>
      </c>
      <c r="N63" s="8" t="n"/>
      <c r="O63" s="8" t="n"/>
      <c r="P63" s="8" t="n"/>
      <c r="Q63" s="8">
        <f>IF(A63="","",SUM(N63:P63))</f>
        <v/>
      </c>
      <c r="R63" s="8">
        <f>IF(A63="","",E63+I63+M63+Q63)</f>
        <v/>
      </c>
    </row>
    <row r="64">
      <c r="A64" s="4" t="n"/>
      <c r="B64" s="5" t="n"/>
      <c r="C64" s="5" t="n"/>
      <c r="D64" s="5" t="n"/>
      <c r="E64" s="5">
        <f>IF(A64="","",SUM(B64:D64))</f>
        <v/>
      </c>
      <c r="F64" s="5" t="n"/>
      <c r="G64" s="5" t="n"/>
      <c r="H64" s="5" t="n"/>
      <c r="I64" s="5">
        <f>IF(A64="","",SUM(F64:H64))</f>
        <v/>
      </c>
      <c r="J64" s="5" t="n"/>
      <c r="K64" s="5" t="n"/>
      <c r="L64" s="5" t="n"/>
      <c r="M64" s="5">
        <f>IF(A64="","",SUM(J64:L64))</f>
        <v/>
      </c>
      <c r="N64" s="5" t="n"/>
      <c r="O64" s="5" t="n"/>
      <c r="P64" s="5" t="n"/>
      <c r="Q64" s="5">
        <f>IF(A64="","",SUM(N64:P64))</f>
        <v/>
      </c>
      <c r="R64" s="5">
        <f>IF(A64="","",E64+I64+M64+Q64)</f>
        <v/>
      </c>
    </row>
    <row r="65">
      <c r="A65" s="7" t="n"/>
      <c r="B65" s="8" t="n"/>
      <c r="C65" s="8" t="n"/>
      <c r="D65" s="8" t="n"/>
      <c r="E65" s="8">
        <f>IF(A65="","",SUM(B65:D65))</f>
        <v/>
      </c>
      <c r="F65" s="8" t="n"/>
      <c r="G65" s="8" t="n"/>
      <c r="H65" s="8" t="n"/>
      <c r="I65" s="8">
        <f>IF(A65="","",SUM(F65:H65))</f>
        <v/>
      </c>
      <c r="J65" s="8" t="n"/>
      <c r="K65" s="8" t="n"/>
      <c r="L65" s="8" t="n"/>
      <c r="M65" s="8">
        <f>IF(A65="","",SUM(J65:L65))</f>
        <v/>
      </c>
      <c r="N65" s="8" t="n"/>
      <c r="O65" s="8" t="n"/>
      <c r="P65" s="8" t="n"/>
      <c r="Q65" s="8">
        <f>IF(A65="","",SUM(N65:P65))</f>
        <v/>
      </c>
      <c r="R65" s="8">
        <f>IF(A65="","",E65+I65+M65+Q65)</f>
        <v/>
      </c>
    </row>
    <row r="66">
      <c r="A66" s="4" t="n"/>
      <c r="B66" s="5" t="n"/>
      <c r="C66" s="5" t="n"/>
      <c r="D66" s="5" t="n"/>
      <c r="E66" s="5">
        <f>IF(A66="","",SUM(B66:D66))</f>
        <v/>
      </c>
      <c r="F66" s="5" t="n"/>
      <c r="G66" s="5" t="n"/>
      <c r="H66" s="5" t="n"/>
      <c r="I66" s="5">
        <f>IF(A66="","",SUM(F66:H66))</f>
        <v/>
      </c>
      <c r="J66" s="5" t="n"/>
      <c r="K66" s="5" t="n"/>
      <c r="L66" s="5" t="n"/>
      <c r="M66" s="5">
        <f>IF(A66="","",SUM(J66:L66))</f>
        <v/>
      </c>
      <c r="N66" s="5" t="n"/>
      <c r="O66" s="5" t="n"/>
      <c r="P66" s="5" t="n"/>
      <c r="Q66" s="5">
        <f>IF(A66="","",SUM(N66:P66))</f>
        <v/>
      </c>
      <c r="R66" s="5">
        <f>IF(A66="","",E66+I66+M66+Q66)</f>
        <v/>
      </c>
    </row>
    <row r="67">
      <c r="A67" s="7" t="n"/>
      <c r="B67" s="8" t="n"/>
      <c r="C67" s="8" t="n"/>
      <c r="D67" s="8" t="n"/>
      <c r="E67" s="8">
        <f>IF(A67="","",SUM(B67:D67))</f>
        <v/>
      </c>
      <c r="F67" s="8" t="n"/>
      <c r="G67" s="8" t="n"/>
      <c r="H67" s="8" t="n"/>
      <c r="I67" s="8">
        <f>IF(A67="","",SUM(F67:H67))</f>
        <v/>
      </c>
      <c r="J67" s="8" t="n"/>
      <c r="K67" s="8" t="n"/>
      <c r="L67" s="8" t="n"/>
      <c r="M67" s="8">
        <f>IF(A67="","",SUM(J67:L67))</f>
        <v/>
      </c>
      <c r="N67" s="8" t="n"/>
      <c r="O67" s="8" t="n"/>
      <c r="P67" s="8" t="n"/>
      <c r="Q67" s="8">
        <f>IF(A67="","",SUM(N67:P67))</f>
        <v/>
      </c>
      <c r="R67" s="8">
        <f>IF(A67="","",E67+I67+M67+Q67)</f>
        <v/>
      </c>
    </row>
    <row r="68">
      <c r="A68" s="4" t="n"/>
      <c r="B68" s="5" t="n"/>
      <c r="C68" s="5" t="n"/>
      <c r="D68" s="5" t="n"/>
      <c r="E68" s="5">
        <f>IF(A68="","",SUM(B68:D68))</f>
        <v/>
      </c>
      <c r="F68" s="5" t="n"/>
      <c r="G68" s="5" t="n"/>
      <c r="H68" s="5" t="n"/>
      <c r="I68" s="5">
        <f>IF(A68="","",SUM(F68:H68))</f>
        <v/>
      </c>
      <c r="J68" s="5" t="n"/>
      <c r="K68" s="5" t="n"/>
      <c r="L68" s="5" t="n"/>
      <c r="M68" s="5">
        <f>IF(A68="","",SUM(J68:L68))</f>
        <v/>
      </c>
      <c r="N68" s="5" t="n"/>
      <c r="O68" s="5" t="n"/>
      <c r="P68" s="5" t="n"/>
      <c r="Q68" s="5">
        <f>IF(A68="","",SUM(N68:P68))</f>
        <v/>
      </c>
      <c r="R68" s="5">
        <f>IF(A68="","",E68+I68+M68+Q68)</f>
        <v/>
      </c>
    </row>
    <row r="69">
      <c r="A69" s="7" t="n"/>
      <c r="B69" s="8" t="n"/>
      <c r="C69" s="8" t="n"/>
      <c r="D69" s="8" t="n"/>
      <c r="E69" s="8">
        <f>IF(A69="","",SUM(B69:D69))</f>
        <v/>
      </c>
      <c r="F69" s="8" t="n"/>
      <c r="G69" s="8" t="n"/>
      <c r="H69" s="8" t="n"/>
      <c r="I69" s="8">
        <f>IF(A69="","",SUM(F69:H69))</f>
        <v/>
      </c>
      <c r="J69" s="8" t="n"/>
      <c r="K69" s="8" t="n"/>
      <c r="L69" s="8" t="n"/>
      <c r="M69" s="8">
        <f>IF(A69="","",SUM(J69:L69))</f>
        <v/>
      </c>
      <c r="N69" s="8" t="n"/>
      <c r="O69" s="8" t="n"/>
      <c r="P69" s="8" t="n"/>
      <c r="Q69" s="8">
        <f>IF(A69="","",SUM(N69:P69))</f>
        <v/>
      </c>
      <c r="R69" s="8">
        <f>IF(A69="","",E69+I69+M69+Q69)</f>
        <v/>
      </c>
    </row>
    <row r="70">
      <c r="A70" s="4" t="n"/>
      <c r="B70" s="5" t="n"/>
      <c r="C70" s="5" t="n"/>
      <c r="D70" s="5" t="n"/>
      <c r="E70" s="5">
        <f>IF(A70="","",SUM(B70:D70))</f>
        <v/>
      </c>
      <c r="F70" s="5" t="n"/>
      <c r="G70" s="5" t="n"/>
      <c r="H70" s="5" t="n"/>
      <c r="I70" s="5">
        <f>IF(A70="","",SUM(F70:H70))</f>
        <v/>
      </c>
      <c r="J70" s="5" t="n"/>
      <c r="K70" s="5" t="n"/>
      <c r="L70" s="5" t="n"/>
      <c r="M70" s="5">
        <f>IF(A70="","",SUM(J70:L70))</f>
        <v/>
      </c>
      <c r="N70" s="5" t="n"/>
      <c r="O70" s="5" t="n"/>
      <c r="P70" s="5" t="n"/>
      <c r="Q70" s="5">
        <f>IF(A70="","",SUM(N70:P70))</f>
        <v/>
      </c>
      <c r="R70" s="5">
        <f>IF(A70="","",E70+I70+M70+Q70)</f>
        <v/>
      </c>
    </row>
    <row r="71">
      <c r="A71" s="7" t="n"/>
      <c r="B71" s="8" t="n"/>
      <c r="C71" s="8" t="n"/>
      <c r="D71" s="8" t="n"/>
      <c r="E71" s="8">
        <f>IF(A71="","",SUM(B71:D71))</f>
        <v/>
      </c>
      <c r="F71" s="8" t="n"/>
      <c r="G71" s="8" t="n"/>
      <c r="H71" s="8" t="n"/>
      <c r="I71" s="8">
        <f>IF(A71="","",SUM(F71:H71))</f>
        <v/>
      </c>
      <c r="J71" s="8" t="n"/>
      <c r="K71" s="8" t="n"/>
      <c r="L71" s="8" t="n"/>
      <c r="M71" s="8">
        <f>IF(A71="","",SUM(J71:L71))</f>
        <v/>
      </c>
      <c r="N71" s="8" t="n"/>
      <c r="O71" s="8" t="n"/>
      <c r="P71" s="8" t="n"/>
      <c r="Q71" s="8">
        <f>IF(A71="","",SUM(N71:P71))</f>
        <v/>
      </c>
      <c r="R71" s="8">
        <f>IF(A71="","",E71+I71+M71+Q71)</f>
        <v/>
      </c>
    </row>
    <row r="72">
      <c r="A72" s="4" t="n"/>
      <c r="B72" s="5" t="n"/>
      <c r="C72" s="5" t="n"/>
      <c r="D72" s="5" t="n"/>
      <c r="E72" s="5">
        <f>IF(A72="","",SUM(B72:D72))</f>
        <v/>
      </c>
      <c r="F72" s="5" t="n"/>
      <c r="G72" s="5" t="n"/>
      <c r="H72" s="5" t="n"/>
      <c r="I72" s="5">
        <f>IF(A72="","",SUM(F72:H72))</f>
        <v/>
      </c>
      <c r="J72" s="5" t="n"/>
      <c r="K72" s="5" t="n"/>
      <c r="L72" s="5" t="n"/>
      <c r="M72" s="5">
        <f>IF(A72="","",SUM(J72:L72))</f>
        <v/>
      </c>
      <c r="N72" s="5" t="n"/>
      <c r="O72" s="5" t="n"/>
      <c r="P72" s="5" t="n"/>
      <c r="Q72" s="5">
        <f>IF(A72="","",SUM(N72:P72))</f>
        <v/>
      </c>
      <c r="R72" s="5">
        <f>IF(A72="","",E72+I72+M72+Q72)</f>
        <v/>
      </c>
    </row>
    <row r="73">
      <c r="A73" s="7" t="n"/>
      <c r="B73" s="8" t="n"/>
      <c r="C73" s="8" t="n"/>
      <c r="D73" s="8" t="n"/>
      <c r="E73" s="8">
        <f>IF(A73="","",SUM(B73:D73))</f>
        <v/>
      </c>
      <c r="F73" s="8" t="n"/>
      <c r="G73" s="8" t="n"/>
      <c r="H73" s="8" t="n"/>
      <c r="I73" s="8">
        <f>IF(A73="","",SUM(F73:H73))</f>
        <v/>
      </c>
      <c r="J73" s="8" t="n"/>
      <c r="K73" s="8" t="n"/>
      <c r="L73" s="8" t="n"/>
      <c r="M73" s="8">
        <f>IF(A73="","",SUM(J73:L73))</f>
        <v/>
      </c>
      <c r="N73" s="8" t="n"/>
      <c r="O73" s="8" t="n"/>
      <c r="P73" s="8" t="n"/>
      <c r="Q73" s="8">
        <f>IF(A73="","",SUM(N73:P73))</f>
        <v/>
      </c>
      <c r="R73" s="8">
        <f>IF(A73="","",E73+I73+M73+Q73)</f>
        <v/>
      </c>
    </row>
    <row r="74">
      <c r="A74" s="4" t="n"/>
      <c r="B74" s="5" t="n"/>
      <c r="C74" s="5" t="n"/>
      <c r="D74" s="5" t="n"/>
      <c r="E74" s="5">
        <f>IF(A74="","",SUM(B74:D74))</f>
        <v/>
      </c>
      <c r="F74" s="5" t="n"/>
      <c r="G74" s="5" t="n"/>
      <c r="H74" s="5" t="n"/>
      <c r="I74" s="5">
        <f>IF(A74="","",SUM(F74:H74))</f>
        <v/>
      </c>
      <c r="J74" s="5" t="n"/>
      <c r="K74" s="5" t="n"/>
      <c r="L74" s="5" t="n"/>
      <c r="M74" s="5">
        <f>IF(A74="","",SUM(J74:L74))</f>
        <v/>
      </c>
      <c r="N74" s="5" t="n"/>
      <c r="O74" s="5" t="n"/>
      <c r="P74" s="5" t="n"/>
      <c r="Q74" s="5">
        <f>IF(A74="","",SUM(N74:P74))</f>
        <v/>
      </c>
      <c r="R74" s="5">
        <f>IF(A74="","",E74+I74+M74+Q74)</f>
        <v/>
      </c>
    </row>
    <row r="75">
      <c r="A75" s="7" t="n"/>
      <c r="B75" s="8" t="n"/>
      <c r="C75" s="8" t="n"/>
      <c r="D75" s="8" t="n"/>
      <c r="E75" s="8">
        <f>IF(A75="","",SUM(B75:D75))</f>
        <v/>
      </c>
      <c r="F75" s="8" t="n"/>
      <c r="G75" s="8" t="n"/>
      <c r="H75" s="8" t="n"/>
      <c r="I75" s="8">
        <f>IF(A75="","",SUM(F75:H75))</f>
        <v/>
      </c>
      <c r="J75" s="8" t="n"/>
      <c r="K75" s="8" t="n"/>
      <c r="L75" s="8" t="n"/>
      <c r="M75" s="8">
        <f>IF(A75="","",SUM(J75:L75))</f>
        <v/>
      </c>
      <c r="N75" s="8" t="n"/>
      <c r="O75" s="8" t="n"/>
      <c r="P75" s="8" t="n"/>
      <c r="Q75" s="8">
        <f>IF(A75="","",SUM(N75:P75))</f>
        <v/>
      </c>
      <c r="R75" s="8">
        <f>IF(A75="","",E75+I75+M75+Q75)</f>
        <v/>
      </c>
    </row>
    <row r="76">
      <c r="A76" s="4" t="n"/>
      <c r="B76" s="5" t="n"/>
      <c r="C76" s="5" t="n"/>
      <c r="D76" s="5" t="n"/>
      <c r="E76" s="5">
        <f>IF(A76="","",SUM(B76:D76))</f>
        <v/>
      </c>
      <c r="F76" s="5" t="n"/>
      <c r="G76" s="5" t="n"/>
      <c r="H76" s="5" t="n"/>
      <c r="I76" s="5">
        <f>IF(A76="","",SUM(F76:H76))</f>
        <v/>
      </c>
      <c r="J76" s="5" t="n"/>
      <c r="K76" s="5" t="n"/>
      <c r="L76" s="5" t="n"/>
      <c r="M76" s="5">
        <f>IF(A76="","",SUM(J76:L76))</f>
        <v/>
      </c>
      <c r="N76" s="5" t="n"/>
      <c r="O76" s="5" t="n"/>
      <c r="P76" s="5" t="n"/>
      <c r="Q76" s="5">
        <f>IF(A76="","",SUM(N76:P76))</f>
        <v/>
      </c>
      <c r="R76" s="5">
        <f>IF(A76="","",E76+I76+M76+Q76)</f>
        <v/>
      </c>
    </row>
    <row r="77">
      <c r="A77" s="7" t="n"/>
      <c r="B77" s="8" t="n"/>
      <c r="C77" s="8" t="n"/>
      <c r="D77" s="8" t="n"/>
      <c r="E77" s="8">
        <f>IF(A77="","",SUM(B77:D77))</f>
        <v/>
      </c>
      <c r="F77" s="8" t="n"/>
      <c r="G77" s="8" t="n"/>
      <c r="H77" s="8" t="n"/>
      <c r="I77" s="8">
        <f>IF(A77="","",SUM(F77:H77))</f>
        <v/>
      </c>
      <c r="J77" s="8" t="n"/>
      <c r="K77" s="8" t="n"/>
      <c r="L77" s="8" t="n"/>
      <c r="M77" s="8">
        <f>IF(A77="","",SUM(J77:L77))</f>
        <v/>
      </c>
      <c r="N77" s="8" t="n"/>
      <c r="O77" s="8" t="n"/>
      <c r="P77" s="8" t="n"/>
      <c r="Q77" s="8">
        <f>IF(A77="","",SUM(N77:P77))</f>
        <v/>
      </c>
      <c r="R77" s="8">
        <f>IF(A77="","",E77+I77+M77+Q77)</f>
        <v/>
      </c>
    </row>
    <row r="78">
      <c r="A78" s="4" t="n"/>
      <c r="B78" s="5" t="n"/>
      <c r="C78" s="5" t="n"/>
      <c r="D78" s="5" t="n"/>
      <c r="E78" s="5">
        <f>IF(A78="","",SUM(B78:D78))</f>
        <v/>
      </c>
      <c r="F78" s="5" t="n"/>
      <c r="G78" s="5" t="n"/>
      <c r="H78" s="5" t="n"/>
      <c r="I78" s="5">
        <f>IF(A78="","",SUM(F78:H78))</f>
        <v/>
      </c>
      <c r="J78" s="5" t="n"/>
      <c r="K78" s="5" t="n"/>
      <c r="L78" s="5" t="n"/>
      <c r="M78" s="5">
        <f>IF(A78="","",SUM(J78:L78))</f>
        <v/>
      </c>
      <c r="N78" s="5" t="n"/>
      <c r="O78" s="5" t="n"/>
      <c r="P78" s="5" t="n"/>
      <c r="Q78" s="5">
        <f>IF(A78="","",SUM(N78:P78))</f>
        <v/>
      </c>
      <c r="R78" s="5">
        <f>IF(A78="","",E78+I78+M78+Q78)</f>
        <v/>
      </c>
    </row>
    <row r="79">
      <c r="A79" s="7" t="n"/>
      <c r="B79" s="8" t="n"/>
      <c r="C79" s="8" t="n"/>
      <c r="D79" s="8" t="n"/>
      <c r="E79" s="8">
        <f>IF(A79="","",SUM(B79:D79))</f>
        <v/>
      </c>
      <c r="F79" s="8" t="n"/>
      <c r="G79" s="8" t="n"/>
      <c r="H79" s="8" t="n"/>
      <c r="I79" s="8">
        <f>IF(A79="","",SUM(F79:H79))</f>
        <v/>
      </c>
      <c r="J79" s="8" t="n"/>
      <c r="K79" s="8" t="n"/>
      <c r="L79" s="8" t="n"/>
      <c r="M79" s="8">
        <f>IF(A79="","",SUM(J79:L79))</f>
        <v/>
      </c>
      <c r="N79" s="8" t="n"/>
      <c r="O79" s="8" t="n"/>
      <c r="P79" s="8" t="n"/>
      <c r="Q79" s="8">
        <f>IF(A79="","",SUM(N79:P79))</f>
        <v/>
      </c>
      <c r="R79" s="8">
        <f>IF(A79="","",E79+I79+M79+Q79)</f>
        <v/>
      </c>
    </row>
    <row r="80">
      <c r="A80" s="4" t="n"/>
      <c r="B80" s="5" t="n"/>
      <c r="C80" s="5" t="n"/>
      <c r="D80" s="5" t="n"/>
      <c r="E80" s="5">
        <f>IF(A80="","",SUM(B80:D80))</f>
        <v/>
      </c>
      <c r="F80" s="5" t="n"/>
      <c r="G80" s="5" t="n"/>
      <c r="H80" s="5" t="n"/>
      <c r="I80" s="5">
        <f>IF(A80="","",SUM(F80:H80))</f>
        <v/>
      </c>
      <c r="J80" s="5" t="n"/>
      <c r="K80" s="5" t="n"/>
      <c r="L80" s="5" t="n"/>
      <c r="M80" s="5">
        <f>IF(A80="","",SUM(J80:L80))</f>
        <v/>
      </c>
      <c r="N80" s="5" t="n"/>
      <c r="O80" s="5" t="n"/>
      <c r="P80" s="5" t="n"/>
      <c r="Q80" s="5">
        <f>IF(A80="","",SUM(N80:P80))</f>
        <v/>
      </c>
      <c r="R80" s="5">
        <f>IF(A80="","",E80+I80+M80+Q80)</f>
        <v/>
      </c>
    </row>
    <row r="81">
      <c r="A81" s="7" t="n"/>
      <c r="B81" s="8" t="n"/>
      <c r="C81" s="8" t="n"/>
      <c r="D81" s="8" t="n"/>
      <c r="E81" s="8">
        <f>IF(A81="","",SUM(B81:D81))</f>
        <v/>
      </c>
      <c r="F81" s="8" t="n"/>
      <c r="G81" s="8" t="n"/>
      <c r="H81" s="8" t="n"/>
      <c r="I81" s="8">
        <f>IF(A81="","",SUM(F81:H81))</f>
        <v/>
      </c>
      <c r="J81" s="8" t="n"/>
      <c r="K81" s="8" t="n"/>
      <c r="L81" s="8" t="n"/>
      <c r="M81" s="8">
        <f>IF(A81="","",SUM(J81:L81))</f>
        <v/>
      </c>
      <c r="N81" s="8" t="n"/>
      <c r="O81" s="8" t="n"/>
      <c r="P81" s="8" t="n"/>
      <c r="Q81" s="8">
        <f>IF(A81="","",SUM(N81:P81))</f>
        <v/>
      </c>
      <c r="R81" s="8">
        <f>IF(A81="","",E81+I81+M81+Q81)</f>
        <v/>
      </c>
    </row>
    <row r="82">
      <c r="A82" s="4" t="n"/>
      <c r="B82" s="5" t="n"/>
      <c r="C82" s="5" t="n"/>
      <c r="D82" s="5" t="n"/>
      <c r="E82" s="5">
        <f>IF(A82="","",SUM(B82:D82))</f>
        <v/>
      </c>
      <c r="F82" s="5" t="n"/>
      <c r="G82" s="5" t="n"/>
      <c r="H82" s="5" t="n"/>
      <c r="I82" s="5">
        <f>IF(A82="","",SUM(F82:H82))</f>
        <v/>
      </c>
      <c r="J82" s="5" t="n"/>
      <c r="K82" s="5" t="n"/>
      <c r="L82" s="5" t="n"/>
      <c r="M82" s="5">
        <f>IF(A82="","",SUM(J82:L82))</f>
        <v/>
      </c>
      <c r="N82" s="5" t="n"/>
      <c r="O82" s="5" t="n"/>
      <c r="P82" s="5" t="n"/>
      <c r="Q82" s="5">
        <f>IF(A82="","",SUM(N82:P82))</f>
        <v/>
      </c>
      <c r="R82" s="5">
        <f>IF(A82="","",E82+I82+M82+Q82)</f>
        <v/>
      </c>
    </row>
    <row r="83">
      <c r="A83" s="7" t="n"/>
      <c r="B83" s="8" t="n"/>
      <c r="C83" s="8" t="n"/>
      <c r="D83" s="8" t="n"/>
      <c r="E83" s="8">
        <f>IF(A83="","",SUM(B83:D83))</f>
        <v/>
      </c>
      <c r="F83" s="8" t="n"/>
      <c r="G83" s="8" t="n"/>
      <c r="H83" s="8" t="n"/>
      <c r="I83" s="8">
        <f>IF(A83="","",SUM(F83:H83))</f>
        <v/>
      </c>
      <c r="J83" s="8" t="n"/>
      <c r="K83" s="8" t="n"/>
      <c r="L83" s="8" t="n"/>
      <c r="M83" s="8">
        <f>IF(A83="","",SUM(J83:L83))</f>
        <v/>
      </c>
      <c r="N83" s="8" t="n"/>
      <c r="O83" s="8" t="n"/>
      <c r="P83" s="8" t="n"/>
      <c r="Q83" s="8">
        <f>IF(A83="","",SUM(N83:P83))</f>
        <v/>
      </c>
      <c r="R83" s="8">
        <f>IF(A83="","",E83+I83+M83+Q83)</f>
        <v/>
      </c>
    </row>
    <row r="84">
      <c r="A84" s="4" t="n"/>
      <c r="B84" s="5" t="n"/>
      <c r="C84" s="5" t="n"/>
      <c r="D84" s="5" t="n"/>
      <c r="E84" s="5">
        <f>IF(A84="","",SUM(B84:D84))</f>
        <v/>
      </c>
      <c r="F84" s="5" t="n"/>
      <c r="G84" s="5" t="n"/>
      <c r="H84" s="5" t="n"/>
      <c r="I84" s="5">
        <f>IF(A84="","",SUM(F84:H84))</f>
        <v/>
      </c>
      <c r="J84" s="5" t="n"/>
      <c r="K84" s="5" t="n"/>
      <c r="L84" s="5" t="n"/>
      <c r="M84" s="5">
        <f>IF(A84="","",SUM(J84:L84))</f>
        <v/>
      </c>
      <c r="N84" s="5" t="n"/>
      <c r="O84" s="5" t="n"/>
      <c r="P84" s="5" t="n"/>
      <c r="Q84" s="5">
        <f>IF(A84="","",SUM(N84:P84))</f>
        <v/>
      </c>
      <c r="R84" s="5">
        <f>IF(A84="","",E84+I84+M84+Q84)</f>
        <v/>
      </c>
    </row>
    <row r="85">
      <c r="A85" s="7" t="n"/>
      <c r="B85" s="8" t="n"/>
      <c r="C85" s="8" t="n"/>
      <c r="D85" s="8" t="n"/>
      <c r="E85" s="8">
        <f>IF(A85="","",SUM(B85:D85))</f>
        <v/>
      </c>
      <c r="F85" s="8" t="n"/>
      <c r="G85" s="8" t="n"/>
      <c r="H85" s="8" t="n"/>
      <c r="I85" s="8">
        <f>IF(A85="","",SUM(F85:H85))</f>
        <v/>
      </c>
      <c r="J85" s="8" t="n"/>
      <c r="K85" s="8" t="n"/>
      <c r="L85" s="8" t="n"/>
      <c r="M85" s="8">
        <f>IF(A85="","",SUM(J85:L85))</f>
        <v/>
      </c>
      <c r="N85" s="8" t="n"/>
      <c r="O85" s="8" t="n"/>
      <c r="P85" s="8" t="n"/>
      <c r="Q85" s="8">
        <f>IF(A85="","",SUM(N85:P85))</f>
        <v/>
      </c>
      <c r="R85" s="8">
        <f>IF(A85="","",E85+I85+M85+Q85)</f>
        <v/>
      </c>
    </row>
    <row r="86">
      <c r="A86" s="4" t="n"/>
      <c r="B86" s="5" t="n"/>
      <c r="C86" s="5" t="n"/>
      <c r="D86" s="5" t="n"/>
      <c r="E86" s="5">
        <f>IF(A86="","",SUM(B86:D86))</f>
        <v/>
      </c>
      <c r="F86" s="5" t="n"/>
      <c r="G86" s="5" t="n"/>
      <c r="H86" s="5" t="n"/>
      <c r="I86" s="5">
        <f>IF(A86="","",SUM(F86:H86))</f>
        <v/>
      </c>
      <c r="J86" s="5" t="n"/>
      <c r="K86" s="5" t="n"/>
      <c r="L86" s="5" t="n"/>
      <c r="M86" s="5">
        <f>IF(A86="","",SUM(J86:L86))</f>
        <v/>
      </c>
      <c r="N86" s="5" t="n"/>
      <c r="O86" s="5" t="n"/>
      <c r="P86" s="5" t="n"/>
      <c r="Q86" s="5">
        <f>IF(A86="","",SUM(N86:P86))</f>
        <v/>
      </c>
      <c r="R86" s="5">
        <f>IF(A86="","",E86+I86+M86+Q86)</f>
        <v/>
      </c>
    </row>
    <row r="87">
      <c r="A87" s="7" t="n"/>
      <c r="B87" s="8" t="n"/>
      <c r="C87" s="8" t="n"/>
      <c r="D87" s="8" t="n"/>
      <c r="E87" s="8">
        <f>IF(A87="","",SUM(B87:D87))</f>
        <v/>
      </c>
      <c r="F87" s="8" t="n"/>
      <c r="G87" s="8" t="n"/>
      <c r="H87" s="8" t="n"/>
      <c r="I87" s="8">
        <f>IF(A87="","",SUM(F87:H87))</f>
        <v/>
      </c>
      <c r="J87" s="8" t="n"/>
      <c r="K87" s="8" t="n"/>
      <c r="L87" s="8" t="n"/>
      <c r="M87" s="8">
        <f>IF(A87="","",SUM(J87:L87))</f>
        <v/>
      </c>
      <c r="N87" s="8" t="n"/>
      <c r="O87" s="8" t="n"/>
      <c r="P87" s="8" t="n"/>
      <c r="Q87" s="8">
        <f>IF(A87="","",SUM(N87:P87))</f>
        <v/>
      </c>
      <c r="R87" s="8">
        <f>IF(A87="","",E87+I87+M87+Q87)</f>
        <v/>
      </c>
    </row>
    <row r="88">
      <c r="A88" s="4" t="n"/>
      <c r="B88" s="5" t="n"/>
      <c r="C88" s="5" t="n"/>
      <c r="D88" s="5" t="n"/>
      <c r="E88" s="5">
        <f>IF(A88="","",SUM(B88:D88))</f>
        <v/>
      </c>
      <c r="F88" s="5" t="n"/>
      <c r="G88" s="5" t="n"/>
      <c r="H88" s="5" t="n"/>
      <c r="I88" s="5">
        <f>IF(A88="","",SUM(F88:H88))</f>
        <v/>
      </c>
      <c r="J88" s="5" t="n"/>
      <c r="K88" s="5" t="n"/>
      <c r="L88" s="5" t="n"/>
      <c r="M88" s="5">
        <f>IF(A88="","",SUM(J88:L88))</f>
        <v/>
      </c>
      <c r="N88" s="5" t="n"/>
      <c r="O88" s="5" t="n"/>
      <c r="P88" s="5" t="n"/>
      <c r="Q88" s="5">
        <f>IF(A88="","",SUM(N88:P88))</f>
        <v/>
      </c>
      <c r="R88" s="5">
        <f>IF(A88="","",E88+I88+M88+Q88)</f>
        <v/>
      </c>
    </row>
    <row r="89">
      <c r="A89" s="7" t="n"/>
      <c r="B89" s="8" t="n"/>
      <c r="C89" s="8" t="n"/>
      <c r="D89" s="8" t="n"/>
      <c r="E89" s="8">
        <f>IF(A89="","",SUM(B89:D89))</f>
        <v/>
      </c>
      <c r="F89" s="8" t="n"/>
      <c r="G89" s="8" t="n"/>
      <c r="H89" s="8" t="n"/>
      <c r="I89" s="8">
        <f>IF(A89="","",SUM(F89:H89))</f>
        <v/>
      </c>
      <c r="J89" s="8" t="n"/>
      <c r="K89" s="8" t="n"/>
      <c r="L89" s="8" t="n"/>
      <c r="M89" s="8">
        <f>IF(A89="","",SUM(J89:L89))</f>
        <v/>
      </c>
      <c r="N89" s="8" t="n"/>
      <c r="O89" s="8" t="n"/>
      <c r="P89" s="8" t="n"/>
      <c r="Q89" s="8">
        <f>IF(A89="","",SUM(N89:P89))</f>
        <v/>
      </c>
      <c r="R89" s="8">
        <f>IF(A89="","",E89+I89+M89+Q89)</f>
        <v/>
      </c>
    </row>
    <row r="90">
      <c r="A90" s="4" t="n"/>
      <c r="B90" s="5" t="n"/>
      <c r="C90" s="5" t="n"/>
      <c r="D90" s="5" t="n"/>
      <c r="E90" s="5">
        <f>IF(A90="","",SUM(B90:D90))</f>
        <v/>
      </c>
      <c r="F90" s="5" t="n"/>
      <c r="G90" s="5" t="n"/>
      <c r="H90" s="5" t="n"/>
      <c r="I90" s="5">
        <f>IF(A90="","",SUM(F90:H90))</f>
        <v/>
      </c>
      <c r="J90" s="5" t="n"/>
      <c r="K90" s="5" t="n"/>
      <c r="L90" s="5" t="n"/>
      <c r="M90" s="5">
        <f>IF(A90="","",SUM(J90:L90))</f>
        <v/>
      </c>
      <c r="N90" s="5" t="n"/>
      <c r="O90" s="5" t="n"/>
      <c r="P90" s="5" t="n"/>
      <c r="Q90" s="5">
        <f>IF(A90="","",SUM(N90:P90))</f>
        <v/>
      </c>
      <c r="R90" s="5">
        <f>IF(A90="","",E90+I90+M90+Q90)</f>
        <v/>
      </c>
    </row>
    <row r="91">
      <c r="A91" s="7" t="n"/>
      <c r="B91" s="8" t="n"/>
      <c r="C91" s="8" t="n"/>
      <c r="D91" s="8" t="n"/>
      <c r="E91" s="8">
        <f>IF(A91="","",SUM(B91:D91))</f>
        <v/>
      </c>
      <c r="F91" s="8" t="n"/>
      <c r="G91" s="8" t="n"/>
      <c r="H91" s="8" t="n"/>
      <c r="I91" s="8">
        <f>IF(A91="","",SUM(F91:H91))</f>
        <v/>
      </c>
      <c r="J91" s="8" t="n"/>
      <c r="K91" s="8" t="n"/>
      <c r="L91" s="8" t="n"/>
      <c r="M91" s="8">
        <f>IF(A91="","",SUM(J91:L91))</f>
        <v/>
      </c>
      <c r="N91" s="8" t="n"/>
      <c r="O91" s="8" t="n"/>
      <c r="P91" s="8" t="n"/>
      <c r="Q91" s="8">
        <f>IF(A91="","",SUM(N91:P91))</f>
        <v/>
      </c>
      <c r="R91" s="8">
        <f>IF(A91="","",E91+I91+M91+Q91)</f>
        <v/>
      </c>
    </row>
    <row r="92">
      <c r="A92" s="4" t="n"/>
      <c r="B92" s="5" t="n"/>
      <c r="C92" s="5" t="n"/>
      <c r="D92" s="5" t="n"/>
      <c r="E92" s="5">
        <f>IF(A92="","",SUM(B92:D92))</f>
        <v/>
      </c>
      <c r="F92" s="5" t="n"/>
      <c r="G92" s="5" t="n"/>
      <c r="H92" s="5" t="n"/>
      <c r="I92" s="5">
        <f>IF(A92="","",SUM(F92:H92))</f>
        <v/>
      </c>
      <c r="J92" s="5" t="n"/>
      <c r="K92" s="5" t="n"/>
      <c r="L92" s="5" t="n"/>
      <c r="M92" s="5">
        <f>IF(A92="","",SUM(J92:L92))</f>
        <v/>
      </c>
      <c r="N92" s="5" t="n"/>
      <c r="O92" s="5" t="n"/>
      <c r="P92" s="5" t="n"/>
      <c r="Q92" s="5">
        <f>IF(A92="","",SUM(N92:P92))</f>
        <v/>
      </c>
      <c r="R92" s="5">
        <f>IF(A92="","",E92+I92+M92+Q92)</f>
        <v/>
      </c>
    </row>
    <row r="93">
      <c r="A93" s="7" t="n"/>
      <c r="B93" s="8" t="n"/>
      <c r="C93" s="8" t="n"/>
      <c r="D93" s="8" t="n"/>
      <c r="E93" s="8">
        <f>IF(A93="","",SUM(B93:D93))</f>
        <v/>
      </c>
      <c r="F93" s="8" t="n"/>
      <c r="G93" s="8" t="n"/>
      <c r="H93" s="8" t="n"/>
      <c r="I93" s="8">
        <f>IF(A93="","",SUM(F93:H93))</f>
        <v/>
      </c>
      <c r="J93" s="8" t="n"/>
      <c r="K93" s="8" t="n"/>
      <c r="L93" s="8" t="n"/>
      <c r="M93" s="8">
        <f>IF(A93="","",SUM(J93:L93))</f>
        <v/>
      </c>
      <c r="N93" s="8" t="n"/>
      <c r="O93" s="8" t="n"/>
      <c r="P93" s="8" t="n"/>
      <c r="Q93" s="8">
        <f>IF(A93="","",SUM(N93:P93))</f>
        <v/>
      </c>
      <c r="R93" s="8">
        <f>IF(A93="","",E93+I93+M93+Q93)</f>
        <v/>
      </c>
    </row>
    <row r="94">
      <c r="A94" s="4" t="n"/>
      <c r="B94" s="5" t="n"/>
      <c r="C94" s="5" t="n"/>
      <c r="D94" s="5" t="n"/>
      <c r="E94" s="5">
        <f>IF(A94="","",SUM(B94:D94))</f>
        <v/>
      </c>
      <c r="F94" s="5" t="n"/>
      <c r="G94" s="5" t="n"/>
      <c r="H94" s="5" t="n"/>
      <c r="I94" s="5">
        <f>IF(A94="","",SUM(F94:H94))</f>
        <v/>
      </c>
      <c r="J94" s="5" t="n"/>
      <c r="K94" s="5" t="n"/>
      <c r="L94" s="5" t="n"/>
      <c r="M94" s="5">
        <f>IF(A94="","",SUM(J94:L94))</f>
        <v/>
      </c>
      <c r="N94" s="5" t="n"/>
      <c r="O94" s="5" t="n"/>
      <c r="P94" s="5" t="n"/>
      <c r="Q94" s="5">
        <f>IF(A94="","",SUM(N94:P94))</f>
        <v/>
      </c>
      <c r="R94" s="5">
        <f>IF(A94="","",E94+I94+M94+Q94)</f>
        <v/>
      </c>
    </row>
    <row r="95">
      <c r="A95" s="7" t="n"/>
      <c r="B95" s="8" t="n"/>
      <c r="C95" s="8" t="n"/>
      <c r="D95" s="8" t="n"/>
      <c r="E95" s="8">
        <f>IF(A95="","",SUM(B95:D95))</f>
        <v/>
      </c>
      <c r="F95" s="8" t="n"/>
      <c r="G95" s="8" t="n"/>
      <c r="H95" s="8" t="n"/>
      <c r="I95" s="8">
        <f>IF(A95="","",SUM(F95:H95))</f>
        <v/>
      </c>
      <c r="J95" s="8" t="n"/>
      <c r="K95" s="8" t="n"/>
      <c r="L95" s="8" t="n"/>
      <c r="M95" s="8">
        <f>IF(A95="","",SUM(J95:L95))</f>
        <v/>
      </c>
      <c r="N95" s="8" t="n"/>
      <c r="O95" s="8" t="n"/>
      <c r="P95" s="8" t="n"/>
      <c r="Q95" s="8">
        <f>IF(A95="","",SUM(N95:P95))</f>
        <v/>
      </c>
      <c r="R95" s="8">
        <f>IF(A95="","",E95+I95+M95+Q95)</f>
        <v/>
      </c>
    </row>
    <row r="96">
      <c r="A96" s="4" t="n"/>
      <c r="B96" s="5" t="n"/>
      <c r="C96" s="5" t="n"/>
      <c r="D96" s="5" t="n"/>
      <c r="E96" s="5">
        <f>IF(A96="","",SUM(B96:D96))</f>
        <v/>
      </c>
      <c r="F96" s="5" t="n"/>
      <c r="G96" s="5" t="n"/>
      <c r="H96" s="5" t="n"/>
      <c r="I96" s="5">
        <f>IF(A96="","",SUM(F96:H96))</f>
        <v/>
      </c>
      <c r="J96" s="5" t="n"/>
      <c r="K96" s="5" t="n"/>
      <c r="L96" s="5" t="n"/>
      <c r="M96" s="5">
        <f>IF(A96="","",SUM(J96:L96))</f>
        <v/>
      </c>
      <c r="N96" s="5" t="n"/>
      <c r="O96" s="5" t="n"/>
      <c r="P96" s="5" t="n"/>
      <c r="Q96" s="5">
        <f>IF(A96="","",SUM(N96:P96))</f>
        <v/>
      </c>
      <c r="R96" s="5">
        <f>IF(A96="","",E96+I96+M96+Q96)</f>
        <v/>
      </c>
    </row>
    <row r="97">
      <c r="A97" s="7" t="n"/>
      <c r="B97" s="8" t="n"/>
      <c r="C97" s="8" t="n"/>
      <c r="D97" s="8" t="n"/>
      <c r="E97" s="8">
        <f>IF(A97="","",SUM(B97:D97))</f>
        <v/>
      </c>
      <c r="F97" s="8" t="n"/>
      <c r="G97" s="8" t="n"/>
      <c r="H97" s="8" t="n"/>
      <c r="I97" s="8">
        <f>IF(A97="","",SUM(F97:H97))</f>
        <v/>
      </c>
      <c r="J97" s="8" t="n"/>
      <c r="K97" s="8" t="n"/>
      <c r="L97" s="8" t="n"/>
      <c r="M97" s="8">
        <f>IF(A97="","",SUM(J97:L97))</f>
        <v/>
      </c>
      <c r="N97" s="8" t="n"/>
      <c r="O97" s="8" t="n"/>
      <c r="P97" s="8" t="n"/>
      <c r="Q97" s="8">
        <f>IF(A97="","",SUM(N97:P97))</f>
        <v/>
      </c>
      <c r="R97" s="8">
        <f>IF(A97="","",E97+I97+M97+Q97)</f>
        <v/>
      </c>
    </row>
    <row r="98">
      <c r="A98" s="4" t="n"/>
      <c r="B98" s="5" t="n"/>
      <c r="C98" s="5" t="n"/>
      <c r="D98" s="5" t="n"/>
      <c r="E98" s="5">
        <f>IF(A98="","",SUM(B98:D98))</f>
        <v/>
      </c>
      <c r="F98" s="5" t="n"/>
      <c r="G98" s="5" t="n"/>
      <c r="H98" s="5" t="n"/>
      <c r="I98" s="5">
        <f>IF(A98="","",SUM(F98:H98))</f>
        <v/>
      </c>
      <c r="J98" s="5" t="n"/>
      <c r="K98" s="5" t="n"/>
      <c r="L98" s="5" t="n"/>
      <c r="M98" s="5">
        <f>IF(A98="","",SUM(J98:L98))</f>
        <v/>
      </c>
      <c r="N98" s="5" t="n"/>
      <c r="O98" s="5" t="n"/>
      <c r="P98" s="5" t="n"/>
      <c r="Q98" s="5">
        <f>IF(A98="","",SUM(N98:P98))</f>
        <v/>
      </c>
      <c r="R98" s="5">
        <f>IF(A98="","",E98+I98+M98+Q98)</f>
        <v/>
      </c>
    </row>
    <row r="99">
      <c r="A99" s="7" t="n"/>
      <c r="B99" s="8" t="n"/>
      <c r="C99" s="8" t="n"/>
      <c r="D99" s="8" t="n"/>
      <c r="E99" s="8">
        <f>IF(A99="","",SUM(B99:D99))</f>
        <v/>
      </c>
      <c r="F99" s="8" t="n"/>
      <c r="G99" s="8" t="n"/>
      <c r="H99" s="8" t="n"/>
      <c r="I99" s="8">
        <f>IF(A99="","",SUM(F99:H99))</f>
        <v/>
      </c>
      <c r="J99" s="8" t="n"/>
      <c r="K99" s="8" t="n"/>
      <c r="L99" s="8" t="n"/>
      <c r="M99" s="8">
        <f>IF(A99="","",SUM(J99:L99))</f>
        <v/>
      </c>
      <c r="N99" s="8" t="n"/>
      <c r="O99" s="8" t="n"/>
      <c r="P99" s="8" t="n"/>
      <c r="Q99" s="8">
        <f>IF(A99="","",SUM(N99:P99))</f>
        <v/>
      </c>
      <c r="R99" s="8">
        <f>IF(A99="","",E99+I99+M99+Q99)</f>
        <v/>
      </c>
    </row>
    <row r="100">
      <c r="A100" s="4" t="n"/>
      <c r="B100" s="5" t="n"/>
      <c r="C100" s="5" t="n"/>
      <c r="D100" s="5" t="n"/>
      <c r="E100" s="5">
        <f>IF(A100="","",SUM(B100:D100))</f>
        <v/>
      </c>
      <c r="F100" s="5" t="n"/>
      <c r="G100" s="5" t="n"/>
      <c r="H100" s="5" t="n"/>
      <c r="I100" s="5">
        <f>IF(A100="","",SUM(F100:H100))</f>
        <v/>
      </c>
      <c r="J100" s="5" t="n"/>
      <c r="K100" s="5" t="n"/>
      <c r="L100" s="5" t="n"/>
      <c r="M100" s="5">
        <f>IF(A100="","",SUM(J100:L100))</f>
        <v/>
      </c>
      <c r="N100" s="5" t="n"/>
      <c r="O100" s="5" t="n"/>
      <c r="P100" s="5" t="n"/>
      <c r="Q100" s="5">
        <f>IF(A100="","",SUM(N100:P100))</f>
        <v/>
      </c>
      <c r="R100" s="5">
        <f>IF(A100="","",E100+I100+M100+Q100)</f>
        <v/>
      </c>
    </row>
    <row r="101">
      <c r="A101" s="7" t="n"/>
      <c r="B101" s="8" t="n"/>
      <c r="C101" s="8" t="n"/>
      <c r="D101" s="8" t="n"/>
      <c r="E101" s="8">
        <f>IF(A101="","",SUM(B101:D101))</f>
        <v/>
      </c>
      <c r="F101" s="8" t="n"/>
      <c r="G101" s="8" t="n"/>
      <c r="H101" s="8" t="n"/>
      <c r="I101" s="8">
        <f>IF(A101="","",SUM(F101:H101))</f>
        <v/>
      </c>
      <c r="J101" s="8" t="n"/>
      <c r="K101" s="8" t="n"/>
      <c r="L101" s="8" t="n"/>
      <c r="M101" s="8">
        <f>IF(A101="","",SUM(J101:L101))</f>
        <v/>
      </c>
      <c r="N101" s="8" t="n"/>
      <c r="O101" s="8" t="n"/>
      <c r="P101" s="8" t="n"/>
      <c r="Q101" s="8">
        <f>IF(A101="","",SUM(N101:P101))</f>
        <v/>
      </c>
      <c r="R101" s="8">
        <f>IF(A101="","",E101+I101+M101+Q101)</f>
        <v/>
      </c>
    </row>
    <row r="102">
      <c r="A102" s="4" t="n"/>
      <c r="B102" s="5" t="n"/>
      <c r="C102" s="5" t="n"/>
      <c r="D102" s="5" t="n"/>
      <c r="E102" s="5">
        <f>IF(A102="","",SUM(B102:D102))</f>
        <v/>
      </c>
      <c r="F102" s="5" t="n"/>
      <c r="G102" s="5" t="n"/>
      <c r="H102" s="5" t="n"/>
      <c r="I102" s="5">
        <f>IF(A102="","",SUM(F102:H102))</f>
        <v/>
      </c>
      <c r="J102" s="5" t="n"/>
      <c r="K102" s="5" t="n"/>
      <c r="L102" s="5" t="n"/>
      <c r="M102" s="5">
        <f>IF(A102="","",SUM(J102:L102))</f>
        <v/>
      </c>
      <c r="N102" s="5" t="n"/>
      <c r="O102" s="5" t="n"/>
      <c r="P102" s="5" t="n"/>
      <c r="Q102" s="5">
        <f>IF(A102="","",SUM(N102:P102))</f>
        <v/>
      </c>
      <c r="R102" s="5">
        <f>IF(A102="","",E102+I102+M102+Q102)</f>
        <v/>
      </c>
    </row>
    <row r="103">
      <c r="A103" s="7" t="n"/>
      <c r="B103" s="8" t="n"/>
      <c r="C103" s="8" t="n"/>
      <c r="D103" s="8" t="n"/>
      <c r="E103" s="8">
        <f>IF(A103="","",SUM(B103:D103))</f>
        <v/>
      </c>
      <c r="F103" s="8" t="n"/>
      <c r="G103" s="8" t="n"/>
      <c r="H103" s="8" t="n"/>
      <c r="I103" s="8">
        <f>IF(A103="","",SUM(F103:H103))</f>
        <v/>
      </c>
      <c r="J103" s="8" t="n"/>
      <c r="K103" s="8" t="n"/>
      <c r="L103" s="8" t="n"/>
      <c r="M103" s="8">
        <f>IF(A103="","",SUM(J103:L103))</f>
        <v/>
      </c>
      <c r="N103" s="8" t="n"/>
      <c r="O103" s="8" t="n"/>
      <c r="P103" s="8" t="n"/>
      <c r="Q103" s="8">
        <f>IF(A103="","",SUM(N103:P103))</f>
        <v/>
      </c>
      <c r="R103" s="8">
        <f>IF(A103="","",E103+I103+M103+Q103)</f>
        <v/>
      </c>
    </row>
    <row r="104">
      <c r="A104" s="4" t="n"/>
      <c r="B104" s="5" t="n"/>
      <c r="C104" s="5" t="n"/>
      <c r="D104" s="5" t="n"/>
      <c r="E104" s="5">
        <f>IF(A104="","",SUM(B104:D104))</f>
        <v/>
      </c>
      <c r="F104" s="5" t="n"/>
      <c r="G104" s="5" t="n"/>
      <c r="H104" s="5" t="n"/>
      <c r="I104" s="5">
        <f>IF(A104="","",SUM(F104:H104))</f>
        <v/>
      </c>
      <c r="J104" s="5" t="n"/>
      <c r="K104" s="5" t="n"/>
      <c r="L104" s="5" t="n"/>
      <c r="M104" s="5">
        <f>IF(A104="","",SUM(J104:L104))</f>
        <v/>
      </c>
      <c r="N104" s="5" t="n"/>
      <c r="O104" s="5" t="n"/>
      <c r="P104" s="5" t="n"/>
      <c r="Q104" s="5">
        <f>IF(A104="","",SUM(N104:P104))</f>
        <v/>
      </c>
      <c r="R104" s="5">
        <f>IF(A104="","",E104+I104+M104+Q104)</f>
        <v/>
      </c>
    </row>
    <row r="105">
      <c r="A105" s="7" t="n"/>
      <c r="B105" s="8" t="n"/>
      <c r="C105" s="8" t="n"/>
      <c r="D105" s="8" t="n"/>
      <c r="E105" s="8">
        <f>IF(A105="","",SUM(B105:D105))</f>
        <v/>
      </c>
      <c r="F105" s="8" t="n"/>
      <c r="G105" s="8" t="n"/>
      <c r="H105" s="8" t="n"/>
      <c r="I105" s="8">
        <f>IF(A105="","",SUM(F105:H105))</f>
        <v/>
      </c>
      <c r="J105" s="8" t="n"/>
      <c r="K105" s="8" t="n"/>
      <c r="L105" s="8" t="n"/>
      <c r="M105" s="8">
        <f>IF(A105="","",SUM(J105:L105))</f>
        <v/>
      </c>
      <c r="N105" s="8" t="n"/>
      <c r="O105" s="8" t="n"/>
      <c r="P105" s="8" t="n"/>
      <c r="Q105" s="8">
        <f>IF(A105="","",SUM(N105:P105))</f>
        <v/>
      </c>
      <c r="R105" s="8">
        <f>IF(A105="","",E105+I105+M105+Q105)</f>
        <v/>
      </c>
    </row>
    <row r="106">
      <c r="A106" s="4" t="n"/>
      <c r="B106" s="5" t="n"/>
      <c r="C106" s="5" t="n"/>
      <c r="D106" s="5" t="n"/>
      <c r="E106" s="5">
        <f>IF(A106="","",SUM(B106:D106))</f>
        <v/>
      </c>
      <c r="F106" s="5" t="n"/>
      <c r="G106" s="5" t="n"/>
      <c r="H106" s="5" t="n"/>
      <c r="I106" s="5">
        <f>IF(A106="","",SUM(F106:H106))</f>
        <v/>
      </c>
      <c r="J106" s="5" t="n"/>
      <c r="K106" s="5" t="n"/>
      <c r="L106" s="5" t="n"/>
      <c r="M106" s="5">
        <f>IF(A106="","",SUM(J106:L106))</f>
        <v/>
      </c>
      <c r="N106" s="5" t="n"/>
      <c r="O106" s="5" t="n"/>
      <c r="P106" s="5" t="n"/>
      <c r="Q106" s="5">
        <f>IF(A106="","",SUM(N106:P106))</f>
        <v/>
      </c>
      <c r="R106" s="5">
        <f>IF(A106="","",E106+I106+M106+Q106)</f>
        <v/>
      </c>
    </row>
    <row r="107">
      <c r="A107" s="7" t="n"/>
      <c r="B107" s="8" t="n"/>
      <c r="C107" s="8" t="n"/>
      <c r="D107" s="8" t="n"/>
      <c r="E107" s="8">
        <f>IF(A107="","",SUM(B107:D107))</f>
        <v/>
      </c>
      <c r="F107" s="8" t="n"/>
      <c r="G107" s="8" t="n"/>
      <c r="H107" s="8" t="n"/>
      <c r="I107" s="8">
        <f>IF(A107="","",SUM(F107:H107))</f>
        <v/>
      </c>
      <c r="J107" s="8" t="n"/>
      <c r="K107" s="8" t="n"/>
      <c r="L107" s="8" t="n"/>
      <c r="M107" s="8">
        <f>IF(A107="","",SUM(J107:L107))</f>
        <v/>
      </c>
      <c r="N107" s="8" t="n"/>
      <c r="O107" s="8" t="n"/>
      <c r="P107" s="8" t="n"/>
      <c r="Q107" s="8">
        <f>IF(A107="","",SUM(N107:P107))</f>
        <v/>
      </c>
      <c r="R107" s="8">
        <f>IF(A107="","",E107+I107+M107+Q107)</f>
        <v/>
      </c>
    </row>
    <row r="108">
      <c r="A108" s="4" t="n"/>
      <c r="B108" s="5" t="n"/>
      <c r="C108" s="5" t="n"/>
      <c r="D108" s="5" t="n"/>
      <c r="E108" s="5">
        <f>IF(A108="","",SUM(B108:D108))</f>
        <v/>
      </c>
      <c r="F108" s="5" t="n"/>
      <c r="G108" s="5" t="n"/>
      <c r="H108" s="5" t="n"/>
      <c r="I108" s="5">
        <f>IF(A108="","",SUM(F108:H108))</f>
        <v/>
      </c>
      <c r="J108" s="5" t="n"/>
      <c r="K108" s="5" t="n"/>
      <c r="L108" s="5" t="n"/>
      <c r="M108" s="5">
        <f>IF(A108="","",SUM(J108:L108))</f>
        <v/>
      </c>
      <c r="N108" s="5" t="n"/>
      <c r="O108" s="5" t="n"/>
      <c r="P108" s="5" t="n"/>
      <c r="Q108" s="5">
        <f>IF(A108="","",SUM(N108:P108))</f>
        <v/>
      </c>
      <c r="R108" s="5">
        <f>IF(A108="","",E108+I108+M108+Q108)</f>
        <v/>
      </c>
    </row>
    <row r="109">
      <c r="A109" s="7" t="n"/>
      <c r="B109" s="8" t="n"/>
      <c r="C109" s="8" t="n"/>
      <c r="D109" s="8" t="n"/>
      <c r="E109" s="8">
        <f>IF(A109="","",SUM(B109:D109))</f>
        <v/>
      </c>
      <c r="F109" s="8" t="n"/>
      <c r="G109" s="8" t="n"/>
      <c r="H109" s="8" t="n"/>
      <c r="I109" s="8">
        <f>IF(A109="","",SUM(F109:H109))</f>
        <v/>
      </c>
      <c r="J109" s="8" t="n"/>
      <c r="K109" s="8" t="n"/>
      <c r="L109" s="8" t="n"/>
      <c r="M109" s="8">
        <f>IF(A109="","",SUM(J109:L109))</f>
        <v/>
      </c>
      <c r="N109" s="8" t="n"/>
      <c r="O109" s="8" t="n"/>
      <c r="P109" s="8" t="n"/>
      <c r="Q109" s="8">
        <f>IF(A109="","",SUM(N109:P109))</f>
        <v/>
      </c>
      <c r="R109" s="8">
        <f>IF(A109="","",E109+I109+M109+Q109)</f>
        <v/>
      </c>
    </row>
    <row r="110">
      <c r="A110" s="4" t="n"/>
      <c r="B110" s="5" t="n"/>
      <c r="C110" s="5" t="n"/>
      <c r="D110" s="5" t="n"/>
      <c r="E110" s="5">
        <f>IF(A110="","",SUM(B110:D110))</f>
        <v/>
      </c>
      <c r="F110" s="5" t="n"/>
      <c r="G110" s="5" t="n"/>
      <c r="H110" s="5" t="n"/>
      <c r="I110" s="5">
        <f>IF(A110="","",SUM(F110:H110))</f>
        <v/>
      </c>
      <c r="J110" s="5" t="n"/>
      <c r="K110" s="5" t="n"/>
      <c r="L110" s="5" t="n"/>
      <c r="M110" s="5">
        <f>IF(A110="","",SUM(J110:L110))</f>
        <v/>
      </c>
      <c r="N110" s="5" t="n"/>
      <c r="O110" s="5" t="n"/>
      <c r="P110" s="5" t="n"/>
      <c r="Q110" s="5">
        <f>IF(A110="","",SUM(N110:P110))</f>
        <v/>
      </c>
      <c r="R110" s="5">
        <f>IF(A110="","",E110+I110+M110+Q110)</f>
        <v/>
      </c>
    </row>
    <row r="111">
      <c r="A111" s="7" t="n"/>
      <c r="B111" s="8" t="n"/>
      <c r="C111" s="8" t="n"/>
      <c r="D111" s="8" t="n"/>
      <c r="E111" s="8">
        <f>IF(A111="","",SUM(B111:D111))</f>
        <v/>
      </c>
      <c r="F111" s="8" t="n"/>
      <c r="G111" s="8" t="n"/>
      <c r="H111" s="8" t="n"/>
      <c r="I111" s="8">
        <f>IF(A111="","",SUM(F111:H111))</f>
        <v/>
      </c>
      <c r="J111" s="8" t="n"/>
      <c r="K111" s="8" t="n"/>
      <c r="L111" s="8" t="n"/>
      <c r="M111" s="8">
        <f>IF(A111="","",SUM(J111:L111))</f>
        <v/>
      </c>
      <c r="N111" s="8" t="n"/>
      <c r="O111" s="8" t="n"/>
      <c r="P111" s="8" t="n"/>
      <c r="Q111" s="8">
        <f>IF(A111="","",SUM(N111:P111))</f>
        <v/>
      </c>
      <c r="R111" s="8">
        <f>IF(A111="","",E111+I111+M111+Q111)</f>
        <v/>
      </c>
    </row>
    <row r="112">
      <c r="A112" s="4" t="n"/>
      <c r="B112" s="5" t="n"/>
      <c r="C112" s="5" t="n"/>
      <c r="D112" s="5" t="n"/>
      <c r="E112" s="5">
        <f>IF(A112="","",SUM(B112:D112))</f>
        <v/>
      </c>
      <c r="F112" s="5" t="n"/>
      <c r="G112" s="5" t="n"/>
      <c r="H112" s="5" t="n"/>
      <c r="I112" s="5">
        <f>IF(A112="","",SUM(F112:H112))</f>
        <v/>
      </c>
      <c r="J112" s="5" t="n"/>
      <c r="K112" s="5" t="n"/>
      <c r="L112" s="5" t="n"/>
      <c r="M112" s="5">
        <f>IF(A112="","",SUM(J112:L112))</f>
        <v/>
      </c>
      <c r="N112" s="5" t="n"/>
      <c r="O112" s="5" t="n"/>
      <c r="P112" s="5" t="n"/>
      <c r="Q112" s="5">
        <f>IF(A112="","",SUM(N112:P112))</f>
        <v/>
      </c>
      <c r="R112" s="5">
        <f>IF(A112="","",E112+I112+M112+Q112)</f>
        <v/>
      </c>
    </row>
    <row r="113">
      <c r="A113" s="7" t="n"/>
      <c r="B113" s="8" t="n"/>
      <c r="C113" s="8" t="n"/>
      <c r="D113" s="8" t="n"/>
      <c r="E113" s="8">
        <f>IF(A113="","",SUM(B113:D113))</f>
        <v/>
      </c>
      <c r="F113" s="8" t="n"/>
      <c r="G113" s="8" t="n"/>
      <c r="H113" s="8" t="n"/>
      <c r="I113" s="8">
        <f>IF(A113="","",SUM(F113:H113))</f>
        <v/>
      </c>
      <c r="J113" s="8" t="n"/>
      <c r="K113" s="8" t="n"/>
      <c r="L113" s="8" t="n"/>
      <c r="M113" s="8">
        <f>IF(A113="","",SUM(J113:L113))</f>
        <v/>
      </c>
      <c r="N113" s="8" t="n"/>
      <c r="O113" s="8" t="n"/>
      <c r="P113" s="8" t="n"/>
      <c r="Q113" s="8">
        <f>IF(A113="","",SUM(N113:P113))</f>
        <v/>
      </c>
      <c r="R113" s="8">
        <f>IF(A113="","",E113+I113+M113+Q113)</f>
        <v/>
      </c>
    </row>
    <row r="114">
      <c r="A114" s="4" t="n"/>
      <c r="B114" s="5" t="n"/>
      <c r="C114" s="5" t="n"/>
      <c r="D114" s="5" t="n"/>
      <c r="E114" s="5">
        <f>IF(A114="","",SUM(B114:D114))</f>
        <v/>
      </c>
      <c r="F114" s="5" t="n"/>
      <c r="G114" s="5" t="n"/>
      <c r="H114" s="5" t="n"/>
      <c r="I114" s="5">
        <f>IF(A114="","",SUM(F114:H114))</f>
        <v/>
      </c>
      <c r="J114" s="5" t="n"/>
      <c r="K114" s="5" t="n"/>
      <c r="L114" s="5" t="n"/>
      <c r="M114" s="5">
        <f>IF(A114="","",SUM(J114:L114))</f>
        <v/>
      </c>
      <c r="N114" s="5" t="n"/>
      <c r="O114" s="5" t="n"/>
      <c r="P114" s="5" t="n"/>
      <c r="Q114" s="5">
        <f>IF(A114="","",SUM(N114:P114))</f>
        <v/>
      </c>
      <c r="R114" s="5">
        <f>IF(A114="","",E114+I114+M114+Q114)</f>
        <v/>
      </c>
    </row>
    <row r="115">
      <c r="A115" s="7" t="n"/>
      <c r="B115" s="8" t="n"/>
      <c r="C115" s="8" t="n"/>
      <c r="D115" s="8" t="n"/>
      <c r="E115" s="8">
        <f>IF(A115="","",SUM(B115:D115))</f>
        <v/>
      </c>
      <c r="F115" s="8" t="n"/>
      <c r="G115" s="8" t="n"/>
      <c r="H115" s="8" t="n"/>
      <c r="I115" s="8">
        <f>IF(A115="","",SUM(F115:H115))</f>
        <v/>
      </c>
      <c r="J115" s="8" t="n"/>
      <c r="K115" s="8" t="n"/>
      <c r="L115" s="8" t="n"/>
      <c r="M115" s="8">
        <f>IF(A115="","",SUM(J115:L115))</f>
        <v/>
      </c>
      <c r="N115" s="8" t="n"/>
      <c r="O115" s="8" t="n"/>
      <c r="P115" s="8" t="n"/>
      <c r="Q115" s="8">
        <f>IF(A115="","",SUM(N115:P115))</f>
        <v/>
      </c>
      <c r="R115" s="8">
        <f>IF(A115="","",E115+I115+M115+Q115)</f>
        <v/>
      </c>
    </row>
  </sheetData>
  <mergeCells count="2">
    <mergeCell ref="A3:P3"/>
    <mergeCell ref="A2:P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B5E20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6" customWidth="1" min="8" max="8"/>
    <col width="30" customWidth="1" min="9" max="9"/>
  </cols>
  <sheetData>
    <row r="2" ht="25" customHeight="1">
      <c r="A2" s="1" t="inlineStr">
        <is>
          <t>DOMAINE 27 — 18-INDICATEURS DE PERFORMANCE SANTÉ SÉCURITÉ</t>
        </is>
      </c>
    </row>
    <row r="3" ht="18" customHeight="1">
      <c r="A3" s="2" t="inlineStr">
        <is>
          <t>TABLEAU DYNAMIQUE — KPIs SST et objectifs</t>
        </is>
      </c>
    </row>
    <row r="5">
      <c r="A5" s="3" t="inlineStr">
        <is>
          <t>Code KPI</t>
        </is>
      </c>
      <c r="B5" s="3" t="inlineStr">
        <is>
          <t>Indicateur</t>
        </is>
      </c>
      <c r="C5" s="3" t="inlineStr">
        <is>
          <t>Cible</t>
        </is>
      </c>
      <c r="D5" s="3" t="inlineStr">
        <is>
          <t>Valeur Actuelle</t>
        </is>
      </c>
      <c r="E5" s="3" t="inlineStr">
        <is>
          <t>Écart</t>
        </is>
      </c>
      <c r="F5" s="3" t="inlineStr">
        <is>
          <t>Tendance</t>
        </is>
      </c>
      <c r="G5" s="3" t="inlineStr">
        <is>
          <t>Fréquence</t>
        </is>
      </c>
      <c r="H5" s="3" t="inlineStr">
        <is>
          <t>Responsable</t>
        </is>
      </c>
      <c r="I5" s="3" t="inlineStr">
        <is>
          <t>Commentaire</t>
        </is>
      </c>
    </row>
    <row r="6">
      <c r="A6" s="4" t="inlineStr">
        <is>
          <t>SST-KPI-01</t>
        </is>
      </c>
      <c r="B6" s="4" t="inlineStr">
        <is>
          <t>Taux de fréquence (TF)</t>
        </is>
      </c>
      <c r="C6" s="4" t="inlineStr">
        <is>
          <t>&lt; 15</t>
        </is>
      </c>
      <c r="D6" s="4" t="n">
        <v>12.5</v>
      </c>
      <c r="E6" s="4">
        <f>IF(OR(C6="",D6=""),"",D6-C6)</f>
        <v/>
      </c>
      <c r="F6" s="4">
        <f>IF(E6="","",IF(ISNUMBER(E6),IF(E6&gt;0,"Hausse",IF(E6&lt;0,"Baisse","Stable")),""))</f>
        <v/>
      </c>
      <c r="G6" s="4" t="inlineStr">
        <is>
          <t>Mensuel</t>
        </is>
      </c>
      <c r="H6" s="4" t="inlineStr">
        <is>
          <t>Resp. SST</t>
        </is>
      </c>
      <c r="I6" s="4" t="inlineStr">
        <is>
          <t>En dessous de la cible</t>
        </is>
      </c>
    </row>
    <row r="7">
      <c r="A7" s="7" t="inlineStr">
        <is>
          <t>SST-KPI-02</t>
        </is>
      </c>
      <c r="B7" s="7" t="inlineStr">
        <is>
          <t>Taux de gravité (TG)</t>
        </is>
      </c>
      <c r="C7" s="7" t="inlineStr">
        <is>
          <t>&lt; 1.0</t>
        </is>
      </c>
      <c r="D7" s="7" t="n">
        <v>0.68</v>
      </c>
      <c r="E7" s="7">
        <f>IF(OR(C7="",D7=""),"",D7-C7)</f>
        <v/>
      </c>
      <c r="F7" s="7">
        <f>IF(E7="","",IF(ISNUMBER(E7),IF(E7&gt;0,"Hausse",IF(E7&lt;0,"Baisse","Stable")),""))</f>
        <v/>
      </c>
      <c r="G7" s="7" t="inlineStr">
        <is>
          <t>Mensuel</t>
        </is>
      </c>
      <c r="H7" s="7" t="inlineStr">
        <is>
          <t>Resp. SST</t>
        </is>
      </c>
      <c r="I7" s="7" t="inlineStr">
        <is>
          <t>Tendance favorable</t>
        </is>
      </c>
    </row>
    <row r="8">
      <c r="A8" s="4" t="inlineStr">
        <is>
          <t>SST-KPI-03</t>
        </is>
      </c>
      <c r="B8" s="4" t="inlineStr">
        <is>
          <t>Nb jours d'arrêt / effectif</t>
        </is>
      </c>
      <c r="C8" s="4" t="inlineStr">
        <is>
          <t>&lt; 0.5</t>
        </is>
      </c>
      <c r="D8" s="4" t="n">
        <v>0.29</v>
      </c>
      <c r="E8" s="4">
        <f>IF(OR(C8="",D8=""),"",D8-C8)</f>
        <v/>
      </c>
      <c r="F8" s="4">
        <f>IF(E8="","",IF(ISNUMBER(E8),IF(E8&gt;0,"Hausse",IF(E8&lt;0,"Baisse","Stable")),""))</f>
        <v/>
      </c>
      <c r="G8" s="4" t="inlineStr">
        <is>
          <t>Mensuel</t>
        </is>
      </c>
      <c r="H8" s="4" t="inlineStr">
        <is>
          <t>DRH</t>
        </is>
      </c>
      <c r="I8" s="4" t="inlineStr">
        <is>
          <t>Objectif respecté</t>
        </is>
      </c>
    </row>
    <row r="9">
      <c r="A9" s="7" t="inlineStr">
        <is>
          <t>SST-KPI-04</t>
        </is>
      </c>
      <c r="B9" s="7" t="inlineStr">
        <is>
          <t>Taux de conformité EPI</t>
        </is>
      </c>
      <c r="C9" s="7" t="inlineStr">
        <is>
          <t>100%</t>
        </is>
      </c>
      <c r="D9" s="7" t="inlineStr">
        <is>
          <t>92%</t>
        </is>
      </c>
      <c r="E9" s="7">
        <f>IF(OR(C9="",D9=""),"",D9-C9)</f>
        <v/>
      </c>
      <c r="F9" s="7">
        <f>IF(E9="","",IF(ISNUMBER(E9),IF(E9&gt;0,"Hausse",IF(E9&lt;0,"Baisse","Stable")),""))</f>
        <v/>
      </c>
      <c r="G9" s="7" t="inlineStr">
        <is>
          <t>Mensuel</t>
        </is>
      </c>
      <c r="H9" s="7" t="inlineStr">
        <is>
          <t>Resp. SST</t>
        </is>
      </c>
      <c r="I9" s="7" t="inlineStr">
        <is>
          <t>Manque gants cuisine</t>
        </is>
      </c>
    </row>
    <row r="10">
      <c r="A10" s="4" t="inlineStr">
        <is>
          <t>SST-KPI-05</t>
        </is>
      </c>
      <c r="B10" s="4" t="inlineStr">
        <is>
          <t>Taux réalisation formations SST</t>
        </is>
      </c>
      <c r="C10" s="4" t="inlineStr">
        <is>
          <t>100%</t>
        </is>
      </c>
      <c r="D10" s="4" t="inlineStr">
        <is>
          <t>85%</t>
        </is>
      </c>
      <c r="E10" s="4">
        <f>IF(OR(C10="",D10=""),"",D10-C10)</f>
        <v/>
      </c>
      <c r="F10" s="4">
        <f>IF(E10="","",IF(ISNUMBER(E10),IF(E10&gt;0,"Hausse",IF(E10&lt;0,"Baisse","Stable")),""))</f>
        <v/>
      </c>
      <c r="G10" s="4" t="inlineStr">
        <is>
          <t>Trimestriel</t>
        </is>
      </c>
      <c r="H10" s="4" t="inlineStr">
        <is>
          <t>Resp. Formation</t>
        </is>
      </c>
      <c r="I10" s="4" t="inlineStr">
        <is>
          <t>2 formations planifiées T3</t>
        </is>
      </c>
    </row>
    <row r="11">
      <c r="A11" s="7" t="inlineStr">
        <is>
          <t>SST-KPI-06</t>
        </is>
      </c>
      <c r="B11" s="7" t="inlineStr">
        <is>
          <t>Délai traitement accident (h)</t>
        </is>
      </c>
      <c r="C11" s="7" t="inlineStr">
        <is>
          <t>&lt; 4</t>
        </is>
      </c>
      <c r="D11" s="7" t="n">
        <v>2.5</v>
      </c>
      <c r="E11" s="7">
        <f>IF(OR(C11="",D11=""),"",D11-C11)</f>
        <v/>
      </c>
      <c r="F11" s="7">
        <f>IF(E11="","",IF(ISNUMBER(E11),IF(E11&gt;0,"Hausse",IF(E11&lt;0,"Baisse","Stable")),""))</f>
        <v/>
      </c>
      <c r="G11" s="7" t="inlineStr">
        <is>
          <t>Par accident</t>
        </is>
      </c>
      <c r="H11" s="7" t="inlineStr">
        <is>
          <t>Resp. SST</t>
        </is>
      </c>
      <c r="I11" s="7" t="inlineStr">
        <is>
          <t>Bonne réactivité</t>
        </is>
      </c>
    </row>
    <row r="12">
      <c r="A12" s="4" t="inlineStr">
        <is>
          <t>SST-KPI-07</t>
        </is>
      </c>
      <c r="B12" s="4" t="inlineStr">
        <is>
          <t>Taux conformité inspections</t>
        </is>
      </c>
      <c r="C12" s="4" t="inlineStr">
        <is>
          <t>100%</t>
        </is>
      </c>
      <c r="D12" s="4" t="inlineStr">
        <is>
          <t>88%</t>
        </is>
      </c>
      <c r="E12" s="4">
        <f>IF(OR(C12="",D12=""),"",D12-C12)</f>
        <v/>
      </c>
      <c r="F12" s="4">
        <f>IF(E12="","",IF(ISNUMBER(E12),IF(E12&gt;0,"Hausse",IF(E12&lt;0,"Baisse","Stable")),""))</f>
        <v/>
      </c>
      <c r="G12" s="4" t="inlineStr">
        <is>
          <t>Trimestriel</t>
        </is>
      </c>
      <c r="H12" s="4" t="inlineStr">
        <is>
          <t>Resp. SST</t>
        </is>
      </c>
      <c r="I12" s="4" t="inlineStr">
        <is>
          <t>3 NC en cours</t>
        </is>
      </c>
    </row>
    <row r="13">
      <c r="A13" s="7" t="inlineStr">
        <is>
          <t>SST-KPI-08</t>
        </is>
      </c>
      <c r="B13" s="7" t="inlineStr">
        <is>
          <t>Ratio prévention/accidents</t>
        </is>
      </c>
      <c r="C13" s="7" t="inlineStr">
        <is>
          <t>&gt; 3.0</t>
        </is>
      </c>
      <c r="D13" s="7" t="n">
        <v>4.2</v>
      </c>
      <c r="E13" s="7">
        <f>IF(OR(C13="",D13=""),"",D13-C13)</f>
        <v/>
      </c>
      <c r="F13" s="7">
        <f>IF(E13="","",IF(ISNUMBER(E13),IF(E13&gt;0,"Hausse",IF(E13&lt;0,"Baisse","Stable")),""))</f>
        <v/>
      </c>
      <c r="G13" s="7" t="inlineStr">
        <is>
          <t>Mensuel</t>
        </is>
      </c>
      <c r="H13" s="7" t="inlineStr">
        <is>
          <t>DAF</t>
        </is>
      </c>
      <c r="I13" s="7" t="inlineStr">
        <is>
          <t>Investissement prévention suffisant</t>
        </is>
      </c>
    </row>
    <row r="14">
      <c r="A14" s="4" t="inlineStr">
        <is>
          <t>SST-KPI-09</t>
        </is>
      </c>
      <c r="B14" s="4" t="inlineStr">
        <is>
          <t>Taux de couverture médicale</t>
        </is>
      </c>
      <c r="C14" s="4" t="inlineStr">
        <is>
          <t>100%</t>
        </is>
      </c>
      <c r="D14" s="4" t="inlineStr">
        <is>
          <t>98%</t>
        </is>
      </c>
      <c r="E14" s="4">
        <f>IF(OR(C14="",D14=""),"",D14-C14)</f>
        <v/>
      </c>
      <c r="F14" s="4">
        <f>IF(E14="","",IF(ISNUMBER(E14),IF(E14&gt;0,"Hausse",IF(E14&lt;0,"Baisse","Stable")),""))</f>
        <v/>
      </c>
      <c r="G14" s="4" t="inlineStr">
        <is>
          <t>Annuel</t>
        </is>
      </c>
      <c r="H14" s="4" t="inlineStr">
        <is>
          <t>DRH</t>
        </is>
      </c>
      <c r="I14" s="4" t="inlineStr">
        <is>
          <t>2 employés en attente</t>
        </is>
      </c>
    </row>
    <row r="15">
      <c r="A15" s="7" t="inlineStr">
        <is>
          <t>SST-KPI-10</t>
        </is>
      </c>
      <c r="B15" s="7" t="inlineStr">
        <is>
          <t>Nb presque-accidents signalés</t>
        </is>
      </c>
      <c r="C15" s="7" t="inlineStr">
        <is>
          <t>&gt; 30/an</t>
        </is>
      </c>
      <c r="D15" s="7" t="n">
        <v>18</v>
      </c>
      <c r="E15" s="7">
        <f>IF(OR(C15="",D15=""),"",D15-C15)</f>
        <v/>
      </c>
      <c r="F15" s="7">
        <f>IF(E15="","",IF(ISNUMBER(E15),IF(E15&gt;0,"Hausse",IF(E15&lt;0,"Baisse","Stable")),""))</f>
        <v/>
      </c>
      <c r="G15" s="7" t="inlineStr">
        <is>
          <t>Trimestriel</t>
        </is>
      </c>
      <c r="H15" s="7" t="inlineStr">
        <is>
          <t>Resp. SST</t>
        </is>
      </c>
      <c r="I15" s="7" t="inlineStr">
        <is>
          <t>Culture sécurité à renforcer</t>
        </is>
      </c>
    </row>
    <row r="16">
      <c r="A16" s="4" t="inlineStr">
        <is>
          <t>SST-KPI-11</t>
        </is>
      </c>
      <c r="B16" s="4" t="inlineStr">
        <is>
          <t>Score bien-être employés</t>
        </is>
      </c>
      <c r="C16" s="4" t="inlineStr">
        <is>
          <t>&gt; 75%</t>
        </is>
      </c>
      <c r="D16" s="4" t="inlineStr">
        <is>
          <t>72%</t>
        </is>
      </c>
      <c r="E16" s="4">
        <f>IF(OR(C16="",D16=""),"",D16-C16)</f>
        <v/>
      </c>
      <c r="F16" s="4">
        <f>IF(E16="","",IF(ISNUMBER(E16),IF(E16&gt;0,"Hausse",IF(E16&lt;0,"Baisse","Stable")),""))</f>
        <v/>
      </c>
      <c r="G16" s="4" t="inlineStr">
        <is>
          <t>Annuel</t>
        </is>
      </c>
      <c r="H16" s="4" t="inlineStr">
        <is>
          <t>DRH</t>
        </is>
      </c>
      <c r="I16" s="4" t="inlineStr">
        <is>
          <t>Enquête Q1 2025</t>
        </is>
      </c>
    </row>
    <row r="17">
      <c r="A17" s="7" t="inlineStr">
        <is>
          <t>SST-KPI-12</t>
        </is>
      </c>
      <c r="B17" s="7" t="inlineStr">
        <is>
          <t>Taux absentéisme SST</t>
        </is>
      </c>
      <c r="C17" s="7" t="inlineStr">
        <is>
          <t>&lt; 2%</t>
        </is>
      </c>
      <c r="D17" s="7" t="inlineStr">
        <is>
          <t>1.8%</t>
        </is>
      </c>
      <c r="E17" s="7">
        <f>IF(OR(C17="",D17=""),"",D17-C17)</f>
        <v/>
      </c>
      <c r="F17" s="7">
        <f>IF(E17="","",IF(ISNUMBER(E17),IF(E17&gt;0,"Hausse",IF(E17&lt;0,"Baisse","Stable")),""))</f>
        <v/>
      </c>
      <c r="G17" s="7" t="inlineStr">
        <is>
          <t>Mensuel</t>
        </is>
      </c>
      <c r="H17" s="7" t="inlineStr">
        <is>
          <t>DRH</t>
        </is>
      </c>
      <c r="I17" s="7" t="inlineStr">
        <is>
          <t>Légèrement en dessous cible</t>
        </is>
      </c>
    </row>
    <row r="18">
      <c r="A18" s="4" t="n"/>
      <c r="B18" s="4" t="n"/>
      <c r="C18" s="4" t="n"/>
      <c r="D18" s="4" t="n"/>
      <c r="E18" s="4">
        <f>IF(OR(C18="",D18=""),"",D18-C18)</f>
        <v/>
      </c>
      <c r="F18" s="4">
        <f>IF(E18="","",IF(ISNUMBER(E18),IF(E18&gt;0,"Hausse",IF(E18&lt;0,"Baisse","Stable")),""))</f>
        <v/>
      </c>
      <c r="G18" s="4" t="n"/>
      <c r="H18" s="4" t="n"/>
      <c r="I18" s="4" t="n"/>
    </row>
    <row r="19">
      <c r="A19" s="7" t="n"/>
      <c r="B19" s="7" t="n"/>
      <c r="C19" s="7" t="n"/>
      <c r="D19" s="7" t="n"/>
      <c r="E19" s="7">
        <f>IF(OR(C19="",D19=""),"",D19-C19)</f>
        <v/>
      </c>
      <c r="F19" s="7">
        <f>IF(E19="","",IF(ISNUMBER(E19),IF(E19&gt;0,"Hausse",IF(E19&lt;0,"Baisse","Stable")),""))</f>
        <v/>
      </c>
      <c r="G19" s="7" t="n"/>
      <c r="H19" s="7" t="n"/>
      <c r="I19" s="7" t="n"/>
    </row>
    <row r="20">
      <c r="A20" s="4" t="n"/>
      <c r="B20" s="4" t="n"/>
      <c r="C20" s="4" t="n"/>
      <c r="D20" s="4" t="n"/>
      <c r="E20" s="4">
        <f>IF(OR(C20="",D20=""),"",D20-C20)</f>
        <v/>
      </c>
      <c r="F20" s="4">
        <f>IF(E20="","",IF(ISNUMBER(E20),IF(E20&gt;0,"Hausse",IF(E20&lt;0,"Baisse","Stable")),""))</f>
        <v/>
      </c>
      <c r="G20" s="4" t="n"/>
      <c r="H20" s="4" t="n"/>
      <c r="I20" s="4" t="n"/>
    </row>
    <row r="21">
      <c r="A21" s="7" t="n"/>
      <c r="B21" s="7" t="n"/>
      <c r="C21" s="7" t="n"/>
      <c r="D21" s="7" t="n"/>
      <c r="E21" s="7">
        <f>IF(OR(C21="",D21=""),"",D21-C21)</f>
        <v/>
      </c>
      <c r="F21" s="7">
        <f>IF(E21="","",IF(ISNUMBER(E21),IF(E21&gt;0,"Hausse",IF(E21&lt;0,"Baisse","Stable")),""))</f>
        <v/>
      </c>
      <c r="G21" s="7" t="n"/>
      <c r="H21" s="7" t="n"/>
      <c r="I21" s="7" t="n"/>
    </row>
    <row r="22">
      <c r="A22" s="4" t="n"/>
      <c r="B22" s="4" t="n"/>
      <c r="C22" s="4" t="n"/>
      <c r="D22" s="4" t="n"/>
      <c r="E22" s="4">
        <f>IF(OR(C22="",D22=""),"",D22-C22)</f>
        <v/>
      </c>
      <c r="F22" s="4">
        <f>IF(E22="","",IF(ISNUMBER(E22),IF(E22&gt;0,"Hausse",IF(E22&lt;0,"Baisse","Stable")),""))</f>
        <v/>
      </c>
      <c r="G22" s="4" t="n"/>
      <c r="H22" s="4" t="n"/>
      <c r="I22" s="4" t="n"/>
    </row>
    <row r="23">
      <c r="A23" s="7" t="n"/>
      <c r="B23" s="7" t="n"/>
      <c r="C23" s="7" t="n"/>
      <c r="D23" s="7" t="n"/>
      <c r="E23" s="7">
        <f>IF(OR(C23="",D23=""),"",D23-C23)</f>
        <v/>
      </c>
      <c r="F23" s="7">
        <f>IF(E23="","",IF(ISNUMBER(E23),IF(E23&gt;0,"Hausse",IF(E23&lt;0,"Baisse","Stable")),""))</f>
        <v/>
      </c>
      <c r="G23" s="7" t="n"/>
      <c r="H23" s="7" t="n"/>
      <c r="I23" s="7" t="n"/>
    </row>
    <row r="24">
      <c r="A24" s="4" t="n"/>
      <c r="B24" s="4" t="n"/>
      <c r="C24" s="4" t="n"/>
      <c r="D24" s="4" t="n"/>
      <c r="E24" s="4">
        <f>IF(OR(C24="",D24=""),"",D24-C24)</f>
        <v/>
      </c>
      <c r="F24" s="4">
        <f>IF(E24="","",IF(ISNUMBER(E24),IF(E24&gt;0,"Hausse",IF(E24&lt;0,"Baisse","Stable")),""))</f>
        <v/>
      </c>
      <c r="G24" s="4" t="n"/>
      <c r="H24" s="4" t="n"/>
      <c r="I24" s="4" t="n"/>
    </row>
    <row r="25">
      <c r="A25" s="7" t="n"/>
      <c r="B25" s="7" t="n"/>
      <c r="C25" s="7" t="n"/>
      <c r="D25" s="7" t="n"/>
      <c r="E25" s="7">
        <f>IF(OR(C25="",D25=""),"",D25-C25)</f>
        <v/>
      </c>
      <c r="F25" s="7">
        <f>IF(E25="","",IF(ISNUMBER(E25),IF(E25&gt;0,"Hausse",IF(E25&lt;0,"Baisse","Stable")),""))</f>
        <v/>
      </c>
      <c r="G25" s="7" t="n"/>
      <c r="H25" s="7" t="n"/>
      <c r="I25" s="7" t="n"/>
    </row>
    <row r="26">
      <c r="A26" s="4" t="n"/>
      <c r="B26" s="4" t="n"/>
      <c r="C26" s="4" t="n"/>
      <c r="D26" s="4" t="n"/>
      <c r="E26" s="4">
        <f>IF(OR(C26="",D26=""),"",D26-C26)</f>
        <v/>
      </c>
      <c r="F26" s="4">
        <f>IF(E26="","",IF(ISNUMBER(E26),IF(E26&gt;0,"Hausse",IF(E26&lt;0,"Baisse","Stable")),""))</f>
        <v/>
      </c>
      <c r="G26" s="4" t="n"/>
      <c r="H26" s="4" t="n"/>
      <c r="I26" s="4" t="n"/>
    </row>
    <row r="27">
      <c r="A27" s="7" t="n"/>
      <c r="B27" s="7" t="n"/>
      <c r="C27" s="7" t="n"/>
      <c r="D27" s="7" t="n"/>
      <c r="E27" s="7">
        <f>IF(OR(C27="",D27=""),"",D27-C27)</f>
        <v/>
      </c>
      <c r="F27" s="7">
        <f>IF(E27="","",IF(ISNUMBER(E27),IF(E27&gt;0,"Hausse",IF(E27&lt;0,"Baisse","Stable")),""))</f>
        <v/>
      </c>
      <c r="G27" s="7" t="n"/>
      <c r="H27" s="7" t="n"/>
      <c r="I27" s="7" t="n"/>
    </row>
    <row r="28">
      <c r="A28" s="4" t="n"/>
      <c r="B28" s="4" t="n"/>
      <c r="C28" s="4" t="n"/>
      <c r="D28" s="4" t="n"/>
      <c r="E28" s="4">
        <f>IF(OR(C28="",D28=""),"",D28-C28)</f>
        <v/>
      </c>
      <c r="F28" s="4">
        <f>IF(E28="","",IF(ISNUMBER(E28),IF(E28&gt;0,"Hausse",IF(E28&lt;0,"Baisse","Stable")),""))</f>
        <v/>
      </c>
      <c r="G28" s="4" t="n"/>
      <c r="H28" s="4" t="n"/>
      <c r="I28" s="4" t="n"/>
    </row>
    <row r="29">
      <c r="A29" s="7" t="n"/>
      <c r="B29" s="7" t="n"/>
      <c r="C29" s="7" t="n"/>
      <c r="D29" s="7" t="n"/>
      <c r="E29" s="7">
        <f>IF(OR(C29="",D29=""),"",D29-C29)</f>
        <v/>
      </c>
      <c r="F29" s="7">
        <f>IF(E29="","",IF(ISNUMBER(E29),IF(E29&gt;0,"Hausse",IF(E29&lt;0,"Baisse","Stable")),""))</f>
        <v/>
      </c>
      <c r="G29" s="7" t="n"/>
      <c r="H29" s="7" t="n"/>
      <c r="I29" s="7" t="n"/>
    </row>
    <row r="30">
      <c r="A30" s="4" t="n"/>
      <c r="B30" s="4" t="n"/>
      <c r="C30" s="4" t="n"/>
      <c r="D30" s="4" t="n"/>
      <c r="E30" s="4">
        <f>IF(OR(C30="",D30=""),"",D30-C30)</f>
        <v/>
      </c>
      <c r="F30" s="4">
        <f>IF(E30="","",IF(ISNUMBER(E30),IF(E30&gt;0,"Hausse",IF(E30&lt;0,"Baisse","Stable")),""))</f>
        <v/>
      </c>
      <c r="G30" s="4" t="n"/>
      <c r="H30" s="4" t="n"/>
      <c r="I30" s="4" t="n"/>
    </row>
    <row r="31">
      <c r="A31" s="7" t="n"/>
      <c r="B31" s="7" t="n"/>
      <c r="C31" s="7" t="n"/>
      <c r="D31" s="7" t="n"/>
      <c r="E31" s="7">
        <f>IF(OR(C31="",D31=""),"",D31-C31)</f>
        <v/>
      </c>
      <c r="F31" s="7">
        <f>IF(E31="","",IF(ISNUMBER(E31),IF(E31&gt;0,"Hausse",IF(E31&lt;0,"Baisse","Stable")),""))</f>
        <v/>
      </c>
      <c r="G31" s="7" t="n"/>
      <c r="H31" s="7" t="n"/>
      <c r="I31" s="7" t="n"/>
    </row>
    <row r="32">
      <c r="A32" s="4" t="n"/>
      <c r="B32" s="4" t="n"/>
      <c r="C32" s="4" t="n"/>
      <c r="D32" s="4" t="n"/>
      <c r="E32" s="4">
        <f>IF(OR(C32="",D32=""),"",D32-C32)</f>
        <v/>
      </c>
      <c r="F32" s="4">
        <f>IF(E32="","",IF(ISNUMBER(E32),IF(E32&gt;0,"Hausse",IF(E32&lt;0,"Baisse","Stable")),""))</f>
        <v/>
      </c>
      <c r="G32" s="4" t="n"/>
      <c r="H32" s="4" t="n"/>
      <c r="I32" s="4" t="n"/>
    </row>
    <row r="33">
      <c r="A33" s="7" t="n"/>
      <c r="B33" s="7" t="n"/>
      <c r="C33" s="7" t="n"/>
      <c r="D33" s="7" t="n"/>
      <c r="E33" s="7">
        <f>IF(OR(C33="",D33=""),"",D33-C33)</f>
        <v/>
      </c>
      <c r="F33" s="7">
        <f>IF(E33="","",IF(ISNUMBER(E33),IF(E33&gt;0,"Hausse",IF(E33&lt;0,"Baisse","Stable")),""))</f>
        <v/>
      </c>
      <c r="G33" s="7" t="n"/>
      <c r="H33" s="7" t="n"/>
      <c r="I33" s="7" t="n"/>
    </row>
    <row r="34">
      <c r="A34" s="4" t="n"/>
      <c r="B34" s="4" t="n"/>
      <c r="C34" s="4" t="n"/>
      <c r="D34" s="4" t="n"/>
      <c r="E34" s="4">
        <f>IF(OR(C34="",D34=""),"",D34-C34)</f>
        <v/>
      </c>
      <c r="F34" s="4">
        <f>IF(E34="","",IF(ISNUMBER(E34),IF(E34&gt;0,"Hausse",IF(E34&lt;0,"Baisse","Stable")),""))</f>
        <v/>
      </c>
      <c r="G34" s="4" t="n"/>
      <c r="H34" s="4" t="n"/>
      <c r="I34" s="4" t="n"/>
    </row>
    <row r="35">
      <c r="A35" s="7" t="n"/>
      <c r="B35" s="7" t="n"/>
      <c r="C35" s="7" t="n"/>
      <c r="D35" s="7" t="n"/>
      <c r="E35" s="7">
        <f>IF(OR(C35="",D35=""),"",D35-C35)</f>
        <v/>
      </c>
      <c r="F35" s="7">
        <f>IF(E35="","",IF(ISNUMBER(E35),IF(E35&gt;0,"Hausse",IF(E35&lt;0,"Baisse","Stable")),""))</f>
        <v/>
      </c>
      <c r="G35" s="7" t="n"/>
      <c r="H35" s="7" t="n"/>
      <c r="I35" s="7" t="n"/>
    </row>
    <row r="36">
      <c r="A36" s="4" t="n"/>
      <c r="B36" s="4" t="n"/>
      <c r="C36" s="4" t="n"/>
      <c r="D36" s="4" t="n"/>
      <c r="E36" s="4">
        <f>IF(OR(C36="",D36=""),"",D36-C36)</f>
        <v/>
      </c>
      <c r="F36" s="4">
        <f>IF(E36="","",IF(ISNUMBER(E36),IF(E36&gt;0,"Hausse",IF(E36&lt;0,"Baisse","Stable")),""))</f>
        <v/>
      </c>
      <c r="G36" s="4" t="n"/>
      <c r="H36" s="4" t="n"/>
      <c r="I36" s="4" t="n"/>
    </row>
    <row r="37">
      <c r="A37" s="7" t="n"/>
      <c r="B37" s="7" t="n"/>
      <c r="C37" s="7" t="n"/>
      <c r="D37" s="7" t="n"/>
      <c r="E37" s="7">
        <f>IF(OR(C37="",D37=""),"",D37-C37)</f>
        <v/>
      </c>
      <c r="F37" s="7">
        <f>IF(E37="","",IF(ISNUMBER(E37),IF(E37&gt;0,"Hausse",IF(E37&lt;0,"Baisse","Stable")),""))</f>
        <v/>
      </c>
      <c r="G37" s="7" t="n"/>
      <c r="H37" s="7" t="n"/>
      <c r="I37" s="7" t="n"/>
    </row>
    <row r="38">
      <c r="A38" s="4" t="n"/>
      <c r="B38" s="4" t="n"/>
      <c r="C38" s="4" t="n"/>
      <c r="D38" s="4" t="n"/>
      <c r="E38" s="4">
        <f>IF(OR(C38="",D38=""),"",D38-C38)</f>
        <v/>
      </c>
      <c r="F38" s="4">
        <f>IF(E38="","",IF(ISNUMBER(E38),IF(E38&gt;0,"Hausse",IF(E38&lt;0,"Baisse","Stable")),""))</f>
        <v/>
      </c>
      <c r="G38" s="4" t="n"/>
      <c r="H38" s="4" t="n"/>
      <c r="I38" s="4" t="n"/>
    </row>
    <row r="39">
      <c r="A39" s="7" t="n"/>
      <c r="B39" s="7" t="n"/>
      <c r="C39" s="7" t="n"/>
      <c r="D39" s="7" t="n"/>
      <c r="E39" s="7">
        <f>IF(OR(C39="",D39=""),"",D39-C39)</f>
        <v/>
      </c>
      <c r="F39" s="7">
        <f>IF(E39="","",IF(ISNUMBER(E39),IF(E39&gt;0,"Hausse",IF(E39&lt;0,"Baisse","Stable")),""))</f>
        <v/>
      </c>
      <c r="G39" s="7" t="n"/>
      <c r="H39" s="7" t="n"/>
      <c r="I39" s="7" t="n"/>
    </row>
    <row r="40">
      <c r="A40" s="4" t="n"/>
      <c r="B40" s="4" t="n"/>
      <c r="C40" s="4" t="n"/>
      <c r="D40" s="4" t="n"/>
      <c r="E40" s="4">
        <f>IF(OR(C40="",D40=""),"",D40-C40)</f>
        <v/>
      </c>
      <c r="F40" s="4">
        <f>IF(E40="","",IF(ISNUMBER(E40),IF(E40&gt;0,"Hausse",IF(E40&lt;0,"Baisse","Stable")),""))</f>
        <v/>
      </c>
      <c r="G40" s="4" t="n"/>
      <c r="H40" s="4" t="n"/>
      <c r="I40" s="4" t="n"/>
    </row>
    <row r="41">
      <c r="A41" s="7" t="n"/>
      <c r="B41" s="7" t="n"/>
      <c r="C41" s="7" t="n"/>
      <c r="D41" s="7" t="n"/>
      <c r="E41" s="7">
        <f>IF(OR(C41="",D41=""),"",D41-C41)</f>
        <v/>
      </c>
      <c r="F41" s="7">
        <f>IF(E41="","",IF(ISNUMBER(E41),IF(E41&gt;0,"Hausse",IF(E41&lt;0,"Baisse","Stable")),""))</f>
        <v/>
      </c>
      <c r="G41" s="7" t="n"/>
      <c r="H41" s="7" t="n"/>
      <c r="I41" s="7" t="n"/>
    </row>
    <row r="42">
      <c r="A42" s="4" t="n"/>
      <c r="B42" s="4" t="n"/>
      <c r="C42" s="4" t="n"/>
      <c r="D42" s="4" t="n"/>
      <c r="E42" s="4">
        <f>IF(OR(C42="",D42=""),"",D42-C42)</f>
        <v/>
      </c>
      <c r="F42" s="4">
        <f>IF(E42="","",IF(ISNUMBER(E42),IF(E42&gt;0,"Hausse",IF(E42&lt;0,"Baisse","Stable")),""))</f>
        <v/>
      </c>
      <c r="G42" s="4" t="n"/>
      <c r="H42" s="4" t="n"/>
      <c r="I42" s="4" t="n"/>
    </row>
    <row r="43">
      <c r="A43" s="7" t="n"/>
      <c r="B43" s="7" t="n"/>
      <c r="C43" s="7" t="n"/>
      <c r="D43" s="7" t="n"/>
      <c r="E43" s="7">
        <f>IF(OR(C43="",D43=""),"",D43-C43)</f>
        <v/>
      </c>
      <c r="F43" s="7">
        <f>IF(E43="","",IF(ISNUMBER(E43),IF(E43&gt;0,"Hausse",IF(E43&lt;0,"Baisse","Stable")),""))</f>
        <v/>
      </c>
      <c r="G43" s="7" t="n"/>
      <c r="H43" s="7" t="n"/>
      <c r="I43" s="7" t="n"/>
    </row>
    <row r="44">
      <c r="A44" s="4" t="n"/>
      <c r="B44" s="4" t="n"/>
      <c r="C44" s="4" t="n"/>
      <c r="D44" s="4" t="n"/>
      <c r="E44" s="4">
        <f>IF(OR(C44="",D44=""),"",D44-C44)</f>
        <v/>
      </c>
      <c r="F44" s="4">
        <f>IF(E44="","",IF(ISNUMBER(E44),IF(E44&gt;0,"Hausse",IF(E44&lt;0,"Baisse","Stable")),""))</f>
        <v/>
      </c>
      <c r="G44" s="4" t="n"/>
      <c r="H44" s="4" t="n"/>
      <c r="I44" s="4" t="n"/>
    </row>
    <row r="45">
      <c r="A45" s="7" t="n"/>
      <c r="B45" s="7" t="n"/>
      <c r="C45" s="7" t="n"/>
      <c r="D45" s="7" t="n"/>
      <c r="E45" s="7">
        <f>IF(OR(C45="",D45=""),"",D45-C45)</f>
        <v/>
      </c>
      <c r="F45" s="7">
        <f>IF(E45="","",IF(ISNUMBER(E45),IF(E45&gt;0,"Hausse",IF(E45&lt;0,"Baisse","Stable")),""))</f>
        <v/>
      </c>
      <c r="G45" s="7" t="n"/>
      <c r="H45" s="7" t="n"/>
      <c r="I45" s="7" t="n"/>
    </row>
    <row r="46">
      <c r="A46" s="4" t="n"/>
      <c r="B46" s="4" t="n"/>
      <c r="C46" s="4" t="n"/>
      <c r="D46" s="4" t="n"/>
      <c r="E46" s="4">
        <f>IF(OR(C46="",D46=""),"",D46-C46)</f>
        <v/>
      </c>
      <c r="F46" s="4">
        <f>IF(E46="","",IF(ISNUMBER(E46),IF(E46&gt;0,"Hausse",IF(E46&lt;0,"Baisse","Stable")),""))</f>
        <v/>
      </c>
      <c r="G46" s="4" t="n"/>
      <c r="H46" s="4" t="n"/>
      <c r="I46" s="4" t="n"/>
    </row>
    <row r="47">
      <c r="A47" s="7" t="n"/>
      <c r="B47" s="7" t="n"/>
      <c r="C47" s="7" t="n"/>
      <c r="D47" s="7" t="n"/>
      <c r="E47" s="7">
        <f>IF(OR(C47="",D47=""),"",D47-C47)</f>
        <v/>
      </c>
      <c r="F47" s="7">
        <f>IF(E47="","",IF(ISNUMBER(E47),IF(E47&gt;0,"Hausse",IF(E47&lt;0,"Baisse","Stable")),""))</f>
        <v/>
      </c>
      <c r="G47" s="7" t="n"/>
      <c r="H47" s="7" t="n"/>
      <c r="I47" s="7" t="n"/>
    </row>
    <row r="48">
      <c r="A48" s="4" t="n"/>
      <c r="B48" s="4" t="n"/>
      <c r="C48" s="4" t="n"/>
      <c r="D48" s="4" t="n"/>
      <c r="E48" s="4">
        <f>IF(OR(C48="",D48=""),"",D48-C48)</f>
        <v/>
      </c>
      <c r="F48" s="4">
        <f>IF(E48="","",IF(ISNUMBER(E48),IF(E48&gt;0,"Hausse",IF(E48&lt;0,"Baisse","Stable")),""))</f>
        <v/>
      </c>
      <c r="G48" s="4" t="n"/>
      <c r="H48" s="4" t="n"/>
      <c r="I48" s="4" t="n"/>
    </row>
    <row r="49">
      <c r="A49" s="7" t="n"/>
      <c r="B49" s="7" t="n"/>
      <c r="C49" s="7" t="n"/>
      <c r="D49" s="7" t="n"/>
      <c r="E49" s="7">
        <f>IF(OR(C49="",D49=""),"",D49-C49)</f>
        <v/>
      </c>
      <c r="F49" s="7">
        <f>IF(E49="","",IF(ISNUMBER(E49),IF(E49&gt;0,"Hausse",IF(E49&lt;0,"Baisse","Stable")),""))</f>
        <v/>
      </c>
      <c r="G49" s="7" t="n"/>
      <c r="H49" s="7" t="n"/>
      <c r="I49" s="7" t="n"/>
    </row>
    <row r="50">
      <c r="A50" s="4" t="n"/>
      <c r="B50" s="4" t="n"/>
      <c r="C50" s="4" t="n"/>
      <c r="D50" s="4" t="n"/>
      <c r="E50" s="4">
        <f>IF(OR(C50="",D50=""),"",D50-C50)</f>
        <v/>
      </c>
      <c r="F50" s="4">
        <f>IF(E50="","",IF(ISNUMBER(E50),IF(E50&gt;0,"Hausse",IF(E50&lt;0,"Baisse","Stable")),""))</f>
        <v/>
      </c>
      <c r="G50" s="4" t="n"/>
      <c r="H50" s="4" t="n"/>
      <c r="I50" s="4" t="n"/>
    </row>
    <row r="51">
      <c r="A51" s="7" t="n"/>
      <c r="B51" s="7" t="n"/>
      <c r="C51" s="7" t="n"/>
      <c r="D51" s="7" t="n"/>
      <c r="E51" s="7">
        <f>IF(OR(C51="",D51=""),"",D51-C51)</f>
        <v/>
      </c>
      <c r="F51" s="7">
        <f>IF(E51="","",IF(ISNUMBER(E51),IF(E51&gt;0,"Hausse",IF(E51&lt;0,"Baisse","Stable")),""))</f>
        <v/>
      </c>
      <c r="G51" s="7" t="n"/>
      <c r="H51" s="7" t="n"/>
      <c r="I51" s="7" t="n"/>
    </row>
    <row r="52">
      <c r="A52" s="4" t="n"/>
      <c r="B52" s="4" t="n"/>
      <c r="C52" s="4" t="n"/>
      <c r="D52" s="4" t="n"/>
      <c r="E52" s="4">
        <f>IF(OR(C52="",D52=""),"",D52-C52)</f>
        <v/>
      </c>
      <c r="F52" s="4">
        <f>IF(E52="","",IF(ISNUMBER(E52),IF(E52&gt;0,"Hausse",IF(E52&lt;0,"Baisse","Stable")),""))</f>
        <v/>
      </c>
      <c r="G52" s="4" t="n"/>
      <c r="H52" s="4" t="n"/>
      <c r="I52" s="4" t="n"/>
    </row>
    <row r="53">
      <c r="A53" s="7" t="n"/>
      <c r="B53" s="7" t="n"/>
      <c r="C53" s="7" t="n"/>
      <c r="D53" s="7" t="n"/>
      <c r="E53" s="7">
        <f>IF(OR(C53="",D53=""),"",D53-C53)</f>
        <v/>
      </c>
      <c r="F53" s="7">
        <f>IF(E53="","",IF(ISNUMBER(E53),IF(E53&gt;0,"Hausse",IF(E53&lt;0,"Baisse","Stable")),""))</f>
        <v/>
      </c>
      <c r="G53" s="7" t="n"/>
      <c r="H53" s="7" t="n"/>
      <c r="I53" s="7" t="n"/>
    </row>
    <row r="54">
      <c r="A54" s="4" t="n"/>
      <c r="B54" s="4" t="n"/>
      <c r="C54" s="4" t="n"/>
      <c r="D54" s="4" t="n"/>
      <c r="E54" s="4">
        <f>IF(OR(C54="",D54=""),"",D54-C54)</f>
        <v/>
      </c>
      <c r="F54" s="4">
        <f>IF(E54="","",IF(ISNUMBER(E54),IF(E54&gt;0,"Hausse",IF(E54&lt;0,"Baisse","Stable")),""))</f>
        <v/>
      </c>
      <c r="G54" s="4" t="n"/>
      <c r="H54" s="4" t="n"/>
      <c r="I54" s="4" t="n"/>
    </row>
    <row r="55">
      <c r="A55" s="7" t="n"/>
      <c r="B55" s="7" t="n"/>
      <c r="C55" s="7" t="n"/>
      <c r="D55" s="7" t="n"/>
      <c r="E55" s="7">
        <f>IF(OR(C55="",D55=""),"",D55-C55)</f>
        <v/>
      </c>
      <c r="F55" s="7">
        <f>IF(E55="","",IF(ISNUMBER(E55),IF(E55&gt;0,"Hausse",IF(E55&lt;0,"Baisse","Stable")),""))</f>
        <v/>
      </c>
      <c r="G55" s="7" t="n"/>
      <c r="H55" s="7" t="n"/>
      <c r="I55" s="7" t="n"/>
    </row>
    <row r="56">
      <c r="A56" s="4" t="n"/>
      <c r="B56" s="4" t="n"/>
      <c r="C56" s="4" t="n"/>
      <c r="D56" s="4" t="n"/>
      <c r="E56" s="4">
        <f>IF(OR(C56="",D56=""),"",D56-C56)</f>
        <v/>
      </c>
      <c r="F56" s="4">
        <f>IF(E56="","",IF(ISNUMBER(E56),IF(E56&gt;0,"Hausse",IF(E56&lt;0,"Baisse","Stable")),""))</f>
        <v/>
      </c>
      <c r="G56" s="4" t="n"/>
      <c r="H56" s="4" t="n"/>
      <c r="I56" s="4" t="n"/>
    </row>
    <row r="57">
      <c r="A57" s="7" t="n"/>
      <c r="B57" s="7" t="n"/>
      <c r="C57" s="7" t="n"/>
      <c r="D57" s="7" t="n"/>
      <c r="E57" s="7">
        <f>IF(OR(C57="",D57=""),"",D57-C57)</f>
        <v/>
      </c>
      <c r="F57" s="7">
        <f>IF(E57="","",IF(ISNUMBER(E57),IF(E57&gt;0,"Hausse",IF(E57&lt;0,"Baisse","Stable")),""))</f>
        <v/>
      </c>
      <c r="G57" s="7" t="n"/>
      <c r="H57" s="7" t="n"/>
      <c r="I57" s="7" t="n"/>
    </row>
    <row r="58">
      <c r="A58" s="4" t="n"/>
      <c r="B58" s="4" t="n"/>
      <c r="C58" s="4" t="n"/>
      <c r="D58" s="4" t="n"/>
      <c r="E58" s="4">
        <f>IF(OR(C58="",D58=""),"",D58-C58)</f>
        <v/>
      </c>
      <c r="F58" s="4">
        <f>IF(E58="","",IF(ISNUMBER(E58),IF(E58&gt;0,"Hausse",IF(E58&lt;0,"Baisse","Stable")),""))</f>
        <v/>
      </c>
      <c r="G58" s="4" t="n"/>
      <c r="H58" s="4" t="n"/>
      <c r="I58" s="4" t="n"/>
    </row>
    <row r="59">
      <c r="A59" s="7" t="n"/>
      <c r="B59" s="7" t="n"/>
      <c r="C59" s="7" t="n"/>
      <c r="D59" s="7" t="n"/>
      <c r="E59" s="7">
        <f>IF(OR(C59="",D59=""),"",D59-C59)</f>
        <v/>
      </c>
      <c r="F59" s="7">
        <f>IF(E59="","",IF(ISNUMBER(E59),IF(E59&gt;0,"Hausse",IF(E59&lt;0,"Baisse","Stable")),""))</f>
        <v/>
      </c>
      <c r="G59" s="7" t="n"/>
      <c r="H59" s="7" t="n"/>
      <c r="I59" s="7" t="n"/>
    </row>
    <row r="60">
      <c r="A60" s="4" t="n"/>
      <c r="B60" s="4" t="n"/>
      <c r="C60" s="4" t="n"/>
      <c r="D60" s="4" t="n"/>
      <c r="E60" s="4">
        <f>IF(OR(C60="",D60=""),"",D60-C60)</f>
        <v/>
      </c>
      <c r="F60" s="4">
        <f>IF(E60="","",IF(ISNUMBER(E60),IF(E60&gt;0,"Hausse",IF(E60&lt;0,"Baisse","Stable")),""))</f>
        <v/>
      </c>
      <c r="G60" s="4" t="n"/>
      <c r="H60" s="4" t="n"/>
      <c r="I60" s="4" t="n"/>
    </row>
    <row r="61">
      <c r="A61" s="7" t="n"/>
      <c r="B61" s="7" t="n"/>
      <c r="C61" s="7" t="n"/>
      <c r="D61" s="7" t="n"/>
      <c r="E61" s="7">
        <f>IF(OR(C61="",D61=""),"",D61-C61)</f>
        <v/>
      </c>
      <c r="F61" s="7">
        <f>IF(E61="","",IF(ISNUMBER(E61),IF(E61&gt;0,"Hausse",IF(E61&lt;0,"Baisse","Stable")),""))</f>
        <v/>
      </c>
      <c r="G61" s="7" t="n"/>
      <c r="H61" s="7" t="n"/>
      <c r="I61" s="7" t="n"/>
    </row>
    <row r="62">
      <c r="A62" s="4" t="n"/>
      <c r="B62" s="4" t="n"/>
      <c r="C62" s="4" t="n"/>
      <c r="D62" s="4" t="n"/>
      <c r="E62" s="4">
        <f>IF(OR(C62="",D62=""),"",D62-C62)</f>
        <v/>
      </c>
      <c r="F62" s="4">
        <f>IF(E62="","",IF(ISNUMBER(E62),IF(E62&gt;0,"Hausse",IF(E62&lt;0,"Baisse","Stable")),""))</f>
        <v/>
      </c>
      <c r="G62" s="4" t="n"/>
      <c r="H62" s="4" t="n"/>
      <c r="I62" s="4" t="n"/>
    </row>
    <row r="63">
      <c r="A63" s="7" t="n"/>
      <c r="B63" s="7" t="n"/>
      <c r="C63" s="7" t="n"/>
      <c r="D63" s="7" t="n"/>
      <c r="E63" s="7">
        <f>IF(OR(C63="",D63=""),"",D63-C63)</f>
        <v/>
      </c>
      <c r="F63" s="7">
        <f>IF(E63="","",IF(ISNUMBER(E63),IF(E63&gt;0,"Hausse",IF(E63&lt;0,"Baisse","Stable")),""))</f>
        <v/>
      </c>
      <c r="G63" s="7" t="n"/>
      <c r="H63" s="7" t="n"/>
      <c r="I63" s="7" t="n"/>
    </row>
    <row r="64">
      <c r="A64" s="4" t="n"/>
      <c r="B64" s="4" t="n"/>
      <c r="C64" s="4" t="n"/>
      <c r="D64" s="4" t="n"/>
      <c r="E64" s="4">
        <f>IF(OR(C64="",D64=""),"",D64-C64)</f>
        <v/>
      </c>
      <c r="F64" s="4">
        <f>IF(E64="","",IF(ISNUMBER(E64),IF(E64&gt;0,"Hausse",IF(E64&lt;0,"Baisse","Stable")),""))</f>
        <v/>
      </c>
      <c r="G64" s="4" t="n"/>
      <c r="H64" s="4" t="n"/>
      <c r="I64" s="4" t="n"/>
    </row>
    <row r="65">
      <c r="A65" s="7" t="n"/>
      <c r="B65" s="7" t="n"/>
      <c r="C65" s="7" t="n"/>
      <c r="D65" s="7" t="n"/>
      <c r="E65" s="7">
        <f>IF(OR(C65="",D65=""),"",D65-C65)</f>
        <v/>
      </c>
      <c r="F65" s="7">
        <f>IF(E65="","",IF(ISNUMBER(E65),IF(E65&gt;0,"Hausse",IF(E65&lt;0,"Baisse","Stable")),""))</f>
        <v/>
      </c>
      <c r="G65" s="7" t="n"/>
      <c r="H65" s="7" t="n"/>
      <c r="I65" s="7" t="n"/>
    </row>
    <row r="66">
      <c r="A66" s="4" t="n"/>
      <c r="B66" s="4" t="n"/>
      <c r="C66" s="4" t="n"/>
      <c r="D66" s="4" t="n"/>
      <c r="E66" s="4">
        <f>IF(OR(C66="",D66=""),"",D66-C66)</f>
        <v/>
      </c>
      <c r="F66" s="4">
        <f>IF(E66="","",IF(ISNUMBER(E66),IF(E66&gt;0,"Hausse",IF(E66&lt;0,"Baisse","Stable")),""))</f>
        <v/>
      </c>
      <c r="G66" s="4" t="n"/>
      <c r="H66" s="4" t="n"/>
      <c r="I66" s="4" t="n"/>
    </row>
    <row r="67">
      <c r="A67" s="7" t="n"/>
      <c r="B67" s="7" t="n"/>
      <c r="C67" s="7" t="n"/>
      <c r="D67" s="7" t="n"/>
      <c r="E67" s="7">
        <f>IF(OR(C67="",D67=""),"",D67-C67)</f>
        <v/>
      </c>
      <c r="F67" s="7">
        <f>IF(E67="","",IF(ISNUMBER(E67),IF(E67&gt;0,"Hausse",IF(E67&lt;0,"Baisse","Stable")),""))</f>
        <v/>
      </c>
      <c r="G67" s="7" t="n"/>
      <c r="H67" s="7" t="n"/>
      <c r="I67" s="7" t="n"/>
    </row>
    <row r="68">
      <c r="A68" s="4" t="n"/>
      <c r="B68" s="4" t="n"/>
      <c r="C68" s="4" t="n"/>
      <c r="D68" s="4" t="n"/>
      <c r="E68" s="4">
        <f>IF(OR(C68="",D68=""),"",D68-C68)</f>
        <v/>
      </c>
      <c r="F68" s="4">
        <f>IF(E68="","",IF(ISNUMBER(E68),IF(E68&gt;0,"Hausse",IF(E68&lt;0,"Baisse","Stable")),""))</f>
        <v/>
      </c>
      <c r="G68" s="4" t="n"/>
      <c r="H68" s="4" t="n"/>
      <c r="I68" s="4" t="n"/>
    </row>
    <row r="69">
      <c r="A69" s="7" t="n"/>
      <c r="B69" s="7" t="n"/>
      <c r="C69" s="7" t="n"/>
      <c r="D69" s="7" t="n"/>
      <c r="E69" s="7">
        <f>IF(OR(C69="",D69=""),"",D69-C69)</f>
        <v/>
      </c>
      <c r="F69" s="7">
        <f>IF(E69="","",IF(ISNUMBER(E69),IF(E69&gt;0,"Hausse",IF(E69&lt;0,"Baisse","Stable")),""))</f>
        <v/>
      </c>
      <c r="G69" s="7" t="n"/>
      <c r="H69" s="7" t="n"/>
      <c r="I69" s="7" t="n"/>
    </row>
    <row r="70">
      <c r="A70" s="4" t="n"/>
      <c r="B70" s="4" t="n"/>
      <c r="C70" s="4" t="n"/>
      <c r="D70" s="4" t="n"/>
      <c r="E70" s="4">
        <f>IF(OR(C70="",D70=""),"",D70-C70)</f>
        <v/>
      </c>
      <c r="F70" s="4">
        <f>IF(E70="","",IF(ISNUMBER(E70),IF(E70&gt;0,"Hausse",IF(E70&lt;0,"Baisse","Stable")),""))</f>
        <v/>
      </c>
      <c r="G70" s="4" t="n"/>
      <c r="H70" s="4" t="n"/>
      <c r="I70" s="4" t="n"/>
    </row>
    <row r="71">
      <c r="A71" s="7" t="n"/>
      <c r="B71" s="7" t="n"/>
      <c r="C71" s="7" t="n"/>
      <c r="D71" s="7" t="n"/>
      <c r="E71" s="7">
        <f>IF(OR(C71="",D71=""),"",D71-C71)</f>
        <v/>
      </c>
      <c r="F71" s="7">
        <f>IF(E71="","",IF(ISNUMBER(E71),IF(E71&gt;0,"Hausse",IF(E71&lt;0,"Baisse","Stable")),""))</f>
        <v/>
      </c>
      <c r="G71" s="7" t="n"/>
      <c r="H71" s="7" t="n"/>
      <c r="I71" s="7" t="n"/>
    </row>
    <row r="72">
      <c r="A72" s="4" t="n"/>
      <c r="B72" s="4" t="n"/>
      <c r="C72" s="4" t="n"/>
      <c r="D72" s="4" t="n"/>
      <c r="E72" s="4">
        <f>IF(OR(C72="",D72=""),"",D72-C72)</f>
        <v/>
      </c>
      <c r="F72" s="4">
        <f>IF(E72="","",IF(ISNUMBER(E72),IF(E72&gt;0,"Hausse",IF(E72&lt;0,"Baisse","Stable")),""))</f>
        <v/>
      </c>
      <c r="G72" s="4" t="n"/>
      <c r="H72" s="4" t="n"/>
      <c r="I72" s="4" t="n"/>
    </row>
    <row r="73">
      <c r="A73" s="7" t="n"/>
      <c r="B73" s="7" t="n"/>
      <c r="C73" s="7" t="n"/>
      <c r="D73" s="7" t="n"/>
      <c r="E73" s="7">
        <f>IF(OR(C73="",D73=""),"",D73-C73)</f>
        <v/>
      </c>
      <c r="F73" s="7">
        <f>IF(E73="","",IF(ISNUMBER(E73),IF(E73&gt;0,"Hausse",IF(E73&lt;0,"Baisse","Stable")),""))</f>
        <v/>
      </c>
      <c r="G73" s="7" t="n"/>
      <c r="H73" s="7" t="n"/>
      <c r="I73" s="7" t="n"/>
    </row>
    <row r="74">
      <c r="A74" s="4" t="n"/>
      <c r="B74" s="4" t="n"/>
      <c r="C74" s="4" t="n"/>
      <c r="D74" s="4" t="n"/>
      <c r="E74" s="4">
        <f>IF(OR(C74="",D74=""),"",D74-C74)</f>
        <v/>
      </c>
      <c r="F74" s="4">
        <f>IF(E74="","",IF(ISNUMBER(E74),IF(E74&gt;0,"Hausse",IF(E74&lt;0,"Baisse","Stable")),""))</f>
        <v/>
      </c>
      <c r="G74" s="4" t="n"/>
      <c r="H74" s="4" t="n"/>
      <c r="I74" s="4" t="n"/>
    </row>
    <row r="75">
      <c r="A75" s="7" t="n"/>
      <c r="B75" s="7" t="n"/>
      <c r="C75" s="7" t="n"/>
      <c r="D75" s="7" t="n"/>
      <c r="E75" s="7">
        <f>IF(OR(C75="",D75=""),"",D75-C75)</f>
        <v/>
      </c>
      <c r="F75" s="7">
        <f>IF(E75="","",IF(ISNUMBER(E75),IF(E75&gt;0,"Hausse",IF(E75&lt;0,"Baisse","Stable")),""))</f>
        <v/>
      </c>
      <c r="G75" s="7" t="n"/>
      <c r="H75" s="7" t="n"/>
      <c r="I75" s="7" t="n"/>
    </row>
    <row r="76">
      <c r="A76" s="4" t="n"/>
      <c r="B76" s="4" t="n"/>
      <c r="C76" s="4" t="n"/>
      <c r="D76" s="4" t="n"/>
      <c r="E76" s="4">
        <f>IF(OR(C76="",D76=""),"",D76-C76)</f>
        <v/>
      </c>
      <c r="F76" s="4">
        <f>IF(E76="","",IF(ISNUMBER(E76),IF(E76&gt;0,"Hausse",IF(E76&lt;0,"Baisse","Stable")),""))</f>
        <v/>
      </c>
      <c r="G76" s="4" t="n"/>
      <c r="H76" s="4" t="n"/>
      <c r="I76" s="4" t="n"/>
    </row>
    <row r="77">
      <c r="A77" s="7" t="n"/>
      <c r="B77" s="7" t="n"/>
      <c r="C77" s="7" t="n"/>
      <c r="D77" s="7" t="n"/>
      <c r="E77" s="7">
        <f>IF(OR(C77="",D77=""),"",D77-C77)</f>
        <v/>
      </c>
      <c r="F77" s="7">
        <f>IF(E77="","",IF(ISNUMBER(E77),IF(E77&gt;0,"Hausse",IF(E77&lt;0,"Baisse","Stable")),""))</f>
        <v/>
      </c>
      <c r="G77" s="7" t="n"/>
      <c r="H77" s="7" t="n"/>
      <c r="I77" s="7" t="n"/>
    </row>
    <row r="78">
      <c r="A78" s="4" t="n"/>
      <c r="B78" s="4" t="n"/>
      <c r="C78" s="4" t="n"/>
      <c r="D78" s="4" t="n"/>
      <c r="E78" s="4">
        <f>IF(OR(C78="",D78=""),"",D78-C78)</f>
        <v/>
      </c>
      <c r="F78" s="4">
        <f>IF(E78="","",IF(ISNUMBER(E78),IF(E78&gt;0,"Hausse",IF(E78&lt;0,"Baisse","Stable")),""))</f>
        <v/>
      </c>
      <c r="G78" s="4" t="n"/>
      <c r="H78" s="4" t="n"/>
      <c r="I78" s="4" t="n"/>
    </row>
    <row r="79">
      <c r="A79" s="7" t="n"/>
      <c r="B79" s="7" t="n"/>
      <c r="C79" s="7" t="n"/>
      <c r="D79" s="7" t="n"/>
      <c r="E79" s="7">
        <f>IF(OR(C79="",D79=""),"",D79-C79)</f>
        <v/>
      </c>
      <c r="F79" s="7">
        <f>IF(E79="","",IF(ISNUMBER(E79),IF(E79&gt;0,"Hausse",IF(E79&lt;0,"Baisse","Stable")),""))</f>
        <v/>
      </c>
      <c r="G79" s="7" t="n"/>
      <c r="H79" s="7" t="n"/>
      <c r="I79" s="7" t="n"/>
    </row>
    <row r="80">
      <c r="A80" s="4" t="n"/>
      <c r="B80" s="4" t="n"/>
      <c r="C80" s="4" t="n"/>
      <c r="D80" s="4" t="n"/>
      <c r="E80" s="4">
        <f>IF(OR(C80="",D80=""),"",D80-C80)</f>
        <v/>
      </c>
      <c r="F80" s="4">
        <f>IF(E80="","",IF(ISNUMBER(E80),IF(E80&gt;0,"Hausse",IF(E80&lt;0,"Baisse","Stable")),""))</f>
        <v/>
      </c>
      <c r="G80" s="4" t="n"/>
      <c r="H80" s="4" t="n"/>
      <c r="I80" s="4" t="n"/>
    </row>
    <row r="81">
      <c r="A81" s="7" t="n"/>
      <c r="B81" s="7" t="n"/>
      <c r="C81" s="7" t="n"/>
      <c r="D81" s="7" t="n"/>
      <c r="E81" s="7">
        <f>IF(OR(C81="",D81=""),"",D81-C81)</f>
        <v/>
      </c>
      <c r="F81" s="7">
        <f>IF(E81="","",IF(ISNUMBER(E81),IF(E81&gt;0,"Hausse",IF(E81&lt;0,"Baisse","Stable")),""))</f>
        <v/>
      </c>
      <c r="G81" s="7" t="n"/>
      <c r="H81" s="7" t="n"/>
      <c r="I81" s="7" t="n"/>
    </row>
    <row r="82">
      <c r="A82" s="4" t="n"/>
      <c r="B82" s="4" t="n"/>
      <c r="C82" s="4" t="n"/>
      <c r="D82" s="4" t="n"/>
      <c r="E82" s="4">
        <f>IF(OR(C82="",D82=""),"",D82-C82)</f>
        <v/>
      </c>
      <c r="F82" s="4">
        <f>IF(E82="","",IF(ISNUMBER(E82),IF(E82&gt;0,"Hausse",IF(E82&lt;0,"Baisse","Stable")),""))</f>
        <v/>
      </c>
      <c r="G82" s="4" t="n"/>
      <c r="H82" s="4" t="n"/>
      <c r="I82" s="4" t="n"/>
    </row>
    <row r="83">
      <c r="A83" s="7" t="n"/>
      <c r="B83" s="7" t="n"/>
      <c r="C83" s="7" t="n"/>
      <c r="D83" s="7" t="n"/>
      <c r="E83" s="7">
        <f>IF(OR(C83="",D83=""),"",D83-C83)</f>
        <v/>
      </c>
      <c r="F83" s="7">
        <f>IF(E83="","",IF(ISNUMBER(E83),IF(E83&gt;0,"Hausse",IF(E83&lt;0,"Baisse","Stable")),""))</f>
        <v/>
      </c>
      <c r="G83" s="7" t="n"/>
      <c r="H83" s="7" t="n"/>
      <c r="I83" s="7" t="n"/>
    </row>
    <row r="84">
      <c r="A84" s="4" t="n"/>
      <c r="B84" s="4" t="n"/>
      <c r="C84" s="4" t="n"/>
      <c r="D84" s="4" t="n"/>
      <c r="E84" s="4">
        <f>IF(OR(C84="",D84=""),"",D84-C84)</f>
        <v/>
      </c>
      <c r="F84" s="4">
        <f>IF(E84="","",IF(ISNUMBER(E84),IF(E84&gt;0,"Hausse",IF(E84&lt;0,"Baisse","Stable")),""))</f>
        <v/>
      </c>
      <c r="G84" s="4" t="n"/>
      <c r="H84" s="4" t="n"/>
      <c r="I84" s="4" t="n"/>
    </row>
    <row r="85">
      <c r="A85" s="7" t="n"/>
      <c r="B85" s="7" t="n"/>
      <c r="C85" s="7" t="n"/>
      <c r="D85" s="7" t="n"/>
      <c r="E85" s="7">
        <f>IF(OR(C85="",D85=""),"",D85-C85)</f>
        <v/>
      </c>
      <c r="F85" s="7">
        <f>IF(E85="","",IF(ISNUMBER(E85),IF(E85&gt;0,"Hausse",IF(E85&lt;0,"Baisse","Stable")),""))</f>
        <v/>
      </c>
      <c r="G85" s="7" t="n"/>
      <c r="H85" s="7" t="n"/>
      <c r="I85" s="7" t="n"/>
    </row>
    <row r="86">
      <c r="A86" s="4" t="n"/>
      <c r="B86" s="4" t="n"/>
      <c r="C86" s="4" t="n"/>
      <c r="D86" s="4" t="n"/>
      <c r="E86" s="4">
        <f>IF(OR(C86="",D86=""),"",D86-C86)</f>
        <v/>
      </c>
      <c r="F86" s="4">
        <f>IF(E86="","",IF(ISNUMBER(E86),IF(E86&gt;0,"Hausse",IF(E86&lt;0,"Baisse","Stable")),""))</f>
        <v/>
      </c>
      <c r="G86" s="4" t="n"/>
      <c r="H86" s="4" t="n"/>
      <c r="I86" s="4" t="n"/>
    </row>
    <row r="87">
      <c r="A87" s="7" t="n"/>
      <c r="B87" s="7" t="n"/>
      <c r="C87" s="7" t="n"/>
      <c r="D87" s="7" t="n"/>
      <c r="E87" s="7">
        <f>IF(OR(C87="",D87=""),"",D87-C87)</f>
        <v/>
      </c>
      <c r="F87" s="7">
        <f>IF(E87="","",IF(ISNUMBER(E87),IF(E87&gt;0,"Hausse",IF(E87&lt;0,"Baisse","Stable")),""))</f>
        <v/>
      </c>
      <c r="G87" s="7" t="n"/>
      <c r="H87" s="7" t="n"/>
      <c r="I87" s="7" t="n"/>
    </row>
    <row r="88">
      <c r="A88" s="4" t="n"/>
      <c r="B88" s="4" t="n"/>
      <c r="C88" s="4" t="n"/>
      <c r="D88" s="4" t="n"/>
      <c r="E88" s="4">
        <f>IF(OR(C88="",D88=""),"",D88-C88)</f>
        <v/>
      </c>
      <c r="F88" s="4">
        <f>IF(E88="","",IF(ISNUMBER(E88),IF(E88&gt;0,"Hausse",IF(E88&lt;0,"Baisse","Stable")),""))</f>
        <v/>
      </c>
      <c r="G88" s="4" t="n"/>
      <c r="H88" s="4" t="n"/>
      <c r="I88" s="4" t="n"/>
    </row>
    <row r="89">
      <c r="A89" s="7" t="n"/>
      <c r="B89" s="7" t="n"/>
      <c r="C89" s="7" t="n"/>
      <c r="D89" s="7" t="n"/>
      <c r="E89" s="7">
        <f>IF(OR(C89="",D89=""),"",D89-C89)</f>
        <v/>
      </c>
      <c r="F89" s="7">
        <f>IF(E89="","",IF(ISNUMBER(E89),IF(E89&gt;0,"Hausse",IF(E89&lt;0,"Baisse","Stable")),""))</f>
        <v/>
      </c>
      <c r="G89" s="7" t="n"/>
      <c r="H89" s="7" t="n"/>
      <c r="I89" s="7" t="n"/>
    </row>
    <row r="90">
      <c r="A90" s="4" t="n"/>
      <c r="B90" s="4" t="n"/>
      <c r="C90" s="4" t="n"/>
      <c r="D90" s="4" t="n"/>
      <c r="E90" s="4">
        <f>IF(OR(C90="",D90=""),"",D90-C90)</f>
        <v/>
      </c>
      <c r="F90" s="4">
        <f>IF(E90="","",IF(ISNUMBER(E90),IF(E90&gt;0,"Hausse",IF(E90&lt;0,"Baisse","Stable")),""))</f>
        <v/>
      </c>
      <c r="G90" s="4" t="n"/>
      <c r="H90" s="4" t="n"/>
      <c r="I90" s="4" t="n"/>
    </row>
    <row r="91">
      <c r="A91" s="7" t="n"/>
      <c r="B91" s="7" t="n"/>
      <c r="C91" s="7" t="n"/>
      <c r="D91" s="7" t="n"/>
      <c r="E91" s="7">
        <f>IF(OR(C91="",D91=""),"",D91-C91)</f>
        <v/>
      </c>
      <c r="F91" s="7">
        <f>IF(E91="","",IF(ISNUMBER(E91),IF(E91&gt;0,"Hausse",IF(E91&lt;0,"Baisse","Stable")),""))</f>
        <v/>
      </c>
      <c r="G91" s="7" t="n"/>
      <c r="H91" s="7" t="n"/>
      <c r="I91" s="7" t="n"/>
    </row>
    <row r="92">
      <c r="A92" s="4" t="n"/>
      <c r="B92" s="4" t="n"/>
      <c r="C92" s="4" t="n"/>
      <c r="D92" s="4" t="n"/>
      <c r="E92" s="4">
        <f>IF(OR(C92="",D92=""),"",D92-C92)</f>
        <v/>
      </c>
      <c r="F92" s="4">
        <f>IF(E92="","",IF(ISNUMBER(E92),IF(E92&gt;0,"Hausse",IF(E92&lt;0,"Baisse","Stable")),""))</f>
        <v/>
      </c>
      <c r="G92" s="4" t="n"/>
      <c r="H92" s="4" t="n"/>
      <c r="I92" s="4" t="n"/>
    </row>
    <row r="93">
      <c r="A93" s="7" t="n"/>
      <c r="B93" s="7" t="n"/>
      <c r="C93" s="7" t="n"/>
      <c r="D93" s="7" t="n"/>
      <c r="E93" s="7">
        <f>IF(OR(C93="",D93=""),"",D93-C93)</f>
        <v/>
      </c>
      <c r="F93" s="7">
        <f>IF(E93="","",IF(ISNUMBER(E93),IF(E93&gt;0,"Hausse",IF(E93&lt;0,"Baisse","Stable")),""))</f>
        <v/>
      </c>
      <c r="G93" s="7" t="n"/>
      <c r="H93" s="7" t="n"/>
      <c r="I93" s="7" t="n"/>
    </row>
    <row r="94">
      <c r="A94" s="4" t="n"/>
      <c r="B94" s="4" t="n"/>
      <c r="C94" s="4" t="n"/>
      <c r="D94" s="4" t="n"/>
      <c r="E94" s="4">
        <f>IF(OR(C94="",D94=""),"",D94-C94)</f>
        <v/>
      </c>
      <c r="F94" s="4">
        <f>IF(E94="","",IF(ISNUMBER(E94),IF(E94&gt;0,"Hausse",IF(E94&lt;0,"Baisse","Stable")),""))</f>
        <v/>
      </c>
      <c r="G94" s="4" t="n"/>
      <c r="H94" s="4" t="n"/>
      <c r="I94" s="4" t="n"/>
    </row>
    <row r="95">
      <c r="A95" s="7" t="n"/>
      <c r="B95" s="7" t="n"/>
      <c r="C95" s="7" t="n"/>
      <c r="D95" s="7" t="n"/>
      <c r="E95" s="7">
        <f>IF(OR(C95="",D95=""),"",D95-C95)</f>
        <v/>
      </c>
      <c r="F95" s="7">
        <f>IF(E95="","",IF(ISNUMBER(E95),IF(E95&gt;0,"Hausse",IF(E95&lt;0,"Baisse","Stable")),""))</f>
        <v/>
      </c>
      <c r="G95" s="7" t="n"/>
      <c r="H95" s="7" t="n"/>
      <c r="I95" s="7" t="n"/>
    </row>
    <row r="96">
      <c r="A96" s="4" t="n"/>
      <c r="B96" s="4" t="n"/>
      <c r="C96" s="4" t="n"/>
      <c r="D96" s="4" t="n"/>
      <c r="E96" s="4">
        <f>IF(OR(C96="",D96=""),"",D96-C96)</f>
        <v/>
      </c>
      <c r="F96" s="4">
        <f>IF(E96="","",IF(ISNUMBER(E96),IF(E96&gt;0,"Hausse",IF(E96&lt;0,"Baisse","Stable")),""))</f>
        <v/>
      </c>
      <c r="G96" s="4" t="n"/>
      <c r="H96" s="4" t="n"/>
      <c r="I96" s="4" t="n"/>
    </row>
    <row r="97">
      <c r="A97" s="7" t="n"/>
      <c r="B97" s="7" t="n"/>
      <c r="C97" s="7" t="n"/>
      <c r="D97" s="7" t="n"/>
      <c r="E97" s="7">
        <f>IF(OR(C97="",D97=""),"",D97-C97)</f>
        <v/>
      </c>
      <c r="F97" s="7">
        <f>IF(E97="","",IF(ISNUMBER(E97),IF(E97&gt;0,"Hausse",IF(E97&lt;0,"Baisse","Stable")),""))</f>
        <v/>
      </c>
      <c r="G97" s="7" t="n"/>
      <c r="H97" s="7" t="n"/>
      <c r="I97" s="7" t="n"/>
    </row>
    <row r="98">
      <c r="A98" s="4" t="n"/>
      <c r="B98" s="4" t="n"/>
      <c r="C98" s="4" t="n"/>
      <c r="D98" s="4" t="n"/>
      <c r="E98" s="4">
        <f>IF(OR(C98="",D98=""),"",D98-C98)</f>
        <v/>
      </c>
      <c r="F98" s="4">
        <f>IF(E98="","",IF(ISNUMBER(E98),IF(E98&gt;0,"Hausse",IF(E98&lt;0,"Baisse","Stable")),""))</f>
        <v/>
      </c>
      <c r="G98" s="4" t="n"/>
      <c r="H98" s="4" t="n"/>
      <c r="I98" s="4" t="n"/>
    </row>
    <row r="99">
      <c r="A99" s="7" t="n"/>
      <c r="B99" s="7" t="n"/>
      <c r="C99" s="7" t="n"/>
      <c r="D99" s="7" t="n"/>
      <c r="E99" s="7">
        <f>IF(OR(C99="",D99=""),"",D99-C99)</f>
        <v/>
      </c>
      <c r="F99" s="7">
        <f>IF(E99="","",IF(ISNUMBER(E99),IF(E99&gt;0,"Hausse",IF(E99&lt;0,"Baisse","Stable")),""))</f>
        <v/>
      </c>
      <c r="G99" s="7" t="n"/>
      <c r="H99" s="7" t="n"/>
      <c r="I99" s="7" t="n"/>
    </row>
    <row r="100">
      <c r="A100" s="4" t="n"/>
      <c r="B100" s="4" t="n"/>
      <c r="C100" s="4" t="n"/>
      <c r="D100" s="4" t="n"/>
      <c r="E100" s="4">
        <f>IF(OR(C100="",D100=""),"",D100-C100)</f>
        <v/>
      </c>
      <c r="F100" s="4">
        <f>IF(E100="","",IF(ISNUMBER(E100),IF(E100&gt;0,"Hausse",IF(E100&lt;0,"Baisse","Stable")),""))</f>
        <v/>
      </c>
      <c r="G100" s="4" t="n"/>
      <c r="H100" s="4" t="n"/>
      <c r="I100" s="4" t="n"/>
    </row>
    <row r="101">
      <c r="A101" s="7" t="n"/>
      <c r="B101" s="7" t="n"/>
      <c r="C101" s="7" t="n"/>
      <c r="D101" s="7" t="n"/>
      <c r="E101" s="7">
        <f>IF(OR(C101="",D101=""),"",D101-C101)</f>
        <v/>
      </c>
      <c r="F101" s="7">
        <f>IF(E101="","",IF(ISNUMBER(E101),IF(E101&gt;0,"Hausse",IF(E101&lt;0,"Baisse","Stable")),""))</f>
        <v/>
      </c>
      <c r="G101" s="7" t="n"/>
      <c r="H101" s="7" t="n"/>
      <c r="I101" s="7" t="n"/>
    </row>
    <row r="102">
      <c r="A102" s="4" t="n"/>
      <c r="B102" s="4" t="n"/>
      <c r="C102" s="4" t="n"/>
      <c r="D102" s="4" t="n"/>
      <c r="E102" s="4">
        <f>IF(OR(C102="",D102=""),"",D102-C102)</f>
        <v/>
      </c>
      <c r="F102" s="4">
        <f>IF(E102="","",IF(ISNUMBER(E102),IF(E102&gt;0,"Hausse",IF(E102&lt;0,"Baisse","Stable")),""))</f>
        <v/>
      </c>
      <c r="G102" s="4" t="n"/>
      <c r="H102" s="4" t="n"/>
      <c r="I102" s="4" t="n"/>
    </row>
    <row r="103">
      <c r="A103" s="7" t="n"/>
      <c r="B103" s="7" t="n"/>
      <c r="C103" s="7" t="n"/>
      <c r="D103" s="7" t="n"/>
      <c r="E103" s="7">
        <f>IF(OR(C103="",D103=""),"",D103-C103)</f>
        <v/>
      </c>
      <c r="F103" s="7">
        <f>IF(E103="","",IF(ISNUMBER(E103),IF(E103&gt;0,"Hausse",IF(E103&lt;0,"Baisse","Stable")),""))</f>
        <v/>
      </c>
      <c r="G103" s="7" t="n"/>
      <c r="H103" s="7" t="n"/>
      <c r="I103" s="7" t="n"/>
    </row>
    <row r="104">
      <c r="A104" s="4" t="n"/>
      <c r="B104" s="4" t="n"/>
      <c r="C104" s="4" t="n"/>
      <c r="D104" s="4" t="n"/>
      <c r="E104" s="4">
        <f>IF(OR(C104="",D104=""),"",D104-C104)</f>
        <v/>
      </c>
      <c r="F104" s="4">
        <f>IF(E104="","",IF(ISNUMBER(E104),IF(E104&gt;0,"Hausse",IF(E104&lt;0,"Baisse","Stable")),""))</f>
        <v/>
      </c>
      <c r="G104" s="4" t="n"/>
      <c r="H104" s="4" t="n"/>
      <c r="I104" s="4" t="n"/>
    </row>
    <row r="105">
      <c r="A105" s="7" t="n"/>
      <c r="B105" s="7" t="n"/>
      <c r="C105" s="7" t="n"/>
      <c r="D105" s="7" t="n"/>
      <c r="E105" s="7">
        <f>IF(OR(C105="",D105=""),"",D105-C105)</f>
        <v/>
      </c>
      <c r="F105" s="7">
        <f>IF(E105="","",IF(ISNUMBER(E105),IF(E105&gt;0,"Hausse",IF(E105&lt;0,"Baisse","Stable")),""))</f>
        <v/>
      </c>
      <c r="G105" s="7" t="n"/>
      <c r="H105" s="7" t="n"/>
      <c r="I105" s="7" t="n"/>
    </row>
    <row r="106">
      <c r="A106" s="4" t="n"/>
      <c r="B106" s="4" t="n"/>
      <c r="C106" s="4" t="n"/>
      <c r="D106" s="4" t="n"/>
      <c r="E106" s="4">
        <f>IF(OR(C106="",D106=""),"",D106-C106)</f>
        <v/>
      </c>
      <c r="F106" s="4">
        <f>IF(E106="","",IF(ISNUMBER(E106),IF(E106&gt;0,"Hausse",IF(E106&lt;0,"Baisse","Stable")),""))</f>
        <v/>
      </c>
      <c r="G106" s="4" t="n"/>
      <c r="H106" s="4" t="n"/>
      <c r="I106" s="4" t="n"/>
    </row>
    <row r="107">
      <c r="A107" s="7" t="n"/>
      <c r="B107" s="7" t="n"/>
      <c r="C107" s="7" t="n"/>
      <c r="D107" s="7" t="n"/>
      <c r="E107" s="7">
        <f>IF(OR(C107="",D107=""),"",D107-C107)</f>
        <v/>
      </c>
      <c r="F107" s="7">
        <f>IF(E107="","",IF(ISNUMBER(E107),IF(E107&gt;0,"Hausse",IF(E107&lt;0,"Baisse","Stable")),""))</f>
        <v/>
      </c>
      <c r="G107" s="7" t="n"/>
      <c r="H107" s="7" t="n"/>
      <c r="I107" s="7" t="n"/>
    </row>
    <row r="108">
      <c r="A108" s="4" t="n"/>
      <c r="B108" s="4" t="n"/>
      <c r="C108" s="4" t="n"/>
      <c r="D108" s="4" t="n"/>
      <c r="E108" s="4">
        <f>IF(OR(C108="",D108=""),"",D108-C108)</f>
        <v/>
      </c>
      <c r="F108" s="4">
        <f>IF(E108="","",IF(ISNUMBER(E108),IF(E108&gt;0,"Hausse",IF(E108&lt;0,"Baisse","Stable")),""))</f>
        <v/>
      </c>
      <c r="G108" s="4" t="n"/>
      <c r="H108" s="4" t="n"/>
      <c r="I108" s="4" t="n"/>
    </row>
    <row r="109">
      <c r="A109" s="7" t="n"/>
      <c r="B109" s="7" t="n"/>
      <c r="C109" s="7" t="n"/>
      <c r="D109" s="7" t="n"/>
      <c r="E109" s="7">
        <f>IF(OR(C109="",D109=""),"",D109-C109)</f>
        <v/>
      </c>
      <c r="F109" s="7">
        <f>IF(E109="","",IF(ISNUMBER(E109),IF(E109&gt;0,"Hausse",IF(E109&lt;0,"Baisse","Stable")),""))</f>
        <v/>
      </c>
      <c r="G109" s="7" t="n"/>
      <c r="H109" s="7" t="n"/>
      <c r="I109" s="7" t="n"/>
    </row>
    <row r="110">
      <c r="A110" s="4" t="n"/>
      <c r="B110" s="4" t="n"/>
      <c r="C110" s="4" t="n"/>
      <c r="D110" s="4" t="n"/>
      <c r="E110" s="4">
        <f>IF(OR(C110="",D110=""),"",D110-C110)</f>
        <v/>
      </c>
      <c r="F110" s="4">
        <f>IF(E110="","",IF(ISNUMBER(E110),IF(E110&gt;0,"Hausse",IF(E110&lt;0,"Baisse","Stable")),""))</f>
        <v/>
      </c>
      <c r="G110" s="4" t="n"/>
      <c r="H110" s="4" t="n"/>
      <c r="I110" s="4" t="n"/>
    </row>
    <row r="111">
      <c r="A111" s="7" t="n"/>
      <c r="B111" s="7" t="n"/>
      <c r="C111" s="7" t="n"/>
      <c r="D111" s="7" t="n"/>
      <c r="E111" s="7">
        <f>IF(OR(C111="",D111=""),"",D111-C111)</f>
        <v/>
      </c>
      <c r="F111" s="7">
        <f>IF(E111="","",IF(ISNUMBER(E111),IF(E111&gt;0,"Hausse",IF(E111&lt;0,"Baisse","Stable")),""))</f>
        <v/>
      </c>
      <c r="G111" s="7" t="n"/>
      <c r="H111" s="7" t="n"/>
      <c r="I111" s="7" t="n"/>
    </row>
    <row r="112">
      <c r="A112" s="4" t="n"/>
      <c r="B112" s="4" t="n"/>
      <c r="C112" s="4" t="n"/>
      <c r="D112" s="4" t="n"/>
      <c r="E112" s="4">
        <f>IF(OR(C112="",D112=""),"",D112-C112)</f>
        <v/>
      </c>
      <c r="F112" s="4">
        <f>IF(E112="","",IF(ISNUMBER(E112),IF(E112&gt;0,"Hausse",IF(E112&lt;0,"Baisse","Stable")),""))</f>
        <v/>
      </c>
      <c r="G112" s="4" t="n"/>
      <c r="H112" s="4" t="n"/>
      <c r="I112" s="4" t="n"/>
    </row>
    <row r="113">
      <c r="A113" s="7" t="n"/>
      <c r="B113" s="7" t="n"/>
      <c r="C113" s="7" t="n"/>
      <c r="D113" s="7" t="n"/>
      <c r="E113" s="7">
        <f>IF(OR(C113="",D113=""),"",D113-C113)</f>
        <v/>
      </c>
      <c r="F113" s="7">
        <f>IF(E113="","",IF(ISNUMBER(E113),IF(E113&gt;0,"Hausse",IF(E113&lt;0,"Baisse","Stable")),""))</f>
        <v/>
      </c>
      <c r="G113" s="7" t="n"/>
      <c r="H113" s="7" t="n"/>
      <c r="I113" s="7" t="n"/>
    </row>
    <row r="114">
      <c r="A114" s="4" t="n"/>
      <c r="B114" s="4" t="n"/>
      <c r="C114" s="4" t="n"/>
      <c r="D114" s="4" t="n"/>
      <c r="E114" s="4">
        <f>IF(OR(C114="",D114=""),"",D114-C114)</f>
        <v/>
      </c>
      <c r="F114" s="4">
        <f>IF(E114="","",IF(ISNUMBER(E114),IF(E114&gt;0,"Hausse",IF(E114&lt;0,"Baisse","Stable")),""))</f>
        <v/>
      </c>
      <c r="G114" s="4" t="n"/>
      <c r="H114" s="4" t="n"/>
      <c r="I114" s="4" t="n"/>
    </row>
    <row r="115">
      <c r="A115" s="7" t="n"/>
      <c r="B115" s="7" t="n"/>
      <c r="C115" s="7" t="n"/>
      <c r="D115" s="7" t="n"/>
      <c r="E115" s="7">
        <f>IF(OR(C115="",D115=""),"",D115-C115)</f>
        <v/>
      </c>
      <c r="F115" s="7">
        <f>IF(E115="","",IF(ISNUMBER(E115),IF(E115&gt;0,"Hausse",IF(E115&lt;0,"Baisse","Stable")),""))</f>
        <v/>
      </c>
      <c r="G115" s="7" t="n"/>
      <c r="H115" s="7" t="n"/>
      <c r="I115" s="7" t="n"/>
    </row>
  </sheetData>
  <mergeCells count="2">
    <mergeCell ref="A3:P3"/>
    <mergeCell ref="A2:P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B5E20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12" customWidth="1" min="4" max="4"/>
    <col width="30" customWidth="1" min="5" max="5"/>
    <col width="32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</cols>
  <sheetData>
    <row r="2" ht="25" customHeight="1">
      <c r="A2" s="1" t="inlineStr">
        <is>
          <t>DOMAINE 27 — 19-AUDIT ET CONFORMITÉ RÉGLEMENTAIRE SST</t>
        </is>
      </c>
    </row>
    <row r="3" ht="18" customHeight="1">
      <c r="A3" s="2" t="inlineStr">
        <is>
          <t>TABLEAU DYNAMIQUE — Suivi des obligations légales et réglementaires</t>
        </is>
      </c>
    </row>
    <row r="5">
      <c r="A5" s="3" t="inlineStr">
        <is>
          <t>Code Audit</t>
        </is>
      </c>
      <c r="B5" s="3" t="inlineStr">
        <is>
          <t>Domaine Réglementaire</t>
        </is>
      </c>
      <c r="C5" s="3" t="inlineStr">
        <is>
          <t>Type d'Obligation</t>
        </is>
      </c>
      <c r="D5" s="3" t="inlineStr">
        <is>
          <t>Niveau Risque</t>
        </is>
      </c>
      <c r="E5" s="3" t="inlineStr">
        <is>
          <t>Observation</t>
        </is>
      </c>
      <c r="F5" s="3" t="inlineStr">
        <is>
          <t>Action Corrective</t>
        </is>
      </c>
      <c r="G5" s="3" t="inlineStr">
        <is>
          <t>Responsable</t>
        </is>
      </c>
      <c r="H5" s="3" t="inlineStr">
        <is>
          <t>Date Détection</t>
        </is>
      </c>
      <c r="I5" s="3" t="inlineStr">
        <is>
          <t>Date Échéance</t>
        </is>
      </c>
      <c r="J5" s="3" t="inlineStr">
        <is>
          <t>Date Clôture</t>
        </is>
      </c>
      <c r="K5" s="3" t="inlineStr">
        <is>
          <t>Statut</t>
        </is>
      </c>
      <c r="L5" s="3" t="inlineStr">
        <is>
          <t>Sanction Potentielle (FCFA)</t>
        </is>
      </c>
    </row>
    <row r="6">
      <c r="A6" s="4" t="inlineStr">
        <is>
          <t>AUD-SST-001</t>
        </is>
      </c>
      <c r="B6" s="4" t="inlineStr">
        <is>
          <t>Document unique (DUERP)</t>
        </is>
      </c>
      <c r="C6" s="4" t="inlineStr">
        <is>
          <t>Mise à jour annuelle</t>
        </is>
      </c>
      <c r="D6" s="4" t="inlineStr">
        <is>
          <t>Élevé</t>
        </is>
      </c>
      <c r="E6" s="4" t="inlineStr">
        <is>
          <t>DUERP non mis à jour depuis 18 mois</t>
        </is>
      </c>
      <c r="F6" s="4" t="inlineStr">
        <is>
          <t>Actualisation complète DUERP</t>
        </is>
      </c>
      <c r="G6" s="4" t="inlineStr">
        <is>
          <t>M. Ondo</t>
        </is>
      </c>
      <c r="H6" s="14" t="n">
        <v>45689</v>
      </c>
      <c r="I6" s="14" t="n">
        <v>45808</v>
      </c>
      <c r="J6" s="14" t="n">
        <v>45797</v>
      </c>
      <c r="K6" s="4" t="inlineStr">
        <is>
          <t>Clôturé</t>
        </is>
      </c>
      <c r="L6" s="5" t="n">
        <v>1500000</v>
      </c>
    </row>
    <row r="7">
      <c r="A7" s="7" t="inlineStr">
        <is>
          <t>AUD-SST-002</t>
        </is>
      </c>
      <c r="B7" s="7" t="inlineStr">
        <is>
          <t>LOTO électricité</t>
        </is>
      </c>
      <c r="C7" s="7" t="inlineStr">
        <is>
          <t>Procédure obligatoire</t>
        </is>
      </c>
      <c r="D7" s="7" t="inlineStr">
        <is>
          <t>Critique</t>
        </is>
      </c>
      <c r="E7" s="7" t="inlineStr">
        <is>
          <t>LOTO non appliqué atelier</t>
        </is>
      </c>
      <c r="F7" s="7" t="inlineStr">
        <is>
          <t>Déploiement procédure LOTO + formation</t>
        </is>
      </c>
      <c r="G7" s="7" t="inlineStr">
        <is>
          <t>M. Ondo</t>
        </is>
      </c>
      <c r="H7" s="15" t="n">
        <v>45703</v>
      </c>
      <c r="I7" s="15" t="n">
        <v>45777</v>
      </c>
      <c r="J7" s="15" t="n">
        <v>45772</v>
      </c>
      <c r="K7" s="7" t="inlineStr">
        <is>
          <t>Clôturé</t>
        </is>
      </c>
      <c r="L7" s="8" t="n">
        <v>3000000</v>
      </c>
    </row>
    <row r="8">
      <c r="A8" s="4" t="inlineStr">
        <is>
          <t>AUD-SST-003</t>
        </is>
      </c>
      <c r="B8" s="4" t="inlineStr">
        <is>
          <t>Extincteurs</t>
        </is>
      </c>
      <c r="C8" s="4" t="inlineStr">
        <is>
          <t>Vérification annuelle</t>
        </is>
      </c>
      <c r="D8" s="4" t="inlineStr">
        <is>
          <t>Élevé</t>
        </is>
      </c>
      <c r="E8" s="4" t="inlineStr">
        <is>
          <t>3 extincteurs périmés cuisine</t>
        </is>
      </c>
      <c r="F8" s="4" t="inlineStr">
        <is>
          <t>Remplacement immédiat</t>
        </is>
      </c>
      <c r="G8" s="4" t="inlineStr">
        <is>
          <t>Capitaine Mba</t>
        </is>
      </c>
      <c r="H8" s="14" t="n">
        <v>45677</v>
      </c>
      <c r="I8" s="14" t="n">
        <v>45703</v>
      </c>
      <c r="J8" s="14" t="n">
        <v>45698</v>
      </c>
      <c r="K8" s="4" t="inlineStr">
        <is>
          <t>Clôturé</t>
        </is>
      </c>
      <c r="L8" s="5" t="n">
        <v>500000</v>
      </c>
    </row>
    <row r="9">
      <c r="A9" s="7" t="inlineStr">
        <is>
          <t>AUD-SST-004</t>
        </is>
      </c>
      <c r="B9" s="7" t="inlineStr">
        <is>
          <t>CHSCT / CSE</t>
        </is>
      </c>
      <c r="C9" s="7" t="inlineStr">
        <is>
          <t>Réunion trimestrielle</t>
        </is>
      </c>
      <c r="D9" s="7" t="inlineStr">
        <is>
          <t>Moyen</t>
        </is>
      </c>
      <c r="E9" s="7" t="inlineStr">
        <is>
          <t>Réunion T1 reportée</t>
        </is>
      </c>
      <c r="F9" s="7" t="inlineStr">
        <is>
          <t>Convocation urgente</t>
        </is>
      </c>
      <c r="G9" s="7" t="inlineStr">
        <is>
          <t>Mme. Mbarga</t>
        </is>
      </c>
      <c r="H9" s="15" t="n">
        <v>45748</v>
      </c>
      <c r="I9" s="15" t="n">
        <v>45777</v>
      </c>
      <c r="J9" s="15" t="n">
        <v>45769</v>
      </c>
      <c r="K9" s="7" t="inlineStr">
        <is>
          <t>Clôturé</t>
        </is>
      </c>
      <c r="L9" s="8" t="n">
        <v>0</v>
      </c>
    </row>
    <row r="10">
      <c r="A10" s="4" t="inlineStr">
        <is>
          <t>AUD-SST-005</t>
        </is>
      </c>
      <c r="B10" s="4" t="inlineStr">
        <is>
          <t>Fiches de données produit</t>
        </is>
      </c>
      <c r="C10" s="4" t="inlineStr">
        <is>
          <t>Disponibilité obligatoire</t>
        </is>
      </c>
      <c r="D10" s="4" t="inlineStr">
        <is>
          <t>Moyen</t>
        </is>
      </c>
      <c r="E10" s="4" t="inlineStr">
        <is>
          <t>FDI manquantes pour 4 produits</t>
        </is>
      </c>
      <c r="F10" s="4" t="inlineStr">
        <is>
          <t>Commande FDI auprès fournisseur</t>
        </is>
      </c>
      <c r="G10" s="4" t="inlineStr">
        <is>
          <t>M. Tchinda</t>
        </is>
      </c>
      <c r="H10" s="14" t="n">
        <v>45721</v>
      </c>
      <c r="I10" s="14" t="n">
        <v>45808</v>
      </c>
      <c r="J10" s="4" t="n"/>
      <c r="K10" s="4" t="inlineStr">
        <is>
          <t>En cours</t>
        </is>
      </c>
      <c r="L10" s="5" t="n">
        <v>750000</v>
      </c>
    </row>
    <row r="11">
      <c r="A11" s="7" t="inlineStr">
        <is>
          <t>AUD-SST-006</t>
        </is>
      </c>
      <c r="B11" s="7" t="inlineStr">
        <is>
          <t>Visites médicales</t>
        </is>
      </c>
      <c r="C11" s="7" t="inlineStr">
        <is>
          <t>Suivi médical obligatoire</t>
        </is>
      </c>
      <c r="D11" s="7" t="inlineStr">
        <is>
          <t>Élevé</t>
        </is>
      </c>
      <c r="E11" s="7" t="inlineStr">
        <is>
          <t>12 visites annuelles en retard</t>
        </is>
      </c>
      <c r="F11" s="7" t="inlineStr">
        <is>
          <t>Planification rattrapage</t>
        </is>
      </c>
      <c r="G11" s="7" t="inlineStr">
        <is>
          <t>Dr. Manga</t>
        </is>
      </c>
      <c r="H11" s="15" t="n">
        <v>45762</v>
      </c>
      <c r="I11" s="15" t="n">
        <v>45869</v>
      </c>
      <c r="J11" s="7" t="n"/>
      <c r="K11" s="7" t="inlineStr">
        <is>
          <t>En cours</t>
        </is>
      </c>
      <c r="L11" s="8" t="n">
        <v>2000000</v>
      </c>
    </row>
    <row r="12">
      <c r="A12" s="4" t="inlineStr">
        <is>
          <t>AUD-SST-007</t>
        </is>
      </c>
      <c r="B12" s="4" t="inlineStr">
        <is>
          <t>Plan évacuation</t>
        </is>
      </c>
      <c r="C12" s="4" t="inlineStr">
        <is>
          <t>Exercice semestriel</t>
        </is>
      </c>
      <c r="D12" s="4" t="inlineStr">
        <is>
          <t>Moyen</t>
        </is>
      </c>
      <c r="E12" s="4" t="inlineStr">
        <is>
          <t>Exercice T2 non encore réalisé</t>
        </is>
      </c>
      <c r="F12" s="4" t="inlineStr">
        <is>
          <t>Planification exercice juillet</t>
        </is>
      </c>
      <c r="G12" s="4" t="inlineStr">
        <is>
          <t>Capitaine Mba</t>
        </is>
      </c>
      <c r="H12" s="14" t="n">
        <v>45809</v>
      </c>
      <c r="I12" s="14" t="n">
        <v>45853</v>
      </c>
      <c r="J12" s="4" t="n"/>
      <c r="K12" s="4" t="inlineStr">
        <is>
          <t>Planifié</t>
        </is>
      </c>
      <c r="L12" s="5" t="n">
        <v>250000</v>
      </c>
    </row>
    <row r="13">
      <c r="A13" s="7" t="inlineStr">
        <is>
          <t>AUD-SST-008</t>
        </is>
      </c>
      <c r="B13" s="7" t="inlineStr">
        <is>
          <t>Registre sécurité</t>
        </is>
      </c>
      <c r="C13" s="7" t="inlineStr">
        <is>
          <t>Tenue à jour</t>
        </is>
      </c>
      <c r="D13" s="7" t="inlineStr">
        <is>
          <t>Faible</t>
        </is>
      </c>
      <c r="E13" s="7" t="inlineStr">
        <is>
          <t>Registre partiellement renseigné</t>
        </is>
      </c>
      <c r="F13" s="7" t="inlineStr">
        <is>
          <t>Complétude registre</t>
        </is>
      </c>
      <c r="G13" s="7" t="inlineStr">
        <is>
          <t>M. Ondo</t>
        </is>
      </c>
      <c r="H13" s="15" t="n">
        <v>45797</v>
      </c>
      <c r="I13" s="15" t="n">
        <v>45838</v>
      </c>
      <c r="J13" s="7" t="n"/>
      <c r="K13" s="7" t="inlineStr">
        <is>
          <t>En cours</t>
        </is>
      </c>
      <c r="L13" s="8" t="n">
        <v>100000</v>
      </c>
    </row>
    <row r="14">
      <c r="A14" s="4" t="inlineStr">
        <is>
          <t>AUD-SST-009</t>
        </is>
      </c>
      <c r="B14" s="4" t="inlineStr">
        <is>
          <t>Habilitation électrique</t>
        </is>
      </c>
      <c r="C14" s="4" t="inlineStr">
        <is>
          <t>Renouvellement quinquennal</t>
        </is>
      </c>
      <c r="D14" s="4" t="inlineStr">
        <is>
          <t>Élevé</t>
        </is>
      </c>
      <c r="E14" s="4" t="inlineStr">
        <is>
          <t>3 habilitations échues</t>
        </is>
      </c>
      <c r="F14" s="4" t="inlineStr">
        <is>
          <t>Formation renouvellement planifiée</t>
        </is>
      </c>
      <c r="G14" s="4" t="inlineStr">
        <is>
          <t>Ing. Owona</t>
        </is>
      </c>
      <c r="H14" s="14" t="n">
        <v>45726</v>
      </c>
      <c r="I14" s="14" t="n">
        <v>45900</v>
      </c>
      <c r="J14" s="4" t="n"/>
      <c r="K14" s="4" t="inlineStr">
        <is>
          <t>En cours</t>
        </is>
      </c>
      <c r="L14" s="5" t="n">
        <v>1500000</v>
      </c>
    </row>
    <row r="15">
      <c r="A15" s="7" t="inlineStr">
        <is>
          <t>AUD-SST-010</t>
        </is>
      </c>
      <c r="B15" s="7" t="inlineStr">
        <is>
          <t>Travail en hauteur</t>
        </is>
      </c>
      <c r="C15" s="7" t="inlineStr">
        <is>
          <t>Équipement vérifié</t>
        </is>
      </c>
      <c r="D15" s="7" t="inlineStr">
        <is>
          <t>Critique</t>
        </is>
      </c>
      <c r="E15" s="7" t="inlineStr">
        <is>
          <t>Harnais non vérifié depuis 14 mois</t>
        </is>
      </c>
      <c r="F15" s="7" t="inlineStr">
        <is>
          <t>Vérification immédiate + remplacement</t>
        </is>
      </c>
      <c r="G15" s="7" t="inlineStr">
        <is>
          <t>M. Ondo</t>
        </is>
      </c>
      <c r="H15" s="15" t="n">
        <v>45782</v>
      </c>
      <c r="I15" s="15" t="n">
        <v>45808</v>
      </c>
      <c r="J15" s="15" t="n">
        <v>45805</v>
      </c>
      <c r="K15" s="7" t="inlineStr">
        <is>
          <t>Clôturé</t>
        </is>
      </c>
      <c r="L15" s="8" t="n">
        <v>4000000</v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8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5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5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5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8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5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8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5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5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8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8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5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5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8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5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8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5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8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5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8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5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8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5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5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8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5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8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5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8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5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8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5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8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8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5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5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8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5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8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5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5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8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5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8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5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8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5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8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5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8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5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8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5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8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5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8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5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8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5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8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5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8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5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8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5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8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5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8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5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8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5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8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5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8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5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8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5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8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5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8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5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8" t="n"/>
    </row>
  </sheetData>
  <mergeCells count="2">
    <mergeCell ref="A3:P3"/>
    <mergeCell ref="A2:P2"/>
  </mergeCells>
  <conditionalFormatting sqref="D6:D115">
    <cfRule type="cellIs" priority="1" operator="equal" dxfId="2">
      <formula>"Critique"</formula>
    </cfRule>
    <cfRule type="cellIs" priority="2" operator="equal" dxfId="3">
      <formula>"Élevé"</formula>
    </cfRule>
    <cfRule type="cellIs" priority="3" operator="equal" dxfId="0">
      <formula>"Moyen"</formula>
    </cfRule>
    <cfRule type="cellIs" priority="4" operator="equal" dxfId="1">
      <formula>"Faible"</formula>
    </cfRule>
  </conditionalFormatting>
  <conditionalFormatting sqref="K6:K115">
    <cfRule type="cellIs" priority="5" operator="equal" dxfId="1">
      <formula>"Clôturé"</formula>
    </cfRule>
    <cfRule type="cellIs" priority="6" operator="equal" dxfId="0">
      <formula>"En cours"</formula>
    </cfRule>
    <cfRule type="cellIs" priority="7" operator="equal" dxfId="4">
      <formula>"Planifié"</formula>
    </cfRule>
  </conditionalFormatting>
  <dataValidations count="2">
    <dataValidation sqref="D6:D115" showDropDown="0" showInputMessage="0" showErrorMessage="0" allowBlank="1" errorTitle="Erreur de saisie" error="Valeur non autorisée" promptTitle="Liste déroulante" prompt="Sélectionnez dans la liste" type="list">
      <formula1>'F02 - _Lists'!$M$6:$M$35</formula1>
    </dataValidation>
    <dataValidation sqref="K6:K115" showDropDown="0" showInputMessage="0" showErrorMessage="0" allowBlank="1" errorTitle="Erreur de saisie" error="Valeur non autorisée" promptTitle="Liste déroulante" prompt="Sélectionnez dans la liste" type="list">
      <formula1>'F02 - _Lists'!$K$6:$K$35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2026-07-16T13:48:57Z</dcterms:created>
  <dcterms:modified xmlns:dcterms="http://purl.org/dc/terms/" xmlns:xsi="http://www.w3.org/2001/XMLSchema-instance" xsi:type="dcterms:W3CDTF">2026-07-16T13:48:57Z</dcterms:modified>
</cp:coreProperties>
</file>