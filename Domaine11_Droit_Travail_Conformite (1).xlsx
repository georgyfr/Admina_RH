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Registre Conformite Jurid." sheetId="4" state="visible" r:id="rId4"/>
    <sheet xmlns:r="http://schemas.openxmlformats.org/officeDocument/2006/relationships" name="3-Contrats de Travail" sheetId="5" state="visible" r:id="rId5"/>
    <sheet xmlns:r="http://schemas.openxmlformats.org/officeDocument/2006/relationships" name="4-Avenants Contrats" sheetId="6" state="visible" r:id="rId6"/>
    <sheet xmlns:r="http://schemas.openxmlformats.org/officeDocument/2006/relationships" name="5-Proc. Discip. Juridiques" sheetId="7" state="visible" r:id="rId7"/>
    <sheet xmlns:r="http://schemas.openxmlformats.org/officeDocument/2006/relationships" name="6-Declarations CNPS Impots" sheetId="8" state="visible" r:id="rId8"/>
    <sheet xmlns:r="http://schemas.openxmlformats.org/officeDocument/2006/relationships" name="7-Suivi Legislation Travail" sheetId="9" state="visible" r:id="rId9"/>
    <sheet xmlns:r="http://schemas.openxmlformats.org/officeDocument/2006/relationships" name="8-Audit Conformite RH" sheetId="10" state="visible" r:id="rId10"/>
    <sheet xmlns:r="http://schemas.openxmlformats.org/officeDocument/2006/relationships" name="9-Gestion Litiges Contentieux" sheetId="11" state="visible" r:id="rId11"/>
    <sheet xmlns:r="http://schemas.openxmlformats.org/officeDocument/2006/relationships" name="10-Registre Visites Inspect." sheetId="12" state="visible" r:id="rId12"/>
    <sheet xmlns:r="http://schemas.openxmlformats.org/officeDocument/2006/relationships" name="11-Politiques Procedures RH" sheetId="13" state="visible" r:id="rId13"/>
    <sheet xmlns:r="http://schemas.openxmlformats.org/officeDocument/2006/relationships" name="12-Suivi Echeances Legales" sheetId="14" state="visible" r:id="rId14"/>
    <sheet xmlns:r="http://schemas.openxmlformats.org/officeDocument/2006/relationships" name="13-Indicateurs Conformite" sheetId="15" state="visible" r:id="rId15"/>
    <sheet xmlns:r="http://schemas.openxmlformats.org/officeDocument/2006/relationships" name="14-Hist. Modif. Legales" sheetId="16" state="visible" r:id="rId16"/>
    <sheet xmlns:r="http://schemas.openxmlformats.org/officeDocument/2006/relationships" name="15-Suivi Contentieux" sheetId="17" state="visible" r:id="rId17"/>
    <sheet xmlns:r="http://schemas.openxmlformats.org/officeDocument/2006/relationships" name="16-Calendrier Decl. Sociales" sheetId="18" state="visible" r:id="rId18"/>
    <sheet xmlns:r="http://schemas.openxmlformats.org/officeDocument/2006/relationships" name="17-Matrice Risques Jurid." sheetId="19" state="visible" r:id="rId19"/>
    <sheet xmlns:r="http://schemas.openxmlformats.org/officeDocument/2006/relationships" name="18-Suivi Avenants Contrats" sheetId="20" state="visible" r:id="rId20"/>
    <sheet xmlns:r="http://schemas.openxmlformats.org/officeDocument/2006/relationships" name="19-Analyse Couts Non-Conform.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4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164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Non-Conformites par Domaine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Bord'!$B$20:$B$24</f>
            </numRef>
          </cat>
          <val>
            <numRef>
              <f>'1-Tableau de Bord'!$C$20:$C$24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Distribution des Litiges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Bord'!$H$27:$H$31</f>
            </numRef>
          </cat>
          <val>
            <numRef>
              <f>'1-Tableau de Bord'!$I$27:$I$31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1"/>
    <row r="2"/>
    <row r="3"/>
    <row r="4">
      <c r="B4" s="30" t="inlineStr">
        <is>
          <t>Matricule</t>
        </is>
      </c>
      <c r="C4" s="30" t="inlineStr">
        <is>
          <t>Civilité</t>
        </is>
      </c>
      <c r="D4" s="30" t="inlineStr">
        <is>
          <t>Nom</t>
        </is>
      </c>
      <c r="E4" s="30" t="inlineStr">
        <is>
          <t>Prénom</t>
        </is>
      </c>
      <c r="F4" s="30" t="inlineStr">
        <is>
          <t>Département</t>
        </is>
      </c>
      <c r="G4" s="30" t="inlineStr">
        <is>
          <t>Poste</t>
        </is>
      </c>
      <c r="H4" s="30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11 — DROIT DU TRAVAIL &amp; CONFORMITÉ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Exigences juridiques</t>
        </is>
      </c>
      <c r="E5" s="3" t="inlineStr">
        <is>
          <t>Contrats travail</t>
        </is>
      </c>
      <c r="H5" s="3" t="inlineStr">
        <is>
          <t>Avenants</t>
        </is>
      </c>
      <c r="K5" s="3" t="inlineStr">
        <is>
          <t>Procedures discipl.</t>
        </is>
      </c>
    </row>
    <row r="6">
      <c r="B6" s="4">
        <f>COUNTIF('2-Registre Conformite Jurid.'!B5:B104,"&lt;&gt;")</f>
        <v/>
      </c>
      <c r="E6" s="4">
        <f>COUNTIF('3-Contrats de Travail'!B5:B104,"&lt;&gt;")</f>
        <v/>
      </c>
      <c r="H6" s="4">
        <f>COUNTIF('4-Avenants Contrats'!B5:B104,"&lt;&gt;")</f>
        <v/>
      </c>
      <c r="K6" s="4">
        <f>COUNTIF('5-Proc. Discip. Juridiques'!B5:B104,"&lt;&gt;")</f>
        <v/>
      </c>
    </row>
    <row r="7"/>
    <row r="8"/>
    <row r="9">
      <c r="B9" s="3" t="inlineStr">
        <is>
          <t>Declarations sociales</t>
        </is>
      </c>
      <c r="E9" s="3" t="inlineStr">
        <is>
          <t>Textes legaux suivis</t>
        </is>
      </c>
      <c r="H9" s="3" t="inlineStr">
        <is>
          <t>Audits conformite</t>
        </is>
      </c>
      <c r="K9" s="3" t="inlineStr">
        <is>
          <t>Litiges ouverts</t>
        </is>
      </c>
    </row>
    <row r="10">
      <c r="B10" s="4">
        <f>COUNTIF('6-Declarations CNPS Impots'!B5:B104,"&lt;&gt;")</f>
        <v/>
      </c>
      <c r="E10" s="4">
        <f>COUNTIF('7-Suivi Legislation Travail'!B5:B104,"&lt;&gt;")</f>
        <v/>
      </c>
      <c r="H10" s="4">
        <f>COUNTIF('8-Audit Conformite RH'!B5:B104,"&lt;&gt;")</f>
        <v/>
      </c>
      <c r="K10" s="4">
        <f>COUNTIF('9-Gestion Litiges Contentieux'!B5:B104,"&lt;&gt;")</f>
        <v/>
      </c>
    </row>
    <row r="11"/>
    <row r="12"/>
    <row r="13">
      <c r="B13" s="3" t="inlineStr">
        <is>
          <t>Visites inspection</t>
        </is>
      </c>
      <c r="E13" s="3" t="inlineStr">
        <is>
          <t>Politiques RH</t>
        </is>
      </c>
      <c r="H13" s="3" t="inlineStr">
        <is>
          <t>Non-conformites</t>
        </is>
      </c>
      <c r="K13" s="3" t="inlineStr">
        <is>
          <t>Penalites totales (FCFA)</t>
        </is>
      </c>
    </row>
    <row r="14">
      <c r="B14" s="4">
        <f>COUNTIF('10-Registre Visites Inspect.'!B5:B104,"&lt;&gt;")</f>
        <v/>
      </c>
      <c r="E14" s="4">
        <f>COUNTIF('11-Politiques Procedures RH'!B5:B104,"&lt;&gt;")</f>
        <v/>
      </c>
      <c r="H14" s="4">
        <f>COUNTIF('2-Registre Conformite Jurid.'!F5:F104,"Non conforme")</f>
        <v/>
      </c>
      <c r="K14" s="4">
        <f>SUM('6-Declarations CNPS Impots'!I5:I104)</f>
        <v/>
      </c>
    </row>
    <row r="15"/>
    <row r="16"/>
    <row r="17"/>
    <row r="18">
      <c r="B18" s="5" t="inlineStr">
        <is>
          <t>NON-CONFORMITES PAR DOMAINE &amp; TYPE DE LITIGES</t>
        </is>
      </c>
    </row>
    <row r="19" ht="15" customHeight="1">
      <c r="B19" s="3" t="inlineStr">
        <is>
          <t>Domaine</t>
        </is>
      </c>
      <c r="C19" s="3" t="inlineStr">
        <is>
          <t>Nb Non-Conformites</t>
        </is>
      </c>
    </row>
    <row r="20" ht="15" customHeight="1">
      <c r="B20" s="6" t="inlineStr">
        <is>
          <t>Contrat travail</t>
        </is>
      </c>
      <c r="C20" s="7">
        <f>COUNTIF('2-Registre Conformite Jurid.'!C5:C104,"*Contrat travail*")+COUNTIF('13-Indicateurs Conformite'!H5:H104,"&gt;"&amp;0)</f>
        <v/>
      </c>
    </row>
    <row r="21" ht="15" customHeight="1">
      <c r="B21" s="6" t="inlineStr">
        <is>
          <t>Conditions travail</t>
        </is>
      </c>
      <c r="C21" s="7">
        <f>COUNTIF('2-Registre Conformite Jurid.'!C5:C104,"*Conditions travail*")+COUNTIF('13-Indicateurs Conformite'!H5:H104,"&gt;"&amp;0)</f>
        <v/>
      </c>
    </row>
    <row r="22" ht="15" customHeight="1">
      <c r="B22" s="6" t="inlineStr">
        <is>
          <t>Securite sociale</t>
        </is>
      </c>
      <c r="C22" s="7">
        <f>COUNTIF('2-Registre Conformite Jurid.'!C5:C104,"*Securite sociale*")+COUNTIF('13-Indicateurs Conformite'!H5:H104,"&gt;"&amp;0)</f>
        <v/>
      </c>
    </row>
    <row r="23" ht="15" customHeight="1">
      <c r="B23" s="6" t="inlineStr">
        <is>
          <t>Hygiene securite</t>
        </is>
      </c>
      <c r="C23" s="7">
        <f>COUNTIF('2-Registre Conformite Jurid.'!C5:C104,"*Hygiene securite*")+COUNTIF('13-Indicateurs Conformite'!H5:H104,"&gt;"&amp;0)</f>
        <v/>
      </c>
    </row>
    <row r="24" ht="15" customHeight="1">
      <c r="B24" s="6" t="inlineStr">
        <is>
          <t>Discipline</t>
        </is>
      </c>
      <c r="C24" s="7">
        <f>COUNTIF('2-Registre Conformite Jurid.'!C5:C104,"*Discipline*")+COUNTIF('13-Indicateurs Conformite'!H5:H104,"&gt;"&amp;0)</f>
        <v/>
      </c>
    </row>
    <row r="25" ht="15" customHeight="1"/>
    <row r="26" ht="15" customHeight="1">
      <c r="H26" s="3" t="inlineStr">
        <is>
          <t>Type Litige</t>
        </is>
      </c>
      <c r="I26" s="3" t="inlineStr">
        <is>
          <t>Nombre</t>
        </is>
      </c>
    </row>
    <row r="27" ht="15" customHeight="1">
      <c r="H27" s="6" t="inlineStr">
        <is>
          <t>Licenciement abusif</t>
        </is>
      </c>
      <c r="I27" s="7">
        <f>COUNTIF('9-Gestion Litiges Contentieux'!E5:E104,"*Licenciement abusif*")</f>
        <v/>
      </c>
    </row>
    <row r="28" ht="15" customHeight="1">
      <c r="H28" s="6" t="inlineStr">
        <is>
          <t>Heures supplementaires</t>
        </is>
      </c>
      <c r="I28" s="7">
        <f>COUNTIF('9-Gestion Litiges Contentieux'!E5:E104,"*Heures supplementaires*")</f>
        <v/>
      </c>
    </row>
    <row r="29" ht="15" customHeight="1">
      <c r="H29" s="6" t="inlineStr">
        <is>
          <t>Conditions travail</t>
        </is>
      </c>
      <c r="I29" s="7">
        <f>COUNTIF('9-Gestion Litiges Contentieux'!E5:E104,"*Conditions travail*")</f>
        <v/>
      </c>
    </row>
    <row r="30" ht="15" customHeight="1">
      <c r="H30" s="6" t="inlineStr">
        <is>
          <t>Harcèlement</t>
        </is>
      </c>
      <c r="I30" s="7">
        <f>COUNTIF('9-Gestion Litiges Contentieux'!E5:E104,"*Harcèlement*")</f>
        <v/>
      </c>
    </row>
    <row r="31" ht="15" customHeight="1">
      <c r="H31" s="6" t="inlineStr">
        <is>
          <t>Autre</t>
        </is>
      </c>
      <c r="I31" s="7">
        <f>COUNTIF('9-Gestion Litiges Contentieux'!E5:E104,"*Autre*")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I27">
    <cfRule type="cellIs" priority="18" operator="greaterThan" dxfId="4">
      <formula>0</formula>
    </cfRule>
  </conditionalFormatting>
  <conditionalFormatting sqref="I28">
    <cfRule type="cellIs" priority="19" operator="greaterThan" dxfId="4">
      <formula>0</formula>
    </cfRule>
  </conditionalFormatting>
  <conditionalFormatting sqref="I29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departement</t>
        </is>
      </c>
      <c r="C1" s="8" t="inlineStr">
        <is>
          <t>poste_hotel</t>
        </is>
      </c>
      <c r="D1" s="8" t="inlineStr">
        <is>
          <t>type_contrat</t>
        </is>
      </c>
      <c r="E1" s="8" t="inlineStr">
        <is>
          <t>statut_contrat</t>
        </is>
      </c>
      <c r="F1" s="8" t="inlineStr">
        <is>
          <t>type_avenant</t>
        </is>
      </c>
      <c r="G1" s="8" t="inlineStr">
        <is>
          <t>type_infraction</t>
        </is>
      </c>
      <c r="H1" s="8" t="inlineStr">
        <is>
          <t>type_sanction</t>
        </is>
      </c>
      <c r="I1" s="8" t="inlineStr">
        <is>
          <t>organe_institution</t>
        </is>
      </c>
      <c r="J1" s="8" t="inlineStr">
        <is>
          <t>type_declaration</t>
        </is>
      </c>
      <c r="K1" s="8" t="inlineStr">
        <is>
          <t>statut_declaration</t>
        </is>
      </c>
      <c r="L1" s="8" t="inlineStr">
        <is>
          <t>type_texte_legal</t>
        </is>
      </c>
      <c r="M1" s="8" t="inlineStr">
        <is>
          <t>domaine_legal</t>
        </is>
      </c>
      <c r="N1" s="8" t="inlineStr">
        <is>
          <t>statut_conformite</t>
        </is>
      </c>
      <c r="O1" s="8" t="inlineStr">
        <is>
          <t>gravite_non_conformite</t>
        </is>
      </c>
      <c r="P1" s="8" t="inlineStr">
        <is>
          <t>type_litige</t>
        </is>
      </c>
      <c r="Q1" s="8" t="inlineStr">
        <is>
          <t>statut_litige</t>
        </is>
      </c>
      <c r="R1" s="8" t="inlineStr">
        <is>
          <t>type_politique</t>
        </is>
      </c>
      <c r="S1" s="8" t="inlineStr">
        <is>
          <t>statut_politique</t>
        </is>
      </c>
      <c r="T1" s="8" t="inlineStr">
        <is>
          <t>priorite_action_conf</t>
        </is>
      </c>
      <c r="U1" s="8" t="inlineStr">
        <is>
          <t>mois</t>
        </is>
      </c>
      <c r="V1" s="8" t="inlineStr">
        <is>
          <t>annee</t>
        </is>
      </c>
    </row>
    <row r="2">
      <c r="B2" s="9" t="inlineStr">
        <is>
          <t>Direction Générale</t>
        </is>
      </c>
      <c r="C2" s="9" t="inlineStr">
        <is>
          <t>DG</t>
        </is>
      </c>
      <c r="D2" s="9" t="inlineStr">
        <is>
          <t>CDI</t>
        </is>
      </c>
      <c r="E2" s="9" t="inlineStr">
        <is>
          <t>En cours</t>
        </is>
      </c>
      <c r="F2" s="9" t="inlineStr">
        <is>
          <t>Augmentation salariale</t>
        </is>
      </c>
      <c r="G2" s="9" t="inlineStr">
        <is>
          <t>Absence injustifiee</t>
        </is>
      </c>
      <c r="H2" s="9" t="inlineStr">
        <is>
          <t>Avertissement verbal</t>
        </is>
      </c>
      <c r="I2" s="9" t="inlineStr">
        <is>
          <t>CNPS</t>
        </is>
      </c>
      <c r="J2" s="9" t="inlineStr">
        <is>
          <t>CNPS mensuelle</t>
        </is>
      </c>
      <c r="K2" s="9" t="inlineStr">
        <is>
          <t>Effectuee</t>
        </is>
      </c>
      <c r="L2" s="9" t="inlineStr">
        <is>
          <t>Code du travail</t>
        </is>
      </c>
      <c r="M2" s="9" t="inlineStr">
        <is>
          <t>Contrat de travail</t>
        </is>
      </c>
      <c r="N2" s="9" t="inlineStr">
        <is>
          <t>Conforme</t>
        </is>
      </c>
      <c r="O2" s="9" t="inlineStr">
        <is>
          <t>Mineure</t>
        </is>
      </c>
      <c r="P2" s="9" t="inlineStr">
        <is>
          <t>Licenciement abusif</t>
        </is>
      </c>
      <c r="Q2" s="9" t="inlineStr">
        <is>
          <t>En cours</t>
        </is>
      </c>
      <c r="R2" s="9" t="inlineStr">
        <is>
          <t>Reglement interieur</t>
        </is>
      </c>
      <c r="S2" s="9" t="inlineStr">
        <is>
          <t>En vigueur</t>
        </is>
      </c>
      <c r="T2" s="9" t="inlineStr">
        <is>
          <t>Haute</t>
        </is>
      </c>
      <c r="U2" s="9" t="inlineStr">
        <is>
          <t>Janvier</t>
        </is>
      </c>
      <c r="V2" s="9" t="inlineStr">
        <is>
          <t>2024</t>
        </is>
      </c>
    </row>
    <row r="3">
      <c r="B3" s="9" t="inlineStr">
        <is>
          <t>Service Client</t>
        </is>
      </c>
      <c r="C3" s="9" t="inlineStr">
        <is>
          <t>DRH</t>
        </is>
      </c>
      <c r="D3" s="9" t="inlineStr">
        <is>
          <t>CDD</t>
        </is>
      </c>
      <c r="E3" s="9" t="inlineStr">
        <is>
          <t>Suspendu</t>
        </is>
      </c>
      <c r="F3" s="9" t="inlineStr">
        <is>
          <t>Changement de poste</t>
        </is>
      </c>
      <c r="G3" s="9" t="inlineStr">
        <is>
          <t>Retard repetes</t>
        </is>
      </c>
      <c r="H3" s="9" t="inlineStr">
        <is>
          <t>Avertissement ecrit</t>
        </is>
      </c>
      <c r="I3" s="9" t="inlineStr">
        <is>
          <t>Inspection du travail</t>
        </is>
      </c>
      <c r="J3" s="9" t="inlineStr">
        <is>
          <t>IR mensuel</t>
        </is>
      </c>
      <c r="K3" s="9" t="inlineStr">
        <is>
          <t>En retard</t>
        </is>
      </c>
      <c r="L3" s="9" t="inlineStr">
        <is>
          <t>Convention collective</t>
        </is>
      </c>
      <c r="M3" s="9" t="inlineStr">
        <is>
          <t>Conditions travail</t>
        </is>
      </c>
      <c r="N3" s="9" t="inlineStr">
        <is>
          <t>Non conforme</t>
        </is>
      </c>
      <c r="O3" s="9" t="inlineStr">
        <is>
          <t>Moyenne</t>
        </is>
      </c>
      <c r="P3" s="9" t="inlineStr">
        <is>
          <t>Harcèlement</t>
        </is>
      </c>
      <c r="Q3" s="9" t="inlineStr">
        <is>
          <t>En conciliation</t>
        </is>
      </c>
      <c r="R3" s="9" t="inlineStr">
        <is>
          <t>Politique remuneration</t>
        </is>
      </c>
      <c r="S3" s="9" t="inlineStr">
        <is>
          <t>En revision</t>
        </is>
      </c>
      <c r="T3" s="9" t="inlineStr">
        <is>
          <t>Moyenne</t>
        </is>
      </c>
      <c r="U3" s="9" t="inlineStr">
        <is>
          <t>Fevrier</t>
        </is>
      </c>
      <c r="V3" s="9" t="inlineStr">
        <is>
          <t>2025</t>
        </is>
      </c>
    </row>
    <row r="4">
      <c r="B4" s="9" t="inlineStr">
        <is>
          <t>Finance &amp; Comptabilité</t>
        </is>
      </c>
      <c r="C4" s="9" t="inlineStr">
        <is>
          <t>Assistante RH</t>
        </is>
      </c>
      <c r="D4" s="9" t="inlineStr">
        <is>
          <t>Contrat d'apprentissage</t>
        </is>
      </c>
      <c r="E4" s="9" t="inlineStr">
        <is>
          <t>Resilie</t>
        </is>
      </c>
      <c r="F4" s="9" t="inlineStr">
        <is>
          <t>Modification horaires</t>
        </is>
      </c>
      <c r="G4" s="9" t="inlineStr">
        <is>
          <t>Insubordination</t>
        </is>
      </c>
      <c r="H4" s="9" t="inlineStr">
        <is>
          <t>Blame</t>
        </is>
      </c>
      <c r="I4" s="9" t="inlineStr">
        <is>
          <t>Tribunal de travail</t>
        </is>
      </c>
      <c r="J4" s="9" t="inlineStr">
        <is>
          <t>Declaration annuelle</t>
        </is>
      </c>
      <c r="K4" s="9" t="inlineStr">
        <is>
          <t>En attente</t>
        </is>
      </c>
      <c r="L4" s="9" t="inlineStr">
        <is>
          <t>Decret</t>
        </is>
      </c>
      <c r="M4" s="9" t="inlineStr">
        <is>
          <t>Securite sociale</t>
        </is>
      </c>
      <c r="N4" s="9" t="inlineStr">
        <is>
          <t>Partiellement conforme</t>
        </is>
      </c>
      <c r="O4" s="9" t="inlineStr">
        <is>
          <t>Majeure</t>
        </is>
      </c>
      <c r="P4" s="9" t="inlineStr">
        <is>
          <t>Salaires impayes</t>
        </is>
      </c>
      <c r="Q4" s="9" t="inlineStr">
        <is>
          <t>Assigne tribunal</t>
        </is>
      </c>
      <c r="R4" s="9" t="inlineStr">
        <is>
          <t>Charte ethique</t>
        </is>
      </c>
      <c r="S4" s="9" t="inlineStr">
        <is>
          <t>A approuver</t>
        </is>
      </c>
      <c r="T4" s="9" t="inlineStr">
        <is>
          <t>Basse</t>
        </is>
      </c>
      <c r="U4" s="9" t="inlineStr">
        <is>
          <t>Mars</t>
        </is>
      </c>
      <c r="V4" s="9" t="inlineStr">
        <is>
          <t>2026</t>
        </is>
      </c>
    </row>
    <row r="5">
      <c r="B5" s="9" t="inlineStr">
        <is>
          <t>Marketing &amp; Communication</t>
        </is>
      </c>
      <c r="C5" s="9" t="inlineStr">
        <is>
          <t>DAF</t>
        </is>
      </c>
      <c r="D5" s="9" t="inlineStr">
        <is>
          <t>Stage</t>
        </is>
      </c>
      <c r="E5" s="9" t="inlineStr">
        <is>
          <t>Expire</t>
        </is>
      </c>
      <c r="F5" s="9" t="inlineStr">
        <is>
          <t>Renouvellement CDD</t>
        </is>
      </c>
      <c r="G5" s="9" t="inlineStr">
        <is>
          <t>Vol</t>
        </is>
      </c>
      <c r="H5" s="9" t="inlineStr">
        <is>
          <t>Mise a pied disciplinaire</t>
        </is>
      </c>
      <c r="I5" s="9" t="inlineStr">
        <is>
          <t>Ministere du Travail</t>
        </is>
      </c>
      <c r="J5" s="9" t="inlineStr">
        <is>
          <t>Bilan social</t>
        </is>
      </c>
      <c r="K5" s="9" t="inlineStr">
        <is>
          <t>Non effectuee</t>
        </is>
      </c>
      <c r="L5" s="9" t="inlineStr">
        <is>
          <t>Arrete</t>
        </is>
      </c>
      <c r="M5" s="9" t="inlineStr">
        <is>
          <t>Impots</t>
        </is>
      </c>
      <c r="N5" s="9" t="inlineStr">
        <is>
          <t>En mise en conformite</t>
        </is>
      </c>
      <c r="O5" s="9" t="inlineStr">
        <is>
          <t>Critique</t>
        </is>
      </c>
      <c r="P5" s="9" t="inlineStr">
        <is>
          <t>Heures supplementaires</t>
        </is>
      </c>
      <c r="Q5" s="9" t="inlineStr">
        <is>
          <t>Mediation</t>
        </is>
      </c>
      <c r="R5" s="9" t="inlineStr">
        <is>
          <t>Politique formation</t>
        </is>
      </c>
      <c r="S5" s="9" t="inlineStr">
        <is>
          <t>Obsolette</t>
        </is>
      </c>
      <c r="U5" s="9" t="inlineStr">
        <is>
          <t>Avril</t>
        </is>
      </c>
    </row>
    <row r="6">
      <c r="B6" s="9" t="inlineStr">
        <is>
          <t>Maintenance</t>
        </is>
      </c>
      <c r="C6" s="9" t="inlineStr">
        <is>
          <t>Comptable senior</t>
        </is>
      </c>
      <c r="D6" s="9" t="inlineStr">
        <is>
          <t>Interim</t>
        </is>
      </c>
      <c r="E6" s="9" t="inlineStr">
        <is>
          <t>En renouvellement</t>
        </is>
      </c>
      <c r="F6" s="9" t="inlineStr">
        <is>
          <t>Transformation CDD-CDI</t>
        </is>
      </c>
      <c r="G6" s="9" t="inlineStr">
        <is>
          <t>Harcèlement</t>
        </is>
      </c>
      <c r="H6" s="9" t="inlineStr">
        <is>
          <t>Licenciement pour faute</t>
        </is>
      </c>
      <c r="I6" s="9" t="inlineStr">
        <is>
          <t>Direction regionale travail</t>
        </is>
      </c>
      <c r="J6" s="9" t="inlineStr">
        <is>
          <t>Taxe d'apprentissage</t>
        </is>
      </c>
      <c r="K6" s="9" t="inlineStr">
        <is>
          <t>En cours de preparation</t>
        </is>
      </c>
      <c r="L6" s="9" t="inlineStr">
        <is>
          <t>Circulaire</t>
        </is>
      </c>
      <c r="M6" s="9" t="inlineStr">
        <is>
          <t>Hygiene securite</t>
        </is>
      </c>
      <c r="N6" s="9" t="inlineStr">
        <is>
          <t>Non evalue</t>
        </is>
      </c>
      <c r="P6" s="9" t="inlineStr">
        <is>
          <t>Conditions travail</t>
        </is>
      </c>
      <c r="Q6" s="9" t="inlineStr">
        <is>
          <t>Resolu</t>
        </is>
      </c>
      <c r="R6" s="9" t="inlineStr">
        <is>
          <t>Politique evaluation</t>
        </is>
      </c>
      <c r="S6" s="9" t="inlineStr">
        <is>
          <t>En elaboration</t>
        </is>
      </c>
      <c r="U6" s="9" t="inlineStr">
        <is>
          <t>Mai</t>
        </is>
      </c>
    </row>
    <row r="7">
      <c r="B7" s="9" t="inlineStr">
        <is>
          <t>Commercial</t>
        </is>
      </c>
      <c r="C7" s="9" t="inlineStr">
        <is>
          <t>Chef Comptable</t>
        </is>
      </c>
      <c r="D7" s="9" t="inlineStr">
        <is>
          <t>Contrat projet</t>
        </is>
      </c>
      <c r="F7" s="9" t="inlineStr">
        <is>
          <t>Rupture amiable</t>
        </is>
      </c>
      <c r="G7" s="9" t="inlineStr">
        <is>
          <t>Ivresse au travail</t>
        </is>
      </c>
      <c r="H7" s="9" t="inlineStr">
        <is>
          <t>Licenciement faute lourde</t>
        </is>
      </c>
      <c r="I7" s="9" t="inlineStr">
        <is>
          <t>ONRT</t>
        </is>
      </c>
      <c r="J7" s="9" t="inlineStr">
        <is>
          <t>Formation professionnelle</t>
        </is>
      </c>
      <c r="L7" s="9" t="inlineStr">
        <is>
          <t>Loi</t>
        </is>
      </c>
      <c r="M7" s="9" t="inlineStr">
        <is>
          <t>Conges payes</t>
        </is>
      </c>
      <c r="P7" s="9" t="inlineStr">
        <is>
          <t>Discrimination</t>
        </is>
      </c>
      <c r="Q7" s="9" t="inlineStr">
        <is>
          <t>Perdu</t>
        </is>
      </c>
      <c r="R7" s="9" t="inlineStr">
        <is>
          <t>Procedure recrutement</t>
        </is>
      </c>
      <c r="U7" s="9" t="inlineStr">
        <is>
          <t>Juin</t>
        </is>
      </c>
    </row>
    <row r="8">
      <c r="B8" s="9" t="inlineStr">
        <is>
          <t>Logistique &amp; Approvisionnement</t>
        </is>
      </c>
      <c r="C8" s="9" t="inlineStr">
        <is>
          <t>Chef Marketing</t>
        </is>
      </c>
      <c r="F8" s="9" t="inlineStr">
        <is>
          <t>Autre</t>
        </is>
      </c>
      <c r="G8" s="9" t="inlineStr">
        <is>
          <t>Non respect reglement</t>
        </is>
      </c>
      <c r="H8" s="9" t="inlineStr">
        <is>
          <t>Rappel a l'ordre</t>
        </is>
      </c>
      <c r="I8" s="9" t="inlineStr">
        <is>
          <t>Fonds de garantie</t>
        </is>
      </c>
      <c r="J8" s="9" t="inlineStr">
        <is>
          <t>Impot sur salaires</t>
        </is>
      </c>
      <c r="L8" s="9" t="inlineStr">
        <is>
          <t>Reglement interieur</t>
        </is>
      </c>
      <c r="M8" s="9" t="inlineStr">
        <is>
          <t>Licenciement</t>
        </is>
      </c>
      <c r="P8" s="9" t="inlineStr">
        <is>
          <t>Accident travail</t>
        </is>
      </c>
      <c r="Q8" s="9" t="inlineStr">
        <is>
          <t>Gagne</t>
        </is>
      </c>
      <c r="R8" s="9" t="inlineStr">
        <is>
          <t>Politique hygiene securite</t>
        </is>
      </c>
      <c r="U8" s="9" t="inlineStr">
        <is>
          <t>Juillet</t>
        </is>
      </c>
    </row>
    <row r="9">
      <c r="B9" s="9" t="inlineStr">
        <is>
          <t>Cuisine &amp; Restauration</t>
        </is>
      </c>
      <c r="C9" s="9" t="inlineStr">
        <is>
          <t>Chef de service IT</t>
        </is>
      </c>
      <c r="G9" s="9" t="inlineStr">
        <is>
          <t>Faute lourde</t>
        </is>
      </c>
      <c r="M9" s="9" t="inlineStr">
        <is>
          <t>Discipline</t>
        </is>
      </c>
      <c r="P9" s="9" t="inlineStr">
        <is>
          <t>Autre</t>
        </is>
      </c>
      <c r="Q9" s="9" t="inlineStr">
        <is>
          <t>Abandonne</t>
        </is>
      </c>
      <c r="R9" s="9" t="inlineStr">
        <is>
          <t>Politique diversite</t>
        </is>
      </c>
      <c r="U9" s="9" t="inlineStr">
        <is>
          <t>Aout</t>
        </is>
      </c>
    </row>
    <row r="10">
      <c r="B10" s="9" t="inlineStr">
        <is>
          <t>Réception &amp; Front Office</t>
        </is>
      </c>
      <c r="C10" s="9" t="inlineStr">
        <is>
          <t>Technicien IT</t>
        </is>
      </c>
      <c r="G10" s="9" t="inlineStr">
        <is>
          <t>Negligence</t>
        </is>
      </c>
      <c r="M10" s="9" t="inlineStr">
        <is>
          <t>Formation</t>
        </is>
      </c>
      <c r="U10" s="9" t="inlineStr">
        <is>
          <t>Septembre</t>
        </is>
      </c>
    </row>
    <row r="11">
      <c r="B11" s="9" t="inlineStr">
        <is>
          <t>Sécurité</t>
        </is>
      </c>
      <c r="C11" s="9" t="inlineStr">
        <is>
          <t>Chef Commercial</t>
        </is>
      </c>
      <c r="G11" s="9" t="inlineStr">
        <is>
          <t>Conduite dangereuse</t>
        </is>
      </c>
      <c r="M11" s="9" t="inlineStr">
        <is>
          <t>Egalite professionnelle</t>
        </is>
      </c>
      <c r="U11" s="9" t="inlineStr">
        <is>
          <t>Octobre</t>
        </is>
      </c>
    </row>
    <row r="12">
      <c r="B12" s="9" t="inlineStr">
        <is>
          <t>Étage &amp; Housekeeping</t>
        </is>
      </c>
      <c r="C12" s="9" t="inlineStr">
        <is>
          <t>Agent Commercial</t>
        </is>
      </c>
      <c r="U12" s="9" t="inlineStr">
        <is>
          <t>Novembre</t>
        </is>
      </c>
    </row>
    <row r="13">
      <c r="B13" s="9" t="n"/>
      <c r="C13" s="9" t="inlineStr">
        <is>
          <t>Chef Logistique</t>
        </is>
      </c>
      <c r="U13" s="9" t="inlineStr">
        <is>
          <t>Decembre</t>
        </is>
      </c>
    </row>
    <row r="14">
      <c r="B14" s="9" t="n"/>
      <c r="C14" s="9" t="inlineStr">
        <is>
          <t>Magasinier</t>
        </is>
      </c>
    </row>
    <row r="15">
      <c r="C15" s="9" t="inlineStr">
        <is>
          <t>Chef Reception</t>
        </is>
      </c>
    </row>
    <row r="16">
      <c r="C16" s="9" t="inlineStr">
        <is>
          <t>Receptionniste</t>
        </is>
      </c>
    </row>
    <row r="17">
      <c r="C17" s="9" t="inlineStr">
        <is>
          <t>Concierge</t>
        </is>
      </c>
    </row>
    <row r="18">
      <c r="C18" s="9" t="inlineStr">
        <is>
          <t>Chef Cuisine</t>
        </is>
      </c>
    </row>
    <row r="19">
      <c r="C19" s="9" t="inlineStr">
        <is>
          <t>Sous-Chef</t>
        </is>
      </c>
    </row>
    <row r="20">
      <c r="C20" s="9" t="inlineStr">
        <is>
          <t>Cuisinier</t>
        </is>
      </c>
    </row>
    <row r="21">
      <c r="C21" s="9" t="inlineStr">
        <is>
          <t>Plongeur</t>
        </is>
      </c>
    </row>
    <row r="22">
      <c r="C22" s="9" t="inlineStr">
        <is>
          <t>Chef Entretien</t>
        </is>
      </c>
    </row>
    <row r="23">
      <c r="C23" s="9" t="inlineStr">
        <is>
          <t>Agent Entretien</t>
        </is>
      </c>
    </row>
    <row r="24">
      <c r="C24" s="9" t="inlineStr">
        <is>
          <t>Chef Securite</t>
        </is>
      </c>
    </row>
    <row r="25">
      <c r="C25" s="9" t="inlineStr">
        <is>
          <t>Agent Securite</t>
        </is>
      </c>
    </row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32" customWidth="1" min="4" max="4"/>
    <col width="28" customWidth="1" min="5" max="5"/>
    <col width="22" customWidth="1" min="6" max="6"/>
    <col width="24" customWidth="1" min="7" max="7"/>
    <col width="36" customWidth="1" min="8" max="8"/>
    <col width="20" customWidth="1" min="9" max="9"/>
    <col width="14" customWidth="1" min="10" max="10"/>
    <col width="34" customWidth="1" min="11" max="11"/>
  </cols>
  <sheetData>
    <row r="1" ht="15" customHeight="1"/>
    <row r="2" ht="32" customHeight="1">
      <c r="B2" s="1" t="inlineStr">
        <is>
          <t>REGISTRE CONFORMITE JURIDIQUE (#117)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Domaine Legal</t>
        </is>
      </c>
      <c r="D4" s="10" t="inlineStr">
        <is>
          <t>Exigence Reglementaire</t>
        </is>
      </c>
      <c r="E4" s="10" t="inlineStr">
        <is>
          <t>Reference Texte</t>
        </is>
      </c>
      <c r="F4" s="10" t="inlineStr">
        <is>
          <t>Statut Conformite</t>
        </is>
      </c>
      <c r="G4" s="10" t="inlineStr">
        <is>
          <t>Gravite Non-Conformite</t>
        </is>
      </c>
      <c r="H4" s="10" t="inlineStr">
        <is>
          <t>Action Corrective</t>
        </is>
      </c>
      <c r="I4" s="10" t="inlineStr">
        <is>
          <t>Responsable</t>
        </is>
      </c>
      <c r="J4" s="10" t="inlineStr">
        <is>
          <t>Echeance</t>
        </is>
      </c>
      <c r="K4" s="10" t="inlineStr">
        <is>
          <t>Observations</t>
        </is>
      </c>
    </row>
    <row r="5" ht="22" customHeight="1">
      <c r="B5" s="11" t="inlineStr">
        <is>
          <t>CON-001</t>
        </is>
      </c>
      <c r="C5" s="11" t="inlineStr">
        <is>
          <t>Contrat de travail</t>
        </is>
      </c>
      <c r="D5" s="11" t="inlineStr">
        <is>
          <t>Contrat ecrit pour tout employe</t>
        </is>
      </c>
      <c r="E5" s="11" t="inlineStr">
        <is>
          <t>Code du travail Art. 23</t>
        </is>
      </c>
      <c r="F5" s="11" t="inlineStr">
        <is>
          <t>Conforme</t>
        </is>
      </c>
      <c r="G5" s="11" t="inlineStr"/>
      <c r="H5" s="11" t="inlineStr"/>
      <c r="I5" s="11" t="inlineStr">
        <is>
          <t>DRH Fotso M.</t>
        </is>
      </c>
      <c r="J5" s="26" t="n"/>
      <c r="K5" s="11" t="inlineStr">
        <is>
          <t>Tous les contrats a jour</t>
        </is>
      </c>
    </row>
    <row r="6" ht="22" customHeight="1">
      <c r="B6" s="13" t="inlineStr">
        <is>
          <t>CON-002</t>
        </is>
      </c>
      <c r="C6" s="13" t="inlineStr">
        <is>
          <t>Securite sociale</t>
        </is>
      </c>
      <c r="D6" s="13" t="inlineStr">
        <is>
          <t>Affiliation CNPS sous 8 jours</t>
        </is>
      </c>
      <c r="E6" s="13" t="inlineStr">
        <is>
          <t>Code CSS Art. 12</t>
        </is>
      </c>
      <c r="F6" s="13" t="inlineStr">
        <is>
          <t>Non conforme</t>
        </is>
      </c>
      <c r="G6" s="13" t="inlineStr">
        <is>
          <t>Majeure</t>
        </is>
      </c>
      <c r="H6" s="13" t="inlineStr">
        <is>
          <t>Regulariser les 3 dossiers en attente</t>
        </is>
      </c>
      <c r="I6" s="13" t="inlineStr">
        <is>
          <t>Assistante RH Ngo M.</t>
        </is>
      </c>
      <c r="J6" s="27" t="n">
        <v>45853</v>
      </c>
      <c r="K6" s="13" t="inlineStr">
        <is>
          <t>3 nouveaux employes non affilie</t>
        </is>
      </c>
    </row>
    <row r="7" ht="22" customHeight="1">
      <c r="B7" s="11" t="inlineStr">
        <is>
          <t>CON-003</t>
        </is>
      </c>
      <c r="C7" s="11" t="inlineStr">
        <is>
          <t>Hygiene securite</t>
        </is>
      </c>
      <c r="D7" s="11" t="inlineStr">
        <is>
          <t xml:space="preserve"> Registre SST tenu a jour</t>
        </is>
      </c>
      <c r="E7" s="11" t="inlineStr">
        <is>
          <t>Code du travail Art. 95</t>
        </is>
      </c>
      <c r="F7" s="11" t="inlineStr">
        <is>
          <t>Conforme</t>
        </is>
      </c>
      <c r="G7" s="11" t="inlineStr"/>
      <c r="H7" s="11" t="inlineStr"/>
      <c r="I7" s="11" t="inlineStr">
        <is>
          <t>Chef Securite Nganmeni J.</t>
        </is>
      </c>
      <c r="J7" s="26" t="n"/>
      <c r="K7" s="11" t="inlineStr">
        <is>
          <t>Registre a jour, dernier controle OK</t>
        </is>
      </c>
    </row>
    <row r="8" ht="22" customHeight="1">
      <c r="B8" s="13" t="inlineStr">
        <is>
          <t>CON-004</t>
        </is>
      </c>
      <c r="C8" s="13" t="inlineStr">
        <is>
          <t>Conditions travail</t>
        </is>
      </c>
      <c r="D8" s="13" t="inlineStr">
        <is>
          <t>Duree max 40h/semaine</t>
        </is>
      </c>
      <c r="E8" s="13" t="inlineStr">
        <is>
          <t>Code du travail Art. 45</t>
        </is>
      </c>
      <c r="F8" s="13" t="inlineStr">
        <is>
          <t>Partiellement conforme</t>
        </is>
      </c>
      <c r="G8" s="13" t="inlineStr">
        <is>
          <t>Moyenne</t>
        </is>
      </c>
      <c r="H8" s="13" t="inlineStr">
        <is>
          <t>Verifier heures supp. cuisine et entretien</t>
        </is>
      </c>
      <c r="I8" s="13" t="inlineStr">
        <is>
          <t>DRH Fotso M.</t>
        </is>
      </c>
      <c r="J8" s="27" t="n">
        <v>45868</v>
      </c>
      <c r="K8" s="13" t="inlineStr">
        <is>
          <t>Depassement ponctuel en cuisine</t>
        </is>
      </c>
    </row>
    <row r="9" ht="22" customHeight="1">
      <c r="B9" s="11" t="inlineStr">
        <is>
          <t>CON-005</t>
        </is>
      </c>
      <c r="C9" s="11" t="inlineStr">
        <is>
          <t>Discipline</t>
        </is>
      </c>
      <c r="D9" s="11" t="inlineStr">
        <is>
          <t>Procedure disciplinaire respectee</t>
        </is>
      </c>
      <c r="E9" s="11" t="inlineStr">
        <is>
          <t>Code du travail Art. 38</t>
        </is>
      </c>
      <c r="F9" s="11" t="inlineStr">
        <is>
          <t>Conforme</t>
        </is>
      </c>
      <c r="G9" s="11" t="inlineStr"/>
      <c r="H9" s="11" t="inlineStr"/>
      <c r="I9" s="11" t="inlineStr">
        <is>
          <t>DRH Fotso M.</t>
        </is>
      </c>
      <c r="J9" s="26" t="n"/>
      <c r="K9" s="11" t="inlineStr">
        <is>
          <t>Procedure en 3 etapes toujours respectee</t>
        </is>
      </c>
    </row>
    <row r="10" ht="22" customHeight="1">
      <c r="B10" s="15">
        <f>IF(C10="","CON-"&amp;TEXT(COUNTA($C$5:C10),"000"))</f>
        <v/>
      </c>
      <c r="C10" s="13" t="n"/>
      <c r="D10" s="13" t="n"/>
      <c r="E10" s="13" t="n"/>
      <c r="F10" s="13" t="n"/>
      <c r="G10" s="13" t="n"/>
      <c r="H10" s="13" t="n"/>
      <c r="I10" s="13" t="n"/>
      <c r="J10" s="27" t="n"/>
      <c r="K10" s="13" t="n"/>
    </row>
    <row r="11" ht="22" customHeight="1">
      <c r="B11" s="16">
        <f>IF(C11="","CON-"&amp;TEXT(COUNTA($C$5:C11),"000"))</f>
        <v/>
      </c>
      <c r="C11" s="11" t="n"/>
      <c r="D11" s="11" t="n"/>
      <c r="E11" s="11" t="n"/>
      <c r="F11" s="11" t="n"/>
      <c r="G11" s="11" t="n"/>
      <c r="H11" s="11" t="n"/>
      <c r="I11" s="11" t="n"/>
      <c r="J11" s="26" t="n"/>
      <c r="K11" s="11" t="n"/>
    </row>
    <row r="12" ht="22" customHeight="1">
      <c r="B12" s="15">
        <f>IF(C12="","CON-"&amp;TEXT(COUNTA($C$5:C12),"000"))</f>
        <v/>
      </c>
      <c r="C12" s="13" t="n"/>
      <c r="D12" s="13" t="n"/>
      <c r="E12" s="13" t="n"/>
      <c r="F12" s="13" t="n"/>
      <c r="G12" s="13" t="n"/>
      <c r="H12" s="13" t="n"/>
      <c r="I12" s="13" t="n"/>
      <c r="J12" s="27" t="n"/>
      <c r="K12" s="13" t="n"/>
    </row>
    <row r="13" ht="22" customHeight="1">
      <c r="B13" s="16">
        <f>IF(C13="","CON-"&amp;TEXT(COUNTA($C$5:C13),"000"))</f>
        <v/>
      </c>
      <c r="C13" s="11" t="n"/>
      <c r="D13" s="11" t="n"/>
      <c r="E13" s="11" t="n"/>
      <c r="F13" s="11" t="n"/>
      <c r="G13" s="11" t="n"/>
      <c r="H13" s="11" t="n"/>
      <c r="I13" s="11" t="n"/>
      <c r="J13" s="26" t="n"/>
      <c r="K13" s="11" t="n"/>
    </row>
    <row r="14" ht="22" customHeight="1">
      <c r="B14" s="15">
        <f>IF(C14="","CON-"&amp;TEXT(COUNTA($C$5:C14),"000"))</f>
        <v/>
      </c>
      <c r="C14" s="13" t="n"/>
      <c r="D14" s="13" t="n"/>
      <c r="E14" s="13" t="n"/>
      <c r="F14" s="13" t="n"/>
      <c r="G14" s="13" t="n"/>
      <c r="H14" s="13" t="n"/>
      <c r="I14" s="13" t="n"/>
      <c r="J14" s="27" t="n"/>
      <c r="K14" s="13" t="n"/>
    </row>
    <row r="15" ht="22" customHeight="1">
      <c r="B15" s="16">
        <f>IF(C15="","CON-"&amp;TEXT(COUNTA($C$5:C15),"000"))</f>
        <v/>
      </c>
      <c r="C15" s="11" t="n"/>
      <c r="D15" s="11" t="n"/>
      <c r="E15" s="11" t="n"/>
      <c r="F15" s="11" t="n"/>
      <c r="G15" s="11" t="n"/>
      <c r="H15" s="11" t="n"/>
      <c r="I15" s="11" t="n"/>
      <c r="J15" s="26" t="n"/>
      <c r="K15" s="11" t="n"/>
    </row>
    <row r="16" ht="22" customHeight="1">
      <c r="B16" s="15">
        <f>IF(C16="","CON-"&amp;TEXT(COUNTA($C$5:C16),"000"))</f>
        <v/>
      </c>
      <c r="C16" s="13" t="n"/>
      <c r="D16" s="13" t="n"/>
      <c r="E16" s="13" t="n"/>
      <c r="F16" s="13" t="n"/>
      <c r="G16" s="13" t="n"/>
      <c r="H16" s="13" t="n"/>
      <c r="I16" s="13" t="n"/>
      <c r="J16" s="27" t="n"/>
      <c r="K16" s="13" t="n"/>
    </row>
    <row r="17" ht="22" customHeight="1">
      <c r="B17" s="16">
        <f>IF(C17="","CON-"&amp;TEXT(COUNTA($C$5:C17),"000"))</f>
        <v/>
      </c>
      <c r="C17" s="11" t="n"/>
      <c r="D17" s="11" t="n"/>
      <c r="E17" s="11" t="n"/>
      <c r="F17" s="11" t="n"/>
      <c r="G17" s="11" t="n"/>
      <c r="H17" s="11" t="n"/>
      <c r="I17" s="11" t="n"/>
      <c r="J17" s="26" t="n"/>
      <c r="K17" s="11" t="n"/>
    </row>
    <row r="18" ht="22" customHeight="1">
      <c r="B18" s="15">
        <f>IF(C18="","CON-"&amp;TEXT(COUNTA($C$5:C18),"000"))</f>
        <v/>
      </c>
      <c r="C18" s="13" t="n"/>
      <c r="D18" s="13" t="n"/>
      <c r="E18" s="13" t="n"/>
      <c r="F18" s="13" t="n"/>
      <c r="G18" s="13" t="n"/>
      <c r="H18" s="13" t="n"/>
      <c r="I18" s="13" t="n"/>
      <c r="J18" s="27" t="n"/>
      <c r="K18" s="13" t="n"/>
    </row>
    <row r="19" ht="22" customHeight="1">
      <c r="B19" s="16">
        <f>IF(C19="","CON-"&amp;TEXT(COUNTA($C$5:C19),"000"))</f>
        <v/>
      </c>
      <c r="C19" s="11" t="n"/>
      <c r="D19" s="11" t="n"/>
      <c r="E19" s="11" t="n"/>
      <c r="F19" s="11" t="n"/>
      <c r="G19" s="11" t="n"/>
      <c r="H19" s="11" t="n"/>
      <c r="I19" s="11" t="n"/>
      <c r="J19" s="26" t="n"/>
      <c r="K19" s="11" t="n"/>
    </row>
    <row r="20" ht="22" customHeight="1">
      <c r="B20" s="15">
        <f>IF(C20="","CON-"&amp;TEXT(COUNTA($C$5:C20),"000"))</f>
        <v/>
      </c>
      <c r="C20" s="13" t="n"/>
      <c r="D20" s="13" t="n"/>
      <c r="E20" s="13" t="n"/>
      <c r="F20" s="13" t="n"/>
      <c r="G20" s="13" t="n"/>
      <c r="H20" s="13" t="n"/>
      <c r="I20" s="13" t="n"/>
      <c r="J20" s="27" t="n"/>
      <c r="K20" s="13" t="n"/>
    </row>
    <row r="21" ht="22" customHeight="1">
      <c r="B21" s="16">
        <f>IF(C21="","CON-"&amp;TEXT(COUNTA($C$5:C21),"000"))</f>
        <v/>
      </c>
      <c r="C21" s="11" t="n"/>
      <c r="D21" s="11" t="n"/>
      <c r="E21" s="11" t="n"/>
      <c r="F21" s="11" t="n"/>
      <c r="G21" s="11" t="n"/>
      <c r="H21" s="11" t="n"/>
      <c r="I21" s="11" t="n"/>
      <c r="J21" s="26" t="n"/>
      <c r="K21" s="11" t="n"/>
    </row>
    <row r="22" ht="22" customHeight="1">
      <c r="B22" s="15">
        <f>IF(C22="","CON-"&amp;TEXT(COUNTA($C$5:C22),"000"))</f>
        <v/>
      </c>
      <c r="C22" s="13" t="n"/>
      <c r="D22" s="13" t="n"/>
      <c r="E22" s="13" t="n"/>
      <c r="F22" s="13" t="n"/>
      <c r="G22" s="13" t="n"/>
      <c r="H22" s="13" t="n"/>
      <c r="I22" s="13" t="n"/>
      <c r="J22" s="27" t="n"/>
      <c r="K22" s="13" t="n"/>
    </row>
    <row r="23" ht="22" customHeight="1">
      <c r="B23" s="16">
        <f>IF(C23="","CON-"&amp;TEXT(COUNTA($C$5:C23),"000"))</f>
        <v/>
      </c>
      <c r="C23" s="11" t="n"/>
      <c r="D23" s="11" t="n"/>
      <c r="E23" s="11" t="n"/>
      <c r="F23" s="11" t="n"/>
      <c r="G23" s="11" t="n"/>
      <c r="H23" s="11" t="n"/>
      <c r="I23" s="11" t="n"/>
      <c r="J23" s="26" t="n"/>
      <c r="K23" s="11" t="n"/>
    </row>
    <row r="24" ht="22" customHeight="1">
      <c r="B24" s="15">
        <f>IF(C24="","CON-"&amp;TEXT(COUNTA($C$5:C24),"000"))</f>
        <v/>
      </c>
      <c r="C24" s="13" t="n"/>
      <c r="D24" s="13" t="n"/>
      <c r="E24" s="13" t="n"/>
      <c r="F24" s="13" t="n"/>
      <c r="G24" s="13" t="n"/>
      <c r="H24" s="13" t="n"/>
      <c r="I24" s="13" t="n"/>
      <c r="J24" s="27" t="n"/>
      <c r="K24" s="13" t="n"/>
    </row>
    <row r="25" ht="22" customHeight="1">
      <c r="B25" s="16">
        <f>IF(C25="","CON-"&amp;TEXT(COUNTA($C$5:C25),"000"))</f>
        <v/>
      </c>
      <c r="C25" s="11" t="n"/>
      <c r="D25" s="11" t="n"/>
      <c r="E25" s="11" t="n"/>
      <c r="F25" s="11" t="n"/>
      <c r="G25" s="11" t="n"/>
      <c r="H25" s="11" t="n"/>
      <c r="I25" s="11" t="n"/>
      <c r="J25" s="26" t="n"/>
      <c r="K25" s="11" t="n"/>
    </row>
    <row r="26" ht="22" customHeight="1">
      <c r="B26" s="15">
        <f>IF(C26="","CON-"&amp;TEXT(COUNTA($C$5:C26),"000"))</f>
        <v/>
      </c>
      <c r="C26" s="13" t="n"/>
      <c r="D26" s="13" t="n"/>
      <c r="E26" s="13" t="n"/>
      <c r="F26" s="13" t="n"/>
      <c r="G26" s="13" t="n"/>
      <c r="H26" s="13" t="n"/>
      <c r="I26" s="13" t="n"/>
      <c r="J26" s="27" t="n"/>
      <c r="K26" s="13" t="n"/>
    </row>
    <row r="27" ht="22" customHeight="1">
      <c r="B27" s="16">
        <f>IF(C27="","CON-"&amp;TEXT(COUNTA($C$5:C27),"000"))</f>
        <v/>
      </c>
      <c r="C27" s="11" t="n"/>
      <c r="D27" s="11" t="n"/>
      <c r="E27" s="11" t="n"/>
      <c r="F27" s="11" t="n"/>
      <c r="G27" s="11" t="n"/>
      <c r="H27" s="11" t="n"/>
      <c r="I27" s="11" t="n"/>
      <c r="J27" s="26" t="n"/>
      <c r="K27" s="11" t="n"/>
    </row>
    <row r="28" ht="22" customHeight="1">
      <c r="B28" s="15">
        <f>IF(C28="","CON-"&amp;TEXT(COUNTA($C$5:C28),"000"))</f>
        <v/>
      </c>
      <c r="C28" s="13" t="n"/>
      <c r="D28" s="13" t="n"/>
      <c r="E28" s="13" t="n"/>
      <c r="F28" s="13" t="n"/>
      <c r="G28" s="13" t="n"/>
      <c r="H28" s="13" t="n"/>
      <c r="I28" s="13" t="n"/>
      <c r="J28" s="27" t="n"/>
      <c r="K28" s="13" t="n"/>
    </row>
    <row r="29" ht="22" customHeight="1">
      <c r="B29" s="16">
        <f>IF(C29="","CON-"&amp;TEXT(COUNTA($C$5:C29),"000"))</f>
        <v/>
      </c>
      <c r="C29" s="11" t="n"/>
      <c r="D29" s="11" t="n"/>
      <c r="E29" s="11" t="n"/>
      <c r="F29" s="11" t="n"/>
      <c r="G29" s="11" t="n"/>
      <c r="H29" s="11" t="n"/>
      <c r="I29" s="11" t="n"/>
      <c r="J29" s="26" t="n"/>
      <c r="K29" s="11" t="n"/>
    </row>
    <row r="30" ht="22" customHeight="1">
      <c r="B30" s="15">
        <f>IF(C30="","CON-"&amp;TEXT(COUNTA($C$5:C30),"000"))</f>
        <v/>
      </c>
      <c r="C30" s="13" t="n"/>
      <c r="D30" s="13" t="n"/>
      <c r="E30" s="13" t="n"/>
      <c r="F30" s="13" t="n"/>
      <c r="G30" s="13" t="n"/>
      <c r="H30" s="13" t="n"/>
      <c r="I30" s="13" t="n"/>
      <c r="J30" s="27" t="n"/>
      <c r="K30" s="13" t="n"/>
    </row>
    <row r="31" ht="22" customHeight="1">
      <c r="B31" s="16">
        <f>IF(C31="","CON-"&amp;TEXT(COUNTA($C$5:C31),"000"))</f>
        <v/>
      </c>
      <c r="C31" s="11" t="n"/>
      <c r="D31" s="11" t="n"/>
      <c r="E31" s="11" t="n"/>
      <c r="F31" s="11" t="n"/>
      <c r="G31" s="11" t="n"/>
      <c r="H31" s="11" t="n"/>
      <c r="I31" s="11" t="n"/>
      <c r="J31" s="26" t="n"/>
      <c r="K31" s="11" t="n"/>
    </row>
    <row r="32" ht="22" customHeight="1">
      <c r="B32" s="15">
        <f>IF(C32="","CON-"&amp;TEXT(COUNTA($C$5:C32),"000"))</f>
        <v/>
      </c>
      <c r="C32" s="13" t="n"/>
      <c r="D32" s="13" t="n"/>
      <c r="E32" s="13" t="n"/>
      <c r="F32" s="13" t="n"/>
      <c r="G32" s="13" t="n"/>
      <c r="H32" s="13" t="n"/>
      <c r="I32" s="13" t="n"/>
      <c r="J32" s="27" t="n"/>
      <c r="K32" s="13" t="n"/>
    </row>
    <row r="33" ht="22" customHeight="1">
      <c r="B33" s="16">
        <f>IF(C33="","CON-"&amp;TEXT(COUNTA($C$5:C33),"000"))</f>
        <v/>
      </c>
      <c r="C33" s="11" t="n"/>
      <c r="D33" s="11" t="n"/>
      <c r="E33" s="11" t="n"/>
      <c r="F33" s="11" t="n"/>
      <c r="G33" s="11" t="n"/>
      <c r="H33" s="11" t="n"/>
      <c r="I33" s="11" t="n"/>
      <c r="J33" s="26" t="n"/>
      <c r="K33" s="11" t="n"/>
    </row>
    <row r="34" ht="22" customHeight="1">
      <c r="B34" s="15">
        <f>IF(C34="","CON-"&amp;TEXT(COUNTA($C$5:C34),"000"))</f>
        <v/>
      </c>
      <c r="C34" s="13" t="n"/>
      <c r="D34" s="13" t="n"/>
      <c r="E34" s="13" t="n"/>
      <c r="F34" s="13" t="n"/>
      <c r="G34" s="13" t="n"/>
      <c r="H34" s="13" t="n"/>
      <c r="I34" s="13" t="n"/>
      <c r="J34" s="27" t="n"/>
      <c r="K34" s="13" t="n"/>
    </row>
    <row r="35" ht="22" customHeight="1">
      <c r="B35" s="16">
        <f>IF(C35="","CON-"&amp;TEXT(COUNTA($C$5:C35),"000"))</f>
        <v/>
      </c>
      <c r="C35" s="11" t="n"/>
      <c r="D35" s="11" t="n"/>
      <c r="E35" s="11" t="n"/>
      <c r="F35" s="11" t="n"/>
      <c r="G35" s="11" t="n"/>
      <c r="H35" s="11" t="n"/>
      <c r="I35" s="11" t="n"/>
      <c r="J35" s="26" t="n"/>
      <c r="K35" s="11" t="n"/>
    </row>
    <row r="36" ht="22" customHeight="1">
      <c r="B36" s="15">
        <f>IF(C36="","CON-"&amp;TEXT(COUNTA($C$5:C36),"000"))</f>
        <v/>
      </c>
      <c r="C36" s="13" t="n"/>
      <c r="D36" s="13" t="n"/>
      <c r="E36" s="13" t="n"/>
      <c r="F36" s="13" t="n"/>
      <c r="G36" s="13" t="n"/>
      <c r="H36" s="13" t="n"/>
      <c r="I36" s="13" t="n"/>
      <c r="J36" s="27" t="n"/>
      <c r="K36" s="13" t="n"/>
    </row>
    <row r="37" ht="22" customHeight="1">
      <c r="B37" s="16">
        <f>IF(C37="","CON-"&amp;TEXT(COUNTA($C$5:C37),"000"))</f>
        <v/>
      </c>
      <c r="C37" s="11" t="n"/>
      <c r="D37" s="11" t="n"/>
      <c r="E37" s="11" t="n"/>
      <c r="F37" s="11" t="n"/>
      <c r="G37" s="11" t="n"/>
      <c r="H37" s="11" t="n"/>
      <c r="I37" s="11" t="n"/>
      <c r="J37" s="26" t="n"/>
      <c r="K37" s="11" t="n"/>
    </row>
    <row r="38" ht="22" customHeight="1">
      <c r="B38" s="15">
        <f>IF(C38="","CON-"&amp;TEXT(COUNTA($C$5:C38),"000"))</f>
        <v/>
      </c>
      <c r="C38" s="13" t="n"/>
      <c r="D38" s="13" t="n"/>
      <c r="E38" s="13" t="n"/>
      <c r="F38" s="13" t="n"/>
      <c r="G38" s="13" t="n"/>
      <c r="H38" s="13" t="n"/>
      <c r="I38" s="13" t="n"/>
      <c r="J38" s="27" t="n"/>
      <c r="K38" s="13" t="n"/>
    </row>
    <row r="39" ht="22" customHeight="1">
      <c r="B39" s="16">
        <f>IF(C39="","CON-"&amp;TEXT(COUNTA($C$5:C39),"000"))</f>
        <v/>
      </c>
      <c r="C39" s="11" t="n"/>
      <c r="D39" s="11" t="n"/>
      <c r="E39" s="11" t="n"/>
      <c r="F39" s="11" t="n"/>
      <c r="G39" s="11" t="n"/>
      <c r="H39" s="11" t="n"/>
      <c r="I39" s="11" t="n"/>
      <c r="J39" s="26" t="n"/>
      <c r="K39" s="11" t="n"/>
    </row>
    <row r="40" ht="22" customHeight="1">
      <c r="B40" s="15">
        <f>IF(C40="","CON-"&amp;TEXT(COUNTA($C$5:C40),"000"))</f>
        <v/>
      </c>
      <c r="C40" s="13" t="n"/>
      <c r="D40" s="13" t="n"/>
      <c r="E40" s="13" t="n"/>
      <c r="F40" s="13" t="n"/>
      <c r="G40" s="13" t="n"/>
      <c r="H40" s="13" t="n"/>
      <c r="I40" s="13" t="n"/>
      <c r="J40" s="27" t="n"/>
      <c r="K40" s="13" t="n"/>
    </row>
    <row r="41" ht="22" customHeight="1">
      <c r="B41" s="16">
        <f>IF(C41="","CON-"&amp;TEXT(COUNTA($C$5:C41),"000"))</f>
        <v/>
      </c>
      <c r="C41" s="11" t="n"/>
      <c r="D41" s="11" t="n"/>
      <c r="E41" s="11" t="n"/>
      <c r="F41" s="11" t="n"/>
      <c r="G41" s="11" t="n"/>
      <c r="H41" s="11" t="n"/>
      <c r="I41" s="11" t="n"/>
      <c r="J41" s="26" t="n"/>
      <c r="K41" s="11" t="n"/>
    </row>
    <row r="42" ht="22" customHeight="1">
      <c r="B42" s="15">
        <f>IF(C42="","CON-"&amp;TEXT(COUNTA($C$5:C42),"000"))</f>
        <v/>
      </c>
      <c r="C42" s="13" t="n"/>
      <c r="D42" s="13" t="n"/>
      <c r="E42" s="13" t="n"/>
      <c r="F42" s="13" t="n"/>
      <c r="G42" s="13" t="n"/>
      <c r="H42" s="13" t="n"/>
      <c r="I42" s="13" t="n"/>
      <c r="J42" s="27" t="n"/>
      <c r="K42" s="13" t="n"/>
    </row>
    <row r="43" ht="22" customHeight="1">
      <c r="B43" s="16">
        <f>IF(C43="","CON-"&amp;TEXT(COUNTA($C$5:C43),"000"))</f>
        <v/>
      </c>
      <c r="C43" s="11" t="n"/>
      <c r="D43" s="11" t="n"/>
      <c r="E43" s="11" t="n"/>
      <c r="F43" s="11" t="n"/>
      <c r="G43" s="11" t="n"/>
      <c r="H43" s="11" t="n"/>
      <c r="I43" s="11" t="n"/>
      <c r="J43" s="26" t="n"/>
      <c r="K43" s="11" t="n"/>
    </row>
    <row r="44" ht="22" customHeight="1">
      <c r="B44" s="15">
        <f>IF(C44="","CON-"&amp;TEXT(COUNTA($C$5:C44),"000"))</f>
        <v/>
      </c>
      <c r="C44" s="13" t="n"/>
      <c r="D44" s="13" t="n"/>
      <c r="E44" s="13" t="n"/>
      <c r="F44" s="13" t="n"/>
      <c r="G44" s="13" t="n"/>
      <c r="H44" s="13" t="n"/>
      <c r="I44" s="13" t="n"/>
      <c r="J44" s="27" t="n"/>
      <c r="K44" s="13" t="n"/>
    </row>
    <row r="45" ht="22" customHeight="1">
      <c r="B45" s="16">
        <f>IF(C45="","CON-"&amp;TEXT(COUNTA($C$5:C45),"000"))</f>
        <v/>
      </c>
      <c r="C45" s="11" t="n"/>
      <c r="D45" s="11" t="n"/>
      <c r="E45" s="11" t="n"/>
      <c r="F45" s="11" t="n"/>
      <c r="G45" s="11" t="n"/>
      <c r="H45" s="11" t="n"/>
      <c r="I45" s="11" t="n"/>
      <c r="J45" s="26" t="n"/>
      <c r="K45" s="11" t="n"/>
    </row>
    <row r="46" ht="22" customHeight="1">
      <c r="B46" s="15">
        <f>IF(C46="","CON-"&amp;TEXT(COUNTA($C$5:C46),"000"))</f>
        <v/>
      </c>
      <c r="C46" s="13" t="n"/>
      <c r="D46" s="13" t="n"/>
      <c r="E46" s="13" t="n"/>
      <c r="F46" s="13" t="n"/>
      <c r="G46" s="13" t="n"/>
      <c r="H46" s="13" t="n"/>
      <c r="I46" s="13" t="n"/>
      <c r="J46" s="27" t="n"/>
      <c r="K46" s="13" t="n"/>
    </row>
    <row r="47" ht="22" customHeight="1">
      <c r="B47" s="16">
        <f>IF(C47="","CON-"&amp;TEXT(COUNTA($C$5:C47),"000"))</f>
        <v/>
      </c>
      <c r="C47" s="11" t="n"/>
      <c r="D47" s="11" t="n"/>
      <c r="E47" s="11" t="n"/>
      <c r="F47" s="11" t="n"/>
      <c r="G47" s="11" t="n"/>
      <c r="H47" s="11" t="n"/>
      <c r="I47" s="11" t="n"/>
      <c r="J47" s="26" t="n"/>
      <c r="K47" s="11" t="n"/>
    </row>
    <row r="48" ht="22" customHeight="1">
      <c r="B48" s="15">
        <f>IF(C48="","CON-"&amp;TEXT(COUNTA($C$5:C48),"000"))</f>
        <v/>
      </c>
      <c r="C48" s="13" t="n"/>
      <c r="D48" s="13" t="n"/>
      <c r="E48" s="13" t="n"/>
      <c r="F48" s="13" t="n"/>
      <c r="G48" s="13" t="n"/>
      <c r="H48" s="13" t="n"/>
      <c r="I48" s="13" t="n"/>
      <c r="J48" s="27" t="n"/>
      <c r="K48" s="13" t="n"/>
    </row>
    <row r="49" ht="22" customHeight="1">
      <c r="B49" s="16">
        <f>IF(C49="","CON-"&amp;TEXT(COUNTA($C$5:C49),"000"))</f>
        <v/>
      </c>
      <c r="C49" s="11" t="n"/>
      <c r="D49" s="11" t="n"/>
      <c r="E49" s="11" t="n"/>
      <c r="F49" s="11" t="n"/>
      <c r="G49" s="11" t="n"/>
      <c r="H49" s="11" t="n"/>
      <c r="I49" s="11" t="n"/>
      <c r="J49" s="26" t="n"/>
      <c r="K49" s="11" t="n"/>
    </row>
    <row r="50" ht="22" customHeight="1">
      <c r="B50" s="15">
        <f>IF(C50="","CON-"&amp;TEXT(COUNTA($C$5:C50),"000"))</f>
        <v/>
      </c>
      <c r="C50" s="13" t="n"/>
      <c r="D50" s="13" t="n"/>
      <c r="E50" s="13" t="n"/>
      <c r="F50" s="13" t="n"/>
      <c r="G50" s="13" t="n"/>
      <c r="H50" s="13" t="n"/>
      <c r="I50" s="13" t="n"/>
      <c r="J50" s="27" t="n"/>
      <c r="K50" s="13" t="n"/>
    </row>
    <row r="51" ht="22" customHeight="1">
      <c r="B51" s="16">
        <f>IF(C51="","CON-"&amp;TEXT(COUNTA($C$5:C51),"000"))</f>
        <v/>
      </c>
      <c r="C51" s="11" t="n"/>
      <c r="D51" s="11" t="n"/>
      <c r="E51" s="11" t="n"/>
      <c r="F51" s="11" t="n"/>
      <c r="G51" s="11" t="n"/>
      <c r="H51" s="11" t="n"/>
      <c r="I51" s="11" t="n"/>
      <c r="J51" s="26" t="n"/>
      <c r="K51" s="11" t="n"/>
    </row>
    <row r="52" ht="22" customHeight="1">
      <c r="B52" s="15">
        <f>IF(C52="","CON-"&amp;TEXT(COUNTA($C$5:C52),"000"))</f>
        <v/>
      </c>
      <c r="C52" s="13" t="n"/>
      <c r="D52" s="13" t="n"/>
      <c r="E52" s="13" t="n"/>
      <c r="F52" s="13" t="n"/>
      <c r="G52" s="13" t="n"/>
      <c r="H52" s="13" t="n"/>
      <c r="I52" s="13" t="n"/>
      <c r="J52" s="27" t="n"/>
      <c r="K52" s="13" t="n"/>
    </row>
    <row r="53" ht="22" customHeight="1">
      <c r="B53" s="16">
        <f>IF(C53="","CON-"&amp;TEXT(COUNTA($C$5:C53),"000"))</f>
        <v/>
      </c>
      <c r="C53" s="11" t="n"/>
      <c r="D53" s="11" t="n"/>
      <c r="E53" s="11" t="n"/>
      <c r="F53" s="11" t="n"/>
      <c r="G53" s="11" t="n"/>
      <c r="H53" s="11" t="n"/>
      <c r="I53" s="11" t="n"/>
      <c r="J53" s="26" t="n"/>
      <c r="K53" s="11" t="n"/>
    </row>
    <row r="54" ht="22" customHeight="1">
      <c r="B54" s="15">
        <f>IF(C54="","CON-"&amp;TEXT(COUNTA($C$5:C54),"000"))</f>
        <v/>
      </c>
      <c r="C54" s="13" t="n"/>
      <c r="D54" s="13" t="n"/>
      <c r="E54" s="13" t="n"/>
      <c r="F54" s="13" t="n"/>
      <c r="G54" s="13" t="n"/>
      <c r="H54" s="13" t="n"/>
      <c r="I54" s="13" t="n"/>
      <c r="J54" s="27" t="n"/>
      <c r="K54" s="13" t="n"/>
    </row>
    <row r="55" ht="22" customHeight="1">
      <c r="B55" s="16">
        <f>IF(C55="","CON-"&amp;TEXT(COUNTA($C$5:C55),"000"))</f>
        <v/>
      </c>
      <c r="C55" s="11" t="n"/>
      <c r="D55" s="11" t="n"/>
      <c r="E55" s="11" t="n"/>
      <c r="F55" s="11" t="n"/>
      <c r="G55" s="11" t="n"/>
      <c r="H55" s="11" t="n"/>
      <c r="I55" s="11" t="n"/>
      <c r="J55" s="26" t="n"/>
      <c r="K55" s="11" t="n"/>
    </row>
    <row r="56" ht="22" customHeight="1">
      <c r="B56" s="15">
        <f>IF(C56="","CON-"&amp;TEXT(COUNTA($C$5:C56),"000"))</f>
        <v/>
      </c>
      <c r="C56" s="13" t="n"/>
      <c r="D56" s="13" t="n"/>
      <c r="E56" s="13" t="n"/>
      <c r="F56" s="13" t="n"/>
      <c r="G56" s="13" t="n"/>
      <c r="H56" s="13" t="n"/>
      <c r="I56" s="13" t="n"/>
      <c r="J56" s="27" t="n"/>
      <c r="K56" s="13" t="n"/>
    </row>
    <row r="57" ht="22" customHeight="1">
      <c r="B57" s="16">
        <f>IF(C57="","CON-"&amp;TEXT(COUNTA($C$5:C57),"000"))</f>
        <v/>
      </c>
      <c r="C57" s="11" t="n"/>
      <c r="D57" s="11" t="n"/>
      <c r="E57" s="11" t="n"/>
      <c r="F57" s="11" t="n"/>
      <c r="G57" s="11" t="n"/>
      <c r="H57" s="11" t="n"/>
      <c r="I57" s="11" t="n"/>
      <c r="J57" s="26" t="n"/>
      <c r="K57" s="11" t="n"/>
    </row>
    <row r="58" ht="22" customHeight="1">
      <c r="B58" s="15">
        <f>IF(C58="","CON-"&amp;TEXT(COUNTA($C$5:C58),"000"))</f>
        <v/>
      </c>
      <c r="C58" s="13" t="n"/>
      <c r="D58" s="13" t="n"/>
      <c r="E58" s="13" t="n"/>
      <c r="F58" s="13" t="n"/>
      <c r="G58" s="13" t="n"/>
      <c r="H58" s="13" t="n"/>
      <c r="I58" s="13" t="n"/>
      <c r="J58" s="27" t="n"/>
      <c r="K58" s="13" t="n"/>
    </row>
    <row r="59" ht="22" customHeight="1">
      <c r="B59" s="16">
        <f>IF(C59="","CON-"&amp;TEXT(COUNTA($C$5:C59),"000"))</f>
        <v/>
      </c>
      <c r="C59" s="11" t="n"/>
      <c r="D59" s="11" t="n"/>
      <c r="E59" s="11" t="n"/>
      <c r="F59" s="11" t="n"/>
      <c r="G59" s="11" t="n"/>
      <c r="H59" s="11" t="n"/>
      <c r="I59" s="11" t="n"/>
      <c r="J59" s="26" t="n"/>
      <c r="K59" s="11" t="n"/>
    </row>
    <row r="60" ht="22" customHeight="1">
      <c r="B60" s="15">
        <f>IF(C60="","CON-"&amp;TEXT(COUNTA($C$5:C60),"000"))</f>
        <v/>
      </c>
      <c r="C60" s="13" t="n"/>
      <c r="D60" s="13" t="n"/>
      <c r="E60" s="13" t="n"/>
      <c r="F60" s="13" t="n"/>
      <c r="G60" s="13" t="n"/>
      <c r="H60" s="13" t="n"/>
      <c r="I60" s="13" t="n"/>
      <c r="J60" s="27" t="n"/>
      <c r="K60" s="13" t="n"/>
    </row>
    <row r="61" ht="22" customHeight="1">
      <c r="B61" s="16">
        <f>IF(C61="","CON-"&amp;TEXT(COUNTA($C$5:C61),"000"))</f>
        <v/>
      </c>
      <c r="C61" s="11" t="n"/>
      <c r="D61" s="11" t="n"/>
      <c r="E61" s="11" t="n"/>
      <c r="F61" s="11" t="n"/>
      <c r="G61" s="11" t="n"/>
      <c r="H61" s="11" t="n"/>
      <c r="I61" s="11" t="n"/>
      <c r="J61" s="26" t="n"/>
      <c r="K61" s="11" t="n"/>
    </row>
    <row r="62" ht="22" customHeight="1">
      <c r="B62" s="15">
        <f>IF(C62="","CON-"&amp;TEXT(COUNTA($C$5:C62),"000"))</f>
        <v/>
      </c>
      <c r="C62" s="13" t="n"/>
      <c r="D62" s="13" t="n"/>
      <c r="E62" s="13" t="n"/>
      <c r="F62" s="13" t="n"/>
      <c r="G62" s="13" t="n"/>
      <c r="H62" s="13" t="n"/>
      <c r="I62" s="13" t="n"/>
      <c r="J62" s="27" t="n"/>
      <c r="K62" s="13" t="n"/>
    </row>
    <row r="63" ht="22" customHeight="1">
      <c r="B63" s="16">
        <f>IF(C63="","CON-"&amp;TEXT(COUNTA($C$5:C63),"000"))</f>
        <v/>
      </c>
      <c r="C63" s="11" t="n"/>
      <c r="D63" s="11" t="n"/>
      <c r="E63" s="11" t="n"/>
      <c r="F63" s="11" t="n"/>
      <c r="G63" s="11" t="n"/>
      <c r="H63" s="11" t="n"/>
      <c r="I63" s="11" t="n"/>
      <c r="J63" s="26" t="n"/>
      <c r="K63" s="11" t="n"/>
    </row>
    <row r="64" ht="22" customHeight="1">
      <c r="B64" s="15">
        <f>IF(C64="","CON-"&amp;TEXT(COUNTA($C$5:C64),"000"))</f>
        <v/>
      </c>
      <c r="C64" s="13" t="n"/>
      <c r="D64" s="13" t="n"/>
      <c r="E64" s="13" t="n"/>
      <c r="F64" s="13" t="n"/>
      <c r="G64" s="13" t="n"/>
      <c r="H64" s="13" t="n"/>
      <c r="I64" s="13" t="n"/>
      <c r="J64" s="27" t="n"/>
      <c r="K64" s="13" t="n"/>
    </row>
    <row r="65" ht="22" customHeight="1">
      <c r="B65" s="16">
        <f>IF(C65="","CON-"&amp;TEXT(COUNTA($C$5:C65),"000"))</f>
        <v/>
      </c>
      <c r="C65" s="11" t="n"/>
      <c r="D65" s="11" t="n"/>
      <c r="E65" s="11" t="n"/>
      <c r="F65" s="11" t="n"/>
      <c r="G65" s="11" t="n"/>
      <c r="H65" s="11" t="n"/>
      <c r="I65" s="11" t="n"/>
      <c r="J65" s="26" t="n"/>
      <c r="K65" s="11" t="n"/>
    </row>
    <row r="66" ht="22" customHeight="1">
      <c r="B66" s="15">
        <f>IF(C66="","CON-"&amp;TEXT(COUNTA($C$5:C66),"000"))</f>
        <v/>
      </c>
      <c r="C66" s="13" t="n"/>
      <c r="D66" s="13" t="n"/>
      <c r="E66" s="13" t="n"/>
      <c r="F66" s="13" t="n"/>
      <c r="G66" s="13" t="n"/>
      <c r="H66" s="13" t="n"/>
      <c r="I66" s="13" t="n"/>
      <c r="J66" s="27" t="n"/>
      <c r="K66" s="13" t="n"/>
    </row>
    <row r="67" ht="22" customHeight="1">
      <c r="B67" s="16">
        <f>IF(C67="","CON-"&amp;TEXT(COUNTA($C$5:C67),"000"))</f>
        <v/>
      </c>
      <c r="C67" s="11" t="n"/>
      <c r="D67" s="11" t="n"/>
      <c r="E67" s="11" t="n"/>
      <c r="F67" s="11" t="n"/>
      <c r="G67" s="11" t="n"/>
      <c r="H67" s="11" t="n"/>
      <c r="I67" s="11" t="n"/>
      <c r="J67" s="26" t="n"/>
      <c r="K67" s="11" t="n"/>
    </row>
    <row r="68" ht="22" customHeight="1">
      <c r="B68" s="15">
        <f>IF(C68="","CON-"&amp;TEXT(COUNTA($C$5:C68),"000"))</f>
        <v/>
      </c>
      <c r="C68" s="13" t="n"/>
      <c r="D68" s="13" t="n"/>
      <c r="E68" s="13" t="n"/>
      <c r="F68" s="13" t="n"/>
      <c r="G68" s="13" t="n"/>
      <c r="H68" s="13" t="n"/>
      <c r="I68" s="13" t="n"/>
      <c r="J68" s="27" t="n"/>
      <c r="K68" s="13" t="n"/>
    </row>
    <row r="69" ht="22" customHeight="1">
      <c r="B69" s="16">
        <f>IF(C69="","CON-"&amp;TEXT(COUNTA($C$5:C69),"000"))</f>
        <v/>
      </c>
      <c r="C69" s="11" t="n"/>
      <c r="D69" s="11" t="n"/>
      <c r="E69" s="11" t="n"/>
      <c r="F69" s="11" t="n"/>
      <c r="G69" s="11" t="n"/>
      <c r="H69" s="11" t="n"/>
      <c r="I69" s="11" t="n"/>
      <c r="J69" s="26" t="n"/>
      <c r="K69" s="11" t="n"/>
    </row>
    <row r="70" ht="22" customHeight="1">
      <c r="B70" s="15">
        <f>IF(C70="","CON-"&amp;TEXT(COUNTA($C$5:C70),"000"))</f>
        <v/>
      </c>
      <c r="C70" s="13" t="n"/>
      <c r="D70" s="13" t="n"/>
      <c r="E70" s="13" t="n"/>
      <c r="F70" s="13" t="n"/>
      <c r="G70" s="13" t="n"/>
      <c r="H70" s="13" t="n"/>
      <c r="I70" s="13" t="n"/>
      <c r="J70" s="27" t="n"/>
      <c r="K70" s="13" t="n"/>
    </row>
    <row r="71" ht="22" customHeight="1">
      <c r="B71" s="16">
        <f>IF(C71="","CON-"&amp;TEXT(COUNTA($C$5:C71),"000"))</f>
        <v/>
      </c>
      <c r="C71" s="11" t="n"/>
      <c r="D71" s="11" t="n"/>
      <c r="E71" s="11" t="n"/>
      <c r="F71" s="11" t="n"/>
      <c r="G71" s="11" t="n"/>
      <c r="H71" s="11" t="n"/>
      <c r="I71" s="11" t="n"/>
      <c r="J71" s="26" t="n"/>
      <c r="K71" s="11" t="n"/>
    </row>
    <row r="72" ht="22" customHeight="1">
      <c r="B72" s="15">
        <f>IF(C72="","CON-"&amp;TEXT(COUNTA($C$5:C72),"000"))</f>
        <v/>
      </c>
      <c r="C72" s="13" t="n"/>
      <c r="D72" s="13" t="n"/>
      <c r="E72" s="13" t="n"/>
      <c r="F72" s="13" t="n"/>
      <c r="G72" s="13" t="n"/>
      <c r="H72" s="13" t="n"/>
      <c r="I72" s="13" t="n"/>
      <c r="J72" s="27" t="n"/>
      <c r="K72" s="13" t="n"/>
    </row>
    <row r="73" ht="22" customHeight="1">
      <c r="B73" s="16">
        <f>IF(C73="","CON-"&amp;TEXT(COUNTA($C$5:C73),"000"))</f>
        <v/>
      </c>
      <c r="C73" s="11" t="n"/>
      <c r="D73" s="11" t="n"/>
      <c r="E73" s="11" t="n"/>
      <c r="F73" s="11" t="n"/>
      <c r="G73" s="11" t="n"/>
      <c r="H73" s="11" t="n"/>
      <c r="I73" s="11" t="n"/>
      <c r="J73" s="26" t="n"/>
      <c r="K73" s="11" t="n"/>
    </row>
    <row r="74" ht="22" customHeight="1">
      <c r="B74" s="15">
        <f>IF(C74="","CON-"&amp;TEXT(COUNTA($C$5:C74),"000"))</f>
        <v/>
      </c>
      <c r="C74" s="13" t="n"/>
      <c r="D74" s="13" t="n"/>
      <c r="E74" s="13" t="n"/>
      <c r="F74" s="13" t="n"/>
      <c r="G74" s="13" t="n"/>
      <c r="H74" s="13" t="n"/>
      <c r="I74" s="13" t="n"/>
      <c r="J74" s="27" t="n"/>
      <c r="K74" s="13" t="n"/>
    </row>
    <row r="75" ht="22" customHeight="1">
      <c r="B75" s="16">
        <f>IF(C75="","CON-"&amp;TEXT(COUNTA($C$5:C75),"000"))</f>
        <v/>
      </c>
      <c r="C75" s="11" t="n"/>
      <c r="D75" s="11" t="n"/>
      <c r="E75" s="11" t="n"/>
      <c r="F75" s="11" t="n"/>
      <c r="G75" s="11" t="n"/>
      <c r="H75" s="11" t="n"/>
      <c r="I75" s="11" t="n"/>
      <c r="J75" s="26" t="n"/>
      <c r="K75" s="11" t="n"/>
    </row>
    <row r="76" ht="22" customHeight="1">
      <c r="B76" s="15">
        <f>IF(C76="","CON-"&amp;TEXT(COUNTA($C$5:C76),"000"))</f>
        <v/>
      </c>
      <c r="C76" s="13" t="n"/>
      <c r="D76" s="13" t="n"/>
      <c r="E76" s="13" t="n"/>
      <c r="F76" s="13" t="n"/>
      <c r="G76" s="13" t="n"/>
      <c r="H76" s="13" t="n"/>
      <c r="I76" s="13" t="n"/>
      <c r="J76" s="27" t="n"/>
      <c r="K76" s="13" t="n"/>
    </row>
    <row r="77" ht="22" customHeight="1">
      <c r="B77" s="16">
        <f>IF(C77="","CON-"&amp;TEXT(COUNTA($C$5:C77),"000"))</f>
        <v/>
      </c>
      <c r="C77" s="11" t="n"/>
      <c r="D77" s="11" t="n"/>
      <c r="E77" s="11" t="n"/>
      <c r="F77" s="11" t="n"/>
      <c r="G77" s="11" t="n"/>
      <c r="H77" s="11" t="n"/>
      <c r="I77" s="11" t="n"/>
      <c r="J77" s="26" t="n"/>
      <c r="K77" s="11" t="n"/>
    </row>
    <row r="78" ht="22" customHeight="1">
      <c r="B78" s="15">
        <f>IF(C78="","CON-"&amp;TEXT(COUNTA($C$5:C78),"000"))</f>
        <v/>
      </c>
      <c r="C78" s="13" t="n"/>
      <c r="D78" s="13" t="n"/>
      <c r="E78" s="13" t="n"/>
      <c r="F78" s="13" t="n"/>
      <c r="G78" s="13" t="n"/>
      <c r="H78" s="13" t="n"/>
      <c r="I78" s="13" t="n"/>
      <c r="J78" s="27" t="n"/>
      <c r="K78" s="13" t="n"/>
    </row>
    <row r="79" ht="22" customHeight="1">
      <c r="B79" s="16">
        <f>IF(C79="","CON-"&amp;TEXT(COUNTA($C$5:C79),"000"))</f>
        <v/>
      </c>
      <c r="C79" s="11" t="n"/>
      <c r="D79" s="11" t="n"/>
      <c r="E79" s="11" t="n"/>
      <c r="F79" s="11" t="n"/>
      <c r="G79" s="11" t="n"/>
      <c r="H79" s="11" t="n"/>
      <c r="I79" s="11" t="n"/>
      <c r="J79" s="26" t="n"/>
      <c r="K79" s="11" t="n"/>
    </row>
    <row r="80" ht="22" customHeight="1">
      <c r="B80" s="15">
        <f>IF(C80="","CON-"&amp;TEXT(COUNTA($C$5:C80),"000"))</f>
        <v/>
      </c>
      <c r="C80" s="13" t="n"/>
      <c r="D80" s="13" t="n"/>
      <c r="E80" s="13" t="n"/>
      <c r="F80" s="13" t="n"/>
      <c r="G80" s="13" t="n"/>
      <c r="H80" s="13" t="n"/>
      <c r="I80" s="13" t="n"/>
      <c r="J80" s="27" t="n"/>
      <c r="K80" s="13" t="n"/>
    </row>
    <row r="81" ht="22" customHeight="1">
      <c r="B81" s="16">
        <f>IF(C81="","CON-"&amp;TEXT(COUNTA($C$5:C81),"000"))</f>
        <v/>
      </c>
      <c r="C81" s="11" t="n"/>
      <c r="D81" s="11" t="n"/>
      <c r="E81" s="11" t="n"/>
      <c r="F81" s="11" t="n"/>
      <c r="G81" s="11" t="n"/>
      <c r="H81" s="11" t="n"/>
      <c r="I81" s="11" t="n"/>
      <c r="J81" s="26" t="n"/>
      <c r="K81" s="11" t="n"/>
    </row>
    <row r="82" ht="22" customHeight="1">
      <c r="B82" s="15">
        <f>IF(C82="","CON-"&amp;TEXT(COUNTA($C$5:C82),"000"))</f>
        <v/>
      </c>
      <c r="C82" s="13" t="n"/>
      <c r="D82" s="13" t="n"/>
      <c r="E82" s="13" t="n"/>
      <c r="F82" s="13" t="n"/>
      <c r="G82" s="13" t="n"/>
      <c r="H82" s="13" t="n"/>
      <c r="I82" s="13" t="n"/>
      <c r="J82" s="27" t="n"/>
      <c r="K82" s="13" t="n"/>
    </row>
    <row r="83" ht="22" customHeight="1">
      <c r="B83" s="16">
        <f>IF(C83="","CON-"&amp;TEXT(COUNTA($C$5:C83),"000"))</f>
        <v/>
      </c>
      <c r="C83" s="11" t="n"/>
      <c r="D83" s="11" t="n"/>
      <c r="E83" s="11" t="n"/>
      <c r="F83" s="11" t="n"/>
      <c r="G83" s="11" t="n"/>
      <c r="H83" s="11" t="n"/>
      <c r="I83" s="11" t="n"/>
      <c r="J83" s="26" t="n"/>
      <c r="K83" s="11" t="n"/>
    </row>
    <row r="84" ht="22" customHeight="1">
      <c r="B84" s="15">
        <f>IF(C84="","CON-"&amp;TEXT(COUNTA($C$5:C84),"000"))</f>
        <v/>
      </c>
      <c r="C84" s="13" t="n"/>
      <c r="D84" s="13" t="n"/>
      <c r="E84" s="13" t="n"/>
      <c r="F84" s="13" t="n"/>
      <c r="G84" s="13" t="n"/>
      <c r="H84" s="13" t="n"/>
      <c r="I84" s="13" t="n"/>
      <c r="J84" s="27" t="n"/>
      <c r="K84" s="13" t="n"/>
    </row>
    <row r="85" ht="22" customHeight="1">
      <c r="B85" s="16">
        <f>IF(C85="","CON-"&amp;TEXT(COUNTA($C$5:C85),"000"))</f>
        <v/>
      </c>
      <c r="C85" s="11" t="n"/>
      <c r="D85" s="11" t="n"/>
      <c r="E85" s="11" t="n"/>
      <c r="F85" s="11" t="n"/>
      <c r="G85" s="11" t="n"/>
      <c r="H85" s="11" t="n"/>
      <c r="I85" s="11" t="n"/>
      <c r="J85" s="26" t="n"/>
      <c r="K85" s="11" t="n"/>
    </row>
    <row r="86" ht="22" customHeight="1">
      <c r="B86" s="15">
        <f>IF(C86="","CON-"&amp;TEXT(COUNTA($C$5:C86),"000"))</f>
        <v/>
      </c>
      <c r="C86" s="13" t="n"/>
      <c r="D86" s="13" t="n"/>
      <c r="E86" s="13" t="n"/>
      <c r="F86" s="13" t="n"/>
      <c r="G86" s="13" t="n"/>
      <c r="H86" s="13" t="n"/>
      <c r="I86" s="13" t="n"/>
      <c r="J86" s="27" t="n"/>
      <c r="K86" s="13" t="n"/>
    </row>
    <row r="87" ht="22" customHeight="1">
      <c r="B87" s="16">
        <f>IF(C87="","CON-"&amp;TEXT(COUNTA($C$5:C87),"000"))</f>
        <v/>
      </c>
      <c r="C87" s="11" t="n"/>
      <c r="D87" s="11" t="n"/>
      <c r="E87" s="11" t="n"/>
      <c r="F87" s="11" t="n"/>
      <c r="G87" s="11" t="n"/>
      <c r="H87" s="11" t="n"/>
      <c r="I87" s="11" t="n"/>
      <c r="J87" s="26" t="n"/>
      <c r="K87" s="11" t="n"/>
    </row>
    <row r="88" ht="22" customHeight="1">
      <c r="B88" s="15">
        <f>IF(C88="","CON-"&amp;TEXT(COUNTA($C$5:C88),"000"))</f>
        <v/>
      </c>
      <c r="C88" s="13" t="n"/>
      <c r="D88" s="13" t="n"/>
      <c r="E88" s="13" t="n"/>
      <c r="F88" s="13" t="n"/>
      <c r="G88" s="13" t="n"/>
      <c r="H88" s="13" t="n"/>
      <c r="I88" s="13" t="n"/>
      <c r="J88" s="27" t="n"/>
      <c r="K88" s="13" t="n"/>
    </row>
    <row r="89" ht="22" customHeight="1">
      <c r="B89" s="16">
        <f>IF(C89="","CON-"&amp;TEXT(COUNTA($C$5:C89),"000"))</f>
        <v/>
      </c>
      <c r="C89" s="11" t="n"/>
      <c r="D89" s="11" t="n"/>
      <c r="E89" s="11" t="n"/>
      <c r="F89" s="11" t="n"/>
      <c r="G89" s="11" t="n"/>
      <c r="H89" s="11" t="n"/>
      <c r="I89" s="11" t="n"/>
      <c r="J89" s="26" t="n"/>
      <c r="K89" s="11" t="n"/>
    </row>
    <row r="90" ht="22" customHeight="1">
      <c r="B90" s="15">
        <f>IF(C90="","CON-"&amp;TEXT(COUNTA($C$5:C90),"000"))</f>
        <v/>
      </c>
      <c r="C90" s="13" t="n"/>
      <c r="D90" s="13" t="n"/>
      <c r="E90" s="13" t="n"/>
      <c r="F90" s="13" t="n"/>
      <c r="G90" s="13" t="n"/>
      <c r="H90" s="13" t="n"/>
      <c r="I90" s="13" t="n"/>
      <c r="J90" s="27" t="n"/>
      <c r="K90" s="13" t="n"/>
    </row>
    <row r="91" ht="22" customHeight="1">
      <c r="B91" s="16">
        <f>IF(C91="","CON-"&amp;TEXT(COUNTA($C$5:C91),"000"))</f>
        <v/>
      </c>
      <c r="C91" s="11" t="n"/>
      <c r="D91" s="11" t="n"/>
      <c r="E91" s="11" t="n"/>
      <c r="F91" s="11" t="n"/>
      <c r="G91" s="11" t="n"/>
      <c r="H91" s="11" t="n"/>
      <c r="I91" s="11" t="n"/>
      <c r="J91" s="26" t="n"/>
      <c r="K91" s="11" t="n"/>
    </row>
    <row r="92" ht="22" customHeight="1">
      <c r="B92" s="15">
        <f>IF(C92="","CON-"&amp;TEXT(COUNTA($C$5:C92),"000"))</f>
        <v/>
      </c>
      <c r="C92" s="13" t="n"/>
      <c r="D92" s="13" t="n"/>
      <c r="E92" s="13" t="n"/>
      <c r="F92" s="13" t="n"/>
      <c r="G92" s="13" t="n"/>
      <c r="H92" s="13" t="n"/>
      <c r="I92" s="13" t="n"/>
      <c r="J92" s="27" t="n"/>
      <c r="K92" s="13" t="n"/>
    </row>
    <row r="93" ht="22" customHeight="1">
      <c r="B93" s="16">
        <f>IF(C93="","CON-"&amp;TEXT(COUNTA($C$5:C93),"000"))</f>
        <v/>
      </c>
      <c r="C93" s="11" t="n"/>
      <c r="D93" s="11" t="n"/>
      <c r="E93" s="11" t="n"/>
      <c r="F93" s="11" t="n"/>
      <c r="G93" s="11" t="n"/>
      <c r="H93" s="11" t="n"/>
      <c r="I93" s="11" t="n"/>
      <c r="J93" s="26" t="n"/>
      <c r="K93" s="11" t="n"/>
    </row>
    <row r="94" ht="22" customHeight="1">
      <c r="B94" s="15">
        <f>IF(C94="","CON-"&amp;TEXT(COUNTA($C$5:C94),"000"))</f>
        <v/>
      </c>
      <c r="C94" s="13" t="n"/>
      <c r="D94" s="13" t="n"/>
      <c r="E94" s="13" t="n"/>
      <c r="F94" s="13" t="n"/>
      <c r="G94" s="13" t="n"/>
      <c r="H94" s="13" t="n"/>
      <c r="I94" s="13" t="n"/>
      <c r="J94" s="27" t="n"/>
      <c r="K94" s="13" t="n"/>
    </row>
    <row r="95" ht="22" customHeight="1">
      <c r="B95" s="16">
        <f>IF(C95="","CON-"&amp;TEXT(COUNTA($C$5:C95),"000"))</f>
        <v/>
      </c>
      <c r="C95" s="11" t="n"/>
      <c r="D95" s="11" t="n"/>
      <c r="E95" s="11" t="n"/>
      <c r="F95" s="11" t="n"/>
      <c r="G95" s="11" t="n"/>
      <c r="H95" s="11" t="n"/>
      <c r="I95" s="11" t="n"/>
      <c r="J95" s="26" t="n"/>
      <c r="K95" s="11" t="n"/>
    </row>
    <row r="96" ht="22" customHeight="1">
      <c r="B96" s="15">
        <f>IF(C96="","CON-"&amp;TEXT(COUNTA($C$5:C96),"000"))</f>
        <v/>
      </c>
      <c r="C96" s="13" t="n"/>
      <c r="D96" s="13" t="n"/>
      <c r="E96" s="13" t="n"/>
      <c r="F96" s="13" t="n"/>
      <c r="G96" s="13" t="n"/>
      <c r="H96" s="13" t="n"/>
      <c r="I96" s="13" t="n"/>
      <c r="J96" s="27" t="n"/>
      <c r="K96" s="13" t="n"/>
    </row>
    <row r="97" ht="22" customHeight="1">
      <c r="B97" s="16">
        <f>IF(C97="","CON-"&amp;TEXT(COUNTA($C$5:C97),"000"))</f>
        <v/>
      </c>
      <c r="C97" s="11" t="n"/>
      <c r="D97" s="11" t="n"/>
      <c r="E97" s="11" t="n"/>
      <c r="F97" s="11" t="n"/>
      <c r="G97" s="11" t="n"/>
      <c r="H97" s="11" t="n"/>
      <c r="I97" s="11" t="n"/>
      <c r="J97" s="26" t="n"/>
      <c r="K97" s="11" t="n"/>
    </row>
    <row r="98" ht="22" customHeight="1">
      <c r="B98" s="15">
        <f>IF(C98="","CON-"&amp;TEXT(COUNTA($C$5:C98),"000"))</f>
        <v/>
      </c>
      <c r="C98" s="13" t="n"/>
      <c r="D98" s="13" t="n"/>
      <c r="E98" s="13" t="n"/>
      <c r="F98" s="13" t="n"/>
      <c r="G98" s="13" t="n"/>
      <c r="H98" s="13" t="n"/>
      <c r="I98" s="13" t="n"/>
      <c r="J98" s="27" t="n"/>
      <c r="K98" s="13" t="n"/>
    </row>
    <row r="99" ht="22" customHeight="1">
      <c r="B99" s="16">
        <f>IF(C99="","CON-"&amp;TEXT(COUNTA($C$5:C99),"000"))</f>
        <v/>
      </c>
      <c r="C99" s="11" t="n"/>
      <c r="D99" s="11" t="n"/>
      <c r="E99" s="11" t="n"/>
      <c r="F99" s="11" t="n"/>
      <c r="G99" s="11" t="n"/>
      <c r="H99" s="11" t="n"/>
      <c r="I99" s="11" t="n"/>
      <c r="J99" s="26" t="n"/>
      <c r="K99" s="11" t="n"/>
    </row>
    <row r="100" ht="22" customHeight="1">
      <c r="B100" s="15">
        <f>IF(C100="","CON-"&amp;TEXT(COUNTA($C$5:C100),"000"))</f>
        <v/>
      </c>
      <c r="C100" s="13" t="n"/>
      <c r="D100" s="13" t="n"/>
      <c r="E100" s="13" t="n"/>
      <c r="F100" s="13" t="n"/>
      <c r="G100" s="13" t="n"/>
      <c r="H100" s="13" t="n"/>
      <c r="I100" s="13" t="n"/>
      <c r="J100" s="27" t="n"/>
      <c r="K100" s="13" t="n"/>
    </row>
    <row r="101" ht="22" customHeight="1">
      <c r="B101" s="16">
        <f>IF(C101="","CON-"&amp;TEXT(COUNTA($C$5:C101),"000"))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11" t="n"/>
      <c r="J101" s="26" t="n"/>
      <c r="K101" s="11" t="n"/>
    </row>
    <row r="102" ht="22" customHeight="1">
      <c r="B102" s="15">
        <f>IF(C102="","CON-"&amp;TEXT(COUNTA($C$5:C102),"000"))</f>
        <v/>
      </c>
      <c r="C102" s="13" t="n"/>
      <c r="D102" s="13" t="n"/>
      <c r="E102" s="13" t="n"/>
      <c r="F102" s="13" t="n"/>
      <c r="G102" s="13" t="n"/>
      <c r="H102" s="13" t="n"/>
      <c r="I102" s="13" t="n"/>
      <c r="J102" s="27" t="n"/>
      <c r="K102" s="13" t="n"/>
    </row>
    <row r="103" ht="22" customHeight="1">
      <c r="B103" s="16">
        <f>IF(C103="","CON-"&amp;TEXT(COUNTA($C$5:C103),"000"))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11" t="n"/>
      <c r="J103" s="26" t="n"/>
      <c r="K103" s="11" t="n"/>
    </row>
    <row r="104" ht="22" customHeight="1">
      <c r="B104" s="15">
        <f>IF(C104="","CON-"&amp;TEXT(COUNTA($C$5:C104),"000"))</f>
        <v/>
      </c>
      <c r="C104" s="13" t="n"/>
      <c r="D104" s="13" t="n"/>
      <c r="E104" s="13" t="n"/>
      <c r="F104" s="13" t="n"/>
      <c r="G104" s="13" t="n"/>
      <c r="H104" s="13" t="n"/>
      <c r="I104" s="13" t="n"/>
      <c r="J104" s="27" t="n"/>
      <c r="K104" s="13" t="n"/>
    </row>
    <row r="105" ht="22" customHeight="1">
      <c r="B105" s="16">
        <f>IF(C105="","CON-"&amp;TEXT(COUNTA($C$5:C105),"000"))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11" t="n"/>
      <c r="J105" s="26" t="n"/>
      <c r="K105" s="11" t="n"/>
    </row>
    <row r="106" ht="22" customHeight="1">
      <c r="B106" s="15">
        <f>IF(C106="","CON-"&amp;TEXT(COUNTA($C$5:C106),"000"))</f>
        <v/>
      </c>
      <c r="C106" s="13" t="n"/>
      <c r="D106" s="13" t="n"/>
      <c r="E106" s="13" t="n"/>
      <c r="F106" s="13" t="n"/>
      <c r="G106" s="13" t="n"/>
      <c r="H106" s="13" t="n"/>
      <c r="I106" s="13" t="n"/>
      <c r="J106" s="27" t="n"/>
      <c r="K106" s="13" t="n"/>
    </row>
    <row r="107" ht="22" customHeight="1">
      <c r="B107" s="16">
        <f>IF(C107="","CON-"&amp;TEXT(COUNTA($C$5:C107),"000"))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11" t="n"/>
      <c r="J107" s="26" t="n"/>
      <c r="K107" s="11" t="n"/>
    </row>
    <row r="108" ht="22" customHeight="1">
      <c r="B108" s="15">
        <f>IF(C108="","CON-"&amp;TEXT(COUNTA($C$5:C108),"000"))</f>
        <v/>
      </c>
      <c r="C108" s="13" t="n"/>
      <c r="D108" s="13" t="n"/>
      <c r="E108" s="13" t="n"/>
      <c r="F108" s="13" t="n"/>
      <c r="G108" s="13" t="n"/>
      <c r="H108" s="13" t="n"/>
      <c r="I108" s="13" t="n"/>
      <c r="J108" s="27" t="n"/>
      <c r="K108" s="13" t="n"/>
    </row>
    <row r="109" ht="22" customHeight="1">
      <c r="B109" s="16">
        <f>IF(C109="","CON-"&amp;TEXT(COUNTA($C$5:C109),"000"))</f>
        <v/>
      </c>
      <c r="C109" s="11" t="n"/>
      <c r="D109" s="11" t="n"/>
      <c r="E109" s="11" t="n"/>
      <c r="F109" s="11" t="n"/>
      <c r="G109" s="11" t="n"/>
      <c r="H109" s="11" t="n"/>
      <c r="I109" s="11" t="n"/>
      <c r="J109" s="26" t="n"/>
      <c r="K109" s="11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Exigences suivies</t>
        </is>
      </c>
      <c r="D112" s="3" t="inlineStr">
        <is>
          <t>Conformes</t>
        </is>
      </c>
      <c r="F112" s="3" t="inlineStr">
        <is>
          <t>Non conformes</t>
        </is>
      </c>
      <c r="H112" s="3" t="inlineStr">
        <is>
          <t>Partiellement conf.</t>
        </is>
      </c>
    </row>
    <row r="113">
      <c r="B113" s="4">
        <f>COUNTIF(B5:B104,"&lt;&gt;")</f>
        <v/>
      </c>
      <c r="D113" s="4">
        <f>COUNTIF(F5:F104,"Conforme")</f>
        <v/>
      </c>
      <c r="F113" s="4">
        <f>COUNTIF(F5:F104,"Non conforme")</f>
        <v/>
      </c>
      <c r="H113" s="4">
        <f>COUNTIF(F5:F104,"Partiellement conforme")</f>
        <v/>
      </c>
    </row>
  </sheetData>
  <mergeCells count="3">
    <mergeCell ref="B111:K111"/>
    <mergeCell ref="B3:K3"/>
    <mergeCell ref="B2:K2"/>
  </mergeCells>
  <conditionalFormatting sqref="F5:F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conditionalFormatting sqref="K10:K109">
    <cfRule type="expression" priority="202" dxfId="3">
      <formula>AND($C10="",$C9&lt;&gt;"")</formula>
    </cfRule>
  </conditionalFormatting>
  <dataValidations count="4">
    <dataValidation sqref="C5:C109" showDropDown="0" showInputMessage="0" showErrorMessage="0" allowBlank="1" errorTitle="Erreur" error="Valeur invalide" promptTitle="Liste" prompt="Choisir dans la liste" type="list">
      <formula1>'_Lists'!$M$2:$M$11</formula1>
    </dataValidation>
    <dataValidation sqref="F5:F109" showDropDown="0" showInputMessage="0" showErrorMessage="0" allowBlank="1" errorTitle="Erreur" error="Valeur invalide" promptTitle="Liste" prompt="Choisir dans la liste" type="list">
      <formula1>'_Lists'!$N$2:$N$6</formula1>
    </dataValidation>
    <dataValidation sqref="G5:G109" showDropDown="0" showInputMessage="0" showErrorMessage="0" allowBlank="1" errorTitle="Erreur" error="Valeur invalide" promptTitle="Liste" prompt="Choisir dans la liste" type="list">
      <formula1>'_Lists'!$O$2:$O$5</formula1>
    </dataValidation>
    <dataValidation sqref="H5:H109" showDropDown="0" showInputMessage="0" showErrorMessage="0" allowBlank="1" errorTitle="Erreur" error="Valeur invalide" promptTitle="Liste" prompt="Choisir dans la liste" type="list">
      <formula1>'_Lists'!$T$2:$T$4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4" customWidth="1" min="5" max="5"/>
    <col width="16" customWidth="1" min="6" max="6"/>
    <col width="14" customWidth="1" min="7" max="7"/>
    <col width="14" customWidth="1" min="8" max="8"/>
    <col width="20" customWidth="1" min="9" max="9"/>
    <col width="18" customWidth="1" min="10" max="10"/>
    <col width="36" customWidth="1" min="11" max="11"/>
  </cols>
  <sheetData>
    <row r="1" ht="15" customHeight="1"/>
    <row r="2" ht="32" customHeight="1">
      <c r="B2" s="1" t="inlineStr">
        <is>
          <t>CONTRATS DE TRAVAIL (#118)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Employe</t>
        </is>
      </c>
      <c r="D4" s="10" t="inlineStr">
        <is>
          <t>Poste</t>
        </is>
      </c>
      <c r="E4" s="10" t="inlineStr">
        <is>
          <t>Departement</t>
        </is>
      </c>
      <c r="F4" s="10" t="inlineStr">
        <is>
          <t>Type Contrat</t>
        </is>
      </c>
      <c r="G4" s="10" t="inlineStr">
        <is>
          <t>Date Debut</t>
        </is>
      </c>
      <c r="H4" s="10" t="inlineStr">
        <is>
          <t>Date Fin</t>
        </is>
      </c>
      <c r="I4" s="10" t="inlineStr">
        <is>
          <t>Salaire Brut (FCFA)</t>
        </is>
      </c>
      <c r="J4" s="10" t="inlineStr">
        <is>
          <t>Statut</t>
        </is>
      </c>
      <c r="K4" s="10" t="inlineStr">
        <is>
          <t>Observations</t>
        </is>
      </c>
    </row>
    <row r="5" ht="22" customHeight="1">
      <c r="B5" s="11" t="inlineStr">
        <is>
          <t>CT-001</t>
        </is>
      </c>
      <c r="C5" s="11" t="inlineStr">
        <is>
          <t>Nkoulou Mbarga P.</t>
        </is>
      </c>
      <c r="D5" s="11" t="inlineStr">
        <is>
          <t>Chef Reception</t>
        </is>
      </c>
      <c r="E5" s="11" t="inlineStr">
        <is>
          <t>Réception &amp; Front Office</t>
        </is>
      </c>
      <c r="F5" s="11" t="inlineStr">
        <is>
          <t>CDI</t>
        </is>
      </c>
      <c r="G5" s="26" t="n">
        <v>43525</v>
      </c>
      <c r="H5" s="26" t="n"/>
      <c r="I5" s="17" t="n">
        <v>350000</v>
      </c>
      <c r="J5" s="11" t="inlineStr">
        <is>
          <t>En cours</t>
        </is>
      </c>
      <c r="K5" s="11" t="inlineStr">
        <is>
          <t>Cadre, convention collective hotellerie</t>
        </is>
      </c>
    </row>
    <row r="6" ht="22" customHeight="1">
      <c r="B6" s="13" t="inlineStr">
        <is>
          <t>CT-002</t>
        </is>
      </c>
      <c r="C6" s="13" t="inlineStr">
        <is>
          <t>Biyong Jean M.</t>
        </is>
      </c>
      <c r="D6" s="13" t="inlineStr">
        <is>
          <t>Chef Cuisine</t>
        </is>
      </c>
      <c r="E6" s="13" t="inlineStr">
        <is>
          <t>Cuisine &amp; Restauration</t>
        </is>
      </c>
      <c r="F6" s="13" t="inlineStr">
        <is>
          <t>CDI</t>
        </is>
      </c>
      <c r="G6" s="27" t="n">
        <v>42901</v>
      </c>
      <c r="H6" s="27" t="n"/>
      <c r="I6" s="18" t="n">
        <v>420000</v>
      </c>
      <c r="J6" s="13" t="inlineStr">
        <is>
          <t>En cours</t>
        </is>
      </c>
      <c r="K6" s="13" t="inlineStr">
        <is>
          <t>Cadre, anciennete 8 ans</t>
        </is>
      </c>
    </row>
    <row r="7" ht="22" customHeight="1">
      <c r="B7" s="11" t="inlineStr">
        <is>
          <t>CT-003</t>
        </is>
      </c>
      <c r="C7" s="11" t="inlineStr">
        <is>
          <t>Kamga Patrice</t>
        </is>
      </c>
      <c r="D7" s="11" t="inlineStr">
        <is>
          <t>Receptionniste</t>
        </is>
      </c>
      <c r="E7" s="11" t="inlineStr">
        <is>
          <t>Réception &amp; Front Office</t>
        </is>
      </c>
      <c r="F7" s="11" t="inlineStr">
        <is>
          <t>CDD</t>
        </is>
      </c>
      <c r="G7" s="26" t="n">
        <v>45658</v>
      </c>
      <c r="H7" s="26" t="n">
        <v>45838</v>
      </c>
      <c r="I7" s="17" t="n">
        <v>180000</v>
      </c>
      <c r="J7" s="11" t="inlineStr">
        <is>
          <t>En renouvellement</t>
        </is>
      </c>
      <c r="K7" s="11" t="inlineStr">
        <is>
          <t>CDD 6 mois, renouvellement prevu</t>
        </is>
      </c>
    </row>
    <row r="8" ht="22" customHeight="1">
      <c r="B8" s="13" t="inlineStr">
        <is>
          <t>CT-004</t>
        </is>
      </c>
      <c r="C8" s="13" t="inlineStr">
        <is>
          <t>Fouda M.</t>
        </is>
      </c>
      <c r="D8" s="13" t="inlineStr">
        <is>
          <t>Cuisinier</t>
        </is>
      </c>
      <c r="E8" s="13" t="inlineStr">
        <is>
          <t>Cuisine &amp; Restauration</t>
        </is>
      </c>
      <c r="F8" s="13" t="inlineStr">
        <is>
          <t>CDI</t>
        </is>
      </c>
      <c r="G8" s="27" t="n">
        <v>45170</v>
      </c>
      <c r="H8" s="27" t="n"/>
      <c r="I8" s="18" t="n">
        <v>220000</v>
      </c>
      <c r="J8" s="13" t="inlineStr">
        <is>
          <t>En cours</t>
        </is>
      </c>
      <c r="K8" s="13" t="inlineStr">
        <is>
          <t>Promotion en cours</t>
        </is>
      </c>
    </row>
    <row r="9" ht="22" customHeight="1">
      <c r="B9" s="11" t="inlineStr">
        <is>
          <t>CT-005</t>
        </is>
      </c>
      <c r="C9" s="11" t="inlineStr">
        <is>
          <t>Tchinda P.</t>
        </is>
      </c>
      <c r="D9" s="11" t="inlineStr">
        <is>
          <t>Chef Entretien</t>
        </is>
      </c>
      <c r="E9" s="11" t="inlineStr">
        <is>
          <t>Maintenance</t>
        </is>
      </c>
      <c r="F9" s="11" t="inlineStr">
        <is>
          <t>CDI</t>
        </is>
      </c>
      <c r="G9" s="26" t="n">
        <v>43132</v>
      </c>
      <c r="H9" s="26" t="n"/>
      <c r="I9" s="17" t="n">
        <v>310000</v>
      </c>
      <c r="J9" s="11" t="inlineStr">
        <is>
          <t>En cours</t>
        </is>
      </c>
      <c r="K9" s="11" t="inlineStr">
        <is>
          <t>Cadre, qualification electrique</t>
        </is>
      </c>
    </row>
    <row r="10" ht="22" customHeight="1">
      <c r="B10" s="15">
        <f>IF(C10="","CT-"&amp;TEXT(COUNTA($C$5:C10),"000"))</f>
        <v/>
      </c>
      <c r="C10" s="13" t="n"/>
      <c r="D10" s="13" t="n"/>
      <c r="E10" s="13" t="n"/>
      <c r="F10" s="13" t="n"/>
      <c r="G10" s="27" t="n"/>
      <c r="H10" s="27" t="n"/>
      <c r="I10" s="18" t="n"/>
      <c r="J10" s="13" t="n"/>
      <c r="K10" s="13" t="n"/>
    </row>
    <row r="11" ht="22" customHeight="1">
      <c r="B11" s="16">
        <f>IF(C11="","CT-"&amp;TEXT(COUNTA($C$5:C11),"000"))</f>
        <v/>
      </c>
      <c r="C11" s="11" t="n"/>
      <c r="D11" s="11" t="n"/>
      <c r="E11" s="11" t="n"/>
      <c r="F11" s="11" t="n"/>
      <c r="G11" s="26" t="n"/>
      <c r="H11" s="26" t="n"/>
      <c r="I11" s="17" t="n"/>
      <c r="J11" s="11" t="n"/>
      <c r="K11" s="11" t="n"/>
    </row>
    <row r="12" ht="22" customHeight="1">
      <c r="B12" s="15">
        <f>IF(C12="","CT-"&amp;TEXT(COUNTA($C$5:C12),"000"))</f>
        <v/>
      </c>
      <c r="C12" s="13" t="n"/>
      <c r="D12" s="13" t="n"/>
      <c r="E12" s="13" t="n"/>
      <c r="F12" s="13" t="n"/>
      <c r="G12" s="27" t="n"/>
      <c r="H12" s="27" t="n"/>
      <c r="I12" s="18" t="n"/>
      <c r="J12" s="13" t="n"/>
      <c r="K12" s="13" t="n"/>
    </row>
    <row r="13" ht="22" customHeight="1">
      <c r="B13" s="16">
        <f>IF(C13="","CT-"&amp;TEXT(COUNTA($C$5:C13),"000"))</f>
        <v/>
      </c>
      <c r="C13" s="11" t="n"/>
      <c r="D13" s="11" t="n"/>
      <c r="E13" s="11" t="n"/>
      <c r="F13" s="11" t="n"/>
      <c r="G13" s="26" t="n"/>
      <c r="H13" s="26" t="n"/>
      <c r="I13" s="17" t="n"/>
      <c r="J13" s="11" t="n"/>
      <c r="K13" s="11" t="n"/>
    </row>
    <row r="14" ht="22" customHeight="1">
      <c r="B14" s="15">
        <f>IF(C14="","CT-"&amp;TEXT(COUNTA($C$5:C14),"000"))</f>
        <v/>
      </c>
      <c r="C14" s="13" t="n"/>
      <c r="D14" s="13" t="n"/>
      <c r="E14" s="13" t="n"/>
      <c r="F14" s="13" t="n"/>
      <c r="G14" s="27" t="n"/>
      <c r="H14" s="27" t="n"/>
      <c r="I14" s="18" t="n"/>
      <c r="J14" s="13" t="n"/>
      <c r="K14" s="13" t="n"/>
    </row>
    <row r="15" ht="22" customHeight="1">
      <c r="B15" s="16">
        <f>IF(C15="","CT-"&amp;TEXT(COUNTA($C$5:C15),"000"))</f>
        <v/>
      </c>
      <c r="C15" s="11" t="n"/>
      <c r="D15" s="11" t="n"/>
      <c r="E15" s="11" t="n"/>
      <c r="F15" s="11" t="n"/>
      <c r="G15" s="26" t="n"/>
      <c r="H15" s="26" t="n"/>
      <c r="I15" s="17" t="n"/>
      <c r="J15" s="11" t="n"/>
      <c r="K15" s="11" t="n"/>
    </row>
    <row r="16" ht="22" customHeight="1">
      <c r="B16" s="15">
        <f>IF(C16="","CT-"&amp;TEXT(COUNTA($C$5:C16),"000"))</f>
        <v/>
      </c>
      <c r="C16" s="13" t="n"/>
      <c r="D16" s="13" t="n"/>
      <c r="E16" s="13" t="n"/>
      <c r="F16" s="13" t="n"/>
      <c r="G16" s="27" t="n"/>
      <c r="H16" s="27" t="n"/>
      <c r="I16" s="18" t="n"/>
      <c r="J16" s="13" t="n"/>
      <c r="K16" s="13" t="n"/>
    </row>
    <row r="17" ht="22" customHeight="1">
      <c r="B17" s="16">
        <f>IF(C17="","CT-"&amp;TEXT(COUNTA($C$5:C17),"000"))</f>
        <v/>
      </c>
      <c r="C17" s="11" t="n"/>
      <c r="D17" s="11" t="n"/>
      <c r="E17" s="11" t="n"/>
      <c r="F17" s="11" t="n"/>
      <c r="G17" s="26" t="n"/>
      <c r="H17" s="26" t="n"/>
      <c r="I17" s="17" t="n"/>
      <c r="J17" s="11" t="n"/>
      <c r="K17" s="11" t="n"/>
    </row>
    <row r="18" ht="22" customHeight="1">
      <c r="B18" s="15">
        <f>IF(C18="","CT-"&amp;TEXT(COUNTA($C$5:C18),"000"))</f>
        <v/>
      </c>
      <c r="C18" s="13" t="n"/>
      <c r="D18" s="13" t="n"/>
      <c r="E18" s="13" t="n"/>
      <c r="F18" s="13" t="n"/>
      <c r="G18" s="27" t="n"/>
      <c r="H18" s="27" t="n"/>
      <c r="I18" s="18" t="n"/>
      <c r="J18" s="13" t="n"/>
      <c r="K18" s="13" t="n"/>
    </row>
    <row r="19" ht="22" customHeight="1">
      <c r="B19" s="16">
        <f>IF(C19="","CT-"&amp;TEXT(COUNTA($C$5:C19),"000"))</f>
        <v/>
      </c>
      <c r="C19" s="11" t="n"/>
      <c r="D19" s="11" t="n"/>
      <c r="E19" s="11" t="n"/>
      <c r="F19" s="11" t="n"/>
      <c r="G19" s="26" t="n"/>
      <c r="H19" s="26" t="n"/>
      <c r="I19" s="17" t="n"/>
      <c r="J19" s="11" t="n"/>
      <c r="K19" s="11" t="n"/>
    </row>
    <row r="20" ht="22" customHeight="1">
      <c r="B20" s="15">
        <f>IF(C20="","CT-"&amp;TEXT(COUNTA($C$5:C20),"000"))</f>
        <v/>
      </c>
      <c r="C20" s="13" t="n"/>
      <c r="D20" s="13" t="n"/>
      <c r="E20" s="13" t="n"/>
      <c r="F20" s="13" t="n"/>
      <c r="G20" s="27" t="n"/>
      <c r="H20" s="27" t="n"/>
      <c r="I20" s="18" t="n"/>
      <c r="J20" s="13" t="n"/>
      <c r="K20" s="13" t="n"/>
    </row>
    <row r="21" ht="22" customHeight="1">
      <c r="B21" s="16">
        <f>IF(C21="","CT-"&amp;TEXT(COUNTA($C$5:C21),"000"))</f>
        <v/>
      </c>
      <c r="C21" s="11" t="n"/>
      <c r="D21" s="11" t="n"/>
      <c r="E21" s="11" t="n"/>
      <c r="F21" s="11" t="n"/>
      <c r="G21" s="26" t="n"/>
      <c r="H21" s="26" t="n"/>
      <c r="I21" s="17" t="n"/>
      <c r="J21" s="11" t="n"/>
      <c r="K21" s="11" t="n"/>
    </row>
    <row r="22" ht="22" customHeight="1">
      <c r="B22" s="15">
        <f>IF(C22="","CT-"&amp;TEXT(COUNTA($C$5:C22),"000"))</f>
        <v/>
      </c>
      <c r="C22" s="13" t="n"/>
      <c r="D22" s="13" t="n"/>
      <c r="E22" s="13" t="n"/>
      <c r="F22" s="13" t="n"/>
      <c r="G22" s="27" t="n"/>
      <c r="H22" s="27" t="n"/>
      <c r="I22" s="18" t="n"/>
      <c r="J22" s="13" t="n"/>
      <c r="K22" s="13" t="n"/>
    </row>
    <row r="23" ht="22" customHeight="1">
      <c r="B23" s="16">
        <f>IF(C23="","CT-"&amp;TEXT(COUNTA($C$5:C23),"000"))</f>
        <v/>
      </c>
      <c r="C23" s="11" t="n"/>
      <c r="D23" s="11" t="n"/>
      <c r="E23" s="11" t="n"/>
      <c r="F23" s="11" t="n"/>
      <c r="G23" s="26" t="n"/>
      <c r="H23" s="26" t="n"/>
      <c r="I23" s="17" t="n"/>
      <c r="J23" s="11" t="n"/>
      <c r="K23" s="11" t="n"/>
    </row>
    <row r="24" ht="22" customHeight="1">
      <c r="B24" s="15">
        <f>IF(C24="","CT-"&amp;TEXT(COUNTA($C$5:C24),"000"))</f>
        <v/>
      </c>
      <c r="C24" s="13" t="n"/>
      <c r="D24" s="13" t="n"/>
      <c r="E24" s="13" t="n"/>
      <c r="F24" s="13" t="n"/>
      <c r="G24" s="27" t="n"/>
      <c r="H24" s="27" t="n"/>
      <c r="I24" s="18" t="n"/>
      <c r="J24" s="13" t="n"/>
      <c r="K24" s="13" t="n"/>
    </row>
    <row r="25" ht="22" customHeight="1">
      <c r="B25" s="16">
        <f>IF(C25="","CT-"&amp;TEXT(COUNTA($C$5:C25),"000"))</f>
        <v/>
      </c>
      <c r="C25" s="11" t="n"/>
      <c r="D25" s="11" t="n"/>
      <c r="E25" s="11" t="n"/>
      <c r="F25" s="11" t="n"/>
      <c r="G25" s="26" t="n"/>
      <c r="H25" s="26" t="n"/>
      <c r="I25" s="17" t="n"/>
      <c r="J25" s="11" t="n"/>
      <c r="K25" s="11" t="n"/>
    </row>
    <row r="26" ht="22" customHeight="1">
      <c r="B26" s="15">
        <f>IF(C26="","CT-"&amp;TEXT(COUNTA($C$5:C26),"000"))</f>
        <v/>
      </c>
      <c r="C26" s="13" t="n"/>
      <c r="D26" s="13" t="n"/>
      <c r="E26" s="13" t="n"/>
      <c r="F26" s="13" t="n"/>
      <c r="G26" s="27" t="n"/>
      <c r="H26" s="27" t="n"/>
      <c r="I26" s="18" t="n"/>
      <c r="J26" s="13" t="n"/>
      <c r="K26" s="13" t="n"/>
    </row>
    <row r="27" ht="22" customHeight="1">
      <c r="B27" s="16">
        <f>IF(C27="","CT-"&amp;TEXT(COUNTA($C$5:C27),"000"))</f>
        <v/>
      </c>
      <c r="C27" s="11" t="n"/>
      <c r="D27" s="11" t="n"/>
      <c r="E27" s="11" t="n"/>
      <c r="F27" s="11" t="n"/>
      <c r="G27" s="26" t="n"/>
      <c r="H27" s="26" t="n"/>
      <c r="I27" s="17" t="n"/>
      <c r="J27" s="11" t="n"/>
      <c r="K27" s="11" t="n"/>
    </row>
    <row r="28" ht="22" customHeight="1">
      <c r="B28" s="15">
        <f>IF(C28="","CT-"&amp;TEXT(COUNTA($C$5:C28),"000"))</f>
        <v/>
      </c>
      <c r="C28" s="13" t="n"/>
      <c r="D28" s="13" t="n"/>
      <c r="E28" s="13" t="n"/>
      <c r="F28" s="13" t="n"/>
      <c r="G28" s="27" t="n"/>
      <c r="H28" s="27" t="n"/>
      <c r="I28" s="18" t="n"/>
      <c r="J28" s="13" t="n"/>
      <c r="K28" s="13" t="n"/>
    </row>
    <row r="29" ht="22" customHeight="1">
      <c r="B29" s="16">
        <f>IF(C29="","CT-"&amp;TEXT(COUNTA($C$5:C29),"000"))</f>
        <v/>
      </c>
      <c r="C29" s="11" t="n"/>
      <c r="D29" s="11" t="n"/>
      <c r="E29" s="11" t="n"/>
      <c r="F29" s="11" t="n"/>
      <c r="G29" s="26" t="n"/>
      <c r="H29" s="26" t="n"/>
      <c r="I29" s="17" t="n"/>
      <c r="J29" s="11" t="n"/>
      <c r="K29" s="11" t="n"/>
    </row>
    <row r="30" ht="22" customHeight="1">
      <c r="B30" s="15">
        <f>IF(C30="","CT-"&amp;TEXT(COUNTA($C$5:C30),"000"))</f>
        <v/>
      </c>
      <c r="C30" s="13" t="n"/>
      <c r="D30" s="13" t="n"/>
      <c r="E30" s="13" t="n"/>
      <c r="F30" s="13" t="n"/>
      <c r="G30" s="27" t="n"/>
      <c r="H30" s="27" t="n"/>
      <c r="I30" s="18" t="n"/>
      <c r="J30" s="13" t="n"/>
      <c r="K30" s="13" t="n"/>
    </row>
    <row r="31" ht="22" customHeight="1">
      <c r="B31" s="16">
        <f>IF(C31="","CT-"&amp;TEXT(COUNTA($C$5:C31),"000"))</f>
        <v/>
      </c>
      <c r="C31" s="11" t="n"/>
      <c r="D31" s="11" t="n"/>
      <c r="E31" s="11" t="n"/>
      <c r="F31" s="11" t="n"/>
      <c r="G31" s="26" t="n"/>
      <c r="H31" s="26" t="n"/>
      <c r="I31" s="17" t="n"/>
      <c r="J31" s="11" t="n"/>
      <c r="K31" s="11" t="n"/>
    </row>
    <row r="32" ht="22" customHeight="1">
      <c r="B32" s="15">
        <f>IF(C32="","CT-"&amp;TEXT(COUNTA($C$5:C32),"000"))</f>
        <v/>
      </c>
      <c r="C32" s="13" t="n"/>
      <c r="D32" s="13" t="n"/>
      <c r="E32" s="13" t="n"/>
      <c r="F32" s="13" t="n"/>
      <c r="G32" s="27" t="n"/>
      <c r="H32" s="27" t="n"/>
      <c r="I32" s="18" t="n"/>
      <c r="J32" s="13" t="n"/>
      <c r="K32" s="13" t="n"/>
    </row>
    <row r="33" ht="22" customHeight="1">
      <c r="B33" s="16">
        <f>IF(C33="","CT-"&amp;TEXT(COUNTA($C$5:C33),"000"))</f>
        <v/>
      </c>
      <c r="C33" s="11" t="n"/>
      <c r="D33" s="11" t="n"/>
      <c r="E33" s="11" t="n"/>
      <c r="F33" s="11" t="n"/>
      <c r="G33" s="26" t="n"/>
      <c r="H33" s="26" t="n"/>
      <c r="I33" s="17" t="n"/>
      <c r="J33" s="11" t="n"/>
      <c r="K33" s="11" t="n"/>
    </row>
    <row r="34" ht="22" customHeight="1">
      <c r="B34" s="15">
        <f>IF(C34="","CT-"&amp;TEXT(COUNTA($C$5:C34),"000"))</f>
        <v/>
      </c>
      <c r="C34" s="13" t="n"/>
      <c r="D34" s="13" t="n"/>
      <c r="E34" s="13" t="n"/>
      <c r="F34" s="13" t="n"/>
      <c r="G34" s="27" t="n"/>
      <c r="H34" s="27" t="n"/>
      <c r="I34" s="18" t="n"/>
      <c r="J34" s="13" t="n"/>
      <c r="K34" s="13" t="n"/>
    </row>
    <row r="35" ht="22" customHeight="1">
      <c r="B35" s="16">
        <f>IF(C35="","CT-"&amp;TEXT(COUNTA($C$5:C35),"000"))</f>
        <v/>
      </c>
      <c r="C35" s="11" t="n"/>
      <c r="D35" s="11" t="n"/>
      <c r="E35" s="11" t="n"/>
      <c r="F35" s="11" t="n"/>
      <c r="G35" s="26" t="n"/>
      <c r="H35" s="26" t="n"/>
      <c r="I35" s="17" t="n"/>
      <c r="J35" s="11" t="n"/>
      <c r="K35" s="11" t="n"/>
    </row>
    <row r="36" ht="22" customHeight="1">
      <c r="B36" s="15">
        <f>IF(C36="","CT-"&amp;TEXT(COUNTA($C$5:C36),"000"))</f>
        <v/>
      </c>
      <c r="C36" s="13" t="n"/>
      <c r="D36" s="13" t="n"/>
      <c r="E36" s="13" t="n"/>
      <c r="F36" s="13" t="n"/>
      <c r="G36" s="27" t="n"/>
      <c r="H36" s="27" t="n"/>
      <c r="I36" s="18" t="n"/>
      <c r="J36" s="13" t="n"/>
      <c r="K36" s="13" t="n"/>
    </row>
    <row r="37" ht="22" customHeight="1">
      <c r="B37" s="16">
        <f>IF(C37="","CT-"&amp;TEXT(COUNTA($C$5:C37),"000"))</f>
        <v/>
      </c>
      <c r="C37" s="11" t="n"/>
      <c r="D37" s="11" t="n"/>
      <c r="E37" s="11" t="n"/>
      <c r="F37" s="11" t="n"/>
      <c r="G37" s="26" t="n"/>
      <c r="H37" s="26" t="n"/>
      <c r="I37" s="17" t="n"/>
      <c r="J37" s="11" t="n"/>
      <c r="K37" s="11" t="n"/>
    </row>
    <row r="38" ht="22" customHeight="1">
      <c r="B38" s="15">
        <f>IF(C38="","CT-"&amp;TEXT(COUNTA($C$5:C38),"000"))</f>
        <v/>
      </c>
      <c r="C38" s="13" t="n"/>
      <c r="D38" s="13" t="n"/>
      <c r="E38" s="13" t="n"/>
      <c r="F38" s="13" t="n"/>
      <c r="G38" s="27" t="n"/>
      <c r="H38" s="27" t="n"/>
      <c r="I38" s="18" t="n"/>
      <c r="J38" s="13" t="n"/>
      <c r="K38" s="13" t="n"/>
    </row>
    <row r="39" ht="22" customHeight="1">
      <c r="B39" s="16">
        <f>IF(C39="","CT-"&amp;TEXT(COUNTA($C$5:C39),"000"))</f>
        <v/>
      </c>
      <c r="C39" s="11" t="n"/>
      <c r="D39" s="11" t="n"/>
      <c r="E39" s="11" t="n"/>
      <c r="F39" s="11" t="n"/>
      <c r="G39" s="26" t="n"/>
      <c r="H39" s="26" t="n"/>
      <c r="I39" s="17" t="n"/>
      <c r="J39" s="11" t="n"/>
      <c r="K39" s="11" t="n"/>
    </row>
    <row r="40" ht="22" customHeight="1">
      <c r="B40" s="15">
        <f>IF(C40="","CT-"&amp;TEXT(COUNTA($C$5:C40),"000"))</f>
        <v/>
      </c>
      <c r="C40" s="13" t="n"/>
      <c r="D40" s="13" t="n"/>
      <c r="E40" s="13" t="n"/>
      <c r="F40" s="13" t="n"/>
      <c r="G40" s="27" t="n"/>
      <c r="H40" s="27" t="n"/>
      <c r="I40" s="18" t="n"/>
      <c r="J40" s="13" t="n"/>
      <c r="K40" s="13" t="n"/>
    </row>
    <row r="41" ht="22" customHeight="1">
      <c r="B41" s="16">
        <f>IF(C41="","CT-"&amp;TEXT(COUNTA($C$5:C41),"000"))</f>
        <v/>
      </c>
      <c r="C41" s="11" t="n"/>
      <c r="D41" s="11" t="n"/>
      <c r="E41" s="11" t="n"/>
      <c r="F41" s="11" t="n"/>
      <c r="G41" s="26" t="n"/>
      <c r="H41" s="26" t="n"/>
      <c r="I41" s="17" t="n"/>
      <c r="J41" s="11" t="n"/>
      <c r="K41" s="11" t="n"/>
    </row>
    <row r="42" ht="22" customHeight="1">
      <c r="B42" s="15">
        <f>IF(C42="","CT-"&amp;TEXT(COUNTA($C$5:C42),"000"))</f>
        <v/>
      </c>
      <c r="C42" s="13" t="n"/>
      <c r="D42" s="13" t="n"/>
      <c r="E42" s="13" t="n"/>
      <c r="F42" s="13" t="n"/>
      <c r="G42" s="27" t="n"/>
      <c r="H42" s="27" t="n"/>
      <c r="I42" s="18" t="n"/>
      <c r="J42" s="13" t="n"/>
      <c r="K42" s="13" t="n"/>
    </row>
    <row r="43" ht="22" customHeight="1">
      <c r="B43" s="16">
        <f>IF(C43="","CT-"&amp;TEXT(COUNTA($C$5:C43),"000"))</f>
        <v/>
      </c>
      <c r="C43" s="11" t="n"/>
      <c r="D43" s="11" t="n"/>
      <c r="E43" s="11" t="n"/>
      <c r="F43" s="11" t="n"/>
      <c r="G43" s="26" t="n"/>
      <c r="H43" s="26" t="n"/>
      <c r="I43" s="17" t="n"/>
      <c r="J43" s="11" t="n"/>
      <c r="K43" s="11" t="n"/>
    </row>
    <row r="44" ht="22" customHeight="1">
      <c r="B44" s="15">
        <f>IF(C44="","CT-"&amp;TEXT(COUNTA($C$5:C44),"000"))</f>
        <v/>
      </c>
      <c r="C44" s="13" t="n"/>
      <c r="D44" s="13" t="n"/>
      <c r="E44" s="13" t="n"/>
      <c r="F44" s="13" t="n"/>
      <c r="G44" s="27" t="n"/>
      <c r="H44" s="27" t="n"/>
      <c r="I44" s="18" t="n"/>
      <c r="J44" s="13" t="n"/>
      <c r="K44" s="13" t="n"/>
    </row>
    <row r="45" ht="22" customHeight="1">
      <c r="B45" s="16">
        <f>IF(C45="","CT-"&amp;TEXT(COUNTA($C$5:C45),"000"))</f>
        <v/>
      </c>
      <c r="C45" s="11" t="n"/>
      <c r="D45" s="11" t="n"/>
      <c r="E45" s="11" t="n"/>
      <c r="F45" s="11" t="n"/>
      <c r="G45" s="26" t="n"/>
      <c r="H45" s="26" t="n"/>
      <c r="I45" s="17" t="n"/>
      <c r="J45" s="11" t="n"/>
      <c r="K45" s="11" t="n"/>
    </row>
    <row r="46" ht="22" customHeight="1">
      <c r="B46" s="15">
        <f>IF(C46="","CT-"&amp;TEXT(COUNTA($C$5:C46),"000"))</f>
        <v/>
      </c>
      <c r="C46" s="13" t="n"/>
      <c r="D46" s="13" t="n"/>
      <c r="E46" s="13" t="n"/>
      <c r="F46" s="13" t="n"/>
      <c r="G46" s="27" t="n"/>
      <c r="H46" s="27" t="n"/>
      <c r="I46" s="18" t="n"/>
      <c r="J46" s="13" t="n"/>
      <c r="K46" s="13" t="n"/>
    </row>
    <row r="47" ht="22" customHeight="1">
      <c r="B47" s="16">
        <f>IF(C47="","CT-"&amp;TEXT(COUNTA($C$5:C47),"000"))</f>
        <v/>
      </c>
      <c r="C47" s="11" t="n"/>
      <c r="D47" s="11" t="n"/>
      <c r="E47" s="11" t="n"/>
      <c r="F47" s="11" t="n"/>
      <c r="G47" s="26" t="n"/>
      <c r="H47" s="26" t="n"/>
      <c r="I47" s="17" t="n"/>
      <c r="J47" s="11" t="n"/>
      <c r="K47" s="11" t="n"/>
    </row>
    <row r="48" ht="22" customHeight="1">
      <c r="B48" s="15">
        <f>IF(C48="","CT-"&amp;TEXT(COUNTA($C$5:C48),"000"))</f>
        <v/>
      </c>
      <c r="C48" s="13" t="n"/>
      <c r="D48" s="13" t="n"/>
      <c r="E48" s="13" t="n"/>
      <c r="F48" s="13" t="n"/>
      <c r="G48" s="27" t="n"/>
      <c r="H48" s="27" t="n"/>
      <c r="I48" s="18" t="n"/>
      <c r="J48" s="13" t="n"/>
      <c r="K48" s="13" t="n"/>
    </row>
    <row r="49" ht="22" customHeight="1">
      <c r="B49" s="16">
        <f>IF(C49="","CT-"&amp;TEXT(COUNTA($C$5:C49),"000"))</f>
        <v/>
      </c>
      <c r="C49" s="11" t="n"/>
      <c r="D49" s="11" t="n"/>
      <c r="E49" s="11" t="n"/>
      <c r="F49" s="11" t="n"/>
      <c r="G49" s="26" t="n"/>
      <c r="H49" s="26" t="n"/>
      <c r="I49" s="17" t="n"/>
      <c r="J49" s="11" t="n"/>
      <c r="K49" s="11" t="n"/>
    </row>
    <row r="50" ht="22" customHeight="1">
      <c r="B50" s="15">
        <f>IF(C50="","CT-"&amp;TEXT(COUNTA($C$5:C50),"000"))</f>
        <v/>
      </c>
      <c r="C50" s="13" t="n"/>
      <c r="D50" s="13" t="n"/>
      <c r="E50" s="13" t="n"/>
      <c r="F50" s="13" t="n"/>
      <c r="G50" s="27" t="n"/>
      <c r="H50" s="27" t="n"/>
      <c r="I50" s="18" t="n"/>
      <c r="J50" s="13" t="n"/>
      <c r="K50" s="13" t="n"/>
    </row>
    <row r="51" ht="22" customHeight="1">
      <c r="B51" s="16">
        <f>IF(C51="","CT-"&amp;TEXT(COUNTA($C$5:C51),"000"))</f>
        <v/>
      </c>
      <c r="C51" s="11" t="n"/>
      <c r="D51" s="11" t="n"/>
      <c r="E51" s="11" t="n"/>
      <c r="F51" s="11" t="n"/>
      <c r="G51" s="26" t="n"/>
      <c r="H51" s="26" t="n"/>
      <c r="I51" s="17" t="n"/>
      <c r="J51" s="11" t="n"/>
      <c r="K51" s="11" t="n"/>
    </row>
    <row r="52" ht="22" customHeight="1">
      <c r="B52" s="15">
        <f>IF(C52="","CT-"&amp;TEXT(COUNTA($C$5:C52),"000"))</f>
        <v/>
      </c>
      <c r="C52" s="13" t="n"/>
      <c r="D52" s="13" t="n"/>
      <c r="E52" s="13" t="n"/>
      <c r="F52" s="13" t="n"/>
      <c r="G52" s="27" t="n"/>
      <c r="H52" s="27" t="n"/>
      <c r="I52" s="18" t="n"/>
      <c r="J52" s="13" t="n"/>
      <c r="K52" s="13" t="n"/>
    </row>
    <row r="53" ht="22" customHeight="1">
      <c r="B53" s="16">
        <f>IF(C53="","CT-"&amp;TEXT(COUNTA($C$5:C53),"000"))</f>
        <v/>
      </c>
      <c r="C53" s="11" t="n"/>
      <c r="D53" s="11" t="n"/>
      <c r="E53" s="11" t="n"/>
      <c r="F53" s="11" t="n"/>
      <c r="G53" s="26" t="n"/>
      <c r="H53" s="26" t="n"/>
      <c r="I53" s="17" t="n"/>
      <c r="J53" s="11" t="n"/>
      <c r="K53" s="11" t="n"/>
    </row>
    <row r="54" ht="22" customHeight="1">
      <c r="B54" s="15">
        <f>IF(C54="","CT-"&amp;TEXT(COUNTA($C$5:C54),"000"))</f>
        <v/>
      </c>
      <c r="C54" s="13" t="n"/>
      <c r="D54" s="13" t="n"/>
      <c r="E54" s="13" t="n"/>
      <c r="F54" s="13" t="n"/>
      <c r="G54" s="27" t="n"/>
      <c r="H54" s="27" t="n"/>
      <c r="I54" s="18" t="n"/>
      <c r="J54" s="13" t="n"/>
      <c r="K54" s="13" t="n"/>
    </row>
    <row r="55" ht="22" customHeight="1">
      <c r="B55" s="16">
        <f>IF(C55="","CT-"&amp;TEXT(COUNTA($C$5:C55),"000"))</f>
        <v/>
      </c>
      <c r="C55" s="11" t="n"/>
      <c r="D55" s="11" t="n"/>
      <c r="E55" s="11" t="n"/>
      <c r="F55" s="11" t="n"/>
      <c r="G55" s="26" t="n"/>
      <c r="H55" s="26" t="n"/>
      <c r="I55" s="17" t="n"/>
      <c r="J55" s="11" t="n"/>
      <c r="K55" s="11" t="n"/>
    </row>
    <row r="56" ht="22" customHeight="1">
      <c r="B56" s="15">
        <f>IF(C56="","CT-"&amp;TEXT(COUNTA($C$5:C56),"000"))</f>
        <v/>
      </c>
      <c r="C56" s="13" t="n"/>
      <c r="D56" s="13" t="n"/>
      <c r="E56" s="13" t="n"/>
      <c r="F56" s="13" t="n"/>
      <c r="G56" s="27" t="n"/>
      <c r="H56" s="27" t="n"/>
      <c r="I56" s="18" t="n"/>
      <c r="J56" s="13" t="n"/>
      <c r="K56" s="13" t="n"/>
    </row>
    <row r="57" ht="22" customHeight="1">
      <c r="B57" s="16">
        <f>IF(C57="","CT-"&amp;TEXT(COUNTA($C$5:C57),"000"))</f>
        <v/>
      </c>
      <c r="C57" s="11" t="n"/>
      <c r="D57" s="11" t="n"/>
      <c r="E57" s="11" t="n"/>
      <c r="F57" s="11" t="n"/>
      <c r="G57" s="26" t="n"/>
      <c r="H57" s="26" t="n"/>
      <c r="I57" s="17" t="n"/>
      <c r="J57" s="11" t="n"/>
      <c r="K57" s="11" t="n"/>
    </row>
    <row r="58" ht="22" customHeight="1">
      <c r="B58" s="15">
        <f>IF(C58="","CT-"&amp;TEXT(COUNTA($C$5:C58),"000"))</f>
        <v/>
      </c>
      <c r="C58" s="13" t="n"/>
      <c r="D58" s="13" t="n"/>
      <c r="E58" s="13" t="n"/>
      <c r="F58" s="13" t="n"/>
      <c r="G58" s="27" t="n"/>
      <c r="H58" s="27" t="n"/>
      <c r="I58" s="18" t="n"/>
      <c r="J58" s="13" t="n"/>
      <c r="K58" s="13" t="n"/>
    </row>
    <row r="59" ht="22" customHeight="1">
      <c r="B59" s="16">
        <f>IF(C59="","CT-"&amp;TEXT(COUNTA($C$5:C59),"000"))</f>
        <v/>
      </c>
      <c r="C59" s="11" t="n"/>
      <c r="D59" s="11" t="n"/>
      <c r="E59" s="11" t="n"/>
      <c r="F59" s="11" t="n"/>
      <c r="G59" s="26" t="n"/>
      <c r="H59" s="26" t="n"/>
      <c r="I59" s="17" t="n"/>
      <c r="J59" s="11" t="n"/>
      <c r="K59" s="11" t="n"/>
    </row>
    <row r="60" ht="22" customHeight="1">
      <c r="B60" s="15">
        <f>IF(C60="","CT-"&amp;TEXT(COUNTA($C$5:C60),"000"))</f>
        <v/>
      </c>
      <c r="C60" s="13" t="n"/>
      <c r="D60" s="13" t="n"/>
      <c r="E60" s="13" t="n"/>
      <c r="F60" s="13" t="n"/>
      <c r="G60" s="27" t="n"/>
      <c r="H60" s="27" t="n"/>
      <c r="I60" s="18" t="n"/>
      <c r="J60" s="13" t="n"/>
      <c r="K60" s="13" t="n"/>
    </row>
    <row r="61" ht="22" customHeight="1">
      <c r="B61" s="16">
        <f>IF(C61="","CT-"&amp;TEXT(COUNTA($C$5:C61),"000"))</f>
        <v/>
      </c>
      <c r="C61" s="11" t="n"/>
      <c r="D61" s="11" t="n"/>
      <c r="E61" s="11" t="n"/>
      <c r="F61" s="11" t="n"/>
      <c r="G61" s="26" t="n"/>
      <c r="H61" s="26" t="n"/>
      <c r="I61" s="17" t="n"/>
      <c r="J61" s="11" t="n"/>
      <c r="K61" s="11" t="n"/>
    </row>
    <row r="62" ht="22" customHeight="1">
      <c r="B62" s="15">
        <f>IF(C62="","CT-"&amp;TEXT(COUNTA($C$5:C62),"000"))</f>
        <v/>
      </c>
      <c r="C62" s="13" t="n"/>
      <c r="D62" s="13" t="n"/>
      <c r="E62" s="13" t="n"/>
      <c r="F62" s="13" t="n"/>
      <c r="G62" s="27" t="n"/>
      <c r="H62" s="27" t="n"/>
      <c r="I62" s="18" t="n"/>
      <c r="J62" s="13" t="n"/>
      <c r="K62" s="13" t="n"/>
    </row>
    <row r="63" ht="22" customHeight="1">
      <c r="B63" s="16">
        <f>IF(C63="","CT-"&amp;TEXT(COUNTA($C$5:C63),"000"))</f>
        <v/>
      </c>
      <c r="C63" s="11" t="n"/>
      <c r="D63" s="11" t="n"/>
      <c r="E63" s="11" t="n"/>
      <c r="F63" s="11" t="n"/>
      <c r="G63" s="26" t="n"/>
      <c r="H63" s="26" t="n"/>
      <c r="I63" s="17" t="n"/>
      <c r="J63" s="11" t="n"/>
      <c r="K63" s="11" t="n"/>
    </row>
    <row r="64" ht="22" customHeight="1">
      <c r="B64" s="15">
        <f>IF(C64="","CT-"&amp;TEXT(COUNTA($C$5:C64),"000"))</f>
        <v/>
      </c>
      <c r="C64" s="13" t="n"/>
      <c r="D64" s="13" t="n"/>
      <c r="E64" s="13" t="n"/>
      <c r="F64" s="13" t="n"/>
      <c r="G64" s="27" t="n"/>
      <c r="H64" s="27" t="n"/>
      <c r="I64" s="18" t="n"/>
      <c r="J64" s="13" t="n"/>
      <c r="K64" s="13" t="n"/>
    </row>
    <row r="65" ht="22" customHeight="1">
      <c r="B65" s="16">
        <f>IF(C65="","CT-"&amp;TEXT(COUNTA($C$5:C65),"000"))</f>
        <v/>
      </c>
      <c r="C65" s="11" t="n"/>
      <c r="D65" s="11" t="n"/>
      <c r="E65" s="11" t="n"/>
      <c r="F65" s="11" t="n"/>
      <c r="G65" s="26" t="n"/>
      <c r="H65" s="26" t="n"/>
      <c r="I65" s="17" t="n"/>
      <c r="J65" s="11" t="n"/>
      <c r="K65" s="11" t="n"/>
    </row>
    <row r="66" ht="22" customHeight="1">
      <c r="B66" s="15">
        <f>IF(C66="","CT-"&amp;TEXT(COUNTA($C$5:C66),"000"))</f>
        <v/>
      </c>
      <c r="C66" s="13" t="n"/>
      <c r="D66" s="13" t="n"/>
      <c r="E66" s="13" t="n"/>
      <c r="F66" s="13" t="n"/>
      <c r="G66" s="27" t="n"/>
      <c r="H66" s="27" t="n"/>
      <c r="I66" s="18" t="n"/>
      <c r="J66" s="13" t="n"/>
      <c r="K66" s="13" t="n"/>
    </row>
    <row r="67" ht="22" customHeight="1">
      <c r="B67" s="16">
        <f>IF(C67="","CT-"&amp;TEXT(COUNTA($C$5:C67),"000"))</f>
        <v/>
      </c>
      <c r="C67" s="11" t="n"/>
      <c r="D67" s="11" t="n"/>
      <c r="E67" s="11" t="n"/>
      <c r="F67" s="11" t="n"/>
      <c r="G67" s="26" t="n"/>
      <c r="H67" s="26" t="n"/>
      <c r="I67" s="17" t="n"/>
      <c r="J67" s="11" t="n"/>
      <c r="K67" s="11" t="n"/>
    </row>
    <row r="68" ht="22" customHeight="1">
      <c r="B68" s="15">
        <f>IF(C68="","CT-"&amp;TEXT(COUNTA($C$5:C68),"000"))</f>
        <v/>
      </c>
      <c r="C68" s="13" t="n"/>
      <c r="D68" s="13" t="n"/>
      <c r="E68" s="13" t="n"/>
      <c r="F68" s="13" t="n"/>
      <c r="G68" s="27" t="n"/>
      <c r="H68" s="27" t="n"/>
      <c r="I68" s="18" t="n"/>
      <c r="J68" s="13" t="n"/>
      <c r="K68" s="13" t="n"/>
    </row>
    <row r="69" ht="22" customHeight="1">
      <c r="B69" s="16">
        <f>IF(C69="","CT-"&amp;TEXT(COUNTA($C$5:C69),"000"))</f>
        <v/>
      </c>
      <c r="C69" s="11" t="n"/>
      <c r="D69" s="11" t="n"/>
      <c r="E69" s="11" t="n"/>
      <c r="F69" s="11" t="n"/>
      <c r="G69" s="26" t="n"/>
      <c r="H69" s="26" t="n"/>
      <c r="I69" s="17" t="n"/>
      <c r="J69" s="11" t="n"/>
      <c r="K69" s="11" t="n"/>
    </row>
    <row r="70" ht="22" customHeight="1">
      <c r="B70" s="15">
        <f>IF(C70="","CT-"&amp;TEXT(COUNTA($C$5:C70),"000"))</f>
        <v/>
      </c>
      <c r="C70" s="13" t="n"/>
      <c r="D70" s="13" t="n"/>
      <c r="E70" s="13" t="n"/>
      <c r="F70" s="13" t="n"/>
      <c r="G70" s="27" t="n"/>
      <c r="H70" s="27" t="n"/>
      <c r="I70" s="18" t="n"/>
      <c r="J70" s="13" t="n"/>
      <c r="K70" s="13" t="n"/>
    </row>
    <row r="71" ht="22" customHeight="1">
      <c r="B71" s="16">
        <f>IF(C71="","CT-"&amp;TEXT(COUNTA($C$5:C71),"000"))</f>
        <v/>
      </c>
      <c r="C71" s="11" t="n"/>
      <c r="D71" s="11" t="n"/>
      <c r="E71" s="11" t="n"/>
      <c r="F71" s="11" t="n"/>
      <c r="G71" s="26" t="n"/>
      <c r="H71" s="26" t="n"/>
      <c r="I71" s="17" t="n"/>
      <c r="J71" s="11" t="n"/>
      <c r="K71" s="11" t="n"/>
    </row>
    <row r="72" ht="22" customHeight="1">
      <c r="B72" s="15">
        <f>IF(C72="","CT-"&amp;TEXT(COUNTA($C$5:C72),"000"))</f>
        <v/>
      </c>
      <c r="C72" s="13" t="n"/>
      <c r="D72" s="13" t="n"/>
      <c r="E72" s="13" t="n"/>
      <c r="F72" s="13" t="n"/>
      <c r="G72" s="27" t="n"/>
      <c r="H72" s="27" t="n"/>
      <c r="I72" s="18" t="n"/>
      <c r="J72" s="13" t="n"/>
      <c r="K72" s="13" t="n"/>
    </row>
    <row r="73" ht="22" customHeight="1">
      <c r="B73" s="16">
        <f>IF(C73="","CT-"&amp;TEXT(COUNTA($C$5:C73),"000"))</f>
        <v/>
      </c>
      <c r="C73" s="11" t="n"/>
      <c r="D73" s="11" t="n"/>
      <c r="E73" s="11" t="n"/>
      <c r="F73" s="11" t="n"/>
      <c r="G73" s="26" t="n"/>
      <c r="H73" s="26" t="n"/>
      <c r="I73" s="17" t="n"/>
      <c r="J73" s="11" t="n"/>
      <c r="K73" s="11" t="n"/>
    </row>
    <row r="74" ht="22" customHeight="1">
      <c r="B74" s="15">
        <f>IF(C74="","CT-"&amp;TEXT(COUNTA($C$5:C74),"000"))</f>
        <v/>
      </c>
      <c r="C74" s="13" t="n"/>
      <c r="D74" s="13" t="n"/>
      <c r="E74" s="13" t="n"/>
      <c r="F74" s="13" t="n"/>
      <c r="G74" s="27" t="n"/>
      <c r="H74" s="27" t="n"/>
      <c r="I74" s="18" t="n"/>
      <c r="J74" s="13" t="n"/>
      <c r="K74" s="13" t="n"/>
    </row>
    <row r="75" ht="22" customHeight="1">
      <c r="B75" s="16">
        <f>IF(C75="","CT-"&amp;TEXT(COUNTA($C$5:C75),"000"))</f>
        <v/>
      </c>
      <c r="C75" s="11" t="n"/>
      <c r="D75" s="11" t="n"/>
      <c r="E75" s="11" t="n"/>
      <c r="F75" s="11" t="n"/>
      <c r="G75" s="26" t="n"/>
      <c r="H75" s="26" t="n"/>
      <c r="I75" s="17" t="n"/>
      <c r="J75" s="11" t="n"/>
      <c r="K75" s="11" t="n"/>
    </row>
    <row r="76" ht="22" customHeight="1">
      <c r="B76" s="15">
        <f>IF(C76="","CT-"&amp;TEXT(COUNTA($C$5:C76),"000"))</f>
        <v/>
      </c>
      <c r="C76" s="13" t="n"/>
      <c r="D76" s="13" t="n"/>
      <c r="E76" s="13" t="n"/>
      <c r="F76" s="13" t="n"/>
      <c r="G76" s="27" t="n"/>
      <c r="H76" s="27" t="n"/>
      <c r="I76" s="18" t="n"/>
      <c r="J76" s="13" t="n"/>
      <c r="K76" s="13" t="n"/>
    </row>
    <row r="77" ht="22" customHeight="1">
      <c r="B77" s="16">
        <f>IF(C77="","CT-"&amp;TEXT(COUNTA($C$5:C77),"000"))</f>
        <v/>
      </c>
      <c r="C77" s="11" t="n"/>
      <c r="D77" s="11" t="n"/>
      <c r="E77" s="11" t="n"/>
      <c r="F77" s="11" t="n"/>
      <c r="G77" s="26" t="n"/>
      <c r="H77" s="26" t="n"/>
      <c r="I77" s="17" t="n"/>
      <c r="J77" s="11" t="n"/>
      <c r="K77" s="11" t="n"/>
    </row>
    <row r="78" ht="22" customHeight="1">
      <c r="B78" s="15">
        <f>IF(C78="","CT-"&amp;TEXT(COUNTA($C$5:C78),"000"))</f>
        <v/>
      </c>
      <c r="C78" s="13" t="n"/>
      <c r="D78" s="13" t="n"/>
      <c r="E78" s="13" t="n"/>
      <c r="F78" s="13" t="n"/>
      <c r="G78" s="27" t="n"/>
      <c r="H78" s="27" t="n"/>
      <c r="I78" s="18" t="n"/>
      <c r="J78" s="13" t="n"/>
      <c r="K78" s="13" t="n"/>
    </row>
    <row r="79" ht="22" customHeight="1">
      <c r="B79" s="16">
        <f>IF(C79="","CT-"&amp;TEXT(COUNTA($C$5:C79),"000"))</f>
        <v/>
      </c>
      <c r="C79" s="11" t="n"/>
      <c r="D79" s="11" t="n"/>
      <c r="E79" s="11" t="n"/>
      <c r="F79" s="11" t="n"/>
      <c r="G79" s="26" t="n"/>
      <c r="H79" s="26" t="n"/>
      <c r="I79" s="17" t="n"/>
      <c r="J79" s="11" t="n"/>
      <c r="K79" s="11" t="n"/>
    </row>
    <row r="80" ht="22" customHeight="1">
      <c r="B80" s="15">
        <f>IF(C80="","CT-"&amp;TEXT(COUNTA($C$5:C80),"000"))</f>
        <v/>
      </c>
      <c r="C80" s="13" t="n"/>
      <c r="D80" s="13" t="n"/>
      <c r="E80" s="13" t="n"/>
      <c r="F80" s="13" t="n"/>
      <c r="G80" s="27" t="n"/>
      <c r="H80" s="27" t="n"/>
      <c r="I80" s="18" t="n"/>
      <c r="J80" s="13" t="n"/>
      <c r="K80" s="13" t="n"/>
    </row>
    <row r="81" ht="22" customHeight="1">
      <c r="B81" s="16">
        <f>IF(C81="","CT-"&amp;TEXT(COUNTA($C$5:C81),"000"))</f>
        <v/>
      </c>
      <c r="C81" s="11" t="n"/>
      <c r="D81" s="11" t="n"/>
      <c r="E81" s="11" t="n"/>
      <c r="F81" s="11" t="n"/>
      <c r="G81" s="26" t="n"/>
      <c r="H81" s="26" t="n"/>
      <c r="I81" s="17" t="n"/>
      <c r="J81" s="11" t="n"/>
      <c r="K81" s="11" t="n"/>
    </row>
    <row r="82" ht="22" customHeight="1">
      <c r="B82" s="15">
        <f>IF(C82="","CT-"&amp;TEXT(COUNTA($C$5:C82),"000"))</f>
        <v/>
      </c>
      <c r="C82" s="13" t="n"/>
      <c r="D82" s="13" t="n"/>
      <c r="E82" s="13" t="n"/>
      <c r="F82" s="13" t="n"/>
      <c r="G82" s="27" t="n"/>
      <c r="H82" s="27" t="n"/>
      <c r="I82" s="18" t="n"/>
      <c r="J82" s="13" t="n"/>
      <c r="K82" s="13" t="n"/>
    </row>
    <row r="83" ht="22" customHeight="1">
      <c r="B83" s="16">
        <f>IF(C83="","CT-"&amp;TEXT(COUNTA($C$5:C83),"000"))</f>
        <v/>
      </c>
      <c r="C83" s="11" t="n"/>
      <c r="D83" s="11" t="n"/>
      <c r="E83" s="11" t="n"/>
      <c r="F83" s="11" t="n"/>
      <c r="G83" s="26" t="n"/>
      <c r="H83" s="26" t="n"/>
      <c r="I83" s="17" t="n"/>
      <c r="J83" s="11" t="n"/>
      <c r="K83" s="11" t="n"/>
    </row>
    <row r="84" ht="22" customHeight="1">
      <c r="B84" s="15">
        <f>IF(C84="","CT-"&amp;TEXT(COUNTA($C$5:C84),"000"))</f>
        <v/>
      </c>
      <c r="C84" s="13" t="n"/>
      <c r="D84" s="13" t="n"/>
      <c r="E84" s="13" t="n"/>
      <c r="F84" s="13" t="n"/>
      <c r="G84" s="27" t="n"/>
      <c r="H84" s="27" t="n"/>
      <c r="I84" s="18" t="n"/>
      <c r="J84" s="13" t="n"/>
      <c r="K84" s="13" t="n"/>
    </row>
    <row r="85" ht="22" customHeight="1">
      <c r="B85" s="16">
        <f>IF(C85="","CT-"&amp;TEXT(COUNTA($C$5:C85),"000"))</f>
        <v/>
      </c>
      <c r="C85" s="11" t="n"/>
      <c r="D85" s="11" t="n"/>
      <c r="E85" s="11" t="n"/>
      <c r="F85" s="11" t="n"/>
      <c r="G85" s="26" t="n"/>
      <c r="H85" s="26" t="n"/>
      <c r="I85" s="17" t="n"/>
      <c r="J85" s="11" t="n"/>
      <c r="K85" s="11" t="n"/>
    </row>
    <row r="86" ht="22" customHeight="1">
      <c r="B86" s="15">
        <f>IF(C86="","CT-"&amp;TEXT(COUNTA($C$5:C86),"000"))</f>
        <v/>
      </c>
      <c r="C86" s="13" t="n"/>
      <c r="D86" s="13" t="n"/>
      <c r="E86" s="13" t="n"/>
      <c r="F86" s="13" t="n"/>
      <c r="G86" s="27" t="n"/>
      <c r="H86" s="27" t="n"/>
      <c r="I86" s="18" t="n"/>
      <c r="J86" s="13" t="n"/>
      <c r="K86" s="13" t="n"/>
    </row>
    <row r="87" ht="22" customHeight="1">
      <c r="B87" s="16">
        <f>IF(C87="","CT-"&amp;TEXT(COUNTA($C$5:C87),"000"))</f>
        <v/>
      </c>
      <c r="C87" s="11" t="n"/>
      <c r="D87" s="11" t="n"/>
      <c r="E87" s="11" t="n"/>
      <c r="F87" s="11" t="n"/>
      <c r="G87" s="26" t="n"/>
      <c r="H87" s="26" t="n"/>
      <c r="I87" s="17" t="n"/>
      <c r="J87" s="11" t="n"/>
      <c r="K87" s="11" t="n"/>
    </row>
    <row r="88" ht="22" customHeight="1">
      <c r="B88" s="15">
        <f>IF(C88="","CT-"&amp;TEXT(COUNTA($C$5:C88),"000"))</f>
        <v/>
      </c>
      <c r="C88" s="13" t="n"/>
      <c r="D88" s="13" t="n"/>
      <c r="E88" s="13" t="n"/>
      <c r="F88" s="13" t="n"/>
      <c r="G88" s="27" t="n"/>
      <c r="H88" s="27" t="n"/>
      <c r="I88" s="18" t="n"/>
      <c r="J88" s="13" t="n"/>
      <c r="K88" s="13" t="n"/>
    </row>
    <row r="89" ht="22" customHeight="1">
      <c r="B89" s="16">
        <f>IF(C89="","CT-"&amp;TEXT(COUNTA($C$5:C89),"000"))</f>
        <v/>
      </c>
      <c r="C89" s="11" t="n"/>
      <c r="D89" s="11" t="n"/>
      <c r="E89" s="11" t="n"/>
      <c r="F89" s="11" t="n"/>
      <c r="G89" s="26" t="n"/>
      <c r="H89" s="26" t="n"/>
      <c r="I89" s="17" t="n"/>
      <c r="J89" s="11" t="n"/>
      <c r="K89" s="11" t="n"/>
    </row>
    <row r="90" ht="22" customHeight="1">
      <c r="B90" s="15">
        <f>IF(C90="","CT-"&amp;TEXT(COUNTA($C$5:C90),"000"))</f>
        <v/>
      </c>
      <c r="C90" s="13" t="n"/>
      <c r="D90" s="13" t="n"/>
      <c r="E90" s="13" t="n"/>
      <c r="F90" s="13" t="n"/>
      <c r="G90" s="27" t="n"/>
      <c r="H90" s="27" t="n"/>
      <c r="I90" s="18" t="n"/>
      <c r="J90" s="13" t="n"/>
      <c r="K90" s="13" t="n"/>
    </row>
    <row r="91" ht="22" customHeight="1">
      <c r="B91" s="16">
        <f>IF(C91="","CT-"&amp;TEXT(COUNTA($C$5:C91),"000"))</f>
        <v/>
      </c>
      <c r="C91" s="11" t="n"/>
      <c r="D91" s="11" t="n"/>
      <c r="E91" s="11" t="n"/>
      <c r="F91" s="11" t="n"/>
      <c r="G91" s="26" t="n"/>
      <c r="H91" s="26" t="n"/>
      <c r="I91" s="17" t="n"/>
      <c r="J91" s="11" t="n"/>
      <c r="K91" s="11" t="n"/>
    </row>
    <row r="92" ht="22" customHeight="1">
      <c r="B92" s="15">
        <f>IF(C92="","CT-"&amp;TEXT(COUNTA($C$5:C92),"000"))</f>
        <v/>
      </c>
      <c r="C92" s="13" t="n"/>
      <c r="D92" s="13" t="n"/>
      <c r="E92" s="13" t="n"/>
      <c r="F92" s="13" t="n"/>
      <c r="G92" s="27" t="n"/>
      <c r="H92" s="27" t="n"/>
      <c r="I92" s="18" t="n"/>
      <c r="J92" s="13" t="n"/>
      <c r="K92" s="13" t="n"/>
    </row>
    <row r="93" ht="22" customHeight="1">
      <c r="B93" s="16">
        <f>IF(C93="","CT-"&amp;TEXT(COUNTA($C$5:C93),"000"))</f>
        <v/>
      </c>
      <c r="C93" s="11" t="n"/>
      <c r="D93" s="11" t="n"/>
      <c r="E93" s="11" t="n"/>
      <c r="F93" s="11" t="n"/>
      <c r="G93" s="26" t="n"/>
      <c r="H93" s="26" t="n"/>
      <c r="I93" s="17" t="n"/>
      <c r="J93" s="11" t="n"/>
      <c r="K93" s="11" t="n"/>
    </row>
    <row r="94" ht="22" customHeight="1">
      <c r="B94" s="15">
        <f>IF(C94="","CT-"&amp;TEXT(COUNTA($C$5:C94),"000"))</f>
        <v/>
      </c>
      <c r="C94" s="13" t="n"/>
      <c r="D94" s="13" t="n"/>
      <c r="E94" s="13" t="n"/>
      <c r="F94" s="13" t="n"/>
      <c r="G94" s="27" t="n"/>
      <c r="H94" s="27" t="n"/>
      <c r="I94" s="18" t="n"/>
      <c r="J94" s="13" t="n"/>
      <c r="K94" s="13" t="n"/>
    </row>
    <row r="95" ht="22" customHeight="1">
      <c r="B95" s="16">
        <f>IF(C95="","CT-"&amp;TEXT(COUNTA($C$5:C95),"000"))</f>
        <v/>
      </c>
      <c r="C95" s="11" t="n"/>
      <c r="D95" s="11" t="n"/>
      <c r="E95" s="11" t="n"/>
      <c r="F95" s="11" t="n"/>
      <c r="G95" s="26" t="n"/>
      <c r="H95" s="26" t="n"/>
      <c r="I95" s="17" t="n"/>
      <c r="J95" s="11" t="n"/>
      <c r="K95" s="11" t="n"/>
    </row>
    <row r="96" ht="22" customHeight="1">
      <c r="B96" s="15">
        <f>IF(C96="","CT-"&amp;TEXT(COUNTA($C$5:C96),"000"))</f>
        <v/>
      </c>
      <c r="C96" s="13" t="n"/>
      <c r="D96" s="13" t="n"/>
      <c r="E96" s="13" t="n"/>
      <c r="F96" s="13" t="n"/>
      <c r="G96" s="27" t="n"/>
      <c r="H96" s="27" t="n"/>
      <c r="I96" s="18" t="n"/>
      <c r="J96" s="13" t="n"/>
      <c r="K96" s="13" t="n"/>
    </row>
    <row r="97" ht="22" customHeight="1">
      <c r="B97" s="16">
        <f>IF(C97="","CT-"&amp;TEXT(COUNTA($C$5:C97),"000"))</f>
        <v/>
      </c>
      <c r="C97" s="11" t="n"/>
      <c r="D97" s="11" t="n"/>
      <c r="E97" s="11" t="n"/>
      <c r="F97" s="11" t="n"/>
      <c r="G97" s="26" t="n"/>
      <c r="H97" s="26" t="n"/>
      <c r="I97" s="17" t="n"/>
      <c r="J97" s="11" t="n"/>
      <c r="K97" s="11" t="n"/>
    </row>
    <row r="98" ht="22" customHeight="1">
      <c r="B98" s="15">
        <f>IF(C98="","CT-"&amp;TEXT(COUNTA($C$5:C98),"000"))</f>
        <v/>
      </c>
      <c r="C98" s="13" t="n"/>
      <c r="D98" s="13" t="n"/>
      <c r="E98" s="13" t="n"/>
      <c r="F98" s="13" t="n"/>
      <c r="G98" s="27" t="n"/>
      <c r="H98" s="27" t="n"/>
      <c r="I98" s="18" t="n"/>
      <c r="J98" s="13" t="n"/>
      <c r="K98" s="13" t="n"/>
    </row>
    <row r="99" ht="22" customHeight="1">
      <c r="B99" s="16">
        <f>IF(C99="","CT-"&amp;TEXT(COUNTA($C$5:C99),"000"))</f>
        <v/>
      </c>
      <c r="C99" s="11" t="n"/>
      <c r="D99" s="11" t="n"/>
      <c r="E99" s="11" t="n"/>
      <c r="F99" s="11" t="n"/>
      <c r="G99" s="26" t="n"/>
      <c r="H99" s="26" t="n"/>
      <c r="I99" s="17" t="n"/>
      <c r="J99" s="11" t="n"/>
      <c r="K99" s="11" t="n"/>
    </row>
    <row r="100" ht="22" customHeight="1">
      <c r="B100" s="15">
        <f>IF(C100="","CT-"&amp;TEXT(COUNTA($C$5:C100),"000"))</f>
        <v/>
      </c>
      <c r="C100" s="13" t="n"/>
      <c r="D100" s="13" t="n"/>
      <c r="E100" s="13" t="n"/>
      <c r="F100" s="13" t="n"/>
      <c r="G100" s="27" t="n"/>
      <c r="H100" s="27" t="n"/>
      <c r="I100" s="18" t="n"/>
      <c r="J100" s="13" t="n"/>
      <c r="K100" s="13" t="n"/>
    </row>
    <row r="101" ht="22" customHeight="1">
      <c r="B101" s="16">
        <f>IF(C101="","CT-"&amp;TEXT(COUNTA($C$5:C101),"000"))</f>
        <v/>
      </c>
      <c r="C101" s="11" t="n"/>
      <c r="D101" s="11" t="n"/>
      <c r="E101" s="11" t="n"/>
      <c r="F101" s="11" t="n"/>
      <c r="G101" s="26" t="n"/>
      <c r="H101" s="26" t="n"/>
      <c r="I101" s="17" t="n"/>
      <c r="J101" s="11" t="n"/>
      <c r="K101" s="11" t="n"/>
    </row>
    <row r="102" ht="22" customHeight="1">
      <c r="B102" s="15">
        <f>IF(C102="","CT-"&amp;TEXT(COUNTA($C$5:C102),"000"))</f>
        <v/>
      </c>
      <c r="C102" s="13" t="n"/>
      <c r="D102" s="13" t="n"/>
      <c r="E102" s="13" t="n"/>
      <c r="F102" s="13" t="n"/>
      <c r="G102" s="27" t="n"/>
      <c r="H102" s="27" t="n"/>
      <c r="I102" s="18" t="n"/>
      <c r="J102" s="13" t="n"/>
      <c r="K102" s="13" t="n"/>
    </row>
    <row r="103" ht="22" customHeight="1">
      <c r="B103" s="16">
        <f>IF(C103="","CT-"&amp;TEXT(COUNTA($C$5:C103),"000"))</f>
        <v/>
      </c>
      <c r="C103" s="11" t="n"/>
      <c r="D103" s="11" t="n"/>
      <c r="E103" s="11" t="n"/>
      <c r="F103" s="11" t="n"/>
      <c r="G103" s="26" t="n"/>
      <c r="H103" s="26" t="n"/>
      <c r="I103" s="17" t="n"/>
      <c r="J103" s="11" t="n"/>
      <c r="K103" s="11" t="n"/>
    </row>
    <row r="104" ht="22" customHeight="1">
      <c r="B104" s="15">
        <f>IF(C104="","CT-"&amp;TEXT(COUNTA($C$5:C104),"000"))</f>
        <v/>
      </c>
      <c r="C104" s="13" t="n"/>
      <c r="D104" s="13" t="n"/>
      <c r="E104" s="13" t="n"/>
      <c r="F104" s="13" t="n"/>
      <c r="G104" s="27" t="n"/>
      <c r="H104" s="27" t="n"/>
      <c r="I104" s="18" t="n"/>
      <c r="J104" s="13" t="n"/>
      <c r="K104" s="13" t="n"/>
    </row>
    <row r="105" ht="22" customHeight="1">
      <c r="B105" s="16">
        <f>IF(C105="","CT-"&amp;TEXT(COUNTA($C$5:C105),"000"))</f>
        <v/>
      </c>
      <c r="C105" s="11" t="n"/>
      <c r="D105" s="11" t="n"/>
      <c r="E105" s="11" t="n"/>
      <c r="F105" s="11" t="n"/>
      <c r="G105" s="26" t="n"/>
      <c r="H105" s="26" t="n"/>
      <c r="I105" s="17" t="n"/>
      <c r="J105" s="11" t="n"/>
      <c r="K105" s="11" t="n"/>
    </row>
    <row r="106" ht="22" customHeight="1">
      <c r="B106" s="15">
        <f>IF(C106="","CT-"&amp;TEXT(COUNTA($C$5:C106),"000"))</f>
        <v/>
      </c>
      <c r="C106" s="13" t="n"/>
      <c r="D106" s="13" t="n"/>
      <c r="E106" s="13" t="n"/>
      <c r="F106" s="13" t="n"/>
      <c r="G106" s="27" t="n"/>
      <c r="H106" s="27" t="n"/>
      <c r="I106" s="18" t="n"/>
      <c r="J106" s="13" t="n"/>
      <c r="K106" s="13" t="n"/>
    </row>
    <row r="107" ht="22" customHeight="1">
      <c r="B107" s="16">
        <f>IF(C107="","CT-"&amp;TEXT(COUNTA($C$5:C107),"000"))</f>
        <v/>
      </c>
      <c r="C107" s="11" t="n"/>
      <c r="D107" s="11" t="n"/>
      <c r="E107" s="11" t="n"/>
      <c r="F107" s="11" t="n"/>
      <c r="G107" s="26" t="n"/>
      <c r="H107" s="26" t="n"/>
      <c r="I107" s="17" t="n"/>
      <c r="J107" s="11" t="n"/>
      <c r="K107" s="11" t="n"/>
    </row>
    <row r="108" ht="22" customHeight="1">
      <c r="B108" s="15">
        <f>IF(C108="","CT-"&amp;TEXT(COUNTA($C$5:C108),"000"))</f>
        <v/>
      </c>
      <c r="C108" s="13" t="n"/>
      <c r="D108" s="13" t="n"/>
      <c r="E108" s="13" t="n"/>
      <c r="F108" s="13" t="n"/>
      <c r="G108" s="27" t="n"/>
      <c r="H108" s="27" t="n"/>
      <c r="I108" s="18" t="n"/>
      <c r="J108" s="13" t="n"/>
      <c r="K108" s="13" t="n"/>
    </row>
    <row r="109" ht="22" customHeight="1">
      <c r="B109" s="16">
        <f>IF(C109="","CT-"&amp;TEXT(COUNTA($C$5:C109),"000"))</f>
        <v/>
      </c>
      <c r="C109" s="11" t="n"/>
      <c r="D109" s="11" t="n"/>
      <c r="E109" s="11" t="n"/>
      <c r="F109" s="11" t="n"/>
      <c r="G109" s="26" t="n"/>
      <c r="H109" s="26" t="n"/>
      <c r="I109" s="17" t="n"/>
      <c r="J109" s="11" t="n"/>
      <c r="K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1">
        <f>SUM(I5:I104)</f>
        <v/>
      </c>
      <c r="J111" s="20" t="n"/>
      <c r="K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Contrats total</t>
        </is>
      </c>
      <c r="D114" s="3" t="inlineStr">
        <is>
          <t>CDI</t>
        </is>
      </c>
      <c r="F114" s="3" t="inlineStr">
        <is>
          <t>CDD</t>
        </is>
      </c>
      <c r="H114" s="3" t="inlineStr">
        <is>
          <t>Masse salariale (M)</t>
        </is>
      </c>
    </row>
    <row r="115">
      <c r="B115" s="4">
        <f>COUNTIF(B5:B104,"&lt;&gt;")</f>
        <v/>
      </c>
      <c r="D115" s="4">
        <f>COUNTIF(F5:F104,"CDI")</f>
        <v/>
      </c>
      <c r="F115" s="4">
        <f>COUNTIF(F5:F104,"CDD")</f>
        <v/>
      </c>
      <c r="H115" s="4">
        <f>IFERROR(SUM(I5:I104)/1000000,0)</f>
        <v/>
      </c>
    </row>
  </sheetData>
  <mergeCells count="3">
    <mergeCell ref="B113:K113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conditionalFormatting sqref="K10:K109">
    <cfRule type="expression" priority="202" dxfId="3">
      <formula>AND($C10="",$C9&lt;&gt;"")</formula>
    </cfRule>
  </conditionalFormatting>
  <dataValidations count="4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9" showDropDown="0" showInputMessage="0" showErrorMessage="0" allowBlank="1" errorTitle="Erreur" error="Valeur invalide" promptTitle="Liste" prompt="Choisir dans la liste" type="list">
      <formula1>'_Lists'!$D$2:$D$7</formula1>
    </dataValidation>
    <dataValidation sqref="J5:J109" showDropDown="0" showInputMessage="0" showErrorMessage="0" allowBlank="1" errorTitle="Erreur" error="Valeur invalide" promptTitle="Liste" prompt="Choisir dans la liste" type="list">
      <formula1>'_Lists'!$E$2:$E$6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4" customWidth="1" min="5" max="5"/>
    <col width="14" customWidth="1" min="6" max="6"/>
    <col width="24" customWidth="1" min="7" max="7"/>
    <col width="24" customWidth="1" min="8" max="8"/>
    <col width="34" customWidth="1" min="9" max="9"/>
    <col width="12" customWidth="1" min="10" max="10"/>
    <col width="14" customWidth="1" min="11" max="11"/>
  </cols>
  <sheetData>
    <row r="1" ht="15" customHeight="1"/>
    <row r="2" ht="32" customHeight="1">
      <c r="B2" s="1" t="inlineStr">
        <is>
          <t>AVENANTS &amp; MODIFICATIONS CONTRATS (#119)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Employe</t>
        </is>
      </c>
      <c r="D4" s="10" t="inlineStr">
        <is>
          <t>Poste</t>
        </is>
      </c>
      <c r="E4" s="10" t="inlineStr">
        <is>
          <t>Type Avenant</t>
        </is>
      </c>
      <c r="F4" s="10" t="inlineStr">
        <is>
          <t>Date Avenant</t>
        </is>
      </c>
      <c r="G4" s="10" t="inlineStr">
        <is>
          <t>Ancienne Condition</t>
        </is>
      </c>
      <c r="H4" s="10" t="inlineStr">
        <is>
          <t>Nouvelle Condition</t>
        </is>
      </c>
      <c r="I4" s="10" t="inlineStr">
        <is>
          <t>Motif</t>
        </is>
      </c>
      <c r="J4" s="10" t="inlineStr">
        <is>
          <t>Statut</t>
        </is>
      </c>
      <c r="K4" s="10" t="inlineStr">
        <is>
          <t>Signe le</t>
        </is>
      </c>
    </row>
    <row r="5" ht="22" customHeight="1">
      <c r="B5" s="11" t="inlineStr">
        <is>
          <t>AV-001</t>
        </is>
      </c>
      <c r="C5" s="11" t="inlineStr">
        <is>
          <t>Nkoulou Mbarga P.</t>
        </is>
      </c>
      <c r="D5" s="11" t="inlineStr">
        <is>
          <t>Chef Reception</t>
        </is>
      </c>
      <c r="E5" s="11" t="inlineStr">
        <is>
          <t>Augmentation salariale</t>
        </is>
      </c>
      <c r="F5" s="26" t="n">
        <v>45689</v>
      </c>
      <c r="G5" s="11" t="inlineStr">
        <is>
          <t>320 000 FCFA</t>
        </is>
      </c>
      <c r="H5" s="11" t="inlineStr">
        <is>
          <t>350 000 FCFA</t>
        </is>
      </c>
      <c r="I5" s="11" t="inlineStr">
        <is>
          <t>Augmentation merit et inflation</t>
        </is>
      </c>
      <c r="J5" s="11" t="inlineStr">
        <is>
          <t>Signe</t>
        </is>
      </c>
      <c r="K5" s="26" t="n">
        <v>45689</v>
      </c>
    </row>
    <row r="6" ht="22" customHeight="1">
      <c r="B6" s="13" t="inlineStr">
        <is>
          <t>AV-002</t>
        </is>
      </c>
      <c r="C6" s="13" t="inlineStr">
        <is>
          <t>Kamga Patrice</t>
        </is>
      </c>
      <c r="D6" s="13" t="inlineStr">
        <is>
          <t>Receptionniste</t>
        </is>
      </c>
      <c r="E6" s="13" t="inlineStr">
        <is>
          <t>Renouvellement CDD</t>
        </is>
      </c>
      <c r="F6" s="27" t="n">
        <v>45833</v>
      </c>
      <c r="G6" s="13" t="inlineStr">
        <is>
          <t>Fin 30/06/2025</t>
        </is>
      </c>
      <c r="H6" s="13" t="inlineStr">
        <is>
          <t>Fin 31/12/2025</t>
        </is>
      </c>
      <c r="I6" s="13" t="inlineStr">
        <is>
          <t>Continuite mission</t>
        </is>
      </c>
      <c r="J6" s="13" t="inlineStr">
        <is>
          <t>En cours</t>
        </is>
      </c>
      <c r="K6" s="27" t="n"/>
    </row>
    <row r="7" ht="22" customHeight="1">
      <c r="B7" s="11" t="inlineStr">
        <is>
          <t>AV-003</t>
        </is>
      </c>
      <c r="C7" s="11" t="inlineStr">
        <is>
          <t>Fouda M.</t>
        </is>
      </c>
      <c r="D7" s="11" t="inlineStr">
        <is>
          <t>Cuisinier</t>
        </is>
      </c>
      <c r="E7" s="11" t="inlineStr">
        <is>
          <t>Augmentation salariale</t>
        </is>
      </c>
      <c r="F7" s="26" t="n">
        <v>45748</v>
      </c>
      <c r="G7" s="11" t="inlineStr">
        <is>
          <t>200 000 FCFA</t>
        </is>
      </c>
      <c r="H7" s="11" t="inlineStr">
        <is>
          <t>220 000 FCFA</t>
        </is>
      </c>
      <c r="I7" s="11" t="inlineStr">
        <is>
          <t>Promotion interne</t>
        </is>
      </c>
      <c r="J7" s="11" t="inlineStr">
        <is>
          <t>Signe</t>
        </is>
      </c>
      <c r="K7" s="26" t="n">
        <v>45748</v>
      </c>
    </row>
    <row r="8" ht="22" customHeight="1">
      <c r="B8" s="13" t="inlineStr">
        <is>
          <t>AV-004</t>
        </is>
      </c>
      <c r="C8" s="13" t="inlineStr">
        <is>
          <t>Nganou D.</t>
        </is>
      </c>
      <c r="D8" s="13" t="inlineStr">
        <is>
          <t>Receptionniste</t>
        </is>
      </c>
      <c r="E8" s="13" t="inlineStr">
        <is>
          <t>Changement de poste</t>
        </is>
      </c>
      <c r="F8" s="27" t="n">
        <v>45778</v>
      </c>
      <c r="G8" s="13" t="inlineStr">
        <is>
          <t>Agent Entretien</t>
        </is>
      </c>
      <c r="H8" s="13" t="inlineStr">
        <is>
          <t>Receptionniste</t>
        </is>
      </c>
      <c r="I8" s="13" t="inlineStr">
        <is>
          <t>Mutation laterale demande</t>
        </is>
      </c>
      <c r="J8" s="13" t="inlineStr">
        <is>
          <t>Signe</t>
        </is>
      </c>
      <c r="K8" s="27" t="n">
        <v>45775</v>
      </c>
    </row>
    <row r="9" ht="22" customHeight="1">
      <c r="B9" s="11" t="inlineStr">
        <is>
          <t>AV-005</t>
        </is>
      </c>
      <c r="C9" s="11" t="inlineStr">
        <is>
          <t>Meyong S.</t>
        </is>
      </c>
      <c r="D9" s="11" t="inlineStr">
        <is>
          <t>Agent Securite</t>
        </is>
      </c>
      <c r="E9" s="11" t="inlineStr">
        <is>
          <t>Changement de poste</t>
        </is>
      </c>
      <c r="F9" s="26" t="n">
        <v>45778</v>
      </c>
      <c r="G9" s="11" t="inlineStr">
        <is>
          <t>Agent Securite</t>
        </is>
      </c>
      <c r="H9" s="11" t="inlineStr">
        <is>
          <t>Concierge</t>
        </is>
      </c>
      <c r="I9" s="11" t="inlineStr">
        <is>
          <t>Promotion interne</t>
        </is>
      </c>
      <c r="J9" s="11" t="inlineStr">
        <is>
          <t>Signe</t>
        </is>
      </c>
      <c r="K9" s="26" t="n">
        <v>45777</v>
      </c>
    </row>
    <row r="10" ht="22" customHeight="1">
      <c r="B10" s="15">
        <f>IF(C10="","AV-"&amp;TEXT(COUNTA($C$5:C10),"000"))</f>
        <v/>
      </c>
      <c r="C10" s="13" t="n"/>
      <c r="D10" s="13" t="n"/>
      <c r="E10" s="13" t="n"/>
      <c r="F10" s="27" t="n"/>
      <c r="G10" s="13" t="n"/>
      <c r="H10" s="13" t="n"/>
      <c r="I10" s="13" t="n"/>
      <c r="J10" s="13" t="n"/>
      <c r="K10" s="27" t="n"/>
    </row>
    <row r="11" ht="22" customHeight="1">
      <c r="B11" s="16">
        <f>IF(C11="","AV-"&amp;TEXT(COUNTA($C$5:C11),"000"))</f>
        <v/>
      </c>
      <c r="C11" s="11" t="n"/>
      <c r="D11" s="11" t="n"/>
      <c r="E11" s="11" t="n"/>
      <c r="F11" s="26" t="n"/>
      <c r="G11" s="11" t="n"/>
      <c r="H11" s="11" t="n"/>
      <c r="I11" s="11" t="n"/>
      <c r="J11" s="11" t="n"/>
      <c r="K11" s="26" t="n"/>
    </row>
    <row r="12" ht="22" customHeight="1">
      <c r="B12" s="15">
        <f>IF(C12="","AV-"&amp;TEXT(COUNTA($C$5:C12),"000"))</f>
        <v/>
      </c>
      <c r="C12" s="13" t="n"/>
      <c r="D12" s="13" t="n"/>
      <c r="E12" s="13" t="n"/>
      <c r="F12" s="27" t="n"/>
      <c r="G12" s="13" t="n"/>
      <c r="H12" s="13" t="n"/>
      <c r="I12" s="13" t="n"/>
      <c r="J12" s="13" t="n"/>
      <c r="K12" s="27" t="n"/>
    </row>
    <row r="13" ht="22" customHeight="1">
      <c r="B13" s="16">
        <f>IF(C13="","AV-"&amp;TEXT(COUNTA($C$5:C13),"000"))</f>
        <v/>
      </c>
      <c r="C13" s="11" t="n"/>
      <c r="D13" s="11" t="n"/>
      <c r="E13" s="11" t="n"/>
      <c r="F13" s="26" t="n"/>
      <c r="G13" s="11" t="n"/>
      <c r="H13" s="11" t="n"/>
      <c r="I13" s="11" t="n"/>
      <c r="J13" s="11" t="n"/>
      <c r="K13" s="26" t="n"/>
    </row>
    <row r="14" ht="22" customHeight="1">
      <c r="B14" s="15">
        <f>IF(C14="","AV-"&amp;TEXT(COUNTA($C$5:C14),"000"))</f>
        <v/>
      </c>
      <c r="C14" s="13" t="n"/>
      <c r="D14" s="13" t="n"/>
      <c r="E14" s="13" t="n"/>
      <c r="F14" s="27" t="n"/>
      <c r="G14" s="13" t="n"/>
      <c r="H14" s="13" t="n"/>
      <c r="I14" s="13" t="n"/>
      <c r="J14" s="13" t="n"/>
      <c r="K14" s="27" t="n"/>
    </row>
    <row r="15" ht="22" customHeight="1">
      <c r="B15" s="16">
        <f>IF(C15="","AV-"&amp;TEXT(COUNTA($C$5:C15),"000"))</f>
        <v/>
      </c>
      <c r="C15" s="11" t="n"/>
      <c r="D15" s="11" t="n"/>
      <c r="E15" s="11" t="n"/>
      <c r="F15" s="26" t="n"/>
      <c r="G15" s="11" t="n"/>
      <c r="H15" s="11" t="n"/>
      <c r="I15" s="11" t="n"/>
      <c r="J15" s="11" t="n"/>
      <c r="K15" s="26" t="n"/>
    </row>
    <row r="16" ht="22" customHeight="1">
      <c r="B16" s="15">
        <f>IF(C16="","AV-"&amp;TEXT(COUNTA($C$5:C16),"000"))</f>
        <v/>
      </c>
      <c r="C16" s="13" t="n"/>
      <c r="D16" s="13" t="n"/>
      <c r="E16" s="13" t="n"/>
      <c r="F16" s="27" t="n"/>
      <c r="G16" s="13" t="n"/>
      <c r="H16" s="13" t="n"/>
      <c r="I16" s="13" t="n"/>
      <c r="J16" s="13" t="n"/>
      <c r="K16" s="27" t="n"/>
    </row>
    <row r="17" ht="22" customHeight="1">
      <c r="B17" s="16">
        <f>IF(C17="","AV-"&amp;TEXT(COUNTA($C$5:C17),"000"))</f>
        <v/>
      </c>
      <c r="C17" s="11" t="n"/>
      <c r="D17" s="11" t="n"/>
      <c r="E17" s="11" t="n"/>
      <c r="F17" s="26" t="n"/>
      <c r="G17" s="11" t="n"/>
      <c r="H17" s="11" t="n"/>
      <c r="I17" s="11" t="n"/>
      <c r="J17" s="11" t="n"/>
      <c r="K17" s="26" t="n"/>
    </row>
    <row r="18" ht="22" customHeight="1">
      <c r="B18" s="15">
        <f>IF(C18="","AV-"&amp;TEXT(COUNTA($C$5:C18),"000"))</f>
        <v/>
      </c>
      <c r="C18" s="13" t="n"/>
      <c r="D18" s="13" t="n"/>
      <c r="E18" s="13" t="n"/>
      <c r="F18" s="27" t="n"/>
      <c r="G18" s="13" t="n"/>
      <c r="H18" s="13" t="n"/>
      <c r="I18" s="13" t="n"/>
      <c r="J18" s="13" t="n"/>
      <c r="K18" s="27" t="n"/>
    </row>
    <row r="19" ht="22" customHeight="1">
      <c r="B19" s="16">
        <f>IF(C19="","AV-"&amp;TEXT(COUNTA($C$5:C19),"000"))</f>
        <v/>
      </c>
      <c r="C19" s="11" t="n"/>
      <c r="D19" s="11" t="n"/>
      <c r="E19" s="11" t="n"/>
      <c r="F19" s="26" t="n"/>
      <c r="G19" s="11" t="n"/>
      <c r="H19" s="11" t="n"/>
      <c r="I19" s="11" t="n"/>
      <c r="J19" s="11" t="n"/>
      <c r="K19" s="26" t="n"/>
    </row>
    <row r="20" ht="22" customHeight="1">
      <c r="B20" s="15">
        <f>IF(C20="","AV-"&amp;TEXT(COUNTA($C$5:C20),"000"))</f>
        <v/>
      </c>
      <c r="C20" s="13" t="n"/>
      <c r="D20" s="13" t="n"/>
      <c r="E20" s="13" t="n"/>
      <c r="F20" s="27" t="n"/>
      <c r="G20" s="13" t="n"/>
      <c r="H20" s="13" t="n"/>
      <c r="I20" s="13" t="n"/>
      <c r="J20" s="13" t="n"/>
      <c r="K20" s="27" t="n"/>
    </row>
    <row r="21" ht="22" customHeight="1">
      <c r="B21" s="16">
        <f>IF(C21="","AV-"&amp;TEXT(COUNTA($C$5:C21),"000"))</f>
        <v/>
      </c>
      <c r="C21" s="11" t="n"/>
      <c r="D21" s="11" t="n"/>
      <c r="E21" s="11" t="n"/>
      <c r="F21" s="26" t="n"/>
      <c r="G21" s="11" t="n"/>
      <c r="H21" s="11" t="n"/>
      <c r="I21" s="11" t="n"/>
      <c r="J21" s="11" t="n"/>
      <c r="K21" s="26" t="n"/>
    </row>
    <row r="22" ht="22" customHeight="1">
      <c r="B22" s="15">
        <f>IF(C22="","AV-"&amp;TEXT(COUNTA($C$5:C22),"000"))</f>
        <v/>
      </c>
      <c r="C22" s="13" t="n"/>
      <c r="D22" s="13" t="n"/>
      <c r="E22" s="13" t="n"/>
      <c r="F22" s="27" t="n"/>
      <c r="G22" s="13" t="n"/>
      <c r="H22" s="13" t="n"/>
      <c r="I22" s="13" t="n"/>
      <c r="J22" s="13" t="n"/>
      <c r="K22" s="27" t="n"/>
    </row>
    <row r="23" ht="22" customHeight="1">
      <c r="B23" s="16">
        <f>IF(C23="","AV-"&amp;TEXT(COUNTA($C$5:C23),"000"))</f>
        <v/>
      </c>
      <c r="C23" s="11" t="n"/>
      <c r="D23" s="11" t="n"/>
      <c r="E23" s="11" t="n"/>
      <c r="F23" s="26" t="n"/>
      <c r="G23" s="11" t="n"/>
      <c r="H23" s="11" t="n"/>
      <c r="I23" s="11" t="n"/>
      <c r="J23" s="11" t="n"/>
      <c r="K23" s="26" t="n"/>
    </row>
    <row r="24" ht="22" customHeight="1">
      <c r="B24" s="15">
        <f>IF(C24="","AV-"&amp;TEXT(COUNTA($C$5:C24),"000"))</f>
        <v/>
      </c>
      <c r="C24" s="13" t="n"/>
      <c r="D24" s="13" t="n"/>
      <c r="E24" s="13" t="n"/>
      <c r="F24" s="27" t="n"/>
      <c r="G24" s="13" t="n"/>
      <c r="H24" s="13" t="n"/>
      <c r="I24" s="13" t="n"/>
      <c r="J24" s="13" t="n"/>
      <c r="K24" s="27" t="n"/>
    </row>
    <row r="25" ht="22" customHeight="1">
      <c r="B25" s="16">
        <f>IF(C25="","AV-"&amp;TEXT(COUNTA($C$5:C25),"000"))</f>
        <v/>
      </c>
      <c r="C25" s="11" t="n"/>
      <c r="D25" s="11" t="n"/>
      <c r="E25" s="11" t="n"/>
      <c r="F25" s="26" t="n"/>
      <c r="G25" s="11" t="n"/>
      <c r="H25" s="11" t="n"/>
      <c r="I25" s="11" t="n"/>
      <c r="J25" s="11" t="n"/>
      <c r="K25" s="26" t="n"/>
    </row>
    <row r="26" ht="22" customHeight="1">
      <c r="B26" s="15">
        <f>IF(C26="","AV-"&amp;TEXT(COUNTA($C$5:C26),"000"))</f>
        <v/>
      </c>
      <c r="C26" s="13" t="n"/>
      <c r="D26" s="13" t="n"/>
      <c r="E26" s="13" t="n"/>
      <c r="F26" s="27" t="n"/>
      <c r="G26" s="13" t="n"/>
      <c r="H26" s="13" t="n"/>
      <c r="I26" s="13" t="n"/>
      <c r="J26" s="13" t="n"/>
      <c r="K26" s="27" t="n"/>
    </row>
    <row r="27" ht="22" customHeight="1">
      <c r="B27" s="16">
        <f>IF(C27="","AV-"&amp;TEXT(COUNTA($C$5:C27),"000"))</f>
        <v/>
      </c>
      <c r="C27" s="11" t="n"/>
      <c r="D27" s="11" t="n"/>
      <c r="E27" s="11" t="n"/>
      <c r="F27" s="26" t="n"/>
      <c r="G27" s="11" t="n"/>
      <c r="H27" s="11" t="n"/>
      <c r="I27" s="11" t="n"/>
      <c r="J27" s="11" t="n"/>
      <c r="K27" s="26" t="n"/>
    </row>
    <row r="28" ht="22" customHeight="1">
      <c r="B28" s="15">
        <f>IF(C28="","AV-"&amp;TEXT(COUNTA($C$5:C28),"000"))</f>
        <v/>
      </c>
      <c r="C28" s="13" t="n"/>
      <c r="D28" s="13" t="n"/>
      <c r="E28" s="13" t="n"/>
      <c r="F28" s="27" t="n"/>
      <c r="G28" s="13" t="n"/>
      <c r="H28" s="13" t="n"/>
      <c r="I28" s="13" t="n"/>
      <c r="J28" s="13" t="n"/>
      <c r="K28" s="27" t="n"/>
    </row>
    <row r="29" ht="22" customHeight="1">
      <c r="B29" s="16">
        <f>IF(C29="","AV-"&amp;TEXT(COUNTA($C$5:C29),"000"))</f>
        <v/>
      </c>
      <c r="C29" s="11" t="n"/>
      <c r="D29" s="11" t="n"/>
      <c r="E29" s="11" t="n"/>
      <c r="F29" s="26" t="n"/>
      <c r="G29" s="11" t="n"/>
      <c r="H29" s="11" t="n"/>
      <c r="I29" s="11" t="n"/>
      <c r="J29" s="11" t="n"/>
      <c r="K29" s="26" t="n"/>
    </row>
    <row r="30" ht="22" customHeight="1">
      <c r="B30" s="15">
        <f>IF(C30="","AV-"&amp;TEXT(COUNTA($C$5:C30),"000"))</f>
        <v/>
      </c>
      <c r="C30" s="13" t="n"/>
      <c r="D30" s="13" t="n"/>
      <c r="E30" s="13" t="n"/>
      <c r="F30" s="27" t="n"/>
      <c r="G30" s="13" t="n"/>
      <c r="H30" s="13" t="n"/>
      <c r="I30" s="13" t="n"/>
      <c r="J30" s="13" t="n"/>
      <c r="K30" s="27" t="n"/>
    </row>
    <row r="31" ht="22" customHeight="1">
      <c r="B31" s="16">
        <f>IF(C31="","AV-"&amp;TEXT(COUNTA($C$5:C31),"000"))</f>
        <v/>
      </c>
      <c r="C31" s="11" t="n"/>
      <c r="D31" s="11" t="n"/>
      <c r="E31" s="11" t="n"/>
      <c r="F31" s="26" t="n"/>
      <c r="G31" s="11" t="n"/>
      <c r="H31" s="11" t="n"/>
      <c r="I31" s="11" t="n"/>
      <c r="J31" s="11" t="n"/>
      <c r="K31" s="26" t="n"/>
    </row>
    <row r="32" ht="22" customHeight="1">
      <c r="B32" s="15">
        <f>IF(C32="","AV-"&amp;TEXT(COUNTA($C$5:C32),"000"))</f>
        <v/>
      </c>
      <c r="C32" s="13" t="n"/>
      <c r="D32" s="13" t="n"/>
      <c r="E32" s="13" t="n"/>
      <c r="F32" s="27" t="n"/>
      <c r="G32" s="13" t="n"/>
      <c r="H32" s="13" t="n"/>
      <c r="I32" s="13" t="n"/>
      <c r="J32" s="13" t="n"/>
      <c r="K32" s="27" t="n"/>
    </row>
    <row r="33" ht="22" customHeight="1">
      <c r="B33" s="16">
        <f>IF(C33="","AV-"&amp;TEXT(COUNTA($C$5:C33),"000"))</f>
        <v/>
      </c>
      <c r="C33" s="11" t="n"/>
      <c r="D33" s="11" t="n"/>
      <c r="E33" s="11" t="n"/>
      <c r="F33" s="26" t="n"/>
      <c r="G33" s="11" t="n"/>
      <c r="H33" s="11" t="n"/>
      <c r="I33" s="11" t="n"/>
      <c r="J33" s="11" t="n"/>
      <c r="K33" s="26" t="n"/>
    </row>
    <row r="34" ht="22" customHeight="1">
      <c r="B34" s="15">
        <f>IF(C34="","AV-"&amp;TEXT(COUNTA($C$5:C34),"000"))</f>
        <v/>
      </c>
      <c r="C34" s="13" t="n"/>
      <c r="D34" s="13" t="n"/>
      <c r="E34" s="13" t="n"/>
      <c r="F34" s="27" t="n"/>
      <c r="G34" s="13" t="n"/>
      <c r="H34" s="13" t="n"/>
      <c r="I34" s="13" t="n"/>
      <c r="J34" s="13" t="n"/>
      <c r="K34" s="27" t="n"/>
    </row>
    <row r="35" ht="22" customHeight="1">
      <c r="B35" s="16">
        <f>IF(C35="","AV-"&amp;TEXT(COUNTA($C$5:C35),"000"))</f>
        <v/>
      </c>
      <c r="C35" s="11" t="n"/>
      <c r="D35" s="11" t="n"/>
      <c r="E35" s="11" t="n"/>
      <c r="F35" s="26" t="n"/>
      <c r="G35" s="11" t="n"/>
      <c r="H35" s="11" t="n"/>
      <c r="I35" s="11" t="n"/>
      <c r="J35" s="11" t="n"/>
      <c r="K35" s="26" t="n"/>
    </row>
    <row r="36" ht="22" customHeight="1">
      <c r="B36" s="15">
        <f>IF(C36="","AV-"&amp;TEXT(COUNTA($C$5:C36),"000"))</f>
        <v/>
      </c>
      <c r="C36" s="13" t="n"/>
      <c r="D36" s="13" t="n"/>
      <c r="E36" s="13" t="n"/>
      <c r="F36" s="27" t="n"/>
      <c r="G36" s="13" t="n"/>
      <c r="H36" s="13" t="n"/>
      <c r="I36" s="13" t="n"/>
      <c r="J36" s="13" t="n"/>
      <c r="K36" s="27" t="n"/>
    </row>
    <row r="37" ht="22" customHeight="1">
      <c r="B37" s="16">
        <f>IF(C37="","AV-"&amp;TEXT(COUNTA($C$5:C37),"000"))</f>
        <v/>
      </c>
      <c r="C37" s="11" t="n"/>
      <c r="D37" s="11" t="n"/>
      <c r="E37" s="11" t="n"/>
      <c r="F37" s="26" t="n"/>
      <c r="G37" s="11" t="n"/>
      <c r="H37" s="11" t="n"/>
      <c r="I37" s="11" t="n"/>
      <c r="J37" s="11" t="n"/>
      <c r="K37" s="26" t="n"/>
    </row>
    <row r="38" ht="22" customHeight="1">
      <c r="B38" s="15">
        <f>IF(C38="","AV-"&amp;TEXT(COUNTA($C$5:C38),"000"))</f>
        <v/>
      </c>
      <c r="C38" s="13" t="n"/>
      <c r="D38" s="13" t="n"/>
      <c r="E38" s="13" t="n"/>
      <c r="F38" s="27" t="n"/>
      <c r="G38" s="13" t="n"/>
      <c r="H38" s="13" t="n"/>
      <c r="I38" s="13" t="n"/>
      <c r="J38" s="13" t="n"/>
      <c r="K38" s="27" t="n"/>
    </row>
    <row r="39" ht="22" customHeight="1">
      <c r="B39" s="16">
        <f>IF(C39="","AV-"&amp;TEXT(COUNTA($C$5:C39),"000"))</f>
        <v/>
      </c>
      <c r="C39" s="11" t="n"/>
      <c r="D39" s="11" t="n"/>
      <c r="E39" s="11" t="n"/>
      <c r="F39" s="26" t="n"/>
      <c r="G39" s="11" t="n"/>
      <c r="H39" s="11" t="n"/>
      <c r="I39" s="11" t="n"/>
      <c r="J39" s="11" t="n"/>
      <c r="K39" s="26" t="n"/>
    </row>
    <row r="40" ht="22" customHeight="1">
      <c r="B40" s="15">
        <f>IF(C40="","AV-"&amp;TEXT(COUNTA($C$5:C40),"000"))</f>
        <v/>
      </c>
      <c r="C40" s="13" t="n"/>
      <c r="D40" s="13" t="n"/>
      <c r="E40" s="13" t="n"/>
      <c r="F40" s="27" t="n"/>
      <c r="G40" s="13" t="n"/>
      <c r="H40" s="13" t="n"/>
      <c r="I40" s="13" t="n"/>
      <c r="J40" s="13" t="n"/>
      <c r="K40" s="27" t="n"/>
    </row>
    <row r="41" ht="22" customHeight="1">
      <c r="B41" s="16">
        <f>IF(C41="","AV-"&amp;TEXT(COUNTA($C$5:C41),"000"))</f>
        <v/>
      </c>
      <c r="C41" s="11" t="n"/>
      <c r="D41" s="11" t="n"/>
      <c r="E41" s="11" t="n"/>
      <c r="F41" s="26" t="n"/>
      <c r="G41" s="11" t="n"/>
      <c r="H41" s="11" t="n"/>
      <c r="I41" s="11" t="n"/>
      <c r="J41" s="11" t="n"/>
      <c r="K41" s="26" t="n"/>
    </row>
    <row r="42" ht="22" customHeight="1">
      <c r="B42" s="15">
        <f>IF(C42="","AV-"&amp;TEXT(COUNTA($C$5:C42),"000"))</f>
        <v/>
      </c>
      <c r="C42" s="13" t="n"/>
      <c r="D42" s="13" t="n"/>
      <c r="E42" s="13" t="n"/>
      <c r="F42" s="27" t="n"/>
      <c r="G42" s="13" t="n"/>
      <c r="H42" s="13" t="n"/>
      <c r="I42" s="13" t="n"/>
      <c r="J42" s="13" t="n"/>
      <c r="K42" s="27" t="n"/>
    </row>
    <row r="43" ht="22" customHeight="1">
      <c r="B43" s="16">
        <f>IF(C43="","AV-"&amp;TEXT(COUNTA($C$5:C43),"000"))</f>
        <v/>
      </c>
      <c r="C43" s="11" t="n"/>
      <c r="D43" s="11" t="n"/>
      <c r="E43" s="11" t="n"/>
      <c r="F43" s="26" t="n"/>
      <c r="G43" s="11" t="n"/>
      <c r="H43" s="11" t="n"/>
      <c r="I43" s="11" t="n"/>
      <c r="J43" s="11" t="n"/>
      <c r="K43" s="26" t="n"/>
    </row>
    <row r="44" ht="22" customHeight="1">
      <c r="B44" s="15">
        <f>IF(C44="","AV-"&amp;TEXT(COUNTA($C$5:C44),"000"))</f>
        <v/>
      </c>
      <c r="C44" s="13" t="n"/>
      <c r="D44" s="13" t="n"/>
      <c r="E44" s="13" t="n"/>
      <c r="F44" s="27" t="n"/>
      <c r="G44" s="13" t="n"/>
      <c r="H44" s="13" t="n"/>
      <c r="I44" s="13" t="n"/>
      <c r="J44" s="13" t="n"/>
      <c r="K44" s="27" t="n"/>
    </row>
    <row r="45" ht="22" customHeight="1">
      <c r="B45" s="16">
        <f>IF(C45="","AV-"&amp;TEXT(COUNTA($C$5:C45),"000"))</f>
        <v/>
      </c>
      <c r="C45" s="11" t="n"/>
      <c r="D45" s="11" t="n"/>
      <c r="E45" s="11" t="n"/>
      <c r="F45" s="26" t="n"/>
      <c r="G45" s="11" t="n"/>
      <c r="H45" s="11" t="n"/>
      <c r="I45" s="11" t="n"/>
      <c r="J45" s="11" t="n"/>
      <c r="K45" s="26" t="n"/>
    </row>
    <row r="46" ht="22" customHeight="1">
      <c r="B46" s="15">
        <f>IF(C46="","AV-"&amp;TEXT(COUNTA($C$5:C46),"000"))</f>
        <v/>
      </c>
      <c r="C46" s="13" t="n"/>
      <c r="D46" s="13" t="n"/>
      <c r="E46" s="13" t="n"/>
      <c r="F46" s="27" t="n"/>
      <c r="G46" s="13" t="n"/>
      <c r="H46" s="13" t="n"/>
      <c r="I46" s="13" t="n"/>
      <c r="J46" s="13" t="n"/>
      <c r="K46" s="27" t="n"/>
    </row>
    <row r="47" ht="22" customHeight="1">
      <c r="B47" s="16">
        <f>IF(C47="","AV-"&amp;TEXT(COUNTA($C$5:C47),"000"))</f>
        <v/>
      </c>
      <c r="C47" s="11" t="n"/>
      <c r="D47" s="11" t="n"/>
      <c r="E47" s="11" t="n"/>
      <c r="F47" s="26" t="n"/>
      <c r="G47" s="11" t="n"/>
      <c r="H47" s="11" t="n"/>
      <c r="I47" s="11" t="n"/>
      <c r="J47" s="11" t="n"/>
      <c r="K47" s="26" t="n"/>
    </row>
    <row r="48" ht="22" customHeight="1">
      <c r="B48" s="15">
        <f>IF(C48="","AV-"&amp;TEXT(COUNTA($C$5:C48),"000"))</f>
        <v/>
      </c>
      <c r="C48" s="13" t="n"/>
      <c r="D48" s="13" t="n"/>
      <c r="E48" s="13" t="n"/>
      <c r="F48" s="27" t="n"/>
      <c r="G48" s="13" t="n"/>
      <c r="H48" s="13" t="n"/>
      <c r="I48" s="13" t="n"/>
      <c r="J48" s="13" t="n"/>
      <c r="K48" s="27" t="n"/>
    </row>
    <row r="49" ht="22" customHeight="1">
      <c r="B49" s="16">
        <f>IF(C49="","AV-"&amp;TEXT(COUNTA($C$5:C49),"000"))</f>
        <v/>
      </c>
      <c r="C49" s="11" t="n"/>
      <c r="D49" s="11" t="n"/>
      <c r="E49" s="11" t="n"/>
      <c r="F49" s="26" t="n"/>
      <c r="G49" s="11" t="n"/>
      <c r="H49" s="11" t="n"/>
      <c r="I49" s="11" t="n"/>
      <c r="J49" s="11" t="n"/>
      <c r="K49" s="26" t="n"/>
    </row>
    <row r="50" ht="22" customHeight="1">
      <c r="B50" s="15">
        <f>IF(C50="","AV-"&amp;TEXT(COUNTA($C$5:C50),"000"))</f>
        <v/>
      </c>
      <c r="C50" s="13" t="n"/>
      <c r="D50" s="13" t="n"/>
      <c r="E50" s="13" t="n"/>
      <c r="F50" s="27" t="n"/>
      <c r="G50" s="13" t="n"/>
      <c r="H50" s="13" t="n"/>
      <c r="I50" s="13" t="n"/>
      <c r="J50" s="13" t="n"/>
      <c r="K50" s="27" t="n"/>
    </row>
    <row r="51" ht="22" customHeight="1">
      <c r="B51" s="16">
        <f>IF(C51="","AV-"&amp;TEXT(COUNTA($C$5:C51),"000"))</f>
        <v/>
      </c>
      <c r="C51" s="11" t="n"/>
      <c r="D51" s="11" t="n"/>
      <c r="E51" s="11" t="n"/>
      <c r="F51" s="26" t="n"/>
      <c r="G51" s="11" t="n"/>
      <c r="H51" s="11" t="n"/>
      <c r="I51" s="11" t="n"/>
      <c r="J51" s="11" t="n"/>
      <c r="K51" s="26" t="n"/>
    </row>
    <row r="52" ht="22" customHeight="1">
      <c r="B52" s="15">
        <f>IF(C52="","AV-"&amp;TEXT(COUNTA($C$5:C52),"000"))</f>
        <v/>
      </c>
      <c r="C52" s="13" t="n"/>
      <c r="D52" s="13" t="n"/>
      <c r="E52" s="13" t="n"/>
      <c r="F52" s="27" t="n"/>
      <c r="G52" s="13" t="n"/>
      <c r="H52" s="13" t="n"/>
      <c r="I52" s="13" t="n"/>
      <c r="J52" s="13" t="n"/>
      <c r="K52" s="27" t="n"/>
    </row>
    <row r="53" ht="22" customHeight="1">
      <c r="B53" s="16">
        <f>IF(C53="","AV-"&amp;TEXT(COUNTA($C$5:C53),"000"))</f>
        <v/>
      </c>
      <c r="C53" s="11" t="n"/>
      <c r="D53" s="11" t="n"/>
      <c r="E53" s="11" t="n"/>
      <c r="F53" s="26" t="n"/>
      <c r="G53" s="11" t="n"/>
      <c r="H53" s="11" t="n"/>
      <c r="I53" s="11" t="n"/>
      <c r="J53" s="11" t="n"/>
      <c r="K53" s="26" t="n"/>
    </row>
    <row r="54" ht="22" customHeight="1">
      <c r="B54" s="15">
        <f>IF(C54="","AV-"&amp;TEXT(COUNTA($C$5:C54),"000"))</f>
        <v/>
      </c>
      <c r="C54" s="13" t="n"/>
      <c r="D54" s="13" t="n"/>
      <c r="E54" s="13" t="n"/>
      <c r="F54" s="27" t="n"/>
      <c r="G54" s="13" t="n"/>
      <c r="H54" s="13" t="n"/>
      <c r="I54" s="13" t="n"/>
      <c r="J54" s="13" t="n"/>
      <c r="K54" s="27" t="n"/>
    </row>
    <row r="55" ht="22" customHeight="1">
      <c r="B55" s="16">
        <f>IF(C55="","AV-"&amp;TEXT(COUNTA($C$5:C55),"000"))</f>
        <v/>
      </c>
      <c r="C55" s="11" t="n"/>
      <c r="D55" s="11" t="n"/>
      <c r="E55" s="11" t="n"/>
      <c r="F55" s="26" t="n"/>
      <c r="G55" s="11" t="n"/>
      <c r="H55" s="11" t="n"/>
      <c r="I55" s="11" t="n"/>
      <c r="J55" s="11" t="n"/>
      <c r="K55" s="26" t="n"/>
    </row>
    <row r="56" ht="22" customHeight="1">
      <c r="B56" s="15">
        <f>IF(C56="","AV-"&amp;TEXT(COUNTA($C$5:C56),"000"))</f>
        <v/>
      </c>
      <c r="C56" s="13" t="n"/>
      <c r="D56" s="13" t="n"/>
      <c r="E56" s="13" t="n"/>
      <c r="F56" s="27" t="n"/>
      <c r="G56" s="13" t="n"/>
      <c r="H56" s="13" t="n"/>
      <c r="I56" s="13" t="n"/>
      <c r="J56" s="13" t="n"/>
      <c r="K56" s="27" t="n"/>
    </row>
    <row r="57" ht="22" customHeight="1">
      <c r="B57" s="16">
        <f>IF(C57="","AV-"&amp;TEXT(COUNTA($C$5:C57),"000"))</f>
        <v/>
      </c>
      <c r="C57" s="11" t="n"/>
      <c r="D57" s="11" t="n"/>
      <c r="E57" s="11" t="n"/>
      <c r="F57" s="26" t="n"/>
      <c r="G57" s="11" t="n"/>
      <c r="H57" s="11" t="n"/>
      <c r="I57" s="11" t="n"/>
      <c r="J57" s="11" t="n"/>
      <c r="K57" s="26" t="n"/>
    </row>
    <row r="58" ht="22" customHeight="1">
      <c r="B58" s="15">
        <f>IF(C58="","AV-"&amp;TEXT(COUNTA($C$5:C58),"000"))</f>
        <v/>
      </c>
      <c r="C58" s="13" t="n"/>
      <c r="D58" s="13" t="n"/>
      <c r="E58" s="13" t="n"/>
      <c r="F58" s="27" t="n"/>
      <c r="G58" s="13" t="n"/>
      <c r="H58" s="13" t="n"/>
      <c r="I58" s="13" t="n"/>
      <c r="J58" s="13" t="n"/>
      <c r="K58" s="27" t="n"/>
    </row>
    <row r="59" ht="22" customHeight="1">
      <c r="B59" s="16">
        <f>IF(C59="","AV-"&amp;TEXT(COUNTA($C$5:C59),"000"))</f>
        <v/>
      </c>
      <c r="C59" s="11" t="n"/>
      <c r="D59" s="11" t="n"/>
      <c r="E59" s="11" t="n"/>
      <c r="F59" s="26" t="n"/>
      <c r="G59" s="11" t="n"/>
      <c r="H59" s="11" t="n"/>
      <c r="I59" s="11" t="n"/>
      <c r="J59" s="11" t="n"/>
      <c r="K59" s="26" t="n"/>
    </row>
    <row r="60" ht="22" customHeight="1">
      <c r="B60" s="15">
        <f>IF(C60="","AV-"&amp;TEXT(COUNTA($C$5:C60),"000"))</f>
        <v/>
      </c>
      <c r="C60" s="13" t="n"/>
      <c r="D60" s="13" t="n"/>
      <c r="E60" s="13" t="n"/>
      <c r="F60" s="27" t="n"/>
      <c r="G60" s="13" t="n"/>
      <c r="H60" s="13" t="n"/>
      <c r="I60" s="13" t="n"/>
      <c r="J60" s="13" t="n"/>
      <c r="K60" s="27" t="n"/>
    </row>
    <row r="61" ht="22" customHeight="1">
      <c r="B61" s="16">
        <f>IF(C61="","AV-"&amp;TEXT(COUNTA($C$5:C61),"000"))</f>
        <v/>
      </c>
      <c r="C61" s="11" t="n"/>
      <c r="D61" s="11" t="n"/>
      <c r="E61" s="11" t="n"/>
      <c r="F61" s="26" t="n"/>
      <c r="G61" s="11" t="n"/>
      <c r="H61" s="11" t="n"/>
      <c r="I61" s="11" t="n"/>
      <c r="J61" s="11" t="n"/>
      <c r="K61" s="26" t="n"/>
    </row>
    <row r="62" ht="22" customHeight="1">
      <c r="B62" s="15">
        <f>IF(C62="","AV-"&amp;TEXT(COUNTA($C$5:C62),"000"))</f>
        <v/>
      </c>
      <c r="C62" s="13" t="n"/>
      <c r="D62" s="13" t="n"/>
      <c r="E62" s="13" t="n"/>
      <c r="F62" s="27" t="n"/>
      <c r="G62" s="13" t="n"/>
      <c r="H62" s="13" t="n"/>
      <c r="I62" s="13" t="n"/>
      <c r="J62" s="13" t="n"/>
      <c r="K62" s="27" t="n"/>
    </row>
    <row r="63" ht="22" customHeight="1">
      <c r="B63" s="16">
        <f>IF(C63="","AV-"&amp;TEXT(COUNTA($C$5:C63),"000"))</f>
        <v/>
      </c>
      <c r="C63" s="11" t="n"/>
      <c r="D63" s="11" t="n"/>
      <c r="E63" s="11" t="n"/>
      <c r="F63" s="26" t="n"/>
      <c r="G63" s="11" t="n"/>
      <c r="H63" s="11" t="n"/>
      <c r="I63" s="11" t="n"/>
      <c r="J63" s="11" t="n"/>
      <c r="K63" s="26" t="n"/>
    </row>
    <row r="64" ht="22" customHeight="1">
      <c r="B64" s="15">
        <f>IF(C64="","AV-"&amp;TEXT(COUNTA($C$5:C64),"000"))</f>
        <v/>
      </c>
      <c r="C64" s="13" t="n"/>
      <c r="D64" s="13" t="n"/>
      <c r="E64" s="13" t="n"/>
      <c r="F64" s="27" t="n"/>
      <c r="G64" s="13" t="n"/>
      <c r="H64" s="13" t="n"/>
      <c r="I64" s="13" t="n"/>
      <c r="J64" s="13" t="n"/>
      <c r="K64" s="27" t="n"/>
    </row>
    <row r="65" ht="22" customHeight="1">
      <c r="B65" s="16">
        <f>IF(C65="","AV-"&amp;TEXT(COUNTA($C$5:C65),"000"))</f>
        <v/>
      </c>
      <c r="C65" s="11" t="n"/>
      <c r="D65" s="11" t="n"/>
      <c r="E65" s="11" t="n"/>
      <c r="F65" s="26" t="n"/>
      <c r="G65" s="11" t="n"/>
      <c r="H65" s="11" t="n"/>
      <c r="I65" s="11" t="n"/>
      <c r="J65" s="11" t="n"/>
      <c r="K65" s="26" t="n"/>
    </row>
    <row r="66" ht="22" customHeight="1">
      <c r="B66" s="15">
        <f>IF(C66="","AV-"&amp;TEXT(COUNTA($C$5:C66),"000"))</f>
        <v/>
      </c>
      <c r="C66" s="13" t="n"/>
      <c r="D66" s="13" t="n"/>
      <c r="E66" s="13" t="n"/>
      <c r="F66" s="27" t="n"/>
      <c r="G66" s="13" t="n"/>
      <c r="H66" s="13" t="n"/>
      <c r="I66" s="13" t="n"/>
      <c r="J66" s="13" t="n"/>
      <c r="K66" s="27" t="n"/>
    </row>
    <row r="67" ht="22" customHeight="1">
      <c r="B67" s="16">
        <f>IF(C67="","AV-"&amp;TEXT(COUNTA($C$5:C67),"000"))</f>
        <v/>
      </c>
      <c r="C67" s="11" t="n"/>
      <c r="D67" s="11" t="n"/>
      <c r="E67" s="11" t="n"/>
      <c r="F67" s="26" t="n"/>
      <c r="G67" s="11" t="n"/>
      <c r="H67" s="11" t="n"/>
      <c r="I67" s="11" t="n"/>
      <c r="J67" s="11" t="n"/>
      <c r="K67" s="26" t="n"/>
    </row>
    <row r="68" ht="22" customHeight="1">
      <c r="B68" s="15">
        <f>IF(C68="","AV-"&amp;TEXT(COUNTA($C$5:C68),"000"))</f>
        <v/>
      </c>
      <c r="C68" s="13" t="n"/>
      <c r="D68" s="13" t="n"/>
      <c r="E68" s="13" t="n"/>
      <c r="F68" s="27" t="n"/>
      <c r="G68" s="13" t="n"/>
      <c r="H68" s="13" t="n"/>
      <c r="I68" s="13" t="n"/>
      <c r="J68" s="13" t="n"/>
      <c r="K68" s="27" t="n"/>
    </row>
    <row r="69" ht="22" customHeight="1">
      <c r="B69" s="16">
        <f>IF(C69="","AV-"&amp;TEXT(COUNTA($C$5:C69),"000"))</f>
        <v/>
      </c>
      <c r="C69" s="11" t="n"/>
      <c r="D69" s="11" t="n"/>
      <c r="E69" s="11" t="n"/>
      <c r="F69" s="26" t="n"/>
      <c r="G69" s="11" t="n"/>
      <c r="H69" s="11" t="n"/>
      <c r="I69" s="11" t="n"/>
      <c r="J69" s="11" t="n"/>
      <c r="K69" s="26" t="n"/>
    </row>
    <row r="70" ht="22" customHeight="1">
      <c r="B70" s="15">
        <f>IF(C70="","AV-"&amp;TEXT(COUNTA($C$5:C70),"000"))</f>
        <v/>
      </c>
      <c r="C70" s="13" t="n"/>
      <c r="D70" s="13" t="n"/>
      <c r="E70" s="13" t="n"/>
      <c r="F70" s="27" t="n"/>
      <c r="G70" s="13" t="n"/>
      <c r="H70" s="13" t="n"/>
      <c r="I70" s="13" t="n"/>
      <c r="J70" s="13" t="n"/>
      <c r="K70" s="27" t="n"/>
    </row>
    <row r="71" ht="22" customHeight="1">
      <c r="B71" s="16">
        <f>IF(C71="","AV-"&amp;TEXT(COUNTA($C$5:C71),"000"))</f>
        <v/>
      </c>
      <c r="C71" s="11" t="n"/>
      <c r="D71" s="11" t="n"/>
      <c r="E71" s="11" t="n"/>
      <c r="F71" s="26" t="n"/>
      <c r="G71" s="11" t="n"/>
      <c r="H71" s="11" t="n"/>
      <c r="I71" s="11" t="n"/>
      <c r="J71" s="11" t="n"/>
      <c r="K71" s="26" t="n"/>
    </row>
    <row r="72" ht="22" customHeight="1">
      <c r="B72" s="15">
        <f>IF(C72="","AV-"&amp;TEXT(COUNTA($C$5:C72),"000"))</f>
        <v/>
      </c>
      <c r="C72" s="13" t="n"/>
      <c r="D72" s="13" t="n"/>
      <c r="E72" s="13" t="n"/>
      <c r="F72" s="27" t="n"/>
      <c r="G72" s="13" t="n"/>
      <c r="H72" s="13" t="n"/>
      <c r="I72" s="13" t="n"/>
      <c r="J72" s="13" t="n"/>
      <c r="K72" s="27" t="n"/>
    </row>
    <row r="73" ht="22" customHeight="1">
      <c r="B73" s="16">
        <f>IF(C73="","AV-"&amp;TEXT(COUNTA($C$5:C73),"000"))</f>
        <v/>
      </c>
      <c r="C73" s="11" t="n"/>
      <c r="D73" s="11" t="n"/>
      <c r="E73" s="11" t="n"/>
      <c r="F73" s="26" t="n"/>
      <c r="G73" s="11" t="n"/>
      <c r="H73" s="11" t="n"/>
      <c r="I73" s="11" t="n"/>
      <c r="J73" s="11" t="n"/>
      <c r="K73" s="26" t="n"/>
    </row>
    <row r="74" ht="22" customHeight="1">
      <c r="B74" s="15">
        <f>IF(C74="","AV-"&amp;TEXT(COUNTA($C$5:C74),"000"))</f>
        <v/>
      </c>
      <c r="C74" s="13" t="n"/>
      <c r="D74" s="13" t="n"/>
      <c r="E74" s="13" t="n"/>
      <c r="F74" s="27" t="n"/>
      <c r="G74" s="13" t="n"/>
      <c r="H74" s="13" t="n"/>
      <c r="I74" s="13" t="n"/>
      <c r="J74" s="13" t="n"/>
      <c r="K74" s="27" t="n"/>
    </row>
    <row r="75" ht="22" customHeight="1">
      <c r="B75" s="16">
        <f>IF(C75="","AV-"&amp;TEXT(COUNTA($C$5:C75),"000"))</f>
        <v/>
      </c>
      <c r="C75" s="11" t="n"/>
      <c r="D75" s="11" t="n"/>
      <c r="E75" s="11" t="n"/>
      <c r="F75" s="26" t="n"/>
      <c r="G75" s="11" t="n"/>
      <c r="H75" s="11" t="n"/>
      <c r="I75" s="11" t="n"/>
      <c r="J75" s="11" t="n"/>
      <c r="K75" s="26" t="n"/>
    </row>
    <row r="76" ht="22" customHeight="1">
      <c r="B76" s="15">
        <f>IF(C76="","AV-"&amp;TEXT(COUNTA($C$5:C76),"000"))</f>
        <v/>
      </c>
      <c r="C76" s="13" t="n"/>
      <c r="D76" s="13" t="n"/>
      <c r="E76" s="13" t="n"/>
      <c r="F76" s="27" t="n"/>
      <c r="G76" s="13" t="n"/>
      <c r="H76" s="13" t="n"/>
      <c r="I76" s="13" t="n"/>
      <c r="J76" s="13" t="n"/>
      <c r="K76" s="27" t="n"/>
    </row>
    <row r="77" ht="22" customHeight="1">
      <c r="B77" s="16">
        <f>IF(C77="","AV-"&amp;TEXT(COUNTA($C$5:C77),"000"))</f>
        <v/>
      </c>
      <c r="C77" s="11" t="n"/>
      <c r="D77" s="11" t="n"/>
      <c r="E77" s="11" t="n"/>
      <c r="F77" s="26" t="n"/>
      <c r="G77" s="11" t="n"/>
      <c r="H77" s="11" t="n"/>
      <c r="I77" s="11" t="n"/>
      <c r="J77" s="11" t="n"/>
      <c r="K77" s="26" t="n"/>
    </row>
    <row r="78" ht="22" customHeight="1">
      <c r="B78" s="15">
        <f>IF(C78="","AV-"&amp;TEXT(COUNTA($C$5:C78),"000"))</f>
        <v/>
      </c>
      <c r="C78" s="13" t="n"/>
      <c r="D78" s="13" t="n"/>
      <c r="E78" s="13" t="n"/>
      <c r="F78" s="27" t="n"/>
      <c r="G78" s="13" t="n"/>
      <c r="H78" s="13" t="n"/>
      <c r="I78" s="13" t="n"/>
      <c r="J78" s="13" t="n"/>
      <c r="K78" s="27" t="n"/>
    </row>
    <row r="79" ht="22" customHeight="1">
      <c r="B79" s="16">
        <f>IF(C79="","AV-"&amp;TEXT(COUNTA($C$5:C79),"000"))</f>
        <v/>
      </c>
      <c r="C79" s="11" t="n"/>
      <c r="D79" s="11" t="n"/>
      <c r="E79" s="11" t="n"/>
      <c r="F79" s="26" t="n"/>
      <c r="G79" s="11" t="n"/>
      <c r="H79" s="11" t="n"/>
      <c r="I79" s="11" t="n"/>
      <c r="J79" s="11" t="n"/>
      <c r="K79" s="26" t="n"/>
    </row>
    <row r="80" ht="22" customHeight="1">
      <c r="B80" s="15">
        <f>IF(C80="","AV-"&amp;TEXT(COUNTA($C$5:C80),"000"))</f>
        <v/>
      </c>
      <c r="C80" s="13" t="n"/>
      <c r="D80" s="13" t="n"/>
      <c r="E80" s="13" t="n"/>
      <c r="F80" s="27" t="n"/>
      <c r="G80" s="13" t="n"/>
      <c r="H80" s="13" t="n"/>
      <c r="I80" s="13" t="n"/>
      <c r="J80" s="13" t="n"/>
      <c r="K80" s="27" t="n"/>
    </row>
    <row r="81" ht="22" customHeight="1">
      <c r="B81" s="16">
        <f>IF(C81="","AV-"&amp;TEXT(COUNTA($C$5:C81),"000"))</f>
        <v/>
      </c>
      <c r="C81" s="11" t="n"/>
      <c r="D81" s="11" t="n"/>
      <c r="E81" s="11" t="n"/>
      <c r="F81" s="26" t="n"/>
      <c r="G81" s="11" t="n"/>
      <c r="H81" s="11" t="n"/>
      <c r="I81" s="11" t="n"/>
      <c r="J81" s="11" t="n"/>
      <c r="K81" s="26" t="n"/>
    </row>
    <row r="82" ht="22" customHeight="1">
      <c r="B82" s="15">
        <f>IF(C82="","AV-"&amp;TEXT(COUNTA($C$5:C82),"000"))</f>
        <v/>
      </c>
      <c r="C82" s="13" t="n"/>
      <c r="D82" s="13" t="n"/>
      <c r="E82" s="13" t="n"/>
      <c r="F82" s="27" t="n"/>
      <c r="G82" s="13" t="n"/>
      <c r="H82" s="13" t="n"/>
      <c r="I82" s="13" t="n"/>
      <c r="J82" s="13" t="n"/>
      <c r="K82" s="27" t="n"/>
    </row>
    <row r="83" ht="22" customHeight="1">
      <c r="B83" s="16">
        <f>IF(C83="","AV-"&amp;TEXT(COUNTA($C$5:C83),"000"))</f>
        <v/>
      </c>
      <c r="C83" s="11" t="n"/>
      <c r="D83" s="11" t="n"/>
      <c r="E83" s="11" t="n"/>
      <c r="F83" s="26" t="n"/>
      <c r="G83" s="11" t="n"/>
      <c r="H83" s="11" t="n"/>
      <c r="I83" s="11" t="n"/>
      <c r="J83" s="11" t="n"/>
      <c r="K83" s="26" t="n"/>
    </row>
    <row r="84" ht="22" customHeight="1">
      <c r="B84" s="15">
        <f>IF(C84="","AV-"&amp;TEXT(COUNTA($C$5:C84),"000"))</f>
        <v/>
      </c>
      <c r="C84" s="13" t="n"/>
      <c r="D84" s="13" t="n"/>
      <c r="E84" s="13" t="n"/>
      <c r="F84" s="27" t="n"/>
      <c r="G84" s="13" t="n"/>
      <c r="H84" s="13" t="n"/>
      <c r="I84" s="13" t="n"/>
      <c r="J84" s="13" t="n"/>
      <c r="K84" s="27" t="n"/>
    </row>
    <row r="85" ht="22" customHeight="1">
      <c r="B85" s="16">
        <f>IF(C85="","AV-"&amp;TEXT(COUNTA($C$5:C85),"000"))</f>
        <v/>
      </c>
      <c r="C85" s="11" t="n"/>
      <c r="D85" s="11" t="n"/>
      <c r="E85" s="11" t="n"/>
      <c r="F85" s="26" t="n"/>
      <c r="G85" s="11" t="n"/>
      <c r="H85" s="11" t="n"/>
      <c r="I85" s="11" t="n"/>
      <c r="J85" s="11" t="n"/>
      <c r="K85" s="26" t="n"/>
    </row>
    <row r="86" ht="22" customHeight="1">
      <c r="B86" s="15">
        <f>IF(C86="","AV-"&amp;TEXT(COUNTA($C$5:C86),"000"))</f>
        <v/>
      </c>
      <c r="C86" s="13" t="n"/>
      <c r="D86" s="13" t="n"/>
      <c r="E86" s="13" t="n"/>
      <c r="F86" s="27" t="n"/>
      <c r="G86" s="13" t="n"/>
      <c r="H86" s="13" t="n"/>
      <c r="I86" s="13" t="n"/>
      <c r="J86" s="13" t="n"/>
      <c r="K86" s="27" t="n"/>
    </row>
    <row r="87" ht="22" customHeight="1">
      <c r="B87" s="16">
        <f>IF(C87="","AV-"&amp;TEXT(COUNTA($C$5:C87),"000"))</f>
        <v/>
      </c>
      <c r="C87" s="11" t="n"/>
      <c r="D87" s="11" t="n"/>
      <c r="E87" s="11" t="n"/>
      <c r="F87" s="26" t="n"/>
      <c r="G87" s="11" t="n"/>
      <c r="H87" s="11" t="n"/>
      <c r="I87" s="11" t="n"/>
      <c r="J87" s="11" t="n"/>
      <c r="K87" s="26" t="n"/>
    </row>
    <row r="88" ht="22" customHeight="1">
      <c r="B88" s="15">
        <f>IF(C88="","AV-"&amp;TEXT(COUNTA($C$5:C88),"000"))</f>
        <v/>
      </c>
      <c r="C88" s="13" t="n"/>
      <c r="D88" s="13" t="n"/>
      <c r="E88" s="13" t="n"/>
      <c r="F88" s="27" t="n"/>
      <c r="G88" s="13" t="n"/>
      <c r="H88" s="13" t="n"/>
      <c r="I88" s="13" t="n"/>
      <c r="J88" s="13" t="n"/>
      <c r="K88" s="27" t="n"/>
    </row>
    <row r="89" ht="22" customHeight="1">
      <c r="B89" s="16">
        <f>IF(C89="","AV-"&amp;TEXT(COUNTA($C$5:C89),"000"))</f>
        <v/>
      </c>
      <c r="C89" s="11" t="n"/>
      <c r="D89" s="11" t="n"/>
      <c r="E89" s="11" t="n"/>
      <c r="F89" s="26" t="n"/>
      <c r="G89" s="11" t="n"/>
      <c r="H89" s="11" t="n"/>
      <c r="I89" s="11" t="n"/>
      <c r="J89" s="11" t="n"/>
      <c r="K89" s="26" t="n"/>
    </row>
    <row r="90" ht="22" customHeight="1">
      <c r="B90" s="15">
        <f>IF(C90="","AV-"&amp;TEXT(COUNTA($C$5:C90),"000"))</f>
        <v/>
      </c>
      <c r="C90" s="13" t="n"/>
      <c r="D90" s="13" t="n"/>
      <c r="E90" s="13" t="n"/>
      <c r="F90" s="27" t="n"/>
      <c r="G90" s="13" t="n"/>
      <c r="H90" s="13" t="n"/>
      <c r="I90" s="13" t="n"/>
      <c r="J90" s="13" t="n"/>
      <c r="K90" s="27" t="n"/>
    </row>
    <row r="91" ht="22" customHeight="1">
      <c r="B91" s="16">
        <f>IF(C91="","AV-"&amp;TEXT(COUNTA($C$5:C91),"000"))</f>
        <v/>
      </c>
      <c r="C91" s="11" t="n"/>
      <c r="D91" s="11" t="n"/>
      <c r="E91" s="11" t="n"/>
      <c r="F91" s="26" t="n"/>
      <c r="G91" s="11" t="n"/>
      <c r="H91" s="11" t="n"/>
      <c r="I91" s="11" t="n"/>
      <c r="J91" s="11" t="n"/>
      <c r="K91" s="26" t="n"/>
    </row>
    <row r="92" ht="22" customHeight="1">
      <c r="B92" s="15">
        <f>IF(C92="","AV-"&amp;TEXT(COUNTA($C$5:C92),"000"))</f>
        <v/>
      </c>
      <c r="C92" s="13" t="n"/>
      <c r="D92" s="13" t="n"/>
      <c r="E92" s="13" t="n"/>
      <c r="F92" s="27" t="n"/>
      <c r="G92" s="13" t="n"/>
      <c r="H92" s="13" t="n"/>
      <c r="I92" s="13" t="n"/>
      <c r="J92" s="13" t="n"/>
      <c r="K92" s="27" t="n"/>
    </row>
    <row r="93" ht="22" customHeight="1">
      <c r="B93" s="16">
        <f>IF(C93="","AV-"&amp;TEXT(COUNTA($C$5:C93),"000"))</f>
        <v/>
      </c>
      <c r="C93" s="11" t="n"/>
      <c r="D93" s="11" t="n"/>
      <c r="E93" s="11" t="n"/>
      <c r="F93" s="26" t="n"/>
      <c r="G93" s="11" t="n"/>
      <c r="H93" s="11" t="n"/>
      <c r="I93" s="11" t="n"/>
      <c r="J93" s="11" t="n"/>
      <c r="K93" s="26" t="n"/>
    </row>
    <row r="94" ht="22" customHeight="1">
      <c r="B94" s="15">
        <f>IF(C94="","AV-"&amp;TEXT(COUNTA($C$5:C94),"000"))</f>
        <v/>
      </c>
      <c r="C94" s="13" t="n"/>
      <c r="D94" s="13" t="n"/>
      <c r="E94" s="13" t="n"/>
      <c r="F94" s="27" t="n"/>
      <c r="G94" s="13" t="n"/>
      <c r="H94" s="13" t="n"/>
      <c r="I94" s="13" t="n"/>
      <c r="J94" s="13" t="n"/>
      <c r="K94" s="27" t="n"/>
    </row>
    <row r="95" ht="22" customHeight="1">
      <c r="B95" s="16">
        <f>IF(C95="","AV-"&amp;TEXT(COUNTA($C$5:C95),"000"))</f>
        <v/>
      </c>
      <c r="C95" s="11" t="n"/>
      <c r="D95" s="11" t="n"/>
      <c r="E95" s="11" t="n"/>
      <c r="F95" s="26" t="n"/>
      <c r="G95" s="11" t="n"/>
      <c r="H95" s="11" t="n"/>
      <c r="I95" s="11" t="n"/>
      <c r="J95" s="11" t="n"/>
      <c r="K95" s="26" t="n"/>
    </row>
    <row r="96" ht="22" customHeight="1">
      <c r="B96" s="15">
        <f>IF(C96="","AV-"&amp;TEXT(COUNTA($C$5:C96),"000"))</f>
        <v/>
      </c>
      <c r="C96" s="13" t="n"/>
      <c r="D96" s="13" t="n"/>
      <c r="E96" s="13" t="n"/>
      <c r="F96" s="27" t="n"/>
      <c r="G96" s="13" t="n"/>
      <c r="H96" s="13" t="n"/>
      <c r="I96" s="13" t="n"/>
      <c r="J96" s="13" t="n"/>
      <c r="K96" s="27" t="n"/>
    </row>
    <row r="97" ht="22" customHeight="1">
      <c r="B97" s="16">
        <f>IF(C97="","AV-"&amp;TEXT(COUNTA($C$5:C97),"000"))</f>
        <v/>
      </c>
      <c r="C97" s="11" t="n"/>
      <c r="D97" s="11" t="n"/>
      <c r="E97" s="11" t="n"/>
      <c r="F97" s="26" t="n"/>
      <c r="G97" s="11" t="n"/>
      <c r="H97" s="11" t="n"/>
      <c r="I97" s="11" t="n"/>
      <c r="J97" s="11" t="n"/>
      <c r="K97" s="26" t="n"/>
    </row>
    <row r="98" ht="22" customHeight="1">
      <c r="B98" s="15">
        <f>IF(C98="","AV-"&amp;TEXT(COUNTA($C$5:C98),"000"))</f>
        <v/>
      </c>
      <c r="C98" s="13" t="n"/>
      <c r="D98" s="13" t="n"/>
      <c r="E98" s="13" t="n"/>
      <c r="F98" s="27" t="n"/>
      <c r="G98" s="13" t="n"/>
      <c r="H98" s="13" t="n"/>
      <c r="I98" s="13" t="n"/>
      <c r="J98" s="13" t="n"/>
      <c r="K98" s="27" t="n"/>
    </row>
    <row r="99" ht="22" customHeight="1">
      <c r="B99" s="16">
        <f>IF(C99="","AV-"&amp;TEXT(COUNTA($C$5:C99),"000"))</f>
        <v/>
      </c>
      <c r="C99" s="11" t="n"/>
      <c r="D99" s="11" t="n"/>
      <c r="E99" s="11" t="n"/>
      <c r="F99" s="26" t="n"/>
      <c r="G99" s="11" t="n"/>
      <c r="H99" s="11" t="n"/>
      <c r="I99" s="11" t="n"/>
      <c r="J99" s="11" t="n"/>
      <c r="K99" s="26" t="n"/>
    </row>
    <row r="100" ht="22" customHeight="1">
      <c r="B100" s="15">
        <f>IF(C100="","AV-"&amp;TEXT(COUNTA($C$5:C100),"000"))</f>
        <v/>
      </c>
      <c r="C100" s="13" t="n"/>
      <c r="D100" s="13" t="n"/>
      <c r="E100" s="13" t="n"/>
      <c r="F100" s="27" t="n"/>
      <c r="G100" s="13" t="n"/>
      <c r="H100" s="13" t="n"/>
      <c r="I100" s="13" t="n"/>
      <c r="J100" s="13" t="n"/>
      <c r="K100" s="27" t="n"/>
    </row>
    <row r="101" ht="22" customHeight="1">
      <c r="B101" s="16">
        <f>IF(C101="","AV-"&amp;TEXT(COUNTA($C$5:C101),"000"))</f>
        <v/>
      </c>
      <c r="C101" s="11" t="n"/>
      <c r="D101" s="11" t="n"/>
      <c r="E101" s="11" t="n"/>
      <c r="F101" s="26" t="n"/>
      <c r="G101" s="11" t="n"/>
      <c r="H101" s="11" t="n"/>
      <c r="I101" s="11" t="n"/>
      <c r="J101" s="11" t="n"/>
      <c r="K101" s="26" t="n"/>
    </row>
    <row r="102" ht="22" customHeight="1">
      <c r="B102" s="15">
        <f>IF(C102="","AV-"&amp;TEXT(COUNTA($C$5:C102),"000"))</f>
        <v/>
      </c>
      <c r="C102" s="13" t="n"/>
      <c r="D102" s="13" t="n"/>
      <c r="E102" s="13" t="n"/>
      <c r="F102" s="27" t="n"/>
      <c r="G102" s="13" t="n"/>
      <c r="H102" s="13" t="n"/>
      <c r="I102" s="13" t="n"/>
      <c r="J102" s="13" t="n"/>
      <c r="K102" s="27" t="n"/>
    </row>
    <row r="103" ht="22" customHeight="1">
      <c r="B103" s="16">
        <f>IF(C103="","AV-"&amp;TEXT(COUNTA($C$5:C103),"000"))</f>
        <v/>
      </c>
      <c r="C103" s="11" t="n"/>
      <c r="D103" s="11" t="n"/>
      <c r="E103" s="11" t="n"/>
      <c r="F103" s="26" t="n"/>
      <c r="G103" s="11" t="n"/>
      <c r="H103" s="11" t="n"/>
      <c r="I103" s="11" t="n"/>
      <c r="J103" s="11" t="n"/>
      <c r="K103" s="26" t="n"/>
    </row>
    <row r="104" ht="22" customHeight="1">
      <c r="B104" s="15">
        <f>IF(C104="","AV-"&amp;TEXT(COUNTA($C$5:C104),"000"))</f>
        <v/>
      </c>
      <c r="C104" s="13" t="n"/>
      <c r="D104" s="13" t="n"/>
      <c r="E104" s="13" t="n"/>
      <c r="F104" s="27" t="n"/>
      <c r="G104" s="13" t="n"/>
      <c r="H104" s="13" t="n"/>
      <c r="I104" s="13" t="n"/>
      <c r="J104" s="13" t="n"/>
      <c r="K104" s="27" t="n"/>
    </row>
    <row r="105" ht="22" customHeight="1">
      <c r="B105" s="16">
        <f>IF(C105="","AV-"&amp;TEXT(COUNTA($C$5:C105),"000"))</f>
        <v/>
      </c>
      <c r="C105" s="11" t="n"/>
      <c r="D105" s="11" t="n"/>
      <c r="E105" s="11" t="n"/>
      <c r="F105" s="26" t="n"/>
      <c r="G105" s="11" t="n"/>
      <c r="H105" s="11" t="n"/>
      <c r="I105" s="11" t="n"/>
      <c r="J105" s="11" t="n"/>
      <c r="K105" s="26" t="n"/>
    </row>
    <row r="106" ht="22" customHeight="1">
      <c r="B106" s="15">
        <f>IF(C106="","AV-"&amp;TEXT(COUNTA($C$5:C106),"000"))</f>
        <v/>
      </c>
      <c r="C106" s="13" t="n"/>
      <c r="D106" s="13" t="n"/>
      <c r="E106" s="13" t="n"/>
      <c r="F106" s="27" t="n"/>
      <c r="G106" s="13" t="n"/>
      <c r="H106" s="13" t="n"/>
      <c r="I106" s="13" t="n"/>
      <c r="J106" s="13" t="n"/>
      <c r="K106" s="27" t="n"/>
    </row>
    <row r="107" ht="22" customHeight="1">
      <c r="B107" s="16">
        <f>IF(C107="","AV-"&amp;TEXT(COUNTA($C$5:C107),"000"))</f>
        <v/>
      </c>
      <c r="C107" s="11" t="n"/>
      <c r="D107" s="11" t="n"/>
      <c r="E107" s="11" t="n"/>
      <c r="F107" s="26" t="n"/>
      <c r="G107" s="11" t="n"/>
      <c r="H107" s="11" t="n"/>
      <c r="I107" s="11" t="n"/>
      <c r="J107" s="11" t="n"/>
      <c r="K107" s="26" t="n"/>
    </row>
    <row r="108" ht="22" customHeight="1">
      <c r="B108" s="15">
        <f>IF(C108="","AV-"&amp;TEXT(COUNTA($C$5:C108),"000"))</f>
        <v/>
      </c>
      <c r="C108" s="13" t="n"/>
      <c r="D108" s="13" t="n"/>
      <c r="E108" s="13" t="n"/>
      <c r="F108" s="27" t="n"/>
      <c r="G108" s="13" t="n"/>
      <c r="H108" s="13" t="n"/>
      <c r="I108" s="13" t="n"/>
      <c r="J108" s="13" t="n"/>
      <c r="K108" s="27" t="n"/>
    </row>
    <row r="109" ht="22" customHeight="1">
      <c r="B109" s="16">
        <f>IF(C109="","AV-"&amp;TEXT(COUNTA($C$5:C109),"000"))</f>
        <v/>
      </c>
      <c r="C109" s="11" t="n"/>
      <c r="D109" s="11" t="n"/>
      <c r="E109" s="11" t="n"/>
      <c r="F109" s="26" t="n"/>
      <c r="G109" s="11" t="n"/>
      <c r="H109" s="11" t="n"/>
      <c r="I109" s="11" t="n"/>
      <c r="J109" s="11" t="n"/>
      <c r="K109" s="26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Avenants total</t>
        </is>
      </c>
      <c r="D112" s="3" t="inlineStr">
        <is>
          <t>Signes</t>
        </is>
      </c>
      <c r="F112" s="3" t="inlineStr">
        <is>
          <t>En cours</t>
        </is>
      </c>
    </row>
    <row r="113">
      <c r="B113" s="4">
        <f>COUNTIF(B5:B104,"&lt;&gt;")</f>
        <v/>
      </c>
      <c r="D113" s="4">
        <f>COUNTIF(J5:J104,"Signe")</f>
        <v/>
      </c>
      <c r="F113" s="4">
        <f>COUNTIF(J5:J104,"En cours")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conditionalFormatting sqref="K10:K109">
    <cfRule type="expression" priority="202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'_Lists'!$F$2:$F$8</formula1>
    </dataValidation>
    <dataValidation sqref="J5:J109" showDropDown="0" showInputMessage="0" showErrorMessage="0" allowBlank="1" errorTitle="Erreur" error="Valeur invalide" promptTitle="Liste" prompt="Choisir dans la liste" type="list">
      <formula1>'_Lists'!$E$2:$E$6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8" customWidth="1" min="4" max="4"/>
    <col width="24" customWidth="1" min="5" max="5"/>
    <col width="22" customWidth="1" min="6" max="6"/>
    <col width="14" customWidth="1" min="7" max="7"/>
    <col width="40" customWidth="1" min="8" max="8"/>
    <col width="28" customWidth="1" min="9" max="9"/>
    <col width="16" customWidth="1" min="10" max="10"/>
    <col width="12" customWidth="1" min="11" max="11"/>
    <col width="22" customWidth="1" min="12" max="12"/>
  </cols>
  <sheetData>
    <row r="1" ht="15" customHeight="1"/>
    <row r="2" ht="32" customHeight="1">
      <c r="B2" s="1" t="inlineStr">
        <is>
          <t>PROCÉDURES DISCIPLINAIRES - VOLET JURIDIQUE (#120)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Employe</t>
        </is>
      </c>
      <c r="D4" s="10" t="inlineStr">
        <is>
          <t>Poste</t>
        </is>
      </c>
      <c r="E4" s="10" t="inlineStr">
        <is>
          <t>Departement</t>
        </is>
      </c>
      <c r="F4" s="10" t="inlineStr">
        <is>
          <t>Type Infraction</t>
        </is>
      </c>
      <c r="G4" s="10" t="inlineStr">
        <is>
          <t>Date Infraction</t>
        </is>
      </c>
      <c r="H4" s="10" t="inlineStr">
        <is>
          <t>Description Faits</t>
        </is>
      </c>
      <c r="I4" s="10" t="inlineStr">
        <is>
          <t>Sanction Prononcee</t>
        </is>
      </c>
      <c r="J4" s="10" t="inlineStr">
        <is>
          <t>Date Notification</t>
        </is>
      </c>
      <c r="K4" s="10" t="inlineStr">
        <is>
          <t>Statut</t>
        </is>
      </c>
      <c r="L4" s="10" t="inlineStr">
        <is>
          <t>Voie Recours</t>
        </is>
      </c>
    </row>
    <row r="5" ht="22" customHeight="1">
      <c r="B5" s="11" t="inlineStr">
        <is>
          <t>PDJ-001</t>
        </is>
      </c>
      <c r="C5" s="11" t="inlineStr">
        <is>
          <t>Abdou B.</t>
        </is>
      </c>
      <c r="D5" s="11" t="inlineStr">
        <is>
          <t>Plongeur</t>
        </is>
      </c>
      <c r="E5" s="11" t="inlineStr">
        <is>
          <t>Cuisine &amp; Restauration</t>
        </is>
      </c>
      <c r="F5" s="11" t="inlineStr">
        <is>
          <t>Absence injustifiee</t>
        </is>
      </c>
      <c r="G5" s="26" t="n">
        <v>45726</v>
      </c>
      <c r="H5" s="11" t="inlineStr">
        <is>
          <t>Absence 3 jours consecutifs sans justificatif</t>
        </is>
      </c>
      <c r="I5" s="11" t="inlineStr">
        <is>
          <t>Mise a pied disciplinaire 5j</t>
        </is>
      </c>
      <c r="J5" s="26" t="n">
        <v>45731</v>
      </c>
      <c r="K5" s="11" t="inlineStr">
        <is>
          <t>Clos</t>
        </is>
      </c>
      <c r="L5" s="11" t="inlineStr">
        <is>
          <t>Non exercee</t>
        </is>
      </c>
    </row>
    <row r="6" ht="22" customHeight="1">
      <c r="B6" s="13" t="inlineStr">
        <is>
          <t>PDJ-002</t>
        </is>
      </c>
      <c r="C6" s="13" t="inlineStr">
        <is>
          <t>Esso M.</t>
        </is>
      </c>
      <c r="D6" s="13" t="inlineStr">
        <is>
          <t>Agent Entretien</t>
        </is>
      </c>
      <c r="E6" s="13" t="inlineStr">
        <is>
          <t>Maintenance</t>
        </is>
      </c>
      <c r="F6" s="13" t="inlineStr">
        <is>
          <t>Retard repetes</t>
        </is>
      </c>
      <c r="G6" s="27" t="n">
        <v>45752</v>
      </c>
      <c r="H6" s="13" t="inlineStr">
        <is>
          <t>5 retards &gt; 30 min en 1 mois</t>
        </is>
      </c>
      <c r="I6" s="13" t="inlineStr">
        <is>
          <t>Avertissement ecrit</t>
        </is>
      </c>
      <c r="J6" s="27" t="n">
        <v>45755</v>
      </c>
      <c r="K6" s="13" t="inlineStr">
        <is>
          <t>Clos</t>
        </is>
      </c>
      <c r="L6" s="13" t="inlineStr">
        <is>
          <t>Non exercee</t>
        </is>
      </c>
    </row>
    <row r="7" ht="22" customHeight="1">
      <c r="B7" s="11" t="inlineStr">
        <is>
          <t>PDJ-003</t>
        </is>
      </c>
      <c r="C7" s="11" t="inlineStr">
        <is>
          <t>Tchouanku G.</t>
        </is>
      </c>
      <c r="D7" s="11" t="inlineStr">
        <is>
          <t>Agent Securite</t>
        </is>
      </c>
      <c r="E7" s="11" t="inlineStr">
        <is>
          <t>Sécurité</t>
        </is>
      </c>
      <c r="F7" s="11" t="inlineStr">
        <is>
          <t>Ivresse au travail</t>
        </is>
      </c>
      <c r="G7" s="26" t="n">
        <v>45797</v>
      </c>
      <c r="H7" s="11" t="inlineStr">
        <is>
          <t>Agent retrouve en etat d'ebriete poste nuit</t>
        </is>
      </c>
      <c r="I7" s="11" t="inlineStr">
        <is>
          <t>Licenciement pour faute</t>
        </is>
      </c>
      <c r="J7" s="26" t="n">
        <v>45799</v>
      </c>
      <c r="K7" s="11" t="inlineStr">
        <is>
          <t>Clos</t>
        </is>
      </c>
      <c r="L7" s="11" t="inlineStr">
        <is>
          <t>Saisie Inspection travail</t>
        </is>
      </c>
    </row>
    <row r="8" ht="22" customHeight="1">
      <c r="B8" s="13" t="inlineStr">
        <is>
          <t>PDJ-004</t>
        </is>
      </c>
      <c r="C8" s="13" t="inlineStr">
        <is>
          <t>Nana C.</t>
        </is>
      </c>
      <c r="D8" s="13" t="inlineStr">
        <is>
          <t>Receptionniste</t>
        </is>
      </c>
      <c r="E8" s="13" t="inlineStr">
        <is>
          <t>Réception &amp; Front Office</t>
        </is>
      </c>
      <c r="F8" s="13" t="inlineStr">
        <is>
          <t>Insubordination</t>
        </is>
      </c>
      <c r="G8" s="27" t="n">
        <v>45810</v>
      </c>
      <c r="H8" s="13" t="inlineStr">
        <is>
          <t>Refus d'executer consignes N+1 a 3 reprises</t>
        </is>
      </c>
      <c r="I8" s="13" t="inlineStr">
        <is>
          <t>Avertissement ecrit</t>
        </is>
      </c>
      <c r="J8" s="27" t="n">
        <v>45813</v>
      </c>
      <c r="K8" s="13" t="inlineStr">
        <is>
          <t>Clos</t>
        </is>
      </c>
      <c r="L8" s="13" t="inlineStr">
        <is>
          <t>Non exercee</t>
        </is>
      </c>
    </row>
    <row r="9" ht="22" customHeight="1">
      <c r="B9" s="16">
        <f>IF(C9="","PDJ-"&amp;TEXT(COUNTA($C$5:C9),"000"))</f>
        <v/>
      </c>
      <c r="C9" s="11" t="n"/>
      <c r="D9" s="11" t="n"/>
      <c r="E9" s="11" t="n"/>
      <c r="F9" s="11" t="n"/>
      <c r="G9" s="26" t="n"/>
      <c r="H9" s="11" t="n"/>
      <c r="I9" s="11" t="n"/>
      <c r="J9" s="26" t="n"/>
      <c r="K9" s="11" t="n"/>
      <c r="L9" s="11" t="n"/>
    </row>
    <row r="10" ht="22" customHeight="1">
      <c r="B10" s="15">
        <f>IF(C10="","PDJ-"&amp;TEXT(COUNTA($C$5:C10),"000"))</f>
        <v/>
      </c>
      <c r="C10" s="13" t="n"/>
      <c r="D10" s="13" t="n"/>
      <c r="E10" s="13" t="n"/>
      <c r="F10" s="13" t="n"/>
      <c r="G10" s="27" t="n"/>
      <c r="H10" s="13" t="n"/>
      <c r="I10" s="13" t="n"/>
      <c r="J10" s="27" t="n"/>
      <c r="K10" s="13" t="n"/>
      <c r="L10" s="13" t="n"/>
    </row>
    <row r="11" ht="22" customHeight="1">
      <c r="B11" s="16">
        <f>IF(C11="","PDJ-"&amp;TEXT(COUNTA($C$5:C11),"000"))</f>
        <v/>
      </c>
      <c r="C11" s="11" t="n"/>
      <c r="D11" s="11" t="n"/>
      <c r="E11" s="11" t="n"/>
      <c r="F11" s="11" t="n"/>
      <c r="G11" s="26" t="n"/>
      <c r="H11" s="11" t="n"/>
      <c r="I11" s="11" t="n"/>
      <c r="J11" s="26" t="n"/>
      <c r="K11" s="11" t="n"/>
      <c r="L11" s="11" t="n"/>
    </row>
    <row r="12" ht="22" customHeight="1">
      <c r="B12" s="15">
        <f>IF(C12="","PDJ-"&amp;TEXT(COUNTA($C$5:C12),"000"))</f>
        <v/>
      </c>
      <c r="C12" s="13" t="n"/>
      <c r="D12" s="13" t="n"/>
      <c r="E12" s="13" t="n"/>
      <c r="F12" s="13" t="n"/>
      <c r="G12" s="27" t="n"/>
      <c r="H12" s="13" t="n"/>
      <c r="I12" s="13" t="n"/>
      <c r="J12" s="27" t="n"/>
      <c r="K12" s="13" t="n"/>
      <c r="L12" s="13" t="n"/>
    </row>
    <row r="13" ht="22" customHeight="1">
      <c r="B13" s="16">
        <f>IF(C13="","PDJ-"&amp;TEXT(COUNTA($C$5:C13),"000"))</f>
        <v/>
      </c>
      <c r="C13" s="11" t="n"/>
      <c r="D13" s="11" t="n"/>
      <c r="E13" s="11" t="n"/>
      <c r="F13" s="11" t="n"/>
      <c r="G13" s="26" t="n"/>
      <c r="H13" s="11" t="n"/>
      <c r="I13" s="11" t="n"/>
      <c r="J13" s="26" t="n"/>
      <c r="K13" s="11" t="n"/>
      <c r="L13" s="11" t="n"/>
    </row>
    <row r="14" ht="22" customHeight="1">
      <c r="B14" s="15">
        <f>IF(C14="","PDJ-"&amp;TEXT(COUNTA($C$5:C14),"000"))</f>
        <v/>
      </c>
      <c r="C14" s="13" t="n"/>
      <c r="D14" s="13" t="n"/>
      <c r="E14" s="13" t="n"/>
      <c r="F14" s="13" t="n"/>
      <c r="G14" s="27" t="n"/>
      <c r="H14" s="13" t="n"/>
      <c r="I14" s="13" t="n"/>
      <c r="J14" s="27" t="n"/>
      <c r="K14" s="13" t="n"/>
      <c r="L14" s="13" t="n"/>
    </row>
    <row r="15" ht="22" customHeight="1">
      <c r="B15" s="16">
        <f>IF(C15="","PDJ-"&amp;TEXT(COUNTA($C$5:C15),"000"))</f>
        <v/>
      </c>
      <c r="C15" s="11" t="n"/>
      <c r="D15" s="11" t="n"/>
      <c r="E15" s="11" t="n"/>
      <c r="F15" s="11" t="n"/>
      <c r="G15" s="26" t="n"/>
      <c r="H15" s="11" t="n"/>
      <c r="I15" s="11" t="n"/>
      <c r="J15" s="26" t="n"/>
      <c r="K15" s="11" t="n"/>
      <c r="L15" s="11" t="n"/>
    </row>
    <row r="16" ht="22" customHeight="1">
      <c r="B16" s="15">
        <f>IF(C16="","PDJ-"&amp;TEXT(COUNTA($C$5:C16),"000"))</f>
        <v/>
      </c>
      <c r="C16" s="13" t="n"/>
      <c r="D16" s="13" t="n"/>
      <c r="E16" s="13" t="n"/>
      <c r="F16" s="13" t="n"/>
      <c r="G16" s="27" t="n"/>
      <c r="H16" s="13" t="n"/>
      <c r="I16" s="13" t="n"/>
      <c r="J16" s="27" t="n"/>
      <c r="K16" s="13" t="n"/>
      <c r="L16" s="13" t="n"/>
    </row>
    <row r="17" ht="22" customHeight="1">
      <c r="B17" s="16">
        <f>IF(C17="","PDJ-"&amp;TEXT(COUNTA($C$5:C17),"000"))</f>
        <v/>
      </c>
      <c r="C17" s="11" t="n"/>
      <c r="D17" s="11" t="n"/>
      <c r="E17" s="11" t="n"/>
      <c r="F17" s="11" t="n"/>
      <c r="G17" s="26" t="n"/>
      <c r="H17" s="11" t="n"/>
      <c r="I17" s="11" t="n"/>
      <c r="J17" s="26" t="n"/>
      <c r="K17" s="11" t="n"/>
      <c r="L17" s="11" t="n"/>
    </row>
    <row r="18" ht="22" customHeight="1">
      <c r="B18" s="15">
        <f>IF(C18="","PDJ-"&amp;TEXT(COUNTA($C$5:C18),"000"))</f>
        <v/>
      </c>
      <c r="C18" s="13" t="n"/>
      <c r="D18" s="13" t="n"/>
      <c r="E18" s="13" t="n"/>
      <c r="F18" s="13" t="n"/>
      <c r="G18" s="27" t="n"/>
      <c r="H18" s="13" t="n"/>
      <c r="I18" s="13" t="n"/>
      <c r="J18" s="27" t="n"/>
      <c r="K18" s="13" t="n"/>
      <c r="L18" s="13" t="n"/>
    </row>
    <row r="19" ht="22" customHeight="1">
      <c r="B19" s="16">
        <f>IF(C19="","PDJ-"&amp;TEXT(COUNTA($C$5:C19),"000"))</f>
        <v/>
      </c>
      <c r="C19" s="11" t="n"/>
      <c r="D19" s="11" t="n"/>
      <c r="E19" s="11" t="n"/>
      <c r="F19" s="11" t="n"/>
      <c r="G19" s="26" t="n"/>
      <c r="H19" s="11" t="n"/>
      <c r="I19" s="11" t="n"/>
      <c r="J19" s="26" t="n"/>
      <c r="K19" s="11" t="n"/>
      <c r="L19" s="11" t="n"/>
    </row>
    <row r="20" ht="22" customHeight="1">
      <c r="B20" s="15">
        <f>IF(C20="","PDJ-"&amp;TEXT(COUNTA($C$5:C20),"000"))</f>
        <v/>
      </c>
      <c r="C20" s="13" t="n"/>
      <c r="D20" s="13" t="n"/>
      <c r="E20" s="13" t="n"/>
      <c r="F20" s="13" t="n"/>
      <c r="G20" s="27" t="n"/>
      <c r="H20" s="13" t="n"/>
      <c r="I20" s="13" t="n"/>
      <c r="J20" s="27" t="n"/>
      <c r="K20" s="13" t="n"/>
      <c r="L20" s="13" t="n"/>
    </row>
    <row r="21" ht="22" customHeight="1">
      <c r="B21" s="16">
        <f>IF(C21="","PDJ-"&amp;TEXT(COUNTA($C$5:C21),"000"))</f>
        <v/>
      </c>
      <c r="C21" s="11" t="n"/>
      <c r="D21" s="11" t="n"/>
      <c r="E21" s="11" t="n"/>
      <c r="F21" s="11" t="n"/>
      <c r="G21" s="26" t="n"/>
      <c r="H21" s="11" t="n"/>
      <c r="I21" s="11" t="n"/>
      <c r="J21" s="26" t="n"/>
      <c r="K21" s="11" t="n"/>
      <c r="L21" s="11" t="n"/>
    </row>
    <row r="22" ht="22" customHeight="1">
      <c r="B22" s="15">
        <f>IF(C22="","PDJ-"&amp;TEXT(COUNTA($C$5:C22),"000"))</f>
        <v/>
      </c>
      <c r="C22" s="13" t="n"/>
      <c r="D22" s="13" t="n"/>
      <c r="E22" s="13" t="n"/>
      <c r="F22" s="13" t="n"/>
      <c r="G22" s="27" t="n"/>
      <c r="H22" s="13" t="n"/>
      <c r="I22" s="13" t="n"/>
      <c r="J22" s="27" t="n"/>
      <c r="K22" s="13" t="n"/>
      <c r="L22" s="13" t="n"/>
    </row>
    <row r="23" ht="22" customHeight="1">
      <c r="B23" s="16">
        <f>IF(C23="","PDJ-"&amp;TEXT(COUNTA($C$5:C23),"000"))</f>
        <v/>
      </c>
      <c r="C23" s="11" t="n"/>
      <c r="D23" s="11" t="n"/>
      <c r="E23" s="11" t="n"/>
      <c r="F23" s="11" t="n"/>
      <c r="G23" s="26" t="n"/>
      <c r="H23" s="11" t="n"/>
      <c r="I23" s="11" t="n"/>
      <c r="J23" s="26" t="n"/>
      <c r="K23" s="11" t="n"/>
      <c r="L23" s="11" t="n"/>
    </row>
    <row r="24" ht="22" customHeight="1">
      <c r="B24" s="15">
        <f>IF(C24="","PDJ-"&amp;TEXT(COUNTA($C$5:C24),"000"))</f>
        <v/>
      </c>
      <c r="C24" s="13" t="n"/>
      <c r="D24" s="13" t="n"/>
      <c r="E24" s="13" t="n"/>
      <c r="F24" s="13" t="n"/>
      <c r="G24" s="27" t="n"/>
      <c r="H24" s="13" t="n"/>
      <c r="I24" s="13" t="n"/>
      <c r="J24" s="27" t="n"/>
      <c r="K24" s="13" t="n"/>
      <c r="L24" s="13" t="n"/>
    </row>
    <row r="25" ht="22" customHeight="1">
      <c r="B25" s="16">
        <f>IF(C25="","PDJ-"&amp;TEXT(COUNTA($C$5:C25),"000"))</f>
        <v/>
      </c>
      <c r="C25" s="11" t="n"/>
      <c r="D25" s="11" t="n"/>
      <c r="E25" s="11" t="n"/>
      <c r="F25" s="11" t="n"/>
      <c r="G25" s="26" t="n"/>
      <c r="H25" s="11" t="n"/>
      <c r="I25" s="11" t="n"/>
      <c r="J25" s="26" t="n"/>
      <c r="K25" s="11" t="n"/>
      <c r="L25" s="11" t="n"/>
    </row>
    <row r="26" ht="22" customHeight="1">
      <c r="B26" s="15">
        <f>IF(C26="","PDJ-"&amp;TEXT(COUNTA($C$5:C26),"000"))</f>
        <v/>
      </c>
      <c r="C26" s="13" t="n"/>
      <c r="D26" s="13" t="n"/>
      <c r="E26" s="13" t="n"/>
      <c r="F26" s="13" t="n"/>
      <c r="G26" s="27" t="n"/>
      <c r="H26" s="13" t="n"/>
      <c r="I26" s="13" t="n"/>
      <c r="J26" s="27" t="n"/>
      <c r="K26" s="13" t="n"/>
      <c r="L26" s="13" t="n"/>
    </row>
    <row r="27" ht="22" customHeight="1">
      <c r="B27" s="16">
        <f>IF(C27="","PDJ-"&amp;TEXT(COUNTA($C$5:C27),"000"))</f>
        <v/>
      </c>
      <c r="C27" s="11" t="n"/>
      <c r="D27" s="11" t="n"/>
      <c r="E27" s="11" t="n"/>
      <c r="F27" s="11" t="n"/>
      <c r="G27" s="26" t="n"/>
      <c r="H27" s="11" t="n"/>
      <c r="I27" s="11" t="n"/>
      <c r="J27" s="26" t="n"/>
      <c r="K27" s="11" t="n"/>
      <c r="L27" s="11" t="n"/>
    </row>
    <row r="28" ht="22" customHeight="1">
      <c r="B28" s="15">
        <f>IF(C28="","PDJ-"&amp;TEXT(COUNTA($C$5:C28),"000"))</f>
        <v/>
      </c>
      <c r="C28" s="13" t="n"/>
      <c r="D28" s="13" t="n"/>
      <c r="E28" s="13" t="n"/>
      <c r="F28" s="13" t="n"/>
      <c r="G28" s="27" t="n"/>
      <c r="H28" s="13" t="n"/>
      <c r="I28" s="13" t="n"/>
      <c r="J28" s="27" t="n"/>
      <c r="K28" s="13" t="n"/>
      <c r="L28" s="13" t="n"/>
    </row>
    <row r="29" ht="22" customHeight="1">
      <c r="B29" s="16">
        <f>IF(C29="","PDJ-"&amp;TEXT(COUNTA($C$5:C29),"000"))</f>
        <v/>
      </c>
      <c r="C29" s="11" t="n"/>
      <c r="D29" s="11" t="n"/>
      <c r="E29" s="11" t="n"/>
      <c r="F29" s="11" t="n"/>
      <c r="G29" s="26" t="n"/>
      <c r="H29" s="11" t="n"/>
      <c r="I29" s="11" t="n"/>
      <c r="J29" s="26" t="n"/>
      <c r="K29" s="11" t="n"/>
      <c r="L29" s="11" t="n"/>
    </row>
    <row r="30" ht="22" customHeight="1">
      <c r="B30" s="15">
        <f>IF(C30="","PDJ-"&amp;TEXT(COUNTA($C$5:C30),"000"))</f>
        <v/>
      </c>
      <c r="C30" s="13" t="n"/>
      <c r="D30" s="13" t="n"/>
      <c r="E30" s="13" t="n"/>
      <c r="F30" s="13" t="n"/>
      <c r="G30" s="27" t="n"/>
      <c r="H30" s="13" t="n"/>
      <c r="I30" s="13" t="n"/>
      <c r="J30" s="27" t="n"/>
      <c r="K30" s="13" t="n"/>
      <c r="L30" s="13" t="n"/>
    </row>
    <row r="31" ht="22" customHeight="1">
      <c r="B31" s="16">
        <f>IF(C31="","PDJ-"&amp;TEXT(COUNTA($C$5:C31),"000"))</f>
        <v/>
      </c>
      <c r="C31" s="11" t="n"/>
      <c r="D31" s="11" t="n"/>
      <c r="E31" s="11" t="n"/>
      <c r="F31" s="11" t="n"/>
      <c r="G31" s="26" t="n"/>
      <c r="H31" s="11" t="n"/>
      <c r="I31" s="11" t="n"/>
      <c r="J31" s="26" t="n"/>
      <c r="K31" s="11" t="n"/>
      <c r="L31" s="11" t="n"/>
    </row>
    <row r="32" ht="22" customHeight="1">
      <c r="B32" s="15">
        <f>IF(C32="","PDJ-"&amp;TEXT(COUNTA($C$5:C32),"000"))</f>
        <v/>
      </c>
      <c r="C32" s="13" t="n"/>
      <c r="D32" s="13" t="n"/>
      <c r="E32" s="13" t="n"/>
      <c r="F32" s="13" t="n"/>
      <c r="G32" s="27" t="n"/>
      <c r="H32" s="13" t="n"/>
      <c r="I32" s="13" t="n"/>
      <c r="J32" s="27" t="n"/>
      <c r="K32" s="13" t="n"/>
      <c r="L32" s="13" t="n"/>
    </row>
    <row r="33" ht="22" customHeight="1">
      <c r="B33" s="16">
        <f>IF(C33="","PDJ-"&amp;TEXT(COUNTA($C$5:C33),"000"))</f>
        <v/>
      </c>
      <c r="C33" s="11" t="n"/>
      <c r="D33" s="11" t="n"/>
      <c r="E33" s="11" t="n"/>
      <c r="F33" s="11" t="n"/>
      <c r="G33" s="26" t="n"/>
      <c r="H33" s="11" t="n"/>
      <c r="I33" s="11" t="n"/>
      <c r="J33" s="26" t="n"/>
      <c r="K33" s="11" t="n"/>
      <c r="L33" s="11" t="n"/>
    </row>
    <row r="34" ht="22" customHeight="1">
      <c r="B34" s="15">
        <f>IF(C34="","PDJ-"&amp;TEXT(COUNTA($C$5:C34),"000"))</f>
        <v/>
      </c>
      <c r="C34" s="13" t="n"/>
      <c r="D34" s="13" t="n"/>
      <c r="E34" s="13" t="n"/>
      <c r="F34" s="13" t="n"/>
      <c r="G34" s="27" t="n"/>
      <c r="H34" s="13" t="n"/>
      <c r="I34" s="13" t="n"/>
      <c r="J34" s="27" t="n"/>
      <c r="K34" s="13" t="n"/>
      <c r="L34" s="13" t="n"/>
    </row>
    <row r="35" ht="22" customHeight="1">
      <c r="B35" s="16">
        <f>IF(C35="","PDJ-"&amp;TEXT(COUNTA($C$5:C35),"000"))</f>
        <v/>
      </c>
      <c r="C35" s="11" t="n"/>
      <c r="D35" s="11" t="n"/>
      <c r="E35" s="11" t="n"/>
      <c r="F35" s="11" t="n"/>
      <c r="G35" s="26" t="n"/>
      <c r="H35" s="11" t="n"/>
      <c r="I35" s="11" t="n"/>
      <c r="J35" s="26" t="n"/>
      <c r="K35" s="11" t="n"/>
      <c r="L35" s="11" t="n"/>
    </row>
    <row r="36" ht="22" customHeight="1">
      <c r="B36" s="15">
        <f>IF(C36="","PDJ-"&amp;TEXT(COUNTA($C$5:C36),"000"))</f>
        <v/>
      </c>
      <c r="C36" s="13" t="n"/>
      <c r="D36" s="13" t="n"/>
      <c r="E36" s="13" t="n"/>
      <c r="F36" s="13" t="n"/>
      <c r="G36" s="27" t="n"/>
      <c r="H36" s="13" t="n"/>
      <c r="I36" s="13" t="n"/>
      <c r="J36" s="27" t="n"/>
      <c r="K36" s="13" t="n"/>
      <c r="L36" s="13" t="n"/>
    </row>
    <row r="37" ht="22" customHeight="1">
      <c r="B37" s="16">
        <f>IF(C37="","PDJ-"&amp;TEXT(COUNTA($C$5:C37),"000"))</f>
        <v/>
      </c>
      <c r="C37" s="11" t="n"/>
      <c r="D37" s="11" t="n"/>
      <c r="E37" s="11" t="n"/>
      <c r="F37" s="11" t="n"/>
      <c r="G37" s="26" t="n"/>
      <c r="H37" s="11" t="n"/>
      <c r="I37" s="11" t="n"/>
      <c r="J37" s="26" t="n"/>
      <c r="K37" s="11" t="n"/>
      <c r="L37" s="11" t="n"/>
    </row>
    <row r="38" ht="22" customHeight="1">
      <c r="B38" s="15">
        <f>IF(C38="","PDJ-"&amp;TEXT(COUNTA($C$5:C38),"000"))</f>
        <v/>
      </c>
      <c r="C38" s="13" t="n"/>
      <c r="D38" s="13" t="n"/>
      <c r="E38" s="13" t="n"/>
      <c r="F38" s="13" t="n"/>
      <c r="G38" s="27" t="n"/>
      <c r="H38" s="13" t="n"/>
      <c r="I38" s="13" t="n"/>
      <c r="J38" s="27" t="n"/>
      <c r="K38" s="13" t="n"/>
      <c r="L38" s="13" t="n"/>
    </row>
    <row r="39" ht="22" customHeight="1">
      <c r="B39" s="16">
        <f>IF(C39="","PDJ-"&amp;TEXT(COUNTA($C$5:C39),"000"))</f>
        <v/>
      </c>
      <c r="C39" s="11" t="n"/>
      <c r="D39" s="11" t="n"/>
      <c r="E39" s="11" t="n"/>
      <c r="F39" s="11" t="n"/>
      <c r="G39" s="26" t="n"/>
      <c r="H39" s="11" t="n"/>
      <c r="I39" s="11" t="n"/>
      <c r="J39" s="26" t="n"/>
      <c r="K39" s="11" t="n"/>
      <c r="L39" s="11" t="n"/>
    </row>
    <row r="40" ht="22" customHeight="1">
      <c r="B40" s="15">
        <f>IF(C40="","PDJ-"&amp;TEXT(COUNTA($C$5:C40),"000"))</f>
        <v/>
      </c>
      <c r="C40" s="13" t="n"/>
      <c r="D40" s="13" t="n"/>
      <c r="E40" s="13" t="n"/>
      <c r="F40" s="13" t="n"/>
      <c r="G40" s="27" t="n"/>
      <c r="H40" s="13" t="n"/>
      <c r="I40" s="13" t="n"/>
      <c r="J40" s="27" t="n"/>
      <c r="K40" s="13" t="n"/>
      <c r="L40" s="13" t="n"/>
    </row>
    <row r="41" ht="22" customHeight="1">
      <c r="B41" s="16">
        <f>IF(C41="","PDJ-"&amp;TEXT(COUNTA($C$5:C41),"000"))</f>
        <v/>
      </c>
      <c r="C41" s="11" t="n"/>
      <c r="D41" s="11" t="n"/>
      <c r="E41" s="11" t="n"/>
      <c r="F41" s="11" t="n"/>
      <c r="G41" s="26" t="n"/>
      <c r="H41" s="11" t="n"/>
      <c r="I41" s="11" t="n"/>
      <c r="J41" s="26" t="n"/>
      <c r="K41" s="11" t="n"/>
      <c r="L41" s="11" t="n"/>
    </row>
    <row r="42" ht="22" customHeight="1">
      <c r="B42" s="15">
        <f>IF(C42="","PDJ-"&amp;TEXT(COUNTA($C$5:C42),"000"))</f>
        <v/>
      </c>
      <c r="C42" s="13" t="n"/>
      <c r="D42" s="13" t="n"/>
      <c r="E42" s="13" t="n"/>
      <c r="F42" s="13" t="n"/>
      <c r="G42" s="27" t="n"/>
      <c r="H42" s="13" t="n"/>
      <c r="I42" s="13" t="n"/>
      <c r="J42" s="27" t="n"/>
      <c r="K42" s="13" t="n"/>
      <c r="L42" s="13" t="n"/>
    </row>
    <row r="43" ht="22" customHeight="1">
      <c r="B43" s="16">
        <f>IF(C43="","PDJ-"&amp;TEXT(COUNTA($C$5:C43),"000"))</f>
        <v/>
      </c>
      <c r="C43" s="11" t="n"/>
      <c r="D43" s="11" t="n"/>
      <c r="E43" s="11" t="n"/>
      <c r="F43" s="11" t="n"/>
      <c r="G43" s="26" t="n"/>
      <c r="H43" s="11" t="n"/>
      <c r="I43" s="11" t="n"/>
      <c r="J43" s="26" t="n"/>
      <c r="K43" s="11" t="n"/>
      <c r="L43" s="11" t="n"/>
    </row>
    <row r="44" ht="22" customHeight="1">
      <c r="B44" s="15">
        <f>IF(C44="","PDJ-"&amp;TEXT(COUNTA($C$5:C44),"000"))</f>
        <v/>
      </c>
      <c r="C44" s="13" t="n"/>
      <c r="D44" s="13" t="n"/>
      <c r="E44" s="13" t="n"/>
      <c r="F44" s="13" t="n"/>
      <c r="G44" s="27" t="n"/>
      <c r="H44" s="13" t="n"/>
      <c r="I44" s="13" t="n"/>
      <c r="J44" s="27" t="n"/>
      <c r="K44" s="13" t="n"/>
      <c r="L44" s="13" t="n"/>
    </row>
    <row r="45" ht="22" customHeight="1">
      <c r="B45" s="16">
        <f>IF(C45="","PDJ-"&amp;TEXT(COUNTA($C$5:C45),"000"))</f>
        <v/>
      </c>
      <c r="C45" s="11" t="n"/>
      <c r="D45" s="11" t="n"/>
      <c r="E45" s="11" t="n"/>
      <c r="F45" s="11" t="n"/>
      <c r="G45" s="26" t="n"/>
      <c r="H45" s="11" t="n"/>
      <c r="I45" s="11" t="n"/>
      <c r="J45" s="26" t="n"/>
      <c r="K45" s="11" t="n"/>
      <c r="L45" s="11" t="n"/>
    </row>
    <row r="46" ht="22" customHeight="1">
      <c r="B46" s="15">
        <f>IF(C46="","PDJ-"&amp;TEXT(COUNTA($C$5:C46),"000"))</f>
        <v/>
      </c>
      <c r="C46" s="13" t="n"/>
      <c r="D46" s="13" t="n"/>
      <c r="E46" s="13" t="n"/>
      <c r="F46" s="13" t="n"/>
      <c r="G46" s="27" t="n"/>
      <c r="H46" s="13" t="n"/>
      <c r="I46" s="13" t="n"/>
      <c r="J46" s="27" t="n"/>
      <c r="K46" s="13" t="n"/>
      <c r="L46" s="13" t="n"/>
    </row>
    <row r="47" ht="22" customHeight="1">
      <c r="B47" s="16">
        <f>IF(C47="","PDJ-"&amp;TEXT(COUNTA($C$5:C47),"000"))</f>
        <v/>
      </c>
      <c r="C47" s="11" t="n"/>
      <c r="D47" s="11" t="n"/>
      <c r="E47" s="11" t="n"/>
      <c r="F47" s="11" t="n"/>
      <c r="G47" s="26" t="n"/>
      <c r="H47" s="11" t="n"/>
      <c r="I47" s="11" t="n"/>
      <c r="J47" s="26" t="n"/>
      <c r="K47" s="11" t="n"/>
      <c r="L47" s="11" t="n"/>
    </row>
    <row r="48" ht="22" customHeight="1">
      <c r="B48" s="15">
        <f>IF(C48="","PDJ-"&amp;TEXT(COUNTA($C$5:C48),"000"))</f>
        <v/>
      </c>
      <c r="C48" s="13" t="n"/>
      <c r="D48" s="13" t="n"/>
      <c r="E48" s="13" t="n"/>
      <c r="F48" s="13" t="n"/>
      <c r="G48" s="27" t="n"/>
      <c r="H48" s="13" t="n"/>
      <c r="I48" s="13" t="n"/>
      <c r="J48" s="27" t="n"/>
      <c r="K48" s="13" t="n"/>
      <c r="L48" s="13" t="n"/>
    </row>
    <row r="49" ht="22" customHeight="1">
      <c r="B49" s="16">
        <f>IF(C49="","PDJ-"&amp;TEXT(COUNTA($C$5:C49),"000"))</f>
        <v/>
      </c>
      <c r="C49" s="11" t="n"/>
      <c r="D49" s="11" t="n"/>
      <c r="E49" s="11" t="n"/>
      <c r="F49" s="11" t="n"/>
      <c r="G49" s="26" t="n"/>
      <c r="H49" s="11" t="n"/>
      <c r="I49" s="11" t="n"/>
      <c r="J49" s="26" t="n"/>
      <c r="K49" s="11" t="n"/>
      <c r="L49" s="11" t="n"/>
    </row>
    <row r="50" ht="22" customHeight="1">
      <c r="B50" s="15">
        <f>IF(C50="","PDJ-"&amp;TEXT(COUNTA($C$5:C50),"000"))</f>
        <v/>
      </c>
      <c r="C50" s="13" t="n"/>
      <c r="D50" s="13" t="n"/>
      <c r="E50" s="13" t="n"/>
      <c r="F50" s="13" t="n"/>
      <c r="G50" s="27" t="n"/>
      <c r="H50" s="13" t="n"/>
      <c r="I50" s="13" t="n"/>
      <c r="J50" s="27" t="n"/>
      <c r="K50" s="13" t="n"/>
      <c r="L50" s="13" t="n"/>
    </row>
    <row r="51" ht="22" customHeight="1">
      <c r="B51" s="16">
        <f>IF(C51="","PDJ-"&amp;TEXT(COUNTA($C$5:C51),"000"))</f>
        <v/>
      </c>
      <c r="C51" s="11" t="n"/>
      <c r="D51" s="11" t="n"/>
      <c r="E51" s="11" t="n"/>
      <c r="F51" s="11" t="n"/>
      <c r="G51" s="26" t="n"/>
      <c r="H51" s="11" t="n"/>
      <c r="I51" s="11" t="n"/>
      <c r="J51" s="26" t="n"/>
      <c r="K51" s="11" t="n"/>
      <c r="L51" s="11" t="n"/>
    </row>
    <row r="52" ht="22" customHeight="1">
      <c r="B52" s="15">
        <f>IF(C52="","PDJ-"&amp;TEXT(COUNTA($C$5:C52),"000"))</f>
        <v/>
      </c>
      <c r="C52" s="13" t="n"/>
      <c r="D52" s="13" t="n"/>
      <c r="E52" s="13" t="n"/>
      <c r="F52" s="13" t="n"/>
      <c r="G52" s="27" t="n"/>
      <c r="H52" s="13" t="n"/>
      <c r="I52" s="13" t="n"/>
      <c r="J52" s="27" t="n"/>
      <c r="K52" s="13" t="n"/>
      <c r="L52" s="13" t="n"/>
    </row>
    <row r="53" ht="22" customHeight="1">
      <c r="B53" s="16">
        <f>IF(C53="","PDJ-"&amp;TEXT(COUNTA($C$5:C53),"000"))</f>
        <v/>
      </c>
      <c r="C53" s="11" t="n"/>
      <c r="D53" s="11" t="n"/>
      <c r="E53" s="11" t="n"/>
      <c r="F53" s="11" t="n"/>
      <c r="G53" s="26" t="n"/>
      <c r="H53" s="11" t="n"/>
      <c r="I53" s="11" t="n"/>
      <c r="J53" s="26" t="n"/>
      <c r="K53" s="11" t="n"/>
      <c r="L53" s="11" t="n"/>
    </row>
    <row r="54" ht="22" customHeight="1">
      <c r="B54" s="15">
        <f>IF(C54="","PDJ-"&amp;TEXT(COUNTA($C$5:C54),"000"))</f>
        <v/>
      </c>
      <c r="C54" s="13" t="n"/>
      <c r="D54" s="13" t="n"/>
      <c r="E54" s="13" t="n"/>
      <c r="F54" s="13" t="n"/>
      <c r="G54" s="27" t="n"/>
      <c r="H54" s="13" t="n"/>
      <c r="I54" s="13" t="n"/>
      <c r="J54" s="27" t="n"/>
      <c r="K54" s="13" t="n"/>
      <c r="L54" s="13" t="n"/>
    </row>
    <row r="55" ht="22" customHeight="1">
      <c r="B55" s="16">
        <f>IF(C55="","PDJ-"&amp;TEXT(COUNTA($C$5:C55),"000"))</f>
        <v/>
      </c>
      <c r="C55" s="11" t="n"/>
      <c r="D55" s="11" t="n"/>
      <c r="E55" s="11" t="n"/>
      <c r="F55" s="11" t="n"/>
      <c r="G55" s="26" t="n"/>
      <c r="H55" s="11" t="n"/>
      <c r="I55" s="11" t="n"/>
      <c r="J55" s="26" t="n"/>
      <c r="K55" s="11" t="n"/>
      <c r="L55" s="11" t="n"/>
    </row>
    <row r="56" ht="22" customHeight="1">
      <c r="B56" s="15">
        <f>IF(C56="","PDJ-"&amp;TEXT(COUNTA($C$5:C56),"000"))</f>
        <v/>
      </c>
      <c r="C56" s="13" t="n"/>
      <c r="D56" s="13" t="n"/>
      <c r="E56" s="13" t="n"/>
      <c r="F56" s="13" t="n"/>
      <c r="G56" s="27" t="n"/>
      <c r="H56" s="13" t="n"/>
      <c r="I56" s="13" t="n"/>
      <c r="J56" s="27" t="n"/>
      <c r="K56" s="13" t="n"/>
      <c r="L56" s="13" t="n"/>
    </row>
    <row r="57" ht="22" customHeight="1">
      <c r="B57" s="16">
        <f>IF(C57="","PDJ-"&amp;TEXT(COUNTA($C$5:C57),"000"))</f>
        <v/>
      </c>
      <c r="C57" s="11" t="n"/>
      <c r="D57" s="11" t="n"/>
      <c r="E57" s="11" t="n"/>
      <c r="F57" s="11" t="n"/>
      <c r="G57" s="26" t="n"/>
      <c r="H57" s="11" t="n"/>
      <c r="I57" s="11" t="n"/>
      <c r="J57" s="26" t="n"/>
      <c r="K57" s="11" t="n"/>
      <c r="L57" s="11" t="n"/>
    </row>
    <row r="58" ht="22" customHeight="1">
      <c r="B58" s="15">
        <f>IF(C58="","PDJ-"&amp;TEXT(COUNTA($C$5:C58),"000"))</f>
        <v/>
      </c>
      <c r="C58" s="13" t="n"/>
      <c r="D58" s="13" t="n"/>
      <c r="E58" s="13" t="n"/>
      <c r="F58" s="13" t="n"/>
      <c r="G58" s="27" t="n"/>
      <c r="H58" s="13" t="n"/>
      <c r="I58" s="13" t="n"/>
      <c r="J58" s="27" t="n"/>
      <c r="K58" s="13" t="n"/>
      <c r="L58" s="13" t="n"/>
    </row>
    <row r="59" ht="22" customHeight="1">
      <c r="B59" s="16">
        <f>IF(C59="","PDJ-"&amp;TEXT(COUNTA($C$5:C59),"000"))</f>
        <v/>
      </c>
      <c r="C59" s="11" t="n"/>
      <c r="D59" s="11" t="n"/>
      <c r="E59" s="11" t="n"/>
      <c r="F59" s="11" t="n"/>
      <c r="G59" s="26" t="n"/>
      <c r="H59" s="11" t="n"/>
      <c r="I59" s="11" t="n"/>
      <c r="J59" s="26" t="n"/>
      <c r="K59" s="11" t="n"/>
      <c r="L59" s="11" t="n"/>
    </row>
    <row r="60" ht="22" customHeight="1">
      <c r="B60" s="15">
        <f>IF(C60="","PDJ-"&amp;TEXT(COUNTA($C$5:C60),"000"))</f>
        <v/>
      </c>
      <c r="C60" s="13" t="n"/>
      <c r="D60" s="13" t="n"/>
      <c r="E60" s="13" t="n"/>
      <c r="F60" s="13" t="n"/>
      <c r="G60" s="27" t="n"/>
      <c r="H60" s="13" t="n"/>
      <c r="I60" s="13" t="n"/>
      <c r="J60" s="27" t="n"/>
      <c r="K60" s="13" t="n"/>
      <c r="L60" s="13" t="n"/>
    </row>
    <row r="61" ht="22" customHeight="1">
      <c r="B61" s="16">
        <f>IF(C61="","PDJ-"&amp;TEXT(COUNTA($C$5:C61),"000"))</f>
        <v/>
      </c>
      <c r="C61" s="11" t="n"/>
      <c r="D61" s="11" t="n"/>
      <c r="E61" s="11" t="n"/>
      <c r="F61" s="11" t="n"/>
      <c r="G61" s="26" t="n"/>
      <c r="H61" s="11" t="n"/>
      <c r="I61" s="11" t="n"/>
      <c r="J61" s="26" t="n"/>
      <c r="K61" s="11" t="n"/>
      <c r="L61" s="11" t="n"/>
    </row>
    <row r="62" ht="22" customHeight="1">
      <c r="B62" s="15">
        <f>IF(C62="","PDJ-"&amp;TEXT(COUNTA($C$5:C62),"000"))</f>
        <v/>
      </c>
      <c r="C62" s="13" t="n"/>
      <c r="D62" s="13" t="n"/>
      <c r="E62" s="13" t="n"/>
      <c r="F62" s="13" t="n"/>
      <c r="G62" s="27" t="n"/>
      <c r="H62" s="13" t="n"/>
      <c r="I62" s="13" t="n"/>
      <c r="J62" s="27" t="n"/>
      <c r="K62" s="13" t="n"/>
      <c r="L62" s="13" t="n"/>
    </row>
    <row r="63" ht="22" customHeight="1">
      <c r="B63" s="16">
        <f>IF(C63="","PDJ-"&amp;TEXT(COUNTA($C$5:C63),"000"))</f>
        <v/>
      </c>
      <c r="C63" s="11" t="n"/>
      <c r="D63" s="11" t="n"/>
      <c r="E63" s="11" t="n"/>
      <c r="F63" s="11" t="n"/>
      <c r="G63" s="26" t="n"/>
      <c r="H63" s="11" t="n"/>
      <c r="I63" s="11" t="n"/>
      <c r="J63" s="26" t="n"/>
      <c r="K63" s="11" t="n"/>
      <c r="L63" s="11" t="n"/>
    </row>
    <row r="64" ht="22" customHeight="1">
      <c r="B64" s="15">
        <f>IF(C64="","PDJ-"&amp;TEXT(COUNTA($C$5:C64),"000"))</f>
        <v/>
      </c>
      <c r="C64" s="13" t="n"/>
      <c r="D64" s="13" t="n"/>
      <c r="E64" s="13" t="n"/>
      <c r="F64" s="13" t="n"/>
      <c r="G64" s="27" t="n"/>
      <c r="H64" s="13" t="n"/>
      <c r="I64" s="13" t="n"/>
      <c r="J64" s="27" t="n"/>
      <c r="K64" s="13" t="n"/>
      <c r="L64" s="13" t="n"/>
    </row>
    <row r="65" ht="22" customHeight="1">
      <c r="B65" s="16">
        <f>IF(C65="","PDJ-"&amp;TEXT(COUNTA($C$5:C65),"000"))</f>
        <v/>
      </c>
      <c r="C65" s="11" t="n"/>
      <c r="D65" s="11" t="n"/>
      <c r="E65" s="11" t="n"/>
      <c r="F65" s="11" t="n"/>
      <c r="G65" s="26" t="n"/>
      <c r="H65" s="11" t="n"/>
      <c r="I65" s="11" t="n"/>
      <c r="J65" s="26" t="n"/>
      <c r="K65" s="11" t="n"/>
      <c r="L65" s="11" t="n"/>
    </row>
    <row r="66" ht="22" customHeight="1">
      <c r="B66" s="15">
        <f>IF(C66="","PDJ-"&amp;TEXT(COUNTA($C$5:C66),"000"))</f>
        <v/>
      </c>
      <c r="C66" s="13" t="n"/>
      <c r="D66" s="13" t="n"/>
      <c r="E66" s="13" t="n"/>
      <c r="F66" s="13" t="n"/>
      <c r="G66" s="27" t="n"/>
      <c r="H66" s="13" t="n"/>
      <c r="I66" s="13" t="n"/>
      <c r="J66" s="27" t="n"/>
      <c r="K66" s="13" t="n"/>
      <c r="L66" s="13" t="n"/>
    </row>
    <row r="67" ht="22" customHeight="1">
      <c r="B67" s="16">
        <f>IF(C67="","PDJ-"&amp;TEXT(COUNTA($C$5:C67),"000"))</f>
        <v/>
      </c>
      <c r="C67" s="11" t="n"/>
      <c r="D67" s="11" t="n"/>
      <c r="E67" s="11" t="n"/>
      <c r="F67" s="11" t="n"/>
      <c r="G67" s="26" t="n"/>
      <c r="H67" s="11" t="n"/>
      <c r="I67" s="11" t="n"/>
      <c r="J67" s="26" t="n"/>
      <c r="K67" s="11" t="n"/>
      <c r="L67" s="11" t="n"/>
    </row>
    <row r="68" ht="22" customHeight="1">
      <c r="B68" s="15">
        <f>IF(C68="","PDJ-"&amp;TEXT(COUNTA($C$5:C68),"000"))</f>
        <v/>
      </c>
      <c r="C68" s="13" t="n"/>
      <c r="D68" s="13" t="n"/>
      <c r="E68" s="13" t="n"/>
      <c r="F68" s="13" t="n"/>
      <c r="G68" s="27" t="n"/>
      <c r="H68" s="13" t="n"/>
      <c r="I68" s="13" t="n"/>
      <c r="J68" s="27" t="n"/>
      <c r="K68" s="13" t="n"/>
      <c r="L68" s="13" t="n"/>
    </row>
    <row r="69" ht="22" customHeight="1">
      <c r="B69" s="16">
        <f>IF(C69="","PDJ-"&amp;TEXT(COUNTA($C$5:C69),"000"))</f>
        <v/>
      </c>
      <c r="C69" s="11" t="n"/>
      <c r="D69" s="11" t="n"/>
      <c r="E69" s="11" t="n"/>
      <c r="F69" s="11" t="n"/>
      <c r="G69" s="26" t="n"/>
      <c r="H69" s="11" t="n"/>
      <c r="I69" s="11" t="n"/>
      <c r="J69" s="26" t="n"/>
      <c r="K69" s="11" t="n"/>
      <c r="L69" s="11" t="n"/>
    </row>
    <row r="70" ht="22" customHeight="1">
      <c r="B70" s="15">
        <f>IF(C70="","PDJ-"&amp;TEXT(COUNTA($C$5:C70),"000"))</f>
        <v/>
      </c>
      <c r="C70" s="13" t="n"/>
      <c r="D70" s="13" t="n"/>
      <c r="E70" s="13" t="n"/>
      <c r="F70" s="13" t="n"/>
      <c r="G70" s="27" t="n"/>
      <c r="H70" s="13" t="n"/>
      <c r="I70" s="13" t="n"/>
      <c r="J70" s="27" t="n"/>
      <c r="K70" s="13" t="n"/>
      <c r="L70" s="13" t="n"/>
    </row>
    <row r="71" ht="22" customHeight="1">
      <c r="B71" s="16">
        <f>IF(C71="","PDJ-"&amp;TEXT(COUNTA($C$5:C71),"000"))</f>
        <v/>
      </c>
      <c r="C71" s="11" t="n"/>
      <c r="D71" s="11" t="n"/>
      <c r="E71" s="11" t="n"/>
      <c r="F71" s="11" t="n"/>
      <c r="G71" s="26" t="n"/>
      <c r="H71" s="11" t="n"/>
      <c r="I71" s="11" t="n"/>
      <c r="J71" s="26" t="n"/>
      <c r="K71" s="11" t="n"/>
      <c r="L71" s="11" t="n"/>
    </row>
    <row r="72" ht="22" customHeight="1">
      <c r="B72" s="15">
        <f>IF(C72="","PDJ-"&amp;TEXT(COUNTA($C$5:C72),"000"))</f>
        <v/>
      </c>
      <c r="C72" s="13" t="n"/>
      <c r="D72" s="13" t="n"/>
      <c r="E72" s="13" t="n"/>
      <c r="F72" s="13" t="n"/>
      <c r="G72" s="27" t="n"/>
      <c r="H72" s="13" t="n"/>
      <c r="I72" s="13" t="n"/>
      <c r="J72" s="27" t="n"/>
      <c r="K72" s="13" t="n"/>
      <c r="L72" s="13" t="n"/>
    </row>
    <row r="73" ht="22" customHeight="1">
      <c r="B73" s="16">
        <f>IF(C73="","PDJ-"&amp;TEXT(COUNTA($C$5:C73),"000"))</f>
        <v/>
      </c>
      <c r="C73" s="11" t="n"/>
      <c r="D73" s="11" t="n"/>
      <c r="E73" s="11" t="n"/>
      <c r="F73" s="11" t="n"/>
      <c r="G73" s="26" t="n"/>
      <c r="H73" s="11" t="n"/>
      <c r="I73" s="11" t="n"/>
      <c r="J73" s="26" t="n"/>
      <c r="K73" s="11" t="n"/>
      <c r="L73" s="11" t="n"/>
    </row>
    <row r="74" ht="22" customHeight="1">
      <c r="B74" s="15">
        <f>IF(C74="","PDJ-"&amp;TEXT(COUNTA($C$5:C74),"000"))</f>
        <v/>
      </c>
      <c r="C74" s="13" t="n"/>
      <c r="D74" s="13" t="n"/>
      <c r="E74" s="13" t="n"/>
      <c r="F74" s="13" t="n"/>
      <c r="G74" s="27" t="n"/>
      <c r="H74" s="13" t="n"/>
      <c r="I74" s="13" t="n"/>
      <c r="J74" s="27" t="n"/>
      <c r="K74" s="13" t="n"/>
      <c r="L74" s="13" t="n"/>
    </row>
    <row r="75" ht="22" customHeight="1">
      <c r="B75" s="16">
        <f>IF(C75="","PDJ-"&amp;TEXT(COUNTA($C$5:C75),"000"))</f>
        <v/>
      </c>
      <c r="C75" s="11" t="n"/>
      <c r="D75" s="11" t="n"/>
      <c r="E75" s="11" t="n"/>
      <c r="F75" s="11" t="n"/>
      <c r="G75" s="26" t="n"/>
      <c r="H75" s="11" t="n"/>
      <c r="I75" s="11" t="n"/>
      <c r="J75" s="26" t="n"/>
      <c r="K75" s="11" t="n"/>
      <c r="L75" s="11" t="n"/>
    </row>
    <row r="76" ht="22" customHeight="1">
      <c r="B76" s="15">
        <f>IF(C76="","PDJ-"&amp;TEXT(COUNTA($C$5:C76),"000"))</f>
        <v/>
      </c>
      <c r="C76" s="13" t="n"/>
      <c r="D76" s="13" t="n"/>
      <c r="E76" s="13" t="n"/>
      <c r="F76" s="13" t="n"/>
      <c r="G76" s="27" t="n"/>
      <c r="H76" s="13" t="n"/>
      <c r="I76" s="13" t="n"/>
      <c r="J76" s="27" t="n"/>
      <c r="K76" s="13" t="n"/>
      <c r="L76" s="13" t="n"/>
    </row>
    <row r="77" ht="22" customHeight="1">
      <c r="B77" s="16">
        <f>IF(C77="","PDJ-"&amp;TEXT(COUNTA($C$5:C77),"000"))</f>
        <v/>
      </c>
      <c r="C77" s="11" t="n"/>
      <c r="D77" s="11" t="n"/>
      <c r="E77" s="11" t="n"/>
      <c r="F77" s="11" t="n"/>
      <c r="G77" s="26" t="n"/>
      <c r="H77" s="11" t="n"/>
      <c r="I77" s="11" t="n"/>
      <c r="J77" s="26" t="n"/>
      <c r="K77" s="11" t="n"/>
      <c r="L77" s="11" t="n"/>
    </row>
    <row r="78" ht="22" customHeight="1">
      <c r="B78" s="15">
        <f>IF(C78="","PDJ-"&amp;TEXT(COUNTA($C$5:C78),"000"))</f>
        <v/>
      </c>
      <c r="C78" s="13" t="n"/>
      <c r="D78" s="13" t="n"/>
      <c r="E78" s="13" t="n"/>
      <c r="F78" s="13" t="n"/>
      <c r="G78" s="27" t="n"/>
      <c r="H78" s="13" t="n"/>
      <c r="I78" s="13" t="n"/>
      <c r="J78" s="27" t="n"/>
      <c r="K78" s="13" t="n"/>
      <c r="L78" s="13" t="n"/>
    </row>
    <row r="79" ht="22" customHeight="1">
      <c r="B79" s="16">
        <f>IF(C79="","PDJ-"&amp;TEXT(COUNTA($C$5:C79),"000"))</f>
        <v/>
      </c>
      <c r="C79" s="11" t="n"/>
      <c r="D79" s="11" t="n"/>
      <c r="E79" s="11" t="n"/>
      <c r="F79" s="11" t="n"/>
      <c r="G79" s="26" t="n"/>
      <c r="H79" s="11" t="n"/>
      <c r="I79" s="11" t="n"/>
      <c r="J79" s="26" t="n"/>
      <c r="K79" s="11" t="n"/>
      <c r="L79" s="11" t="n"/>
    </row>
    <row r="80" ht="22" customHeight="1">
      <c r="B80" s="15">
        <f>IF(C80="","PDJ-"&amp;TEXT(COUNTA($C$5:C80),"000"))</f>
        <v/>
      </c>
      <c r="C80" s="13" t="n"/>
      <c r="D80" s="13" t="n"/>
      <c r="E80" s="13" t="n"/>
      <c r="F80" s="13" t="n"/>
      <c r="G80" s="27" t="n"/>
      <c r="H80" s="13" t="n"/>
      <c r="I80" s="13" t="n"/>
      <c r="J80" s="27" t="n"/>
      <c r="K80" s="13" t="n"/>
      <c r="L80" s="13" t="n"/>
    </row>
    <row r="81" ht="22" customHeight="1">
      <c r="B81" s="16">
        <f>IF(C81="","PDJ-"&amp;TEXT(COUNTA($C$5:C81),"000"))</f>
        <v/>
      </c>
      <c r="C81" s="11" t="n"/>
      <c r="D81" s="11" t="n"/>
      <c r="E81" s="11" t="n"/>
      <c r="F81" s="11" t="n"/>
      <c r="G81" s="26" t="n"/>
      <c r="H81" s="11" t="n"/>
      <c r="I81" s="11" t="n"/>
      <c r="J81" s="26" t="n"/>
      <c r="K81" s="11" t="n"/>
      <c r="L81" s="11" t="n"/>
    </row>
    <row r="82" ht="22" customHeight="1">
      <c r="B82" s="15">
        <f>IF(C82="","PDJ-"&amp;TEXT(COUNTA($C$5:C82),"000"))</f>
        <v/>
      </c>
      <c r="C82" s="13" t="n"/>
      <c r="D82" s="13" t="n"/>
      <c r="E82" s="13" t="n"/>
      <c r="F82" s="13" t="n"/>
      <c r="G82" s="27" t="n"/>
      <c r="H82" s="13" t="n"/>
      <c r="I82" s="13" t="n"/>
      <c r="J82" s="27" t="n"/>
      <c r="K82" s="13" t="n"/>
      <c r="L82" s="13" t="n"/>
    </row>
    <row r="83" ht="22" customHeight="1">
      <c r="B83" s="16">
        <f>IF(C83="","PDJ-"&amp;TEXT(COUNTA($C$5:C83),"000"))</f>
        <v/>
      </c>
      <c r="C83" s="11" t="n"/>
      <c r="D83" s="11" t="n"/>
      <c r="E83" s="11" t="n"/>
      <c r="F83" s="11" t="n"/>
      <c r="G83" s="26" t="n"/>
      <c r="H83" s="11" t="n"/>
      <c r="I83" s="11" t="n"/>
      <c r="J83" s="26" t="n"/>
      <c r="K83" s="11" t="n"/>
      <c r="L83" s="11" t="n"/>
    </row>
    <row r="84" ht="22" customHeight="1">
      <c r="B84" s="15">
        <f>IF(C84="","PDJ-"&amp;TEXT(COUNTA($C$5:C84),"000"))</f>
        <v/>
      </c>
      <c r="C84" s="13" t="n"/>
      <c r="D84" s="13" t="n"/>
      <c r="E84" s="13" t="n"/>
      <c r="F84" s="13" t="n"/>
      <c r="G84" s="27" t="n"/>
      <c r="H84" s="13" t="n"/>
      <c r="I84" s="13" t="n"/>
      <c r="J84" s="27" t="n"/>
      <c r="K84" s="13" t="n"/>
      <c r="L84" s="13" t="n"/>
    </row>
    <row r="85" ht="22" customHeight="1">
      <c r="B85" s="16">
        <f>IF(C85="","PDJ-"&amp;TEXT(COUNTA($C$5:C85),"000"))</f>
        <v/>
      </c>
      <c r="C85" s="11" t="n"/>
      <c r="D85" s="11" t="n"/>
      <c r="E85" s="11" t="n"/>
      <c r="F85" s="11" t="n"/>
      <c r="G85" s="26" t="n"/>
      <c r="H85" s="11" t="n"/>
      <c r="I85" s="11" t="n"/>
      <c r="J85" s="26" t="n"/>
      <c r="K85" s="11" t="n"/>
      <c r="L85" s="11" t="n"/>
    </row>
    <row r="86" ht="22" customHeight="1">
      <c r="B86" s="15">
        <f>IF(C86="","PDJ-"&amp;TEXT(COUNTA($C$5:C86),"000"))</f>
        <v/>
      </c>
      <c r="C86" s="13" t="n"/>
      <c r="D86" s="13" t="n"/>
      <c r="E86" s="13" t="n"/>
      <c r="F86" s="13" t="n"/>
      <c r="G86" s="27" t="n"/>
      <c r="H86" s="13" t="n"/>
      <c r="I86" s="13" t="n"/>
      <c r="J86" s="27" t="n"/>
      <c r="K86" s="13" t="n"/>
      <c r="L86" s="13" t="n"/>
    </row>
    <row r="87" ht="22" customHeight="1">
      <c r="B87" s="16">
        <f>IF(C87="","PDJ-"&amp;TEXT(COUNTA($C$5:C87),"000"))</f>
        <v/>
      </c>
      <c r="C87" s="11" t="n"/>
      <c r="D87" s="11" t="n"/>
      <c r="E87" s="11" t="n"/>
      <c r="F87" s="11" t="n"/>
      <c r="G87" s="26" t="n"/>
      <c r="H87" s="11" t="n"/>
      <c r="I87" s="11" t="n"/>
      <c r="J87" s="26" t="n"/>
      <c r="K87" s="11" t="n"/>
      <c r="L87" s="11" t="n"/>
    </row>
    <row r="88" ht="22" customHeight="1">
      <c r="B88" s="15">
        <f>IF(C88="","PDJ-"&amp;TEXT(COUNTA($C$5:C88),"000"))</f>
        <v/>
      </c>
      <c r="C88" s="13" t="n"/>
      <c r="D88" s="13" t="n"/>
      <c r="E88" s="13" t="n"/>
      <c r="F88" s="13" t="n"/>
      <c r="G88" s="27" t="n"/>
      <c r="H88" s="13" t="n"/>
      <c r="I88" s="13" t="n"/>
      <c r="J88" s="27" t="n"/>
      <c r="K88" s="13" t="n"/>
      <c r="L88" s="13" t="n"/>
    </row>
    <row r="89" ht="22" customHeight="1">
      <c r="B89" s="16">
        <f>IF(C89="","PDJ-"&amp;TEXT(COUNTA($C$5:C89),"000"))</f>
        <v/>
      </c>
      <c r="C89" s="11" t="n"/>
      <c r="D89" s="11" t="n"/>
      <c r="E89" s="11" t="n"/>
      <c r="F89" s="11" t="n"/>
      <c r="G89" s="26" t="n"/>
      <c r="H89" s="11" t="n"/>
      <c r="I89" s="11" t="n"/>
      <c r="J89" s="26" t="n"/>
      <c r="K89" s="11" t="n"/>
      <c r="L89" s="11" t="n"/>
    </row>
    <row r="90" ht="22" customHeight="1">
      <c r="B90" s="15">
        <f>IF(C90="","PDJ-"&amp;TEXT(COUNTA($C$5:C90),"000"))</f>
        <v/>
      </c>
      <c r="C90" s="13" t="n"/>
      <c r="D90" s="13" t="n"/>
      <c r="E90" s="13" t="n"/>
      <c r="F90" s="13" t="n"/>
      <c r="G90" s="27" t="n"/>
      <c r="H90" s="13" t="n"/>
      <c r="I90" s="13" t="n"/>
      <c r="J90" s="27" t="n"/>
      <c r="K90" s="13" t="n"/>
      <c r="L90" s="13" t="n"/>
    </row>
    <row r="91" ht="22" customHeight="1">
      <c r="B91" s="16">
        <f>IF(C91="","PDJ-"&amp;TEXT(COUNTA($C$5:C91),"000"))</f>
        <v/>
      </c>
      <c r="C91" s="11" t="n"/>
      <c r="D91" s="11" t="n"/>
      <c r="E91" s="11" t="n"/>
      <c r="F91" s="11" t="n"/>
      <c r="G91" s="26" t="n"/>
      <c r="H91" s="11" t="n"/>
      <c r="I91" s="11" t="n"/>
      <c r="J91" s="26" t="n"/>
      <c r="K91" s="11" t="n"/>
      <c r="L91" s="11" t="n"/>
    </row>
    <row r="92" ht="22" customHeight="1">
      <c r="B92" s="15">
        <f>IF(C92="","PDJ-"&amp;TEXT(COUNTA($C$5:C92),"000"))</f>
        <v/>
      </c>
      <c r="C92" s="13" t="n"/>
      <c r="D92" s="13" t="n"/>
      <c r="E92" s="13" t="n"/>
      <c r="F92" s="13" t="n"/>
      <c r="G92" s="27" t="n"/>
      <c r="H92" s="13" t="n"/>
      <c r="I92" s="13" t="n"/>
      <c r="J92" s="27" t="n"/>
      <c r="K92" s="13" t="n"/>
      <c r="L92" s="13" t="n"/>
    </row>
    <row r="93" ht="22" customHeight="1">
      <c r="B93" s="16">
        <f>IF(C93="","PDJ-"&amp;TEXT(COUNTA($C$5:C93),"000"))</f>
        <v/>
      </c>
      <c r="C93" s="11" t="n"/>
      <c r="D93" s="11" t="n"/>
      <c r="E93" s="11" t="n"/>
      <c r="F93" s="11" t="n"/>
      <c r="G93" s="26" t="n"/>
      <c r="H93" s="11" t="n"/>
      <c r="I93" s="11" t="n"/>
      <c r="J93" s="26" t="n"/>
      <c r="K93" s="11" t="n"/>
      <c r="L93" s="11" t="n"/>
    </row>
    <row r="94" ht="22" customHeight="1">
      <c r="B94" s="15">
        <f>IF(C94="","PDJ-"&amp;TEXT(COUNTA($C$5:C94),"000"))</f>
        <v/>
      </c>
      <c r="C94" s="13" t="n"/>
      <c r="D94" s="13" t="n"/>
      <c r="E94" s="13" t="n"/>
      <c r="F94" s="13" t="n"/>
      <c r="G94" s="27" t="n"/>
      <c r="H94" s="13" t="n"/>
      <c r="I94" s="13" t="n"/>
      <c r="J94" s="27" t="n"/>
      <c r="K94" s="13" t="n"/>
      <c r="L94" s="13" t="n"/>
    </row>
    <row r="95" ht="22" customHeight="1">
      <c r="B95" s="16">
        <f>IF(C95="","PDJ-"&amp;TEXT(COUNTA($C$5:C95),"000"))</f>
        <v/>
      </c>
      <c r="C95" s="11" t="n"/>
      <c r="D95" s="11" t="n"/>
      <c r="E95" s="11" t="n"/>
      <c r="F95" s="11" t="n"/>
      <c r="G95" s="26" t="n"/>
      <c r="H95" s="11" t="n"/>
      <c r="I95" s="11" t="n"/>
      <c r="J95" s="26" t="n"/>
      <c r="K95" s="11" t="n"/>
      <c r="L95" s="11" t="n"/>
    </row>
    <row r="96" ht="22" customHeight="1">
      <c r="B96" s="15">
        <f>IF(C96="","PDJ-"&amp;TEXT(COUNTA($C$5:C96),"000"))</f>
        <v/>
      </c>
      <c r="C96" s="13" t="n"/>
      <c r="D96" s="13" t="n"/>
      <c r="E96" s="13" t="n"/>
      <c r="F96" s="13" t="n"/>
      <c r="G96" s="27" t="n"/>
      <c r="H96" s="13" t="n"/>
      <c r="I96" s="13" t="n"/>
      <c r="J96" s="27" t="n"/>
      <c r="K96" s="13" t="n"/>
      <c r="L96" s="13" t="n"/>
    </row>
    <row r="97" ht="22" customHeight="1">
      <c r="B97" s="16">
        <f>IF(C97="","PDJ-"&amp;TEXT(COUNTA($C$5:C97),"000"))</f>
        <v/>
      </c>
      <c r="C97" s="11" t="n"/>
      <c r="D97" s="11" t="n"/>
      <c r="E97" s="11" t="n"/>
      <c r="F97" s="11" t="n"/>
      <c r="G97" s="26" t="n"/>
      <c r="H97" s="11" t="n"/>
      <c r="I97" s="11" t="n"/>
      <c r="J97" s="26" t="n"/>
      <c r="K97" s="11" t="n"/>
      <c r="L97" s="11" t="n"/>
    </row>
    <row r="98" ht="22" customHeight="1">
      <c r="B98" s="15">
        <f>IF(C98="","PDJ-"&amp;TEXT(COUNTA($C$5:C98),"000"))</f>
        <v/>
      </c>
      <c r="C98" s="13" t="n"/>
      <c r="D98" s="13" t="n"/>
      <c r="E98" s="13" t="n"/>
      <c r="F98" s="13" t="n"/>
      <c r="G98" s="27" t="n"/>
      <c r="H98" s="13" t="n"/>
      <c r="I98" s="13" t="n"/>
      <c r="J98" s="27" t="n"/>
      <c r="K98" s="13" t="n"/>
      <c r="L98" s="13" t="n"/>
    </row>
    <row r="99" ht="22" customHeight="1">
      <c r="B99" s="16">
        <f>IF(C99="","PDJ-"&amp;TEXT(COUNTA($C$5:C99),"000"))</f>
        <v/>
      </c>
      <c r="C99" s="11" t="n"/>
      <c r="D99" s="11" t="n"/>
      <c r="E99" s="11" t="n"/>
      <c r="F99" s="11" t="n"/>
      <c r="G99" s="26" t="n"/>
      <c r="H99" s="11" t="n"/>
      <c r="I99" s="11" t="n"/>
      <c r="J99" s="26" t="n"/>
      <c r="K99" s="11" t="n"/>
      <c r="L99" s="11" t="n"/>
    </row>
    <row r="100" ht="22" customHeight="1">
      <c r="B100" s="15">
        <f>IF(C100="","PDJ-"&amp;TEXT(COUNTA($C$5:C100),"000"))</f>
        <v/>
      </c>
      <c r="C100" s="13" t="n"/>
      <c r="D100" s="13" t="n"/>
      <c r="E100" s="13" t="n"/>
      <c r="F100" s="13" t="n"/>
      <c r="G100" s="27" t="n"/>
      <c r="H100" s="13" t="n"/>
      <c r="I100" s="13" t="n"/>
      <c r="J100" s="27" t="n"/>
      <c r="K100" s="13" t="n"/>
      <c r="L100" s="13" t="n"/>
    </row>
    <row r="101" ht="22" customHeight="1">
      <c r="B101" s="16">
        <f>IF(C101="","PDJ-"&amp;TEXT(COUNTA($C$5:C101),"000"))</f>
        <v/>
      </c>
      <c r="C101" s="11" t="n"/>
      <c r="D101" s="11" t="n"/>
      <c r="E101" s="11" t="n"/>
      <c r="F101" s="11" t="n"/>
      <c r="G101" s="26" t="n"/>
      <c r="H101" s="11" t="n"/>
      <c r="I101" s="11" t="n"/>
      <c r="J101" s="26" t="n"/>
      <c r="K101" s="11" t="n"/>
      <c r="L101" s="11" t="n"/>
    </row>
    <row r="102" ht="22" customHeight="1">
      <c r="B102" s="15">
        <f>IF(C102="","PDJ-"&amp;TEXT(COUNTA($C$5:C102),"000"))</f>
        <v/>
      </c>
      <c r="C102" s="13" t="n"/>
      <c r="D102" s="13" t="n"/>
      <c r="E102" s="13" t="n"/>
      <c r="F102" s="13" t="n"/>
      <c r="G102" s="27" t="n"/>
      <c r="H102" s="13" t="n"/>
      <c r="I102" s="13" t="n"/>
      <c r="J102" s="27" t="n"/>
      <c r="K102" s="13" t="n"/>
      <c r="L102" s="13" t="n"/>
    </row>
    <row r="103" ht="22" customHeight="1">
      <c r="B103" s="16">
        <f>IF(C103="","PDJ-"&amp;TEXT(COUNTA($C$5:C103),"000"))</f>
        <v/>
      </c>
      <c r="C103" s="11" t="n"/>
      <c r="D103" s="11" t="n"/>
      <c r="E103" s="11" t="n"/>
      <c r="F103" s="11" t="n"/>
      <c r="G103" s="26" t="n"/>
      <c r="H103" s="11" t="n"/>
      <c r="I103" s="11" t="n"/>
      <c r="J103" s="26" t="n"/>
      <c r="K103" s="11" t="n"/>
      <c r="L103" s="11" t="n"/>
    </row>
    <row r="104" ht="22" customHeight="1">
      <c r="B104" s="15">
        <f>IF(C104="","PDJ-"&amp;TEXT(COUNTA($C$5:C104),"000"))</f>
        <v/>
      </c>
      <c r="C104" s="13" t="n"/>
      <c r="D104" s="13" t="n"/>
      <c r="E104" s="13" t="n"/>
      <c r="F104" s="13" t="n"/>
      <c r="G104" s="27" t="n"/>
      <c r="H104" s="13" t="n"/>
      <c r="I104" s="13" t="n"/>
      <c r="J104" s="27" t="n"/>
      <c r="K104" s="13" t="n"/>
      <c r="L104" s="13" t="n"/>
    </row>
    <row r="105" ht="22" customHeight="1">
      <c r="B105" s="16">
        <f>IF(C105="","PDJ-"&amp;TEXT(COUNTA($C$5:C105),"000"))</f>
        <v/>
      </c>
      <c r="C105" s="11" t="n"/>
      <c r="D105" s="11" t="n"/>
      <c r="E105" s="11" t="n"/>
      <c r="F105" s="11" t="n"/>
      <c r="G105" s="26" t="n"/>
      <c r="H105" s="11" t="n"/>
      <c r="I105" s="11" t="n"/>
      <c r="J105" s="26" t="n"/>
      <c r="K105" s="11" t="n"/>
      <c r="L105" s="11" t="n"/>
    </row>
    <row r="106" ht="22" customHeight="1">
      <c r="B106" s="15">
        <f>IF(C106="","PDJ-"&amp;TEXT(COUNTA($C$5:C106),"000"))</f>
        <v/>
      </c>
      <c r="C106" s="13" t="n"/>
      <c r="D106" s="13" t="n"/>
      <c r="E106" s="13" t="n"/>
      <c r="F106" s="13" t="n"/>
      <c r="G106" s="27" t="n"/>
      <c r="H106" s="13" t="n"/>
      <c r="I106" s="13" t="n"/>
      <c r="J106" s="27" t="n"/>
      <c r="K106" s="13" t="n"/>
      <c r="L106" s="13" t="n"/>
    </row>
    <row r="107" ht="22" customHeight="1">
      <c r="B107" s="16">
        <f>IF(C107="","PDJ-"&amp;TEXT(COUNTA($C$5:C107),"000"))</f>
        <v/>
      </c>
      <c r="C107" s="11" t="n"/>
      <c r="D107" s="11" t="n"/>
      <c r="E107" s="11" t="n"/>
      <c r="F107" s="11" t="n"/>
      <c r="G107" s="26" t="n"/>
      <c r="H107" s="11" t="n"/>
      <c r="I107" s="11" t="n"/>
      <c r="J107" s="26" t="n"/>
      <c r="K107" s="11" t="n"/>
      <c r="L107" s="11" t="n"/>
    </row>
    <row r="108" ht="22" customHeight="1">
      <c r="B108" s="15">
        <f>IF(C108="","PDJ-"&amp;TEXT(COUNTA($C$5:C108),"000"))</f>
        <v/>
      </c>
      <c r="C108" s="13" t="n"/>
      <c r="D108" s="13" t="n"/>
      <c r="E108" s="13" t="n"/>
      <c r="F108" s="13" t="n"/>
      <c r="G108" s="27" t="n"/>
      <c r="H108" s="13" t="n"/>
      <c r="I108" s="13" t="n"/>
      <c r="J108" s="27" t="n"/>
      <c r="K108" s="13" t="n"/>
      <c r="L108" s="13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Procedures</t>
        </is>
      </c>
      <c r="D111" s="3" t="inlineStr">
        <is>
          <t>Cloturees</t>
        </is>
      </c>
      <c r="F111" s="3" t="inlineStr">
        <is>
          <t>Fautes graves</t>
        </is>
      </c>
    </row>
    <row r="112">
      <c r="B112" s="4">
        <f>COUNTIF(B5:B104,"&lt;&gt;")</f>
        <v/>
      </c>
      <c r="D112" s="4">
        <f>COUNTIF(K5:K104,"Clos")</f>
        <v/>
      </c>
      <c r="F112" s="4">
        <f>COUNTIF(I5:I104,"*Licenciement*")</f>
        <v/>
      </c>
    </row>
  </sheetData>
  <mergeCells count="3">
    <mergeCell ref="B2:L2"/>
    <mergeCell ref="B110:L110"/>
    <mergeCell ref="B3:L3"/>
  </mergeCells>
  <conditionalFormatting sqref="K5:K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9:B108">
    <cfRule type="expression" priority="193" dxfId="3">
      <formula>AND($C9="",$C8&lt;&gt;"")</formula>
    </cfRule>
  </conditionalFormatting>
  <conditionalFormatting sqref="C9:C108">
    <cfRule type="expression" priority="194" dxfId="3">
      <formula>AND($C9="",$C8&lt;&gt;"")</formula>
    </cfRule>
  </conditionalFormatting>
  <conditionalFormatting sqref="D9:D108">
    <cfRule type="expression" priority="195" dxfId="3">
      <formula>AND($C9="",$C8&lt;&gt;"")</formula>
    </cfRule>
  </conditionalFormatting>
  <conditionalFormatting sqref="E9:E108">
    <cfRule type="expression" priority="196" dxfId="3">
      <formula>AND($C9="",$C8&lt;&gt;"")</formula>
    </cfRule>
  </conditionalFormatting>
  <conditionalFormatting sqref="F9:F108">
    <cfRule type="expression" priority="197" dxfId="3">
      <formula>AND($C9="",$C8&lt;&gt;"")</formula>
    </cfRule>
  </conditionalFormatting>
  <conditionalFormatting sqref="G9:G108">
    <cfRule type="expression" priority="198" dxfId="3">
      <formula>AND($C9="",$C8&lt;&gt;"")</formula>
    </cfRule>
  </conditionalFormatting>
  <conditionalFormatting sqref="H9:H108">
    <cfRule type="expression" priority="199" dxfId="3">
      <formula>AND($C9="",$C8&lt;&gt;"")</formula>
    </cfRule>
  </conditionalFormatting>
  <conditionalFormatting sqref="I9:I108">
    <cfRule type="expression" priority="200" dxfId="3">
      <formula>AND($C9="",$C8&lt;&gt;"")</formula>
    </cfRule>
  </conditionalFormatting>
  <conditionalFormatting sqref="J9:J108">
    <cfRule type="expression" priority="201" dxfId="3">
      <formula>AND($C9="",$C8&lt;&gt;"")</formula>
    </cfRule>
  </conditionalFormatting>
  <conditionalFormatting sqref="K9:K108">
    <cfRule type="expression" priority="202" dxfId="3">
      <formula>AND($C9="",$C8&lt;&gt;"")</formula>
    </cfRule>
  </conditionalFormatting>
  <conditionalFormatting sqref="L9:L108">
    <cfRule type="expression" priority="203" dxfId="3">
      <formula>AND($C9="",$C8&lt;&gt;"")</formula>
    </cfRule>
  </conditionalFormatting>
  <dataValidations count="4">
    <dataValidation sqref="D5:D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8" showDropDown="0" showInputMessage="0" showErrorMessage="0" allowBlank="1" errorTitle="Erreur" error="Valeur invalide" promptTitle="Liste" prompt="Choisir dans la liste" type="list">
      <formula1>'_Lists'!$G$2:$G$11</formula1>
    </dataValidation>
    <dataValidation sqref="I5:I108" showDropDown="0" showInputMessage="0" showErrorMessage="0" allowBlank="1" errorTitle="Erreur" error="Valeur invalide" promptTitle="Liste" prompt="Choisir dans la liste" type="list">
      <formula1>'_Lists'!$H$2:$H$8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6" customWidth="1" min="4" max="4"/>
    <col width="10" customWidth="1" min="5" max="5"/>
    <col width="24" customWidth="1" min="6" max="6"/>
    <col width="14" customWidth="1" min="7" max="7"/>
    <col width="14" customWidth="1" min="8" max="8"/>
    <col width="16" customWidth="1" min="9" max="9"/>
    <col width="22" customWidth="1" min="10" max="10"/>
    <col width="18" customWidth="1" min="11" max="11"/>
  </cols>
  <sheetData>
    <row r="1" ht="15" customHeight="1"/>
    <row r="2" ht="32" customHeight="1">
      <c r="B2" s="1" t="inlineStr">
        <is>
          <t>DÉCLARATIONS CNPS / IMPÔTS (#121)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Declaration</t>
        </is>
      </c>
      <c r="D4" s="10" t="inlineStr">
        <is>
          <t>Mois / Periode</t>
        </is>
      </c>
      <c r="E4" s="10" t="inlineStr">
        <is>
          <t>Annee</t>
        </is>
      </c>
      <c r="F4" s="10" t="inlineStr">
        <is>
          <t>Montant Declare (FCFA)</t>
        </is>
      </c>
      <c r="G4" s="10" t="inlineStr">
        <is>
          <t>Date Echeance</t>
        </is>
      </c>
      <c r="H4" s="10" t="inlineStr">
        <is>
          <t>Date Paiement</t>
        </is>
      </c>
      <c r="I4" s="10" t="inlineStr">
        <is>
          <t>Penalites (FCFA)</t>
        </is>
      </c>
      <c r="J4" s="10" t="inlineStr">
        <is>
          <t>Statut</t>
        </is>
      </c>
      <c r="K4" s="10" t="inlineStr">
        <is>
          <t>Reference</t>
        </is>
      </c>
    </row>
    <row r="5" ht="22" customHeight="1">
      <c r="B5" s="11" t="inlineStr">
        <is>
          <t>DEC-001</t>
        </is>
      </c>
      <c r="C5" s="11" t="inlineStr">
        <is>
          <t>CNPS mensuelle</t>
        </is>
      </c>
      <c r="D5" s="11" t="inlineStr">
        <is>
          <t>Janvier</t>
        </is>
      </c>
      <c r="E5" s="11" t="inlineStr">
        <is>
          <t>2025</t>
        </is>
      </c>
      <c r="F5" s="17" t="n">
        <v>1850000</v>
      </c>
      <c r="G5" s="26" t="n">
        <v>45703</v>
      </c>
      <c r="H5" s="26" t="n">
        <v>45700</v>
      </c>
      <c r="I5" s="17" t="n">
        <v>0</v>
      </c>
      <c r="J5" s="11" t="inlineStr">
        <is>
          <t>Effectuee</t>
        </is>
      </c>
      <c r="K5" s="11" t="inlineStr">
        <is>
          <t>CNPS-2025-001</t>
        </is>
      </c>
    </row>
    <row r="6" ht="22" customHeight="1">
      <c r="B6" s="13" t="inlineStr">
        <is>
          <t>DEC-002</t>
        </is>
      </c>
      <c r="C6" s="13" t="inlineStr">
        <is>
          <t>IR mensuel</t>
        </is>
      </c>
      <c r="D6" s="13" t="inlineStr">
        <is>
          <t>Janvier</t>
        </is>
      </c>
      <c r="E6" s="13" t="inlineStr">
        <is>
          <t>2025</t>
        </is>
      </c>
      <c r="F6" s="18" t="n">
        <v>620000</v>
      </c>
      <c r="G6" s="27" t="n">
        <v>45703</v>
      </c>
      <c r="H6" s="27" t="n">
        <v>45702</v>
      </c>
      <c r="I6" s="18" t="n">
        <v>0</v>
      </c>
      <c r="J6" s="13" t="inlineStr">
        <is>
          <t>Effectuee</t>
        </is>
      </c>
      <c r="K6" s="13" t="inlineStr">
        <is>
          <t>DGI-2025-001</t>
        </is>
      </c>
    </row>
    <row r="7" ht="22" customHeight="1">
      <c r="B7" s="11" t="inlineStr">
        <is>
          <t>DEC-003</t>
        </is>
      </c>
      <c r="C7" s="11" t="inlineStr">
        <is>
          <t>CNPS mensuelle</t>
        </is>
      </c>
      <c r="D7" s="11" t="inlineStr">
        <is>
          <t>Fevrier</t>
        </is>
      </c>
      <c r="E7" s="11" t="inlineStr">
        <is>
          <t>2025</t>
        </is>
      </c>
      <c r="F7" s="17" t="n">
        <v>1870000</v>
      </c>
      <c r="G7" s="26" t="n">
        <v>45731</v>
      </c>
      <c r="H7" s="26" t="n">
        <v>45734</v>
      </c>
      <c r="I7" s="17" t="n">
        <v>45000</v>
      </c>
      <c r="J7" s="11" t="inlineStr">
        <is>
          <t>Effectuee</t>
        </is>
      </c>
      <c r="K7" s="11" t="inlineStr">
        <is>
          <t>CNPS-2025-002</t>
        </is>
      </c>
    </row>
    <row r="8" ht="22" customHeight="1">
      <c r="B8" s="13" t="inlineStr">
        <is>
          <t>DEC-004</t>
        </is>
      </c>
      <c r="C8" s="13" t="inlineStr">
        <is>
          <t>IR mensuel</t>
        </is>
      </c>
      <c r="D8" s="13" t="inlineStr">
        <is>
          <t>Fevrier</t>
        </is>
      </c>
      <c r="E8" s="13" t="inlineStr">
        <is>
          <t>2025</t>
        </is>
      </c>
      <c r="F8" s="18" t="n">
        <v>635000</v>
      </c>
      <c r="G8" s="27" t="n">
        <v>45731</v>
      </c>
      <c r="H8" s="27" t="n">
        <v>45731</v>
      </c>
      <c r="I8" s="18" t="n">
        <v>0</v>
      </c>
      <c r="J8" s="13" t="inlineStr">
        <is>
          <t>Effectuee</t>
        </is>
      </c>
      <c r="K8" s="13" t="inlineStr">
        <is>
          <t>DGI-2025-002</t>
        </is>
      </c>
    </row>
    <row r="9" ht="22" customHeight="1">
      <c r="B9" s="11" t="inlineStr">
        <is>
          <t>DEC-005</t>
        </is>
      </c>
      <c r="C9" s="11" t="inlineStr">
        <is>
          <t>CNPS mensuelle</t>
        </is>
      </c>
      <c r="D9" s="11" t="inlineStr">
        <is>
          <t>Mars</t>
        </is>
      </c>
      <c r="E9" s="11" t="inlineStr">
        <is>
          <t>2025</t>
        </is>
      </c>
      <c r="F9" s="17" t="n">
        <v>1890000</v>
      </c>
      <c r="G9" s="26" t="n">
        <v>45762</v>
      </c>
      <c r="H9" s="26" t="n"/>
      <c r="I9" s="17" t="n">
        <v>0</v>
      </c>
      <c r="J9" s="11" t="inlineStr">
        <is>
          <t>En retard</t>
        </is>
      </c>
      <c r="K9" s="11" t="inlineStr">
        <is>
          <t>CNPS-2025-003</t>
        </is>
      </c>
    </row>
    <row r="10" ht="22" customHeight="1">
      <c r="B10" s="15">
        <f>IF(C10="","DEC-"&amp;TEXT(COUNTA($C$5:C10),"000"))</f>
        <v/>
      </c>
      <c r="C10" s="13" t="n"/>
      <c r="D10" s="13" t="n"/>
      <c r="E10" s="13" t="n"/>
      <c r="F10" s="18" t="n"/>
      <c r="G10" s="27" t="n"/>
      <c r="H10" s="27" t="n"/>
      <c r="I10" s="18" t="n"/>
      <c r="J10" s="13" t="n"/>
      <c r="K10" s="13" t="n"/>
    </row>
    <row r="11" ht="22" customHeight="1">
      <c r="B11" s="16">
        <f>IF(C11="","DEC-"&amp;TEXT(COUNTA($C$5:C11),"000"))</f>
        <v/>
      </c>
      <c r="C11" s="11" t="n"/>
      <c r="D11" s="11" t="n"/>
      <c r="E11" s="11" t="n"/>
      <c r="F11" s="17" t="n"/>
      <c r="G11" s="26" t="n"/>
      <c r="H11" s="26" t="n"/>
      <c r="I11" s="17" t="n"/>
      <c r="J11" s="11" t="n"/>
      <c r="K11" s="11" t="n"/>
    </row>
    <row r="12" ht="22" customHeight="1">
      <c r="B12" s="15">
        <f>IF(C12="","DEC-"&amp;TEXT(COUNTA($C$5:C12),"000"))</f>
        <v/>
      </c>
      <c r="C12" s="13" t="n"/>
      <c r="D12" s="13" t="n"/>
      <c r="E12" s="13" t="n"/>
      <c r="F12" s="18" t="n"/>
      <c r="G12" s="27" t="n"/>
      <c r="H12" s="27" t="n"/>
      <c r="I12" s="18" t="n"/>
      <c r="J12" s="13" t="n"/>
      <c r="K12" s="13" t="n"/>
    </row>
    <row r="13" ht="22" customHeight="1">
      <c r="B13" s="16">
        <f>IF(C13="","DEC-"&amp;TEXT(COUNTA($C$5:C13),"000"))</f>
        <v/>
      </c>
      <c r="C13" s="11" t="n"/>
      <c r="D13" s="11" t="n"/>
      <c r="E13" s="11" t="n"/>
      <c r="F13" s="17" t="n"/>
      <c r="G13" s="26" t="n"/>
      <c r="H13" s="26" t="n"/>
      <c r="I13" s="17" t="n"/>
      <c r="J13" s="11" t="n"/>
      <c r="K13" s="11" t="n"/>
    </row>
    <row r="14" ht="22" customHeight="1">
      <c r="B14" s="15">
        <f>IF(C14="","DEC-"&amp;TEXT(COUNTA($C$5:C14),"000"))</f>
        <v/>
      </c>
      <c r="C14" s="13" t="n"/>
      <c r="D14" s="13" t="n"/>
      <c r="E14" s="13" t="n"/>
      <c r="F14" s="18" t="n"/>
      <c r="G14" s="27" t="n"/>
      <c r="H14" s="27" t="n"/>
      <c r="I14" s="18" t="n"/>
      <c r="J14" s="13" t="n"/>
      <c r="K14" s="13" t="n"/>
    </row>
    <row r="15" ht="22" customHeight="1">
      <c r="B15" s="16">
        <f>IF(C15="","DEC-"&amp;TEXT(COUNTA($C$5:C15),"000"))</f>
        <v/>
      </c>
      <c r="C15" s="11" t="n"/>
      <c r="D15" s="11" t="n"/>
      <c r="E15" s="11" t="n"/>
      <c r="F15" s="17" t="n"/>
      <c r="G15" s="26" t="n"/>
      <c r="H15" s="26" t="n"/>
      <c r="I15" s="17" t="n"/>
      <c r="J15" s="11" t="n"/>
      <c r="K15" s="11" t="n"/>
    </row>
    <row r="16" ht="22" customHeight="1">
      <c r="B16" s="15">
        <f>IF(C16="","DEC-"&amp;TEXT(COUNTA($C$5:C16),"000"))</f>
        <v/>
      </c>
      <c r="C16" s="13" t="n"/>
      <c r="D16" s="13" t="n"/>
      <c r="E16" s="13" t="n"/>
      <c r="F16" s="18" t="n"/>
      <c r="G16" s="27" t="n"/>
      <c r="H16" s="27" t="n"/>
      <c r="I16" s="18" t="n"/>
      <c r="J16" s="13" t="n"/>
      <c r="K16" s="13" t="n"/>
    </row>
    <row r="17" ht="22" customHeight="1">
      <c r="B17" s="16">
        <f>IF(C17="","DEC-"&amp;TEXT(COUNTA($C$5:C17),"000"))</f>
        <v/>
      </c>
      <c r="C17" s="11" t="n"/>
      <c r="D17" s="11" t="n"/>
      <c r="E17" s="11" t="n"/>
      <c r="F17" s="17" t="n"/>
      <c r="G17" s="26" t="n"/>
      <c r="H17" s="26" t="n"/>
      <c r="I17" s="17" t="n"/>
      <c r="J17" s="11" t="n"/>
      <c r="K17" s="11" t="n"/>
    </row>
    <row r="18" ht="22" customHeight="1">
      <c r="B18" s="15">
        <f>IF(C18="","DEC-"&amp;TEXT(COUNTA($C$5:C18),"000"))</f>
        <v/>
      </c>
      <c r="C18" s="13" t="n"/>
      <c r="D18" s="13" t="n"/>
      <c r="E18" s="13" t="n"/>
      <c r="F18" s="18" t="n"/>
      <c r="G18" s="27" t="n"/>
      <c r="H18" s="27" t="n"/>
      <c r="I18" s="18" t="n"/>
      <c r="J18" s="13" t="n"/>
      <c r="K18" s="13" t="n"/>
    </row>
    <row r="19" ht="22" customHeight="1">
      <c r="B19" s="16">
        <f>IF(C19="","DEC-"&amp;TEXT(COUNTA($C$5:C19),"000"))</f>
        <v/>
      </c>
      <c r="C19" s="11" t="n"/>
      <c r="D19" s="11" t="n"/>
      <c r="E19" s="11" t="n"/>
      <c r="F19" s="17" t="n"/>
      <c r="G19" s="26" t="n"/>
      <c r="H19" s="26" t="n"/>
      <c r="I19" s="17" t="n"/>
      <c r="J19" s="11" t="n"/>
      <c r="K19" s="11" t="n"/>
    </row>
    <row r="20" ht="22" customHeight="1">
      <c r="B20" s="15">
        <f>IF(C20="","DEC-"&amp;TEXT(COUNTA($C$5:C20),"000"))</f>
        <v/>
      </c>
      <c r="C20" s="13" t="n"/>
      <c r="D20" s="13" t="n"/>
      <c r="E20" s="13" t="n"/>
      <c r="F20" s="18" t="n"/>
      <c r="G20" s="27" t="n"/>
      <c r="H20" s="27" t="n"/>
      <c r="I20" s="18" t="n"/>
      <c r="J20" s="13" t="n"/>
      <c r="K20" s="13" t="n"/>
    </row>
    <row r="21" ht="22" customHeight="1">
      <c r="B21" s="16">
        <f>IF(C21="","DEC-"&amp;TEXT(COUNTA($C$5:C21),"000"))</f>
        <v/>
      </c>
      <c r="C21" s="11" t="n"/>
      <c r="D21" s="11" t="n"/>
      <c r="E21" s="11" t="n"/>
      <c r="F21" s="17" t="n"/>
      <c r="G21" s="26" t="n"/>
      <c r="H21" s="26" t="n"/>
      <c r="I21" s="17" t="n"/>
      <c r="J21" s="11" t="n"/>
      <c r="K21" s="11" t="n"/>
    </row>
    <row r="22" ht="22" customHeight="1">
      <c r="B22" s="15">
        <f>IF(C22="","DEC-"&amp;TEXT(COUNTA($C$5:C22),"000"))</f>
        <v/>
      </c>
      <c r="C22" s="13" t="n"/>
      <c r="D22" s="13" t="n"/>
      <c r="E22" s="13" t="n"/>
      <c r="F22" s="18" t="n"/>
      <c r="G22" s="27" t="n"/>
      <c r="H22" s="27" t="n"/>
      <c r="I22" s="18" t="n"/>
      <c r="J22" s="13" t="n"/>
      <c r="K22" s="13" t="n"/>
    </row>
    <row r="23" ht="22" customHeight="1">
      <c r="B23" s="16">
        <f>IF(C23="","DEC-"&amp;TEXT(COUNTA($C$5:C23),"000"))</f>
        <v/>
      </c>
      <c r="C23" s="11" t="n"/>
      <c r="D23" s="11" t="n"/>
      <c r="E23" s="11" t="n"/>
      <c r="F23" s="17" t="n"/>
      <c r="G23" s="26" t="n"/>
      <c r="H23" s="26" t="n"/>
      <c r="I23" s="17" t="n"/>
      <c r="J23" s="11" t="n"/>
      <c r="K23" s="11" t="n"/>
    </row>
    <row r="24" ht="22" customHeight="1">
      <c r="B24" s="15">
        <f>IF(C24="","DEC-"&amp;TEXT(COUNTA($C$5:C24),"000"))</f>
        <v/>
      </c>
      <c r="C24" s="13" t="n"/>
      <c r="D24" s="13" t="n"/>
      <c r="E24" s="13" t="n"/>
      <c r="F24" s="18" t="n"/>
      <c r="G24" s="27" t="n"/>
      <c r="H24" s="27" t="n"/>
      <c r="I24" s="18" t="n"/>
      <c r="J24" s="13" t="n"/>
      <c r="K24" s="13" t="n"/>
    </row>
    <row r="25" ht="22" customHeight="1">
      <c r="B25" s="16">
        <f>IF(C25="","DEC-"&amp;TEXT(COUNTA($C$5:C25),"000"))</f>
        <v/>
      </c>
      <c r="C25" s="11" t="n"/>
      <c r="D25" s="11" t="n"/>
      <c r="E25" s="11" t="n"/>
      <c r="F25" s="17" t="n"/>
      <c r="G25" s="26" t="n"/>
      <c r="H25" s="26" t="n"/>
      <c r="I25" s="17" t="n"/>
      <c r="J25" s="11" t="n"/>
      <c r="K25" s="11" t="n"/>
    </row>
    <row r="26" ht="22" customHeight="1">
      <c r="B26" s="15">
        <f>IF(C26="","DEC-"&amp;TEXT(COUNTA($C$5:C26),"000"))</f>
        <v/>
      </c>
      <c r="C26" s="13" t="n"/>
      <c r="D26" s="13" t="n"/>
      <c r="E26" s="13" t="n"/>
      <c r="F26" s="18" t="n"/>
      <c r="G26" s="27" t="n"/>
      <c r="H26" s="27" t="n"/>
      <c r="I26" s="18" t="n"/>
      <c r="J26" s="13" t="n"/>
      <c r="K26" s="13" t="n"/>
    </row>
    <row r="27" ht="22" customHeight="1">
      <c r="B27" s="16">
        <f>IF(C27="","DEC-"&amp;TEXT(COUNTA($C$5:C27),"000"))</f>
        <v/>
      </c>
      <c r="C27" s="11" t="n"/>
      <c r="D27" s="11" t="n"/>
      <c r="E27" s="11" t="n"/>
      <c r="F27" s="17" t="n"/>
      <c r="G27" s="26" t="n"/>
      <c r="H27" s="26" t="n"/>
      <c r="I27" s="17" t="n"/>
      <c r="J27" s="11" t="n"/>
      <c r="K27" s="11" t="n"/>
    </row>
    <row r="28" ht="22" customHeight="1">
      <c r="B28" s="15">
        <f>IF(C28="","DEC-"&amp;TEXT(COUNTA($C$5:C28),"000"))</f>
        <v/>
      </c>
      <c r="C28" s="13" t="n"/>
      <c r="D28" s="13" t="n"/>
      <c r="E28" s="13" t="n"/>
      <c r="F28" s="18" t="n"/>
      <c r="G28" s="27" t="n"/>
      <c r="H28" s="27" t="n"/>
      <c r="I28" s="18" t="n"/>
      <c r="J28" s="13" t="n"/>
      <c r="K28" s="13" t="n"/>
    </row>
    <row r="29" ht="22" customHeight="1">
      <c r="B29" s="16">
        <f>IF(C29="","DEC-"&amp;TEXT(COUNTA($C$5:C29),"000"))</f>
        <v/>
      </c>
      <c r="C29" s="11" t="n"/>
      <c r="D29" s="11" t="n"/>
      <c r="E29" s="11" t="n"/>
      <c r="F29" s="17" t="n"/>
      <c r="G29" s="26" t="n"/>
      <c r="H29" s="26" t="n"/>
      <c r="I29" s="17" t="n"/>
      <c r="J29" s="11" t="n"/>
      <c r="K29" s="11" t="n"/>
    </row>
    <row r="30" ht="22" customHeight="1">
      <c r="B30" s="15">
        <f>IF(C30="","DEC-"&amp;TEXT(COUNTA($C$5:C30),"000"))</f>
        <v/>
      </c>
      <c r="C30" s="13" t="n"/>
      <c r="D30" s="13" t="n"/>
      <c r="E30" s="13" t="n"/>
      <c r="F30" s="18" t="n"/>
      <c r="G30" s="27" t="n"/>
      <c r="H30" s="27" t="n"/>
      <c r="I30" s="18" t="n"/>
      <c r="J30" s="13" t="n"/>
      <c r="K30" s="13" t="n"/>
    </row>
    <row r="31" ht="22" customHeight="1">
      <c r="B31" s="16">
        <f>IF(C31="","DEC-"&amp;TEXT(COUNTA($C$5:C31),"000"))</f>
        <v/>
      </c>
      <c r="C31" s="11" t="n"/>
      <c r="D31" s="11" t="n"/>
      <c r="E31" s="11" t="n"/>
      <c r="F31" s="17" t="n"/>
      <c r="G31" s="26" t="n"/>
      <c r="H31" s="26" t="n"/>
      <c r="I31" s="17" t="n"/>
      <c r="J31" s="11" t="n"/>
      <c r="K31" s="11" t="n"/>
    </row>
    <row r="32" ht="22" customHeight="1">
      <c r="B32" s="15">
        <f>IF(C32="","DEC-"&amp;TEXT(COUNTA($C$5:C32),"000"))</f>
        <v/>
      </c>
      <c r="C32" s="13" t="n"/>
      <c r="D32" s="13" t="n"/>
      <c r="E32" s="13" t="n"/>
      <c r="F32" s="18" t="n"/>
      <c r="G32" s="27" t="n"/>
      <c r="H32" s="27" t="n"/>
      <c r="I32" s="18" t="n"/>
      <c r="J32" s="13" t="n"/>
      <c r="K32" s="13" t="n"/>
    </row>
    <row r="33" ht="22" customHeight="1">
      <c r="B33" s="16">
        <f>IF(C33="","DEC-"&amp;TEXT(COUNTA($C$5:C33),"000"))</f>
        <v/>
      </c>
      <c r="C33" s="11" t="n"/>
      <c r="D33" s="11" t="n"/>
      <c r="E33" s="11" t="n"/>
      <c r="F33" s="17" t="n"/>
      <c r="G33" s="26" t="n"/>
      <c r="H33" s="26" t="n"/>
      <c r="I33" s="17" t="n"/>
      <c r="J33" s="11" t="n"/>
      <c r="K33" s="11" t="n"/>
    </row>
    <row r="34" ht="22" customHeight="1">
      <c r="B34" s="15">
        <f>IF(C34="","DEC-"&amp;TEXT(COUNTA($C$5:C34),"000"))</f>
        <v/>
      </c>
      <c r="C34" s="13" t="n"/>
      <c r="D34" s="13" t="n"/>
      <c r="E34" s="13" t="n"/>
      <c r="F34" s="18" t="n"/>
      <c r="G34" s="27" t="n"/>
      <c r="H34" s="27" t="n"/>
      <c r="I34" s="18" t="n"/>
      <c r="J34" s="13" t="n"/>
      <c r="K34" s="13" t="n"/>
    </row>
    <row r="35" ht="22" customHeight="1">
      <c r="B35" s="16">
        <f>IF(C35="","DEC-"&amp;TEXT(COUNTA($C$5:C35),"000"))</f>
        <v/>
      </c>
      <c r="C35" s="11" t="n"/>
      <c r="D35" s="11" t="n"/>
      <c r="E35" s="11" t="n"/>
      <c r="F35" s="17" t="n"/>
      <c r="G35" s="26" t="n"/>
      <c r="H35" s="26" t="n"/>
      <c r="I35" s="17" t="n"/>
      <c r="J35" s="11" t="n"/>
      <c r="K35" s="11" t="n"/>
    </row>
    <row r="36" ht="22" customHeight="1">
      <c r="B36" s="15">
        <f>IF(C36="","DEC-"&amp;TEXT(COUNTA($C$5:C36),"000"))</f>
        <v/>
      </c>
      <c r="C36" s="13" t="n"/>
      <c r="D36" s="13" t="n"/>
      <c r="E36" s="13" t="n"/>
      <c r="F36" s="18" t="n"/>
      <c r="G36" s="27" t="n"/>
      <c r="H36" s="27" t="n"/>
      <c r="I36" s="18" t="n"/>
      <c r="J36" s="13" t="n"/>
      <c r="K36" s="13" t="n"/>
    </row>
    <row r="37" ht="22" customHeight="1">
      <c r="B37" s="16">
        <f>IF(C37="","DEC-"&amp;TEXT(COUNTA($C$5:C37),"000"))</f>
        <v/>
      </c>
      <c r="C37" s="11" t="n"/>
      <c r="D37" s="11" t="n"/>
      <c r="E37" s="11" t="n"/>
      <c r="F37" s="17" t="n"/>
      <c r="G37" s="26" t="n"/>
      <c r="H37" s="26" t="n"/>
      <c r="I37" s="17" t="n"/>
      <c r="J37" s="11" t="n"/>
      <c r="K37" s="11" t="n"/>
    </row>
    <row r="38" ht="22" customHeight="1">
      <c r="B38" s="15">
        <f>IF(C38="","DEC-"&amp;TEXT(COUNTA($C$5:C38),"000"))</f>
        <v/>
      </c>
      <c r="C38" s="13" t="n"/>
      <c r="D38" s="13" t="n"/>
      <c r="E38" s="13" t="n"/>
      <c r="F38" s="18" t="n"/>
      <c r="G38" s="27" t="n"/>
      <c r="H38" s="27" t="n"/>
      <c r="I38" s="18" t="n"/>
      <c r="J38" s="13" t="n"/>
      <c r="K38" s="13" t="n"/>
    </row>
    <row r="39" ht="22" customHeight="1">
      <c r="B39" s="16">
        <f>IF(C39="","DEC-"&amp;TEXT(COUNTA($C$5:C39),"000"))</f>
        <v/>
      </c>
      <c r="C39" s="11" t="n"/>
      <c r="D39" s="11" t="n"/>
      <c r="E39" s="11" t="n"/>
      <c r="F39" s="17" t="n"/>
      <c r="G39" s="26" t="n"/>
      <c r="H39" s="26" t="n"/>
      <c r="I39" s="17" t="n"/>
      <c r="J39" s="11" t="n"/>
      <c r="K39" s="11" t="n"/>
    </row>
    <row r="40" ht="22" customHeight="1">
      <c r="B40" s="15">
        <f>IF(C40="","DEC-"&amp;TEXT(COUNTA($C$5:C40),"000"))</f>
        <v/>
      </c>
      <c r="C40" s="13" t="n"/>
      <c r="D40" s="13" t="n"/>
      <c r="E40" s="13" t="n"/>
      <c r="F40" s="18" t="n"/>
      <c r="G40" s="27" t="n"/>
      <c r="H40" s="27" t="n"/>
      <c r="I40" s="18" t="n"/>
      <c r="J40" s="13" t="n"/>
      <c r="K40" s="13" t="n"/>
    </row>
    <row r="41" ht="22" customHeight="1">
      <c r="B41" s="16">
        <f>IF(C41="","DEC-"&amp;TEXT(COUNTA($C$5:C41),"000"))</f>
        <v/>
      </c>
      <c r="C41" s="11" t="n"/>
      <c r="D41" s="11" t="n"/>
      <c r="E41" s="11" t="n"/>
      <c r="F41" s="17" t="n"/>
      <c r="G41" s="26" t="n"/>
      <c r="H41" s="26" t="n"/>
      <c r="I41" s="17" t="n"/>
      <c r="J41" s="11" t="n"/>
      <c r="K41" s="11" t="n"/>
    </row>
    <row r="42" ht="22" customHeight="1">
      <c r="B42" s="15">
        <f>IF(C42="","DEC-"&amp;TEXT(COUNTA($C$5:C42),"000"))</f>
        <v/>
      </c>
      <c r="C42" s="13" t="n"/>
      <c r="D42" s="13" t="n"/>
      <c r="E42" s="13" t="n"/>
      <c r="F42" s="18" t="n"/>
      <c r="G42" s="27" t="n"/>
      <c r="H42" s="27" t="n"/>
      <c r="I42" s="18" t="n"/>
      <c r="J42" s="13" t="n"/>
      <c r="K42" s="13" t="n"/>
    </row>
    <row r="43" ht="22" customHeight="1">
      <c r="B43" s="16">
        <f>IF(C43="","DEC-"&amp;TEXT(COUNTA($C$5:C43),"000"))</f>
        <v/>
      </c>
      <c r="C43" s="11" t="n"/>
      <c r="D43" s="11" t="n"/>
      <c r="E43" s="11" t="n"/>
      <c r="F43" s="17" t="n"/>
      <c r="G43" s="26" t="n"/>
      <c r="H43" s="26" t="n"/>
      <c r="I43" s="17" t="n"/>
      <c r="J43" s="11" t="n"/>
      <c r="K43" s="11" t="n"/>
    </row>
    <row r="44" ht="22" customHeight="1">
      <c r="B44" s="15">
        <f>IF(C44="","DEC-"&amp;TEXT(COUNTA($C$5:C44),"000"))</f>
        <v/>
      </c>
      <c r="C44" s="13" t="n"/>
      <c r="D44" s="13" t="n"/>
      <c r="E44" s="13" t="n"/>
      <c r="F44" s="18" t="n"/>
      <c r="G44" s="27" t="n"/>
      <c r="H44" s="27" t="n"/>
      <c r="I44" s="18" t="n"/>
      <c r="J44" s="13" t="n"/>
      <c r="K44" s="13" t="n"/>
    </row>
    <row r="45" ht="22" customHeight="1">
      <c r="B45" s="16">
        <f>IF(C45="","DEC-"&amp;TEXT(COUNTA($C$5:C45),"000"))</f>
        <v/>
      </c>
      <c r="C45" s="11" t="n"/>
      <c r="D45" s="11" t="n"/>
      <c r="E45" s="11" t="n"/>
      <c r="F45" s="17" t="n"/>
      <c r="G45" s="26" t="n"/>
      <c r="H45" s="26" t="n"/>
      <c r="I45" s="17" t="n"/>
      <c r="J45" s="11" t="n"/>
      <c r="K45" s="11" t="n"/>
    </row>
    <row r="46" ht="22" customHeight="1">
      <c r="B46" s="15">
        <f>IF(C46="","DEC-"&amp;TEXT(COUNTA($C$5:C46),"000"))</f>
        <v/>
      </c>
      <c r="C46" s="13" t="n"/>
      <c r="D46" s="13" t="n"/>
      <c r="E46" s="13" t="n"/>
      <c r="F46" s="18" t="n"/>
      <c r="G46" s="27" t="n"/>
      <c r="H46" s="27" t="n"/>
      <c r="I46" s="18" t="n"/>
      <c r="J46" s="13" t="n"/>
      <c r="K46" s="13" t="n"/>
    </row>
    <row r="47" ht="22" customHeight="1">
      <c r="B47" s="16">
        <f>IF(C47="","DEC-"&amp;TEXT(COUNTA($C$5:C47),"000"))</f>
        <v/>
      </c>
      <c r="C47" s="11" t="n"/>
      <c r="D47" s="11" t="n"/>
      <c r="E47" s="11" t="n"/>
      <c r="F47" s="17" t="n"/>
      <c r="G47" s="26" t="n"/>
      <c r="H47" s="26" t="n"/>
      <c r="I47" s="17" t="n"/>
      <c r="J47" s="11" t="n"/>
      <c r="K47" s="11" t="n"/>
    </row>
    <row r="48" ht="22" customHeight="1">
      <c r="B48" s="15">
        <f>IF(C48="","DEC-"&amp;TEXT(COUNTA($C$5:C48),"000"))</f>
        <v/>
      </c>
      <c r="C48" s="13" t="n"/>
      <c r="D48" s="13" t="n"/>
      <c r="E48" s="13" t="n"/>
      <c r="F48" s="18" t="n"/>
      <c r="G48" s="27" t="n"/>
      <c r="H48" s="27" t="n"/>
      <c r="I48" s="18" t="n"/>
      <c r="J48" s="13" t="n"/>
      <c r="K48" s="13" t="n"/>
    </row>
    <row r="49" ht="22" customHeight="1">
      <c r="B49" s="16">
        <f>IF(C49="","DEC-"&amp;TEXT(COUNTA($C$5:C49),"000"))</f>
        <v/>
      </c>
      <c r="C49" s="11" t="n"/>
      <c r="D49" s="11" t="n"/>
      <c r="E49" s="11" t="n"/>
      <c r="F49" s="17" t="n"/>
      <c r="G49" s="26" t="n"/>
      <c r="H49" s="26" t="n"/>
      <c r="I49" s="17" t="n"/>
      <c r="J49" s="11" t="n"/>
      <c r="K49" s="11" t="n"/>
    </row>
    <row r="50" ht="22" customHeight="1">
      <c r="B50" s="15">
        <f>IF(C50="","DEC-"&amp;TEXT(COUNTA($C$5:C50),"000"))</f>
        <v/>
      </c>
      <c r="C50" s="13" t="n"/>
      <c r="D50" s="13" t="n"/>
      <c r="E50" s="13" t="n"/>
      <c r="F50" s="18" t="n"/>
      <c r="G50" s="27" t="n"/>
      <c r="H50" s="27" t="n"/>
      <c r="I50" s="18" t="n"/>
      <c r="J50" s="13" t="n"/>
      <c r="K50" s="13" t="n"/>
    </row>
    <row r="51" ht="22" customHeight="1">
      <c r="B51" s="16">
        <f>IF(C51="","DEC-"&amp;TEXT(COUNTA($C$5:C51),"000"))</f>
        <v/>
      </c>
      <c r="C51" s="11" t="n"/>
      <c r="D51" s="11" t="n"/>
      <c r="E51" s="11" t="n"/>
      <c r="F51" s="17" t="n"/>
      <c r="G51" s="26" t="n"/>
      <c r="H51" s="26" t="n"/>
      <c r="I51" s="17" t="n"/>
      <c r="J51" s="11" t="n"/>
      <c r="K51" s="11" t="n"/>
    </row>
    <row r="52" ht="22" customHeight="1">
      <c r="B52" s="15">
        <f>IF(C52="","DEC-"&amp;TEXT(COUNTA($C$5:C52),"000"))</f>
        <v/>
      </c>
      <c r="C52" s="13" t="n"/>
      <c r="D52" s="13" t="n"/>
      <c r="E52" s="13" t="n"/>
      <c r="F52" s="18" t="n"/>
      <c r="G52" s="27" t="n"/>
      <c r="H52" s="27" t="n"/>
      <c r="I52" s="18" t="n"/>
      <c r="J52" s="13" t="n"/>
      <c r="K52" s="13" t="n"/>
    </row>
    <row r="53" ht="22" customHeight="1">
      <c r="B53" s="16">
        <f>IF(C53="","DEC-"&amp;TEXT(COUNTA($C$5:C53),"000"))</f>
        <v/>
      </c>
      <c r="C53" s="11" t="n"/>
      <c r="D53" s="11" t="n"/>
      <c r="E53" s="11" t="n"/>
      <c r="F53" s="17" t="n"/>
      <c r="G53" s="26" t="n"/>
      <c r="H53" s="26" t="n"/>
      <c r="I53" s="17" t="n"/>
      <c r="J53" s="11" t="n"/>
      <c r="K53" s="11" t="n"/>
    </row>
    <row r="54" ht="22" customHeight="1">
      <c r="B54" s="15">
        <f>IF(C54="","DEC-"&amp;TEXT(COUNTA($C$5:C54),"000"))</f>
        <v/>
      </c>
      <c r="C54" s="13" t="n"/>
      <c r="D54" s="13" t="n"/>
      <c r="E54" s="13" t="n"/>
      <c r="F54" s="18" t="n"/>
      <c r="G54" s="27" t="n"/>
      <c r="H54" s="27" t="n"/>
      <c r="I54" s="18" t="n"/>
      <c r="J54" s="13" t="n"/>
      <c r="K54" s="13" t="n"/>
    </row>
    <row r="55" ht="22" customHeight="1">
      <c r="B55" s="16">
        <f>IF(C55="","DEC-"&amp;TEXT(COUNTA($C$5:C55),"000"))</f>
        <v/>
      </c>
      <c r="C55" s="11" t="n"/>
      <c r="D55" s="11" t="n"/>
      <c r="E55" s="11" t="n"/>
      <c r="F55" s="17" t="n"/>
      <c r="G55" s="26" t="n"/>
      <c r="H55" s="26" t="n"/>
      <c r="I55" s="17" t="n"/>
      <c r="J55" s="11" t="n"/>
      <c r="K55" s="11" t="n"/>
    </row>
    <row r="56" ht="22" customHeight="1">
      <c r="B56" s="15">
        <f>IF(C56="","DEC-"&amp;TEXT(COUNTA($C$5:C56),"000"))</f>
        <v/>
      </c>
      <c r="C56" s="13" t="n"/>
      <c r="D56" s="13" t="n"/>
      <c r="E56" s="13" t="n"/>
      <c r="F56" s="18" t="n"/>
      <c r="G56" s="27" t="n"/>
      <c r="H56" s="27" t="n"/>
      <c r="I56" s="18" t="n"/>
      <c r="J56" s="13" t="n"/>
      <c r="K56" s="13" t="n"/>
    </row>
    <row r="57" ht="22" customHeight="1">
      <c r="B57" s="16">
        <f>IF(C57="","DEC-"&amp;TEXT(COUNTA($C$5:C57),"000"))</f>
        <v/>
      </c>
      <c r="C57" s="11" t="n"/>
      <c r="D57" s="11" t="n"/>
      <c r="E57" s="11" t="n"/>
      <c r="F57" s="17" t="n"/>
      <c r="G57" s="26" t="n"/>
      <c r="H57" s="26" t="n"/>
      <c r="I57" s="17" t="n"/>
      <c r="J57" s="11" t="n"/>
      <c r="K57" s="11" t="n"/>
    </row>
    <row r="58" ht="22" customHeight="1">
      <c r="B58" s="15">
        <f>IF(C58="","DEC-"&amp;TEXT(COUNTA($C$5:C58),"000"))</f>
        <v/>
      </c>
      <c r="C58" s="13" t="n"/>
      <c r="D58" s="13" t="n"/>
      <c r="E58" s="13" t="n"/>
      <c r="F58" s="18" t="n"/>
      <c r="G58" s="27" t="n"/>
      <c r="H58" s="27" t="n"/>
      <c r="I58" s="18" t="n"/>
      <c r="J58" s="13" t="n"/>
      <c r="K58" s="13" t="n"/>
    </row>
    <row r="59" ht="22" customHeight="1">
      <c r="B59" s="16">
        <f>IF(C59="","DEC-"&amp;TEXT(COUNTA($C$5:C59),"000"))</f>
        <v/>
      </c>
      <c r="C59" s="11" t="n"/>
      <c r="D59" s="11" t="n"/>
      <c r="E59" s="11" t="n"/>
      <c r="F59" s="17" t="n"/>
      <c r="G59" s="26" t="n"/>
      <c r="H59" s="26" t="n"/>
      <c r="I59" s="17" t="n"/>
      <c r="J59" s="11" t="n"/>
      <c r="K59" s="11" t="n"/>
    </row>
    <row r="60" ht="22" customHeight="1">
      <c r="B60" s="15">
        <f>IF(C60="","DEC-"&amp;TEXT(COUNTA($C$5:C60),"000"))</f>
        <v/>
      </c>
      <c r="C60" s="13" t="n"/>
      <c r="D60" s="13" t="n"/>
      <c r="E60" s="13" t="n"/>
      <c r="F60" s="18" t="n"/>
      <c r="G60" s="27" t="n"/>
      <c r="H60" s="27" t="n"/>
      <c r="I60" s="18" t="n"/>
      <c r="J60" s="13" t="n"/>
      <c r="K60" s="13" t="n"/>
    </row>
    <row r="61" ht="22" customHeight="1">
      <c r="B61" s="16">
        <f>IF(C61="","DEC-"&amp;TEXT(COUNTA($C$5:C61),"000"))</f>
        <v/>
      </c>
      <c r="C61" s="11" t="n"/>
      <c r="D61" s="11" t="n"/>
      <c r="E61" s="11" t="n"/>
      <c r="F61" s="17" t="n"/>
      <c r="G61" s="26" t="n"/>
      <c r="H61" s="26" t="n"/>
      <c r="I61" s="17" t="n"/>
      <c r="J61" s="11" t="n"/>
      <c r="K61" s="11" t="n"/>
    </row>
    <row r="62" ht="22" customHeight="1">
      <c r="B62" s="15">
        <f>IF(C62="","DEC-"&amp;TEXT(COUNTA($C$5:C62),"000"))</f>
        <v/>
      </c>
      <c r="C62" s="13" t="n"/>
      <c r="D62" s="13" t="n"/>
      <c r="E62" s="13" t="n"/>
      <c r="F62" s="18" t="n"/>
      <c r="G62" s="27" t="n"/>
      <c r="H62" s="27" t="n"/>
      <c r="I62" s="18" t="n"/>
      <c r="J62" s="13" t="n"/>
      <c r="K62" s="13" t="n"/>
    </row>
    <row r="63" ht="22" customHeight="1">
      <c r="B63" s="16">
        <f>IF(C63="","DEC-"&amp;TEXT(COUNTA($C$5:C63),"000"))</f>
        <v/>
      </c>
      <c r="C63" s="11" t="n"/>
      <c r="D63" s="11" t="n"/>
      <c r="E63" s="11" t="n"/>
      <c r="F63" s="17" t="n"/>
      <c r="G63" s="26" t="n"/>
      <c r="H63" s="26" t="n"/>
      <c r="I63" s="17" t="n"/>
      <c r="J63" s="11" t="n"/>
      <c r="K63" s="11" t="n"/>
    </row>
    <row r="64" ht="22" customHeight="1">
      <c r="B64" s="15">
        <f>IF(C64="","DEC-"&amp;TEXT(COUNTA($C$5:C64),"000"))</f>
        <v/>
      </c>
      <c r="C64" s="13" t="n"/>
      <c r="D64" s="13" t="n"/>
      <c r="E64" s="13" t="n"/>
      <c r="F64" s="18" t="n"/>
      <c r="G64" s="27" t="n"/>
      <c r="H64" s="27" t="n"/>
      <c r="I64" s="18" t="n"/>
      <c r="J64" s="13" t="n"/>
      <c r="K64" s="13" t="n"/>
    </row>
    <row r="65" ht="22" customHeight="1">
      <c r="B65" s="16">
        <f>IF(C65="","DEC-"&amp;TEXT(COUNTA($C$5:C65),"000"))</f>
        <v/>
      </c>
      <c r="C65" s="11" t="n"/>
      <c r="D65" s="11" t="n"/>
      <c r="E65" s="11" t="n"/>
      <c r="F65" s="17" t="n"/>
      <c r="G65" s="26" t="n"/>
      <c r="H65" s="26" t="n"/>
      <c r="I65" s="17" t="n"/>
      <c r="J65" s="11" t="n"/>
      <c r="K65" s="11" t="n"/>
    </row>
    <row r="66" ht="22" customHeight="1">
      <c r="B66" s="15">
        <f>IF(C66="","DEC-"&amp;TEXT(COUNTA($C$5:C66),"000"))</f>
        <v/>
      </c>
      <c r="C66" s="13" t="n"/>
      <c r="D66" s="13" t="n"/>
      <c r="E66" s="13" t="n"/>
      <c r="F66" s="18" t="n"/>
      <c r="G66" s="27" t="n"/>
      <c r="H66" s="27" t="n"/>
      <c r="I66" s="18" t="n"/>
      <c r="J66" s="13" t="n"/>
      <c r="K66" s="13" t="n"/>
    </row>
    <row r="67" ht="22" customHeight="1">
      <c r="B67" s="16">
        <f>IF(C67="","DEC-"&amp;TEXT(COUNTA($C$5:C67),"000"))</f>
        <v/>
      </c>
      <c r="C67" s="11" t="n"/>
      <c r="D67" s="11" t="n"/>
      <c r="E67" s="11" t="n"/>
      <c r="F67" s="17" t="n"/>
      <c r="G67" s="26" t="n"/>
      <c r="H67" s="26" t="n"/>
      <c r="I67" s="17" t="n"/>
      <c r="J67" s="11" t="n"/>
      <c r="K67" s="11" t="n"/>
    </row>
    <row r="68" ht="22" customHeight="1">
      <c r="B68" s="15">
        <f>IF(C68="","DEC-"&amp;TEXT(COUNTA($C$5:C68),"000"))</f>
        <v/>
      </c>
      <c r="C68" s="13" t="n"/>
      <c r="D68" s="13" t="n"/>
      <c r="E68" s="13" t="n"/>
      <c r="F68" s="18" t="n"/>
      <c r="G68" s="27" t="n"/>
      <c r="H68" s="27" t="n"/>
      <c r="I68" s="18" t="n"/>
      <c r="J68" s="13" t="n"/>
      <c r="K68" s="13" t="n"/>
    </row>
    <row r="69" ht="22" customHeight="1">
      <c r="B69" s="16">
        <f>IF(C69="","DEC-"&amp;TEXT(COUNTA($C$5:C69),"000"))</f>
        <v/>
      </c>
      <c r="C69" s="11" t="n"/>
      <c r="D69" s="11" t="n"/>
      <c r="E69" s="11" t="n"/>
      <c r="F69" s="17" t="n"/>
      <c r="G69" s="26" t="n"/>
      <c r="H69" s="26" t="n"/>
      <c r="I69" s="17" t="n"/>
      <c r="J69" s="11" t="n"/>
      <c r="K69" s="11" t="n"/>
    </row>
    <row r="70" ht="22" customHeight="1">
      <c r="B70" s="15">
        <f>IF(C70="","DEC-"&amp;TEXT(COUNTA($C$5:C70),"000"))</f>
        <v/>
      </c>
      <c r="C70" s="13" t="n"/>
      <c r="D70" s="13" t="n"/>
      <c r="E70" s="13" t="n"/>
      <c r="F70" s="18" t="n"/>
      <c r="G70" s="27" t="n"/>
      <c r="H70" s="27" t="n"/>
      <c r="I70" s="18" t="n"/>
      <c r="J70" s="13" t="n"/>
      <c r="K70" s="13" t="n"/>
    </row>
    <row r="71" ht="22" customHeight="1">
      <c r="B71" s="16">
        <f>IF(C71="","DEC-"&amp;TEXT(COUNTA($C$5:C71),"000"))</f>
        <v/>
      </c>
      <c r="C71" s="11" t="n"/>
      <c r="D71" s="11" t="n"/>
      <c r="E71" s="11" t="n"/>
      <c r="F71" s="17" t="n"/>
      <c r="G71" s="26" t="n"/>
      <c r="H71" s="26" t="n"/>
      <c r="I71" s="17" t="n"/>
      <c r="J71" s="11" t="n"/>
      <c r="K71" s="11" t="n"/>
    </row>
    <row r="72" ht="22" customHeight="1">
      <c r="B72" s="15">
        <f>IF(C72="","DEC-"&amp;TEXT(COUNTA($C$5:C72),"000"))</f>
        <v/>
      </c>
      <c r="C72" s="13" t="n"/>
      <c r="D72" s="13" t="n"/>
      <c r="E72" s="13" t="n"/>
      <c r="F72" s="18" t="n"/>
      <c r="G72" s="27" t="n"/>
      <c r="H72" s="27" t="n"/>
      <c r="I72" s="18" t="n"/>
      <c r="J72" s="13" t="n"/>
      <c r="K72" s="13" t="n"/>
    </row>
    <row r="73" ht="22" customHeight="1">
      <c r="B73" s="16">
        <f>IF(C73="","DEC-"&amp;TEXT(COUNTA($C$5:C73),"000"))</f>
        <v/>
      </c>
      <c r="C73" s="11" t="n"/>
      <c r="D73" s="11" t="n"/>
      <c r="E73" s="11" t="n"/>
      <c r="F73" s="17" t="n"/>
      <c r="G73" s="26" t="n"/>
      <c r="H73" s="26" t="n"/>
      <c r="I73" s="17" t="n"/>
      <c r="J73" s="11" t="n"/>
      <c r="K73" s="11" t="n"/>
    </row>
    <row r="74" ht="22" customHeight="1">
      <c r="B74" s="15">
        <f>IF(C74="","DEC-"&amp;TEXT(COUNTA($C$5:C74),"000"))</f>
        <v/>
      </c>
      <c r="C74" s="13" t="n"/>
      <c r="D74" s="13" t="n"/>
      <c r="E74" s="13" t="n"/>
      <c r="F74" s="18" t="n"/>
      <c r="G74" s="27" t="n"/>
      <c r="H74" s="27" t="n"/>
      <c r="I74" s="18" t="n"/>
      <c r="J74" s="13" t="n"/>
      <c r="K74" s="13" t="n"/>
    </row>
    <row r="75" ht="22" customHeight="1">
      <c r="B75" s="16">
        <f>IF(C75="","DEC-"&amp;TEXT(COUNTA($C$5:C75),"000"))</f>
        <v/>
      </c>
      <c r="C75" s="11" t="n"/>
      <c r="D75" s="11" t="n"/>
      <c r="E75" s="11" t="n"/>
      <c r="F75" s="17" t="n"/>
      <c r="G75" s="26" t="n"/>
      <c r="H75" s="26" t="n"/>
      <c r="I75" s="17" t="n"/>
      <c r="J75" s="11" t="n"/>
      <c r="K75" s="11" t="n"/>
    </row>
    <row r="76" ht="22" customHeight="1">
      <c r="B76" s="15">
        <f>IF(C76="","DEC-"&amp;TEXT(COUNTA($C$5:C76),"000"))</f>
        <v/>
      </c>
      <c r="C76" s="13" t="n"/>
      <c r="D76" s="13" t="n"/>
      <c r="E76" s="13" t="n"/>
      <c r="F76" s="18" t="n"/>
      <c r="G76" s="27" t="n"/>
      <c r="H76" s="27" t="n"/>
      <c r="I76" s="18" t="n"/>
      <c r="J76" s="13" t="n"/>
      <c r="K76" s="13" t="n"/>
    </row>
    <row r="77" ht="22" customHeight="1">
      <c r="B77" s="16">
        <f>IF(C77="","DEC-"&amp;TEXT(COUNTA($C$5:C77),"000"))</f>
        <v/>
      </c>
      <c r="C77" s="11" t="n"/>
      <c r="D77" s="11" t="n"/>
      <c r="E77" s="11" t="n"/>
      <c r="F77" s="17" t="n"/>
      <c r="G77" s="26" t="n"/>
      <c r="H77" s="26" t="n"/>
      <c r="I77" s="17" t="n"/>
      <c r="J77" s="11" t="n"/>
      <c r="K77" s="11" t="n"/>
    </row>
    <row r="78" ht="22" customHeight="1">
      <c r="B78" s="15">
        <f>IF(C78="","DEC-"&amp;TEXT(COUNTA($C$5:C78),"000"))</f>
        <v/>
      </c>
      <c r="C78" s="13" t="n"/>
      <c r="D78" s="13" t="n"/>
      <c r="E78" s="13" t="n"/>
      <c r="F78" s="18" t="n"/>
      <c r="G78" s="27" t="n"/>
      <c r="H78" s="27" t="n"/>
      <c r="I78" s="18" t="n"/>
      <c r="J78" s="13" t="n"/>
      <c r="K78" s="13" t="n"/>
    </row>
    <row r="79" ht="22" customHeight="1">
      <c r="B79" s="16">
        <f>IF(C79="","DEC-"&amp;TEXT(COUNTA($C$5:C79),"000"))</f>
        <v/>
      </c>
      <c r="C79" s="11" t="n"/>
      <c r="D79" s="11" t="n"/>
      <c r="E79" s="11" t="n"/>
      <c r="F79" s="17" t="n"/>
      <c r="G79" s="26" t="n"/>
      <c r="H79" s="26" t="n"/>
      <c r="I79" s="17" t="n"/>
      <c r="J79" s="11" t="n"/>
      <c r="K79" s="11" t="n"/>
    </row>
    <row r="80" ht="22" customHeight="1">
      <c r="B80" s="15">
        <f>IF(C80="","DEC-"&amp;TEXT(COUNTA($C$5:C80),"000"))</f>
        <v/>
      </c>
      <c r="C80" s="13" t="n"/>
      <c r="D80" s="13" t="n"/>
      <c r="E80" s="13" t="n"/>
      <c r="F80" s="18" t="n"/>
      <c r="G80" s="27" t="n"/>
      <c r="H80" s="27" t="n"/>
      <c r="I80" s="18" t="n"/>
      <c r="J80" s="13" t="n"/>
      <c r="K80" s="13" t="n"/>
    </row>
    <row r="81" ht="22" customHeight="1">
      <c r="B81" s="16">
        <f>IF(C81="","DEC-"&amp;TEXT(COUNTA($C$5:C81),"000"))</f>
        <v/>
      </c>
      <c r="C81" s="11" t="n"/>
      <c r="D81" s="11" t="n"/>
      <c r="E81" s="11" t="n"/>
      <c r="F81" s="17" t="n"/>
      <c r="G81" s="26" t="n"/>
      <c r="H81" s="26" t="n"/>
      <c r="I81" s="17" t="n"/>
      <c r="J81" s="11" t="n"/>
      <c r="K81" s="11" t="n"/>
    </row>
    <row r="82" ht="22" customHeight="1">
      <c r="B82" s="15">
        <f>IF(C82="","DEC-"&amp;TEXT(COUNTA($C$5:C82),"000"))</f>
        <v/>
      </c>
      <c r="C82" s="13" t="n"/>
      <c r="D82" s="13" t="n"/>
      <c r="E82" s="13" t="n"/>
      <c r="F82" s="18" t="n"/>
      <c r="G82" s="27" t="n"/>
      <c r="H82" s="27" t="n"/>
      <c r="I82" s="18" t="n"/>
      <c r="J82" s="13" t="n"/>
      <c r="K82" s="13" t="n"/>
    </row>
    <row r="83" ht="22" customHeight="1">
      <c r="B83" s="16">
        <f>IF(C83="","DEC-"&amp;TEXT(COUNTA($C$5:C83),"000"))</f>
        <v/>
      </c>
      <c r="C83" s="11" t="n"/>
      <c r="D83" s="11" t="n"/>
      <c r="E83" s="11" t="n"/>
      <c r="F83" s="17" t="n"/>
      <c r="G83" s="26" t="n"/>
      <c r="H83" s="26" t="n"/>
      <c r="I83" s="17" t="n"/>
      <c r="J83" s="11" t="n"/>
      <c r="K83" s="11" t="n"/>
    </row>
    <row r="84" ht="22" customHeight="1">
      <c r="B84" s="15">
        <f>IF(C84="","DEC-"&amp;TEXT(COUNTA($C$5:C84),"000"))</f>
        <v/>
      </c>
      <c r="C84" s="13" t="n"/>
      <c r="D84" s="13" t="n"/>
      <c r="E84" s="13" t="n"/>
      <c r="F84" s="18" t="n"/>
      <c r="G84" s="27" t="n"/>
      <c r="H84" s="27" t="n"/>
      <c r="I84" s="18" t="n"/>
      <c r="J84" s="13" t="n"/>
      <c r="K84" s="13" t="n"/>
    </row>
    <row r="85" ht="22" customHeight="1">
      <c r="B85" s="16">
        <f>IF(C85="","DEC-"&amp;TEXT(COUNTA($C$5:C85),"000"))</f>
        <v/>
      </c>
      <c r="C85" s="11" t="n"/>
      <c r="D85" s="11" t="n"/>
      <c r="E85" s="11" t="n"/>
      <c r="F85" s="17" t="n"/>
      <c r="G85" s="26" t="n"/>
      <c r="H85" s="26" t="n"/>
      <c r="I85" s="17" t="n"/>
      <c r="J85" s="11" t="n"/>
      <c r="K85" s="11" t="n"/>
    </row>
    <row r="86" ht="22" customHeight="1">
      <c r="B86" s="15">
        <f>IF(C86="","DEC-"&amp;TEXT(COUNTA($C$5:C86),"000"))</f>
        <v/>
      </c>
      <c r="C86" s="13" t="n"/>
      <c r="D86" s="13" t="n"/>
      <c r="E86" s="13" t="n"/>
      <c r="F86" s="18" t="n"/>
      <c r="G86" s="27" t="n"/>
      <c r="H86" s="27" t="n"/>
      <c r="I86" s="18" t="n"/>
      <c r="J86" s="13" t="n"/>
      <c r="K86" s="13" t="n"/>
    </row>
    <row r="87" ht="22" customHeight="1">
      <c r="B87" s="16">
        <f>IF(C87="","DEC-"&amp;TEXT(COUNTA($C$5:C87),"000"))</f>
        <v/>
      </c>
      <c r="C87" s="11" t="n"/>
      <c r="D87" s="11" t="n"/>
      <c r="E87" s="11" t="n"/>
      <c r="F87" s="17" t="n"/>
      <c r="G87" s="26" t="n"/>
      <c r="H87" s="26" t="n"/>
      <c r="I87" s="17" t="n"/>
      <c r="J87" s="11" t="n"/>
      <c r="K87" s="11" t="n"/>
    </row>
    <row r="88" ht="22" customHeight="1">
      <c r="B88" s="15">
        <f>IF(C88="","DEC-"&amp;TEXT(COUNTA($C$5:C88),"000"))</f>
        <v/>
      </c>
      <c r="C88" s="13" t="n"/>
      <c r="D88" s="13" t="n"/>
      <c r="E88" s="13" t="n"/>
      <c r="F88" s="18" t="n"/>
      <c r="G88" s="27" t="n"/>
      <c r="H88" s="27" t="n"/>
      <c r="I88" s="18" t="n"/>
      <c r="J88" s="13" t="n"/>
      <c r="K88" s="13" t="n"/>
    </row>
    <row r="89" ht="22" customHeight="1">
      <c r="B89" s="16">
        <f>IF(C89="","DEC-"&amp;TEXT(COUNTA($C$5:C89),"000"))</f>
        <v/>
      </c>
      <c r="C89" s="11" t="n"/>
      <c r="D89" s="11" t="n"/>
      <c r="E89" s="11" t="n"/>
      <c r="F89" s="17" t="n"/>
      <c r="G89" s="26" t="n"/>
      <c r="H89" s="26" t="n"/>
      <c r="I89" s="17" t="n"/>
      <c r="J89" s="11" t="n"/>
      <c r="K89" s="11" t="n"/>
    </row>
    <row r="90" ht="22" customHeight="1">
      <c r="B90" s="15">
        <f>IF(C90="","DEC-"&amp;TEXT(COUNTA($C$5:C90),"000"))</f>
        <v/>
      </c>
      <c r="C90" s="13" t="n"/>
      <c r="D90" s="13" t="n"/>
      <c r="E90" s="13" t="n"/>
      <c r="F90" s="18" t="n"/>
      <c r="G90" s="27" t="n"/>
      <c r="H90" s="27" t="n"/>
      <c r="I90" s="18" t="n"/>
      <c r="J90" s="13" t="n"/>
      <c r="K90" s="13" t="n"/>
    </row>
    <row r="91" ht="22" customHeight="1">
      <c r="B91" s="16">
        <f>IF(C91="","DEC-"&amp;TEXT(COUNTA($C$5:C91),"000"))</f>
        <v/>
      </c>
      <c r="C91" s="11" t="n"/>
      <c r="D91" s="11" t="n"/>
      <c r="E91" s="11" t="n"/>
      <c r="F91" s="17" t="n"/>
      <c r="G91" s="26" t="n"/>
      <c r="H91" s="26" t="n"/>
      <c r="I91" s="17" t="n"/>
      <c r="J91" s="11" t="n"/>
      <c r="K91" s="11" t="n"/>
    </row>
    <row r="92" ht="22" customHeight="1">
      <c r="B92" s="15">
        <f>IF(C92="","DEC-"&amp;TEXT(COUNTA($C$5:C92),"000"))</f>
        <v/>
      </c>
      <c r="C92" s="13" t="n"/>
      <c r="D92" s="13" t="n"/>
      <c r="E92" s="13" t="n"/>
      <c r="F92" s="18" t="n"/>
      <c r="G92" s="27" t="n"/>
      <c r="H92" s="27" t="n"/>
      <c r="I92" s="18" t="n"/>
      <c r="J92" s="13" t="n"/>
      <c r="K92" s="13" t="n"/>
    </row>
    <row r="93" ht="22" customHeight="1">
      <c r="B93" s="16">
        <f>IF(C93="","DEC-"&amp;TEXT(COUNTA($C$5:C93),"000"))</f>
        <v/>
      </c>
      <c r="C93" s="11" t="n"/>
      <c r="D93" s="11" t="n"/>
      <c r="E93" s="11" t="n"/>
      <c r="F93" s="17" t="n"/>
      <c r="G93" s="26" t="n"/>
      <c r="H93" s="26" t="n"/>
      <c r="I93" s="17" t="n"/>
      <c r="J93" s="11" t="n"/>
      <c r="K93" s="11" t="n"/>
    </row>
    <row r="94" ht="22" customHeight="1">
      <c r="B94" s="15">
        <f>IF(C94="","DEC-"&amp;TEXT(COUNTA($C$5:C94),"000"))</f>
        <v/>
      </c>
      <c r="C94" s="13" t="n"/>
      <c r="D94" s="13" t="n"/>
      <c r="E94" s="13" t="n"/>
      <c r="F94" s="18" t="n"/>
      <c r="G94" s="27" t="n"/>
      <c r="H94" s="27" t="n"/>
      <c r="I94" s="18" t="n"/>
      <c r="J94" s="13" t="n"/>
      <c r="K94" s="13" t="n"/>
    </row>
    <row r="95" ht="22" customHeight="1">
      <c r="B95" s="16">
        <f>IF(C95="","DEC-"&amp;TEXT(COUNTA($C$5:C95),"000"))</f>
        <v/>
      </c>
      <c r="C95" s="11" t="n"/>
      <c r="D95" s="11" t="n"/>
      <c r="E95" s="11" t="n"/>
      <c r="F95" s="17" t="n"/>
      <c r="G95" s="26" t="n"/>
      <c r="H95" s="26" t="n"/>
      <c r="I95" s="17" t="n"/>
      <c r="J95" s="11" t="n"/>
      <c r="K95" s="11" t="n"/>
    </row>
    <row r="96" ht="22" customHeight="1">
      <c r="B96" s="15">
        <f>IF(C96="","DEC-"&amp;TEXT(COUNTA($C$5:C96),"000"))</f>
        <v/>
      </c>
      <c r="C96" s="13" t="n"/>
      <c r="D96" s="13" t="n"/>
      <c r="E96" s="13" t="n"/>
      <c r="F96" s="18" t="n"/>
      <c r="G96" s="27" t="n"/>
      <c r="H96" s="27" t="n"/>
      <c r="I96" s="18" t="n"/>
      <c r="J96" s="13" t="n"/>
      <c r="K96" s="13" t="n"/>
    </row>
    <row r="97" ht="22" customHeight="1">
      <c r="B97" s="16">
        <f>IF(C97="","DEC-"&amp;TEXT(COUNTA($C$5:C97),"000"))</f>
        <v/>
      </c>
      <c r="C97" s="11" t="n"/>
      <c r="D97" s="11" t="n"/>
      <c r="E97" s="11" t="n"/>
      <c r="F97" s="17" t="n"/>
      <c r="G97" s="26" t="n"/>
      <c r="H97" s="26" t="n"/>
      <c r="I97" s="17" t="n"/>
      <c r="J97" s="11" t="n"/>
      <c r="K97" s="11" t="n"/>
    </row>
    <row r="98" ht="22" customHeight="1">
      <c r="B98" s="15">
        <f>IF(C98="","DEC-"&amp;TEXT(COUNTA($C$5:C98),"000"))</f>
        <v/>
      </c>
      <c r="C98" s="13" t="n"/>
      <c r="D98" s="13" t="n"/>
      <c r="E98" s="13" t="n"/>
      <c r="F98" s="18" t="n"/>
      <c r="G98" s="27" t="n"/>
      <c r="H98" s="27" t="n"/>
      <c r="I98" s="18" t="n"/>
      <c r="J98" s="13" t="n"/>
      <c r="K98" s="13" t="n"/>
    </row>
    <row r="99" ht="22" customHeight="1">
      <c r="B99" s="16">
        <f>IF(C99="","DEC-"&amp;TEXT(COUNTA($C$5:C99),"000"))</f>
        <v/>
      </c>
      <c r="C99" s="11" t="n"/>
      <c r="D99" s="11" t="n"/>
      <c r="E99" s="11" t="n"/>
      <c r="F99" s="17" t="n"/>
      <c r="G99" s="26" t="n"/>
      <c r="H99" s="26" t="n"/>
      <c r="I99" s="17" t="n"/>
      <c r="J99" s="11" t="n"/>
      <c r="K99" s="11" t="n"/>
    </row>
    <row r="100" ht="22" customHeight="1">
      <c r="B100" s="15">
        <f>IF(C100="","DEC-"&amp;TEXT(COUNTA($C$5:C100),"000"))</f>
        <v/>
      </c>
      <c r="C100" s="13" t="n"/>
      <c r="D100" s="13" t="n"/>
      <c r="E100" s="13" t="n"/>
      <c r="F100" s="18" t="n"/>
      <c r="G100" s="27" t="n"/>
      <c r="H100" s="27" t="n"/>
      <c r="I100" s="18" t="n"/>
      <c r="J100" s="13" t="n"/>
      <c r="K100" s="13" t="n"/>
    </row>
    <row r="101" ht="22" customHeight="1">
      <c r="B101" s="16">
        <f>IF(C101="","DEC-"&amp;TEXT(COUNTA($C$5:C101),"000"))</f>
        <v/>
      </c>
      <c r="C101" s="11" t="n"/>
      <c r="D101" s="11" t="n"/>
      <c r="E101" s="11" t="n"/>
      <c r="F101" s="17" t="n"/>
      <c r="G101" s="26" t="n"/>
      <c r="H101" s="26" t="n"/>
      <c r="I101" s="17" t="n"/>
      <c r="J101" s="11" t="n"/>
      <c r="K101" s="11" t="n"/>
    </row>
    <row r="102" ht="22" customHeight="1">
      <c r="B102" s="15">
        <f>IF(C102="","DEC-"&amp;TEXT(COUNTA($C$5:C102),"000"))</f>
        <v/>
      </c>
      <c r="C102" s="13" t="n"/>
      <c r="D102" s="13" t="n"/>
      <c r="E102" s="13" t="n"/>
      <c r="F102" s="18" t="n"/>
      <c r="G102" s="27" t="n"/>
      <c r="H102" s="27" t="n"/>
      <c r="I102" s="18" t="n"/>
      <c r="J102" s="13" t="n"/>
      <c r="K102" s="13" t="n"/>
    </row>
    <row r="103" ht="22" customHeight="1">
      <c r="B103" s="16">
        <f>IF(C103="","DEC-"&amp;TEXT(COUNTA($C$5:C103),"000"))</f>
        <v/>
      </c>
      <c r="C103" s="11" t="n"/>
      <c r="D103" s="11" t="n"/>
      <c r="E103" s="11" t="n"/>
      <c r="F103" s="17" t="n"/>
      <c r="G103" s="26" t="n"/>
      <c r="H103" s="26" t="n"/>
      <c r="I103" s="17" t="n"/>
      <c r="J103" s="11" t="n"/>
      <c r="K103" s="11" t="n"/>
    </row>
    <row r="104" ht="22" customHeight="1">
      <c r="B104" s="15">
        <f>IF(C104="","DEC-"&amp;TEXT(COUNTA($C$5:C104),"000"))</f>
        <v/>
      </c>
      <c r="C104" s="13" t="n"/>
      <c r="D104" s="13" t="n"/>
      <c r="E104" s="13" t="n"/>
      <c r="F104" s="18" t="n"/>
      <c r="G104" s="27" t="n"/>
      <c r="H104" s="27" t="n"/>
      <c r="I104" s="18" t="n"/>
      <c r="J104" s="13" t="n"/>
      <c r="K104" s="13" t="n"/>
    </row>
    <row r="105" ht="22" customHeight="1">
      <c r="B105" s="16">
        <f>IF(C105="","DEC-"&amp;TEXT(COUNTA($C$5:C105),"000"))</f>
        <v/>
      </c>
      <c r="C105" s="11" t="n"/>
      <c r="D105" s="11" t="n"/>
      <c r="E105" s="11" t="n"/>
      <c r="F105" s="17" t="n"/>
      <c r="G105" s="26" t="n"/>
      <c r="H105" s="26" t="n"/>
      <c r="I105" s="17" t="n"/>
      <c r="J105" s="11" t="n"/>
      <c r="K105" s="11" t="n"/>
    </row>
    <row r="106" ht="22" customHeight="1">
      <c r="B106" s="15">
        <f>IF(C106="","DEC-"&amp;TEXT(COUNTA($C$5:C106),"000"))</f>
        <v/>
      </c>
      <c r="C106" s="13" t="n"/>
      <c r="D106" s="13" t="n"/>
      <c r="E106" s="13" t="n"/>
      <c r="F106" s="18" t="n"/>
      <c r="G106" s="27" t="n"/>
      <c r="H106" s="27" t="n"/>
      <c r="I106" s="18" t="n"/>
      <c r="J106" s="13" t="n"/>
      <c r="K106" s="13" t="n"/>
    </row>
    <row r="107" ht="22" customHeight="1">
      <c r="B107" s="16">
        <f>IF(C107="","DEC-"&amp;TEXT(COUNTA($C$5:C107),"000"))</f>
        <v/>
      </c>
      <c r="C107" s="11" t="n"/>
      <c r="D107" s="11" t="n"/>
      <c r="E107" s="11" t="n"/>
      <c r="F107" s="17" t="n"/>
      <c r="G107" s="26" t="n"/>
      <c r="H107" s="26" t="n"/>
      <c r="I107" s="17" t="n"/>
      <c r="J107" s="11" t="n"/>
      <c r="K107" s="11" t="n"/>
    </row>
    <row r="108" ht="22" customHeight="1">
      <c r="B108" s="15">
        <f>IF(C108="","DEC-"&amp;TEXT(COUNTA($C$5:C108),"000"))</f>
        <v/>
      </c>
      <c r="C108" s="13" t="n"/>
      <c r="D108" s="13" t="n"/>
      <c r="E108" s="13" t="n"/>
      <c r="F108" s="18" t="n"/>
      <c r="G108" s="27" t="n"/>
      <c r="H108" s="27" t="n"/>
      <c r="I108" s="18" t="n"/>
      <c r="J108" s="13" t="n"/>
      <c r="K108" s="13" t="n"/>
    </row>
    <row r="109" ht="22" customHeight="1">
      <c r="B109" s="16">
        <f>IF(C109="","DEC-"&amp;TEXT(COUNTA($C$5:C109),"000"))</f>
        <v/>
      </c>
      <c r="C109" s="11" t="n"/>
      <c r="D109" s="11" t="n"/>
      <c r="E109" s="11" t="n"/>
      <c r="F109" s="17" t="n"/>
      <c r="G109" s="26" t="n"/>
      <c r="H109" s="26" t="n"/>
      <c r="I109" s="17" t="n"/>
      <c r="J109" s="11" t="n"/>
      <c r="K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1">
        <f>SUM(F5:F104)</f>
        <v/>
      </c>
      <c r="G111" s="20" t="n"/>
      <c r="H111" s="20" t="n"/>
      <c r="I111" s="21">
        <f>SUM(I5:I104)</f>
        <v/>
      </c>
      <c r="J111" s="20" t="n"/>
      <c r="K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Declarations total</t>
        </is>
      </c>
      <c r="D114" s="3" t="inlineStr">
        <is>
          <t>En retard</t>
        </is>
      </c>
      <c r="F114" s="3" t="inlineStr">
        <is>
          <t>Total penalites</t>
        </is>
      </c>
    </row>
    <row r="115">
      <c r="B115" s="4">
        <f>COUNTIF(B5:B104,"&lt;&gt;")</f>
        <v/>
      </c>
      <c r="D115" s="4">
        <f>COUNTIF(J5:J104,"En retard")</f>
        <v/>
      </c>
      <c r="F115" s="4">
        <f>SUM(I5:I104)</f>
        <v/>
      </c>
    </row>
  </sheetData>
  <mergeCells count="3">
    <mergeCell ref="B113:K113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conditionalFormatting sqref="K10:K109">
    <cfRule type="expression" priority="202" dxfId="3">
      <formula>AND($C10="",$C9&lt;&gt;"")</formula>
    </cfRule>
  </conditionalFormatting>
  <dataValidations count="4">
    <dataValidation sqref="C5:C109" showDropDown="0" showInputMessage="0" showErrorMessage="0" allowBlank="1" errorTitle="Erreur" error="Valeur invalide" promptTitle="Liste" prompt="Choisir dans la liste" type="list">
      <formula1>'_Lists'!$J$2:$J$8</formula1>
    </dataValidation>
    <dataValidation sqref="D5:D109" showDropDown="0" showInputMessage="0" showErrorMessage="0" allowBlank="1" errorTitle="Erreur" error="Valeur invalide" promptTitle="Liste" prompt="Choisir dans la liste" type="list">
      <formula1>'_Lists'!$U$2:$U$13</formula1>
    </dataValidation>
    <dataValidation sqref="E5:E109" showDropDown="0" showInputMessage="0" showErrorMessage="0" allowBlank="1" errorTitle="Erreur" error="Valeur invalide" promptTitle="Liste" prompt="Choisir dans la liste" type="list">
      <formula1>'_Lists'!$V$2:$V$4</formula1>
    </dataValidation>
    <dataValidation sqref="J5:J109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2" customWidth="1" min="4" max="4"/>
    <col width="16" customWidth="1" min="5" max="5"/>
    <col width="16" customWidth="1" min="6" max="6"/>
    <col width="36" customWidth="1" min="7" max="7"/>
    <col width="40" customWidth="1" min="8" max="8"/>
    <col width="20" customWidth="1" min="9" max="9"/>
    <col width="14" customWidth="1" min="10" max="10"/>
    <col width="34" customWidth="1" min="11" max="11"/>
  </cols>
  <sheetData>
    <row r="1" ht="15" customHeight="1"/>
    <row r="2" ht="32" customHeight="1">
      <c r="B2" s="1" t="inlineStr">
        <is>
          <t>SUIVI LÉGISLATION DU TRAVAIL (#122)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Texte Legal</t>
        </is>
      </c>
      <c r="D4" s="10" t="inlineStr">
        <is>
          <t>Domaine</t>
        </is>
      </c>
      <c r="E4" s="10" t="inlineStr">
        <is>
          <t>Date Publication</t>
        </is>
      </c>
      <c r="F4" s="10" t="inlineStr">
        <is>
          <t>Date Entree Vig.</t>
        </is>
      </c>
      <c r="G4" s="10" t="inlineStr">
        <is>
          <t>Impact sur Hotel</t>
        </is>
      </c>
      <c r="H4" s="10" t="inlineStr">
        <is>
          <t>Actions Requises</t>
        </is>
      </c>
      <c r="I4" s="10" t="inlineStr">
        <is>
          <t>Responsable</t>
        </is>
      </c>
      <c r="J4" s="10" t="inlineStr">
        <is>
          <t>Statut</t>
        </is>
      </c>
      <c r="K4" s="10" t="inlineStr">
        <is>
          <t>Observations</t>
        </is>
      </c>
    </row>
    <row r="5" ht="22" customHeight="1">
      <c r="B5" s="11" t="inlineStr">
        <is>
          <t>LEG-001</t>
        </is>
      </c>
      <c r="C5" s="11" t="inlineStr">
        <is>
          <t>Loi 2024-012 salaire minimum</t>
        </is>
      </c>
      <c r="D5" s="11" t="inlineStr">
        <is>
          <t>Conditions travail</t>
        </is>
      </c>
      <c r="E5" s="26" t="n">
        <v>45641</v>
      </c>
      <c r="F5" s="26" t="n">
        <v>45658</v>
      </c>
      <c r="G5" s="11" t="inlineStr">
        <is>
          <t>Revalorisation salariale 15% minimum</t>
        </is>
      </c>
      <c r="H5" s="11" t="inlineStr">
        <is>
          <t>Ajuster grille salariale + informer employes</t>
        </is>
      </c>
      <c r="I5" s="11" t="inlineStr">
        <is>
          <t>DRH Fotso M. + DAF</t>
        </is>
      </c>
      <c r="J5" s="11" t="inlineStr">
        <is>
          <t>En cours</t>
        </is>
      </c>
      <c r="K5" s="11" t="inlineStr">
        <is>
          <t>Budget a revoir pour Q2 2025</t>
        </is>
      </c>
    </row>
    <row r="6" ht="22" customHeight="1">
      <c r="B6" s="13" t="inlineStr">
        <is>
          <t>LEG-002</t>
        </is>
      </c>
      <c r="C6" s="13" t="inlineStr">
        <is>
          <t>Arrete hygiene restauration</t>
        </is>
      </c>
      <c r="D6" s="13" t="inlineStr">
        <is>
          <t>Hygiene securite</t>
        </is>
      </c>
      <c r="E6" s="27" t="n">
        <v>45677</v>
      </c>
      <c r="F6" s="27" t="n">
        <v>45689</v>
      </c>
      <c r="G6" s="13" t="inlineStr">
        <is>
          <t>Nouvelles normes HACCP renforcees cuisine</t>
        </is>
      </c>
      <c r="H6" s="13" t="inlineStr">
        <is>
          <t>Formation equipe + mise aux normes equipements</t>
        </is>
      </c>
      <c r="I6" s="13" t="inlineStr">
        <is>
          <t>Chef Cuisine + DRH</t>
        </is>
      </c>
      <c r="J6" s="13" t="inlineStr">
        <is>
          <t>En cours</t>
        </is>
      </c>
      <c r="K6" s="13" t="inlineStr">
        <is>
          <t>Formation HACCP niveau 3 planifiee</t>
        </is>
      </c>
    </row>
    <row r="7" ht="22" customHeight="1">
      <c r="B7" s="11" t="inlineStr">
        <is>
          <t>LEG-003</t>
        </is>
      </c>
      <c r="C7" s="11" t="inlineStr">
        <is>
          <t>Decret CNPS cotisations 2025</t>
        </is>
      </c>
      <c r="D7" s="11" t="inlineStr">
        <is>
          <t>Securite sociale</t>
        </is>
      </c>
      <c r="E7" s="26" t="n">
        <v>45656</v>
      </c>
      <c r="F7" s="26" t="n">
        <v>45658</v>
      </c>
      <c r="G7" s="11" t="inlineStr">
        <is>
          <t>Augmentation taux cotisation patronale de 0.5%</t>
        </is>
      </c>
      <c r="H7" s="11" t="inlineStr">
        <is>
          <t>Mettre a jour parametres paie + budget previsionnel</t>
        </is>
      </c>
      <c r="I7" s="11" t="inlineStr">
        <is>
          <t>DAF + DRH</t>
        </is>
      </c>
      <c r="J7" s="11" t="inlineStr">
        <is>
          <t>Termine</t>
        </is>
      </c>
      <c r="K7" s="11" t="inlineStr">
        <is>
          <t>Taux actualises dans logiciel paie</t>
        </is>
      </c>
    </row>
    <row r="8" ht="22" customHeight="1">
      <c r="B8" s="13" t="inlineStr">
        <is>
          <t>LEG-004</t>
        </is>
      </c>
      <c r="C8" s="13" t="inlineStr">
        <is>
          <t>Code du travail revision Art. 45</t>
        </is>
      </c>
      <c r="D8" s="13" t="inlineStr">
        <is>
          <t>Conditions travail</t>
        </is>
      </c>
      <c r="E8" s="27" t="n">
        <v>45726</v>
      </c>
      <c r="F8" s="27" t="n">
        <v>45809</v>
      </c>
      <c r="G8" s="13" t="inlineStr">
        <is>
          <t>Flexibilisation heures supplementaires max 12h/semaine</t>
        </is>
      </c>
      <c r="H8" s="13" t="inlineStr">
        <is>
          <t>Reviser plannings + informer managers</t>
        </is>
      </c>
      <c r="I8" s="13" t="inlineStr">
        <is>
          <t>DRH Fotso M.</t>
        </is>
      </c>
      <c r="J8" s="13" t="inlineStr">
        <is>
          <t>En cours</t>
        </is>
      </c>
      <c r="K8" s="13" t="inlineStr">
        <is>
          <t>Consultation syndicats en cours</t>
        </is>
      </c>
    </row>
    <row r="9" ht="22" customHeight="1">
      <c r="B9" s="11" t="inlineStr">
        <is>
          <t>LEG-005</t>
        </is>
      </c>
      <c r="C9" s="11" t="inlineStr">
        <is>
          <t>Circulaire inspection travail</t>
        </is>
      </c>
      <c r="D9" s="11" t="inlineStr">
        <is>
          <t>Contrat de travail</t>
        </is>
      </c>
      <c r="E9" s="26" t="n">
        <v>45748</v>
      </c>
      <c r="F9" s="26" t="n">
        <v>45762</v>
      </c>
      <c r="G9" s="11" t="inlineStr">
        <is>
          <t>Obligation contrat ecrit meme pour CDD &lt; 6 mois</t>
        </is>
      </c>
      <c r="H9" s="11" t="inlineStr">
        <is>
          <t>Verifier tous les contrats en cours</t>
        </is>
      </c>
      <c r="I9" s="11" t="inlineStr">
        <is>
          <t>Assistante RH</t>
        </is>
      </c>
      <c r="J9" s="11" t="inlineStr">
        <is>
          <t>En cours</t>
        </is>
      </c>
      <c r="K9" s="11" t="inlineStr">
        <is>
          <t>Audit en cours, 2 CDD a regulariser</t>
        </is>
      </c>
    </row>
    <row r="10" ht="22" customHeight="1">
      <c r="B10" s="15">
        <f>IF(C10="","LEG-"&amp;TEXT(COUNTA($C$5:C10),"000"))</f>
        <v/>
      </c>
      <c r="C10" s="13" t="n"/>
      <c r="D10" s="13" t="n"/>
      <c r="E10" s="27" t="n"/>
      <c r="F10" s="27" t="n"/>
      <c r="G10" s="13" t="n"/>
      <c r="H10" s="13" t="n"/>
      <c r="I10" s="13" t="n"/>
      <c r="J10" s="13" t="n"/>
      <c r="K10" s="13" t="n"/>
    </row>
    <row r="11" ht="22" customHeight="1">
      <c r="B11" s="16">
        <f>IF(C11="","LEG-"&amp;TEXT(COUNTA($C$5:C11),"000"))</f>
        <v/>
      </c>
      <c r="C11" s="11" t="n"/>
      <c r="D11" s="11" t="n"/>
      <c r="E11" s="26" t="n"/>
      <c r="F11" s="26" t="n"/>
      <c r="G11" s="11" t="n"/>
      <c r="H11" s="11" t="n"/>
      <c r="I11" s="11" t="n"/>
      <c r="J11" s="11" t="n"/>
      <c r="K11" s="11" t="n"/>
    </row>
    <row r="12" ht="22" customHeight="1">
      <c r="B12" s="15">
        <f>IF(C12="","LEG-"&amp;TEXT(COUNTA($C$5:C12),"000"))</f>
        <v/>
      </c>
      <c r="C12" s="13" t="n"/>
      <c r="D12" s="13" t="n"/>
      <c r="E12" s="27" t="n"/>
      <c r="F12" s="27" t="n"/>
      <c r="G12" s="13" t="n"/>
      <c r="H12" s="13" t="n"/>
      <c r="I12" s="13" t="n"/>
      <c r="J12" s="13" t="n"/>
      <c r="K12" s="13" t="n"/>
    </row>
    <row r="13" ht="22" customHeight="1">
      <c r="B13" s="16">
        <f>IF(C13="","LEG-"&amp;TEXT(COUNTA($C$5:C13),"000"))</f>
        <v/>
      </c>
      <c r="C13" s="11" t="n"/>
      <c r="D13" s="11" t="n"/>
      <c r="E13" s="26" t="n"/>
      <c r="F13" s="26" t="n"/>
      <c r="G13" s="11" t="n"/>
      <c r="H13" s="11" t="n"/>
      <c r="I13" s="11" t="n"/>
      <c r="J13" s="11" t="n"/>
      <c r="K13" s="11" t="n"/>
    </row>
    <row r="14" ht="22" customHeight="1">
      <c r="B14" s="15">
        <f>IF(C14="","LEG-"&amp;TEXT(COUNTA($C$5:C14),"000"))</f>
        <v/>
      </c>
      <c r="C14" s="13" t="n"/>
      <c r="D14" s="13" t="n"/>
      <c r="E14" s="27" t="n"/>
      <c r="F14" s="27" t="n"/>
      <c r="G14" s="13" t="n"/>
      <c r="H14" s="13" t="n"/>
      <c r="I14" s="13" t="n"/>
      <c r="J14" s="13" t="n"/>
      <c r="K14" s="13" t="n"/>
    </row>
    <row r="15" ht="22" customHeight="1">
      <c r="B15" s="16">
        <f>IF(C15="","LEG-"&amp;TEXT(COUNTA($C$5:C15),"000"))</f>
        <v/>
      </c>
      <c r="C15" s="11" t="n"/>
      <c r="D15" s="11" t="n"/>
      <c r="E15" s="26" t="n"/>
      <c r="F15" s="26" t="n"/>
      <c r="G15" s="11" t="n"/>
      <c r="H15" s="11" t="n"/>
      <c r="I15" s="11" t="n"/>
      <c r="J15" s="11" t="n"/>
      <c r="K15" s="11" t="n"/>
    </row>
    <row r="16" ht="22" customHeight="1">
      <c r="B16" s="15">
        <f>IF(C16="","LEG-"&amp;TEXT(COUNTA($C$5:C16),"000"))</f>
        <v/>
      </c>
      <c r="C16" s="13" t="n"/>
      <c r="D16" s="13" t="n"/>
      <c r="E16" s="27" t="n"/>
      <c r="F16" s="27" t="n"/>
      <c r="G16" s="13" t="n"/>
      <c r="H16" s="13" t="n"/>
      <c r="I16" s="13" t="n"/>
      <c r="J16" s="13" t="n"/>
      <c r="K16" s="13" t="n"/>
    </row>
    <row r="17" ht="22" customHeight="1">
      <c r="B17" s="16">
        <f>IF(C17="","LEG-"&amp;TEXT(COUNTA($C$5:C17),"000"))</f>
        <v/>
      </c>
      <c r="C17" s="11" t="n"/>
      <c r="D17" s="11" t="n"/>
      <c r="E17" s="26" t="n"/>
      <c r="F17" s="26" t="n"/>
      <c r="G17" s="11" t="n"/>
      <c r="H17" s="11" t="n"/>
      <c r="I17" s="11" t="n"/>
      <c r="J17" s="11" t="n"/>
      <c r="K17" s="11" t="n"/>
    </row>
    <row r="18" ht="22" customHeight="1">
      <c r="B18" s="15">
        <f>IF(C18="","LEG-"&amp;TEXT(COUNTA($C$5:C18),"000"))</f>
        <v/>
      </c>
      <c r="C18" s="13" t="n"/>
      <c r="D18" s="13" t="n"/>
      <c r="E18" s="27" t="n"/>
      <c r="F18" s="27" t="n"/>
      <c r="G18" s="13" t="n"/>
      <c r="H18" s="13" t="n"/>
      <c r="I18" s="13" t="n"/>
      <c r="J18" s="13" t="n"/>
      <c r="K18" s="13" t="n"/>
    </row>
    <row r="19" ht="22" customHeight="1">
      <c r="B19" s="16">
        <f>IF(C19="","LEG-"&amp;TEXT(COUNTA($C$5:C19),"000"))</f>
        <v/>
      </c>
      <c r="C19" s="11" t="n"/>
      <c r="D19" s="11" t="n"/>
      <c r="E19" s="26" t="n"/>
      <c r="F19" s="26" t="n"/>
      <c r="G19" s="11" t="n"/>
      <c r="H19" s="11" t="n"/>
      <c r="I19" s="11" t="n"/>
      <c r="J19" s="11" t="n"/>
      <c r="K19" s="11" t="n"/>
    </row>
    <row r="20" ht="22" customHeight="1">
      <c r="B20" s="15">
        <f>IF(C20="","LEG-"&amp;TEXT(COUNTA($C$5:C20),"000"))</f>
        <v/>
      </c>
      <c r="C20" s="13" t="n"/>
      <c r="D20" s="13" t="n"/>
      <c r="E20" s="27" t="n"/>
      <c r="F20" s="27" t="n"/>
      <c r="G20" s="13" t="n"/>
      <c r="H20" s="13" t="n"/>
      <c r="I20" s="13" t="n"/>
      <c r="J20" s="13" t="n"/>
      <c r="K20" s="13" t="n"/>
    </row>
    <row r="21" ht="22" customHeight="1">
      <c r="B21" s="16">
        <f>IF(C21="","LEG-"&amp;TEXT(COUNTA($C$5:C21),"000"))</f>
        <v/>
      </c>
      <c r="C21" s="11" t="n"/>
      <c r="D21" s="11" t="n"/>
      <c r="E21" s="26" t="n"/>
      <c r="F21" s="26" t="n"/>
      <c r="G21" s="11" t="n"/>
      <c r="H21" s="11" t="n"/>
      <c r="I21" s="11" t="n"/>
      <c r="J21" s="11" t="n"/>
      <c r="K21" s="11" t="n"/>
    </row>
    <row r="22" ht="22" customHeight="1">
      <c r="B22" s="15">
        <f>IF(C22="","LEG-"&amp;TEXT(COUNTA($C$5:C22),"000"))</f>
        <v/>
      </c>
      <c r="C22" s="13" t="n"/>
      <c r="D22" s="13" t="n"/>
      <c r="E22" s="27" t="n"/>
      <c r="F22" s="27" t="n"/>
      <c r="G22" s="13" t="n"/>
      <c r="H22" s="13" t="n"/>
      <c r="I22" s="13" t="n"/>
      <c r="J22" s="13" t="n"/>
      <c r="K22" s="13" t="n"/>
    </row>
    <row r="23" ht="22" customHeight="1">
      <c r="B23" s="16">
        <f>IF(C23="","LEG-"&amp;TEXT(COUNTA($C$5:C23),"000"))</f>
        <v/>
      </c>
      <c r="C23" s="11" t="n"/>
      <c r="D23" s="11" t="n"/>
      <c r="E23" s="26" t="n"/>
      <c r="F23" s="26" t="n"/>
      <c r="G23" s="11" t="n"/>
      <c r="H23" s="11" t="n"/>
      <c r="I23" s="11" t="n"/>
      <c r="J23" s="11" t="n"/>
      <c r="K23" s="11" t="n"/>
    </row>
    <row r="24" ht="22" customHeight="1">
      <c r="B24" s="15">
        <f>IF(C24="","LEG-"&amp;TEXT(COUNTA($C$5:C24),"000"))</f>
        <v/>
      </c>
      <c r="C24" s="13" t="n"/>
      <c r="D24" s="13" t="n"/>
      <c r="E24" s="27" t="n"/>
      <c r="F24" s="27" t="n"/>
      <c r="G24" s="13" t="n"/>
      <c r="H24" s="13" t="n"/>
      <c r="I24" s="13" t="n"/>
      <c r="J24" s="13" t="n"/>
      <c r="K24" s="13" t="n"/>
    </row>
    <row r="25" ht="22" customHeight="1">
      <c r="B25" s="16">
        <f>IF(C25="","LEG-"&amp;TEXT(COUNTA($C$5:C25),"000"))</f>
        <v/>
      </c>
      <c r="C25" s="11" t="n"/>
      <c r="D25" s="11" t="n"/>
      <c r="E25" s="26" t="n"/>
      <c r="F25" s="26" t="n"/>
      <c r="G25" s="11" t="n"/>
      <c r="H25" s="11" t="n"/>
      <c r="I25" s="11" t="n"/>
      <c r="J25" s="11" t="n"/>
      <c r="K25" s="11" t="n"/>
    </row>
    <row r="26" ht="22" customHeight="1">
      <c r="B26" s="15">
        <f>IF(C26="","LEG-"&amp;TEXT(COUNTA($C$5:C26),"000"))</f>
        <v/>
      </c>
      <c r="C26" s="13" t="n"/>
      <c r="D26" s="13" t="n"/>
      <c r="E26" s="27" t="n"/>
      <c r="F26" s="27" t="n"/>
      <c r="G26" s="13" t="n"/>
      <c r="H26" s="13" t="n"/>
      <c r="I26" s="13" t="n"/>
      <c r="J26" s="13" t="n"/>
      <c r="K26" s="13" t="n"/>
    </row>
    <row r="27" ht="22" customHeight="1">
      <c r="B27" s="16">
        <f>IF(C27="","LEG-"&amp;TEXT(COUNTA($C$5:C27),"000"))</f>
        <v/>
      </c>
      <c r="C27" s="11" t="n"/>
      <c r="D27" s="11" t="n"/>
      <c r="E27" s="26" t="n"/>
      <c r="F27" s="26" t="n"/>
      <c r="G27" s="11" t="n"/>
      <c r="H27" s="11" t="n"/>
      <c r="I27" s="11" t="n"/>
      <c r="J27" s="11" t="n"/>
      <c r="K27" s="11" t="n"/>
    </row>
    <row r="28" ht="22" customHeight="1">
      <c r="B28" s="15">
        <f>IF(C28="","LEG-"&amp;TEXT(COUNTA($C$5:C28),"000"))</f>
        <v/>
      </c>
      <c r="C28" s="13" t="n"/>
      <c r="D28" s="13" t="n"/>
      <c r="E28" s="27" t="n"/>
      <c r="F28" s="27" t="n"/>
      <c r="G28" s="13" t="n"/>
      <c r="H28" s="13" t="n"/>
      <c r="I28" s="13" t="n"/>
      <c r="J28" s="13" t="n"/>
      <c r="K28" s="13" t="n"/>
    </row>
    <row r="29" ht="22" customHeight="1">
      <c r="B29" s="16">
        <f>IF(C29="","LEG-"&amp;TEXT(COUNTA($C$5:C29),"000"))</f>
        <v/>
      </c>
      <c r="C29" s="11" t="n"/>
      <c r="D29" s="11" t="n"/>
      <c r="E29" s="26" t="n"/>
      <c r="F29" s="26" t="n"/>
      <c r="G29" s="11" t="n"/>
      <c r="H29" s="11" t="n"/>
      <c r="I29" s="11" t="n"/>
      <c r="J29" s="11" t="n"/>
      <c r="K29" s="11" t="n"/>
    </row>
    <row r="30" ht="22" customHeight="1">
      <c r="B30" s="15">
        <f>IF(C30="","LEG-"&amp;TEXT(COUNTA($C$5:C30),"000"))</f>
        <v/>
      </c>
      <c r="C30" s="13" t="n"/>
      <c r="D30" s="13" t="n"/>
      <c r="E30" s="27" t="n"/>
      <c r="F30" s="27" t="n"/>
      <c r="G30" s="13" t="n"/>
      <c r="H30" s="13" t="n"/>
      <c r="I30" s="13" t="n"/>
      <c r="J30" s="13" t="n"/>
      <c r="K30" s="13" t="n"/>
    </row>
    <row r="31" ht="22" customHeight="1">
      <c r="B31" s="16">
        <f>IF(C31="","LEG-"&amp;TEXT(COUNTA($C$5:C31),"000"))</f>
        <v/>
      </c>
      <c r="C31" s="11" t="n"/>
      <c r="D31" s="11" t="n"/>
      <c r="E31" s="26" t="n"/>
      <c r="F31" s="26" t="n"/>
      <c r="G31" s="11" t="n"/>
      <c r="H31" s="11" t="n"/>
      <c r="I31" s="11" t="n"/>
      <c r="J31" s="11" t="n"/>
      <c r="K31" s="11" t="n"/>
    </row>
    <row r="32" ht="22" customHeight="1">
      <c r="B32" s="15">
        <f>IF(C32="","LEG-"&amp;TEXT(COUNTA($C$5:C32),"000"))</f>
        <v/>
      </c>
      <c r="C32" s="13" t="n"/>
      <c r="D32" s="13" t="n"/>
      <c r="E32" s="27" t="n"/>
      <c r="F32" s="27" t="n"/>
      <c r="G32" s="13" t="n"/>
      <c r="H32" s="13" t="n"/>
      <c r="I32" s="13" t="n"/>
      <c r="J32" s="13" t="n"/>
      <c r="K32" s="13" t="n"/>
    </row>
    <row r="33" ht="22" customHeight="1">
      <c r="B33" s="16">
        <f>IF(C33="","LEG-"&amp;TEXT(COUNTA($C$5:C33),"000"))</f>
        <v/>
      </c>
      <c r="C33" s="11" t="n"/>
      <c r="D33" s="11" t="n"/>
      <c r="E33" s="26" t="n"/>
      <c r="F33" s="26" t="n"/>
      <c r="G33" s="11" t="n"/>
      <c r="H33" s="11" t="n"/>
      <c r="I33" s="11" t="n"/>
      <c r="J33" s="11" t="n"/>
      <c r="K33" s="11" t="n"/>
    </row>
    <row r="34" ht="22" customHeight="1">
      <c r="B34" s="15">
        <f>IF(C34="","LEG-"&amp;TEXT(COUNTA($C$5:C34),"000"))</f>
        <v/>
      </c>
      <c r="C34" s="13" t="n"/>
      <c r="D34" s="13" t="n"/>
      <c r="E34" s="27" t="n"/>
      <c r="F34" s="27" t="n"/>
      <c r="G34" s="13" t="n"/>
      <c r="H34" s="13" t="n"/>
      <c r="I34" s="13" t="n"/>
      <c r="J34" s="13" t="n"/>
      <c r="K34" s="13" t="n"/>
    </row>
    <row r="35" ht="22" customHeight="1">
      <c r="B35" s="16">
        <f>IF(C35="","LEG-"&amp;TEXT(COUNTA($C$5:C35),"000"))</f>
        <v/>
      </c>
      <c r="C35" s="11" t="n"/>
      <c r="D35" s="11" t="n"/>
      <c r="E35" s="26" t="n"/>
      <c r="F35" s="26" t="n"/>
      <c r="G35" s="11" t="n"/>
      <c r="H35" s="11" t="n"/>
      <c r="I35" s="11" t="n"/>
      <c r="J35" s="11" t="n"/>
      <c r="K35" s="11" t="n"/>
    </row>
    <row r="36" ht="22" customHeight="1">
      <c r="B36" s="15">
        <f>IF(C36="","LEG-"&amp;TEXT(COUNTA($C$5:C36),"000"))</f>
        <v/>
      </c>
      <c r="C36" s="13" t="n"/>
      <c r="D36" s="13" t="n"/>
      <c r="E36" s="27" t="n"/>
      <c r="F36" s="27" t="n"/>
      <c r="G36" s="13" t="n"/>
      <c r="H36" s="13" t="n"/>
      <c r="I36" s="13" t="n"/>
      <c r="J36" s="13" t="n"/>
      <c r="K36" s="13" t="n"/>
    </row>
    <row r="37" ht="22" customHeight="1">
      <c r="B37" s="16">
        <f>IF(C37="","LEG-"&amp;TEXT(COUNTA($C$5:C37),"000"))</f>
        <v/>
      </c>
      <c r="C37" s="11" t="n"/>
      <c r="D37" s="11" t="n"/>
      <c r="E37" s="26" t="n"/>
      <c r="F37" s="26" t="n"/>
      <c r="G37" s="11" t="n"/>
      <c r="H37" s="11" t="n"/>
      <c r="I37" s="11" t="n"/>
      <c r="J37" s="11" t="n"/>
      <c r="K37" s="11" t="n"/>
    </row>
    <row r="38" ht="22" customHeight="1">
      <c r="B38" s="15">
        <f>IF(C38="","LEG-"&amp;TEXT(COUNTA($C$5:C38),"000"))</f>
        <v/>
      </c>
      <c r="C38" s="13" t="n"/>
      <c r="D38" s="13" t="n"/>
      <c r="E38" s="27" t="n"/>
      <c r="F38" s="27" t="n"/>
      <c r="G38" s="13" t="n"/>
      <c r="H38" s="13" t="n"/>
      <c r="I38" s="13" t="n"/>
      <c r="J38" s="13" t="n"/>
      <c r="K38" s="13" t="n"/>
    </row>
    <row r="39" ht="22" customHeight="1">
      <c r="B39" s="16">
        <f>IF(C39="","LEG-"&amp;TEXT(COUNTA($C$5:C39),"000"))</f>
        <v/>
      </c>
      <c r="C39" s="11" t="n"/>
      <c r="D39" s="11" t="n"/>
      <c r="E39" s="26" t="n"/>
      <c r="F39" s="26" t="n"/>
      <c r="G39" s="11" t="n"/>
      <c r="H39" s="11" t="n"/>
      <c r="I39" s="11" t="n"/>
      <c r="J39" s="11" t="n"/>
      <c r="K39" s="11" t="n"/>
    </row>
    <row r="40" ht="22" customHeight="1">
      <c r="B40" s="15">
        <f>IF(C40="","LEG-"&amp;TEXT(COUNTA($C$5:C40),"000"))</f>
        <v/>
      </c>
      <c r="C40" s="13" t="n"/>
      <c r="D40" s="13" t="n"/>
      <c r="E40" s="27" t="n"/>
      <c r="F40" s="27" t="n"/>
      <c r="G40" s="13" t="n"/>
      <c r="H40" s="13" t="n"/>
      <c r="I40" s="13" t="n"/>
      <c r="J40" s="13" t="n"/>
      <c r="K40" s="13" t="n"/>
    </row>
    <row r="41" ht="22" customHeight="1">
      <c r="B41" s="16">
        <f>IF(C41="","LEG-"&amp;TEXT(COUNTA($C$5:C41),"000"))</f>
        <v/>
      </c>
      <c r="C41" s="11" t="n"/>
      <c r="D41" s="11" t="n"/>
      <c r="E41" s="26" t="n"/>
      <c r="F41" s="26" t="n"/>
      <c r="G41" s="11" t="n"/>
      <c r="H41" s="11" t="n"/>
      <c r="I41" s="11" t="n"/>
      <c r="J41" s="11" t="n"/>
      <c r="K41" s="11" t="n"/>
    </row>
    <row r="42" ht="22" customHeight="1">
      <c r="B42" s="15">
        <f>IF(C42="","LEG-"&amp;TEXT(COUNTA($C$5:C42),"000"))</f>
        <v/>
      </c>
      <c r="C42" s="13" t="n"/>
      <c r="D42" s="13" t="n"/>
      <c r="E42" s="27" t="n"/>
      <c r="F42" s="27" t="n"/>
      <c r="G42" s="13" t="n"/>
      <c r="H42" s="13" t="n"/>
      <c r="I42" s="13" t="n"/>
      <c r="J42" s="13" t="n"/>
      <c r="K42" s="13" t="n"/>
    </row>
    <row r="43" ht="22" customHeight="1">
      <c r="B43" s="16">
        <f>IF(C43="","LEG-"&amp;TEXT(COUNTA($C$5:C43),"000"))</f>
        <v/>
      </c>
      <c r="C43" s="11" t="n"/>
      <c r="D43" s="11" t="n"/>
      <c r="E43" s="26" t="n"/>
      <c r="F43" s="26" t="n"/>
      <c r="G43" s="11" t="n"/>
      <c r="H43" s="11" t="n"/>
      <c r="I43" s="11" t="n"/>
      <c r="J43" s="11" t="n"/>
      <c r="K43" s="11" t="n"/>
    </row>
    <row r="44" ht="22" customHeight="1">
      <c r="B44" s="15">
        <f>IF(C44="","LEG-"&amp;TEXT(COUNTA($C$5:C44),"000"))</f>
        <v/>
      </c>
      <c r="C44" s="13" t="n"/>
      <c r="D44" s="13" t="n"/>
      <c r="E44" s="27" t="n"/>
      <c r="F44" s="27" t="n"/>
      <c r="G44" s="13" t="n"/>
      <c r="H44" s="13" t="n"/>
      <c r="I44" s="13" t="n"/>
      <c r="J44" s="13" t="n"/>
      <c r="K44" s="13" t="n"/>
    </row>
    <row r="45" ht="22" customHeight="1">
      <c r="B45" s="16">
        <f>IF(C45="","LEG-"&amp;TEXT(COUNTA($C$5:C45),"000"))</f>
        <v/>
      </c>
      <c r="C45" s="11" t="n"/>
      <c r="D45" s="11" t="n"/>
      <c r="E45" s="26" t="n"/>
      <c r="F45" s="26" t="n"/>
      <c r="G45" s="11" t="n"/>
      <c r="H45" s="11" t="n"/>
      <c r="I45" s="11" t="n"/>
      <c r="J45" s="11" t="n"/>
      <c r="K45" s="11" t="n"/>
    </row>
    <row r="46" ht="22" customHeight="1">
      <c r="B46" s="15">
        <f>IF(C46="","LEG-"&amp;TEXT(COUNTA($C$5:C46),"000"))</f>
        <v/>
      </c>
      <c r="C46" s="13" t="n"/>
      <c r="D46" s="13" t="n"/>
      <c r="E46" s="27" t="n"/>
      <c r="F46" s="27" t="n"/>
      <c r="G46" s="13" t="n"/>
      <c r="H46" s="13" t="n"/>
      <c r="I46" s="13" t="n"/>
      <c r="J46" s="13" t="n"/>
      <c r="K46" s="13" t="n"/>
    </row>
    <row r="47" ht="22" customHeight="1">
      <c r="B47" s="16">
        <f>IF(C47="","LEG-"&amp;TEXT(COUNTA($C$5:C47),"000"))</f>
        <v/>
      </c>
      <c r="C47" s="11" t="n"/>
      <c r="D47" s="11" t="n"/>
      <c r="E47" s="26" t="n"/>
      <c r="F47" s="26" t="n"/>
      <c r="G47" s="11" t="n"/>
      <c r="H47" s="11" t="n"/>
      <c r="I47" s="11" t="n"/>
      <c r="J47" s="11" t="n"/>
      <c r="K47" s="11" t="n"/>
    </row>
    <row r="48" ht="22" customHeight="1">
      <c r="B48" s="15">
        <f>IF(C48="","LEG-"&amp;TEXT(COUNTA($C$5:C48),"000"))</f>
        <v/>
      </c>
      <c r="C48" s="13" t="n"/>
      <c r="D48" s="13" t="n"/>
      <c r="E48" s="27" t="n"/>
      <c r="F48" s="27" t="n"/>
      <c r="G48" s="13" t="n"/>
      <c r="H48" s="13" t="n"/>
      <c r="I48" s="13" t="n"/>
      <c r="J48" s="13" t="n"/>
      <c r="K48" s="13" t="n"/>
    </row>
    <row r="49" ht="22" customHeight="1">
      <c r="B49" s="16">
        <f>IF(C49="","LEG-"&amp;TEXT(COUNTA($C$5:C49),"000"))</f>
        <v/>
      </c>
      <c r="C49" s="11" t="n"/>
      <c r="D49" s="11" t="n"/>
      <c r="E49" s="26" t="n"/>
      <c r="F49" s="26" t="n"/>
      <c r="G49" s="11" t="n"/>
      <c r="H49" s="11" t="n"/>
      <c r="I49" s="11" t="n"/>
      <c r="J49" s="11" t="n"/>
      <c r="K49" s="11" t="n"/>
    </row>
    <row r="50" ht="22" customHeight="1">
      <c r="B50" s="15">
        <f>IF(C50="","LEG-"&amp;TEXT(COUNTA($C$5:C50),"000"))</f>
        <v/>
      </c>
      <c r="C50" s="13" t="n"/>
      <c r="D50" s="13" t="n"/>
      <c r="E50" s="27" t="n"/>
      <c r="F50" s="27" t="n"/>
      <c r="G50" s="13" t="n"/>
      <c r="H50" s="13" t="n"/>
      <c r="I50" s="13" t="n"/>
      <c r="J50" s="13" t="n"/>
      <c r="K50" s="13" t="n"/>
    </row>
    <row r="51" ht="22" customHeight="1">
      <c r="B51" s="16">
        <f>IF(C51="","LEG-"&amp;TEXT(COUNTA($C$5:C51),"000"))</f>
        <v/>
      </c>
      <c r="C51" s="11" t="n"/>
      <c r="D51" s="11" t="n"/>
      <c r="E51" s="26" t="n"/>
      <c r="F51" s="26" t="n"/>
      <c r="G51" s="11" t="n"/>
      <c r="H51" s="11" t="n"/>
      <c r="I51" s="11" t="n"/>
      <c r="J51" s="11" t="n"/>
      <c r="K51" s="11" t="n"/>
    </row>
    <row r="52" ht="22" customHeight="1">
      <c r="B52" s="15">
        <f>IF(C52="","LEG-"&amp;TEXT(COUNTA($C$5:C52),"000"))</f>
        <v/>
      </c>
      <c r="C52" s="13" t="n"/>
      <c r="D52" s="13" t="n"/>
      <c r="E52" s="27" t="n"/>
      <c r="F52" s="27" t="n"/>
      <c r="G52" s="13" t="n"/>
      <c r="H52" s="13" t="n"/>
      <c r="I52" s="13" t="n"/>
      <c r="J52" s="13" t="n"/>
      <c r="K52" s="13" t="n"/>
    </row>
    <row r="53" ht="22" customHeight="1">
      <c r="B53" s="16">
        <f>IF(C53="","LEG-"&amp;TEXT(COUNTA($C$5:C53),"000"))</f>
        <v/>
      </c>
      <c r="C53" s="11" t="n"/>
      <c r="D53" s="11" t="n"/>
      <c r="E53" s="26" t="n"/>
      <c r="F53" s="26" t="n"/>
      <c r="G53" s="11" t="n"/>
      <c r="H53" s="11" t="n"/>
      <c r="I53" s="11" t="n"/>
      <c r="J53" s="11" t="n"/>
      <c r="K53" s="11" t="n"/>
    </row>
    <row r="54" ht="22" customHeight="1">
      <c r="B54" s="15">
        <f>IF(C54="","LEG-"&amp;TEXT(COUNTA($C$5:C54),"000"))</f>
        <v/>
      </c>
      <c r="C54" s="13" t="n"/>
      <c r="D54" s="13" t="n"/>
      <c r="E54" s="27" t="n"/>
      <c r="F54" s="27" t="n"/>
      <c r="G54" s="13" t="n"/>
      <c r="H54" s="13" t="n"/>
      <c r="I54" s="13" t="n"/>
      <c r="J54" s="13" t="n"/>
      <c r="K54" s="13" t="n"/>
    </row>
    <row r="55" ht="22" customHeight="1">
      <c r="B55" s="16">
        <f>IF(C55="","LEG-"&amp;TEXT(COUNTA($C$5:C55),"000"))</f>
        <v/>
      </c>
      <c r="C55" s="11" t="n"/>
      <c r="D55" s="11" t="n"/>
      <c r="E55" s="26" t="n"/>
      <c r="F55" s="26" t="n"/>
      <c r="G55" s="11" t="n"/>
      <c r="H55" s="11" t="n"/>
      <c r="I55" s="11" t="n"/>
      <c r="J55" s="11" t="n"/>
      <c r="K55" s="11" t="n"/>
    </row>
    <row r="56" ht="22" customHeight="1">
      <c r="B56" s="15">
        <f>IF(C56="","LEG-"&amp;TEXT(COUNTA($C$5:C56),"000"))</f>
        <v/>
      </c>
      <c r="C56" s="13" t="n"/>
      <c r="D56" s="13" t="n"/>
      <c r="E56" s="27" t="n"/>
      <c r="F56" s="27" t="n"/>
      <c r="G56" s="13" t="n"/>
      <c r="H56" s="13" t="n"/>
      <c r="I56" s="13" t="n"/>
      <c r="J56" s="13" t="n"/>
      <c r="K56" s="13" t="n"/>
    </row>
    <row r="57" ht="22" customHeight="1">
      <c r="B57" s="16">
        <f>IF(C57="","LEG-"&amp;TEXT(COUNTA($C$5:C57),"000"))</f>
        <v/>
      </c>
      <c r="C57" s="11" t="n"/>
      <c r="D57" s="11" t="n"/>
      <c r="E57" s="26" t="n"/>
      <c r="F57" s="26" t="n"/>
      <c r="G57" s="11" t="n"/>
      <c r="H57" s="11" t="n"/>
      <c r="I57" s="11" t="n"/>
      <c r="J57" s="11" t="n"/>
      <c r="K57" s="11" t="n"/>
    </row>
    <row r="58" ht="22" customHeight="1">
      <c r="B58" s="15">
        <f>IF(C58="","LEG-"&amp;TEXT(COUNTA($C$5:C58),"000"))</f>
        <v/>
      </c>
      <c r="C58" s="13" t="n"/>
      <c r="D58" s="13" t="n"/>
      <c r="E58" s="27" t="n"/>
      <c r="F58" s="27" t="n"/>
      <c r="G58" s="13" t="n"/>
      <c r="H58" s="13" t="n"/>
      <c r="I58" s="13" t="n"/>
      <c r="J58" s="13" t="n"/>
      <c r="K58" s="13" t="n"/>
    </row>
    <row r="59" ht="22" customHeight="1">
      <c r="B59" s="16">
        <f>IF(C59="","LEG-"&amp;TEXT(COUNTA($C$5:C59),"000"))</f>
        <v/>
      </c>
      <c r="C59" s="11" t="n"/>
      <c r="D59" s="11" t="n"/>
      <c r="E59" s="26" t="n"/>
      <c r="F59" s="26" t="n"/>
      <c r="G59" s="11" t="n"/>
      <c r="H59" s="11" t="n"/>
      <c r="I59" s="11" t="n"/>
      <c r="J59" s="11" t="n"/>
      <c r="K59" s="11" t="n"/>
    </row>
    <row r="60" ht="22" customHeight="1">
      <c r="B60" s="15">
        <f>IF(C60="","LEG-"&amp;TEXT(COUNTA($C$5:C60),"000"))</f>
        <v/>
      </c>
      <c r="C60" s="13" t="n"/>
      <c r="D60" s="13" t="n"/>
      <c r="E60" s="27" t="n"/>
      <c r="F60" s="27" t="n"/>
      <c r="G60" s="13" t="n"/>
      <c r="H60" s="13" t="n"/>
      <c r="I60" s="13" t="n"/>
      <c r="J60" s="13" t="n"/>
      <c r="K60" s="13" t="n"/>
    </row>
    <row r="61" ht="22" customHeight="1">
      <c r="B61" s="16">
        <f>IF(C61="","LEG-"&amp;TEXT(COUNTA($C$5:C61),"000"))</f>
        <v/>
      </c>
      <c r="C61" s="11" t="n"/>
      <c r="D61" s="11" t="n"/>
      <c r="E61" s="26" t="n"/>
      <c r="F61" s="26" t="n"/>
      <c r="G61" s="11" t="n"/>
      <c r="H61" s="11" t="n"/>
      <c r="I61" s="11" t="n"/>
      <c r="J61" s="11" t="n"/>
      <c r="K61" s="11" t="n"/>
    </row>
    <row r="62" ht="22" customHeight="1">
      <c r="B62" s="15">
        <f>IF(C62="","LEG-"&amp;TEXT(COUNTA($C$5:C62),"000"))</f>
        <v/>
      </c>
      <c r="C62" s="13" t="n"/>
      <c r="D62" s="13" t="n"/>
      <c r="E62" s="27" t="n"/>
      <c r="F62" s="27" t="n"/>
      <c r="G62" s="13" t="n"/>
      <c r="H62" s="13" t="n"/>
      <c r="I62" s="13" t="n"/>
      <c r="J62" s="13" t="n"/>
      <c r="K62" s="13" t="n"/>
    </row>
    <row r="63" ht="22" customHeight="1">
      <c r="B63" s="16">
        <f>IF(C63="","LEG-"&amp;TEXT(COUNTA($C$5:C63),"000"))</f>
        <v/>
      </c>
      <c r="C63" s="11" t="n"/>
      <c r="D63" s="11" t="n"/>
      <c r="E63" s="26" t="n"/>
      <c r="F63" s="26" t="n"/>
      <c r="G63" s="11" t="n"/>
      <c r="H63" s="11" t="n"/>
      <c r="I63" s="11" t="n"/>
      <c r="J63" s="11" t="n"/>
      <c r="K63" s="11" t="n"/>
    </row>
    <row r="64" ht="22" customHeight="1">
      <c r="B64" s="15">
        <f>IF(C64="","LEG-"&amp;TEXT(COUNTA($C$5:C64),"000"))</f>
        <v/>
      </c>
      <c r="C64" s="13" t="n"/>
      <c r="D64" s="13" t="n"/>
      <c r="E64" s="27" t="n"/>
      <c r="F64" s="27" t="n"/>
      <c r="G64" s="13" t="n"/>
      <c r="H64" s="13" t="n"/>
      <c r="I64" s="13" t="n"/>
      <c r="J64" s="13" t="n"/>
      <c r="K64" s="13" t="n"/>
    </row>
    <row r="65" ht="22" customHeight="1">
      <c r="B65" s="16">
        <f>IF(C65="","LEG-"&amp;TEXT(COUNTA($C$5:C65),"000"))</f>
        <v/>
      </c>
      <c r="C65" s="11" t="n"/>
      <c r="D65" s="11" t="n"/>
      <c r="E65" s="26" t="n"/>
      <c r="F65" s="26" t="n"/>
      <c r="G65" s="11" t="n"/>
      <c r="H65" s="11" t="n"/>
      <c r="I65" s="11" t="n"/>
      <c r="J65" s="11" t="n"/>
      <c r="K65" s="11" t="n"/>
    </row>
    <row r="66" ht="22" customHeight="1">
      <c r="B66" s="15">
        <f>IF(C66="","LEG-"&amp;TEXT(COUNTA($C$5:C66),"000"))</f>
        <v/>
      </c>
      <c r="C66" s="13" t="n"/>
      <c r="D66" s="13" t="n"/>
      <c r="E66" s="27" t="n"/>
      <c r="F66" s="27" t="n"/>
      <c r="G66" s="13" t="n"/>
      <c r="H66" s="13" t="n"/>
      <c r="I66" s="13" t="n"/>
      <c r="J66" s="13" t="n"/>
      <c r="K66" s="13" t="n"/>
    </row>
    <row r="67" ht="22" customHeight="1">
      <c r="B67" s="16">
        <f>IF(C67="","LEG-"&amp;TEXT(COUNTA($C$5:C67),"000"))</f>
        <v/>
      </c>
      <c r="C67" s="11" t="n"/>
      <c r="D67" s="11" t="n"/>
      <c r="E67" s="26" t="n"/>
      <c r="F67" s="26" t="n"/>
      <c r="G67" s="11" t="n"/>
      <c r="H67" s="11" t="n"/>
      <c r="I67" s="11" t="n"/>
      <c r="J67" s="11" t="n"/>
      <c r="K67" s="11" t="n"/>
    </row>
    <row r="68" ht="22" customHeight="1">
      <c r="B68" s="15">
        <f>IF(C68="","LEG-"&amp;TEXT(COUNTA($C$5:C68),"000"))</f>
        <v/>
      </c>
      <c r="C68" s="13" t="n"/>
      <c r="D68" s="13" t="n"/>
      <c r="E68" s="27" t="n"/>
      <c r="F68" s="27" t="n"/>
      <c r="G68" s="13" t="n"/>
      <c r="H68" s="13" t="n"/>
      <c r="I68" s="13" t="n"/>
      <c r="J68" s="13" t="n"/>
      <c r="K68" s="13" t="n"/>
    </row>
    <row r="69" ht="22" customHeight="1">
      <c r="B69" s="16">
        <f>IF(C69="","LEG-"&amp;TEXT(COUNTA($C$5:C69),"000"))</f>
        <v/>
      </c>
      <c r="C69" s="11" t="n"/>
      <c r="D69" s="11" t="n"/>
      <c r="E69" s="26" t="n"/>
      <c r="F69" s="26" t="n"/>
      <c r="G69" s="11" t="n"/>
      <c r="H69" s="11" t="n"/>
      <c r="I69" s="11" t="n"/>
      <c r="J69" s="11" t="n"/>
      <c r="K69" s="11" t="n"/>
    </row>
    <row r="70" ht="22" customHeight="1">
      <c r="B70" s="15">
        <f>IF(C70="","LEG-"&amp;TEXT(COUNTA($C$5:C70),"000"))</f>
        <v/>
      </c>
      <c r="C70" s="13" t="n"/>
      <c r="D70" s="13" t="n"/>
      <c r="E70" s="27" t="n"/>
      <c r="F70" s="27" t="n"/>
      <c r="G70" s="13" t="n"/>
      <c r="H70" s="13" t="n"/>
      <c r="I70" s="13" t="n"/>
      <c r="J70" s="13" t="n"/>
      <c r="K70" s="13" t="n"/>
    </row>
    <row r="71" ht="22" customHeight="1">
      <c r="B71" s="16">
        <f>IF(C71="","LEG-"&amp;TEXT(COUNTA($C$5:C71),"000"))</f>
        <v/>
      </c>
      <c r="C71" s="11" t="n"/>
      <c r="D71" s="11" t="n"/>
      <c r="E71" s="26" t="n"/>
      <c r="F71" s="26" t="n"/>
      <c r="G71" s="11" t="n"/>
      <c r="H71" s="11" t="n"/>
      <c r="I71" s="11" t="n"/>
      <c r="J71" s="11" t="n"/>
      <c r="K71" s="11" t="n"/>
    </row>
    <row r="72" ht="22" customHeight="1">
      <c r="B72" s="15">
        <f>IF(C72="","LEG-"&amp;TEXT(COUNTA($C$5:C72),"000"))</f>
        <v/>
      </c>
      <c r="C72" s="13" t="n"/>
      <c r="D72" s="13" t="n"/>
      <c r="E72" s="27" t="n"/>
      <c r="F72" s="27" t="n"/>
      <c r="G72" s="13" t="n"/>
      <c r="H72" s="13" t="n"/>
      <c r="I72" s="13" t="n"/>
      <c r="J72" s="13" t="n"/>
      <c r="K72" s="13" t="n"/>
    </row>
    <row r="73" ht="22" customHeight="1">
      <c r="B73" s="16">
        <f>IF(C73="","LEG-"&amp;TEXT(COUNTA($C$5:C73),"000"))</f>
        <v/>
      </c>
      <c r="C73" s="11" t="n"/>
      <c r="D73" s="11" t="n"/>
      <c r="E73" s="26" t="n"/>
      <c r="F73" s="26" t="n"/>
      <c r="G73" s="11" t="n"/>
      <c r="H73" s="11" t="n"/>
      <c r="I73" s="11" t="n"/>
      <c r="J73" s="11" t="n"/>
      <c r="K73" s="11" t="n"/>
    </row>
    <row r="74" ht="22" customHeight="1">
      <c r="B74" s="15">
        <f>IF(C74="","LEG-"&amp;TEXT(COUNTA($C$5:C74),"000"))</f>
        <v/>
      </c>
      <c r="C74" s="13" t="n"/>
      <c r="D74" s="13" t="n"/>
      <c r="E74" s="27" t="n"/>
      <c r="F74" s="27" t="n"/>
      <c r="G74" s="13" t="n"/>
      <c r="H74" s="13" t="n"/>
      <c r="I74" s="13" t="n"/>
      <c r="J74" s="13" t="n"/>
      <c r="K74" s="13" t="n"/>
    </row>
    <row r="75" ht="22" customHeight="1">
      <c r="B75" s="16">
        <f>IF(C75="","LEG-"&amp;TEXT(COUNTA($C$5:C75),"000"))</f>
        <v/>
      </c>
      <c r="C75" s="11" t="n"/>
      <c r="D75" s="11" t="n"/>
      <c r="E75" s="26" t="n"/>
      <c r="F75" s="26" t="n"/>
      <c r="G75" s="11" t="n"/>
      <c r="H75" s="11" t="n"/>
      <c r="I75" s="11" t="n"/>
      <c r="J75" s="11" t="n"/>
      <c r="K75" s="11" t="n"/>
    </row>
    <row r="76" ht="22" customHeight="1">
      <c r="B76" s="15">
        <f>IF(C76="","LEG-"&amp;TEXT(COUNTA($C$5:C76),"000"))</f>
        <v/>
      </c>
      <c r="C76" s="13" t="n"/>
      <c r="D76" s="13" t="n"/>
      <c r="E76" s="27" t="n"/>
      <c r="F76" s="27" t="n"/>
      <c r="G76" s="13" t="n"/>
      <c r="H76" s="13" t="n"/>
      <c r="I76" s="13" t="n"/>
      <c r="J76" s="13" t="n"/>
      <c r="K76" s="13" t="n"/>
    </row>
    <row r="77" ht="22" customHeight="1">
      <c r="B77" s="16">
        <f>IF(C77="","LEG-"&amp;TEXT(COUNTA($C$5:C77),"000"))</f>
        <v/>
      </c>
      <c r="C77" s="11" t="n"/>
      <c r="D77" s="11" t="n"/>
      <c r="E77" s="26" t="n"/>
      <c r="F77" s="26" t="n"/>
      <c r="G77" s="11" t="n"/>
      <c r="H77" s="11" t="n"/>
      <c r="I77" s="11" t="n"/>
      <c r="J77" s="11" t="n"/>
      <c r="K77" s="11" t="n"/>
    </row>
    <row r="78" ht="22" customHeight="1">
      <c r="B78" s="15">
        <f>IF(C78="","LEG-"&amp;TEXT(COUNTA($C$5:C78),"000"))</f>
        <v/>
      </c>
      <c r="C78" s="13" t="n"/>
      <c r="D78" s="13" t="n"/>
      <c r="E78" s="27" t="n"/>
      <c r="F78" s="27" t="n"/>
      <c r="G78" s="13" t="n"/>
      <c r="H78" s="13" t="n"/>
      <c r="I78" s="13" t="n"/>
      <c r="J78" s="13" t="n"/>
      <c r="K78" s="13" t="n"/>
    </row>
    <row r="79" ht="22" customHeight="1">
      <c r="B79" s="16">
        <f>IF(C79="","LEG-"&amp;TEXT(COUNTA($C$5:C79),"000"))</f>
        <v/>
      </c>
      <c r="C79" s="11" t="n"/>
      <c r="D79" s="11" t="n"/>
      <c r="E79" s="26" t="n"/>
      <c r="F79" s="26" t="n"/>
      <c r="G79" s="11" t="n"/>
      <c r="H79" s="11" t="n"/>
      <c r="I79" s="11" t="n"/>
      <c r="J79" s="11" t="n"/>
      <c r="K79" s="11" t="n"/>
    </row>
    <row r="80" ht="22" customHeight="1">
      <c r="B80" s="15">
        <f>IF(C80="","LEG-"&amp;TEXT(COUNTA($C$5:C80),"000"))</f>
        <v/>
      </c>
      <c r="C80" s="13" t="n"/>
      <c r="D80" s="13" t="n"/>
      <c r="E80" s="27" t="n"/>
      <c r="F80" s="27" t="n"/>
      <c r="G80" s="13" t="n"/>
      <c r="H80" s="13" t="n"/>
      <c r="I80" s="13" t="n"/>
      <c r="J80" s="13" t="n"/>
      <c r="K80" s="13" t="n"/>
    </row>
    <row r="81" ht="22" customHeight="1">
      <c r="B81" s="16">
        <f>IF(C81="","LEG-"&amp;TEXT(COUNTA($C$5:C81),"000"))</f>
        <v/>
      </c>
      <c r="C81" s="11" t="n"/>
      <c r="D81" s="11" t="n"/>
      <c r="E81" s="26" t="n"/>
      <c r="F81" s="26" t="n"/>
      <c r="G81" s="11" t="n"/>
      <c r="H81" s="11" t="n"/>
      <c r="I81" s="11" t="n"/>
      <c r="J81" s="11" t="n"/>
      <c r="K81" s="11" t="n"/>
    </row>
    <row r="82" ht="22" customHeight="1">
      <c r="B82" s="15">
        <f>IF(C82="","LEG-"&amp;TEXT(COUNTA($C$5:C82),"000"))</f>
        <v/>
      </c>
      <c r="C82" s="13" t="n"/>
      <c r="D82" s="13" t="n"/>
      <c r="E82" s="27" t="n"/>
      <c r="F82" s="27" t="n"/>
      <c r="G82" s="13" t="n"/>
      <c r="H82" s="13" t="n"/>
      <c r="I82" s="13" t="n"/>
      <c r="J82" s="13" t="n"/>
      <c r="K82" s="13" t="n"/>
    </row>
    <row r="83" ht="22" customHeight="1">
      <c r="B83" s="16">
        <f>IF(C83="","LEG-"&amp;TEXT(COUNTA($C$5:C83),"000"))</f>
        <v/>
      </c>
      <c r="C83" s="11" t="n"/>
      <c r="D83" s="11" t="n"/>
      <c r="E83" s="26" t="n"/>
      <c r="F83" s="26" t="n"/>
      <c r="G83" s="11" t="n"/>
      <c r="H83" s="11" t="n"/>
      <c r="I83" s="11" t="n"/>
      <c r="J83" s="11" t="n"/>
      <c r="K83" s="11" t="n"/>
    </row>
    <row r="84" ht="22" customHeight="1">
      <c r="B84" s="15">
        <f>IF(C84="","LEG-"&amp;TEXT(COUNTA($C$5:C84),"000"))</f>
        <v/>
      </c>
      <c r="C84" s="13" t="n"/>
      <c r="D84" s="13" t="n"/>
      <c r="E84" s="27" t="n"/>
      <c r="F84" s="27" t="n"/>
      <c r="G84" s="13" t="n"/>
      <c r="H84" s="13" t="n"/>
      <c r="I84" s="13" t="n"/>
      <c r="J84" s="13" t="n"/>
      <c r="K84" s="13" t="n"/>
    </row>
    <row r="85" ht="22" customHeight="1">
      <c r="B85" s="16">
        <f>IF(C85="","LEG-"&amp;TEXT(COUNTA($C$5:C85),"000"))</f>
        <v/>
      </c>
      <c r="C85" s="11" t="n"/>
      <c r="D85" s="11" t="n"/>
      <c r="E85" s="26" t="n"/>
      <c r="F85" s="26" t="n"/>
      <c r="G85" s="11" t="n"/>
      <c r="H85" s="11" t="n"/>
      <c r="I85" s="11" t="n"/>
      <c r="J85" s="11" t="n"/>
      <c r="K85" s="11" t="n"/>
    </row>
    <row r="86" ht="22" customHeight="1">
      <c r="B86" s="15">
        <f>IF(C86="","LEG-"&amp;TEXT(COUNTA($C$5:C86),"000"))</f>
        <v/>
      </c>
      <c r="C86" s="13" t="n"/>
      <c r="D86" s="13" t="n"/>
      <c r="E86" s="27" t="n"/>
      <c r="F86" s="27" t="n"/>
      <c r="G86" s="13" t="n"/>
      <c r="H86" s="13" t="n"/>
      <c r="I86" s="13" t="n"/>
      <c r="J86" s="13" t="n"/>
      <c r="K86" s="13" t="n"/>
    </row>
    <row r="87" ht="22" customHeight="1">
      <c r="B87" s="16">
        <f>IF(C87="","LEG-"&amp;TEXT(COUNTA($C$5:C87),"000"))</f>
        <v/>
      </c>
      <c r="C87" s="11" t="n"/>
      <c r="D87" s="11" t="n"/>
      <c r="E87" s="26" t="n"/>
      <c r="F87" s="26" t="n"/>
      <c r="G87" s="11" t="n"/>
      <c r="H87" s="11" t="n"/>
      <c r="I87" s="11" t="n"/>
      <c r="J87" s="11" t="n"/>
      <c r="K87" s="11" t="n"/>
    </row>
    <row r="88" ht="22" customHeight="1">
      <c r="B88" s="15">
        <f>IF(C88="","LEG-"&amp;TEXT(COUNTA($C$5:C88),"000"))</f>
        <v/>
      </c>
      <c r="C88" s="13" t="n"/>
      <c r="D88" s="13" t="n"/>
      <c r="E88" s="27" t="n"/>
      <c r="F88" s="27" t="n"/>
      <c r="G88" s="13" t="n"/>
      <c r="H88" s="13" t="n"/>
      <c r="I88" s="13" t="n"/>
      <c r="J88" s="13" t="n"/>
      <c r="K88" s="13" t="n"/>
    </row>
    <row r="89" ht="22" customHeight="1">
      <c r="B89" s="16">
        <f>IF(C89="","LEG-"&amp;TEXT(COUNTA($C$5:C89),"000"))</f>
        <v/>
      </c>
      <c r="C89" s="11" t="n"/>
      <c r="D89" s="11" t="n"/>
      <c r="E89" s="26" t="n"/>
      <c r="F89" s="26" t="n"/>
      <c r="G89" s="11" t="n"/>
      <c r="H89" s="11" t="n"/>
      <c r="I89" s="11" t="n"/>
      <c r="J89" s="11" t="n"/>
      <c r="K89" s="11" t="n"/>
    </row>
    <row r="90" ht="22" customHeight="1">
      <c r="B90" s="15">
        <f>IF(C90="","LEG-"&amp;TEXT(COUNTA($C$5:C90),"000"))</f>
        <v/>
      </c>
      <c r="C90" s="13" t="n"/>
      <c r="D90" s="13" t="n"/>
      <c r="E90" s="27" t="n"/>
      <c r="F90" s="27" t="n"/>
      <c r="G90" s="13" t="n"/>
      <c r="H90" s="13" t="n"/>
      <c r="I90" s="13" t="n"/>
      <c r="J90" s="13" t="n"/>
      <c r="K90" s="13" t="n"/>
    </row>
    <row r="91" ht="22" customHeight="1">
      <c r="B91" s="16">
        <f>IF(C91="","LEG-"&amp;TEXT(COUNTA($C$5:C91),"000"))</f>
        <v/>
      </c>
      <c r="C91" s="11" t="n"/>
      <c r="D91" s="11" t="n"/>
      <c r="E91" s="26" t="n"/>
      <c r="F91" s="26" t="n"/>
      <c r="G91" s="11" t="n"/>
      <c r="H91" s="11" t="n"/>
      <c r="I91" s="11" t="n"/>
      <c r="J91" s="11" t="n"/>
      <c r="K91" s="11" t="n"/>
    </row>
    <row r="92" ht="22" customHeight="1">
      <c r="B92" s="15">
        <f>IF(C92="","LEG-"&amp;TEXT(COUNTA($C$5:C92),"000"))</f>
        <v/>
      </c>
      <c r="C92" s="13" t="n"/>
      <c r="D92" s="13" t="n"/>
      <c r="E92" s="27" t="n"/>
      <c r="F92" s="27" t="n"/>
      <c r="G92" s="13" t="n"/>
      <c r="H92" s="13" t="n"/>
      <c r="I92" s="13" t="n"/>
      <c r="J92" s="13" t="n"/>
      <c r="K92" s="13" t="n"/>
    </row>
    <row r="93" ht="22" customHeight="1">
      <c r="B93" s="16">
        <f>IF(C93="","LEG-"&amp;TEXT(COUNTA($C$5:C93),"000"))</f>
        <v/>
      </c>
      <c r="C93" s="11" t="n"/>
      <c r="D93" s="11" t="n"/>
      <c r="E93" s="26" t="n"/>
      <c r="F93" s="26" t="n"/>
      <c r="G93" s="11" t="n"/>
      <c r="H93" s="11" t="n"/>
      <c r="I93" s="11" t="n"/>
      <c r="J93" s="11" t="n"/>
      <c r="K93" s="11" t="n"/>
    </row>
    <row r="94" ht="22" customHeight="1">
      <c r="B94" s="15">
        <f>IF(C94="","LEG-"&amp;TEXT(COUNTA($C$5:C94),"000"))</f>
        <v/>
      </c>
      <c r="C94" s="13" t="n"/>
      <c r="D94" s="13" t="n"/>
      <c r="E94" s="27" t="n"/>
      <c r="F94" s="27" t="n"/>
      <c r="G94" s="13" t="n"/>
      <c r="H94" s="13" t="n"/>
      <c r="I94" s="13" t="n"/>
      <c r="J94" s="13" t="n"/>
      <c r="K94" s="13" t="n"/>
    </row>
    <row r="95" ht="22" customHeight="1">
      <c r="B95" s="16">
        <f>IF(C95="","LEG-"&amp;TEXT(COUNTA($C$5:C95),"000"))</f>
        <v/>
      </c>
      <c r="C95" s="11" t="n"/>
      <c r="D95" s="11" t="n"/>
      <c r="E95" s="26" t="n"/>
      <c r="F95" s="26" t="n"/>
      <c r="G95" s="11" t="n"/>
      <c r="H95" s="11" t="n"/>
      <c r="I95" s="11" t="n"/>
      <c r="J95" s="11" t="n"/>
      <c r="K95" s="11" t="n"/>
    </row>
    <row r="96" ht="22" customHeight="1">
      <c r="B96" s="15">
        <f>IF(C96="","LEG-"&amp;TEXT(COUNTA($C$5:C96),"000"))</f>
        <v/>
      </c>
      <c r="C96" s="13" t="n"/>
      <c r="D96" s="13" t="n"/>
      <c r="E96" s="27" t="n"/>
      <c r="F96" s="27" t="n"/>
      <c r="G96" s="13" t="n"/>
      <c r="H96" s="13" t="n"/>
      <c r="I96" s="13" t="n"/>
      <c r="J96" s="13" t="n"/>
      <c r="K96" s="13" t="n"/>
    </row>
    <row r="97" ht="22" customHeight="1">
      <c r="B97" s="16">
        <f>IF(C97="","LEG-"&amp;TEXT(COUNTA($C$5:C97),"000"))</f>
        <v/>
      </c>
      <c r="C97" s="11" t="n"/>
      <c r="D97" s="11" t="n"/>
      <c r="E97" s="26" t="n"/>
      <c r="F97" s="26" t="n"/>
      <c r="G97" s="11" t="n"/>
      <c r="H97" s="11" t="n"/>
      <c r="I97" s="11" t="n"/>
      <c r="J97" s="11" t="n"/>
      <c r="K97" s="11" t="n"/>
    </row>
    <row r="98" ht="22" customHeight="1">
      <c r="B98" s="15">
        <f>IF(C98="","LEG-"&amp;TEXT(COUNTA($C$5:C98),"000"))</f>
        <v/>
      </c>
      <c r="C98" s="13" t="n"/>
      <c r="D98" s="13" t="n"/>
      <c r="E98" s="27" t="n"/>
      <c r="F98" s="27" t="n"/>
      <c r="G98" s="13" t="n"/>
      <c r="H98" s="13" t="n"/>
      <c r="I98" s="13" t="n"/>
      <c r="J98" s="13" t="n"/>
      <c r="K98" s="13" t="n"/>
    </row>
    <row r="99" ht="22" customHeight="1">
      <c r="B99" s="16">
        <f>IF(C99="","LEG-"&amp;TEXT(COUNTA($C$5:C99),"000"))</f>
        <v/>
      </c>
      <c r="C99" s="11" t="n"/>
      <c r="D99" s="11" t="n"/>
      <c r="E99" s="26" t="n"/>
      <c r="F99" s="26" t="n"/>
      <c r="G99" s="11" t="n"/>
      <c r="H99" s="11" t="n"/>
      <c r="I99" s="11" t="n"/>
      <c r="J99" s="11" t="n"/>
      <c r="K99" s="11" t="n"/>
    </row>
    <row r="100" ht="22" customHeight="1">
      <c r="B100" s="15">
        <f>IF(C100="","LEG-"&amp;TEXT(COUNTA($C$5:C100),"000"))</f>
        <v/>
      </c>
      <c r="C100" s="13" t="n"/>
      <c r="D100" s="13" t="n"/>
      <c r="E100" s="27" t="n"/>
      <c r="F100" s="27" t="n"/>
      <c r="G100" s="13" t="n"/>
      <c r="H100" s="13" t="n"/>
      <c r="I100" s="13" t="n"/>
      <c r="J100" s="13" t="n"/>
      <c r="K100" s="13" t="n"/>
    </row>
    <row r="101" ht="22" customHeight="1">
      <c r="B101" s="16">
        <f>IF(C101="","LEG-"&amp;TEXT(COUNTA($C$5:C101),"000"))</f>
        <v/>
      </c>
      <c r="C101" s="11" t="n"/>
      <c r="D101" s="11" t="n"/>
      <c r="E101" s="26" t="n"/>
      <c r="F101" s="26" t="n"/>
      <c r="G101" s="11" t="n"/>
      <c r="H101" s="11" t="n"/>
      <c r="I101" s="11" t="n"/>
      <c r="J101" s="11" t="n"/>
      <c r="K101" s="11" t="n"/>
    </row>
    <row r="102" ht="22" customHeight="1">
      <c r="B102" s="15">
        <f>IF(C102="","LEG-"&amp;TEXT(COUNTA($C$5:C102),"000"))</f>
        <v/>
      </c>
      <c r="C102" s="13" t="n"/>
      <c r="D102" s="13" t="n"/>
      <c r="E102" s="27" t="n"/>
      <c r="F102" s="27" t="n"/>
      <c r="G102" s="13" t="n"/>
      <c r="H102" s="13" t="n"/>
      <c r="I102" s="13" t="n"/>
      <c r="J102" s="13" t="n"/>
      <c r="K102" s="13" t="n"/>
    </row>
    <row r="103" ht="22" customHeight="1">
      <c r="B103" s="16">
        <f>IF(C103="","LEG-"&amp;TEXT(COUNTA($C$5:C103),"000"))</f>
        <v/>
      </c>
      <c r="C103" s="11" t="n"/>
      <c r="D103" s="11" t="n"/>
      <c r="E103" s="26" t="n"/>
      <c r="F103" s="26" t="n"/>
      <c r="G103" s="11" t="n"/>
      <c r="H103" s="11" t="n"/>
      <c r="I103" s="11" t="n"/>
      <c r="J103" s="11" t="n"/>
      <c r="K103" s="11" t="n"/>
    </row>
    <row r="104" ht="22" customHeight="1">
      <c r="B104" s="15">
        <f>IF(C104="","LEG-"&amp;TEXT(COUNTA($C$5:C104),"000"))</f>
        <v/>
      </c>
      <c r="C104" s="13" t="n"/>
      <c r="D104" s="13" t="n"/>
      <c r="E104" s="27" t="n"/>
      <c r="F104" s="27" t="n"/>
      <c r="G104" s="13" t="n"/>
      <c r="H104" s="13" t="n"/>
      <c r="I104" s="13" t="n"/>
      <c r="J104" s="13" t="n"/>
      <c r="K104" s="13" t="n"/>
    </row>
    <row r="105" ht="22" customHeight="1">
      <c r="B105" s="16">
        <f>IF(C105="","LEG-"&amp;TEXT(COUNTA($C$5:C105),"000"))</f>
        <v/>
      </c>
      <c r="C105" s="11" t="n"/>
      <c r="D105" s="11" t="n"/>
      <c r="E105" s="26" t="n"/>
      <c r="F105" s="26" t="n"/>
      <c r="G105" s="11" t="n"/>
      <c r="H105" s="11" t="n"/>
      <c r="I105" s="11" t="n"/>
      <c r="J105" s="11" t="n"/>
      <c r="K105" s="11" t="n"/>
    </row>
    <row r="106" ht="22" customHeight="1">
      <c r="B106" s="15">
        <f>IF(C106="","LEG-"&amp;TEXT(COUNTA($C$5:C106),"000"))</f>
        <v/>
      </c>
      <c r="C106" s="13" t="n"/>
      <c r="D106" s="13" t="n"/>
      <c r="E106" s="27" t="n"/>
      <c r="F106" s="27" t="n"/>
      <c r="G106" s="13" t="n"/>
      <c r="H106" s="13" t="n"/>
      <c r="I106" s="13" t="n"/>
      <c r="J106" s="13" t="n"/>
      <c r="K106" s="13" t="n"/>
    </row>
    <row r="107" ht="22" customHeight="1">
      <c r="B107" s="16">
        <f>IF(C107="","LEG-"&amp;TEXT(COUNTA($C$5:C107),"000"))</f>
        <v/>
      </c>
      <c r="C107" s="11" t="n"/>
      <c r="D107" s="11" t="n"/>
      <c r="E107" s="26" t="n"/>
      <c r="F107" s="26" t="n"/>
      <c r="G107" s="11" t="n"/>
      <c r="H107" s="11" t="n"/>
      <c r="I107" s="11" t="n"/>
      <c r="J107" s="11" t="n"/>
      <c r="K107" s="11" t="n"/>
    </row>
    <row r="108" ht="22" customHeight="1">
      <c r="B108" s="15">
        <f>IF(C108="","LEG-"&amp;TEXT(COUNTA($C$5:C108),"000"))</f>
        <v/>
      </c>
      <c r="C108" s="13" t="n"/>
      <c r="D108" s="13" t="n"/>
      <c r="E108" s="27" t="n"/>
      <c r="F108" s="27" t="n"/>
      <c r="G108" s="13" t="n"/>
      <c r="H108" s="13" t="n"/>
      <c r="I108" s="13" t="n"/>
      <c r="J108" s="13" t="n"/>
      <c r="K108" s="13" t="n"/>
    </row>
    <row r="109" ht="22" customHeight="1">
      <c r="B109" s="16">
        <f>IF(C109="","LEG-"&amp;TEXT(COUNTA($C$5:C109),"000"))</f>
        <v/>
      </c>
      <c r="C109" s="11" t="n"/>
      <c r="D109" s="11" t="n"/>
      <c r="E109" s="26" t="n"/>
      <c r="F109" s="26" t="n"/>
      <c r="G109" s="11" t="n"/>
      <c r="H109" s="11" t="n"/>
      <c r="I109" s="11" t="n"/>
      <c r="J109" s="11" t="n"/>
      <c r="K109" s="11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Textes suivis</t>
        </is>
      </c>
      <c r="D112" s="3" t="inlineStr">
        <is>
          <t>En cours</t>
        </is>
      </c>
      <c r="F112" s="3" t="inlineStr">
        <is>
          <t>Termine</t>
        </is>
      </c>
    </row>
    <row r="113">
      <c r="B113" s="4">
        <f>COUNTIF(B5:B104,"&lt;&gt;")</f>
        <v/>
      </c>
      <c r="D113" s="4">
        <f>COUNTIF(J5:J104,"En cours")</f>
        <v/>
      </c>
      <c r="F113" s="4">
        <f>COUNTIF(J5:J104,"Termine")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conditionalFormatting sqref="K10:K109">
    <cfRule type="expression" priority="202" dxfId="3">
      <formula>AND($C10="",$C9&lt;&gt;"")</formula>
    </cfRule>
  </conditionalFormatting>
  <dataValidations count="3">
    <dataValidation sqref="C5:C109" showDropDown="0" showInputMessage="0" showErrorMessage="0" allowBlank="1" errorTitle="Erreur" error="Valeur invalide" promptTitle="Liste" prompt="Choisir dans la liste" type="list">
      <formula1>'_Lists'!$L$2:$L$8</formula1>
    </dataValidation>
    <dataValidation sqref="D5:D109" showDropDown="0" showInputMessage="0" showErrorMessage="0" allowBlank="1" errorTitle="Erreur" error="Valeur invalide" promptTitle="Liste" prompt="Choisir dans la liste" type="list">
      <formula1>'_Lists'!$M$2:$M$11</formula1>
    </dataValidation>
    <dataValidation sqref="J5:J109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20" customWidth="1" min="5" max="5"/>
    <col width="16" customWidth="1" min="6" max="6"/>
    <col width="12" customWidth="1" min="7" max="7"/>
    <col width="16" customWidth="1" min="8" max="8"/>
    <col width="20" customWidth="1" min="9" max="9"/>
    <col width="40" customWidth="1" min="10" max="10"/>
    <col width="40" customWidth="1" min="11" max="11"/>
  </cols>
  <sheetData>
    <row r="1" ht="15" customHeight="1"/>
    <row r="2" ht="32" customHeight="1">
      <c r="B2" s="1" t="inlineStr">
        <is>
          <t>AUDIT CONFORMITÉ RH (#123)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Domaine Audit</t>
        </is>
      </c>
      <c r="D4" s="10" t="inlineStr">
        <is>
          <t>Date Audit</t>
        </is>
      </c>
      <c r="E4" s="10" t="inlineStr">
        <is>
          <t>Auditeur</t>
        </is>
      </c>
      <c r="F4" s="10" t="inlineStr">
        <is>
          <t>Points Controles</t>
        </is>
      </c>
      <c r="G4" s="10" t="inlineStr">
        <is>
          <t>Conformes</t>
        </is>
      </c>
      <c r="H4" s="10" t="inlineStr">
        <is>
          <t>Non Conformes</t>
        </is>
      </c>
      <c r="I4" s="10" t="inlineStr">
        <is>
          <t>Taux Conformite (%)</t>
        </is>
      </c>
      <c r="J4" s="10" t="inlineStr">
        <is>
          <t>Observations</t>
        </is>
      </c>
      <c r="K4" s="10" t="inlineStr">
        <is>
          <t>Plan Action</t>
        </is>
      </c>
    </row>
    <row r="5" ht="22" customHeight="1">
      <c r="B5" s="11" t="inlineStr">
        <is>
          <t>AUD-001</t>
        </is>
      </c>
      <c r="C5" s="11" t="inlineStr">
        <is>
          <t>Contrats de travail</t>
        </is>
      </c>
      <c r="D5" s="26" t="n">
        <v>45677</v>
      </c>
      <c r="E5" s="11" t="inlineStr">
        <is>
          <t>DRH Fotso M.</t>
        </is>
      </c>
      <c r="F5" s="22" t="n">
        <v>25</v>
      </c>
      <c r="G5" s="22" t="n">
        <v>22</v>
      </c>
      <c r="H5" s="22" t="n">
        <v>3</v>
      </c>
      <c r="I5" s="28" t="n"/>
      <c r="J5" s="11" t="inlineStr">
        <is>
          <t>3 CDD sans contrat ecrit formel</t>
        </is>
      </c>
      <c r="K5" s="11" t="inlineStr">
        <is>
          <t>Regulariser sous 30 jours</t>
        </is>
      </c>
    </row>
    <row r="6" ht="22" customHeight="1">
      <c r="B6" s="13" t="inlineStr">
        <is>
          <t>AUD-002</t>
        </is>
      </c>
      <c r="C6" s="13" t="inlineStr">
        <is>
          <t>Declarations sociales</t>
        </is>
      </c>
      <c r="D6" s="27" t="n">
        <v>45703</v>
      </c>
      <c r="E6" s="13" t="inlineStr">
        <is>
          <t>DAF + DRH</t>
        </is>
      </c>
      <c r="F6" s="24" t="n">
        <v>12</v>
      </c>
      <c r="G6" s="24" t="n">
        <v>10</v>
      </c>
      <c r="H6" s="24" t="n">
        <v>2</v>
      </c>
      <c r="I6" s="29" t="n"/>
      <c r="J6" s="13" t="inlineStr">
        <is>
          <t>2 declarations CNPS en retard fevrier</t>
        </is>
      </c>
      <c r="K6" s="13" t="inlineStr">
        <is>
          <t>Mettre en place echeancier automatique</t>
        </is>
      </c>
    </row>
    <row r="7" ht="22" customHeight="1">
      <c r="B7" s="11" t="inlineStr">
        <is>
          <t>AUD-003</t>
        </is>
      </c>
      <c r="C7" s="11" t="inlineStr">
        <is>
          <t>Hygiene securite cuisine</t>
        </is>
      </c>
      <c r="D7" s="26" t="n">
        <v>45726</v>
      </c>
      <c r="E7" s="11" t="inlineStr">
        <is>
          <t>Chef Cuisine + Securite</t>
        </is>
      </c>
      <c r="F7" s="22" t="n">
        <v>30</v>
      </c>
      <c r="G7" s="22" t="n">
        <v>26</v>
      </c>
      <c r="H7" s="22" t="n">
        <v>4</v>
      </c>
      <c r="I7" s="28" t="n"/>
      <c r="J7" s="11" t="inlineStr">
        <is>
          <t>EPI manquants, formation HACCP incomplete</t>
        </is>
      </c>
      <c r="K7" s="11" t="inlineStr">
        <is>
          <t>Commander EPI + planifier formation</t>
        </is>
      </c>
    </row>
    <row r="8" ht="22" customHeight="1">
      <c r="B8" s="13" t="inlineStr">
        <is>
          <t>AUD-004</t>
        </is>
      </c>
      <c r="C8" s="13" t="inlineStr">
        <is>
          <t>Registres obligatoires</t>
        </is>
      </c>
      <c r="D8" s="27" t="n">
        <v>45752</v>
      </c>
      <c r="E8" s="13" t="inlineStr">
        <is>
          <t>DRH Fotso M.</t>
        </is>
      </c>
      <c r="F8" s="24" t="n">
        <v>15</v>
      </c>
      <c r="G8" s="24" t="n">
        <v>14</v>
      </c>
      <c r="H8" s="24" t="n">
        <v>1</v>
      </c>
      <c r="I8" s="29" t="n"/>
      <c r="J8" s="13" t="inlineStr">
        <is>
          <t>Registre unique du personnel incomplet</t>
        </is>
      </c>
      <c r="K8" s="13" t="inlineStr">
        <is>
          <t>Mettre a jour registre sous 15 jours</t>
        </is>
      </c>
    </row>
    <row r="9" ht="22" customHeight="1">
      <c r="B9" s="11" t="inlineStr">
        <is>
          <t>AUD-005</t>
        </is>
      </c>
      <c r="C9" s="11" t="inlineStr">
        <is>
          <t>Duree du travail</t>
        </is>
      </c>
      <c r="D9" s="26" t="n">
        <v>45778</v>
      </c>
      <c r="E9" s="11" t="inlineStr">
        <is>
          <t>DRH + DAF</t>
        </is>
      </c>
      <c r="F9" s="22" t="n">
        <v>20</v>
      </c>
      <c r="G9" s="22" t="n">
        <v>17</v>
      </c>
      <c r="H9" s="22" t="n">
        <v>3</v>
      </c>
      <c r="I9" s="28" t="n"/>
      <c r="J9" s="11" t="inlineStr">
        <is>
          <t>Depassement heures cuisine et entretien</t>
        </is>
      </c>
      <c r="K9" s="11" t="inlineStr">
        <is>
          <t>Reviser plannings + recruter renfort</t>
        </is>
      </c>
    </row>
    <row r="10" ht="22" customHeight="1">
      <c r="B10" s="15">
        <f>IF(C10="","AUD-"&amp;TEXT(COUNTA($C$5:C10),"000"))</f>
        <v/>
      </c>
      <c r="C10" s="13" t="n"/>
      <c r="D10" s="27" t="n"/>
      <c r="E10" s="13" t="n"/>
      <c r="F10" s="24" t="n"/>
      <c r="G10" s="24" t="n"/>
      <c r="H10" s="24" t="n"/>
      <c r="I10" s="29">
        <f>IF(OR(F10="",F10=0),"",G10/F10)</f>
        <v/>
      </c>
      <c r="J10" s="13" t="n"/>
      <c r="K10" s="13" t="n"/>
    </row>
    <row r="11" ht="22" customHeight="1">
      <c r="B11" s="16">
        <f>IF(C11="","AUD-"&amp;TEXT(COUNTA($C$5:C11),"000"))</f>
        <v/>
      </c>
      <c r="C11" s="11" t="n"/>
      <c r="D11" s="26" t="n"/>
      <c r="E11" s="11" t="n"/>
      <c r="F11" s="22" t="n"/>
      <c r="G11" s="22" t="n"/>
      <c r="H11" s="22" t="n"/>
      <c r="I11" s="28">
        <f>IF(OR(F11="",F11=0),"",G11/F11)</f>
        <v/>
      </c>
      <c r="J11" s="11" t="n"/>
      <c r="K11" s="11" t="n"/>
    </row>
    <row r="12" ht="22" customHeight="1">
      <c r="B12" s="15">
        <f>IF(C12="","AUD-"&amp;TEXT(COUNTA($C$5:C12),"000"))</f>
        <v/>
      </c>
      <c r="C12" s="13" t="n"/>
      <c r="D12" s="27" t="n"/>
      <c r="E12" s="13" t="n"/>
      <c r="F12" s="24" t="n"/>
      <c r="G12" s="24" t="n"/>
      <c r="H12" s="24" t="n"/>
      <c r="I12" s="29">
        <f>IF(OR(F12="",F12=0),"",G12/F12)</f>
        <v/>
      </c>
      <c r="J12" s="13" t="n"/>
      <c r="K12" s="13" t="n"/>
    </row>
    <row r="13" ht="22" customHeight="1">
      <c r="B13" s="16">
        <f>IF(C13="","AUD-"&amp;TEXT(COUNTA($C$5:C13),"000"))</f>
        <v/>
      </c>
      <c r="C13" s="11" t="n"/>
      <c r="D13" s="26" t="n"/>
      <c r="E13" s="11" t="n"/>
      <c r="F13" s="22" t="n"/>
      <c r="G13" s="22" t="n"/>
      <c r="H13" s="22" t="n"/>
      <c r="I13" s="28">
        <f>IF(OR(F13="",F13=0),"",G13/F13)</f>
        <v/>
      </c>
      <c r="J13" s="11" t="n"/>
      <c r="K13" s="11" t="n"/>
    </row>
    <row r="14" ht="22" customHeight="1">
      <c r="B14" s="15">
        <f>IF(C14="","AUD-"&amp;TEXT(COUNTA($C$5:C14),"000"))</f>
        <v/>
      </c>
      <c r="C14" s="13" t="n"/>
      <c r="D14" s="27" t="n"/>
      <c r="E14" s="13" t="n"/>
      <c r="F14" s="24" t="n"/>
      <c r="G14" s="24" t="n"/>
      <c r="H14" s="24" t="n"/>
      <c r="I14" s="29">
        <f>IF(OR(F14="",F14=0),"",G14/F14)</f>
        <v/>
      </c>
      <c r="J14" s="13" t="n"/>
      <c r="K14" s="13" t="n"/>
    </row>
    <row r="15" ht="22" customHeight="1">
      <c r="B15" s="16">
        <f>IF(C15="","AUD-"&amp;TEXT(COUNTA($C$5:C15),"000"))</f>
        <v/>
      </c>
      <c r="C15" s="11" t="n"/>
      <c r="D15" s="26" t="n"/>
      <c r="E15" s="11" t="n"/>
      <c r="F15" s="22" t="n"/>
      <c r="G15" s="22" t="n"/>
      <c r="H15" s="22" t="n"/>
      <c r="I15" s="28">
        <f>IF(OR(F15="",F15=0),"",G15/F15)</f>
        <v/>
      </c>
      <c r="J15" s="11" t="n"/>
      <c r="K15" s="11" t="n"/>
    </row>
    <row r="16" ht="22" customHeight="1">
      <c r="B16" s="15">
        <f>IF(C16="","AUD-"&amp;TEXT(COUNTA($C$5:C16),"000"))</f>
        <v/>
      </c>
      <c r="C16" s="13" t="n"/>
      <c r="D16" s="27" t="n"/>
      <c r="E16" s="13" t="n"/>
      <c r="F16" s="24" t="n"/>
      <c r="G16" s="24" t="n"/>
      <c r="H16" s="24" t="n"/>
      <c r="I16" s="29">
        <f>IF(OR(F16="",F16=0),"",G16/F16)</f>
        <v/>
      </c>
      <c r="J16" s="13" t="n"/>
      <c r="K16" s="13" t="n"/>
    </row>
    <row r="17" ht="22" customHeight="1">
      <c r="B17" s="16">
        <f>IF(C17="","AUD-"&amp;TEXT(COUNTA($C$5:C17),"000"))</f>
        <v/>
      </c>
      <c r="C17" s="11" t="n"/>
      <c r="D17" s="26" t="n"/>
      <c r="E17" s="11" t="n"/>
      <c r="F17" s="22" t="n"/>
      <c r="G17" s="22" t="n"/>
      <c r="H17" s="22" t="n"/>
      <c r="I17" s="28">
        <f>IF(OR(F17="",F17=0),"",G17/F17)</f>
        <v/>
      </c>
      <c r="J17" s="11" t="n"/>
      <c r="K17" s="11" t="n"/>
    </row>
    <row r="18" ht="22" customHeight="1">
      <c r="B18" s="15">
        <f>IF(C18="","AUD-"&amp;TEXT(COUNTA($C$5:C18),"000"))</f>
        <v/>
      </c>
      <c r="C18" s="13" t="n"/>
      <c r="D18" s="27" t="n"/>
      <c r="E18" s="13" t="n"/>
      <c r="F18" s="24" t="n"/>
      <c r="G18" s="24" t="n"/>
      <c r="H18" s="24" t="n"/>
      <c r="I18" s="29">
        <f>IF(OR(F18="",F18=0),"",G18/F18)</f>
        <v/>
      </c>
      <c r="J18" s="13" t="n"/>
      <c r="K18" s="13" t="n"/>
    </row>
    <row r="19" ht="22" customHeight="1">
      <c r="B19" s="16">
        <f>IF(C19="","AUD-"&amp;TEXT(COUNTA($C$5:C19),"000"))</f>
        <v/>
      </c>
      <c r="C19" s="11" t="n"/>
      <c r="D19" s="26" t="n"/>
      <c r="E19" s="11" t="n"/>
      <c r="F19" s="22" t="n"/>
      <c r="G19" s="22" t="n"/>
      <c r="H19" s="22" t="n"/>
      <c r="I19" s="28">
        <f>IF(OR(F19="",F19=0),"",G19/F19)</f>
        <v/>
      </c>
      <c r="J19" s="11" t="n"/>
      <c r="K19" s="11" t="n"/>
    </row>
    <row r="20" ht="22" customHeight="1">
      <c r="B20" s="15">
        <f>IF(C20="","AUD-"&amp;TEXT(COUNTA($C$5:C20),"000"))</f>
        <v/>
      </c>
      <c r="C20" s="13" t="n"/>
      <c r="D20" s="27" t="n"/>
      <c r="E20" s="13" t="n"/>
      <c r="F20" s="24" t="n"/>
      <c r="G20" s="24" t="n"/>
      <c r="H20" s="24" t="n"/>
      <c r="I20" s="29">
        <f>IF(OR(F20="",F20=0),"",G20/F20)</f>
        <v/>
      </c>
      <c r="J20" s="13" t="n"/>
      <c r="K20" s="13" t="n"/>
    </row>
    <row r="21" ht="22" customHeight="1">
      <c r="B21" s="16">
        <f>IF(C21="","AUD-"&amp;TEXT(COUNTA($C$5:C21),"000"))</f>
        <v/>
      </c>
      <c r="C21" s="11" t="n"/>
      <c r="D21" s="26" t="n"/>
      <c r="E21" s="11" t="n"/>
      <c r="F21" s="22" t="n"/>
      <c r="G21" s="22" t="n"/>
      <c r="H21" s="22" t="n"/>
      <c r="I21" s="28">
        <f>IF(OR(F21="",F21=0),"",G21/F21)</f>
        <v/>
      </c>
      <c r="J21" s="11" t="n"/>
      <c r="K21" s="11" t="n"/>
    </row>
    <row r="22" ht="22" customHeight="1">
      <c r="B22" s="15">
        <f>IF(C22="","AUD-"&amp;TEXT(COUNTA($C$5:C22),"000"))</f>
        <v/>
      </c>
      <c r="C22" s="13" t="n"/>
      <c r="D22" s="27" t="n"/>
      <c r="E22" s="13" t="n"/>
      <c r="F22" s="24" t="n"/>
      <c r="G22" s="24" t="n"/>
      <c r="H22" s="24" t="n"/>
      <c r="I22" s="29">
        <f>IF(OR(F22="",F22=0),"",G22/F22)</f>
        <v/>
      </c>
      <c r="J22" s="13" t="n"/>
      <c r="K22" s="13" t="n"/>
    </row>
    <row r="23" ht="22" customHeight="1">
      <c r="B23" s="16">
        <f>IF(C23="","AUD-"&amp;TEXT(COUNTA($C$5:C23),"000"))</f>
        <v/>
      </c>
      <c r="C23" s="11" t="n"/>
      <c r="D23" s="26" t="n"/>
      <c r="E23" s="11" t="n"/>
      <c r="F23" s="22" t="n"/>
      <c r="G23" s="22" t="n"/>
      <c r="H23" s="22" t="n"/>
      <c r="I23" s="28">
        <f>IF(OR(F23="",F23=0),"",G23/F23)</f>
        <v/>
      </c>
      <c r="J23" s="11" t="n"/>
      <c r="K23" s="11" t="n"/>
    </row>
    <row r="24" ht="22" customHeight="1">
      <c r="B24" s="15">
        <f>IF(C24="","AUD-"&amp;TEXT(COUNTA($C$5:C24),"000"))</f>
        <v/>
      </c>
      <c r="C24" s="13" t="n"/>
      <c r="D24" s="27" t="n"/>
      <c r="E24" s="13" t="n"/>
      <c r="F24" s="24" t="n"/>
      <c r="G24" s="24" t="n"/>
      <c r="H24" s="24" t="n"/>
      <c r="I24" s="29">
        <f>IF(OR(F24="",F24=0),"",G24/F24)</f>
        <v/>
      </c>
      <c r="J24" s="13" t="n"/>
      <c r="K24" s="13" t="n"/>
    </row>
    <row r="25" ht="22" customHeight="1">
      <c r="B25" s="16">
        <f>IF(C25="","AUD-"&amp;TEXT(COUNTA($C$5:C25),"000"))</f>
        <v/>
      </c>
      <c r="C25" s="11" t="n"/>
      <c r="D25" s="26" t="n"/>
      <c r="E25" s="11" t="n"/>
      <c r="F25" s="22" t="n"/>
      <c r="G25" s="22" t="n"/>
      <c r="H25" s="22" t="n"/>
      <c r="I25" s="28">
        <f>IF(OR(F25="",F25=0),"",G25/F25)</f>
        <v/>
      </c>
      <c r="J25" s="11" t="n"/>
      <c r="K25" s="11" t="n"/>
    </row>
    <row r="26" ht="22" customHeight="1">
      <c r="B26" s="15">
        <f>IF(C26="","AUD-"&amp;TEXT(COUNTA($C$5:C26),"000"))</f>
        <v/>
      </c>
      <c r="C26" s="13" t="n"/>
      <c r="D26" s="27" t="n"/>
      <c r="E26" s="13" t="n"/>
      <c r="F26" s="24" t="n"/>
      <c r="G26" s="24" t="n"/>
      <c r="H26" s="24" t="n"/>
      <c r="I26" s="29">
        <f>IF(OR(F26="",F26=0),"",G26/F26)</f>
        <v/>
      </c>
      <c r="J26" s="13" t="n"/>
      <c r="K26" s="13" t="n"/>
    </row>
    <row r="27" ht="22" customHeight="1">
      <c r="B27" s="16">
        <f>IF(C27="","AUD-"&amp;TEXT(COUNTA($C$5:C27),"000"))</f>
        <v/>
      </c>
      <c r="C27" s="11" t="n"/>
      <c r="D27" s="26" t="n"/>
      <c r="E27" s="11" t="n"/>
      <c r="F27" s="22" t="n"/>
      <c r="G27" s="22" t="n"/>
      <c r="H27" s="22" t="n"/>
      <c r="I27" s="28">
        <f>IF(OR(F27="",F27=0),"",G27/F27)</f>
        <v/>
      </c>
      <c r="J27" s="11" t="n"/>
      <c r="K27" s="11" t="n"/>
    </row>
    <row r="28" ht="22" customHeight="1">
      <c r="B28" s="15">
        <f>IF(C28="","AUD-"&amp;TEXT(COUNTA($C$5:C28),"000"))</f>
        <v/>
      </c>
      <c r="C28" s="13" t="n"/>
      <c r="D28" s="27" t="n"/>
      <c r="E28" s="13" t="n"/>
      <c r="F28" s="24" t="n"/>
      <c r="G28" s="24" t="n"/>
      <c r="H28" s="24" t="n"/>
      <c r="I28" s="29">
        <f>IF(OR(F28="",F28=0),"",G28/F28)</f>
        <v/>
      </c>
      <c r="J28" s="13" t="n"/>
      <c r="K28" s="13" t="n"/>
    </row>
    <row r="29" ht="22" customHeight="1">
      <c r="B29" s="16">
        <f>IF(C29="","AUD-"&amp;TEXT(COUNTA($C$5:C29),"000"))</f>
        <v/>
      </c>
      <c r="C29" s="11" t="n"/>
      <c r="D29" s="26" t="n"/>
      <c r="E29" s="11" t="n"/>
      <c r="F29" s="22" t="n"/>
      <c r="G29" s="22" t="n"/>
      <c r="H29" s="22" t="n"/>
      <c r="I29" s="28">
        <f>IF(OR(F29="",F29=0),"",G29/F29)</f>
        <v/>
      </c>
      <c r="J29" s="11" t="n"/>
      <c r="K29" s="11" t="n"/>
    </row>
    <row r="30" ht="22" customHeight="1">
      <c r="B30" s="15">
        <f>IF(C30="","AUD-"&amp;TEXT(COUNTA($C$5:C30),"000"))</f>
        <v/>
      </c>
      <c r="C30" s="13" t="n"/>
      <c r="D30" s="27" t="n"/>
      <c r="E30" s="13" t="n"/>
      <c r="F30" s="24" t="n"/>
      <c r="G30" s="24" t="n"/>
      <c r="H30" s="24" t="n"/>
      <c r="I30" s="29">
        <f>IF(OR(F30="",F30=0),"",G30/F30)</f>
        <v/>
      </c>
      <c r="J30" s="13" t="n"/>
      <c r="K30" s="13" t="n"/>
    </row>
    <row r="31" ht="22" customHeight="1">
      <c r="B31" s="16">
        <f>IF(C31="","AUD-"&amp;TEXT(COUNTA($C$5:C31),"000"))</f>
        <v/>
      </c>
      <c r="C31" s="11" t="n"/>
      <c r="D31" s="26" t="n"/>
      <c r="E31" s="11" t="n"/>
      <c r="F31" s="22" t="n"/>
      <c r="G31" s="22" t="n"/>
      <c r="H31" s="22" t="n"/>
      <c r="I31" s="28">
        <f>IF(OR(F31="",F31=0),"",G31/F31)</f>
        <v/>
      </c>
      <c r="J31" s="11" t="n"/>
      <c r="K31" s="11" t="n"/>
    </row>
    <row r="32" ht="22" customHeight="1">
      <c r="B32" s="15">
        <f>IF(C32="","AUD-"&amp;TEXT(COUNTA($C$5:C32),"000"))</f>
        <v/>
      </c>
      <c r="C32" s="13" t="n"/>
      <c r="D32" s="27" t="n"/>
      <c r="E32" s="13" t="n"/>
      <c r="F32" s="24" t="n"/>
      <c r="G32" s="24" t="n"/>
      <c r="H32" s="24" t="n"/>
      <c r="I32" s="29">
        <f>IF(OR(F32="",F32=0),"",G32/F32)</f>
        <v/>
      </c>
      <c r="J32" s="13" t="n"/>
      <c r="K32" s="13" t="n"/>
    </row>
    <row r="33" ht="22" customHeight="1">
      <c r="B33" s="16">
        <f>IF(C33="","AUD-"&amp;TEXT(COUNTA($C$5:C33),"000"))</f>
        <v/>
      </c>
      <c r="C33" s="11" t="n"/>
      <c r="D33" s="26" t="n"/>
      <c r="E33" s="11" t="n"/>
      <c r="F33" s="22" t="n"/>
      <c r="G33" s="22" t="n"/>
      <c r="H33" s="22" t="n"/>
      <c r="I33" s="28">
        <f>IF(OR(F33="",F33=0),"",G33/F33)</f>
        <v/>
      </c>
      <c r="J33" s="11" t="n"/>
      <c r="K33" s="11" t="n"/>
    </row>
    <row r="34" ht="22" customHeight="1">
      <c r="B34" s="15">
        <f>IF(C34="","AUD-"&amp;TEXT(COUNTA($C$5:C34),"000"))</f>
        <v/>
      </c>
      <c r="C34" s="13" t="n"/>
      <c r="D34" s="27" t="n"/>
      <c r="E34" s="13" t="n"/>
      <c r="F34" s="24" t="n"/>
      <c r="G34" s="24" t="n"/>
      <c r="H34" s="24" t="n"/>
      <c r="I34" s="29">
        <f>IF(OR(F34="",F34=0),"",G34/F34)</f>
        <v/>
      </c>
      <c r="J34" s="13" t="n"/>
      <c r="K34" s="13" t="n"/>
    </row>
    <row r="35" ht="22" customHeight="1">
      <c r="B35" s="16">
        <f>IF(C35="","AUD-"&amp;TEXT(COUNTA($C$5:C35),"000"))</f>
        <v/>
      </c>
      <c r="C35" s="11" t="n"/>
      <c r="D35" s="26" t="n"/>
      <c r="E35" s="11" t="n"/>
      <c r="F35" s="22" t="n"/>
      <c r="G35" s="22" t="n"/>
      <c r="H35" s="22" t="n"/>
      <c r="I35" s="28">
        <f>IF(OR(F35="",F35=0),"",G35/F35)</f>
        <v/>
      </c>
      <c r="J35" s="11" t="n"/>
      <c r="K35" s="11" t="n"/>
    </row>
    <row r="36" ht="22" customHeight="1">
      <c r="B36" s="15">
        <f>IF(C36="","AUD-"&amp;TEXT(COUNTA($C$5:C36),"000"))</f>
        <v/>
      </c>
      <c r="C36" s="13" t="n"/>
      <c r="D36" s="27" t="n"/>
      <c r="E36" s="13" t="n"/>
      <c r="F36" s="24" t="n"/>
      <c r="G36" s="24" t="n"/>
      <c r="H36" s="24" t="n"/>
      <c r="I36" s="29">
        <f>IF(OR(F36="",F36=0),"",G36/F36)</f>
        <v/>
      </c>
      <c r="J36" s="13" t="n"/>
      <c r="K36" s="13" t="n"/>
    </row>
    <row r="37" ht="22" customHeight="1">
      <c r="B37" s="16">
        <f>IF(C37="","AUD-"&amp;TEXT(COUNTA($C$5:C37),"000"))</f>
        <v/>
      </c>
      <c r="C37" s="11" t="n"/>
      <c r="D37" s="26" t="n"/>
      <c r="E37" s="11" t="n"/>
      <c r="F37" s="22" t="n"/>
      <c r="G37" s="22" t="n"/>
      <c r="H37" s="22" t="n"/>
      <c r="I37" s="28">
        <f>IF(OR(F37="",F37=0),"",G37/F37)</f>
        <v/>
      </c>
      <c r="J37" s="11" t="n"/>
      <c r="K37" s="11" t="n"/>
    </row>
    <row r="38" ht="22" customHeight="1">
      <c r="B38" s="15">
        <f>IF(C38="","AUD-"&amp;TEXT(COUNTA($C$5:C38),"000"))</f>
        <v/>
      </c>
      <c r="C38" s="13" t="n"/>
      <c r="D38" s="27" t="n"/>
      <c r="E38" s="13" t="n"/>
      <c r="F38" s="24" t="n"/>
      <c r="G38" s="24" t="n"/>
      <c r="H38" s="24" t="n"/>
      <c r="I38" s="29">
        <f>IF(OR(F38="",F38=0),"",G38/F38)</f>
        <v/>
      </c>
      <c r="J38" s="13" t="n"/>
      <c r="K38" s="13" t="n"/>
    </row>
    <row r="39" ht="22" customHeight="1">
      <c r="B39" s="16">
        <f>IF(C39="","AUD-"&amp;TEXT(COUNTA($C$5:C39),"000"))</f>
        <v/>
      </c>
      <c r="C39" s="11" t="n"/>
      <c r="D39" s="26" t="n"/>
      <c r="E39" s="11" t="n"/>
      <c r="F39" s="22" t="n"/>
      <c r="G39" s="22" t="n"/>
      <c r="H39" s="22" t="n"/>
      <c r="I39" s="28">
        <f>IF(OR(F39="",F39=0),"",G39/F39)</f>
        <v/>
      </c>
      <c r="J39" s="11" t="n"/>
      <c r="K39" s="11" t="n"/>
    </row>
    <row r="40" ht="22" customHeight="1">
      <c r="B40" s="15">
        <f>IF(C40="","AUD-"&amp;TEXT(COUNTA($C$5:C40),"000"))</f>
        <v/>
      </c>
      <c r="C40" s="13" t="n"/>
      <c r="D40" s="27" t="n"/>
      <c r="E40" s="13" t="n"/>
      <c r="F40" s="24" t="n"/>
      <c r="G40" s="24" t="n"/>
      <c r="H40" s="24" t="n"/>
      <c r="I40" s="29">
        <f>IF(OR(F40="",F40=0),"",G40/F40)</f>
        <v/>
      </c>
      <c r="J40" s="13" t="n"/>
      <c r="K40" s="13" t="n"/>
    </row>
    <row r="41" ht="22" customHeight="1">
      <c r="B41" s="16">
        <f>IF(C41="","AUD-"&amp;TEXT(COUNTA($C$5:C41),"000"))</f>
        <v/>
      </c>
      <c r="C41" s="11" t="n"/>
      <c r="D41" s="26" t="n"/>
      <c r="E41" s="11" t="n"/>
      <c r="F41" s="22" t="n"/>
      <c r="G41" s="22" t="n"/>
      <c r="H41" s="22" t="n"/>
      <c r="I41" s="28">
        <f>IF(OR(F41="",F41=0),"",G41/F41)</f>
        <v/>
      </c>
      <c r="J41" s="11" t="n"/>
      <c r="K41" s="11" t="n"/>
    </row>
    <row r="42" ht="22" customHeight="1">
      <c r="B42" s="15">
        <f>IF(C42="","AUD-"&amp;TEXT(COUNTA($C$5:C42),"000"))</f>
        <v/>
      </c>
      <c r="C42" s="13" t="n"/>
      <c r="D42" s="27" t="n"/>
      <c r="E42" s="13" t="n"/>
      <c r="F42" s="24" t="n"/>
      <c r="G42" s="24" t="n"/>
      <c r="H42" s="24" t="n"/>
      <c r="I42" s="29">
        <f>IF(OR(F42="",F42=0),"",G42/F42)</f>
        <v/>
      </c>
      <c r="J42" s="13" t="n"/>
      <c r="K42" s="13" t="n"/>
    </row>
    <row r="43" ht="22" customHeight="1">
      <c r="B43" s="16">
        <f>IF(C43="","AUD-"&amp;TEXT(COUNTA($C$5:C43),"000"))</f>
        <v/>
      </c>
      <c r="C43" s="11" t="n"/>
      <c r="D43" s="26" t="n"/>
      <c r="E43" s="11" t="n"/>
      <c r="F43" s="22" t="n"/>
      <c r="G43" s="22" t="n"/>
      <c r="H43" s="22" t="n"/>
      <c r="I43" s="28">
        <f>IF(OR(F43="",F43=0),"",G43/F43)</f>
        <v/>
      </c>
      <c r="J43" s="11" t="n"/>
      <c r="K43" s="11" t="n"/>
    </row>
    <row r="44" ht="22" customHeight="1">
      <c r="B44" s="15">
        <f>IF(C44="","AUD-"&amp;TEXT(COUNTA($C$5:C44),"000"))</f>
        <v/>
      </c>
      <c r="C44" s="13" t="n"/>
      <c r="D44" s="27" t="n"/>
      <c r="E44" s="13" t="n"/>
      <c r="F44" s="24" t="n"/>
      <c r="G44" s="24" t="n"/>
      <c r="H44" s="24" t="n"/>
      <c r="I44" s="29">
        <f>IF(OR(F44="",F44=0),"",G44/F44)</f>
        <v/>
      </c>
      <c r="J44" s="13" t="n"/>
      <c r="K44" s="13" t="n"/>
    </row>
    <row r="45" ht="22" customHeight="1">
      <c r="B45" s="16">
        <f>IF(C45="","AUD-"&amp;TEXT(COUNTA($C$5:C45),"000"))</f>
        <v/>
      </c>
      <c r="C45" s="11" t="n"/>
      <c r="D45" s="26" t="n"/>
      <c r="E45" s="11" t="n"/>
      <c r="F45" s="22" t="n"/>
      <c r="G45" s="22" t="n"/>
      <c r="H45" s="22" t="n"/>
      <c r="I45" s="28">
        <f>IF(OR(F45="",F45=0),"",G45/F45)</f>
        <v/>
      </c>
      <c r="J45" s="11" t="n"/>
      <c r="K45" s="11" t="n"/>
    </row>
    <row r="46" ht="22" customHeight="1">
      <c r="B46" s="15">
        <f>IF(C46="","AUD-"&amp;TEXT(COUNTA($C$5:C46),"000"))</f>
        <v/>
      </c>
      <c r="C46" s="13" t="n"/>
      <c r="D46" s="27" t="n"/>
      <c r="E46" s="13" t="n"/>
      <c r="F46" s="24" t="n"/>
      <c r="G46" s="24" t="n"/>
      <c r="H46" s="24" t="n"/>
      <c r="I46" s="29">
        <f>IF(OR(F46="",F46=0),"",G46/F46)</f>
        <v/>
      </c>
      <c r="J46" s="13" t="n"/>
      <c r="K46" s="13" t="n"/>
    </row>
    <row r="47" ht="22" customHeight="1">
      <c r="B47" s="16">
        <f>IF(C47="","AUD-"&amp;TEXT(COUNTA($C$5:C47),"000"))</f>
        <v/>
      </c>
      <c r="C47" s="11" t="n"/>
      <c r="D47" s="26" t="n"/>
      <c r="E47" s="11" t="n"/>
      <c r="F47" s="22" t="n"/>
      <c r="G47" s="22" t="n"/>
      <c r="H47" s="22" t="n"/>
      <c r="I47" s="28">
        <f>IF(OR(F47="",F47=0),"",G47/F47)</f>
        <v/>
      </c>
      <c r="J47" s="11" t="n"/>
      <c r="K47" s="11" t="n"/>
    </row>
    <row r="48" ht="22" customHeight="1">
      <c r="B48" s="15">
        <f>IF(C48="","AUD-"&amp;TEXT(COUNTA($C$5:C48),"000"))</f>
        <v/>
      </c>
      <c r="C48" s="13" t="n"/>
      <c r="D48" s="27" t="n"/>
      <c r="E48" s="13" t="n"/>
      <c r="F48" s="24" t="n"/>
      <c r="G48" s="24" t="n"/>
      <c r="H48" s="24" t="n"/>
      <c r="I48" s="29">
        <f>IF(OR(F48="",F48=0),"",G48/F48)</f>
        <v/>
      </c>
      <c r="J48" s="13" t="n"/>
      <c r="K48" s="13" t="n"/>
    </row>
    <row r="49" ht="22" customHeight="1">
      <c r="B49" s="16">
        <f>IF(C49="","AUD-"&amp;TEXT(COUNTA($C$5:C49),"000"))</f>
        <v/>
      </c>
      <c r="C49" s="11" t="n"/>
      <c r="D49" s="26" t="n"/>
      <c r="E49" s="11" t="n"/>
      <c r="F49" s="22" t="n"/>
      <c r="G49" s="22" t="n"/>
      <c r="H49" s="22" t="n"/>
      <c r="I49" s="28">
        <f>IF(OR(F49="",F49=0),"",G49/F49)</f>
        <v/>
      </c>
      <c r="J49" s="11" t="n"/>
      <c r="K49" s="11" t="n"/>
    </row>
    <row r="50" ht="22" customHeight="1">
      <c r="B50" s="15">
        <f>IF(C50="","AUD-"&amp;TEXT(COUNTA($C$5:C50),"000"))</f>
        <v/>
      </c>
      <c r="C50" s="13" t="n"/>
      <c r="D50" s="27" t="n"/>
      <c r="E50" s="13" t="n"/>
      <c r="F50" s="24" t="n"/>
      <c r="G50" s="24" t="n"/>
      <c r="H50" s="24" t="n"/>
      <c r="I50" s="29">
        <f>IF(OR(F50="",F50=0),"",G50/F50)</f>
        <v/>
      </c>
      <c r="J50" s="13" t="n"/>
      <c r="K50" s="13" t="n"/>
    </row>
    <row r="51" ht="22" customHeight="1">
      <c r="B51" s="16">
        <f>IF(C51="","AUD-"&amp;TEXT(COUNTA($C$5:C51),"000"))</f>
        <v/>
      </c>
      <c r="C51" s="11" t="n"/>
      <c r="D51" s="26" t="n"/>
      <c r="E51" s="11" t="n"/>
      <c r="F51" s="22" t="n"/>
      <c r="G51" s="22" t="n"/>
      <c r="H51" s="22" t="n"/>
      <c r="I51" s="28">
        <f>IF(OR(F51="",F51=0),"",G51/F51)</f>
        <v/>
      </c>
      <c r="J51" s="11" t="n"/>
      <c r="K51" s="11" t="n"/>
    </row>
    <row r="52" ht="22" customHeight="1">
      <c r="B52" s="15">
        <f>IF(C52="","AUD-"&amp;TEXT(COUNTA($C$5:C52),"000"))</f>
        <v/>
      </c>
      <c r="C52" s="13" t="n"/>
      <c r="D52" s="27" t="n"/>
      <c r="E52" s="13" t="n"/>
      <c r="F52" s="24" t="n"/>
      <c r="G52" s="24" t="n"/>
      <c r="H52" s="24" t="n"/>
      <c r="I52" s="29">
        <f>IF(OR(F52="",F52=0),"",G52/F52)</f>
        <v/>
      </c>
      <c r="J52" s="13" t="n"/>
      <c r="K52" s="13" t="n"/>
    </row>
    <row r="53" ht="22" customHeight="1">
      <c r="B53" s="16">
        <f>IF(C53="","AUD-"&amp;TEXT(COUNTA($C$5:C53),"000"))</f>
        <v/>
      </c>
      <c r="C53" s="11" t="n"/>
      <c r="D53" s="26" t="n"/>
      <c r="E53" s="11" t="n"/>
      <c r="F53" s="22" t="n"/>
      <c r="G53" s="22" t="n"/>
      <c r="H53" s="22" t="n"/>
      <c r="I53" s="28">
        <f>IF(OR(F53="",F53=0),"",G53/F53)</f>
        <v/>
      </c>
      <c r="J53" s="11" t="n"/>
      <c r="K53" s="11" t="n"/>
    </row>
    <row r="54" ht="22" customHeight="1">
      <c r="B54" s="15">
        <f>IF(C54="","AUD-"&amp;TEXT(COUNTA($C$5:C54),"000"))</f>
        <v/>
      </c>
      <c r="C54" s="13" t="n"/>
      <c r="D54" s="27" t="n"/>
      <c r="E54" s="13" t="n"/>
      <c r="F54" s="24" t="n"/>
      <c r="G54" s="24" t="n"/>
      <c r="H54" s="24" t="n"/>
      <c r="I54" s="29">
        <f>IF(OR(F54="",F54=0),"",G54/F54)</f>
        <v/>
      </c>
      <c r="J54" s="13" t="n"/>
      <c r="K54" s="13" t="n"/>
    </row>
    <row r="55" ht="22" customHeight="1">
      <c r="B55" s="16">
        <f>IF(C55="","AUD-"&amp;TEXT(COUNTA($C$5:C55),"000"))</f>
        <v/>
      </c>
      <c r="C55" s="11" t="n"/>
      <c r="D55" s="26" t="n"/>
      <c r="E55" s="11" t="n"/>
      <c r="F55" s="22" t="n"/>
      <c r="G55" s="22" t="n"/>
      <c r="H55" s="22" t="n"/>
      <c r="I55" s="28">
        <f>IF(OR(F55="",F55=0),"",G55/F55)</f>
        <v/>
      </c>
      <c r="J55" s="11" t="n"/>
      <c r="K55" s="11" t="n"/>
    </row>
    <row r="56" ht="22" customHeight="1">
      <c r="B56" s="15">
        <f>IF(C56="","AUD-"&amp;TEXT(COUNTA($C$5:C56),"000"))</f>
        <v/>
      </c>
      <c r="C56" s="13" t="n"/>
      <c r="D56" s="27" t="n"/>
      <c r="E56" s="13" t="n"/>
      <c r="F56" s="24" t="n"/>
      <c r="G56" s="24" t="n"/>
      <c r="H56" s="24" t="n"/>
      <c r="I56" s="29">
        <f>IF(OR(F56="",F56=0),"",G56/F56)</f>
        <v/>
      </c>
      <c r="J56" s="13" t="n"/>
      <c r="K56" s="13" t="n"/>
    </row>
    <row r="57" ht="22" customHeight="1">
      <c r="B57" s="16">
        <f>IF(C57="","AUD-"&amp;TEXT(COUNTA($C$5:C57),"000"))</f>
        <v/>
      </c>
      <c r="C57" s="11" t="n"/>
      <c r="D57" s="26" t="n"/>
      <c r="E57" s="11" t="n"/>
      <c r="F57" s="22" t="n"/>
      <c r="G57" s="22" t="n"/>
      <c r="H57" s="22" t="n"/>
      <c r="I57" s="28">
        <f>IF(OR(F57="",F57=0),"",G57/F57)</f>
        <v/>
      </c>
      <c r="J57" s="11" t="n"/>
      <c r="K57" s="11" t="n"/>
    </row>
    <row r="58" ht="22" customHeight="1">
      <c r="B58" s="15">
        <f>IF(C58="","AUD-"&amp;TEXT(COUNTA($C$5:C58),"000"))</f>
        <v/>
      </c>
      <c r="C58" s="13" t="n"/>
      <c r="D58" s="27" t="n"/>
      <c r="E58" s="13" t="n"/>
      <c r="F58" s="24" t="n"/>
      <c r="G58" s="24" t="n"/>
      <c r="H58" s="24" t="n"/>
      <c r="I58" s="29">
        <f>IF(OR(F58="",F58=0),"",G58/F58)</f>
        <v/>
      </c>
      <c r="J58" s="13" t="n"/>
      <c r="K58" s="13" t="n"/>
    </row>
    <row r="59" ht="22" customHeight="1">
      <c r="B59" s="16">
        <f>IF(C59="","AUD-"&amp;TEXT(COUNTA($C$5:C59),"000"))</f>
        <v/>
      </c>
      <c r="C59" s="11" t="n"/>
      <c r="D59" s="26" t="n"/>
      <c r="E59" s="11" t="n"/>
      <c r="F59" s="22" t="n"/>
      <c r="G59" s="22" t="n"/>
      <c r="H59" s="22" t="n"/>
      <c r="I59" s="28">
        <f>IF(OR(F59="",F59=0),"",G59/F59)</f>
        <v/>
      </c>
      <c r="J59" s="11" t="n"/>
      <c r="K59" s="11" t="n"/>
    </row>
    <row r="60" ht="22" customHeight="1">
      <c r="B60" s="15">
        <f>IF(C60="","AUD-"&amp;TEXT(COUNTA($C$5:C60),"000"))</f>
        <v/>
      </c>
      <c r="C60" s="13" t="n"/>
      <c r="D60" s="27" t="n"/>
      <c r="E60" s="13" t="n"/>
      <c r="F60" s="24" t="n"/>
      <c r="G60" s="24" t="n"/>
      <c r="H60" s="24" t="n"/>
      <c r="I60" s="29">
        <f>IF(OR(F60="",F60=0),"",G60/F60)</f>
        <v/>
      </c>
      <c r="J60" s="13" t="n"/>
      <c r="K60" s="13" t="n"/>
    </row>
    <row r="61" ht="22" customHeight="1">
      <c r="B61" s="16">
        <f>IF(C61="","AUD-"&amp;TEXT(COUNTA($C$5:C61),"000"))</f>
        <v/>
      </c>
      <c r="C61" s="11" t="n"/>
      <c r="D61" s="26" t="n"/>
      <c r="E61" s="11" t="n"/>
      <c r="F61" s="22" t="n"/>
      <c r="G61" s="22" t="n"/>
      <c r="H61" s="22" t="n"/>
      <c r="I61" s="28">
        <f>IF(OR(F61="",F61=0),"",G61/F61)</f>
        <v/>
      </c>
      <c r="J61" s="11" t="n"/>
      <c r="K61" s="11" t="n"/>
    </row>
    <row r="62" ht="22" customHeight="1">
      <c r="B62" s="15">
        <f>IF(C62="","AUD-"&amp;TEXT(COUNTA($C$5:C62),"000"))</f>
        <v/>
      </c>
      <c r="C62" s="13" t="n"/>
      <c r="D62" s="27" t="n"/>
      <c r="E62" s="13" t="n"/>
      <c r="F62" s="24" t="n"/>
      <c r="G62" s="24" t="n"/>
      <c r="H62" s="24" t="n"/>
      <c r="I62" s="29">
        <f>IF(OR(F62="",F62=0),"",G62/F62)</f>
        <v/>
      </c>
      <c r="J62" s="13" t="n"/>
      <c r="K62" s="13" t="n"/>
    </row>
    <row r="63" ht="22" customHeight="1">
      <c r="B63" s="16">
        <f>IF(C63="","AUD-"&amp;TEXT(COUNTA($C$5:C63),"000"))</f>
        <v/>
      </c>
      <c r="C63" s="11" t="n"/>
      <c r="D63" s="26" t="n"/>
      <c r="E63" s="11" t="n"/>
      <c r="F63" s="22" t="n"/>
      <c r="G63" s="22" t="n"/>
      <c r="H63" s="22" t="n"/>
      <c r="I63" s="28">
        <f>IF(OR(F63="",F63=0),"",G63/F63)</f>
        <v/>
      </c>
      <c r="J63" s="11" t="n"/>
      <c r="K63" s="11" t="n"/>
    </row>
    <row r="64" ht="22" customHeight="1">
      <c r="B64" s="15">
        <f>IF(C64="","AUD-"&amp;TEXT(COUNTA($C$5:C64),"000"))</f>
        <v/>
      </c>
      <c r="C64" s="13" t="n"/>
      <c r="D64" s="27" t="n"/>
      <c r="E64" s="13" t="n"/>
      <c r="F64" s="24" t="n"/>
      <c r="G64" s="24" t="n"/>
      <c r="H64" s="24" t="n"/>
      <c r="I64" s="29">
        <f>IF(OR(F64="",F64=0),"",G64/F64)</f>
        <v/>
      </c>
      <c r="J64" s="13" t="n"/>
      <c r="K64" s="13" t="n"/>
    </row>
    <row r="65" ht="22" customHeight="1">
      <c r="B65" s="16">
        <f>IF(C65="","AUD-"&amp;TEXT(COUNTA($C$5:C65),"000"))</f>
        <v/>
      </c>
      <c r="C65" s="11" t="n"/>
      <c r="D65" s="26" t="n"/>
      <c r="E65" s="11" t="n"/>
      <c r="F65" s="22" t="n"/>
      <c r="G65" s="22" t="n"/>
      <c r="H65" s="22" t="n"/>
      <c r="I65" s="28">
        <f>IF(OR(F65="",F65=0),"",G65/F65)</f>
        <v/>
      </c>
      <c r="J65" s="11" t="n"/>
      <c r="K65" s="11" t="n"/>
    </row>
    <row r="66" ht="22" customHeight="1">
      <c r="B66" s="15">
        <f>IF(C66="","AUD-"&amp;TEXT(COUNTA($C$5:C66),"000"))</f>
        <v/>
      </c>
      <c r="C66" s="13" t="n"/>
      <c r="D66" s="27" t="n"/>
      <c r="E66" s="13" t="n"/>
      <c r="F66" s="24" t="n"/>
      <c r="G66" s="24" t="n"/>
      <c r="H66" s="24" t="n"/>
      <c r="I66" s="29">
        <f>IF(OR(F66="",F66=0),"",G66/F66)</f>
        <v/>
      </c>
      <c r="J66" s="13" t="n"/>
      <c r="K66" s="13" t="n"/>
    </row>
    <row r="67" ht="22" customHeight="1">
      <c r="B67" s="16">
        <f>IF(C67="","AUD-"&amp;TEXT(COUNTA($C$5:C67),"000"))</f>
        <v/>
      </c>
      <c r="C67" s="11" t="n"/>
      <c r="D67" s="26" t="n"/>
      <c r="E67" s="11" t="n"/>
      <c r="F67" s="22" t="n"/>
      <c r="G67" s="22" t="n"/>
      <c r="H67" s="22" t="n"/>
      <c r="I67" s="28">
        <f>IF(OR(F67="",F67=0),"",G67/F67)</f>
        <v/>
      </c>
      <c r="J67" s="11" t="n"/>
      <c r="K67" s="11" t="n"/>
    </row>
    <row r="68" ht="22" customHeight="1">
      <c r="B68" s="15">
        <f>IF(C68="","AUD-"&amp;TEXT(COUNTA($C$5:C68),"000"))</f>
        <v/>
      </c>
      <c r="C68" s="13" t="n"/>
      <c r="D68" s="27" t="n"/>
      <c r="E68" s="13" t="n"/>
      <c r="F68" s="24" t="n"/>
      <c r="G68" s="24" t="n"/>
      <c r="H68" s="24" t="n"/>
      <c r="I68" s="29">
        <f>IF(OR(F68="",F68=0),"",G68/F68)</f>
        <v/>
      </c>
      <c r="J68" s="13" t="n"/>
      <c r="K68" s="13" t="n"/>
    </row>
    <row r="69" ht="22" customHeight="1">
      <c r="B69" s="16">
        <f>IF(C69="","AUD-"&amp;TEXT(COUNTA($C$5:C69),"000"))</f>
        <v/>
      </c>
      <c r="C69" s="11" t="n"/>
      <c r="D69" s="26" t="n"/>
      <c r="E69" s="11" t="n"/>
      <c r="F69" s="22" t="n"/>
      <c r="G69" s="22" t="n"/>
      <c r="H69" s="22" t="n"/>
      <c r="I69" s="28">
        <f>IF(OR(F69="",F69=0),"",G69/F69)</f>
        <v/>
      </c>
      <c r="J69" s="11" t="n"/>
      <c r="K69" s="11" t="n"/>
    </row>
    <row r="70" ht="22" customHeight="1">
      <c r="B70" s="15">
        <f>IF(C70="","AUD-"&amp;TEXT(COUNTA($C$5:C70),"000"))</f>
        <v/>
      </c>
      <c r="C70" s="13" t="n"/>
      <c r="D70" s="27" t="n"/>
      <c r="E70" s="13" t="n"/>
      <c r="F70" s="24" t="n"/>
      <c r="G70" s="24" t="n"/>
      <c r="H70" s="24" t="n"/>
      <c r="I70" s="29">
        <f>IF(OR(F70="",F70=0),"",G70/F70)</f>
        <v/>
      </c>
      <c r="J70" s="13" t="n"/>
      <c r="K70" s="13" t="n"/>
    </row>
    <row r="71" ht="22" customHeight="1">
      <c r="B71" s="16">
        <f>IF(C71="","AUD-"&amp;TEXT(COUNTA($C$5:C71),"000"))</f>
        <v/>
      </c>
      <c r="C71" s="11" t="n"/>
      <c r="D71" s="26" t="n"/>
      <c r="E71" s="11" t="n"/>
      <c r="F71" s="22" t="n"/>
      <c r="G71" s="22" t="n"/>
      <c r="H71" s="22" t="n"/>
      <c r="I71" s="28">
        <f>IF(OR(F71="",F71=0),"",G71/F71)</f>
        <v/>
      </c>
      <c r="J71" s="11" t="n"/>
      <c r="K71" s="11" t="n"/>
    </row>
    <row r="72" ht="22" customHeight="1">
      <c r="B72" s="15">
        <f>IF(C72="","AUD-"&amp;TEXT(COUNTA($C$5:C72),"000"))</f>
        <v/>
      </c>
      <c r="C72" s="13" t="n"/>
      <c r="D72" s="27" t="n"/>
      <c r="E72" s="13" t="n"/>
      <c r="F72" s="24" t="n"/>
      <c r="G72" s="24" t="n"/>
      <c r="H72" s="24" t="n"/>
      <c r="I72" s="29">
        <f>IF(OR(F72="",F72=0),"",G72/F72)</f>
        <v/>
      </c>
      <c r="J72" s="13" t="n"/>
      <c r="K72" s="13" t="n"/>
    </row>
    <row r="73" ht="22" customHeight="1">
      <c r="B73" s="16">
        <f>IF(C73="","AUD-"&amp;TEXT(COUNTA($C$5:C73),"000"))</f>
        <v/>
      </c>
      <c r="C73" s="11" t="n"/>
      <c r="D73" s="26" t="n"/>
      <c r="E73" s="11" t="n"/>
      <c r="F73" s="22" t="n"/>
      <c r="G73" s="22" t="n"/>
      <c r="H73" s="22" t="n"/>
      <c r="I73" s="28">
        <f>IF(OR(F73="",F73=0),"",G73/F73)</f>
        <v/>
      </c>
      <c r="J73" s="11" t="n"/>
      <c r="K73" s="11" t="n"/>
    </row>
    <row r="74" ht="22" customHeight="1">
      <c r="B74" s="15">
        <f>IF(C74="","AUD-"&amp;TEXT(COUNTA($C$5:C74),"000"))</f>
        <v/>
      </c>
      <c r="C74" s="13" t="n"/>
      <c r="D74" s="27" t="n"/>
      <c r="E74" s="13" t="n"/>
      <c r="F74" s="24" t="n"/>
      <c r="G74" s="24" t="n"/>
      <c r="H74" s="24" t="n"/>
      <c r="I74" s="29">
        <f>IF(OR(F74="",F74=0),"",G74/F74)</f>
        <v/>
      </c>
      <c r="J74" s="13" t="n"/>
      <c r="K74" s="13" t="n"/>
    </row>
    <row r="75" ht="22" customHeight="1">
      <c r="B75" s="16">
        <f>IF(C75="","AUD-"&amp;TEXT(COUNTA($C$5:C75),"000"))</f>
        <v/>
      </c>
      <c r="C75" s="11" t="n"/>
      <c r="D75" s="26" t="n"/>
      <c r="E75" s="11" t="n"/>
      <c r="F75" s="22" t="n"/>
      <c r="G75" s="22" t="n"/>
      <c r="H75" s="22" t="n"/>
      <c r="I75" s="28">
        <f>IF(OR(F75="",F75=0),"",G75/F75)</f>
        <v/>
      </c>
      <c r="J75" s="11" t="n"/>
      <c r="K75" s="11" t="n"/>
    </row>
    <row r="76" ht="22" customHeight="1">
      <c r="B76" s="15">
        <f>IF(C76="","AUD-"&amp;TEXT(COUNTA($C$5:C76),"000"))</f>
        <v/>
      </c>
      <c r="C76" s="13" t="n"/>
      <c r="D76" s="27" t="n"/>
      <c r="E76" s="13" t="n"/>
      <c r="F76" s="24" t="n"/>
      <c r="G76" s="24" t="n"/>
      <c r="H76" s="24" t="n"/>
      <c r="I76" s="29">
        <f>IF(OR(F76="",F76=0),"",G76/F76)</f>
        <v/>
      </c>
      <c r="J76" s="13" t="n"/>
      <c r="K76" s="13" t="n"/>
    </row>
    <row r="77" ht="22" customHeight="1">
      <c r="B77" s="16">
        <f>IF(C77="","AUD-"&amp;TEXT(COUNTA($C$5:C77),"000"))</f>
        <v/>
      </c>
      <c r="C77" s="11" t="n"/>
      <c r="D77" s="26" t="n"/>
      <c r="E77" s="11" t="n"/>
      <c r="F77" s="22" t="n"/>
      <c r="G77" s="22" t="n"/>
      <c r="H77" s="22" t="n"/>
      <c r="I77" s="28">
        <f>IF(OR(F77="",F77=0),"",G77/F77)</f>
        <v/>
      </c>
      <c r="J77" s="11" t="n"/>
      <c r="K77" s="11" t="n"/>
    </row>
    <row r="78" ht="22" customHeight="1">
      <c r="B78" s="15">
        <f>IF(C78="","AUD-"&amp;TEXT(COUNTA($C$5:C78),"000"))</f>
        <v/>
      </c>
      <c r="C78" s="13" t="n"/>
      <c r="D78" s="27" t="n"/>
      <c r="E78" s="13" t="n"/>
      <c r="F78" s="24" t="n"/>
      <c r="G78" s="24" t="n"/>
      <c r="H78" s="24" t="n"/>
      <c r="I78" s="29">
        <f>IF(OR(F78="",F78=0),"",G78/F78)</f>
        <v/>
      </c>
      <c r="J78" s="13" t="n"/>
      <c r="K78" s="13" t="n"/>
    </row>
    <row r="79" ht="22" customHeight="1">
      <c r="B79" s="16">
        <f>IF(C79="","AUD-"&amp;TEXT(COUNTA($C$5:C79),"000"))</f>
        <v/>
      </c>
      <c r="C79" s="11" t="n"/>
      <c r="D79" s="26" t="n"/>
      <c r="E79" s="11" t="n"/>
      <c r="F79" s="22" t="n"/>
      <c r="G79" s="22" t="n"/>
      <c r="H79" s="22" t="n"/>
      <c r="I79" s="28">
        <f>IF(OR(F79="",F79=0),"",G79/F79)</f>
        <v/>
      </c>
      <c r="J79" s="11" t="n"/>
      <c r="K79" s="11" t="n"/>
    </row>
    <row r="80" ht="22" customHeight="1">
      <c r="B80" s="15">
        <f>IF(C80="","AUD-"&amp;TEXT(COUNTA($C$5:C80),"000"))</f>
        <v/>
      </c>
      <c r="C80" s="13" t="n"/>
      <c r="D80" s="27" t="n"/>
      <c r="E80" s="13" t="n"/>
      <c r="F80" s="24" t="n"/>
      <c r="G80" s="24" t="n"/>
      <c r="H80" s="24" t="n"/>
      <c r="I80" s="29">
        <f>IF(OR(F80="",F80=0),"",G80/F80)</f>
        <v/>
      </c>
      <c r="J80" s="13" t="n"/>
      <c r="K80" s="13" t="n"/>
    </row>
    <row r="81" ht="22" customHeight="1">
      <c r="B81" s="16">
        <f>IF(C81="","AUD-"&amp;TEXT(COUNTA($C$5:C81),"000"))</f>
        <v/>
      </c>
      <c r="C81" s="11" t="n"/>
      <c r="D81" s="26" t="n"/>
      <c r="E81" s="11" t="n"/>
      <c r="F81" s="22" t="n"/>
      <c r="G81" s="22" t="n"/>
      <c r="H81" s="22" t="n"/>
      <c r="I81" s="28">
        <f>IF(OR(F81="",F81=0),"",G81/F81)</f>
        <v/>
      </c>
      <c r="J81" s="11" t="n"/>
      <c r="K81" s="11" t="n"/>
    </row>
    <row r="82" ht="22" customHeight="1">
      <c r="B82" s="15">
        <f>IF(C82="","AUD-"&amp;TEXT(COUNTA($C$5:C82),"000"))</f>
        <v/>
      </c>
      <c r="C82" s="13" t="n"/>
      <c r="D82" s="27" t="n"/>
      <c r="E82" s="13" t="n"/>
      <c r="F82" s="24" t="n"/>
      <c r="G82" s="24" t="n"/>
      <c r="H82" s="24" t="n"/>
      <c r="I82" s="29">
        <f>IF(OR(F82="",F82=0),"",G82/F82)</f>
        <v/>
      </c>
      <c r="J82" s="13" t="n"/>
      <c r="K82" s="13" t="n"/>
    </row>
    <row r="83" ht="22" customHeight="1">
      <c r="B83" s="16">
        <f>IF(C83="","AUD-"&amp;TEXT(COUNTA($C$5:C83),"000"))</f>
        <v/>
      </c>
      <c r="C83" s="11" t="n"/>
      <c r="D83" s="26" t="n"/>
      <c r="E83" s="11" t="n"/>
      <c r="F83" s="22" t="n"/>
      <c r="G83" s="22" t="n"/>
      <c r="H83" s="22" t="n"/>
      <c r="I83" s="28">
        <f>IF(OR(F83="",F83=0),"",G83/F83)</f>
        <v/>
      </c>
      <c r="J83" s="11" t="n"/>
      <c r="K83" s="11" t="n"/>
    </row>
    <row r="84" ht="22" customHeight="1">
      <c r="B84" s="15">
        <f>IF(C84="","AUD-"&amp;TEXT(COUNTA($C$5:C84),"000"))</f>
        <v/>
      </c>
      <c r="C84" s="13" t="n"/>
      <c r="D84" s="27" t="n"/>
      <c r="E84" s="13" t="n"/>
      <c r="F84" s="24" t="n"/>
      <c r="G84" s="24" t="n"/>
      <c r="H84" s="24" t="n"/>
      <c r="I84" s="29">
        <f>IF(OR(F84="",F84=0),"",G84/F84)</f>
        <v/>
      </c>
      <c r="J84" s="13" t="n"/>
      <c r="K84" s="13" t="n"/>
    </row>
    <row r="85" ht="22" customHeight="1">
      <c r="B85" s="16">
        <f>IF(C85="","AUD-"&amp;TEXT(COUNTA($C$5:C85),"000"))</f>
        <v/>
      </c>
      <c r="C85" s="11" t="n"/>
      <c r="D85" s="26" t="n"/>
      <c r="E85" s="11" t="n"/>
      <c r="F85" s="22" t="n"/>
      <c r="G85" s="22" t="n"/>
      <c r="H85" s="22" t="n"/>
      <c r="I85" s="28">
        <f>IF(OR(F85="",F85=0),"",G85/F85)</f>
        <v/>
      </c>
      <c r="J85" s="11" t="n"/>
      <c r="K85" s="11" t="n"/>
    </row>
    <row r="86" ht="22" customHeight="1">
      <c r="B86" s="15">
        <f>IF(C86="","AUD-"&amp;TEXT(COUNTA($C$5:C86),"000"))</f>
        <v/>
      </c>
      <c r="C86" s="13" t="n"/>
      <c r="D86" s="27" t="n"/>
      <c r="E86" s="13" t="n"/>
      <c r="F86" s="24" t="n"/>
      <c r="G86" s="24" t="n"/>
      <c r="H86" s="24" t="n"/>
      <c r="I86" s="29">
        <f>IF(OR(F86="",F86=0),"",G86/F86)</f>
        <v/>
      </c>
      <c r="J86" s="13" t="n"/>
      <c r="K86" s="13" t="n"/>
    </row>
    <row r="87" ht="22" customHeight="1">
      <c r="B87" s="16">
        <f>IF(C87="","AUD-"&amp;TEXT(COUNTA($C$5:C87),"000"))</f>
        <v/>
      </c>
      <c r="C87" s="11" t="n"/>
      <c r="D87" s="26" t="n"/>
      <c r="E87" s="11" t="n"/>
      <c r="F87" s="22" t="n"/>
      <c r="G87" s="22" t="n"/>
      <c r="H87" s="22" t="n"/>
      <c r="I87" s="28">
        <f>IF(OR(F87="",F87=0),"",G87/F87)</f>
        <v/>
      </c>
      <c r="J87" s="11" t="n"/>
      <c r="K87" s="11" t="n"/>
    </row>
    <row r="88" ht="22" customHeight="1">
      <c r="B88" s="15">
        <f>IF(C88="","AUD-"&amp;TEXT(COUNTA($C$5:C88),"000"))</f>
        <v/>
      </c>
      <c r="C88" s="13" t="n"/>
      <c r="D88" s="27" t="n"/>
      <c r="E88" s="13" t="n"/>
      <c r="F88" s="24" t="n"/>
      <c r="G88" s="24" t="n"/>
      <c r="H88" s="24" t="n"/>
      <c r="I88" s="29">
        <f>IF(OR(F88="",F88=0),"",G88/F88)</f>
        <v/>
      </c>
      <c r="J88" s="13" t="n"/>
      <c r="K88" s="13" t="n"/>
    </row>
    <row r="89" ht="22" customHeight="1">
      <c r="B89" s="16">
        <f>IF(C89="","AUD-"&amp;TEXT(COUNTA($C$5:C89),"000"))</f>
        <v/>
      </c>
      <c r="C89" s="11" t="n"/>
      <c r="D89" s="26" t="n"/>
      <c r="E89" s="11" t="n"/>
      <c r="F89" s="22" t="n"/>
      <c r="G89" s="22" t="n"/>
      <c r="H89" s="22" t="n"/>
      <c r="I89" s="28">
        <f>IF(OR(F89="",F89=0),"",G89/F89)</f>
        <v/>
      </c>
      <c r="J89" s="11" t="n"/>
      <c r="K89" s="11" t="n"/>
    </row>
    <row r="90" ht="22" customHeight="1">
      <c r="B90" s="15">
        <f>IF(C90="","AUD-"&amp;TEXT(COUNTA($C$5:C90),"000"))</f>
        <v/>
      </c>
      <c r="C90" s="13" t="n"/>
      <c r="D90" s="27" t="n"/>
      <c r="E90" s="13" t="n"/>
      <c r="F90" s="24" t="n"/>
      <c r="G90" s="24" t="n"/>
      <c r="H90" s="24" t="n"/>
      <c r="I90" s="29">
        <f>IF(OR(F90="",F90=0),"",G90/F90)</f>
        <v/>
      </c>
      <c r="J90" s="13" t="n"/>
      <c r="K90" s="13" t="n"/>
    </row>
    <row r="91" ht="22" customHeight="1">
      <c r="B91" s="16">
        <f>IF(C91="","AUD-"&amp;TEXT(COUNTA($C$5:C91),"000"))</f>
        <v/>
      </c>
      <c r="C91" s="11" t="n"/>
      <c r="D91" s="26" t="n"/>
      <c r="E91" s="11" t="n"/>
      <c r="F91" s="22" t="n"/>
      <c r="G91" s="22" t="n"/>
      <c r="H91" s="22" t="n"/>
      <c r="I91" s="28">
        <f>IF(OR(F91="",F91=0),"",G91/F91)</f>
        <v/>
      </c>
      <c r="J91" s="11" t="n"/>
      <c r="K91" s="11" t="n"/>
    </row>
    <row r="92" ht="22" customHeight="1">
      <c r="B92" s="15">
        <f>IF(C92="","AUD-"&amp;TEXT(COUNTA($C$5:C92),"000"))</f>
        <v/>
      </c>
      <c r="C92" s="13" t="n"/>
      <c r="D92" s="27" t="n"/>
      <c r="E92" s="13" t="n"/>
      <c r="F92" s="24" t="n"/>
      <c r="G92" s="24" t="n"/>
      <c r="H92" s="24" t="n"/>
      <c r="I92" s="29">
        <f>IF(OR(F92="",F92=0),"",G92/F92)</f>
        <v/>
      </c>
      <c r="J92" s="13" t="n"/>
      <c r="K92" s="13" t="n"/>
    </row>
    <row r="93" ht="22" customHeight="1">
      <c r="B93" s="16">
        <f>IF(C93="","AUD-"&amp;TEXT(COUNTA($C$5:C93),"000"))</f>
        <v/>
      </c>
      <c r="C93" s="11" t="n"/>
      <c r="D93" s="26" t="n"/>
      <c r="E93" s="11" t="n"/>
      <c r="F93" s="22" t="n"/>
      <c r="G93" s="22" t="n"/>
      <c r="H93" s="22" t="n"/>
      <c r="I93" s="28">
        <f>IF(OR(F93="",F93=0),"",G93/F93)</f>
        <v/>
      </c>
      <c r="J93" s="11" t="n"/>
      <c r="K93" s="11" t="n"/>
    </row>
    <row r="94" ht="22" customHeight="1">
      <c r="B94" s="15">
        <f>IF(C94="","AUD-"&amp;TEXT(COUNTA($C$5:C94),"000"))</f>
        <v/>
      </c>
      <c r="C94" s="13" t="n"/>
      <c r="D94" s="27" t="n"/>
      <c r="E94" s="13" t="n"/>
      <c r="F94" s="24" t="n"/>
      <c r="G94" s="24" t="n"/>
      <c r="H94" s="24" t="n"/>
      <c r="I94" s="29">
        <f>IF(OR(F94="",F94=0),"",G94/F94)</f>
        <v/>
      </c>
      <c r="J94" s="13" t="n"/>
      <c r="K94" s="13" t="n"/>
    </row>
    <row r="95" ht="22" customHeight="1">
      <c r="B95" s="16">
        <f>IF(C95="","AUD-"&amp;TEXT(COUNTA($C$5:C95),"000"))</f>
        <v/>
      </c>
      <c r="C95" s="11" t="n"/>
      <c r="D95" s="26" t="n"/>
      <c r="E95" s="11" t="n"/>
      <c r="F95" s="22" t="n"/>
      <c r="G95" s="22" t="n"/>
      <c r="H95" s="22" t="n"/>
      <c r="I95" s="28">
        <f>IF(OR(F95="",F95=0),"",G95/F95)</f>
        <v/>
      </c>
      <c r="J95" s="11" t="n"/>
      <c r="K95" s="11" t="n"/>
    </row>
    <row r="96" ht="22" customHeight="1">
      <c r="B96" s="15">
        <f>IF(C96="","AUD-"&amp;TEXT(COUNTA($C$5:C96),"000"))</f>
        <v/>
      </c>
      <c r="C96" s="13" t="n"/>
      <c r="D96" s="27" t="n"/>
      <c r="E96" s="13" t="n"/>
      <c r="F96" s="24" t="n"/>
      <c r="G96" s="24" t="n"/>
      <c r="H96" s="24" t="n"/>
      <c r="I96" s="29">
        <f>IF(OR(F96="",F96=0),"",G96/F96)</f>
        <v/>
      </c>
      <c r="J96" s="13" t="n"/>
      <c r="K96" s="13" t="n"/>
    </row>
    <row r="97" ht="22" customHeight="1">
      <c r="B97" s="16">
        <f>IF(C97="","AUD-"&amp;TEXT(COUNTA($C$5:C97),"000"))</f>
        <v/>
      </c>
      <c r="C97" s="11" t="n"/>
      <c r="D97" s="26" t="n"/>
      <c r="E97" s="11" t="n"/>
      <c r="F97" s="22" t="n"/>
      <c r="G97" s="22" t="n"/>
      <c r="H97" s="22" t="n"/>
      <c r="I97" s="28">
        <f>IF(OR(F97="",F97=0),"",G97/F97)</f>
        <v/>
      </c>
      <c r="J97" s="11" t="n"/>
      <c r="K97" s="11" t="n"/>
    </row>
    <row r="98" ht="22" customHeight="1">
      <c r="B98" s="15">
        <f>IF(C98="","AUD-"&amp;TEXT(COUNTA($C$5:C98),"000"))</f>
        <v/>
      </c>
      <c r="C98" s="13" t="n"/>
      <c r="D98" s="27" t="n"/>
      <c r="E98" s="13" t="n"/>
      <c r="F98" s="24" t="n"/>
      <c r="G98" s="24" t="n"/>
      <c r="H98" s="24" t="n"/>
      <c r="I98" s="29">
        <f>IF(OR(F98="",F98=0),"",G98/F98)</f>
        <v/>
      </c>
      <c r="J98" s="13" t="n"/>
      <c r="K98" s="13" t="n"/>
    </row>
    <row r="99" ht="22" customHeight="1">
      <c r="B99" s="16">
        <f>IF(C99="","AUD-"&amp;TEXT(COUNTA($C$5:C99),"000"))</f>
        <v/>
      </c>
      <c r="C99" s="11" t="n"/>
      <c r="D99" s="26" t="n"/>
      <c r="E99" s="11" t="n"/>
      <c r="F99" s="22" t="n"/>
      <c r="G99" s="22" t="n"/>
      <c r="H99" s="22" t="n"/>
      <c r="I99" s="28">
        <f>IF(OR(F99="",F99=0),"",G99/F99)</f>
        <v/>
      </c>
      <c r="J99" s="11" t="n"/>
      <c r="K99" s="11" t="n"/>
    </row>
    <row r="100" ht="22" customHeight="1">
      <c r="B100" s="15">
        <f>IF(C100="","AUD-"&amp;TEXT(COUNTA($C$5:C100),"000"))</f>
        <v/>
      </c>
      <c r="C100" s="13" t="n"/>
      <c r="D100" s="27" t="n"/>
      <c r="E100" s="13" t="n"/>
      <c r="F100" s="24" t="n"/>
      <c r="G100" s="24" t="n"/>
      <c r="H100" s="24" t="n"/>
      <c r="I100" s="29">
        <f>IF(OR(F100="",F100=0),"",G100/F100)</f>
        <v/>
      </c>
      <c r="J100" s="13" t="n"/>
      <c r="K100" s="13" t="n"/>
    </row>
    <row r="101" ht="22" customHeight="1">
      <c r="B101" s="16">
        <f>IF(C101="","AUD-"&amp;TEXT(COUNTA($C$5:C101),"000"))</f>
        <v/>
      </c>
      <c r="C101" s="11" t="n"/>
      <c r="D101" s="26" t="n"/>
      <c r="E101" s="11" t="n"/>
      <c r="F101" s="22" t="n"/>
      <c r="G101" s="22" t="n"/>
      <c r="H101" s="22" t="n"/>
      <c r="I101" s="28">
        <f>IF(OR(F101="",F101=0),"",G101/F101)</f>
        <v/>
      </c>
      <c r="J101" s="11" t="n"/>
      <c r="K101" s="11" t="n"/>
    </row>
    <row r="102" ht="22" customHeight="1">
      <c r="B102" s="15">
        <f>IF(C102="","AUD-"&amp;TEXT(COUNTA($C$5:C102),"000"))</f>
        <v/>
      </c>
      <c r="C102" s="13" t="n"/>
      <c r="D102" s="27" t="n"/>
      <c r="E102" s="13" t="n"/>
      <c r="F102" s="24" t="n"/>
      <c r="G102" s="24" t="n"/>
      <c r="H102" s="24" t="n"/>
      <c r="I102" s="29">
        <f>IF(OR(F102="",F102=0),"",G102/F102)</f>
        <v/>
      </c>
      <c r="J102" s="13" t="n"/>
      <c r="K102" s="13" t="n"/>
    </row>
    <row r="103" ht="22" customHeight="1">
      <c r="B103" s="16">
        <f>IF(C103="","AUD-"&amp;TEXT(COUNTA($C$5:C103),"000"))</f>
        <v/>
      </c>
      <c r="C103" s="11" t="n"/>
      <c r="D103" s="26" t="n"/>
      <c r="E103" s="11" t="n"/>
      <c r="F103" s="22" t="n"/>
      <c r="G103" s="22" t="n"/>
      <c r="H103" s="22" t="n"/>
      <c r="I103" s="28">
        <f>IF(OR(F103="",F103=0),"",G103/F103)</f>
        <v/>
      </c>
      <c r="J103" s="11" t="n"/>
      <c r="K103" s="11" t="n"/>
    </row>
    <row r="104" ht="22" customHeight="1">
      <c r="B104" s="15">
        <f>IF(C104="","AUD-"&amp;TEXT(COUNTA($C$5:C104),"000"))</f>
        <v/>
      </c>
      <c r="C104" s="13" t="n"/>
      <c r="D104" s="27" t="n"/>
      <c r="E104" s="13" t="n"/>
      <c r="F104" s="24" t="n"/>
      <c r="G104" s="24" t="n"/>
      <c r="H104" s="24" t="n"/>
      <c r="I104" s="29">
        <f>IF(OR(F104="",F104=0),"",G104/F104)</f>
        <v/>
      </c>
      <c r="J104" s="13" t="n"/>
      <c r="K104" s="13" t="n"/>
    </row>
    <row r="105" ht="22" customHeight="1">
      <c r="B105" s="16">
        <f>IF(C105="","AUD-"&amp;TEXT(COUNTA($C$5:C105),"000"))</f>
        <v/>
      </c>
      <c r="C105" s="11" t="n"/>
      <c r="D105" s="26" t="n"/>
      <c r="E105" s="11" t="n"/>
      <c r="F105" s="22" t="n"/>
      <c r="G105" s="22" t="n"/>
      <c r="H105" s="22" t="n"/>
      <c r="I105" s="28">
        <f>IF(OR(F105="",F105=0),"",G105/F105)</f>
        <v/>
      </c>
      <c r="J105" s="11" t="n"/>
      <c r="K105" s="11" t="n"/>
    </row>
    <row r="106" ht="22" customHeight="1">
      <c r="B106" s="15">
        <f>IF(C106="","AUD-"&amp;TEXT(COUNTA($C$5:C106),"000"))</f>
        <v/>
      </c>
      <c r="C106" s="13" t="n"/>
      <c r="D106" s="27" t="n"/>
      <c r="E106" s="13" t="n"/>
      <c r="F106" s="24" t="n"/>
      <c r="G106" s="24" t="n"/>
      <c r="H106" s="24" t="n"/>
      <c r="I106" s="29">
        <f>IF(OR(F106="",F106=0),"",G106/F106)</f>
        <v/>
      </c>
      <c r="J106" s="13" t="n"/>
      <c r="K106" s="13" t="n"/>
    </row>
    <row r="107" ht="22" customHeight="1">
      <c r="B107" s="16">
        <f>IF(C107="","AUD-"&amp;TEXT(COUNTA($C$5:C107),"000"))</f>
        <v/>
      </c>
      <c r="C107" s="11" t="n"/>
      <c r="D107" s="26" t="n"/>
      <c r="E107" s="11" t="n"/>
      <c r="F107" s="22" t="n"/>
      <c r="G107" s="22" t="n"/>
      <c r="H107" s="22" t="n"/>
      <c r="I107" s="28">
        <f>IF(OR(F107="",F107=0),"",G107/F107)</f>
        <v/>
      </c>
      <c r="J107" s="11" t="n"/>
      <c r="K107" s="11" t="n"/>
    </row>
    <row r="108" ht="22" customHeight="1">
      <c r="B108" s="15">
        <f>IF(C108="","AUD-"&amp;TEXT(COUNTA($C$5:C108),"000"))</f>
        <v/>
      </c>
      <c r="C108" s="13" t="n"/>
      <c r="D108" s="27" t="n"/>
      <c r="E108" s="13" t="n"/>
      <c r="F108" s="24" t="n"/>
      <c r="G108" s="24" t="n"/>
      <c r="H108" s="24" t="n"/>
      <c r="I108" s="29">
        <f>IF(OR(F108="",F108=0),"",G108/F108)</f>
        <v/>
      </c>
      <c r="J108" s="13" t="n"/>
      <c r="K108" s="13" t="n"/>
    </row>
    <row r="109" ht="22" customHeight="1">
      <c r="B109" s="16">
        <f>IF(C109="","AUD-"&amp;TEXT(COUNTA($C$5:C109),"000"))</f>
        <v/>
      </c>
      <c r="C109" s="11" t="n"/>
      <c r="D109" s="26" t="n"/>
      <c r="E109" s="11" t="n"/>
      <c r="F109" s="22" t="n"/>
      <c r="G109" s="22" t="n"/>
      <c r="H109" s="22" t="n"/>
      <c r="I109" s="28">
        <f>IF(OR(F109="",F109=0),"",G109/F109)</f>
        <v/>
      </c>
      <c r="J109" s="11" t="n"/>
      <c r="K109" s="11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Audits realises</t>
        </is>
      </c>
      <c r="D112" s="3" t="inlineStr">
        <is>
          <t>Taux moy. conformite</t>
        </is>
      </c>
      <c r="F112" s="3" t="inlineStr">
        <is>
          <t>Total non conformes</t>
        </is>
      </c>
    </row>
    <row r="113">
      <c r="B113" s="4">
        <f>COUNTIF(B5:B104,"&lt;&gt;")</f>
        <v/>
      </c>
      <c r="D113" s="4">
        <f>IFERROR(AVERAGE(I5:I104),0)</f>
        <v/>
      </c>
      <c r="F113" s="4">
        <f>SUM(H5:H104)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dataValidations count="1">
    <dataValidation sqref="C5:C109" showDropDown="0" showInputMessage="0" showErrorMessage="0" allowBlank="1" errorTitle="Erreur" error="Valeur invalide" promptTitle="Liste" prompt="Choisir dans la liste" type="list">
      <formula1>'_Lists'!$M$2:$M$11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0" customWidth="1" min="4" max="4"/>
    <col width="22" customWidth="1" min="5" max="5"/>
    <col width="14" customWidth="1" min="6" max="6"/>
    <col width="46" customWidth="1" min="7" max="7"/>
    <col width="22" customWidth="1" min="8" max="8"/>
    <col width="22" customWidth="1" min="9" max="9"/>
    <col width="20" customWidth="1" min="10" max="10"/>
    <col width="14" customWidth="1" min="11" max="11"/>
    <col width="36" customWidth="1" min="12" max="12"/>
  </cols>
  <sheetData>
    <row r="1" ht="15" customHeight="1"/>
    <row r="2" ht="32" customHeight="1">
      <c r="B2" s="1" t="inlineStr">
        <is>
          <t>GESTION LITIGES &amp; CONTENTIEUX (#124)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Plaignant</t>
        </is>
      </c>
      <c r="D4" s="10" t="inlineStr">
        <is>
          <t>Poste</t>
        </is>
      </c>
      <c r="E4" s="10" t="inlineStr">
        <is>
          <t>Type Litige</t>
        </is>
      </c>
      <c r="F4" s="10" t="inlineStr">
        <is>
          <t>Date Ouverture</t>
        </is>
      </c>
      <c r="G4" s="10" t="inlineStr">
        <is>
          <t>Description</t>
        </is>
      </c>
      <c r="H4" s="10" t="inlineStr">
        <is>
          <t>Montant Reclame (FCFA)</t>
        </is>
      </c>
      <c r="I4" s="10" t="inlineStr">
        <is>
          <t>Avocat / Conseil</t>
        </is>
      </c>
      <c r="J4" s="10" t="inlineStr">
        <is>
          <t>Statut</t>
        </is>
      </c>
      <c r="K4" s="10" t="inlineStr">
        <is>
          <t>Date Cloture</t>
        </is>
      </c>
      <c r="L4" s="10" t="inlineStr">
        <is>
          <t>Issue</t>
        </is>
      </c>
    </row>
    <row r="5" ht="22" customHeight="1">
      <c r="B5" s="11" t="inlineStr">
        <is>
          <t>LIT-001</t>
        </is>
      </c>
      <c r="C5" s="11" t="inlineStr">
        <is>
          <t>Tchouanku G.</t>
        </is>
      </c>
      <c r="D5" s="11" t="inlineStr">
        <is>
          <t>Agent Securite</t>
        </is>
      </c>
      <c r="E5" s="11" t="inlineStr">
        <is>
          <t>Licenciement abusif</t>
        </is>
      </c>
      <c r="F5" s="26" t="n">
        <v>45802</v>
      </c>
      <c r="G5" s="11" t="inlineStr">
        <is>
          <t>Contestation licenciement pour faute, allegation procedure irreguliere</t>
        </is>
      </c>
      <c r="H5" s="17" t="n">
        <v>3500000</v>
      </c>
      <c r="I5" s="11" t="inlineStr">
        <is>
          <t>Me. Ngando</t>
        </is>
      </c>
      <c r="J5" s="11" t="inlineStr">
        <is>
          <t>En cours</t>
        </is>
      </c>
      <c r="K5" s="26" t="n"/>
      <c r="L5" s="11" t="inlineStr"/>
    </row>
    <row r="6" ht="22" customHeight="1">
      <c r="B6" s="13" t="inlineStr">
        <is>
          <t>LIT-002</t>
        </is>
      </c>
      <c r="C6" s="13" t="inlineStr">
        <is>
          <t>Abdou B.</t>
        </is>
      </c>
      <c r="D6" s="13" t="inlineStr">
        <is>
          <t>Plongeur</t>
        </is>
      </c>
      <c r="E6" s="13" t="inlineStr">
        <is>
          <t>Heures supplementaires</t>
        </is>
      </c>
      <c r="F6" s="27" t="n">
        <v>45698</v>
      </c>
      <c r="G6" s="13" t="inlineStr">
        <is>
          <t>Reclamation paiement 45 heures supplementaires non payees</t>
        </is>
      </c>
      <c r="H6" s="18" t="n">
        <v>180000</v>
      </c>
      <c r="I6" s="13" t="inlineStr">
        <is>
          <t>Conciliation interne DRH</t>
        </is>
      </c>
      <c r="J6" s="13" t="inlineStr">
        <is>
          <t>Resolu</t>
        </is>
      </c>
      <c r="K6" s="27" t="n">
        <v>45731</v>
      </c>
      <c r="L6" s="13" t="inlineStr">
        <is>
          <t>Accord transactionnel 150000 FCFA</t>
        </is>
      </c>
    </row>
    <row r="7" ht="22" customHeight="1">
      <c r="B7" s="11" t="inlineStr">
        <is>
          <t>LIT-003</t>
        </is>
      </c>
      <c r="C7" s="11" t="inlineStr">
        <is>
          <t>Ex-employe Manga K.</t>
        </is>
      </c>
      <c r="D7" s="11" t="inlineStr">
        <is>
          <t>Ancien Cuisinier</t>
        </is>
      </c>
      <c r="E7" s="11" t="inlineStr">
        <is>
          <t>Conditions travail</t>
        </is>
      </c>
      <c r="F7" s="26" t="n">
        <v>45597</v>
      </c>
      <c r="G7" s="11" t="inlineStr">
        <is>
          <t>Demolition pour conditions de travail dangereuses en cuisine</t>
        </is>
      </c>
      <c r="H7" s="17" t="n">
        <v>5000000</v>
      </c>
      <c r="I7" s="11" t="inlineStr">
        <is>
          <t>Me. Ngando</t>
        </is>
      </c>
      <c r="J7" s="11" t="inlineStr">
        <is>
          <t>Assigne tribunal</t>
        </is>
      </c>
      <c r="K7" s="26" t="n"/>
      <c r="L7" s="11" t="inlineStr"/>
    </row>
    <row r="8" ht="22" customHeight="1">
      <c r="B8" s="13" t="inlineStr">
        <is>
          <t>LIT-004</t>
        </is>
      </c>
      <c r="C8" s="13" t="inlineStr">
        <is>
          <t>Nana C.</t>
        </is>
      </c>
      <c r="D8" s="13" t="inlineStr">
        <is>
          <t>Receptionniste</t>
        </is>
      </c>
      <c r="E8" s="13" t="inlineStr">
        <is>
          <t>Harcèlement</t>
        </is>
      </c>
      <c r="F8" s="27" t="n">
        <v>45818</v>
      </c>
      <c r="G8" s="13" t="inlineStr">
        <is>
          <t>Allegation harcelement moral par N+1</t>
        </is>
      </c>
      <c r="H8" s="18" t="n">
        <v>8000000</v>
      </c>
      <c r="I8" s="13" t="inlineStr">
        <is>
          <t>Mediateur interne</t>
        </is>
      </c>
      <c r="J8" s="13" t="inlineStr">
        <is>
          <t>En conciliation</t>
        </is>
      </c>
      <c r="K8" s="27" t="n"/>
      <c r="L8" s="13" t="inlineStr"/>
    </row>
    <row r="9" ht="22" customHeight="1">
      <c r="B9" s="16">
        <f>IF(C9="","LIT-"&amp;TEXT(COUNTA($C$5:C9),"000"))</f>
        <v/>
      </c>
      <c r="C9" s="11" t="n"/>
      <c r="D9" s="11" t="n"/>
      <c r="E9" s="11" t="n"/>
      <c r="F9" s="26" t="n"/>
      <c r="G9" s="11" t="n"/>
      <c r="H9" s="17" t="n"/>
      <c r="I9" s="11" t="n"/>
      <c r="J9" s="11" t="n"/>
      <c r="K9" s="26" t="n"/>
      <c r="L9" s="11" t="n"/>
    </row>
    <row r="10" ht="22" customHeight="1">
      <c r="B10" s="15">
        <f>IF(C10="","LIT-"&amp;TEXT(COUNTA($C$5:C10),"000"))</f>
        <v/>
      </c>
      <c r="C10" s="13" t="n"/>
      <c r="D10" s="13" t="n"/>
      <c r="E10" s="13" t="n"/>
      <c r="F10" s="27" t="n"/>
      <c r="G10" s="13" t="n"/>
      <c r="H10" s="18" t="n"/>
      <c r="I10" s="13" t="n"/>
      <c r="J10" s="13" t="n"/>
      <c r="K10" s="27" t="n"/>
      <c r="L10" s="13" t="n"/>
    </row>
    <row r="11" ht="22" customHeight="1">
      <c r="B11" s="16">
        <f>IF(C11="","LIT-"&amp;TEXT(COUNTA($C$5:C11),"000"))</f>
        <v/>
      </c>
      <c r="C11" s="11" t="n"/>
      <c r="D11" s="11" t="n"/>
      <c r="E11" s="11" t="n"/>
      <c r="F11" s="26" t="n"/>
      <c r="G11" s="11" t="n"/>
      <c r="H11" s="17" t="n"/>
      <c r="I11" s="11" t="n"/>
      <c r="J11" s="11" t="n"/>
      <c r="K11" s="26" t="n"/>
      <c r="L11" s="11" t="n"/>
    </row>
    <row r="12" ht="22" customHeight="1">
      <c r="B12" s="15">
        <f>IF(C12="","LIT-"&amp;TEXT(COUNTA($C$5:C12),"000"))</f>
        <v/>
      </c>
      <c r="C12" s="13" t="n"/>
      <c r="D12" s="13" t="n"/>
      <c r="E12" s="13" t="n"/>
      <c r="F12" s="27" t="n"/>
      <c r="G12" s="13" t="n"/>
      <c r="H12" s="18" t="n"/>
      <c r="I12" s="13" t="n"/>
      <c r="J12" s="13" t="n"/>
      <c r="K12" s="27" t="n"/>
      <c r="L12" s="13" t="n"/>
    </row>
    <row r="13" ht="22" customHeight="1">
      <c r="B13" s="16">
        <f>IF(C13="","LIT-"&amp;TEXT(COUNTA($C$5:C13),"000"))</f>
        <v/>
      </c>
      <c r="C13" s="11" t="n"/>
      <c r="D13" s="11" t="n"/>
      <c r="E13" s="11" t="n"/>
      <c r="F13" s="26" t="n"/>
      <c r="G13" s="11" t="n"/>
      <c r="H13" s="17" t="n"/>
      <c r="I13" s="11" t="n"/>
      <c r="J13" s="11" t="n"/>
      <c r="K13" s="26" t="n"/>
      <c r="L13" s="11" t="n"/>
    </row>
    <row r="14" ht="22" customHeight="1">
      <c r="B14" s="15">
        <f>IF(C14="","LIT-"&amp;TEXT(COUNTA($C$5:C14),"000"))</f>
        <v/>
      </c>
      <c r="C14" s="13" t="n"/>
      <c r="D14" s="13" t="n"/>
      <c r="E14" s="13" t="n"/>
      <c r="F14" s="27" t="n"/>
      <c r="G14" s="13" t="n"/>
      <c r="H14" s="18" t="n"/>
      <c r="I14" s="13" t="n"/>
      <c r="J14" s="13" t="n"/>
      <c r="K14" s="27" t="n"/>
      <c r="L14" s="13" t="n"/>
    </row>
    <row r="15" ht="22" customHeight="1">
      <c r="B15" s="16">
        <f>IF(C15="","LIT-"&amp;TEXT(COUNTA($C$5:C15),"000"))</f>
        <v/>
      </c>
      <c r="C15" s="11" t="n"/>
      <c r="D15" s="11" t="n"/>
      <c r="E15" s="11" t="n"/>
      <c r="F15" s="26" t="n"/>
      <c r="G15" s="11" t="n"/>
      <c r="H15" s="17" t="n"/>
      <c r="I15" s="11" t="n"/>
      <c r="J15" s="11" t="n"/>
      <c r="K15" s="26" t="n"/>
      <c r="L15" s="11" t="n"/>
    </row>
    <row r="16" ht="22" customHeight="1">
      <c r="B16" s="15">
        <f>IF(C16="","LIT-"&amp;TEXT(COUNTA($C$5:C16),"000"))</f>
        <v/>
      </c>
      <c r="C16" s="13" t="n"/>
      <c r="D16" s="13" t="n"/>
      <c r="E16" s="13" t="n"/>
      <c r="F16" s="27" t="n"/>
      <c r="G16" s="13" t="n"/>
      <c r="H16" s="18" t="n"/>
      <c r="I16" s="13" t="n"/>
      <c r="J16" s="13" t="n"/>
      <c r="K16" s="27" t="n"/>
      <c r="L16" s="13" t="n"/>
    </row>
    <row r="17" ht="22" customHeight="1">
      <c r="B17" s="16">
        <f>IF(C17="","LIT-"&amp;TEXT(COUNTA($C$5:C17),"000"))</f>
        <v/>
      </c>
      <c r="C17" s="11" t="n"/>
      <c r="D17" s="11" t="n"/>
      <c r="E17" s="11" t="n"/>
      <c r="F17" s="26" t="n"/>
      <c r="G17" s="11" t="n"/>
      <c r="H17" s="17" t="n"/>
      <c r="I17" s="11" t="n"/>
      <c r="J17" s="11" t="n"/>
      <c r="K17" s="26" t="n"/>
      <c r="L17" s="11" t="n"/>
    </row>
    <row r="18" ht="22" customHeight="1">
      <c r="B18" s="15">
        <f>IF(C18="","LIT-"&amp;TEXT(COUNTA($C$5:C18),"000"))</f>
        <v/>
      </c>
      <c r="C18" s="13" t="n"/>
      <c r="D18" s="13" t="n"/>
      <c r="E18" s="13" t="n"/>
      <c r="F18" s="27" t="n"/>
      <c r="G18" s="13" t="n"/>
      <c r="H18" s="18" t="n"/>
      <c r="I18" s="13" t="n"/>
      <c r="J18" s="13" t="n"/>
      <c r="K18" s="27" t="n"/>
      <c r="L18" s="13" t="n"/>
    </row>
    <row r="19" ht="22" customHeight="1">
      <c r="B19" s="16">
        <f>IF(C19="","LIT-"&amp;TEXT(COUNTA($C$5:C19),"000"))</f>
        <v/>
      </c>
      <c r="C19" s="11" t="n"/>
      <c r="D19" s="11" t="n"/>
      <c r="E19" s="11" t="n"/>
      <c r="F19" s="26" t="n"/>
      <c r="G19" s="11" t="n"/>
      <c r="H19" s="17" t="n"/>
      <c r="I19" s="11" t="n"/>
      <c r="J19" s="11" t="n"/>
      <c r="K19" s="26" t="n"/>
      <c r="L19" s="11" t="n"/>
    </row>
    <row r="20" ht="22" customHeight="1">
      <c r="B20" s="15">
        <f>IF(C20="","LIT-"&amp;TEXT(COUNTA($C$5:C20),"000"))</f>
        <v/>
      </c>
      <c r="C20" s="13" t="n"/>
      <c r="D20" s="13" t="n"/>
      <c r="E20" s="13" t="n"/>
      <c r="F20" s="27" t="n"/>
      <c r="G20" s="13" t="n"/>
      <c r="H20" s="18" t="n"/>
      <c r="I20" s="13" t="n"/>
      <c r="J20" s="13" t="n"/>
      <c r="K20" s="27" t="n"/>
      <c r="L20" s="13" t="n"/>
    </row>
    <row r="21" ht="22" customHeight="1">
      <c r="B21" s="16">
        <f>IF(C21="","LIT-"&amp;TEXT(COUNTA($C$5:C21),"000"))</f>
        <v/>
      </c>
      <c r="C21" s="11" t="n"/>
      <c r="D21" s="11" t="n"/>
      <c r="E21" s="11" t="n"/>
      <c r="F21" s="26" t="n"/>
      <c r="G21" s="11" t="n"/>
      <c r="H21" s="17" t="n"/>
      <c r="I21" s="11" t="n"/>
      <c r="J21" s="11" t="n"/>
      <c r="K21" s="26" t="n"/>
      <c r="L21" s="11" t="n"/>
    </row>
    <row r="22" ht="22" customHeight="1">
      <c r="B22" s="15">
        <f>IF(C22="","LIT-"&amp;TEXT(COUNTA($C$5:C22),"000"))</f>
        <v/>
      </c>
      <c r="C22" s="13" t="n"/>
      <c r="D22" s="13" t="n"/>
      <c r="E22" s="13" t="n"/>
      <c r="F22" s="27" t="n"/>
      <c r="G22" s="13" t="n"/>
      <c r="H22" s="18" t="n"/>
      <c r="I22" s="13" t="n"/>
      <c r="J22" s="13" t="n"/>
      <c r="K22" s="27" t="n"/>
      <c r="L22" s="13" t="n"/>
    </row>
    <row r="23" ht="22" customHeight="1">
      <c r="B23" s="16">
        <f>IF(C23="","LIT-"&amp;TEXT(COUNTA($C$5:C23),"000"))</f>
        <v/>
      </c>
      <c r="C23" s="11" t="n"/>
      <c r="D23" s="11" t="n"/>
      <c r="E23" s="11" t="n"/>
      <c r="F23" s="26" t="n"/>
      <c r="G23" s="11" t="n"/>
      <c r="H23" s="17" t="n"/>
      <c r="I23" s="11" t="n"/>
      <c r="J23" s="11" t="n"/>
      <c r="K23" s="26" t="n"/>
      <c r="L23" s="11" t="n"/>
    </row>
    <row r="24" ht="22" customHeight="1">
      <c r="B24" s="15">
        <f>IF(C24="","LIT-"&amp;TEXT(COUNTA($C$5:C24),"000"))</f>
        <v/>
      </c>
      <c r="C24" s="13" t="n"/>
      <c r="D24" s="13" t="n"/>
      <c r="E24" s="13" t="n"/>
      <c r="F24" s="27" t="n"/>
      <c r="G24" s="13" t="n"/>
      <c r="H24" s="18" t="n"/>
      <c r="I24" s="13" t="n"/>
      <c r="J24" s="13" t="n"/>
      <c r="K24" s="27" t="n"/>
      <c r="L24" s="13" t="n"/>
    </row>
    <row r="25" ht="22" customHeight="1">
      <c r="B25" s="16">
        <f>IF(C25="","LIT-"&amp;TEXT(COUNTA($C$5:C25),"000"))</f>
        <v/>
      </c>
      <c r="C25" s="11" t="n"/>
      <c r="D25" s="11" t="n"/>
      <c r="E25" s="11" t="n"/>
      <c r="F25" s="26" t="n"/>
      <c r="G25" s="11" t="n"/>
      <c r="H25" s="17" t="n"/>
      <c r="I25" s="11" t="n"/>
      <c r="J25" s="11" t="n"/>
      <c r="K25" s="26" t="n"/>
      <c r="L25" s="11" t="n"/>
    </row>
    <row r="26" ht="22" customHeight="1">
      <c r="B26" s="15">
        <f>IF(C26="","LIT-"&amp;TEXT(COUNTA($C$5:C26),"000"))</f>
        <v/>
      </c>
      <c r="C26" s="13" t="n"/>
      <c r="D26" s="13" t="n"/>
      <c r="E26" s="13" t="n"/>
      <c r="F26" s="27" t="n"/>
      <c r="G26" s="13" t="n"/>
      <c r="H26" s="18" t="n"/>
      <c r="I26" s="13" t="n"/>
      <c r="J26" s="13" t="n"/>
      <c r="K26" s="27" t="n"/>
      <c r="L26" s="13" t="n"/>
    </row>
    <row r="27" ht="22" customHeight="1">
      <c r="B27" s="16">
        <f>IF(C27="","LIT-"&amp;TEXT(COUNTA($C$5:C27),"000"))</f>
        <v/>
      </c>
      <c r="C27" s="11" t="n"/>
      <c r="D27" s="11" t="n"/>
      <c r="E27" s="11" t="n"/>
      <c r="F27" s="26" t="n"/>
      <c r="G27" s="11" t="n"/>
      <c r="H27" s="17" t="n"/>
      <c r="I27" s="11" t="n"/>
      <c r="J27" s="11" t="n"/>
      <c r="K27" s="26" t="n"/>
      <c r="L27" s="11" t="n"/>
    </row>
    <row r="28" ht="22" customHeight="1">
      <c r="B28" s="15">
        <f>IF(C28="","LIT-"&amp;TEXT(COUNTA($C$5:C28),"000"))</f>
        <v/>
      </c>
      <c r="C28" s="13" t="n"/>
      <c r="D28" s="13" t="n"/>
      <c r="E28" s="13" t="n"/>
      <c r="F28" s="27" t="n"/>
      <c r="G28" s="13" t="n"/>
      <c r="H28" s="18" t="n"/>
      <c r="I28" s="13" t="n"/>
      <c r="J28" s="13" t="n"/>
      <c r="K28" s="27" t="n"/>
      <c r="L28" s="13" t="n"/>
    </row>
    <row r="29" ht="22" customHeight="1">
      <c r="B29" s="16">
        <f>IF(C29="","LIT-"&amp;TEXT(COUNTA($C$5:C29),"000"))</f>
        <v/>
      </c>
      <c r="C29" s="11" t="n"/>
      <c r="D29" s="11" t="n"/>
      <c r="E29" s="11" t="n"/>
      <c r="F29" s="26" t="n"/>
      <c r="G29" s="11" t="n"/>
      <c r="H29" s="17" t="n"/>
      <c r="I29" s="11" t="n"/>
      <c r="J29" s="11" t="n"/>
      <c r="K29" s="26" t="n"/>
      <c r="L29" s="11" t="n"/>
    </row>
    <row r="30" ht="22" customHeight="1">
      <c r="B30" s="15">
        <f>IF(C30="","LIT-"&amp;TEXT(COUNTA($C$5:C30),"000"))</f>
        <v/>
      </c>
      <c r="C30" s="13" t="n"/>
      <c r="D30" s="13" t="n"/>
      <c r="E30" s="13" t="n"/>
      <c r="F30" s="27" t="n"/>
      <c r="G30" s="13" t="n"/>
      <c r="H30" s="18" t="n"/>
      <c r="I30" s="13" t="n"/>
      <c r="J30" s="13" t="n"/>
      <c r="K30" s="27" t="n"/>
      <c r="L30" s="13" t="n"/>
    </row>
    <row r="31" ht="22" customHeight="1">
      <c r="B31" s="16">
        <f>IF(C31="","LIT-"&amp;TEXT(COUNTA($C$5:C31),"000"))</f>
        <v/>
      </c>
      <c r="C31" s="11" t="n"/>
      <c r="D31" s="11" t="n"/>
      <c r="E31" s="11" t="n"/>
      <c r="F31" s="26" t="n"/>
      <c r="G31" s="11" t="n"/>
      <c r="H31" s="17" t="n"/>
      <c r="I31" s="11" t="n"/>
      <c r="J31" s="11" t="n"/>
      <c r="K31" s="26" t="n"/>
      <c r="L31" s="11" t="n"/>
    </row>
    <row r="32" ht="22" customHeight="1">
      <c r="B32" s="15">
        <f>IF(C32="","LIT-"&amp;TEXT(COUNTA($C$5:C32),"000"))</f>
        <v/>
      </c>
      <c r="C32" s="13" t="n"/>
      <c r="D32" s="13" t="n"/>
      <c r="E32" s="13" t="n"/>
      <c r="F32" s="27" t="n"/>
      <c r="G32" s="13" t="n"/>
      <c r="H32" s="18" t="n"/>
      <c r="I32" s="13" t="n"/>
      <c r="J32" s="13" t="n"/>
      <c r="K32" s="27" t="n"/>
      <c r="L32" s="13" t="n"/>
    </row>
    <row r="33" ht="22" customHeight="1">
      <c r="B33" s="16">
        <f>IF(C33="","LIT-"&amp;TEXT(COUNTA($C$5:C33),"000"))</f>
        <v/>
      </c>
      <c r="C33" s="11" t="n"/>
      <c r="D33" s="11" t="n"/>
      <c r="E33" s="11" t="n"/>
      <c r="F33" s="26" t="n"/>
      <c r="G33" s="11" t="n"/>
      <c r="H33" s="17" t="n"/>
      <c r="I33" s="11" t="n"/>
      <c r="J33" s="11" t="n"/>
      <c r="K33" s="26" t="n"/>
      <c r="L33" s="11" t="n"/>
    </row>
    <row r="34" ht="22" customHeight="1">
      <c r="B34" s="15">
        <f>IF(C34="","LIT-"&amp;TEXT(COUNTA($C$5:C34),"000"))</f>
        <v/>
      </c>
      <c r="C34" s="13" t="n"/>
      <c r="D34" s="13" t="n"/>
      <c r="E34" s="13" t="n"/>
      <c r="F34" s="27" t="n"/>
      <c r="G34" s="13" t="n"/>
      <c r="H34" s="18" t="n"/>
      <c r="I34" s="13" t="n"/>
      <c r="J34" s="13" t="n"/>
      <c r="K34" s="27" t="n"/>
      <c r="L34" s="13" t="n"/>
    </row>
    <row r="35" ht="22" customHeight="1">
      <c r="B35" s="16">
        <f>IF(C35="","LIT-"&amp;TEXT(COUNTA($C$5:C35),"000"))</f>
        <v/>
      </c>
      <c r="C35" s="11" t="n"/>
      <c r="D35" s="11" t="n"/>
      <c r="E35" s="11" t="n"/>
      <c r="F35" s="26" t="n"/>
      <c r="G35" s="11" t="n"/>
      <c r="H35" s="17" t="n"/>
      <c r="I35" s="11" t="n"/>
      <c r="J35" s="11" t="n"/>
      <c r="K35" s="26" t="n"/>
      <c r="L35" s="11" t="n"/>
    </row>
    <row r="36" ht="22" customHeight="1">
      <c r="B36" s="15">
        <f>IF(C36="","LIT-"&amp;TEXT(COUNTA($C$5:C36),"000"))</f>
        <v/>
      </c>
      <c r="C36" s="13" t="n"/>
      <c r="D36" s="13" t="n"/>
      <c r="E36" s="13" t="n"/>
      <c r="F36" s="27" t="n"/>
      <c r="G36" s="13" t="n"/>
      <c r="H36" s="18" t="n"/>
      <c r="I36" s="13" t="n"/>
      <c r="J36" s="13" t="n"/>
      <c r="K36" s="27" t="n"/>
      <c r="L36" s="13" t="n"/>
    </row>
    <row r="37" ht="22" customHeight="1">
      <c r="B37" s="16">
        <f>IF(C37="","LIT-"&amp;TEXT(COUNTA($C$5:C37),"000"))</f>
        <v/>
      </c>
      <c r="C37" s="11" t="n"/>
      <c r="D37" s="11" t="n"/>
      <c r="E37" s="11" t="n"/>
      <c r="F37" s="26" t="n"/>
      <c r="G37" s="11" t="n"/>
      <c r="H37" s="17" t="n"/>
      <c r="I37" s="11" t="n"/>
      <c r="J37" s="11" t="n"/>
      <c r="K37" s="26" t="n"/>
      <c r="L37" s="11" t="n"/>
    </row>
    <row r="38" ht="22" customHeight="1">
      <c r="B38" s="15">
        <f>IF(C38="","LIT-"&amp;TEXT(COUNTA($C$5:C38),"000"))</f>
        <v/>
      </c>
      <c r="C38" s="13" t="n"/>
      <c r="D38" s="13" t="n"/>
      <c r="E38" s="13" t="n"/>
      <c r="F38" s="27" t="n"/>
      <c r="G38" s="13" t="n"/>
      <c r="H38" s="18" t="n"/>
      <c r="I38" s="13" t="n"/>
      <c r="J38" s="13" t="n"/>
      <c r="K38" s="27" t="n"/>
      <c r="L38" s="13" t="n"/>
    </row>
    <row r="39" ht="22" customHeight="1">
      <c r="B39" s="16">
        <f>IF(C39="","LIT-"&amp;TEXT(COUNTA($C$5:C39),"000"))</f>
        <v/>
      </c>
      <c r="C39" s="11" t="n"/>
      <c r="D39" s="11" t="n"/>
      <c r="E39" s="11" t="n"/>
      <c r="F39" s="26" t="n"/>
      <c r="G39" s="11" t="n"/>
      <c r="H39" s="17" t="n"/>
      <c r="I39" s="11" t="n"/>
      <c r="J39" s="11" t="n"/>
      <c r="K39" s="26" t="n"/>
      <c r="L39" s="11" t="n"/>
    </row>
    <row r="40" ht="22" customHeight="1">
      <c r="B40" s="15">
        <f>IF(C40="","LIT-"&amp;TEXT(COUNTA($C$5:C40),"000"))</f>
        <v/>
      </c>
      <c r="C40" s="13" t="n"/>
      <c r="D40" s="13" t="n"/>
      <c r="E40" s="13" t="n"/>
      <c r="F40" s="27" t="n"/>
      <c r="G40" s="13" t="n"/>
      <c r="H40" s="18" t="n"/>
      <c r="I40" s="13" t="n"/>
      <c r="J40" s="13" t="n"/>
      <c r="K40" s="27" t="n"/>
      <c r="L40" s="13" t="n"/>
    </row>
    <row r="41" ht="22" customHeight="1">
      <c r="B41" s="16">
        <f>IF(C41="","LIT-"&amp;TEXT(COUNTA($C$5:C41),"000"))</f>
        <v/>
      </c>
      <c r="C41" s="11" t="n"/>
      <c r="D41" s="11" t="n"/>
      <c r="E41" s="11" t="n"/>
      <c r="F41" s="26" t="n"/>
      <c r="G41" s="11" t="n"/>
      <c r="H41" s="17" t="n"/>
      <c r="I41" s="11" t="n"/>
      <c r="J41" s="11" t="n"/>
      <c r="K41" s="26" t="n"/>
      <c r="L41" s="11" t="n"/>
    </row>
    <row r="42" ht="22" customHeight="1">
      <c r="B42" s="15">
        <f>IF(C42="","LIT-"&amp;TEXT(COUNTA($C$5:C42),"000"))</f>
        <v/>
      </c>
      <c r="C42" s="13" t="n"/>
      <c r="D42" s="13" t="n"/>
      <c r="E42" s="13" t="n"/>
      <c r="F42" s="27" t="n"/>
      <c r="G42" s="13" t="n"/>
      <c r="H42" s="18" t="n"/>
      <c r="I42" s="13" t="n"/>
      <c r="J42" s="13" t="n"/>
      <c r="K42" s="27" t="n"/>
      <c r="L42" s="13" t="n"/>
    </row>
    <row r="43" ht="22" customHeight="1">
      <c r="B43" s="16">
        <f>IF(C43="","LIT-"&amp;TEXT(COUNTA($C$5:C43),"000"))</f>
        <v/>
      </c>
      <c r="C43" s="11" t="n"/>
      <c r="D43" s="11" t="n"/>
      <c r="E43" s="11" t="n"/>
      <c r="F43" s="26" t="n"/>
      <c r="G43" s="11" t="n"/>
      <c r="H43" s="17" t="n"/>
      <c r="I43" s="11" t="n"/>
      <c r="J43" s="11" t="n"/>
      <c r="K43" s="26" t="n"/>
      <c r="L43" s="11" t="n"/>
    </row>
    <row r="44" ht="22" customHeight="1">
      <c r="B44" s="15">
        <f>IF(C44="","LIT-"&amp;TEXT(COUNTA($C$5:C44),"000"))</f>
        <v/>
      </c>
      <c r="C44" s="13" t="n"/>
      <c r="D44" s="13" t="n"/>
      <c r="E44" s="13" t="n"/>
      <c r="F44" s="27" t="n"/>
      <c r="G44" s="13" t="n"/>
      <c r="H44" s="18" t="n"/>
      <c r="I44" s="13" t="n"/>
      <c r="J44" s="13" t="n"/>
      <c r="K44" s="27" t="n"/>
      <c r="L44" s="13" t="n"/>
    </row>
    <row r="45" ht="22" customHeight="1">
      <c r="B45" s="16">
        <f>IF(C45="","LIT-"&amp;TEXT(COUNTA($C$5:C45),"000"))</f>
        <v/>
      </c>
      <c r="C45" s="11" t="n"/>
      <c r="D45" s="11" t="n"/>
      <c r="E45" s="11" t="n"/>
      <c r="F45" s="26" t="n"/>
      <c r="G45" s="11" t="n"/>
      <c r="H45" s="17" t="n"/>
      <c r="I45" s="11" t="n"/>
      <c r="J45" s="11" t="n"/>
      <c r="K45" s="26" t="n"/>
      <c r="L45" s="11" t="n"/>
    </row>
    <row r="46" ht="22" customHeight="1">
      <c r="B46" s="15">
        <f>IF(C46="","LIT-"&amp;TEXT(COUNTA($C$5:C46),"000"))</f>
        <v/>
      </c>
      <c r="C46" s="13" t="n"/>
      <c r="D46" s="13" t="n"/>
      <c r="E46" s="13" t="n"/>
      <c r="F46" s="27" t="n"/>
      <c r="G46" s="13" t="n"/>
      <c r="H46" s="18" t="n"/>
      <c r="I46" s="13" t="n"/>
      <c r="J46" s="13" t="n"/>
      <c r="K46" s="27" t="n"/>
      <c r="L46" s="13" t="n"/>
    </row>
    <row r="47" ht="22" customHeight="1">
      <c r="B47" s="16">
        <f>IF(C47="","LIT-"&amp;TEXT(COUNTA($C$5:C47),"000"))</f>
        <v/>
      </c>
      <c r="C47" s="11" t="n"/>
      <c r="D47" s="11" t="n"/>
      <c r="E47" s="11" t="n"/>
      <c r="F47" s="26" t="n"/>
      <c r="G47" s="11" t="n"/>
      <c r="H47" s="17" t="n"/>
      <c r="I47" s="11" t="n"/>
      <c r="J47" s="11" t="n"/>
      <c r="K47" s="26" t="n"/>
      <c r="L47" s="11" t="n"/>
    </row>
    <row r="48" ht="22" customHeight="1">
      <c r="B48" s="15">
        <f>IF(C48="","LIT-"&amp;TEXT(COUNTA($C$5:C48),"000"))</f>
        <v/>
      </c>
      <c r="C48" s="13" t="n"/>
      <c r="D48" s="13" t="n"/>
      <c r="E48" s="13" t="n"/>
      <c r="F48" s="27" t="n"/>
      <c r="G48" s="13" t="n"/>
      <c r="H48" s="18" t="n"/>
      <c r="I48" s="13" t="n"/>
      <c r="J48" s="13" t="n"/>
      <c r="K48" s="27" t="n"/>
      <c r="L48" s="13" t="n"/>
    </row>
    <row r="49" ht="22" customHeight="1">
      <c r="B49" s="16">
        <f>IF(C49="","LIT-"&amp;TEXT(COUNTA($C$5:C49),"000"))</f>
        <v/>
      </c>
      <c r="C49" s="11" t="n"/>
      <c r="D49" s="11" t="n"/>
      <c r="E49" s="11" t="n"/>
      <c r="F49" s="26" t="n"/>
      <c r="G49" s="11" t="n"/>
      <c r="H49" s="17" t="n"/>
      <c r="I49" s="11" t="n"/>
      <c r="J49" s="11" t="n"/>
      <c r="K49" s="26" t="n"/>
      <c r="L49" s="11" t="n"/>
    </row>
    <row r="50" ht="22" customHeight="1">
      <c r="B50" s="15">
        <f>IF(C50="","LIT-"&amp;TEXT(COUNTA($C$5:C50),"000"))</f>
        <v/>
      </c>
      <c r="C50" s="13" t="n"/>
      <c r="D50" s="13" t="n"/>
      <c r="E50" s="13" t="n"/>
      <c r="F50" s="27" t="n"/>
      <c r="G50" s="13" t="n"/>
      <c r="H50" s="18" t="n"/>
      <c r="I50" s="13" t="n"/>
      <c r="J50" s="13" t="n"/>
      <c r="K50" s="27" t="n"/>
      <c r="L50" s="13" t="n"/>
    </row>
    <row r="51" ht="22" customHeight="1">
      <c r="B51" s="16">
        <f>IF(C51="","LIT-"&amp;TEXT(COUNTA($C$5:C51),"000"))</f>
        <v/>
      </c>
      <c r="C51" s="11" t="n"/>
      <c r="D51" s="11" t="n"/>
      <c r="E51" s="11" t="n"/>
      <c r="F51" s="26" t="n"/>
      <c r="G51" s="11" t="n"/>
      <c r="H51" s="17" t="n"/>
      <c r="I51" s="11" t="n"/>
      <c r="J51" s="11" t="n"/>
      <c r="K51" s="26" t="n"/>
      <c r="L51" s="11" t="n"/>
    </row>
    <row r="52" ht="22" customHeight="1">
      <c r="B52" s="15">
        <f>IF(C52="","LIT-"&amp;TEXT(COUNTA($C$5:C52),"000"))</f>
        <v/>
      </c>
      <c r="C52" s="13" t="n"/>
      <c r="D52" s="13" t="n"/>
      <c r="E52" s="13" t="n"/>
      <c r="F52" s="27" t="n"/>
      <c r="G52" s="13" t="n"/>
      <c r="H52" s="18" t="n"/>
      <c r="I52" s="13" t="n"/>
      <c r="J52" s="13" t="n"/>
      <c r="K52" s="27" t="n"/>
      <c r="L52" s="13" t="n"/>
    </row>
    <row r="53" ht="22" customHeight="1">
      <c r="B53" s="16">
        <f>IF(C53="","LIT-"&amp;TEXT(COUNTA($C$5:C53),"000"))</f>
        <v/>
      </c>
      <c r="C53" s="11" t="n"/>
      <c r="D53" s="11" t="n"/>
      <c r="E53" s="11" t="n"/>
      <c r="F53" s="26" t="n"/>
      <c r="G53" s="11" t="n"/>
      <c r="H53" s="17" t="n"/>
      <c r="I53" s="11" t="n"/>
      <c r="J53" s="11" t="n"/>
      <c r="K53" s="26" t="n"/>
      <c r="L53" s="11" t="n"/>
    </row>
    <row r="54" ht="22" customHeight="1">
      <c r="B54" s="15">
        <f>IF(C54="","LIT-"&amp;TEXT(COUNTA($C$5:C54),"000"))</f>
        <v/>
      </c>
      <c r="C54" s="13" t="n"/>
      <c r="D54" s="13" t="n"/>
      <c r="E54" s="13" t="n"/>
      <c r="F54" s="27" t="n"/>
      <c r="G54" s="13" t="n"/>
      <c r="H54" s="18" t="n"/>
      <c r="I54" s="13" t="n"/>
      <c r="J54" s="13" t="n"/>
      <c r="K54" s="27" t="n"/>
      <c r="L54" s="13" t="n"/>
    </row>
    <row r="55" ht="22" customHeight="1">
      <c r="B55" s="16">
        <f>IF(C55="","LIT-"&amp;TEXT(COUNTA($C$5:C55),"000"))</f>
        <v/>
      </c>
      <c r="C55" s="11" t="n"/>
      <c r="D55" s="11" t="n"/>
      <c r="E55" s="11" t="n"/>
      <c r="F55" s="26" t="n"/>
      <c r="G55" s="11" t="n"/>
      <c r="H55" s="17" t="n"/>
      <c r="I55" s="11" t="n"/>
      <c r="J55" s="11" t="n"/>
      <c r="K55" s="26" t="n"/>
      <c r="L55" s="11" t="n"/>
    </row>
    <row r="56" ht="22" customHeight="1">
      <c r="B56" s="15">
        <f>IF(C56="","LIT-"&amp;TEXT(COUNTA($C$5:C56),"000"))</f>
        <v/>
      </c>
      <c r="C56" s="13" t="n"/>
      <c r="D56" s="13" t="n"/>
      <c r="E56" s="13" t="n"/>
      <c r="F56" s="27" t="n"/>
      <c r="G56" s="13" t="n"/>
      <c r="H56" s="18" t="n"/>
      <c r="I56" s="13" t="n"/>
      <c r="J56" s="13" t="n"/>
      <c r="K56" s="27" t="n"/>
      <c r="L56" s="13" t="n"/>
    </row>
    <row r="57" ht="22" customHeight="1">
      <c r="B57" s="16">
        <f>IF(C57="","LIT-"&amp;TEXT(COUNTA($C$5:C57),"000"))</f>
        <v/>
      </c>
      <c r="C57" s="11" t="n"/>
      <c r="D57" s="11" t="n"/>
      <c r="E57" s="11" t="n"/>
      <c r="F57" s="26" t="n"/>
      <c r="G57" s="11" t="n"/>
      <c r="H57" s="17" t="n"/>
      <c r="I57" s="11" t="n"/>
      <c r="J57" s="11" t="n"/>
      <c r="K57" s="26" t="n"/>
      <c r="L57" s="11" t="n"/>
    </row>
    <row r="58" ht="22" customHeight="1">
      <c r="B58" s="15">
        <f>IF(C58="","LIT-"&amp;TEXT(COUNTA($C$5:C58),"000"))</f>
        <v/>
      </c>
      <c r="C58" s="13" t="n"/>
      <c r="D58" s="13" t="n"/>
      <c r="E58" s="13" t="n"/>
      <c r="F58" s="27" t="n"/>
      <c r="G58" s="13" t="n"/>
      <c r="H58" s="18" t="n"/>
      <c r="I58" s="13" t="n"/>
      <c r="J58" s="13" t="n"/>
      <c r="K58" s="27" t="n"/>
      <c r="L58" s="13" t="n"/>
    </row>
    <row r="59" ht="22" customHeight="1">
      <c r="B59" s="16">
        <f>IF(C59="","LIT-"&amp;TEXT(COUNTA($C$5:C59),"000"))</f>
        <v/>
      </c>
      <c r="C59" s="11" t="n"/>
      <c r="D59" s="11" t="n"/>
      <c r="E59" s="11" t="n"/>
      <c r="F59" s="26" t="n"/>
      <c r="G59" s="11" t="n"/>
      <c r="H59" s="17" t="n"/>
      <c r="I59" s="11" t="n"/>
      <c r="J59" s="11" t="n"/>
      <c r="K59" s="26" t="n"/>
      <c r="L59" s="11" t="n"/>
    </row>
    <row r="60" ht="22" customHeight="1">
      <c r="B60" s="15">
        <f>IF(C60="","LIT-"&amp;TEXT(COUNTA($C$5:C60),"000"))</f>
        <v/>
      </c>
      <c r="C60" s="13" t="n"/>
      <c r="D60" s="13" t="n"/>
      <c r="E60" s="13" t="n"/>
      <c r="F60" s="27" t="n"/>
      <c r="G60" s="13" t="n"/>
      <c r="H60" s="18" t="n"/>
      <c r="I60" s="13" t="n"/>
      <c r="J60" s="13" t="n"/>
      <c r="K60" s="27" t="n"/>
      <c r="L60" s="13" t="n"/>
    </row>
    <row r="61" ht="22" customHeight="1">
      <c r="B61" s="16">
        <f>IF(C61="","LIT-"&amp;TEXT(COUNTA($C$5:C61),"000"))</f>
        <v/>
      </c>
      <c r="C61" s="11" t="n"/>
      <c r="D61" s="11" t="n"/>
      <c r="E61" s="11" t="n"/>
      <c r="F61" s="26" t="n"/>
      <c r="G61" s="11" t="n"/>
      <c r="H61" s="17" t="n"/>
      <c r="I61" s="11" t="n"/>
      <c r="J61" s="11" t="n"/>
      <c r="K61" s="26" t="n"/>
      <c r="L61" s="11" t="n"/>
    </row>
    <row r="62" ht="22" customHeight="1">
      <c r="B62" s="15">
        <f>IF(C62="","LIT-"&amp;TEXT(COUNTA($C$5:C62),"000"))</f>
        <v/>
      </c>
      <c r="C62" s="13" t="n"/>
      <c r="D62" s="13" t="n"/>
      <c r="E62" s="13" t="n"/>
      <c r="F62" s="27" t="n"/>
      <c r="G62" s="13" t="n"/>
      <c r="H62" s="18" t="n"/>
      <c r="I62" s="13" t="n"/>
      <c r="J62" s="13" t="n"/>
      <c r="K62" s="27" t="n"/>
      <c r="L62" s="13" t="n"/>
    </row>
    <row r="63" ht="22" customHeight="1">
      <c r="B63" s="16">
        <f>IF(C63="","LIT-"&amp;TEXT(COUNTA($C$5:C63),"000"))</f>
        <v/>
      </c>
      <c r="C63" s="11" t="n"/>
      <c r="D63" s="11" t="n"/>
      <c r="E63" s="11" t="n"/>
      <c r="F63" s="26" t="n"/>
      <c r="G63" s="11" t="n"/>
      <c r="H63" s="17" t="n"/>
      <c r="I63" s="11" t="n"/>
      <c r="J63" s="11" t="n"/>
      <c r="K63" s="26" t="n"/>
      <c r="L63" s="11" t="n"/>
    </row>
    <row r="64" ht="22" customHeight="1">
      <c r="B64" s="15">
        <f>IF(C64="","LIT-"&amp;TEXT(COUNTA($C$5:C64),"000"))</f>
        <v/>
      </c>
      <c r="C64" s="13" t="n"/>
      <c r="D64" s="13" t="n"/>
      <c r="E64" s="13" t="n"/>
      <c r="F64" s="27" t="n"/>
      <c r="G64" s="13" t="n"/>
      <c r="H64" s="18" t="n"/>
      <c r="I64" s="13" t="n"/>
      <c r="J64" s="13" t="n"/>
      <c r="K64" s="27" t="n"/>
      <c r="L64" s="13" t="n"/>
    </row>
    <row r="65" ht="22" customHeight="1">
      <c r="B65" s="16">
        <f>IF(C65="","LIT-"&amp;TEXT(COUNTA($C$5:C65),"000"))</f>
        <v/>
      </c>
      <c r="C65" s="11" t="n"/>
      <c r="D65" s="11" t="n"/>
      <c r="E65" s="11" t="n"/>
      <c r="F65" s="26" t="n"/>
      <c r="G65" s="11" t="n"/>
      <c r="H65" s="17" t="n"/>
      <c r="I65" s="11" t="n"/>
      <c r="J65" s="11" t="n"/>
      <c r="K65" s="26" t="n"/>
      <c r="L65" s="11" t="n"/>
    </row>
    <row r="66" ht="22" customHeight="1">
      <c r="B66" s="15">
        <f>IF(C66="","LIT-"&amp;TEXT(COUNTA($C$5:C66),"000"))</f>
        <v/>
      </c>
      <c r="C66" s="13" t="n"/>
      <c r="D66" s="13" t="n"/>
      <c r="E66" s="13" t="n"/>
      <c r="F66" s="27" t="n"/>
      <c r="G66" s="13" t="n"/>
      <c r="H66" s="18" t="n"/>
      <c r="I66" s="13" t="n"/>
      <c r="J66" s="13" t="n"/>
      <c r="K66" s="27" t="n"/>
      <c r="L66" s="13" t="n"/>
    </row>
    <row r="67" ht="22" customHeight="1">
      <c r="B67" s="16">
        <f>IF(C67="","LIT-"&amp;TEXT(COUNTA($C$5:C67),"000"))</f>
        <v/>
      </c>
      <c r="C67" s="11" t="n"/>
      <c r="D67" s="11" t="n"/>
      <c r="E67" s="11" t="n"/>
      <c r="F67" s="26" t="n"/>
      <c r="G67" s="11" t="n"/>
      <c r="H67" s="17" t="n"/>
      <c r="I67" s="11" t="n"/>
      <c r="J67" s="11" t="n"/>
      <c r="K67" s="26" t="n"/>
      <c r="L67" s="11" t="n"/>
    </row>
    <row r="68" ht="22" customHeight="1">
      <c r="B68" s="15">
        <f>IF(C68="","LIT-"&amp;TEXT(COUNTA($C$5:C68),"000"))</f>
        <v/>
      </c>
      <c r="C68" s="13" t="n"/>
      <c r="D68" s="13" t="n"/>
      <c r="E68" s="13" t="n"/>
      <c r="F68" s="27" t="n"/>
      <c r="G68" s="13" t="n"/>
      <c r="H68" s="18" t="n"/>
      <c r="I68" s="13" t="n"/>
      <c r="J68" s="13" t="n"/>
      <c r="K68" s="27" t="n"/>
      <c r="L68" s="13" t="n"/>
    </row>
    <row r="69" ht="22" customHeight="1">
      <c r="B69" s="16">
        <f>IF(C69="","LIT-"&amp;TEXT(COUNTA($C$5:C69),"000"))</f>
        <v/>
      </c>
      <c r="C69" s="11" t="n"/>
      <c r="D69" s="11" t="n"/>
      <c r="E69" s="11" t="n"/>
      <c r="F69" s="26" t="n"/>
      <c r="G69" s="11" t="n"/>
      <c r="H69" s="17" t="n"/>
      <c r="I69" s="11" t="n"/>
      <c r="J69" s="11" t="n"/>
      <c r="K69" s="26" t="n"/>
      <c r="L69" s="11" t="n"/>
    </row>
    <row r="70" ht="22" customHeight="1">
      <c r="B70" s="15">
        <f>IF(C70="","LIT-"&amp;TEXT(COUNTA($C$5:C70),"000"))</f>
        <v/>
      </c>
      <c r="C70" s="13" t="n"/>
      <c r="D70" s="13" t="n"/>
      <c r="E70" s="13" t="n"/>
      <c r="F70" s="27" t="n"/>
      <c r="G70" s="13" t="n"/>
      <c r="H70" s="18" t="n"/>
      <c r="I70" s="13" t="n"/>
      <c r="J70" s="13" t="n"/>
      <c r="K70" s="27" t="n"/>
      <c r="L70" s="13" t="n"/>
    </row>
    <row r="71" ht="22" customHeight="1">
      <c r="B71" s="16">
        <f>IF(C71="","LIT-"&amp;TEXT(COUNTA($C$5:C71),"000"))</f>
        <v/>
      </c>
      <c r="C71" s="11" t="n"/>
      <c r="D71" s="11" t="n"/>
      <c r="E71" s="11" t="n"/>
      <c r="F71" s="26" t="n"/>
      <c r="G71" s="11" t="n"/>
      <c r="H71" s="17" t="n"/>
      <c r="I71" s="11" t="n"/>
      <c r="J71" s="11" t="n"/>
      <c r="K71" s="26" t="n"/>
      <c r="L71" s="11" t="n"/>
    </row>
    <row r="72" ht="22" customHeight="1">
      <c r="B72" s="15">
        <f>IF(C72="","LIT-"&amp;TEXT(COUNTA($C$5:C72),"000"))</f>
        <v/>
      </c>
      <c r="C72" s="13" t="n"/>
      <c r="D72" s="13" t="n"/>
      <c r="E72" s="13" t="n"/>
      <c r="F72" s="27" t="n"/>
      <c r="G72" s="13" t="n"/>
      <c r="H72" s="18" t="n"/>
      <c r="I72" s="13" t="n"/>
      <c r="J72" s="13" t="n"/>
      <c r="K72" s="27" t="n"/>
      <c r="L72" s="13" t="n"/>
    </row>
    <row r="73" ht="22" customHeight="1">
      <c r="B73" s="16">
        <f>IF(C73="","LIT-"&amp;TEXT(COUNTA($C$5:C73),"000"))</f>
        <v/>
      </c>
      <c r="C73" s="11" t="n"/>
      <c r="D73" s="11" t="n"/>
      <c r="E73" s="11" t="n"/>
      <c r="F73" s="26" t="n"/>
      <c r="G73" s="11" t="n"/>
      <c r="H73" s="17" t="n"/>
      <c r="I73" s="11" t="n"/>
      <c r="J73" s="11" t="n"/>
      <c r="K73" s="26" t="n"/>
      <c r="L73" s="11" t="n"/>
    </row>
    <row r="74" ht="22" customHeight="1">
      <c r="B74" s="15">
        <f>IF(C74="","LIT-"&amp;TEXT(COUNTA($C$5:C74),"000"))</f>
        <v/>
      </c>
      <c r="C74" s="13" t="n"/>
      <c r="D74" s="13" t="n"/>
      <c r="E74" s="13" t="n"/>
      <c r="F74" s="27" t="n"/>
      <c r="G74" s="13" t="n"/>
      <c r="H74" s="18" t="n"/>
      <c r="I74" s="13" t="n"/>
      <c r="J74" s="13" t="n"/>
      <c r="K74" s="27" t="n"/>
      <c r="L74" s="13" t="n"/>
    </row>
    <row r="75" ht="22" customHeight="1">
      <c r="B75" s="16">
        <f>IF(C75="","LIT-"&amp;TEXT(COUNTA($C$5:C75),"000"))</f>
        <v/>
      </c>
      <c r="C75" s="11" t="n"/>
      <c r="D75" s="11" t="n"/>
      <c r="E75" s="11" t="n"/>
      <c r="F75" s="26" t="n"/>
      <c r="G75" s="11" t="n"/>
      <c r="H75" s="17" t="n"/>
      <c r="I75" s="11" t="n"/>
      <c r="J75" s="11" t="n"/>
      <c r="K75" s="26" t="n"/>
      <c r="L75" s="11" t="n"/>
    </row>
    <row r="76" ht="22" customHeight="1">
      <c r="B76" s="15">
        <f>IF(C76="","LIT-"&amp;TEXT(COUNTA($C$5:C76),"000"))</f>
        <v/>
      </c>
      <c r="C76" s="13" t="n"/>
      <c r="D76" s="13" t="n"/>
      <c r="E76" s="13" t="n"/>
      <c r="F76" s="27" t="n"/>
      <c r="G76" s="13" t="n"/>
      <c r="H76" s="18" t="n"/>
      <c r="I76" s="13" t="n"/>
      <c r="J76" s="13" t="n"/>
      <c r="K76" s="27" t="n"/>
      <c r="L76" s="13" t="n"/>
    </row>
    <row r="77" ht="22" customHeight="1">
      <c r="B77" s="16">
        <f>IF(C77="","LIT-"&amp;TEXT(COUNTA($C$5:C77),"000"))</f>
        <v/>
      </c>
      <c r="C77" s="11" t="n"/>
      <c r="D77" s="11" t="n"/>
      <c r="E77" s="11" t="n"/>
      <c r="F77" s="26" t="n"/>
      <c r="G77" s="11" t="n"/>
      <c r="H77" s="17" t="n"/>
      <c r="I77" s="11" t="n"/>
      <c r="J77" s="11" t="n"/>
      <c r="K77" s="26" t="n"/>
      <c r="L77" s="11" t="n"/>
    </row>
    <row r="78" ht="22" customHeight="1">
      <c r="B78" s="15">
        <f>IF(C78="","LIT-"&amp;TEXT(COUNTA($C$5:C78),"000"))</f>
        <v/>
      </c>
      <c r="C78" s="13" t="n"/>
      <c r="D78" s="13" t="n"/>
      <c r="E78" s="13" t="n"/>
      <c r="F78" s="27" t="n"/>
      <c r="G78" s="13" t="n"/>
      <c r="H78" s="18" t="n"/>
      <c r="I78" s="13" t="n"/>
      <c r="J78" s="13" t="n"/>
      <c r="K78" s="27" t="n"/>
      <c r="L78" s="13" t="n"/>
    </row>
    <row r="79" ht="22" customHeight="1">
      <c r="B79" s="16">
        <f>IF(C79="","LIT-"&amp;TEXT(COUNTA($C$5:C79),"000"))</f>
        <v/>
      </c>
      <c r="C79" s="11" t="n"/>
      <c r="D79" s="11" t="n"/>
      <c r="E79" s="11" t="n"/>
      <c r="F79" s="26" t="n"/>
      <c r="G79" s="11" t="n"/>
      <c r="H79" s="17" t="n"/>
      <c r="I79" s="11" t="n"/>
      <c r="J79" s="11" t="n"/>
      <c r="K79" s="26" t="n"/>
      <c r="L79" s="11" t="n"/>
    </row>
    <row r="80" ht="22" customHeight="1">
      <c r="B80" s="15">
        <f>IF(C80="","LIT-"&amp;TEXT(COUNTA($C$5:C80),"000"))</f>
        <v/>
      </c>
      <c r="C80" s="13" t="n"/>
      <c r="D80" s="13" t="n"/>
      <c r="E80" s="13" t="n"/>
      <c r="F80" s="27" t="n"/>
      <c r="G80" s="13" t="n"/>
      <c r="H80" s="18" t="n"/>
      <c r="I80" s="13" t="n"/>
      <c r="J80" s="13" t="n"/>
      <c r="K80" s="27" t="n"/>
      <c r="L80" s="13" t="n"/>
    </row>
    <row r="81" ht="22" customHeight="1">
      <c r="B81" s="16">
        <f>IF(C81="","LIT-"&amp;TEXT(COUNTA($C$5:C81),"000"))</f>
        <v/>
      </c>
      <c r="C81" s="11" t="n"/>
      <c r="D81" s="11" t="n"/>
      <c r="E81" s="11" t="n"/>
      <c r="F81" s="26" t="n"/>
      <c r="G81" s="11" t="n"/>
      <c r="H81" s="17" t="n"/>
      <c r="I81" s="11" t="n"/>
      <c r="J81" s="11" t="n"/>
      <c r="K81" s="26" t="n"/>
      <c r="L81" s="11" t="n"/>
    </row>
    <row r="82" ht="22" customHeight="1">
      <c r="B82" s="15">
        <f>IF(C82="","LIT-"&amp;TEXT(COUNTA($C$5:C82),"000"))</f>
        <v/>
      </c>
      <c r="C82" s="13" t="n"/>
      <c r="D82" s="13" t="n"/>
      <c r="E82" s="13" t="n"/>
      <c r="F82" s="27" t="n"/>
      <c r="G82" s="13" t="n"/>
      <c r="H82" s="18" t="n"/>
      <c r="I82" s="13" t="n"/>
      <c r="J82" s="13" t="n"/>
      <c r="K82" s="27" t="n"/>
      <c r="L82" s="13" t="n"/>
    </row>
    <row r="83" ht="22" customHeight="1">
      <c r="B83" s="16">
        <f>IF(C83="","LIT-"&amp;TEXT(COUNTA($C$5:C83),"000"))</f>
        <v/>
      </c>
      <c r="C83" s="11" t="n"/>
      <c r="D83" s="11" t="n"/>
      <c r="E83" s="11" t="n"/>
      <c r="F83" s="26" t="n"/>
      <c r="G83" s="11" t="n"/>
      <c r="H83" s="17" t="n"/>
      <c r="I83" s="11" t="n"/>
      <c r="J83" s="11" t="n"/>
      <c r="K83" s="26" t="n"/>
      <c r="L83" s="11" t="n"/>
    </row>
    <row r="84" ht="22" customHeight="1">
      <c r="B84" s="15">
        <f>IF(C84="","LIT-"&amp;TEXT(COUNTA($C$5:C84),"000"))</f>
        <v/>
      </c>
      <c r="C84" s="13" t="n"/>
      <c r="D84" s="13" t="n"/>
      <c r="E84" s="13" t="n"/>
      <c r="F84" s="27" t="n"/>
      <c r="G84" s="13" t="n"/>
      <c r="H84" s="18" t="n"/>
      <c r="I84" s="13" t="n"/>
      <c r="J84" s="13" t="n"/>
      <c r="K84" s="27" t="n"/>
      <c r="L84" s="13" t="n"/>
    </row>
    <row r="85" ht="22" customHeight="1">
      <c r="B85" s="16">
        <f>IF(C85="","LIT-"&amp;TEXT(COUNTA($C$5:C85),"000"))</f>
        <v/>
      </c>
      <c r="C85" s="11" t="n"/>
      <c r="D85" s="11" t="n"/>
      <c r="E85" s="11" t="n"/>
      <c r="F85" s="26" t="n"/>
      <c r="G85" s="11" t="n"/>
      <c r="H85" s="17" t="n"/>
      <c r="I85" s="11" t="n"/>
      <c r="J85" s="11" t="n"/>
      <c r="K85" s="26" t="n"/>
      <c r="L85" s="11" t="n"/>
    </row>
    <row r="86" ht="22" customHeight="1">
      <c r="B86" s="15">
        <f>IF(C86="","LIT-"&amp;TEXT(COUNTA($C$5:C86),"000"))</f>
        <v/>
      </c>
      <c r="C86" s="13" t="n"/>
      <c r="D86" s="13" t="n"/>
      <c r="E86" s="13" t="n"/>
      <c r="F86" s="27" t="n"/>
      <c r="G86" s="13" t="n"/>
      <c r="H86" s="18" t="n"/>
      <c r="I86" s="13" t="n"/>
      <c r="J86" s="13" t="n"/>
      <c r="K86" s="27" t="n"/>
      <c r="L86" s="13" t="n"/>
    </row>
    <row r="87" ht="22" customHeight="1">
      <c r="B87" s="16">
        <f>IF(C87="","LIT-"&amp;TEXT(COUNTA($C$5:C87),"000"))</f>
        <v/>
      </c>
      <c r="C87" s="11" t="n"/>
      <c r="D87" s="11" t="n"/>
      <c r="E87" s="11" t="n"/>
      <c r="F87" s="26" t="n"/>
      <c r="G87" s="11" t="n"/>
      <c r="H87" s="17" t="n"/>
      <c r="I87" s="11" t="n"/>
      <c r="J87" s="11" t="n"/>
      <c r="K87" s="26" t="n"/>
      <c r="L87" s="11" t="n"/>
    </row>
    <row r="88" ht="22" customHeight="1">
      <c r="B88" s="15">
        <f>IF(C88="","LIT-"&amp;TEXT(COUNTA($C$5:C88),"000"))</f>
        <v/>
      </c>
      <c r="C88" s="13" t="n"/>
      <c r="D88" s="13" t="n"/>
      <c r="E88" s="13" t="n"/>
      <c r="F88" s="27" t="n"/>
      <c r="G88" s="13" t="n"/>
      <c r="H88" s="18" t="n"/>
      <c r="I88" s="13" t="n"/>
      <c r="J88" s="13" t="n"/>
      <c r="K88" s="27" t="n"/>
      <c r="L88" s="13" t="n"/>
    </row>
    <row r="89" ht="22" customHeight="1">
      <c r="B89" s="16">
        <f>IF(C89="","LIT-"&amp;TEXT(COUNTA($C$5:C89),"000"))</f>
        <v/>
      </c>
      <c r="C89" s="11" t="n"/>
      <c r="D89" s="11" t="n"/>
      <c r="E89" s="11" t="n"/>
      <c r="F89" s="26" t="n"/>
      <c r="G89" s="11" t="n"/>
      <c r="H89" s="17" t="n"/>
      <c r="I89" s="11" t="n"/>
      <c r="J89" s="11" t="n"/>
      <c r="K89" s="26" t="n"/>
      <c r="L89" s="11" t="n"/>
    </row>
    <row r="90" ht="22" customHeight="1">
      <c r="B90" s="15">
        <f>IF(C90="","LIT-"&amp;TEXT(COUNTA($C$5:C90),"000"))</f>
        <v/>
      </c>
      <c r="C90" s="13" t="n"/>
      <c r="D90" s="13" t="n"/>
      <c r="E90" s="13" t="n"/>
      <c r="F90" s="27" t="n"/>
      <c r="G90" s="13" t="n"/>
      <c r="H90" s="18" t="n"/>
      <c r="I90" s="13" t="n"/>
      <c r="J90" s="13" t="n"/>
      <c r="K90" s="27" t="n"/>
      <c r="L90" s="13" t="n"/>
    </row>
    <row r="91" ht="22" customHeight="1">
      <c r="B91" s="16">
        <f>IF(C91="","LIT-"&amp;TEXT(COUNTA($C$5:C91),"000"))</f>
        <v/>
      </c>
      <c r="C91" s="11" t="n"/>
      <c r="D91" s="11" t="n"/>
      <c r="E91" s="11" t="n"/>
      <c r="F91" s="26" t="n"/>
      <c r="G91" s="11" t="n"/>
      <c r="H91" s="17" t="n"/>
      <c r="I91" s="11" t="n"/>
      <c r="J91" s="11" t="n"/>
      <c r="K91" s="26" t="n"/>
      <c r="L91" s="11" t="n"/>
    </row>
    <row r="92" ht="22" customHeight="1">
      <c r="B92" s="15">
        <f>IF(C92="","LIT-"&amp;TEXT(COUNTA($C$5:C92),"000"))</f>
        <v/>
      </c>
      <c r="C92" s="13" t="n"/>
      <c r="D92" s="13" t="n"/>
      <c r="E92" s="13" t="n"/>
      <c r="F92" s="27" t="n"/>
      <c r="G92" s="13" t="n"/>
      <c r="H92" s="18" t="n"/>
      <c r="I92" s="13" t="n"/>
      <c r="J92" s="13" t="n"/>
      <c r="K92" s="27" t="n"/>
      <c r="L92" s="13" t="n"/>
    </row>
    <row r="93" ht="22" customHeight="1">
      <c r="B93" s="16">
        <f>IF(C93="","LIT-"&amp;TEXT(COUNTA($C$5:C93),"000"))</f>
        <v/>
      </c>
      <c r="C93" s="11" t="n"/>
      <c r="D93" s="11" t="n"/>
      <c r="E93" s="11" t="n"/>
      <c r="F93" s="26" t="n"/>
      <c r="G93" s="11" t="n"/>
      <c r="H93" s="17" t="n"/>
      <c r="I93" s="11" t="n"/>
      <c r="J93" s="11" t="n"/>
      <c r="K93" s="26" t="n"/>
      <c r="L93" s="11" t="n"/>
    </row>
    <row r="94" ht="22" customHeight="1">
      <c r="B94" s="15">
        <f>IF(C94="","LIT-"&amp;TEXT(COUNTA($C$5:C94),"000"))</f>
        <v/>
      </c>
      <c r="C94" s="13" t="n"/>
      <c r="D94" s="13" t="n"/>
      <c r="E94" s="13" t="n"/>
      <c r="F94" s="27" t="n"/>
      <c r="G94" s="13" t="n"/>
      <c r="H94" s="18" t="n"/>
      <c r="I94" s="13" t="n"/>
      <c r="J94" s="13" t="n"/>
      <c r="K94" s="27" t="n"/>
      <c r="L94" s="13" t="n"/>
    </row>
    <row r="95" ht="22" customHeight="1">
      <c r="B95" s="16">
        <f>IF(C95="","LIT-"&amp;TEXT(COUNTA($C$5:C95),"000"))</f>
        <v/>
      </c>
      <c r="C95" s="11" t="n"/>
      <c r="D95" s="11" t="n"/>
      <c r="E95" s="11" t="n"/>
      <c r="F95" s="26" t="n"/>
      <c r="G95" s="11" t="n"/>
      <c r="H95" s="17" t="n"/>
      <c r="I95" s="11" t="n"/>
      <c r="J95" s="11" t="n"/>
      <c r="K95" s="26" t="n"/>
      <c r="L95" s="11" t="n"/>
    </row>
    <row r="96" ht="22" customHeight="1">
      <c r="B96" s="15">
        <f>IF(C96="","LIT-"&amp;TEXT(COUNTA($C$5:C96),"000"))</f>
        <v/>
      </c>
      <c r="C96" s="13" t="n"/>
      <c r="D96" s="13" t="n"/>
      <c r="E96" s="13" t="n"/>
      <c r="F96" s="27" t="n"/>
      <c r="G96" s="13" t="n"/>
      <c r="H96" s="18" t="n"/>
      <c r="I96" s="13" t="n"/>
      <c r="J96" s="13" t="n"/>
      <c r="K96" s="27" t="n"/>
      <c r="L96" s="13" t="n"/>
    </row>
    <row r="97" ht="22" customHeight="1">
      <c r="B97" s="16">
        <f>IF(C97="","LIT-"&amp;TEXT(COUNTA($C$5:C97),"000"))</f>
        <v/>
      </c>
      <c r="C97" s="11" t="n"/>
      <c r="D97" s="11" t="n"/>
      <c r="E97" s="11" t="n"/>
      <c r="F97" s="26" t="n"/>
      <c r="G97" s="11" t="n"/>
      <c r="H97" s="17" t="n"/>
      <c r="I97" s="11" t="n"/>
      <c r="J97" s="11" t="n"/>
      <c r="K97" s="26" t="n"/>
      <c r="L97" s="11" t="n"/>
    </row>
    <row r="98" ht="22" customHeight="1">
      <c r="B98" s="15">
        <f>IF(C98="","LIT-"&amp;TEXT(COUNTA($C$5:C98),"000"))</f>
        <v/>
      </c>
      <c r="C98" s="13" t="n"/>
      <c r="D98" s="13" t="n"/>
      <c r="E98" s="13" t="n"/>
      <c r="F98" s="27" t="n"/>
      <c r="G98" s="13" t="n"/>
      <c r="H98" s="18" t="n"/>
      <c r="I98" s="13" t="n"/>
      <c r="J98" s="13" t="n"/>
      <c r="K98" s="27" t="n"/>
      <c r="L98" s="13" t="n"/>
    </row>
    <row r="99" ht="22" customHeight="1">
      <c r="B99" s="16">
        <f>IF(C99="","LIT-"&amp;TEXT(COUNTA($C$5:C99),"000"))</f>
        <v/>
      </c>
      <c r="C99" s="11" t="n"/>
      <c r="D99" s="11" t="n"/>
      <c r="E99" s="11" t="n"/>
      <c r="F99" s="26" t="n"/>
      <c r="G99" s="11" t="n"/>
      <c r="H99" s="17" t="n"/>
      <c r="I99" s="11" t="n"/>
      <c r="J99" s="11" t="n"/>
      <c r="K99" s="26" t="n"/>
      <c r="L99" s="11" t="n"/>
    </row>
    <row r="100" ht="22" customHeight="1">
      <c r="B100" s="15">
        <f>IF(C100="","LIT-"&amp;TEXT(COUNTA($C$5:C100),"000"))</f>
        <v/>
      </c>
      <c r="C100" s="13" t="n"/>
      <c r="D100" s="13" t="n"/>
      <c r="E100" s="13" t="n"/>
      <c r="F100" s="27" t="n"/>
      <c r="G100" s="13" t="n"/>
      <c r="H100" s="18" t="n"/>
      <c r="I100" s="13" t="n"/>
      <c r="J100" s="13" t="n"/>
      <c r="K100" s="27" t="n"/>
      <c r="L100" s="13" t="n"/>
    </row>
    <row r="101" ht="22" customHeight="1">
      <c r="B101" s="16">
        <f>IF(C101="","LIT-"&amp;TEXT(COUNTA($C$5:C101),"000"))</f>
        <v/>
      </c>
      <c r="C101" s="11" t="n"/>
      <c r="D101" s="11" t="n"/>
      <c r="E101" s="11" t="n"/>
      <c r="F101" s="26" t="n"/>
      <c r="G101" s="11" t="n"/>
      <c r="H101" s="17" t="n"/>
      <c r="I101" s="11" t="n"/>
      <c r="J101" s="11" t="n"/>
      <c r="K101" s="26" t="n"/>
      <c r="L101" s="11" t="n"/>
    </row>
    <row r="102" ht="22" customHeight="1">
      <c r="B102" s="15">
        <f>IF(C102="","LIT-"&amp;TEXT(COUNTA($C$5:C102),"000"))</f>
        <v/>
      </c>
      <c r="C102" s="13" t="n"/>
      <c r="D102" s="13" t="n"/>
      <c r="E102" s="13" t="n"/>
      <c r="F102" s="27" t="n"/>
      <c r="G102" s="13" t="n"/>
      <c r="H102" s="18" t="n"/>
      <c r="I102" s="13" t="n"/>
      <c r="J102" s="13" t="n"/>
      <c r="K102" s="27" t="n"/>
      <c r="L102" s="13" t="n"/>
    </row>
    <row r="103" ht="22" customHeight="1">
      <c r="B103" s="16">
        <f>IF(C103="","LIT-"&amp;TEXT(COUNTA($C$5:C103),"000"))</f>
        <v/>
      </c>
      <c r="C103" s="11" t="n"/>
      <c r="D103" s="11" t="n"/>
      <c r="E103" s="11" t="n"/>
      <c r="F103" s="26" t="n"/>
      <c r="G103" s="11" t="n"/>
      <c r="H103" s="17" t="n"/>
      <c r="I103" s="11" t="n"/>
      <c r="J103" s="11" t="n"/>
      <c r="K103" s="26" t="n"/>
      <c r="L103" s="11" t="n"/>
    </row>
    <row r="104" ht="22" customHeight="1">
      <c r="B104" s="15">
        <f>IF(C104="","LIT-"&amp;TEXT(COUNTA($C$5:C104),"000"))</f>
        <v/>
      </c>
      <c r="C104" s="13" t="n"/>
      <c r="D104" s="13" t="n"/>
      <c r="E104" s="13" t="n"/>
      <c r="F104" s="27" t="n"/>
      <c r="G104" s="13" t="n"/>
      <c r="H104" s="18" t="n"/>
      <c r="I104" s="13" t="n"/>
      <c r="J104" s="13" t="n"/>
      <c r="K104" s="27" t="n"/>
      <c r="L104" s="13" t="n"/>
    </row>
    <row r="105" ht="22" customHeight="1">
      <c r="B105" s="16">
        <f>IF(C105="","LIT-"&amp;TEXT(COUNTA($C$5:C105),"000"))</f>
        <v/>
      </c>
      <c r="C105" s="11" t="n"/>
      <c r="D105" s="11" t="n"/>
      <c r="E105" s="11" t="n"/>
      <c r="F105" s="26" t="n"/>
      <c r="G105" s="11" t="n"/>
      <c r="H105" s="17" t="n"/>
      <c r="I105" s="11" t="n"/>
      <c r="J105" s="11" t="n"/>
      <c r="K105" s="26" t="n"/>
      <c r="L105" s="11" t="n"/>
    </row>
    <row r="106" ht="22" customHeight="1">
      <c r="B106" s="15">
        <f>IF(C106="","LIT-"&amp;TEXT(COUNTA($C$5:C106),"000"))</f>
        <v/>
      </c>
      <c r="C106" s="13" t="n"/>
      <c r="D106" s="13" t="n"/>
      <c r="E106" s="13" t="n"/>
      <c r="F106" s="27" t="n"/>
      <c r="G106" s="13" t="n"/>
      <c r="H106" s="18" t="n"/>
      <c r="I106" s="13" t="n"/>
      <c r="J106" s="13" t="n"/>
      <c r="K106" s="27" t="n"/>
      <c r="L106" s="13" t="n"/>
    </row>
    <row r="107" ht="22" customHeight="1">
      <c r="B107" s="16">
        <f>IF(C107="","LIT-"&amp;TEXT(COUNTA($C$5:C107),"000"))</f>
        <v/>
      </c>
      <c r="C107" s="11" t="n"/>
      <c r="D107" s="11" t="n"/>
      <c r="E107" s="11" t="n"/>
      <c r="F107" s="26" t="n"/>
      <c r="G107" s="11" t="n"/>
      <c r="H107" s="17" t="n"/>
      <c r="I107" s="11" t="n"/>
      <c r="J107" s="11" t="n"/>
      <c r="K107" s="26" t="n"/>
      <c r="L107" s="11" t="n"/>
    </row>
    <row r="108" ht="22" customHeight="1">
      <c r="B108" s="15">
        <f>IF(C108="","LIT-"&amp;TEXT(COUNTA($C$5:C108),"000"))</f>
        <v/>
      </c>
      <c r="C108" s="13" t="n"/>
      <c r="D108" s="13" t="n"/>
      <c r="E108" s="13" t="n"/>
      <c r="F108" s="27" t="n"/>
      <c r="G108" s="13" t="n"/>
      <c r="H108" s="18" t="n"/>
      <c r="I108" s="13" t="n"/>
      <c r="J108" s="13" t="n"/>
      <c r="K108" s="27" t="n"/>
      <c r="L108" s="13" t="n"/>
    </row>
    <row r="109"/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1">
        <f>SUM(H5:H104)</f>
        <v/>
      </c>
      <c r="I110" s="20" t="n"/>
      <c r="J110" s="20" t="n"/>
      <c r="K110" s="20" t="n"/>
      <c r="L110" s="20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Litiges total</t>
        </is>
      </c>
      <c r="D113" s="3" t="inlineStr">
        <is>
          <t>En cours</t>
        </is>
      </c>
      <c r="F113" s="3" t="inlineStr">
        <is>
          <t>Montant total (M)</t>
        </is>
      </c>
    </row>
    <row r="114">
      <c r="B114" s="4">
        <f>COUNTIF(B5:B104,"&lt;&gt;")</f>
        <v/>
      </c>
      <c r="D114" s="4">
        <f>COUNTIF(J5:J104,"En cours")+COUNTIF(J5:J104,"En conciliation")+COUNTIF(J5:J104,"Assigne tribunal")</f>
        <v/>
      </c>
      <c r="F114" s="4">
        <f>IFERROR(SUM(H5:H104)/1000000,0)</f>
        <v/>
      </c>
    </row>
  </sheetData>
  <mergeCells count="3">
    <mergeCell ref="B2:L2"/>
    <mergeCell ref="B112:L112"/>
    <mergeCell ref="B3:L3"/>
  </mergeCells>
  <conditionalFormatting sqref="J5:J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9:B108">
    <cfRule type="expression" priority="193" dxfId="3">
      <formula>AND($C9="",$C8&lt;&gt;"")</formula>
    </cfRule>
  </conditionalFormatting>
  <conditionalFormatting sqref="C9:C108">
    <cfRule type="expression" priority="194" dxfId="3">
      <formula>AND($C9="",$C8&lt;&gt;"")</formula>
    </cfRule>
  </conditionalFormatting>
  <conditionalFormatting sqref="D9:D108">
    <cfRule type="expression" priority="195" dxfId="3">
      <formula>AND($C9="",$C8&lt;&gt;"")</formula>
    </cfRule>
  </conditionalFormatting>
  <conditionalFormatting sqref="E9:E108">
    <cfRule type="expression" priority="196" dxfId="3">
      <formula>AND($C9="",$C8&lt;&gt;"")</formula>
    </cfRule>
  </conditionalFormatting>
  <conditionalFormatting sqref="F9:F108">
    <cfRule type="expression" priority="197" dxfId="3">
      <formula>AND($C9="",$C8&lt;&gt;"")</formula>
    </cfRule>
  </conditionalFormatting>
  <conditionalFormatting sqref="G9:G108">
    <cfRule type="expression" priority="198" dxfId="3">
      <formula>AND($C9="",$C8&lt;&gt;"")</formula>
    </cfRule>
  </conditionalFormatting>
  <conditionalFormatting sqref="H9:H108">
    <cfRule type="expression" priority="199" dxfId="3">
      <formula>AND($C9="",$C8&lt;&gt;"")</formula>
    </cfRule>
  </conditionalFormatting>
  <conditionalFormatting sqref="I9:I108">
    <cfRule type="expression" priority="200" dxfId="3">
      <formula>AND($C9="",$C8&lt;&gt;"")</formula>
    </cfRule>
  </conditionalFormatting>
  <conditionalFormatting sqref="J9:J108">
    <cfRule type="expression" priority="201" dxfId="3">
      <formula>AND($C9="",$C8&lt;&gt;"")</formula>
    </cfRule>
  </conditionalFormatting>
  <conditionalFormatting sqref="K9:K108">
    <cfRule type="expression" priority="202" dxfId="3">
      <formula>AND($C9="",$C8&lt;&gt;"")</formula>
    </cfRule>
  </conditionalFormatting>
  <conditionalFormatting sqref="L9:L108">
    <cfRule type="expression" priority="203" dxfId="3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8" showDropDown="0" showInputMessage="0" showErrorMessage="0" allowBlank="1" errorTitle="Erreur" error="Valeur invalide" promptTitle="Liste" prompt="Choisir dans la liste" type="list">
      <formula1>'_Lists'!$P$2:$P$9</formula1>
    </dataValidation>
    <dataValidation sqref="J5:J108" showDropDown="0" showInputMessage="0" showErrorMessage="0" allowBlank="1" errorTitle="Erreur" error="Valeur invalide" promptTitle="Liste" prompt="Choisir dans la liste" type="list">
      <formula1>'_Lists'!$Q$2:$Q$9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0" customWidth="1" min="4" max="4"/>
    <col width="14" customWidth="1" min="5" max="5"/>
    <col width="20" customWidth="1" min="6" max="6"/>
    <col width="24" customWidth="1" min="7" max="7"/>
    <col width="36" customWidth="1" min="8" max="8"/>
    <col width="20" customWidth="1" min="9" max="9"/>
    <col width="16" customWidth="1" min="10" max="10"/>
    <col width="12" customWidth="1" min="11" max="11"/>
  </cols>
  <sheetData>
    <row r="1" ht="15" customHeight="1"/>
    <row r="2" ht="32" customHeight="1">
      <c r="B2" s="1" t="inlineStr">
        <is>
          <t>REGISTRE VISITES D'INSPECTION (#125)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Organisme</t>
        </is>
      </c>
      <c r="D4" s="10" t="inlineStr">
        <is>
          <t>Type Visite</t>
        </is>
      </c>
      <c r="E4" s="10" t="inlineStr">
        <is>
          <t>Date Visite</t>
        </is>
      </c>
      <c r="F4" s="10" t="inlineStr">
        <is>
          <t>Inspecteur</t>
        </is>
      </c>
      <c r="G4" s="10" t="inlineStr">
        <is>
          <t>Domaine Verifie</t>
        </is>
      </c>
      <c r="H4" s="10" t="inlineStr">
        <is>
          <t>Constats</t>
        </is>
      </c>
      <c r="I4" s="10" t="inlineStr">
        <is>
          <t>Mises en Demeure</t>
        </is>
      </c>
      <c r="J4" s="10" t="inlineStr">
        <is>
          <t>Echeance Reponse</t>
        </is>
      </c>
      <c r="K4" s="10" t="inlineStr">
        <is>
          <t>Statut</t>
        </is>
      </c>
    </row>
    <row r="5" ht="22" customHeight="1">
      <c r="B5" s="11" t="inlineStr">
        <is>
          <t>VIS-001</t>
        </is>
      </c>
      <c r="C5" s="11" t="inlineStr">
        <is>
          <t>Inspection du travail</t>
        </is>
      </c>
      <c r="D5" s="11" t="inlineStr">
        <is>
          <t>Visite inopinee</t>
        </is>
      </c>
      <c r="E5" s="26" t="n">
        <v>45672</v>
      </c>
      <c r="F5" s="11" t="inlineStr">
        <is>
          <t>Inspecteur Nganou</t>
        </is>
      </c>
      <c r="G5" s="11" t="inlineStr">
        <is>
          <t>Contrats travail + registres</t>
        </is>
      </c>
      <c r="H5" s="11" t="inlineStr">
        <is>
          <t>2 CDD irreguliers detectes</t>
        </is>
      </c>
      <c r="I5" s="11" t="inlineStr">
        <is>
          <t>1 mise en demeure</t>
        </is>
      </c>
      <c r="J5" s="26" t="n">
        <v>45703</v>
      </c>
      <c r="K5" s="11" t="inlineStr">
        <is>
          <t>Resolu</t>
        </is>
      </c>
    </row>
    <row r="6" ht="22" customHeight="1">
      <c r="B6" s="13" t="inlineStr">
        <is>
          <t>VIS-002</t>
        </is>
      </c>
      <c r="C6" s="13" t="inlineStr">
        <is>
          <t>CNPS</t>
        </is>
      </c>
      <c r="D6" s="13" t="inlineStr">
        <is>
          <t>Controle cotisations</t>
        </is>
      </c>
      <c r="E6" s="27" t="n">
        <v>45736</v>
      </c>
      <c r="F6" s="13" t="inlineStr">
        <is>
          <t>Controleur Fotso</t>
        </is>
      </c>
      <c r="G6" s="13" t="inlineStr">
        <is>
          <t>Cotisations sociales</t>
        </is>
      </c>
      <c r="H6" s="13" t="inlineStr">
        <is>
          <t>Retard declaration fevrier</t>
        </is>
      </c>
      <c r="I6" s="13" t="inlineStr">
        <is>
          <t>Avertissement</t>
        </is>
      </c>
      <c r="J6" s="27" t="n">
        <v>45767</v>
      </c>
      <c r="K6" s="13" t="inlineStr">
        <is>
          <t>Resolu</t>
        </is>
      </c>
    </row>
    <row r="7" ht="22" customHeight="1">
      <c r="B7" s="11" t="inlineStr">
        <is>
          <t>VIS-003</t>
        </is>
      </c>
      <c r="C7" s="11" t="inlineStr">
        <is>
          <t>Inspection du travail</t>
        </is>
      </c>
      <c r="D7" s="11" t="inlineStr">
        <is>
          <t>Visite de routine</t>
        </is>
      </c>
      <c r="E7" s="26" t="n">
        <v>45787</v>
      </c>
      <c r="F7" s="11" t="inlineStr">
        <is>
          <t>Inspecteur Kamga</t>
        </is>
      </c>
      <c r="G7" s="11" t="inlineStr">
        <is>
          <t>Duree travail + repos hebdo</t>
        </is>
      </c>
      <c r="H7" s="11" t="inlineStr">
        <is>
          <t>Depassement heures cuisine</t>
        </is>
      </c>
      <c r="I7" s="11" t="inlineStr">
        <is>
          <t>0</t>
        </is>
      </c>
      <c r="J7" s="26" t="n"/>
      <c r="K7" s="11" t="inlineStr">
        <is>
          <t>Resolu</t>
        </is>
      </c>
    </row>
    <row r="8" ht="22" customHeight="1">
      <c r="B8" s="13" t="inlineStr">
        <is>
          <t>VIS-004</t>
        </is>
      </c>
      <c r="C8" s="13" t="inlineStr">
        <is>
          <t>Ministere du Travail</t>
        </is>
      </c>
      <c r="D8" s="13" t="inlineStr">
        <is>
          <t>Audit securite hotel</t>
        </is>
      </c>
      <c r="E8" s="27" t="n">
        <v>45809</v>
      </c>
      <c r="F8" s="13" t="inlineStr">
        <is>
          <t>Equipe ministerielle</t>
        </is>
      </c>
      <c r="G8" s="13" t="inlineStr">
        <is>
          <t>Hygiene securite generale</t>
        </is>
      </c>
      <c r="H8" s="13" t="inlineStr">
        <is>
          <t>Extincteurs perimes etage 2</t>
        </is>
      </c>
      <c r="I8" s="13" t="inlineStr">
        <is>
          <t>1 mise en demeure</t>
        </is>
      </c>
      <c r="J8" s="27" t="n">
        <v>45839</v>
      </c>
      <c r="K8" s="13" t="inlineStr">
        <is>
          <t>En cours</t>
        </is>
      </c>
    </row>
    <row r="9" ht="22" customHeight="1">
      <c r="B9" s="16">
        <f>IF(C9="","VIS-"&amp;TEXT(COUNTA($C$5:C9),"000"))</f>
        <v/>
      </c>
      <c r="C9" s="11" t="n"/>
      <c r="D9" s="11" t="n"/>
      <c r="E9" s="26" t="n"/>
      <c r="F9" s="11" t="n"/>
      <c r="G9" s="11" t="n"/>
      <c r="H9" s="11" t="n"/>
      <c r="I9" s="11" t="n"/>
      <c r="J9" s="26" t="n"/>
      <c r="K9" s="11" t="n"/>
    </row>
    <row r="10" ht="22" customHeight="1">
      <c r="B10" s="15">
        <f>IF(C10="","VIS-"&amp;TEXT(COUNTA($C$5:C10),"000"))</f>
        <v/>
      </c>
      <c r="C10" s="13" t="n"/>
      <c r="D10" s="13" t="n"/>
      <c r="E10" s="27" t="n"/>
      <c r="F10" s="13" t="n"/>
      <c r="G10" s="13" t="n"/>
      <c r="H10" s="13" t="n"/>
      <c r="I10" s="13" t="n"/>
      <c r="J10" s="27" t="n"/>
      <c r="K10" s="13" t="n"/>
    </row>
    <row r="11" ht="22" customHeight="1">
      <c r="B11" s="16">
        <f>IF(C11="","VIS-"&amp;TEXT(COUNTA($C$5:C11),"000"))</f>
        <v/>
      </c>
      <c r="C11" s="11" t="n"/>
      <c r="D11" s="11" t="n"/>
      <c r="E11" s="26" t="n"/>
      <c r="F11" s="11" t="n"/>
      <c r="G11" s="11" t="n"/>
      <c r="H11" s="11" t="n"/>
      <c r="I11" s="11" t="n"/>
      <c r="J11" s="26" t="n"/>
      <c r="K11" s="11" t="n"/>
    </row>
    <row r="12" ht="22" customHeight="1">
      <c r="B12" s="15">
        <f>IF(C12="","VIS-"&amp;TEXT(COUNTA($C$5:C12),"000"))</f>
        <v/>
      </c>
      <c r="C12" s="13" t="n"/>
      <c r="D12" s="13" t="n"/>
      <c r="E12" s="27" t="n"/>
      <c r="F12" s="13" t="n"/>
      <c r="G12" s="13" t="n"/>
      <c r="H12" s="13" t="n"/>
      <c r="I12" s="13" t="n"/>
      <c r="J12" s="27" t="n"/>
      <c r="K12" s="13" t="n"/>
    </row>
    <row r="13" ht="22" customHeight="1">
      <c r="B13" s="16">
        <f>IF(C13="","VIS-"&amp;TEXT(COUNTA($C$5:C13),"000"))</f>
        <v/>
      </c>
      <c r="C13" s="11" t="n"/>
      <c r="D13" s="11" t="n"/>
      <c r="E13" s="26" t="n"/>
      <c r="F13" s="11" t="n"/>
      <c r="G13" s="11" t="n"/>
      <c r="H13" s="11" t="n"/>
      <c r="I13" s="11" t="n"/>
      <c r="J13" s="26" t="n"/>
      <c r="K13" s="11" t="n"/>
    </row>
    <row r="14" ht="22" customHeight="1">
      <c r="B14" s="15">
        <f>IF(C14="","VIS-"&amp;TEXT(COUNTA($C$5:C14),"000"))</f>
        <v/>
      </c>
      <c r="C14" s="13" t="n"/>
      <c r="D14" s="13" t="n"/>
      <c r="E14" s="27" t="n"/>
      <c r="F14" s="13" t="n"/>
      <c r="G14" s="13" t="n"/>
      <c r="H14" s="13" t="n"/>
      <c r="I14" s="13" t="n"/>
      <c r="J14" s="27" t="n"/>
      <c r="K14" s="13" t="n"/>
    </row>
    <row r="15" ht="22" customHeight="1">
      <c r="B15" s="16">
        <f>IF(C15="","VIS-"&amp;TEXT(COUNTA($C$5:C15),"000"))</f>
        <v/>
      </c>
      <c r="C15" s="11" t="n"/>
      <c r="D15" s="11" t="n"/>
      <c r="E15" s="26" t="n"/>
      <c r="F15" s="11" t="n"/>
      <c r="G15" s="11" t="n"/>
      <c r="H15" s="11" t="n"/>
      <c r="I15" s="11" t="n"/>
      <c r="J15" s="26" t="n"/>
      <c r="K15" s="11" t="n"/>
    </row>
    <row r="16" ht="22" customHeight="1">
      <c r="B16" s="15">
        <f>IF(C16="","VIS-"&amp;TEXT(COUNTA($C$5:C16),"000"))</f>
        <v/>
      </c>
      <c r="C16" s="13" t="n"/>
      <c r="D16" s="13" t="n"/>
      <c r="E16" s="27" t="n"/>
      <c r="F16" s="13" t="n"/>
      <c r="G16" s="13" t="n"/>
      <c r="H16" s="13" t="n"/>
      <c r="I16" s="13" t="n"/>
      <c r="J16" s="27" t="n"/>
      <c r="K16" s="13" t="n"/>
    </row>
    <row r="17" ht="22" customHeight="1">
      <c r="B17" s="16">
        <f>IF(C17="","VIS-"&amp;TEXT(COUNTA($C$5:C17),"000"))</f>
        <v/>
      </c>
      <c r="C17" s="11" t="n"/>
      <c r="D17" s="11" t="n"/>
      <c r="E17" s="26" t="n"/>
      <c r="F17" s="11" t="n"/>
      <c r="G17" s="11" t="n"/>
      <c r="H17" s="11" t="n"/>
      <c r="I17" s="11" t="n"/>
      <c r="J17" s="26" t="n"/>
      <c r="K17" s="11" t="n"/>
    </row>
    <row r="18" ht="22" customHeight="1">
      <c r="B18" s="15">
        <f>IF(C18="","VIS-"&amp;TEXT(COUNTA($C$5:C18),"000"))</f>
        <v/>
      </c>
      <c r="C18" s="13" t="n"/>
      <c r="D18" s="13" t="n"/>
      <c r="E18" s="27" t="n"/>
      <c r="F18" s="13" t="n"/>
      <c r="G18" s="13" t="n"/>
      <c r="H18" s="13" t="n"/>
      <c r="I18" s="13" t="n"/>
      <c r="J18" s="27" t="n"/>
      <c r="K18" s="13" t="n"/>
    </row>
    <row r="19" ht="22" customHeight="1">
      <c r="B19" s="16">
        <f>IF(C19="","VIS-"&amp;TEXT(COUNTA($C$5:C19),"000"))</f>
        <v/>
      </c>
      <c r="C19" s="11" t="n"/>
      <c r="D19" s="11" t="n"/>
      <c r="E19" s="26" t="n"/>
      <c r="F19" s="11" t="n"/>
      <c r="G19" s="11" t="n"/>
      <c r="H19" s="11" t="n"/>
      <c r="I19" s="11" t="n"/>
      <c r="J19" s="26" t="n"/>
      <c r="K19" s="11" t="n"/>
    </row>
    <row r="20" ht="22" customHeight="1">
      <c r="B20" s="15">
        <f>IF(C20="","VIS-"&amp;TEXT(COUNTA($C$5:C20),"000"))</f>
        <v/>
      </c>
      <c r="C20" s="13" t="n"/>
      <c r="D20" s="13" t="n"/>
      <c r="E20" s="27" t="n"/>
      <c r="F20" s="13" t="n"/>
      <c r="G20" s="13" t="n"/>
      <c r="H20" s="13" t="n"/>
      <c r="I20" s="13" t="n"/>
      <c r="J20" s="27" t="n"/>
      <c r="K20" s="13" t="n"/>
    </row>
    <row r="21" ht="22" customHeight="1">
      <c r="B21" s="16">
        <f>IF(C21="","VIS-"&amp;TEXT(COUNTA($C$5:C21),"000"))</f>
        <v/>
      </c>
      <c r="C21" s="11" t="n"/>
      <c r="D21" s="11" t="n"/>
      <c r="E21" s="26" t="n"/>
      <c r="F21" s="11" t="n"/>
      <c r="G21" s="11" t="n"/>
      <c r="H21" s="11" t="n"/>
      <c r="I21" s="11" t="n"/>
      <c r="J21" s="26" t="n"/>
      <c r="K21" s="11" t="n"/>
    </row>
    <row r="22" ht="22" customHeight="1">
      <c r="B22" s="15">
        <f>IF(C22="","VIS-"&amp;TEXT(COUNTA($C$5:C22),"000"))</f>
        <v/>
      </c>
      <c r="C22" s="13" t="n"/>
      <c r="D22" s="13" t="n"/>
      <c r="E22" s="27" t="n"/>
      <c r="F22" s="13" t="n"/>
      <c r="G22" s="13" t="n"/>
      <c r="H22" s="13" t="n"/>
      <c r="I22" s="13" t="n"/>
      <c r="J22" s="27" t="n"/>
      <c r="K22" s="13" t="n"/>
    </row>
    <row r="23" ht="22" customHeight="1">
      <c r="B23" s="16">
        <f>IF(C23="","VIS-"&amp;TEXT(COUNTA($C$5:C23),"000"))</f>
        <v/>
      </c>
      <c r="C23" s="11" t="n"/>
      <c r="D23" s="11" t="n"/>
      <c r="E23" s="26" t="n"/>
      <c r="F23" s="11" t="n"/>
      <c r="G23" s="11" t="n"/>
      <c r="H23" s="11" t="n"/>
      <c r="I23" s="11" t="n"/>
      <c r="J23" s="26" t="n"/>
      <c r="K23" s="11" t="n"/>
    </row>
    <row r="24" ht="22" customHeight="1">
      <c r="B24" s="15">
        <f>IF(C24="","VIS-"&amp;TEXT(COUNTA($C$5:C24),"000"))</f>
        <v/>
      </c>
      <c r="C24" s="13" t="n"/>
      <c r="D24" s="13" t="n"/>
      <c r="E24" s="27" t="n"/>
      <c r="F24" s="13" t="n"/>
      <c r="G24" s="13" t="n"/>
      <c r="H24" s="13" t="n"/>
      <c r="I24" s="13" t="n"/>
      <c r="J24" s="27" t="n"/>
      <c r="K24" s="13" t="n"/>
    </row>
    <row r="25" ht="22" customHeight="1">
      <c r="B25" s="16">
        <f>IF(C25="","VIS-"&amp;TEXT(COUNTA($C$5:C25),"000"))</f>
        <v/>
      </c>
      <c r="C25" s="11" t="n"/>
      <c r="D25" s="11" t="n"/>
      <c r="E25" s="26" t="n"/>
      <c r="F25" s="11" t="n"/>
      <c r="G25" s="11" t="n"/>
      <c r="H25" s="11" t="n"/>
      <c r="I25" s="11" t="n"/>
      <c r="J25" s="26" t="n"/>
      <c r="K25" s="11" t="n"/>
    </row>
    <row r="26" ht="22" customHeight="1">
      <c r="B26" s="15">
        <f>IF(C26="","VIS-"&amp;TEXT(COUNTA($C$5:C26),"000"))</f>
        <v/>
      </c>
      <c r="C26" s="13" t="n"/>
      <c r="D26" s="13" t="n"/>
      <c r="E26" s="27" t="n"/>
      <c r="F26" s="13" t="n"/>
      <c r="G26" s="13" t="n"/>
      <c r="H26" s="13" t="n"/>
      <c r="I26" s="13" t="n"/>
      <c r="J26" s="27" t="n"/>
      <c r="K26" s="13" t="n"/>
    </row>
    <row r="27" ht="22" customHeight="1">
      <c r="B27" s="16">
        <f>IF(C27="","VIS-"&amp;TEXT(COUNTA($C$5:C27),"000"))</f>
        <v/>
      </c>
      <c r="C27" s="11" t="n"/>
      <c r="D27" s="11" t="n"/>
      <c r="E27" s="26" t="n"/>
      <c r="F27" s="11" t="n"/>
      <c r="G27" s="11" t="n"/>
      <c r="H27" s="11" t="n"/>
      <c r="I27" s="11" t="n"/>
      <c r="J27" s="26" t="n"/>
      <c r="K27" s="11" t="n"/>
    </row>
    <row r="28" ht="22" customHeight="1">
      <c r="B28" s="15">
        <f>IF(C28="","VIS-"&amp;TEXT(COUNTA($C$5:C28),"000"))</f>
        <v/>
      </c>
      <c r="C28" s="13" t="n"/>
      <c r="D28" s="13" t="n"/>
      <c r="E28" s="27" t="n"/>
      <c r="F28" s="13" t="n"/>
      <c r="G28" s="13" t="n"/>
      <c r="H28" s="13" t="n"/>
      <c r="I28" s="13" t="n"/>
      <c r="J28" s="27" t="n"/>
      <c r="K28" s="13" t="n"/>
    </row>
    <row r="29" ht="22" customHeight="1">
      <c r="B29" s="16">
        <f>IF(C29="","VIS-"&amp;TEXT(COUNTA($C$5:C29),"000"))</f>
        <v/>
      </c>
      <c r="C29" s="11" t="n"/>
      <c r="D29" s="11" t="n"/>
      <c r="E29" s="26" t="n"/>
      <c r="F29" s="11" t="n"/>
      <c r="G29" s="11" t="n"/>
      <c r="H29" s="11" t="n"/>
      <c r="I29" s="11" t="n"/>
      <c r="J29" s="26" t="n"/>
      <c r="K29" s="11" t="n"/>
    </row>
    <row r="30" ht="22" customHeight="1">
      <c r="B30" s="15">
        <f>IF(C30="","VIS-"&amp;TEXT(COUNTA($C$5:C30),"000"))</f>
        <v/>
      </c>
      <c r="C30" s="13" t="n"/>
      <c r="D30" s="13" t="n"/>
      <c r="E30" s="27" t="n"/>
      <c r="F30" s="13" t="n"/>
      <c r="G30" s="13" t="n"/>
      <c r="H30" s="13" t="n"/>
      <c r="I30" s="13" t="n"/>
      <c r="J30" s="27" t="n"/>
      <c r="K30" s="13" t="n"/>
    </row>
    <row r="31" ht="22" customHeight="1">
      <c r="B31" s="16">
        <f>IF(C31="","VIS-"&amp;TEXT(COUNTA($C$5:C31),"000"))</f>
        <v/>
      </c>
      <c r="C31" s="11" t="n"/>
      <c r="D31" s="11" t="n"/>
      <c r="E31" s="26" t="n"/>
      <c r="F31" s="11" t="n"/>
      <c r="G31" s="11" t="n"/>
      <c r="H31" s="11" t="n"/>
      <c r="I31" s="11" t="n"/>
      <c r="J31" s="26" t="n"/>
      <c r="K31" s="11" t="n"/>
    </row>
    <row r="32" ht="22" customHeight="1">
      <c r="B32" s="15">
        <f>IF(C32="","VIS-"&amp;TEXT(COUNTA($C$5:C32),"000"))</f>
        <v/>
      </c>
      <c r="C32" s="13" t="n"/>
      <c r="D32" s="13" t="n"/>
      <c r="E32" s="27" t="n"/>
      <c r="F32" s="13" t="n"/>
      <c r="G32" s="13" t="n"/>
      <c r="H32" s="13" t="n"/>
      <c r="I32" s="13" t="n"/>
      <c r="J32" s="27" t="n"/>
      <c r="K32" s="13" t="n"/>
    </row>
    <row r="33" ht="22" customHeight="1">
      <c r="B33" s="16">
        <f>IF(C33="","VIS-"&amp;TEXT(COUNTA($C$5:C33),"000"))</f>
        <v/>
      </c>
      <c r="C33" s="11" t="n"/>
      <c r="D33" s="11" t="n"/>
      <c r="E33" s="26" t="n"/>
      <c r="F33" s="11" t="n"/>
      <c r="G33" s="11" t="n"/>
      <c r="H33" s="11" t="n"/>
      <c r="I33" s="11" t="n"/>
      <c r="J33" s="26" t="n"/>
      <c r="K33" s="11" t="n"/>
    </row>
    <row r="34" ht="22" customHeight="1">
      <c r="B34" s="15">
        <f>IF(C34="","VIS-"&amp;TEXT(COUNTA($C$5:C34),"000"))</f>
        <v/>
      </c>
      <c r="C34" s="13" t="n"/>
      <c r="D34" s="13" t="n"/>
      <c r="E34" s="27" t="n"/>
      <c r="F34" s="13" t="n"/>
      <c r="G34" s="13" t="n"/>
      <c r="H34" s="13" t="n"/>
      <c r="I34" s="13" t="n"/>
      <c r="J34" s="27" t="n"/>
      <c r="K34" s="13" t="n"/>
    </row>
    <row r="35" ht="22" customHeight="1">
      <c r="B35" s="16">
        <f>IF(C35="","VIS-"&amp;TEXT(COUNTA($C$5:C35),"000"))</f>
        <v/>
      </c>
      <c r="C35" s="11" t="n"/>
      <c r="D35" s="11" t="n"/>
      <c r="E35" s="26" t="n"/>
      <c r="F35" s="11" t="n"/>
      <c r="G35" s="11" t="n"/>
      <c r="H35" s="11" t="n"/>
      <c r="I35" s="11" t="n"/>
      <c r="J35" s="26" t="n"/>
      <c r="K35" s="11" t="n"/>
    </row>
    <row r="36" ht="22" customHeight="1">
      <c r="B36" s="15">
        <f>IF(C36="","VIS-"&amp;TEXT(COUNTA($C$5:C36),"000"))</f>
        <v/>
      </c>
      <c r="C36" s="13" t="n"/>
      <c r="D36" s="13" t="n"/>
      <c r="E36" s="27" t="n"/>
      <c r="F36" s="13" t="n"/>
      <c r="G36" s="13" t="n"/>
      <c r="H36" s="13" t="n"/>
      <c r="I36" s="13" t="n"/>
      <c r="J36" s="27" t="n"/>
      <c r="K36" s="13" t="n"/>
    </row>
    <row r="37" ht="22" customHeight="1">
      <c r="B37" s="16">
        <f>IF(C37="","VIS-"&amp;TEXT(COUNTA($C$5:C37),"000"))</f>
        <v/>
      </c>
      <c r="C37" s="11" t="n"/>
      <c r="D37" s="11" t="n"/>
      <c r="E37" s="26" t="n"/>
      <c r="F37" s="11" t="n"/>
      <c r="G37" s="11" t="n"/>
      <c r="H37" s="11" t="n"/>
      <c r="I37" s="11" t="n"/>
      <c r="J37" s="26" t="n"/>
      <c r="K37" s="11" t="n"/>
    </row>
    <row r="38" ht="22" customHeight="1">
      <c r="B38" s="15">
        <f>IF(C38="","VIS-"&amp;TEXT(COUNTA($C$5:C38),"000"))</f>
        <v/>
      </c>
      <c r="C38" s="13" t="n"/>
      <c r="D38" s="13" t="n"/>
      <c r="E38" s="27" t="n"/>
      <c r="F38" s="13" t="n"/>
      <c r="G38" s="13" t="n"/>
      <c r="H38" s="13" t="n"/>
      <c r="I38" s="13" t="n"/>
      <c r="J38" s="27" t="n"/>
      <c r="K38" s="13" t="n"/>
    </row>
    <row r="39" ht="22" customHeight="1">
      <c r="B39" s="16">
        <f>IF(C39="","VIS-"&amp;TEXT(COUNTA($C$5:C39),"000"))</f>
        <v/>
      </c>
      <c r="C39" s="11" t="n"/>
      <c r="D39" s="11" t="n"/>
      <c r="E39" s="26" t="n"/>
      <c r="F39" s="11" t="n"/>
      <c r="G39" s="11" t="n"/>
      <c r="H39" s="11" t="n"/>
      <c r="I39" s="11" t="n"/>
      <c r="J39" s="26" t="n"/>
      <c r="K39" s="11" t="n"/>
    </row>
    <row r="40" ht="22" customHeight="1">
      <c r="B40" s="15">
        <f>IF(C40="","VIS-"&amp;TEXT(COUNTA($C$5:C40),"000"))</f>
        <v/>
      </c>
      <c r="C40" s="13" t="n"/>
      <c r="D40" s="13" t="n"/>
      <c r="E40" s="27" t="n"/>
      <c r="F40" s="13" t="n"/>
      <c r="G40" s="13" t="n"/>
      <c r="H40" s="13" t="n"/>
      <c r="I40" s="13" t="n"/>
      <c r="J40" s="27" t="n"/>
      <c r="K40" s="13" t="n"/>
    </row>
    <row r="41" ht="22" customHeight="1">
      <c r="B41" s="16">
        <f>IF(C41="","VIS-"&amp;TEXT(COUNTA($C$5:C41),"000"))</f>
        <v/>
      </c>
      <c r="C41" s="11" t="n"/>
      <c r="D41" s="11" t="n"/>
      <c r="E41" s="26" t="n"/>
      <c r="F41" s="11" t="n"/>
      <c r="G41" s="11" t="n"/>
      <c r="H41" s="11" t="n"/>
      <c r="I41" s="11" t="n"/>
      <c r="J41" s="26" t="n"/>
      <c r="K41" s="11" t="n"/>
    </row>
    <row r="42" ht="22" customHeight="1">
      <c r="B42" s="15">
        <f>IF(C42="","VIS-"&amp;TEXT(COUNTA($C$5:C42),"000"))</f>
        <v/>
      </c>
      <c r="C42" s="13" t="n"/>
      <c r="D42" s="13" t="n"/>
      <c r="E42" s="27" t="n"/>
      <c r="F42" s="13" t="n"/>
      <c r="G42" s="13" t="n"/>
      <c r="H42" s="13" t="n"/>
      <c r="I42" s="13" t="n"/>
      <c r="J42" s="27" t="n"/>
      <c r="K42" s="13" t="n"/>
    </row>
    <row r="43" ht="22" customHeight="1">
      <c r="B43" s="16">
        <f>IF(C43="","VIS-"&amp;TEXT(COUNTA($C$5:C43),"000"))</f>
        <v/>
      </c>
      <c r="C43" s="11" t="n"/>
      <c r="D43" s="11" t="n"/>
      <c r="E43" s="26" t="n"/>
      <c r="F43" s="11" t="n"/>
      <c r="G43" s="11" t="n"/>
      <c r="H43" s="11" t="n"/>
      <c r="I43" s="11" t="n"/>
      <c r="J43" s="26" t="n"/>
      <c r="K43" s="11" t="n"/>
    </row>
    <row r="44" ht="22" customHeight="1">
      <c r="B44" s="15">
        <f>IF(C44="","VIS-"&amp;TEXT(COUNTA($C$5:C44),"000"))</f>
        <v/>
      </c>
      <c r="C44" s="13" t="n"/>
      <c r="D44" s="13" t="n"/>
      <c r="E44" s="27" t="n"/>
      <c r="F44" s="13" t="n"/>
      <c r="G44" s="13" t="n"/>
      <c r="H44" s="13" t="n"/>
      <c r="I44" s="13" t="n"/>
      <c r="J44" s="27" t="n"/>
      <c r="K44" s="13" t="n"/>
    </row>
    <row r="45" ht="22" customHeight="1">
      <c r="B45" s="16">
        <f>IF(C45="","VIS-"&amp;TEXT(COUNTA($C$5:C45),"000"))</f>
        <v/>
      </c>
      <c r="C45" s="11" t="n"/>
      <c r="D45" s="11" t="n"/>
      <c r="E45" s="26" t="n"/>
      <c r="F45" s="11" t="n"/>
      <c r="G45" s="11" t="n"/>
      <c r="H45" s="11" t="n"/>
      <c r="I45" s="11" t="n"/>
      <c r="J45" s="26" t="n"/>
      <c r="K45" s="11" t="n"/>
    </row>
    <row r="46" ht="22" customHeight="1">
      <c r="B46" s="15">
        <f>IF(C46="","VIS-"&amp;TEXT(COUNTA($C$5:C46),"000"))</f>
        <v/>
      </c>
      <c r="C46" s="13" t="n"/>
      <c r="D46" s="13" t="n"/>
      <c r="E46" s="27" t="n"/>
      <c r="F46" s="13" t="n"/>
      <c r="G46" s="13" t="n"/>
      <c r="H46" s="13" t="n"/>
      <c r="I46" s="13" t="n"/>
      <c r="J46" s="27" t="n"/>
      <c r="K46" s="13" t="n"/>
    </row>
    <row r="47" ht="22" customHeight="1">
      <c r="B47" s="16">
        <f>IF(C47="","VIS-"&amp;TEXT(COUNTA($C$5:C47),"000"))</f>
        <v/>
      </c>
      <c r="C47" s="11" t="n"/>
      <c r="D47" s="11" t="n"/>
      <c r="E47" s="26" t="n"/>
      <c r="F47" s="11" t="n"/>
      <c r="G47" s="11" t="n"/>
      <c r="H47" s="11" t="n"/>
      <c r="I47" s="11" t="n"/>
      <c r="J47" s="26" t="n"/>
      <c r="K47" s="11" t="n"/>
    </row>
    <row r="48" ht="22" customHeight="1">
      <c r="B48" s="15">
        <f>IF(C48="","VIS-"&amp;TEXT(COUNTA($C$5:C48),"000"))</f>
        <v/>
      </c>
      <c r="C48" s="13" t="n"/>
      <c r="D48" s="13" t="n"/>
      <c r="E48" s="27" t="n"/>
      <c r="F48" s="13" t="n"/>
      <c r="G48" s="13" t="n"/>
      <c r="H48" s="13" t="n"/>
      <c r="I48" s="13" t="n"/>
      <c r="J48" s="27" t="n"/>
      <c r="K48" s="13" t="n"/>
    </row>
    <row r="49" ht="22" customHeight="1">
      <c r="B49" s="16">
        <f>IF(C49="","VIS-"&amp;TEXT(COUNTA($C$5:C49),"000"))</f>
        <v/>
      </c>
      <c r="C49" s="11" t="n"/>
      <c r="D49" s="11" t="n"/>
      <c r="E49" s="26" t="n"/>
      <c r="F49" s="11" t="n"/>
      <c r="G49" s="11" t="n"/>
      <c r="H49" s="11" t="n"/>
      <c r="I49" s="11" t="n"/>
      <c r="J49" s="26" t="n"/>
      <c r="K49" s="11" t="n"/>
    </row>
    <row r="50" ht="22" customHeight="1">
      <c r="B50" s="15">
        <f>IF(C50="","VIS-"&amp;TEXT(COUNTA($C$5:C50),"000"))</f>
        <v/>
      </c>
      <c r="C50" s="13" t="n"/>
      <c r="D50" s="13" t="n"/>
      <c r="E50" s="27" t="n"/>
      <c r="F50" s="13" t="n"/>
      <c r="G50" s="13" t="n"/>
      <c r="H50" s="13" t="n"/>
      <c r="I50" s="13" t="n"/>
      <c r="J50" s="27" t="n"/>
      <c r="K50" s="13" t="n"/>
    </row>
    <row r="51" ht="22" customHeight="1">
      <c r="B51" s="16">
        <f>IF(C51="","VIS-"&amp;TEXT(COUNTA($C$5:C51),"000"))</f>
        <v/>
      </c>
      <c r="C51" s="11" t="n"/>
      <c r="D51" s="11" t="n"/>
      <c r="E51" s="26" t="n"/>
      <c r="F51" s="11" t="n"/>
      <c r="G51" s="11" t="n"/>
      <c r="H51" s="11" t="n"/>
      <c r="I51" s="11" t="n"/>
      <c r="J51" s="26" t="n"/>
      <c r="K51" s="11" t="n"/>
    </row>
    <row r="52" ht="22" customHeight="1">
      <c r="B52" s="15">
        <f>IF(C52="","VIS-"&amp;TEXT(COUNTA($C$5:C52),"000"))</f>
        <v/>
      </c>
      <c r="C52" s="13" t="n"/>
      <c r="D52" s="13" t="n"/>
      <c r="E52" s="27" t="n"/>
      <c r="F52" s="13" t="n"/>
      <c r="G52" s="13" t="n"/>
      <c r="H52" s="13" t="n"/>
      <c r="I52" s="13" t="n"/>
      <c r="J52" s="27" t="n"/>
      <c r="K52" s="13" t="n"/>
    </row>
    <row r="53" ht="22" customHeight="1">
      <c r="B53" s="16">
        <f>IF(C53="","VIS-"&amp;TEXT(COUNTA($C$5:C53),"000"))</f>
        <v/>
      </c>
      <c r="C53" s="11" t="n"/>
      <c r="D53" s="11" t="n"/>
      <c r="E53" s="26" t="n"/>
      <c r="F53" s="11" t="n"/>
      <c r="G53" s="11" t="n"/>
      <c r="H53" s="11" t="n"/>
      <c r="I53" s="11" t="n"/>
      <c r="J53" s="26" t="n"/>
      <c r="K53" s="11" t="n"/>
    </row>
    <row r="54" ht="22" customHeight="1">
      <c r="B54" s="15">
        <f>IF(C54="","VIS-"&amp;TEXT(COUNTA($C$5:C54),"000"))</f>
        <v/>
      </c>
      <c r="C54" s="13" t="n"/>
      <c r="D54" s="13" t="n"/>
      <c r="E54" s="27" t="n"/>
      <c r="F54" s="13" t="n"/>
      <c r="G54" s="13" t="n"/>
      <c r="H54" s="13" t="n"/>
      <c r="I54" s="13" t="n"/>
      <c r="J54" s="27" t="n"/>
      <c r="K54" s="13" t="n"/>
    </row>
    <row r="55" ht="22" customHeight="1">
      <c r="B55" s="16">
        <f>IF(C55="","VIS-"&amp;TEXT(COUNTA($C$5:C55),"000"))</f>
        <v/>
      </c>
      <c r="C55" s="11" t="n"/>
      <c r="D55" s="11" t="n"/>
      <c r="E55" s="26" t="n"/>
      <c r="F55" s="11" t="n"/>
      <c r="G55" s="11" t="n"/>
      <c r="H55" s="11" t="n"/>
      <c r="I55" s="11" t="n"/>
      <c r="J55" s="26" t="n"/>
      <c r="K55" s="11" t="n"/>
    </row>
    <row r="56" ht="22" customHeight="1">
      <c r="B56" s="15">
        <f>IF(C56="","VIS-"&amp;TEXT(COUNTA($C$5:C56),"000"))</f>
        <v/>
      </c>
      <c r="C56" s="13" t="n"/>
      <c r="D56" s="13" t="n"/>
      <c r="E56" s="27" t="n"/>
      <c r="F56" s="13" t="n"/>
      <c r="G56" s="13" t="n"/>
      <c r="H56" s="13" t="n"/>
      <c r="I56" s="13" t="n"/>
      <c r="J56" s="27" t="n"/>
      <c r="K56" s="13" t="n"/>
    </row>
    <row r="57" ht="22" customHeight="1">
      <c r="B57" s="16">
        <f>IF(C57="","VIS-"&amp;TEXT(COUNTA($C$5:C57),"000"))</f>
        <v/>
      </c>
      <c r="C57" s="11" t="n"/>
      <c r="D57" s="11" t="n"/>
      <c r="E57" s="26" t="n"/>
      <c r="F57" s="11" t="n"/>
      <c r="G57" s="11" t="n"/>
      <c r="H57" s="11" t="n"/>
      <c r="I57" s="11" t="n"/>
      <c r="J57" s="26" t="n"/>
      <c r="K57" s="11" t="n"/>
    </row>
    <row r="58" ht="22" customHeight="1">
      <c r="B58" s="15">
        <f>IF(C58="","VIS-"&amp;TEXT(COUNTA($C$5:C58),"000"))</f>
        <v/>
      </c>
      <c r="C58" s="13" t="n"/>
      <c r="D58" s="13" t="n"/>
      <c r="E58" s="27" t="n"/>
      <c r="F58" s="13" t="n"/>
      <c r="G58" s="13" t="n"/>
      <c r="H58" s="13" t="n"/>
      <c r="I58" s="13" t="n"/>
      <c r="J58" s="27" t="n"/>
      <c r="K58" s="13" t="n"/>
    </row>
    <row r="59" ht="22" customHeight="1">
      <c r="B59" s="16">
        <f>IF(C59="","VIS-"&amp;TEXT(COUNTA($C$5:C59),"000"))</f>
        <v/>
      </c>
      <c r="C59" s="11" t="n"/>
      <c r="D59" s="11" t="n"/>
      <c r="E59" s="26" t="n"/>
      <c r="F59" s="11" t="n"/>
      <c r="G59" s="11" t="n"/>
      <c r="H59" s="11" t="n"/>
      <c r="I59" s="11" t="n"/>
      <c r="J59" s="26" t="n"/>
      <c r="K59" s="11" t="n"/>
    </row>
    <row r="60" ht="22" customHeight="1">
      <c r="B60" s="15">
        <f>IF(C60="","VIS-"&amp;TEXT(COUNTA($C$5:C60),"000"))</f>
        <v/>
      </c>
      <c r="C60" s="13" t="n"/>
      <c r="D60" s="13" t="n"/>
      <c r="E60" s="27" t="n"/>
      <c r="F60" s="13" t="n"/>
      <c r="G60" s="13" t="n"/>
      <c r="H60" s="13" t="n"/>
      <c r="I60" s="13" t="n"/>
      <c r="J60" s="27" t="n"/>
      <c r="K60" s="13" t="n"/>
    </row>
    <row r="61" ht="22" customHeight="1">
      <c r="B61" s="16">
        <f>IF(C61="","VIS-"&amp;TEXT(COUNTA($C$5:C61),"000"))</f>
        <v/>
      </c>
      <c r="C61" s="11" t="n"/>
      <c r="D61" s="11" t="n"/>
      <c r="E61" s="26" t="n"/>
      <c r="F61" s="11" t="n"/>
      <c r="G61" s="11" t="n"/>
      <c r="H61" s="11" t="n"/>
      <c r="I61" s="11" t="n"/>
      <c r="J61" s="26" t="n"/>
      <c r="K61" s="11" t="n"/>
    </row>
    <row r="62" ht="22" customHeight="1">
      <c r="B62" s="15">
        <f>IF(C62="","VIS-"&amp;TEXT(COUNTA($C$5:C62),"000"))</f>
        <v/>
      </c>
      <c r="C62" s="13" t="n"/>
      <c r="D62" s="13" t="n"/>
      <c r="E62" s="27" t="n"/>
      <c r="F62" s="13" t="n"/>
      <c r="G62" s="13" t="n"/>
      <c r="H62" s="13" t="n"/>
      <c r="I62" s="13" t="n"/>
      <c r="J62" s="27" t="n"/>
      <c r="K62" s="13" t="n"/>
    </row>
    <row r="63" ht="22" customHeight="1">
      <c r="B63" s="16">
        <f>IF(C63="","VIS-"&amp;TEXT(COUNTA($C$5:C63),"000"))</f>
        <v/>
      </c>
      <c r="C63" s="11" t="n"/>
      <c r="D63" s="11" t="n"/>
      <c r="E63" s="26" t="n"/>
      <c r="F63" s="11" t="n"/>
      <c r="G63" s="11" t="n"/>
      <c r="H63" s="11" t="n"/>
      <c r="I63" s="11" t="n"/>
      <c r="J63" s="26" t="n"/>
      <c r="K63" s="11" t="n"/>
    </row>
    <row r="64" ht="22" customHeight="1">
      <c r="B64" s="15">
        <f>IF(C64="","VIS-"&amp;TEXT(COUNTA($C$5:C64),"000"))</f>
        <v/>
      </c>
      <c r="C64" s="13" t="n"/>
      <c r="D64" s="13" t="n"/>
      <c r="E64" s="27" t="n"/>
      <c r="F64" s="13" t="n"/>
      <c r="G64" s="13" t="n"/>
      <c r="H64" s="13" t="n"/>
      <c r="I64" s="13" t="n"/>
      <c r="J64" s="27" t="n"/>
      <c r="K64" s="13" t="n"/>
    </row>
    <row r="65" ht="22" customHeight="1">
      <c r="B65" s="16">
        <f>IF(C65="","VIS-"&amp;TEXT(COUNTA($C$5:C65),"000"))</f>
        <v/>
      </c>
      <c r="C65" s="11" t="n"/>
      <c r="D65" s="11" t="n"/>
      <c r="E65" s="26" t="n"/>
      <c r="F65" s="11" t="n"/>
      <c r="G65" s="11" t="n"/>
      <c r="H65" s="11" t="n"/>
      <c r="I65" s="11" t="n"/>
      <c r="J65" s="26" t="n"/>
      <c r="K65" s="11" t="n"/>
    </row>
    <row r="66" ht="22" customHeight="1">
      <c r="B66" s="15">
        <f>IF(C66="","VIS-"&amp;TEXT(COUNTA($C$5:C66),"000"))</f>
        <v/>
      </c>
      <c r="C66" s="13" t="n"/>
      <c r="D66" s="13" t="n"/>
      <c r="E66" s="27" t="n"/>
      <c r="F66" s="13" t="n"/>
      <c r="G66" s="13" t="n"/>
      <c r="H66" s="13" t="n"/>
      <c r="I66" s="13" t="n"/>
      <c r="J66" s="27" t="n"/>
      <c r="K66" s="13" t="n"/>
    </row>
    <row r="67" ht="22" customHeight="1">
      <c r="B67" s="16">
        <f>IF(C67="","VIS-"&amp;TEXT(COUNTA($C$5:C67),"000"))</f>
        <v/>
      </c>
      <c r="C67" s="11" t="n"/>
      <c r="D67" s="11" t="n"/>
      <c r="E67" s="26" t="n"/>
      <c r="F67" s="11" t="n"/>
      <c r="G67" s="11" t="n"/>
      <c r="H67" s="11" t="n"/>
      <c r="I67" s="11" t="n"/>
      <c r="J67" s="26" t="n"/>
      <c r="K67" s="11" t="n"/>
    </row>
    <row r="68" ht="22" customHeight="1">
      <c r="B68" s="15">
        <f>IF(C68="","VIS-"&amp;TEXT(COUNTA($C$5:C68),"000"))</f>
        <v/>
      </c>
      <c r="C68" s="13" t="n"/>
      <c r="D68" s="13" t="n"/>
      <c r="E68" s="27" t="n"/>
      <c r="F68" s="13" t="n"/>
      <c r="G68" s="13" t="n"/>
      <c r="H68" s="13" t="n"/>
      <c r="I68" s="13" t="n"/>
      <c r="J68" s="27" t="n"/>
      <c r="K68" s="13" t="n"/>
    </row>
    <row r="69" ht="22" customHeight="1">
      <c r="B69" s="16">
        <f>IF(C69="","VIS-"&amp;TEXT(COUNTA($C$5:C69),"000"))</f>
        <v/>
      </c>
      <c r="C69" s="11" t="n"/>
      <c r="D69" s="11" t="n"/>
      <c r="E69" s="26" t="n"/>
      <c r="F69" s="11" t="n"/>
      <c r="G69" s="11" t="n"/>
      <c r="H69" s="11" t="n"/>
      <c r="I69" s="11" t="n"/>
      <c r="J69" s="26" t="n"/>
      <c r="K69" s="11" t="n"/>
    </row>
    <row r="70" ht="22" customHeight="1">
      <c r="B70" s="15">
        <f>IF(C70="","VIS-"&amp;TEXT(COUNTA($C$5:C70),"000"))</f>
        <v/>
      </c>
      <c r="C70" s="13" t="n"/>
      <c r="D70" s="13" t="n"/>
      <c r="E70" s="27" t="n"/>
      <c r="F70" s="13" t="n"/>
      <c r="G70" s="13" t="n"/>
      <c r="H70" s="13" t="n"/>
      <c r="I70" s="13" t="n"/>
      <c r="J70" s="27" t="n"/>
      <c r="K70" s="13" t="n"/>
    </row>
    <row r="71" ht="22" customHeight="1">
      <c r="B71" s="16">
        <f>IF(C71="","VIS-"&amp;TEXT(COUNTA($C$5:C71),"000"))</f>
        <v/>
      </c>
      <c r="C71" s="11" t="n"/>
      <c r="D71" s="11" t="n"/>
      <c r="E71" s="26" t="n"/>
      <c r="F71" s="11" t="n"/>
      <c r="G71" s="11" t="n"/>
      <c r="H71" s="11" t="n"/>
      <c r="I71" s="11" t="n"/>
      <c r="J71" s="26" t="n"/>
      <c r="K71" s="11" t="n"/>
    </row>
    <row r="72" ht="22" customHeight="1">
      <c r="B72" s="15">
        <f>IF(C72="","VIS-"&amp;TEXT(COUNTA($C$5:C72),"000"))</f>
        <v/>
      </c>
      <c r="C72" s="13" t="n"/>
      <c r="D72" s="13" t="n"/>
      <c r="E72" s="27" t="n"/>
      <c r="F72" s="13" t="n"/>
      <c r="G72" s="13" t="n"/>
      <c r="H72" s="13" t="n"/>
      <c r="I72" s="13" t="n"/>
      <c r="J72" s="27" t="n"/>
      <c r="K72" s="13" t="n"/>
    </row>
    <row r="73" ht="22" customHeight="1">
      <c r="B73" s="16">
        <f>IF(C73="","VIS-"&amp;TEXT(COUNTA($C$5:C73),"000"))</f>
        <v/>
      </c>
      <c r="C73" s="11" t="n"/>
      <c r="D73" s="11" t="n"/>
      <c r="E73" s="26" t="n"/>
      <c r="F73" s="11" t="n"/>
      <c r="G73" s="11" t="n"/>
      <c r="H73" s="11" t="n"/>
      <c r="I73" s="11" t="n"/>
      <c r="J73" s="26" t="n"/>
      <c r="K73" s="11" t="n"/>
    </row>
    <row r="74" ht="22" customHeight="1">
      <c r="B74" s="15">
        <f>IF(C74="","VIS-"&amp;TEXT(COUNTA($C$5:C74),"000"))</f>
        <v/>
      </c>
      <c r="C74" s="13" t="n"/>
      <c r="D74" s="13" t="n"/>
      <c r="E74" s="27" t="n"/>
      <c r="F74" s="13" t="n"/>
      <c r="G74" s="13" t="n"/>
      <c r="H74" s="13" t="n"/>
      <c r="I74" s="13" t="n"/>
      <c r="J74" s="27" t="n"/>
      <c r="K74" s="13" t="n"/>
    </row>
    <row r="75" ht="22" customHeight="1">
      <c r="B75" s="16">
        <f>IF(C75="","VIS-"&amp;TEXT(COUNTA($C$5:C75),"000"))</f>
        <v/>
      </c>
      <c r="C75" s="11" t="n"/>
      <c r="D75" s="11" t="n"/>
      <c r="E75" s="26" t="n"/>
      <c r="F75" s="11" t="n"/>
      <c r="G75" s="11" t="n"/>
      <c r="H75" s="11" t="n"/>
      <c r="I75" s="11" t="n"/>
      <c r="J75" s="26" t="n"/>
      <c r="K75" s="11" t="n"/>
    </row>
    <row r="76" ht="22" customHeight="1">
      <c r="B76" s="15">
        <f>IF(C76="","VIS-"&amp;TEXT(COUNTA($C$5:C76),"000"))</f>
        <v/>
      </c>
      <c r="C76" s="13" t="n"/>
      <c r="D76" s="13" t="n"/>
      <c r="E76" s="27" t="n"/>
      <c r="F76" s="13" t="n"/>
      <c r="G76" s="13" t="n"/>
      <c r="H76" s="13" t="n"/>
      <c r="I76" s="13" t="n"/>
      <c r="J76" s="27" t="n"/>
      <c r="K76" s="13" t="n"/>
    </row>
    <row r="77" ht="22" customHeight="1">
      <c r="B77" s="16">
        <f>IF(C77="","VIS-"&amp;TEXT(COUNTA($C$5:C77),"000"))</f>
        <v/>
      </c>
      <c r="C77" s="11" t="n"/>
      <c r="D77" s="11" t="n"/>
      <c r="E77" s="26" t="n"/>
      <c r="F77" s="11" t="n"/>
      <c r="G77" s="11" t="n"/>
      <c r="H77" s="11" t="n"/>
      <c r="I77" s="11" t="n"/>
      <c r="J77" s="26" t="n"/>
      <c r="K77" s="11" t="n"/>
    </row>
    <row r="78" ht="22" customHeight="1">
      <c r="B78" s="15">
        <f>IF(C78="","VIS-"&amp;TEXT(COUNTA($C$5:C78),"000"))</f>
        <v/>
      </c>
      <c r="C78" s="13" t="n"/>
      <c r="D78" s="13" t="n"/>
      <c r="E78" s="27" t="n"/>
      <c r="F78" s="13" t="n"/>
      <c r="G78" s="13" t="n"/>
      <c r="H78" s="13" t="n"/>
      <c r="I78" s="13" t="n"/>
      <c r="J78" s="27" t="n"/>
      <c r="K78" s="13" t="n"/>
    </row>
    <row r="79" ht="22" customHeight="1">
      <c r="B79" s="16">
        <f>IF(C79="","VIS-"&amp;TEXT(COUNTA($C$5:C79),"000"))</f>
        <v/>
      </c>
      <c r="C79" s="11" t="n"/>
      <c r="D79" s="11" t="n"/>
      <c r="E79" s="26" t="n"/>
      <c r="F79" s="11" t="n"/>
      <c r="G79" s="11" t="n"/>
      <c r="H79" s="11" t="n"/>
      <c r="I79" s="11" t="n"/>
      <c r="J79" s="26" t="n"/>
      <c r="K79" s="11" t="n"/>
    </row>
    <row r="80" ht="22" customHeight="1">
      <c r="B80" s="15">
        <f>IF(C80="","VIS-"&amp;TEXT(COUNTA($C$5:C80),"000"))</f>
        <v/>
      </c>
      <c r="C80" s="13" t="n"/>
      <c r="D80" s="13" t="n"/>
      <c r="E80" s="27" t="n"/>
      <c r="F80" s="13" t="n"/>
      <c r="G80" s="13" t="n"/>
      <c r="H80" s="13" t="n"/>
      <c r="I80" s="13" t="n"/>
      <c r="J80" s="27" t="n"/>
      <c r="K80" s="13" t="n"/>
    </row>
    <row r="81" ht="22" customHeight="1">
      <c r="B81" s="16">
        <f>IF(C81="","VIS-"&amp;TEXT(COUNTA($C$5:C81),"000"))</f>
        <v/>
      </c>
      <c r="C81" s="11" t="n"/>
      <c r="D81" s="11" t="n"/>
      <c r="E81" s="26" t="n"/>
      <c r="F81" s="11" t="n"/>
      <c r="G81" s="11" t="n"/>
      <c r="H81" s="11" t="n"/>
      <c r="I81" s="11" t="n"/>
      <c r="J81" s="26" t="n"/>
      <c r="K81" s="11" t="n"/>
    </row>
    <row r="82" ht="22" customHeight="1">
      <c r="B82" s="15">
        <f>IF(C82="","VIS-"&amp;TEXT(COUNTA($C$5:C82),"000"))</f>
        <v/>
      </c>
      <c r="C82" s="13" t="n"/>
      <c r="D82" s="13" t="n"/>
      <c r="E82" s="27" t="n"/>
      <c r="F82" s="13" t="n"/>
      <c r="G82" s="13" t="n"/>
      <c r="H82" s="13" t="n"/>
      <c r="I82" s="13" t="n"/>
      <c r="J82" s="27" t="n"/>
      <c r="K82" s="13" t="n"/>
    </row>
    <row r="83" ht="22" customHeight="1">
      <c r="B83" s="16">
        <f>IF(C83="","VIS-"&amp;TEXT(COUNTA($C$5:C83),"000"))</f>
        <v/>
      </c>
      <c r="C83" s="11" t="n"/>
      <c r="D83" s="11" t="n"/>
      <c r="E83" s="26" t="n"/>
      <c r="F83" s="11" t="n"/>
      <c r="G83" s="11" t="n"/>
      <c r="H83" s="11" t="n"/>
      <c r="I83" s="11" t="n"/>
      <c r="J83" s="26" t="n"/>
      <c r="K83" s="11" t="n"/>
    </row>
    <row r="84" ht="22" customHeight="1">
      <c r="B84" s="15">
        <f>IF(C84="","VIS-"&amp;TEXT(COUNTA($C$5:C84),"000"))</f>
        <v/>
      </c>
      <c r="C84" s="13" t="n"/>
      <c r="D84" s="13" t="n"/>
      <c r="E84" s="27" t="n"/>
      <c r="F84" s="13" t="n"/>
      <c r="G84" s="13" t="n"/>
      <c r="H84" s="13" t="n"/>
      <c r="I84" s="13" t="n"/>
      <c r="J84" s="27" t="n"/>
      <c r="K84" s="13" t="n"/>
    </row>
    <row r="85" ht="22" customHeight="1">
      <c r="B85" s="16">
        <f>IF(C85="","VIS-"&amp;TEXT(COUNTA($C$5:C85),"000"))</f>
        <v/>
      </c>
      <c r="C85" s="11" t="n"/>
      <c r="D85" s="11" t="n"/>
      <c r="E85" s="26" t="n"/>
      <c r="F85" s="11" t="n"/>
      <c r="G85" s="11" t="n"/>
      <c r="H85" s="11" t="n"/>
      <c r="I85" s="11" t="n"/>
      <c r="J85" s="26" t="n"/>
      <c r="K85" s="11" t="n"/>
    </row>
    <row r="86" ht="22" customHeight="1">
      <c r="B86" s="15">
        <f>IF(C86="","VIS-"&amp;TEXT(COUNTA($C$5:C86),"000"))</f>
        <v/>
      </c>
      <c r="C86" s="13" t="n"/>
      <c r="D86" s="13" t="n"/>
      <c r="E86" s="27" t="n"/>
      <c r="F86" s="13" t="n"/>
      <c r="G86" s="13" t="n"/>
      <c r="H86" s="13" t="n"/>
      <c r="I86" s="13" t="n"/>
      <c r="J86" s="27" t="n"/>
      <c r="K86" s="13" t="n"/>
    </row>
    <row r="87" ht="22" customHeight="1">
      <c r="B87" s="16">
        <f>IF(C87="","VIS-"&amp;TEXT(COUNTA($C$5:C87),"000"))</f>
        <v/>
      </c>
      <c r="C87" s="11" t="n"/>
      <c r="D87" s="11" t="n"/>
      <c r="E87" s="26" t="n"/>
      <c r="F87" s="11" t="n"/>
      <c r="G87" s="11" t="n"/>
      <c r="H87" s="11" t="n"/>
      <c r="I87" s="11" t="n"/>
      <c r="J87" s="26" t="n"/>
      <c r="K87" s="11" t="n"/>
    </row>
    <row r="88" ht="22" customHeight="1">
      <c r="B88" s="15">
        <f>IF(C88="","VIS-"&amp;TEXT(COUNTA($C$5:C88),"000"))</f>
        <v/>
      </c>
      <c r="C88" s="13" t="n"/>
      <c r="D88" s="13" t="n"/>
      <c r="E88" s="27" t="n"/>
      <c r="F88" s="13" t="n"/>
      <c r="G88" s="13" t="n"/>
      <c r="H88" s="13" t="n"/>
      <c r="I88" s="13" t="n"/>
      <c r="J88" s="27" t="n"/>
      <c r="K88" s="13" t="n"/>
    </row>
    <row r="89" ht="22" customHeight="1">
      <c r="B89" s="16">
        <f>IF(C89="","VIS-"&amp;TEXT(COUNTA($C$5:C89),"000"))</f>
        <v/>
      </c>
      <c r="C89" s="11" t="n"/>
      <c r="D89" s="11" t="n"/>
      <c r="E89" s="26" t="n"/>
      <c r="F89" s="11" t="n"/>
      <c r="G89" s="11" t="n"/>
      <c r="H89" s="11" t="n"/>
      <c r="I89" s="11" t="n"/>
      <c r="J89" s="26" t="n"/>
      <c r="K89" s="11" t="n"/>
    </row>
    <row r="90" ht="22" customHeight="1">
      <c r="B90" s="15">
        <f>IF(C90="","VIS-"&amp;TEXT(COUNTA($C$5:C90),"000"))</f>
        <v/>
      </c>
      <c r="C90" s="13" t="n"/>
      <c r="D90" s="13" t="n"/>
      <c r="E90" s="27" t="n"/>
      <c r="F90" s="13" t="n"/>
      <c r="G90" s="13" t="n"/>
      <c r="H90" s="13" t="n"/>
      <c r="I90" s="13" t="n"/>
      <c r="J90" s="27" t="n"/>
      <c r="K90" s="13" t="n"/>
    </row>
    <row r="91" ht="22" customHeight="1">
      <c r="B91" s="16">
        <f>IF(C91="","VIS-"&amp;TEXT(COUNTA($C$5:C91),"000"))</f>
        <v/>
      </c>
      <c r="C91" s="11" t="n"/>
      <c r="D91" s="11" t="n"/>
      <c r="E91" s="26" t="n"/>
      <c r="F91" s="11" t="n"/>
      <c r="G91" s="11" t="n"/>
      <c r="H91" s="11" t="n"/>
      <c r="I91" s="11" t="n"/>
      <c r="J91" s="26" t="n"/>
      <c r="K91" s="11" t="n"/>
    </row>
    <row r="92" ht="22" customHeight="1">
      <c r="B92" s="15">
        <f>IF(C92="","VIS-"&amp;TEXT(COUNTA($C$5:C92),"000"))</f>
        <v/>
      </c>
      <c r="C92" s="13" t="n"/>
      <c r="D92" s="13" t="n"/>
      <c r="E92" s="27" t="n"/>
      <c r="F92" s="13" t="n"/>
      <c r="G92" s="13" t="n"/>
      <c r="H92" s="13" t="n"/>
      <c r="I92" s="13" t="n"/>
      <c r="J92" s="27" t="n"/>
      <c r="K92" s="13" t="n"/>
    </row>
    <row r="93" ht="22" customHeight="1">
      <c r="B93" s="16">
        <f>IF(C93="","VIS-"&amp;TEXT(COUNTA($C$5:C93),"000"))</f>
        <v/>
      </c>
      <c r="C93" s="11" t="n"/>
      <c r="D93" s="11" t="n"/>
      <c r="E93" s="26" t="n"/>
      <c r="F93" s="11" t="n"/>
      <c r="G93" s="11" t="n"/>
      <c r="H93" s="11" t="n"/>
      <c r="I93" s="11" t="n"/>
      <c r="J93" s="26" t="n"/>
      <c r="K93" s="11" t="n"/>
    </row>
    <row r="94" ht="22" customHeight="1">
      <c r="B94" s="15">
        <f>IF(C94="","VIS-"&amp;TEXT(COUNTA($C$5:C94),"000"))</f>
        <v/>
      </c>
      <c r="C94" s="13" t="n"/>
      <c r="D94" s="13" t="n"/>
      <c r="E94" s="27" t="n"/>
      <c r="F94" s="13" t="n"/>
      <c r="G94" s="13" t="n"/>
      <c r="H94" s="13" t="n"/>
      <c r="I94" s="13" t="n"/>
      <c r="J94" s="27" t="n"/>
      <c r="K94" s="13" t="n"/>
    </row>
    <row r="95" ht="22" customHeight="1">
      <c r="B95" s="16">
        <f>IF(C95="","VIS-"&amp;TEXT(COUNTA($C$5:C95),"000"))</f>
        <v/>
      </c>
      <c r="C95" s="11" t="n"/>
      <c r="D95" s="11" t="n"/>
      <c r="E95" s="26" t="n"/>
      <c r="F95" s="11" t="n"/>
      <c r="G95" s="11" t="n"/>
      <c r="H95" s="11" t="n"/>
      <c r="I95" s="11" t="n"/>
      <c r="J95" s="26" t="n"/>
      <c r="K95" s="11" t="n"/>
    </row>
    <row r="96" ht="22" customHeight="1">
      <c r="B96" s="15">
        <f>IF(C96="","VIS-"&amp;TEXT(COUNTA($C$5:C96),"000"))</f>
        <v/>
      </c>
      <c r="C96" s="13" t="n"/>
      <c r="D96" s="13" t="n"/>
      <c r="E96" s="27" t="n"/>
      <c r="F96" s="13" t="n"/>
      <c r="G96" s="13" t="n"/>
      <c r="H96" s="13" t="n"/>
      <c r="I96" s="13" t="n"/>
      <c r="J96" s="27" t="n"/>
      <c r="K96" s="13" t="n"/>
    </row>
    <row r="97" ht="22" customHeight="1">
      <c r="B97" s="16">
        <f>IF(C97="","VIS-"&amp;TEXT(COUNTA($C$5:C97),"000"))</f>
        <v/>
      </c>
      <c r="C97" s="11" t="n"/>
      <c r="D97" s="11" t="n"/>
      <c r="E97" s="26" t="n"/>
      <c r="F97" s="11" t="n"/>
      <c r="G97" s="11" t="n"/>
      <c r="H97" s="11" t="n"/>
      <c r="I97" s="11" t="n"/>
      <c r="J97" s="26" t="n"/>
      <c r="K97" s="11" t="n"/>
    </row>
    <row r="98" ht="22" customHeight="1">
      <c r="B98" s="15">
        <f>IF(C98="","VIS-"&amp;TEXT(COUNTA($C$5:C98),"000"))</f>
        <v/>
      </c>
      <c r="C98" s="13" t="n"/>
      <c r="D98" s="13" t="n"/>
      <c r="E98" s="27" t="n"/>
      <c r="F98" s="13" t="n"/>
      <c r="G98" s="13" t="n"/>
      <c r="H98" s="13" t="n"/>
      <c r="I98" s="13" t="n"/>
      <c r="J98" s="27" t="n"/>
      <c r="K98" s="13" t="n"/>
    </row>
    <row r="99" ht="22" customHeight="1">
      <c r="B99" s="16">
        <f>IF(C99="","VIS-"&amp;TEXT(COUNTA($C$5:C99),"000"))</f>
        <v/>
      </c>
      <c r="C99" s="11" t="n"/>
      <c r="D99" s="11" t="n"/>
      <c r="E99" s="26" t="n"/>
      <c r="F99" s="11" t="n"/>
      <c r="G99" s="11" t="n"/>
      <c r="H99" s="11" t="n"/>
      <c r="I99" s="11" t="n"/>
      <c r="J99" s="26" t="n"/>
      <c r="K99" s="11" t="n"/>
    </row>
    <row r="100" ht="22" customHeight="1">
      <c r="B100" s="15">
        <f>IF(C100="","VIS-"&amp;TEXT(COUNTA($C$5:C100),"000"))</f>
        <v/>
      </c>
      <c r="C100" s="13" t="n"/>
      <c r="D100" s="13" t="n"/>
      <c r="E100" s="27" t="n"/>
      <c r="F100" s="13" t="n"/>
      <c r="G100" s="13" t="n"/>
      <c r="H100" s="13" t="n"/>
      <c r="I100" s="13" t="n"/>
      <c r="J100" s="27" t="n"/>
      <c r="K100" s="13" t="n"/>
    </row>
    <row r="101" ht="22" customHeight="1">
      <c r="B101" s="16">
        <f>IF(C101="","VIS-"&amp;TEXT(COUNTA($C$5:C101),"000"))</f>
        <v/>
      </c>
      <c r="C101" s="11" t="n"/>
      <c r="D101" s="11" t="n"/>
      <c r="E101" s="26" t="n"/>
      <c r="F101" s="11" t="n"/>
      <c r="G101" s="11" t="n"/>
      <c r="H101" s="11" t="n"/>
      <c r="I101" s="11" t="n"/>
      <c r="J101" s="26" t="n"/>
      <c r="K101" s="11" t="n"/>
    </row>
    <row r="102" ht="22" customHeight="1">
      <c r="B102" s="15">
        <f>IF(C102="","VIS-"&amp;TEXT(COUNTA($C$5:C102),"000"))</f>
        <v/>
      </c>
      <c r="C102" s="13" t="n"/>
      <c r="D102" s="13" t="n"/>
      <c r="E102" s="27" t="n"/>
      <c r="F102" s="13" t="n"/>
      <c r="G102" s="13" t="n"/>
      <c r="H102" s="13" t="n"/>
      <c r="I102" s="13" t="n"/>
      <c r="J102" s="27" t="n"/>
      <c r="K102" s="13" t="n"/>
    </row>
    <row r="103" ht="22" customHeight="1">
      <c r="B103" s="16">
        <f>IF(C103="","VIS-"&amp;TEXT(COUNTA($C$5:C103),"000"))</f>
        <v/>
      </c>
      <c r="C103" s="11" t="n"/>
      <c r="D103" s="11" t="n"/>
      <c r="E103" s="26" t="n"/>
      <c r="F103" s="11" t="n"/>
      <c r="G103" s="11" t="n"/>
      <c r="H103" s="11" t="n"/>
      <c r="I103" s="11" t="n"/>
      <c r="J103" s="26" t="n"/>
      <c r="K103" s="11" t="n"/>
    </row>
    <row r="104" ht="22" customHeight="1">
      <c r="B104" s="15">
        <f>IF(C104="","VIS-"&amp;TEXT(COUNTA($C$5:C104),"000"))</f>
        <v/>
      </c>
      <c r="C104" s="13" t="n"/>
      <c r="D104" s="13" t="n"/>
      <c r="E104" s="27" t="n"/>
      <c r="F104" s="13" t="n"/>
      <c r="G104" s="13" t="n"/>
      <c r="H104" s="13" t="n"/>
      <c r="I104" s="13" t="n"/>
      <c r="J104" s="27" t="n"/>
      <c r="K104" s="13" t="n"/>
    </row>
    <row r="105" ht="22" customHeight="1">
      <c r="B105" s="16">
        <f>IF(C105="","VIS-"&amp;TEXT(COUNTA($C$5:C105),"000"))</f>
        <v/>
      </c>
      <c r="C105" s="11" t="n"/>
      <c r="D105" s="11" t="n"/>
      <c r="E105" s="26" t="n"/>
      <c r="F105" s="11" t="n"/>
      <c r="G105" s="11" t="n"/>
      <c r="H105" s="11" t="n"/>
      <c r="I105" s="11" t="n"/>
      <c r="J105" s="26" t="n"/>
      <c r="K105" s="11" t="n"/>
    </row>
    <row r="106" ht="22" customHeight="1">
      <c r="B106" s="15">
        <f>IF(C106="","VIS-"&amp;TEXT(COUNTA($C$5:C106),"000"))</f>
        <v/>
      </c>
      <c r="C106" s="13" t="n"/>
      <c r="D106" s="13" t="n"/>
      <c r="E106" s="27" t="n"/>
      <c r="F106" s="13" t="n"/>
      <c r="G106" s="13" t="n"/>
      <c r="H106" s="13" t="n"/>
      <c r="I106" s="13" t="n"/>
      <c r="J106" s="27" t="n"/>
      <c r="K106" s="13" t="n"/>
    </row>
    <row r="107" ht="22" customHeight="1">
      <c r="B107" s="16">
        <f>IF(C107="","VIS-"&amp;TEXT(COUNTA($C$5:C107),"000"))</f>
        <v/>
      </c>
      <c r="C107" s="11" t="n"/>
      <c r="D107" s="11" t="n"/>
      <c r="E107" s="26" t="n"/>
      <c r="F107" s="11" t="n"/>
      <c r="G107" s="11" t="n"/>
      <c r="H107" s="11" t="n"/>
      <c r="I107" s="11" t="n"/>
      <c r="J107" s="26" t="n"/>
      <c r="K107" s="11" t="n"/>
    </row>
    <row r="108" ht="22" customHeight="1">
      <c r="B108" s="15">
        <f>IF(C108="","VIS-"&amp;TEXT(COUNTA($C$5:C108),"000"))</f>
        <v/>
      </c>
      <c r="C108" s="13" t="n"/>
      <c r="D108" s="13" t="n"/>
      <c r="E108" s="27" t="n"/>
      <c r="F108" s="13" t="n"/>
      <c r="G108" s="13" t="n"/>
      <c r="H108" s="13" t="n"/>
      <c r="I108" s="13" t="n"/>
      <c r="J108" s="27" t="n"/>
      <c r="K108" s="13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Visites total</t>
        </is>
      </c>
      <c r="D111" s="3" t="inlineStr">
        <is>
          <t>Resolues</t>
        </is>
      </c>
      <c r="F111" s="3" t="inlineStr">
        <is>
          <t>Mises en demeure</t>
        </is>
      </c>
    </row>
    <row r="112">
      <c r="B112" s="4">
        <f>COUNTIF(B5:B104,"&lt;&gt;")</f>
        <v/>
      </c>
      <c r="D112" s="4">
        <f>COUNTIF(K5:K104,"Resolu")</f>
        <v/>
      </c>
      <c r="F112" s="4">
        <f>COUNTIF(I5:I104,"*mise*")+COUNTIF(I5:I104,"1")+COUNTIF(I5:I104,"2")</f>
        <v/>
      </c>
    </row>
  </sheetData>
  <mergeCells count="3">
    <mergeCell ref="B110:K110"/>
    <mergeCell ref="B3:K3"/>
    <mergeCell ref="B2:K2"/>
  </mergeCells>
  <conditionalFormatting sqref="K5:K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9:B108">
    <cfRule type="expression" priority="193" dxfId="3">
      <formula>AND($C9="",$C8&lt;&gt;"")</formula>
    </cfRule>
  </conditionalFormatting>
  <conditionalFormatting sqref="C9:C108">
    <cfRule type="expression" priority="194" dxfId="3">
      <formula>AND($C9="",$C8&lt;&gt;"")</formula>
    </cfRule>
  </conditionalFormatting>
  <conditionalFormatting sqref="D9:D108">
    <cfRule type="expression" priority="195" dxfId="3">
      <formula>AND($C9="",$C8&lt;&gt;"")</formula>
    </cfRule>
  </conditionalFormatting>
  <conditionalFormatting sqref="E9:E108">
    <cfRule type="expression" priority="196" dxfId="3">
      <formula>AND($C9="",$C8&lt;&gt;"")</formula>
    </cfRule>
  </conditionalFormatting>
  <conditionalFormatting sqref="F9:F108">
    <cfRule type="expression" priority="197" dxfId="3">
      <formula>AND($C9="",$C8&lt;&gt;"")</formula>
    </cfRule>
  </conditionalFormatting>
  <conditionalFormatting sqref="G9:G108">
    <cfRule type="expression" priority="198" dxfId="3">
      <formula>AND($C9="",$C8&lt;&gt;"")</formula>
    </cfRule>
  </conditionalFormatting>
  <conditionalFormatting sqref="H9:H108">
    <cfRule type="expression" priority="199" dxfId="3">
      <formula>AND($C9="",$C8&lt;&gt;"")</formula>
    </cfRule>
  </conditionalFormatting>
  <conditionalFormatting sqref="I9:I108">
    <cfRule type="expression" priority="200" dxfId="3">
      <formula>AND($C9="",$C8&lt;&gt;"")</formula>
    </cfRule>
  </conditionalFormatting>
  <conditionalFormatting sqref="J9:J108">
    <cfRule type="expression" priority="201" dxfId="3">
      <formula>AND($C9="",$C8&lt;&gt;"")</formula>
    </cfRule>
  </conditionalFormatting>
  <conditionalFormatting sqref="K9:K108">
    <cfRule type="expression" priority="202" dxfId="3">
      <formula>AND($C9="",$C8&lt;&gt;"")</formula>
    </cfRule>
  </conditionalFormatting>
  <dataValidations count="4">
    <dataValidation sqref="C5:C108" showDropDown="0" showInputMessage="0" showErrorMessage="0" allowBlank="1" errorTitle="Erreur" error="Valeur invalide" promptTitle="Liste" prompt="Choisir dans la liste" type="list">
      <formula1>'_Lists'!$I$2:$I$8</formula1>
    </dataValidation>
    <dataValidation sqref="D5:D108" showDropDown="0" showInputMessage="0" showErrorMessage="0" allowBlank="1" errorTitle="Erreur" error="Valeur invalide" promptTitle="Liste" prompt="Choisir dans la liste" type="list">
      <formula1>'_Lists'!$J$2:$J$8</formula1>
    </dataValidation>
    <dataValidation sqref="G5:G108" showDropDown="0" showInputMessage="0" showErrorMessage="0" allowBlank="1" errorTitle="Erreur" error="Valeur invalide" promptTitle="Liste" prompt="Choisir dans la liste" type="list">
      <formula1>'_Lists'!$M$2:$M$11</formula1>
    </dataValidation>
    <dataValidation sqref="K5:K108" showDropDown="0" showInputMessage="0" showErrorMessage="0" allowBlank="1" errorTitle="Erreur" error="Valeur invalide" promptTitle="Liste" prompt="Choisir dans la liste" type="list">
      <formula1>'_Lists'!$Q$2:$Q$9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6" customWidth="1" min="3" max="3"/>
    <col width="22" customWidth="1" min="4" max="4"/>
    <col width="10" customWidth="1" min="5" max="5"/>
    <col width="16" customWidth="1" min="6" max="6"/>
    <col width="16" customWidth="1" min="7" max="7"/>
    <col width="30" customWidth="1" min="8" max="8"/>
    <col width="14" customWidth="1" min="9" max="9"/>
    <col width="18" customWidth="1" min="10" max="10"/>
    <col width="36" customWidth="1" min="11" max="11"/>
  </cols>
  <sheetData>
    <row r="1" ht="15" customHeight="1"/>
    <row r="2" ht="32" customHeight="1">
      <c r="B2" s="1" t="inlineStr">
        <is>
          <t>POLITIQUES &amp; PROCÉDURES RH (#126)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Politique / Procedure</t>
        </is>
      </c>
      <c r="D4" s="10" t="inlineStr">
        <is>
          <t>Type</t>
        </is>
      </c>
      <c r="E4" s="10" t="inlineStr">
        <is>
          <t>Version</t>
        </is>
      </c>
      <c r="F4" s="10" t="inlineStr">
        <is>
          <t>Date Approbation</t>
        </is>
      </c>
      <c r="G4" s="10" t="inlineStr">
        <is>
          <t>Approuve Par</t>
        </is>
      </c>
      <c r="H4" s="10" t="inlineStr">
        <is>
          <t>Diffusion</t>
        </is>
      </c>
      <c r="I4" s="10" t="inlineStr">
        <is>
          <t>Statut</t>
        </is>
      </c>
      <c r="J4" s="10" t="inlineStr">
        <is>
          <t>Prochaine Revision</t>
        </is>
      </c>
      <c r="K4" s="10" t="inlineStr">
        <is>
          <t>Observations</t>
        </is>
      </c>
    </row>
    <row r="5" ht="22" customHeight="1">
      <c r="B5" s="11" t="inlineStr">
        <is>
          <t>POL-001</t>
        </is>
      </c>
      <c r="C5" s="11" t="inlineStr">
        <is>
          <t>Reglement interieur de l'hotel</t>
        </is>
      </c>
      <c r="D5" s="11" t="inlineStr">
        <is>
          <t>Reglement interieur</t>
        </is>
      </c>
      <c r="E5" s="11" t="inlineStr">
        <is>
          <t>V3.2</t>
        </is>
      </c>
      <c r="F5" s="26" t="n">
        <v>45458</v>
      </c>
      <c r="G5" s="11" t="inlineStr">
        <is>
          <t>DG + CSE</t>
        </is>
      </c>
      <c r="H5" s="11" t="inlineStr">
        <is>
          <t>Affichage + remise individuel</t>
        </is>
      </c>
      <c r="I5" s="11" t="inlineStr">
        <is>
          <t>En vigueur</t>
        </is>
      </c>
      <c r="J5" s="26" t="n">
        <v>45823</v>
      </c>
      <c r="K5" s="11" t="inlineStr">
        <is>
          <t>Mise a jour annuelle prevue juin 2025</t>
        </is>
      </c>
    </row>
    <row r="6" ht="22" customHeight="1">
      <c r="B6" s="13" t="inlineStr">
        <is>
          <t>POL-002</t>
        </is>
      </c>
      <c r="C6" s="13" t="inlineStr">
        <is>
          <t>Politique de remuneration</t>
        </is>
      </c>
      <c r="D6" s="13" t="inlineStr">
        <is>
          <t>Politique remuneration</t>
        </is>
      </c>
      <c r="E6" s="13" t="inlineStr">
        <is>
          <t>V2.1</t>
        </is>
      </c>
      <c r="F6" s="27" t="n">
        <v>45667</v>
      </c>
      <c r="G6" s="13" t="inlineStr">
        <is>
          <t>DG + DRH</t>
        </is>
      </c>
      <c r="H6" s="13" t="inlineStr">
        <is>
          <t>Communication a tous les managers</t>
        </is>
      </c>
      <c r="I6" s="13" t="inlineStr">
        <is>
          <t>En vigueur</t>
        </is>
      </c>
      <c r="J6" s="27" t="n">
        <v>46032</v>
      </c>
      <c r="K6" s="13" t="inlineStr">
        <is>
          <t>Integrer nouveau salaire minimum</t>
        </is>
      </c>
    </row>
    <row r="7" ht="22" customHeight="1">
      <c r="B7" s="11" t="inlineStr">
        <is>
          <t>POL-003</t>
        </is>
      </c>
      <c r="C7" s="11" t="inlineStr">
        <is>
          <t>Charte ethique et conduite</t>
        </is>
      </c>
      <c r="D7" s="11" t="inlineStr">
        <is>
          <t>Charte ethique</t>
        </is>
      </c>
      <c r="E7" s="11" t="inlineStr">
        <is>
          <t>V1.5</t>
        </is>
      </c>
      <c r="F7" s="26" t="n">
        <v>45352</v>
      </c>
      <c r="G7" s="11" t="inlineStr">
        <is>
          <t>DG</t>
        </is>
      </c>
      <c r="H7" s="11" t="inlineStr">
        <is>
          <t>Remise a tout nouvel employe</t>
        </is>
      </c>
      <c r="I7" s="11" t="inlineStr">
        <is>
          <t>En vigueur</t>
        </is>
      </c>
      <c r="J7" s="26" t="n">
        <v>45901</v>
      </c>
      <c r="K7" s="11" t="inlineStr">
        <is>
          <t>A enrichir avec volet digital</t>
        </is>
      </c>
    </row>
    <row r="8" ht="22" customHeight="1">
      <c r="B8" s="13" t="inlineStr">
        <is>
          <t>POL-004</t>
        </is>
      </c>
      <c r="C8" s="13" t="inlineStr">
        <is>
          <t>Procedure de recrutement</t>
        </is>
      </c>
      <c r="D8" s="13" t="inlineStr">
        <is>
          <t>Procedure recrutement</t>
        </is>
      </c>
      <c r="E8" s="13" t="inlineStr">
        <is>
          <t>V2.0</t>
        </is>
      </c>
      <c r="F8" s="27" t="n">
        <v>45536</v>
      </c>
      <c r="G8" s="13" t="inlineStr">
        <is>
          <t>DRH</t>
        </is>
      </c>
      <c r="H8" s="13" t="inlineStr">
        <is>
          <t>Partage service RH + managers</t>
        </is>
      </c>
      <c r="I8" s="13" t="inlineStr">
        <is>
          <t>En vigueur</t>
        </is>
      </c>
      <c r="J8" s="27" t="n">
        <v>45901</v>
      </c>
      <c r="K8" s="13" t="inlineStr">
        <is>
          <t>Ajouter etapes test technique</t>
        </is>
      </c>
    </row>
    <row r="9" ht="22" customHeight="1">
      <c r="B9" s="11" t="inlineStr">
        <is>
          <t>POL-005</t>
        </is>
      </c>
      <c r="C9" s="11" t="inlineStr">
        <is>
          <t>Politique diversite et inclusion</t>
        </is>
      </c>
      <c r="D9" s="11" t="inlineStr">
        <is>
          <t>Politique diversite</t>
        </is>
      </c>
      <c r="E9" s="11" t="inlineStr">
        <is>
          <t>V1.0</t>
        </is>
      </c>
      <c r="F9" s="26" t="n">
        <v>45689</v>
      </c>
      <c r="G9" s="11" t="inlineStr">
        <is>
          <t>DG + DRH</t>
        </is>
      </c>
      <c r="H9" s="11" t="inlineStr">
        <is>
          <t>Communication interne</t>
        </is>
      </c>
      <c r="I9" s="11" t="inlineStr">
        <is>
          <t>En vigueur</t>
        </is>
      </c>
      <c r="J9" s="26" t="n">
        <v>46054</v>
      </c>
      <c r="K9" s="11" t="inlineStr">
        <is>
          <t>Nouvelle politique, suivi prevu</t>
        </is>
      </c>
    </row>
    <row r="10" ht="22" customHeight="1">
      <c r="B10" s="15">
        <f>IF(C10="","POL-"&amp;TEXT(COUNTA($C$5:C10),"000"))</f>
        <v/>
      </c>
      <c r="C10" s="13" t="n"/>
      <c r="D10" s="13" t="n"/>
      <c r="E10" s="13" t="n"/>
      <c r="F10" s="27" t="n"/>
      <c r="G10" s="13" t="n"/>
      <c r="H10" s="13" t="n"/>
      <c r="I10" s="13" t="n"/>
      <c r="J10" s="27" t="n"/>
      <c r="K10" s="13" t="n"/>
    </row>
    <row r="11" ht="22" customHeight="1">
      <c r="B11" s="16">
        <f>IF(C11="","POL-"&amp;TEXT(COUNTA($C$5:C11),"000"))</f>
        <v/>
      </c>
      <c r="C11" s="11" t="n"/>
      <c r="D11" s="11" t="n"/>
      <c r="E11" s="11" t="n"/>
      <c r="F11" s="26" t="n"/>
      <c r="G11" s="11" t="n"/>
      <c r="H11" s="11" t="n"/>
      <c r="I11" s="11" t="n"/>
      <c r="J11" s="26" t="n"/>
      <c r="K11" s="11" t="n"/>
    </row>
    <row r="12" ht="22" customHeight="1">
      <c r="B12" s="15">
        <f>IF(C12="","POL-"&amp;TEXT(COUNTA($C$5:C12),"000"))</f>
        <v/>
      </c>
      <c r="C12" s="13" t="n"/>
      <c r="D12" s="13" t="n"/>
      <c r="E12" s="13" t="n"/>
      <c r="F12" s="27" t="n"/>
      <c r="G12" s="13" t="n"/>
      <c r="H12" s="13" t="n"/>
      <c r="I12" s="13" t="n"/>
      <c r="J12" s="27" t="n"/>
      <c r="K12" s="13" t="n"/>
    </row>
    <row r="13" ht="22" customHeight="1">
      <c r="B13" s="16">
        <f>IF(C13="","POL-"&amp;TEXT(COUNTA($C$5:C13),"000"))</f>
        <v/>
      </c>
      <c r="C13" s="11" t="n"/>
      <c r="D13" s="11" t="n"/>
      <c r="E13" s="11" t="n"/>
      <c r="F13" s="26" t="n"/>
      <c r="G13" s="11" t="n"/>
      <c r="H13" s="11" t="n"/>
      <c r="I13" s="11" t="n"/>
      <c r="J13" s="26" t="n"/>
      <c r="K13" s="11" t="n"/>
    </row>
    <row r="14" ht="22" customHeight="1">
      <c r="B14" s="15">
        <f>IF(C14="","POL-"&amp;TEXT(COUNTA($C$5:C14),"000"))</f>
        <v/>
      </c>
      <c r="C14" s="13" t="n"/>
      <c r="D14" s="13" t="n"/>
      <c r="E14" s="13" t="n"/>
      <c r="F14" s="27" t="n"/>
      <c r="G14" s="13" t="n"/>
      <c r="H14" s="13" t="n"/>
      <c r="I14" s="13" t="n"/>
      <c r="J14" s="27" t="n"/>
      <c r="K14" s="13" t="n"/>
    </row>
    <row r="15" ht="22" customHeight="1">
      <c r="B15" s="16">
        <f>IF(C15="","POL-"&amp;TEXT(COUNTA($C$5:C15),"000"))</f>
        <v/>
      </c>
      <c r="C15" s="11" t="n"/>
      <c r="D15" s="11" t="n"/>
      <c r="E15" s="11" t="n"/>
      <c r="F15" s="26" t="n"/>
      <c r="G15" s="11" t="n"/>
      <c r="H15" s="11" t="n"/>
      <c r="I15" s="11" t="n"/>
      <c r="J15" s="26" t="n"/>
      <c r="K15" s="11" t="n"/>
    </row>
    <row r="16" ht="22" customHeight="1">
      <c r="B16" s="15">
        <f>IF(C16="","POL-"&amp;TEXT(COUNTA($C$5:C16),"000"))</f>
        <v/>
      </c>
      <c r="C16" s="13" t="n"/>
      <c r="D16" s="13" t="n"/>
      <c r="E16" s="13" t="n"/>
      <c r="F16" s="27" t="n"/>
      <c r="G16" s="13" t="n"/>
      <c r="H16" s="13" t="n"/>
      <c r="I16" s="13" t="n"/>
      <c r="J16" s="27" t="n"/>
      <c r="K16" s="13" t="n"/>
    </row>
    <row r="17" ht="22" customHeight="1">
      <c r="B17" s="16">
        <f>IF(C17="","POL-"&amp;TEXT(COUNTA($C$5:C17),"000"))</f>
        <v/>
      </c>
      <c r="C17" s="11" t="n"/>
      <c r="D17" s="11" t="n"/>
      <c r="E17" s="11" t="n"/>
      <c r="F17" s="26" t="n"/>
      <c r="G17" s="11" t="n"/>
      <c r="H17" s="11" t="n"/>
      <c r="I17" s="11" t="n"/>
      <c r="J17" s="26" t="n"/>
      <c r="K17" s="11" t="n"/>
    </row>
    <row r="18" ht="22" customHeight="1">
      <c r="B18" s="15">
        <f>IF(C18="","POL-"&amp;TEXT(COUNTA($C$5:C18),"000"))</f>
        <v/>
      </c>
      <c r="C18" s="13" t="n"/>
      <c r="D18" s="13" t="n"/>
      <c r="E18" s="13" t="n"/>
      <c r="F18" s="27" t="n"/>
      <c r="G18" s="13" t="n"/>
      <c r="H18" s="13" t="n"/>
      <c r="I18" s="13" t="n"/>
      <c r="J18" s="27" t="n"/>
      <c r="K18" s="13" t="n"/>
    </row>
    <row r="19" ht="22" customHeight="1">
      <c r="B19" s="16">
        <f>IF(C19="","POL-"&amp;TEXT(COUNTA($C$5:C19),"000"))</f>
        <v/>
      </c>
      <c r="C19" s="11" t="n"/>
      <c r="D19" s="11" t="n"/>
      <c r="E19" s="11" t="n"/>
      <c r="F19" s="26" t="n"/>
      <c r="G19" s="11" t="n"/>
      <c r="H19" s="11" t="n"/>
      <c r="I19" s="11" t="n"/>
      <c r="J19" s="26" t="n"/>
      <c r="K19" s="11" t="n"/>
    </row>
    <row r="20" ht="22" customHeight="1">
      <c r="B20" s="15">
        <f>IF(C20="","POL-"&amp;TEXT(COUNTA($C$5:C20),"000"))</f>
        <v/>
      </c>
      <c r="C20" s="13" t="n"/>
      <c r="D20" s="13" t="n"/>
      <c r="E20" s="13" t="n"/>
      <c r="F20" s="27" t="n"/>
      <c r="G20" s="13" t="n"/>
      <c r="H20" s="13" t="n"/>
      <c r="I20" s="13" t="n"/>
      <c r="J20" s="27" t="n"/>
      <c r="K20" s="13" t="n"/>
    </row>
    <row r="21" ht="22" customHeight="1">
      <c r="B21" s="16">
        <f>IF(C21="","POL-"&amp;TEXT(COUNTA($C$5:C21),"000"))</f>
        <v/>
      </c>
      <c r="C21" s="11" t="n"/>
      <c r="D21" s="11" t="n"/>
      <c r="E21" s="11" t="n"/>
      <c r="F21" s="26" t="n"/>
      <c r="G21" s="11" t="n"/>
      <c r="H21" s="11" t="n"/>
      <c r="I21" s="11" t="n"/>
      <c r="J21" s="26" t="n"/>
      <c r="K21" s="11" t="n"/>
    </row>
    <row r="22" ht="22" customHeight="1">
      <c r="B22" s="15">
        <f>IF(C22="","POL-"&amp;TEXT(COUNTA($C$5:C22),"000"))</f>
        <v/>
      </c>
      <c r="C22" s="13" t="n"/>
      <c r="D22" s="13" t="n"/>
      <c r="E22" s="13" t="n"/>
      <c r="F22" s="27" t="n"/>
      <c r="G22" s="13" t="n"/>
      <c r="H22" s="13" t="n"/>
      <c r="I22" s="13" t="n"/>
      <c r="J22" s="27" t="n"/>
      <c r="K22" s="13" t="n"/>
    </row>
    <row r="23" ht="22" customHeight="1">
      <c r="B23" s="16">
        <f>IF(C23="","POL-"&amp;TEXT(COUNTA($C$5:C23),"000"))</f>
        <v/>
      </c>
      <c r="C23" s="11" t="n"/>
      <c r="D23" s="11" t="n"/>
      <c r="E23" s="11" t="n"/>
      <c r="F23" s="26" t="n"/>
      <c r="G23" s="11" t="n"/>
      <c r="H23" s="11" t="n"/>
      <c r="I23" s="11" t="n"/>
      <c r="J23" s="26" t="n"/>
      <c r="K23" s="11" t="n"/>
    </row>
    <row r="24" ht="22" customHeight="1">
      <c r="B24" s="15">
        <f>IF(C24="","POL-"&amp;TEXT(COUNTA($C$5:C24),"000"))</f>
        <v/>
      </c>
      <c r="C24" s="13" t="n"/>
      <c r="D24" s="13" t="n"/>
      <c r="E24" s="13" t="n"/>
      <c r="F24" s="27" t="n"/>
      <c r="G24" s="13" t="n"/>
      <c r="H24" s="13" t="n"/>
      <c r="I24" s="13" t="n"/>
      <c r="J24" s="27" t="n"/>
      <c r="K24" s="13" t="n"/>
    </row>
    <row r="25" ht="22" customHeight="1">
      <c r="B25" s="16">
        <f>IF(C25="","POL-"&amp;TEXT(COUNTA($C$5:C25),"000"))</f>
        <v/>
      </c>
      <c r="C25" s="11" t="n"/>
      <c r="D25" s="11" t="n"/>
      <c r="E25" s="11" t="n"/>
      <c r="F25" s="26" t="n"/>
      <c r="G25" s="11" t="n"/>
      <c r="H25" s="11" t="n"/>
      <c r="I25" s="11" t="n"/>
      <c r="J25" s="26" t="n"/>
      <c r="K25" s="11" t="n"/>
    </row>
    <row r="26" ht="22" customHeight="1">
      <c r="B26" s="15">
        <f>IF(C26="","POL-"&amp;TEXT(COUNTA($C$5:C26),"000"))</f>
        <v/>
      </c>
      <c r="C26" s="13" t="n"/>
      <c r="D26" s="13" t="n"/>
      <c r="E26" s="13" t="n"/>
      <c r="F26" s="27" t="n"/>
      <c r="G26" s="13" t="n"/>
      <c r="H26" s="13" t="n"/>
      <c r="I26" s="13" t="n"/>
      <c r="J26" s="27" t="n"/>
      <c r="K26" s="13" t="n"/>
    </row>
    <row r="27" ht="22" customHeight="1">
      <c r="B27" s="16">
        <f>IF(C27="","POL-"&amp;TEXT(COUNTA($C$5:C27),"000"))</f>
        <v/>
      </c>
      <c r="C27" s="11" t="n"/>
      <c r="D27" s="11" t="n"/>
      <c r="E27" s="11" t="n"/>
      <c r="F27" s="26" t="n"/>
      <c r="G27" s="11" t="n"/>
      <c r="H27" s="11" t="n"/>
      <c r="I27" s="11" t="n"/>
      <c r="J27" s="26" t="n"/>
      <c r="K27" s="11" t="n"/>
    </row>
    <row r="28" ht="22" customHeight="1">
      <c r="B28" s="15">
        <f>IF(C28="","POL-"&amp;TEXT(COUNTA($C$5:C28),"000"))</f>
        <v/>
      </c>
      <c r="C28" s="13" t="n"/>
      <c r="D28" s="13" t="n"/>
      <c r="E28" s="13" t="n"/>
      <c r="F28" s="27" t="n"/>
      <c r="G28" s="13" t="n"/>
      <c r="H28" s="13" t="n"/>
      <c r="I28" s="13" t="n"/>
      <c r="J28" s="27" t="n"/>
      <c r="K28" s="13" t="n"/>
    </row>
    <row r="29" ht="22" customHeight="1">
      <c r="B29" s="16">
        <f>IF(C29="","POL-"&amp;TEXT(COUNTA($C$5:C29),"000"))</f>
        <v/>
      </c>
      <c r="C29" s="11" t="n"/>
      <c r="D29" s="11" t="n"/>
      <c r="E29" s="11" t="n"/>
      <c r="F29" s="26" t="n"/>
      <c r="G29" s="11" t="n"/>
      <c r="H29" s="11" t="n"/>
      <c r="I29" s="11" t="n"/>
      <c r="J29" s="26" t="n"/>
      <c r="K29" s="11" t="n"/>
    </row>
    <row r="30" ht="22" customHeight="1">
      <c r="B30" s="15">
        <f>IF(C30="","POL-"&amp;TEXT(COUNTA($C$5:C30),"000"))</f>
        <v/>
      </c>
      <c r="C30" s="13" t="n"/>
      <c r="D30" s="13" t="n"/>
      <c r="E30" s="13" t="n"/>
      <c r="F30" s="27" t="n"/>
      <c r="G30" s="13" t="n"/>
      <c r="H30" s="13" t="n"/>
      <c r="I30" s="13" t="n"/>
      <c r="J30" s="27" t="n"/>
      <c r="K30" s="13" t="n"/>
    </row>
    <row r="31" ht="22" customHeight="1">
      <c r="B31" s="16">
        <f>IF(C31="","POL-"&amp;TEXT(COUNTA($C$5:C31),"000"))</f>
        <v/>
      </c>
      <c r="C31" s="11" t="n"/>
      <c r="D31" s="11" t="n"/>
      <c r="E31" s="11" t="n"/>
      <c r="F31" s="26" t="n"/>
      <c r="G31" s="11" t="n"/>
      <c r="H31" s="11" t="n"/>
      <c r="I31" s="11" t="n"/>
      <c r="J31" s="26" t="n"/>
      <c r="K31" s="11" t="n"/>
    </row>
    <row r="32" ht="22" customHeight="1">
      <c r="B32" s="15">
        <f>IF(C32="","POL-"&amp;TEXT(COUNTA($C$5:C32),"000"))</f>
        <v/>
      </c>
      <c r="C32" s="13" t="n"/>
      <c r="D32" s="13" t="n"/>
      <c r="E32" s="13" t="n"/>
      <c r="F32" s="27" t="n"/>
      <c r="G32" s="13" t="n"/>
      <c r="H32" s="13" t="n"/>
      <c r="I32" s="13" t="n"/>
      <c r="J32" s="27" t="n"/>
      <c r="K32" s="13" t="n"/>
    </row>
    <row r="33" ht="22" customHeight="1">
      <c r="B33" s="16">
        <f>IF(C33="","POL-"&amp;TEXT(COUNTA($C$5:C33),"000"))</f>
        <v/>
      </c>
      <c r="C33" s="11" t="n"/>
      <c r="D33" s="11" t="n"/>
      <c r="E33" s="11" t="n"/>
      <c r="F33" s="26" t="n"/>
      <c r="G33" s="11" t="n"/>
      <c r="H33" s="11" t="n"/>
      <c r="I33" s="11" t="n"/>
      <c r="J33" s="26" t="n"/>
      <c r="K33" s="11" t="n"/>
    </row>
    <row r="34" ht="22" customHeight="1">
      <c r="B34" s="15">
        <f>IF(C34="","POL-"&amp;TEXT(COUNTA($C$5:C34),"000"))</f>
        <v/>
      </c>
      <c r="C34" s="13" t="n"/>
      <c r="D34" s="13" t="n"/>
      <c r="E34" s="13" t="n"/>
      <c r="F34" s="27" t="n"/>
      <c r="G34" s="13" t="n"/>
      <c r="H34" s="13" t="n"/>
      <c r="I34" s="13" t="n"/>
      <c r="J34" s="27" t="n"/>
      <c r="K34" s="13" t="n"/>
    </row>
    <row r="35" ht="22" customHeight="1">
      <c r="B35" s="16">
        <f>IF(C35="","POL-"&amp;TEXT(COUNTA($C$5:C35),"000"))</f>
        <v/>
      </c>
      <c r="C35" s="11" t="n"/>
      <c r="D35" s="11" t="n"/>
      <c r="E35" s="11" t="n"/>
      <c r="F35" s="26" t="n"/>
      <c r="G35" s="11" t="n"/>
      <c r="H35" s="11" t="n"/>
      <c r="I35" s="11" t="n"/>
      <c r="J35" s="26" t="n"/>
      <c r="K35" s="11" t="n"/>
    </row>
    <row r="36" ht="22" customHeight="1">
      <c r="B36" s="15">
        <f>IF(C36="","POL-"&amp;TEXT(COUNTA($C$5:C36),"000"))</f>
        <v/>
      </c>
      <c r="C36" s="13" t="n"/>
      <c r="D36" s="13" t="n"/>
      <c r="E36" s="13" t="n"/>
      <c r="F36" s="27" t="n"/>
      <c r="G36" s="13" t="n"/>
      <c r="H36" s="13" t="n"/>
      <c r="I36" s="13" t="n"/>
      <c r="J36" s="27" t="n"/>
      <c r="K36" s="13" t="n"/>
    </row>
    <row r="37" ht="22" customHeight="1">
      <c r="B37" s="16">
        <f>IF(C37="","POL-"&amp;TEXT(COUNTA($C$5:C37),"000"))</f>
        <v/>
      </c>
      <c r="C37" s="11" t="n"/>
      <c r="D37" s="11" t="n"/>
      <c r="E37" s="11" t="n"/>
      <c r="F37" s="26" t="n"/>
      <c r="G37" s="11" t="n"/>
      <c r="H37" s="11" t="n"/>
      <c r="I37" s="11" t="n"/>
      <c r="J37" s="26" t="n"/>
      <c r="K37" s="11" t="n"/>
    </row>
    <row r="38" ht="22" customHeight="1">
      <c r="B38" s="15">
        <f>IF(C38="","POL-"&amp;TEXT(COUNTA($C$5:C38),"000"))</f>
        <v/>
      </c>
      <c r="C38" s="13" t="n"/>
      <c r="D38" s="13" t="n"/>
      <c r="E38" s="13" t="n"/>
      <c r="F38" s="27" t="n"/>
      <c r="G38" s="13" t="n"/>
      <c r="H38" s="13" t="n"/>
      <c r="I38" s="13" t="n"/>
      <c r="J38" s="27" t="n"/>
      <c r="K38" s="13" t="n"/>
    </row>
    <row r="39" ht="22" customHeight="1">
      <c r="B39" s="16">
        <f>IF(C39="","POL-"&amp;TEXT(COUNTA($C$5:C39),"000"))</f>
        <v/>
      </c>
      <c r="C39" s="11" t="n"/>
      <c r="D39" s="11" t="n"/>
      <c r="E39" s="11" t="n"/>
      <c r="F39" s="26" t="n"/>
      <c r="G39" s="11" t="n"/>
      <c r="H39" s="11" t="n"/>
      <c r="I39" s="11" t="n"/>
      <c r="J39" s="26" t="n"/>
      <c r="K39" s="11" t="n"/>
    </row>
    <row r="40" ht="22" customHeight="1">
      <c r="B40" s="15">
        <f>IF(C40="","POL-"&amp;TEXT(COUNTA($C$5:C40),"000"))</f>
        <v/>
      </c>
      <c r="C40" s="13" t="n"/>
      <c r="D40" s="13" t="n"/>
      <c r="E40" s="13" t="n"/>
      <c r="F40" s="27" t="n"/>
      <c r="G40" s="13" t="n"/>
      <c r="H40" s="13" t="n"/>
      <c r="I40" s="13" t="n"/>
      <c r="J40" s="27" t="n"/>
      <c r="K40" s="13" t="n"/>
    </row>
    <row r="41" ht="22" customHeight="1">
      <c r="B41" s="16">
        <f>IF(C41="","POL-"&amp;TEXT(COUNTA($C$5:C41),"000"))</f>
        <v/>
      </c>
      <c r="C41" s="11" t="n"/>
      <c r="D41" s="11" t="n"/>
      <c r="E41" s="11" t="n"/>
      <c r="F41" s="26" t="n"/>
      <c r="G41" s="11" t="n"/>
      <c r="H41" s="11" t="n"/>
      <c r="I41" s="11" t="n"/>
      <c r="J41" s="26" t="n"/>
      <c r="K41" s="11" t="n"/>
    </row>
    <row r="42" ht="22" customHeight="1">
      <c r="B42" s="15">
        <f>IF(C42="","POL-"&amp;TEXT(COUNTA($C$5:C42),"000"))</f>
        <v/>
      </c>
      <c r="C42" s="13" t="n"/>
      <c r="D42" s="13" t="n"/>
      <c r="E42" s="13" t="n"/>
      <c r="F42" s="27" t="n"/>
      <c r="G42" s="13" t="n"/>
      <c r="H42" s="13" t="n"/>
      <c r="I42" s="13" t="n"/>
      <c r="J42" s="27" t="n"/>
      <c r="K42" s="13" t="n"/>
    </row>
    <row r="43" ht="22" customHeight="1">
      <c r="B43" s="16">
        <f>IF(C43="","POL-"&amp;TEXT(COUNTA($C$5:C43),"000"))</f>
        <v/>
      </c>
      <c r="C43" s="11" t="n"/>
      <c r="D43" s="11" t="n"/>
      <c r="E43" s="11" t="n"/>
      <c r="F43" s="26" t="n"/>
      <c r="G43" s="11" t="n"/>
      <c r="H43" s="11" t="n"/>
      <c r="I43" s="11" t="n"/>
      <c r="J43" s="26" t="n"/>
      <c r="K43" s="11" t="n"/>
    </row>
    <row r="44" ht="22" customHeight="1">
      <c r="B44" s="15">
        <f>IF(C44="","POL-"&amp;TEXT(COUNTA($C$5:C44),"000"))</f>
        <v/>
      </c>
      <c r="C44" s="13" t="n"/>
      <c r="D44" s="13" t="n"/>
      <c r="E44" s="13" t="n"/>
      <c r="F44" s="27" t="n"/>
      <c r="G44" s="13" t="n"/>
      <c r="H44" s="13" t="n"/>
      <c r="I44" s="13" t="n"/>
      <c r="J44" s="27" t="n"/>
      <c r="K44" s="13" t="n"/>
    </row>
    <row r="45" ht="22" customHeight="1">
      <c r="B45" s="16">
        <f>IF(C45="","POL-"&amp;TEXT(COUNTA($C$5:C45),"000"))</f>
        <v/>
      </c>
      <c r="C45" s="11" t="n"/>
      <c r="D45" s="11" t="n"/>
      <c r="E45" s="11" t="n"/>
      <c r="F45" s="26" t="n"/>
      <c r="G45" s="11" t="n"/>
      <c r="H45" s="11" t="n"/>
      <c r="I45" s="11" t="n"/>
      <c r="J45" s="26" t="n"/>
      <c r="K45" s="11" t="n"/>
    </row>
    <row r="46" ht="22" customHeight="1">
      <c r="B46" s="15">
        <f>IF(C46="","POL-"&amp;TEXT(COUNTA($C$5:C46),"000"))</f>
        <v/>
      </c>
      <c r="C46" s="13" t="n"/>
      <c r="D46" s="13" t="n"/>
      <c r="E46" s="13" t="n"/>
      <c r="F46" s="27" t="n"/>
      <c r="G46" s="13" t="n"/>
      <c r="H46" s="13" t="n"/>
      <c r="I46" s="13" t="n"/>
      <c r="J46" s="27" t="n"/>
      <c r="K46" s="13" t="n"/>
    </row>
    <row r="47" ht="22" customHeight="1">
      <c r="B47" s="16">
        <f>IF(C47="","POL-"&amp;TEXT(COUNTA($C$5:C47),"000"))</f>
        <v/>
      </c>
      <c r="C47" s="11" t="n"/>
      <c r="D47" s="11" t="n"/>
      <c r="E47" s="11" t="n"/>
      <c r="F47" s="26" t="n"/>
      <c r="G47" s="11" t="n"/>
      <c r="H47" s="11" t="n"/>
      <c r="I47" s="11" t="n"/>
      <c r="J47" s="26" t="n"/>
      <c r="K47" s="11" t="n"/>
    </row>
    <row r="48" ht="22" customHeight="1">
      <c r="B48" s="15">
        <f>IF(C48="","POL-"&amp;TEXT(COUNTA($C$5:C48),"000"))</f>
        <v/>
      </c>
      <c r="C48" s="13" t="n"/>
      <c r="D48" s="13" t="n"/>
      <c r="E48" s="13" t="n"/>
      <c r="F48" s="27" t="n"/>
      <c r="G48" s="13" t="n"/>
      <c r="H48" s="13" t="n"/>
      <c r="I48" s="13" t="n"/>
      <c r="J48" s="27" t="n"/>
      <c r="K48" s="13" t="n"/>
    </row>
    <row r="49" ht="22" customHeight="1">
      <c r="B49" s="16">
        <f>IF(C49="","POL-"&amp;TEXT(COUNTA($C$5:C49),"000"))</f>
        <v/>
      </c>
      <c r="C49" s="11" t="n"/>
      <c r="D49" s="11" t="n"/>
      <c r="E49" s="11" t="n"/>
      <c r="F49" s="26" t="n"/>
      <c r="G49" s="11" t="n"/>
      <c r="H49" s="11" t="n"/>
      <c r="I49" s="11" t="n"/>
      <c r="J49" s="26" t="n"/>
      <c r="K49" s="11" t="n"/>
    </row>
    <row r="50" ht="22" customHeight="1">
      <c r="B50" s="15">
        <f>IF(C50="","POL-"&amp;TEXT(COUNTA($C$5:C50),"000"))</f>
        <v/>
      </c>
      <c r="C50" s="13" t="n"/>
      <c r="D50" s="13" t="n"/>
      <c r="E50" s="13" t="n"/>
      <c r="F50" s="27" t="n"/>
      <c r="G50" s="13" t="n"/>
      <c r="H50" s="13" t="n"/>
      <c r="I50" s="13" t="n"/>
      <c r="J50" s="27" t="n"/>
      <c r="K50" s="13" t="n"/>
    </row>
    <row r="51" ht="22" customHeight="1">
      <c r="B51" s="16">
        <f>IF(C51="","POL-"&amp;TEXT(COUNTA($C$5:C51),"000"))</f>
        <v/>
      </c>
      <c r="C51" s="11" t="n"/>
      <c r="D51" s="11" t="n"/>
      <c r="E51" s="11" t="n"/>
      <c r="F51" s="26" t="n"/>
      <c r="G51" s="11" t="n"/>
      <c r="H51" s="11" t="n"/>
      <c r="I51" s="11" t="n"/>
      <c r="J51" s="26" t="n"/>
      <c r="K51" s="11" t="n"/>
    </row>
    <row r="52" ht="22" customHeight="1">
      <c r="B52" s="15">
        <f>IF(C52="","POL-"&amp;TEXT(COUNTA($C$5:C52),"000"))</f>
        <v/>
      </c>
      <c r="C52" s="13" t="n"/>
      <c r="D52" s="13" t="n"/>
      <c r="E52" s="13" t="n"/>
      <c r="F52" s="27" t="n"/>
      <c r="G52" s="13" t="n"/>
      <c r="H52" s="13" t="n"/>
      <c r="I52" s="13" t="n"/>
      <c r="J52" s="27" t="n"/>
      <c r="K52" s="13" t="n"/>
    </row>
    <row r="53" ht="22" customHeight="1">
      <c r="B53" s="16">
        <f>IF(C53="","POL-"&amp;TEXT(COUNTA($C$5:C53),"000"))</f>
        <v/>
      </c>
      <c r="C53" s="11" t="n"/>
      <c r="D53" s="11" t="n"/>
      <c r="E53" s="11" t="n"/>
      <c r="F53" s="26" t="n"/>
      <c r="G53" s="11" t="n"/>
      <c r="H53" s="11" t="n"/>
      <c r="I53" s="11" t="n"/>
      <c r="J53" s="26" t="n"/>
      <c r="K53" s="11" t="n"/>
    </row>
    <row r="54" ht="22" customHeight="1">
      <c r="B54" s="15">
        <f>IF(C54="","POL-"&amp;TEXT(COUNTA($C$5:C54),"000"))</f>
        <v/>
      </c>
      <c r="C54" s="13" t="n"/>
      <c r="D54" s="13" t="n"/>
      <c r="E54" s="13" t="n"/>
      <c r="F54" s="27" t="n"/>
      <c r="G54" s="13" t="n"/>
      <c r="H54" s="13" t="n"/>
      <c r="I54" s="13" t="n"/>
      <c r="J54" s="27" t="n"/>
      <c r="K54" s="13" t="n"/>
    </row>
    <row r="55" ht="22" customHeight="1">
      <c r="B55" s="16">
        <f>IF(C55="","POL-"&amp;TEXT(COUNTA($C$5:C55),"000"))</f>
        <v/>
      </c>
      <c r="C55" s="11" t="n"/>
      <c r="D55" s="11" t="n"/>
      <c r="E55" s="11" t="n"/>
      <c r="F55" s="26" t="n"/>
      <c r="G55" s="11" t="n"/>
      <c r="H55" s="11" t="n"/>
      <c r="I55" s="11" t="n"/>
      <c r="J55" s="26" t="n"/>
      <c r="K55" s="11" t="n"/>
    </row>
    <row r="56" ht="22" customHeight="1">
      <c r="B56" s="15">
        <f>IF(C56="","POL-"&amp;TEXT(COUNTA($C$5:C56),"000"))</f>
        <v/>
      </c>
      <c r="C56" s="13" t="n"/>
      <c r="D56" s="13" t="n"/>
      <c r="E56" s="13" t="n"/>
      <c r="F56" s="27" t="n"/>
      <c r="G56" s="13" t="n"/>
      <c r="H56" s="13" t="n"/>
      <c r="I56" s="13" t="n"/>
      <c r="J56" s="27" t="n"/>
      <c r="K56" s="13" t="n"/>
    </row>
    <row r="57" ht="22" customHeight="1">
      <c r="B57" s="16">
        <f>IF(C57="","POL-"&amp;TEXT(COUNTA($C$5:C57),"000"))</f>
        <v/>
      </c>
      <c r="C57" s="11" t="n"/>
      <c r="D57" s="11" t="n"/>
      <c r="E57" s="11" t="n"/>
      <c r="F57" s="26" t="n"/>
      <c r="G57" s="11" t="n"/>
      <c r="H57" s="11" t="n"/>
      <c r="I57" s="11" t="n"/>
      <c r="J57" s="26" t="n"/>
      <c r="K57" s="11" t="n"/>
    </row>
    <row r="58" ht="22" customHeight="1">
      <c r="B58" s="15">
        <f>IF(C58="","POL-"&amp;TEXT(COUNTA($C$5:C58),"000"))</f>
        <v/>
      </c>
      <c r="C58" s="13" t="n"/>
      <c r="D58" s="13" t="n"/>
      <c r="E58" s="13" t="n"/>
      <c r="F58" s="27" t="n"/>
      <c r="G58" s="13" t="n"/>
      <c r="H58" s="13" t="n"/>
      <c r="I58" s="13" t="n"/>
      <c r="J58" s="27" t="n"/>
      <c r="K58" s="13" t="n"/>
    </row>
    <row r="59" ht="22" customHeight="1">
      <c r="B59" s="16">
        <f>IF(C59="","POL-"&amp;TEXT(COUNTA($C$5:C59),"000"))</f>
        <v/>
      </c>
      <c r="C59" s="11" t="n"/>
      <c r="D59" s="11" t="n"/>
      <c r="E59" s="11" t="n"/>
      <c r="F59" s="26" t="n"/>
      <c r="G59" s="11" t="n"/>
      <c r="H59" s="11" t="n"/>
      <c r="I59" s="11" t="n"/>
      <c r="J59" s="26" t="n"/>
      <c r="K59" s="11" t="n"/>
    </row>
    <row r="60" ht="22" customHeight="1">
      <c r="B60" s="15">
        <f>IF(C60="","POL-"&amp;TEXT(COUNTA($C$5:C60),"000"))</f>
        <v/>
      </c>
      <c r="C60" s="13" t="n"/>
      <c r="D60" s="13" t="n"/>
      <c r="E60" s="13" t="n"/>
      <c r="F60" s="27" t="n"/>
      <c r="G60" s="13" t="n"/>
      <c r="H60" s="13" t="n"/>
      <c r="I60" s="13" t="n"/>
      <c r="J60" s="27" t="n"/>
      <c r="K60" s="13" t="n"/>
    </row>
    <row r="61" ht="22" customHeight="1">
      <c r="B61" s="16">
        <f>IF(C61="","POL-"&amp;TEXT(COUNTA($C$5:C61),"000"))</f>
        <v/>
      </c>
      <c r="C61" s="11" t="n"/>
      <c r="D61" s="11" t="n"/>
      <c r="E61" s="11" t="n"/>
      <c r="F61" s="26" t="n"/>
      <c r="G61" s="11" t="n"/>
      <c r="H61" s="11" t="n"/>
      <c r="I61" s="11" t="n"/>
      <c r="J61" s="26" t="n"/>
      <c r="K61" s="11" t="n"/>
    </row>
    <row r="62" ht="22" customHeight="1">
      <c r="B62" s="15">
        <f>IF(C62="","POL-"&amp;TEXT(COUNTA($C$5:C62),"000"))</f>
        <v/>
      </c>
      <c r="C62" s="13" t="n"/>
      <c r="D62" s="13" t="n"/>
      <c r="E62" s="13" t="n"/>
      <c r="F62" s="27" t="n"/>
      <c r="G62" s="13" t="n"/>
      <c r="H62" s="13" t="n"/>
      <c r="I62" s="13" t="n"/>
      <c r="J62" s="27" t="n"/>
      <c r="K62" s="13" t="n"/>
    </row>
    <row r="63" ht="22" customHeight="1">
      <c r="B63" s="16">
        <f>IF(C63="","POL-"&amp;TEXT(COUNTA($C$5:C63),"000"))</f>
        <v/>
      </c>
      <c r="C63" s="11" t="n"/>
      <c r="D63" s="11" t="n"/>
      <c r="E63" s="11" t="n"/>
      <c r="F63" s="26" t="n"/>
      <c r="G63" s="11" t="n"/>
      <c r="H63" s="11" t="n"/>
      <c r="I63" s="11" t="n"/>
      <c r="J63" s="26" t="n"/>
      <c r="K63" s="11" t="n"/>
    </row>
    <row r="64" ht="22" customHeight="1">
      <c r="B64" s="15">
        <f>IF(C64="","POL-"&amp;TEXT(COUNTA($C$5:C64),"000"))</f>
        <v/>
      </c>
      <c r="C64" s="13" t="n"/>
      <c r="D64" s="13" t="n"/>
      <c r="E64" s="13" t="n"/>
      <c r="F64" s="27" t="n"/>
      <c r="G64" s="13" t="n"/>
      <c r="H64" s="13" t="n"/>
      <c r="I64" s="13" t="n"/>
      <c r="J64" s="27" t="n"/>
      <c r="K64" s="13" t="n"/>
    </row>
    <row r="65" ht="22" customHeight="1">
      <c r="B65" s="16">
        <f>IF(C65="","POL-"&amp;TEXT(COUNTA($C$5:C65),"000"))</f>
        <v/>
      </c>
      <c r="C65" s="11" t="n"/>
      <c r="D65" s="11" t="n"/>
      <c r="E65" s="11" t="n"/>
      <c r="F65" s="26" t="n"/>
      <c r="G65" s="11" t="n"/>
      <c r="H65" s="11" t="n"/>
      <c r="I65" s="11" t="n"/>
      <c r="J65" s="26" t="n"/>
      <c r="K65" s="11" t="n"/>
    </row>
    <row r="66" ht="22" customHeight="1">
      <c r="B66" s="15">
        <f>IF(C66="","POL-"&amp;TEXT(COUNTA($C$5:C66),"000"))</f>
        <v/>
      </c>
      <c r="C66" s="13" t="n"/>
      <c r="D66" s="13" t="n"/>
      <c r="E66" s="13" t="n"/>
      <c r="F66" s="27" t="n"/>
      <c r="G66" s="13" t="n"/>
      <c r="H66" s="13" t="n"/>
      <c r="I66" s="13" t="n"/>
      <c r="J66" s="27" t="n"/>
      <c r="K66" s="13" t="n"/>
    </row>
    <row r="67" ht="22" customHeight="1">
      <c r="B67" s="16">
        <f>IF(C67="","POL-"&amp;TEXT(COUNTA($C$5:C67),"000"))</f>
        <v/>
      </c>
      <c r="C67" s="11" t="n"/>
      <c r="D67" s="11" t="n"/>
      <c r="E67" s="11" t="n"/>
      <c r="F67" s="26" t="n"/>
      <c r="G67" s="11" t="n"/>
      <c r="H67" s="11" t="n"/>
      <c r="I67" s="11" t="n"/>
      <c r="J67" s="26" t="n"/>
      <c r="K67" s="11" t="n"/>
    </row>
    <row r="68" ht="22" customHeight="1">
      <c r="B68" s="15">
        <f>IF(C68="","POL-"&amp;TEXT(COUNTA($C$5:C68),"000"))</f>
        <v/>
      </c>
      <c r="C68" s="13" t="n"/>
      <c r="D68" s="13" t="n"/>
      <c r="E68" s="13" t="n"/>
      <c r="F68" s="27" t="n"/>
      <c r="G68" s="13" t="n"/>
      <c r="H68" s="13" t="n"/>
      <c r="I68" s="13" t="n"/>
      <c r="J68" s="27" t="n"/>
      <c r="K68" s="13" t="n"/>
    </row>
    <row r="69" ht="22" customHeight="1">
      <c r="B69" s="16">
        <f>IF(C69="","POL-"&amp;TEXT(COUNTA($C$5:C69),"000"))</f>
        <v/>
      </c>
      <c r="C69" s="11" t="n"/>
      <c r="D69" s="11" t="n"/>
      <c r="E69" s="11" t="n"/>
      <c r="F69" s="26" t="n"/>
      <c r="G69" s="11" t="n"/>
      <c r="H69" s="11" t="n"/>
      <c r="I69" s="11" t="n"/>
      <c r="J69" s="26" t="n"/>
      <c r="K69" s="11" t="n"/>
    </row>
    <row r="70" ht="22" customHeight="1">
      <c r="B70" s="15">
        <f>IF(C70="","POL-"&amp;TEXT(COUNTA($C$5:C70),"000"))</f>
        <v/>
      </c>
      <c r="C70" s="13" t="n"/>
      <c r="D70" s="13" t="n"/>
      <c r="E70" s="13" t="n"/>
      <c r="F70" s="27" t="n"/>
      <c r="G70" s="13" t="n"/>
      <c r="H70" s="13" t="n"/>
      <c r="I70" s="13" t="n"/>
      <c r="J70" s="27" t="n"/>
      <c r="K70" s="13" t="n"/>
    </row>
    <row r="71" ht="22" customHeight="1">
      <c r="B71" s="16">
        <f>IF(C71="","POL-"&amp;TEXT(COUNTA($C$5:C71),"000"))</f>
        <v/>
      </c>
      <c r="C71" s="11" t="n"/>
      <c r="D71" s="11" t="n"/>
      <c r="E71" s="11" t="n"/>
      <c r="F71" s="26" t="n"/>
      <c r="G71" s="11" t="n"/>
      <c r="H71" s="11" t="n"/>
      <c r="I71" s="11" t="n"/>
      <c r="J71" s="26" t="n"/>
      <c r="K71" s="11" t="n"/>
    </row>
    <row r="72" ht="22" customHeight="1">
      <c r="B72" s="15">
        <f>IF(C72="","POL-"&amp;TEXT(COUNTA($C$5:C72),"000"))</f>
        <v/>
      </c>
      <c r="C72" s="13" t="n"/>
      <c r="D72" s="13" t="n"/>
      <c r="E72" s="13" t="n"/>
      <c r="F72" s="27" t="n"/>
      <c r="G72" s="13" t="n"/>
      <c r="H72" s="13" t="n"/>
      <c r="I72" s="13" t="n"/>
      <c r="J72" s="27" t="n"/>
      <c r="K72" s="13" t="n"/>
    </row>
    <row r="73" ht="22" customHeight="1">
      <c r="B73" s="16">
        <f>IF(C73="","POL-"&amp;TEXT(COUNTA($C$5:C73),"000"))</f>
        <v/>
      </c>
      <c r="C73" s="11" t="n"/>
      <c r="D73" s="11" t="n"/>
      <c r="E73" s="11" t="n"/>
      <c r="F73" s="26" t="n"/>
      <c r="G73" s="11" t="n"/>
      <c r="H73" s="11" t="n"/>
      <c r="I73" s="11" t="n"/>
      <c r="J73" s="26" t="n"/>
      <c r="K73" s="11" t="n"/>
    </row>
    <row r="74" ht="22" customHeight="1">
      <c r="B74" s="15">
        <f>IF(C74="","POL-"&amp;TEXT(COUNTA($C$5:C74),"000"))</f>
        <v/>
      </c>
      <c r="C74" s="13" t="n"/>
      <c r="D74" s="13" t="n"/>
      <c r="E74" s="13" t="n"/>
      <c r="F74" s="27" t="n"/>
      <c r="G74" s="13" t="n"/>
      <c r="H74" s="13" t="n"/>
      <c r="I74" s="13" t="n"/>
      <c r="J74" s="27" t="n"/>
      <c r="K74" s="13" t="n"/>
    </row>
    <row r="75" ht="22" customHeight="1">
      <c r="B75" s="16">
        <f>IF(C75="","POL-"&amp;TEXT(COUNTA($C$5:C75),"000"))</f>
        <v/>
      </c>
      <c r="C75" s="11" t="n"/>
      <c r="D75" s="11" t="n"/>
      <c r="E75" s="11" t="n"/>
      <c r="F75" s="26" t="n"/>
      <c r="G75" s="11" t="n"/>
      <c r="H75" s="11" t="n"/>
      <c r="I75" s="11" t="n"/>
      <c r="J75" s="26" t="n"/>
      <c r="K75" s="11" t="n"/>
    </row>
    <row r="76" ht="22" customHeight="1">
      <c r="B76" s="15">
        <f>IF(C76="","POL-"&amp;TEXT(COUNTA($C$5:C76),"000"))</f>
        <v/>
      </c>
      <c r="C76" s="13" t="n"/>
      <c r="D76" s="13" t="n"/>
      <c r="E76" s="13" t="n"/>
      <c r="F76" s="27" t="n"/>
      <c r="G76" s="13" t="n"/>
      <c r="H76" s="13" t="n"/>
      <c r="I76" s="13" t="n"/>
      <c r="J76" s="27" t="n"/>
      <c r="K76" s="13" t="n"/>
    </row>
    <row r="77" ht="22" customHeight="1">
      <c r="B77" s="16">
        <f>IF(C77="","POL-"&amp;TEXT(COUNTA($C$5:C77),"000"))</f>
        <v/>
      </c>
      <c r="C77" s="11" t="n"/>
      <c r="D77" s="11" t="n"/>
      <c r="E77" s="11" t="n"/>
      <c r="F77" s="26" t="n"/>
      <c r="G77" s="11" t="n"/>
      <c r="H77" s="11" t="n"/>
      <c r="I77" s="11" t="n"/>
      <c r="J77" s="26" t="n"/>
      <c r="K77" s="11" t="n"/>
    </row>
    <row r="78" ht="22" customHeight="1">
      <c r="B78" s="15">
        <f>IF(C78="","POL-"&amp;TEXT(COUNTA($C$5:C78),"000"))</f>
        <v/>
      </c>
      <c r="C78" s="13" t="n"/>
      <c r="D78" s="13" t="n"/>
      <c r="E78" s="13" t="n"/>
      <c r="F78" s="27" t="n"/>
      <c r="G78" s="13" t="n"/>
      <c r="H78" s="13" t="n"/>
      <c r="I78" s="13" t="n"/>
      <c r="J78" s="27" t="n"/>
      <c r="K78" s="13" t="n"/>
    </row>
    <row r="79" ht="22" customHeight="1">
      <c r="B79" s="16">
        <f>IF(C79="","POL-"&amp;TEXT(COUNTA($C$5:C79),"000"))</f>
        <v/>
      </c>
      <c r="C79" s="11" t="n"/>
      <c r="D79" s="11" t="n"/>
      <c r="E79" s="11" t="n"/>
      <c r="F79" s="26" t="n"/>
      <c r="G79" s="11" t="n"/>
      <c r="H79" s="11" t="n"/>
      <c r="I79" s="11" t="n"/>
      <c r="J79" s="26" t="n"/>
      <c r="K79" s="11" t="n"/>
    </row>
    <row r="80" ht="22" customHeight="1">
      <c r="B80" s="15">
        <f>IF(C80="","POL-"&amp;TEXT(COUNTA($C$5:C80),"000"))</f>
        <v/>
      </c>
      <c r="C80" s="13" t="n"/>
      <c r="D80" s="13" t="n"/>
      <c r="E80" s="13" t="n"/>
      <c r="F80" s="27" t="n"/>
      <c r="G80" s="13" t="n"/>
      <c r="H80" s="13" t="n"/>
      <c r="I80" s="13" t="n"/>
      <c r="J80" s="27" t="n"/>
      <c r="K80" s="13" t="n"/>
    </row>
    <row r="81" ht="22" customHeight="1">
      <c r="B81" s="16">
        <f>IF(C81="","POL-"&amp;TEXT(COUNTA($C$5:C81),"000"))</f>
        <v/>
      </c>
      <c r="C81" s="11" t="n"/>
      <c r="D81" s="11" t="n"/>
      <c r="E81" s="11" t="n"/>
      <c r="F81" s="26" t="n"/>
      <c r="G81" s="11" t="n"/>
      <c r="H81" s="11" t="n"/>
      <c r="I81" s="11" t="n"/>
      <c r="J81" s="26" t="n"/>
      <c r="K81" s="11" t="n"/>
    </row>
    <row r="82" ht="22" customHeight="1">
      <c r="B82" s="15">
        <f>IF(C82="","POL-"&amp;TEXT(COUNTA($C$5:C82),"000"))</f>
        <v/>
      </c>
      <c r="C82" s="13" t="n"/>
      <c r="D82" s="13" t="n"/>
      <c r="E82" s="13" t="n"/>
      <c r="F82" s="27" t="n"/>
      <c r="G82" s="13" t="n"/>
      <c r="H82" s="13" t="n"/>
      <c r="I82" s="13" t="n"/>
      <c r="J82" s="27" t="n"/>
      <c r="K82" s="13" t="n"/>
    </row>
    <row r="83" ht="22" customHeight="1">
      <c r="B83" s="16">
        <f>IF(C83="","POL-"&amp;TEXT(COUNTA($C$5:C83),"000"))</f>
        <v/>
      </c>
      <c r="C83" s="11" t="n"/>
      <c r="D83" s="11" t="n"/>
      <c r="E83" s="11" t="n"/>
      <c r="F83" s="26" t="n"/>
      <c r="G83" s="11" t="n"/>
      <c r="H83" s="11" t="n"/>
      <c r="I83" s="11" t="n"/>
      <c r="J83" s="26" t="n"/>
      <c r="K83" s="11" t="n"/>
    </row>
    <row r="84" ht="22" customHeight="1">
      <c r="B84" s="15">
        <f>IF(C84="","POL-"&amp;TEXT(COUNTA($C$5:C84),"000"))</f>
        <v/>
      </c>
      <c r="C84" s="13" t="n"/>
      <c r="D84" s="13" t="n"/>
      <c r="E84" s="13" t="n"/>
      <c r="F84" s="27" t="n"/>
      <c r="G84" s="13" t="n"/>
      <c r="H84" s="13" t="n"/>
      <c r="I84" s="13" t="n"/>
      <c r="J84" s="27" t="n"/>
      <c r="K84" s="13" t="n"/>
    </row>
    <row r="85" ht="22" customHeight="1">
      <c r="B85" s="16">
        <f>IF(C85="","POL-"&amp;TEXT(COUNTA($C$5:C85),"000"))</f>
        <v/>
      </c>
      <c r="C85" s="11" t="n"/>
      <c r="D85" s="11" t="n"/>
      <c r="E85" s="11" t="n"/>
      <c r="F85" s="26" t="n"/>
      <c r="G85" s="11" t="n"/>
      <c r="H85" s="11" t="n"/>
      <c r="I85" s="11" t="n"/>
      <c r="J85" s="26" t="n"/>
      <c r="K85" s="11" t="n"/>
    </row>
    <row r="86" ht="22" customHeight="1">
      <c r="B86" s="15">
        <f>IF(C86="","POL-"&amp;TEXT(COUNTA($C$5:C86),"000"))</f>
        <v/>
      </c>
      <c r="C86" s="13" t="n"/>
      <c r="D86" s="13" t="n"/>
      <c r="E86" s="13" t="n"/>
      <c r="F86" s="27" t="n"/>
      <c r="G86" s="13" t="n"/>
      <c r="H86" s="13" t="n"/>
      <c r="I86" s="13" t="n"/>
      <c r="J86" s="27" t="n"/>
      <c r="K86" s="13" t="n"/>
    </row>
    <row r="87" ht="22" customHeight="1">
      <c r="B87" s="16">
        <f>IF(C87="","POL-"&amp;TEXT(COUNTA($C$5:C87),"000"))</f>
        <v/>
      </c>
      <c r="C87" s="11" t="n"/>
      <c r="D87" s="11" t="n"/>
      <c r="E87" s="11" t="n"/>
      <c r="F87" s="26" t="n"/>
      <c r="G87" s="11" t="n"/>
      <c r="H87" s="11" t="n"/>
      <c r="I87" s="11" t="n"/>
      <c r="J87" s="26" t="n"/>
      <c r="K87" s="11" t="n"/>
    </row>
    <row r="88" ht="22" customHeight="1">
      <c r="B88" s="15">
        <f>IF(C88="","POL-"&amp;TEXT(COUNTA($C$5:C88),"000"))</f>
        <v/>
      </c>
      <c r="C88" s="13" t="n"/>
      <c r="D88" s="13" t="n"/>
      <c r="E88" s="13" t="n"/>
      <c r="F88" s="27" t="n"/>
      <c r="G88" s="13" t="n"/>
      <c r="H88" s="13" t="n"/>
      <c r="I88" s="13" t="n"/>
      <c r="J88" s="27" t="n"/>
      <c r="K88" s="13" t="n"/>
    </row>
    <row r="89" ht="22" customHeight="1">
      <c r="B89" s="16">
        <f>IF(C89="","POL-"&amp;TEXT(COUNTA($C$5:C89),"000"))</f>
        <v/>
      </c>
      <c r="C89" s="11" t="n"/>
      <c r="D89" s="11" t="n"/>
      <c r="E89" s="11" t="n"/>
      <c r="F89" s="26" t="n"/>
      <c r="G89" s="11" t="n"/>
      <c r="H89" s="11" t="n"/>
      <c r="I89" s="11" t="n"/>
      <c r="J89" s="26" t="n"/>
      <c r="K89" s="11" t="n"/>
    </row>
    <row r="90" ht="22" customHeight="1">
      <c r="B90" s="15">
        <f>IF(C90="","POL-"&amp;TEXT(COUNTA($C$5:C90),"000"))</f>
        <v/>
      </c>
      <c r="C90" s="13" t="n"/>
      <c r="D90" s="13" t="n"/>
      <c r="E90" s="13" t="n"/>
      <c r="F90" s="27" t="n"/>
      <c r="G90" s="13" t="n"/>
      <c r="H90" s="13" t="n"/>
      <c r="I90" s="13" t="n"/>
      <c r="J90" s="27" t="n"/>
      <c r="K90" s="13" t="n"/>
    </row>
    <row r="91" ht="22" customHeight="1">
      <c r="B91" s="16">
        <f>IF(C91="","POL-"&amp;TEXT(COUNTA($C$5:C91),"000"))</f>
        <v/>
      </c>
      <c r="C91" s="11" t="n"/>
      <c r="D91" s="11" t="n"/>
      <c r="E91" s="11" t="n"/>
      <c r="F91" s="26" t="n"/>
      <c r="G91" s="11" t="n"/>
      <c r="H91" s="11" t="n"/>
      <c r="I91" s="11" t="n"/>
      <c r="J91" s="26" t="n"/>
      <c r="K91" s="11" t="n"/>
    </row>
    <row r="92" ht="22" customHeight="1">
      <c r="B92" s="15">
        <f>IF(C92="","POL-"&amp;TEXT(COUNTA($C$5:C92),"000"))</f>
        <v/>
      </c>
      <c r="C92" s="13" t="n"/>
      <c r="D92" s="13" t="n"/>
      <c r="E92" s="13" t="n"/>
      <c r="F92" s="27" t="n"/>
      <c r="G92" s="13" t="n"/>
      <c r="H92" s="13" t="n"/>
      <c r="I92" s="13" t="n"/>
      <c r="J92" s="27" t="n"/>
      <c r="K92" s="13" t="n"/>
    </row>
    <row r="93" ht="22" customHeight="1">
      <c r="B93" s="16">
        <f>IF(C93="","POL-"&amp;TEXT(COUNTA($C$5:C93),"000"))</f>
        <v/>
      </c>
      <c r="C93" s="11" t="n"/>
      <c r="D93" s="11" t="n"/>
      <c r="E93" s="11" t="n"/>
      <c r="F93" s="26" t="n"/>
      <c r="G93" s="11" t="n"/>
      <c r="H93" s="11" t="n"/>
      <c r="I93" s="11" t="n"/>
      <c r="J93" s="26" t="n"/>
      <c r="K93" s="11" t="n"/>
    </row>
    <row r="94" ht="22" customHeight="1">
      <c r="B94" s="15">
        <f>IF(C94="","POL-"&amp;TEXT(COUNTA($C$5:C94),"000"))</f>
        <v/>
      </c>
      <c r="C94" s="13" t="n"/>
      <c r="D94" s="13" t="n"/>
      <c r="E94" s="13" t="n"/>
      <c r="F94" s="27" t="n"/>
      <c r="G94" s="13" t="n"/>
      <c r="H94" s="13" t="n"/>
      <c r="I94" s="13" t="n"/>
      <c r="J94" s="27" t="n"/>
      <c r="K94" s="13" t="n"/>
    </row>
    <row r="95" ht="22" customHeight="1">
      <c r="B95" s="16">
        <f>IF(C95="","POL-"&amp;TEXT(COUNTA($C$5:C95),"000"))</f>
        <v/>
      </c>
      <c r="C95" s="11" t="n"/>
      <c r="D95" s="11" t="n"/>
      <c r="E95" s="11" t="n"/>
      <c r="F95" s="26" t="n"/>
      <c r="G95" s="11" t="n"/>
      <c r="H95" s="11" t="n"/>
      <c r="I95" s="11" t="n"/>
      <c r="J95" s="26" t="n"/>
      <c r="K95" s="11" t="n"/>
    </row>
    <row r="96" ht="22" customHeight="1">
      <c r="B96" s="15">
        <f>IF(C96="","POL-"&amp;TEXT(COUNTA($C$5:C96),"000"))</f>
        <v/>
      </c>
      <c r="C96" s="13" t="n"/>
      <c r="D96" s="13" t="n"/>
      <c r="E96" s="13" t="n"/>
      <c r="F96" s="27" t="n"/>
      <c r="G96" s="13" t="n"/>
      <c r="H96" s="13" t="n"/>
      <c r="I96" s="13" t="n"/>
      <c r="J96" s="27" t="n"/>
      <c r="K96" s="13" t="n"/>
    </row>
    <row r="97" ht="22" customHeight="1">
      <c r="B97" s="16">
        <f>IF(C97="","POL-"&amp;TEXT(COUNTA($C$5:C97),"000"))</f>
        <v/>
      </c>
      <c r="C97" s="11" t="n"/>
      <c r="D97" s="11" t="n"/>
      <c r="E97" s="11" t="n"/>
      <c r="F97" s="26" t="n"/>
      <c r="G97" s="11" t="n"/>
      <c r="H97" s="11" t="n"/>
      <c r="I97" s="11" t="n"/>
      <c r="J97" s="26" t="n"/>
      <c r="K97" s="11" t="n"/>
    </row>
    <row r="98" ht="22" customHeight="1">
      <c r="B98" s="15">
        <f>IF(C98="","POL-"&amp;TEXT(COUNTA($C$5:C98),"000"))</f>
        <v/>
      </c>
      <c r="C98" s="13" t="n"/>
      <c r="D98" s="13" t="n"/>
      <c r="E98" s="13" t="n"/>
      <c r="F98" s="27" t="n"/>
      <c r="G98" s="13" t="n"/>
      <c r="H98" s="13" t="n"/>
      <c r="I98" s="13" t="n"/>
      <c r="J98" s="27" t="n"/>
      <c r="K98" s="13" t="n"/>
    </row>
    <row r="99" ht="22" customHeight="1">
      <c r="B99" s="16">
        <f>IF(C99="","POL-"&amp;TEXT(COUNTA($C$5:C99),"000"))</f>
        <v/>
      </c>
      <c r="C99" s="11" t="n"/>
      <c r="D99" s="11" t="n"/>
      <c r="E99" s="11" t="n"/>
      <c r="F99" s="26" t="n"/>
      <c r="G99" s="11" t="n"/>
      <c r="H99" s="11" t="n"/>
      <c r="I99" s="11" t="n"/>
      <c r="J99" s="26" t="n"/>
      <c r="K99" s="11" t="n"/>
    </row>
    <row r="100" ht="22" customHeight="1">
      <c r="B100" s="15">
        <f>IF(C100="","POL-"&amp;TEXT(COUNTA($C$5:C100),"000"))</f>
        <v/>
      </c>
      <c r="C100" s="13" t="n"/>
      <c r="D100" s="13" t="n"/>
      <c r="E100" s="13" t="n"/>
      <c r="F100" s="27" t="n"/>
      <c r="G100" s="13" t="n"/>
      <c r="H100" s="13" t="n"/>
      <c r="I100" s="13" t="n"/>
      <c r="J100" s="27" t="n"/>
      <c r="K100" s="13" t="n"/>
    </row>
    <row r="101" ht="22" customHeight="1">
      <c r="B101" s="16">
        <f>IF(C101="","POL-"&amp;TEXT(COUNTA($C$5:C101),"000"))</f>
        <v/>
      </c>
      <c r="C101" s="11" t="n"/>
      <c r="D101" s="11" t="n"/>
      <c r="E101" s="11" t="n"/>
      <c r="F101" s="26" t="n"/>
      <c r="G101" s="11" t="n"/>
      <c r="H101" s="11" t="n"/>
      <c r="I101" s="11" t="n"/>
      <c r="J101" s="26" t="n"/>
      <c r="K101" s="11" t="n"/>
    </row>
    <row r="102" ht="22" customHeight="1">
      <c r="B102" s="15">
        <f>IF(C102="","POL-"&amp;TEXT(COUNTA($C$5:C102),"000"))</f>
        <v/>
      </c>
      <c r="C102" s="13" t="n"/>
      <c r="D102" s="13" t="n"/>
      <c r="E102" s="13" t="n"/>
      <c r="F102" s="27" t="n"/>
      <c r="G102" s="13" t="n"/>
      <c r="H102" s="13" t="n"/>
      <c r="I102" s="13" t="n"/>
      <c r="J102" s="27" t="n"/>
      <c r="K102" s="13" t="n"/>
    </row>
    <row r="103" ht="22" customHeight="1">
      <c r="B103" s="16">
        <f>IF(C103="","POL-"&amp;TEXT(COUNTA($C$5:C103),"000"))</f>
        <v/>
      </c>
      <c r="C103" s="11" t="n"/>
      <c r="D103" s="11" t="n"/>
      <c r="E103" s="11" t="n"/>
      <c r="F103" s="26" t="n"/>
      <c r="G103" s="11" t="n"/>
      <c r="H103" s="11" t="n"/>
      <c r="I103" s="11" t="n"/>
      <c r="J103" s="26" t="n"/>
      <c r="K103" s="11" t="n"/>
    </row>
    <row r="104" ht="22" customHeight="1">
      <c r="B104" s="15">
        <f>IF(C104="","POL-"&amp;TEXT(COUNTA($C$5:C104),"000"))</f>
        <v/>
      </c>
      <c r="C104" s="13" t="n"/>
      <c r="D104" s="13" t="n"/>
      <c r="E104" s="13" t="n"/>
      <c r="F104" s="27" t="n"/>
      <c r="G104" s="13" t="n"/>
      <c r="H104" s="13" t="n"/>
      <c r="I104" s="13" t="n"/>
      <c r="J104" s="27" t="n"/>
      <c r="K104" s="13" t="n"/>
    </row>
    <row r="105" ht="22" customHeight="1">
      <c r="B105" s="16">
        <f>IF(C105="","POL-"&amp;TEXT(COUNTA($C$5:C105),"000"))</f>
        <v/>
      </c>
      <c r="C105" s="11" t="n"/>
      <c r="D105" s="11" t="n"/>
      <c r="E105" s="11" t="n"/>
      <c r="F105" s="26" t="n"/>
      <c r="G105" s="11" t="n"/>
      <c r="H105" s="11" t="n"/>
      <c r="I105" s="11" t="n"/>
      <c r="J105" s="26" t="n"/>
      <c r="K105" s="11" t="n"/>
    </row>
    <row r="106" ht="22" customHeight="1">
      <c r="B106" s="15">
        <f>IF(C106="","POL-"&amp;TEXT(COUNTA($C$5:C106),"000"))</f>
        <v/>
      </c>
      <c r="C106" s="13" t="n"/>
      <c r="D106" s="13" t="n"/>
      <c r="E106" s="13" t="n"/>
      <c r="F106" s="27" t="n"/>
      <c r="G106" s="13" t="n"/>
      <c r="H106" s="13" t="n"/>
      <c r="I106" s="13" t="n"/>
      <c r="J106" s="27" t="n"/>
      <c r="K106" s="13" t="n"/>
    </row>
    <row r="107" ht="22" customHeight="1">
      <c r="B107" s="16">
        <f>IF(C107="","POL-"&amp;TEXT(COUNTA($C$5:C107),"000"))</f>
        <v/>
      </c>
      <c r="C107" s="11" t="n"/>
      <c r="D107" s="11" t="n"/>
      <c r="E107" s="11" t="n"/>
      <c r="F107" s="26" t="n"/>
      <c r="G107" s="11" t="n"/>
      <c r="H107" s="11" t="n"/>
      <c r="I107" s="11" t="n"/>
      <c r="J107" s="26" t="n"/>
      <c r="K107" s="11" t="n"/>
    </row>
    <row r="108" ht="22" customHeight="1">
      <c r="B108" s="15">
        <f>IF(C108="","POL-"&amp;TEXT(COUNTA($C$5:C108),"000"))</f>
        <v/>
      </c>
      <c r="C108" s="13" t="n"/>
      <c r="D108" s="13" t="n"/>
      <c r="E108" s="13" t="n"/>
      <c r="F108" s="27" t="n"/>
      <c r="G108" s="13" t="n"/>
      <c r="H108" s="13" t="n"/>
      <c r="I108" s="13" t="n"/>
      <c r="J108" s="27" t="n"/>
      <c r="K108" s="13" t="n"/>
    </row>
    <row r="109" ht="22" customHeight="1">
      <c r="B109" s="16">
        <f>IF(C109="","POL-"&amp;TEXT(COUNTA($C$5:C109),"000"))</f>
        <v/>
      </c>
      <c r="C109" s="11" t="n"/>
      <c r="D109" s="11" t="n"/>
      <c r="E109" s="11" t="n"/>
      <c r="F109" s="26" t="n"/>
      <c r="G109" s="11" t="n"/>
      <c r="H109" s="11" t="n"/>
      <c r="I109" s="11" t="n"/>
      <c r="J109" s="26" t="n"/>
      <c r="K109" s="11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Documents total</t>
        </is>
      </c>
      <c r="D112" s="3" t="inlineStr">
        <is>
          <t>En vigueur</t>
        </is>
      </c>
      <c r="F112" s="3" t="inlineStr">
        <is>
          <t>A reviser &lt; 90j</t>
        </is>
      </c>
    </row>
    <row r="113">
      <c r="B113" s="4">
        <f>COUNTIF(B5:B104,"&lt;&gt;")</f>
        <v/>
      </c>
      <c r="D113" s="4">
        <f>COUNTIF(I5:I104,"En vigueur")</f>
        <v/>
      </c>
      <c r="F113" s="4">
        <f>COUNTIF(J5:J104,"&lt;"&amp;TODAY()+90)</f>
        <v/>
      </c>
    </row>
  </sheetData>
  <mergeCells count="3">
    <mergeCell ref="B111:K111"/>
    <mergeCell ref="B3:K3"/>
    <mergeCell ref="B2:K2"/>
  </mergeCells>
  <conditionalFormatting sqref="I5:I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conditionalFormatting sqref="K10:K109">
    <cfRule type="expression" priority="202" dxfId="3">
      <formula>AND($C10="",$C9&lt;&gt;"")</formula>
    </cfRule>
  </conditionalFormatting>
  <dataValidations count="2">
    <dataValidation sqref="D5:D109" showDropDown="0" showInputMessage="0" showErrorMessage="0" allowBlank="1" errorTitle="Erreur" error="Valeur invalide" promptTitle="Liste" prompt="Choisir dans la liste" type="list">
      <formula1>'_Lists'!$R$2:$R$9</formula1>
    </dataValidation>
    <dataValidation sqref="I5:I109" showDropDown="0" showInputMessage="0" showErrorMessage="0" allowBlank="1" errorTitle="Erreur" error="Valeur invalide" promptTitle="Liste" prompt="Choisir dans la liste" type="list">
      <formula1>'_Lists'!$S$2:$S$6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22" customWidth="1" min="10" max="10"/>
  </cols>
  <sheetData>
    <row r="1" ht="15" customHeight="1"/>
    <row r="2" ht="32" customHeight="1">
      <c r="B2" s="1" t="inlineStr">
        <is>
          <t>SUIVI ÉCHÉANCES LÉGALES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Echeance</t>
        </is>
      </c>
      <c r="D4" s="10" t="inlineStr">
        <is>
          <t>Type</t>
        </is>
      </c>
      <c r="E4" s="10" t="inlineStr">
        <is>
          <t>Periodicite</t>
        </is>
      </c>
      <c r="F4" s="10" t="inlineStr">
        <is>
          <t>Date Echeance</t>
        </is>
      </c>
      <c r="G4" s="10" t="inlineStr">
        <is>
          <t>Jours Restants</t>
        </is>
      </c>
      <c r="H4" s="10" t="inlineStr">
        <is>
          <t>Responsable</t>
        </is>
      </c>
      <c r="I4" s="10" t="inlineStr">
        <is>
          <t>Statut</t>
        </is>
      </c>
      <c r="J4" s="10" t="inlineStr">
        <is>
          <t>Montant Estime (FCFA)</t>
        </is>
      </c>
    </row>
    <row r="5" ht="22" customHeight="1">
      <c r="B5" s="11" t="inlineStr">
        <is>
          <t>ECH-001</t>
        </is>
      </c>
      <c r="C5" s="11" t="inlineStr">
        <is>
          <t>Declaration CNPS juin</t>
        </is>
      </c>
      <c r="D5" s="11" t="inlineStr">
        <is>
          <t>CNPS mensuelle</t>
        </is>
      </c>
      <c r="E5" s="11" t="inlineStr">
        <is>
          <t>Mensuelle</t>
        </is>
      </c>
      <c r="F5" s="26" t="n">
        <v>45853</v>
      </c>
      <c r="G5" s="11" t="n"/>
      <c r="H5" s="11" t="inlineStr">
        <is>
          <t>DAF</t>
        </is>
      </c>
      <c r="I5" s="11" t="inlineStr">
        <is>
          <t>En cours</t>
        </is>
      </c>
      <c r="J5" s="17" t="n">
        <v>1890000</v>
      </c>
    </row>
    <row r="6" ht="22" customHeight="1">
      <c r="B6" s="13" t="inlineStr">
        <is>
          <t>ECH-002</t>
        </is>
      </c>
      <c r="C6" s="13" t="inlineStr">
        <is>
          <t>IR mensuel juin</t>
        </is>
      </c>
      <c r="D6" s="13" t="inlineStr">
        <is>
          <t>IR mensuel</t>
        </is>
      </c>
      <c r="E6" s="13" t="inlineStr">
        <is>
          <t>Mensuelle</t>
        </is>
      </c>
      <c r="F6" s="27" t="n">
        <v>45853</v>
      </c>
      <c r="G6" s="13" t="n"/>
      <c r="H6" s="13" t="inlineStr">
        <is>
          <t>DAF</t>
        </is>
      </c>
      <c r="I6" s="13" t="inlineStr">
        <is>
          <t>En cours</t>
        </is>
      </c>
      <c r="J6" s="18" t="n">
        <v>640000</v>
      </c>
    </row>
    <row r="7" ht="22" customHeight="1">
      <c r="B7" s="11" t="inlineStr">
        <is>
          <t>ECH-003</t>
        </is>
      </c>
      <c r="C7" s="11" t="inlineStr">
        <is>
          <t>Bilan social 2025</t>
        </is>
      </c>
      <c r="D7" s="11" t="inlineStr">
        <is>
          <t>Bilan social</t>
        </is>
      </c>
      <c r="E7" s="11" t="inlineStr">
        <is>
          <t>Annuelle</t>
        </is>
      </c>
      <c r="F7" s="26" t="n">
        <v>46112</v>
      </c>
      <c r="G7" s="11" t="n"/>
      <c r="H7" s="11" t="inlineStr">
        <is>
          <t>DRH</t>
        </is>
      </c>
      <c r="I7" s="11" t="inlineStr">
        <is>
          <t>En attente</t>
        </is>
      </c>
      <c r="J7" s="17" t="n">
        <v>0</v>
      </c>
    </row>
    <row r="8" ht="22" customHeight="1">
      <c r="B8" s="13" t="inlineStr">
        <is>
          <t>ECH-004</t>
        </is>
      </c>
      <c r="C8" s="13" t="inlineStr">
        <is>
          <t>Taxe d'apprentissage</t>
        </is>
      </c>
      <c r="D8" s="13" t="inlineStr">
        <is>
          <t>Taxe d'apprentissage</t>
        </is>
      </c>
      <c r="E8" s="13" t="inlineStr">
        <is>
          <t>Annuelle</t>
        </is>
      </c>
      <c r="F8" s="27" t="n">
        <v>46053</v>
      </c>
      <c r="G8" s="13" t="n"/>
      <c r="H8" s="13" t="inlineStr">
        <is>
          <t>DAF + DRH</t>
        </is>
      </c>
      <c r="I8" s="13" t="inlineStr">
        <is>
          <t>En attente</t>
        </is>
      </c>
      <c r="J8" s="18" t="n">
        <v>450000</v>
      </c>
    </row>
    <row r="9" ht="22" customHeight="1">
      <c r="B9" s="11" t="inlineStr">
        <is>
          <t>ECH-005</t>
        </is>
      </c>
      <c r="C9" s="11" t="inlineStr">
        <is>
          <t>Renouvellement CDD Kamga</t>
        </is>
      </c>
      <c r="D9" s="11" t="inlineStr">
        <is>
          <t>Contrat travail</t>
        </is>
      </c>
      <c r="E9" s="11" t="inlineStr">
        <is>
          <t>Ponctuelle</t>
        </is>
      </c>
      <c r="F9" s="26" t="n">
        <v>45838</v>
      </c>
      <c r="G9" s="11" t="n"/>
      <c r="H9" s="11" t="inlineStr">
        <is>
          <t>DRH</t>
        </is>
      </c>
      <c r="I9" s="11" t="inlineStr">
        <is>
          <t>En cours</t>
        </is>
      </c>
      <c r="J9" s="17" t="n">
        <v>0</v>
      </c>
    </row>
    <row r="10" ht="22" customHeight="1">
      <c r="B10" s="15">
        <f>IF(C10="","ECH-"&amp;TEXT(COUNTA($C$5:C10),"000"))</f>
        <v/>
      </c>
      <c r="C10" s="13" t="n"/>
      <c r="D10" s="13" t="n"/>
      <c r="E10" s="13" t="n"/>
      <c r="F10" s="27" t="n"/>
      <c r="G10" s="13">
        <f>IF(F10="","",F10-TODAY())</f>
        <v/>
      </c>
      <c r="H10" s="13" t="n"/>
      <c r="I10" s="13" t="n"/>
      <c r="J10" s="18" t="n"/>
    </row>
    <row r="11" ht="22" customHeight="1">
      <c r="B11" s="16">
        <f>IF(C11="","ECH-"&amp;TEXT(COUNTA($C$5:C11),"000"))</f>
        <v/>
      </c>
      <c r="C11" s="11" t="n"/>
      <c r="D11" s="11" t="n"/>
      <c r="E11" s="11" t="n"/>
      <c r="F11" s="26" t="n"/>
      <c r="G11" s="11">
        <f>IF(F11="","",F11-TODAY())</f>
        <v/>
      </c>
      <c r="H11" s="11" t="n"/>
      <c r="I11" s="11" t="n"/>
      <c r="J11" s="17" t="n"/>
    </row>
    <row r="12" ht="22" customHeight="1">
      <c r="B12" s="15">
        <f>IF(C12="","ECH-"&amp;TEXT(COUNTA($C$5:C12),"000"))</f>
        <v/>
      </c>
      <c r="C12" s="13" t="n"/>
      <c r="D12" s="13" t="n"/>
      <c r="E12" s="13" t="n"/>
      <c r="F12" s="27" t="n"/>
      <c r="G12" s="13">
        <f>IF(F12="","",F12-TODAY())</f>
        <v/>
      </c>
      <c r="H12" s="13" t="n"/>
      <c r="I12" s="13" t="n"/>
      <c r="J12" s="18" t="n"/>
    </row>
    <row r="13" ht="22" customHeight="1">
      <c r="B13" s="16">
        <f>IF(C13="","ECH-"&amp;TEXT(COUNTA($C$5:C13),"000"))</f>
        <v/>
      </c>
      <c r="C13" s="11" t="n"/>
      <c r="D13" s="11" t="n"/>
      <c r="E13" s="11" t="n"/>
      <c r="F13" s="26" t="n"/>
      <c r="G13" s="11">
        <f>IF(F13="","",F13-TODAY())</f>
        <v/>
      </c>
      <c r="H13" s="11" t="n"/>
      <c r="I13" s="11" t="n"/>
      <c r="J13" s="17" t="n"/>
    </row>
    <row r="14" ht="22" customHeight="1">
      <c r="B14" s="15">
        <f>IF(C14="","ECH-"&amp;TEXT(COUNTA($C$5:C14),"000"))</f>
        <v/>
      </c>
      <c r="C14" s="13" t="n"/>
      <c r="D14" s="13" t="n"/>
      <c r="E14" s="13" t="n"/>
      <c r="F14" s="27" t="n"/>
      <c r="G14" s="13">
        <f>IF(F14="","",F14-TODAY())</f>
        <v/>
      </c>
      <c r="H14" s="13" t="n"/>
      <c r="I14" s="13" t="n"/>
      <c r="J14" s="18" t="n"/>
    </row>
    <row r="15" ht="22" customHeight="1">
      <c r="B15" s="16">
        <f>IF(C15="","ECH-"&amp;TEXT(COUNTA($C$5:C15),"000"))</f>
        <v/>
      </c>
      <c r="C15" s="11" t="n"/>
      <c r="D15" s="11" t="n"/>
      <c r="E15" s="11" t="n"/>
      <c r="F15" s="26" t="n"/>
      <c r="G15" s="11">
        <f>IF(F15="","",F15-TODAY())</f>
        <v/>
      </c>
      <c r="H15" s="11" t="n"/>
      <c r="I15" s="11" t="n"/>
      <c r="J15" s="17" t="n"/>
    </row>
    <row r="16" ht="22" customHeight="1">
      <c r="B16" s="15">
        <f>IF(C16="","ECH-"&amp;TEXT(COUNTA($C$5:C16),"000"))</f>
        <v/>
      </c>
      <c r="C16" s="13" t="n"/>
      <c r="D16" s="13" t="n"/>
      <c r="E16" s="13" t="n"/>
      <c r="F16" s="27" t="n"/>
      <c r="G16" s="13">
        <f>IF(F16="","",F16-TODAY())</f>
        <v/>
      </c>
      <c r="H16" s="13" t="n"/>
      <c r="I16" s="13" t="n"/>
      <c r="J16" s="18" t="n"/>
    </row>
    <row r="17" ht="22" customHeight="1">
      <c r="B17" s="16">
        <f>IF(C17="","ECH-"&amp;TEXT(COUNTA($C$5:C17),"000"))</f>
        <v/>
      </c>
      <c r="C17" s="11" t="n"/>
      <c r="D17" s="11" t="n"/>
      <c r="E17" s="11" t="n"/>
      <c r="F17" s="26" t="n"/>
      <c r="G17" s="11">
        <f>IF(F17="","",F17-TODAY())</f>
        <v/>
      </c>
      <c r="H17" s="11" t="n"/>
      <c r="I17" s="11" t="n"/>
      <c r="J17" s="17" t="n"/>
    </row>
    <row r="18" ht="22" customHeight="1">
      <c r="B18" s="15">
        <f>IF(C18="","ECH-"&amp;TEXT(COUNTA($C$5:C18),"000"))</f>
        <v/>
      </c>
      <c r="C18" s="13" t="n"/>
      <c r="D18" s="13" t="n"/>
      <c r="E18" s="13" t="n"/>
      <c r="F18" s="27" t="n"/>
      <c r="G18" s="13">
        <f>IF(F18="","",F18-TODAY())</f>
        <v/>
      </c>
      <c r="H18" s="13" t="n"/>
      <c r="I18" s="13" t="n"/>
      <c r="J18" s="18" t="n"/>
    </row>
    <row r="19" ht="22" customHeight="1">
      <c r="B19" s="16">
        <f>IF(C19="","ECH-"&amp;TEXT(COUNTA($C$5:C19),"000"))</f>
        <v/>
      </c>
      <c r="C19" s="11" t="n"/>
      <c r="D19" s="11" t="n"/>
      <c r="E19" s="11" t="n"/>
      <c r="F19" s="26" t="n"/>
      <c r="G19" s="11">
        <f>IF(F19="","",F19-TODAY())</f>
        <v/>
      </c>
      <c r="H19" s="11" t="n"/>
      <c r="I19" s="11" t="n"/>
      <c r="J19" s="17" t="n"/>
    </row>
    <row r="20" ht="22" customHeight="1">
      <c r="B20" s="15">
        <f>IF(C20="","ECH-"&amp;TEXT(COUNTA($C$5:C20),"000"))</f>
        <v/>
      </c>
      <c r="C20" s="13" t="n"/>
      <c r="D20" s="13" t="n"/>
      <c r="E20" s="13" t="n"/>
      <c r="F20" s="27" t="n"/>
      <c r="G20" s="13">
        <f>IF(F20="","",F20-TODAY())</f>
        <v/>
      </c>
      <c r="H20" s="13" t="n"/>
      <c r="I20" s="13" t="n"/>
      <c r="J20" s="18" t="n"/>
    </row>
    <row r="21" ht="22" customHeight="1">
      <c r="B21" s="16">
        <f>IF(C21="","ECH-"&amp;TEXT(COUNTA($C$5:C21),"000"))</f>
        <v/>
      </c>
      <c r="C21" s="11" t="n"/>
      <c r="D21" s="11" t="n"/>
      <c r="E21" s="11" t="n"/>
      <c r="F21" s="26" t="n"/>
      <c r="G21" s="11">
        <f>IF(F21="","",F21-TODAY())</f>
        <v/>
      </c>
      <c r="H21" s="11" t="n"/>
      <c r="I21" s="11" t="n"/>
      <c r="J21" s="17" t="n"/>
    </row>
    <row r="22" ht="22" customHeight="1">
      <c r="B22" s="15">
        <f>IF(C22="","ECH-"&amp;TEXT(COUNTA($C$5:C22),"000"))</f>
        <v/>
      </c>
      <c r="C22" s="13" t="n"/>
      <c r="D22" s="13" t="n"/>
      <c r="E22" s="13" t="n"/>
      <c r="F22" s="27" t="n"/>
      <c r="G22" s="13">
        <f>IF(F22="","",F22-TODAY())</f>
        <v/>
      </c>
      <c r="H22" s="13" t="n"/>
      <c r="I22" s="13" t="n"/>
      <c r="J22" s="18" t="n"/>
    </row>
    <row r="23" ht="22" customHeight="1">
      <c r="B23" s="16">
        <f>IF(C23="","ECH-"&amp;TEXT(COUNTA($C$5:C23),"000"))</f>
        <v/>
      </c>
      <c r="C23" s="11" t="n"/>
      <c r="D23" s="11" t="n"/>
      <c r="E23" s="11" t="n"/>
      <c r="F23" s="26" t="n"/>
      <c r="G23" s="11">
        <f>IF(F23="","",F23-TODAY())</f>
        <v/>
      </c>
      <c r="H23" s="11" t="n"/>
      <c r="I23" s="11" t="n"/>
      <c r="J23" s="17" t="n"/>
    </row>
    <row r="24" ht="22" customHeight="1">
      <c r="B24" s="15">
        <f>IF(C24="","ECH-"&amp;TEXT(COUNTA($C$5:C24),"000"))</f>
        <v/>
      </c>
      <c r="C24" s="13" t="n"/>
      <c r="D24" s="13" t="n"/>
      <c r="E24" s="13" t="n"/>
      <c r="F24" s="27" t="n"/>
      <c r="G24" s="13">
        <f>IF(F24="","",F24-TODAY())</f>
        <v/>
      </c>
      <c r="H24" s="13" t="n"/>
      <c r="I24" s="13" t="n"/>
      <c r="J24" s="18" t="n"/>
    </row>
    <row r="25" ht="22" customHeight="1">
      <c r="B25" s="16">
        <f>IF(C25="","ECH-"&amp;TEXT(COUNTA($C$5:C25),"000"))</f>
        <v/>
      </c>
      <c r="C25" s="11" t="n"/>
      <c r="D25" s="11" t="n"/>
      <c r="E25" s="11" t="n"/>
      <c r="F25" s="26" t="n"/>
      <c r="G25" s="11">
        <f>IF(F25="","",F25-TODAY())</f>
        <v/>
      </c>
      <c r="H25" s="11" t="n"/>
      <c r="I25" s="11" t="n"/>
      <c r="J25" s="17" t="n"/>
    </row>
    <row r="26" ht="22" customHeight="1">
      <c r="B26" s="15">
        <f>IF(C26="","ECH-"&amp;TEXT(COUNTA($C$5:C26),"000"))</f>
        <v/>
      </c>
      <c r="C26" s="13" t="n"/>
      <c r="D26" s="13" t="n"/>
      <c r="E26" s="13" t="n"/>
      <c r="F26" s="27" t="n"/>
      <c r="G26" s="13">
        <f>IF(F26="","",F26-TODAY())</f>
        <v/>
      </c>
      <c r="H26" s="13" t="n"/>
      <c r="I26" s="13" t="n"/>
      <c r="J26" s="18" t="n"/>
    </row>
    <row r="27" ht="22" customHeight="1">
      <c r="B27" s="16">
        <f>IF(C27="","ECH-"&amp;TEXT(COUNTA($C$5:C27),"000"))</f>
        <v/>
      </c>
      <c r="C27" s="11" t="n"/>
      <c r="D27" s="11" t="n"/>
      <c r="E27" s="11" t="n"/>
      <c r="F27" s="26" t="n"/>
      <c r="G27" s="11">
        <f>IF(F27="","",F27-TODAY())</f>
        <v/>
      </c>
      <c r="H27" s="11" t="n"/>
      <c r="I27" s="11" t="n"/>
      <c r="J27" s="17" t="n"/>
    </row>
    <row r="28" ht="22" customHeight="1">
      <c r="B28" s="15">
        <f>IF(C28="","ECH-"&amp;TEXT(COUNTA($C$5:C28),"000"))</f>
        <v/>
      </c>
      <c r="C28" s="13" t="n"/>
      <c r="D28" s="13" t="n"/>
      <c r="E28" s="13" t="n"/>
      <c r="F28" s="27" t="n"/>
      <c r="G28" s="13">
        <f>IF(F28="","",F28-TODAY())</f>
        <v/>
      </c>
      <c r="H28" s="13" t="n"/>
      <c r="I28" s="13" t="n"/>
      <c r="J28" s="18" t="n"/>
    </row>
    <row r="29" ht="22" customHeight="1">
      <c r="B29" s="16">
        <f>IF(C29="","ECH-"&amp;TEXT(COUNTA($C$5:C29),"000"))</f>
        <v/>
      </c>
      <c r="C29" s="11" t="n"/>
      <c r="D29" s="11" t="n"/>
      <c r="E29" s="11" t="n"/>
      <c r="F29" s="26" t="n"/>
      <c r="G29" s="11">
        <f>IF(F29="","",F29-TODAY())</f>
        <v/>
      </c>
      <c r="H29" s="11" t="n"/>
      <c r="I29" s="11" t="n"/>
      <c r="J29" s="17" t="n"/>
    </row>
    <row r="30" ht="22" customHeight="1">
      <c r="B30" s="15">
        <f>IF(C30="","ECH-"&amp;TEXT(COUNTA($C$5:C30),"000"))</f>
        <v/>
      </c>
      <c r="C30" s="13" t="n"/>
      <c r="D30" s="13" t="n"/>
      <c r="E30" s="13" t="n"/>
      <c r="F30" s="27" t="n"/>
      <c r="G30" s="13">
        <f>IF(F30="","",F30-TODAY())</f>
        <v/>
      </c>
      <c r="H30" s="13" t="n"/>
      <c r="I30" s="13" t="n"/>
      <c r="J30" s="18" t="n"/>
    </row>
    <row r="31" ht="22" customHeight="1">
      <c r="B31" s="16">
        <f>IF(C31="","ECH-"&amp;TEXT(COUNTA($C$5:C31),"000"))</f>
        <v/>
      </c>
      <c r="C31" s="11" t="n"/>
      <c r="D31" s="11" t="n"/>
      <c r="E31" s="11" t="n"/>
      <c r="F31" s="26" t="n"/>
      <c r="G31" s="11">
        <f>IF(F31="","",F31-TODAY())</f>
        <v/>
      </c>
      <c r="H31" s="11" t="n"/>
      <c r="I31" s="11" t="n"/>
      <c r="J31" s="17" t="n"/>
    </row>
    <row r="32" ht="22" customHeight="1">
      <c r="B32" s="15">
        <f>IF(C32="","ECH-"&amp;TEXT(COUNTA($C$5:C32),"000"))</f>
        <v/>
      </c>
      <c r="C32" s="13" t="n"/>
      <c r="D32" s="13" t="n"/>
      <c r="E32" s="13" t="n"/>
      <c r="F32" s="27" t="n"/>
      <c r="G32" s="13">
        <f>IF(F32="","",F32-TODAY())</f>
        <v/>
      </c>
      <c r="H32" s="13" t="n"/>
      <c r="I32" s="13" t="n"/>
      <c r="J32" s="18" t="n"/>
    </row>
    <row r="33" ht="22" customHeight="1">
      <c r="B33" s="16">
        <f>IF(C33="","ECH-"&amp;TEXT(COUNTA($C$5:C33),"000"))</f>
        <v/>
      </c>
      <c r="C33" s="11" t="n"/>
      <c r="D33" s="11" t="n"/>
      <c r="E33" s="11" t="n"/>
      <c r="F33" s="26" t="n"/>
      <c r="G33" s="11">
        <f>IF(F33="","",F33-TODAY())</f>
        <v/>
      </c>
      <c r="H33" s="11" t="n"/>
      <c r="I33" s="11" t="n"/>
      <c r="J33" s="17" t="n"/>
    </row>
    <row r="34" ht="22" customHeight="1">
      <c r="B34" s="15">
        <f>IF(C34="","ECH-"&amp;TEXT(COUNTA($C$5:C34),"000"))</f>
        <v/>
      </c>
      <c r="C34" s="13" t="n"/>
      <c r="D34" s="13" t="n"/>
      <c r="E34" s="13" t="n"/>
      <c r="F34" s="27" t="n"/>
      <c r="G34" s="13">
        <f>IF(F34="","",F34-TODAY())</f>
        <v/>
      </c>
      <c r="H34" s="13" t="n"/>
      <c r="I34" s="13" t="n"/>
      <c r="J34" s="18" t="n"/>
    </row>
    <row r="35" ht="22" customHeight="1">
      <c r="B35" s="16">
        <f>IF(C35="","ECH-"&amp;TEXT(COUNTA($C$5:C35),"000"))</f>
        <v/>
      </c>
      <c r="C35" s="11" t="n"/>
      <c r="D35" s="11" t="n"/>
      <c r="E35" s="11" t="n"/>
      <c r="F35" s="26" t="n"/>
      <c r="G35" s="11">
        <f>IF(F35="","",F35-TODAY())</f>
        <v/>
      </c>
      <c r="H35" s="11" t="n"/>
      <c r="I35" s="11" t="n"/>
      <c r="J35" s="17" t="n"/>
    </row>
    <row r="36" ht="22" customHeight="1">
      <c r="B36" s="15">
        <f>IF(C36="","ECH-"&amp;TEXT(COUNTA($C$5:C36),"000"))</f>
        <v/>
      </c>
      <c r="C36" s="13" t="n"/>
      <c r="D36" s="13" t="n"/>
      <c r="E36" s="13" t="n"/>
      <c r="F36" s="27" t="n"/>
      <c r="G36" s="13">
        <f>IF(F36="","",F36-TODAY())</f>
        <v/>
      </c>
      <c r="H36" s="13" t="n"/>
      <c r="I36" s="13" t="n"/>
      <c r="J36" s="18" t="n"/>
    </row>
    <row r="37" ht="22" customHeight="1">
      <c r="B37" s="16">
        <f>IF(C37="","ECH-"&amp;TEXT(COUNTA($C$5:C37),"000"))</f>
        <v/>
      </c>
      <c r="C37" s="11" t="n"/>
      <c r="D37" s="11" t="n"/>
      <c r="E37" s="11" t="n"/>
      <c r="F37" s="26" t="n"/>
      <c r="G37" s="11">
        <f>IF(F37="","",F37-TODAY())</f>
        <v/>
      </c>
      <c r="H37" s="11" t="n"/>
      <c r="I37" s="11" t="n"/>
      <c r="J37" s="17" t="n"/>
    </row>
    <row r="38" ht="22" customHeight="1">
      <c r="B38" s="15">
        <f>IF(C38="","ECH-"&amp;TEXT(COUNTA($C$5:C38),"000"))</f>
        <v/>
      </c>
      <c r="C38" s="13" t="n"/>
      <c r="D38" s="13" t="n"/>
      <c r="E38" s="13" t="n"/>
      <c r="F38" s="27" t="n"/>
      <c r="G38" s="13">
        <f>IF(F38="","",F38-TODAY())</f>
        <v/>
      </c>
      <c r="H38" s="13" t="n"/>
      <c r="I38" s="13" t="n"/>
      <c r="J38" s="18" t="n"/>
    </row>
    <row r="39" ht="22" customHeight="1">
      <c r="B39" s="16">
        <f>IF(C39="","ECH-"&amp;TEXT(COUNTA($C$5:C39),"000"))</f>
        <v/>
      </c>
      <c r="C39" s="11" t="n"/>
      <c r="D39" s="11" t="n"/>
      <c r="E39" s="11" t="n"/>
      <c r="F39" s="26" t="n"/>
      <c r="G39" s="11">
        <f>IF(F39="","",F39-TODAY())</f>
        <v/>
      </c>
      <c r="H39" s="11" t="n"/>
      <c r="I39" s="11" t="n"/>
      <c r="J39" s="17" t="n"/>
    </row>
    <row r="40" ht="22" customHeight="1">
      <c r="B40" s="15">
        <f>IF(C40="","ECH-"&amp;TEXT(COUNTA($C$5:C40),"000"))</f>
        <v/>
      </c>
      <c r="C40" s="13" t="n"/>
      <c r="D40" s="13" t="n"/>
      <c r="E40" s="13" t="n"/>
      <c r="F40" s="27" t="n"/>
      <c r="G40" s="13">
        <f>IF(F40="","",F40-TODAY())</f>
        <v/>
      </c>
      <c r="H40" s="13" t="n"/>
      <c r="I40" s="13" t="n"/>
      <c r="J40" s="18" t="n"/>
    </row>
    <row r="41" ht="22" customHeight="1">
      <c r="B41" s="16">
        <f>IF(C41="","ECH-"&amp;TEXT(COUNTA($C$5:C41),"000"))</f>
        <v/>
      </c>
      <c r="C41" s="11" t="n"/>
      <c r="D41" s="11" t="n"/>
      <c r="E41" s="11" t="n"/>
      <c r="F41" s="26" t="n"/>
      <c r="G41" s="11">
        <f>IF(F41="","",F41-TODAY())</f>
        <v/>
      </c>
      <c r="H41" s="11" t="n"/>
      <c r="I41" s="11" t="n"/>
      <c r="J41" s="17" t="n"/>
    </row>
    <row r="42" ht="22" customHeight="1">
      <c r="B42" s="15">
        <f>IF(C42="","ECH-"&amp;TEXT(COUNTA($C$5:C42),"000"))</f>
        <v/>
      </c>
      <c r="C42" s="13" t="n"/>
      <c r="D42" s="13" t="n"/>
      <c r="E42" s="13" t="n"/>
      <c r="F42" s="27" t="n"/>
      <c r="G42" s="13">
        <f>IF(F42="","",F42-TODAY())</f>
        <v/>
      </c>
      <c r="H42" s="13" t="n"/>
      <c r="I42" s="13" t="n"/>
      <c r="J42" s="18" t="n"/>
    </row>
    <row r="43" ht="22" customHeight="1">
      <c r="B43" s="16">
        <f>IF(C43="","ECH-"&amp;TEXT(COUNTA($C$5:C43),"000"))</f>
        <v/>
      </c>
      <c r="C43" s="11" t="n"/>
      <c r="D43" s="11" t="n"/>
      <c r="E43" s="11" t="n"/>
      <c r="F43" s="26" t="n"/>
      <c r="G43" s="11">
        <f>IF(F43="","",F43-TODAY())</f>
        <v/>
      </c>
      <c r="H43" s="11" t="n"/>
      <c r="I43" s="11" t="n"/>
      <c r="J43" s="17" t="n"/>
    </row>
    <row r="44" ht="22" customHeight="1">
      <c r="B44" s="15">
        <f>IF(C44="","ECH-"&amp;TEXT(COUNTA($C$5:C44),"000"))</f>
        <v/>
      </c>
      <c r="C44" s="13" t="n"/>
      <c r="D44" s="13" t="n"/>
      <c r="E44" s="13" t="n"/>
      <c r="F44" s="27" t="n"/>
      <c r="G44" s="13">
        <f>IF(F44="","",F44-TODAY())</f>
        <v/>
      </c>
      <c r="H44" s="13" t="n"/>
      <c r="I44" s="13" t="n"/>
      <c r="J44" s="18" t="n"/>
    </row>
    <row r="45" ht="22" customHeight="1">
      <c r="B45" s="16">
        <f>IF(C45="","ECH-"&amp;TEXT(COUNTA($C$5:C45),"000"))</f>
        <v/>
      </c>
      <c r="C45" s="11" t="n"/>
      <c r="D45" s="11" t="n"/>
      <c r="E45" s="11" t="n"/>
      <c r="F45" s="26" t="n"/>
      <c r="G45" s="11">
        <f>IF(F45="","",F45-TODAY())</f>
        <v/>
      </c>
      <c r="H45" s="11" t="n"/>
      <c r="I45" s="11" t="n"/>
      <c r="J45" s="17" t="n"/>
    </row>
    <row r="46" ht="22" customHeight="1">
      <c r="B46" s="15">
        <f>IF(C46="","ECH-"&amp;TEXT(COUNTA($C$5:C46),"000"))</f>
        <v/>
      </c>
      <c r="C46" s="13" t="n"/>
      <c r="D46" s="13" t="n"/>
      <c r="E46" s="13" t="n"/>
      <c r="F46" s="27" t="n"/>
      <c r="G46" s="13">
        <f>IF(F46="","",F46-TODAY())</f>
        <v/>
      </c>
      <c r="H46" s="13" t="n"/>
      <c r="I46" s="13" t="n"/>
      <c r="J46" s="18" t="n"/>
    </row>
    <row r="47" ht="22" customHeight="1">
      <c r="B47" s="16">
        <f>IF(C47="","ECH-"&amp;TEXT(COUNTA($C$5:C47),"000"))</f>
        <v/>
      </c>
      <c r="C47" s="11" t="n"/>
      <c r="D47" s="11" t="n"/>
      <c r="E47" s="11" t="n"/>
      <c r="F47" s="26" t="n"/>
      <c r="G47" s="11">
        <f>IF(F47="","",F47-TODAY())</f>
        <v/>
      </c>
      <c r="H47" s="11" t="n"/>
      <c r="I47" s="11" t="n"/>
      <c r="J47" s="17" t="n"/>
    </row>
    <row r="48" ht="22" customHeight="1">
      <c r="B48" s="15">
        <f>IF(C48="","ECH-"&amp;TEXT(COUNTA($C$5:C48),"000"))</f>
        <v/>
      </c>
      <c r="C48" s="13" t="n"/>
      <c r="D48" s="13" t="n"/>
      <c r="E48" s="13" t="n"/>
      <c r="F48" s="27" t="n"/>
      <c r="G48" s="13">
        <f>IF(F48="","",F48-TODAY())</f>
        <v/>
      </c>
      <c r="H48" s="13" t="n"/>
      <c r="I48" s="13" t="n"/>
      <c r="J48" s="18" t="n"/>
    </row>
    <row r="49" ht="22" customHeight="1">
      <c r="B49" s="16">
        <f>IF(C49="","ECH-"&amp;TEXT(COUNTA($C$5:C49),"000"))</f>
        <v/>
      </c>
      <c r="C49" s="11" t="n"/>
      <c r="D49" s="11" t="n"/>
      <c r="E49" s="11" t="n"/>
      <c r="F49" s="26" t="n"/>
      <c r="G49" s="11">
        <f>IF(F49="","",F49-TODAY())</f>
        <v/>
      </c>
      <c r="H49" s="11" t="n"/>
      <c r="I49" s="11" t="n"/>
      <c r="J49" s="17" t="n"/>
    </row>
    <row r="50" ht="22" customHeight="1">
      <c r="B50" s="15">
        <f>IF(C50="","ECH-"&amp;TEXT(COUNTA($C$5:C50),"000"))</f>
        <v/>
      </c>
      <c r="C50" s="13" t="n"/>
      <c r="D50" s="13" t="n"/>
      <c r="E50" s="13" t="n"/>
      <c r="F50" s="27" t="n"/>
      <c r="G50" s="13">
        <f>IF(F50="","",F50-TODAY())</f>
        <v/>
      </c>
      <c r="H50" s="13" t="n"/>
      <c r="I50" s="13" t="n"/>
      <c r="J50" s="18" t="n"/>
    </row>
    <row r="51" ht="22" customHeight="1">
      <c r="B51" s="16">
        <f>IF(C51="","ECH-"&amp;TEXT(COUNTA($C$5:C51),"000"))</f>
        <v/>
      </c>
      <c r="C51" s="11" t="n"/>
      <c r="D51" s="11" t="n"/>
      <c r="E51" s="11" t="n"/>
      <c r="F51" s="26" t="n"/>
      <c r="G51" s="11">
        <f>IF(F51="","",F51-TODAY())</f>
        <v/>
      </c>
      <c r="H51" s="11" t="n"/>
      <c r="I51" s="11" t="n"/>
      <c r="J51" s="17" t="n"/>
    </row>
    <row r="52" ht="22" customHeight="1">
      <c r="B52" s="15">
        <f>IF(C52="","ECH-"&amp;TEXT(COUNTA($C$5:C52),"000"))</f>
        <v/>
      </c>
      <c r="C52" s="13" t="n"/>
      <c r="D52" s="13" t="n"/>
      <c r="E52" s="13" t="n"/>
      <c r="F52" s="27" t="n"/>
      <c r="G52" s="13">
        <f>IF(F52="","",F52-TODAY())</f>
        <v/>
      </c>
      <c r="H52" s="13" t="n"/>
      <c r="I52" s="13" t="n"/>
      <c r="J52" s="18" t="n"/>
    </row>
    <row r="53" ht="22" customHeight="1">
      <c r="B53" s="16">
        <f>IF(C53="","ECH-"&amp;TEXT(COUNTA($C$5:C53),"000"))</f>
        <v/>
      </c>
      <c r="C53" s="11" t="n"/>
      <c r="D53" s="11" t="n"/>
      <c r="E53" s="11" t="n"/>
      <c r="F53" s="26" t="n"/>
      <c r="G53" s="11">
        <f>IF(F53="","",F53-TODAY())</f>
        <v/>
      </c>
      <c r="H53" s="11" t="n"/>
      <c r="I53" s="11" t="n"/>
      <c r="J53" s="17" t="n"/>
    </row>
    <row r="54" ht="22" customHeight="1">
      <c r="B54" s="15">
        <f>IF(C54="","ECH-"&amp;TEXT(COUNTA($C$5:C54),"000"))</f>
        <v/>
      </c>
      <c r="C54" s="13" t="n"/>
      <c r="D54" s="13" t="n"/>
      <c r="E54" s="13" t="n"/>
      <c r="F54" s="27" t="n"/>
      <c r="G54" s="13">
        <f>IF(F54="","",F54-TODAY())</f>
        <v/>
      </c>
      <c r="H54" s="13" t="n"/>
      <c r="I54" s="13" t="n"/>
      <c r="J54" s="18" t="n"/>
    </row>
    <row r="55" ht="22" customHeight="1">
      <c r="B55" s="16">
        <f>IF(C55="","ECH-"&amp;TEXT(COUNTA($C$5:C55),"000"))</f>
        <v/>
      </c>
      <c r="C55" s="11" t="n"/>
      <c r="D55" s="11" t="n"/>
      <c r="E55" s="11" t="n"/>
      <c r="F55" s="26" t="n"/>
      <c r="G55" s="11">
        <f>IF(F55="","",F55-TODAY())</f>
        <v/>
      </c>
      <c r="H55" s="11" t="n"/>
      <c r="I55" s="11" t="n"/>
      <c r="J55" s="17" t="n"/>
    </row>
    <row r="56" ht="22" customHeight="1">
      <c r="B56" s="15">
        <f>IF(C56="","ECH-"&amp;TEXT(COUNTA($C$5:C56),"000"))</f>
        <v/>
      </c>
      <c r="C56" s="13" t="n"/>
      <c r="D56" s="13" t="n"/>
      <c r="E56" s="13" t="n"/>
      <c r="F56" s="27" t="n"/>
      <c r="G56" s="13">
        <f>IF(F56="","",F56-TODAY())</f>
        <v/>
      </c>
      <c r="H56" s="13" t="n"/>
      <c r="I56" s="13" t="n"/>
      <c r="J56" s="18" t="n"/>
    </row>
    <row r="57" ht="22" customHeight="1">
      <c r="B57" s="16">
        <f>IF(C57="","ECH-"&amp;TEXT(COUNTA($C$5:C57),"000"))</f>
        <v/>
      </c>
      <c r="C57" s="11" t="n"/>
      <c r="D57" s="11" t="n"/>
      <c r="E57" s="11" t="n"/>
      <c r="F57" s="26" t="n"/>
      <c r="G57" s="11">
        <f>IF(F57="","",F57-TODAY())</f>
        <v/>
      </c>
      <c r="H57" s="11" t="n"/>
      <c r="I57" s="11" t="n"/>
      <c r="J57" s="17" t="n"/>
    </row>
    <row r="58" ht="22" customHeight="1">
      <c r="B58" s="15">
        <f>IF(C58="","ECH-"&amp;TEXT(COUNTA($C$5:C58),"000"))</f>
        <v/>
      </c>
      <c r="C58" s="13" t="n"/>
      <c r="D58" s="13" t="n"/>
      <c r="E58" s="13" t="n"/>
      <c r="F58" s="27" t="n"/>
      <c r="G58" s="13">
        <f>IF(F58="","",F58-TODAY())</f>
        <v/>
      </c>
      <c r="H58" s="13" t="n"/>
      <c r="I58" s="13" t="n"/>
      <c r="J58" s="18" t="n"/>
    </row>
    <row r="59" ht="22" customHeight="1">
      <c r="B59" s="16">
        <f>IF(C59="","ECH-"&amp;TEXT(COUNTA($C$5:C59),"000"))</f>
        <v/>
      </c>
      <c r="C59" s="11" t="n"/>
      <c r="D59" s="11" t="n"/>
      <c r="E59" s="11" t="n"/>
      <c r="F59" s="26" t="n"/>
      <c r="G59" s="11">
        <f>IF(F59="","",F59-TODAY())</f>
        <v/>
      </c>
      <c r="H59" s="11" t="n"/>
      <c r="I59" s="11" t="n"/>
      <c r="J59" s="17" t="n"/>
    </row>
    <row r="60" ht="22" customHeight="1">
      <c r="B60" s="15">
        <f>IF(C60="","ECH-"&amp;TEXT(COUNTA($C$5:C60),"000"))</f>
        <v/>
      </c>
      <c r="C60" s="13" t="n"/>
      <c r="D60" s="13" t="n"/>
      <c r="E60" s="13" t="n"/>
      <c r="F60" s="27" t="n"/>
      <c r="G60" s="13">
        <f>IF(F60="","",F60-TODAY())</f>
        <v/>
      </c>
      <c r="H60" s="13" t="n"/>
      <c r="I60" s="13" t="n"/>
      <c r="J60" s="18" t="n"/>
    </row>
    <row r="61" ht="22" customHeight="1">
      <c r="B61" s="16">
        <f>IF(C61="","ECH-"&amp;TEXT(COUNTA($C$5:C61),"000"))</f>
        <v/>
      </c>
      <c r="C61" s="11" t="n"/>
      <c r="D61" s="11" t="n"/>
      <c r="E61" s="11" t="n"/>
      <c r="F61" s="26" t="n"/>
      <c r="G61" s="11">
        <f>IF(F61="","",F61-TODAY())</f>
        <v/>
      </c>
      <c r="H61" s="11" t="n"/>
      <c r="I61" s="11" t="n"/>
      <c r="J61" s="17" t="n"/>
    </row>
    <row r="62" ht="22" customHeight="1">
      <c r="B62" s="15">
        <f>IF(C62="","ECH-"&amp;TEXT(COUNTA($C$5:C62),"000"))</f>
        <v/>
      </c>
      <c r="C62" s="13" t="n"/>
      <c r="D62" s="13" t="n"/>
      <c r="E62" s="13" t="n"/>
      <c r="F62" s="27" t="n"/>
      <c r="G62" s="13">
        <f>IF(F62="","",F62-TODAY())</f>
        <v/>
      </c>
      <c r="H62" s="13" t="n"/>
      <c r="I62" s="13" t="n"/>
      <c r="J62" s="18" t="n"/>
    </row>
    <row r="63" ht="22" customHeight="1">
      <c r="B63" s="16">
        <f>IF(C63="","ECH-"&amp;TEXT(COUNTA($C$5:C63),"000"))</f>
        <v/>
      </c>
      <c r="C63" s="11" t="n"/>
      <c r="D63" s="11" t="n"/>
      <c r="E63" s="11" t="n"/>
      <c r="F63" s="26" t="n"/>
      <c r="G63" s="11">
        <f>IF(F63="","",F63-TODAY())</f>
        <v/>
      </c>
      <c r="H63" s="11" t="n"/>
      <c r="I63" s="11" t="n"/>
      <c r="J63" s="17" t="n"/>
    </row>
    <row r="64" ht="22" customHeight="1">
      <c r="B64" s="15">
        <f>IF(C64="","ECH-"&amp;TEXT(COUNTA($C$5:C64),"000"))</f>
        <v/>
      </c>
      <c r="C64" s="13" t="n"/>
      <c r="D64" s="13" t="n"/>
      <c r="E64" s="13" t="n"/>
      <c r="F64" s="27" t="n"/>
      <c r="G64" s="13">
        <f>IF(F64="","",F64-TODAY())</f>
        <v/>
      </c>
      <c r="H64" s="13" t="n"/>
      <c r="I64" s="13" t="n"/>
      <c r="J64" s="18" t="n"/>
    </row>
    <row r="65" ht="22" customHeight="1">
      <c r="B65" s="16">
        <f>IF(C65="","ECH-"&amp;TEXT(COUNTA($C$5:C65),"000"))</f>
        <v/>
      </c>
      <c r="C65" s="11" t="n"/>
      <c r="D65" s="11" t="n"/>
      <c r="E65" s="11" t="n"/>
      <c r="F65" s="26" t="n"/>
      <c r="G65" s="11">
        <f>IF(F65="","",F65-TODAY())</f>
        <v/>
      </c>
      <c r="H65" s="11" t="n"/>
      <c r="I65" s="11" t="n"/>
      <c r="J65" s="17" t="n"/>
    </row>
    <row r="66" ht="22" customHeight="1">
      <c r="B66" s="15">
        <f>IF(C66="","ECH-"&amp;TEXT(COUNTA($C$5:C66),"000"))</f>
        <v/>
      </c>
      <c r="C66" s="13" t="n"/>
      <c r="D66" s="13" t="n"/>
      <c r="E66" s="13" t="n"/>
      <c r="F66" s="27" t="n"/>
      <c r="G66" s="13">
        <f>IF(F66="","",F66-TODAY())</f>
        <v/>
      </c>
      <c r="H66" s="13" t="n"/>
      <c r="I66" s="13" t="n"/>
      <c r="J66" s="18" t="n"/>
    </row>
    <row r="67" ht="22" customHeight="1">
      <c r="B67" s="16">
        <f>IF(C67="","ECH-"&amp;TEXT(COUNTA($C$5:C67),"000"))</f>
        <v/>
      </c>
      <c r="C67" s="11" t="n"/>
      <c r="D67" s="11" t="n"/>
      <c r="E67" s="11" t="n"/>
      <c r="F67" s="26" t="n"/>
      <c r="G67" s="11">
        <f>IF(F67="","",F67-TODAY())</f>
        <v/>
      </c>
      <c r="H67" s="11" t="n"/>
      <c r="I67" s="11" t="n"/>
      <c r="J67" s="17" t="n"/>
    </row>
    <row r="68" ht="22" customHeight="1">
      <c r="B68" s="15">
        <f>IF(C68="","ECH-"&amp;TEXT(COUNTA($C$5:C68),"000"))</f>
        <v/>
      </c>
      <c r="C68" s="13" t="n"/>
      <c r="D68" s="13" t="n"/>
      <c r="E68" s="13" t="n"/>
      <c r="F68" s="27" t="n"/>
      <c r="G68" s="13">
        <f>IF(F68="","",F68-TODAY())</f>
        <v/>
      </c>
      <c r="H68" s="13" t="n"/>
      <c r="I68" s="13" t="n"/>
      <c r="J68" s="18" t="n"/>
    </row>
    <row r="69" ht="22" customHeight="1">
      <c r="B69" s="16">
        <f>IF(C69="","ECH-"&amp;TEXT(COUNTA($C$5:C69),"000"))</f>
        <v/>
      </c>
      <c r="C69" s="11" t="n"/>
      <c r="D69" s="11" t="n"/>
      <c r="E69" s="11" t="n"/>
      <c r="F69" s="26" t="n"/>
      <c r="G69" s="11">
        <f>IF(F69="","",F69-TODAY())</f>
        <v/>
      </c>
      <c r="H69" s="11" t="n"/>
      <c r="I69" s="11" t="n"/>
      <c r="J69" s="17" t="n"/>
    </row>
    <row r="70" ht="22" customHeight="1">
      <c r="B70" s="15">
        <f>IF(C70="","ECH-"&amp;TEXT(COUNTA($C$5:C70),"000"))</f>
        <v/>
      </c>
      <c r="C70" s="13" t="n"/>
      <c r="D70" s="13" t="n"/>
      <c r="E70" s="13" t="n"/>
      <c r="F70" s="27" t="n"/>
      <c r="G70" s="13">
        <f>IF(F70="","",F70-TODAY())</f>
        <v/>
      </c>
      <c r="H70" s="13" t="n"/>
      <c r="I70" s="13" t="n"/>
      <c r="J70" s="18" t="n"/>
    </row>
    <row r="71" ht="22" customHeight="1">
      <c r="B71" s="16">
        <f>IF(C71="","ECH-"&amp;TEXT(COUNTA($C$5:C71),"000"))</f>
        <v/>
      </c>
      <c r="C71" s="11" t="n"/>
      <c r="D71" s="11" t="n"/>
      <c r="E71" s="11" t="n"/>
      <c r="F71" s="26" t="n"/>
      <c r="G71" s="11">
        <f>IF(F71="","",F71-TODAY())</f>
        <v/>
      </c>
      <c r="H71" s="11" t="n"/>
      <c r="I71" s="11" t="n"/>
      <c r="J71" s="17" t="n"/>
    </row>
    <row r="72" ht="22" customHeight="1">
      <c r="B72" s="15">
        <f>IF(C72="","ECH-"&amp;TEXT(COUNTA($C$5:C72),"000"))</f>
        <v/>
      </c>
      <c r="C72" s="13" t="n"/>
      <c r="D72" s="13" t="n"/>
      <c r="E72" s="13" t="n"/>
      <c r="F72" s="27" t="n"/>
      <c r="G72" s="13">
        <f>IF(F72="","",F72-TODAY())</f>
        <v/>
      </c>
      <c r="H72" s="13" t="n"/>
      <c r="I72" s="13" t="n"/>
      <c r="J72" s="18" t="n"/>
    </row>
    <row r="73" ht="22" customHeight="1">
      <c r="B73" s="16">
        <f>IF(C73="","ECH-"&amp;TEXT(COUNTA($C$5:C73),"000"))</f>
        <v/>
      </c>
      <c r="C73" s="11" t="n"/>
      <c r="D73" s="11" t="n"/>
      <c r="E73" s="11" t="n"/>
      <c r="F73" s="26" t="n"/>
      <c r="G73" s="11">
        <f>IF(F73="","",F73-TODAY())</f>
        <v/>
      </c>
      <c r="H73" s="11" t="n"/>
      <c r="I73" s="11" t="n"/>
      <c r="J73" s="17" t="n"/>
    </row>
    <row r="74" ht="22" customHeight="1">
      <c r="B74" s="15">
        <f>IF(C74="","ECH-"&amp;TEXT(COUNTA($C$5:C74),"000"))</f>
        <v/>
      </c>
      <c r="C74" s="13" t="n"/>
      <c r="D74" s="13" t="n"/>
      <c r="E74" s="13" t="n"/>
      <c r="F74" s="27" t="n"/>
      <c r="G74" s="13">
        <f>IF(F74="","",F74-TODAY())</f>
        <v/>
      </c>
      <c r="H74" s="13" t="n"/>
      <c r="I74" s="13" t="n"/>
      <c r="J74" s="18" t="n"/>
    </row>
    <row r="75" ht="22" customHeight="1">
      <c r="B75" s="16">
        <f>IF(C75="","ECH-"&amp;TEXT(COUNTA($C$5:C75),"000"))</f>
        <v/>
      </c>
      <c r="C75" s="11" t="n"/>
      <c r="D75" s="11" t="n"/>
      <c r="E75" s="11" t="n"/>
      <c r="F75" s="26" t="n"/>
      <c r="G75" s="11">
        <f>IF(F75="","",F75-TODAY())</f>
        <v/>
      </c>
      <c r="H75" s="11" t="n"/>
      <c r="I75" s="11" t="n"/>
      <c r="J75" s="17" t="n"/>
    </row>
    <row r="76" ht="22" customHeight="1">
      <c r="B76" s="15">
        <f>IF(C76="","ECH-"&amp;TEXT(COUNTA($C$5:C76),"000"))</f>
        <v/>
      </c>
      <c r="C76" s="13" t="n"/>
      <c r="D76" s="13" t="n"/>
      <c r="E76" s="13" t="n"/>
      <c r="F76" s="27" t="n"/>
      <c r="G76" s="13">
        <f>IF(F76="","",F76-TODAY())</f>
        <v/>
      </c>
      <c r="H76" s="13" t="n"/>
      <c r="I76" s="13" t="n"/>
      <c r="J76" s="18" t="n"/>
    </row>
    <row r="77" ht="22" customHeight="1">
      <c r="B77" s="16">
        <f>IF(C77="","ECH-"&amp;TEXT(COUNTA($C$5:C77),"000"))</f>
        <v/>
      </c>
      <c r="C77" s="11" t="n"/>
      <c r="D77" s="11" t="n"/>
      <c r="E77" s="11" t="n"/>
      <c r="F77" s="26" t="n"/>
      <c r="G77" s="11">
        <f>IF(F77="","",F77-TODAY())</f>
        <v/>
      </c>
      <c r="H77" s="11" t="n"/>
      <c r="I77" s="11" t="n"/>
      <c r="J77" s="17" t="n"/>
    </row>
    <row r="78" ht="22" customHeight="1">
      <c r="B78" s="15">
        <f>IF(C78="","ECH-"&amp;TEXT(COUNTA($C$5:C78),"000"))</f>
        <v/>
      </c>
      <c r="C78" s="13" t="n"/>
      <c r="D78" s="13" t="n"/>
      <c r="E78" s="13" t="n"/>
      <c r="F78" s="27" t="n"/>
      <c r="G78" s="13">
        <f>IF(F78="","",F78-TODAY())</f>
        <v/>
      </c>
      <c r="H78" s="13" t="n"/>
      <c r="I78" s="13" t="n"/>
      <c r="J78" s="18" t="n"/>
    </row>
    <row r="79" ht="22" customHeight="1">
      <c r="B79" s="16">
        <f>IF(C79="","ECH-"&amp;TEXT(COUNTA($C$5:C79),"000"))</f>
        <v/>
      </c>
      <c r="C79" s="11" t="n"/>
      <c r="D79" s="11" t="n"/>
      <c r="E79" s="11" t="n"/>
      <c r="F79" s="26" t="n"/>
      <c r="G79" s="11">
        <f>IF(F79="","",F79-TODAY())</f>
        <v/>
      </c>
      <c r="H79" s="11" t="n"/>
      <c r="I79" s="11" t="n"/>
      <c r="J79" s="17" t="n"/>
    </row>
    <row r="80" ht="22" customHeight="1">
      <c r="B80" s="15">
        <f>IF(C80="","ECH-"&amp;TEXT(COUNTA($C$5:C80),"000"))</f>
        <v/>
      </c>
      <c r="C80" s="13" t="n"/>
      <c r="D80" s="13" t="n"/>
      <c r="E80" s="13" t="n"/>
      <c r="F80" s="27" t="n"/>
      <c r="G80" s="13">
        <f>IF(F80="","",F80-TODAY())</f>
        <v/>
      </c>
      <c r="H80" s="13" t="n"/>
      <c r="I80" s="13" t="n"/>
      <c r="J80" s="18" t="n"/>
    </row>
    <row r="81" ht="22" customHeight="1">
      <c r="B81" s="16">
        <f>IF(C81="","ECH-"&amp;TEXT(COUNTA($C$5:C81),"000"))</f>
        <v/>
      </c>
      <c r="C81" s="11" t="n"/>
      <c r="D81" s="11" t="n"/>
      <c r="E81" s="11" t="n"/>
      <c r="F81" s="26" t="n"/>
      <c r="G81" s="11">
        <f>IF(F81="","",F81-TODAY())</f>
        <v/>
      </c>
      <c r="H81" s="11" t="n"/>
      <c r="I81" s="11" t="n"/>
      <c r="J81" s="17" t="n"/>
    </row>
    <row r="82" ht="22" customHeight="1">
      <c r="B82" s="15">
        <f>IF(C82="","ECH-"&amp;TEXT(COUNTA($C$5:C82),"000"))</f>
        <v/>
      </c>
      <c r="C82" s="13" t="n"/>
      <c r="D82" s="13" t="n"/>
      <c r="E82" s="13" t="n"/>
      <c r="F82" s="27" t="n"/>
      <c r="G82" s="13">
        <f>IF(F82="","",F82-TODAY())</f>
        <v/>
      </c>
      <c r="H82" s="13" t="n"/>
      <c r="I82" s="13" t="n"/>
      <c r="J82" s="18" t="n"/>
    </row>
    <row r="83" ht="22" customHeight="1">
      <c r="B83" s="16">
        <f>IF(C83="","ECH-"&amp;TEXT(COUNTA($C$5:C83),"000"))</f>
        <v/>
      </c>
      <c r="C83" s="11" t="n"/>
      <c r="D83" s="11" t="n"/>
      <c r="E83" s="11" t="n"/>
      <c r="F83" s="26" t="n"/>
      <c r="G83" s="11">
        <f>IF(F83="","",F83-TODAY())</f>
        <v/>
      </c>
      <c r="H83" s="11" t="n"/>
      <c r="I83" s="11" t="n"/>
      <c r="J83" s="17" t="n"/>
    </row>
    <row r="84" ht="22" customHeight="1">
      <c r="B84" s="15">
        <f>IF(C84="","ECH-"&amp;TEXT(COUNTA($C$5:C84),"000"))</f>
        <v/>
      </c>
      <c r="C84" s="13" t="n"/>
      <c r="D84" s="13" t="n"/>
      <c r="E84" s="13" t="n"/>
      <c r="F84" s="27" t="n"/>
      <c r="G84" s="13">
        <f>IF(F84="","",F84-TODAY())</f>
        <v/>
      </c>
      <c r="H84" s="13" t="n"/>
      <c r="I84" s="13" t="n"/>
      <c r="J84" s="18" t="n"/>
    </row>
    <row r="85" ht="22" customHeight="1">
      <c r="B85" s="16">
        <f>IF(C85="","ECH-"&amp;TEXT(COUNTA($C$5:C85),"000"))</f>
        <v/>
      </c>
      <c r="C85" s="11" t="n"/>
      <c r="D85" s="11" t="n"/>
      <c r="E85" s="11" t="n"/>
      <c r="F85" s="26" t="n"/>
      <c r="G85" s="11">
        <f>IF(F85="","",F85-TODAY())</f>
        <v/>
      </c>
      <c r="H85" s="11" t="n"/>
      <c r="I85" s="11" t="n"/>
      <c r="J85" s="17" t="n"/>
    </row>
    <row r="86" ht="22" customHeight="1">
      <c r="B86" s="15">
        <f>IF(C86="","ECH-"&amp;TEXT(COUNTA($C$5:C86),"000"))</f>
        <v/>
      </c>
      <c r="C86" s="13" t="n"/>
      <c r="D86" s="13" t="n"/>
      <c r="E86" s="13" t="n"/>
      <c r="F86" s="27" t="n"/>
      <c r="G86" s="13">
        <f>IF(F86="","",F86-TODAY())</f>
        <v/>
      </c>
      <c r="H86" s="13" t="n"/>
      <c r="I86" s="13" t="n"/>
      <c r="J86" s="18" t="n"/>
    </row>
    <row r="87" ht="22" customHeight="1">
      <c r="B87" s="16">
        <f>IF(C87="","ECH-"&amp;TEXT(COUNTA($C$5:C87),"000"))</f>
        <v/>
      </c>
      <c r="C87" s="11" t="n"/>
      <c r="D87" s="11" t="n"/>
      <c r="E87" s="11" t="n"/>
      <c r="F87" s="26" t="n"/>
      <c r="G87" s="11">
        <f>IF(F87="","",F87-TODAY())</f>
        <v/>
      </c>
      <c r="H87" s="11" t="n"/>
      <c r="I87" s="11" t="n"/>
      <c r="J87" s="17" t="n"/>
    </row>
    <row r="88" ht="22" customHeight="1">
      <c r="B88" s="15">
        <f>IF(C88="","ECH-"&amp;TEXT(COUNTA($C$5:C88),"000"))</f>
        <v/>
      </c>
      <c r="C88" s="13" t="n"/>
      <c r="D88" s="13" t="n"/>
      <c r="E88" s="13" t="n"/>
      <c r="F88" s="27" t="n"/>
      <c r="G88" s="13">
        <f>IF(F88="","",F88-TODAY())</f>
        <v/>
      </c>
      <c r="H88" s="13" t="n"/>
      <c r="I88" s="13" t="n"/>
      <c r="J88" s="18" t="n"/>
    </row>
    <row r="89" ht="22" customHeight="1">
      <c r="B89" s="16">
        <f>IF(C89="","ECH-"&amp;TEXT(COUNTA($C$5:C89),"000"))</f>
        <v/>
      </c>
      <c r="C89" s="11" t="n"/>
      <c r="D89" s="11" t="n"/>
      <c r="E89" s="11" t="n"/>
      <c r="F89" s="26" t="n"/>
      <c r="G89" s="11">
        <f>IF(F89="","",F89-TODAY())</f>
        <v/>
      </c>
      <c r="H89" s="11" t="n"/>
      <c r="I89" s="11" t="n"/>
      <c r="J89" s="17" t="n"/>
    </row>
    <row r="90" ht="22" customHeight="1">
      <c r="B90" s="15">
        <f>IF(C90="","ECH-"&amp;TEXT(COUNTA($C$5:C90),"000"))</f>
        <v/>
      </c>
      <c r="C90" s="13" t="n"/>
      <c r="D90" s="13" t="n"/>
      <c r="E90" s="13" t="n"/>
      <c r="F90" s="27" t="n"/>
      <c r="G90" s="13">
        <f>IF(F90="","",F90-TODAY())</f>
        <v/>
      </c>
      <c r="H90" s="13" t="n"/>
      <c r="I90" s="13" t="n"/>
      <c r="J90" s="18" t="n"/>
    </row>
    <row r="91" ht="22" customHeight="1">
      <c r="B91" s="16">
        <f>IF(C91="","ECH-"&amp;TEXT(COUNTA($C$5:C91),"000"))</f>
        <v/>
      </c>
      <c r="C91" s="11" t="n"/>
      <c r="D91" s="11" t="n"/>
      <c r="E91" s="11" t="n"/>
      <c r="F91" s="26" t="n"/>
      <c r="G91" s="11">
        <f>IF(F91="","",F91-TODAY())</f>
        <v/>
      </c>
      <c r="H91" s="11" t="n"/>
      <c r="I91" s="11" t="n"/>
      <c r="J91" s="17" t="n"/>
    </row>
    <row r="92" ht="22" customHeight="1">
      <c r="B92" s="15">
        <f>IF(C92="","ECH-"&amp;TEXT(COUNTA($C$5:C92),"000"))</f>
        <v/>
      </c>
      <c r="C92" s="13" t="n"/>
      <c r="D92" s="13" t="n"/>
      <c r="E92" s="13" t="n"/>
      <c r="F92" s="27" t="n"/>
      <c r="G92" s="13">
        <f>IF(F92="","",F92-TODAY())</f>
        <v/>
      </c>
      <c r="H92" s="13" t="n"/>
      <c r="I92" s="13" t="n"/>
      <c r="J92" s="18" t="n"/>
    </row>
    <row r="93" ht="22" customHeight="1">
      <c r="B93" s="16">
        <f>IF(C93="","ECH-"&amp;TEXT(COUNTA($C$5:C93),"000"))</f>
        <v/>
      </c>
      <c r="C93" s="11" t="n"/>
      <c r="D93" s="11" t="n"/>
      <c r="E93" s="11" t="n"/>
      <c r="F93" s="26" t="n"/>
      <c r="G93" s="11">
        <f>IF(F93="","",F93-TODAY())</f>
        <v/>
      </c>
      <c r="H93" s="11" t="n"/>
      <c r="I93" s="11" t="n"/>
      <c r="J93" s="17" t="n"/>
    </row>
    <row r="94" ht="22" customHeight="1">
      <c r="B94" s="15">
        <f>IF(C94="","ECH-"&amp;TEXT(COUNTA($C$5:C94),"000"))</f>
        <v/>
      </c>
      <c r="C94" s="13" t="n"/>
      <c r="D94" s="13" t="n"/>
      <c r="E94" s="13" t="n"/>
      <c r="F94" s="27" t="n"/>
      <c r="G94" s="13">
        <f>IF(F94="","",F94-TODAY())</f>
        <v/>
      </c>
      <c r="H94" s="13" t="n"/>
      <c r="I94" s="13" t="n"/>
      <c r="J94" s="18" t="n"/>
    </row>
    <row r="95" ht="22" customHeight="1">
      <c r="B95" s="16">
        <f>IF(C95="","ECH-"&amp;TEXT(COUNTA($C$5:C95),"000"))</f>
        <v/>
      </c>
      <c r="C95" s="11" t="n"/>
      <c r="D95" s="11" t="n"/>
      <c r="E95" s="11" t="n"/>
      <c r="F95" s="26" t="n"/>
      <c r="G95" s="11">
        <f>IF(F95="","",F95-TODAY())</f>
        <v/>
      </c>
      <c r="H95" s="11" t="n"/>
      <c r="I95" s="11" t="n"/>
      <c r="J95" s="17" t="n"/>
    </row>
    <row r="96" ht="22" customHeight="1">
      <c r="B96" s="15">
        <f>IF(C96="","ECH-"&amp;TEXT(COUNTA($C$5:C96),"000"))</f>
        <v/>
      </c>
      <c r="C96" s="13" t="n"/>
      <c r="D96" s="13" t="n"/>
      <c r="E96" s="13" t="n"/>
      <c r="F96" s="27" t="n"/>
      <c r="G96" s="13">
        <f>IF(F96="","",F96-TODAY())</f>
        <v/>
      </c>
      <c r="H96" s="13" t="n"/>
      <c r="I96" s="13" t="n"/>
      <c r="J96" s="18" t="n"/>
    </row>
    <row r="97" ht="22" customHeight="1">
      <c r="B97" s="16">
        <f>IF(C97="","ECH-"&amp;TEXT(COUNTA($C$5:C97),"000"))</f>
        <v/>
      </c>
      <c r="C97" s="11" t="n"/>
      <c r="D97" s="11" t="n"/>
      <c r="E97" s="11" t="n"/>
      <c r="F97" s="26" t="n"/>
      <c r="G97" s="11">
        <f>IF(F97="","",F97-TODAY())</f>
        <v/>
      </c>
      <c r="H97" s="11" t="n"/>
      <c r="I97" s="11" t="n"/>
      <c r="J97" s="17" t="n"/>
    </row>
    <row r="98" ht="22" customHeight="1">
      <c r="B98" s="15">
        <f>IF(C98="","ECH-"&amp;TEXT(COUNTA($C$5:C98),"000"))</f>
        <v/>
      </c>
      <c r="C98" s="13" t="n"/>
      <c r="D98" s="13" t="n"/>
      <c r="E98" s="13" t="n"/>
      <c r="F98" s="27" t="n"/>
      <c r="G98" s="13">
        <f>IF(F98="","",F98-TODAY())</f>
        <v/>
      </c>
      <c r="H98" s="13" t="n"/>
      <c r="I98" s="13" t="n"/>
      <c r="J98" s="18" t="n"/>
    </row>
    <row r="99" ht="22" customHeight="1">
      <c r="B99" s="16">
        <f>IF(C99="","ECH-"&amp;TEXT(COUNTA($C$5:C99),"000"))</f>
        <v/>
      </c>
      <c r="C99" s="11" t="n"/>
      <c r="D99" s="11" t="n"/>
      <c r="E99" s="11" t="n"/>
      <c r="F99" s="26" t="n"/>
      <c r="G99" s="11">
        <f>IF(F99="","",F99-TODAY())</f>
        <v/>
      </c>
      <c r="H99" s="11" t="n"/>
      <c r="I99" s="11" t="n"/>
      <c r="J99" s="17" t="n"/>
    </row>
    <row r="100" ht="22" customHeight="1">
      <c r="B100" s="15">
        <f>IF(C100="","ECH-"&amp;TEXT(COUNTA($C$5:C100),"000"))</f>
        <v/>
      </c>
      <c r="C100" s="13" t="n"/>
      <c r="D100" s="13" t="n"/>
      <c r="E100" s="13" t="n"/>
      <c r="F100" s="27" t="n"/>
      <c r="G100" s="13">
        <f>IF(F100="","",F100-TODAY())</f>
        <v/>
      </c>
      <c r="H100" s="13" t="n"/>
      <c r="I100" s="13" t="n"/>
      <c r="J100" s="18" t="n"/>
    </row>
    <row r="101" ht="22" customHeight="1">
      <c r="B101" s="16">
        <f>IF(C101="","ECH-"&amp;TEXT(COUNTA($C$5:C101),"000"))</f>
        <v/>
      </c>
      <c r="C101" s="11" t="n"/>
      <c r="D101" s="11" t="n"/>
      <c r="E101" s="11" t="n"/>
      <c r="F101" s="26" t="n"/>
      <c r="G101" s="11">
        <f>IF(F101="","",F101-TODAY())</f>
        <v/>
      </c>
      <c r="H101" s="11" t="n"/>
      <c r="I101" s="11" t="n"/>
      <c r="J101" s="17" t="n"/>
    </row>
    <row r="102" ht="22" customHeight="1">
      <c r="B102" s="15">
        <f>IF(C102="","ECH-"&amp;TEXT(COUNTA($C$5:C102),"000"))</f>
        <v/>
      </c>
      <c r="C102" s="13" t="n"/>
      <c r="D102" s="13" t="n"/>
      <c r="E102" s="13" t="n"/>
      <c r="F102" s="27" t="n"/>
      <c r="G102" s="13">
        <f>IF(F102="","",F102-TODAY())</f>
        <v/>
      </c>
      <c r="H102" s="13" t="n"/>
      <c r="I102" s="13" t="n"/>
      <c r="J102" s="18" t="n"/>
    </row>
    <row r="103" ht="22" customHeight="1">
      <c r="B103" s="16">
        <f>IF(C103="","ECH-"&amp;TEXT(COUNTA($C$5:C103),"000"))</f>
        <v/>
      </c>
      <c r="C103" s="11" t="n"/>
      <c r="D103" s="11" t="n"/>
      <c r="E103" s="11" t="n"/>
      <c r="F103" s="26" t="n"/>
      <c r="G103" s="11">
        <f>IF(F103="","",F103-TODAY())</f>
        <v/>
      </c>
      <c r="H103" s="11" t="n"/>
      <c r="I103" s="11" t="n"/>
      <c r="J103" s="17" t="n"/>
    </row>
    <row r="104" ht="22" customHeight="1">
      <c r="B104" s="15">
        <f>IF(C104="","ECH-"&amp;TEXT(COUNTA($C$5:C104),"000"))</f>
        <v/>
      </c>
      <c r="C104" s="13" t="n"/>
      <c r="D104" s="13" t="n"/>
      <c r="E104" s="13" t="n"/>
      <c r="F104" s="27" t="n"/>
      <c r="G104" s="13">
        <f>IF(F104="","",F104-TODAY())</f>
        <v/>
      </c>
      <c r="H104" s="13" t="n"/>
      <c r="I104" s="13" t="n"/>
      <c r="J104" s="18" t="n"/>
    </row>
    <row r="105" ht="22" customHeight="1">
      <c r="B105" s="16">
        <f>IF(C105="","ECH-"&amp;TEXT(COUNTA($C$5:C105),"000"))</f>
        <v/>
      </c>
      <c r="C105" s="11" t="n"/>
      <c r="D105" s="11" t="n"/>
      <c r="E105" s="11" t="n"/>
      <c r="F105" s="26" t="n"/>
      <c r="G105" s="11">
        <f>IF(F105="","",F105-TODAY())</f>
        <v/>
      </c>
      <c r="H105" s="11" t="n"/>
      <c r="I105" s="11" t="n"/>
      <c r="J105" s="17" t="n"/>
    </row>
    <row r="106" ht="22" customHeight="1">
      <c r="B106" s="15">
        <f>IF(C106="","ECH-"&amp;TEXT(COUNTA($C$5:C106),"000"))</f>
        <v/>
      </c>
      <c r="C106" s="13" t="n"/>
      <c r="D106" s="13" t="n"/>
      <c r="E106" s="13" t="n"/>
      <c r="F106" s="27" t="n"/>
      <c r="G106" s="13">
        <f>IF(F106="","",F106-TODAY())</f>
        <v/>
      </c>
      <c r="H106" s="13" t="n"/>
      <c r="I106" s="13" t="n"/>
      <c r="J106" s="18" t="n"/>
    </row>
    <row r="107" ht="22" customHeight="1">
      <c r="B107" s="16">
        <f>IF(C107="","ECH-"&amp;TEXT(COUNTA($C$5:C107),"000"))</f>
        <v/>
      </c>
      <c r="C107" s="11" t="n"/>
      <c r="D107" s="11" t="n"/>
      <c r="E107" s="11" t="n"/>
      <c r="F107" s="26" t="n"/>
      <c r="G107" s="11">
        <f>IF(F107="","",F107-TODAY())</f>
        <v/>
      </c>
      <c r="H107" s="11" t="n"/>
      <c r="I107" s="11" t="n"/>
      <c r="J107" s="17" t="n"/>
    </row>
    <row r="108" ht="22" customHeight="1">
      <c r="B108" s="15">
        <f>IF(C108="","ECH-"&amp;TEXT(COUNTA($C$5:C108),"000"))</f>
        <v/>
      </c>
      <c r="C108" s="13" t="n"/>
      <c r="D108" s="13" t="n"/>
      <c r="E108" s="13" t="n"/>
      <c r="F108" s="27" t="n"/>
      <c r="G108" s="13">
        <f>IF(F108="","",F108-TODAY())</f>
        <v/>
      </c>
      <c r="H108" s="13" t="n"/>
      <c r="I108" s="13" t="n"/>
      <c r="J108" s="18" t="n"/>
    </row>
    <row r="109" ht="22" customHeight="1">
      <c r="B109" s="16">
        <f>IF(C109="","ECH-"&amp;TEXT(COUNTA($C$5:C109),"000"))</f>
        <v/>
      </c>
      <c r="C109" s="11" t="n"/>
      <c r="D109" s="11" t="n"/>
      <c r="E109" s="11" t="n"/>
      <c r="F109" s="26" t="n"/>
      <c r="G109" s="11">
        <f>IF(F109="","",F109-TODAY())</f>
        <v/>
      </c>
      <c r="H109" s="11" t="n"/>
      <c r="I109" s="11" t="n"/>
      <c r="J109" s="17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Echeances total</t>
        </is>
      </c>
      <c r="D112" s="3" t="inlineStr">
        <is>
          <t>A venir &lt; 30j</t>
        </is>
      </c>
      <c r="F112" s="3" t="inlineStr">
        <is>
          <t>En retard</t>
        </is>
      </c>
    </row>
    <row r="113">
      <c r="B113" s="4">
        <f>COUNTIF(B5:B104,"&lt;&gt;")</f>
        <v/>
      </c>
      <c r="D113" s="4">
        <f>COUNTIF(G5:G104,"&lt;"&amp;30)-COUNTIF(G5:G104,"&lt;"&amp;0)</f>
        <v/>
      </c>
      <c r="F113" s="4">
        <f>COUNTIF(G5:G104,"&lt;"&amp;0)</f>
        <v/>
      </c>
    </row>
  </sheetData>
  <mergeCells count="3">
    <mergeCell ref="B3:J3"/>
    <mergeCell ref="B2:J2"/>
    <mergeCell ref="B111:J111"/>
  </mergeCells>
  <conditionalFormatting sqref="I5:I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'_Lists'!$J$2:$J$8</formula1>
    </dataValidation>
    <dataValidation sqref="I5:I109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8" customWidth="1" min="5" max="5"/>
    <col width="24" customWidth="1" min="6" max="6"/>
    <col width="26" customWidth="1" min="7" max="7"/>
    <col width="22" customWidth="1" min="8" max="8"/>
    <col width="22" customWidth="1" min="9" max="9"/>
    <col width="22" customWidth="1" min="10" max="10"/>
  </cols>
  <sheetData>
    <row r="1" ht="15" customHeight="1"/>
    <row r="2" ht="32" customHeight="1">
      <c r="B2" s="1" t="inlineStr">
        <is>
          <t>INDICATEURS DE CONFORMITÉ — Mensuel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Mois</t>
        </is>
      </c>
      <c r="D4" s="10" t="inlineStr">
        <is>
          <t>Annee</t>
        </is>
      </c>
      <c r="E4" s="10" t="inlineStr">
        <is>
          <t>Taux Conformite Contrats (%)</t>
        </is>
      </c>
      <c r="F4" s="10" t="inlineStr">
        <is>
          <t>Taux Conformite Decl. (%)</t>
        </is>
      </c>
      <c r="G4" s="10" t="inlineStr">
        <is>
          <t>Taux Respect Delais (%)</t>
        </is>
      </c>
      <c r="H4" s="10" t="inlineStr">
        <is>
          <t>Nb Non-Conformites</t>
        </is>
      </c>
      <c r="I4" s="10" t="inlineStr">
        <is>
          <t>Nb Litiges Ouverts</t>
        </is>
      </c>
      <c r="J4" s="10" t="inlineStr">
        <is>
          <t>Cout Penalites (FCFA)</t>
        </is>
      </c>
    </row>
    <row r="5" ht="22" customHeight="1">
      <c r="B5" s="11" t="inlineStr">
        <is>
          <t>IC-001</t>
        </is>
      </c>
      <c r="C5" s="11" t="inlineStr">
        <is>
          <t>Janvier</t>
        </is>
      </c>
      <c r="D5" s="11" t="inlineStr">
        <is>
          <t>2025</t>
        </is>
      </c>
      <c r="E5" s="28" t="n">
        <v>96</v>
      </c>
      <c r="F5" s="28" t="n">
        <v>100</v>
      </c>
      <c r="G5" s="28" t="n">
        <v>100</v>
      </c>
      <c r="H5" s="22" t="n">
        <v>0</v>
      </c>
      <c r="I5" s="22" t="n">
        <v>1</v>
      </c>
      <c r="J5" s="17" t="n">
        <v>0</v>
      </c>
    </row>
    <row r="6" ht="22" customHeight="1">
      <c r="B6" s="13" t="inlineStr">
        <is>
          <t>IC-002</t>
        </is>
      </c>
      <c r="C6" s="13" t="inlineStr">
        <is>
          <t>Fevrier</t>
        </is>
      </c>
      <c r="D6" s="13" t="inlineStr">
        <is>
          <t>2025</t>
        </is>
      </c>
      <c r="E6" s="29" t="n">
        <v>96</v>
      </c>
      <c r="F6" s="29" t="n">
        <v>92</v>
      </c>
      <c r="G6" s="29" t="n">
        <v>92</v>
      </c>
      <c r="H6" s="24" t="n">
        <v>2</v>
      </c>
      <c r="I6" s="24" t="n">
        <v>1</v>
      </c>
      <c r="J6" s="18" t="n">
        <v>45000</v>
      </c>
    </row>
    <row r="7" ht="22" customHeight="1">
      <c r="B7" s="11" t="inlineStr">
        <is>
          <t>IC-003</t>
        </is>
      </c>
      <c r="C7" s="11" t="inlineStr">
        <is>
          <t>Mars</t>
        </is>
      </c>
      <c r="D7" s="11" t="inlineStr">
        <is>
          <t>2025</t>
        </is>
      </c>
      <c r="E7" s="28" t="n">
        <v>98</v>
      </c>
      <c r="F7" s="28" t="n">
        <v>100</v>
      </c>
      <c r="G7" s="28" t="n">
        <v>96</v>
      </c>
      <c r="H7" s="22" t="n">
        <v>1</v>
      </c>
      <c r="I7" s="22" t="n">
        <v>2</v>
      </c>
      <c r="J7" s="17" t="n">
        <v>0</v>
      </c>
    </row>
    <row r="8" ht="22" customHeight="1">
      <c r="B8" s="13" t="inlineStr">
        <is>
          <t>IC-004</t>
        </is>
      </c>
      <c r="C8" s="13" t="inlineStr">
        <is>
          <t>Avril</t>
        </is>
      </c>
      <c r="D8" s="13" t="inlineStr">
        <is>
          <t>2025</t>
        </is>
      </c>
      <c r="E8" s="29" t="n">
        <v>94</v>
      </c>
      <c r="F8" s="29" t="n">
        <v>100</v>
      </c>
      <c r="G8" s="29" t="n">
        <v>100</v>
      </c>
      <c r="H8" s="24" t="n">
        <v>2</v>
      </c>
      <c r="I8" s="24" t="n">
        <v>1</v>
      </c>
      <c r="J8" s="18" t="n">
        <v>0</v>
      </c>
    </row>
    <row r="9" ht="22" customHeight="1">
      <c r="B9" s="11" t="inlineStr">
        <is>
          <t>IC-005</t>
        </is>
      </c>
      <c r="C9" s="11" t="inlineStr">
        <is>
          <t>Mai</t>
        </is>
      </c>
      <c r="D9" s="11" t="inlineStr">
        <is>
          <t>2025</t>
        </is>
      </c>
      <c r="E9" s="28" t="n">
        <v>92</v>
      </c>
      <c r="F9" s="28" t="n">
        <v>92</v>
      </c>
      <c r="G9" s="28" t="n">
        <v>88</v>
      </c>
      <c r="H9" s="22" t="n">
        <v>3</v>
      </c>
      <c r="I9" s="22" t="n">
        <v>3</v>
      </c>
      <c r="J9" s="17" t="n">
        <v>45000</v>
      </c>
    </row>
    <row r="10" ht="22" customHeight="1">
      <c r="B10" s="15">
        <f>IF(C10="","IC-"&amp;TEXT(COUNTA($C$5:C10),"000"))</f>
        <v/>
      </c>
      <c r="C10" s="13" t="n"/>
      <c r="D10" s="13" t="n"/>
      <c r="E10" s="29" t="n"/>
      <c r="F10" s="29" t="n"/>
      <c r="G10" s="29" t="n"/>
      <c r="H10" s="24" t="n"/>
      <c r="I10" s="24" t="n"/>
      <c r="J10" s="18" t="n"/>
    </row>
    <row r="11" ht="22" customHeight="1">
      <c r="B11" s="16">
        <f>IF(C11="","IC-"&amp;TEXT(COUNTA($C$5:C11),"000"))</f>
        <v/>
      </c>
      <c r="C11" s="11" t="n"/>
      <c r="D11" s="11" t="n"/>
      <c r="E11" s="28" t="n"/>
      <c r="F11" s="28" t="n"/>
      <c r="G11" s="28" t="n"/>
      <c r="H11" s="22" t="n"/>
      <c r="I11" s="22" t="n"/>
      <c r="J11" s="17" t="n"/>
    </row>
    <row r="12" ht="22" customHeight="1">
      <c r="B12" s="15">
        <f>IF(C12="","IC-"&amp;TEXT(COUNTA($C$5:C12),"000"))</f>
        <v/>
      </c>
      <c r="C12" s="13" t="n"/>
      <c r="D12" s="13" t="n"/>
      <c r="E12" s="29" t="n"/>
      <c r="F12" s="29" t="n"/>
      <c r="G12" s="29" t="n"/>
      <c r="H12" s="24" t="n"/>
      <c r="I12" s="24" t="n"/>
      <c r="J12" s="18" t="n"/>
    </row>
    <row r="13" ht="22" customHeight="1">
      <c r="B13" s="16">
        <f>IF(C13="","IC-"&amp;TEXT(COUNTA($C$5:C13),"000"))</f>
        <v/>
      </c>
      <c r="C13" s="11" t="n"/>
      <c r="D13" s="11" t="n"/>
      <c r="E13" s="28" t="n"/>
      <c r="F13" s="28" t="n"/>
      <c r="G13" s="28" t="n"/>
      <c r="H13" s="22" t="n"/>
      <c r="I13" s="22" t="n"/>
      <c r="J13" s="17" t="n"/>
    </row>
    <row r="14" ht="22" customHeight="1">
      <c r="B14" s="15">
        <f>IF(C14="","IC-"&amp;TEXT(COUNTA($C$5:C14),"000"))</f>
        <v/>
      </c>
      <c r="C14" s="13" t="n"/>
      <c r="D14" s="13" t="n"/>
      <c r="E14" s="29" t="n"/>
      <c r="F14" s="29" t="n"/>
      <c r="G14" s="29" t="n"/>
      <c r="H14" s="24" t="n"/>
      <c r="I14" s="24" t="n"/>
      <c r="J14" s="18" t="n"/>
    </row>
    <row r="15" ht="22" customHeight="1">
      <c r="B15" s="16">
        <f>IF(C15="","IC-"&amp;TEXT(COUNTA($C$5:C15),"000"))</f>
        <v/>
      </c>
      <c r="C15" s="11" t="n"/>
      <c r="D15" s="11" t="n"/>
      <c r="E15" s="28" t="n"/>
      <c r="F15" s="28" t="n"/>
      <c r="G15" s="28" t="n"/>
      <c r="H15" s="22" t="n"/>
      <c r="I15" s="22" t="n"/>
      <c r="J15" s="17" t="n"/>
    </row>
    <row r="16" ht="22" customHeight="1">
      <c r="B16" s="15">
        <f>IF(C16="","IC-"&amp;TEXT(COUNTA($C$5:C16),"000"))</f>
        <v/>
      </c>
      <c r="C16" s="13" t="n"/>
      <c r="D16" s="13" t="n"/>
      <c r="E16" s="29" t="n"/>
      <c r="F16" s="29" t="n"/>
      <c r="G16" s="29" t="n"/>
      <c r="H16" s="24" t="n"/>
      <c r="I16" s="24" t="n"/>
      <c r="J16" s="18" t="n"/>
    </row>
    <row r="17" ht="22" customHeight="1">
      <c r="B17" s="16">
        <f>IF(C17="","IC-"&amp;TEXT(COUNTA($C$5:C17),"000"))</f>
        <v/>
      </c>
      <c r="C17" s="11" t="n"/>
      <c r="D17" s="11" t="n"/>
      <c r="E17" s="28" t="n"/>
      <c r="F17" s="28" t="n"/>
      <c r="G17" s="28" t="n"/>
      <c r="H17" s="22" t="n"/>
      <c r="I17" s="22" t="n"/>
      <c r="J17" s="17" t="n"/>
    </row>
    <row r="18" ht="22" customHeight="1">
      <c r="B18" s="15">
        <f>IF(C18="","IC-"&amp;TEXT(COUNTA($C$5:C18),"000"))</f>
        <v/>
      </c>
      <c r="C18" s="13" t="n"/>
      <c r="D18" s="13" t="n"/>
      <c r="E18" s="29" t="n"/>
      <c r="F18" s="29" t="n"/>
      <c r="G18" s="29" t="n"/>
      <c r="H18" s="24" t="n"/>
      <c r="I18" s="24" t="n"/>
      <c r="J18" s="18" t="n"/>
    </row>
    <row r="19" ht="22" customHeight="1">
      <c r="B19" s="16">
        <f>IF(C19="","IC-"&amp;TEXT(COUNTA($C$5:C19),"000"))</f>
        <v/>
      </c>
      <c r="C19" s="11" t="n"/>
      <c r="D19" s="11" t="n"/>
      <c r="E19" s="28" t="n"/>
      <c r="F19" s="28" t="n"/>
      <c r="G19" s="28" t="n"/>
      <c r="H19" s="22" t="n"/>
      <c r="I19" s="22" t="n"/>
      <c r="J19" s="17" t="n"/>
    </row>
    <row r="20" ht="22" customHeight="1">
      <c r="B20" s="15">
        <f>IF(C20="","IC-"&amp;TEXT(COUNTA($C$5:C20),"000"))</f>
        <v/>
      </c>
      <c r="C20" s="13" t="n"/>
      <c r="D20" s="13" t="n"/>
      <c r="E20" s="29" t="n"/>
      <c r="F20" s="29" t="n"/>
      <c r="G20" s="29" t="n"/>
      <c r="H20" s="24" t="n"/>
      <c r="I20" s="24" t="n"/>
      <c r="J20" s="18" t="n"/>
    </row>
    <row r="21" ht="22" customHeight="1">
      <c r="B21" s="16">
        <f>IF(C21="","IC-"&amp;TEXT(COUNTA($C$5:C21),"000"))</f>
        <v/>
      </c>
      <c r="C21" s="11" t="n"/>
      <c r="D21" s="11" t="n"/>
      <c r="E21" s="28" t="n"/>
      <c r="F21" s="28" t="n"/>
      <c r="G21" s="28" t="n"/>
      <c r="H21" s="22" t="n"/>
      <c r="I21" s="22" t="n"/>
      <c r="J21" s="17" t="n"/>
    </row>
    <row r="22" ht="22" customHeight="1">
      <c r="B22" s="15">
        <f>IF(C22="","IC-"&amp;TEXT(COUNTA($C$5:C22),"000"))</f>
        <v/>
      </c>
      <c r="C22" s="13" t="n"/>
      <c r="D22" s="13" t="n"/>
      <c r="E22" s="29" t="n"/>
      <c r="F22" s="29" t="n"/>
      <c r="G22" s="29" t="n"/>
      <c r="H22" s="24" t="n"/>
      <c r="I22" s="24" t="n"/>
      <c r="J22" s="18" t="n"/>
    </row>
    <row r="23" ht="22" customHeight="1">
      <c r="B23" s="16">
        <f>IF(C23="","IC-"&amp;TEXT(COUNTA($C$5:C23),"000"))</f>
        <v/>
      </c>
      <c r="C23" s="11" t="n"/>
      <c r="D23" s="11" t="n"/>
      <c r="E23" s="28" t="n"/>
      <c r="F23" s="28" t="n"/>
      <c r="G23" s="28" t="n"/>
      <c r="H23" s="22" t="n"/>
      <c r="I23" s="22" t="n"/>
      <c r="J23" s="17" t="n"/>
    </row>
    <row r="24" ht="22" customHeight="1">
      <c r="B24" s="15">
        <f>IF(C24="","IC-"&amp;TEXT(COUNTA($C$5:C24),"000"))</f>
        <v/>
      </c>
      <c r="C24" s="13" t="n"/>
      <c r="D24" s="13" t="n"/>
      <c r="E24" s="29" t="n"/>
      <c r="F24" s="29" t="n"/>
      <c r="G24" s="29" t="n"/>
      <c r="H24" s="24" t="n"/>
      <c r="I24" s="24" t="n"/>
      <c r="J24" s="18" t="n"/>
    </row>
    <row r="25" ht="22" customHeight="1">
      <c r="B25" s="16">
        <f>IF(C25="","IC-"&amp;TEXT(COUNTA($C$5:C25),"000"))</f>
        <v/>
      </c>
      <c r="C25" s="11" t="n"/>
      <c r="D25" s="11" t="n"/>
      <c r="E25" s="28" t="n"/>
      <c r="F25" s="28" t="n"/>
      <c r="G25" s="28" t="n"/>
      <c r="H25" s="22" t="n"/>
      <c r="I25" s="22" t="n"/>
      <c r="J25" s="17" t="n"/>
    </row>
    <row r="26" ht="22" customHeight="1">
      <c r="B26" s="15">
        <f>IF(C26="","IC-"&amp;TEXT(COUNTA($C$5:C26),"000"))</f>
        <v/>
      </c>
      <c r="C26" s="13" t="n"/>
      <c r="D26" s="13" t="n"/>
      <c r="E26" s="29" t="n"/>
      <c r="F26" s="29" t="n"/>
      <c r="G26" s="29" t="n"/>
      <c r="H26" s="24" t="n"/>
      <c r="I26" s="24" t="n"/>
      <c r="J26" s="18" t="n"/>
    </row>
    <row r="27" ht="22" customHeight="1">
      <c r="B27" s="16">
        <f>IF(C27="","IC-"&amp;TEXT(COUNTA($C$5:C27),"000"))</f>
        <v/>
      </c>
      <c r="C27" s="11" t="n"/>
      <c r="D27" s="11" t="n"/>
      <c r="E27" s="28" t="n"/>
      <c r="F27" s="28" t="n"/>
      <c r="G27" s="28" t="n"/>
      <c r="H27" s="22" t="n"/>
      <c r="I27" s="22" t="n"/>
      <c r="J27" s="17" t="n"/>
    </row>
    <row r="28" ht="22" customHeight="1">
      <c r="B28" s="15">
        <f>IF(C28="","IC-"&amp;TEXT(COUNTA($C$5:C28),"000"))</f>
        <v/>
      </c>
      <c r="C28" s="13" t="n"/>
      <c r="D28" s="13" t="n"/>
      <c r="E28" s="29" t="n"/>
      <c r="F28" s="29" t="n"/>
      <c r="G28" s="29" t="n"/>
      <c r="H28" s="24" t="n"/>
      <c r="I28" s="24" t="n"/>
      <c r="J28" s="18" t="n"/>
    </row>
    <row r="29" ht="22" customHeight="1">
      <c r="B29" s="16">
        <f>IF(C29="","IC-"&amp;TEXT(COUNTA($C$5:C29),"000"))</f>
        <v/>
      </c>
      <c r="C29" s="11" t="n"/>
      <c r="D29" s="11" t="n"/>
      <c r="E29" s="28" t="n"/>
      <c r="F29" s="28" t="n"/>
      <c r="G29" s="28" t="n"/>
      <c r="H29" s="22" t="n"/>
      <c r="I29" s="22" t="n"/>
      <c r="J29" s="17" t="n"/>
    </row>
    <row r="30" ht="22" customHeight="1">
      <c r="B30" s="15">
        <f>IF(C30="","IC-"&amp;TEXT(COUNTA($C$5:C30),"000"))</f>
        <v/>
      </c>
      <c r="C30" s="13" t="n"/>
      <c r="D30" s="13" t="n"/>
      <c r="E30" s="29" t="n"/>
      <c r="F30" s="29" t="n"/>
      <c r="G30" s="29" t="n"/>
      <c r="H30" s="24" t="n"/>
      <c r="I30" s="24" t="n"/>
      <c r="J30" s="18" t="n"/>
    </row>
    <row r="31" ht="22" customHeight="1">
      <c r="B31" s="16">
        <f>IF(C31="","IC-"&amp;TEXT(COUNTA($C$5:C31),"000"))</f>
        <v/>
      </c>
      <c r="C31" s="11" t="n"/>
      <c r="D31" s="11" t="n"/>
      <c r="E31" s="28" t="n"/>
      <c r="F31" s="28" t="n"/>
      <c r="G31" s="28" t="n"/>
      <c r="H31" s="22" t="n"/>
      <c r="I31" s="22" t="n"/>
      <c r="J31" s="17" t="n"/>
    </row>
    <row r="32" ht="22" customHeight="1">
      <c r="B32" s="15">
        <f>IF(C32="","IC-"&amp;TEXT(COUNTA($C$5:C32),"000"))</f>
        <v/>
      </c>
      <c r="C32" s="13" t="n"/>
      <c r="D32" s="13" t="n"/>
      <c r="E32" s="29" t="n"/>
      <c r="F32" s="29" t="n"/>
      <c r="G32" s="29" t="n"/>
      <c r="H32" s="24" t="n"/>
      <c r="I32" s="24" t="n"/>
      <c r="J32" s="18" t="n"/>
    </row>
    <row r="33" ht="22" customHeight="1">
      <c r="B33" s="16">
        <f>IF(C33="","IC-"&amp;TEXT(COUNTA($C$5:C33),"000"))</f>
        <v/>
      </c>
      <c r="C33" s="11" t="n"/>
      <c r="D33" s="11" t="n"/>
      <c r="E33" s="28" t="n"/>
      <c r="F33" s="28" t="n"/>
      <c r="G33" s="28" t="n"/>
      <c r="H33" s="22" t="n"/>
      <c r="I33" s="22" t="n"/>
      <c r="J33" s="17" t="n"/>
    </row>
    <row r="34" ht="22" customHeight="1">
      <c r="B34" s="15">
        <f>IF(C34="","IC-"&amp;TEXT(COUNTA($C$5:C34),"000"))</f>
        <v/>
      </c>
      <c r="C34" s="13" t="n"/>
      <c r="D34" s="13" t="n"/>
      <c r="E34" s="29" t="n"/>
      <c r="F34" s="29" t="n"/>
      <c r="G34" s="29" t="n"/>
      <c r="H34" s="24" t="n"/>
      <c r="I34" s="24" t="n"/>
      <c r="J34" s="18" t="n"/>
    </row>
    <row r="35" ht="22" customHeight="1">
      <c r="B35" s="16">
        <f>IF(C35="","IC-"&amp;TEXT(COUNTA($C$5:C35),"000"))</f>
        <v/>
      </c>
      <c r="C35" s="11" t="n"/>
      <c r="D35" s="11" t="n"/>
      <c r="E35" s="28" t="n"/>
      <c r="F35" s="28" t="n"/>
      <c r="G35" s="28" t="n"/>
      <c r="H35" s="22" t="n"/>
      <c r="I35" s="22" t="n"/>
      <c r="J35" s="17" t="n"/>
    </row>
    <row r="36" ht="22" customHeight="1">
      <c r="B36" s="15">
        <f>IF(C36="","IC-"&amp;TEXT(COUNTA($C$5:C36),"000"))</f>
        <v/>
      </c>
      <c r="C36" s="13" t="n"/>
      <c r="D36" s="13" t="n"/>
      <c r="E36" s="29" t="n"/>
      <c r="F36" s="29" t="n"/>
      <c r="G36" s="29" t="n"/>
      <c r="H36" s="24" t="n"/>
      <c r="I36" s="24" t="n"/>
      <c r="J36" s="18" t="n"/>
    </row>
    <row r="37" ht="22" customHeight="1">
      <c r="B37" s="16">
        <f>IF(C37="","IC-"&amp;TEXT(COUNTA($C$5:C37),"000"))</f>
        <v/>
      </c>
      <c r="C37" s="11" t="n"/>
      <c r="D37" s="11" t="n"/>
      <c r="E37" s="28" t="n"/>
      <c r="F37" s="28" t="n"/>
      <c r="G37" s="28" t="n"/>
      <c r="H37" s="22" t="n"/>
      <c r="I37" s="22" t="n"/>
      <c r="J37" s="17" t="n"/>
    </row>
    <row r="38" ht="22" customHeight="1">
      <c r="B38" s="15">
        <f>IF(C38="","IC-"&amp;TEXT(COUNTA($C$5:C38),"000"))</f>
        <v/>
      </c>
      <c r="C38" s="13" t="n"/>
      <c r="D38" s="13" t="n"/>
      <c r="E38" s="29" t="n"/>
      <c r="F38" s="29" t="n"/>
      <c r="G38" s="29" t="n"/>
      <c r="H38" s="24" t="n"/>
      <c r="I38" s="24" t="n"/>
      <c r="J38" s="18" t="n"/>
    </row>
    <row r="39" ht="22" customHeight="1">
      <c r="B39" s="16">
        <f>IF(C39="","IC-"&amp;TEXT(COUNTA($C$5:C39),"000"))</f>
        <v/>
      </c>
      <c r="C39" s="11" t="n"/>
      <c r="D39" s="11" t="n"/>
      <c r="E39" s="28" t="n"/>
      <c r="F39" s="28" t="n"/>
      <c r="G39" s="28" t="n"/>
      <c r="H39" s="22" t="n"/>
      <c r="I39" s="22" t="n"/>
      <c r="J39" s="17" t="n"/>
    </row>
    <row r="40" ht="22" customHeight="1">
      <c r="B40" s="15">
        <f>IF(C40="","IC-"&amp;TEXT(COUNTA($C$5:C40),"000"))</f>
        <v/>
      </c>
      <c r="C40" s="13" t="n"/>
      <c r="D40" s="13" t="n"/>
      <c r="E40" s="29" t="n"/>
      <c r="F40" s="29" t="n"/>
      <c r="G40" s="29" t="n"/>
      <c r="H40" s="24" t="n"/>
      <c r="I40" s="24" t="n"/>
      <c r="J40" s="18" t="n"/>
    </row>
    <row r="41" ht="22" customHeight="1">
      <c r="B41" s="16">
        <f>IF(C41="","IC-"&amp;TEXT(COUNTA($C$5:C41),"000"))</f>
        <v/>
      </c>
      <c r="C41" s="11" t="n"/>
      <c r="D41" s="11" t="n"/>
      <c r="E41" s="28" t="n"/>
      <c r="F41" s="28" t="n"/>
      <c r="G41" s="28" t="n"/>
      <c r="H41" s="22" t="n"/>
      <c r="I41" s="22" t="n"/>
      <c r="J41" s="17" t="n"/>
    </row>
    <row r="42" ht="22" customHeight="1">
      <c r="B42" s="15">
        <f>IF(C42="","IC-"&amp;TEXT(COUNTA($C$5:C42),"000"))</f>
        <v/>
      </c>
      <c r="C42" s="13" t="n"/>
      <c r="D42" s="13" t="n"/>
      <c r="E42" s="29" t="n"/>
      <c r="F42" s="29" t="n"/>
      <c r="G42" s="29" t="n"/>
      <c r="H42" s="24" t="n"/>
      <c r="I42" s="24" t="n"/>
      <c r="J42" s="18" t="n"/>
    </row>
    <row r="43" ht="22" customHeight="1">
      <c r="B43" s="16">
        <f>IF(C43="","IC-"&amp;TEXT(COUNTA($C$5:C43),"000"))</f>
        <v/>
      </c>
      <c r="C43" s="11" t="n"/>
      <c r="D43" s="11" t="n"/>
      <c r="E43" s="28" t="n"/>
      <c r="F43" s="28" t="n"/>
      <c r="G43" s="28" t="n"/>
      <c r="H43" s="22" t="n"/>
      <c r="I43" s="22" t="n"/>
      <c r="J43" s="17" t="n"/>
    </row>
    <row r="44" ht="22" customHeight="1">
      <c r="B44" s="15">
        <f>IF(C44="","IC-"&amp;TEXT(COUNTA($C$5:C44),"000"))</f>
        <v/>
      </c>
      <c r="C44" s="13" t="n"/>
      <c r="D44" s="13" t="n"/>
      <c r="E44" s="29" t="n"/>
      <c r="F44" s="29" t="n"/>
      <c r="G44" s="29" t="n"/>
      <c r="H44" s="24" t="n"/>
      <c r="I44" s="24" t="n"/>
      <c r="J44" s="18" t="n"/>
    </row>
    <row r="45" ht="22" customHeight="1">
      <c r="B45" s="16">
        <f>IF(C45="","IC-"&amp;TEXT(COUNTA($C$5:C45),"000"))</f>
        <v/>
      </c>
      <c r="C45" s="11" t="n"/>
      <c r="D45" s="11" t="n"/>
      <c r="E45" s="28" t="n"/>
      <c r="F45" s="28" t="n"/>
      <c r="G45" s="28" t="n"/>
      <c r="H45" s="22" t="n"/>
      <c r="I45" s="22" t="n"/>
      <c r="J45" s="17" t="n"/>
    </row>
    <row r="46" ht="22" customHeight="1">
      <c r="B46" s="15">
        <f>IF(C46="","IC-"&amp;TEXT(COUNTA($C$5:C46),"000"))</f>
        <v/>
      </c>
      <c r="C46" s="13" t="n"/>
      <c r="D46" s="13" t="n"/>
      <c r="E46" s="29" t="n"/>
      <c r="F46" s="29" t="n"/>
      <c r="G46" s="29" t="n"/>
      <c r="H46" s="24" t="n"/>
      <c r="I46" s="24" t="n"/>
      <c r="J46" s="18" t="n"/>
    </row>
    <row r="47" ht="22" customHeight="1">
      <c r="B47" s="16">
        <f>IF(C47="","IC-"&amp;TEXT(COUNTA($C$5:C47),"000"))</f>
        <v/>
      </c>
      <c r="C47" s="11" t="n"/>
      <c r="D47" s="11" t="n"/>
      <c r="E47" s="28" t="n"/>
      <c r="F47" s="28" t="n"/>
      <c r="G47" s="28" t="n"/>
      <c r="H47" s="22" t="n"/>
      <c r="I47" s="22" t="n"/>
      <c r="J47" s="17" t="n"/>
    </row>
    <row r="48" ht="22" customHeight="1">
      <c r="B48" s="15">
        <f>IF(C48="","IC-"&amp;TEXT(COUNTA($C$5:C48),"000"))</f>
        <v/>
      </c>
      <c r="C48" s="13" t="n"/>
      <c r="D48" s="13" t="n"/>
      <c r="E48" s="29" t="n"/>
      <c r="F48" s="29" t="n"/>
      <c r="G48" s="29" t="n"/>
      <c r="H48" s="24" t="n"/>
      <c r="I48" s="24" t="n"/>
      <c r="J48" s="18" t="n"/>
    </row>
    <row r="49" ht="22" customHeight="1">
      <c r="B49" s="16">
        <f>IF(C49="","IC-"&amp;TEXT(COUNTA($C$5:C49),"000"))</f>
        <v/>
      </c>
      <c r="C49" s="11" t="n"/>
      <c r="D49" s="11" t="n"/>
      <c r="E49" s="28" t="n"/>
      <c r="F49" s="28" t="n"/>
      <c r="G49" s="28" t="n"/>
      <c r="H49" s="22" t="n"/>
      <c r="I49" s="22" t="n"/>
      <c r="J49" s="17" t="n"/>
    </row>
    <row r="50" ht="22" customHeight="1">
      <c r="B50" s="15">
        <f>IF(C50="","IC-"&amp;TEXT(COUNTA($C$5:C50),"000"))</f>
        <v/>
      </c>
      <c r="C50" s="13" t="n"/>
      <c r="D50" s="13" t="n"/>
      <c r="E50" s="29" t="n"/>
      <c r="F50" s="29" t="n"/>
      <c r="G50" s="29" t="n"/>
      <c r="H50" s="24" t="n"/>
      <c r="I50" s="24" t="n"/>
      <c r="J50" s="18" t="n"/>
    </row>
    <row r="51" ht="22" customHeight="1">
      <c r="B51" s="16">
        <f>IF(C51="","IC-"&amp;TEXT(COUNTA($C$5:C51),"000"))</f>
        <v/>
      </c>
      <c r="C51" s="11" t="n"/>
      <c r="D51" s="11" t="n"/>
      <c r="E51" s="28" t="n"/>
      <c r="F51" s="28" t="n"/>
      <c r="G51" s="28" t="n"/>
      <c r="H51" s="22" t="n"/>
      <c r="I51" s="22" t="n"/>
      <c r="J51" s="17" t="n"/>
    </row>
    <row r="52" ht="22" customHeight="1">
      <c r="B52" s="15">
        <f>IF(C52="","IC-"&amp;TEXT(COUNTA($C$5:C52),"000"))</f>
        <v/>
      </c>
      <c r="C52" s="13" t="n"/>
      <c r="D52" s="13" t="n"/>
      <c r="E52" s="29" t="n"/>
      <c r="F52" s="29" t="n"/>
      <c r="G52" s="29" t="n"/>
      <c r="H52" s="24" t="n"/>
      <c r="I52" s="24" t="n"/>
      <c r="J52" s="18" t="n"/>
    </row>
    <row r="53" ht="22" customHeight="1">
      <c r="B53" s="16">
        <f>IF(C53="","IC-"&amp;TEXT(COUNTA($C$5:C53),"000"))</f>
        <v/>
      </c>
      <c r="C53" s="11" t="n"/>
      <c r="D53" s="11" t="n"/>
      <c r="E53" s="28" t="n"/>
      <c r="F53" s="28" t="n"/>
      <c r="G53" s="28" t="n"/>
      <c r="H53" s="22" t="n"/>
      <c r="I53" s="22" t="n"/>
      <c r="J53" s="17" t="n"/>
    </row>
    <row r="54" ht="22" customHeight="1">
      <c r="B54" s="15">
        <f>IF(C54="","IC-"&amp;TEXT(COUNTA($C$5:C54),"000"))</f>
        <v/>
      </c>
      <c r="C54" s="13" t="n"/>
      <c r="D54" s="13" t="n"/>
      <c r="E54" s="29" t="n"/>
      <c r="F54" s="29" t="n"/>
      <c r="G54" s="29" t="n"/>
      <c r="H54" s="24" t="n"/>
      <c r="I54" s="24" t="n"/>
      <c r="J54" s="18" t="n"/>
    </row>
    <row r="55" ht="22" customHeight="1">
      <c r="B55" s="16">
        <f>IF(C55="","IC-"&amp;TEXT(COUNTA($C$5:C55),"000"))</f>
        <v/>
      </c>
      <c r="C55" s="11" t="n"/>
      <c r="D55" s="11" t="n"/>
      <c r="E55" s="28" t="n"/>
      <c r="F55" s="28" t="n"/>
      <c r="G55" s="28" t="n"/>
      <c r="H55" s="22" t="n"/>
      <c r="I55" s="22" t="n"/>
      <c r="J55" s="17" t="n"/>
    </row>
    <row r="56" ht="22" customHeight="1">
      <c r="B56" s="15">
        <f>IF(C56="","IC-"&amp;TEXT(COUNTA($C$5:C56),"000"))</f>
        <v/>
      </c>
      <c r="C56" s="13" t="n"/>
      <c r="D56" s="13" t="n"/>
      <c r="E56" s="29" t="n"/>
      <c r="F56" s="29" t="n"/>
      <c r="G56" s="29" t="n"/>
      <c r="H56" s="24" t="n"/>
      <c r="I56" s="24" t="n"/>
      <c r="J56" s="18" t="n"/>
    </row>
    <row r="57" ht="22" customHeight="1">
      <c r="B57" s="16">
        <f>IF(C57="","IC-"&amp;TEXT(COUNTA($C$5:C57),"000"))</f>
        <v/>
      </c>
      <c r="C57" s="11" t="n"/>
      <c r="D57" s="11" t="n"/>
      <c r="E57" s="28" t="n"/>
      <c r="F57" s="28" t="n"/>
      <c r="G57" s="28" t="n"/>
      <c r="H57" s="22" t="n"/>
      <c r="I57" s="22" t="n"/>
      <c r="J57" s="17" t="n"/>
    </row>
    <row r="58" ht="22" customHeight="1">
      <c r="B58" s="15">
        <f>IF(C58="","IC-"&amp;TEXT(COUNTA($C$5:C58),"000"))</f>
        <v/>
      </c>
      <c r="C58" s="13" t="n"/>
      <c r="D58" s="13" t="n"/>
      <c r="E58" s="29" t="n"/>
      <c r="F58" s="29" t="n"/>
      <c r="G58" s="29" t="n"/>
      <c r="H58" s="24" t="n"/>
      <c r="I58" s="24" t="n"/>
      <c r="J58" s="18" t="n"/>
    </row>
    <row r="59" ht="22" customHeight="1">
      <c r="B59" s="16">
        <f>IF(C59="","IC-"&amp;TEXT(COUNTA($C$5:C59),"000"))</f>
        <v/>
      </c>
      <c r="C59" s="11" t="n"/>
      <c r="D59" s="11" t="n"/>
      <c r="E59" s="28" t="n"/>
      <c r="F59" s="28" t="n"/>
      <c r="G59" s="28" t="n"/>
      <c r="H59" s="22" t="n"/>
      <c r="I59" s="22" t="n"/>
      <c r="J59" s="17" t="n"/>
    </row>
    <row r="60" ht="22" customHeight="1">
      <c r="B60" s="15">
        <f>IF(C60="","IC-"&amp;TEXT(COUNTA($C$5:C60),"000"))</f>
        <v/>
      </c>
      <c r="C60" s="13" t="n"/>
      <c r="D60" s="13" t="n"/>
      <c r="E60" s="29" t="n"/>
      <c r="F60" s="29" t="n"/>
      <c r="G60" s="29" t="n"/>
      <c r="H60" s="24" t="n"/>
      <c r="I60" s="24" t="n"/>
      <c r="J60" s="18" t="n"/>
    </row>
    <row r="61" ht="22" customHeight="1">
      <c r="B61" s="16">
        <f>IF(C61="","IC-"&amp;TEXT(COUNTA($C$5:C61),"000"))</f>
        <v/>
      </c>
      <c r="C61" s="11" t="n"/>
      <c r="D61" s="11" t="n"/>
      <c r="E61" s="28" t="n"/>
      <c r="F61" s="28" t="n"/>
      <c r="G61" s="28" t="n"/>
      <c r="H61" s="22" t="n"/>
      <c r="I61" s="22" t="n"/>
      <c r="J61" s="17" t="n"/>
    </row>
    <row r="62" ht="22" customHeight="1">
      <c r="B62" s="15">
        <f>IF(C62="","IC-"&amp;TEXT(COUNTA($C$5:C62),"000"))</f>
        <v/>
      </c>
      <c r="C62" s="13" t="n"/>
      <c r="D62" s="13" t="n"/>
      <c r="E62" s="29" t="n"/>
      <c r="F62" s="29" t="n"/>
      <c r="G62" s="29" t="n"/>
      <c r="H62" s="24" t="n"/>
      <c r="I62" s="24" t="n"/>
      <c r="J62" s="18" t="n"/>
    </row>
    <row r="63" ht="22" customHeight="1">
      <c r="B63" s="16">
        <f>IF(C63="","IC-"&amp;TEXT(COUNTA($C$5:C63),"000"))</f>
        <v/>
      </c>
      <c r="C63" s="11" t="n"/>
      <c r="D63" s="11" t="n"/>
      <c r="E63" s="28" t="n"/>
      <c r="F63" s="28" t="n"/>
      <c r="G63" s="28" t="n"/>
      <c r="H63" s="22" t="n"/>
      <c r="I63" s="22" t="n"/>
      <c r="J63" s="17" t="n"/>
    </row>
    <row r="64" ht="22" customHeight="1">
      <c r="B64" s="15">
        <f>IF(C64="","IC-"&amp;TEXT(COUNTA($C$5:C64),"000"))</f>
        <v/>
      </c>
      <c r="C64" s="13" t="n"/>
      <c r="D64" s="13" t="n"/>
      <c r="E64" s="29" t="n"/>
      <c r="F64" s="29" t="n"/>
      <c r="G64" s="29" t="n"/>
      <c r="H64" s="24" t="n"/>
      <c r="I64" s="24" t="n"/>
      <c r="J64" s="18" t="n"/>
    </row>
    <row r="65" ht="22" customHeight="1">
      <c r="B65" s="16">
        <f>IF(C65="","IC-"&amp;TEXT(COUNTA($C$5:C65),"000"))</f>
        <v/>
      </c>
      <c r="C65" s="11" t="n"/>
      <c r="D65" s="11" t="n"/>
      <c r="E65" s="28" t="n"/>
      <c r="F65" s="28" t="n"/>
      <c r="G65" s="28" t="n"/>
      <c r="H65" s="22" t="n"/>
      <c r="I65" s="22" t="n"/>
      <c r="J65" s="17" t="n"/>
    </row>
    <row r="66" ht="22" customHeight="1">
      <c r="B66" s="15">
        <f>IF(C66="","IC-"&amp;TEXT(COUNTA($C$5:C66),"000"))</f>
        <v/>
      </c>
      <c r="C66" s="13" t="n"/>
      <c r="D66" s="13" t="n"/>
      <c r="E66" s="29" t="n"/>
      <c r="F66" s="29" t="n"/>
      <c r="G66" s="29" t="n"/>
      <c r="H66" s="24" t="n"/>
      <c r="I66" s="24" t="n"/>
      <c r="J66" s="18" t="n"/>
    </row>
    <row r="67" ht="22" customHeight="1">
      <c r="B67" s="16">
        <f>IF(C67="","IC-"&amp;TEXT(COUNTA($C$5:C67),"000"))</f>
        <v/>
      </c>
      <c r="C67" s="11" t="n"/>
      <c r="D67" s="11" t="n"/>
      <c r="E67" s="28" t="n"/>
      <c r="F67" s="28" t="n"/>
      <c r="G67" s="28" t="n"/>
      <c r="H67" s="22" t="n"/>
      <c r="I67" s="22" t="n"/>
      <c r="J67" s="17" t="n"/>
    </row>
    <row r="68" ht="22" customHeight="1">
      <c r="B68" s="15">
        <f>IF(C68="","IC-"&amp;TEXT(COUNTA($C$5:C68),"000"))</f>
        <v/>
      </c>
      <c r="C68" s="13" t="n"/>
      <c r="D68" s="13" t="n"/>
      <c r="E68" s="29" t="n"/>
      <c r="F68" s="29" t="n"/>
      <c r="G68" s="29" t="n"/>
      <c r="H68" s="24" t="n"/>
      <c r="I68" s="24" t="n"/>
      <c r="J68" s="18" t="n"/>
    </row>
    <row r="69" ht="22" customHeight="1">
      <c r="B69" s="16">
        <f>IF(C69="","IC-"&amp;TEXT(COUNTA($C$5:C69),"000"))</f>
        <v/>
      </c>
      <c r="C69" s="11" t="n"/>
      <c r="D69" s="11" t="n"/>
      <c r="E69" s="28" t="n"/>
      <c r="F69" s="28" t="n"/>
      <c r="G69" s="28" t="n"/>
      <c r="H69" s="22" t="n"/>
      <c r="I69" s="22" t="n"/>
      <c r="J69" s="17" t="n"/>
    </row>
    <row r="70" ht="22" customHeight="1">
      <c r="B70" s="15">
        <f>IF(C70="","IC-"&amp;TEXT(COUNTA($C$5:C70),"000"))</f>
        <v/>
      </c>
      <c r="C70" s="13" t="n"/>
      <c r="D70" s="13" t="n"/>
      <c r="E70" s="29" t="n"/>
      <c r="F70" s="29" t="n"/>
      <c r="G70" s="29" t="n"/>
      <c r="H70" s="24" t="n"/>
      <c r="I70" s="24" t="n"/>
      <c r="J70" s="18" t="n"/>
    </row>
    <row r="71" ht="22" customHeight="1">
      <c r="B71" s="16">
        <f>IF(C71="","IC-"&amp;TEXT(COUNTA($C$5:C71),"000"))</f>
        <v/>
      </c>
      <c r="C71" s="11" t="n"/>
      <c r="D71" s="11" t="n"/>
      <c r="E71" s="28" t="n"/>
      <c r="F71" s="28" t="n"/>
      <c r="G71" s="28" t="n"/>
      <c r="H71" s="22" t="n"/>
      <c r="I71" s="22" t="n"/>
      <c r="J71" s="17" t="n"/>
    </row>
    <row r="72" ht="22" customHeight="1">
      <c r="B72" s="15">
        <f>IF(C72="","IC-"&amp;TEXT(COUNTA($C$5:C72),"000"))</f>
        <v/>
      </c>
      <c r="C72" s="13" t="n"/>
      <c r="D72" s="13" t="n"/>
      <c r="E72" s="29" t="n"/>
      <c r="F72" s="29" t="n"/>
      <c r="G72" s="29" t="n"/>
      <c r="H72" s="24" t="n"/>
      <c r="I72" s="24" t="n"/>
      <c r="J72" s="18" t="n"/>
    </row>
    <row r="73" ht="22" customHeight="1">
      <c r="B73" s="16">
        <f>IF(C73="","IC-"&amp;TEXT(COUNTA($C$5:C73),"000"))</f>
        <v/>
      </c>
      <c r="C73" s="11" t="n"/>
      <c r="D73" s="11" t="n"/>
      <c r="E73" s="28" t="n"/>
      <c r="F73" s="28" t="n"/>
      <c r="G73" s="28" t="n"/>
      <c r="H73" s="22" t="n"/>
      <c r="I73" s="22" t="n"/>
      <c r="J73" s="17" t="n"/>
    </row>
    <row r="74" ht="22" customHeight="1">
      <c r="B74" s="15">
        <f>IF(C74="","IC-"&amp;TEXT(COUNTA($C$5:C74),"000"))</f>
        <v/>
      </c>
      <c r="C74" s="13" t="n"/>
      <c r="D74" s="13" t="n"/>
      <c r="E74" s="29" t="n"/>
      <c r="F74" s="29" t="n"/>
      <c r="G74" s="29" t="n"/>
      <c r="H74" s="24" t="n"/>
      <c r="I74" s="24" t="n"/>
      <c r="J74" s="18" t="n"/>
    </row>
    <row r="75" ht="22" customHeight="1">
      <c r="B75" s="16">
        <f>IF(C75="","IC-"&amp;TEXT(COUNTA($C$5:C75),"000"))</f>
        <v/>
      </c>
      <c r="C75" s="11" t="n"/>
      <c r="D75" s="11" t="n"/>
      <c r="E75" s="28" t="n"/>
      <c r="F75" s="28" t="n"/>
      <c r="G75" s="28" t="n"/>
      <c r="H75" s="22" t="n"/>
      <c r="I75" s="22" t="n"/>
      <c r="J75" s="17" t="n"/>
    </row>
    <row r="76" ht="22" customHeight="1">
      <c r="B76" s="15">
        <f>IF(C76="","IC-"&amp;TEXT(COUNTA($C$5:C76),"000"))</f>
        <v/>
      </c>
      <c r="C76" s="13" t="n"/>
      <c r="D76" s="13" t="n"/>
      <c r="E76" s="29" t="n"/>
      <c r="F76" s="29" t="n"/>
      <c r="G76" s="29" t="n"/>
      <c r="H76" s="24" t="n"/>
      <c r="I76" s="24" t="n"/>
      <c r="J76" s="18" t="n"/>
    </row>
    <row r="77" ht="22" customHeight="1">
      <c r="B77" s="16">
        <f>IF(C77="","IC-"&amp;TEXT(COUNTA($C$5:C77),"000"))</f>
        <v/>
      </c>
      <c r="C77" s="11" t="n"/>
      <c r="D77" s="11" t="n"/>
      <c r="E77" s="28" t="n"/>
      <c r="F77" s="28" t="n"/>
      <c r="G77" s="28" t="n"/>
      <c r="H77" s="22" t="n"/>
      <c r="I77" s="22" t="n"/>
      <c r="J77" s="17" t="n"/>
    </row>
    <row r="78" ht="22" customHeight="1">
      <c r="B78" s="15">
        <f>IF(C78="","IC-"&amp;TEXT(COUNTA($C$5:C78),"000"))</f>
        <v/>
      </c>
      <c r="C78" s="13" t="n"/>
      <c r="D78" s="13" t="n"/>
      <c r="E78" s="29" t="n"/>
      <c r="F78" s="29" t="n"/>
      <c r="G78" s="29" t="n"/>
      <c r="H78" s="24" t="n"/>
      <c r="I78" s="24" t="n"/>
      <c r="J78" s="18" t="n"/>
    </row>
    <row r="79" ht="22" customHeight="1">
      <c r="B79" s="16">
        <f>IF(C79="","IC-"&amp;TEXT(COUNTA($C$5:C79),"000"))</f>
        <v/>
      </c>
      <c r="C79" s="11" t="n"/>
      <c r="D79" s="11" t="n"/>
      <c r="E79" s="28" t="n"/>
      <c r="F79" s="28" t="n"/>
      <c r="G79" s="28" t="n"/>
      <c r="H79" s="22" t="n"/>
      <c r="I79" s="22" t="n"/>
      <c r="J79" s="17" t="n"/>
    </row>
    <row r="80" ht="22" customHeight="1">
      <c r="B80" s="15">
        <f>IF(C80="","IC-"&amp;TEXT(COUNTA($C$5:C80),"000"))</f>
        <v/>
      </c>
      <c r="C80" s="13" t="n"/>
      <c r="D80" s="13" t="n"/>
      <c r="E80" s="29" t="n"/>
      <c r="F80" s="29" t="n"/>
      <c r="G80" s="29" t="n"/>
      <c r="H80" s="24" t="n"/>
      <c r="I80" s="24" t="n"/>
      <c r="J80" s="18" t="n"/>
    </row>
    <row r="81" ht="22" customHeight="1">
      <c r="B81" s="16">
        <f>IF(C81="","IC-"&amp;TEXT(COUNTA($C$5:C81),"000"))</f>
        <v/>
      </c>
      <c r="C81" s="11" t="n"/>
      <c r="D81" s="11" t="n"/>
      <c r="E81" s="28" t="n"/>
      <c r="F81" s="28" t="n"/>
      <c r="G81" s="28" t="n"/>
      <c r="H81" s="22" t="n"/>
      <c r="I81" s="22" t="n"/>
      <c r="J81" s="17" t="n"/>
    </row>
    <row r="82" ht="22" customHeight="1">
      <c r="B82" s="15">
        <f>IF(C82="","IC-"&amp;TEXT(COUNTA($C$5:C82),"000"))</f>
        <v/>
      </c>
      <c r="C82" s="13" t="n"/>
      <c r="D82" s="13" t="n"/>
      <c r="E82" s="29" t="n"/>
      <c r="F82" s="29" t="n"/>
      <c r="G82" s="29" t="n"/>
      <c r="H82" s="24" t="n"/>
      <c r="I82" s="24" t="n"/>
      <c r="J82" s="18" t="n"/>
    </row>
    <row r="83" ht="22" customHeight="1">
      <c r="B83" s="16">
        <f>IF(C83="","IC-"&amp;TEXT(COUNTA($C$5:C83),"000"))</f>
        <v/>
      </c>
      <c r="C83" s="11" t="n"/>
      <c r="D83" s="11" t="n"/>
      <c r="E83" s="28" t="n"/>
      <c r="F83" s="28" t="n"/>
      <c r="G83" s="28" t="n"/>
      <c r="H83" s="22" t="n"/>
      <c r="I83" s="22" t="n"/>
      <c r="J83" s="17" t="n"/>
    </row>
    <row r="84" ht="22" customHeight="1">
      <c r="B84" s="15">
        <f>IF(C84="","IC-"&amp;TEXT(COUNTA($C$5:C84),"000"))</f>
        <v/>
      </c>
      <c r="C84" s="13" t="n"/>
      <c r="D84" s="13" t="n"/>
      <c r="E84" s="29" t="n"/>
      <c r="F84" s="29" t="n"/>
      <c r="G84" s="29" t="n"/>
      <c r="H84" s="24" t="n"/>
      <c r="I84" s="24" t="n"/>
      <c r="J84" s="18" t="n"/>
    </row>
    <row r="85" ht="22" customHeight="1">
      <c r="B85" s="16">
        <f>IF(C85="","IC-"&amp;TEXT(COUNTA($C$5:C85),"000"))</f>
        <v/>
      </c>
      <c r="C85" s="11" t="n"/>
      <c r="D85" s="11" t="n"/>
      <c r="E85" s="28" t="n"/>
      <c r="F85" s="28" t="n"/>
      <c r="G85" s="28" t="n"/>
      <c r="H85" s="22" t="n"/>
      <c r="I85" s="22" t="n"/>
      <c r="J85" s="17" t="n"/>
    </row>
    <row r="86" ht="22" customHeight="1">
      <c r="B86" s="15">
        <f>IF(C86="","IC-"&amp;TEXT(COUNTA($C$5:C86),"000"))</f>
        <v/>
      </c>
      <c r="C86" s="13" t="n"/>
      <c r="D86" s="13" t="n"/>
      <c r="E86" s="29" t="n"/>
      <c r="F86" s="29" t="n"/>
      <c r="G86" s="29" t="n"/>
      <c r="H86" s="24" t="n"/>
      <c r="I86" s="24" t="n"/>
      <c r="J86" s="18" t="n"/>
    </row>
    <row r="87" ht="22" customHeight="1">
      <c r="B87" s="16">
        <f>IF(C87="","IC-"&amp;TEXT(COUNTA($C$5:C87),"000"))</f>
        <v/>
      </c>
      <c r="C87" s="11" t="n"/>
      <c r="D87" s="11" t="n"/>
      <c r="E87" s="28" t="n"/>
      <c r="F87" s="28" t="n"/>
      <c r="G87" s="28" t="n"/>
      <c r="H87" s="22" t="n"/>
      <c r="I87" s="22" t="n"/>
      <c r="J87" s="17" t="n"/>
    </row>
    <row r="88" ht="22" customHeight="1">
      <c r="B88" s="15">
        <f>IF(C88="","IC-"&amp;TEXT(COUNTA($C$5:C88),"000"))</f>
        <v/>
      </c>
      <c r="C88" s="13" t="n"/>
      <c r="D88" s="13" t="n"/>
      <c r="E88" s="29" t="n"/>
      <c r="F88" s="29" t="n"/>
      <c r="G88" s="29" t="n"/>
      <c r="H88" s="24" t="n"/>
      <c r="I88" s="24" t="n"/>
      <c r="J88" s="18" t="n"/>
    </row>
    <row r="89" ht="22" customHeight="1">
      <c r="B89" s="16">
        <f>IF(C89="","IC-"&amp;TEXT(COUNTA($C$5:C89),"000"))</f>
        <v/>
      </c>
      <c r="C89" s="11" t="n"/>
      <c r="D89" s="11" t="n"/>
      <c r="E89" s="28" t="n"/>
      <c r="F89" s="28" t="n"/>
      <c r="G89" s="28" t="n"/>
      <c r="H89" s="22" t="n"/>
      <c r="I89" s="22" t="n"/>
      <c r="J89" s="17" t="n"/>
    </row>
    <row r="90" ht="22" customHeight="1">
      <c r="B90" s="15">
        <f>IF(C90="","IC-"&amp;TEXT(COUNTA($C$5:C90),"000"))</f>
        <v/>
      </c>
      <c r="C90" s="13" t="n"/>
      <c r="D90" s="13" t="n"/>
      <c r="E90" s="29" t="n"/>
      <c r="F90" s="29" t="n"/>
      <c r="G90" s="29" t="n"/>
      <c r="H90" s="24" t="n"/>
      <c r="I90" s="24" t="n"/>
      <c r="J90" s="18" t="n"/>
    </row>
    <row r="91" ht="22" customHeight="1">
      <c r="B91" s="16">
        <f>IF(C91="","IC-"&amp;TEXT(COUNTA($C$5:C91),"000"))</f>
        <v/>
      </c>
      <c r="C91" s="11" t="n"/>
      <c r="D91" s="11" t="n"/>
      <c r="E91" s="28" t="n"/>
      <c r="F91" s="28" t="n"/>
      <c r="G91" s="28" t="n"/>
      <c r="H91" s="22" t="n"/>
      <c r="I91" s="22" t="n"/>
      <c r="J91" s="17" t="n"/>
    </row>
    <row r="92" ht="22" customHeight="1">
      <c r="B92" s="15">
        <f>IF(C92="","IC-"&amp;TEXT(COUNTA($C$5:C92),"000"))</f>
        <v/>
      </c>
      <c r="C92" s="13" t="n"/>
      <c r="D92" s="13" t="n"/>
      <c r="E92" s="29" t="n"/>
      <c r="F92" s="29" t="n"/>
      <c r="G92" s="29" t="n"/>
      <c r="H92" s="24" t="n"/>
      <c r="I92" s="24" t="n"/>
      <c r="J92" s="18" t="n"/>
    </row>
    <row r="93" ht="22" customHeight="1">
      <c r="B93" s="16">
        <f>IF(C93="","IC-"&amp;TEXT(COUNTA($C$5:C93),"000"))</f>
        <v/>
      </c>
      <c r="C93" s="11" t="n"/>
      <c r="D93" s="11" t="n"/>
      <c r="E93" s="28" t="n"/>
      <c r="F93" s="28" t="n"/>
      <c r="G93" s="28" t="n"/>
      <c r="H93" s="22" t="n"/>
      <c r="I93" s="22" t="n"/>
      <c r="J93" s="17" t="n"/>
    </row>
    <row r="94" ht="22" customHeight="1">
      <c r="B94" s="15">
        <f>IF(C94="","IC-"&amp;TEXT(COUNTA($C$5:C94),"000"))</f>
        <v/>
      </c>
      <c r="C94" s="13" t="n"/>
      <c r="D94" s="13" t="n"/>
      <c r="E94" s="29" t="n"/>
      <c r="F94" s="29" t="n"/>
      <c r="G94" s="29" t="n"/>
      <c r="H94" s="24" t="n"/>
      <c r="I94" s="24" t="n"/>
      <c r="J94" s="18" t="n"/>
    </row>
    <row r="95" ht="22" customHeight="1">
      <c r="B95" s="16">
        <f>IF(C95="","IC-"&amp;TEXT(COUNTA($C$5:C95),"000"))</f>
        <v/>
      </c>
      <c r="C95" s="11" t="n"/>
      <c r="D95" s="11" t="n"/>
      <c r="E95" s="28" t="n"/>
      <c r="F95" s="28" t="n"/>
      <c r="G95" s="28" t="n"/>
      <c r="H95" s="22" t="n"/>
      <c r="I95" s="22" t="n"/>
      <c r="J95" s="17" t="n"/>
    </row>
    <row r="96" ht="22" customHeight="1">
      <c r="B96" s="15">
        <f>IF(C96="","IC-"&amp;TEXT(COUNTA($C$5:C96),"000"))</f>
        <v/>
      </c>
      <c r="C96" s="13" t="n"/>
      <c r="D96" s="13" t="n"/>
      <c r="E96" s="29" t="n"/>
      <c r="F96" s="29" t="n"/>
      <c r="G96" s="29" t="n"/>
      <c r="H96" s="24" t="n"/>
      <c r="I96" s="24" t="n"/>
      <c r="J96" s="18" t="n"/>
    </row>
    <row r="97" ht="22" customHeight="1">
      <c r="B97" s="16">
        <f>IF(C97="","IC-"&amp;TEXT(COUNTA($C$5:C97),"000"))</f>
        <v/>
      </c>
      <c r="C97" s="11" t="n"/>
      <c r="D97" s="11" t="n"/>
      <c r="E97" s="28" t="n"/>
      <c r="F97" s="28" t="n"/>
      <c r="G97" s="28" t="n"/>
      <c r="H97" s="22" t="n"/>
      <c r="I97" s="22" t="n"/>
      <c r="J97" s="17" t="n"/>
    </row>
    <row r="98" ht="22" customHeight="1">
      <c r="B98" s="15">
        <f>IF(C98="","IC-"&amp;TEXT(COUNTA($C$5:C98),"000"))</f>
        <v/>
      </c>
      <c r="C98" s="13" t="n"/>
      <c r="D98" s="13" t="n"/>
      <c r="E98" s="29" t="n"/>
      <c r="F98" s="29" t="n"/>
      <c r="G98" s="29" t="n"/>
      <c r="H98" s="24" t="n"/>
      <c r="I98" s="24" t="n"/>
      <c r="J98" s="18" t="n"/>
    </row>
    <row r="99" ht="22" customHeight="1">
      <c r="B99" s="16">
        <f>IF(C99="","IC-"&amp;TEXT(COUNTA($C$5:C99),"000"))</f>
        <v/>
      </c>
      <c r="C99" s="11" t="n"/>
      <c r="D99" s="11" t="n"/>
      <c r="E99" s="28" t="n"/>
      <c r="F99" s="28" t="n"/>
      <c r="G99" s="28" t="n"/>
      <c r="H99" s="22" t="n"/>
      <c r="I99" s="22" t="n"/>
      <c r="J99" s="17" t="n"/>
    </row>
    <row r="100" ht="22" customHeight="1">
      <c r="B100" s="15">
        <f>IF(C100="","IC-"&amp;TEXT(COUNTA($C$5:C100),"000"))</f>
        <v/>
      </c>
      <c r="C100" s="13" t="n"/>
      <c r="D100" s="13" t="n"/>
      <c r="E100" s="29" t="n"/>
      <c r="F100" s="29" t="n"/>
      <c r="G100" s="29" t="n"/>
      <c r="H100" s="24" t="n"/>
      <c r="I100" s="24" t="n"/>
      <c r="J100" s="18" t="n"/>
    </row>
    <row r="101" ht="22" customHeight="1">
      <c r="B101" s="16">
        <f>IF(C101="","IC-"&amp;TEXT(COUNTA($C$5:C101),"000"))</f>
        <v/>
      </c>
      <c r="C101" s="11" t="n"/>
      <c r="D101" s="11" t="n"/>
      <c r="E101" s="28" t="n"/>
      <c r="F101" s="28" t="n"/>
      <c r="G101" s="28" t="n"/>
      <c r="H101" s="22" t="n"/>
      <c r="I101" s="22" t="n"/>
      <c r="J101" s="17" t="n"/>
    </row>
    <row r="102" ht="22" customHeight="1">
      <c r="B102" s="15">
        <f>IF(C102="","IC-"&amp;TEXT(COUNTA($C$5:C102),"000"))</f>
        <v/>
      </c>
      <c r="C102" s="13" t="n"/>
      <c r="D102" s="13" t="n"/>
      <c r="E102" s="29" t="n"/>
      <c r="F102" s="29" t="n"/>
      <c r="G102" s="29" t="n"/>
      <c r="H102" s="24" t="n"/>
      <c r="I102" s="24" t="n"/>
      <c r="J102" s="18" t="n"/>
    </row>
    <row r="103" ht="22" customHeight="1">
      <c r="B103" s="16">
        <f>IF(C103="","IC-"&amp;TEXT(COUNTA($C$5:C103),"000"))</f>
        <v/>
      </c>
      <c r="C103" s="11" t="n"/>
      <c r="D103" s="11" t="n"/>
      <c r="E103" s="28" t="n"/>
      <c r="F103" s="28" t="n"/>
      <c r="G103" s="28" t="n"/>
      <c r="H103" s="22" t="n"/>
      <c r="I103" s="22" t="n"/>
      <c r="J103" s="17" t="n"/>
    </row>
    <row r="104" ht="22" customHeight="1">
      <c r="B104" s="15">
        <f>IF(C104="","IC-"&amp;TEXT(COUNTA($C$5:C104),"000"))</f>
        <v/>
      </c>
      <c r="C104" s="13" t="n"/>
      <c r="D104" s="13" t="n"/>
      <c r="E104" s="29" t="n"/>
      <c r="F104" s="29" t="n"/>
      <c r="G104" s="29" t="n"/>
      <c r="H104" s="24" t="n"/>
      <c r="I104" s="24" t="n"/>
      <c r="J104" s="18" t="n"/>
    </row>
    <row r="105" ht="22" customHeight="1">
      <c r="B105" s="16">
        <f>IF(C105="","IC-"&amp;TEXT(COUNTA($C$5:C105),"000"))</f>
        <v/>
      </c>
      <c r="C105" s="11" t="n"/>
      <c r="D105" s="11" t="n"/>
      <c r="E105" s="28" t="n"/>
      <c r="F105" s="28" t="n"/>
      <c r="G105" s="28" t="n"/>
      <c r="H105" s="22" t="n"/>
      <c r="I105" s="22" t="n"/>
      <c r="J105" s="17" t="n"/>
    </row>
    <row r="106" ht="22" customHeight="1">
      <c r="B106" s="15">
        <f>IF(C106="","IC-"&amp;TEXT(COUNTA($C$5:C106),"000"))</f>
        <v/>
      </c>
      <c r="C106" s="13" t="n"/>
      <c r="D106" s="13" t="n"/>
      <c r="E106" s="29" t="n"/>
      <c r="F106" s="29" t="n"/>
      <c r="G106" s="29" t="n"/>
      <c r="H106" s="24" t="n"/>
      <c r="I106" s="24" t="n"/>
      <c r="J106" s="18" t="n"/>
    </row>
    <row r="107" ht="22" customHeight="1">
      <c r="B107" s="16">
        <f>IF(C107="","IC-"&amp;TEXT(COUNTA($C$5:C107),"000"))</f>
        <v/>
      </c>
      <c r="C107" s="11" t="n"/>
      <c r="D107" s="11" t="n"/>
      <c r="E107" s="28" t="n"/>
      <c r="F107" s="28" t="n"/>
      <c r="G107" s="28" t="n"/>
      <c r="H107" s="22" t="n"/>
      <c r="I107" s="22" t="n"/>
      <c r="J107" s="17" t="n"/>
    </row>
    <row r="108" ht="22" customHeight="1">
      <c r="B108" s="15">
        <f>IF(C108="","IC-"&amp;TEXT(COUNTA($C$5:C108),"000"))</f>
        <v/>
      </c>
      <c r="C108" s="13" t="n"/>
      <c r="D108" s="13" t="n"/>
      <c r="E108" s="29" t="n"/>
      <c r="F108" s="29" t="n"/>
      <c r="G108" s="29" t="n"/>
      <c r="H108" s="24" t="n"/>
      <c r="I108" s="24" t="n"/>
      <c r="J108" s="18" t="n"/>
    </row>
    <row r="109" ht="22" customHeight="1">
      <c r="B109" s="16">
        <f>IF(C109="","IC-"&amp;TEXT(COUNTA($C$5:C109),"000"))</f>
        <v/>
      </c>
      <c r="C109" s="11" t="n"/>
      <c r="D109" s="11" t="n"/>
      <c r="E109" s="28" t="n"/>
      <c r="F109" s="28" t="n"/>
      <c r="G109" s="28" t="n"/>
      <c r="H109" s="22" t="n"/>
      <c r="I109" s="22" t="n"/>
      <c r="J109" s="17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1">
        <f>SUM(H5:H104)</f>
        <v/>
      </c>
      <c r="I111" s="21">
        <f>SUM(I5:I104)</f>
        <v/>
      </c>
      <c r="J111" s="21">
        <f>SUM(J5:J104)</f>
        <v/>
      </c>
    </row>
    <row r="112"/>
    <row r="113">
      <c r="B113" s="5" t="inlineStr">
        <is>
          <t>INDICATEURS (mis a jour automatiquement)</t>
        </is>
      </c>
    </row>
    <row r="114">
      <c r="B114" s="3" t="inlineStr">
        <is>
          <t>Conformite moy. contrats</t>
        </is>
      </c>
      <c r="D114" s="3" t="inlineStr">
        <is>
          <t>Total non-conformites</t>
        </is>
      </c>
      <c r="F114" s="3" t="inlineStr">
        <is>
          <t>Cout total penalites</t>
        </is>
      </c>
    </row>
    <row r="115">
      <c r="B115" s="4">
        <f>IFERROR(AVERAGE(E5:E104),0)</f>
        <v/>
      </c>
      <c r="D115" s="4">
        <f>SUM(H5:H104)</f>
        <v/>
      </c>
      <c r="F115" s="4">
        <f>SUM(J5:J104)</f>
        <v/>
      </c>
    </row>
  </sheetData>
  <mergeCells count="3">
    <mergeCell ref="B113:J113"/>
    <mergeCell ref="B3:J3"/>
    <mergeCell ref="B2:J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'_Lists'!$U$2:$U$13</formula1>
    </dataValidation>
    <dataValidation sqref="D5:D109" showDropDown="0" showInputMessage="0" showErrorMessage="0" allowBlank="1" errorTitle="Erreur" error="Valeur invalide" promptTitle="Liste" prompt="Choisir dans la liste" type="list">
      <formula1>'_Lists'!$V$2:$V$4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30" customWidth="1" min="4" max="4"/>
    <col width="28" customWidth="1" min="5" max="5"/>
    <col width="32" customWidth="1" min="6" max="6"/>
    <col width="36" customWidth="1" min="7" max="7"/>
    <col width="16" customWidth="1" min="8" max="8"/>
    <col width="20" customWidth="1" min="9" max="9"/>
    <col width="14" customWidth="1" min="10" max="10"/>
  </cols>
  <sheetData>
    <row r="1" ht="15" customHeight="1"/>
    <row r="2" ht="32" customHeight="1">
      <c r="B2" s="1" t="inlineStr">
        <is>
          <t>HISTORIQUE MODIFICATIONS LÉGALES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Date Modification</t>
        </is>
      </c>
      <c r="D4" s="10" t="inlineStr">
        <is>
          <t>Texte Legal</t>
        </is>
      </c>
      <c r="E4" s="10" t="inlineStr">
        <is>
          <t>Nature Modification</t>
        </is>
      </c>
      <c r="F4" s="10" t="inlineStr">
        <is>
          <t>Impact Hotel</t>
        </is>
      </c>
      <c r="G4" s="10" t="inlineStr">
        <is>
          <t>Action Menee</t>
        </is>
      </c>
      <c r="H4" s="10" t="inlineStr">
        <is>
          <t>Responsable</t>
        </is>
      </c>
      <c r="I4" s="10" t="inlineStr">
        <is>
          <t>Cout Impact (FCFA)</t>
        </is>
      </c>
      <c r="J4" s="10" t="inlineStr">
        <is>
          <t>Statut</t>
        </is>
      </c>
    </row>
    <row r="5" ht="22" customHeight="1">
      <c r="B5" s="11" t="inlineStr">
        <is>
          <t>HML-001</t>
        </is>
      </c>
      <c r="C5" s="26" t="n">
        <v>45658</v>
      </c>
      <c r="D5" s="11" t="inlineStr">
        <is>
          <t>Decret CNPS cotisations 2025</t>
        </is>
      </c>
      <c r="E5" s="11" t="inlineStr">
        <is>
          <t>Augmentation taux cotisation</t>
        </is>
      </c>
      <c r="F5" s="11" t="inlineStr">
        <is>
          <t>Augmentation charge patronale 0.5%</t>
        </is>
      </c>
      <c r="G5" s="11" t="inlineStr">
        <is>
          <t>Mise a jour logiciel paie + budget previsionnel</t>
        </is>
      </c>
      <c r="H5" s="11" t="inlineStr">
        <is>
          <t>DAF</t>
        </is>
      </c>
      <c r="I5" s="17" t="n">
        <v>150000</v>
      </c>
      <c r="J5" s="11" t="inlineStr">
        <is>
          <t>Termine</t>
        </is>
      </c>
    </row>
    <row r="6" ht="22" customHeight="1">
      <c r="B6" s="13" t="inlineStr">
        <is>
          <t>HML-002</t>
        </is>
      </c>
      <c r="C6" s="27" t="n">
        <v>45689</v>
      </c>
      <c r="D6" s="13" t="inlineStr">
        <is>
          <t>Arrete hygiene restauration</t>
        </is>
      </c>
      <c r="E6" s="13" t="inlineStr">
        <is>
          <t>Renforcement normes HACCP</t>
        </is>
      </c>
      <c r="F6" s="13" t="inlineStr">
        <is>
          <t>Formation obligatoire equipe cuisine</t>
        </is>
      </c>
      <c r="G6" s="13" t="inlineStr">
        <is>
          <t>Planification formation HACCP niveau 3</t>
        </is>
      </c>
      <c r="H6" s="13" t="inlineStr">
        <is>
          <t>Chef Cuisine</t>
        </is>
      </c>
      <c r="I6" s="18" t="n">
        <v>350000</v>
      </c>
      <c r="J6" s="13" t="inlineStr">
        <is>
          <t>En cours</t>
        </is>
      </c>
    </row>
    <row r="7" ht="22" customHeight="1">
      <c r="B7" s="11" t="inlineStr">
        <is>
          <t>HML-003</t>
        </is>
      </c>
      <c r="C7" s="26" t="n">
        <v>45762</v>
      </c>
      <c r="D7" s="11" t="inlineStr">
        <is>
          <t>Circulaire inspection travail</t>
        </is>
      </c>
      <c r="E7" s="11" t="inlineStr">
        <is>
          <t>Obligation contrat ecrit CDD</t>
        </is>
      </c>
      <c r="F7" s="11" t="inlineStr">
        <is>
          <t>3 contrats a regulariser</t>
        </is>
      </c>
      <c r="G7" s="11" t="inlineStr">
        <is>
          <t>Redaction et signature avenants</t>
        </is>
      </c>
      <c r="H7" s="11" t="inlineStr">
        <is>
          <t>Assistante RH</t>
        </is>
      </c>
      <c r="I7" s="17" t="n">
        <v>0</v>
      </c>
      <c r="J7" s="11" t="inlineStr">
        <is>
          <t>En cours</t>
        </is>
      </c>
    </row>
    <row r="8" ht="22" customHeight="1">
      <c r="B8" s="13" t="inlineStr">
        <is>
          <t>HML-004</t>
        </is>
      </c>
      <c r="C8" s="27" t="n">
        <v>45809</v>
      </c>
      <c r="D8" s="13" t="inlineStr">
        <is>
          <t>Code du travail Art. 45 revision</t>
        </is>
      </c>
      <c r="E8" s="13" t="inlineStr">
        <is>
          <t>Flexibilisation heures supp.</t>
        </is>
      </c>
      <c r="F8" s="13" t="inlineStr">
        <is>
          <t>Revision plannings cuisine et entretien</t>
        </is>
      </c>
      <c r="G8" s="13" t="inlineStr">
        <is>
          <t>Consultation syndicats + nouveau planning</t>
        </is>
      </c>
      <c r="H8" s="13" t="inlineStr">
        <is>
          <t>DRH</t>
        </is>
      </c>
      <c r="I8" s="18" t="n">
        <v>200000</v>
      </c>
      <c r="J8" s="13" t="inlineStr">
        <is>
          <t>En cours</t>
        </is>
      </c>
    </row>
    <row r="9" ht="22" customHeight="1">
      <c r="B9" s="16">
        <f>IF(C9="","HML-"&amp;TEXT(COUNTA($C$5:C9),"000"))</f>
        <v/>
      </c>
      <c r="C9" s="26" t="n"/>
      <c r="D9" s="11" t="n"/>
      <c r="E9" s="11" t="n"/>
      <c r="F9" s="11" t="n"/>
      <c r="G9" s="11" t="n"/>
      <c r="H9" s="11" t="n"/>
      <c r="I9" s="17" t="n"/>
      <c r="J9" s="11" t="n"/>
    </row>
    <row r="10" ht="22" customHeight="1">
      <c r="B10" s="15">
        <f>IF(C10="","HML-"&amp;TEXT(COUNTA($C$5:C10),"000"))</f>
        <v/>
      </c>
      <c r="C10" s="27" t="n"/>
      <c r="D10" s="13" t="n"/>
      <c r="E10" s="13" t="n"/>
      <c r="F10" s="13" t="n"/>
      <c r="G10" s="13" t="n"/>
      <c r="H10" s="13" t="n"/>
      <c r="I10" s="18" t="n"/>
      <c r="J10" s="13" t="n"/>
    </row>
    <row r="11" ht="22" customHeight="1">
      <c r="B11" s="16">
        <f>IF(C11="","HML-"&amp;TEXT(COUNTA($C$5:C11),"000"))</f>
        <v/>
      </c>
      <c r="C11" s="26" t="n"/>
      <c r="D11" s="11" t="n"/>
      <c r="E11" s="11" t="n"/>
      <c r="F11" s="11" t="n"/>
      <c r="G11" s="11" t="n"/>
      <c r="H11" s="11" t="n"/>
      <c r="I11" s="17" t="n"/>
      <c r="J11" s="11" t="n"/>
    </row>
    <row r="12" ht="22" customHeight="1">
      <c r="B12" s="15">
        <f>IF(C12="","HML-"&amp;TEXT(COUNTA($C$5:C12),"000"))</f>
        <v/>
      </c>
      <c r="C12" s="27" t="n"/>
      <c r="D12" s="13" t="n"/>
      <c r="E12" s="13" t="n"/>
      <c r="F12" s="13" t="n"/>
      <c r="G12" s="13" t="n"/>
      <c r="H12" s="13" t="n"/>
      <c r="I12" s="18" t="n"/>
      <c r="J12" s="13" t="n"/>
    </row>
    <row r="13" ht="22" customHeight="1">
      <c r="B13" s="16">
        <f>IF(C13="","HML-"&amp;TEXT(COUNTA($C$5:C13),"000"))</f>
        <v/>
      </c>
      <c r="C13" s="26" t="n"/>
      <c r="D13" s="11" t="n"/>
      <c r="E13" s="11" t="n"/>
      <c r="F13" s="11" t="n"/>
      <c r="G13" s="11" t="n"/>
      <c r="H13" s="11" t="n"/>
      <c r="I13" s="17" t="n"/>
      <c r="J13" s="11" t="n"/>
    </row>
    <row r="14" ht="22" customHeight="1">
      <c r="B14" s="15">
        <f>IF(C14="","HML-"&amp;TEXT(COUNTA($C$5:C14),"000"))</f>
        <v/>
      </c>
      <c r="C14" s="27" t="n"/>
      <c r="D14" s="13" t="n"/>
      <c r="E14" s="13" t="n"/>
      <c r="F14" s="13" t="n"/>
      <c r="G14" s="13" t="n"/>
      <c r="H14" s="13" t="n"/>
      <c r="I14" s="18" t="n"/>
      <c r="J14" s="13" t="n"/>
    </row>
    <row r="15" ht="22" customHeight="1">
      <c r="B15" s="16">
        <f>IF(C15="","HML-"&amp;TEXT(COUNTA($C$5:C15),"000"))</f>
        <v/>
      </c>
      <c r="C15" s="26" t="n"/>
      <c r="D15" s="11" t="n"/>
      <c r="E15" s="11" t="n"/>
      <c r="F15" s="11" t="n"/>
      <c r="G15" s="11" t="n"/>
      <c r="H15" s="11" t="n"/>
      <c r="I15" s="17" t="n"/>
      <c r="J15" s="11" t="n"/>
    </row>
    <row r="16" ht="22" customHeight="1">
      <c r="B16" s="15">
        <f>IF(C16="","HML-"&amp;TEXT(COUNTA($C$5:C16),"000"))</f>
        <v/>
      </c>
      <c r="C16" s="27" t="n"/>
      <c r="D16" s="13" t="n"/>
      <c r="E16" s="13" t="n"/>
      <c r="F16" s="13" t="n"/>
      <c r="G16" s="13" t="n"/>
      <c r="H16" s="13" t="n"/>
      <c r="I16" s="18" t="n"/>
      <c r="J16" s="13" t="n"/>
    </row>
    <row r="17" ht="22" customHeight="1">
      <c r="B17" s="16">
        <f>IF(C17="","HML-"&amp;TEXT(COUNTA($C$5:C17),"000"))</f>
        <v/>
      </c>
      <c r="C17" s="26" t="n"/>
      <c r="D17" s="11" t="n"/>
      <c r="E17" s="11" t="n"/>
      <c r="F17" s="11" t="n"/>
      <c r="G17" s="11" t="n"/>
      <c r="H17" s="11" t="n"/>
      <c r="I17" s="17" t="n"/>
      <c r="J17" s="11" t="n"/>
    </row>
    <row r="18" ht="22" customHeight="1">
      <c r="B18" s="15">
        <f>IF(C18="","HML-"&amp;TEXT(COUNTA($C$5:C18),"000"))</f>
        <v/>
      </c>
      <c r="C18" s="27" t="n"/>
      <c r="D18" s="13" t="n"/>
      <c r="E18" s="13" t="n"/>
      <c r="F18" s="13" t="n"/>
      <c r="G18" s="13" t="n"/>
      <c r="H18" s="13" t="n"/>
      <c r="I18" s="18" t="n"/>
      <c r="J18" s="13" t="n"/>
    </row>
    <row r="19" ht="22" customHeight="1">
      <c r="B19" s="16">
        <f>IF(C19="","HML-"&amp;TEXT(COUNTA($C$5:C19),"000"))</f>
        <v/>
      </c>
      <c r="C19" s="26" t="n"/>
      <c r="D19" s="11" t="n"/>
      <c r="E19" s="11" t="n"/>
      <c r="F19" s="11" t="n"/>
      <c r="G19" s="11" t="n"/>
      <c r="H19" s="11" t="n"/>
      <c r="I19" s="17" t="n"/>
      <c r="J19" s="11" t="n"/>
    </row>
    <row r="20" ht="22" customHeight="1">
      <c r="B20" s="15">
        <f>IF(C20="","HML-"&amp;TEXT(COUNTA($C$5:C20),"000"))</f>
        <v/>
      </c>
      <c r="C20" s="27" t="n"/>
      <c r="D20" s="13" t="n"/>
      <c r="E20" s="13" t="n"/>
      <c r="F20" s="13" t="n"/>
      <c r="G20" s="13" t="n"/>
      <c r="H20" s="13" t="n"/>
      <c r="I20" s="18" t="n"/>
      <c r="J20" s="13" t="n"/>
    </row>
    <row r="21" ht="22" customHeight="1">
      <c r="B21" s="16">
        <f>IF(C21="","HML-"&amp;TEXT(COUNTA($C$5:C21),"000"))</f>
        <v/>
      </c>
      <c r="C21" s="26" t="n"/>
      <c r="D21" s="11" t="n"/>
      <c r="E21" s="11" t="n"/>
      <c r="F21" s="11" t="n"/>
      <c r="G21" s="11" t="n"/>
      <c r="H21" s="11" t="n"/>
      <c r="I21" s="17" t="n"/>
      <c r="J21" s="11" t="n"/>
    </row>
    <row r="22" ht="22" customHeight="1">
      <c r="B22" s="15">
        <f>IF(C22="","HML-"&amp;TEXT(COUNTA($C$5:C22),"000"))</f>
        <v/>
      </c>
      <c r="C22" s="27" t="n"/>
      <c r="D22" s="13" t="n"/>
      <c r="E22" s="13" t="n"/>
      <c r="F22" s="13" t="n"/>
      <c r="G22" s="13" t="n"/>
      <c r="H22" s="13" t="n"/>
      <c r="I22" s="18" t="n"/>
      <c r="J22" s="13" t="n"/>
    </row>
    <row r="23" ht="22" customHeight="1">
      <c r="B23" s="16">
        <f>IF(C23="","HML-"&amp;TEXT(COUNTA($C$5:C23),"000"))</f>
        <v/>
      </c>
      <c r="C23" s="26" t="n"/>
      <c r="D23" s="11" t="n"/>
      <c r="E23" s="11" t="n"/>
      <c r="F23" s="11" t="n"/>
      <c r="G23" s="11" t="n"/>
      <c r="H23" s="11" t="n"/>
      <c r="I23" s="17" t="n"/>
      <c r="J23" s="11" t="n"/>
    </row>
    <row r="24" ht="22" customHeight="1">
      <c r="B24" s="15">
        <f>IF(C24="","HML-"&amp;TEXT(COUNTA($C$5:C24),"000"))</f>
        <v/>
      </c>
      <c r="C24" s="27" t="n"/>
      <c r="D24" s="13" t="n"/>
      <c r="E24" s="13" t="n"/>
      <c r="F24" s="13" t="n"/>
      <c r="G24" s="13" t="n"/>
      <c r="H24" s="13" t="n"/>
      <c r="I24" s="18" t="n"/>
      <c r="J24" s="13" t="n"/>
    </row>
    <row r="25" ht="22" customHeight="1">
      <c r="B25" s="16">
        <f>IF(C25="","HML-"&amp;TEXT(COUNTA($C$5:C25),"000"))</f>
        <v/>
      </c>
      <c r="C25" s="26" t="n"/>
      <c r="D25" s="11" t="n"/>
      <c r="E25" s="11" t="n"/>
      <c r="F25" s="11" t="n"/>
      <c r="G25" s="11" t="n"/>
      <c r="H25" s="11" t="n"/>
      <c r="I25" s="17" t="n"/>
      <c r="J25" s="11" t="n"/>
    </row>
    <row r="26" ht="22" customHeight="1">
      <c r="B26" s="15">
        <f>IF(C26="","HML-"&amp;TEXT(COUNTA($C$5:C26),"000"))</f>
        <v/>
      </c>
      <c r="C26" s="27" t="n"/>
      <c r="D26" s="13" t="n"/>
      <c r="E26" s="13" t="n"/>
      <c r="F26" s="13" t="n"/>
      <c r="G26" s="13" t="n"/>
      <c r="H26" s="13" t="n"/>
      <c r="I26" s="18" t="n"/>
      <c r="J26" s="13" t="n"/>
    </row>
    <row r="27" ht="22" customHeight="1">
      <c r="B27" s="16">
        <f>IF(C27="","HML-"&amp;TEXT(COUNTA($C$5:C27),"000"))</f>
        <v/>
      </c>
      <c r="C27" s="26" t="n"/>
      <c r="D27" s="11" t="n"/>
      <c r="E27" s="11" t="n"/>
      <c r="F27" s="11" t="n"/>
      <c r="G27" s="11" t="n"/>
      <c r="H27" s="11" t="n"/>
      <c r="I27" s="17" t="n"/>
      <c r="J27" s="11" t="n"/>
    </row>
    <row r="28" ht="22" customHeight="1">
      <c r="B28" s="15">
        <f>IF(C28="","HML-"&amp;TEXT(COUNTA($C$5:C28),"000"))</f>
        <v/>
      </c>
      <c r="C28" s="27" t="n"/>
      <c r="D28" s="13" t="n"/>
      <c r="E28" s="13" t="n"/>
      <c r="F28" s="13" t="n"/>
      <c r="G28" s="13" t="n"/>
      <c r="H28" s="13" t="n"/>
      <c r="I28" s="18" t="n"/>
      <c r="J28" s="13" t="n"/>
    </row>
    <row r="29" ht="22" customHeight="1">
      <c r="B29" s="16">
        <f>IF(C29="","HML-"&amp;TEXT(COUNTA($C$5:C29),"000"))</f>
        <v/>
      </c>
      <c r="C29" s="26" t="n"/>
      <c r="D29" s="11" t="n"/>
      <c r="E29" s="11" t="n"/>
      <c r="F29" s="11" t="n"/>
      <c r="G29" s="11" t="n"/>
      <c r="H29" s="11" t="n"/>
      <c r="I29" s="17" t="n"/>
      <c r="J29" s="11" t="n"/>
    </row>
    <row r="30" ht="22" customHeight="1">
      <c r="B30" s="15">
        <f>IF(C30="","HML-"&amp;TEXT(COUNTA($C$5:C30),"000"))</f>
        <v/>
      </c>
      <c r="C30" s="27" t="n"/>
      <c r="D30" s="13" t="n"/>
      <c r="E30" s="13" t="n"/>
      <c r="F30" s="13" t="n"/>
      <c r="G30" s="13" t="n"/>
      <c r="H30" s="13" t="n"/>
      <c r="I30" s="18" t="n"/>
      <c r="J30" s="13" t="n"/>
    </row>
    <row r="31" ht="22" customHeight="1">
      <c r="B31" s="16">
        <f>IF(C31="","HML-"&amp;TEXT(COUNTA($C$5:C31),"000"))</f>
        <v/>
      </c>
      <c r="C31" s="26" t="n"/>
      <c r="D31" s="11" t="n"/>
      <c r="E31" s="11" t="n"/>
      <c r="F31" s="11" t="n"/>
      <c r="G31" s="11" t="n"/>
      <c r="H31" s="11" t="n"/>
      <c r="I31" s="17" t="n"/>
      <c r="J31" s="11" t="n"/>
    </row>
    <row r="32" ht="22" customHeight="1">
      <c r="B32" s="15">
        <f>IF(C32="","HML-"&amp;TEXT(COUNTA($C$5:C32),"000"))</f>
        <v/>
      </c>
      <c r="C32" s="27" t="n"/>
      <c r="D32" s="13" t="n"/>
      <c r="E32" s="13" t="n"/>
      <c r="F32" s="13" t="n"/>
      <c r="G32" s="13" t="n"/>
      <c r="H32" s="13" t="n"/>
      <c r="I32" s="18" t="n"/>
      <c r="J32" s="13" t="n"/>
    </row>
    <row r="33" ht="22" customHeight="1">
      <c r="B33" s="16">
        <f>IF(C33="","HML-"&amp;TEXT(COUNTA($C$5:C33),"000"))</f>
        <v/>
      </c>
      <c r="C33" s="26" t="n"/>
      <c r="D33" s="11" t="n"/>
      <c r="E33" s="11" t="n"/>
      <c r="F33" s="11" t="n"/>
      <c r="G33" s="11" t="n"/>
      <c r="H33" s="11" t="n"/>
      <c r="I33" s="17" t="n"/>
      <c r="J33" s="11" t="n"/>
    </row>
    <row r="34" ht="22" customHeight="1">
      <c r="B34" s="15">
        <f>IF(C34="","HML-"&amp;TEXT(COUNTA($C$5:C34),"000"))</f>
        <v/>
      </c>
      <c r="C34" s="27" t="n"/>
      <c r="D34" s="13" t="n"/>
      <c r="E34" s="13" t="n"/>
      <c r="F34" s="13" t="n"/>
      <c r="G34" s="13" t="n"/>
      <c r="H34" s="13" t="n"/>
      <c r="I34" s="18" t="n"/>
      <c r="J34" s="13" t="n"/>
    </row>
    <row r="35" ht="22" customHeight="1">
      <c r="B35" s="16">
        <f>IF(C35="","HML-"&amp;TEXT(COUNTA($C$5:C35),"000"))</f>
        <v/>
      </c>
      <c r="C35" s="26" t="n"/>
      <c r="D35" s="11" t="n"/>
      <c r="E35" s="11" t="n"/>
      <c r="F35" s="11" t="n"/>
      <c r="G35" s="11" t="n"/>
      <c r="H35" s="11" t="n"/>
      <c r="I35" s="17" t="n"/>
      <c r="J35" s="11" t="n"/>
    </row>
    <row r="36" ht="22" customHeight="1">
      <c r="B36" s="15">
        <f>IF(C36="","HML-"&amp;TEXT(COUNTA($C$5:C36),"000"))</f>
        <v/>
      </c>
      <c r="C36" s="27" t="n"/>
      <c r="D36" s="13" t="n"/>
      <c r="E36" s="13" t="n"/>
      <c r="F36" s="13" t="n"/>
      <c r="G36" s="13" t="n"/>
      <c r="H36" s="13" t="n"/>
      <c r="I36" s="18" t="n"/>
      <c r="J36" s="13" t="n"/>
    </row>
    <row r="37" ht="22" customHeight="1">
      <c r="B37" s="16">
        <f>IF(C37="","HML-"&amp;TEXT(COUNTA($C$5:C37),"000"))</f>
        <v/>
      </c>
      <c r="C37" s="26" t="n"/>
      <c r="D37" s="11" t="n"/>
      <c r="E37" s="11" t="n"/>
      <c r="F37" s="11" t="n"/>
      <c r="G37" s="11" t="n"/>
      <c r="H37" s="11" t="n"/>
      <c r="I37" s="17" t="n"/>
      <c r="J37" s="11" t="n"/>
    </row>
    <row r="38" ht="22" customHeight="1">
      <c r="B38" s="15">
        <f>IF(C38="","HML-"&amp;TEXT(COUNTA($C$5:C38),"000"))</f>
        <v/>
      </c>
      <c r="C38" s="27" t="n"/>
      <c r="D38" s="13" t="n"/>
      <c r="E38" s="13" t="n"/>
      <c r="F38" s="13" t="n"/>
      <c r="G38" s="13" t="n"/>
      <c r="H38" s="13" t="n"/>
      <c r="I38" s="18" t="n"/>
      <c r="J38" s="13" t="n"/>
    </row>
    <row r="39" ht="22" customHeight="1">
      <c r="B39" s="16">
        <f>IF(C39="","HML-"&amp;TEXT(COUNTA($C$5:C39),"000"))</f>
        <v/>
      </c>
      <c r="C39" s="26" t="n"/>
      <c r="D39" s="11" t="n"/>
      <c r="E39" s="11" t="n"/>
      <c r="F39" s="11" t="n"/>
      <c r="G39" s="11" t="n"/>
      <c r="H39" s="11" t="n"/>
      <c r="I39" s="17" t="n"/>
      <c r="J39" s="11" t="n"/>
    </row>
    <row r="40" ht="22" customHeight="1">
      <c r="B40" s="15">
        <f>IF(C40="","HML-"&amp;TEXT(COUNTA($C$5:C40),"000"))</f>
        <v/>
      </c>
      <c r="C40" s="27" t="n"/>
      <c r="D40" s="13" t="n"/>
      <c r="E40" s="13" t="n"/>
      <c r="F40" s="13" t="n"/>
      <c r="G40" s="13" t="n"/>
      <c r="H40" s="13" t="n"/>
      <c r="I40" s="18" t="n"/>
      <c r="J40" s="13" t="n"/>
    </row>
    <row r="41" ht="22" customHeight="1">
      <c r="B41" s="16">
        <f>IF(C41="","HML-"&amp;TEXT(COUNTA($C$5:C41),"000"))</f>
        <v/>
      </c>
      <c r="C41" s="26" t="n"/>
      <c r="D41" s="11" t="n"/>
      <c r="E41" s="11" t="n"/>
      <c r="F41" s="11" t="n"/>
      <c r="G41" s="11" t="n"/>
      <c r="H41" s="11" t="n"/>
      <c r="I41" s="17" t="n"/>
      <c r="J41" s="11" t="n"/>
    </row>
    <row r="42" ht="22" customHeight="1">
      <c r="B42" s="15">
        <f>IF(C42="","HML-"&amp;TEXT(COUNTA($C$5:C42),"000"))</f>
        <v/>
      </c>
      <c r="C42" s="27" t="n"/>
      <c r="D42" s="13" t="n"/>
      <c r="E42" s="13" t="n"/>
      <c r="F42" s="13" t="n"/>
      <c r="G42" s="13" t="n"/>
      <c r="H42" s="13" t="n"/>
      <c r="I42" s="18" t="n"/>
      <c r="J42" s="13" t="n"/>
    </row>
    <row r="43" ht="22" customHeight="1">
      <c r="B43" s="16">
        <f>IF(C43="","HML-"&amp;TEXT(COUNTA($C$5:C43),"000"))</f>
        <v/>
      </c>
      <c r="C43" s="26" t="n"/>
      <c r="D43" s="11" t="n"/>
      <c r="E43" s="11" t="n"/>
      <c r="F43" s="11" t="n"/>
      <c r="G43" s="11" t="n"/>
      <c r="H43" s="11" t="n"/>
      <c r="I43" s="17" t="n"/>
      <c r="J43" s="11" t="n"/>
    </row>
    <row r="44" ht="22" customHeight="1">
      <c r="B44" s="15">
        <f>IF(C44="","HML-"&amp;TEXT(COUNTA($C$5:C44),"000"))</f>
        <v/>
      </c>
      <c r="C44" s="27" t="n"/>
      <c r="D44" s="13" t="n"/>
      <c r="E44" s="13" t="n"/>
      <c r="F44" s="13" t="n"/>
      <c r="G44" s="13" t="n"/>
      <c r="H44" s="13" t="n"/>
      <c r="I44" s="18" t="n"/>
      <c r="J44" s="13" t="n"/>
    </row>
    <row r="45" ht="22" customHeight="1">
      <c r="B45" s="16">
        <f>IF(C45="","HML-"&amp;TEXT(COUNTA($C$5:C45),"000"))</f>
        <v/>
      </c>
      <c r="C45" s="26" t="n"/>
      <c r="D45" s="11" t="n"/>
      <c r="E45" s="11" t="n"/>
      <c r="F45" s="11" t="n"/>
      <c r="G45" s="11" t="n"/>
      <c r="H45" s="11" t="n"/>
      <c r="I45" s="17" t="n"/>
      <c r="J45" s="11" t="n"/>
    </row>
    <row r="46" ht="22" customHeight="1">
      <c r="B46" s="15">
        <f>IF(C46="","HML-"&amp;TEXT(COUNTA($C$5:C46),"000"))</f>
        <v/>
      </c>
      <c r="C46" s="27" t="n"/>
      <c r="D46" s="13" t="n"/>
      <c r="E46" s="13" t="n"/>
      <c r="F46" s="13" t="n"/>
      <c r="G46" s="13" t="n"/>
      <c r="H46" s="13" t="n"/>
      <c r="I46" s="18" t="n"/>
      <c r="J46" s="13" t="n"/>
    </row>
    <row r="47" ht="22" customHeight="1">
      <c r="B47" s="16">
        <f>IF(C47="","HML-"&amp;TEXT(COUNTA($C$5:C47),"000"))</f>
        <v/>
      </c>
      <c r="C47" s="26" t="n"/>
      <c r="D47" s="11" t="n"/>
      <c r="E47" s="11" t="n"/>
      <c r="F47" s="11" t="n"/>
      <c r="G47" s="11" t="n"/>
      <c r="H47" s="11" t="n"/>
      <c r="I47" s="17" t="n"/>
      <c r="J47" s="11" t="n"/>
    </row>
    <row r="48" ht="22" customHeight="1">
      <c r="B48" s="15">
        <f>IF(C48="","HML-"&amp;TEXT(COUNTA($C$5:C48),"000"))</f>
        <v/>
      </c>
      <c r="C48" s="27" t="n"/>
      <c r="D48" s="13" t="n"/>
      <c r="E48" s="13" t="n"/>
      <c r="F48" s="13" t="n"/>
      <c r="G48" s="13" t="n"/>
      <c r="H48" s="13" t="n"/>
      <c r="I48" s="18" t="n"/>
      <c r="J48" s="13" t="n"/>
    </row>
    <row r="49" ht="22" customHeight="1">
      <c r="B49" s="16">
        <f>IF(C49="","HML-"&amp;TEXT(COUNTA($C$5:C49),"000"))</f>
        <v/>
      </c>
      <c r="C49" s="26" t="n"/>
      <c r="D49" s="11" t="n"/>
      <c r="E49" s="11" t="n"/>
      <c r="F49" s="11" t="n"/>
      <c r="G49" s="11" t="n"/>
      <c r="H49" s="11" t="n"/>
      <c r="I49" s="17" t="n"/>
      <c r="J49" s="11" t="n"/>
    </row>
    <row r="50" ht="22" customHeight="1">
      <c r="B50" s="15">
        <f>IF(C50="","HML-"&amp;TEXT(COUNTA($C$5:C50),"000"))</f>
        <v/>
      </c>
      <c r="C50" s="27" t="n"/>
      <c r="D50" s="13" t="n"/>
      <c r="E50" s="13" t="n"/>
      <c r="F50" s="13" t="n"/>
      <c r="G50" s="13" t="n"/>
      <c r="H50" s="13" t="n"/>
      <c r="I50" s="18" t="n"/>
      <c r="J50" s="13" t="n"/>
    </row>
    <row r="51" ht="22" customHeight="1">
      <c r="B51" s="16">
        <f>IF(C51="","HML-"&amp;TEXT(COUNTA($C$5:C51),"000"))</f>
        <v/>
      </c>
      <c r="C51" s="26" t="n"/>
      <c r="D51" s="11" t="n"/>
      <c r="E51" s="11" t="n"/>
      <c r="F51" s="11" t="n"/>
      <c r="G51" s="11" t="n"/>
      <c r="H51" s="11" t="n"/>
      <c r="I51" s="17" t="n"/>
      <c r="J51" s="11" t="n"/>
    </row>
    <row r="52" ht="22" customHeight="1">
      <c r="B52" s="15">
        <f>IF(C52="","HML-"&amp;TEXT(COUNTA($C$5:C52),"000"))</f>
        <v/>
      </c>
      <c r="C52" s="27" t="n"/>
      <c r="D52" s="13" t="n"/>
      <c r="E52" s="13" t="n"/>
      <c r="F52" s="13" t="n"/>
      <c r="G52" s="13" t="n"/>
      <c r="H52" s="13" t="n"/>
      <c r="I52" s="18" t="n"/>
      <c r="J52" s="13" t="n"/>
    </row>
    <row r="53" ht="22" customHeight="1">
      <c r="B53" s="16">
        <f>IF(C53="","HML-"&amp;TEXT(COUNTA($C$5:C53),"000"))</f>
        <v/>
      </c>
      <c r="C53" s="26" t="n"/>
      <c r="D53" s="11" t="n"/>
      <c r="E53" s="11" t="n"/>
      <c r="F53" s="11" t="n"/>
      <c r="G53" s="11" t="n"/>
      <c r="H53" s="11" t="n"/>
      <c r="I53" s="17" t="n"/>
      <c r="J53" s="11" t="n"/>
    </row>
    <row r="54" ht="22" customHeight="1">
      <c r="B54" s="15">
        <f>IF(C54="","HML-"&amp;TEXT(COUNTA($C$5:C54),"000"))</f>
        <v/>
      </c>
      <c r="C54" s="27" t="n"/>
      <c r="D54" s="13" t="n"/>
      <c r="E54" s="13" t="n"/>
      <c r="F54" s="13" t="n"/>
      <c r="G54" s="13" t="n"/>
      <c r="H54" s="13" t="n"/>
      <c r="I54" s="18" t="n"/>
      <c r="J54" s="13" t="n"/>
    </row>
    <row r="55" ht="22" customHeight="1">
      <c r="B55" s="16">
        <f>IF(C55="","HML-"&amp;TEXT(COUNTA($C$5:C55),"000"))</f>
        <v/>
      </c>
      <c r="C55" s="26" t="n"/>
      <c r="D55" s="11" t="n"/>
      <c r="E55" s="11" t="n"/>
      <c r="F55" s="11" t="n"/>
      <c r="G55" s="11" t="n"/>
      <c r="H55" s="11" t="n"/>
      <c r="I55" s="17" t="n"/>
      <c r="J55" s="11" t="n"/>
    </row>
    <row r="56" ht="22" customHeight="1">
      <c r="B56" s="15">
        <f>IF(C56="","HML-"&amp;TEXT(COUNTA($C$5:C56),"000"))</f>
        <v/>
      </c>
      <c r="C56" s="27" t="n"/>
      <c r="D56" s="13" t="n"/>
      <c r="E56" s="13" t="n"/>
      <c r="F56" s="13" t="n"/>
      <c r="G56" s="13" t="n"/>
      <c r="H56" s="13" t="n"/>
      <c r="I56" s="18" t="n"/>
      <c r="J56" s="13" t="n"/>
    </row>
    <row r="57" ht="22" customHeight="1">
      <c r="B57" s="16">
        <f>IF(C57="","HML-"&amp;TEXT(COUNTA($C$5:C57),"000"))</f>
        <v/>
      </c>
      <c r="C57" s="26" t="n"/>
      <c r="D57" s="11" t="n"/>
      <c r="E57" s="11" t="n"/>
      <c r="F57" s="11" t="n"/>
      <c r="G57" s="11" t="n"/>
      <c r="H57" s="11" t="n"/>
      <c r="I57" s="17" t="n"/>
      <c r="J57" s="11" t="n"/>
    </row>
    <row r="58" ht="22" customHeight="1">
      <c r="B58" s="15">
        <f>IF(C58="","HML-"&amp;TEXT(COUNTA($C$5:C58),"000"))</f>
        <v/>
      </c>
      <c r="C58" s="27" t="n"/>
      <c r="D58" s="13" t="n"/>
      <c r="E58" s="13" t="n"/>
      <c r="F58" s="13" t="n"/>
      <c r="G58" s="13" t="n"/>
      <c r="H58" s="13" t="n"/>
      <c r="I58" s="18" t="n"/>
      <c r="J58" s="13" t="n"/>
    </row>
    <row r="59" ht="22" customHeight="1">
      <c r="B59" s="16">
        <f>IF(C59="","HML-"&amp;TEXT(COUNTA($C$5:C59),"000"))</f>
        <v/>
      </c>
      <c r="C59" s="26" t="n"/>
      <c r="D59" s="11" t="n"/>
      <c r="E59" s="11" t="n"/>
      <c r="F59" s="11" t="n"/>
      <c r="G59" s="11" t="n"/>
      <c r="H59" s="11" t="n"/>
      <c r="I59" s="17" t="n"/>
      <c r="J59" s="11" t="n"/>
    </row>
    <row r="60" ht="22" customHeight="1">
      <c r="B60" s="15">
        <f>IF(C60="","HML-"&amp;TEXT(COUNTA($C$5:C60),"000"))</f>
        <v/>
      </c>
      <c r="C60" s="27" t="n"/>
      <c r="D60" s="13" t="n"/>
      <c r="E60" s="13" t="n"/>
      <c r="F60" s="13" t="n"/>
      <c r="G60" s="13" t="n"/>
      <c r="H60" s="13" t="n"/>
      <c r="I60" s="18" t="n"/>
      <c r="J60" s="13" t="n"/>
    </row>
    <row r="61" ht="22" customHeight="1">
      <c r="B61" s="16">
        <f>IF(C61="","HML-"&amp;TEXT(COUNTA($C$5:C61),"000"))</f>
        <v/>
      </c>
      <c r="C61" s="26" t="n"/>
      <c r="D61" s="11" t="n"/>
      <c r="E61" s="11" t="n"/>
      <c r="F61" s="11" t="n"/>
      <c r="G61" s="11" t="n"/>
      <c r="H61" s="11" t="n"/>
      <c r="I61" s="17" t="n"/>
      <c r="J61" s="11" t="n"/>
    </row>
    <row r="62" ht="22" customHeight="1">
      <c r="B62" s="15">
        <f>IF(C62="","HML-"&amp;TEXT(COUNTA($C$5:C62),"000"))</f>
        <v/>
      </c>
      <c r="C62" s="27" t="n"/>
      <c r="D62" s="13" t="n"/>
      <c r="E62" s="13" t="n"/>
      <c r="F62" s="13" t="n"/>
      <c r="G62" s="13" t="n"/>
      <c r="H62" s="13" t="n"/>
      <c r="I62" s="18" t="n"/>
      <c r="J62" s="13" t="n"/>
    </row>
    <row r="63" ht="22" customHeight="1">
      <c r="B63" s="16">
        <f>IF(C63="","HML-"&amp;TEXT(COUNTA($C$5:C63),"000"))</f>
        <v/>
      </c>
      <c r="C63" s="26" t="n"/>
      <c r="D63" s="11" t="n"/>
      <c r="E63" s="11" t="n"/>
      <c r="F63" s="11" t="n"/>
      <c r="G63" s="11" t="n"/>
      <c r="H63" s="11" t="n"/>
      <c r="I63" s="17" t="n"/>
      <c r="J63" s="11" t="n"/>
    </row>
    <row r="64" ht="22" customHeight="1">
      <c r="B64" s="15">
        <f>IF(C64="","HML-"&amp;TEXT(COUNTA($C$5:C64),"000"))</f>
        <v/>
      </c>
      <c r="C64" s="27" t="n"/>
      <c r="D64" s="13" t="n"/>
      <c r="E64" s="13" t="n"/>
      <c r="F64" s="13" t="n"/>
      <c r="G64" s="13" t="n"/>
      <c r="H64" s="13" t="n"/>
      <c r="I64" s="18" t="n"/>
      <c r="J64" s="13" t="n"/>
    </row>
    <row r="65" ht="22" customHeight="1">
      <c r="B65" s="16">
        <f>IF(C65="","HML-"&amp;TEXT(COUNTA($C$5:C65),"000"))</f>
        <v/>
      </c>
      <c r="C65" s="26" t="n"/>
      <c r="D65" s="11" t="n"/>
      <c r="E65" s="11" t="n"/>
      <c r="F65" s="11" t="n"/>
      <c r="G65" s="11" t="n"/>
      <c r="H65" s="11" t="n"/>
      <c r="I65" s="17" t="n"/>
      <c r="J65" s="11" t="n"/>
    </row>
    <row r="66" ht="22" customHeight="1">
      <c r="B66" s="15">
        <f>IF(C66="","HML-"&amp;TEXT(COUNTA($C$5:C66),"000"))</f>
        <v/>
      </c>
      <c r="C66" s="27" t="n"/>
      <c r="D66" s="13" t="n"/>
      <c r="E66" s="13" t="n"/>
      <c r="F66" s="13" t="n"/>
      <c r="G66" s="13" t="n"/>
      <c r="H66" s="13" t="n"/>
      <c r="I66" s="18" t="n"/>
      <c r="J66" s="13" t="n"/>
    </row>
    <row r="67" ht="22" customHeight="1">
      <c r="B67" s="16">
        <f>IF(C67="","HML-"&amp;TEXT(COUNTA($C$5:C67),"000"))</f>
        <v/>
      </c>
      <c r="C67" s="26" t="n"/>
      <c r="D67" s="11" t="n"/>
      <c r="E67" s="11" t="n"/>
      <c r="F67" s="11" t="n"/>
      <c r="G67" s="11" t="n"/>
      <c r="H67" s="11" t="n"/>
      <c r="I67" s="17" t="n"/>
      <c r="J67" s="11" t="n"/>
    </row>
    <row r="68" ht="22" customHeight="1">
      <c r="B68" s="15">
        <f>IF(C68="","HML-"&amp;TEXT(COUNTA($C$5:C68),"000"))</f>
        <v/>
      </c>
      <c r="C68" s="27" t="n"/>
      <c r="D68" s="13" t="n"/>
      <c r="E68" s="13" t="n"/>
      <c r="F68" s="13" t="n"/>
      <c r="G68" s="13" t="n"/>
      <c r="H68" s="13" t="n"/>
      <c r="I68" s="18" t="n"/>
      <c r="J68" s="13" t="n"/>
    </row>
    <row r="69" ht="22" customHeight="1">
      <c r="B69" s="16">
        <f>IF(C69="","HML-"&amp;TEXT(COUNTA($C$5:C69),"000"))</f>
        <v/>
      </c>
      <c r="C69" s="26" t="n"/>
      <c r="D69" s="11" t="n"/>
      <c r="E69" s="11" t="n"/>
      <c r="F69" s="11" t="n"/>
      <c r="G69" s="11" t="n"/>
      <c r="H69" s="11" t="n"/>
      <c r="I69" s="17" t="n"/>
      <c r="J69" s="11" t="n"/>
    </row>
    <row r="70" ht="22" customHeight="1">
      <c r="B70" s="15">
        <f>IF(C70="","HML-"&amp;TEXT(COUNTA($C$5:C70),"000"))</f>
        <v/>
      </c>
      <c r="C70" s="27" t="n"/>
      <c r="D70" s="13" t="n"/>
      <c r="E70" s="13" t="n"/>
      <c r="F70" s="13" t="n"/>
      <c r="G70" s="13" t="n"/>
      <c r="H70" s="13" t="n"/>
      <c r="I70" s="18" t="n"/>
      <c r="J70" s="13" t="n"/>
    </row>
    <row r="71" ht="22" customHeight="1">
      <c r="B71" s="16">
        <f>IF(C71="","HML-"&amp;TEXT(COUNTA($C$5:C71),"000"))</f>
        <v/>
      </c>
      <c r="C71" s="26" t="n"/>
      <c r="D71" s="11" t="n"/>
      <c r="E71" s="11" t="n"/>
      <c r="F71" s="11" t="n"/>
      <c r="G71" s="11" t="n"/>
      <c r="H71" s="11" t="n"/>
      <c r="I71" s="17" t="n"/>
      <c r="J71" s="11" t="n"/>
    </row>
    <row r="72" ht="22" customHeight="1">
      <c r="B72" s="15">
        <f>IF(C72="","HML-"&amp;TEXT(COUNTA($C$5:C72),"000"))</f>
        <v/>
      </c>
      <c r="C72" s="27" t="n"/>
      <c r="D72" s="13" t="n"/>
      <c r="E72" s="13" t="n"/>
      <c r="F72" s="13" t="n"/>
      <c r="G72" s="13" t="n"/>
      <c r="H72" s="13" t="n"/>
      <c r="I72" s="18" t="n"/>
      <c r="J72" s="13" t="n"/>
    </row>
    <row r="73" ht="22" customHeight="1">
      <c r="B73" s="16">
        <f>IF(C73="","HML-"&amp;TEXT(COUNTA($C$5:C73),"000"))</f>
        <v/>
      </c>
      <c r="C73" s="26" t="n"/>
      <c r="D73" s="11" t="n"/>
      <c r="E73" s="11" t="n"/>
      <c r="F73" s="11" t="n"/>
      <c r="G73" s="11" t="n"/>
      <c r="H73" s="11" t="n"/>
      <c r="I73" s="17" t="n"/>
      <c r="J73" s="11" t="n"/>
    </row>
    <row r="74" ht="22" customHeight="1">
      <c r="B74" s="15">
        <f>IF(C74="","HML-"&amp;TEXT(COUNTA($C$5:C74),"000"))</f>
        <v/>
      </c>
      <c r="C74" s="27" t="n"/>
      <c r="D74" s="13" t="n"/>
      <c r="E74" s="13" t="n"/>
      <c r="F74" s="13" t="n"/>
      <c r="G74" s="13" t="n"/>
      <c r="H74" s="13" t="n"/>
      <c r="I74" s="18" t="n"/>
      <c r="J74" s="13" t="n"/>
    </row>
    <row r="75" ht="22" customHeight="1">
      <c r="B75" s="16">
        <f>IF(C75="","HML-"&amp;TEXT(COUNTA($C$5:C75),"000"))</f>
        <v/>
      </c>
      <c r="C75" s="26" t="n"/>
      <c r="D75" s="11" t="n"/>
      <c r="E75" s="11" t="n"/>
      <c r="F75" s="11" t="n"/>
      <c r="G75" s="11" t="n"/>
      <c r="H75" s="11" t="n"/>
      <c r="I75" s="17" t="n"/>
      <c r="J75" s="11" t="n"/>
    </row>
    <row r="76" ht="22" customHeight="1">
      <c r="B76" s="15">
        <f>IF(C76="","HML-"&amp;TEXT(COUNTA($C$5:C76),"000"))</f>
        <v/>
      </c>
      <c r="C76" s="27" t="n"/>
      <c r="D76" s="13" t="n"/>
      <c r="E76" s="13" t="n"/>
      <c r="F76" s="13" t="n"/>
      <c r="G76" s="13" t="n"/>
      <c r="H76" s="13" t="n"/>
      <c r="I76" s="18" t="n"/>
      <c r="J76" s="13" t="n"/>
    </row>
    <row r="77" ht="22" customHeight="1">
      <c r="B77" s="16">
        <f>IF(C77="","HML-"&amp;TEXT(COUNTA($C$5:C77),"000"))</f>
        <v/>
      </c>
      <c r="C77" s="26" t="n"/>
      <c r="D77" s="11" t="n"/>
      <c r="E77" s="11" t="n"/>
      <c r="F77" s="11" t="n"/>
      <c r="G77" s="11" t="n"/>
      <c r="H77" s="11" t="n"/>
      <c r="I77" s="17" t="n"/>
      <c r="J77" s="11" t="n"/>
    </row>
    <row r="78" ht="22" customHeight="1">
      <c r="B78" s="15">
        <f>IF(C78="","HML-"&amp;TEXT(COUNTA($C$5:C78),"000"))</f>
        <v/>
      </c>
      <c r="C78" s="27" t="n"/>
      <c r="D78" s="13" t="n"/>
      <c r="E78" s="13" t="n"/>
      <c r="F78" s="13" t="n"/>
      <c r="G78" s="13" t="n"/>
      <c r="H78" s="13" t="n"/>
      <c r="I78" s="18" t="n"/>
      <c r="J78" s="13" t="n"/>
    </row>
    <row r="79" ht="22" customHeight="1">
      <c r="B79" s="16">
        <f>IF(C79="","HML-"&amp;TEXT(COUNTA($C$5:C79),"000"))</f>
        <v/>
      </c>
      <c r="C79" s="26" t="n"/>
      <c r="D79" s="11" t="n"/>
      <c r="E79" s="11" t="n"/>
      <c r="F79" s="11" t="n"/>
      <c r="G79" s="11" t="n"/>
      <c r="H79" s="11" t="n"/>
      <c r="I79" s="17" t="n"/>
      <c r="J79" s="11" t="n"/>
    </row>
    <row r="80" ht="22" customHeight="1">
      <c r="B80" s="15">
        <f>IF(C80="","HML-"&amp;TEXT(COUNTA($C$5:C80),"000"))</f>
        <v/>
      </c>
      <c r="C80" s="27" t="n"/>
      <c r="D80" s="13" t="n"/>
      <c r="E80" s="13" t="n"/>
      <c r="F80" s="13" t="n"/>
      <c r="G80" s="13" t="n"/>
      <c r="H80" s="13" t="n"/>
      <c r="I80" s="18" t="n"/>
      <c r="J80" s="13" t="n"/>
    </row>
    <row r="81" ht="22" customHeight="1">
      <c r="B81" s="16">
        <f>IF(C81="","HML-"&amp;TEXT(COUNTA($C$5:C81),"000"))</f>
        <v/>
      </c>
      <c r="C81" s="26" t="n"/>
      <c r="D81" s="11" t="n"/>
      <c r="E81" s="11" t="n"/>
      <c r="F81" s="11" t="n"/>
      <c r="G81" s="11" t="n"/>
      <c r="H81" s="11" t="n"/>
      <c r="I81" s="17" t="n"/>
      <c r="J81" s="11" t="n"/>
    </row>
    <row r="82" ht="22" customHeight="1">
      <c r="B82" s="15">
        <f>IF(C82="","HML-"&amp;TEXT(COUNTA($C$5:C82),"000"))</f>
        <v/>
      </c>
      <c r="C82" s="27" t="n"/>
      <c r="D82" s="13" t="n"/>
      <c r="E82" s="13" t="n"/>
      <c r="F82" s="13" t="n"/>
      <c r="G82" s="13" t="n"/>
      <c r="H82" s="13" t="n"/>
      <c r="I82" s="18" t="n"/>
      <c r="J82" s="13" t="n"/>
    </row>
    <row r="83" ht="22" customHeight="1">
      <c r="B83" s="16">
        <f>IF(C83="","HML-"&amp;TEXT(COUNTA($C$5:C83),"000"))</f>
        <v/>
      </c>
      <c r="C83" s="26" t="n"/>
      <c r="D83" s="11" t="n"/>
      <c r="E83" s="11" t="n"/>
      <c r="F83" s="11" t="n"/>
      <c r="G83" s="11" t="n"/>
      <c r="H83" s="11" t="n"/>
      <c r="I83" s="17" t="n"/>
      <c r="J83" s="11" t="n"/>
    </row>
    <row r="84" ht="22" customHeight="1">
      <c r="B84" s="15">
        <f>IF(C84="","HML-"&amp;TEXT(COUNTA($C$5:C84),"000"))</f>
        <v/>
      </c>
      <c r="C84" s="27" t="n"/>
      <c r="D84" s="13" t="n"/>
      <c r="E84" s="13" t="n"/>
      <c r="F84" s="13" t="n"/>
      <c r="G84" s="13" t="n"/>
      <c r="H84" s="13" t="n"/>
      <c r="I84" s="18" t="n"/>
      <c r="J84" s="13" t="n"/>
    </row>
    <row r="85" ht="22" customHeight="1">
      <c r="B85" s="16">
        <f>IF(C85="","HML-"&amp;TEXT(COUNTA($C$5:C85),"000"))</f>
        <v/>
      </c>
      <c r="C85" s="26" t="n"/>
      <c r="D85" s="11" t="n"/>
      <c r="E85" s="11" t="n"/>
      <c r="F85" s="11" t="n"/>
      <c r="G85" s="11" t="n"/>
      <c r="H85" s="11" t="n"/>
      <c r="I85" s="17" t="n"/>
      <c r="J85" s="11" t="n"/>
    </row>
    <row r="86" ht="22" customHeight="1">
      <c r="B86" s="15">
        <f>IF(C86="","HML-"&amp;TEXT(COUNTA($C$5:C86),"000"))</f>
        <v/>
      </c>
      <c r="C86" s="27" t="n"/>
      <c r="D86" s="13" t="n"/>
      <c r="E86" s="13" t="n"/>
      <c r="F86" s="13" t="n"/>
      <c r="G86" s="13" t="n"/>
      <c r="H86" s="13" t="n"/>
      <c r="I86" s="18" t="n"/>
      <c r="J86" s="13" t="n"/>
    </row>
    <row r="87" ht="22" customHeight="1">
      <c r="B87" s="16">
        <f>IF(C87="","HML-"&amp;TEXT(COUNTA($C$5:C87),"000"))</f>
        <v/>
      </c>
      <c r="C87" s="26" t="n"/>
      <c r="D87" s="11" t="n"/>
      <c r="E87" s="11" t="n"/>
      <c r="F87" s="11" t="n"/>
      <c r="G87" s="11" t="n"/>
      <c r="H87" s="11" t="n"/>
      <c r="I87" s="17" t="n"/>
      <c r="J87" s="11" t="n"/>
    </row>
    <row r="88" ht="22" customHeight="1">
      <c r="B88" s="15">
        <f>IF(C88="","HML-"&amp;TEXT(COUNTA($C$5:C88),"000"))</f>
        <v/>
      </c>
      <c r="C88" s="27" t="n"/>
      <c r="D88" s="13" t="n"/>
      <c r="E88" s="13" t="n"/>
      <c r="F88" s="13" t="n"/>
      <c r="G88" s="13" t="n"/>
      <c r="H88" s="13" t="n"/>
      <c r="I88" s="18" t="n"/>
      <c r="J88" s="13" t="n"/>
    </row>
    <row r="89" ht="22" customHeight="1">
      <c r="B89" s="16">
        <f>IF(C89="","HML-"&amp;TEXT(COUNTA($C$5:C89),"000"))</f>
        <v/>
      </c>
      <c r="C89" s="26" t="n"/>
      <c r="D89" s="11" t="n"/>
      <c r="E89" s="11" t="n"/>
      <c r="F89" s="11" t="n"/>
      <c r="G89" s="11" t="n"/>
      <c r="H89" s="11" t="n"/>
      <c r="I89" s="17" t="n"/>
      <c r="J89" s="11" t="n"/>
    </row>
    <row r="90" ht="22" customHeight="1">
      <c r="B90" s="15">
        <f>IF(C90="","HML-"&amp;TEXT(COUNTA($C$5:C90),"000"))</f>
        <v/>
      </c>
      <c r="C90" s="27" t="n"/>
      <c r="D90" s="13" t="n"/>
      <c r="E90" s="13" t="n"/>
      <c r="F90" s="13" t="n"/>
      <c r="G90" s="13" t="n"/>
      <c r="H90" s="13" t="n"/>
      <c r="I90" s="18" t="n"/>
      <c r="J90" s="13" t="n"/>
    </row>
    <row r="91" ht="22" customHeight="1">
      <c r="B91" s="16">
        <f>IF(C91="","HML-"&amp;TEXT(COUNTA($C$5:C91),"000"))</f>
        <v/>
      </c>
      <c r="C91" s="26" t="n"/>
      <c r="D91" s="11" t="n"/>
      <c r="E91" s="11" t="n"/>
      <c r="F91" s="11" t="n"/>
      <c r="G91" s="11" t="n"/>
      <c r="H91" s="11" t="n"/>
      <c r="I91" s="17" t="n"/>
      <c r="J91" s="11" t="n"/>
    </row>
    <row r="92" ht="22" customHeight="1">
      <c r="B92" s="15">
        <f>IF(C92="","HML-"&amp;TEXT(COUNTA($C$5:C92),"000"))</f>
        <v/>
      </c>
      <c r="C92" s="27" t="n"/>
      <c r="D92" s="13" t="n"/>
      <c r="E92" s="13" t="n"/>
      <c r="F92" s="13" t="n"/>
      <c r="G92" s="13" t="n"/>
      <c r="H92" s="13" t="n"/>
      <c r="I92" s="18" t="n"/>
      <c r="J92" s="13" t="n"/>
    </row>
    <row r="93" ht="22" customHeight="1">
      <c r="B93" s="16">
        <f>IF(C93="","HML-"&amp;TEXT(COUNTA($C$5:C93),"000"))</f>
        <v/>
      </c>
      <c r="C93" s="26" t="n"/>
      <c r="D93" s="11" t="n"/>
      <c r="E93" s="11" t="n"/>
      <c r="F93" s="11" t="n"/>
      <c r="G93" s="11" t="n"/>
      <c r="H93" s="11" t="n"/>
      <c r="I93" s="17" t="n"/>
      <c r="J93" s="11" t="n"/>
    </row>
    <row r="94" ht="22" customHeight="1">
      <c r="B94" s="15">
        <f>IF(C94="","HML-"&amp;TEXT(COUNTA($C$5:C94),"000"))</f>
        <v/>
      </c>
      <c r="C94" s="27" t="n"/>
      <c r="D94" s="13" t="n"/>
      <c r="E94" s="13" t="n"/>
      <c r="F94" s="13" t="n"/>
      <c r="G94" s="13" t="n"/>
      <c r="H94" s="13" t="n"/>
      <c r="I94" s="18" t="n"/>
      <c r="J94" s="13" t="n"/>
    </row>
    <row r="95" ht="22" customHeight="1">
      <c r="B95" s="16">
        <f>IF(C95="","HML-"&amp;TEXT(COUNTA($C$5:C95),"000"))</f>
        <v/>
      </c>
      <c r="C95" s="26" t="n"/>
      <c r="D95" s="11" t="n"/>
      <c r="E95" s="11" t="n"/>
      <c r="F95" s="11" t="n"/>
      <c r="G95" s="11" t="n"/>
      <c r="H95" s="11" t="n"/>
      <c r="I95" s="17" t="n"/>
      <c r="J95" s="11" t="n"/>
    </row>
    <row r="96" ht="22" customHeight="1">
      <c r="B96" s="15">
        <f>IF(C96="","HML-"&amp;TEXT(COUNTA($C$5:C96),"000"))</f>
        <v/>
      </c>
      <c r="C96" s="27" t="n"/>
      <c r="D96" s="13" t="n"/>
      <c r="E96" s="13" t="n"/>
      <c r="F96" s="13" t="n"/>
      <c r="G96" s="13" t="n"/>
      <c r="H96" s="13" t="n"/>
      <c r="I96" s="18" t="n"/>
      <c r="J96" s="13" t="n"/>
    </row>
    <row r="97" ht="22" customHeight="1">
      <c r="B97" s="16">
        <f>IF(C97="","HML-"&amp;TEXT(COUNTA($C$5:C97),"000"))</f>
        <v/>
      </c>
      <c r="C97" s="26" t="n"/>
      <c r="D97" s="11" t="n"/>
      <c r="E97" s="11" t="n"/>
      <c r="F97" s="11" t="n"/>
      <c r="G97" s="11" t="n"/>
      <c r="H97" s="11" t="n"/>
      <c r="I97" s="17" t="n"/>
      <c r="J97" s="11" t="n"/>
    </row>
    <row r="98" ht="22" customHeight="1">
      <c r="B98" s="15">
        <f>IF(C98="","HML-"&amp;TEXT(COUNTA($C$5:C98),"000"))</f>
        <v/>
      </c>
      <c r="C98" s="27" t="n"/>
      <c r="D98" s="13" t="n"/>
      <c r="E98" s="13" t="n"/>
      <c r="F98" s="13" t="n"/>
      <c r="G98" s="13" t="n"/>
      <c r="H98" s="13" t="n"/>
      <c r="I98" s="18" t="n"/>
      <c r="J98" s="13" t="n"/>
    </row>
    <row r="99" ht="22" customHeight="1">
      <c r="B99" s="16">
        <f>IF(C99="","HML-"&amp;TEXT(COUNTA($C$5:C99),"000"))</f>
        <v/>
      </c>
      <c r="C99" s="26" t="n"/>
      <c r="D99" s="11" t="n"/>
      <c r="E99" s="11" t="n"/>
      <c r="F99" s="11" t="n"/>
      <c r="G99" s="11" t="n"/>
      <c r="H99" s="11" t="n"/>
      <c r="I99" s="17" t="n"/>
      <c r="J99" s="11" t="n"/>
    </row>
    <row r="100" ht="22" customHeight="1">
      <c r="B100" s="15">
        <f>IF(C100="","HML-"&amp;TEXT(COUNTA($C$5:C100),"000"))</f>
        <v/>
      </c>
      <c r="C100" s="27" t="n"/>
      <c r="D100" s="13" t="n"/>
      <c r="E100" s="13" t="n"/>
      <c r="F100" s="13" t="n"/>
      <c r="G100" s="13" t="n"/>
      <c r="H100" s="13" t="n"/>
      <c r="I100" s="18" t="n"/>
      <c r="J100" s="13" t="n"/>
    </row>
    <row r="101" ht="22" customHeight="1">
      <c r="B101" s="16">
        <f>IF(C101="","HML-"&amp;TEXT(COUNTA($C$5:C101),"000"))</f>
        <v/>
      </c>
      <c r="C101" s="26" t="n"/>
      <c r="D101" s="11" t="n"/>
      <c r="E101" s="11" t="n"/>
      <c r="F101" s="11" t="n"/>
      <c r="G101" s="11" t="n"/>
      <c r="H101" s="11" t="n"/>
      <c r="I101" s="17" t="n"/>
      <c r="J101" s="11" t="n"/>
    </row>
    <row r="102" ht="22" customHeight="1">
      <c r="B102" s="15">
        <f>IF(C102="","HML-"&amp;TEXT(COUNTA($C$5:C102),"000"))</f>
        <v/>
      </c>
      <c r="C102" s="27" t="n"/>
      <c r="D102" s="13" t="n"/>
      <c r="E102" s="13" t="n"/>
      <c r="F102" s="13" t="n"/>
      <c r="G102" s="13" t="n"/>
      <c r="H102" s="13" t="n"/>
      <c r="I102" s="18" t="n"/>
      <c r="J102" s="13" t="n"/>
    </row>
    <row r="103" ht="22" customHeight="1">
      <c r="B103" s="16">
        <f>IF(C103="","HML-"&amp;TEXT(COUNTA($C$5:C103),"000"))</f>
        <v/>
      </c>
      <c r="C103" s="26" t="n"/>
      <c r="D103" s="11" t="n"/>
      <c r="E103" s="11" t="n"/>
      <c r="F103" s="11" t="n"/>
      <c r="G103" s="11" t="n"/>
      <c r="H103" s="11" t="n"/>
      <c r="I103" s="17" t="n"/>
      <c r="J103" s="11" t="n"/>
    </row>
    <row r="104" ht="22" customHeight="1">
      <c r="B104" s="15">
        <f>IF(C104="","HML-"&amp;TEXT(COUNTA($C$5:C104),"000"))</f>
        <v/>
      </c>
      <c r="C104" s="27" t="n"/>
      <c r="D104" s="13" t="n"/>
      <c r="E104" s="13" t="n"/>
      <c r="F104" s="13" t="n"/>
      <c r="G104" s="13" t="n"/>
      <c r="H104" s="13" t="n"/>
      <c r="I104" s="18" t="n"/>
      <c r="J104" s="13" t="n"/>
    </row>
    <row r="105" ht="22" customHeight="1">
      <c r="B105" s="16">
        <f>IF(C105="","HML-"&amp;TEXT(COUNTA($C$5:C105),"000"))</f>
        <v/>
      </c>
      <c r="C105" s="26" t="n"/>
      <c r="D105" s="11" t="n"/>
      <c r="E105" s="11" t="n"/>
      <c r="F105" s="11" t="n"/>
      <c r="G105" s="11" t="n"/>
      <c r="H105" s="11" t="n"/>
      <c r="I105" s="17" t="n"/>
      <c r="J105" s="11" t="n"/>
    </row>
    <row r="106" ht="22" customHeight="1">
      <c r="B106" s="15">
        <f>IF(C106="","HML-"&amp;TEXT(COUNTA($C$5:C106),"000"))</f>
        <v/>
      </c>
      <c r="C106" s="27" t="n"/>
      <c r="D106" s="13" t="n"/>
      <c r="E106" s="13" t="n"/>
      <c r="F106" s="13" t="n"/>
      <c r="G106" s="13" t="n"/>
      <c r="H106" s="13" t="n"/>
      <c r="I106" s="18" t="n"/>
      <c r="J106" s="13" t="n"/>
    </row>
    <row r="107" ht="22" customHeight="1">
      <c r="B107" s="16">
        <f>IF(C107="","HML-"&amp;TEXT(COUNTA($C$5:C107),"000"))</f>
        <v/>
      </c>
      <c r="C107" s="26" t="n"/>
      <c r="D107" s="11" t="n"/>
      <c r="E107" s="11" t="n"/>
      <c r="F107" s="11" t="n"/>
      <c r="G107" s="11" t="n"/>
      <c r="H107" s="11" t="n"/>
      <c r="I107" s="17" t="n"/>
      <c r="J107" s="11" t="n"/>
    </row>
    <row r="108" ht="22" customHeight="1">
      <c r="B108" s="15">
        <f>IF(C108="","HML-"&amp;TEXT(COUNTA($C$5:C108),"000"))</f>
        <v/>
      </c>
      <c r="C108" s="27" t="n"/>
      <c r="D108" s="13" t="n"/>
      <c r="E108" s="13" t="n"/>
      <c r="F108" s="13" t="n"/>
      <c r="G108" s="13" t="n"/>
      <c r="H108" s="13" t="n"/>
      <c r="I108" s="18" t="n"/>
      <c r="J108" s="13" t="n"/>
    </row>
    <row r="109"/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1">
        <f>SUM(I5:I104)</f>
        <v/>
      </c>
      <c r="J110" s="20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Modifications total</t>
        </is>
      </c>
      <c r="D113" s="3" t="inlineStr">
        <is>
          <t>Cout total impact (k)</t>
        </is>
      </c>
      <c r="F113" s="3" t="inlineStr">
        <is>
          <t>En cours</t>
        </is>
      </c>
    </row>
    <row r="114">
      <c r="B114" s="4">
        <f>COUNTIF(B5:B104,"&lt;&gt;")</f>
        <v/>
      </c>
      <c r="D114" s="4">
        <f>IFERROR(SUM(I5:I104)/1000,0)</f>
        <v/>
      </c>
      <c r="F114" s="4">
        <f>COUNTIF(J5:J104,"En cours")</f>
        <v/>
      </c>
    </row>
  </sheetData>
  <mergeCells count="3">
    <mergeCell ref="B112:J112"/>
    <mergeCell ref="B3:J3"/>
    <mergeCell ref="B2:J2"/>
  </mergeCells>
  <conditionalFormatting sqref="J5:J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9:B108">
    <cfRule type="expression" priority="193" dxfId="3">
      <formula>AND($C9="",$C8&lt;&gt;"")</formula>
    </cfRule>
  </conditionalFormatting>
  <conditionalFormatting sqref="C9:C108">
    <cfRule type="expression" priority="194" dxfId="3">
      <formula>AND($C9="",$C8&lt;&gt;"")</formula>
    </cfRule>
  </conditionalFormatting>
  <conditionalFormatting sqref="D9:D108">
    <cfRule type="expression" priority="195" dxfId="3">
      <formula>AND($C9="",$C8&lt;&gt;"")</formula>
    </cfRule>
  </conditionalFormatting>
  <conditionalFormatting sqref="E9:E108">
    <cfRule type="expression" priority="196" dxfId="3">
      <formula>AND($C9="",$C8&lt;&gt;"")</formula>
    </cfRule>
  </conditionalFormatting>
  <conditionalFormatting sqref="F9:F108">
    <cfRule type="expression" priority="197" dxfId="3">
      <formula>AND($C9="",$C8&lt;&gt;"")</formula>
    </cfRule>
  </conditionalFormatting>
  <conditionalFormatting sqref="G9:G108">
    <cfRule type="expression" priority="198" dxfId="3">
      <formula>AND($C9="",$C8&lt;&gt;"")</formula>
    </cfRule>
  </conditionalFormatting>
  <conditionalFormatting sqref="H9:H108">
    <cfRule type="expression" priority="199" dxfId="3">
      <formula>AND($C9="",$C8&lt;&gt;"")</formula>
    </cfRule>
  </conditionalFormatting>
  <conditionalFormatting sqref="I9:I108">
    <cfRule type="expression" priority="200" dxfId="3">
      <formula>AND($C9="",$C8&lt;&gt;"")</formula>
    </cfRule>
  </conditionalFormatting>
  <conditionalFormatting sqref="J9:J108">
    <cfRule type="expression" priority="201" dxfId="3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'_Lists'!$L$2:$L$8</formula1>
    </dataValidation>
    <dataValidation sqref="J5:J108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2" customWidth="1" min="4" max="4"/>
    <col width="14" customWidth="1" min="5" max="5"/>
    <col width="22" customWidth="1" min="6" max="6"/>
    <col width="24" customWidth="1" min="7" max="7"/>
    <col width="18" customWidth="1" min="8" max="8"/>
    <col width="18" customWidth="1" min="9" max="9"/>
    <col width="22" customWidth="1" min="10" max="10"/>
    <col width="20" customWidth="1" min="11" max="11"/>
  </cols>
  <sheetData>
    <row r="1" ht="15" customHeight="1"/>
    <row r="2" ht="32" customHeight="1">
      <c r="B2" s="1" t="inlineStr">
        <is>
          <t>SUIVI CONTENTIEUX — Dossiers Juridiques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Dossier</t>
        </is>
      </c>
      <c r="D4" s="10" t="inlineStr">
        <is>
          <t>Type Litige</t>
        </is>
      </c>
      <c r="E4" s="10" t="inlineStr">
        <is>
          <t>Date Ouverture</t>
        </is>
      </c>
      <c r="F4" s="10" t="inlineStr">
        <is>
          <t>Phase Actuelle</t>
        </is>
      </c>
      <c r="G4" s="10" t="inlineStr">
        <is>
          <t>Jours depuis Ouverture</t>
        </is>
      </c>
      <c r="H4" s="10" t="inlineStr">
        <is>
          <t>Prochaine Echeance</t>
        </is>
      </c>
      <c r="I4" s="10" t="inlineStr">
        <is>
          <t>Cout Avocat (FCFA)</t>
        </is>
      </c>
      <c r="J4" s="10" t="inlineStr">
        <is>
          <t>Montant Enjeu (FCFA)</t>
        </is>
      </c>
      <c r="K4" s="10" t="inlineStr">
        <is>
          <t>Statut</t>
        </is>
      </c>
    </row>
    <row r="5" ht="22" customHeight="1">
      <c r="B5" s="11" t="inlineStr">
        <is>
          <t>SC-001</t>
        </is>
      </c>
      <c r="C5" s="11" t="inlineStr">
        <is>
          <t>Tchouanku c/ Hotel</t>
        </is>
      </c>
      <c r="D5" s="11" t="inlineStr">
        <is>
          <t>Licenciement abusif</t>
        </is>
      </c>
      <c r="E5" s="26" t="n">
        <v>45802</v>
      </c>
      <c r="F5" s="11" t="inlineStr">
        <is>
          <t>En instruction</t>
        </is>
      </c>
      <c r="G5" s="11" t="n"/>
      <c r="H5" s="26" t="n">
        <v>45884</v>
      </c>
      <c r="I5" s="17" t="n">
        <v>200000</v>
      </c>
      <c r="J5" s="17" t="n">
        <v>3500000</v>
      </c>
      <c r="K5" s="11" t="inlineStr">
        <is>
          <t>En cours</t>
        </is>
      </c>
    </row>
    <row r="6" ht="22" customHeight="1">
      <c r="B6" s="13" t="inlineStr">
        <is>
          <t>SC-002</t>
        </is>
      </c>
      <c r="C6" s="13" t="inlineStr">
        <is>
          <t>Abdou B. - Heures supp.</t>
        </is>
      </c>
      <c r="D6" s="13" t="inlineStr">
        <is>
          <t>Heures supplementaires</t>
        </is>
      </c>
      <c r="E6" s="27" t="n">
        <v>45698</v>
      </c>
      <c r="F6" s="13" t="inlineStr">
        <is>
          <t>Conciliation</t>
        </is>
      </c>
      <c r="G6" s="13" t="n"/>
      <c r="H6" s="27" t="n"/>
      <c r="I6" s="18" t="n">
        <v>0</v>
      </c>
      <c r="J6" s="18" t="n">
        <v>180000</v>
      </c>
      <c r="K6" s="13" t="inlineStr">
        <is>
          <t>Resolu</t>
        </is>
      </c>
    </row>
    <row r="7" ht="22" customHeight="1">
      <c r="B7" s="11" t="inlineStr">
        <is>
          <t>SC-003</t>
        </is>
      </c>
      <c r="C7" s="11" t="inlineStr">
        <is>
          <t>Manga K. c/ Hotel</t>
        </is>
      </c>
      <c r="D7" s="11" t="inlineStr">
        <is>
          <t>Conditions travail</t>
        </is>
      </c>
      <c r="E7" s="26" t="n">
        <v>45597</v>
      </c>
      <c r="F7" s="11" t="inlineStr">
        <is>
          <t>Assigne tribunal</t>
        </is>
      </c>
      <c r="G7" s="11" t="n"/>
      <c r="H7" s="26" t="n">
        <v>45910</v>
      </c>
      <c r="I7" s="17" t="n">
        <v>500000</v>
      </c>
      <c r="J7" s="17" t="n">
        <v>5000000</v>
      </c>
      <c r="K7" s="11" t="inlineStr">
        <is>
          <t>Assigne tribunal</t>
        </is>
      </c>
    </row>
    <row r="8" ht="22" customHeight="1">
      <c r="B8" s="13" t="inlineStr">
        <is>
          <t>SC-004</t>
        </is>
      </c>
      <c r="C8" s="13" t="inlineStr">
        <is>
          <t>Nana C. - Harcelement</t>
        </is>
      </c>
      <c r="D8" s="13" t="inlineStr">
        <is>
          <t>Harcèlement</t>
        </is>
      </c>
      <c r="E8" s="27" t="n">
        <v>45818</v>
      </c>
      <c r="F8" s="13" t="inlineStr">
        <is>
          <t>Conciliation interne</t>
        </is>
      </c>
      <c r="G8" s="13" t="n"/>
      <c r="H8" s="27" t="n">
        <v>45870</v>
      </c>
      <c r="I8" s="18" t="n">
        <v>0</v>
      </c>
      <c r="J8" s="18" t="n">
        <v>8000000</v>
      </c>
      <c r="K8" s="13" t="inlineStr">
        <is>
          <t>En conciliation</t>
        </is>
      </c>
    </row>
    <row r="9" ht="22" customHeight="1">
      <c r="B9" s="16">
        <f>IF(C9="","SC-"&amp;TEXT(COUNTA($C$5:C9),"000"))</f>
        <v/>
      </c>
      <c r="C9" s="11" t="n"/>
      <c r="D9" s="11" t="n"/>
      <c r="E9" s="26" t="n"/>
      <c r="F9" s="11" t="n"/>
      <c r="G9" s="11">
        <f>IF(F9="","",TODAY()-F9)</f>
        <v/>
      </c>
      <c r="H9" s="26" t="n"/>
      <c r="I9" s="17" t="n"/>
      <c r="J9" s="17" t="n"/>
      <c r="K9" s="11" t="n"/>
    </row>
    <row r="10" ht="22" customHeight="1">
      <c r="B10" s="15">
        <f>IF(C10="","SC-"&amp;TEXT(COUNTA($C$5:C10),"000"))</f>
        <v/>
      </c>
      <c r="C10" s="13" t="n"/>
      <c r="D10" s="13" t="n"/>
      <c r="E10" s="27" t="n"/>
      <c r="F10" s="13" t="n"/>
      <c r="G10" s="13">
        <f>IF(F10="","",TODAY()-F10)</f>
        <v/>
      </c>
      <c r="H10" s="27" t="n"/>
      <c r="I10" s="18" t="n"/>
      <c r="J10" s="18" t="n"/>
      <c r="K10" s="13" t="n"/>
    </row>
    <row r="11" ht="22" customHeight="1">
      <c r="B11" s="16">
        <f>IF(C11="","SC-"&amp;TEXT(COUNTA($C$5:C11),"000"))</f>
        <v/>
      </c>
      <c r="C11" s="11" t="n"/>
      <c r="D11" s="11" t="n"/>
      <c r="E11" s="26" t="n"/>
      <c r="F11" s="11" t="n"/>
      <c r="G11" s="11">
        <f>IF(F11="","",TODAY()-F11)</f>
        <v/>
      </c>
      <c r="H11" s="26" t="n"/>
      <c r="I11" s="17" t="n"/>
      <c r="J11" s="17" t="n"/>
      <c r="K11" s="11" t="n"/>
    </row>
    <row r="12" ht="22" customHeight="1">
      <c r="B12" s="15">
        <f>IF(C12="","SC-"&amp;TEXT(COUNTA($C$5:C12),"000"))</f>
        <v/>
      </c>
      <c r="C12" s="13" t="n"/>
      <c r="D12" s="13" t="n"/>
      <c r="E12" s="27" t="n"/>
      <c r="F12" s="13" t="n"/>
      <c r="G12" s="13">
        <f>IF(F12="","",TODAY()-F12)</f>
        <v/>
      </c>
      <c r="H12" s="27" t="n"/>
      <c r="I12" s="18" t="n"/>
      <c r="J12" s="18" t="n"/>
      <c r="K12" s="13" t="n"/>
    </row>
    <row r="13" ht="22" customHeight="1">
      <c r="B13" s="16">
        <f>IF(C13="","SC-"&amp;TEXT(COUNTA($C$5:C13),"000"))</f>
        <v/>
      </c>
      <c r="C13" s="11" t="n"/>
      <c r="D13" s="11" t="n"/>
      <c r="E13" s="26" t="n"/>
      <c r="F13" s="11" t="n"/>
      <c r="G13" s="11">
        <f>IF(F13="","",TODAY()-F13)</f>
        <v/>
      </c>
      <c r="H13" s="26" t="n"/>
      <c r="I13" s="17" t="n"/>
      <c r="J13" s="17" t="n"/>
      <c r="K13" s="11" t="n"/>
    </row>
    <row r="14" ht="22" customHeight="1">
      <c r="B14" s="15">
        <f>IF(C14="","SC-"&amp;TEXT(COUNTA($C$5:C14),"000"))</f>
        <v/>
      </c>
      <c r="C14" s="13" t="n"/>
      <c r="D14" s="13" t="n"/>
      <c r="E14" s="27" t="n"/>
      <c r="F14" s="13" t="n"/>
      <c r="G14" s="13">
        <f>IF(F14="","",TODAY()-F14)</f>
        <v/>
      </c>
      <c r="H14" s="27" t="n"/>
      <c r="I14" s="18" t="n"/>
      <c r="J14" s="18" t="n"/>
      <c r="K14" s="13" t="n"/>
    </row>
    <row r="15" ht="22" customHeight="1">
      <c r="B15" s="16">
        <f>IF(C15="","SC-"&amp;TEXT(COUNTA($C$5:C15),"000"))</f>
        <v/>
      </c>
      <c r="C15" s="11" t="n"/>
      <c r="D15" s="11" t="n"/>
      <c r="E15" s="26" t="n"/>
      <c r="F15" s="11" t="n"/>
      <c r="G15" s="11">
        <f>IF(F15="","",TODAY()-F15)</f>
        <v/>
      </c>
      <c r="H15" s="26" t="n"/>
      <c r="I15" s="17" t="n"/>
      <c r="J15" s="17" t="n"/>
      <c r="K15" s="11" t="n"/>
    </row>
    <row r="16" ht="22" customHeight="1">
      <c r="B16" s="15">
        <f>IF(C16="","SC-"&amp;TEXT(COUNTA($C$5:C16),"000"))</f>
        <v/>
      </c>
      <c r="C16" s="13" t="n"/>
      <c r="D16" s="13" t="n"/>
      <c r="E16" s="27" t="n"/>
      <c r="F16" s="13" t="n"/>
      <c r="G16" s="13">
        <f>IF(F16="","",TODAY()-F16)</f>
        <v/>
      </c>
      <c r="H16" s="27" t="n"/>
      <c r="I16" s="18" t="n"/>
      <c r="J16" s="18" t="n"/>
      <c r="K16" s="13" t="n"/>
    </row>
    <row r="17" ht="22" customHeight="1">
      <c r="B17" s="16">
        <f>IF(C17="","SC-"&amp;TEXT(COUNTA($C$5:C17),"000"))</f>
        <v/>
      </c>
      <c r="C17" s="11" t="n"/>
      <c r="D17" s="11" t="n"/>
      <c r="E17" s="26" t="n"/>
      <c r="F17" s="11" t="n"/>
      <c r="G17" s="11">
        <f>IF(F17="","",TODAY()-F17)</f>
        <v/>
      </c>
      <c r="H17" s="26" t="n"/>
      <c r="I17" s="17" t="n"/>
      <c r="J17" s="17" t="n"/>
      <c r="K17" s="11" t="n"/>
    </row>
    <row r="18" ht="22" customHeight="1">
      <c r="B18" s="15">
        <f>IF(C18="","SC-"&amp;TEXT(COUNTA($C$5:C18),"000"))</f>
        <v/>
      </c>
      <c r="C18" s="13" t="n"/>
      <c r="D18" s="13" t="n"/>
      <c r="E18" s="27" t="n"/>
      <c r="F18" s="13" t="n"/>
      <c r="G18" s="13">
        <f>IF(F18="","",TODAY()-F18)</f>
        <v/>
      </c>
      <c r="H18" s="27" t="n"/>
      <c r="I18" s="18" t="n"/>
      <c r="J18" s="18" t="n"/>
      <c r="K18" s="13" t="n"/>
    </row>
    <row r="19" ht="22" customHeight="1">
      <c r="B19" s="16">
        <f>IF(C19="","SC-"&amp;TEXT(COUNTA($C$5:C19),"000"))</f>
        <v/>
      </c>
      <c r="C19" s="11" t="n"/>
      <c r="D19" s="11" t="n"/>
      <c r="E19" s="26" t="n"/>
      <c r="F19" s="11" t="n"/>
      <c r="G19" s="11">
        <f>IF(F19="","",TODAY()-F19)</f>
        <v/>
      </c>
      <c r="H19" s="26" t="n"/>
      <c r="I19" s="17" t="n"/>
      <c r="J19" s="17" t="n"/>
      <c r="K19" s="11" t="n"/>
    </row>
    <row r="20" ht="22" customHeight="1">
      <c r="B20" s="15">
        <f>IF(C20="","SC-"&amp;TEXT(COUNTA($C$5:C20),"000"))</f>
        <v/>
      </c>
      <c r="C20" s="13" t="n"/>
      <c r="D20" s="13" t="n"/>
      <c r="E20" s="27" t="n"/>
      <c r="F20" s="13" t="n"/>
      <c r="G20" s="13">
        <f>IF(F20="","",TODAY()-F20)</f>
        <v/>
      </c>
      <c r="H20" s="27" t="n"/>
      <c r="I20" s="18" t="n"/>
      <c r="J20" s="18" t="n"/>
      <c r="K20" s="13" t="n"/>
    </row>
    <row r="21" ht="22" customHeight="1">
      <c r="B21" s="16">
        <f>IF(C21="","SC-"&amp;TEXT(COUNTA($C$5:C21),"000"))</f>
        <v/>
      </c>
      <c r="C21" s="11" t="n"/>
      <c r="D21" s="11" t="n"/>
      <c r="E21" s="26" t="n"/>
      <c r="F21" s="11" t="n"/>
      <c r="G21" s="11">
        <f>IF(F21="","",TODAY()-F21)</f>
        <v/>
      </c>
      <c r="H21" s="26" t="n"/>
      <c r="I21" s="17" t="n"/>
      <c r="J21" s="17" t="n"/>
      <c r="K21" s="11" t="n"/>
    </row>
    <row r="22" ht="22" customHeight="1">
      <c r="B22" s="15">
        <f>IF(C22="","SC-"&amp;TEXT(COUNTA($C$5:C22),"000"))</f>
        <v/>
      </c>
      <c r="C22" s="13" t="n"/>
      <c r="D22" s="13" t="n"/>
      <c r="E22" s="27" t="n"/>
      <c r="F22" s="13" t="n"/>
      <c r="G22" s="13">
        <f>IF(F22="","",TODAY()-F22)</f>
        <v/>
      </c>
      <c r="H22" s="27" t="n"/>
      <c r="I22" s="18" t="n"/>
      <c r="J22" s="18" t="n"/>
      <c r="K22" s="13" t="n"/>
    </row>
    <row r="23" ht="22" customHeight="1">
      <c r="B23" s="16">
        <f>IF(C23="","SC-"&amp;TEXT(COUNTA($C$5:C23),"000"))</f>
        <v/>
      </c>
      <c r="C23" s="11" t="n"/>
      <c r="D23" s="11" t="n"/>
      <c r="E23" s="26" t="n"/>
      <c r="F23" s="11" t="n"/>
      <c r="G23" s="11">
        <f>IF(F23="","",TODAY()-F23)</f>
        <v/>
      </c>
      <c r="H23" s="26" t="n"/>
      <c r="I23" s="17" t="n"/>
      <c r="J23" s="17" t="n"/>
      <c r="K23" s="11" t="n"/>
    </row>
    <row r="24" ht="22" customHeight="1">
      <c r="B24" s="15">
        <f>IF(C24="","SC-"&amp;TEXT(COUNTA($C$5:C24),"000"))</f>
        <v/>
      </c>
      <c r="C24" s="13" t="n"/>
      <c r="D24" s="13" t="n"/>
      <c r="E24" s="27" t="n"/>
      <c r="F24" s="13" t="n"/>
      <c r="G24" s="13">
        <f>IF(F24="","",TODAY()-F24)</f>
        <v/>
      </c>
      <c r="H24" s="27" t="n"/>
      <c r="I24" s="18" t="n"/>
      <c r="J24" s="18" t="n"/>
      <c r="K24" s="13" t="n"/>
    </row>
    <row r="25" ht="22" customHeight="1">
      <c r="B25" s="16">
        <f>IF(C25="","SC-"&amp;TEXT(COUNTA($C$5:C25),"000"))</f>
        <v/>
      </c>
      <c r="C25" s="11" t="n"/>
      <c r="D25" s="11" t="n"/>
      <c r="E25" s="26" t="n"/>
      <c r="F25" s="11" t="n"/>
      <c r="G25" s="11">
        <f>IF(F25="","",TODAY()-F25)</f>
        <v/>
      </c>
      <c r="H25" s="26" t="n"/>
      <c r="I25" s="17" t="n"/>
      <c r="J25" s="17" t="n"/>
      <c r="K25" s="11" t="n"/>
    </row>
    <row r="26" ht="22" customHeight="1">
      <c r="B26" s="15">
        <f>IF(C26="","SC-"&amp;TEXT(COUNTA($C$5:C26),"000"))</f>
        <v/>
      </c>
      <c r="C26" s="13" t="n"/>
      <c r="D26" s="13" t="n"/>
      <c r="E26" s="27" t="n"/>
      <c r="F26" s="13" t="n"/>
      <c r="G26" s="13">
        <f>IF(F26="","",TODAY()-F26)</f>
        <v/>
      </c>
      <c r="H26" s="27" t="n"/>
      <c r="I26" s="18" t="n"/>
      <c r="J26" s="18" t="n"/>
      <c r="K26" s="13" t="n"/>
    </row>
    <row r="27" ht="22" customHeight="1">
      <c r="B27" s="16">
        <f>IF(C27="","SC-"&amp;TEXT(COUNTA($C$5:C27),"000"))</f>
        <v/>
      </c>
      <c r="C27" s="11" t="n"/>
      <c r="D27" s="11" t="n"/>
      <c r="E27" s="26" t="n"/>
      <c r="F27" s="11" t="n"/>
      <c r="G27" s="11">
        <f>IF(F27="","",TODAY()-F27)</f>
        <v/>
      </c>
      <c r="H27" s="26" t="n"/>
      <c r="I27" s="17" t="n"/>
      <c r="J27" s="17" t="n"/>
      <c r="K27" s="11" t="n"/>
    </row>
    <row r="28" ht="22" customHeight="1">
      <c r="B28" s="15">
        <f>IF(C28="","SC-"&amp;TEXT(COUNTA($C$5:C28),"000"))</f>
        <v/>
      </c>
      <c r="C28" s="13" t="n"/>
      <c r="D28" s="13" t="n"/>
      <c r="E28" s="27" t="n"/>
      <c r="F28" s="13" t="n"/>
      <c r="G28" s="13">
        <f>IF(F28="","",TODAY()-F28)</f>
        <v/>
      </c>
      <c r="H28" s="27" t="n"/>
      <c r="I28" s="18" t="n"/>
      <c r="J28" s="18" t="n"/>
      <c r="K28" s="13" t="n"/>
    </row>
    <row r="29" ht="22" customHeight="1">
      <c r="B29" s="16">
        <f>IF(C29="","SC-"&amp;TEXT(COUNTA($C$5:C29),"000"))</f>
        <v/>
      </c>
      <c r="C29" s="11" t="n"/>
      <c r="D29" s="11" t="n"/>
      <c r="E29" s="26" t="n"/>
      <c r="F29" s="11" t="n"/>
      <c r="G29" s="11">
        <f>IF(F29="","",TODAY()-F29)</f>
        <v/>
      </c>
      <c r="H29" s="26" t="n"/>
      <c r="I29" s="17" t="n"/>
      <c r="J29" s="17" t="n"/>
      <c r="K29" s="11" t="n"/>
    </row>
    <row r="30" ht="22" customHeight="1">
      <c r="B30" s="15">
        <f>IF(C30="","SC-"&amp;TEXT(COUNTA($C$5:C30),"000"))</f>
        <v/>
      </c>
      <c r="C30" s="13" t="n"/>
      <c r="D30" s="13" t="n"/>
      <c r="E30" s="27" t="n"/>
      <c r="F30" s="13" t="n"/>
      <c r="G30" s="13">
        <f>IF(F30="","",TODAY()-F30)</f>
        <v/>
      </c>
      <c r="H30" s="27" t="n"/>
      <c r="I30" s="18" t="n"/>
      <c r="J30" s="18" t="n"/>
      <c r="K30" s="13" t="n"/>
    </row>
    <row r="31" ht="22" customHeight="1">
      <c r="B31" s="16">
        <f>IF(C31="","SC-"&amp;TEXT(COUNTA($C$5:C31),"000"))</f>
        <v/>
      </c>
      <c r="C31" s="11" t="n"/>
      <c r="D31" s="11" t="n"/>
      <c r="E31" s="26" t="n"/>
      <c r="F31" s="11" t="n"/>
      <c r="G31" s="11">
        <f>IF(F31="","",TODAY()-F31)</f>
        <v/>
      </c>
      <c r="H31" s="26" t="n"/>
      <c r="I31" s="17" t="n"/>
      <c r="J31" s="17" t="n"/>
      <c r="K31" s="11" t="n"/>
    </row>
    <row r="32" ht="22" customHeight="1">
      <c r="B32" s="15">
        <f>IF(C32="","SC-"&amp;TEXT(COUNTA($C$5:C32),"000"))</f>
        <v/>
      </c>
      <c r="C32" s="13" t="n"/>
      <c r="D32" s="13" t="n"/>
      <c r="E32" s="27" t="n"/>
      <c r="F32" s="13" t="n"/>
      <c r="G32" s="13">
        <f>IF(F32="","",TODAY()-F32)</f>
        <v/>
      </c>
      <c r="H32" s="27" t="n"/>
      <c r="I32" s="18" t="n"/>
      <c r="J32" s="18" t="n"/>
      <c r="K32" s="13" t="n"/>
    </row>
    <row r="33" ht="22" customHeight="1">
      <c r="B33" s="16">
        <f>IF(C33="","SC-"&amp;TEXT(COUNTA($C$5:C33),"000"))</f>
        <v/>
      </c>
      <c r="C33" s="11" t="n"/>
      <c r="D33" s="11" t="n"/>
      <c r="E33" s="26" t="n"/>
      <c r="F33" s="11" t="n"/>
      <c r="G33" s="11">
        <f>IF(F33="","",TODAY()-F33)</f>
        <v/>
      </c>
      <c r="H33" s="26" t="n"/>
      <c r="I33" s="17" t="n"/>
      <c r="J33" s="17" t="n"/>
      <c r="K33" s="11" t="n"/>
    </row>
    <row r="34" ht="22" customHeight="1">
      <c r="B34" s="15">
        <f>IF(C34="","SC-"&amp;TEXT(COUNTA($C$5:C34),"000"))</f>
        <v/>
      </c>
      <c r="C34" s="13" t="n"/>
      <c r="D34" s="13" t="n"/>
      <c r="E34" s="27" t="n"/>
      <c r="F34" s="13" t="n"/>
      <c r="G34" s="13">
        <f>IF(F34="","",TODAY()-F34)</f>
        <v/>
      </c>
      <c r="H34" s="27" t="n"/>
      <c r="I34" s="18" t="n"/>
      <c r="J34" s="18" t="n"/>
      <c r="K34" s="13" t="n"/>
    </row>
    <row r="35" ht="22" customHeight="1">
      <c r="B35" s="16">
        <f>IF(C35="","SC-"&amp;TEXT(COUNTA($C$5:C35),"000"))</f>
        <v/>
      </c>
      <c r="C35" s="11" t="n"/>
      <c r="D35" s="11" t="n"/>
      <c r="E35" s="26" t="n"/>
      <c r="F35" s="11" t="n"/>
      <c r="G35" s="11">
        <f>IF(F35="","",TODAY()-F35)</f>
        <v/>
      </c>
      <c r="H35" s="26" t="n"/>
      <c r="I35" s="17" t="n"/>
      <c r="J35" s="17" t="n"/>
      <c r="K35" s="11" t="n"/>
    </row>
    <row r="36" ht="22" customHeight="1">
      <c r="B36" s="15">
        <f>IF(C36="","SC-"&amp;TEXT(COUNTA($C$5:C36),"000"))</f>
        <v/>
      </c>
      <c r="C36" s="13" t="n"/>
      <c r="D36" s="13" t="n"/>
      <c r="E36" s="27" t="n"/>
      <c r="F36" s="13" t="n"/>
      <c r="G36" s="13">
        <f>IF(F36="","",TODAY()-F36)</f>
        <v/>
      </c>
      <c r="H36" s="27" t="n"/>
      <c r="I36" s="18" t="n"/>
      <c r="J36" s="18" t="n"/>
      <c r="K36" s="13" t="n"/>
    </row>
    <row r="37" ht="22" customHeight="1">
      <c r="B37" s="16">
        <f>IF(C37="","SC-"&amp;TEXT(COUNTA($C$5:C37),"000"))</f>
        <v/>
      </c>
      <c r="C37" s="11" t="n"/>
      <c r="D37" s="11" t="n"/>
      <c r="E37" s="26" t="n"/>
      <c r="F37" s="11" t="n"/>
      <c r="G37" s="11">
        <f>IF(F37="","",TODAY()-F37)</f>
        <v/>
      </c>
      <c r="H37" s="26" t="n"/>
      <c r="I37" s="17" t="n"/>
      <c r="J37" s="17" t="n"/>
      <c r="K37" s="11" t="n"/>
    </row>
    <row r="38" ht="22" customHeight="1">
      <c r="B38" s="15">
        <f>IF(C38="","SC-"&amp;TEXT(COUNTA($C$5:C38),"000"))</f>
        <v/>
      </c>
      <c r="C38" s="13" t="n"/>
      <c r="D38" s="13" t="n"/>
      <c r="E38" s="27" t="n"/>
      <c r="F38" s="13" t="n"/>
      <c r="G38" s="13">
        <f>IF(F38="","",TODAY()-F38)</f>
        <v/>
      </c>
      <c r="H38" s="27" t="n"/>
      <c r="I38" s="18" t="n"/>
      <c r="J38" s="18" t="n"/>
      <c r="K38" s="13" t="n"/>
    </row>
    <row r="39" ht="22" customHeight="1">
      <c r="B39" s="16">
        <f>IF(C39="","SC-"&amp;TEXT(COUNTA($C$5:C39),"000"))</f>
        <v/>
      </c>
      <c r="C39" s="11" t="n"/>
      <c r="D39" s="11" t="n"/>
      <c r="E39" s="26" t="n"/>
      <c r="F39" s="11" t="n"/>
      <c r="G39" s="11">
        <f>IF(F39="","",TODAY()-F39)</f>
        <v/>
      </c>
      <c r="H39" s="26" t="n"/>
      <c r="I39" s="17" t="n"/>
      <c r="J39" s="17" t="n"/>
      <c r="K39" s="11" t="n"/>
    </row>
    <row r="40" ht="22" customHeight="1">
      <c r="B40" s="15">
        <f>IF(C40="","SC-"&amp;TEXT(COUNTA($C$5:C40),"000"))</f>
        <v/>
      </c>
      <c r="C40" s="13" t="n"/>
      <c r="D40" s="13" t="n"/>
      <c r="E40" s="27" t="n"/>
      <c r="F40" s="13" t="n"/>
      <c r="G40" s="13">
        <f>IF(F40="","",TODAY()-F40)</f>
        <v/>
      </c>
      <c r="H40" s="27" t="n"/>
      <c r="I40" s="18" t="n"/>
      <c r="J40" s="18" t="n"/>
      <c r="K40" s="13" t="n"/>
    </row>
    <row r="41" ht="22" customHeight="1">
      <c r="B41" s="16">
        <f>IF(C41="","SC-"&amp;TEXT(COUNTA($C$5:C41),"000"))</f>
        <v/>
      </c>
      <c r="C41" s="11" t="n"/>
      <c r="D41" s="11" t="n"/>
      <c r="E41" s="26" t="n"/>
      <c r="F41" s="11" t="n"/>
      <c r="G41" s="11">
        <f>IF(F41="","",TODAY()-F41)</f>
        <v/>
      </c>
      <c r="H41" s="26" t="n"/>
      <c r="I41" s="17" t="n"/>
      <c r="J41" s="17" t="n"/>
      <c r="K41" s="11" t="n"/>
    </row>
    <row r="42" ht="22" customHeight="1">
      <c r="B42" s="15">
        <f>IF(C42="","SC-"&amp;TEXT(COUNTA($C$5:C42),"000"))</f>
        <v/>
      </c>
      <c r="C42" s="13" t="n"/>
      <c r="D42" s="13" t="n"/>
      <c r="E42" s="27" t="n"/>
      <c r="F42" s="13" t="n"/>
      <c r="G42" s="13">
        <f>IF(F42="","",TODAY()-F42)</f>
        <v/>
      </c>
      <c r="H42" s="27" t="n"/>
      <c r="I42" s="18" t="n"/>
      <c r="J42" s="18" t="n"/>
      <c r="K42" s="13" t="n"/>
    </row>
    <row r="43" ht="22" customHeight="1">
      <c r="B43" s="16">
        <f>IF(C43="","SC-"&amp;TEXT(COUNTA($C$5:C43),"000"))</f>
        <v/>
      </c>
      <c r="C43" s="11" t="n"/>
      <c r="D43" s="11" t="n"/>
      <c r="E43" s="26" t="n"/>
      <c r="F43" s="11" t="n"/>
      <c r="G43" s="11">
        <f>IF(F43="","",TODAY()-F43)</f>
        <v/>
      </c>
      <c r="H43" s="26" t="n"/>
      <c r="I43" s="17" t="n"/>
      <c r="J43" s="17" t="n"/>
      <c r="K43" s="11" t="n"/>
    </row>
    <row r="44" ht="22" customHeight="1">
      <c r="B44" s="15">
        <f>IF(C44="","SC-"&amp;TEXT(COUNTA($C$5:C44),"000"))</f>
        <v/>
      </c>
      <c r="C44" s="13" t="n"/>
      <c r="D44" s="13" t="n"/>
      <c r="E44" s="27" t="n"/>
      <c r="F44" s="13" t="n"/>
      <c r="G44" s="13">
        <f>IF(F44="","",TODAY()-F44)</f>
        <v/>
      </c>
      <c r="H44" s="27" t="n"/>
      <c r="I44" s="18" t="n"/>
      <c r="J44" s="18" t="n"/>
      <c r="K44" s="13" t="n"/>
    </row>
    <row r="45" ht="22" customHeight="1">
      <c r="B45" s="16">
        <f>IF(C45="","SC-"&amp;TEXT(COUNTA($C$5:C45),"000"))</f>
        <v/>
      </c>
      <c r="C45" s="11" t="n"/>
      <c r="D45" s="11" t="n"/>
      <c r="E45" s="26" t="n"/>
      <c r="F45" s="11" t="n"/>
      <c r="G45" s="11">
        <f>IF(F45="","",TODAY()-F45)</f>
        <v/>
      </c>
      <c r="H45" s="26" t="n"/>
      <c r="I45" s="17" t="n"/>
      <c r="J45" s="17" t="n"/>
      <c r="K45" s="11" t="n"/>
    </row>
    <row r="46" ht="22" customHeight="1">
      <c r="B46" s="15">
        <f>IF(C46="","SC-"&amp;TEXT(COUNTA($C$5:C46),"000"))</f>
        <v/>
      </c>
      <c r="C46" s="13" t="n"/>
      <c r="D46" s="13" t="n"/>
      <c r="E46" s="27" t="n"/>
      <c r="F46" s="13" t="n"/>
      <c r="G46" s="13">
        <f>IF(F46="","",TODAY()-F46)</f>
        <v/>
      </c>
      <c r="H46" s="27" t="n"/>
      <c r="I46" s="18" t="n"/>
      <c r="J46" s="18" t="n"/>
      <c r="K46" s="13" t="n"/>
    </row>
    <row r="47" ht="22" customHeight="1">
      <c r="B47" s="16">
        <f>IF(C47="","SC-"&amp;TEXT(COUNTA($C$5:C47),"000"))</f>
        <v/>
      </c>
      <c r="C47" s="11" t="n"/>
      <c r="D47" s="11" t="n"/>
      <c r="E47" s="26" t="n"/>
      <c r="F47" s="11" t="n"/>
      <c r="G47" s="11">
        <f>IF(F47="","",TODAY()-F47)</f>
        <v/>
      </c>
      <c r="H47" s="26" t="n"/>
      <c r="I47" s="17" t="n"/>
      <c r="J47" s="17" t="n"/>
      <c r="K47" s="11" t="n"/>
    </row>
    <row r="48" ht="22" customHeight="1">
      <c r="B48" s="15">
        <f>IF(C48="","SC-"&amp;TEXT(COUNTA($C$5:C48),"000"))</f>
        <v/>
      </c>
      <c r="C48" s="13" t="n"/>
      <c r="D48" s="13" t="n"/>
      <c r="E48" s="27" t="n"/>
      <c r="F48" s="13" t="n"/>
      <c r="G48" s="13">
        <f>IF(F48="","",TODAY()-F48)</f>
        <v/>
      </c>
      <c r="H48" s="27" t="n"/>
      <c r="I48" s="18" t="n"/>
      <c r="J48" s="18" t="n"/>
      <c r="K48" s="13" t="n"/>
    </row>
    <row r="49" ht="22" customHeight="1">
      <c r="B49" s="16">
        <f>IF(C49="","SC-"&amp;TEXT(COUNTA($C$5:C49),"000"))</f>
        <v/>
      </c>
      <c r="C49" s="11" t="n"/>
      <c r="D49" s="11" t="n"/>
      <c r="E49" s="26" t="n"/>
      <c r="F49" s="11" t="n"/>
      <c r="G49" s="11">
        <f>IF(F49="","",TODAY()-F49)</f>
        <v/>
      </c>
      <c r="H49" s="26" t="n"/>
      <c r="I49" s="17" t="n"/>
      <c r="J49" s="17" t="n"/>
      <c r="K49" s="11" t="n"/>
    </row>
    <row r="50" ht="22" customHeight="1">
      <c r="B50" s="15">
        <f>IF(C50="","SC-"&amp;TEXT(COUNTA($C$5:C50),"000"))</f>
        <v/>
      </c>
      <c r="C50" s="13" t="n"/>
      <c r="D50" s="13" t="n"/>
      <c r="E50" s="27" t="n"/>
      <c r="F50" s="13" t="n"/>
      <c r="G50" s="13">
        <f>IF(F50="","",TODAY()-F50)</f>
        <v/>
      </c>
      <c r="H50" s="27" t="n"/>
      <c r="I50" s="18" t="n"/>
      <c r="J50" s="18" t="n"/>
      <c r="K50" s="13" t="n"/>
    </row>
    <row r="51" ht="22" customHeight="1">
      <c r="B51" s="16">
        <f>IF(C51="","SC-"&amp;TEXT(COUNTA($C$5:C51),"000"))</f>
        <v/>
      </c>
      <c r="C51" s="11" t="n"/>
      <c r="D51" s="11" t="n"/>
      <c r="E51" s="26" t="n"/>
      <c r="F51" s="11" t="n"/>
      <c r="G51" s="11">
        <f>IF(F51="","",TODAY()-F51)</f>
        <v/>
      </c>
      <c r="H51" s="26" t="n"/>
      <c r="I51" s="17" t="n"/>
      <c r="J51" s="17" t="n"/>
      <c r="K51" s="11" t="n"/>
    </row>
    <row r="52" ht="22" customHeight="1">
      <c r="B52" s="15">
        <f>IF(C52="","SC-"&amp;TEXT(COUNTA($C$5:C52),"000"))</f>
        <v/>
      </c>
      <c r="C52" s="13" t="n"/>
      <c r="D52" s="13" t="n"/>
      <c r="E52" s="27" t="n"/>
      <c r="F52" s="13" t="n"/>
      <c r="G52" s="13">
        <f>IF(F52="","",TODAY()-F52)</f>
        <v/>
      </c>
      <c r="H52" s="27" t="n"/>
      <c r="I52" s="18" t="n"/>
      <c r="J52" s="18" t="n"/>
      <c r="K52" s="13" t="n"/>
    </row>
    <row r="53" ht="22" customHeight="1">
      <c r="B53" s="16">
        <f>IF(C53="","SC-"&amp;TEXT(COUNTA($C$5:C53),"000"))</f>
        <v/>
      </c>
      <c r="C53" s="11" t="n"/>
      <c r="D53" s="11" t="n"/>
      <c r="E53" s="26" t="n"/>
      <c r="F53" s="11" t="n"/>
      <c r="G53" s="11">
        <f>IF(F53="","",TODAY()-F53)</f>
        <v/>
      </c>
      <c r="H53" s="26" t="n"/>
      <c r="I53" s="17" t="n"/>
      <c r="J53" s="17" t="n"/>
      <c r="K53" s="11" t="n"/>
    </row>
    <row r="54" ht="22" customHeight="1">
      <c r="B54" s="15">
        <f>IF(C54="","SC-"&amp;TEXT(COUNTA($C$5:C54),"000"))</f>
        <v/>
      </c>
      <c r="C54" s="13" t="n"/>
      <c r="D54" s="13" t="n"/>
      <c r="E54" s="27" t="n"/>
      <c r="F54" s="13" t="n"/>
      <c r="G54" s="13">
        <f>IF(F54="","",TODAY()-F54)</f>
        <v/>
      </c>
      <c r="H54" s="27" t="n"/>
      <c r="I54" s="18" t="n"/>
      <c r="J54" s="18" t="n"/>
      <c r="K54" s="13" t="n"/>
    </row>
    <row r="55" ht="22" customHeight="1">
      <c r="B55" s="16">
        <f>IF(C55="","SC-"&amp;TEXT(COUNTA($C$5:C55),"000"))</f>
        <v/>
      </c>
      <c r="C55" s="11" t="n"/>
      <c r="D55" s="11" t="n"/>
      <c r="E55" s="26" t="n"/>
      <c r="F55" s="11" t="n"/>
      <c r="G55" s="11">
        <f>IF(F55="","",TODAY()-F55)</f>
        <v/>
      </c>
      <c r="H55" s="26" t="n"/>
      <c r="I55" s="17" t="n"/>
      <c r="J55" s="17" t="n"/>
      <c r="K55" s="11" t="n"/>
    </row>
    <row r="56" ht="22" customHeight="1">
      <c r="B56" s="15">
        <f>IF(C56="","SC-"&amp;TEXT(COUNTA($C$5:C56),"000"))</f>
        <v/>
      </c>
      <c r="C56" s="13" t="n"/>
      <c r="D56" s="13" t="n"/>
      <c r="E56" s="27" t="n"/>
      <c r="F56" s="13" t="n"/>
      <c r="G56" s="13">
        <f>IF(F56="","",TODAY()-F56)</f>
        <v/>
      </c>
      <c r="H56" s="27" t="n"/>
      <c r="I56" s="18" t="n"/>
      <c r="J56" s="18" t="n"/>
      <c r="K56" s="13" t="n"/>
    </row>
    <row r="57" ht="22" customHeight="1">
      <c r="B57" s="16">
        <f>IF(C57="","SC-"&amp;TEXT(COUNTA($C$5:C57),"000"))</f>
        <v/>
      </c>
      <c r="C57" s="11" t="n"/>
      <c r="D57" s="11" t="n"/>
      <c r="E57" s="26" t="n"/>
      <c r="F57" s="11" t="n"/>
      <c r="G57" s="11">
        <f>IF(F57="","",TODAY()-F57)</f>
        <v/>
      </c>
      <c r="H57" s="26" t="n"/>
      <c r="I57" s="17" t="n"/>
      <c r="J57" s="17" t="n"/>
      <c r="K57" s="11" t="n"/>
    </row>
    <row r="58" ht="22" customHeight="1">
      <c r="B58" s="15">
        <f>IF(C58="","SC-"&amp;TEXT(COUNTA($C$5:C58),"000"))</f>
        <v/>
      </c>
      <c r="C58" s="13" t="n"/>
      <c r="D58" s="13" t="n"/>
      <c r="E58" s="27" t="n"/>
      <c r="F58" s="13" t="n"/>
      <c r="G58" s="13">
        <f>IF(F58="","",TODAY()-F58)</f>
        <v/>
      </c>
      <c r="H58" s="27" t="n"/>
      <c r="I58" s="18" t="n"/>
      <c r="J58" s="18" t="n"/>
      <c r="K58" s="13" t="n"/>
    </row>
    <row r="59" ht="22" customHeight="1">
      <c r="B59" s="16">
        <f>IF(C59="","SC-"&amp;TEXT(COUNTA($C$5:C59),"000"))</f>
        <v/>
      </c>
      <c r="C59" s="11" t="n"/>
      <c r="D59" s="11" t="n"/>
      <c r="E59" s="26" t="n"/>
      <c r="F59" s="11" t="n"/>
      <c r="G59" s="11">
        <f>IF(F59="","",TODAY()-F59)</f>
        <v/>
      </c>
      <c r="H59" s="26" t="n"/>
      <c r="I59" s="17" t="n"/>
      <c r="J59" s="17" t="n"/>
      <c r="K59" s="11" t="n"/>
    </row>
    <row r="60" ht="22" customHeight="1">
      <c r="B60" s="15">
        <f>IF(C60="","SC-"&amp;TEXT(COUNTA($C$5:C60),"000"))</f>
        <v/>
      </c>
      <c r="C60" s="13" t="n"/>
      <c r="D60" s="13" t="n"/>
      <c r="E60" s="27" t="n"/>
      <c r="F60" s="13" t="n"/>
      <c r="G60" s="13">
        <f>IF(F60="","",TODAY()-F60)</f>
        <v/>
      </c>
      <c r="H60" s="27" t="n"/>
      <c r="I60" s="18" t="n"/>
      <c r="J60" s="18" t="n"/>
      <c r="K60" s="13" t="n"/>
    </row>
    <row r="61" ht="22" customHeight="1">
      <c r="B61" s="16">
        <f>IF(C61="","SC-"&amp;TEXT(COUNTA($C$5:C61),"000"))</f>
        <v/>
      </c>
      <c r="C61" s="11" t="n"/>
      <c r="D61" s="11" t="n"/>
      <c r="E61" s="26" t="n"/>
      <c r="F61" s="11" t="n"/>
      <c r="G61" s="11">
        <f>IF(F61="","",TODAY()-F61)</f>
        <v/>
      </c>
      <c r="H61" s="26" t="n"/>
      <c r="I61" s="17" t="n"/>
      <c r="J61" s="17" t="n"/>
      <c r="K61" s="11" t="n"/>
    </row>
    <row r="62" ht="22" customHeight="1">
      <c r="B62" s="15">
        <f>IF(C62="","SC-"&amp;TEXT(COUNTA($C$5:C62),"000"))</f>
        <v/>
      </c>
      <c r="C62" s="13" t="n"/>
      <c r="D62" s="13" t="n"/>
      <c r="E62" s="27" t="n"/>
      <c r="F62" s="13" t="n"/>
      <c r="G62" s="13">
        <f>IF(F62="","",TODAY()-F62)</f>
        <v/>
      </c>
      <c r="H62" s="27" t="n"/>
      <c r="I62" s="18" t="n"/>
      <c r="J62" s="18" t="n"/>
      <c r="K62" s="13" t="n"/>
    </row>
    <row r="63" ht="22" customHeight="1">
      <c r="B63" s="16">
        <f>IF(C63="","SC-"&amp;TEXT(COUNTA($C$5:C63),"000"))</f>
        <v/>
      </c>
      <c r="C63" s="11" t="n"/>
      <c r="D63" s="11" t="n"/>
      <c r="E63" s="26" t="n"/>
      <c r="F63" s="11" t="n"/>
      <c r="G63" s="11">
        <f>IF(F63="","",TODAY()-F63)</f>
        <v/>
      </c>
      <c r="H63" s="26" t="n"/>
      <c r="I63" s="17" t="n"/>
      <c r="J63" s="17" t="n"/>
      <c r="K63" s="11" t="n"/>
    </row>
    <row r="64" ht="22" customHeight="1">
      <c r="B64" s="15">
        <f>IF(C64="","SC-"&amp;TEXT(COUNTA($C$5:C64),"000"))</f>
        <v/>
      </c>
      <c r="C64" s="13" t="n"/>
      <c r="D64" s="13" t="n"/>
      <c r="E64" s="27" t="n"/>
      <c r="F64" s="13" t="n"/>
      <c r="G64" s="13">
        <f>IF(F64="","",TODAY()-F64)</f>
        <v/>
      </c>
      <c r="H64" s="27" t="n"/>
      <c r="I64" s="18" t="n"/>
      <c r="J64" s="18" t="n"/>
      <c r="K64" s="13" t="n"/>
    </row>
    <row r="65" ht="22" customHeight="1">
      <c r="B65" s="16">
        <f>IF(C65="","SC-"&amp;TEXT(COUNTA($C$5:C65),"000"))</f>
        <v/>
      </c>
      <c r="C65" s="11" t="n"/>
      <c r="D65" s="11" t="n"/>
      <c r="E65" s="26" t="n"/>
      <c r="F65" s="11" t="n"/>
      <c r="G65" s="11">
        <f>IF(F65="","",TODAY()-F65)</f>
        <v/>
      </c>
      <c r="H65" s="26" t="n"/>
      <c r="I65" s="17" t="n"/>
      <c r="J65" s="17" t="n"/>
      <c r="K65" s="11" t="n"/>
    </row>
    <row r="66" ht="22" customHeight="1">
      <c r="B66" s="15">
        <f>IF(C66="","SC-"&amp;TEXT(COUNTA($C$5:C66),"000"))</f>
        <v/>
      </c>
      <c r="C66" s="13" t="n"/>
      <c r="D66" s="13" t="n"/>
      <c r="E66" s="27" t="n"/>
      <c r="F66" s="13" t="n"/>
      <c r="G66" s="13">
        <f>IF(F66="","",TODAY()-F66)</f>
        <v/>
      </c>
      <c r="H66" s="27" t="n"/>
      <c r="I66" s="18" t="n"/>
      <c r="J66" s="18" t="n"/>
      <c r="K66" s="13" t="n"/>
    </row>
    <row r="67" ht="22" customHeight="1">
      <c r="B67" s="16">
        <f>IF(C67="","SC-"&amp;TEXT(COUNTA($C$5:C67),"000"))</f>
        <v/>
      </c>
      <c r="C67" s="11" t="n"/>
      <c r="D67" s="11" t="n"/>
      <c r="E67" s="26" t="n"/>
      <c r="F67" s="11" t="n"/>
      <c r="G67" s="11">
        <f>IF(F67="","",TODAY()-F67)</f>
        <v/>
      </c>
      <c r="H67" s="26" t="n"/>
      <c r="I67" s="17" t="n"/>
      <c r="J67" s="17" t="n"/>
      <c r="K67" s="11" t="n"/>
    </row>
    <row r="68" ht="22" customHeight="1">
      <c r="B68" s="15">
        <f>IF(C68="","SC-"&amp;TEXT(COUNTA($C$5:C68),"000"))</f>
        <v/>
      </c>
      <c r="C68" s="13" t="n"/>
      <c r="D68" s="13" t="n"/>
      <c r="E68" s="27" t="n"/>
      <c r="F68" s="13" t="n"/>
      <c r="G68" s="13">
        <f>IF(F68="","",TODAY()-F68)</f>
        <v/>
      </c>
      <c r="H68" s="27" t="n"/>
      <c r="I68" s="18" t="n"/>
      <c r="J68" s="18" t="n"/>
      <c r="K68" s="13" t="n"/>
    </row>
    <row r="69" ht="22" customHeight="1">
      <c r="B69" s="16">
        <f>IF(C69="","SC-"&amp;TEXT(COUNTA($C$5:C69),"000"))</f>
        <v/>
      </c>
      <c r="C69" s="11" t="n"/>
      <c r="D69" s="11" t="n"/>
      <c r="E69" s="26" t="n"/>
      <c r="F69" s="11" t="n"/>
      <c r="G69" s="11">
        <f>IF(F69="","",TODAY()-F69)</f>
        <v/>
      </c>
      <c r="H69" s="26" t="n"/>
      <c r="I69" s="17" t="n"/>
      <c r="J69" s="17" t="n"/>
      <c r="K69" s="11" t="n"/>
    </row>
    <row r="70" ht="22" customHeight="1">
      <c r="B70" s="15">
        <f>IF(C70="","SC-"&amp;TEXT(COUNTA($C$5:C70),"000"))</f>
        <v/>
      </c>
      <c r="C70" s="13" t="n"/>
      <c r="D70" s="13" t="n"/>
      <c r="E70" s="27" t="n"/>
      <c r="F70" s="13" t="n"/>
      <c r="G70" s="13">
        <f>IF(F70="","",TODAY()-F70)</f>
        <v/>
      </c>
      <c r="H70" s="27" t="n"/>
      <c r="I70" s="18" t="n"/>
      <c r="J70" s="18" t="n"/>
      <c r="K70" s="13" t="n"/>
    </row>
    <row r="71" ht="22" customHeight="1">
      <c r="B71" s="16">
        <f>IF(C71="","SC-"&amp;TEXT(COUNTA($C$5:C71),"000"))</f>
        <v/>
      </c>
      <c r="C71" s="11" t="n"/>
      <c r="D71" s="11" t="n"/>
      <c r="E71" s="26" t="n"/>
      <c r="F71" s="11" t="n"/>
      <c r="G71" s="11">
        <f>IF(F71="","",TODAY()-F71)</f>
        <v/>
      </c>
      <c r="H71" s="26" t="n"/>
      <c r="I71" s="17" t="n"/>
      <c r="J71" s="17" t="n"/>
      <c r="K71" s="11" t="n"/>
    </row>
    <row r="72" ht="22" customHeight="1">
      <c r="B72" s="15">
        <f>IF(C72="","SC-"&amp;TEXT(COUNTA($C$5:C72),"000"))</f>
        <v/>
      </c>
      <c r="C72" s="13" t="n"/>
      <c r="D72" s="13" t="n"/>
      <c r="E72" s="27" t="n"/>
      <c r="F72" s="13" t="n"/>
      <c r="G72" s="13">
        <f>IF(F72="","",TODAY()-F72)</f>
        <v/>
      </c>
      <c r="H72" s="27" t="n"/>
      <c r="I72" s="18" t="n"/>
      <c r="J72" s="18" t="n"/>
      <c r="K72" s="13" t="n"/>
    </row>
    <row r="73" ht="22" customHeight="1">
      <c r="B73" s="16">
        <f>IF(C73="","SC-"&amp;TEXT(COUNTA($C$5:C73),"000"))</f>
        <v/>
      </c>
      <c r="C73" s="11" t="n"/>
      <c r="D73" s="11" t="n"/>
      <c r="E73" s="26" t="n"/>
      <c r="F73" s="11" t="n"/>
      <c r="G73" s="11">
        <f>IF(F73="","",TODAY()-F73)</f>
        <v/>
      </c>
      <c r="H73" s="26" t="n"/>
      <c r="I73" s="17" t="n"/>
      <c r="J73" s="17" t="n"/>
      <c r="K73" s="11" t="n"/>
    </row>
    <row r="74" ht="22" customHeight="1">
      <c r="B74" s="15">
        <f>IF(C74="","SC-"&amp;TEXT(COUNTA($C$5:C74),"000"))</f>
        <v/>
      </c>
      <c r="C74" s="13" t="n"/>
      <c r="D74" s="13" t="n"/>
      <c r="E74" s="27" t="n"/>
      <c r="F74" s="13" t="n"/>
      <c r="G74" s="13">
        <f>IF(F74="","",TODAY()-F74)</f>
        <v/>
      </c>
      <c r="H74" s="27" t="n"/>
      <c r="I74" s="18" t="n"/>
      <c r="J74" s="18" t="n"/>
      <c r="K74" s="13" t="n"/>
    </row>
    <row r="75" ht="22" customHeight="1">
      <c r="B75" s="16">
        <f>IF(C75="","SC-"&amp;TEXT(COUNTA($C$5:C75),"000"))</f>
        <v/>
      </c>
      <c r="C75" s="11" t="n"/>
      <c r="D75" s="11" t="n"/>
      <c r="E75" s="26" t="n"/>
      <c r="F75" s="11" t="n"/>
      <c r="G75" s="11">
        <f>IF(F75="","",TODAY()-F75)</f>
        <v/>
      </c>
      <c r="H75" s="26" t="n"/>
      <c r="I75" s="17" t="n"/>
      <c r="J75" s="17" t="n"/>
      <c r="K75" s="11" t="n"/>
    </row>
    <row r="76" ht="22" customHeight="1">
      <c r="B76" s="15">
        <f>IF(C76="","SC-"&amp;TEXT(COUNTA($C$5:C76),"000"))</f>
        <v/>
      </c>
      <c r="C76" s="13" t="n"/>
      <c r="D76" s="13" t="n"/>
      <c r="E76" s="27" t="n"/>
      <c r="F76" s="13" t="n"/>
      <c r="G76" s="13">
        <f>IF(F76="","",TODAY()-F76)</f>
        <v/>
      </c>
      <c r="H76" s="27" t="n"/>
      <c r="I76" s="18" t="n"/>
      <c r="J76" s="18" t="n"/>
      <c r="K76" s="13" t="n"/>
    </row>
    <row r="77" ht="22" customHeight="1">
      <c r="B77" s="16">
        <f>IF(C77="","SC-"&amp;TEXT(COUNTA($C$5:C77),"000"))</f>
        <v/>
      </c>
      <c r="C77" s="11" t="n"/>
      <c r="D77" s="11" t="n"/>
      <c r="E77" s="26" t="n"/>
      <c r="F77" s="11" t="n"/>
      <c r="G77" s="11">
        <f>IF(F77="","",TODAY()-F77)</f>
        <v/>
      </c>
      <c r="H77" s="26" t="n"/>
      <c r="I77" s="17" t="n"/>
      <c r="J77" s="17" t="n"/>
      <c r="K77" s="11" t="n"/>
    </row>
    <row r="78" ht="22" customHeight="1">
      <c r="B78" s="15">
        <f>IF(C78="","SC-"&amp;TEXT(COUNTA($C$5:C78),"000"))</f>
        <v/>
      </c>
      <c r="C78" s="13" t="n"/>
      <c r="D78" s="13" t="n"/>
      <c r="E78" s="27" t="n"/>
      <c r="F78" s="13" t="n"/>
      <c r="G78" s="13">
        <f>IF(F78="","",TODAY()-F78)</f>
        <v/>
      </c>
      <c r="H78" s="27" t="n"/>
      <c r="I78" s="18" t="n"/>
      <c r="J78" s="18" t="n"/>
      <c r="K78" s="13" t="n"/>
    </row>
    <row r="79" ht="22" customHeight="1">
      <c r="B79" s="16">
        <f>IF(C79="","SC-"&amp;TEXT(COUNTA($C$5:C79),"000"))</f>
        <v/>
      </c>
      <c r="C79" s="11" t="n"/>
      <c r="D79" s="11" t="n"/>
      <c r="E79" s="26" t="n"/>
      <c r="F79" s="11" t="n"/>
      <c r="G79" s="11">
        <f>IF(F79="","",TODAY()-F79)</f>
        <v/>
      </c>
      <c r="H79" s="26" t="n"/>
      <c r="I79" s="17" t="n"/>
      <c r="J79" s="17" t="n"/>
      <c r="K79" s="11" t="n"/>
    </row>
    <row r="80" ht="22" customHeight="1">
      <c r="B80" s="15">
        <f>IF(C80="","SC-"&amp;TEXT(COUNTA($C$5:C80),"000"))</f>
        <v/>
      </c>
      <c r="C80" s="13" t="n"/>
      <c r="D80" s="13" t="n"/>
      <c r="E80" s="27" t="n"/>
      <c r="F80" s="13" t="n"/>
      <c r="G80" s="13">
        <f>IF(F80="","",TODAY()-F80)</f>
        <v/>
      </c>
      <c r="H80" s="27" t="n"/>
      <c r="I80" s="18" t="n"/>
      <c r="J80" s="18" t="n"/>
      <c r="K80" s="13" t="n"/>
    </row>
    <row r="81" ht="22" customHeight="1">
      <c r="B81" s="16">
        <f>IF(C81="","SC-"&amp;TEXT(COUNTA($C$5:C81),"000"))</f>
        <v/>
      </c>
      <c r="C81" s="11" t="n"/>
      <c r="D81" s="11" t="n"/>
      <c r="E81" s="26" t="n"/>
      <c r="F81" s="11" t="n"/>
      <c r="G81" s="11">
        <f>IF(F81="","",TODAY()-F81)</f>
        <v/>
      </c>
      <c r="H81" s="26" t="n"/>
      <c r="I81" s="17" t="n"/>
      <c r="J81" s="17" t="n"/>
      <c r="K81" s="11" t="n"/>
    </row>
    <row r="82" ht="22" customHeight="1">
      <c r="B82" s="15">
        <f>IF(C82="","SC-"&amp;TEXT(COUNTA($C$5:C82),"000"))</f>
        <v/>
      </c>
      <c r="C82" s="13" t="n"/>
      <c r="D82" s="13" t="n"/>
      <c r="E82" s="27" t="n"/>
      <c r="F82" s="13" t="n"/>
      <c r="G82" s="13">
        <f>IF(F82="","",TODAY()-F82)</f>
        <v/>
      </c>
      <c r="H82" s="27" t="n"/>
      <c r="I82" s="18" t="n"/>
      <c r="J82" s="18" t="n"/>
      <c r="K82" s="13" t="n"/>
    </row>
    <row r="83" ht="22" customHeight="1">
      <c r="B83" s="16">
        <f>IF(C83="","SC-"&amp;TEXT(COUNTA($C$5:C83),"000"))</f>
        <v/>
      </c>
      <c r="C83" s="11" t="n"/>
      <c r="D83" s="11" t="n"/>
      <c r="E83" s="26" t="n"/>
      <c r="F83" s="11" t="n"/>
      <c r="G83" s="11">
        <f>IF(F83="","",TODAY()-F83)</f>
        <v/>
      </c>
      <c r="H83" s="26" t="n"/>
      <c r="I83" s="17" t="n"/>
      <c r="J83" s="17" t="n"/>
      <c r="K83" s="11" t="n"/>
    </row>
    <row r="84" ht="22" customHeight="1">
      <c r="B84" s="15">
        <f>IF(C84="","SC-"&amp;TEXT(COUNTA($C$5:C84),"000"))</f>
        <v/>
      </c>
      <c r="C84" s="13" t="n"/>
      <c r="D84" s="13" t="n"/>
      <c r="E84" s="27" t="n"/>
      <c r="F84" s="13" t="n"/>
      <c r="G84" s="13">
        <f>IF(F84="","",TODAY()-F84)</f>
        <v/>
      </c>
      <c r="H84" s="27" t="n"/>
      <c r="I84" s="18" t="n"/>
      <c r="J84" s="18" t="n"/>
      <c r="K84" s="13" t="n"/>
    </row>
    <row r="85" ht="22" customHeight="1">
      <c r="B85" s="16">
        <f>IF(C85="","SC-"&amp;TEXT(COUNTA($C$5:C85),"000"))</f>
        <v/>
      </c>
      <c r="C85" s="11" t="n"/>
      <c r="D85" s="11" t="n"/>
      <c r="E85" s="26" t="n"/>
      <c r="F85" s="11" t="n"/>
      <c r="G85" s="11">
        <f>IF(F85="","",TODAY()-F85)</f>
        <v/>
      </c>
      <c r="H85" s="26" t="n"/>
      <c r="I85" s="17" t="n"/>
      <c r="J85" s="17" t="n"/>
      <c r="K85" s="11" t="n"/>
    </row>
    <row r="86" ht="22" customHeight="1">
      <c r="B86" s="15">
        <f>IF(C86="","SC-"&amp;TEXT(COUNTA($C$5:C86),"000"))</f>
        <v/>
      </c>
      <c r="C86" s="13" t="n"/>
      <c r="D86" s="13" t="n"/>
      <c r="E86" s="27" t="n"/>
      <c r="F86" s="13" t="n"/>
      <c r="G86" s="13">
        <f>IF(F86="","",TODAY()-F86)</f>
        <v/>
      </c>
      <c r="H86" s="27" t="n"/>
      <c r="I86" s="18" t="n"/>
      <c r="J86" s="18" t="n"/>
      <c r="K86" s="13" t="n"/>
    </row>
    <row r="87" ht="22" customHeight="1">
      <c r="B87" s="16">
        <f>IF(C87="","SC-"&amp;TEXT(COUNTA($C$5:C87),"000"))</f>
        <v/>
      </c>
      <c r="C87" s="11" t="n"/>
      <c r="D87" s="11" t="n"/>
      <c r="E87" s="26" t="n"/>
      <c r="F87" s="11" t="n"/>
      <c r="G87" s="11">
        <f>IF(F87="","",TODAY()-F87)</f>
        <v/>
      </c>
      <c r="H87" s="26" t="n"/>
      <c r="I87" s="17" t="n"/>
      <c r="J87" s="17" t="n"/>
      <c r="K87" s="11" t="n"/>
    </row>
    <row r="88" ht="22" customHeight="1">
      <c r="B88" s="15">
        <f>IF(C88="","SC-"&amp;TEXT(COUNTA($C$5:C88),"000"))</f>
        <v/>
      </c>
      <c r="C88" s="13" t="n"/>
      <c r="D88" s="13" t="n"/>
      <c r="E88" s="27" t="n"/>
      <c r="F88" s="13" t="n"/>
      <c r="G88" s="13">
        <f>IF(F88="","",TODAY()-F88)</f>
        <v/>
      </c>
      <c r="H88" s="27" t="n"/>
      <c r="I88" s="18" t="n"/>
      <c r="J88" s="18" t="n"/>
      <c r="K88" s="13" t="n"/>
    </row>
    <row r="89" ht="22" customHeight="1">
      <c r="B89" s="16">
        <f>IF(C89="","SC-"&amp;TEXT(COUNTA($C$5:C89),"000"))</f>
        <v/>
      </c>
      <c r="C89" s="11" t="n"/>
      <c r="D89" s="11" t="n"/>
      <c r="E89" s="26" t="n"/>
      <c r="F89" s="11" t="n"/>
      <c r="G89" s="11">
        <f>IF(F89="","",TODAY()-F89)</f>
        <v/>
      </c>
      <c r="H89" s="26" t="n"/>
      <c r="I89" s="17" t="n"/>
      <c r="J89" s="17" t="n"/>
      <c r="K89" s="11" t="n"/>
    </row>
    <row r="90" ht="22" customHeight="1">
      <c r="B90" s="15">
        <f>IF(C90="","SC-"&amp;TEXT(COUNTA($C$5:C90),"000"))</f>
        <v/>
      </c>
      <c r="C90" s="13" t="n"/>
      <c r="D90" s="13" t="n"/>
      <c r="E90" s="27" t="n"/>
      <c r="F90" s="13" t="n"/>
      <c r="G90" s="13">
        <f>IF(F90="","",TODAY()-F90)</f>
        <v/>
      </c>
      <c r="H90" s="27" t="n"/>
      <c r="I90" s="18" t="n"/>
      <c r="J90" s="18" t="n"/>
      <c r="K90" s="13" t="n"/>
    </row>
    <row r="91" ht="22" customHeight="1">
      <c r="B91" s="16">
        <f>IF(C91="","SC-"&amp;TEXT(COUNTA($C$5:C91),"000"))</f>
        <v/>
      </c>
      <c r="C91" s="11" t="n"/>
      <c r="D91" s="11" t="n"/>
      <c r="E91" s="26" t="n"/>
      <c r="F91" s="11" t="n"/>
      <c r="G91" s="11">
        <f>IF(F91="","",TODAY()-F91)</f>
        <v/>
      </c>
      <c r="H91" s="26" t="n"/>
      <c r="I91" s="17" t="n"/>
      <c r="J91" s="17" t="n"/>
      <c r="K91" s="11" t="n"/>
    </row>
    <row r="92" ht="22" customHeight="1">
      <c r="B92" s="15">
        <f>IF(C92="","SC-"&amp;TEXT(COUNTA($C$5:C92),"000"))</f>
        <v/>
      </c>
      <c r="C92" s="13" t="n"/>
      <c r="D92" s="13" t="n"/>
      <c r="E92" s="27" t="n"/>
      <c r="F92" s="13" t="n"/>
      <c r="G92" s="13">
        <f>IF(F92="","",TODAY()-F92)</f>
        <v/>
      </c>
      <c r="H92" s="27" t="n"/>
      <c r="I92" s="18" t="n"/>
      <c r="J92" s="18" t="n"/>
      <c r="K92" s="13" t="n"/>
    </row>
    <row r="93" ht="22" customHeight="1">
      <c r="B93" s="16">
        <f>IF(C93="","SC-"&amp;TEXT(COUNTA($C$5:C93),"000"))</f>
        <v/>
      </c>
      <c r="C93" s="11" t="n"/>
      <c r="D93" s="11" t="n"/>
      <c r="E93" s="26" t="n"/>
      <c r="F93" s="11" t="n"/>
      <c r="G93" s="11">
        <f>IF(F93="","",TODAY()-F93)</f>
        <v/>
      </c>
      <c r="H93" s="26" t="n"/>
      <c r="I93" s="17" t="n"/>
      <c r="J93" s="17" t="n"/>
      <c r="K93" s="11" t="n"/>
    </row>
    <row r="94" ht="22" customHeight="1">
      <c r="B94" s="15">
        <f>IF(C94="","SC-"&amp;TEXT(COUNTA($C$5:C94),"000"))</f>
        <v/>
      </c>
      <c r="C94" s="13" t="n"/>
      <c r="D94" s="13" t="n"/>
      <c r="E94" s="27" t="n"/>
      <c r="F94" s="13" t="n"/>
      <c r="G94" s="13">
        <f>IF(F94="","",TODAY()-F94)</f>
        <v/>
      </c>
      <c r="H94" s="27" t="n"/>
      <c r="I94" s="18" t="n"/>
      <c r="J94" s="18" t="n"/>
      <c r="K94" s="13" t="n"/>
    </row>
    <row r="95" ht="22" customHeight="1">
      <c r="B95" s="16">
        <f>IF(C95="","SC-"&amp;TEXT(COUNTA($C$5:C95),"000"))</f>
        <v/>
      </c>
      <c r="C95" s="11" t="n"/>
      <c r="D95" s="11" t="n"/>
      <c r="E95" s="26" t="n"/>
      <c r="F95" s="11" t="n"/>
      <c r="G95" s="11">
        <f>IF(F95="","",TODAY()-F95)</f>
        <v/>
      </c>
      <c r="H95" s="26" t="n"/>
      <c r="I95" s="17" t="n"/>
      <c r="J95" s="17" t="n"/>
      <c r="K95" s="11" t="n"/>
    </row>
    <row r="96" ht="22" customHeight="1">
      <c r="B96" s="15">
        <f>IF(C96="","SC-"&amp;TEXT(COUNTA($C$5:C96),"000"))</f>
        <v/>
      </c>
      <c r="C96" s="13" t="n"/>
      <c r="D96" s="13" t="n"/>
      <c r="E96" s="27" t="n"/>
      <c r="F96" s="13" t="n"/>
      <c r="G96" s="13">
        <f>IF(F96="","",TODAY()-F96)</f>
        <v/>
      </c>
      <c r="H96" s="27" t="n"/>
      <c r="I96" s="18" t="n"/>
      <c r="J96" s="18" t="n"/>
      <c r="K96" s="13" t="n"/>
    </row>
    <row r="97" ht="22" customHeight="1">
      <c r="B97" s="16">
        <f>IF(C97="","SC-"&amp;TEXT(COUNTA($C$5:C97),"000"))</f>
        <v/>
      </c>
      <c r="C97" s="11" t="n"/>
      <c r="D97" s="11" t="n"/>
      <c r="E97" s="26" t="n"/>
      <c r="F97" s="11" t="n"/>
      <c r="G97" s="11">
        <f>IF(F97="","",TODAY()-F97)</f>
        <v/>
      </c>
      <c r="H97" s="26" t="n"/>
      <c r="I97" s="17" t="n"/>
      <c r="J97" s="17" t="n"/>
      <c r="K97" s="11" t="n"/>
    </row>
    <row r="98" ht="22" customHeight="1">
      <c r="B98" s="15">
        <f>IF(C98="","SC-"&amp;TEXT(COUNTA($C$5:C98),"000"))</f>
        <v/>
      </c>
      <c r="C98" s="13" t="n"/>
      <c r="D98" s="13" t="n"/>
      <c r="E98" s="27" t="n"/>
      <c r="F98" s="13" t="n"/>
      <c r="G98" s="13">
        <f>IF(F98="","",TODAY()-F98)</f>
        <v/>
      </c>
      <c r="H98" s="27" t="n"/>
      <c r="I98" s="18" t="n"/>
      <c r="J98" s="18" t="n"/>
      <c r="K98" s="13" t="n"/>
    </row>
    <row r="99" ht="22" customHeight="1">
      <c r="B99" s="16">
        <f>IF(C99="","SC-"&amp;TEXT(COUNTA($C$5:C99),"000"))</f>
        <v/>
      </c>
      <c r="C99" s="11" t="n"/>
      <c r="D99" s="11" t="n"/>
      <c r="E99" s="26" t="n"/>
      <c r="F99" s="11" t="n"/>
      <c r="G99" s="11">
        <f>IF(F99="","",TODAY()-F99)</f>
        <v/>
      </c>
      <c r="H99" s="26" t="n"/>
      <c r="I99" s="17" t="n"/>
      <c r="J99" s="17" t="n"/>
      <c r="K99" s="11" t="n"/>
    </row>
    <row r="100" ht="22" customHeight="1">
      <c r="B100" s="15">
        <f>IF(C100="","SC-"&amp;TEXT(COUNTA($C$5:C100),"000"))</f>
        <v/>
      </c>
      <c r="C100" s="13" t="n"/>
      <c r="D100" s="13" t="n"/>
      <c r="E100" s="27" t="n"/>
      <c r="F100" s="13" t="n"/>
      <c r="G100" s="13">
        <f>IF(F100="","",TODAY()-F100)</f>
        <v/>
      </c>
      <c r="H100" s="27" t="n"/>
      <c r="I100" s="18" t="n"/>
      <c r="J100" s="18" t="n"/>
      <c r="K100" s="13" t="n"/>
    </row>
    <row r="101" ht="22" customHeight="1">
      <c r="B101" s="16">
        <f>IF(C101="","SC-"&amp;TEXT(COUNTA($C$5:C101),"000"))</f>
        <v/>
      </c>
      <c r="C101" s="11" t="n"/>
      <c r="D101" s="11" t="n"/>
      <c r="E101" s="26" t="n"/>
      <c r="F101" s="11" t="n"/>
      <c r="G101" s="11">
        <f>IF(F101="","",TODAY()-F101)</f>
        <v/>
      </c>
      <c r="H101" s="26" t="n"/>
      <c r="I101" s="17" t="n"/>
      <c r="J101" s="17" t="n"/>
      <c r="K101" s="11" t="n"/>
    </row>
    <row r="102" ht="22" customHeight="1">
      <c r="B102" s="15">
        <f>IF(C102="","SC-"&amp;TEXT(COUNTA($C$5:C102),"000"))</f>
        <v/>
      </c>
      <c r="C102" s="13" t="n"/>
      <c r="D102" s="13" t="n"/>
      <c r="E102" s="27" t="n"/>
      <c r="F102" s="13" t="n"/>
      <c r="G102" s="13">
        <f>IF(F102="","",TODAY()-F102)</f>
        <v/>
      </c>
      <c r="H102" s="27" t="n"/>
      <c r="I102" s="18" t="n"/>
      <c r="J102" s="18" t="n"/>
      <c r="K102" s="13" t="n"/>
    </row>
    <row r="103" ht="22" customHeight="1">
      <c r="B103" s="16">
        <f>IF(C103="","SC-"&amp;TEXT(COUNTA($C$5:C103),"000"))</f>
        <v/>
      </c>
      <c r="C103" s="11" t="n"/>
      <c r="D103" s="11" t="n"/>
      <c r="E103" s="26" t="n"/>
      <c r="F103" s="11" t="n"/>
      <c r="G103" s="11">
        <f>IF(F103="","",TODAY()-F103)</f>
        <v/>
      </c>
      <c r="H103" s="26" t="n"/>
      <c r="I103" s="17" t="n"/>
      <c r="J103" s="17" t="n"/>
      <c r="K103" s="11" t="n"/>
    </row>
    <row r="104" ht="22" customHeight="1">
      <c r="B104" s="15">
        <f>IF(C104="","SC-"&amp;TEXT(COUNTA($C$5:C104),"000"))</f>
        <v/>
      </c>
      <c r="C104" s="13" t="n"/>
      <c r="D104" s="13" t="n"/>
      <c r="E104" s="27" t="n"/>
      <c r="F104" s="13" t="n"/>
      <c r="G104" s="13">
        <f>IF(F104="","",TODAY()-F104)</f>
        <v/>
      </c>
      <c r="H104" s="27" t="n"/>
      <c r="I104" s="18" t="n"/>
      <c r="J104" s="18" t="n"/>
      <c r="K104" s="13" t="n"/>
    </row>
    <row r="105" ht="22" customHeight="1">
      <c r="B105" s="16">
        <f>IF(C105="","SC-"&amp;TEXT(COUNTA($C$5:C105),"000"))</f>
        <v/>
      </c>
      <c r="C105" s="11" t="n"/>
      <c r="D105" s="11" t="n"/>
      <c r="E105" s="26" t="n"/>
      <c r="F105" s="11" t="n"/>
      <c r="G105" s="11">
        <f>IF(F105="","",TODAY()-F105)</f>
        <v/>
      </c>
      <c r="H105" s="26" t="n"/>
      <c r="I105" s="17" t="n"/>
      <c r="J105" s="17" t="n"/>
      <c r="K105" s="11" t="n"/>
    </row>
    <row r="106" ht="22" customHeight="1">
      <c r="B106" s="15">
        <f>IF(C106="","SC-"&amp;TEXT(COUNTA($C$5:C106),"000"))</f>
        <v/>
      </c>
      <c r="C106" s="13" t="n"/>
      <c r="D106" s="13" t="n"/>
      <c r="E106" s="27" t="n"/>
      <c r="F106" s="13" t="n"/>
      <c r="G106" s="13">
        <f>IF(F106="","",TODAY()-F106)</f>
        <v/>
      </c>
      <c r="H106" s="27" t="n"/>
      <c r="I106" s="18" t="n"/>
      <c r="J106" s="18" t="n"/>
      <c r="K106" s="13" t="n"/>
    </row>
    <row r="107" ht="22" customHeight="1">
      <c r="B107" s="16">
        <f>IF(C107="","SC-"&amp;TEXT(COUNTA($C$5:C107),"000"))</f>
        <v/>
      </c>
      <c r="C107" s="11" t="n"/>
      <c r="D107" s="11" t="n"/>
      <c r="E107" s="26" t="n"/>
      <c r="F107" s="11" t="n"/>
      <c r="G107" s="11">
        <f>IF(F107="","",TODAY()-F107)</f>
        <v/>
      </c>
      <c r="H107" s="26" t="n"/>
      <c r="I107" s="17" t="n"/>
      <c r="J107" s="17" t="n"/>
      <c r="K107" s="11" t="n"/>
    </row>
    <row r="108" ht="22" customHeight="1">
      <c r="B108" s="15">
        <f>IF(C108="","SC-"&amp;TEXT(COUNTA($C$5:C108),"000"))</f>
        <v/>
      </c>
      <c r="C108" s="13" t="n"/>
      <c r="D108" s="13" t="n"/>
      <c r="E108" s="27" t="n"/>
      <c r="F108" s="13" t="n"/>
      <c r="G108" s="13">
        <f>IF(F108="","",TODAY()-F108)</f>
        <v/>
      </c>
      <c r="H108" s="27" t="n"/>
      <c r="I108" s="18" t="n"/>
      <c r="J108" s="18" t="n"/>
      <c r="K108" s="13" t="n"/>
    </row>
    <row r="109"/>
    <row r="110" ht="26" customHeight="1">
      <c r="B110" s="19" t="inlineStr">
        <is>
          <t>TOTAL</t>
        </is>
      </c>
      <c r="C110" s="20" t="n"/>
      <c r="D110" s="20" t="n"/>
      <c r="E110" s="20" t="n"/>
      <c r="F110" s="20" t="n"/>
      <c r="G110" s="20" t="n"/>
      <c r="H110" s="20" t="n"/>
      <c r="I110" s="21">
        <f>SUM(I5:I104)</f>
        <v/>
      </c>
      <c r="J110" s="21">
        <f>SUM(J5:J104)</f>
        <v/>
      </c>
      <c r="K110" s="20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Dossiers ouverts</t>
        </is>
      </c>
      <c r="D113" s="3" t="inlineStr">
        <is>
          <t>Total enjeux (M FCFA)</t>
        </is>
      </c>
      <c r="F113" s="3" t="inlineStr">
        <is>
          <t>Total frais avocat</t>
        </is>
      </c>
    </row>
    <row r="114">
      <c r="B114" s="4">
        <f>COUNTIF(B5:B104,"&lt;&gt;")</f>
        <v/>
      </c>
      <c r="D114" s="4">
        <f>IFERROR(SUM(J5:J104)/1000000,0)</f>
        <v/>
      </c>
      <c r="F114" s="4">
        <f>SUM(I5:I104)</f>
        <v/>
      </c>
    </row>
  </sheetData>
  <mergeCells count="3">
    <mergeCell ref="B112:K112"/>
    <mergeCell ref="B3:K3"/>
    <mergeCell ref="B2:K2"/>
  </mergeCells>
  <conditionalFormatting sqref="K5:K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9:B108">
    <cfRule type="expression" priority="193" dxfId="3">
      <formula>AND($C9="",$C8&lt;&gt;"")</formula>
    </cfRule>
  </conditionalFormatting>
  <conditionalFormatting sqref="C9:C108">
    <cfRule type="expression" priority="194" dxfId="3">
      <formula>AND($C9="",$C8&lt;&gt;"")</formula>
    </cfRule>
  </conditionalFormatting>
  <conditionalFormatting sqref="D9:D108">
    <cfRule type="expression" priority="195" dxfId="3">
      <formula>AND($C9="",$C8&lt;&gt;"")</formula>
    </cfRule>
  </conditionalFormatting>
  <conditionalFormatting sqref="E9:E108">
    <cfRule type="expression" priority="196" dxfId="3">
      <formula>AND($C9="",$C8&lt;&gt;"")</formula>
    </cfRule>
  </conditionalFormatting>
  <conditionalFormatting sqref="F9:F108">
    <cfRule type="expression" priority="197" dxfId="3">
      <formula>AND($C9="",$C8&lt;&gt;"")</formula>
    </cfRule>
  </conditionalFormatting>
  <conditionalFormatting sqref="G9:G108">
    <cfRule type="expression" priority="198" dxfId="3">
      <formula>AND($C9="",$C8&lt;&gt;"")</formula>
    </cfRule>
  </conditionalFormatting>
  <conditionalFormatting sqref="H9:H108">
    <cfRule type="expression" priority="199" dxfId="3">
      <formula>AND($C9="",$C8&lt;&gt;"")</formula>
    </cfRule>
  </conditionalFormatting>
  <conditionalFormatting sqref="I9:I108">
    <cfRule type="expression" priority="200" dxfId="3">
      <formula>AND($C9="",$C8&lt;&gt;"")</formula>
    </cfRule>
  </conditionalFormatting>
  <conditionalFormatting sqref="J9:J108">
    <cfRule type="expression" priority="201" dxfId="3">
      <formula>AND($C9="",$C8&lt;&gt;"")</formula>
    </cfRule>
  </conditionalFormatting>
  <conditionalFormatting sqref="K9:K108">
    <cfRule type="expression" priority="202" dxfId="3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'_Lists'!$P$2:$P$9</formula1>
    </dataValidation>
    <dataValidation sqref="K5:K108" showDropDown="0" showInputMessage="0" showErrorMessage="0" allowBlank="1" errorTitle="Erreur" error="Valeur invalide" promptTitle="Liste" prompt="Choisir dans la liste" type="list">
      <formula1>'_Lists'!$Q$2:$Q$9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0" customWidth="1" min="5" max="5"/>
    <col width="14" customWidth="1" min="6" max="6"/>
    <col width="22" customWidth="1" min="7" max="7"/>
    <col width="14" customWidth="1" min="8" max="8"/>
    <col width="18" customWidth="1" min="9" max="9"/>
    <col width="16" customWidth="1" min="10" max="10"/>
    <col width="18" customWidth="1" min="11" max="11"/>
  </cols>
  <sheetData>
    <row r="1" ht="15" customHeight="1"/>
    <row r="2" ht="32" customHeight="1">
      <c r="B2" s="1" t="inlineStr">
        <is>
          <t>CALENDRIER DÉCLARATIONS SOCIALES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Declaration</t>
        </is>
      </c>
      <c r="D4" s="10" t="inlineStr">
        <is>
          <t>Mois</t>
        </is>
      </c>
      <c r="E4" s="10" t="inlineStr">
        <is>
          <t>Annee</t>
        </is>
      </c>
      <c r="F4" s="10" t="inlineStr">
        <is>
          <t>Date Echeance</t>
        </is>
      </c>
      <c r="G4" s="10" t="inlineStr">
        <is>
          <t>Date Paiement Effectif</t>
        </is>
      </c>
      <c r="H4" s="10" t="inlineStr">
        <is>
          <t>Retard (jours)</t>
        </is>
      </c>
      <c r="I4" s="10" t="inlineStr">
        <is>
          <t>Montant (FCFA)</t>
        </is>
      </c>
      <c r="J4" s="10" t="inlineStr">
        <is>
          <t>Penalites (FCFA)</t>
        </is>
      </c>
      <c r="K4" s="10" t="inlineStr">
        <is>
          <t>Statut</t>
        </is>
      </c>
    </row>
    <row r="5" ht="22" customHeight="1">
      <c r="B5" s="11" t="inlineStr">
        <is>
          <t>CDS-001</t>
        </is>
      </c>
      <c r="C5" s="11" t="inlineStr">
        <is>
          <t>CNPS mensuelle</t>
        </is>
      </c>
      <c r="D5" s="11" t="inlineStr">
        <is>
          <t>Janvier</t>
        </is>
      </c>
      <c r="E5" s="11" t="inlineStr">
        <is>
          <t>2025</t>
        </is>
      </c>
      <c r="F5" s="26" t="n">
        <v>45703</v>
      </c>
      <c r="G5" s="26" t="n">
        <v>45700</v>
      </c>
      <c r="H5" s="11" t="n"/>
      <c r="I5" s="17" t="n">
        <v>1850000</v>
      </c>
      <c r="J5" s="17" t="n">
        <v>0</v>
      </c>
      <c r="K5" s="11" t="inlineStr">
        <is>
          <t>Effectuee</t>
        </is>
      </c>
    </row>
    <row r="6" ht="22" customHeight="1">
      <c r="B6" s="13" t="inlineStr">
        <is>
          <t>CDS-002</t>
        </is>
      </c>
      <c r="C6" s="13" t="inlineStr">
        <is>
          <t>IR mensuel</t>
        </is>
      </c>
      <c r="D6" s="13" t="inlineStr">
        <is>
          <t>Janvier</t>
        </is>
      </c>
      <c r="E6" s="13" t="inlineStr">
        <is>
          <t>2025</t>
        </is>
      </c>
      <c r="F6" s="27" t="n">
        <v>45703</v>
      </c>
      <c r="G6" s="27" t="n">
        <v>45702</v>
      </c>
      <c r="H6" s="13" t="n"/>
      <c r="I6" s="18" t="n">
        <v>620000</v>
      </c>
      <c r="J6" s="18" t="n">
        <v>0</v>
      </c>
      <c r="K6" s="13" t="inlineStr">
        <is>
          <t>Effectuee</t>
        </is>
      </c>
    </row>
    <row r="7" ht="22" customHeight="1">
      <c r="B7" s="11" t="inlineStr">
        <is>
          <t>CDS-003</t>
        </is>
      </c>
      <c r="C7" s="11" t="inlineStr">
        <is>
          <t>CNPS mensuelle</t>
        </is>
      </c>
      <c r="D7" s="11" t="inlineStr">
        <is>
          <t>Fevrier</t>
        </is>
      </c>
      <c r="E7" s="11" t="inlineStr">
        <is>
          <t>2025</t>
        </is>
      </c>
      <c r="F7" s="26" t="n">
        <v>45731</v>
      </c>
      <c r="G7" s="26" t="n">
        <v>45734</v>
      </c>
      <c r="H7" s="11" t="n"/>
      <c r="I7" s="17" t="n">
        <v>1870000</v>
      </c>
      <c r="J7" s="17" t="n">
        <v>45000</v>
      </c>
      <c r="K7" s="11" t="inlineStr">
        <is>
          <t>Effectuee</t>
        </is>
      </c>
    </row>
    <row r="8" ht="22" customHeight="1">
      <c r="B8" s="13" t="inlineStr">
        <is>
          <t>CDS-004</t>
        </is>
      </c>
      <c r="C8" s="13" t="inlineStr">
        <is>
          <t>IR mensuel</t>
        </is>
      </c>
      <c r="D8" s="13" t="inlineStr">
        <is>
          <t>Fevrier</t>
        </is>
      </c>
      <c r="E8" s="13" t="inlineStr">
        <is>
          <t>2025</t>
        </is>
      </c>
      <c r="F8" s="27" t="n">
        <v>45731</v>
      </c>
      <c r="G8" s="27" t="n">
        <v>45731</v>
      </c>
      <c r="H8" s="13" t="n"/>
      <c r="I8" s="18" t="n">
        <v>635000</v>
      </c>
      <c r="J8" s="18" t="n">
        <v>0</v>
      </c>
      <c r="K8" s="13" t="inlineStr">
        <is>
          <t>Effectuee</t>
        </is>
      </c>
    </row>
    <row r="9" ht="22" customHeight="1">
      <c r="B9" s="11" t="inlineStr">
        <is>
          <t>CDS-005</t>
        </is>
      </c>
      <c r="C9" s="11" t="inlineStr">
        <is>
          <t>CNPS mensuelle</t>
        </is>
      </c>
      <c r="D9" s="11" t="inlineStr">
        <is>
          <t>Mars</t>
        </is>
      </c>
      <c r="E9" s="11" t="inlineStr">
        <is>
          <t>2025</t>
        </is>
      </c>
      <c r="F9" s="26" t="n">
        <v>45762</v>
      </c>
      <c r="G9" s="26" t="n"/>
      <c r="H9" s="11" t="n"/>
      <c r="I9" s="17" t="n">
        <v>1890000</v>
      </c>
      <c r="J9" s="17" t="n">
        <v>0</v>
      </c>
      <c r="K9" s="11" t="inlineStr">
        <is>
          <t>En retard</t>
        </is>
      </c>
    </row>
    <row r="10" ht="22" customHeight="1">
      <c r="B10" s="15">
        <f>IF(C10="","CDS-"&amp;TEXT(COUNTA($C$5:C10),"000"))</f>
        <v/>
      </c>
      <c r="C10" s="13" t="n"/>
      <c r="D10" s="13" t="n"/>
      <c r="E10" s="13" t="n"/>
      <c r="F10" s="27" t="n"/>
      <c r="G10" s="27" t="n"/>
      <c r="H10" s="13">
        <f>IF(OR(G10="",F10=""),"",IF(G10&gt;F10,G10-F10,0))</f>
        <v/>
      </c>
      <c r="I10" s="18" t="n"/>
      <c r="J10" s="18" t="n"/>
      <c r="K10" s="13" t="n"/>
    </row>
    <row r="11" ht="22" customHeight="1">
      <c r="B11" s="16">
        <f>IF(C11="","CDS-"&amp;TEXT(COUNTA($C$5:C11),"000"))</f>
        <v/>
      </c>
      <c r="C11" s="11" t="n"/>
      <c r="D11" s="11" t="n"/>
      <c r="E11" s="11" t="n"/>
      <c r="F11" s="26" t="n"/>
      <c r="G11" s="26" t="n"/>
      <c r="H11" s="11">
        <f>IF(OR(G11="",F11=""),"",IF(G11&gt;F11,G11-F11,0))</f>
        <v/>
      </c>
      <c r="I11" s="17" t="n"/>
      <c r="J11" s="17" t="n"/>
      <c r="K11" s="11" t="n"/>
    </row>
    <row r="12" ht="22" customHeight="1">
      <c r="B12" s="15">
        <f>IF(C12="","CDS-"&amp;TEXT(COUNTA($C$5:C12),"000"))</f>
        <v/>
      </c>
      <c r="C12" s="13" t="n"/>
      <c r="D12" s="13" t="n"/>
      <c r="E12" s="13" t="n"/>
      <c r="F12" s="27" t="n"/>
      <c r="G12" s="27" t="n"/>
      <c r="H12" s="13">
        <f>IF(OR(G12="",F12=""),"",IF(G12&gt;F12,G12-F12,0))</f>
        <v/>
      </c>
      <c r="I12" s="18" t="n"/>
      <c r="J12" s="18" t="n"/>
      <c r="K12" s="13" t="n"/>
    </row>
    <row r="13" ht="22" customHeight="1">
      <c r="B13" s="16">
        <f>IF(C13="","CDS-"&amp;TEXT(COUNTA($C$5:C13),"000"))</f>
        <v/>
      </c>
      <c r="C13" s="11" t="n"/>
      <c r="D13" s="11" t="n"/>
      <c r="E13" s="11" t="n"/>
      <c r="F13" s="26" t="n"/>
      <c r="G13" s="26" t="n"/>
      <c r="H13" s="11">
        <f>IF(OR(G13="",F13=""),"",IF(G13&gt;F13,G13-F13,0))</f>
        <v/>
      </c>
      <c r="I13" s="17" t="n"/>
      <c r="J13" s="17" t="n"/>
      <c r="K13" s="11" t="n"/>
    </row>
    <row r="14" ht="22" customHeight="1">
      <c r="B14" s="15">
        <f>IF(C14="","CDS-"&amp;TEXT(COUNTA($C$5:C14),"000"))</f>
        <v/>
      </c>
      <c r="C14" s="13" t="n"/>
      <c r="D14" s="13" t="n"/>
      <c r="E14" s="13" t="n"/>
      <c r="F14" s="27" t="n"/>
      <c r="G14" s="27" t="n"/>
      <c r="H14" s="13">
        <f>IF(OR(G14="",F14=""),"",IF(G14&gt;F14,G14-F14,0))</f>
        <v/>
      </c>
      <c r="I14" s="18" t="n"/>
      <c r="J14" s="18" t="n"/>
      <c r="K14" s="13" t="n"/>
    </row>
    <row r="15" ht="22" customHeight="1">
      <c r="B15" s="16">
        <f>IF(C15="","CDS-"&amp;TEXT(COUNTA($C$5:C15),"000"))</f>
        <v/>
      </c>
      <c r="C15" s="11" t="n"/>
      <c r="D15" s="11" t="n"/>
      <c r="E15" s="11" t="n"/>
      <c r="F15" s="26" t="n"/>
      <c r="G15" s="26" t="n"/>
      <c r="H15" s="11">
        <f>IF(OR(G15="",F15=""),"",IF(G15&gt;F15,G15-F15,0))</f>
        <v/>
      </c>
      <c r="I15" s="17" t="n"/>
      <c r="J15" s="17" t="n"/>
      <c r="K15" s="11" t="n"/>
    </row>
    <row r="16" ht="22" customHeight="1">
      <c r="B16" s="15">
        <f>IF(C16="","CDS-"&amp;TEXT(COUNTA($C$5:C16),"000"))</f>
        <v/>
      </c>
      <c r="C16" s="13" t="n"/>
      <c r="D16" s="13" t="n"/>
      <c r="E16" s="13" t="n"/>
      <c r="F16" s="27" t="n"/>
      <c r="G16" s="27" t="n"/>
      <c r="H16" s="13">
        <f>IF(OR(G16="",F16=""),"",IF(G16&gt;F16,G16-F16,0))</f>
        <v/>
      </c>
      <c r="I16" s="18" t="n"/>
      <c r="J16" s="18" t="n"/>
      <c r="K16" s="13" t="n"/>
    </row>
    <row r="17" ht="22" customHeight="1">
      <c r="B17" s="16">
        <f>IF(C17="","CDS-"&amp;TEXT(COUNTA($C$5:C17),"000"))</f>
        <v/>
      </c>
      <c r="C17" s="11" t="n"/>
      <c r="D17" s="11" t="n"/>
      <c r="E17" s="11" t="n"/>
      <c r="F17" s="26" t="n"/>
      <c r="G17" s="26" t="n"/>
      <c r="H17" s="11">
        <f>IF(OR(G17="",F17=""),"",IF(G17&gt;F17,G17-F17,0))</f>
        <v/>
      </c>
      <c r="I17" s="17" t="n"/>
      <c r="J17" s="17" t="n"/>
      <c r="K17" s="11" t="n"/>
    </row>
    <row r="18" ht="22" customHeight="1">
      <c r="B18" s="15">
        <f>IF(C18="","CDS-"&amp;TEXT(COUNTA($C$5:C18),"000"))</f>
        <v/>
      </c>
      <c r="C18" s="13" t="n"/>
      <c r="D18" s="13" t="n"/>
      <c r="E18" s="13" t="n"/>
      <c r="F18" s="27" t="n"/>
      <c r="G18" s="27" t="n"/>
      <c r="H18" s="13">
        <f>IF(OR(G18="",F18=""),"",IF(G18&gt;F18,G18-F18,0))</f>
        <v/>
      </c>
      <c r="I18" s="18" t="n"/>
      <c r="J18" s="18" t="n"/>
      <c r="K18" s="13" t="n"/>
    </row>
    <row r="19" ht="22" customHeight="1">
      <c r="B19" s="16">
        <f>IF(C19="","CDS-"&amp;TEXT(COUNTA($C$5:C19),"000"))</f>
        <v/>
      </c>
      <c r="C19" s="11" t="n"/>
      <c r="D19" s="11" t="n"/>
      <c r="E19" s="11" t="n"/>
      <c r="F19" s="26" t="n"/>
      <c r="G19" s="26" t="n"/>
      <c r="H19" s="11">
        <f>IF(OR(G19="",F19=""),"",IF(G19&gt;F19,G19-F19,0))</f>
        <v/>
      </c>
      <c r="I19" s="17" t="n"/>
      <c r="J19" s="17" t="n"/>
      <c r="K19" s="11" t="n"/>
    </row>
    <row r="20" ht="22" customHeight="1">
      <c r="B20" s="15">
        <f>IF(C20="","CDS-"&amp;TEXT(COUNTA($C$5:C20),"000"))</f>
        <v/>
      </c>
      <c r="C20" s="13" t="n"/>
      <c r="D20" s="13" t="n"/>
      <c r="E20" s="13" t="n"/>
      <c r="F20" s="27" t="n"/>
      <c r="G20" s="27" t="n"/>
      <c r="H20" s="13">
        <f>IF(OR(G20="",F20=""),"",IF(G20&gt;F20,G20-F20,0))</f>
        <v/>
      </c>
      <c r="I20" s="18" t="n"/>
      <c r="J20" s="18" t="n"/>
      <c r="K20" s="13" t="n"/>
    </row>
    <row r="21" ht="22" customHeight="1">
      <c r="B21" s="16">
        <f>IF(C21="","CDS-"&amp;TEXT(COUNTA($C$5:C21),"000"))</f>
        <v/>
      </c>
      <c r="C21" s="11" t="n"/>
      <c r="D21" s="11" t="n"/>
      <c r="E21" s="11" t="n"/>
      <c r="F21" s="26" t="n"/>
      <c r="G21" s="26" t="n"/>
      <c r="H21" s="11">
        <f>IF(OR(G21="",F21=""),"",IF(G21&gt;F21,G21-F21,0))</f>
        <v/>
      </c>
      <c r="I21" s="17" t="n"/>
      <c r="J21" s="17" t="n"/>
      <c r="K21" s="11" t="n"/>
    </row>
    <row r="22" ht="22" customHeight="1">
      <c r="B22" s="15">
        <f>IF(C22="","CDS-"&amp;TEXT(COUNTA($C$5:C22),"000"))</f>
        <v/>
      </c>
      <c r="C22" s="13" t="n"/>
      <c r="D22" s="13" t="n"/>
      <c r="E22" s="13" t="n"/>
      <c r="F22" s="27" t="n"/>
      <c r="G22" s="27" t="n"/>
      <c r="H22" s="13">
        <f>IF(OR(G22="",F22=""),"",IF(G22&gt;F22,G22-F22,0))</f>
        <v/>
      </c>
      <c r="I22" s="18" t="n"/>
      <c r="J22" s="18" t="n"/>
      <c r="K22" s="13" t="n"/>
    </row>
    <row r="23" ht="22" customHeight="1">
      <c r="B23" s="16">
        <f>IF(C23="","CDS-"&amp;TEXT(COUNTA($C$5:C23),"000"))</f>
        <v/>
      </c>
      <c r="C23" s="11" t="n"/>
      <c r="D23" s="11" t="n"/>
      <c r="E23" s="11" t="n"/>
      <c r="F23" s="26" t="n"/>
      <c r="G23" s="26" t="n"/>
      <c r="H23" s="11">
        <f>IF(OR(G23="",F23=""),"",IF(G23&gt;F23,G23-F23,0))</f>
        <v/>
      </c>
      <c r="I23" s="17" t="n"/>
      <c r="J23" s="17" t="n"/>
      <c r="K23" s="11" t="n"/>
    </row>
    <row r="24" ht="22" customHeight="1">
      <c r="B24" s="15">
        <f>IF(C24="","CDS-"&amp;TEXT(COUNTA($C$5:C24),"000"))</f>
        <v/>
      </c>
      <c r="C24" s="13" t="n"/>
      <c r="D24" s="13" t="n"/>
      <c r="E24" s="13" t="n"/>
      <c r="F24" s="27" t="n"/>
      <c r="G24" s="27" t="n"/>
      <c r="H24" s="13">
        <f>IF(OR(G24="",F24=""),"",IF(G24&gt;F24,G24-F24,0))</f>
        <v/>
      </c>
      <c r="I24" s="18" t="n"/>
      <c r="J24" s="18" t="n"/>
      <c r="K24" s="13" t="n"/>
    </row>
    <row r="25" ht="22" customHeight="1">
      <c r="B25" s="16">
        <f>IF(C25="","CDS-"&amp;TEXT(COUNTA($C$5:C25),"000"))</f>
        <v/>
      </c>
      <c r="C25" s="11" t="n"/>
      <c r="D25" s="11" t="n"/>
      <c r="E25" s="11" t="n"/>
      <c r="F25" s="26" t="n"/>
      <c r="G25" s="26" t="n"/>
      <c r="H25" s="11">
        <f>IF(OR(G25="",F25=""),"",IF(G25&gt;F25,G25-F25,0))</f>
        <v/>
      </c>
      <c r="I25" s="17" t="n"/>
      <c r="J25" s="17" t="n"/>
      <c r="K25" s="11" t="n"/>
    </row>
    <row r="26" ht="22" customHeight="1">
      <c r="B26" s="15">
        <f>IF(C26="","CDS-"&amp;TEXT(COUNTA($C$5:C26),"000"))</f>
        <v/>
      </c>
      <c r="C26" s="13" t="n"/>
      <c r="D26" s="13" t="n"/>
      <c r="E26" s="13" t="n"/>
      <c r="F26" s="27" t="n"/>
      <c r="G26" s="27" t="n"/>
      <c r="H26" s="13">
        <f>IF(OR(G26="",F26=""),"",IF(G26&gt;F26,G26-F26,0))</f>
        <v/>
      </c>
      <c r="I26" s="18" t="n"/>
      <c r="J26" s="18" t="n"/>
      <c r="K26" s="13" t="n"/>
    </row>
    <row r="27" ht="22" customHeight="1">
      <c r="B27" s="16">
        <f>IF(C27="","CDS-"&amp;TEXT(COUNTA($C$5:C27),"000"))</f>
        <v/>
      </c>
      <c r="C27" s="11" t="n"/>
      <c r="D27" s="11" t="n"/>
      <c r="E27" s="11" t="n"/>
      <c r="F27" s="26" t="n"/>
      <c r="G27" s="26" t="n"/>
      <c r="H27" s="11">
        <f>IF(OR(G27="",F27=""),"",IF(G27&gt;F27,G27-F27,0))</f>
        <v/>
      </c>
      <c r="I27" s="17" t="n"/>
      <c r="J27" s="17" t="n"/>
      <c r="K27" s="11" t="n"/>
    </row>
    <row r="28" ht="22" customHeight="1">
      <c r="B28" s="15">
        <f>IF(C28="","CDS-"&amp;TEXT(COUNTA($C$5:C28),"000"))</f>
        <v/>
      </c>
      <c r="C28" s="13" t="n"/>
      <c r="D28" s="13" t="n"/>
      <c r="E28" s="13" t="n"/>
      <c r="F28" s="27" t="n"/>
      <c r="G28" s="27" t="n"/>
      <c r="H28" s="13">
        <f>IF(OR(G28="",F28=""),"",IF(G28&gt;F28,G28-F28,0))</f>
        <v/>
      </c>
      <c r="I28" s="18" t="n"/>
      <c r="J28" s="18" t="n"/>
      <c r="K28" s="13" t="n"/>
    </row>
    <row r="29" ht="22" customHeight="1">
      <c r="B29" s="16">
        <f>IF(C29="","CDS-"&amp;TEXT(COUNTA($C$5:C29),"000"))</f>
        <v/>
      </c>
      <c r="C29" s="11" t="n"/>
      <c r="D29" s="11" t="n"/>
      <c r="E29" s="11" t="n"/>
      <c r="F29" s="26" t="n"/>
      <c r="G29" s="26" t="n"/>
      <c r="H29" s="11">
        <f>IF(OR(G29="",F29=""),"",IF(G29&gt;F29,G29-F29,0))</f>
        <v/>
      </c>
      <c r="I29" s="17" t="n"/>
      <c r="J29" s="17" t="n"/>
      <c r="K29" s="11" t="n"/>
    </row>
    <row r="30" ht="22" customHeight="1">
      <c r="B30" s="15">
        <f>IF(C30="","CDS-"&amp;TEXT(COUNTA($C$5:C30),"000"))</f>
        <v/>
      </c>
      <c r="C30" s="13" t="n"/>
      <c r="D30" s="13" t="n"/>
      <c r="E30" s="13" t="n"/>
      <c r="F30" s="27" t="n"/>
      <c r="G30" s="27" t="n"/>
      <c r="H30" s="13">
        <f>IF(OR(G30="",F30=""),"",IF(G30&gt;F30,G30-F30,0))</f>
        <v/>
      </c>
      <c r="I30" s="18" t="n"/>
      <c r="J30" s="18" t="n"/>
      <c r="K30" s="13" t="n"/>
    </row>
    <row r="31" ht="22" customHeight="1">
      <c r="B31" s="16">
        <f>IF(C31="","CDS-"&amp;TEXT(COUNTA($C$5:C31),"000"))</f>
        <v/>
      </c>
      <c r="C31" s="11" t="n"/>
      <c r="D31" s="11" t="n"/>
      <c r="E31" s="11" t="n"/>
      <c r="F31" s="26" t="n"/>
      <c r="G31" s="26" t="n"/>
      <c r="H31" s="11">
        <f>IF(OR(G31="",F31=""),"",IF(G31&gt;F31,G31-F31,0))</f>
        <v/>
      </c>
      <c r="I31" s="17" t="n"/>
      <c r="J31" s="17" t="n"/>
      <c r="K31" s="11" t="n"/>
    </row>
    <row r="32" ht="22" customHeight="1">
      <c r="B32" s="15">
        <f>IF(C32="","CDS-"&amp;TEXT(COUNTA($C$5:C32),"000"))</f>
        <v/>
      </c>
      <c r="C32" s="13" t="n"/>
      <c r="D32" s="13" t="n"/>
      <c r="E32" s="13" t="n"/>
      <c r="F32" s="27" t="n"/>
      <c r="G32" s="27" t="n"/>
      <c r="H32" s="13">
        <f>IF(OR(G32="",F32=""),"",IF(G32&gt;F32,G32-F32,0))</f>
        <v/>
      </c>
      <c r="I32" s="18" t="n"/>
      <c r="J32" s="18" t="n"/>
      <c r="K32" s="13" t="n"/>
    </row>
    <row r="33" ht="22" customHeight="1">
      <c r="B33" s="16">
        <f>IF(C33="","CDS-"&amp;TEXT(COUNTA($C$5:C33),"000"))</f>
        <v/>
      </c>
      <c r="C33" s="11" t="n"/>
      <c r="D33" s="11" t="n"/>
      <c r="E33" s="11" t="n"/>
      <c r="F33" s="26" t="n"/>
      <c r="G33" s="26" t="n"/>
      <c r="H33" s="11">
        <f>IF(OR(G33="",F33=""),"",IF(G33&gt;F33,G33-F33,0))</f>
        <v/>
      </c>
      <c r="I33" s="17" t="n"/>
      <c r="J33" s="17" t="n"/>
      <c r="K33" s="11" t="n"/>
    </row>
    <row r="34" ht="22" customHeight="1">
      <c r="B34" s="15">
        <f>IF(C34="","CDS-"&amp;TEXT(COUNTA($C$5:C34),"000"))</f>
        <v/>
      </c>
      <c r="C34" s="13" t="n"/>
      <c r="D34" s="13" t="n"/>
      <c r="E34" s="13" t="n"/>
      <c r="F34" s="27" t="n"/>
      <c r="G34" s="27" t="n"/>
      <c r="H34" s="13">
        <f>IF(OR(G34="",F34=""),"",IF(G34&gt;F34,G34-F34,0))</f>
        <v/>
      </c>
      <c r="I34" s="18" t="n"/>
      <c r="J34" s="18" t="n"/>
      <c r="K34" s="13" t="n"/>
    </row>
    <row r="35" ht="22" customHeight="1">
      <c r="B35" s="16">
        <f>IF(C35="","CDS-"&amp;TEXT(COUNTA($C$5:C35),"000"))</f>
        <v/>
      </c>
      <c r="C35" s="11" t="n"/>
      <c r="D35" s="11" t="n"/>
      <c r="E35" s="11" t="n"/>
      <c r="F35" s="26" t="n"/>
      <c r="G35" s="26" t="n"/>
      <c r="H35" s="11">
        <f>IF(OR(G35="",F35=""),"",IF(G35&gt;F35,G35-F35,0))</f>
        <v/>
      </c>
      <c r="I35" s="17" t="n"/>
      <c r="J35" s="17" t="n"/>
      <c r="K35" s="11" t="n"/>
    </row>
    <row r="36" ht="22" customHeight="1">
      <c r="B36" s="15">
        <f>IF(C36="","CDS-"&amp;TEXT(COUNTA($C$5:C36),"000"))</f>
        <v/>
      </c>
      <c r="C36" s="13" t="n"/>
      <c r="D36" s="13" t="n"/>
      <c r="E36" s="13" t="n"/>
      <c r="F36" s="27" t="n"/>
      <c r="G36" s="27" t="n"/>
      <c r="H36" s="13">
        <f>IF(OR(G36="",F36=""),"",IF(G36&gt;F36,G36-F36,0))</f>
        <v/>
      </c>
      <c r="I36" s="18" t="n"/>
      <c r="J36" s="18" t="n"/>
      <c r="K36" s="13" t="n"/>
    </row>
    <row r="37" ht="22" customHeight="1">
      <c r="B37" s="16">
        <f>IF(C37="","CDS-"&amp;TEXT(COUNTA($C$5:C37),"000"))</f>
        <v/>
      </c>
      <c r="C37" s="11" t="n"/>
      <c r="D37" s="11" t="n"/>
      <c r="E37" s="11" t="n"/>
      <c r="F37" s="26" t="n"/>
      <c r="G37" s="26" t="n"/>
      <c r="H37" s="11">
        <f>IF(OR(G37="",F37=""),"",IF(G37&gt;F37,G37-F37,0))</f>
        <v/>
      </c>
      <c r="I37" s="17" t="n"/>
      <c r="J37" s="17" t="n"/>
      <c r="K37" s="11" t="n"/>
    </row>
    <row r="38" ht="22" customHeight="1">
      <c r="B38" s="15">
        <f>IF(C38="","CDS-"&amp;TEXT(COUNTA($C$5:C38),"000"))</f>
        <v/>
      </c>
      <c r="C38" s="13" t="n"/>
      <c r="D38" s="13" t="n"/>
      <c r="E38" s="13" t="n"/>
      <c r="F38" s="27" t="n"/>
      <c r="G38" s="27" t="n"/>
      <c r="H38" s="13">
        <f>IF(OR(G38="",F38=""),"",IF(G38&gt;F38,G38-F38,0))</f>
        <v/>
      </c>
      <c r="I38" s="18" t="n"/>
      <c r="J38" s="18" t="n"/>
      <c r="K38" s="13" t="n"/>
    </row>
    <row r="39" ht="22" customHeight="1">
      <c r="B39" s="16">
        <f>IF(C39="","CDS-"&amp;TEXT(COUNTA($C$5:C39),"000"))</f>
        <v/>
      </c>
      <c r="C39" s="11" t="n"/>
      <c r="D39" s="11" t="n"/>
      <c r="E39" s="11" t="n"/>
      <c r="F39" s="26" t="n"/>
      <c r="G39" s="26" t="n"/>
      <c r="H39" s="11">
        <f>IF(OR(G39="",F39=""),"",IF(G39&gt;F39,G39-F39,0))</f>
        <v/>
      </c>
      <c r="I39" s="17" t="n"/>
      <c r="J39" s="17" t="n"/>
      <c r="K39" s="11" t="n"/>
    </row>
    <row r="40" ht="22" customHeight="1">
      <c r="B40" s="15">
        <f>IF(C40="","CDS-"&amp;TEXT(COUNTA($C$5:C40),"000"))</f>
        <v/>
      </c>
      <c r="C40" s="13" t="n"/>
      <c r="D40" s="13" t="n"/>
      <c r="E40" s="13" t="n"/>
      <c r="F40" s="27" t="n"/>
      <c r="G40" s="27" t="n"/>
      <c r="H40" s="13">
        <f>IF(OR(G40="",F40=""),"",IF(G40&gt;F40,G40-F40,0))</f>
        <v/>
      </c>
      <c r="I40" s="18" t="n"/>
      <c r="J40" s="18" t="n"/>
      <c r="K40" s="13" t="n"/>
    </row>
    <row r="41" ht="22" customHeight="1">
      <c r="B41" s="16">
        <f>IF(C41="","CDS-"&amp;TEXT(COUNTA($C$5:C41),"000"))</f>
        <v/>
      </c>
      <c r="C41" s="11" t="n"/>
      <c r="D41" s="11" t="n"/>
      <c r="E41" s="11" t="n"/>
      <c r="F41" s="26" t="n"/>
      <c r="G41" s="26" t="n"/>
      <c r="H41" s="11">
        <f>IF(OR(G41="",F41=""),"",IF(G41&gt;F41,G41-F41,0))</f>
        <v/>
      </c>
      <c r="I41" s="17" t="n"/>
      <c r="J41" s="17" t="n"/>
      <c r="K41" s="11" t="n"/>
    </row>
    <row r="42" ht="22" customHeight="1">
      <c r="B42" s="15">
        <f>IF(C42="","CDS-"&amp;TEXT(COUNTA($C$5:C42),"000"))</f>
        <v/>
      </c>
      <c r="C42" s="13" t="n"/>
      <c r="D42" s="13" t="n"/>
      <c r="E42" s="13" t="n"/>
      <c r="F42" s="27" t="n"/>
      <c r="G42" s="27" t="n"/>
      <c r="H42" s="13">
        <f>IF(OR(G42="",F42=""),"",IF(G42&gt;F42,G42-F42,0))</f>
        <v/>
      </c>
      <c r="I42" s="18" t="n"/>
      <c r="J42" s="18" t="n"/>
      <c r="K42" s="13" t="n"/>
    </row>
    <row r="43" ht="22" customHeight="1">
      <c r="B43" s="16">
        <f>IF(C43="","CDS-"&amp;TEXT(COUNTA($C$5:C43),"000"))</f>
        <v/>
      </c>
      <c r="C43" s="11" t="n"/>
      <c r="D43" s="11" t="n"/>
      <c r="E43" s="11" t="n"/>
      <c r="F43" s="26" t="n"/>
      <c r="G43" s="26" t="n"/>
      <c r="H43" s="11">
        <f>IF(OR(G43="",F43=""),"",IF(G43&gt;F43,G43-F43,0))</f>
        <v/>
      </c>
      <c r="I43" s="17" t="n"/>
      <c r="J43" s="17" t="n"/>
      <c r="K43" s="11" t="n"/>
    </row>
    <row r="44" ht="22" customHeight="1">
      <c r="B44" s="15">
        <f>IF(C44="","CDS-"&amp;TEXT(COUNTA($C$5:C44),"000"))</f>
        <v/>
      </c>
      <c r="C44" s="13" t="n"/>
      <c r="D44" s="13" t="n"/>
      <c r="E44" s="13" t="n"/>
      <c r="F44" s="27" t="n"/>
      <c r="G44" s="27" t="n"/>
      <c r="H44" s="13">
        <f>IF(OR(G44="",F44=""),"",IF(G44&gt;F44,G44-F44,0))</f>
        <v/>
      </c>
      <c r="I44" s="18" t="n"/>
      <c r="J44" s="18" t="n"/>
      <c r="K44" s="13" t="n"/>
    </row>
    <row r="45" ht="22" customHeight="1">
      <c r="B45" s="16">
        <f>IF(C45="","CDS-"&amp;TEXT(COUNTA($C$5:C45),"000"))</f>
        <v/>
      </c>
      <c r="C45" s="11" t="n"/>
      <c r="D45" s="11" t="n"/>
      <c r="E45" s="11" t="n"/>
      <c r="F45" s="26" t="n"/>
      <c r="G45" s="26" t="n"/>
      <c r="H45" s="11">
        <f>IF(OR(G45="",F45=""),"",IF(G45&gt;F45,G45-F45,0))</f>
        <v/>
      </c>
      <c r="I45" s="17" t="n"/>
      <c r="J45" s="17" t="n"/>
      <c r="K45" s="11" t="n"/>
    </row>
    <row r="46" ht="22" customHeight="1">
      <c r="B46" s="15">
        <f>IF(C46="","CDS-"&amp;TEXT(COUNTA($C$5:C46),"000"))</f>
        <v/>
      </c>
      <c r="C46" s="13" t="n"/>
      <c r="D46" s="13" t="n"/>
      <c r="E46" s="13" t="n"/>
      <c r="F46" s="27" t="n"/>
      <c r="G46" s="27" t="n"/>
      <c r="H46" s="13">
        <f>IF(OR(G46="",F46=""),"",IF(G46&gt;F46,G46-F46,0))</f>
        <v/>
      </c>
      <c r="I46" s="18" t="n"/>
      <c r="J46" s="18" t="n"/>
      <c r="K46" s="13" t="n"/>
    </row>
    <row r="47" ht="22" customHeight="1">
      <c r="B47" s="16">
        <f>IF(C47="","CDS-"&amp;TEXT(COUNTA($C$5:C47),"000"))</f>
        <v/>
      </c>
      <c r="C47" s="11" t="n"/>
      <c r="D47" s="11" t="n"/>
      <c r="E47" s="11" t="n"/>
      <c r="F47" s="26" t="n"/>
      <c r="G47" s="26" t="n"/>
      <c r="H47" s="11">
        <f>IF(OR(G47="",F47=""),"",IF(G47&gt;F47,G47-F47,0))</f>
        <v/>
      </c>
      <c r="I47" s="17" t="n"/>
      <c r="J47" s="17" t="n"/>
      <c r="K47" s="11" t="n"/>
    </row>
    <row r="48" ht="22" customHeight="1">
      <c r="B48" s="15">
        <f>IF(C48="","CDS-"&amp;TEXT(COUNTA($C$5:C48),"000"))</f>
        <v/>
      </c>
      <c r="C48" s="13" t="n"/>
      <c r="D48" s="13" t="n"/>
      <c r="E48" s="13" t="n"/>
      <c r="F48" s="27" t="n"/>
      <c r="G48" s="27" t="n"/>
      <c r="H48" s="13">
        <f>IF(OR(G48="",F48=""),"",IF(G48&gt;F48,G48-F48,0))</f>
        <v/>
      </c>
      <c r="I48" s="18" t="n"/>
      <c r="J48" s="18" t="n"/>
      <c r="K48" s="13" t="n"/>
    </row>
    <row r="49" ht="22" customHeight="1">
      <c r="B49" s="16">
        <f>IF(C49="","CDS-"&amp;TEXT(COUNTA($C$5:C49),"000"))</f>
        <v/>
      </c>
      <c r="C49" s="11" t="n"/>
      <c r="D49" s="11" t="n"/>
      <c r="E49" s="11" t="n"/>
      <c r="F49" s="26" t="n"/>
      <c r="G49" s="26" t="n"/>
      <c r="H49" s="11">
        <f>IF(OR(G49="",F49=""),"",IF(G49&gt;F49,G49-F49,0))</f>
        <v/>
      </c>
      <c r="I49" s="17" t="n"/>
      <c r="J49" s="17" t="n"/>
      <c r="K49" s="11" t="n"/>
    </row>
    <row r="50" ht="22" customHeight="1">
      <c r="B50" s="15">
        <f>IF(C50="","CDS-"&amp;TEXT(COUNTA($C$5:C50),"000"))</f>
        <v/>
      </c>
      <c r="C50" s="13" t="n"/>
      <c r="D50" s="13" t="n"/>
      <c r="E50" s="13" t="n"/>
      <c r="F50" s="27" t="n"/>
      <c r="G50" s="27" t="n"/>
      <c r="H50" s="13">
        <f>IF(OR(G50="",F50=""),"",IF(G50&gt;F50,G50-F50,0))</f>
        <v/>
      </c>
      <c r="I50" s="18" t="n"/>
      <c r="J50" s="18" t="n"/>
      <c r="K50" s="13" t="n"/>
    </row>
    <row r="51" ht="22" customHeight="1">
      <c r="B51" s="16">
        <f>IF(C51="","CDS-"&amp;TEXT(COUNTA($C$5:C51),"000"))</f>
        <v/>
      </c>
      <c r="C51" s="11" t="n"/>
      <c r="D51" s="11" t="n"/>
      <c r="E51" s="11" t="n"/>
      <c r="F51" s="26" t="n"/>
      <c r="G51" s="26" t="n"/>
      <c r="H51" s="11">
        <f>IF(OR(G51="",F51=""),"",IF(G51&gt;F51,G51-F51,0))</f>
        <v/>
      </c>
      <c r="I51" s="17" t="n"/>
      <c r="J51" s="17" t="n"/>
      <c r="K51" s="11" t="n"/>
    </row>
    <row r="52" ht="22" customHeight="1">
      <c r="B52" s="15">
        <f>IF(C52="","CDS-"&amp;TEXT(COUNTA($C$5:C52),"000"))</f>
        <v/>
      </c>
      <c r="C52" s="13" t="n"/>
      <c r="D52" s="13" t="n"/>
      <c r="E52" s="13" t="n"/>
      <c r="F52" s="27" t="n"/>
      <c r="G52" s="27" t="n"/>
      <c r="H52" s="13">
        <f>IF(OR(G52="",F52=""),"",IF(G52&gt;F52,G52-F52,0))</f>
        <v/>
      </c>
      <c r="I52" s="18" t="n"/>
      <c r="J52" s="18" t="n"/>
      <c r="K52" s="13" t="n"/>
    </row>
    <row r="53" ht="22" customHeight="1">
      <c r="B53" s="16">
        <f>IF(C53="","CDS-"&amp;TEXT(COUNTA($C$5:C53),"000"))</f>
        <v/>
      </c>
      <c r="C53" s="11" t="n"/>
      <c r="D53" s="11" t="n"/>
      <c r="E53" s="11" t="n"/>
      <c r="F53" s="26" t="n"/>
      <c r="G53" s="26" t="n"/>
      <c r="H53" s="11">
        <f>IF(OR(G53="",F53=""),"",IF(G53&gt;F53,G53-F53,0))</f>
        <v/>
      </c>
      <c r="I53" s="17" t="n"/>
      <c r="J53" s="17" t="n"/>
      <c r="K53" s="11" t="n"/>
    </row>
    <row r="54" ht="22" customHeight="1">
      <c r="B54" s="15">
        <f>IF(C54="","CDS-"&amp;TEXT(COUNTA($C$5:C54),"000"))</f>
        <v/>
      </c>
      <c r="C54" s="13" t="n"/>
      <c r="D54" s="13" t="n"/>
      <c r="E54" s="13" t="n"/>
      <c r="F54" s="27" t="n"/>
      <c r="G54" s="27" t="n"/>
      <c r="H54" s="13">
        <f>IF(OR(G54="",F54=""),"",IF(G54&gt;F54,G54-F54,0))</f>
        <v/>
      </c>
      <c r="I54" s="18" t="n"/>
      <c r="J54" s="18" t="n"/>
      <c r="K54" s="13" t="n"/>
    </row>
    <row r="55" ht="22" customHeight="1">
      <c r="B55" s="16">
        <f>IF(C55="","CDS-"&amp;TEXT(COUNTA($C$5:C55),"000"))</f>
        <v/>
      </c>
      <c r="C55" s="11" t="n"/>
      <c r="D55" s="11" t="n"/>
      <c r="E55" s="11" t="n"/>
      <c r="F55" s="26" t="n"/>
      <c r="G55" s="26" t="n"/>
      <c r="H55" s="11">
        <f>IF(OR(G55="",F55=""),"",IF(G55&gt;F55,G55-F55,0))</f>
        <v/>
      </c>
      <c r="I55" s="17" t="n"/>
      <c r="J55" s="17" t="n"/>
      <c r="K55" s="11" t="n"/>
    </row>
    <row r="56" ht="22" customHeight="1">
      <c r="B56" s="15">
        <f>IF(C56="","CDS-"&amp;TEXT(COUNTA($C$5:C56),"000"))</f>
        <v/>
      </c>
      <c r="C56" s="13" t="n"/>
      <c r="D56" s="13" t="n"/>
      <c r="E56" s="13" t="n"/>
      <c r="F56" s="27" t="n"/>
      <c r="G56" s="27" t="n"/>
      <c r="H56" s="13">
        <f>IF(OR(G56="",F56=""),"",IF(G56&gt;F56,G56-F56,0))</f>
        <v/>
      </c>
      <c r="I56" s="18" t="n"/>
      <c r="J56" s="18" t="n"/>
      <c r="K56" s="13" t="n"/>
    </row>
    <row r="57" ht="22" customHeight="1">
      <c r="B57" s="16">
        <f>IF(C57="","CDS-"&amp;TEXT(COUNTA($C$5:C57),"000"))</f>
        <v/>
      </c>
      <c r="C57" s="11" t="n"/>
      <c r="D57" s="11" t="n"/>
      <c r="E57" s="11" t="n"/>
      <c r="F57" s="26" t="n"/>
      <c r="G57" s="26" t="n"/>
      <c r="H57" s="11">
        <f>IF(OR(G57="",F57=""),"",IF(G57&gt;F57,G57-F57,0))</f>
        <v/>
      </c>
      <c r="I57" s="17" t="n"/>
      <c r="J57" s="17" t="n"/>
      <c r="K57" s="11" t="n"/>
    </row>
    <row r="58" ht="22" customHeight="1">
      <c r="B58" s="15">
        <f>IF(C58="","CDS-"&amp;TEXT(COUNTA($C$5:C58),"000"))</f>
        <v/>
      </c>
      <c r="C58" s="13" t="n"/>
      <c r="D58" s="13" t="n"/>
      <c r="E58" s="13" t="n"/>
      <c r="F58" s="27" t="n"/>
      <c r="G58" s="27" t="n"/>
      <c r="H58" s="13">
        <f>IF(OR(G58="",F58=""),"",IF(G58&gt;F58,G58-F58,0))</f>
        <v/>
      </c>
      <c r="I58" s="18" t="n"/>
      <c r="J58" s="18" t="n"/>
      <c r="K58" s="13" t="n"/>
    </row>
    <row r="59" ht="22" customHeight="1">
      <c r="B59" s="16">
        <f>IF(C59="","CDS-"&amp;TEXT(COUNTA($C$5:C59),"000"))</f>
        <v/>
      </c>
      <c r="C59" s="11" t="n"/>
      <c r="D59" s="11" t="n"/>
      <c r="E59" s="11" t="n"/>
      <c r="F59" s="26" t="n"/>
      <c r="G59" s="26" t="n"/>
      <c r="H59" s="11">
        <f>IF(OR(G59="",F59=""),"",IF(G59&gt;F59,G59-F59,0))</f>
        <v/>
      </c>
      <c r="I59" s="17" t="n"/>
      <c r="J59" s="17" t="n"/>
      <c r="K59" s="11" t="n"/>
    </row>
    <row r="60" ht="22" customHeight="1">
      <c r="B60" s="15">
        <f>IF(C60="","CDS-"&amp;TEXT(COUNTA($C$5:C60),"000"))</f>
        <v/>
      </c>
      <c r="C60" s="13" t="n"/>
      <c r="D60" s="13" t="n"/>
      <c r="E60" s="13" t="n"/>
      <c r="F60" s="27" t="n"/>
      <c r="G60" s="27" t="n"/>
      <c r="H60" s="13">
        <f>IF(OR(G60="",F60=""),"",IF(G60&gt;F60,G60-F60,0))</f>
        <v/>
      </c>
      <c r="I60" s="18" t="n"/>
      <c r="J60" s="18" t="n"/>
      <c r="K60" s="13" t="n"/>
    </row>
    <row r="61" ht="22" customHeight="1">
      <c r="B61" s="16">
        <f>IF(C61="","CDS-"&amp;TEXT(COUNTA($C$5:C61),"000"))</f>
        <v/>
      </c>
      <c r="C61" s="11" t="n"/>
      <c r="D61" s="11" t="n"/>
      <c r="E61" s="11" t="n"/>
      <c r="F61" s="26" t="n"/>
      <c r="G61" s="26" t="n"/>
      <c r="H61" s="11">
        <f>IF(OR(G61="",F61=""),"",IF(G61&gt;F61,G61-F61,0))</f>
        <v/>
      </c>
      <c r="I61" s="17" t="n"/>
      <c r="J61" s="17" t="n"/>
      <c r="K61" s="11" t="n"/>
    </row>
    <row r="62" ht="22" customHeight="1">
      <c r="B62" s="15">
        <f>IF(C62="","CDS-"&amp;TEXT(COUNTA($C$5:C62),"000"))</f>
        <v/>
      </c>
      <c r="C62" s="13" t="n"/>
      <c r="D62" s="13" t="n"/>
      <c r="E62" s="13" t="n"/>
      <c r="F62" s="27" t="n"/>
      <c r="G62" s="27" t="n"/>
      <c r="H62" s="13">
        <f>IF(OR(G62="",F62=""),"",IF(G62&gt;F62,G62-F62,0))</f>
        <v/>
      </c>
      <c r="I62" s="18" t="n"/>
      <c r="J62" s="18" t="n"/>
      <c r="K62" s="13" t="n"/>
    </row>
    <row r="63" ht="22" customHeight="1">
      <c r="B63" s="16">
        <f>IF(C63="","CDS-"&amp;TEXT(COUNTA($C$5:C63),"000"))</f>
        <v/>
      </c>
      <c r="C63" s="11" t="n"/>
      <c r="D63" s="11" t="n"/>
      <c r="E63" s="11" t="n"/>
      <c r="F63" s="26" t="n"/>
      <c r="G63" s="26" t="n"/>
      <c r="H63" s="11">
        <f>IF(OR(G63="",F63=""),"",IF(G63&gt;F63,G63-F63,0))</f>
        <v/>
      </c>
      <c r="I63" s="17" t="n"/>
      <c r="J63" s="17" t="n"/>
      <c r="K63" s="11" t="n"/>
    </row>
    <row r="64" ht="22" customHeight="1">
      <c r="B64" s="15">
        <f>IF(C64="","CDS-"&amp;TEXT(COUNTA($C$5:C64),"000"))</f>
        <v/>
      </c>
      <c r="C64" s="13" t="n"/>
      <c r="D64" s="13" t="n"/>
      <c r="E64" s="13" t="n"/>
      <c r="F64" s="27" t="n"/>
      <c r="G64" s="27" t="n"/>
      <c r="H64" s="13">
        <f>IF(OR(G64="",F64=""),"",IF(G64&gt;F64,G64-F64,0))</f>
        <v/>
      </c>
      <c r="I64" s="18" t="n"/>
      <c r="J64" s="18" t="n"/>
      <c r="K64" s="13" t="n"/>
    </row>
    <row r="65" ht="22" customHeight="1">
      <c r="B65" s="16">
        <f>IF(C65="","CDS-"&amp;TEXT(COUNTA($C$5:C65),"000"))</f>
        <v/>
      </c>
      <c r="C65" s="11" t="n"/>
      <c r="D65" s="11" t="n"/>
      <c r="E65" s="11" t="n"/>
      <c r="F65" s="26" t="n"/>
      <c r="G65" s="26" t="n"/>
      <c r="H65" s="11">
        <f>IF(OR(G65="",F65=""),"",IF(G65&gt;F65,G65-F65,0))</f>
        <v/>
      </c>
      <c r="I65" s="17" t="n"/>
      <c r="J65" s="17" t="n"/>
      <c r="K65" s="11" t="n"/>
    </row>
    <row r="66" ht="22" customHeight="1">
      <c r="B66" s="15">
        <f>IF(C66="","CDS-"&amp;TEXT(COUNTA($C$5:C66),"000"))</f>
        <v/>
      </c>
      <c r="C66" s="13" t="n"/>
      <c r="D66" s="13" t="n"/>
      <c r="E66" s="13" t="n"/>
      <c r="F66" s="27" t="n"/>
      <c r="G66" s="27" t="n"/>
      <c r="H66" s="13">
        <f>IF(OR(G66="",F66=""),"",IF(G66&gt;F66,G66-F66,0))</f>
        <v/>
      </c>
      <c r="I66" s="18" t="n"/>
      <c r="J66" s="18" t="n"/>
      <c r="K66" s="13" t="n"/>
    </row>
    <row r="67" ht="22" customHeight="1">
      <c r="B67" s="16">
        <f>IF(C67="","CDS-"&amp;TEXT(COUNTA($C$5:C67),"000"))</f>
        <v/>
      </c>
      <c r="C67" s="11" t="n"/>
      <c r="D67" s="11" t="n"/>
      <c r="E67" s="11" t="n"/>
      <c r="F67" s="26" t="n"/>
      <c r="G67" s="26" t="n"/>
      <c r="H67" s="11">
        <f>IF(OR(G67="",F67=""),"",IF(G67&gt;F67,G67-F67,0))</f>
        <v/>
      </c>
      <c r="I67" s="17" t="n"/>
      <c r="J67" s="17" t="n"/>
      <c r="K67" s="11" t="n"/>
    </row>
    <row r="68" ht="22" customHeight="1">
      <c r="B68" s="15">
        <f>IF(C68="","CDS-"&amp;TEXT(COUNTA($C$5:C68),"000"))</f>
        <v/>
      </c>
      <c r="C68" s="13" t="n"/>
      <c r="D68" s="13" t="n"/>
      <c r="E68" s="13" t="n"/>
      <c r="F68" s="27" t="n"/>
      <c r="G68" s="27" t="n"/>
      <c r="H68" s="13">
        <f>IF(OR(G68="",F68=""),"",IF(G68&gt;F68,G68-F68,0))</f>
        <v/>
      </c>
      <c r="I68" s="18" t="n"/>
      <c r="J68" s="18" t="n"/>
      <c r="K68" s="13" t="n"/>
    </row>
    <row r="69" ht="22" customHeight="1">
      <c r="B69" s="16">
        <f>IF(C69="","CDS-"&amp;TEXT(COUNTA($C$5:C69),"000"))</f>
        <v/>
      </c>
      <c r="C69" s="11" t="n"/>
      <c r="D69" s="11" t="n"/>
      <c r="E69" s="11" t="n"/>
      <c r="F69" s="26" t="n"/>
      <c r="G69" s="26" t="n"/>
      <c r="H69" s="11">
        <f>IF(OR(G69="",F69=""),"",IF(G69&gt;F69,G69-F69,0))</f>
        <v/>
      </c>
      <c r="I69" s="17" t="n"/>
      <c r="J69" s="17" t="n"/>
      <c r="K69" s="11" t="n"/>
    </row>
    <row r="70" ht="22" customHeight="1">
      <c r="B70" s="15">
        <f>IF(C70="","CDS-"&amp;TEXT(COUNTA($C$5:C70),"000"))</f>
        <v/>
      </c>
      <c r="C70" s="13" t="n"/>
      <c r="D70" s="13" t="n"/>
      <c r="E70" s="13" t="n"/>
      <c r="F70" s="27" t="n"/>
      <c r="G70" s="27" t="n"/>
      <c r="H70" s="13">
        <f>IF(OR(G70="",F70=""),"",IF(G70&gt;F70,G70-F70,0))</f>
        <v/>
      </c>
      <c r="I70" s="18" t="n"/>
      <c r="J70" s="18" t="n"/>
      <c r="K70" s="13" t="n"/>
    </row>
    <row r="71" ht="22" customHeight="1">
      <c r="B71" s="16">
        <f>IF(C71="","CDS-"&amp;TEXT(COUNTA($C$5:C71),"000"))</f>
        <v/>
      </c>
      <c r="C71" s="11" t="n"/>
      <c r="D71" s="11" t="n"/>
      <c r="E71" s="11" t="n"/>
      <c r="F71" s="26" t="n"/>
      <c r="G71" s="26" t="n"/>
      <c r="H71" s="11">
        <f>IF(OR(G71="",F71=""),"",IF(G71&gt;F71,G71-F71,0))</f>
        <v/>
      </c>
      <c r="I71" s="17" t="n"/>
      <c r="J71" s="17" t="n"/>
      <c r="K71" s="11" t="n"/>
    </row>
    <row r="72" ht="22" customHeight="1">
      <c r="B72" s="15">
        <f>IF(C72="","CDS-"&amp;TEXT(COUNTA($C$5:C72),"000"))</f>
        <v/>
      </c>
      <c r="C72" s="13" t="n"/>
      <c r="D72" s="13" t="n"/>
      <c r="E72" s="13" t="n"/>
      <c r="F72" s="27" t="n"/>
      <c r="G72" s="27" t="n"/>
      <c r="H72" s="13">
        <f>IF(OR(G72="",F72=""),"",IF(G72&gt;F72,G72-F72,0))</f>
        <v/>
      </c>
      <c r="I72" s="18" t="n"/>
      <c r="J72" s="18" t="n"/>
      <c r="K72" s="13" t="n"/>
    </row>
    <row r="73" ht="22" customHeight="1">
      <c r="B73" s="16">
        <f>IF(C73="","CDS-"&amp;TEXT(COUNTA($C$5:C73),"000"))</f>
        <v/>
      </c>
      <c r="C73" s="11" t="n"/>
      <c r="D73" s="11" t="n"/>
      <c r="E73" s="11" t="n"/>
      <c r="F73" s="26" t="n"/>
      <c r="G73" s="26" t="n"/>
      <c r="H73" s="11">
        <f>IF(OR(G73="",F73=""),"",IF(G73&gt;F73,G73-F73,0))</f>
        <v/>
      </c>
      <c r="I73" s="17" t="n"/>
      <c r="J73" s="17" t="n"/>
      <c r="K73" s="11" t="n"/>
    </row>
    <row r="74" ht="22" customHeight="1">
      <c r="B74" s="15">
        <f>IF(C74="","CDS-"&amp;TEXT(COUNTA($C$5:C74),"000"))</f>
        <v/>
      </c>
      <c r="C74" s="13" t="n"/>
      <c r="D74" s="13" t="n"/>
      <c r="E74" s="13" t="n"/>
      <c r="F74" s="27" t="n"/>
      <c r="G74" s="27" t="n"/>
      <c r="H74" s="13">
        <f>IF(OR(G74="",F74=""),"",IF(G74&gt;F74,G74-F74,0))</f>
        <v/>
      </c>
      <c r="I74" s="18" t="n"/>
      <c r="J74" s="18" t="n"/>
      <c r="K74" s="13" t="n"/>
    </row>
    <row r="75" ht="22" customHeight="1">
      <c r="B75" s="16">
        <f>IF(C75="","CDS-"&amp;TEXT(COUNTA($C$5:C75),"000"))</f>
        <v/>
      </c>
      <c r="C75" s="11" t="n"/>
      <c r="D75" s="11" t="n"/>
      <c r="E75" s="11" t="n"/>
      <c r="F75" s="26" t="n"/>
      <c r="G75" s="26" t="n"/>
      <c r="H75" s="11">
        <f>IF(OR(G75="",F75=""),"",IF(G75&gt;F75,G75-F75,0))</f>
        <v/>
      </c>
      <c r="I75" s="17" t="n"/>
      <c r="J75" s="17" t="n"/>
      <c r="K75" s="11" t="n"/>
    </row>
    <row r="76" ht="22" customHeight="1">
      <c r="B76" s="15">
        <f>IF(C76="","CDS-"&amp;TEXT(COUNTA($C$5:C76),"000"))</f>
        <v/>
      </c>
      <c r="C76" s="13" t="n"/>
      <c r="D76" s="13" t="n"/>
      <c r="E76" s="13" t="n"/>
      <c r="F76" s="27" t="n"/>
      <c r="G76" s="27" t="n"/>
      <c r="H76" s="13">
        <f>IF(OR(G76="",F76=""),"",IF(G76&gt;F76,G76-F76,0))</f>
        <v/>
      </c>
      <c r="I76" s="18" t="n"/>
      <c r="J76" s="18" t="n"/>
      <c r="K76" s="13" t="n"/>
    </row>
    <row r="77" ht="22" customHeight="1">
      <c r="B77" s="16">
        <f>IF(C77="","CDS-"&amp;TEXT(COUNTA($C$5:C77),"000"))</f>
        <v/>
      </c>
      <c r="C77" s="11" t="n"/>
      <c r="D77" s="11" t="n"/>
      <c r="E77" s="11" t="n"/>
      <c r="F77" s="26" t="n"/>
      <c r="G77" s="26" t="n"/>
      <c r="H77" s="11">
        <f>IF(OR(G77="",F77=""),"",IF(G77&gt;F77,G77-F77,0))</f>
        <v/>
      </c>
      <c r="I77" s="17" t="n"/>
      <c r="J77" s="17" t="n"/>
      <c r="K77" s="11" t="n"/>
    </row>
    <row r="78" ht="22" customHeight="1">
      <c r="B78" s="15">
        <f>IF(C78="","CDS-"&amp;TEXT(COUNTA($C$5:C78),"000"))</f>
        <v/>
      </c>
      <c r="C78" s="13" t="n"/>
      <c r="D78" s="13" t="n"/>
      <c r="E78" s="13" t="n"/>
      <c r="F78" s="27" t="n"/>
      <c r="G78" s="27" t="n"/>
      <c r="H78" s="13">
        <f>IF(OR(G78="",F78=""),"",IF(G78&gt;F78,G78-F78,0))</f>
        <v/>
      </c>
      <c r="I78" s="18" t="n"/>
      <c r="J78" s="18" t="n"/>
      <c r="K78" s="13" t="n"/>
    </row>
    <row r="79" ht="22" customHeight="1">
      <c r="B79" s="16">
        <f>IF(C79="","CDS-"&amp;TEXT(COUNTA($C$5:C79),"000"))</f>
        <v/>
      </c>
      <c r="C79" s="11" t="n"/>
      <c r="D79" s="11" t="n"/>
      <c r="E79" s="11" t="n"/>
      <c r="F79" s="26" t="n"/>
      <c r="G79" s="26" t="n"/>
      <c r="H79" s="11">
        <f>IF(OR(G79="",F79=""),"",IF(G79&gt;F79,G79-F79,0))</f>
        <v/>
      </c>
      <c r="I79" s="17" t="n"/>
      <c r="J79" s="17" t="n"/>
      <c r="K79" s="11" t="n"/>
    </row>
    <row r="80" ht="22" customHeight="1">
      <c r="B80" s="15">
        <f>IF(C80="","CDS-"&amp;TEXT(COUNTA($C$5:C80),"000"))</f>
        <v/>
      </c>
      <c r="C80" s="13" t="n"/>
      <c r="D80" s="13" t="n"/>
      <c r="E80" s="13" t="n"/>
      <c r="F80" s="27" t="n"/>
      <c r="G80" s="27" t="n"/>
      <c r="H80" s="13">
        <f>IF(OR(G80="",F80=""),"",IF(G80&gt;F80,G80-F80,0))</f>
        <v/>
      </c>
      <c r="I80" s="18" t="n"/>
      <c r="J80" s="18" t="n"/>
      <c r="K80" s="13" t="n"/>
    </row>
    <row r="81" ht="22" customHeight="1">
      <c r="B81" s="16">
        <f>IF(C81="","CDS-"&amp;TEXT(COUNTA($C$5:C81),"000"))</f>
        <v/>
      </c>
      <c r="C81" s="11" t="n"/>
      <c r="D81" s="11" t="n"/>
      <c r="E81" s="11" t="n"/>
      <c r="F81" s="26" t="n"/>
      <c r="G81" s="26" t="n"/>
      <c r="H81" s="11">
        <f>IF(OR(G81="",F81=""),"",IF(G81&gt;F81,G81-F81,0))</f>
        <v/>
      </c>
      <c r="I81" s="17" t="n"/>
      <c r="J81" s="17" t="n"/>
      <c r="K81" s="11" t="n"/>
    </row>
    <row r="82" ht="22" customHeight="1">
      <c r="B82" s="15">
        <f>IF(C82="","CDS-"&amp;TEXT(COUNTA($C$5:C82),"000"))</f>
        <v/>
      </c>
      <c r="C82" s="13" t="n"/>
      <c r="D82" s="13" t="n"/>
      <c r="E82" s="13" t="n"/>
      <c r="F82" s="27" t="n"/>
      <c r="G82" s="27" t="n"/>
      <c r="H82" s="13">
        <f>IF(OR(G82="",F82=""),"",IF(G82&gt;F82,G82-F82,0))</f>
        <v/>
      </c>
      <c r="I82" s="18" t="n"/>
      <c r="J82" s="18" t="n"/>
      <c r="K82" s="13" t="n"/>
    </row>
    <row r="83" ht="22" customHeight="1">
      <c r="B83" s="16">
        <f>IF(C83="","CDS-"&amp;TEXT(COUNTA($C$5:C83),"000"))</f>
        <v/>
      </c>
      <c r="C83" s="11" t="n"/>
      <c r="D83" s="11" t="n"/>
      <c r="E83" s="11" t="n"/>
      <c r="F83" s="26" t="n"/>
      <c r="G83" s="26" t="n"/>
      <c r="H83" s="11">
        <f>IF(OR(G83="",F83=""),"",IF(G83&gt;F83,G83-F83,0))</f>
        <v/>
      </c>
      <c r="I83" s="17" t="n"/>
      <c r="J83" s="17" t="n"/>
      <c r="K83" s="11" t="n"/>
    </row>
    <row r="84" ht="22" customHeight="1">
      <c r="B84" s="15">
        <f>IF(C84="","CDS-"&amp;TEXT(COUNTA($C$5:C84),"000"))</f>
        <v/>
      </c>
      <c r="C84" s="13" t="n"/>
      <c r="D84" s="13" t="n"/>
      <c r="E84" s="13" t="n"/>
      <c r="F84" s="27" t="n"/>
      <c r="G84" s="27" t="n"/>
      <c r="H84" s="13">
        <f>IF(OR(G84="",F84=""),"",IF(G84&gt;F84,G84-F84,0))</f>
        <v/>
      </c>
      <c r="I84" s="18" t="n"/>
      <c r="J84" s="18" t="n"/>
      <c r="K84" s="13" t="n"/>
    </row>
    <row r="85" ht="22" customHeight="1">
      <c r="B85" s="16">
        <f>IF(C85="","CDS-"&amp;TEXT(COUNTA($C$5:C85),"000"))</f>
        <v/>
      </c>
      <c r="C85" s="11" t="n"/>
      <c r="D85" s="11" t="n"/>
      <c r="E85" s="11" t="n"/>
      <c r="F85" s="26" t="n"/>
      <c r="G85" s="26" t="n"/>
      <c r="H85" s="11">
        <f>IF(OR(G85="",F85=""),"",IF(G85&gt;F85,G85-F85,0))</f>
        <v/>
      </c>
      <c r="I85" s="17" t="n"/>
      <c r="J85" s="17" t="n"/>
      <c r="K85" s="11" t="n"/>
    </row>
    <row r="86" ht="22" customHeight="1">
      <c r="B86" s="15">
        <f>IF(C86="","CDS-"&amp;TEXT(COUNTA($C$5:C86),"000"))</f>
        <v/>
      </c>
      <c r="C86" s="13" t="n"/>
      <c r="D86" s="13" t="n"/>
      <c r="E86" s="13" t="n"/>
      <c r="F86" s="27" t="n"/>
      <c r="G86" s="27" t="n"/>
      <c r="H86" s="13">
        <f>IF(OR(G86="",F86=""),"",IF(G86&gt;F86,G86-F86,0))</f>
        <v/>
      </c>
      <c r="I86" s="18" t="n"/>
      <c r="J86" s="18" t="n"/>
      <c r="K86" s="13" t="n"/>
    </row>
    <row r="87" ht="22" customHeight="1">
      <c r="B87" s="16">
        <f>IF(C87="","CDS-"&amp;TEXT(COUNTA($C$5:C87),"000"))</f>
        <v/>
      </c>
      <c r="C87" s="11" t="n"/>
      <c r="D87" s="11" t="n"/>
      <c r="E87" s="11" t="n"/>
      <c r="F87" s="26" t="n"/>
      <c r="G87" s="26" t="n"/>
      <c r="H87" s="11">
        <f>IF(OR(G87="",F87=""),"",IF(G87&gt;F87,G87-F87,0))</f>
        <v/>
      </c>
      <c r="I87" s="17" t="n"/>
      <c r="J87" s="17" t="n"/>
      <c r="K87" s="11" t="n"/>
    </row>
    <row r="88" ht="22" customHeight="1">
      <c r="B88" s="15">
        <f>IF(C88="","CDS-"&amp;TEXT(COUNTA($C$5:C88),"000"))</f>
        <v/>
      </c>
      <c r="C88" s="13" t="n"/>
      <c r="D88" s="13" t="n"/>
      <c r="E88" s="13" t="n"/>
      <c r="F88" s="27" t="n"/>
      <c r="G88" s="27" t="n"/>
      <c r="H88" s="13">
        <f>IF(OR(G88="",F88=""),"",IF(G88&gt;F88,G88-F88,0))</f>
        <v/>
      </c>
      <c r="I88" s="18" t="n"/>
      <c r="J88" s="18" t="n"/>
      <c r="K88" s="13" t="n"/>
    </row>
    <row r="89" ht="22" customHeight="1">
      <c r="B89" s="16">
        <f>IF(C89="","CDS-"&amp;TEXT(COUNTA($C$5:C89),"000"))</f>
        <v/>
      </c>
      <c r="C89" s="11" t="n"/>
      <c r="D89" s="11" t="n"/>
      <c r="E89" s="11" t="n"/>
      <c r="F89" s="26" t="n"/>
      <c r="G89" s="26" t="n"/>
      <c r="H89" s="11">
        <f>IF(OR(G89="",F89=""),"",IF(G89&gt;F89,G89-F89,0))</f>
        <v/>
      </c>
      <c r="I89" s="17" t="n"/>
      <c r="J89" s="17" t="n"/>
      <c r="K89" s="11" t="n"/>
    </row>
    <row r="90" ht="22" customHeight="1">
      <c r="B90" s="15">
        <f>IF(C90="","CDS-"&amp;TEXT(COUNTA($C$5:C90),"000"))</f>
        <v/>
      </c>
      <c r="C90" s="13" t="n"/>
      <c r="D90" s="13" t="n"/>
      <c r="E90" s="13" t="n"/>
      <c r="F90" s="27" t="n"/>
      <c r="G90" s="27" t="n"/>
      <c r="H90" s="13">
        <f>IF(OR(G90="",F90=""),"",IF(G90&gt;F90,G90-F90,0))</f>
        <v/>
      </c>
      <c r="I90" s="18" t="n"/>
      <c r="J90" s="18" t="n"/>
      <c r="K90" s="13" t="n"/>
    </row>
    <row r="91" ht="22" customHeight="1">
      <c r="B91" s="16">
        <f>IF(C91="","CDS-"&amp;TEXT(COUNTA($C$5:C91),"000"))</f>
        <v/>
      </c>
      <c r="C91" s="11" t="n"/>
      <c r="D91" s="11" t="n"/>
      <c r="E91" s="11" t="n"/>
      <c r="F91" s="26" t="n"/>
      <c r="G91" s="26" t="n"/>
      <c r="H91" s="11">
        <f>IF(OR(G91="",F91=""),"",IF(G91&gt;F91,G91-F91,0))</f>
        <v/>
      </c>
      <c r="I91" s="17" t="n"/>
      <c r="J91" s="17" t="n"/>
      <c r="K91" s="11" t="n"/>
    </row>
    <row r="92" ht="22" customHeight="1">
      <c r="B92" s="15">
        <f>IF(C92="","CDS-"&amp;TEXT(COUNTA($C$5:C92),"000"))</f>
        <v/>
      </c>
      <c r="C92" s="13" t="n"/>
      <c r="D92" s="13" t="n"/>
      <c r="E92" s="13" t="n"/>
      <c r="F92" s="27" t="n"/>
      <c r="G92" s="27" t="n"/>
      <c r="H92" s="13">
        <f>IF(OR(G92="",F92=""),"",IF(G92&gt;F92,G92-F92,0))</f>
        <v/>
      </c>
      <c r="I92" s="18" t="n"/>
      <c r="J92" s="18" t="n"/>
      <c r="K92" s="13" t="n"/>
    </row>
    <row r="93" ht="22" customHeight="1">
      <c r="B93" s="16">
        <f>IF(C93="","CDS-"&amp;TEXT(COUNTA($C$5:C93),"000"))</f>
        <v/>
      </c>
      <c r="C93" s="11" t="n"/>
      <c r="D93" s="11" t="n"/>
      <c r="E93" s="11" t="n"/>
      <c r="F93" s="26" t="n"/>
      <c r="G93" s="26" t="n"/>
      <c r="H93" s="11">
        <f>IF(OR(G93="",F93=""),"",IF(G93&gt;F93,G93-F93,0))</f>
        <v/>
      </c>
      <c r="I93" s="17" t="n"/>
      <c r="J93" s="17" t="n"/>
      <c r="K93" s="11" t="n"/>
    </row>
    <row r="94" ht="22" customHeight="1">
      <c r="B94" s="15">
        <f>IF(C94="","CDS-"&amp;TEXT(COUNTA($C$5:C94),"000"))</f>
        <v/>
      </c>
      <c r="C94" s="13" t="n"/>
      <c r="D94" s="13" t="n"/>
      <c r="E94" s="13" t="n"/>
      <c r="F94" s="27" t="n"/>
      <c r="G94" s="27" t="n"/>
      <c r="H94" s="13">
        <f>IF(OR(G94="",F94=""),"",IF(G94&gt;F94,G94-F94,0))</f>
        <v/>
      </c>
      <c r="I94" s="18" t="n"/>
      <c r="J94" s="18" t="n"/>
      <c r="K94" s="13" t="n"/>
    </row>
    <row r="95" ht="22" customHeight="1">
      <c r="B95" s="16">
        <f>IF(C95="","CDS-"&amp;TEXT(COUNTA($C$5:C95),"000"))</f>
        <v/>
      </c>
      <c r="C95" s="11" t="n"/>
      <c r="D95" s="11" t="n"/>
      <c r="E95" s="11" t="n"/>
      <c r="F95" s="26" t="n"/>
      <c r="G95" s="26" t="n"/>
      <c r="H95" s="11">
        <f>IF(OR(G95="",F95=""),"",IF(G95&gt;F95,G95-F95,0))</f>
        <v/>
      </c>
      <c r="I95" s="17" t="n"/>
      <c r="J95" s="17" t="n"/>
      <c r="K95" s="11" t="n"/>
    </row>
    <row r="96" ht="22" customHeight="1">
      <c r="B96" s="15">
        <f>IF(C96="","CDS-"&amp;TEXT(COUNTA($C$5:C96),"000"))</f>
        <v/>
      </c>
      <c r="C96" s="13" t="n"/>
      <c r="D96" s="13" t="n"/>
      <c r="E96" s="13" t="n"/>
      <c r="F96" s="27" t="n"/>
      <c r="G96" s="27" t="n"/>
      <c r="H96" s="13">
        <f>IF(OR(G96="",F96=""),"",IF(G96&gt;F96,G96-F96,0))</f>
        <v/>
      </c>
      <c r="I96" s="18" t="n"/>
      <c r="J96" s="18" t="n"/>
      <c r="K96" s="13" t="n"/>
    </row>
    <row r="97" ht="22" customHeight="1">
      <c r="B97" s="16">
        <f>IF(C97="","CDS-"&amp;TEXT(COUNTA($C$5:C97),"000"))</f>
        <v/>
      </c>
      <c r="C97" s="11" t="n"/>
      <c r="D97" s="11" t="n"/>
      <c r="E97" s="11" t="n"/>
      <c r="F97" s="26" t="n"/>
      <c r="G97" s="26" t="n"/>
      <c r="H97" s="11">
        <f>IF(OR(G97="",F97=""),"",IF(G97&gt;F97,G97-F97,0))</f>
        <v/>
      </c>
      <c r="I97" s="17" t="n"/>
      <c r="J97" s="17" t="n"/>
      <c r="K97" s="11" t="n"/>
    </row>
    <row r="98" ht="22" customHeight="1">
      <c r="B98" s="15">
        <f>IF(C98="","CDS-"&amp;TEXT(COUNTA($C$5:C98),"000"))</f>
        <v/>
      </c>
      <c r="C98" s="13" t="n"/>
      <c r="D98" s="13" t="n"/>
      <c r="E98" s="13" t="n"/>
      <c r="F98" s="27" t="n"/>
      <c r="G98" s="27" t="n"/>
      <c r="H98" s="13">
        <f>IF(OR(G98="",F98=""),"",IF(G98&gt;F98,G98-F98,0))</f>
        <v/>
      </c>
      <c r="I98" s="18" t="n"/>
      <c r="J98" s="18" t="n"/>
      <c r="K98" s="13" t="n"/>
    </row>
    <row r="99" ht="22" customHeight="1">
      <c r="B99" s="16">
        <f>IF(C99="","CDS-"&amp;TEXT(COUNTA($C$5:C99),"000"))</f>
        <v/>
      </c>
      <c r="C99" s="11" t="n"/>
      <c r="D99" s="11" t="n"/>
      <c r="E99" s="11" t="n"/>
      <c r="F99" s="26" t="n"/>
      <c r="G99" s="26" t="n"/>
      <c r="H99" s="11">
        <f>IF(OR(G99="",F99=""),"",IF(G99&gt;F99,G99-F99,0))</f>
        <v/>
      </c>
      <c r="I99" s="17" t="n"/>
      <c r="J99" s="17" t="n"/>
      <c r="K99" s="11" t="n"/>
    </row>
    <row r="100" ht="22" customHeight="1">
      <c r="B100" s="15">
        <f>IF(C100="","CDS-"&amp;TEXT(COUNTA($C$5:C100),"000"))</f>
        <v/>
      </c>
      <c r="C100" s="13" t="n"/>
      <c r="D100" s="13" t="n"/>
      <c r="E100" s="13" t="n"/>
      <c r="F100" s="27" t="n"/>
      <c r="G100" s="27" t="n"/>
      <c r="H100" s="13">
        <f>IF(OR(G100="",F100=""),"",IF(G100&gt;F100,G100-F100,0))</f>
        <v/>
      </c>
      <c r="I100" s="18" t="n"/>
      <c r="J100" s="18" t="n"/>
      <c r="K100" s="13" t="n"/>
    </row>
    <row r="101" ht="22" customHeight="1">
      <c r="B101" s="16">
        <f>IF(C101="","CDS-"&amp;TEXT(COUNTA($C$5:C101),"000"))</f>
        <v/>
      </c>
      <c r="C101" s="11" t="n"/>
      <c r="D101" s="11" t="n"/>
      <c r="E101" s="11" t="n"/>
      <c r="F101" s="26" t="n"/>
      <c r="G101" s="26" t="n"/>
      <c r="H101" s="11">
        <f>IF(OR(G101="",F101=""),"",IF(G101&gt;F101,G101-F101,0))</f>
        <v/>
      </c>
      <c r="I101" s="17" t="n"/>
      <c r="J101" s="17" t="n"/>
      <c r="K101" s="11" t="n"/>
    </row>
    <row r="102" ht="22" customHeight="1">
      <c r="B102" s="15">
        <f>IF(C102="","CDS-"&amp;TEXT(COUNTA($C$5:C102),"000"))</f>
        <v/>
      </c>
      <c r="C102" s="13" t="n"/>
      <c r="D102" s="13" t="n"/>
      <c r="E102" s="13" t="n"/>
      <c r="F102" s="27" t="n"/>
      <c r="G102" s="27" t="n"/>
      <c r="H102" s="13">
        <f>IF(OR(G102="",F102=""),"",IF(G102&gt;F102,G102-F102,0))</f>
        <v/>
      </c>
      <c r="I102" s="18" t="n"/>
      <c r="J102" s="18" t="n"/>
      <c r="K102" s="13" t="n"/>
    </row>
    <row r="103" ht="22" customHeight="1">
      <c r="B103" s="16">
        <f>IF(C103="","CDS-"&amp;TEXT(COUNTA($C$5:C103),"000"))</f>
        <v/>
      </c>
      <c r="C103" s="11" t="n"/>
      <c r="D103" s="11" t="n"/>
      <c r="E103" s="11" t="n"/>
      <c r="F103" s="26" t="n"/>
      <c r="G103" s="26" t="n"/>
      <c r="H103" s="11">
        <f>IF(OR(G103="",F103=""),"",IF(G103&gt;F103,G103-F103,0))</f>
        <v/>
      </c>
      <c r="I103" s="17" t="n"/>
      <c r="J103" s="17" t="n"/>
      <c r="K103" s="11" t="n"/>
    </row>
    <row r="104" ht="22" customHeight="1">
      <c r="B104" s="15">
        <f>IF(C104="","CDS-"&amp;TEXT(COUNTA($C$5:C104),"000"))</f>
        <v/>
      </c>
      <c r="C104" s="13" t="n"/>
      <c r="D104" s="13" t="n"/>
      <c r="E104" s="13" t="n"/>
      <c r="F104" s="27" t="n"/>
      <c r="G104" s="27" t="n"/>
      <c r="H104" s="13">
        <f>IF(OR(G104="",F104=""),"",IF(G104&gt;F104,G104-F104,0))</f>
        <v/>
      </c>
      <c r="I104" s="18" t="n"/>
      <c r="J104" s="18" t="n"/>
      <c r="K104" s="13" t="n"/>
    </row>
    <row r="105" ht="22" customHeight="1">
      <c r="B105" s="16">
        <f>IF(C105="","CDS-"&amp;TEXT(COUNTA($C$5:C105),"000"))</f>
        <v/>
      </c>
      <c r="C105" s="11" t="n"/>
      <c r="D105" s="11" t="n"/>
      <c r="E105" s="11" t="n"/>
      <c r="F105" s="26" t="n"/>
      <c r="G105" s="26" t="n"/>
      <c r="H105" s="11">
        <f>IF(OR(G105="",F105=""),"",IF(G105&gt;F105,G105-F105,0))</f>
        <v/>
      </c>
      <c r="I105" s="17" t="n"/>
      <c r="J105" s="17" t="n"/>
      <c r="K105" s="11" t="n"/>
    </row>
    <row r="106" ht="22" customHeight="1">
      <c r="B106" s="15">
        <f>IF(C106="","CDS-"&amp;TEXT(COUNTA($C$5:C106),"000"))</f>
        <v/>
      </c>
      <c r="C106" s="13" t="n"/>
      <c r="D106" s="13" t="n"/>
      <c r="E106" s="13" t="n"/>
      <c r="F106" s="27" t="n"/>
      <c r="G106" s="27" t="n"/>
      <c r="H106" s="13">
        <f>IF(OR(G106="",F106=""),"",IF(G106&gt;F106,G106-F106,0))</f>
        <v/>
      </c>
      <c r="I106" s="18" t="n"/>
      <c r="J106" s="18" t="n"/>
      <c r="K106" s="13" t="n"/>
    </row>
    <row r="107" ht="22" customHeight="1">
      <c r="B107" s="16">
        <f>IF(C107="","CDS-"&amp;TEXT(COUNTA($C$5:C107),"000"))</f>
        <v/>
      </c>
      <c r="C107" s="11" t="n"/>
      <c r="D107" s="11" t="n"/>
      <c r="E107" s="11" t="n"/>
      <c r="F107" s="26" t="n"/>
      <c r="G107" s="26" t="n"/>
      <c r="H107" s="11">
        <f>IF(OR(G107="",F107=""),"",IF(G107&gt;F107,G107-F107,0))</f>
        <v/>
      </c>
      <c r="I107" s="17" t="n"/>
      <c r="J107" s="17" t="n"/>
      <c r="K107" s="11" t="n"/>
    </row>
    <row r="108" ht="22" customHeight="1">
      <c r="B108" s="15">
        <f>IF(C108="","CDS-"&amp;TEXT(COUNTA($C$5:C108),"000"))</f>
        <v/>
      </c>
      <c r="C108" s="13" t="n"/>
      <c r="D108" s="13" t="n"/>
      <c r="E108" s="13" t="n"/>
      <c r="F108" s="27" t="n"/>
      <c r="G108" s="27" t="n"/>
      <c r="H108" s="13">
        <f>IF(OR(G108="",F108=""),"",IF(G108&gt;F108,G108-F108,0))</f>
        <v/>
      </c>
      <c r="I108" s="18" t="n"/>
      <c r="J108" s="18" t="n"/>
      <c r="K108" s="13" t="n"/>
    </row>
    <row r="109" ht="22" customHeight="1">
      <c r="B109" s="16">
        <f>IF(C109="","CDS-"&amp;TEXT(COUNTA($C$5:C109),"000"))</f>
        <v/>
      </c>
      <c r="C109" s="11" t="n"/>
      <c r="D109" s="11" t="n"/>
      <c r="E109" s="11" t="n"/>
      <c r="F109" s="26" t="n"/>
      <c r="G109" s="26" t="n"/>
      <c r="H109" s="11">
        <f>IF(OR(G109="",F109=""),"",IF(G109&gt;F109,G109-F109,0))</f>
        <v/>
      </c>
      <c r="I109" s="17" t="n"/>
      <c r="J109" s="17" t="n"/>
      <c r="K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0" t="n"/>
      <c r="H111" s="20" t="n"/>
      <c r="I111" s="21">
        <f>SUM(I5:I104)</f>
        <v/>
      </c>
      <c r="J111" s="21">
        <f>SUM(J5:J104)</f>
        <v/>
      </c>
      <c r="K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Declarations total</t>
        </is>
      </c>
      <c r="D114" s="3" t="inlineStr">
        <is>
          <t>En retard</t>
        </is>
      </c>
      <c r="F114" s="3" t="inlineStr">
        <is>
          <t>Total penalites</t>
        </is>
      </c>
    </row>
    <row r="115">
      <c r="B115" s="4">
        <f>COUNTIF(B5:B104,"&lt;&gt;")</f>
        <v/>
      </c>
      <c r="D115" s="4">
        <f>COUNTIF(K5:K104,"En retard")</f>
        <v/>
      </c>
      <c r="F115" s="4">
        <f>SUM(J5:J104)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conditionalFormatting sqref="K10:K109">
    <cfRule type="expression" priority="202" dxfId="3">
      <formula>AND($C10="",$C9&lt;&gt;"")</formula>
    </cfRule>
  </conditionalFormatting>
  <dataValidations count="4">
    <dataValidation sqref="C5:C109" showDropDown="0" showInputMessage="0" showErrorMessage="0" allowBlank="1" errorTitle="Erreur" error="Valeur invalide" promptTitle="Liste" prompt="Choisir dans la liste" type="list">
      <formula1>'_Lists'!$J$2:$J$8</formula1>
    </dataValidation>
    <dataValidation sqref="D5:D109" showDropDown="0" showInputMessage="0" showErrorMessage="0" allowBlank="1" errorTitle="Erreur" error="Valeur invalide" promptTitle="Liste" prompt="Choisir dans la liste" type="list">
      <formula1>'_Lists'!$U$2:$U$13</formula1>
    </dataValidation>
    <dataValidation sqref="E5:E109" showDropDown="0" showInputMessage="0" showErrorMessage="0" allowBlank="1" errorTitle="Erreur" error="Valeur invalide" promptTitle="Liste" prompt="Choisir dans la liste" type="list">
      <formula1>'_Lists'!$V$2:$V$4</formula1>
    </dataValidation>
    <dataValidation sqref="K5:K109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2" customWidth="1" min="4" max="4"/>
    <col width="14" customWidth="1" min="5" max="5"/>
    <col width="18" customWidth="1" min="6" max="6"/>
    <col width="14" customWidth="1" min="7" max="7"/>
    <col width="44" customWidth="1" min="8" max="8"/>
    <col width="18" customWidth="1" min="9" max="9"/>
    <col width="14" customWidth="1" min="10" max="10"/>
  </cols>
  <sheetData>
    <row r="1" ht="15" customHeight="1"/>
    <row r="2" ht="32" customHeight="1">
      <c r="B2" s="1" t="inlineStr">
        <is>
          <t>MATRICE RISQUES JURIDIQUES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Risque Juridique</t>
        </is>
      </c>
      <c r="D4" s="10" t="inlineStr">
        <is>
          <t>Domaine</t>
        </is>
      </c>
      <c r="E4" s="10" t="inlineStr">
        <is>
          <t>Probabilite</t>
        </is>
      </c>
      <c r="F4" s="10" t="inlineStr">
        <is>
          <t>Impact Financier</t>
        </is>
      </c>
      <c r="G4" s="10" t="inlineStr">
        <is>
          <t>Niveau Risque</t>
        </is>
      </c>
      <c r="H4" s="10" t="inlineStr">
        <is>
          <t>Mesures Prevention</t>
        </is>
      </c>
      <c r="I4" s="10" t="inlineStr">
        <is>
          <t>Responsable</t>
        </is>
      </c>
      <c r="J4" s="10" t="inlineStr">
        <is>
          <t>Statut</t>
        </is>
      </c>
    </row>
    <row r="5" ht="22" customHeight="1">
      <c r="B5" s="11" t="inlineStr">
        <is>
          <t>MRJ-001</t>
        </is>
      </c>
      <c r="C5" s="11" t="inlineStr">
        <is>
          <t>Non-paiement CNPS</t>
        </is>
      </c>
      <c r="D5" s="11" t="inlineStr">
        <is>
          <t>Securite sociale</t>
        </is>
      </c>
      <c r="E5" s="11" t="inlineStr">
        <is>
          <t>Elevee</t>
        </is>
      </c>
      <c r="F5" s="11" t="inlineStr">
        <is>
          <t>Eleve</t>
        </is>
      </c>
      <c r="G5" s="11" t="inlineStr">
        <is>
          <t>Critique</t>
        </is>
      </c>
      <c r="H5" s="11" t="inlineStr">
        <is>
          <t>Echeancier automatique + controle mensuel DAF</t>
        </is>
      </c>
      <c r="I5" s="11" t="inlineStr">
        <is>
          <t>DAF</t>
        </is>
      </c>
      <c r="J5" s="11" t="inlineStr">
        <is>
          <t>En cours</t>
        </is>
      </c>
    </row>
    <row r="6" ht="22" customHeight="1">
      <c r="B6" s="13" t="inlineStr">
        <is>
          <t>MRJ-002</t>
        </is>
      </c>
      <c r="C6" s="13" t="inlineStr">
        <is>
          <t>Licenciement abuseif</t>
        </is>
      </c>
      <c r="D6" s="13" t="inlineStr">
        <is>
          <t>Contrat de travail</t>
        </is>
      </c>
      <c r="E6" s="13" t="inlineStr">
        <is>
          <t>Moyenne</t>
        </is>
      </c>
      <c r="F6" s="13" t="inlineStr">
        <is>
          <t>Eleve</t>
        </is>
      </c>
      <c r="G6" s="13" t="inlineStr">
        <is>
          <t>Eleve</t>
        </is>
      </c>
      <c r="H6" s="13" t="inlineStr">
        <is>
          <t>Procedure stricte 3 etapes + avis juridique</t>
        </is>
      </c>
      <c r="I6" s="13" t="inlineStr">
        <is>
          <t>DRH</t>
        </is>
      </c>
      <c r="J6" s="13" t="inlineStr">
        <is>
          <t>En cours</t>
        </is>
      </c>
    </row>
    <row r="7" ht="22" customHeight="1">
      <c r="B7" s="11" t="inlineStr">
        <is>
          <t>MRJ-003</t>
        </is>
      </c>
      <c r="C7" s="11" t="inlineStr">
        <is>
          <t>Accident travail non declare</t>
        </is>
      </c>
      <c r="D7" s="11" t="inlineStr">
        <is>
          <t>Hygiene securite</t>
        </is>
      </c>
      <c r="E7" s="11" t="inlineStr">
        <is>
          <t>Faible</t>
        </is>
      </c>
      <c r="F7" s="11" t="inlineStr">
        <is>
          <t>Critique</t>
        </is>
      </c>
      <c r="G7" s="11" t="inlineStr">
        <is>
          <t>Eleve</t>
        </is>
      </c>
      <c r="H7" s="11" t="inlineStr">
        <is>
          <t>Formation equipe + registre SST rigoureux</t>
        </is>
      </c>
      <c r="I7" s="11" t="inlineStr">
        <is>
          <t>Chef Securite</t>
        </is>
      </c>
      <c r="J7" s="11" t="inlineStr">
        <is>
          <t>En cours</t>
        </is>
      </c>
    </row>
    <row r="8" ht="22" customHeight="1">
      <c r="B8" s="13" t="inlineStr">
        <is>
          <t>MRJ-004</t>
        </is>
      </c>
      <c r="C8" s="13" t="inlineStr">
        <is>
          <t>Heures supplementaires depassement</t>
        </is>
      </c>
      <c r="D8" s="13" t="inlineStr">
        <is>
          <t>Conditions travail</t>
        </is>
      </c>
      <c r="E8" s="13" t="inlineStr">
        <is>
          <t>Elevee</t>
        </is>
      </c>
      <c r="F8" s="13" t="inlineStr">
        <is>
          <t>Moyenne</t>
        </is>
      </c>
      <c r="G8" s="13" t="inlineStr">
        <is>
          <t>Eleve</t>
        </is>
      </c>
      <c r="H8" s="13" t="inlineStr">
        <is>
          <t>Pointage automatique + alerte 40h</t>
        </is>
      </c>
      <c r="I8" s="13" t="inlineStr">
        <is>
          <t>DRH + Managers</t>
        </is>
      </c>
      <c r="J8" s="13" t="inlineStr">
        <is>
          <t>En cours</t>
        </is>
      </c>
    </row>
    <row r="9" ht="22" customHeight="1">
      <c r="B9" s="11" t="inlineStr">
        <is>
          <t>MRJ-005</t>
        </is>
      </c>
      <c r="C9" s="11" t="inlineStr">
        <is>
          <t>Discrimination recrutement</t>
        </is>
      </c>
      <c r="D9" s="11" t="inlineStr">
        <is>
          <t>Contrat de travail</t>
        </is>
      </c>
      <c r="E9" s="11" t="inlineStr">
        <is>
          <t>Faible</t>
        </is>
      </c>
      <c r="F9" s="11" t="inlineStr">
        <is>
          <t>Moyenne</t>
        </is>
      </c>
      <c r="G9" s="11" t="inlineStr">
        <is>
          <t>Moyen</t>
        </is>
      </c>
      <c r="H9" s="11" t="inlineStr">
        <is>
          <t>Grille evaluation objective + double validation</t>
        </is>
      </c>
      <c r="I9" s="11" t="inlineStr">
        <is>
          <t>DRH</t>
        </is>
      </c>
      <c r="J9" s="11" t="inlineStr">
        <is>
          <t>En cours</t>
        </is>
      </c>
    </row>
    <row r="10" ht="22" customHeight="1">
      <c r="B10" s="13" t="inlineStr">
        <is>
          <t>MRJ-006</t>
        </is>
      </c>
      <c r="C10" s="13" t="inlineStr">
        <is>
          <t>Non respect repos hebdomadaire</t>
        </is>
      </c>
      <c r="D10" s="13" t="inlineStr">
        <is>
          <t>Conditions travail</t>
        </is>
      </c>
      <c r="E10" s="13" t="inlineStr">
        <is>
          <t>Moyenne</t>
        </is>
      </c>
      <c r="F10" s="13" t="inlineStr">
        <is>
          <t>Moyenne</t>
        </is>
      </c>
      <c r="G10" s="13" t="inlineStr">
        <is>
          <t>Eleve</t>
        </is>
      </c>
      <c r="H10" s="13" t="inlineStr">
        <is>
          <t>Planning automatique + controle pointage</t>
        </is>
      </c>
      <c r="I10" s="13" t="inlineStr">
        <is>
          <t>DRH + Managers</t>
        </is>
      </c>
      <c r="J10" s="13" t="inlineStr">
        <is>
          <t>En cours</t>
        </is>
      </c>
    </row>
    <row r="11" ht="22" customHeight="1">
      <c r="B11" s="16">
        <f>IF(C11="","MRJ-"&amp;TEXT(COUNTA($C$5:C11),"000"))</f>
        <v/>
      </c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 ht="22" customHeight="1">
      <c r="B12" s="15">
        <f>IF(C12="","MRJ-"&amp;TEXT(COUNTA($C$5:C12),"000"))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22" customHeight="1">
      <c r="B13" s="16">
        <f>IF(C13="","MRJ-"&amp;TEXT(COUNTA($C$5:C13),"000"))</f>
        <v/>
      </c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 ht="22" customHeight="1">
      <c r="B14" s="15">
        <f>IF(C14="","MRJ-"&amp;TEXT(COUNTA($C$5:C14),"000"))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 ht="22" customHeight="1">
      <c r="B15" s="16">
        <f>IF(C15="","MRJ-"&amp;TEXT(COUNTA($C$5:C15),"000"))</f>
        <v/>
      </c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 ht="22" customHeight="1">
      <c r="B16" s="15">
        <f>IF(C16="","MRJ-"&amp;TEXT(COUNTA($C$5:C16),"000"))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 ht="22" customHeight="1">
      <c r="B17" s="16">
        <f>IF(C17="","MRJ-"&amp;TEXT(COUNTA($C$5:C17),"000"))</f>
        <v/>
      </c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22" customHeight="1">
      <c r="B18" s="15">
        <f>IF(C18="","MRJ-"&amp;TEXT(COUNTA($C$5:C18),"000"))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 ht="22" customHeight="1">
      <c r="B19" s="16">
        <f>IF(C19="","MRJ-"&amp;TEXT(COUNTA($C$5:C19),"000"))</f>
        <v/>
      </c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22" customHeight="1">
      <c r="B20" s="15">
        <f>IF(C20="","MRJ-"&amp;TEXT(COUNTA($C$5:C20),"000"))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 ht="22" customHeight="1">
      <c r="B21" s="16">
        <f>IF(C21="","MRJ-"&amp;TEXT(COUNTA($C$5:C21),"000"))</f>
        <v/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22" customHeight="1">
      <c r="B22" s="15">
        <f>IF(C22="","MRJ-"&amp;TEXT(COUNTA($C$5:C22),"000"))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 ht="22" customHeight="1">
      <c r="B23" s="16">
        <f>IF(C23="","MRJ-"&amp;TEXT(COUNTA($C$5:C23),"000"))</f>
        <v/>
      </c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 ht="22" customHeight="1">
      <c r="B24" s="15">
        <f>IF(C24="","MRJ-"&amp;TEXT(COUNTA($C$5:C24),"000"))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 ht="22" customHeight="1">
      <c r="B25" s="16">
        <f>IF(C25="","MRJ-"&amp;TEXT(COUNTA($C$5:C25),"000"))</f>
        <v/>
      </c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 ht="22" customHeight="1">
      <c r="B26" s="15">
        <f>IF(C26="","MRJ-"&amp;TEXT(COUNTA($C$5:C26),"000"))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22" customHeight="1">
      <c r="B27" s="16">
        <f>IF(C27="","MRJ-"&amp;TEXT(COUNTA($C$5:C27),"000"))</f>
        <v/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22" customHeight="1">
      <c r="B28" s="15">
        <f>IF(C28="","MRJ-"&amp;TEXT(COUNTA($C$5:C28),"000"))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 ht="22" customHeight="1">
      <c r="B29" s="16">
        <f>IF(C29="","MRJ-"&amp;TEXT(COUNTA($C$5:C29),"000"))</f>
        <v/>
      </c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 ht="22" customHeight="1">
      <c r="B30" s="15">
        <f>IF(C30="","MRJ-"&amp;TEXT(COUNTA($C$5:C30),"000"))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22" customHeight="1">
      <c r="B31" s="16">
        <f>IF(C31="","MRJ-"&amp;TEXT(COUNTA($C$5:C31),"000"))</f>
        <v/>
      </c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 ht="22" customHeight="1">
      <c r="B32" s="15">
        <f>IF(C32="","MRJ-"&amp;TEXT(COUNTA($C$5:C32),"000"))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22" customHeight="1">
      <c r="B33" s="16">
        <f>IF(C33="","MRJ-"&amp;TEXT(COUNTA($C$5:C33),"000"))</f>
        <v/>
      </c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 ht="22" customHeight="1">
      <c r="B34" s="15">
        <f>IF(C34="","MRJ-"&amp;TEXT(COUNTA($C$5:C34),"000"))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22" customHeight="1">
      <c r="B35" s="16">
        <f>IF(C35="","MRJ-"&amp;TEXT(COUNTA($C$5:C35),"000"))</f>
        <v/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22" customHeight="1">
      <c r="B36" s="15">
        <f>IF(C36="","MRJ-"&amp;TEXT(COUNTA($C$5:C36),"000"))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 ht="22" customHeight="1">
      <c r="B37" s="16">
        <f>IF(C37="","MRJ-"&amp;TEXT(COUNTA($C$5:C37),"000"))</f>
        <v/>
      </c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 ht="22" customHeight="1">
      <c r="B38" s="15">
        <f>IF(C38="","MRJ-"&amp;TEXT(COUNTA($C$5:C38),"000"))</f>
        <v/>
      </c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 ht="22" customHeight="1">
      <c r="B39" s="16">
        <f>IF(C39="","MRJ-"&amp;TEXT(COUNTA($C$5:C39),"000"))</f>
        <v/>
      </c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 ht="22" customHeight="1">
      <c r="B40" s="15">
        <f>IF(C40="","MRJ-"&amp;TEXT(COUNTA($C$5:C40),"000"))</f>
        <v/>
      </c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 ht="22" customHeight="1">
      <c r="B41" s="16">
        <f>IF(C41="","MRJ-"&amp;TEXT(COUNTA($C$5:C41),"000"))</f>
        <v/>
      </c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 ht="22" customHeight="1">
      <c r="B42" s="15">
        <f>IF(C42="","MRJ-"&amp;TEXT(COUNTA($C$5:C42),"000"))</f>
        <v/>
      </c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 ht="22" customHeight="1">
      <c r="B43" s="16">
        <f>IF(C43="","MRJ-"&amp;TEXT(COUNTA($C$5:C43),"000"))</f>
        <v/>
      </c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 ht="22" customHeight="1">
      <c r="B44" s="15">
        <f>IF(C44="","MRJ-"&amp;TEXT(COUNTA($C$5:C44),"000"))</f>
        <v/>
      </c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 ht="22" customHeight="1">
      <c r="B45" s="16">
        <f>IF(C45="","MRJ-"&amp;TEXT(COUNTA($C$5:C45),"000"))</f>
        <v/>
      </c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 ht="22" customHeight="1">
      <c r="B46" s="15">
        <f>IF(C46="","MRJ-"&amp;TEXT(COUNTA($C$5:C46),"000"))</f>
        <v/>
      </c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 ht="22" customHeight="1">
      <c r="B47" s="16">
        <f>IF(C47="","MRJ-"&amp;TEXT(COUNTA($C$5:C47),"000"))</f>
        <v/>
      </c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 ht="22" customHeight="1">
      <c r="B48" s="15">
        <f>IF(C48="","MRJ-"&amp;TEXT(COUNTA($C$5:C48),"000"))</f>
        <v/>
      </c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 ht="22" customHeight="1">
      <c r="B49" s="16">
        <f>IF(C49="","MRJ-"&amp;TEXT(COUNTA($C$5:C49),"000"))</f>
        <v/>
      </c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 ht="22" customHeight="1">
      <c r="B50" s="15">
        <f>IF(C50="","MRJ-"&amp;TEXT(COUNTA($C$5:C50),"000"))</f>
        <v/>
      </c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 ht="22" customHeight="1">
      <c r="B51" s="16">
        <f>IF(C51="","MRJ-"&amp;TEXT(COUNTA($C$5:C51),"000"))</f>
        <v/>
      </c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 ht="22" customHeight="1">
      <c r="B52" s="15">
        <f>IF(C52="","MRJ-"&amp;TEXT(COUNTA($C$5:C52),"000"))</f>
        <v/>
      </c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 ht="22" customHeight="1">
      <c r="B53" s="16">
        <f>IF(C53="","MRJ-"&amp;TEXT(COUNTA($C$5:C53),"000"))</f>
        <v/>
      </c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 ht="22" customHeight="1">
      <c r="B54" s="15">
        <f>IF(C54="","MRJ-"&amp;TEXT(COUNTA($C$5:C54),"000"))</f>
        <v/>
      </c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 ht="22" customHeight="1">
      <c r="B55" s="16">
        <f>IF(C55="","MRJ-"&amp;TEXT(COUNTA($C$5:C55),"000"))</f>
        <v/>
      </c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 ht="22" customHeight="1">
      <c r="B56" s="15">
        <f>IF(C56="","MRJ-"&amp;TEXT(COUNTA($C$5:C56),"000"))</f>
        <v/>
      </c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 ht="22" customHeight="1">
      <c r="B57" s="16">
        <f>IF(C57="","MRJ-"&amp;TEXT(COUNTA($C$5:C57),"000"))</f>
        <v/>
      </c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 ht="22" customHeight="1">
      <c r="B58" s="15">
        <f>IF(C58="","MRJ-"&amp;TEXT(COUNTA($C$5:C58),"000"))</f>
        <v/>
      </c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 ht="22" customHeight="1">
      <c r="B59" s="16">
        <f>IF(C59="","MRJ-"&amp;TEXT(COUNTA($C$5:C59),"000"))</f>
        <v/>
      </c>
      <c r="C59" s="11" t="n"/>
      <c r="D59" s="11" t="n"/>
      <c r="E59" s="11" t="n"/>
      <c r="F59" s="11" t="n"/>
      <c r="G59" s="11" t="n"/>
      <c r="H59" s="11" t="n"/>
      <c r="I59" s="11" t="n"/>
      <c r="J59" s="11" t="n"/>
    </row>
    <row r="60" ht="22" customHeight="1">
      <c r="B60" s="15">
        <f>IF(C60="","MRJ-"&amp;TEXT(COUNTA($C$5:C60),"000"))</f>
        <v/>
      </c>
      <c r="C60" s="13" t="n"/>
      <c r="D60" s="13" t="n"/>
      <c r="E60" s="13" t="n"/>
      <c r="F60" s="13" t="n"/>
      <c r="G60" s="13" t="n"/>
      <c r="H60" s="13" t="n"/>
      <c r="I60" s="13" t="n"/>
      <c r="J60" s="13" t="n"/>
    </row>
    <row r="61" ht="22" customHeight="1">
      <c r="B61" s="16">
        <f>IF(C61="","MRJ-"&amp;TEXT(COUNTA($C$5:C61),"000"))</f>
        <v/>
      </c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 ht="22" customHeight="1">
      <c r="B62" s="15">
        <f>IF(C62="","MRJ-"&amp;TEXT(COUNTA($C$5:C62),"000"))</f>
        <v/>
      </c>
      <c r="C62" s="13" t="n"/>
      <c r="D62" s="13" t="n"/>
      <c r="E62" s="13" t="n"/>
      <c r="F62" s="13" t="n"/>
      <c r="G62" s="13" t="n"/>
      <c r="H62" s="13" t="n"/>
      <c r="I62" s="13" t="n"/>
      <c r="J62" s="13" t="n"/>
    </row>
    <row r="63" ht="22" customHeight="1">
      <c r="B63" s="16">
        <f>IF(C63="","MRJ-"&amp;TEXT(COUNTA($C$5:C63),"000"))</f>
        <v/>
      </c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 ht="22" customHeight="1">
      <c r="B64" s="15">
        <f>IF(C64="","MRJ-"&amp;TEXT(COUNTA($C$5:C64),"000"))</f>
        <v/>
      </c>
      <c r="C64" s="13" t="n"/>
      <c r="D64" s="13" t="n"/>
      <c r="E64" s="13" t="n"/>
      <c r="F64" s="13" t="n"/>
      <c r="G64" s="13" t="n"/>
      <c r="H64" s="13" t="n"/>
      <c r="I64" s="13" t="n"/>
      <c r="J64" s="13" t="n"/>
    </row>
    <row r="65" ht="22" customHeight="1">
      <c r="B65" s="16">
        <f>IF(C65="","MRJ-"&amp;TEXT(COUNTA($C$5:C65),"000"))</f>
        <v/>
      </c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 ht="22" customHeight="1">
      <c r="B66" s="15">
        <f>IF(C66="","MRJ-"&amp;TEXT(COUNTA($C$5:C66),"000"))</f>
        <v/>
      </c>
      <c r="C66" s="13" t="n"/>
      <c r="D66" s="13" t="n"/>
      <c r="E66" s="13" t="n"/>
      <c r="F66" s="13" t="n"/>
      <c r="G66" s="13" t="n"/>
      <c r="H66" s="13" t="n"/>
      <c r="I66" s="13" t="n"/>
      <c r="J66" s="13" t="n"/>
    </row>
    <row r="67" ht="22" customHeight="1">
      <c r="B67" s="16">
        <f>IF(C67="","MRJ-"&amp;TEXT(COUNTA($C$5:C67),"000"))</f>
        <v/>
      </c>
      <c r="C67" s="11" t="n"/>
      <c r="D67" s="11" t="n"/>
      <c r="E67" s="11" t="n"/>
      <c r="F67" s="11" t="n"/>
      <c r="G67" s="11" t="n"/>
      <c r="H67" s="11" t="n"/>
      <c r="I67" s="11" t="n"/>
      <c r="J67" s="11" t="n"/>
    </row>
    <row r="68" ht="22" customHeight="1">
      <c r="B68" s="15">
        <f>IF(C68="","MRJ-"&amp;TEXT(COUNTA($C$5:C68),"000"))</f>
        <v/>
      </c>
      <c r="C68" s="13" t="n"/>
      <c r="D68" s="13" t="n"/>
      <c r="E68" s="13" t="n"/>
      <c r="F68" s="13" t="n"/>
      <c r="G68" s="13" t="n"/>
      <c r="H68" s="13" t="n"/>
      <c r="I68" s="13" t="n"/>
      <c r="J68" s="13" t="n"/>
    </row>
    <row r="69" ht="22" customHeight="1">
      <c r="B69" s="16">
        <f>IF(C69="","MRJ-"&amp;TEXT(COUNTA($C$5:C69),"000"))</f>
        <v/>
      </c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 ht="22" customHeight="1">
      <c r="B70" s="15">
        <f>IF(C70="","MRJ-"&amp;TEXT(COUNTA($C$5:C70),"000"))</f>
        <v/>
      </c>
      <c r="C70" s="13" t="n"/>
      <c r="D70" s="13" t="n"/>
      <c r="E70" s="13" t="n"/>
      <c r="F70" s="13" t="n"/>
      <c r="G70" s="13" t="n"/>
      <c r="H70" s="13" t="n"/>
      <c r="I70" s="13" t="n"/>
      <c r="J70" s="13" t="n"/>
    </row>
    <row r="71" ht="22" customHeight="1">
      <c r="B71" s="16">
        <f>IF(C71="","MRJ-"&amp;TEXT(COUNTA($C$5:C71),"000"))</f>
        <v/>
      </c>
      <c r="C71" s="11" t="n"/>
      <c r="D71" s="11" t="n"/>
      <c r="E71" s="11" t="n"/>
      <c r="F71" s="11" t="n"/>
      <c r="G71" s="11" t="n"/>
      <c r="H71" s="11" t="n"/>
      <c r="I71" s="11" t="n"/>
      <c r="J71" s="11" t="n"/>
    </row>
    <row r="72" ht="22" customHeight="1">
      <c r="B72" s="15">
        <f>IF(C72="","MRJ-"&amp;TEXT(COUNTA($C$5:C72),"000"))</f>
        <v/>
      </c>
      <c r="C72" s="13" t="n"/>
      <c r="D72" s="13" t="n"/>
      <c r="E72" s="13" t="n"/>
      <c r="F72" s="13" t="n"/>
      <c r="G72" s="13" t="n"/>
      <c r="H72" s="13" t="n"/>
      <c r="I72" s="13" t="n"/>
      <c r="J72" s="13" t="n"/>
    </row>
    <row r="73" ht="22" customHeight="1">
      <c r="B73" s="16">
        <f>IF(C73="","MRJ-"&amp;TEXT(COUNTA($C$5:C73),"000"))</f>
        <v/>
      </c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 ht="22" customHeight="1">
      <c r="B74" s="15">
        <f>IF(C74="","MRJ-"&amp;TEXT(COUNTA($C$5:C74),"000"))</f>
        <v/>
      </c>
      <c r="C74" s="13" t="n"/>
      <c r="D74" s="13" t="n"/>
      <c r="E74" s="13" t="n"/>
      <c r="F74" s="13" t="n"/>
      <c r="G74" s="13" t="n"/>
      <c r="H74" s="13" t="n"/>
      <c r="I74" s="13" t="n"/>
      <c r="J74" s="13" t="n"/>
    </row>
    <row r="75" ht="22" customHeight="1">
      <c r="B75" s="16">
        <f>IF(C75="","MRJ-"&amp;TEXT(COUNTA($C$5:C75),"000"))</f>
        <v/>
      </c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 ht="22" customHeight="1">
      <c r="B76" s="15">
        <f>IF(C76="","MRJ-"&amp;TEXT(COUNTA($C$5:C76),"000"))</f>
        <v/>
      </c>
      <c r="C76" s="13" t="n"/>
      <c r="D76" s="13" t="n"/>
      <c r="E76" s="13" t="n"/>
      <c r="F76" s="13" t="n"/>
      <c r="G76" s="13" t="n"/>
      <c r="H76" s="13" t="n"/>
      <c r="I76" s="13" t="n"/>
      <c r="J76" s="13" t="n"/>
    </row>
    <row r="77" ht="22" customHeight="1">
      <c r="B77" s="16">
        <f>IF(C77="","MRJ-"&amp;TEXT(COUNTA($C$5:C77),"000"))</f>
        <v/>
      </c>
      <c r="C77" s="11" t="n"/>
      <c r="D77" s="11" t="n"/>
      <c r="E77" s="11" t="n"/>
      <c r="F77" s="11" t="n"/>
      <c r="G77" s="11" t="n"/>
      <c r="H77" s="11" t="n"/>
      <c r="I77" s="11" t="n"/>
      <c r="J77" s="11" t="n"/>
    </row>
    <row r="78" ht="22" customHeight="1">
      <c r="B78" s="15">
        <f>IF(C78="","MRJ-"&amp;TEXT(COUNTA($C$5:C78),"000"))</f>
        <v/>
      </c>
      <c r="C78" s="13" t="n"/>
      <c r="D78" s="13" t="n"/>
      <c r="E78" s="13" t="n"/>
      <c r="F78" s="13" t="n"/>
      <c r="G78" s="13" t="n"/>
      <c r="H78" s="13" t="n"/>
      <c r="I78" s="13" t="n"/>
      <c r="J78" s="13" t="n"/>
    </row>
    <row r="79" ht="22" customHeight="1">
      <c r="B79" s="16">
        <f>IF(C79="","MRJ-"&amp;TEXT(COUNTA($C$5:C79),"000"))</f>
        <v/>
      </c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 ht="22" customHeight="1">
      <c r="B80" s="15">
        <f>IF(C80="","MRJ-"&amp;TEXT(COUNTA($C$5:C80),"000"))</f>
        <v/>
      </c>
      <c r="C80" s="13" t="n"/>
      <c r="D80" s="13" t="n"/>
      <c r="E80" s="13" t="n"/>
      <c r="F80" s="13" t="n"/>
      <c r="G80" s="13" t="n"/>
      <c r="H80" s="13" t="n"/>
      <c r="I80" s="13" t="n"/>
      <c r="J80" s="13" t="n"/>
    </row>
    <row r="81" ht="22" customHeight="1">
      <c r="B81" s="16">
        <f>IF(C81="","MRJ-"&amp;TEXT(COUNTA($C$5:C81),"000"))</f>
        <v/>
      </c>
      <c r="C81" s="11" t="n"/>
      <c r="D81" s="11" t="n"/>
      <c r="E81" s="11" t="n"/>
      <c r="F81" s="11" t="n"/>
      <c r="G81" s="11" t="n"/>
      <c r="H81" s="11" t="n"/>
      <c r="I81" s="11" t="n"/>
      <c r="J81" s="11" t="n"/>
    </row>
    <row r="82" ht="22" customHeight="1">
      <c r="B82" s="15">
        <f>IF(C82="","MRJ-"&amp;TEXT(COUNTA($C$5:C82),"000"))</f>
        <v/>
      </c>
      <c r="C82" s="13" t="n"/>
      <c r="D82" s="13" t="n"/>
      <c r="E82" s="13" t="n"/>
      <c r="F82" s="13" t="n"/>
      <c r="G82" s="13" t="n"/>
      <c r="H82" s="13" t="n"/>
      <c r="I82" s="13" t="n"/>
      <c r="J82" s="13" t="n"/>
    </row>
    <row r="83" ht="22" customHeight="1">
      <c r="B83" s="16">
        <f>IF(C83="","MRJ-"&amp;TEXT(COUNTA($C$5:C83),"000"))</f>
        <v/>
      </c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 ht="22" customHeight="1">
      <c r="B84" s="15">
        <f>IF(C84="","MRJ-"&amp;TEXT(COUNTA($C$5:C84),"000"))</f>
        <v/>
      </c>
      <c r="C84" s="13" t="n"/>
      <c r="D84" s="13" t="n"/>
      <c r="E84" s="13" t="n"/>
      <c r="F84" s="13" t="n"/>
      <c r="G84" s="13" t="n"/>
      <c r="H84" s="13" t="n"/>
      <c r="I84" s="13" t="n"/>
      <c r="J84" s="13" t="n"/>
    </row>
    <row r="85" ht="22" customHeight="1">
      <c r="B85" s="16">
        <f>IF(C85="","MRJ-"&amp;TEXT(COUNTA($C$5:C85),"000"))</f>
        <v/>
      </c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 ht="22" customHeight="1">
      <c r="B86" s="15">
        <f>IF(C86="","MRJ-"&amp;TEXT(COUNTA($C$5:C86),"000"))</f>
        <v/>
      </c>
      <c r="C86" s="13" t="n"/>
      <c r="D86" s="13" t="n"/>
      <c r="E86" s="13" t="n"/>
      <c r="F86" s="13" t="n"/>
      <c r="G86" s="13" t="n"/>
      <c r="H86" s="13" t="n"/>
      <c r="I86" s="13" t="n"/>
      <c r="J86" s="13" t="n"/>
    </row>
    <row r="87" ht="22" customHeight="1">
      <c r="B87" s="16">
        <f>IF(C87="","MRJ-"&amp;TEXT(COUNTA($C$5:C87),"000"))</f>
        <v/>
      </c>
      <c r="C87" s="11" t="n"/>
      <c r="D87" s="11" t="n"/>
      <c r="E87" s="11" t="n"/>
      <c r="F87" s="11" t="n"/>
      <c r="G87" s="11" t="n"/>
      <c r="H87" s="11" t="n"/>
      <c r="I87" s="11" t="n"/>
      <c r="J87" s="11" t="n"/>
    </row>
    <row r="88" ht="22" customHeight="1">
      <c r="B88" s="15">
        <f>IF(C88="","MRJ-"&amp;TEXT(COUNTA($C$5:C88),"000"))</f>
        <v/>
      </c>
      <c r="C88" s="13" t="n"/>
      <c r="D88" s="13" t="n"/>
      <c r="E88" s="13" t="n"/>
      <c r="F88" s="13" t="n"/>
      <c r="G88" s="13" t="n"/>
      <c r="H88" s="13" t="n"/>
      <c r="I88" s="13" t="n"/>
      <c r="J88" s="13" t="n"/>
    </row>
    <row r="89" ht="22" customHeight="1">
      <c r="B89" s="16">
        <f>IF(C89="","MRJ-"&amp;TEXT(COUNTA($C$5:C89),"000"))</f>
        <v/>
      </c>
      <c r="C89" s="11" t="n"/>
      <c r="D89" s="11" t="n"/>
      <c r="E89" s="11" t="n"/>
      <c r="F89" s="11" t="n"/>
      <c r="G89" s="11" t="n"/>
      <c r="H89" s="11" t="n"/>
      <c r="I89" s="11" t="n"/>
      <c r="J89" s="11" t="n"/>
    </row>
    <row r="90" ht="22" customHeight="1">
      <c r="B90" s="15">
        <f>IF(C90="","MRJ-"&amp;TEXT(COUNTA($C$5:C90),"000"))</f>
        <v/>
      </c>
      <c r="C90" s="13" t="n"/>
      <c r="D90" s="13" t="n"/>
      <c r="E90" s="13" t="n"/>
      <c r="F90" s="13" t="n"/>
      <c r="G90" s="13" t="n"/>
      <c r="H90" s="13" t="n"/>
      <c r="I90" s="13" t="n"/>
      <c r="J90" s="13" t="n"/>
    </row>
    <row r="91" ht="22" customHeight="1">
      <c r="B91" s="16">
        <f>IF(C91="","MRJ-"&amp;TEXT(COUNTA($C$5:C91),"000"))</f>
        <v/>
      </c>
      <c r="C91" s="11" t="n"/>
      <c r="D91" s="11" t="n"/>
      <c r="E91" s="11" t="n"/>
      <c r="F91" s="11" t="n"/>
      <c r="G91" s="11" t="n"/>
      <c r="H91" s="11" t="n"/>
      <c r="I91" s="11" t="n"/>
      <c r="J91" s="11" t="n"/>
    </row>
    <row r="92" ht="22" customHeight="1">
      <c r="B92" s="15">
        <f>IF(C92="","MRJ-"&amp;TEXT(COUNTA($C$5:C92),"000"))</f>
        <v/>
      </c>
      <c r="C92" s="13" t="n"/>
      <c r="D92" s="13" t="n"/>
      <c r="E92" s="13" t="n"/>
      <c r="F92" s="13" t="n"/>
      <c r="G92" s="13" t="n"/>
      <c r="H92" s="13" t="n"/>
      <c r="I92" s="13" t="n"/>
      <c r="J92" s="13" t="n"/>
    </row>
    <row r="93" ht="22" customHeight="1">
      <c r="B93" s="16">
        <f>IF(C93="","MRJ-"&amp;TEXT(COUNTA($C$5:C93),"000"))</f>
        <v/>
      </c>
      <c r="C93" s="11" t="n"/>
      <c r="D93" s="11" t="n"/>
      <c r="E93" s="11" t="n"/>
      <c r="F93" s="11" t="n"/>
      <c r="G93" s="11" t="n"/>
      <c r="H93" s="11" t="n"/>
      <c r="I93" s="11" t="n"/>
      <c r="J93" s="11" t="n"/>
    </row>
    <row r="94" ht="22" customHeight="1">
      <c r="B94" s="15">
        <f>IF(C94="","MRJ-"&amp;TEXT(COUNTA($C$5:C94),"000"))</f>
        <v/>
      </c>
      <c r="C94" s="13" t="n"/>
      <c r="D94" s="13" t="n"/>
      <c r="E94" s="13" t="n"/>
      <c r="F94" s="13" t="n"/>
      <c r="G94" s="13" t="n"/>
      <c r="H94" s="13" t="n"/>
      <c r="I94" s="13" t="n"/>
      <c r="J94" s="13" t="n"/>
    </row>
    <row r="95" ht="22" customHeight="1">
      <c r="B95" s="16">
        <f>IF(C95="","MRJ-"&amp;TEXT(COUNTA($C$5:C95),"000"))</f>
        <v/>
      </c>
      <c r="C95" s="11" t="n"/>
      <c r="D95" s="11" t="n"/>
      <c r="E95" s="11" t="n"/>
      <c r="F95" s="11" t="n"/>
      <c r="G95" s="11" t="n"/>
      <c r="H95" s="11" t="n"/>
      <c r="I95" s="11" t="n"/>
      <c r="J95" s="11" t="n"/>
    </row>
    <row r="96" ht="22" customHeight="1">
      <c r="B96" s="15">
        <f>IF(C96="","MRJ-"&amp;TEXT(COUNTA($C$5:C96),"000"))</f>
        <v/>
      </c>
      <c r="C96" s="13" t="n"/>
      <c r="D96" s="13" t="n"/>
      <c r="E96" s="13" t="n"/>
      <c r="F96" s="13" t="n"/>
      <c r="G96" s="13" t="n"/>
      <c r="H96" s="13" t="n"/>
      <c r="I96" s="13" t="n"/>
      <c r="J96" s="13" t="n"/>
    </row>
    <row r="97" ht="22" customHeight="1">
      <c r="B97" s="16">
        <f>IF(C97="","MRJ-"&amp;TEXT(COUNTA($C$5:C97),"000"))</f>
        <v/>
      </c>
      <c r="C97" s="11" t="n"/>
      <c r="D97" s="11" t="n"/>
      <c r="E97" s="11" t="n"/>
      <c r="F97" s="11" t="n"/>
      <c r="G97" s="11" t="n"/>
      <c r="H97" s="11" t="n"/>
      <c r="I97" s="11" t="n"/>
      <c r="J97" s="11" t="n"/>
    </row>
    <row r="98" ht="22" customHeight="1">
      <c r="B98" s="15">
        <f>IF(C98="","MRJ-"&amp;TEXT(COUNTA($C$5:C98),"000"))</f>
        <v/>
      </c>
      <c r="C98" s="13" t="n"/>
      <c r="D98" s="13" t="n"/>
      <c r="E98" s="13" t="n"/>
      <c r="F98" s="13" t="n"/>
      <c r="G98" s="13" t="n"/>
      <c r="H98" s="13" t="n"/>
      <c r="I98" s="13" t="n"/>
      <c r="J98" s="13" t="n"/>
    </row>
    <row r="99" ht="22" customHeight="1">
      <c r="B99" s="16">
        <f>IF(C99="","MRJ-"&amp;TEXT(COUNTA($C$5:C99),"000"))</f>
        <v/>
      </c>
      <c r="C99" s="11" t="n"/>
      <c r="D99" s="11" t="n"/>
      <c r="E99" s="11" t="n"/>
      <c r="F99" s="11" t="n"/>
      <c r="G99" s="11" t="n"/>
      <c r="H99" s="11" t="n"/>
      <c r="I99" s="11" t="n"/>
      <c r="J99" s="11" t="n"/>
    </row>
    <row r="100" ht="22" customHeight="1">
      <c r="B100" s="15">
        <f>IF(C100="","MRJ-"&amp;TEXT(COUNTA($C$5:C100),"000"))</f>
        <v/>
      </c>
      <c r="C100" s="13" t="n"/>
      <c r="D100" s="13" t="n"/>
      <c r="E100" s="13" t="n"/>
      <c r="F100" s="13" t="n"/>
      <c r="G100" s="13" t="n"/>
      <c r="H100" s="13" t="n"/>
      <c r="I100" s="13" t="n"/>
      <c r="J100" s="13" t="n"/>
    </row>
    <row r="101" ht="22" customHeight="1">
      <c r="B101" s="16">
        <f>IF(C101="","MRJ-"&amp;TEXT(COUNTA($C$5:C101),"000"))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 ht="22" customHeight="1">
      <c r="B102" s="15">
        <f>IF(C102="","MRJ-"&amp;TEXT(COUNTA($C$5:C102),"000"))</f>
        <v/>
      </c>
      <c r="C102" s="13" t="n"/>
      <c r="D102" s="13" t="n"/>
      <c r="E102" s="13" t="n"/>
      <c r="F102" s="13" t="n"/>
      <c r="G102" s="13" t="n"/>
      <c r="H102" s="13" t="n"/>
      <c r="I102" s="13" t="n"/>
      <c r="J102" s="13" t="n"/>
    </row>
    <row r="103" ht="22" customHeight="1">
      <c r="B103" s="16">
        <f>IF(C103="","MRJ-"&amp;TEXT(COUNTA($C$5:C103),"000"))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11" t="n"/>
      <c r="J103" s="11" t="n"/>
    </row>
    <row r="104" ht="22" customHeight="1">
      <c r="B104" s="15">
        <f>IF(C104="","MRJ-"&amp;TEXT(COUNTA($C$5:C104),"000"))</f>
        <v/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</row>
    <row r="105" ht="22" customHeight="1">
      <c r="B105" s="16">
        <f>IF(C105="","MRJ-"&amp;TEXT(COUNTA($C$5:C105),"000"))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11" t="n"/>
      <c r="J105" s="11" t="n"/>
    </row>
    <row r="106" ht="22" customHeight="1">
      <c r="B106" s="15">
        <f>IF(C106="","MRJ-"&amp;TEXT(COUNTA($C$5:C106),"000"))</f>
        <v/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</row>
    <row r="107" ht="22" customHeight="1">
      <c r="B107" s="16">
        <f>IF(C107="","MRJ-"&amp;TEXT(COUNTA($C$5:C107),"000"))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11" t="n"/>
      <c r="J107" s="11" t="n"/>
    </row>
    <row r="108" ht="22" customHeight="1">
      <c r="B108" s="15">
        <f>IF(C108="","MRJ-"&amp;TEXT(COUNTA($C$5:C108),"000"))</f>
        <v/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</row>
    <row r="109" ht="22" customHeight="1">
      <c r="B109" s="16">
        <f>IF(C109="","MRJ-"&amp;TEXT(COUNTA($C$5:C109),"000"))</f>
        <v/>
      </c>
      <c r="C109" s="11" t="n"/>
      <c r="D109" s="11" t="n"/>
      <c r="E109" s="11" t="n"/>
      <c r="F109" s="11" t="n"/>
      <c r="G109" s="11" t="n"/>
      <c r="H109" s="11" t="n"/>
      <c r="I109" s="11" t="n"/>
      <c r="J109" s="11" t="n"/>
    </row>
    <row r="110" ht="22" customHeight="1">
      <c r="B110" s="15">
        <f>IF(C110="","MRJ-"&amp;TEXT(COUNTA($C$5:C110),"000"))</f>
        <v/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</row>
    <row r="111"/>
    <row r="112">
      <c r="B112" s="5" t="inlineStr">
        <is>
          <t>INDICATEURS (mis a jour automatiquement)</t>
        </is>
      </c>
    </row>
    <row r="113">
      <c r="B113" s="3" t="inlineStr">
        <is>
          <t>Risques identifies</t>
        </is>
      </c>
      <c r="D113" s="3" t="inlineStr">
        <is>
          <t>Risques critiques</t>
        </is>
      </c>
      <c r="F113" s="3" t="inlineStr">
        <is>
          <t>Risques eleves</t>
        </is>
      </c>
    </row>
    <row r="114">
      <c r="B114" s="4">
        <f>COUNTIF(B5:B104,"&lt;&gt;")</f>
        <v/>
      </c>
      <c r="D114" s="4">
        <f>COUNTIF(G5:G104,"Critique")</f>
        <v/>
      </c>
      <c r="F114" s="4">
        <f>COUNTIF(G5:G104,"Eleve")</f>
        <v/>
      </c>
    </row>
  </sheetData>
  <mergeCells count="3">
    <mergeCell ref="B112:J112"/>
    <mergeCell ref="B3:J3"/>
    <mergeCell ref="B2:J2"/>
  </mergeCells>
  <conditionalFormatting sqref="B11:B110">
    <cfRule type="expression" priority="1" dxfId="3">
      <formula>AND($C11="",$C10&lt;&gt;"")</formula>
    </cfRule>
  </conditionalFormatting>
  <conditionalFormatting sqref="C11:C110">
    <cfRule type="expression" priority="2" dxfId="3">
      <formula>AND($C11="",$C10&lt;&gt;"")</formula>
    </cfRule>
  </conditionalFormatting>
  <conditionalFormatting sqref="D11:D110">
    <cfRule type="expression" priority="3" dxfId="3">
      <formula>AND($C11="",$C10&lt;&gt;"")</formula>
    </cfRule>
  </conditionalFormatting>
  <conditionalFormatting sqref="E11:E110">
    <cfRule type="expression" priority="4" dxfId="3">
      <formula>AND($C11="",$C10&lt;&gt;"")</formula>
    </cfRule>
  </conditionalFormatting>
  <conditionalFormatting sqref="F11:F110">
    <cfRule type="expression" priority="5" dxfId="3">
      <formula>AND($C11="",$C10&lt;&gt;"")</formula>
    </cfRule>
  </conditionalFormatting>
  <conditionalFormatting sqref="G11:G110">
    <cfRule type="expression" priority="6" dxfId="3">
      <formula>AND($C11="",$C10&lt;&gt;"")</formula>
    </cfRule>
  </conditionalFormatting>
  <conditionalFormatting sqref="H11:H110">
    <cfRule type="expression" priority="7" dxfId="3">
      <formula>AND($C11="",$C10&lt;&gt;"")</formula>
    </cfRule>
  </conditionalFormatting>
  <conditionalFormatting sqref="I11:I110">
    <cfRule type="expression" priority="8" dxfId="3">
      <formula>AND($C11="",$C10&lt;&gt;"")</formula>
    </cfRule>
  </conditionalFormatting>
  <conditionalFormatting sqref="J11:J110">
    <cfRule type="expression" priority="9" dxfId="3">
      <formula>AND($C11="",$C10&lt;&gt;"")</formula>
    </cfRule>
  </conditionalFormatting>
  <dataValidations count="3">
    <dataValidation sqref="D5:D110" showDropDown="0" showInputMessage="0" showErrorMessage="0" allowBlank="1" errorTitle="Erreur" error="Valeur invalide" promptTitle="Liste" prompt="Choisir dans la liste" type="list">
      <formula1>'_Lists'!$M$2:$M$11</formula1>
    </dataValidation>
    <dataValidation sqref="G5:G110" showDropDown="0" showInputMessage="0" showErrorMessage="0" allowBlank="1" errorTitle="Erreur" error="Valeur invalide" promptTitle="Liste" prompt="Choisir dans la liste" type="list">
      <formula1>'_Lists'!$O$2:$O$5</formula1>
    </dataValidation>
    <dataValidation sqref="J5:J110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4" customWidth="1" min="5" max="5"/>
    <col width="14" customWidth="1" min="6" max="6"/>
    <col width="22" customWidth="1" min="7" max="7"/>
    <col width="20" customWidth="1" min="8" max="8"/>
    <col width="20" customWidth="1" min="9" max="9"/>
    <col width="12" customWidth="1" min="10" max="10"/>
  </cols>
  <sheetData>
    <row r="1" ht="15" customHeight="1"/>
    <row r="2" ht="32" customHeight="1">
      <c r="B2" s="1" t="inlineStr">
        <is>
          <t>SUIVI AVENANTS CONTRATS — Conformité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Employe</t>
        </is>
      </c>
      <c r="D4" s="10" t="inlineStr">
        <is>
          <t>Poste</t>
        </is>
      </c>
      <c r="E4" s="10" t="inlineStr">
        <is>
          <t>Type Avenant</t>
        </is>
      </c>
      <c r="F4" s="10" t="inlineStr">
        <is>
          <t>Date Avenant</t>
        </is>
      </c>
      <c r="G4" s="10" t="inlineStr">
        <is>
          <t>Impact Salarial (FCFA)</t>
        </is>
      </c>
      <c r="H4" s="10" t="inlineStr">
        <is>
          <t>Delai Traitement (j)</t>
        </is>
      </c>
      <c r="I4" s="10" t="inlineStr">
        <is>
          <t>Conforme Procedure</t>
        </is>
      </c>
      <c r="J4" s="10" t="inlineStr">
        <is>
          <t>Statut</t>
        </is>
      </c>
    </row>
    <row r="5" ht="22" customHeight="1">
      <c r="B5" s="11" t="inlineStr">
        <is>
          <t>SAV-001</t>
        </is>
      </c>
      <c r="C5" s="11" t="inlineStr">
        <is>
          <t>Nkoulou Mbarga P.</t>
        </is>
      </c>
      <c r="D5" s="11" t="inlineStr">
        <is>
          <t>Chef Reception</t>
        </is>
      </c>
      <c r="E5" s="11" t="inlineStr">
        <is>
          <t>Augmentation salariale</t>
        </is>
      </c>
      <c r="F5" s="26" t="n">
        <v>45689</v>
      </c>
      <c r="G5" s="17" t="n">
        <v>30000</v>
      </c>
      <c r="H5" s="22" t="n">
        <v>5</v>
      </c>
      <c r="I5" s="11" t="inlineStr">
        <is>
          <t>Oui</t>
        </is>
      </c>
      <c r="J5" s="11" t="inlineStr">
        <is>
          <t>Signe</t>
        </is>
      </c>
    </row>
    <row r="6" ht="22" customHeight="1">
      <c r="B6" s="13" t="inlineStr">
        <is>
          <t>SAV-002</t>
        </is>
      </c>
      <c r="C6" s="13" t="inlineStr">
        <is>
          <t>Kamga Patrice</t>
        </is>
      </c>
      <c r="D6" s="13" t="inlineStr">
        <is>
          <t>Receptionniste</t>
        </is>
      </c>
      <c r="E6" s="13" t="inlineStr">
        <is>
          <t>Renouvellement CDD</t>
        </is>
      </c>
      <c r="F6" s="27" t="n">
        <v>45833</v>
      </c>
      <c r="G6" s="18" t="n">
        <v>0</v>
      </c>
      <c r="H6" s="24" t="n">
        <v>10</v>
      </c>
      <c r="I6" s="13" t="inlineStr">
        <is>
          <t>Oui</t>
        </is>
      </c>
      <c r="J6" s="13" t="inlineStr">
        <is>
          <t>En cours</t>
        </is>
      </c>
    </row>
    <row r="7" ht="22" customHeight="1">
      <c r="B7" s="11" t="inlineStr">
        <is>
          <t>SAV-003</t>
        </is>
      </c>
      <c r="C7" s="11" t="inlineStr">
        <is>
          <t>Fouda M.</t>
        </is>
      </c>
      <c r="D7" s="11" t="inlineStr">
        <is>
          <t>Cuisinier</t>
        </is>
      </c>
      <c r="E7" s="11" t="inlineStr">
        <is>
          <t>Augmentation salariale</t>
        </is>
      </c>
      <c r="F7" s="26" t="n">
        <v>45748</v>
      </c>
      <c r="G7" s="17" t="n">
        <v>20000</v>
      </c>
      <c r="H7" s="22" t="n">
        <v>7</v>
      </c>
      <c r="I7" s="11" t="inlineStr">
        <is>
          <t>Oui</t>
        </is>
      </c>
      <c r="J7" s="11" t="inlineStr">
        <is>
          <t>Signe</t>
        </is>
      </c>
    </row>
    <row r="8" ht="22" customHeight="1">
      <c r="B8" s="13" t="inlineStr">
        <is>
          <t>SAV-004</t>
        </is>
      </c>
      <c r="C8" s="13" t="inlineStr">
        <is>
          <t>Nganou D.</t>
        </is>
      </c>
      <c r="D8" s="13" t="inlineStr">
        <is>
          <t>Receptionniste</t>
        </is>
      </c>
      <c r="E8" s="13" t="inlineStr">
        <is>
          <t>Changement de poste</t>
        </is>
      </c>
      <c r="F8" s="27" t="n">
        <v>45778</v>
      </c>
      <c r="G8" s="18" t="n">
        <v>0</v>
      </c>
      <c r="H8" s="24" t="n">
        <v>12</v>
      </c>
      <c r="I8" s="13" t="inlineStr">
        <is>
          <t>Oui</t>
        </is>
      </c>
      <c r="J8" s="13" t="inlineStr">
        <is>
          <t>Signe</t>
        </is>
      </c>
    </row>
    <row r="9" ht="22" customHeight="1">
      <c r="B9" s="11" t="inlineStr">
        <is>
          <t>SAV-005</t>
        </is>
      </c>
      <c r="C9" s="11" t="inlineStr">
        <is>
          <t>Meyong S.</t>
        </is>
      </c>
      <c r="D9" s="11" t="inlineStr">
        <is>
          <t>Concierge</t>
        </is>
      </c>
      <c r="E9" s="11" t="inlineStr">
        <is>
          <t>Changement de poste</t>
        </is>
      </c>
      <c r="F9" s="26" t="n">
        <v>45778</v>
      </c>
      <c r="G9" s="17" t="n">
        <v>15000</v>
      </c>
      <c r="H9" s="22" t="n">
        <v>8</v>
      </c>
      <c r="I9" s="11" t="inlineStr">
        <is>
          <t>Oui</t>
        </is>
      </c>
      <c r="J9" s="11" t="inlineStr">
        <is>
          <t>Signe</t>
        </is>
      </c>
    </row>
    <row r="10" ht="22" customHeight="1">
      <c r="B10" s="15">
        <f>IF(C10="","SAV-"&amp;TEXT(COUNTA($C$5:C10),"000"))</f>
        <v/>
      </c>
      <c r="C10" s="13" t="n"/>
      <c r="D10" s="13" t="n"/>
      <c r="E10" s="13" t="n"/>
      <c r="F10" s="27" t="n"/>
      <c r="G10" s="18" t="n"/>
      <c r="H10" s="24" t="n"/>
      <c r="I10" s="13" t="n"/>
      <c r="J10" s="13" t="n"/>
    </row>
    <row r="11" ht="22" customHeight="1">
      <c r="B11" s="16">
        <f>IF(C11="","SAV-"&amp;TEXT(COUNTA($C$5:C11),"000"))</f>
        <v/>
      </c>
      <c r="C11" s="11" t="n"/>
      <c r="D11" s="11" t="n"/>
      <c r="E11" s="11" t="n"/>
      <c r="F11" s="26" t="n"/>
      <c r="G11" s="17" t="n"/>
      <c r="H11" s="22" t="n"/>
      <c r="I11" s="11" t="n"/>
      <c r="J11" s="11" t="n"/>
    </row>
    <row r="12" ht="22" customHeight="1">
      <c r="B12" s="15">
        <f>IF(C12="","SAV-"&amp;TEXT(COUNTA($C$5:C12),"000"))</f>
        <v/>
      </c>
      <c r="C12" s="13" t="n"/>
      <c r="D12" s="13" t="n"/>
      <c r="E12" s="13" t="n"/>
      <c r="F12" s="27" t="n"/>
      <c r="G12" s="18" t="n"/>
      <c r="H12" s="24" t="n"/>
      <c r="I12" s="13" t="n"/>
      <c r="J12" s="13" t="n"/>
    </row>
    <row r="13" ht="22" customHeight="1">
      <c r="B13" s="16">
        <f>IF(C13="","SAV-"&amp;TEXT(COUNTA($C$5:C13),"000"))</f>
        <v/>
      </c>
      <c r="C13" s="11" t="n"/>
      <c r="D13" s="11" t="n"/>
      <c r="E13" s="11" t="n"/>
      <c r="F13" s="26" t="n"/>
      <c r="G13" s="17" t="n"/>
      <c r="H13" s="22" t="n"/>
      <c r="I13" s="11" t="n"/>
      <c r="J13" s="11" t="n"/>
    </row>
    <row r="14" ht="22" customHeight="1">
      <c r="B14" s="15">
        <f>IF(C14="","SAV-"&amp;TEXT(COUNTA($C$5:C14),"000"))</f>
        <v/>
      </c>
      <c r="C14" s="13" t="n"/>
      <c r="D14" s="13" t="n"/>
      <c r="E14" s="13" t="n"/>
      <c r="F14" s="27" t="n"/>
      <c r="G14" s="18" t="n"/>
      <c r="H14" s="24" t="n"/>
      <c r="I14" s="13" t="n"/>
      <c r="J14" s="13" t="n"/>
    </row>
    <row r="15" ht="22" customHeight="1">
      <c r="B15" s="16">
        <f>IF(C15="","SAV-"&amp;TEXT(COUNTA($C$5:C15),"000"))</f>
        <v/>
      </c>
      <c r="C15" s="11" t="n"/>
      <c r="D15" s="11" t="n"/>
      <c r="E15" s="11" t="n"/>
      <c r="F15" s="26" t="n"/>
      <c r="G15" s="17" t="n"/>
      <c r="H15" s="22" t="n"/>
      <c r="I15" s="11" t="n"/>
      <c r="J15" s="11" t="n"/>
    </row>
    <row r="16" ht="22" customHeight="1">
      <c r="B16" s="15">
        <f>IF(C16="","SAV-"&amp;TEXT(COUNTA($C$5:C16),"000"))</f>
        <v/>
      </c>
      <c r="C16" s="13" t="n"/>
      <c r="D16" s="13" t="n"/>
      <c r="E16" s="13" t="n"/>
      <c r="F16" s="27" t="n"/>
      <c r="G16" s="18" t="n"/>
      <c r="H16" s="24" t="n"/>
      <c r="I16" s="13" t="n"/>
      <c r="J16" s="13" t="n"/>
    </row>
    <row r="17" ht="22" customHeight="1">
      <c r="B17" s="16">
        <f>IF(C17="","SAV-"&amp;TEXT(COUNTA($C$5:C17),"000"))</f>
        <v/>
      </c>
      <c r="C17" s="11" t="n"/>
      <c r="D17" s="11" t="n"/>
      <c r="E17" s="11" t="n"/>
      <c r="F17" s="26" t="n"/>
      <c r="G17" s="17" t="n"/>
      <c r="H17" s="22" t="n"/>
      <c r="I17" s="11" t="n"/>
      <c r="J17" s="11" t="n"/>
    </row>
    <row r="18" ht="22" customHeight="1">
      <c r="B18" s="15">
        <f>IF(C18="","SAV-"&amp;TEXT(COUNTA($C$5:C18),"000"))</f>
        <v/>
      </c>
      <c r="C18" s="13" t="n"/>
      <c r="D18" s="13" t="n"/>
      <c r="E18" s="13" t="n"/>
      <c r="F18" s="27" t="n"/>
      <c r="G18" s="18" t="n"/>
      <c r="H18" s="24" t="n"/>
      <c r="I18" s="13" t="n"/>
      <c r="J18" s="13" t="n"/>
    </row>
    <row r="19" ht="22" customHeight="1">
      <c r="B19" s="16">
        <f>IF(C19="","SAV-"&amp;TEXT(COUNTA($C$5:C19),"000"))</f>
        <v/>
      </c>
      <c r="C19" s="11" t="n"/>
      <c r="D19" s="11" t="n"/>
      <c r="E19" s="11" t="n"/>
      <c r="F19" s="26" t="n"/>
      <c r="G19" s="17" t="n"/>
      <c r="H19" s="22" t="n"/>
      <c r="I19" s="11" t="n"/>
      <c r="J19" s="11" t="n"/>
    </row>
    <row r="20" ht="22" customHeight="1">
      <c r="B20" s="15">
        <f>IF(C20="","SAV-"&amp;TEXT(COUNTA($C$5:C20),"000"))</f>
        <v/>
      </c>
      <c r="C20" s="13" t="n"/>
      <c r="D20" s="13" t="n"/>
      <c r="E20" s="13" t="n"/>
      <c r="F20" s="27" t="n"/>
      <c r="G20" s="18" t="n"/>
      <c r="H20" s="24" t="n"/>
      <c r="I20" s="13" t="n"/>
      <c r="J20" s="13" t="n"/>
    </row>
    <row r="21" ht="22" customHeight="1">
      <c r="B21" s="16">
        <f>IF(C21="","SAV-"&amp;TEXT(COUNTA($C$5:C21),"000"))</f>
        <v/>
      </c>
      <c r="C21" s="11" t="n"/>
      <c r="D21" s="11" t="n"/>
      <c r="E21" s="11" t="n"/>
      <c r="F21" s="26" t="n"/>
      <c r="G21" s="17" t="n"/>
      <c r="H21" s="22" t="n"/>
      <c r="I21" s="11" t="n"/>
      <c r="J21" s="11" t="n"/>
    </row>
    <row r="22" ht="22" customHeight="1">
      <c r="B22" s="15">
        <f>IF(C22="","SAV-"&amp;TEXT(COUNTA($C$5:C22),"000"))</f>
        <v/>
      </c>
      <c r="C22" s="13" t="n"/>
      <c r="D22" s="13" t="n"/>
      <c r="E22" s="13" t="n"/>
      <c r="F22" s="27" t="n"/>
      <c r="G22" s="18" t="n"/>
      <c r="H22" s="24" t="n"/>
      <c r="I22" s="13" t="n"/>
      <c r="J22" s="13" t="n"/>
    </row>
    <row r="23" ht="22" customHeight="1">
      <c r="B23" s="16">
        <f>IF(C23="","SAV-"&amp;TEXT(COUNTA($C$5:C23),"000"))</f>
        <v/>
      </c>
      <c r="C23" s="11" t="n"/>
      <c r="D23" s="11" t="n"/>
      <c r="E23" s="11" t="n"/>
      <c r="F23" s="26" t="n"/>
      <c r="G23" s="17" t="n"/>
      <c r="H23" s="22" t="n"/>
      <c r="I23" s="11" t="n"/>
      <c r="J23" s="11" t="n"/>
    </row>
    <row r="24" ht="22" customHeight="1">
      <c r="B24" s="15">
        <f>IF(C24="","SAV-"&amp;TEXT(COUNTA($C$5:C24),"000"))</f>
        <v/>
      </c>
      <c r="C24" s="13" t="n"/>
      <c r="D24" s="13" t="n"/>
      <c r="E24" s="13" t="n"/>
      <c r="F24" s="27" t="n"/>
      <c r="G24" s="18" t="n"/>
      <c r="H24" s="24" t="n"/>
      <c r="I24" s="13" t="n"/>
      <c r="J24" s="13" t="n"/>
    </row>
    <row r="25" ht="22" customHeight="1">
      <c r="B25" s="16">
        <f>IF(C25="","SAV-"&amp;TEXT(COUNTA($C$5:C25),"000"))</f>
        <v/>
      </c>
      <c r="C25" s="11" t="n"/>
      <c r="D25" s="11" t="n"/>
      <c r="E25" s="11" t="n"/>
      <c r="F25" s="26" t="n"/>
      <c r="G25" s="17" t="n"/>
      <c r="H25" s="22" t="n"/>
      <c r="I25" s="11" t="n"/>
      <c r="J25" s="11" t="n"/>
    </row>
    <row r="26" ht="22" customHeight="1">
      <c r="B26" s="15">
        <f>IF(C26="","SAV-"&amp;TEXT(COUNTA($C$5:C26),"000"))</f>
        <v/>
      </c>
      <c r="C26" s="13" t="n"/>
      <c r="D26" s="13" t="n"/>
      <c r="E26" s="13" t="n"/>
      <c r="F26" s="27" t="n"/>
      <c r="G26" s="18" t="n"/>
      <c r="H26" s="24" t="n"/>
      <c r="I26" s="13" t="n"/>
      <c r="J26" s="13" t="n"/>
    </row>
    <row r="27" ht="22" customHeight="1">
      <c r="B27" s="16">
        <f>IF(C27="","SAV-"&amp;TEXT(COUNTA($C$5:C27),"000"))</f>
        <v/>
      </c>
      <c r="C27" s="11" t="n"/>
      <c r="D27" s="11" t="n"/>
      <c r="E27" s="11" t="n"/>
      <c r="F27" s="26" t="n"/>
      <c r="G27" s="17" t="n"/>
      <c r="H27" s="22" t="n"/>
      <c r="I27" s="11" t="n"/>
      <c r="J27" s="11" t="n"/>
    </row>
    <row r="28" ht="22" customHeight="1">
      <c r="B28" s="15">
        <f>IF(C28="","SAV-"&amp;TEXT(COUNTA($C$5:C28),"000"))</f>
        <v/>
      </c>
      <c r="C28" s="13" t="n"/>
      <c r="D28" s="13" t="n"/>
      <c r="E28" s="13" t="n"/>
      <c r="F28" s="27" t="n"/>
      <c r="G28" s="18" t="n"/>
      <c r="H28" s="24" t="n"/>
      <c r="I28" s="13" t="n"/>
      <c r="J28" s="13" t="n"/>
    </row>
    <row r="29" ht="22" customHeight="1">
      <c r="B29" s="16">
        <f>IF(C29="","SAV-"&amp;TEXT(COUNTA($C$5:C29),"000"))</f>
        <v/>
      </c>
      <c r="C29" s="11" t="n"/>
      <c r="D29" s="11" t="n"/>
      <c r="E29" s="11" t="n"/>
      <c r="F29" s="26" t="n"/>
      <c r="G29" s="17" t="n"/>
      <c r="H29" s="22" t="n"/>
      <c r="I29" s="11" t="n"/>
      <c r="J29" s="11" t="n"/>
    </row>
    <row r="30" ht="22" customHeight="1">
      <c r="B30" s="15">
        <f>IF(C30="","SAV-"&amp;TEXT(COUNTA($C$5:C30),"000"))</f>
        <v/>
      </c>
      <c r="C30" s="13" t="n"/>
      <c r="D30" s="13" t="n"/>
      <c r="E30" s="13" t="n"/>
      <c r="F30" s="27" t="n"/>
      <c r="G30" s="18" t="n"/>
      <c r="H30" s="24" t="n"/>
      <c r="I30" s="13" t="n"/>
      <c r="J30" s="13" t="n"/>
    </row>
    <row r="31" ht="22" customHeight="1">
      <c r="B31" s="16">
        <f>IF(C31="","SAV-"&amp;TEXT(COUNTA($C$5:C31),"000"))</f>
        <v/>
      </c>
      <c r="C31" s="11" t="n"/>
      <c r="D31" s="11" t="n"/>
      <c r="E31" s="11" t="n"/>
      <c r="F31" s="26" t="n"/>
      <c r="G31" s="17" t="n"/>
      <c r="H31" s="22" t="n"/>
      <c r="I31" s="11" t="n"/>
      <c r="J31" s="11" t="n"/>
    </row>
    <row r="32" ht="22" customHeight="1">
      <c r="B32" s="15">
        <f>IF(C32="","SAV-"&amp;TEXT(COUNTA($C$5:C32),"000"))</f>
        <v/>
      </c>
      <c r="C32" s="13" t="n"/>
      <c r="D32" s="13" t="n"/>
      <c r="E32" s="13" t="n"/>
      <c r="F32" s="27" t="n"/>
      <c r="G32" s="18" t="n"/>
      <c r="H32" s="24" t="n"/>
      <c r="I32" s="13" t="n"/>
      <c r="J32" s="13" t="n"/>
    </row>
    <row r="33" ht="22" customHeight="1">
      <c r="B33" s="16">
        <f>IF(C33="","SAV-"&amp;TEXT(COUNTA($C$5:C33),"000"))</f>
        <v/>
      </c>
      <c r="C33" s="11" t="n"/>
      <c r="D33" s="11" t="n"/>
      <c r="E33" s="11" t="n"/>
      <c r="F33" s="26" t="n"/>
      <c r="G33" s="17" t="n"/>
      <c r="H33" s="22" t="n"/>
      <c r="I33" s="11" t="n"/>
      <c r="J33" s="11" t="n"/>
    </row>
    <row r="34" ht="22" customHeight="1">
      <c r="B34" s="15">
        <f>IF(C34="","SAV-"&amp;TEXT(COUNTA($C$5:C34),"000"))</f>
        <v/>
      </c>
      <c r="C34" s="13" t="n"/>
      <c r="D34" s="13" t="n"/>
      <c r="E34" s="13" t="n"/>
      <c r="F34" s="27" t="n"/>
      <c r="G34" s="18" t="n"/>
      <c r="H34" s="24" t="n"/>
      <c r="I34" s="13" t="n"/>
      <c r="J34" s="13" t="n"/>
    </row>
    <row r="35" ht="22" customHeight="1">
      <c r="B35" s="16">
        <f>IF(C35="","SAV-"&amp;TEXT(COUNTA($C$5:C35),"000"))</f>
        <v/>
      </c>
      <c r="C35" s="11" t="n"/>
      <c r="D35" s="11" t="n"/>
      <c r="E35" s="11" t="n"/>
      <c r="F35" s="26" t="n"/>
      <c r="G35" s="17" t="n"/>
      <c r="H35" s="22" t="n"/>
      <c r="I35" s="11" t="n"/>
      <c r="J35" s="11" t="n"/>
    </row>
    <row r="36" ht="22" customHeight="1">
      <c r="B36" s="15">
        <f>IF(C36="","SAV-"&amp;TEXT(COUNTA($C$5:C36),"000"))</f>
        <v/>
      </c>
      <c r="C36" s="13" t="n"/>
      <c r="D36" s="13" t="n"/>
      <c r="E36" s="13" t="n"/>
      <c r="F36" s="27" t="n"/>
      <c r="G36" s="18" t="n"/>
      <c r="H36" s="24" t="n"/>
      <c r="I36" s="13" t="n"/>
      <c r="J36" s="13" t="n"/>
    </row>
    <row r="37" ht="22" customHeight="1">
      <c r="B37" s="16">
        <f>IF(C37="","SAV-"&amp;TEXT(COUNTA($C$5:C37),"000"))</f>
        <v/>
      </c>
      <c r="C37" s="11" t="n"/>
      <c r="D37" s="11" t="n"/>
      <c r="E37" s="11" t="n"/>
      <c r="F37" s="26" t="n"/>
      <c r="G37" s="17" t="n"/>
      <c r="H37" s="22" t="n"/>
      <c r="I37" s="11" t="n"/>
      <c r="J37" s="11" t="n"/>
    </row>
    <row r="38" ht="22" customHeight="1">
      <c r="B38" s="15">
        <f>IF(C38="","SAV-"&amp;TEXT(COUNTA($C$5:C38),"000"))</f>
        <v/>
      </c>
      <c r="C38" s="13" t="n"/>
      <c r="D38" s="13" t="n"/>
      <c r="E38" s="13" t="n"/>
      <c r="F38" s="27" t="n"/>
      <c r="G38" s="18" t="n"/>
      <c r="H38" s="24" t="n"/>
      <c r="I38" s="13" t="n"/>
      <c r="J38" s="13" t="n"/>
    </row>
    <row r="39" ht="22" customHeight="1">
      <c r="B39" s="16">
        <f>IF(C39="","SAV-"&amp;TEXT(COUNTA($C$5:C39),"000"))</f>
        <v/>
      </c>
      <c r="C39" s="11" t="n"/>
      <c r="D39" s="11" t="n"/>
      <c r="E39" s="11" t="n"/>
      <c r="F39" s="26" t="n"/>
      <c r="G39" s="17" t="n"/>
      <c r="H39" s="22" t="n"/>
      <c r="I39" s="11" t="n"/>
      <c r="J39" s="11" t="n"/>
    </row>
    <row r="40" ht="22" customHeight="1">
      <c r="B40" s="15">
        <f>IF(C40="","SAV-"&amp;TEXT(COUNTA($C$5:C40),"000"))</f>
        <v/>
      </c>
      <c r="C40" s="13" t="n"/>
      <c r="D40" s="13" t="n"/>
      <c r="E40" s="13" t="n"/>
      <c r="F40" s="27" t="n"/>
      <c r="G40" s="18" t="n"/>
      <c r="H40" s="24" t="n"/>
      <c r="I40" s="13" t="n"/>
      <c r="J40" s="13" t="n"/>
    </row>
    <row r="41" ht="22" customHeight="1">
      <c r="B41" s="16">
        <f>IF(C41="","SAV-"&amp;TEXT(COUNTA($C$5:C41),"000"))</f>
        <v/>
      </c>
      <c r="C41" s="11" t="n"/>
      <c r="D41" s="11" t="n"/>
      <c r="E41" s="11" t="n"/>
      <c r="F41" s="26" t="n"/>
      <c r="G41" s="17" t="n"/>
      <c r="H41" s="22" t="n"/>
      <c r="I41" s="11" t="n"/>
      <c r="J41" s="11" t="n"/>
    </row>
    <row r="42" ht="22" customHeight="1">
      <c r="B42" s="15">
        <f>IF(C42="","SAV-"&amp;TEXT(COUNTA($C$5:C42),"000"))</f>
        <v/>
      </c>
      <c r="C42" s="13" t="n"/>
      <c r="D42" s="13" t="n"/>
      <c r="E42" s="13" t="n"/>
      <c r="F42" s="27" t="n"/>
      <c r="G42" s="18" t="n"/>
      <c r="H42" s="24" t="n"/>
      <c r="I42" s="13" t="n"/>
      <c r="J42" s="13" t="n"/>
    </row>
    <row r="43" ht="22" customHeight="1">
      <c r="B43" s="16">
        <f>IF(C43="","SAV-"&amp;TEXT(COUNTA($C$5:C43),"000"))</f>
        <v/>
      </c>
      <c r="C43" s="11" t="n"/>
      <c r="D43" s="11" t="n"/>
      <c r="E43" s="11" t="n"/>
      <c r="F43" s="26" t="n"/>
      <c r="G43" s="17" t="n"/>
      <c r="H43" s="22" t="n"/>
      <c r="I43" s="11" t="n"/>
      <c r="J43" s="11" t="n"/>
    </row>
    <row r="44" ht="22" customHeight="1">
      <c r="B44" s="15">
        <f>IF(C44="","SAV-"&amp;TEXT(COUNTA($C$5:C44),"000"))</f>
        <v/>
      </c>
      <c r="C44" s="13" t="n"/>
      <c r="D44" s="13" t="n"/>
      <c r="E44" s="13" t="n"/>
      <c r="F44" s="27" t="n"/>
      <c r="G44" s="18" t="n"/>
      <c r="H44" s="24" t="n"/>
      <c r="I44" s="13" t="n"/>
      <c r="J44" s="13" t="n"/>
    </row>
    <row r="45" ht="22" customHeight="1">
      <c r="B45" s="16">
        <f>IF(C45="","SAV-"&amp;TEXT(COUNTA($C$5:C45),"000"))</f>
        <v/>
      </c>
      <c r="C45" s="11" t="n"/>
      <c r="D45" s="11" t="n"/>
      <c r="E45" s="11" t="n"/>
      <c r="F45" s="26" t="n"/>
      <c r="G45" s="17" t="n"/>
      <c r="H45" s="22" t="n"/>
      <c r="I45" s="11" t="n"/>
      <c r="J45" s="11" t="n"/>
    </row>
    <row r="46" ht="22" customHeight="1">
      <c r="B46" s="15">
        <f>IF(C46="","SAV-"&amp;TEXT(COUNTA($C$5:C46),"000"))</f>
        <v/>
      </c>
      <c r="C46" s="13" t="n"/>
      <c r="D46" s="13" t="n"/>
      <c r="E46" s="13" t="n"/>
      <c r="F46" s="27" t="n"/>
      <c r="G46" s="18" t="n"/>
      <c r="H46" s="24" t="n"/>
      <c r="I46" s="13" t="n"/>
      <c r="J46" s="13" t="n"/>
    </row>
    <row r="47" ht="22" customHeight="1">
      <c r="B47" s="16">
        <f>IF(C47="","SAV-"&amp;TEXT(COUNTA($C$5:C47),"000"))</f>
        <v/>
      </c>
      <c r="C47" s="11" t="n"/>
      <c r="D47" s="11" t="n"/>
      <c r="E47" s="11" t="n"/>
      <c r="F47" s="26" t="n"/>
      <c r="G47" s="17" t="n"/>
      <c r="H47" s="22" t="n"/>
      <c r="I47" s="11" t="n"/>
      <c r="J47" s="11" t="n"/>
    </row>
    <row r="48" ht="22" customHeight="1">
      <c r="B48" s="15">
        <f>IF(C48="","SAV-"&amp;TEXT(COUNTA($C$5:C48),"000"))</f>
        <v/>
      </c>
      <c r="C48" s="13" t="n"/>
      <c r="D48" s="13" t="n"/>
      <c r="E48" s="13" t="n"/>
      <c r="F48" s="27" t="n"/>
      <c r="G48" s="18" t="n"/>
      <c r="H48" s="24" t="n"/>
      <c r="I48" s="13" t="n"/>
      <c r="J48" s="13" t="n"/>
    </row>
    <row r="49" ht="22" customHeight="1">
      <c r="B49" s="16">
        <f>IF(C49="","SAV-"&amp;TEXT(COUNTA($C$5:C49),"000"))</f>
        <v/>
      </c>
      <c r="C49" s="11" t="n"/>
      <c r="D49" s="11" t="n"/>
      <c r="E49" s="11" t="n"/>
      <c r="F49" s="26" t="n"/>
      <c r="G49" s="17" t="n"/>
      <c r="H49" s="22" t="n"/>
      <c r="I49" s="11" t="n"/>
      <c r="J49" s="11" t="n"/>
    </row>
    <row r="50" ht="22" customHeight="1">
      <c r="B50" s="15">
        <f>IF(C50="","SAV-"&amp;TEXT(COUNTA($C$5:C50),"000"))</f>
        <v/>
      </c>
      <c r="C50" s="13" t="n"/>
      <c r="D50" s="13" t="n"/>
      <c r="E50" s="13" t="n"/>
      <c r="F50" s="27" t="n"/>
      <c r="G50" s="18" t="n"/>
      <c r="H50" s="24" t="n"/>
      <c r="I50" s="13" t="n"/>
      <c r="J50" s="13" t="n"/>
    </row>
    <row r="51" ht="22" customHeight="1">
      <c r="B51" s="16">
        <f>IF(C51="","SAV-"&amp;TEXT(COUNTA($C$5:C51),"000"))</f>
        <v/>
      </c>
      <c r="C51" s="11" t="n"/>
      <c r="D51" s="11" t="n"/>
      <c r="E51" s="11" t="n"/>
      <c r="F51" s="26" t="n"/>
      <c r="G51" s="17" t="n"/>
      <c r="H51" s="22" t="n"/>
      <c r="I51" s="11" t="n"/>
      <c r="J51" s="11" t="n"/>
    </row>
    <row r="52" ht="22" customHeight="1">
      <c r="B52" s="15">
        <f>IF(C52="","SAV-"&amp;TEXT(COUNTA($C$5:C52),"000"))</f>
        <v/>
      </c>
      <c r="C52" s="13" t="n"/>
      <c r="D52" s="13" t="n"/>
      <c r="E52" s="13" t="n"/>
      <c r="F52" s="27" t="n"/>
      <c r="G52" s="18" t="n"/>
      <c r="H52" s="24" t="n"/>
      <c r="I52" s="13" t="n"/>
      <c r="J52" s="13" t="n"/>
    </row>
    <row r="53" ht="22" customHeight="1">
      <c r="B53" s="16">
        <f>IF(C53="","SAV-"&amp;TEXT(COUNTA($C$5:C53),"000"))</f>
        <v/>
      </c>
      <c r="C53" s="11" t="n"/>
      <c r="D53" s="11" t="n"/>
      <c r="E53" s="11" t="n"/>
      <c r="F53" s="26" t="n"/>
      <c r="G53" s="17" t="n"/>
      <c r="H53" s="22" t="n"/>
      <c r="I53" s="11" t="n"/>
      <c r="J53" s="11" t="n"/>
    </row>
    <row r="54" ht="22" customHeight="1">
      <c r="B54" s="15">
        <f>IF(C54="","SAV-"&amp;TEXT(COUNTA($C$5:C54),"000"))</f>
        <v/>
      </c>
      <c r="C54" s="13" t="n"/>
      <c r="D54" s="13" t="n"/>
      <c r="E54" s="13" t="n"/>
      <c r="F54" s="27" t="n"/>
      <c r="G54" s="18" t="n"/>
      <c r="H54" s="24" t="n"/>
      <c r="I54" s="13" t="n"/>
      <c r="J54" s="13" t="n"/>
    </row>
    <row r="55" ht="22" customHeight="1">
      <c r="B55" s="16">
        <f>IF(C55="","SAV-"&amp;TEXT(COUNTA($C$5:C55),"000"))</f>
        <v/>
      </c>
      <c r="C55" s="11" t="n"/>
      <c r="D55" s="11" t="n"/>
      <c r="E55" s="11" t="n"/>
      <c r="F55" s="26" t="n"/>
      <c r="G55" s="17" t="n"/>
      <c r="H55" s="22" t="n"/>
      <c r="I55" s="11" t="n"/>
      <c r="J55" s="11" t="n"/>
    </row>
    <row r="56" ht="22" customHeight="1">
      <c r="B56" s="15">
        <f>IF(C56="","SAV-"&amp;TEXT(COUNTA($C$5:C56),"000"))</f>
        <v/>
      </c>
      <c r="C56" s="13" t="n"/>
      <c r="D56" s="13" t="n"/>
      <c r="E56" s="13" t="n"/>
      <c r="F56" s="27" t="n"/>
      <c r="G56" s="18" t="n"/>
      <c r="H56" s="24" t="n"/>
      <c r="I56" s="13" t="n"/>
      <c r="J56" s="13" t="n"/>
    </row>
    <row r="57" ht="22" customHeight="1">
      <c r="B57" s="16">
        <f>IF(C57="","SAV-"&amp;TEXT(COUNTA($C$5:C57),"000"))</f>
        <v/>
      </c>
      <c r="C57" s="11" t="n"/>
      <c r="D57" s="11" t="n"/>
      <c r="E57" s="11" t="n"/>
      <c r="F57" s="26" t="n"/>
      <c r="G57" s="17" t="n"/>
      <c r="H57" s="22" t="n"/>
      <c r="I57" s="11" t="n"/>
      <c r="J57" s="11" t="n"/>
    </row>
    <row r="58" ht="22" customHeight="1">
      <c r="B58" s="15">
        <f>IF(C58="","SAV-"&amp;TEXT(COUNTA($C$5:C58),"000"))</f>
        <v/>
      </c>
      <c r="C58" s="13" t="n"/>
      <c r="D58" s="13" t="n"/>
      <c r="E58" s="13" t="n"/>
      <c r="F58" s="27" t="n"/>
      <c r="G58" s="18" t="n"/>
      <c r="H58" s="24" t="n"/>
      <c r="I58" s="13" t="n"/>
      <c r="J58" s="13" t="n"/>
    </row>
    <row r="59" ht="22" customHeight="1">
      <c r="B59" s="16">
        <f>IF(C59="","SAV-"&amp;TEXT(COUNTA($C$5:C59),"000"))</f>
        <v/>
      </c>
      <c r="C59" s="11" t="n"/>
      <c r="D59" s="11" t="n"/>
      <c r="E59" s="11" t="n"/>
      <c r="F59" s="26" t="n"/>
      <c r="G59" s="17" t="n"/>
      <c r="H59" s="22" t="n"/>
      <c r="I59" s="11" t="n"/>
      <c r="J59" s="11" t="n"/>
    </row>
    <row r="60" ht="22" customHeight="1">
      <c r="B60" s="15">
        <f>IF(C60="","SAV-"&amp;TEXT(COUNTA($C$5:C60),"000"))</f>
        <v/>
      </c>
      <c r="C60" s="13" t="n"/>
      <c r="D60" s="13" t="n"/>
      <c r="E60" s="13" t="n"/>
      <c r="F60" s="27" t="n"/>
      <c r="G60" s="18" t="n"/>
      <c r="H60" s="24" t="n"/>
      <c r="I60" s="13" t="n"/>
      <c r="J60" s="13" t="n"/>
    </row>
    <row r="61" ht="22" customHeight="1">
      <c r="B61" s="16">
        <f>IF(C61="","SAV-"&amp;TEXT(COUNTA($C$5:C61),"000"))</f>
        <v/>
      </c>
      <c r="C61" s="11" t="n"/>
      <c r="D61" s="11" t="n"/>
      <c r="E61" s="11" t="n"/>
      <c r="F61" s="26" t="n"/>
      <c r="G61" s="17" t="n"/>
      <c r="H61" s="22" t="n"/>
      <c r="I61" s="11" t="n"/>
      <c r="J61" s="11" t="n"/>
    </row>
    <row r="62" ht="22" customHeight="1">
      <c r="B62" s="15">
        <f>IF(C62="","SAV-"&amp;TEXT(COUNTA($C$5:C62),"000"))</f>
        <v/>
      </c>
      <c r="C62" s="13" t="n"/>
      <c r="D62" s="13" t="n"/>
      <c r="E62" s="13" t="n"/>
      <c r="F62" s="27" t="n"/>
      <c r="G62" s="18" t="n"/>
      <c r="H62" s="24" t="n"/>
      <c r="I62" s="13" t="n"/>
      <c r="J62" s="13" t="n"/>
    </row>
    <row r="63" ht="22" customHeight="1">
      <c r="B63" s="16">
        <f>IF(C63="","SAV-"&amp;TEXT(COUNTA($C$5:C63),"000"))</f>
        <v/>
      </c>
      <c r="C63" s="11" t="n"/>
      <c r="D63" s="11" t="n"/>
      <c r="E63" s="11" t="n"/>
      <c r="F63" s="26" t="n"/>
      <c r="G63" s="17" t="n"/>
      <c r="H63" s="22" t="n"/>
      <c r="I63" s="11" t="n"/>
      <c r="J63" s="11" t="n"/>
    </row>
    <row r="64" ht="22" customHeight="1">
      <c r="B64" s="15">
        <f>IF(C64="","SAV-"&amp;TEXT(COUNTA($C$5:C64),"000"))</f>
        <v/>
      </c>
      <c r="C64" s="13" t="n"/>
      <c r="D64" s="13" t="n"/>
      <c r="E64" s="13" t="n"/>
      <c r="F64" s="27" t="n"/>
      <c r="G64" s="18" t="n"/>
      <c r="H64" s="24" t="n"/>
      <c r="I64" s="13" t="n"/>
      <c r="J64" s="13" t="n"/>
    </row>
    <row r="65" ht="22" customHeight="1">
      <c r="B65" s="16">
        <f>IF(C65="","SAV-"&amp;TEXT(COUNTA($C$5:C65),"000"))</f>
        <v/>
      </c>
      <c r="C65" s="11" t="n"/>
      <c r="D65" s="11" t="n"/>
      <c r="E65" s="11" t="n"/>
      <c r="F65" s="26" t="n"/>
      <c r="G65" s="17" t="n"/>
      <c r="H65" s="22" t="n"/>
      <c r="I65" s="11" t="n"/>
      <c r="J65" s="11" t="n"/>
    </row>
    <row r="66" ht="22" customHeight="1">
      <c r="B66" s="15">
        <f>IF(C66="","SAV-"&amp;TEXT(COUNTA($C$5:C66),"000"))</f>
        <v/>
      </c>
      <c r="C66" s="13" t="n"/>
      <c r="D66" s="13" t="n"/>
      <c r="E66" s="13" t="n"/>
      <c r="F66" s="27" t="n"/>
      <c r="G66" s="18" t="n"/>
      <c r="H66" s="24" t="n"/>
      <c r="I66" s="13" t="n"/>
      <c r="J66" s="13" t="n"/>
    </row>
    <row r="67" ht="22" customHeight="1">
      <c r="B67" s="16">
        <f>IF(C67="","SAV-"&amp;TEXT(COUNTA($C$5:C67),"000"))</f>
        <v/>
      </c>
      <c r="C67" s="11" t="n"/>
      <c r="D67" s="11" t="n"/>
      <c r="E67" s="11" t="n"/>
      <c r="F67" s="26" t="n"/>
      <c r="G67" s="17" t="n"/>
      <c r="H67" s="22" t="n"/>
      <c r="I67" s="11" t="n"/>
      <c r="J67" s="11" t="n"/>
    </row>
    <row r="68" ht="22" customHeight="1">
      <c r="B68" s="15">
        <f>IF(C68="","SAV-"&amp;TEXT(COUNTA($C$5:C68),"000"))</f>
        <v/>
      </c>
      <c r="C68" s="13" t="n"/>
      <c r="D68" s="13" t="n"/>
      <c r="E68" s="13" t="n"/>
      <c r="F68" s="27" t="n"/>
      <c r="G68" s="18" t="n"/>
      <c r="H68" s="24" t="n"/>
      <c r="I68" s="13" t="n"/>
      <c r="J68" s="13" t="n"/>
    </row>
    <row r="69" ht="22" customHeight="1">
      <c r="B69" s="16">
        <f>IF(C69="","SAV-"&amp;TEXT(COUNTA($C$5:C69),"000"))</f>
        <v/>
      </c>
      <c r="C69" s="11" t="n"/>
      <c r="D69" s="11" t="n"/>
      <c r="E69" s="11" t="n"/>
      <c r="F69" s="26" t="n"/>
      <c r="G69" s="17" t="n"/>
      <c r="H69" s="22" t="n"/>
      <c r="I69" s="11" t="n"/>
      <c r="J69" s="11" t="n"/>
    </row>
    <row r="70" ht="22" customHeight="1">
      <c r="B70" s="15">
        <f>IF(C70="","SAV-"&amp;TEXT(COUNTA($C$5:C70),"000"))</f>
        <v/>
      </c>
      <c r="C70" s="13" t="n"/>
      <c r="D70" s="13" t="n"/>
      <c r="E70" s="13" t="n"/>
      <c r="F70" s="27" t="n"/>
      <c r="G70" s="18" t="n"/>
      <c r="H70" s="24" t="n"/>
      <c r="I70" s="13" t="n"/>
      <c r="J70" s="13" t="n"/>
    </row>
    <row r="71" ht="22" customHeight="1">
      <c r="B71" s="16">
        <f>IF(C71="","SAV-"&amp;TEXT(COUNTA($C$5:C71),"000"))</f>
        <v/>
      </c>
      <c r="C71" s="11" t="n"/>
      <c r="D71" s="11" t="n"/>
      <c r="E71" s="11" t="n"/>
      <c r="F71" s="26" t="n"/>
      <c r="G71" s="17" t="n"/>
      <c r="H71" s="22" t="n"/>
      <c r="I71" s="11" t="n"/>
      <c r="J71" s="11" t="n"/>
    </row>
    <row r="72" ht="22" customHeight="1">
      <c r="B72" s="15">
        <f>IF(C72="","SAV-"&amp;TEXT(COUNTA($C$5:C72),"000"))</f>
        <v/>
      </c>
      <c r="C72" s="13" t="n"/>
      <c r="D72" s="13" t="n"/>
      <c r="E72" s="13" t="n"/>
      <c r="F72" s="27" t="n"/>
      <c r="G72" s="18" t="n"/>
      <c r="H72" s="24" t="n"/>
      <c r="I72" s="13" t="n"/>
      <c r="J72" s="13" t="n"/>
    </row>
    <row r="73" ht="22" customHeight="1">
      <c r="B73" s="16">
        <f>IF(C73="","SAV-"&amp;TEXT(COUNTA($C$5:C73),"000"))</f>
        <v/>
      </c>
      <c r="C73" s="11" t="n"/>
      <c r="D73" s="11" t="n"/>
      <c r="E73" s="11" t="n"/>
      <c r="F73" s="26" t="n"/>
      <c r="G73" s="17" t="n"/>
      <c r="H73" s="22" t="n"/>
      <c r="I73" s="11" t="n"/>
      <c r="J73" s="11" t="n"/>
    </row>
    <row r="74" ht="22" customHeight="1">
      <c r="B74" s="15">
        <f>IF(C74="","SAV-"&amp;TEXT(COUNTA($C$5:C74),"000"))</f>
        <v/>
      </c>
      <c r="C74" s="13" t="n"/>
      <c r="D74" s="13" t="n"/>
      <c r="E74" s="13" t="n"/>
      <c r="F74" s="27" t="n"/>
      <c r="G74" s="18" t="n"/>
      <c r="H74" s="24" t="n"/>
      <c r="I74" s="13" t="n"/>
      <c r="J74" s="13" t="n"/>
    </row>
    <row r="75" ht="22" customHeight="1">
      <c r="B75" s="16">
        <f>IF(C75="","SAV-"&amp;TEXT(COUNTA($C$5:C75),"000"))</f>
        <v/>
      </c>
      <c r="C75" s="11" t="n"/>
      <c r="D75" s="11" t="n"/>
      <c r="E75" s="11" t="n"/>
      <c r="F75" s="26" t="n"/>
      <c r="G75" s="17" t="n"/>
      <c r="H75" s="22" t="n"/>
      <c r="I75" s="11" t="n"/>
      <c r="J75" s="11" t="n"/>
    </row>
    <row r="76" ht="22" customHeight="1">
      <c r="B76" s="15">
        <f>IF(C76="","SAV-"&amp;TEXT(COUNTA($C$5:C76),"000"))</f>
        <v/>
      </c>
      <c r="C76" s="13" t="n"/>
      <c r="D76" s="13" t="n"/>
      <c r="E76" s="13" t="n"/>
      <c r="F76" s="27" t="n"/>
      <c r="G76" s="18" t="n"/>
      <c r="H76" s="24" t="n"/>
      <c r="I76" s="13" t="n"/>
      <c r="J76" s="13" t="n"/>
    </row>
    <row r="77" ht="22" customHeight="1">
      <c r="B77" s="16">
        <f>IF(C77="","SAV-"&amp;TEXT(COUNTA($C$5:C77),"000"))</f>
        <v/>
      </c>
      <c r="C77" s="11" t="n"/>
      <c r="D77" s="11" t="n"/>
      <c r="E77" s="11" t="n"/>
      <c r="F77" s="26" t="n"/>
      <c r="G77" s="17" t="n"/>
      <c r="H77" s="22" t="n"/>
      <c r="I77" s="11" t="n"/>
      <c r="J77" s="11" t="n"/>
    </row>
    <row r="78" ht="22" customHeight="1">
      <c r="B78" s="15">
        <f>IF(C78="","SAV-"&amp;TEXT(COUNTA($C$5:C78),"000"))</f>
        <v/>
      </c>
      <c r="C78" s="13" t="n"/>
      <c r="D78" s="13" t="n"/>
      <c r="E78" s="13" t="n"/>
      <c r="F78" s="27" t="n"/>
      <c r="G78" s="18" t="n"/>
      <c r="H78" s="24" t="n"/>
      <c r="I78" s="13" t="n"/>
      <c r="J78" s="13" t="n"/>
    </row>
    <row r="79" ht="22" customHeight="1">
      <c r="B79" s="16">
        <f>IF(C79="","SAV-"&amp;TEXT(COUNTA($C$5:C79),"000"))</f>
        <v/>
      </c>
      <c r="C79" s="11" t="n"/>
      <c r="D79" s="11" t="n"/>
      <c r="E79" s="11" t="n"/>
      <c r="F79" s="26" t="n"/>
      <c r="G79" s="17" t="n"/>
      <c r="H79" s="22" t="n"/>
      <c r="I79" s="11" t="n"/>
      <c r="J79" s="11" t="n"/>
    </row>
    <row r="80" ht="22" customHeight="1">
      <c r="B80" s="15">
        <f>IF(C80="","SAV-"&amp;TEXT(COUNTA($C$5:C80),"000"))</f>
        <v/>
      </c>
      <c r="C80" s="13" t="n"/>
      <c r="D80" s="13" t="n"/>
      <c r="E80" s="13" t="n"/>
      <c r="F80" s="27" t="n"/>
      <c r="G80" s="18" t="n"/>
      <c r="H80" s="24" t="n"/>
      <c r="I80" s="13" t="n"/>
      <c r="J80" s="13" t="n"/>
    </row>
    <row r="81" ht="22" customHeight="1">
      <c r="B81" s="16">
        <f>IF(C81="","SAV-"&amp;TEXT(COUNTA($C$5:C81),"000"))</f>
        <v/>
      </c>
      <c r="C81" s="11" t="n"/>
      <c r="D81" s="11" t="n"/>
      <c r="E81" s="11" t="n"/>
      <c r="F81" s="26" t="n"/>
      <c r="G81" s="17" t="n"/>
      <c r="H81" s="22" t="n"/>
      <c r="I81" s="11" t="n"/>
      <c r="J81" s="11" t="n"/>
    </row>
    <row r="82" ht="22" customHeight="1">
      <c r="B82" s="15">
        <f>IF(C82="","SAV-"&amp;TEXT(COUNTA($C$5:C82),"000"))</f>
        <v/>
      </c>
      <c r="C82" s="13" t="n"/>
      <c r="D82" s="13" t="n"/>
      <c r="E82" s="13" t="n"/>
      <c r="F82" s="27" t="n"/>
      <c r="G82" s="18" t="n"/>
      <c r="H82" s="24" t="n"/>
      <c r="I82" s="13" t="n"/>
      <c r="J82" s="13" t="n"/>
    </row>
    <row r="83" ht="22" customHeight="1">
      <c r="B83" s="16">
        <f>IF(C83="","SAV-"&amp;TEXT(COUNTA($C$5:C83),"000"))</f>
        <v/>
      </c>
      <c r="C83" s="11" t="n"/>
      <c r="D83" s="11" t="n"/>
      <c r="E83" s="11" t="n"/>
      <c r="F83" s="26" t="n"/>
      <c r="G83" s="17" t="n"/>
      <c r="H83" s="22" t="n"/>
      <c r="I83" s="11" t="n"/>
      <c r="J83" s="11" t="n"/>
    </row>
    <row r="84" ht="22" customHeight="1">
      <c r="B84" s="15">
        <f>IF(C84="","SAV-"&amp;TEXT(COUNTA($C$5:C84),"000"))</f>
        <v/>
      </c>
      <c r="C84" s="13" t="n"/>
      <c r="D84" s="13" t="n"/>
      <c r="E84" s="13" t="n"/>
      <c r="F84" s="27" t="n"/>
      <c r="G84" s="18" t="n"/>
      <c r="H84" s="24" t="n"/>
      <c r="I84" s="13" t="n"/>
      <c r="J84" s="13" t="n"/>
    </row>
    <row r="85" ht="22" customHeight="1">
      <c r="B85" s="16">
        <f>IF(C85="","SAV-"&amp;TEXT(COUNTA($C$5:C85),"000"))</f>
        <v/>
      </c>
      <c r="C85" s="11" t="n"/>
      <c r="D85" s="11" t="n"/>
      <c r="E85" s="11" t="n"/>
      <c r="F85" s="26" t="n"/>
      <c r="G85" s="17" t="n"/>
      <c r="H85" s="22" t="n"/>
      <c r="I85" s="11" t="n"/>
      <c r="J85" s="11" t="n"/>
    </row>
    <row r="86" ht="22" customHeight="1">
      <c r="B86" s="15">
        <f>IF(C86="","SAV-"&amp;TEXT(COUNTA($C$5:C86),"000"))</f>
        <v/>
      </c>
      <c r="C86" s="13" t="n"/>
      <c r="D86" s="13" t="n"/>
      <c r="E86" s="13" t="n"/>
      <c r="F86" s="27" t="n"/>
      <c r="G86" s="18" t="n"/>
      <c r="H86" s="24" t="n"/>
      <c r="I86" s="13" t="n"/>
      <c r="J86" s="13" t="n"/>
    </row>
    <row r="87" ht="22" customHeight="1">
      <c r="B87" s="16">
        <f>IF(C87="","SAV-"&amp;TEXT(COUNTA($C$5:C87),"000"))</f>
        <v/>
      </c>
      <c r="C87" s="11" t="n"/>
      <c r="D87" s="11" t="n"/>
      <c r="E87" s="11" t="n"/>
      <c r="F87" s="26" t="n"/>
      <c r="G87" s="17" t="n"/>
      <c r="H87" s="22" t="n"/>
      <c r="I87" s="11" t="n"/>
      <c r="J87" s="11" t="n"/>
    </row>
    <row r="88" ht="22" customHeight="1">
      <c r="B88" s="15">
        <f>IF(C88="","SAV-"&amp;TEXT(COUNTA($C$5:C88),"000"))</f>
        <v/>
      </c>
      <c r="C88" s="13" t="n"/>
      <c r="D88" s="13" t="n"/>
      <c r="E88" s="13" t="n"/>
      <c r="F88" s="27" t="n"/>
      <c r="G88" s="18" t="n"/>
      <c r="H88" s="24" t="n"/>
      <c r="I88" s="13" t="n"/>
      <c r="J88" s="13" t="n"/>
    </row>
    <row r="89" ht="22" customHeight="1">
      <c r="B89" s="16">
        <f>IF(C89="","SAV-"&amp;TEXT(COUNTA($C$5:C89),"000"))</f>
        <v/>
      </c>
      <c r="C89" s="11" t="n"/>
      <c r="D89" s="11" t="n"/>
      <c r="E89" s="11" t="n"/>
      <c r="F89" s="26" t="n"/>
      <c r="G89" s="17" t="n"/>
      <c r="H89" s="22" t="n"/>
      <c r="I89" s="11" t="n"/>
      <c r="J89" s="11" t="n"/>
    </row>
    <row r="90" ht="22" customHeight="1">
      <c r="B90" s="15">
        <f>IF(C90="","SAV-"&amp;TEXT(COUNTA($C$5:C90),"000"))</f>
        <v/>
      </c>
      <c r="C90" s="13" t="n"/>
      <c r="D90" s="13" t="n"/>
      <c r="E90" s="13" t="n"/>
      <c r="F90" s="27" t="n"/>
      <c r="G90" s="18" t="n"/>
      <c r="H90" s="24" t="n"/>
      <c r="I90" s="13" t="n"/>
      <c r="J90" s="13" t="n"/>
    </row>
    <row r="91" ht="22" customHeight="1">
      <c r="B91" s="16">
        <f>IF(C91="","SAV-"&amp;TEXT(COUNTA($C$5:C91),"000"))</f>
        <v/>
      </c>
      <c r="C91" s="11" t="n"/>
      <c r="D91" s="11" t="n"/>
      <c r="E91" s="11" t="n"/>
      <c r="F91" s="26" t="n"/>
      <c r="G91" s="17" t="n"/>
      <c r="H91" s="22" t="n"/>
      <c r="I91" s="11" t="n"/>
      <c r="J91" s="11" t="n"/>
    </row>
    <row r="92" ht="22" customHeight="1">
      <c r="B92" s="15">
        <f>IF(C92="","SAV-"&amp;TEXT(COUNTA($C$5:C92),"000"))</f>
        <v/>
      </c>
      <c r="C92" s="13" t="n"/>
      <c r="D92" s="13" t="n"/>
      <c r="E92" s="13" t="n"/>
      <c r="F92" s="27" t="n"/>
      <c r="G92" s="18" t="n"/>
      <c r="H92" s="24" t="n"/>
      <c r="I92" s="13" t="n"/>
      <c r="J92" s="13" t="n"/>
    </row>
    <row r="93" ht="22" customHeight="1">
      <c r="B93" s="16">
        <f>IF(C93="","SAV-"&amp;TEXT(COUNTA($C$5:C93),"000"))</f>
        <v/>
      </c>
      <c r="C93" s="11" t="n"/>
      <c r="D93" s="11" t="n"/>
      <c r="E93" s="11" t="n"/>
      <c r="F93" s="26" t="n"/>
      <c r="G93" s="17" t="n"/>
      <c r="H93" s="22" t="n"/>
      <c r="I93" s="11" t="n"/>
      <c r="J93" s="11" t="n"/>
    </row>
    <row r="94" ht="22" customHeight="1">
      <c r="B94" s="15">
        <f>IF(C94="","SAV-"&amp;TEXT(COUNTA($C$5:C94),"000"))</f>
        <v/>
      </c>
      <c r="C94" s="13" t="n"/>
      <c r="D94" s="13" t="n"/>
      <c r="E94" s="13" t="n"/>
      <c r="F94" s="27" t="n"/>
      <c r="G94" s="18" t="n"/>
      <c r="H94" s="24" t="n"/>
      <c r="I94" s="13" t="n"/>
      <c r="J94" s="13" t="n"/>
    </row>
    <row r="95" ht="22" customHeight="1">
      <c r="B95" s="16">
        <f>IF(C95="","SAV-"&amp;TEXT(COUNTA($C$5:C95),"000"))</f>
        <v/>
      </c>
      <c r="C95" s="11" t="n"/>
      <c r="D95" s="11" t="n"/>
      <c r="E95" s="11" t="n"/>
      <c r="F95" s="26" t="n"/>
      <c r="G95" s="17" t="n"/>
      <c r="H95" s="22" t="n"/>
      <c r="I95" s="11" t="n"/>
      <c r="J95" s="11" t="n"/>
    </row>
    <row r="96" ht="22" customHeight="1">
      <c r="B96" s="15">
        <f>IF(C96="","SAV-"&amp;TEXT(COUNTA($C$5:C96),"000"))</f>
        <v/>
      </c>
      <c r="C96" s="13" t="n"/>
      <c r="D96" s="13" t="n"/>
      <c r="E96" s="13" t="n"/>
      <c r="F96" s="27" t="n"/>
      <c r="G96" s="18" t="n"/>
      <c r="H96" s="24" t="n"/>
      <c r="I96" s="13" t="n"/>
      <c r="J96" s="13" t="n"/>
    </row>
    <row r="97" ht="22" customHeight="1">
      <c r="B97" s="16">
        <f>IF(C97="","SAV-"&amp;TEXT(COUNTA($C$5:C97),"000"))</f>
        <v/>
      </c>
      <c r="C97" s="11" t="n"/>
      <c r="D97" s="11" t="n"/>
      <c r="E97" s="11" t="n"/>
      <c r="F97" s="26" t="n"/>
      <c r="G97" s="17" t="n"/>
      <c r="H97" s="22" t="n"/>
      <c r="I97" s="11" t="n"/>
      <c r="J97" s="11" t="n"/>
    </row>
    <row r="98" ht="22" customHeight="1">
      <c r="B98" s="15">
        <f>IF(C98="","SAV-"&amp;TEXT(COUNTA($C$5:C98),"000"))</f>
        <v/>
      </c>
      <c r="C98" s="13" t="n"/>
      <c r="D98" s="13" t="n"/>
      <c r="E98" s="13" t="n"/>
      <c r="F98" s="27" t="n"/>
      <c r="G98" s="18" t="n"/>
      <c r="H98" s="24" t="n"/>
      <c r="I98" s="13" t="n"/>
      <c r="J98" s="13" t="n"/>
    </row>
    <row r="99" ht="22" customHeight="1">
      <c r="B99" s="16">
        <f>IF(C99="","SAV-"&amp;TEXT(COUNTA($C$5:C99),"000"))</f>
        <v/>
      </c>
      <c r="C99" s="11" t="n"/>
      <c r="D99" s="11" t="n"/>
      <c r="E99" s="11" t="n"/>
      <c r="F99" s="26" t="n"/>
      <c r="G99" s="17" t="n"/>
      <c r="H99" s="22" t="n"/>
      <c r="I99" s="11" t="n"/>
      <c r="J99" s="11" t="n"/>
    </row>
    <row r="100" ht="22" customHeight="1">
      <c r="B100" s="15">
        <f>IF(C100="","SAV-"&amp;TEXT(COUNTA($C$5:C100),"000"))</f>
        <v/>
      </c>
      <c r="C100" s="13" t="n"/>
      <c r="D100" s="13" t="n"/>
      <c r="E100" s="13" t="n"/>
      <c r="F100" s="27" t="n"/>
      <c r="G100" s="18" t="n"/>
      <c r="H100" s="24" t="n"/>
      <c r="I100" s="13" t="n"/>
      <c r="J100" s="13" t="n"/>
    </row>
    <row r="101" ht="22" customHeight="1">
      <c r="B101" s="16">
        <f>IF(C101="","SAV-"&amp;TEXT(COUNTA($C$5:C101),"000"))</f>
        <v/>
      </c>
      <c r="C101" s="11" t="n"/>
      <c r="D101" s="11" t="n"/>
      <c r="E101" s="11" t="n"/>
      <c r="F101" s="26" t="n"/>
      <c r="G101" s="17" t="n"/>
      <c r="H101" s="22" t="n"/>
      <c r="I101" s="11" t="n"/>
      <c r="J101" s="11" t="n"/>
    </row>
    <row r="102" ht="22" customHeight="1">
      <c r="B102" s="15">
        <f>IF(C102="","SAV-"&amp;TEXT(COUNTA($C$5:C102),"000"))</f>
        <v/>
      </c>
      <c r="C102" s="13" t="n"/>
      <c r="D102" s="13" t="n"/>
      <c r="E102" s="13" t="n"/>
      <c r="F102" s="27" t="n"/>
      <c r="G102" s="18" t="n"/>
      <c r="H102" s="24" t="n"/>
      <c r="I102" s="13" t="n"/>
      <c r="J102" s="13" t="n"/>
    </row>
    <row r="103" ht="22" customHeight="1">
      <c r="B103" s="16">
        <f>IF(C103="","SAV-"&amp;TEXT(COUNTA($C$5:C103),"000"))</f>
        <v/>
      </c>
      <c r="C103" s="11" t="n"/>
      <c r="D103" s="11" t="n"/>
      <c r="E103" s="11" t="n"/>
      <c r="F103" s="26" t="n"/>
      <c r="G103" s="17" t="n"/>
      <c r="H103" s="22" t="n"/>
      <c r="I103" s="11" t="n"/>
      <c r="J103" s="11" t="n"/>
    </row>
    <row r="104" ht="22" customHeight="1">
      <c r="B104" s="15">
        <f>IF(C104="","SAV-"&amp;TEXT(COUNTA($C$5:C104),"000"))</f>
        <v/>
      </c>
      <c r="C104" s="13" t="n"/>
      <c r="D104" s="13" t="n"/>
      <c r="E104" s="13" t="n"/>
      <c r="F104" s="27" t="n"/>
      <c r="G104" s="18" t="n"/>
      <c r="H104" s="24" t="n"/>
      <c r="I104" s="13" t="n"/>
      <c r="J104" s="13" t="n"/>
    </row>
    <row r="105" ht="22" customHeight="1">
      <c r="B105" s="16">
        <f>IF(C105="","SAV-"&amp;TEXT(COUNTA($C$5:C105),"000"))</f>
        <v/>
      </c>
      <c r="C105" s="11" t="n"/>
      <c r="D105" s="11" t="n"/>
      <c r="E105" s="11" t="n"/>
      <c r="F105" s="26" t="n"/>
      <c r="G105" s="17" t="n"/>
      <c r="H105" s="22" t="n"/>
      <c r="I105" s="11" t="n"/>
      <c r="J105" s="11" t="n"/>
    </row>
    <row r="106" ht="22" customHeight="1">
      <c r="B106" s="15">
        <f>IF(C106="","SAV-"&amp;TEXT(COUNTA($C$5:C106),"000"))</f>
        <v/>
      </c>
      <c r="C106" s="13" t="n"/>
      <c r="D106" s="13" t="n"/>
      <c r="E106" s="13" t="n"/>
      <c r="F106" s="27" t="n"/>
      <c r="G106" s="18" t="n"/>
      <c r="H106" s="24" t="n"/>
      <c r="I106" s="13" t="n"/>
      <c r="J106" s="13" t="n"/>
    </row>
    <row r="107" ht="22" customHeight="1">
      <c r="B107" s="16">
        <f>IF(C107="","SAV-"&amp;TEXT(COUNTA($C$5:C107),"000"))</f>
        <v/>
      </c>
      <c r="C107" s="11" t="n"/>
      <c r="D107" s="11" t="n"/>
      <c r="E107" s="11" t="n"/>
      <c r="F107" s="26" t="n"/>
      <c r="G107" s="17" t="n"/>
      <c r="H107" s="22" t="n"/>
      <c r="I107" s="11" t="n"/>
      <c r="J107" s="11" t="n"/>
    </row>
    <row r="108" ht="22" customHeight="1">
      <c r="B108" s="15">
        <f>IF(C108="","SAV-"&amp;TEXT(COUNTA($C$5:C108),"000"))</f>
        <v/>
      </c>
      <c r="C108" s="13" t="n"/>
      <c r="D108" s="13" t="n"/>
      <c r="E108" s="13" t="n"/>
      <c r="F108" s="27" t="n"/>
      <c r="G108" s="18" t="n"/>
      <c r="H108" s="24" t="n"/>
      <c r="I108" s="13" t="n"/>
      <c r="J108" s="13" t="n"/>
    </row>
    <row r="109" ht="22" customHeight="1">
      <c r="B109" s="16">
        <f>IF(C109="","SAV-"&amp;TEXT(COUNTA($C$5:C109),"000"))</f>
        <v/>
      </c>
      <c r="C109" s="11" t="n"/>
      <c r="D109" s="11" t="n"/>
      <c r="E109" s="11" t="n"/>
      <c r="F109" s="26" t="n"/>
      <c r="G109" s="17" t="n"/>
      <c r="H109" s="22" t="n"/>
      <c r="I109" s="11" t="n"/>
      <c r="J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0" t="n"/>
      <c r="G111" s="21">
        <f>SUM(G5:G104)</f>
        <v/>
      </c>
      <c r="H111" s="20" t="n"/>
      <c r="I111" s="20" t="n"/>
      <c r="J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Avenants total</t>
        </is>
      </c>
      <c r="D114" s="3" t="inlineStr">
        <is>
          <t>Impact salarial total</t>
        </is>
      </c>
      <c r="F114" s="3" t="inlineStr">
        <is>
          <t>Delai moyen (j)</t>
        </is>
      </c>
    </row>
    <row r="115">
      <c r="B115" s="4">
        <f>COUNTIF(B5:B104,"&lt;&gt;")</f>
        <v/>
      </c>
      <c r="D115" s="4">
        <f>SUM(G5:G104)</f>
        <v/>
      </c>
      <c r="F115" s="4">
        <f>IFERROR(AVERAGE(H5:H104),0)</f>
        <v/>
      </c>
    </row>
  </sheetData>
  <mergeCells count="3">
    <mergeCell ref="B113:J113"/>
    <mergeCell ref="B3:J3"/>
    <mergeCell ref="B2:J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'_Lists'!$F$2:$F$8</formula1>
    </dataValidation>
    <dataValidation sqref="J5:J109" showDropDown="0" showInputMessage="0" showErrorMessage="0" allowBlank="1" errorTitle="Erreur" error="Valeur invalide" promptTitle="Liste" prompt="Choisir dans la liste" type="list">
      <formula1>'_Lists'!$E$2:$E$6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4" customWidth="1" min="4" max="4"/>
    <col width="10" customWidth="1" min="5" max="5"/>
    <col width="18" customWidth="1" min="6" max="6"/>
    <col width="34" customWidth="1" min="7" max="7"/>
    <col width="24" customWidth="1" min="8" max="8"/>
    <col width="36" customWidth="1" min="9" max="9"/>
    <col width="14" customWidth="1" min="10" max="10"/>
  </cols>
  <sheetData>
    <row r="1" ht="15" customHeight="1"/>
    <row r="2" ht="32" customHeight="1">
      <c r="B2" s="1" t="inlineStr">
        <is>
          <t>ANALYSE COÛTS NON-CONFORMITÉ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Type de Coût</t>
        </is>
      </c>
      <c r="D4" s="10" t="inlineStr">
        <is>
          <t>Mois</t>
        </is>
      </c>
      <c r="E4" s="10" t="inlineStr">
        <is>
          <t>Annee</t>
        </is>
      </c>
      <c r="F4" s="10" t="inlineStr">
        <is>
          <t>Montant (FCFA)</t>
        </is>
      </c>
      <c r="G4" s="10" t="inlineStr">
        <is>
          <t>Origine</t>
        </is>
      </c>
      <c r="H4" s="10" t="inlineStr">
        <is>
          <t>Departement Concerne</t>
        </is>
      </c>
      <c r="I4" s="10" t="inlineStr">
        <is>
          <t>Action Corrective</t>
        </is>
      </c>
      <c r="J4" s="10" t="inlineStr">
        <is>
          <t>Statut</t>
        </is>
      </c>
    </row>
    <row r="5" ht="22" customHeight="1">
      <c r="B5" s="11" t="inlineStr">
        <is>
          <t>ACN-001</t>
        </is>
      </c>
      <c r="C5" s="11" t="inlineStr">
        <is>
          <t>Penalites retard CNPS</t>
        </is>
      </c>
      <c r="D5" s="11" t="inlineStr">
        <is>
          <t>Fevrier</t>
        </is>
      </c>
      <c r="E5" s="11" t="inlineStr">
        <is>
          <t>2025</t>
        </is>
      </c>
      <c r="F5" s="17" t="n">
        <v>45000</v>
      </c>
      <c r="G5" s="11" t="inlineStr">
        <is>
          <t>Retard declaration fevrier</t>
        </is>
      </c>
      <c r="H5" s="11" t="inlineStr">
        <is>
          <t>Finance &amp; Comptabilité</t>
        </is>
      </c>
      <c r="I5" s="11" t="inlineStr">
        <is>
          <t>Echeancier automatique mis en place</t>
        </is>
      </c>
      <c r="J5" s="11" t="inlineStr">
        <is>
          <t>Resolu</t>
        </is>
      </c>
    </row>
    <row r="6" ht="22" customHeight="1">
      <c r="B6" s="13" t="inlineStr">
        <is>
          <t>ACN-002</t>
        </is>
      </c>
      <c r="C6" s="13" t="inlineStr">
        <is>
          <t>Honoraires avocat</t>
        </is>
      </c>
      <c r="D6" s="13" t="inlineStr">
        <is>
          <t>Mai</t>
        </is>
      </c>
      <c r="E6" s="13" t="inlineStr">
        <is>
          <t>2025</t>
        </is>
      </c>
      <c r="F6" s="18" t="n">
        <v>200000</v>
      </c>
      <c r="G6" s="13" t="inlineStr">
        <is>
          <t>Litige Tchouanku</t>
        </is>
      </c>
      <c r="H6" s="13" t="inlineStr">
        <is>
          <t>Réception &amp; Front Office</t>
        </is>
      </c>
      <c r="I6" s="13" t="inlineStr">
        <is>
          <t>Dossier en cours de defense</t>
        </is>
      </c>
      <c r="J6" s="13" t="inlineStr">
        <is>
          <t>En cours</t>
        </is>
      </c>
    </row>
    <row r="7" ht="22" customHeight="1">
      <c r="B7" s="11" t="inlineStr">
        <is>
          <t>ACN-003</t>
        </is>
      </c>
      <c r="C7" s="11" t="inlineStr">
        <is>
          <t>Formation mise en conformite</t>
        </is>
      </c>
      <c r="D7" s="11" t="inlineStr">
        <is>
          <t>Mars</t>
        </is>
      </c>
      <c r="E7" s="11" t="inlineStr">
        <is>
          <t>2025</t>
        </is>
      </c>
      <c r="F7" s="17" t="n">
        <v>350000</v>
      </c>
      <c r="G7" s="11" t="inlineStr">
        <is>
          <t>Arrete hygiene restauration</t>
        </is>
      </c>
      <c r="H7" s="11" t="inlineStr">
        <is>
          <t>Cuisine &amp; Restauration</t>
        </is>
      </c>
      <c r="I7" s="11" t="inlineStr">
        <is>
          <t>Formation HACCP niveau 3 planifiee</t>
        </is>
      </c>
      <c r="J7" s="11" t="inlineStr">
        <is>
          <t>En cours</t>
        </is>
      </c>
    </row>
    <row r="8" ht="22" customHeight="1">
      <c r="B8" s="13" t="inlineStr">
        <is>
          <t>ACN-004</t>
        </is>
      </c>
      <c r="C8" s="13" t="inlineStr">
        <is>
          <t>Regularisation contrats</t>
        </is>
      </c>
      <c r="D8" s="13" t="inlineStr">
        <is>
          <t>Avril</t>
        </is>
      </c>
      <c r="E8" s="13" t="inlineStr">
        <is>
          <t>2025</t>
        </is>
      </c>
      <c r="F8" s="18" t="n">
        <v>50000</v>
      </c>
      <c r="G8" s="13" t="inlineStr">
        <is>
          <t>Circulaire contrat ecrit CDD</t>
        </is>
      </c>
      <c r="H8" s="13" t="inlineStr">
        <is>
          <t>Service Client</t>
        </is>
      </c>
      <c r="I8" s="13" t="inlineStr">
        <is>
          <t>Redaction avenants en cours</t>
        </is>
      </c>
      <c r="J8" s="13" t="inlineStr">
        <is>
          <t>En cours</t>
        </is>
      </c>
    </row>
    <row r="9" ht="22" customHeight="1">
      <c r="B9" s="11" t="inlineStr">
        <is>
          <t>ACN-005</t>
        </is>
      </c>
      <c r="C9" s="11" t="inlineStr">
        <is>
          <t>Penalites retard CNPS</t>
        </is>
      </c>
      <c r="D9" s="11" t="inlineStr">
        <is>
          <t>Mai</t>
        </is>
      </c>
      <c r="E9" s="11" t="inlineStr">
        <is>
          <t>2025</t>
        </is>
      </c>
      <c r="F9" s="17" t="n">
        <v>50000</v>
      </c>
      <c r="G9" s="11" t="inlineStr">
        <is>
          <t>Retard declaration mai</t>
        </is>
      </c>
      <c r="H9" s="11" t="inlineStr">
        <is>
          <t>Finance &amp; Comptabilité</t>
        </is>
      </c>
      <c r="I9" s="11" t="inlineStr">
        <is>
          <t>Processus de controle renforce</t>
        </is>
      </c>
      <c r="J9" s="11" t="inlineStr">
        <is>
          <t>En cours</t>
        </is>
      </c>
    </row>
    <row r="10" ht="22" customHeight="1">
      <c r="B10" s="15">
        <f>IF(C10="","ACN-"&amp;TEXT(COUNTA($C$5:C10),"000"))</f>
        <v/>
      </c>
      <c r="C10" s="13" t="n"/>
      <c r="D10" s="13" t="n"/>
      <c r="E10" s="13" t="n"/>
      <c r="F10" s="18" t="n"/>
      <c r="G10" s="13" t="n"/>
      <c r="H10" s="13" t="n"/>
      <c r="I10" s="13" t="n"/>
      <c r="J10" s="13" t="n"/>
    </row>
    <row r="11" ht="22" customHeight="1">
      <c r="B11" s="16">
        <f>IF(C11="","ACN-"&amp;TEXT(COUNTA($C$5:C11),"000"))</f>
        <v/>
      </c>
      <c r="C11" s="11" t="n"/>
      <c r="D11" s="11" t="n"/>
      <c r="E11" s="11" t="n"/>
      <c r="F11" s="17" t="n"/>
      <c r="G11" s="11" t="n"/>
      <c r="H11" s="11" t="n"/>
      <c r="I11" s="11" t="n"/>
      <c r="J11" s="11" t="n"/>
    </row>
    <row r="12" ht="22" customHeight="1">
      <c r="B12" s="15">
        <f>IF(C12="","ACN-"&amp;TEXT(COUNTA($C$5:C12),"000"))</f>
        <v/>
      </c>
      <c r="C12" s="13" t="n"/>
      <c r="D12" s="13" t="n"/>
      <c r="E12" s="13" t="n"/>
      <c r="F12" s="18" t="n"/>
      <c r="G12" s="13" t="n"/>
      <c r="H12" s="13" t="n"/>
      <c r="I12" s="13" t="n"/>
      <c r="J12" s="13" t="n"/>
    </row>
    <row r="13" ht="22" customHeight="1">
      <c r="B13" s="16">
        <f>IF(C13="","ACN-"&amp;TEXT(COUNTA($C$5:C13),"000"))</f>
        <v/>
      </c>
      <c r="C13" s="11" t="n"/>
      <c r="D13" s="11" t="n"/>
      <c r="E13" s="11" t="n"/>
      <c r="F13" s="17" t="n"/>
      <c r="G13" s="11" t="n"/>
      <c r="H13" s="11" t="n"/>
      <c r="I13" s="11" t="n"/>
      <c r="J13" s="11" t="n"/>
    </row>
    <row r="14" ht="22" customHeight="1">
      <c r="B14" s="15">
        <f>IF(C14="","ACN-"&amp;TEXT(COUNTA($C$5:C14),"000"))</f>
        <v/>
      </c>
      <c r="C14" s="13" t="n"/>
      <c r="D14" s="13" t="n"/>
      <c r="E14" s="13" t="n"/>
      <c r="F14" s="18" t="n"/>
      <c r="G14" s="13" t="n"/>
      <c r="H14" s="13" t="n"/>
      <c r="I14" s="13" t="n"/>
      <c r="J14" s="13" t="n"/>
    </row>
    <row r="15" ht="22" customHeight="1">
      <c r="B15" s="16">
        <f>IF(C15="","ACN-"&amp;TEXT(COUNTA($C$5:C15),"000"))</f>
        <v/>
      </c>
      <c r="C15" s="11" t="n"/>
      <c r="D15" s="11" t="n"/>
      <c r="E15" s="11" t="n"/>
      <c r="F15" s="17" t="n"/>
      <c r="G15" s="11" t="n"/>
      <c r="H15" s="11" t="n"/>
      <c r="I15" s="11" t="n"/>
      <c r="J15" s="11" t="n"/>
    </row>
    <row r="16" ht="22" customHeight="1">
      <c r="B16" s="15">
        <f>IF(C16="","ACN-"&amp;TEXT(COUNTA($C$5:C16),"000"))</f>
        <v/>
      </c>
      <c r="C16" s="13" t="n"/>
      <c r="D16" s="13" t="n"/>
      <c r="E16" s="13" t="n"/>
      <c r="F16" s="18" t="n"/>
      <c r="G16" s="13" t="n"/>
      <c r="H16" s="13" t="n"/>
      <c r="I16" s="13" t="n"/>
      <c r="J16" s="13" t="n"/>
    </row>
    <row r="17" ht="22" customHeight="1">
      <c r="B17" s="16">
        <f>IF(C17="","ACN-"&amp;TEXT(COUNTA($C$5:C17),"000"))</f>
        <v/>
      </c>
      <c r="C17" s="11" t="n"/>
      <c r="D17" s="11" t="n"/>
      <c r="E17" s="11" t="n"/>
      <c r="F17" s="17" t="n"/>
      <c r="G17" s="11" t="n"/>
      <c r="H17" s="11" t="n"/>
      <c r="I17" s="11" t="n"/>
      <c r="J17" s="11" t="n"/>
    </row>
    <row r="18" ht="22" customHeight="1">
      <c r="B18" s="15">
        <f>IF(C18="","ACN-"&amp;TEXT(COUNTA($C$5:C18),"000"))</f>
        <v/>
      </c>
      <c r="C18" s="13" t="n"/>
      <c r="D18" s="13" t="n"/>
      <c r="E18" s="13" t="n"/>
      <c r="F18" s="18" t="n"/>
      <c r="G18" s="13" t="n"/>
      <c r="H18" s="13" t="n"/>
      <c r="I18" s="13" t="n"/>
      <c r="J18" s="13" t="n"/>
    </row>
    <row r="19" ht="22" customHeight="1">
      <c r="B19" s="16">
        <f>IF(C19="","ACN-"&amp;TEXT(COUNTA($C$5:C19),"000"))</f>
        <v/>
      </c>
      <c r="C19" s="11" t="n"/>
      <c r="D19" s="11" t="n"/>
      <c r="E19" s="11" t="n"/>
      <c r="F19" s="17" t="n"/>
      <c r="G19" s="11" t="n"/>
      <c r="H19" s="11" t="n"/>
      <c r="I19" s="11" t="n"/>
      <c r="J19" s="11" t="n"/>
    </row>
    <row r="20" ht="22" customHeight="1">
      <c r="B20" s="15">
        <f>IF(C20="","ACN-"&amp;TEXT(COUNTA($C$5:C20),"000"))</f>
        <v/>
      </c>
      <c r="C20" s="13" t="n"/>
      <c r="D20" s="13" t="n"/>
      <c r="E20" s="13" t="n"/>
      <c r="F20" s="18" t="n"/>
      <c r="G20" s="13" t="n"/>
      <c r="H20" s="13" t="n"/>
      <c r="I20" s="13" t="n"/>
      <c r="J20" s="13" t="n"/>
    </row>
    <row r="21" ht="22" customHeight="1">
      <c r="B21" s="16">
        <f>IF(C21="","ACN-"&amp;TEXT(COUNTA($C$5:C21),"000"))</f>
        <v/>
      </c>
      <c r="C21" s="11" t="n"/>
      <c r="D21" s="11" t="n"/>
      <c r="E21" s="11" t="n"/>
      <c r="F21" s="17" t="n"/>
      <c r="G21" s="11" t="n"/>
      <c r="H21" s="11" t="n"/>
      <c r="I21" s="11" t="n"/>
      <c r="J21" s="11" t="n"/>
    </row>
    <row r="22" ht="22" customHeight="1">
      <c r="B22" s="15">
        <f>IF(C22="","ACN-"&amp;TEXT(COUNTA($C$5:C22),"000"))</f>
        <v/>
      </c>
      <c r="C22" s="13" t="n"/>
      <c r="D22" s="13" t="n"/>
      <c r="E22" s="13" t="n"/>
      <c r="F22" s="18" t="n"/>
      <c r="G22" s="13" t="n"/>
      <c r="H22" s="13" t="n"/>
      <c r="I22" s="13" t="n"/>
      <c r="J22" s="13" t="n"/>
    </row>
    <row r="23" ht="22" customHeight="1">
      <c r="B23" s="16">
        <f>IF(C23="","ACN-"&amp;TEXT(COUNTA($C$5:C23),"000"))</f>
        <v/>
      </c>
      <c r="C23" s="11" t="n"/>
      <c r="D23" s="11" t="n"/>
      <c r="E23" s="11" t="n"/>
      <c r="F23" s="17" t="n"/>
      <c r="G23" s="11" t="n"/>
      <c r="H23" s="11" t="n"/>
      <c r="I23" s="11" t="n"/>
      <c r="J23" s="11" t="n"/>
    </row>
    <row r="24" ht="22" customHeight="1">
      <c r="B24" s="15">
        <f>IF(C24="","ACN-"&amp;TEXT(COUNTA($C$5:C24),"000"))</f>
        <v/>
      </c>
      <c r="C24" s="13" t="n"/>
      <c r="D24" s="13" t="n"/>
      <c r="E24" s="13" t="n"/>
      <c r="F24" s="18" t="n"/>
      <c r="G24" s="13" t="n"/>
      <c r="H24" s="13" t="n"/>
      <c r="I24" s="13" t="n"/>
      <c r="J24" s="13" t="n"/>
    </row>
    <row r="25" ht="22" customHeight="1">
      <c r="B25" s="16">
        <f>IF(C25="","ACN-"&amp;TEXT(COUNTA($C$5:C25),"000"))</f>
        <v/>
      </c>
      <c r="C25" s="11" t="n"/>
      <c r="D25" s="11" t="n"/>
      <c r="E25" s="11" t="n"/>
      <c r="F25" s="17" t="n"/>
      <c r="G25" s="11" t="n"/>
      <c r="H25" s="11" t="n"/>
      <c r="I25" s="11" t="n"/>
      <c r="J25" s="11" t="n"/>
    </row>
    <row r="26" ht="22" customHeight="1">
      <c r="B26" s="15">
        <f>IF(C26="","ACN-"&amp;TEXT(COUNTA($C$5:C26),"000"))</f>
        <v/>
      </c>
      <c r="C26" s="13" t="n"/>
      <c r="D26" s="13" t="n"/>
      <c r="E26" s="13" t="n"/>
      <c r="F26" s="18" t="n"/>
      <c r="G26" s="13" t="n"/>
      <c r="H26" s="13" t="n"/>
      <c r="I26" s="13" t="n"/>
      <c r="J26" s="13" t="n"/>
    </row>
    <row r="27" ht="22" customHeight="1">
      <c r="B27" s="16">
        <f>IF(C27="","ACN-"&amp;TEXT(COUNTA($C$5:C27),"000"))</f>
        <v/>
      </c>
      <c r="C27" s="11" t="n"/>
      <c r="D27" s="11" t="n"/>
      <c r="E27" s="11" t="n"/>
      <c r="F27" s="17" t="n"/>
      <c r="G27" s="11" t="n"/>
      <c r="H27" s="11" t="n"/>
      <c r="I27" s="11" t="n"/>
      <c r="J27" s="11" t="n"/>
    </row>
    <row r="28" ht="22" customHeight="1">
      <c r="B28" s="15">
        <f>IF(C28="","ACN-"&amp;TEXT(COUNTA($C$5:C28),"000"))</f>
        <v/>
      </c>
      <c r="C28" s="13" t="n"/>
      <c r="D28" s="13" t="n"/>
      <c r="E28" s="13" t="n"/>
      <c r="F28" s="18" t="n"/>
      <c r="G28" s="13" t="n"/>
      <c r="H28" s="13" t="n"/>
      <c r="I28" s="13" t="n"/>
      <c r="J28" s="13" t="n"/>
    </row>
    <row r="29" ht="22" customHeight="1">
      <c r="B29" s="16">
        <f>IF(C29="","ACN-"&amp;TEXT(COUNTA($C$5:C29),"000"))</f>
        <v/>
      </c>
      <c r="C29" s="11" t="n"/>
      <c r="D29" s="11" t="n"/>
      <c r="E29" s="11" t="n"/>
      <c r="F29" s="17" t="n"/>
      <c r="G29" s="11" t="n"/>
      <c r="H29" s="11" t="n"/>
      <c r="I29" s="11" t="n"/>
      <c r="J29" s="11" t="n"/>
    </row>
    <row r="30" ht="22" customHeight="1">
      <c r="B30" s="15">
        <f>IF(C30="","ACN-"&amp;TEXT(COUNTA($C$5:C30),"000"))</f>
        <v/>
      </c>
      <c r="C30" s="13" t="n"/>
      <c r="D30" s="13" t="n"/>
      <c r="E30" s="13" t="n"/>
      <c r="F30" s="18" t="n"/>
      <c r="G30" s="13" t="n"/>
      <c r="H30" s="13" t="n"/>
      <c r="I30" s="13" t="n"/>
      <c r="J30" s="13" t="n"/>
    </row>
    <row r="31" ht="22" customHeight="1">
      <c r="B31" s="16">
        <f>IF(C31="","ACN-"&amp;TEXT(COUNTA($C$5:C31),"000"))</f>
        <v/>
      </c>
      <c r="C31" s="11" t="n"/>
      <c r="D31" s="11" t="n"/>
      <c r="E31" s="11" t="n"/>
      <c r="F31" s="17" t="n"/>
      <c r="G31" s="11" t="n"/>
      <c r="H31" s="11" t="n"/>
      <c r="I31" s="11" t="n"/>
      <c r="J31" s="11" t="n"/>
    </row>
    <row r="32" ht="22" customHeight="1">
      <c r="B32" s="15">
        <f>IF(C32="","ACN-"&amp;TEXT(COUNTA($C$5:C32),"000"))</f>
        <v/>
      </c>
      <c r="C32" s="13" t="n"/>
      <c r="D32" s="13" t="n"/>
      <c r="E32" s="13" t="n"/>
      <c r="F32" s="18" t="n"/>
      <c r="G32" s="13" t="n"/>
      <c r="H32" s="13" t="n"/>
      <c r="I32" s="13" t="n"/>
      <c r="J32" s="13" t="n"/>
    </row>
    <row r="33" ht="22" customHeight="1">
      <c r="B33" s="16">
        <f>IF(C33="","ACN-"&amp;TEXT(COUNTA($C$5:C33),"000"))</f>
        <v/>
      </c>
      <c r="C33" s="11" t="n"/>
      <c r="D33" s="11" t="n"/>
      <c r="E33" s="11" t="n"/>
      <c r="F33" s="17" t="n"/>
      <c r="G33" s="11" t="n"/>
      <c r="H33" s="11" t="n"/>
      <c r="I33" s="11" t="n"/>
      <c r="J33" s="11" t="n"/>
    </row>
    <row r="34" ht="22" customHeight="1">
      <c r="B34" s="15">
        <f>IF(C34="","ACN-"&amp;TEXT(COUNTA($C$5:C34),"000"))</f>
        <v/>
      </c>
      <c r="C34" s="13" t="n"/>
      <c r="D34" s="13" t="n"/>
      <c r="E34" s="13" t="n"/>
      <c r="F34" s="18" t="n"/>
      <c r="G34" s="13" t="n"/>
      <c r="H34" s="13" t="n"/>
      <c r="I34" s="13" t="n"/>
      <c r="J34" s="13" t="n"/>
    </row>
    <row r="35" ht="22" customHeight="1">
      <c r="B35" s="16">
        <f>IF(C35="","ACN-"&amp;TEXT(COUNTA($C$5:C35),"000"))</f>
        <v/>
      </c>
      <c r="C35" s="11" t="n"/>
      <c r="D35" s="11" t="n"/>
      <c r="E35" s="11" t="n"/>
      <c r="F35" s="17" t="n"/>
      <c r="G35" s="11" t="n"/>
      <c r="H35" s="11" t="n"/>
      <c r="I35" s="11" t="n"/>
      <c r="J35" s="11" t="n"/>
    </row>
    <row r="36" ht="22" customHeight="1">
      <c r="B36" s="15">
        <f>IF(C36="","ACN-"&amp;TEXT(COUNTA($C$5:C36),"000"))</f>
        <v/>
      </c>
      <c r="C36" s="13" t="n"/>
      <c r="D36" s="13" t="n"/>
      <c r="E36" s="13" t="n"/>
      <c r="F36" s="18" t="n"/>
      <c r="G36" s="13" t="n"/>
      <c r="H36" s="13" t="n"/>
      <c r="I36" s="13" t="n"/>
      <c r="J36" s="13" t="n"/>
    </row>
    <row r="37" ht="22" customHeight="1">
      <c r="B37" s="16">
        <f>IF(C37="","ACN-"&amp;TEXT(COUNTA($C$5:C37),"000"))</f>
        <v/>
      </c>
      <c r="C37" s="11" t="n"/>
      <c r="D37" s="11" t="n"/>
      <c r="E37" s="11" t="n"/>
      <c r="F37" s="17" t="n"/>
      <c r="G37" s="11" t="n"/>
      <c r="H37" s="11" t="n"/>
      <c r="I37" s="11" t="n"/>
      <c r="J37" s="11" t="n"/>
    </row>
    <row r="38" ht="22" customHeight="1">
      <c r="B38" s="15">
        <f>IF(C38="","ACN-"&amp;TEXT(COUNTA($C$5:C38),"000"))</f>
        <v/>
      </c>
      <c r="C38" s="13" t="n"/>
      <c r="D38" s="13" t="n"/>
      <c r="E38" s="13" t="n"/>
      <c r="F38" s="18" t="n"/>
      <c r="G38" s="13" t="n"/>
      <c r="H38" s="13" t="n"/>
      <c r="I38" s="13" t="n"/>
      <c r="J38" s="13" t="n"/>
    </row>
    <row r="39" ht="22" customHeight="1">
      <c r="B39" s="16">
        <f>IF(C39="","ACN-"&amp;TEXT(COUNTA($C$5:C39),"000"))</f>
        <v/>
      </c>
      <c r="C39" s="11" t="n"/>
      <c r="D39" s="11" t="n"/>
      <c r="E39" s="11" t="n"/>
      <c r="F39" s="17" t="n"/>
      <c r="G39" s="11" t="n"/>
      <c r="H39" s="11" t="n"/>
      <c r="I39" s="11" t="n"/>
      <c r="J39" s="11" t="n"/>
    </row>
    <row r="40" ht="22" customHeight="1">
      <c r="B40" s="15">
        <f>IF(C40="","ACN-"&amp;TEXT(COUNTA($C$5:C40),"000"))</f>
        <v/>
      </c>
      <c r="C40" s="13" t="n"/>
      <c r="D40" s="13" t="n"/>
      <c r="E40" s="13" t="n"/>
      <c r="F40" s="18" t="n"/>
      <c r="G40" s="13" t="n"/>
      <c r="H40" s="13" t="n"/>
      <c r="I40" s="13" t="n"/>
      <c r="J40" s="13" t="n"/>
    </row>
    <row r="41" ht="22" customHeight="1">
      <c r="B41" s="16">
        <f>IF(C41="","ACN-"&amp;TEXT(COUNTA($C$5:C41),"000"))</f>
        <v/>
      </c>
      <c r="C41" s="11" t="n"/>
      <c r="D41" s="11" t="n"/>
      <c r="E41" s="11" t="n"/>
      <c r="F41" s="17" t="n"/>
      <c r="G41" s="11" t="n"/>
      <c r="H41" s="11" t="n"/>
      <c r="I41" s="11" t="n"/>
      <c r="J41" s="11" t="n"/>
    </row>
    <row r="42" ht="22" customHeight="1">
      <c r="B42" s="15">
        <f>IF(C42="","ACN-"&amp;TEXT(COUNTA($C$5:C42),"000"))</f>
        <v/>
      </c>
      <c r="C42" s="13" t="n"/>
      <c r="D42" s="13" t="n"/>
      <c r="E42" s="13" t="n"/>
      <c r="F42" s="18" t="n"/>
      <c r="G42" s="13" t="n"/>
      <c r="H42" s="13" t="n"/>
      <c r="I42" s="13" t="n"/>
      <c r="J42" s="13" t="n"/>
    </row>
    <row r="43" ht="22" customHeight="1">
      <c r="B43" s="16">
        <f>IF(C43="","ACN-"&amp;TEXT(COUNTA($C$5:C43),"000"))</f>
        <v/>
      </c>
      <c r="C43" s="11" t="n"/>
      <c r="D43" s="11" t="n"/>
      <c r="E43" s="11" t="n"/>
      <c r="F43" s="17" t="n"/>
      <c r="G43" s="11" t="n"/>
      <c r="H43" s="11" t="n"/>
      <c r="I43" s="11" t="n"/>
      <c r="J43" s="11" t="n"/>
    </row>
    <row r="44" ht="22" customHeight="1">
      <c r="B44" s="15">
        <f>IF(C44="","ACN-"&amp;TEXT(COUNTA($C$5:C44),"000"))</f>
        <v/>
      </c>
      <c r="C44" s="13" t="n"/>
      <c r="D44" s="13" t="n"/>
      <c r="E44" s="13" t="n"/>
      <c r="F44" s="18" t="n"/>
      <c r="G44" s="13" t="n"/>
      <c r="H44" s="13" t="n"/>
      <c r="I44" s="13" t="n"/>
      <c r="J44" s="13" t="n"/>
    </row>
    <row r="45" ht="22" customHeight="1">
      <c r="B45" s="16">
        <f>IF(C45="","ACN-"&amp;TEXT(COUNTA($C$5:C45),"000"))</f>
        <v/>
      </c>
      <c r="C45" s="11" t="n"/>
      <c r="D45" s="11" t="n"/>
      <c r="E45" s="11" t="n"/>
      <c r="F45" s="17" t="n"/>
      <c r="G45" s="11" t="n"/>
      <c r="H45" s="11" t="n"/>
      <c r="I45" s="11" t="n"/>
      <c r="J45" s="11" t="n"/>
    </row>
    <row r="46" ht="22" customHeight="1">
      <c r="B46" s="15">
        <f>IF(C46="","ACN-"&amp;TEXT(COUNTA($C$5:C46),"000"))</f>
        <v/>
      </c>
      <c r="C46" s="13" t="n"/>
      <c r="D46" s="13" t="n"/>
      <c r="E46" s="13" t="n"/>
      <c r="F46" s="18" t="n"/>
      <c r="G46" s="13" t="n"/>
      <c r="H46" s="13" t="n"/>
      <c r="I46" s="13" t="n"/>
      <c r="J46" s="13" t="n"/>
    </row>
    <row r="47" ht="22" customHeight="1">
      <c r="B47" s="16">
        <f>IF(C47="","ACN-"&amp;TEXT(COUNTA($C$5:C47),"000"))</f>
        <v/>
      </c>
      <c r="C47" s="11" t="n"/>
      <c r="D47" s="11" t="n"/>
      <c r="E47" s="11" t="n"/>
      <c r="F47" s="17" t="n"/>
      <c r="G47" s="11" t="n"/>
      <c r="H47" s="11" t="n"/>
      <c r="I47" s="11" t="n"/>
      <c r="J47" s="11" t="n"/>
    </row>
    <row r="48" ht="22" customHeight="1">
      <c r="B48" s="15">
        <f>IF(C48="","ACN-"&amp;TEXT(COUNTA($C$5:C48),"000"))</f>
        <v/>
      </c>
      <c r="C48" s="13" t="n"/>
      <c r="D48" s="13" t="n"/>
      <c r="E48" s="13" t="n"/>
      <c r="F48" s="18" t="n"/>
      <c r="G48" s="13" t="n"/>
      <c r="H48" s="13" t="n"/>
      <c r="I48" s="13" t="n"/>
      <c r="J48" s="13" t="n"/>
    </row>
    <row r="49" ht="22" customHeight="1">
      <c r="B49" s="16">
        <f>IF(C49="","ACN-"&amp;TEXT(COUNTA($C$5:C49),"000"))</f>
        <v/>
      </c>
      <c r="C49" s="11" t="n"/>
      <c r="D49" s="11" t="n"/>
      <c r="E49" s="11" t="n"/>
      <c r="F49" s="17" t="n"/>
      <c r="G49" s="11" t="n"/>
      <c r="H49" s="11" t="n"/>
      <c r="I49" s="11" t="n"/>
      <c r="J49" s="11" t="n"/>
    </row>
    <row r="50" ht="22" customHeight="1">
      <c r="B50" s="15">
        <f>IF(C50="","ACN-"&amp;TEXT(COUNTA($C$5:C50),"000"))</f>
        <v/>
      </c>
      <c r="C50" s="13" t="n"/>
      <c r="D50" s="13" t="n"/>
      <c r="E50" s="13" t="n"/>
      <c r="F50" s="18" t="n"/>
      <c r="G50" s="13" t="n"/>
      <c r="H50" s="13" t="n"/>
      <c r="I50" s="13" t="n"/>
      <c r="J50" s="13" t="n"/>
    </row>
    <row r="51" ht="22" customHeight="1">
      <c r="B51" s="16">
        <f>IF(C51="","ACN-"&amp;TEXT(COUNTA($C$5:C51),"000"))</f>
        <v/>
      </c>
      <c r="C51" s="11" t="n"/>
      <c r="D51" s="11" t="n"/>
      <c r="E51" s="11" t="n"/>
      <c r="F51" s="17" t="n"/>
      <c r="G51" s="11" t="n"/>
      <c r="H51" s="11" t="n"/>
      <c r="I51" s="11" t="n"/>
      <c r="J51" s="11" t="n"/>
    </row>
    <row r="52" ht="22" customHeight="1">
      <c r="B52" s="15">
        <f>IF(C52="","ACN-"&amp;TEXT(COUNTA($C$5:C52),"000"))</f>
        <v/>
      </c>
      <c r="C52" s="13" t="n"/>
      <c r="D52" s="13" t="n"/>
      <c r="E52" s="13" t="n"/>
      <c r="F52" s="18" t="n"/>
      <c r="G52" s="13" t="n"/>
      <c r="H52" s="13" t="n"/>
      <c r="I52" s="13" t="n"/>
      <c r="J52" s="13" t="n"/>
    </row>
    <row r="53" ht="22" customHeight="1">
      <c r="B53" s="16">
        <f>IF(C53="","ACN-"&amp;TEXT(COUNTA($C$5:C53),"000"))</f>
        <v/>
      </c>
      <c r="C53" s="11" t="n"/>
      <c r="D53" s="11" t="n"/>
      <c r="E53" s="11" t="n"/>
      <c r="F53" s="17" t="n"/>
      <c r="G53" s="11" t="n"/>
      <c r="H53" s="11" t="n"/>
      <c r="I53" s="11" t="n"/>
      <c r="J53" s="11" t="n"/>
    </row>
    <row r="54" ht="22" customHeight="1">
      <c r="B54" s="15">
        <f>IF(C54="","ACN-"&amp;TEXT(COUNTA($C$5:C54),"000"))</f>
        <v/>
      </c>
      <c r="C54" s="13" t="n"/>
      <c r="D54" s="13" t="n"/>
      <c r="E54" s="13" t="n"/>
      <c r="F54" s="18" t="n"/>
      <c r="G54" s="13" t="n"/>
      <c r="H54" s="13" t="n"/>
      <c r="I54" s="13" t="n"/>
      <c r="J54" s="13" t="n"/>
    </row>
    <row r="55" ht="22" customHeight="1">
      <c r="B55" s="16">
        <f>IF(C55="","ACN-"&amp;TEXT(COUNTA($C$5:C55),"000"))</f>
        <v/>
      </c>
      <c r="C55" s="11" t="n"/>
      <c r="D55" s="11" t="n"/>
      <c r="E55" s="11" t="n"/>
      <c r="F55" s="17" t="n"/>
      <c r="G55" s="11" t="n"/>
      <c r="H55" s="11" t="n"/>
      <c r="I55" s="11" t="n"/>
      <c r="J55" s="11" t="n"/>
    </row>
    <row r="56" ht="22" customHeight="1">
      <c r="B56" s="15">
        <f>IF(C56="","ACN-"&amp;TEXT(COUNTA($C$5:C56),"000"))</f>
        <v/>
      </c>
      <c r="C56" s="13" t="n"/>
      <c r="D56" s="13" t="n"/>
      <c r="E56" s="13" t="n"/>
      <c r="F56" s="18" t="n"/>
      <c r="G56" s="13" t="n"/>
      <c r="H56" s="13" t="n"/>
      <c r="I56" s="13" t="n"/>
      <c r="J56" s="13" t="n"/>
    </row>
    <row r="57" ht="22" customHeight="1">
      <c r="B57" s="16">
        <f>IF(C57="","ACN-"&amp;TEXT(COUNTA($C$5:C57),"000"))</f>
        <v/>
      </c>
      <c r="C57" s="11" t="n"/>
      <c r="D57" s="11" t="n"/>
      <c r="E57" s="11" t="n"/>
      <c r="F57" s="17" t="n"/>
      <c r="G57" s="11" t="n"/>
      <c r="H57" s="11" t="n"/>
      <c r="I57" s="11" t="n"/>
      <c r="J57" s="11" t="n"/>
    </row>
    <row r="58" ht="22" customHeight="1">
      <c r="B58" s="15">
        <f>IF(C58="","ACN-"&amp;TEXT(COUNTA($C$5:C58),"000"))</f>
        <v/>
      </c>
      <c r="C58" s="13" t="n"/>
      <c r="D58" s="13" t="n"/>
      <c r="E58" s="13" t="n"/>
      <c r="F58" s="18" t="n"/>
      <c r="G58" s="13" t="n"/>
      <c r="H58" s="13" t="n"/>
      <c r="I58" s="13" t="n"/>
      <c r="J58" s="13" t="n"/>
    </row>
    <row r="59" ht="22" customHeight="1">
      <c r="B59" s="16">
        <f>IF(C59="","ACN-"&amp;TEXT(COUNTA($C$5:C59),"000"))</f>
        <v/>
      </c>
      <c r="C59" s="11" t="n"/>
      <c r="D59" s="11" t="n"/>
      <c r="E59" s="11" t="n"/>
      <c r="F59" s="17" t="n"/>
      <c r="G59" s="11" t="n"/>
      <c r="H59" s="11" t="n"/>
      <c r="I59" s="11" t="n"/>
      <c r="J59" s="11" t="n"/>
    </row>
    <row r="60" ht="22" customHeight="1">
      <c r="B60" s="15">
        <f>IF(C60="","ACN-"&amp;TEXT(COUNTA($C$5:C60),"000"))</f>
        <v/>
      </c>
      <c r="C60" s="13" t="n"/>
      <c r="D60" s="13" t="n"/>
      <c r="E60" s="13" t="n"/>
      <c r="F60" s="18" t="n"/>
      <c r="G60" s="13" t="n"/>
      <c r="H60" s="13" t="n"/>
      <c r="I60" s="13" t="n"/>
      <c r="J60" s="13" t="n"/>
    </row>
    <row r="61" ht="22" customHeight="1">
      <c r="B61" s="16">
        <f>IF(C61="","ACN-"&amp;TEXT(COUNTA($C$5:C61),"000"))</f>
        <v/>
      </c>
      <c r="C61" s="11" t="n"/>
      <c r="D61" s="11" t="n"/>
      <c r="E61" s="11" t="n"/>
      <c r="F61" s="17" t="n"/>
      <c r="G61" s="11" t="n"/>
      <c r="H61" s="11" t="n"/>
      <c r="I61" s="11" t="n"/>
      <c r="J61" s="11" t="n"/>
    </row>
    <row r="62" ht="22" customHeight="1">
      <c r="B62" s="15">
        <f>IF(C62="","ACN-"&amp;TEXT(COUNTA($C$5:C62),"000"))</f>
        <v/>
      </c>
      <c r="C62" s="13" t="n"/>
      <c r="D62" s="13" t="n"/>
      <c r="E62" s="13" t="n"/>
      <c r="F62" s="18" t="n"/>
      <c r="G62" s="13" t="n"/>
      <c r="H62" s="13" t="n"/>
      <c r="I62" s="13" t="n"/>
      <c r="J62" s="13" t="n"/>
    </row>
    <row r="63" ht="22" customHeight="1">
      <c r="B63" s="16">
        <f>IF(C63="","ACN-"&amp;TEXT(COUNTA($C$5:C63),"000"))</f>
        <v/>
      </c>
      <c r="C63" s="11" t="n"/>
      <c r="D63" s="11" t="n"/>
      <c r="E63" s="11" t="n"/>
      <c r="F63" s="17" t="n"/>
      <c r="G63" s="11" t="n"/>
      <c r="H63" s="11" t="n"/>
      <c r="I63" s="11" t="n"/>
      <c r="J63" s="11" t="n"/>
    </row>
    <row r="64" ht="22" customHeight="1">
      <c r="B64" s="15">
        <f>IF(C64="","ACN-"&amp;TEXT(COUNTA($C$5:C64),"000"))</f>
        <v/>
      </c>
      <c r="C64" s="13" t="n"/>
      <c r="D64" s="13" t="n"/>
      <c r="E64" s="13" t="n"/>
      <c r="F64" s="18" t="n"/>
      <c r="G64" s="13" t="n"/>
      <c r="H64" s="13" t="n"/>
      <c r="I64" s="13" t="n"/>
      <c r="J64" s="13" t="n"/>
    </row>
    <row r="65" ht="22" customHeight="1">
      <c r="B65" s="16">
        <f>IF(C65="","ACN-"&amp;TEXT(COUNTA($C$5:C65),"000"))</f>
        <v/>
      </c>
      <c r="C65" s="11" t="n"/>
      <c r="D65" s="11" t="n"/>
      <c r="E65" s="11" t="n"/>
      <c r="F65" s="17" t="n"/>
      <c r="G65" s="11" t="n"/>
      <c r="H65" s="11" t="n"/>
      <c r="I65" s="11" t="n"/>
      <c r="J65" s="11" t="n"/>
    </row>
    <row r="66" ht="22" customHeight="1">
      <c r="B66" s="15">
        <f>IF(C66="","ACN-"&amp;TEXT(COUNTA($C$5:C66),"000"))</f>
        <v/>
      </c>
      <c r="C66" s="13" t="n"/>
      <c r="D66" s="13" t="n"/>
      <c r="E66" s="13" t="n"/>
      <c r="F66" s="18" t="n"/>
      <c r="G66" s="13" t="n"/>
      <c r="H66" s="13" t="n"/>
      <c r="I66" s="13" t="n"/>
      <c r="J66" s="13" t="n"/>
    </row>
    <row r="67" ht="22" customHeight="1">
      <c r="B67" s="16">
        <f>IF(C67="","ACN-"&amp;TEXT(COUNTA($C$5:C67),"000"))</f>
        <v/>
      </c>
      <c r="C67" s="11" t="n"/>
      <c r="D67" s="11" t="n"/>
      <c r="E67" s="11" t="n"/>
      <c r="F67" s="17" t="n"/>
      <c r="G67" s="11" t="n"/>
      <c r="H67" s="11" t="n"/>
      <c r="I67" s="11" t="n"/>
      <c r="J67" s="11" t="n"/>
    </row>
    <row r="68" ht="22" customHeight="1">
      <c r="B68" s="15">
        <f>IF(C68="","ACN-"&amp;TEXT(COUNTA($C$5:C68),"000"))</f>
        <v/>
      </c>
      <c r="C68" s="13" t="n"/>
      <c r="D68" s="13" t="n"/>
      <c r="E68" s="13" t="n"/>
      <c r="F68" s="18" t="n"/>
      <c r="G68" s="13" t="n"/>
      <c r="H68" s="13" t="n"/>
      <c r="I68" s="13" t="n"/>
      <c r="J68" s="13" t="n"/>
    </row>
    <row r="69" ht="22" customHeight="1">
      <c r="B69" s="16">
        <f>IF(C69="","ACN-"&amp;TEXT(COUNTA($C$5:C69),"000"))</f>
        <v/>
      </c>
      <c r="C69" s="11" t="n"/>
      <c r="D69" s="11" t="n"/>
      <c r="E69" s="11" t="n"/>
      <c r="F69" s="17" t="n"/>
      <c r="G69" s="11" t="n"/>
      <c r="H69" s="11" t="n"/>
      <c r="I69" s="11" t="n"/>
      <c r="J69" s="11" t="n"/>
    </row>
    <row r="70" ht="22" customHeight="1">
      <c r="B70" s="15">
        <f>IF(C70="","ACN-"&amp;TEXT(COUNTA($C$5:C70),"000"))</f>
        <v/>
      </c>
      <c r="C70" s="13" t="n"/>
      <c r="D70" s="13" t="n"/>
      <c r="E70" s="13" t="n"/>
      <c r="F70" s="18" t="n"/>
      <c r="G70" s="13" t="n"/>
      <c r="H70" s="13" t="n"/>
      <c r="I70" s="13" t="n"/>
      <c r="J70" s="13" t="n"/>
    </row>
    <row r="71" ht="22" customHeight="1">
      <c r="B71" s="16">
        <f>IF(C71="","ACN-"&amp;TEXT(COUNTA($C$5:C71),"000"))</f>
        <v/>
      </c>
      <c r="C71" s="11" t="n"/>
      <c r="D71" s="11" t="n"/>
      <c r="E71" s="11" t="n"/>
      <c r="F71" s="17" t="n"/>
      <c r="G71" s="11" t="n"/>
      <c r="H71" s="11" t="n"/>
      <c r="I71" s="11" t="n"/>
      <c r="J71" s="11" t="n"/>
    </row>
    <row r="72" ht="22" customHeight="1">
      <c r="B72" s="15">
        <f>IF(C72="","ACN-"&amp;TEXT(COUNTA($C$5:C72),"000"))</f>
        <v/>
      </c>
      <c r="C72" s="13" t="n"/>
      <c r="D72" s="13" t="n"/>
      <c r="E72" s="13" t="n"/>
      <c r="F72" s="18" t="n"/>
      <c r="G72" s="13" t="n"/>
      <c r="H72" s="13" t="n"/>
      <c r="I72" s="13" t="n"/>
      <c r="J72" s="13" t="n"/>
    </row>
    <row r="73" ht="22" customHeight="1">
      <c r="B73" s="16">
        <f>IF(C73="","ACN-"&amp;TEXT(COUNTA($C$5:C73),"000"))</f>
        <v/>
      </c>
      <c r="C73" s="11" t="n"/>
      <c r="D73" s="11" t="n"/>
      <c r="E73" s="11" t="n"/>
      <c r="F73" s="17" t="n"/>
      <c r="G73" s="11" t="n"/>
      <c r="H73" s="11" t="n"/>
      <c r="I73" s="11" t="n"/>
      <c r="J73" s="11" t="n"/>
    </row>
    <row r="74" ht="22" customHeight="1">
      <c r="B74" s="15">
        <f>IF(C74="","ACN-"&amp;TEXT(COUNTA($C$5:C74),"000"))</f>
        <v/>
      </c>
      <c r="C74" s="13" t="n"/>
      <c r="D74" s="13" t="n"/>
      <c r="E74" s="13" t="n"/>
      <c r="F74" s="18" t="n"/>
      <c r="G74" s="13" t="n"/>
      <c r="H74" s="13" t="n"/>
      <c r="I74" s="13" t="n"/>
      <c r="J74" s="13" t="n"/>
    </row>
    <row r="75" ht="22" customHeight="1">
      <c r="B75" s="16">
        <f>IF(C75="","ACN-"&amp;TEXT(COUNTA($C$5:C75),"000"))</f>
        <v/>
      </c>
      <c r="C75" s="11" t="n"/>
      <c r="D75" s="11" t="n"/>
      <c r="E75" s="11" t="n"/>
      <c r="F75" s="17" t="n"/>
      <c r="G75" s="11" t="n"/>
      <c r="H75" s="11" t="n"/>
      <c r="I75" s="11" t="n"/>
      <c r="J75" s="11" t="n"/>
    </row>
    <row r="76" ht="22" customHeight="1">
      <c r="B76" s="15">
        <f>IF(C76="","ACN-"&amp;TEXT(COUNTA($C$5:C76),"000"))</f>
        <v/>
      </c>
      <c r="C76" s="13" t="n"/>
      <c r="D76" s="13" t="n"/>
      <c r="E76" s="13" t="n"/>
      <c r="F76" s="18" t="n"/>
      <c r="G76" s="13" t="n"/>
      <c r="H76" s="13" t="n"/>
      <c r="I76" s="13" t="n"/>
      <c r="J76" s="13" t="n"/>
    </row>
    <row r="77" ht="22" customHeight="1">
      <c r="B77" s="16">
        <f>IF(C77="","ACN-"&amp;TEXT(COUNTA($C$5:C77),"000"))</f>
        <v/>
      </c>
      <c r="C77" s="11" t="n"/>
      <c r="D77" s="11" t="n"/>
      <c r="E77" s="11" t="n"/>
      <c r="F77" s="17" t="n"/>
      <c r="G77" s="11" t="n"/>
      <c r="H77" s="11" t="n"/>
      <c r="I77" s="11" t="n"/>
      <c r="J77" s="11" t="n"/>
    </row>
    <row r="78" ht="22" customHeight="1">
      <c r="B78" s="15">
        <f>IF(C78="","ACN-"&amp;TEXT(COUNTA($C$5:C78),"000"))</f>
        <v/>
      </c>
      <c r="C78" s="13" t="n"/>
      <c r="D78" s="13" t="n"/>
      <c r="E78" s="13" t="n"/>
      <c r="F78" s="18" t="n"/>
      <c r="G78" s="13" t="n"/>
      <c r="H78" s="13" t="n"/>
      <c r="I78" s="13" t="n"/>
      <c r="J78" s="13" t="n"/>
    </row>
    <row r="79" ht="22" customHeight="1">
      <c r="B79" s="16">
        <f>IF(C79="","ACN-"&amp;TEXT(COUNTA($C$5:C79),"000"))</f>
        <v/>
      </c>
      <c r="C79" s="11" t="n"/>
      <c r="D79" s="11" t="n"/>
      <c r="E79" s="11" t="n"/>
      <c r="F79" s="17" t="n"/>
      <c r="G79" s="11" t="n"/>
      <c r="H79" s="11" t="n"/>
      <c r="I79" s="11" t="n"/>
      <c r="J79" s="11" t="n"/>
    </row>
    <row r="80" ht="22" customHeight="1">
      <c r="B80" s="15">
        <f>IF(C80="","ACN-"&amp;TEXT(COUNTA($C$5:C80),"000"))</f>
        <v/>
      </c>
      <c r="C80" s="13" t="n"/>
      <c r="D80" s="13" t="n"/>
      <c r="E80" s="13" t="n"/>
      <c r="F80" s="18" t="n"/>
      <c r="G80" s="13" t="n"/>
      <c r="H80" s="13" t="n"/>
      <c r="I80" s="13" t="n"/>
      <c r="J80" s="13" t="n"/>
    </row>
    <row r="81" ht="22" customHeight="1">
      <c r="B81" s="16">
        <f>IF(C81="","ACN-"&amp;TEXT(COUNTA($C$5:C81),"000"))</f>
        <v/>
      </c>
      <c r="C81" s="11" t="n"/>
      <c r="D81" s="11" t="n"/>
      <c r="E81" s="11" t="n"/>
      <c r="F81" s="17" t="n"/>
      <c r="G81" s="11" t="n"/>
      <c r="H81" s="11" t="n"/>
      <c r="I81" s="11" t="n"/>
      <c r="J81" s="11" t="n"/>
    </row>
    <row r="82" ht="22" customHeight="1">
      <c r="B82" s="15">
        <f>IF(C82="","ACN-"&amp;TEXT(COUNTA($C$5:C82),"000"))</f>
        <v/>
      </c>
      <c r="C82" s="13" t="n"/>
      <c r="D82" s="13" t="n"/>
      <c r="E82" s="13" t="n"/>
      <c r="F82" s="18" t="n"/>
      <c r="G82" s="13" t="n"/>
      <c r="H82" s="13" t="n"/>
      <c r="I82" s="13" t="n"/>
      <c r="J82" s="13" t="n"/>
    </row>
    <row r="83" ht="22" customHeight="1">
      <c r="B83" s="16">
        <f>IF(C83="","ACN-"&amp;TEXT(COUNTA($C$5:C83),"000"))</f>
        <v/>
      </c>
      <c r="C83" s="11" t="n"/>
      <c r="D83" s="11" t="n"/>
      <c r="E83" s="11" t="n"/>
      <c r="F83" s="17" t="n"/>
      <c r="G83" s="11" t="n"/>
      <c r="H83" s="11" t="n"/>
      <c r="I83" s="11" t="n"/>
      <c r="J83" s="11" t="n"/>
    </row>
    <row r="84" ht="22" customHeight="1">
      <c r="B84" s="15">
        <f>IF(C84="","ACN-"&amp;TEXT(COUNTA($C$5:C84),"000"))</f>
        <v/>
      </c>
      <c r="C84" s="13" t="n"/>
      <c r="D84" s="13" t="n"/>
      <c r="E84" s="13" t="n"/>
      <c r="F84" s="18" t="n"/>
      <c r="G84" s="13" t="n"/>
      <c r="H84" s="13" t="n"/>
      <c r="I84" s="13" t="n"/>
      <c r="J84" s="13" t="n"/>
    </row>
    <row r="85" ht="22" customHeight="1">
      <c r="B85" s="16">
        <f>IF(C85="","ACN-"&amp;TEXT(COUNTA($C$5:C85),"000"))</f>
        <v/>
      </c>
      <c r="C85" s="11" t="n"/>
      <c r="D85" s="11" t="n"/>
      <c r="E85" s="11" t="n"/>
      <c r="F85" s="17" t="n"/>
      <c r="G85" s="11" t="n"/>
      <c r="H85" s="11" t="n"/>
      <c r="I85" s="11" t="n"/>
      <c r="J85" s="11" t="n"/>
    </row>
    <row r="86" ht="22" customHeight="1">
      <c r="B86" s="15">
        <f>IF(C86="","ACN-"&amp;TEXT(COUNTA($C$5:C86),"000"))</f>
        <v/>
      </c>
      <c r="C86" s="13" t="n"/>
      <c r="D86" s="13" t="n"/>
      <c r="E86" s="13" t="n"/>
      <c r="F86" s="18" t="n"/>
      <c r="G86" s="13" t="n"/>
      <c r="H86" s="13" t="n"/>
      <c r="I86" s="13" t="n"/>
      <c r="J86" s="13" t="n"/>
    </row>
    <row r="87" ht="22" customHeight="1">
      <c r="B87" s="16">
        <f>IF(C87="","ACN-"&amp;TEXT(COUNTA($C$5:C87),"000"))</f>
        <v/>
      </c>
      <c r="C87" s="11" t="n"/>
      <c r="D87" s="11" t="n"/>
      <c r="E87" s="11" t="n"/>
      <c r="F87" s="17" t="n"/>
      <c r="G87" s="11" t="n"/>
      <c r="H87" s="11" t="n"/>
      <c r="I87" s="11" t="n"/>
      <c r="J87" s="11" t="n"/>
    </row>
    <row r="88" ht="22" customHeight="1">
      <c r="B88" s="15">
        <f>IF(C88="","ACN-"&amp;TEXT(COUNTA($C$5:C88),"000"))</f>
        <v/>
      </c>
      <c r="C88" s="13" t="n"/>
      <c r="D88" s="13" t="n"/>
      <c r="E88" s="13" t="n"/>
      <c r="F88" s="18" t="n"/>
      <c r="G88" s="13" t="n"/>
      <c r="H88" s="13" t="n"/>
      <c r="I88" s="13" t="n"/>
      <c r="J88" s="13" t="n"/>
    </row>
    <row r="89" ht="22" customHeight="1">
      <c r="B89" s="16">
        <f>IF(C89="","ACN-"&amp;TEXT(COUNTA($C$5:C89),"000"))</f>
        <v/>
      </c>
      <c r="C89" s="11" t="n"/>
      <c r="D89" s="11" t="n"/>
      <c r="E89" s="11" t="n"/>
      <c r="F89" s="17" t="n"/>
      <c r="G89" s="11" t="n"/>
      <c r="H89" s="11" t="n"/>
      <c r="I89" s="11" t="n"/>
      <c r="J89" s="11" t="n"/>
    </row>
    <row r="90" ht="22" customHeight="1">
      <c r="B90" s="15">
        <f>IF(C90="","ACN-"&amp;TEXT(COUNTA($C$5:C90),"000"))</f>
        <v/>
      </c>
      <c r="C90" s="13" t="n"/>
      <c r="D90" s="13" t="n"/>
      <c r="E90" s="13" t="n"/>
      <c r="F90" s="18" t="n"/>
      <c r="G90" s="13" t="n"/>
      <c r="H90" s="13" t="n"/>
      <c r="I90" s="13" t="n"/>
      <c r="J90" s="13" t="n"/>
    </row>
    <row r="91" ht="22" customHeight="1">
      <c r="B91" s="16">
        <f>IF(C91="","ACN-"&amp;TEXT(COUNTA($C$5:C91),"000"))</f>
        <v/>
      </c>
      <c r="C91" s="11" t="n"/>
      <c r="D91" s="11" t="n"/>
      <c r="E91" s="11" t="n"/>
      <c r="F91" s="17" t="n"/>
      <c r="G91" s="11" t="n"/>
      <c r="H91" s="11" t="n"/>
      <c r="I91" s="11" t="n"/>
      <c r="J91" s="11" t="n"/>
    </row>
    <row r="92" ht="22" customHeight="1">
      <c r="B92" s="15">
        <f>IF(C92="","ACN-"&amp;TEXT(COUNTA($C$5:C92),"000"))</f>
        <v/>
      </c>
      <c r="C92" s="13" t="n"/>
      <c r="D92" s="13" t="n"/>
      <c r="E92" s="13" t="n"/>
      <c r="F92" s="18" t="n"/>
      <c r="G92" s="13" t="n"/>
      <c r="H92" s="13" t="n"/>
      <c r="I92" s="13" t="n"/>
      <c r="J92" s="13" t="n"/>
    </row>
    <row r="93" ht="22" customHeight="1">
      <c r="B93" s="16">
        <f>IF(C93="","ACN-"&amp;TEXT(COUNTA($C$5:C93),"000"))</f>
        <v/>
      </c>
      <c r="C93" s="11" t="n"/>
      <c r="D93" s="11" t="n"/>
      <c r="E93" s="11" t="n"/>
      <c r="F93" s="17" t="n"/>
      <c r="G93" s="11" t="n"/>
      <c r="H93" s="11" t="n"/>
      <c r="I93" s="11" t="n"/>
      <c r="J93" s="11" t="n"/>
    </row>
    <row r="94" ht="22" customHeight="1">
      <c r="B94" s="15">
        <f>IF(C94="","ACN-"&amp;TEXT(COUNTA($C$5:C94),"000"))</f>
        <v/>
      </c>
      <c r="C94" s="13" t="n"/>
      <c r="D94" s="13" t="n"/>
      <c r="E94" s="13" t="n"/>
      <c r="F94" s="18" t="n"/>
      <c r="G94" s="13" t="n"/>
      <c r="H94" s="13" t="n"/>
      <c r="I94" s="13" t="n"/>
      <c r="J94" s="13" t="n"/>
    </row>
    <row r="95" ht="22" customHeight="1">
      <c r="B95" s="16">
        <f>IF(C95="","ACN-"&amp;TEXT(COUNTA($C$5:C95),"000"))</f>
        <v/>
      </c>
      <c r="C95" s="11" t="n"/>
      <c r="D95" s="11" t="n"/>
      <c r="E95" s="11" t="n"/>
      <c r="F95" s="17" t="n"/>
      <c r="G95" s="11" t="n"/>
      <c r="H95" s="11" t="n"/>
      <c r="I95" s="11" t="n"/>
      <c r="J95" s="11" t="n"/>
    </row>
    <row r="96" ht="22" customHeight="1">
      <c r="B96" s="15">
        <f>IF(C96="","ACN-"&amp;TEXT(COUNTA($C$5:C96),"000"))</f>
        <v/>
      </c>
      <c r="C96" s="13" t="n"/>
      <c r="D96" s="13" t="n"/>
      <c r="E96" s="13" t="n"/>
      <c r="F96" s="18" t="n"/>
      <c r="G96" s="13" t="n"/>
      <c r="H96" s="13" t="n"/>
      <c r="I96" s="13" t="n"/>
      <c r="J96" s="13" t="n"/>
    </row>
    <row r="97" ht="22" customHeight="1">
      <c r="B97" s="16">
        <f>IF(C97="","ACN-"&amp;TEXT(COUNTA($C$5:C97),"000"))</f>
        <v/>
      </c>
      <c r="C97" s="11" t="n"/>
      <c r="D97" s="11" t="n"/>
      <c r="E97" s="11" t="n"/>
      <c r="F97" s="17" t="n"/>
      <c r="G97" s="11" t="n"/>
      <c r="H97" s="11" t="n"/>
      <c r="I97" s="11" t="n"/>
      <c r="J97" s="11" t="n"/>
    </row>
    <row r="98" ht="22" customHeight="1">
      <c r="B98" s="15">
        <f>IF(C98="","ACN-"&amp;TEXT(COUNTA($C$5:C98),"000"))</f>
        <v/>
      </c>
      <c r="C98" s="13" t="n"/>
      <c r="D98" s="13" t="n"/>
      <c r="E98" s="13" t="n"/>
      <c r="F98" s="18" t="n"/>
      <c r="G98" s="13" t="n"/>
      <c r="H98" s="13" t="n"/>
      <c r="I98" s="13" t="n"/>
      <c r="J98" s="13" t="n"/>
    </row>
    <row r="99" ht="22" customHeight="1">
      <c r="B99" s="16">
        <f>IF(C99="","ACN-"&amp;TEXT(COUNTA($C$5:C99),"000"))</f>
        <v/>
      </c>
      <c r="C99" s="11" t="n"/>
      <c r="D99" s="11" t="n"/>
      <c r="E99" s="11" t="n"/>
      <c r="F99" s="17" t="n"/>
      <c r="G99" s="11" t="n"/>
      <c r="H99" s="11" t="n"/>
      <c r="I99" s="11" t="n"/>
      <c r="J99" s="11" t="n"/>
    </row>
    <row r="100" ht="22" customHeight="1">
      <c r="B100" s="15">
        <f>IF(C100="","ACN-"&amp;TEXT(COUNTA($C$5:C100),"000"))</f>
        <v/>
      </c>
      <c r="C100" s="13" t="n"/>
      <c r="D100" s="13" t="n"/>
      <c r="E100" s="13" t="n"/>
      <c r="F100" s="18" t="n"/>
      <c r="G100" s="13" t="n"/>
      <c r="H100" s="13" t="n"/>
      <c r="I100" s="13" t="n"/>
      <c r="J100" s="13" t="n"/>
    </row>
    <row r="101" ht="22" customHeight="1">
      <c r="B101" s="16">
        <f>IF(C101="","ACN-"&amp;TEXT(COUNTA($C$5:C101),"000"))</f>
        <v/>
      </c>
      <c r="C101" s="11" t="n"/>
      <c r="D101" s="11" t="n"/>
      <c r="E101" s="11" t="n"/>
      <c r="F101" s="17" t="n"/>
      <c r="G101" s="11" t="n"/>
      <c r="H101" s="11" t="n"/>
      <c r="I101" s="11" t="n"/>
      <c r="J101" s="11" t="n"/>
    </row>
    <row r="102" ht="22" customHeight="1">
      <c r="B102" s="15">
        <f>IF(C102="","ACN-"&amp;TEXT(COUNTA($C$5:C102),"000"))</f>
        <v/>
      </c>
      <c r="C102" s="13" t="n"/>
      <c r="D102" s="13" t="n"/>
      <c r="E102" s="13" t="n"/>
      <c r="F102" s="18" t="n"/>
      <c r="G102" s="13" t="n"/>
      <c r="H102" s="13" t="n"/>
      <c r="I102" s="13" t="n"/>
      <c r="J102" s="13" t="n"/>
    </row>
    <row r="103" ht="22" customHeight="1">
      <c r="B103" s="16">
        <f>IF(C103="","ACN-"&amp;TEXT(COUNTA($C$5:C103),"000"))</f>
        <v/>
      </c>
      <c r="C103" s="11" t="n"/>
      <c r="D103" s="11" t="n"/>
      <c r="E103" s="11" t="n"/>
      <c r="F103" s="17" t="n"/>
      <c r="G103" s="11" t="n"/>
      <c r="H103" s="11" t="n"/>
      <c r="I103" s="11" t="n"/>
      <c r="J103" s="11" t="n"/>
    </row>
    <row r="104" ht="22" customHeight="1">
      <c r="B104" s="15">
        <f>IF(C104="","ACN-"&amp;TEXT(COUNTA($C$5:C104),"000"))</f>
        <v/>
      </c>
      <c r="C104" s="13" t="n"/>
      <c r="D104" s="13" t="n"/>
      <c r="E104" s="13" t="n"/>
      <c r="F104" s="18" t="n"/>
      <c r="G104" s="13" t="n"/>
      <c r="H104" s="13" t="n"/>
      <c r="I104" s="13" t="n"/>
      <c r="J104" s="13" t="n"/>
    </row>
    <row r="105" ht="22" customHeight="1">
      <c r="B105" s="16">
        <f>IF(C105="","ACN-"&amp;TEXT(COUNTA($C$5:C105),"000"))</f>
        <v/>
      </c>
      <c r="C105" s="11" t="n"/>
      <c r="D105" s="11" t="n"/>
      <c r="E105" s="11" t="n"/>
      <c r="F105" s="17" t="n"/>
      <c r="G105" s="11" t="n"/>
      <c r="H105" s="11" t="n"/>
      <c r="I105" s="11" t="n"/>
      <c r="J105" s="11" t="n"/>
    </row>
    <row r="106" ht="22" customHeight="1">
      <c r="B106" s="15">
        <f>IF(C106="","ACN-"&amp;TEXT(COUNTA($C$5:C106),"000"))</f>
        <v/>
      </c>
      <c r="C106" s="13" t="n"/>
      <c r="D106" s="13" t="n"/>
      <c r="E106" s="13" t="n"/>
      <c r="F106" s="18" t="n"/>
      <c r="G106" s="13" t="n"/>
      <c r="H106" s="13" t="n"/>
      <c r="I106" s="13" t="n"/>
      <c r="J106" s="13" t="n"/>
    </row>
    <row r="107" ht="22" customHeight="1">
      <c r="B107" s="16">
        <f>IF(C107="","ACN-"&amp;TEXT(COUNTA($C$5:C107),"000"))</f>
        <v/>
      </c>
      <c r="C107" s="11" t="n"/>
      <c r="D107" s="11" t="n"/>
      <c r="E107" s="11" t="n"/>
      <c r="F107" s="17" t="n"/>
      <c r="G107" s="11" t="n"/>
      <c r="H107" s="11" t="n"/>
      <c r="I107" s="11" t="n"/>
      <c r="J107" s="11" t="n"/>
    </row>
    <row r="108" ht="22" customHeight="1">
      <c r="B108" s="15">
        <f>IF(C108="","ACN-"&amp;TEXT(COUNTA($C$5:C108),"000"))</f>
        <v/>
      </c>
      <c r="C108" s="13" t="n"/>
      <c r="D108" s="13" t="n"/>
      <c r="E108" s="13" t="n"/>
      <c r="F108" s="18" t="n"/>
      <c r="G108" s="13" t="n"/>
      <c r="H108" s="13" t="n"/>
      <c r="I108" s="13" t="n"/>
      <c r="J108" s="13" t="n"/>
    </row>
    <row r="109" ht="22" customHeight="1">
      <c r="B109" s="16">
        <f>IF(C109="","ACN-"&amp;TEXT(COUNTA($C$5:C109),"000"))</f>
        <v/>
      </c>
      <c r="C109" s="11" t="n"/>
      <c r="D109" s="11" t="n"/>
      <c r="E109" s="11" t="n"/>
      <c r="F109" s="17" t="n"/>
      <c r="G109" s="11" t="n"/>
      <c r="H109" s="11" t="n"/>
      <c r="I109" s="11" t="n"/>
      <c r="J109" s="11" t="n"/>
    </row>
    <row r="110"/>
    <row r="111" ht="26" customHeight="1">
      <c r="B111" s="19" t="inlineStr">
        <is>
          <t>TOTAL</t>
        </is>
      </c>
      <c r="C111" s="20" t="n"/>
      <c r="D111" s="20" t="n"/>
      <c r="E111" s="20" t="n"/>
      <c r="F111" s="21">
        <f>SUM(F5:F104)</f>
        <v/>
      </c>
      <c r="G111" s="20" t="n"/>
      <c r="H111" s="20" t="n"/>
      <c r="I111" s="20" t="n"/>
      <c r="J111" s="20" t="n"/>
    </row>
    <row r="112"/>
    <row r="113">
      <c r="B113" s="5" t="inlineStr">
        <is>
          <t>INDICATEURS (mis a jour automatiquement)</t>
        </is>
      </c>
    </row>
    <row r="114">
      <c r="B114" s="3" t="inlineStr">
        <is>
          <t>Cout total (FCFA)</t>
        </is>
      </c>
      <c r="D114" s="3" t="inlineStr">
        <is>
          <t>Cout total (kFCFA)</t>
        </is>
      </c>
      <c r="F114" s="3" t="inlineStr">
        <is>
          <t>Nb lignes de cout</t>
        </is>
      </c>
    </row>
    <row r="115">
      <c r="B115" s="4">
        <f>SUM(F5:F104)</f>
        <v/>
      </c>
      <c r="D115" s="4">
        <f>IFERROR(SUM(F5:F104)/1000,0)</f>
        <v/>
      </c>
      <c r="F115" s="4">
        <f>COUNTIF(B5:B104,"&lt;&gt;")</f>
        <v/>
      </c>
    </row>
  </sheetData>
  <mergeCells count="3">
    <mergeCell ref="B113:J113"/>
    <mergeCell ref="B3:J3"/>
    <mergeCell ref="B2:J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1">
      <formula>"En attente"</formula>
    </cfRule>
    <cfRule type="cellIs" priority="71" operator="equal" dxfId="1">
      <formula>"A renouveler"</formula>
    </cfRule>
    <cfRule type="cellIs" priority="72" operator="equal" dxfId="1">
      <formula>"En cours"</formula>
    </cfRule>
    <cfRule type="cellIs" priority="73" operator="equal" dxfId="1">
      <formula>"En traitement"</formula>
    </cfRule>
    <cfRule type="cellIs" priority="74" operator="equal" dxfId="1">
      <formula>"En retard"</formula>
    </cfRule>
    <cfRule type="cellIs" priority="75" operator="equal" dxfId="1">
      <formula>"Suspendu"</formula>
    </cfRule>
    <cfRule type="cellIs" priority="76" operator="equal" dxfId="1">
      <formula>"Planifie"</formula>
    </cfRule>
    <cfRule type="cellIs" priority="77" operator="equal" dxfId="1">
      <formula>"Planifiee"</formula>
    </cfRule>
    <cfRule type="cellIs" priority="78" operator="equal" dxfId="1">
      <formula>"Brouillon"</formula>
    </cfRule>
    <cfRule type="cellIs" priority="79" operator="equal" dxfId="1">
      <formula>"En attente de justification"</formula>
    </cfRule>
    <cfRule type="cellIs" priority="80" operator="equal" dxfId="1">
      <formula>"Tolere"</formula>
    </cfRule>
    <cfRule type="cellIs" priority="81" operator="equal" dxfId="1">
      <formula>"Variable"</formula>
    </cfRule>
    <cfRule type="cellIs" priority="82" operator="equal" dxfId="1">
      <formula>"En elaboration"</formula>
    </cfRule>
    <cfRule type="cellIs" priority="83" operator="equal" dxfId="1">
      <formula>"Provisionne"</formula>
    </cfRule>
    <cfRule type="cellIs" priority="84" operator="equal" dxfId="1">
      <formula>"Consomme partiel"</formula>
    </cfRule>
    <cfRule type="cellIs" priority="85" operator="equal" dxfId="1">
      <formula>"Identifie"</formula>
    </cfRule>
    <cfRule type="cellIs" priority="86" operator="equal" dxfId="1">
      <formula>"Priorise"</formula>
    </cfRule>
    <cfRule type="cellIs" priority="87" operator="equal" dxfId="1">
      <formula>"Intermediaire"</formula>
    </cfRule>
    <cfRule type="cellIs" priority="88" operator="equal" dxfId="1">
      <formula>"Non evalue"</formula>
    </cfRule>
    <cfRule type="cellIs" priority="89" operator="equal" dxfId="1">
      <formula>"En cours de realisation"</formula>
    </cfRule>
    <cfRule type="cellIs" priority="90" operator="equal" dxfId="1">
      <formula>"Non demarre"</formula>
    </cfRule>
    <cfRule type="cellIs" priority="91" operator="equal" dxfId="1">
      <formula>"En attente N+1"</formula>
    </cfRule>
    <cfRule type="cellIs" priority="92" operator="equal" dxfId="1">
      <formula>"Prolongation essai"</formula>
    </cfRule>
    <cfRule type="cellIs" priority="93" operator="equal" dxfId="1">
      <formula>"En attente validation"</formula>
    </cfRule>
    <cfRule type="cellIs" priority="94" operator="equal" dxfId="1">
      <formula>"Bon"</formula>
    </cfRule>
    <cfRule type="cellIs" priority="95" operator="equal" dxfId="1">
      <formula>"D - Moyen"</formula>
    </cfRule>
    <cfRule type="cellIs" priority="96" operator="equal" dxfId="1">
      <formula>"En cours de repres."</formula>
    </cfRule>
    <cfRule type="cellIs" priority="97" operator="equal" dxfId="1">
      <formula>"En negociation"</formula>
    </cfRule>
    <cfRule type="cellIs" priority="98" operator="equal" dxfId="1">
      <formula>"En preparation"</formula>
    </cfRule>
    <cfRule type="cellIs" priority="99" operator="equal" dxfId="1">
      <formula>"En cours d'instruction"</formula>
    </cfRule>
    <cfRule type="cellIs" priority="100" operator="equal" dxfId="1">
      <formula>"Transferee N+1"</formula>
    </cfRule>
    <cfRule type="cellIs" priority="101" operator="equal" dxfId="1">
      <formula>"En attente reponse"</formula>
    </cfRule>
    <cfRule type="cellIs" priority="102" operator="equal" dxfId="1">
      <formula>"Enquete ouverte"</formula>
    </cfRule>
    <cfRule type="cellIs" priority="103" operator="equal" dxfId="1">
      <formula>"Convocation envoyee"</formula>
    </cfRule>
    <cfRule type="cellIs" priority="104" operator="equal" dxfId="1">
      <formula>"Entretien realise"</formula>
    </cfRule>
    <cfRule type="cellIs" priority="105" operator="equal" dxfId="1">
      <formula>"Saisie"</formula>
    </cfRule>
    <cfRule type="cellIs" priority="106" operator="equal" dxfId="1">
      <formula>"En mediation"</formula>
    </cfRule>
    <cfRule type="cellIs" priority="107" operator="equal" dxfId="1">
      <formula>"En recours"</formula>
    </cfRule>
    <cfRule type="cellIs" priority="108" operator="equal" dxfId="1">
      <formula>"Reportee"</formula>
    </cfRule>
    <cfRule type="cellIs" priority="109" operator="equal" dxfId="1">
      <formula>"Reporte"</formula>
    </cfRule>
    <cfRule type="cellIs" priority="110" operator="equal" dxfId="1">
      <formula>"Signale"</formula>
    </cfRule>
    <cfRule type="cellIs" priority="111" operator="equal" dxfId="1">
      <formula>"Precontentieux"</formula>
    </cfRule>
    <cfRule type="cellIs" priority="112" operator="equal" dxfId="1">
      <formula>"En attente election"</formula>
    </cfRule>
    <cfRule type="cellIs" priority="113" operator="equal" dxfId="1">
      <formula>"Classe"</formula>
    </cfRule>
    <cfRule type="cellIs" priority="114" operator="equal" dxfId="1">
      <formula>"En cours d'evaluation"</formula>
    </cfRule>
    <cfRule type="cellIs" priority="115" operator="equal" dxfId="1">
      <formula>"En cours d'enquete"</formula>
    </cfRule>
    <cfRule type="cellIs" priority="116" operator="equal" dxfId="1">
      <formula>"En cours de commande"</formula>
    </cfRule>
    <cfRule type="cellIs" priority="117" operator="equal" dxfId="1">
      <formula>"A revoir"</formula>
    </cfRule>
    <cfRule type="cellIs" priority="118" operator="equal" dxfId="1">
      <formula>"A remplacer"</formula>
    </cfRule>
    <cfRule type="cellIs" priority="119" operator="equal" dxfId="1">
      <formula>"En cours d'instruction CNPS"</formula>
    </cfRule>
    <cfRule type="cellIs" priority="120" operator="equal" dxfId="1">
      <formula>"En contestation"</formula>
    </cfRule>
    <cfRule type="cellIs" priority="121" operator="equal" dxfId="1">
      <formula>"Inapte temporaire"</formula>
    </cfRule>
    <cfRule type="cellIs" priority="122" operator="equal" dxfId="1">
      <formula>"Candidat identifie"</formula>
    </cfRule>
    <cfRule type="cellIs" priority="123" operator="equal" dxfId="1">
      <formula>"En formation"</formula>
    </cfRule>
    <cfRule type="cellIs" priority="124" operator="equal" dxfId="1">
      <formula>"En evaluation"</formula>
    </cfRule>
    <cfRule type="cellIs" priority="125" operator="equal" dxfId="1">
      <formula>"En transit"</formula>
    </cfRule>
    <cfRule type="cellIs" priority="126" operator="equal" dxfId="1">
      <formula>"En attente visa"</formula>
    </cfRule>
    <cfRule type="cellIs" priority="127" operator="equal" dxfId="1">
      <formula>"Proposee"</formula>
    </cfRule>
    <cfRule type="cellIs" priority="128" operator="equal" dxfId="1">
      <formula>"En cours d'acquisition"</formula>
    </cfRule>
    <cfRule type="cellIs" priority="129" operator="equal" dxfId="1">
      <formula>"A developper"</formula>
    </cfRule>
    <cfRule type="cellIs" priority="130" operator="equal" dxfId="1">
      <formula>"A renforcer"</formula>
    </cfRule>
    <cfRule type="cellIs" priority="131" operator="equal" dxfId="1">
      <formula>"En cours"</formula>
    </cfRule>
    <cfRule type="cellIs" priority="132" operator="equal" dxfId="1">
      <formula>"Partiellement conforme"</formula>
    </cfRule>
    <cfRule type="cellIs" priority="133" operator="equal" dxfId="1">
      <formula>"En mise en conformite"</formula>
    </cfRule>
    <cfRule type="cellIs" priority="134" operator="equal" dxfId="1">
      <formula>"En revision"</formula>
    </cfRule>
    <cfRule type="cellIs" priority="135" operator="equal" dxfId="1">
      <formula>"A approuver"</formula>
    </cfRule>
    <cfRule type="cellIs" priority="136" operator="equal" dxfId="1">
      <formula>"En conciliation"</formula>
    </cfRule>
    <cfRule type="cellIs" priority="137" operator="equal" dxfId="1">
      <formula>"Assigne tribunal"</formula>
    </cfRule>
    <cfRule type="cellIs" priority="138" operator="equal" dxfId="1">
      <formula>"En cours de preparation"</formula>
    </cfRule>
    <cfRule type="cellIs" priority="139" operator="equal" dxfId="1">
      <formula>"Non effectuee"</formula>
    </cfRule>
    <cfRule type="cellIs" priority="140" operator="equal" dxfId="2">
      <formula>"Expire"</formula>
    </cfRule>
    <cfRule type="cellIs" priority="141" operator="equal" dxfId="2">
      <formula>"Rejete"</formula>
    </cfRule>
    <cfRule type="cellIs" priority="142" operator="equal" dxfId="2">
      <formula>"Rejetee"</formula>
    </cfRule>
    <cfRule type="cellIs" priority="143" operator="equal" dxfId="2">
      <formula>"Resilie"</formula>
    </cfRule>
    <cfRule type="cellIs" priority="144" operator="equal" dxfId="2">
      <formula>"Annule"</formula>
    </cfRule>
    <cfRule type="cellIs" priority="145" operator="equal" dxfId="2">
      <formula>"Annulee"</formula>
    </cfRule>
    <cfRule type="cellIs" priority="146" operator="equal" dxfId="2">
      <formula>"Refuse"</formula>
    </cfRule>
    <cfRule type="cellIs" priority="147" operator="equal" dxfId="2">
      <formula>"Non justifie"</formula>
    </cfRule>
    <cfRule type="cellIs" priority="148" operator="equal" dxfId="2">
      <formula>"Non justifiee"</formula>
    </cfRule>
    <cfRule type="cellIs" priority="149" operator="equal" dxfId="2">
      <formula>"Sanctionne"</formula>
    </cfRule>
    <cfRule type="cellIs" priority="150" operator="equal" dxfId="2">
      <formula>"Inaptitude"</formula>
    </cfRule>
    <cfRule type="cellIs" priority="151" operator="equal" dxfId="2">
      <formula>"Absent sans autorisation"</formula>
    </cfRule>
    <cfRule type="cellIs" priority="152" operator="equal" dxfId="2">
      <formula>"Abandon de poste"</formula>
    </cfRule>
    <cfRule type="cellIs" priority="153" operator="equal" dxfId="2">
      <formula>"Non satisfait"</formula>
    </cfRule>
    <cfRule type="cellIs" priority="154" operator="equal" dxfId="2">
      <formula>"Depasse"</formula>
    </cfRule>
    <cfRule type="cellIs" priority="155" operator="equal" dxfId="2">
      <formula>"Non utilise"</formula>
    </cfRule>
    <cfRule type="cellIs" priority="156" operator="equal" dxfId="2">
      <formula>"Non applicable"</formula>
    </cfRule>
    <cfRule type="cellIs" priority="157" operator="equal" dxfId="2">
      <formula>"Debutant"</formula>
    </cfRule>
    <cfRule type="cellIs" priority="158" operator="equal" dxfId="2">
      <formula>"Non atteint"</formula>
    </cfRule>
    <cfRule type="cellIs" priority="159" operator="equal" dxfId="2">
      <formula>"Abandonne"</formula>
    </cfRule>
    <cfRule type="cellIs" priority="160" operator="equal" dxfId="2">
      <formula>"Rupture essai"</formula>
    </cfRule>
    <cfRule type="cellIs" priority="161" operator="equal" dxfId="2">
      <formula>"Insuffisant"</formula>
    </cfRule>
    <cfRule type="cellIs" priority="162" operator="equal" dxfId="2">
      <formula>"Moyen"</formula>
    </cfRule>
    <cfRule type="cellIs" priority="163" operator="equal" dxfId="2">
      <formula>"E - Insuffisant"</formula>
    </cfRule>
    <cfRule type="cellIs" priority="164" operator="equal" dxfId="2">
      <formula>"Dissous"</formula>
    </cfRule>
    <cfRule type="cellIs" priority="165" operator="equal" dxfId="2">
      <formula>"Denonce"</formula>
    </cfRule>
    <cfRule type="cellIs" priority="166" operator="equal" dxfId="2">
      <formula>"Echoue"</formula>
    </cfRule>
    <cfRule type="cellIs" priority="167" operator="equal" dxfId="2">
      <formula>"Echouee"</formula>
    </cfRule>
    <cfRule type="cellIs" priority="168" operator="equal" dxfId="2">
      <formula>"Revoque"</formula>
    </cfRule>
    <cfRule type="cellIs" priority="169" operator="equal" dxfId="2">
      <formula>"Demissionnaire"</formula>
    </cfRule>
    <cfRule type="cellIs" priority="170" operator="equal" dxfId="2">
      <formula>"Licenciement pour faute"</formula>
    </cfRule>
    <cfRule type="cellIs" priority="171" operator="equal" dxfId="2">
      <formula>"Licenciement pour faute grave"</formula>
    </cfRule>
    <cfRule type="cellIs" priority="172" operator="equal" dxfId="2">
      <formula>"Terminee - Echec"</formula>
    </cfRule>
    <cfRule type="cellIs" priority="173" operator="equal" dxfId="2">
      <formula>"Abandonnee"</formula>
    </cfRule>
    <cfRule type="cellIs" priority="174" operator="equal" dxfId="2">
      <formula>"Violence physique"</formula>
    </cfRule>
    <cfRule type="cellIs" priority="175" operator="equal" dxfId="2">
      <formula>"Violence verbale"</formula>
    </cfRule>
    <cfRule type="cellIs" priority="176" operator="equal" dxfId="2">
      <formula>"Fatal"</formula>
    </cfRule>
    <cfRule type="cellIs" priority="177" operator="equal" dxfId="2">
      <formula>"Non reconnue"</formula>
    </cfRule>
    <cfRule type="cellIs" priority="178" operator="equal" dxfId="2">
      <formula>"Inapte definitif"</formula>
    </cfRule>
    <cfRule type="cellIs" priority="179" operator="equal" dxfId="2">
      <formula>"Perdu / vole"</formula>
    </cfRule>
    <cfRule type="cellIs" priority="180" operator="equal" dxfId="2">
      <formula>"Rebute"</formula>
    </cfRule>
    <cfRule type="cellIs" priority="181" operator="equal" dxfId="2">
      <formula>"Obsolette"</formula>
    </cfRule>
    <cfRule type="cellIs" priority="182" operator="equal" dxfId="2">
      <formula>"Conteste"</formula>
    </cfRule>
    <cfRule type="cellIs" priority="183" operator="equal" dxfId="2">
      <formula>"Refusee"</formula>
    </cfRule>
    <cfRule type="cellIs" priority="184" operator="equal" dxfId="2">
      <formula>"Non retenu"</formula>
    </cfRule>
    <cfRule type="cellIs" priority="185" operator="equal" dxfId="2">
      <formula>"Non acquis"</formula>
    </cfRule>
    <cfRule type="cellIs" priority="186" operator="equal" dxfId="2">
      <formula>"Contrat termine"</formula>
    </cfRule>
    <cfRule type="cellIs" priority="187" operator="equal" dxfId="2">
      <formula>"Rapatrie"</formula>
    </cfRule>
    <cfRule type="cellIs" priority="188" operator="equal" dxfId="2">
      <formula>"Non conforme"</formula>
    </cfRule>
    <cfRule type="cellIs" priority="189" operator="equal" dxfId="2">
      <formula>"Abandonne"</formula>
    </cfRule>
    <cfRule type="cellIs" priority="190" operator="equal" dxfId="2">
      <formula>"Perdu"</formula>
    </cfRule>
    <cfRule type="cellIs" priority="191" operator="equal" dxfId="2">
      <formula>"Resilie"</formula>
    </cfRule>
    <cfRule type="cellIs" priority="192" operator="equal" dxfId="2">
      <formula>"Expire"</formula>
    </cfRule>
  </conditionalFormatting>
  <conditionalFormatting sqref="B10:B109">
    <cfRule type="expression" priority="193" dxfId="3">
      <formula>AND($C10="",$C9&lt;&gt;"")</formula>
    </cfRule>
  </conditionalFormatting>
  <conditionalFormatting sqref="C10:C109">
    <cfRule type="expression" priority="194" dxfId="3">
      <formula>AND($C10="",$C9&lt;&gt;"")</formula>
    </cfRule>
  </conditionalFormatting>
  <conditionalFormatting sqref="D10:D109">
    <cfRule type="expression" priority="195" dxfId="3">
      <formula>AND($C10="",$C9&lt;&gt;"")</formula>
    </cfRule>
  </conditionalFormatting>
  <conditionalFormatting sqref="E10:E109">
    <cfRule type="expression" priority="196" dxfId="3">
      <formula>AND($C10="",$C9&lt;&gt;"")</formula>
    </cfRule>
  </conditionalFormatting>
  <conditionalFormatting sqref="F10:F109">
    <cfRule type="expression" priority="197" dxfId="3">
      <formula>AND($C10="",$C9&lt;&gt;"")</formula>
    </cfRule>
  </conditionalFormatting>
  <conditionalFormatting sqref="G10:G109">
    <cfRule type="expression" priority="198" dxfId="3">
      <formula>AND($C10="",$C9&lt;&gt;"")</formula>
    </cfRule>
  </conditionalFormatting>
  <conditionalFormatting sqref="H10:H109">
    <cfRule type="expression" priority="199" dxfId="3">
      <formula>AND($C10="",$C9&lt;&gt;"")</formula>
    </cfRule>
  </conditionalFormatting>
  <conditionalFormatting sqref="I10:I109">
    <cfRule type="expression" priority="200" dxfId="3">
      <formula>AND($C10="",$C9&lt;&gt;"")</formula>
    </cfRule>
  </conditionalFormatting>
  <conditionalFormatting sqref="J10:J109">
    <cfRule type="expression" priority="201" dxfId="3">
      <formula>AND($C10="",$C9&lt;&gt;"")</formula>
    </cfRule>
  </conditionalFormatting>
  <dataValidations count="5">
    <dataValidation sqref="C5:C109" showDropDown="0" showInputMessage="0" showErrorMessage="0" allowBlank="1" errorTitle="Erreur" error="Valeur invalide" promptTitle="Liste" prompt="Choisir dans la liste" type="list">
      <formula1>'_Lists'!$J$2:$J$8</formula1>
    </dataValidation>
    <dataValidation sqref="D5:D109" showDropDown="0" showInputMessage="0" showErrorMessage="0" allowBlank="1" errorTitle="Erreur" error="Valeur invalide" promptTitle="Liste" prompt="Choisir dans la liste" type="list">
      <formula1>'_Lists'!$U$2:$U$13</formula1>
    </dataValidation>
    <dataValidation sqref="E5:E109" showDropDown="0" showInputMessage="0" showErrorMessage="0" allowBlank="1" errorTitle="Erreur" error="Valeur invalide" promptTitle="Liste" prompt="Choisir dans la liste" type="list">
      <formula1>'_Lists'!$V$2:$V$4</formula1>
    </dataValidation>
    <dataValidation sqref="H5:H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J5:J109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2026-07-06T06:58:31Z</dcterms:created>
  <dcterms:modified xmlns:dcterms="http://purl.org/dc/terms/" xmlns:xsi="http://www.w3.org/2001/XMLSchema-instance" xsi:type="dcterms:W3CDTF">2026-07-09T17:06:42Z</dcterms:modified>
</cp:coreProperties>
</file>