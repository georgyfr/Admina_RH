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Données Employés" sheetId="1" state="visible" r:id="rId1"/>
    <sheet xmlns:r="http://schemas.openxmlformats.org/officeDocument/2006/relationships" name="1-Tableau de Bord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2-Registre Syndicats" sheetId="4" state="visible" r:id="rId4"/>
    <sheet xmlns:r="http://schemas.openxmlformats.org/officeDocument/2006/relationships" name="3-Delegues du Personnel" sheetId="5" state="visible" r:id="rId5"/>
    <sheet xmlns:r="http://schemas.openxmlformats.org/officeDocument/2006/relationships" name="4-Comite d'Entreprise CSE" sheetId="6" state="visible" r:id="rId6"/>
    <sheet xmlns:r="http://schemas.openxmlformats.org/officeDocument/2006/relationships" name="5-Protocoles Accords Coll." sheetId="7" state="visible" r:id="rId7"/>
    <sheet xmlns:r="http://schemas.openxmlformats.org/officeDocument/2006/relationships" name="6-Greves &amp; Conflits Sociaux" sheetId="8" state="visible" r:id="rId8"/>
    <sheet xmlns:r="http://schemas.openxmlformats.org/officeDocument/2006/relationships" name="7-Negociations Collectives" sheetId="9" state="visible" r:id="rId9"/>
    <sheet xmlns:r="http://schemas.openxmlformats.org/officeDocument/2006/relationships" name="8-Reclamations Personnel" sheetId="10" state="visible" r:id="rId10"/>
    <sheet xmlns:r="http://schemas.openxmlformats.org/officeDocument/2006/relationships" name="9-Procedures Disciplinaires" sheetId="11" state="visible" r:id="rId11"/>
    <sheet xmlns:r="http://schemas.openxmlformats.org/officeDocument/2006/relationships" name="10-Mediation &amp; Arbitrage" sheetId="12" state="visible" r:id="rId12"/>
    <sheet xmlns:r="http://schemas.openxmlformats.org/officeDocument/2006/relationships" name="11-Rapports Instances Rep." sheetId="13" state="visible" r:id="rId13"/>
    <sheet xmlns:r="http://schemas.openxmlformats.org/officeDocument/2006/relationships" name="12-Suivi Droit Syndical" sheetId="14" state="visible" r:id="rId14"/>
    <sheet xmlns:r="http://schemas.openxmlformats.org/officeDocument/2006/relationships" name="13-Historique Accords" sheetId="15" state="visible" r:id="rId15"/>
    <sheet xmlns:r="http://schemas.openxmlformats.org/officeDocument/2006/relationships" name="14-Bilan Social Rel. Prof." sheetId="16" state="visible" r:id="rId16"/>
    <sheet xmlns:r="http://schemas.openxmlformats.org/officeDocument/2006/relationships" name="15-Reclamations par Mois" sheetId="17" state="visible" r:id="rId17"/>
    <sheet xmlns:r="http://schemas.openxmlformats.org/officeDocument/2006/relationships" name="16-Calendrier Negociations" sheetId="18" state="visible" r:id="rId18"/>
    <sheet xmlns:r="http://schemas.openxmlformats.org/officeDocument/2006/relationships" name="17-PV Reunions Inst. Rep." sheetId="19" state="visible" r:id="rId19"/>
    <sheet xmlns:r="http://schemas.openxmlformats.org/officeDocument/2006/relationships" name="18-Suivi Mesures Correct.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12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1B2A4A"/>
      <sz val="12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1B2A4A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164" fontId="8" fillId="3" borderId="0" applyAlignment="1" pivotButton="0" quotePrefix="0" xfId="0">
      <alignment horizontal="center" vertical="center"/>
    </xf>
    <xf numFmtId="1" fontId="8" fillId="3" borderId="0" applyAlignment="1" pivotButton="0" quotePrefix="0" xfId="0">
      <alignment horizontal="right" vertical="center"/>
    </xf>
    <xf numFmtId="0" fontId="8" fillId="4" borderId="0" pivotButton="0" quotePrefix="0" xfId="0"/>
    <xf numFmtId="164" fontId="8" fillId="4" borderId="0" applyAlignment="1" pivotButton="0" quotePrefix="0" xfId="0">
      <alignment horizontal="center" vertical="center"/>
    </xf>
    <xf numFmtId="1" fontId="8" fillId="4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10" fillId="5" borderId="2" applyAlignment="1" pivotButton="0" quotePrefix="0" xfId="0">
      <alignment horizontal="left" vertical="center"/>
    </xf>
    <xf numFmtId="0" fontId="10" fillId="5" borderId="2" pivotButton="0" quotePrefix="0" xfId="0"/>
    <xf numFmtId="3" fontId="10" fillId="5" borderId="2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4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9" fontId="8" fillId="3" borderId="0" applyAlignment="1" pivotButton="0" quotePrefix="0" xfId="0">
      <alignment horizontal="right" vertical="center"/>
    </xf>
    <xf numFmtId="9" fontId="8" fillId="4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165" fontId="8" fillId="3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  <dxf>
      <fill>
        <patternFill patternType="solid">
          <fgColor rgb="00FFFDE7"/>
        </patternFill>
      </fill>
    </dxf>
    <dxf>
      <font>
        <b val="1"/>
        <color rgb="001F4E79"/>
      </font>
      <fill>
        <patternFill patternType="solid">
          <fgColor rgb="00D6E4F0"/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Conflits Sociaux par Departement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Bord'!C19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Bord'!$B$20:$B$24</f>
            </numRef>
          </cat>
          <val>
            <numRef>
              <f>'1-Tableau de Bord'!$C$20:$C$24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Distribution Statut Reclamations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Bord'!I26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Bord'!$H$27:$H$31</f>
            </numRef>
          </cat>
          <val>
            <numRef>
              <f>'1-Tableau de Bord'!$I$27:$I$31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25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25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H18"/>
  <sheetViews>
    <sheetView workbookViewId="0">
      <selection activeCell="A1" sqref="A1"/>
    </sheetView>
  </sheetViews>
  <sheetFormatPr baseColWidth="8" defaultRowHeight="15"/>
  <cols>
    <col width="14" customWidth="1" min="2" max="2"/>
    <col width="8" customWidth="1" min="3" max="3"/>
    <col width="14" customWidth="1" min="4" max="4"/>
    <col width="14" customWidth="1" min="5" max="5"/>
    <col width="28" customWidth="1" min="6" max="6"/>
    <col width="24" customWidth="1" min="7" max="7"/>
    <col width="18" customWidth="1" min="8" max="8"/>
  </cols>
  <sheetData>
    <row r="4">
      <c r="B4" s="32" t="inlineStr">
        <is>
          <t>Matricule</t>
        </is>
      </c>
      <c r="C4" s="32" t="inlineStr">
        <is>
          <t>Civilité</t>
        </is>
      </c>
      <c r="D4" s="32" t="inlineStr">
        <is>
          <t>Nom</t>
        </is>
      </c>
      <c r="E4" s="32" t="inlineStr">
        <is>
          <t>Prénom</t>
        </is>
      </c>
      <c r="F4" s="32" t="inlineStr">
        <is>
          <t>Département</t>
        </is>
      </c>
      <c r="G4" s="32" t="inlineStr">
        <is>
          <t>Poste</t>
        </is>
      </c>
      <c r="H4" s="32" t="inlineStr">
        <is>
          <t>Salaire Base (FCFA)</t>
        </is>
      </c>
    </row>
    <row r="5">
      <c r="B5" t="inlineStr">
        <is>
          <t>EMP-001</t>
        </is>
      </c>
      <c r="C5" t="inlineStr">
        <is>
          <t>M.</t>
        </is>
      </c>
      <c r="D5" t="inlineStr">
        <is>
          <t>Nganou</t>
        </is>
      </c>
      <c r="E5" t="inlineStr">
        <is>
          <t>Clarisse</t>
        </is>
      </c>
      <c r="F5" t="inlineStr">
        <is>
          <t>Cuisine &amp; Restauration</t>
        </is>
      </c>
      <c r="G5" t="inlineStr">
        <is>
          <t>Chef cuisinier</t>
        </is>
      </c>
      <c r="H5" t="n">
        <v>450000</v>
      </c>
    </row>
    <row r="6">
      <c r="B6" t="inlineStr">
        <is>
          <t>EMP-002</t>
        </is>
      </c>
      <c r="C6" t="inlineStr">
        <is>
          <t>M.</t>
        </is>
      </c>
      <c r="D6" t="inlineStr">
        <is>
          <t>Tchinda</t>
        </is>
      </c>
      <c r="E6" t="inlineStr">
        <is>
          <t>Armand</t>
        </is>
      </c>
      <c r="F6" t="inlineStr">
        <is>
          <t>Réception &amp; Front Office</t>
        </is>
      </c>
      <c r="G6" t="inlineStr">
        <is>
          <t>Réceptionniste</t>
        </is>
      </c>
      <c r="H6" t="n">
        <v>220000</v>
      </c>
    </row>
    <row r="7">
      <c r="B7" t="inlineStr">
        <is>
          <t>EMP-003</t>
        </is>
      </c>
      <c r="C7" t="inlineStr">
        <is>
          <t>Mme</t>
        </is>
      </c>
      <c r="D7" t="inlineStr">
        <is>
          <t>Fotso</t>
        </is>
      </c>
      <c r="E7" t="inlineStr">
        <is>
          <t>Marguerite</t>
        </is>
      </c>
      <c r="F7" t="inlineStr">
        <is>
          <t>Finance &amp; Comptabilité</t>
        </is>
      </c>
      <c r="G7" t="inlineStr">
        <is>
          <t>Comptable senior</t>
        </is>
      </c>
      <c r="H7" t="n">
        <v>380000</v>
      </c>
    </row>
    <row r="8">
      <c r="B8" t="inlineStr">
        <is>
          <t>EMP-004</t>
        </is>
      </c>
      <c r="C8" t="inlineStr">
        <is>
          <t>M.</t>
        </is>
      </c>
      <c r="D8" t="inlineStr">
        <is>
          <t>Nkoulou</t>
        </is>
      </c>
      <c r="E8" t="inlineStr">
        <is>
          <t>Mbarga</t>
        </is>
      </c>
      <c r="F8" t="inlineStr">
        <is>
          <t>Étage &amp; Housekeeping</t>
        </is>
      </c>
      <c r="G8" t="inlineStr">
        <is>
          <t>Gouvernant</t>
        </is>
      </c>
      <c r="H8" t="n">
        <v>195000</v>
      </c>
    </row>
    <row r="9">
      <c r="B9" t="inlineStr">
        <is>
          <t>EMP-005</t>
        </is>
      </c>
      <c r="C9" t="inlineStr">
        <is>
          <t>M.</t>
        </is>
      </c>
      <c r="D9" t="inlineStr">
        <is>
          <t>Kamga</t>
        </is>
      </c>
      <c r="E9" t="inlineStr">
        <is>
          <t>Paul</t>
        </is>
      </c>
      <c r="F9" t="inlineStr">
        <is>
          <t>Maintenance</t>
        </is>
      </c>
      <c r="G9" t="inlineStr">
        <is>
          <t>Technicien maintenance</t>
        </is>
      </c>
      <c r="H9" t="n">
        <v>165000</v>
      </c>
    </row>
    <row r="10">
      <c r="B10" t="inlineStr">
        <is>
          <t>EMP-006</t>
        </is>
      </c>
      <c r="C10" t="inlineStr">
        <is>
          <t>Mme</t>
        </is>
      </c>
      <c r="D10" t="inlineStr">
        <is>
          <t>Ngo</t>
        </is>
      </c>
      <c r="E10" t="inlineStr">
        <is>
          <t>Delphine</t>
        </is>
      </c>
      <c r="F10" t="inlineStr">
        <is>
          <t>Service Client</t>
        </is>
      </c>
      <c r="G10" t="inlineStr">
        <is>
          <t>Conseiller clientèle</t>
        </is>
      </c>
      <c r="H10" t="n">
        <v>160000</v>
      </c>
    </row>
    <row r="11">
      <c r="B11" t="inlineStr">
        <is>
          <t>EMP-007</t>
        </is>
      </c>
      <c r="C11" t="inlineStr">
        <is>
          <t>M.</t>
        </is>
      </c>
      <c r="D11" t="inlineStr">
        <is>
          <t>Essomba</t>
        </is>
      </c>
      <c r="E11" t="inlineStr">
        <is>
          <t>Serge</t>
        </is>
      </c>
      <c r="F11" t="inlineStr">
        <is>
          <t>Maintenance</t>
        </is>
      </c>
      <c r="G11" t="inlineStr">
        <is>
          <t>Agent entretien</t>
        </is>
      </c>
      <c r="H11" t="n">
        <v>130000</v>
      </c>
    </row>
    <row r="12">
      <c r="B12" t="inlineStr">
        <is>
          <t>EMP-008</t>
        </is>
      </c>
      <c r="C12" t="inlineStr">
        <is>
          <t>M.</t>
        </is>
      </c>
      <c r="D12" t="inlineStr">
        <is>
          <t>Tchouankou</t>
        </is>
      </c>
      <c r="E12" t="inlineStr">
        <is>
          <t>Paul</t>
        </is>
      </c>
      <c r="F12" t="inlineStr">
        <is>
          <t>Commercial</t>
        </is>
      </c>
      <c r="G12" t="inlineStr">
        <is>
          <t>Commercial</t>
        </is>
      </c>
      <c r="H12" t="n">
        <v>150000</v>
      </c>
    </row>
    <row r="13">
      <c r="B13" t="inlineStr">
        <is>
          <t>EMP-009</t>
        </is>
      </c>
      <c r="C13" t="inlineStr">
        <is>
          <t>M.</t>
        </is>
      </c>
      <c r="D13" t="inlineStr">
        <is>
          <t>Fokam</t>
        </is>
      </c>
      <c r="E13" t="inlineStr">
        <is>
          <t>Eric</t>
        </is>
      </c>
      <c r="F13" t="inlineStr">
        <is>
          <t>Maintenance</t>
        </is>
      </c>
      <c r="G13" t="inlineStr">
        <is>
          <t>Technicien</t>
        </is>
      </c>
      <c r="H13" t="n">
        <v>140000</v>
      </c>
    </row>
    <row r="14">
      <c r="B14" t="inlineStr">
        <is>
          <t>EMP-010</t>
        </is>
      </c>
      <c r="C14" t="inlineStr">
        <is>
          <t>M.</t>
        </is>
      </c>
      <c r="D14" t="inlineStr">
        <is>
          <t>Tagne</t>
        </is>
      </c>
      <c r="E14" t="inlineStr">
        <is>
          <t>René</t>
        </is>
      </c>
      <c r="F14" t="inlineStr">
        <is>
          <t>Cuisine &amp; Restauration</t>
        </is>
      </c>
      <c r="G14" t="inlineStr">
        <is>
          <t>Plongeur</t>
        </is>
      </c>
      <c r="H14" t="n">
        <v>90000</v>
      </c>
    </row>
    <row r="15">
      <c r="B15" t="inlineStr">
        <is>
          <t>EMP-011</t>
        </is>
      </c>
      <c r="C15" t="inlineStr">
        <is>
          <t>M.</t>
        </is>
      </c>
      <c r="D15" t="inlineStr">
        <is>
          <t>Bouba</t>
        </is>
      </c>
      <c r="E15" t="inlineStr">
        <is>
          <t>Ahmed</t>
        </is>
      </c>
      <c r="F15" t="inlineStr">
        <is>
          <t>Sécurité</t>
        </is>
      </c>
      <c r="G15" t="inlineStr">
        <is>
          <t>Agent Sécurité</t>
        </is>
      </c>
      <c r="H15" t="n">
        <v>120000</v>
      </c>
    </row>
    <row r="16">
      <c r="B16" t="inlineStr">
        <is>
          <t>EMP-012</t>
        </is>
      </c>
      <c r="C16" t="inlineStr">
        <is>
          <t>Mme</t>
        </is>
      </c>
      <c r="D16" t="inlineStr">
        <is>
          <t>Awa</t>
        </is>
      </c>
      <c r="E16" t="inlineStr">
        <is>
          <t>Fatou</t>
        </is>
      </c>
      <c r="F16" t="inlineStr">
        <is>
          <t>Réception &amp; Front Office</t>
        </is>
      </c>
      <c r="G16" t="inlineStr">
        <is>
          <t>Standardiste</t>
        </is>
      </c>
      <c r="H16" t="n">
        <v>155000</v>
      </c>
    </row>
    <row r="17">
      <c r="B17" t="inlineStr">
        <is>
          <t>EMP-028</t>
        </is>
      </c>
      <c r="C17" t="inlineStr">
        <is>
          <t>M.</t>
        </is>
      </c>
      <c r="D17" t="inlineStr">
        <is>
          <t>Nkoulou</t>
        </is>
      </c>
      <c r="E17" t="inlineStr">
        <is>
          <t>Joel</t>
        </is>
      </c>
      <c r="F17" t="inlineStr">
        <is>
          <t>Sécurité</t>
        </is>
      </c>
      <c r="G17" t="inlineStr">
        <is>
          <t>Agent Sécurité</t>
        </is>
      </c>
      <c r="H17" t="n">
        <v>140000</v>
      </c>
    </row>
    <row r="18">
      <c r="B18" t="inlineStr">
        <is>
          <t>EMP-029</t>
        </is>
      </c>
      <c r="C18" t="inlineStr">
        <is>
          <t>M.</t>
        </is>
      </c>
      <c r="D18" t="inlineStr">
        <is>
          <t>Kamga</t>
        </is>
      </c>
      <c r="E18" t="inlineStr">
        <is>
          <t>Patrice</t>
        </is>
      </c>
      <c r="F18" t="inlineStr">
        <is>
          <t>Sécurité</t>
        </is>
      </c>
      <c r="G18" t="inlineStr">
        <is>
          <t>Chef Sécurité</t>
        </is>
      </c>
      <c r="H18" t="n">
        <v>210000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3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DOMAINE 8 — RELATIONS SOCIALES, SYNDICATS &amp; INSTANCES REP.</t>
        </is>
      </c>
    </row>
    <row r="3" ht="8" customHeight="1">
      <c r="B3" s="2" t="inlineStr">
        <is>
          <t>TABLEAU DE BORD — Vue synthetique de tous les indicateurs du domaine (mis a jour automatiquement)</t>
        </is>
      </c>
    </row>
    <row r="5">
      <c r="B5" s="3" t="inlineStr">
        <is>
          <t>Syndicats actifs</t>
        </is>
      </c>
      <c r="E5" s="3" t="inlineStr">
        <is>
          <t>Delegues en mandat</t>
        </is>
      </c>
      <c r="H5" s="3" t="inlineStr">
        <is>
          <t>Reunions CSE tenues</t>
        </is>
      </c>
      <c r="K5" s="3" t="inlineStr">
        <is>
          <t>Accords en vigueur</t>
        </is>
      </c>
    </row>
    <row r="6">
      <c r="B6" s="4">
        <f>COUNTIF('2-Registre Syndicats'!K:K,"Actif")</f>
        <v/>
      </c>
      <c r="E6" s="4">
        <f>COUNTIF('3-Delegues du Personnel'!L:L,"En mandat")</f>
        <v/>
      </c>
      <c r="H6" s="4">
        <f>COUNTIF('4-Comite d''Entreprise CSE'!M:M,"Tenue")</f>
        <v/>
      </c>
      <c r="K6" s="4">
        <f>COUNTIFS('5-Protocoles Accords Coll.'!J:J,"En vigueur")+COUNTIFS('5-Protocoles Accords Coll.'!J:J,"Signe")</f>
        <v/>
      </c>
    </row>
    <row r="9">
      <c r="B9" s="3" t="inlineStr">
        <is>
          <t>Conflits en cours</t>
        </is>
      </c>
      <c r="E9" s="3" t="inlineStr">
        <is>
          <t>Negociations en cours</t>
        </is>
      </c>
      <c r="H9" s="3" t="inlineStr">
        <is>
          <t>Reclamations actives</t>
        </is>
      </c>
      <c r="K9" s="3" t="inlineStr">
        <is>
          <t>Procedures disciplinaires</t>
        </is>
      </c>
    </row>
    <row r="10">
      <c r="B10" s="4">
        <f>COUNTIF('6-Greves &amp; Conflits Sociaux'!M:M,"En cours")+COUNTIF('6-Greves &amp; Conflits Sociaux'!M:M,"Signale")</f>
        <v/>
      </c>
      <c r="E10" s="4">
        <f>COUNTIF('7-Negociations Collectives'!O:O,"En cours")+COUNTIF('7-Negociations Collectives'!O:O,"Planifiee")</f>
        <v/>
      </c>
      <c r="H10" s="4">
        <f>COUNTIFS('8-Reclamations Personnel'!R:R,"Recue")+COUNTIFS('8-Reclamations Personnel'!R:R,"En cours d'instruction")</f>
        <v/>
      </c>
      <c r="K10" s="4">
        <f>COUNTA('9-Procedures Disciplinaires'!B5:B104)</f>
        <v/>
      </c>
    </row>
    <row r="13">
      <c r="B13" s="3" t="inlineStr">
        <is>
          <t>Mediations en cours</t>
        </is>
      </c>
      <c r="E13" s="3" t="inlineStr">
        <is>
          <t>Cout conflits (FCFA)</t>
        </is>
      </c>
      <c r="H13" s="3" t="inlineStr">
        <is>
          <t>Heures syndicales ut.</t>
        </is>
      </c>
      <c r="K13" s="3" t="inlineStr">
        <is>
          <t>Mesures correct. en cours</t>
        </is>
      </c>
    </row>
    <row r="14">
      <c r="B14" s="4">
        <f>COUNTIF('10-Mediation &amp; Arbitrage'!L5:L104,"En cours")</f>
        <v/>
      </c>
      <c r="E14" s="4">
        <f>SUM('6-Greves &amp; Conflits Sociaux'!K5:K104)</f>
        <v/>
      </c>
      <c r="H14" s="4">
        <f>SUM('12-Suivi Droit Syndical'!H5:H104)</f>
        <v/>
      </c>
      <c r="K14" s="4">
        <f>COUNTIF('18-Suivi Mesures Correct.'!L5:L104,"En cours")</f>
        <v/>
      </c>
    </row>
    <row r="18">
      <c r="B18" s="5" t="inlineStr">
        <is>
          <t>RECLAMATIONS PAR TYPE &amp; CONFLITS PAR DEPARTEMENT</t>
        </is>
      </c>
    </row>
    <row r="19" ht="15" customHeight="1">
      <c r="B19" s="3" t="inlineStr">
        <is>
          <t>Departement</t>
        </is>
      </c>
      <c r="C19" s="3" t="inlineStr">
        <is>
          <t>Nb Conflits</t>
        </is>
      </c>
    </row>
    <row r="20" ht="15" customHeight="1">
      <c r="B20" s="6" t="inlineStr">
        <is>
          <t>Cuisine</t>
        </is>
      </c>
      <c r="C20" s="7">
        <f>COUNTIF('6-Greves &amp; Conflits Sociaux'!G5:G104,"*Cuisine*")</f>
        <v/>
      </c>
    </row>
    <row r="21" ht="15" customHeight="1">
      <c r="B21" s="6" t="inlineStr">
        <is>
          <t>Entretien</t>
        </is>
      </c>
      <c r="C21" s="7">
        <f>COUNTIF('6-Greves &amp; Conflits Sociaux'!G5:G104,"*Entretien*")</f>
        <v/>
      </c>
    </row>
    <row r="22" ht="15" customHeight="1">
      <c r="B22" s="6" t="inlineStr">
        <is>
          <t>Reception</t>
        </is>
      </c>
      <c r="C22" s="7">
        <f>COUNTIF('6-Greves &amp; Conflits Sociaux'!G5:G104,"*Reception*")</f>
        <v/>
      </c>
    </row>
    <row r="23" ht="15" customHeight="1">
      <c r="B23" s="6" t="inlineStr">
        <is>
          <t>Service Client</t>
        </is>
      </c>
      <c r="C23" s="7">
        <f>COUNTIF('6-Greves &amp; Conflits Sociaux'!G5:G104,"*Service Client*")</f>
        <v/>
      </c>
    </row>
    <row r="24" ht="15" customHeight="1">
      <c r="B24" s="6" t="inlineStr">
        <is>
          <t>Sécurité</t>
        </is>
      </c>
      <c r="C24" s="7">
        <f>COUNTIF('6-Greves &amp; Conflits Sociaux'!G5:G104,"*Securite*")</f>
        <v/>
      </c>
    </row>
    <row r="25" ht="15" customHeight="1"/>
    <row r="26" ht="15" customHeight="1">
      <c r="H26" s="3" t="inlineStr">
        <is>
          <t>Statut Reclamation</t>
        </is>
      </c>
      <c r="I26" s="3" t="inlineStr">
        <is>
          <t>Nb</t>
        </is>
      </c>
    </row>
    <row r="27" ht="15" customHeight="1">
      <c r="H27" s="6" t="inlineStr">
        <is>
          <t>Cloturee</t>
        </is>
      </c>
      <c r="I27" s="7">
        <f>COUNTIF('8-Reclamations Personnel'!M5:M104,"Cloturee")</f>
        <v/>
      </c>
    </row>
    <row r="28" ht="15" customHeight="1">
      <c r="H28" s="6" t="inlineStr">
        <is>
          <t>En cours d'instruction</t>
        </is>
      </c>
      <c r="I28" s="7">
        <f>COUNTIF('8-Reclamations Personnel'!M5:M104,"En cours d'instruction")</f>
        <v/>
      </c>
    </row>
    <row r="29" ht="15" customHeight="1">
      <c r="H29" s="6" t="inlineStr">
        <is>
          <t>Recue</t>
        </is>
      </c>
      <c r="I29" s="7">
        <f>COUNTIF('8-Reclamations Personnel'!M5:M104,"Recue")</f>
        <v/>
      </c>
    </row>
    <row r="30" ht="15" customHeight="1">
      <c r="H30" s="6" t="inlineStr">
        <is>
          <t>Transferee N+1</t>
        </is>
      </c>
      <c r="I30" s="7">
        <f>COUNTIF('8-Reclamations Personnel'!M5:M104,"Transferee N+1")</f>
        <v/>
      </c>
    </row>
    <row r="31" ht="15" customHeight="1">
      <c r="H31" s="6" t="inlineStr">
        <is>
          <t>Escaladee direction</t>
        </is>
      </c>
      <c r="I31" s="7">
        <f>COUNTIF('8-Reclamations Personnel'!M5:M104,"Escaladee direction")</f>
        <v/>
      </c>
    </row>
  </sheetData>
  <mergeCells count="27">
    <mergeCell ref="H10:I10"/>
    <mergeCell ref="B3:L3"/>
    <mergeCell ref="K9:L9"/>
    <mergeCell ref="E5:F5"/>
    <mergeCell ref="K5:L5"/>
    <mergeCell ref="E14:F14"/>
    <mergeCell ref="H9:I9"/>
    <mergeCell ref="B18:L18"/>
    <mergeCell ref="H6:I6"/>
    <mergeCell ref="E10:F10"/>
    <mergeCell ref="B2:L2"/>
    <mergeCell ref="B14:C14"/>
    <mergeCell ref="E13:F13"/>
    <mergeCell ref="E9:F9"/>
    <mergeCell ref="B13:C13"/>
    <mergeCell ref="E6:F6"/>
    <mergeCell ref="B10:C10"/>
    <mergeCell ref="B9:C9"/>
    <mergeCell ref="H13:I13"/>
    <mergeCell ref="K14:L14"/>
    <mergeCell ref="B6:C6"/>
    <mergeCell ref="B5:C5"/>
    <mergeCell ref="K10:L10"/>
    <mergeCell ref="H5:I5"/>
    <mergeCell ref="H14:I14"/>
    <mergeCell ref="K6:L6"/>
    <mergeCell ref="K13:L13"/>
  </mergeCells>
  <conditionalFormatting sqref="B6">
    <cfRule type="cellIs" priority="1" operator="greaterThan" dxfId="4">
      <formula>0</formula>
    </cfRule>
  </conditionalFormatting>
  <conditionalFormatting sqref="E6">
    <cfRule type="cellIs" priority="2" operator="greaterThan" dxfId="4">
      <formula>0</formula>
    </cfRule>
  </conditionalFormatting>
  <conditionalFormatting sqref="H6">
    <cfRule type="cellIs" priority="3" operator="greaterThan" dxfId="4">
      <formula>0</formula>
    </cfRule>
  </conditionalFormatting>
  <conditionalFormatting sqref="K6">
    <cfRule type="cellIs" priority="4" operator="greaterThan" dxfId="4">
      <formula>0</formula>
    </cfRule>
  </conditionalFormatting>
  <conditionalFormatting sqref="B10">
    <cfRule type="cellIs" priority="5" operator="greaterThan" dxfId="4">
      <formula>0</formula>
    </cfRule>
  </conditionalFormatting>
  <conditionalFormatting sqref="E10">
    <cfRule type="cellIs" priority="6" operator="greaterThan" dxfId="4">
      <formula>0</formula>
    </cfRule>
  </conditionalFormatting>
  <conditionalFormatting sqref="H10">
    <cfRule type="cellIs" priority="7" operator="greaterThan" dxfId="4">
      <formula>0</formula>
    </cfRule>
  </conditionalFormatting>
  <conditionalFormatting sqref="K10">
    <cfRule type="cellIs" priority="8" operator="greaterThan" dxfId="4">
      <formula>0</formula>
    </cfRule>
  </conditionalFormatting>
  <conditionalFormatting sqref="B14">
    <cfRule type="cellIs" priority="9" operator="greaterThan" dxfId="4">
      <formula>0</formula>
    </cfRule>
  </conditionalFormatting>
  <conditionalFormatting sqref="E14">
    <cfRule type="cellIs" priority="10" operator="greaterThan" dxfId="4">
      <formula>0</formula>
    </cfRule>
  </conditionalFormatting>
  <conditionalFormatting sqref="H14">
    <cfRule type="cellIs" priority="11" operator="greaterThan" dxfId="4">
      <formula>0</formula>
    </cfRule>
  </conditionalFormatting>
  <conditionalFormatting sqref="K14">
    <cfRule type="cellIs" priority="12" operator="greaterThan" dxfId="4">
      <formula>0</formula>
    </cfRule>
  </conditionalFormatting>
  <conditionalFormatting sqref="C20">
    <cfRule type="cellIs" priority="13" operator="greaterThan" dxfId="4">
      <formula>0</formula>
    </cfRule>
  </conditionalFormatting>
  <conditionalFormatting sqref="C21">
    <cfRule type="cellIs" priority="14" operator="greaterThan" dxfId="4">
      <formula>0</formula>
    </cfRule>
  </conditionalFormatting>
  <conditionalFormatting sqref="C22">
    <cfRule type="cellIs" priority="15" operator="greaterThan" dxfId="4">
      <formula>0</formula>
    </cfRule>
  </conditionalFormatting>
  <conditionalFormatting sqref="C23">
    <cfRule type="cellIs" priority="16" operator="greaterThan" dxfId="4">
      <formula>0</formula>
    </cfRule>
  </conditionalFormatting>
  <conditionalFormatting sqref="C24">
    <cfRule type="cellIs" priority="17" operator="greaterThan" dxfId="4">
      <formula>0</formula>
    </cfRule>
  </conditionalFormatting>
  <conditionalFormatting sqref="I27">
    <cfRule type="cellIs" priority="18" operator="greaterThan" dxfId="4">
      <formula>0</formula>
    </cfRule>
  </conditionalFormatting>
  <conditionalFormatting sqref="I28">
    <cfRule type="cellIs" priority="19" operator="greaterThan" dxfId="4">
      <formula>0</formula>
    </cfRule>
  </conditionalFormatting>
  <conditionalFormatting sqref="I29">
    <cfRule type="cellIs" priority="20" operator="greaterThan" dxfId="4">
      <formula>0</formula>
    </cfRule>
  </conditionalFormatting>
  <conditionalFormatting sqref="I30">
    <cfRule type="cellIs" priority="21" operator="greaterThan" dxfId="4">
      <formula>0</formula>
    </cfRule>
  </conditionalFormatting>
  <conditionalFormatting sqref="I31">
    <cfRule type="cellIs" priority="22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5"/>
  <sheetViews>
    <sheetView workbookViewId="0">
      <selection activeCell="A1" sqref="A1"/>
    </sheetView>
  </sheetViews>
  <sheetFormatPr baseColWidth="8" defaultRowHeight="15"/>
  <sheetData>
    <row r="1">
      <c r="B1" s="8" t="inlineStr">
        <is>
          <t>departement</t>
        </is>
      </c>
      <c r="C1" s="8" t="inlineStr">
        <is>
          <t>poste_hotel</t>
        </is>
      </c>
      <c r="D1" s="8" t="inlineStr">
        <is>
          <t>type_syndicat</t>
        </is>
      </c>
      <c r="E1" s="8" t="inlineStr">
        <is>
          <t>type_instance</t>
        </is>
      </c>
      <c r="F1" s="8" t="inlineStr">
        <is>
          <t>statut_syndicat</t>
        </is>
      </c>
      <c r="G1" s="8" t="inlineStr">
        <is>
          <t>statut_delegue</t>
        </is>
      </c>
      <c r="H1" s="8" t="inlineStr">
        <is>
          <t>statut_reunion</t>
        </is>
      </c>
      <c r="I1" s="8" t="inlineStr">
        <is>
          <t>type_accord</t>
        </is>
      </c>
      <c r="J1" s="8" t="inlineStr">
        <is>
          <t>statut_accord</t>
        </is>
      </c>
      <c r="K1" s="8" t="inlineStr">
        <is>
          <t>type_conflit</t>
        </is>
      </c>
      <c r="L1" s="8" t="inlineStr">
        <is>
          <t>gravite_conflit</t>
        </is>
      </c>
      <c r="M1" s="8" t="inlineStr">
        <is>
          <t>statut_conflit</t>
        </is>
      </c>
      <c r="N1" s="8" t="inlineStr">
        <is>
          <t>type_nego</t>
        </is>
      </c>
      <c r="O1" s="8" t="inlineStr">
        <is>
          <t>statut_nego</t>
        </is>
      </c>
      <c r="P1" s="8" t="inlineStr">
        <is>
          <t>type_reclamation</t>
        </is>
      </c>
      <c r="Q1" s="8" t="inlineStr">
        <is>
          <t>gravite_reclamation</t>
        </is>
      </c>
      <c r="R1" s="8" t="inlineStr">
        <is>
          <t>statut_reclamation</t>
        </is>
      </c>
      <c r="S1" s="8" t="inlineStr">
        <is>
          <t>type_faute</t>
        </is>
      </c>
      <c r="T1" s="8" t="inlineStr">
        <is>
          <t>type_sanction</t>
        </is>
      </c>
      <c r="U1" s="8" t="inlineStr">
        <is>
          <t>statut_procedure</t>
        </is>
      </c>
      <c r="V1" s="8" t="inlineStr">
        <is>
          <t>type_mediation</t>
        </is>
      </c>
      <c r="W1" s="8" t="inlineStr">
        <is>
          <t>statut_mediation</t>
        </is>
      </c>
      <c r="X1" s="8" t="inlineStr">
        <is>
          <t>mois</t>
        </is>
      </c>
      <c r="Y1" s="8" t="inlineStr">
        <is>
          <t>annee</t>
        </is>
      </c>
      <c r="Z1" s="8" t="inlineStr">
        <is>
          <t>statut_rapport</t>
        </is>
      </c>
    </row>
    <row r="2">
      <c r="B2" s="9" t="inlineStr">
        <is>
          <t>Direction Générale</t>
        </is>
      </c>
      <c r="C2" s="9" t="inlineStr">
        <is>
          <t>DG</t>
        </is>
      </c>
      <c r="D2" s="9" t="inlineStr">
        <is>
          <t>CSTT</t>
        </is>
      </c>
      <c r="E2" s="9" t="inlineStr">
        <is>
          <t>CSE</t>
        </is>
      </c>
      <c r="F2" s="9" t="inlineStr">
        <is>
          <t>Actif</t>
        </is>
      </c>
      <c r="G2" s="9" t="inlineStr">
        <is>
          <t>En mandat</t>
        </is>
      </c>
      <c r="H2" s="9" t="inlineStr">
        <is>
          <t>Planifiee</t>
        </is>
      </c>
      <c r="I2" s="9" t="inlineStr">
        <is>
          <t>Accord salarial</t>
        </is>
      </c>
      <c r="J2" s="9" t="inlineStr">
        <is>
          <t>En negociation</t>
        </is>
      </c>
      <c r="K2" s="9" t="inlineStr">
        <is>
          <t>Greve revendicative</t>
        </is>
      </c>
      <c r="L2" s="9" t="inlineStr">
        <is>
          <t>Faible</t>
        </is>
      </c>
      <c r="M2" s="9" t="inlineStr">
        <is>
          <t>En cours</t>
        </is>
      </c>
      <c r="N2" s="9" t="inlineStr">
        <is>
          <t>Negociation annuelle obligatoire (NAO)</t>
        </is>
      </c>
      <c r="O2" s="9" t="inlineStr">
        <is>
          <t>Planifiee</t>
        </is>
      </c>
      <c r="P2" s="9" t="inlineStr">
        <is>
          <t>Salaires &amp; primes</t>
        </is>
      </c>
      <c r="Q2" s="9" t="inlineStr">
        <is>
          <t>Mineure</t>
        </is>
      </c>
      <c r="R2" s="9" t="inlineStr">
        <is>
          <t>Recue</t>
        </is>
      </c>
      <c r="S2" s="9" t="inlineStr">
        <is>
          <t>Absence injustifiee</t>
        </is>
      </c>
      <c r="T2" s="9" t="inlineStr">
        <is>
          <t>Avertissement oral</t>
        </is>
      </c>
      <c r="U2" s="9" t="inlineStr">
        <is>
          <t>Enquete ouverte</t>
        </is>
      </c>
      <c r="V2" s="9" t="inlineStr">
        <is>
          <t>Mediation interne RH</t>
        </is>
      </c>
      <c r="W2" s="9" t="inlineStr">
        <is>
          <t>Saisie</t>
        </is>
      </c>
      <c r="X2" s="9" t="inlineStr">
        <is>
          <t>Janvier</t>
        </is>
      </c>
      <c r="Y2" s="9" t="inlineStr">
        <is>
          <t>2024</t>
        </is>
      </c>
      <c r="Z2" s="9" t="inlineStr">
        <is>
          <t>Brouillon</t>
        </is>
      </c>
    </row>
    <row r="3">
      <c r="B3" s="9" t="inlineStr">
        <is>
          <t>Service Client</t>
        </is>
      </c>
      <c r="C3" s="9" t="inlineStr">
        <is>
          <t>DRH</t>
        </is>
      </c>
      <c r="D3" s="9" t="inlineStr">
        <is>
          <t>CSA</t>
        </is>
      </c>
      <c r="E3" s="9" t="inlineStr">
        <is>
          <t>Delegues du Personnel</t>
        </is>
      </c>
      <c r="F3" s="9" t="inlineStr">
        <is>
          <t>Inactif</t>
        </is>
      </c>
      <c r="G3" s="9" t="inlineStr">
        <is>
          <t>Fin de mandat</t>
        </is>
      </c>
      <c r="H3" s="9" t="inlineStr">
        <is>
          <t>Tenue</t>
        </is>
      </c>
      <c r="I3" s="9" t="inlineStr">
        <is>
          <t>Accord d'entreprise</t>
        </is>
      </c>
      <c r="J3" s="9" t="inlineStr">
        <is>
          <t>Signe</t>
        </is>
      </c>
      <c r="K3" s="9" t="inlineStr">
        <is>
          <t>Grve de solidarite</t>
        </is>
      </c>
      <c r="L3" s="9" t="inlineStr">
        <is>
          <t>Moyen</t>
        </is>
      </c>
      <c r="M3" s="9" t="inlineStr">
        <is>
          <t>Resolu</t>
        </is>
      </c>
      <c r="N3" s="9" t="inlineStr">
        <is>
          <t>Negociation salariale</t>
        </is>
      </c>
      <c r="O3" s="9" t="inlineStr">
        <is>
          <t>En cours</t>
        </is>
      </c>
      <c r="P3" s="9" t="inlineStr">
        <is>
          <t>Conditions de travail</t>
        </is>
      </c>
      <c r="Q3" s="9" t="inlineStr">
        <is>
          <t>Moderee</t>
        </is>
      </c>
      <c r="R3" s="9" t="inlineStr">
        <is>
          <t>En cours d'instruction</t>
        </is>
      </c>
      <c r="S3" s="9" t="inlineStr">
        <is>
          <t>Retards repetes</t>
        </is>
      </c>
      <c r="T3" s="9" t="inlineStr">
        <is>
          <t>Avertissement ecrit</t>
        </is>
      </c>
      <c r="U3" s="9" t="inlineStr">
        <is>
          <t>Convocation envoyee</t>
        </is>
      </c>
      <c r="V3" s="9" t="inlineStr">
        <is>
          <t>Mediation par CSE</t>
        </is>
      </c>
      <c r="W3" s="9" t="inlineStr">
        <is>
          <t>En cours</t>
        </is>
      </c>
      <c r="X3" s="9" t="inlineStr">
        <is>
          <t>Fevrier</t>
        </is>
      </c>
      <c r="Y3" s="9" t="inlineStr">
        <is>
          <t>2025</t>
        </is>
      </c>
      <c r="Z3" s="9" t="inlineStr">
        <is>
          <t>Valide</t>
        </is>
      </c>
    </row>
    <row r="4">
      <c r="B4" s="9" t="inlineStr">
        <is>
          <t>Finance &amp; Comptabilité</t>
        </is>
      </c>
      <c r="C4" s="9" t="inlineStr">
        <is>
          <t>Assistante RH</t>
        </is>
      </c>
      <c r="D4" s="9" t="inlineStr">
        <is>
          <t>CSC</t>
        </is>
      </c>
      <c r="E4" s="9" t="inlineStr">
        <is>
          <t>CHSCT</t>
        </is>
      </c>
      <c r="F4" s="9" t="inlineStr">
        <is>
          <t>En cours de repres.</t>
        </is>
      </c>
      <c r="G4" s="9" t="inlineStr">
        <is>
          <t>Demissionnaire</t>
        </is>
      </c>
      <c r="H4" s="9" t="inlineStr">
        <is>
          <t>Reportee</t>
        </is>
      </c>
      <c r="I4" s="9" t="inlineStr">
        <is>
          <t>Convention collective</t>
        </is>
      </c>
      <c r="J4" s="9" t="inlineStr">
        <is>
          <t>Depose</t>
        </is>
      </c>
      <c r="K4" s="9" t="inlineStr">
        <is>
          <t>Conflit individuel</t>
        </is>
      </c>
      <c r="L4" s="9" t="inlineStr">
        <is>
          <t>Eleve</t>
        </is>
      </c>
      <c r="M4" s="9" t="inlineStr">
        <is>
          <t>En mediation</t>
        </is>
      </c>
      <c r="N4" s="9" t="inlineStr">
        <is>
          <t>Negociation temps de travail</t>
        </is>
      </c>
      <c r="O4" s="9" t="inlineStr">
        <is>
          <t>Terminee</t>
        </is>
      </c>
      <c r="P4" s="9" t="inlineStr">
        <is>
          <t>Harcelement</t>
        </is>
      </c>
      <c r="Q4" s="9" t="inlineStr">
        <is>
          <t>Grave</t>
        </is>
      </c>
      <c r="R4" s="9" t="inlineStr">
        <is>
          <t>Transferee N+1</t>
        </is>
      </c>
      <c r="S4" s="9" t="inlineStr">
        <is>
          <t>Insolence</t>
        </is>
      </c>
      <c r="T4" s="9" t="inlineStr">
        <is>
          <t>Blame</t>
        </is>
      </c>
      <c r="U4" s="9" t="inlineStr">
        <is>
          <t>Entretien realise</t>
        </is>
      </c>
      <c r="V4" s="9" t="inlineStr">
        <is>
          <t>Conciliation inspecteur travail</t>
        </is>
      </c>
      <c r="W4" s="9" t="inlineStr">
        <is>
          <t>Terminee - Accord</t>
        </is>
      </c>
      <c r="X4" s="9" t="inlineStr">
        <is>
          <t>Mars</t>
        </is>
      </c>
      <c r="Y4" s="9" t="inlineStr">
        <is>
          <t>2026</t>
        </is>
      </c>
      <c r="Z4" s="9" t="inlineStr">
        <is>
          <t>Approuve</t>
        </is>
      </c>
    </row>
    <row r="5">
      <c r="B5" s="9" t="inlineStr">
        <is>
          <t>Marketing &amp; Communication</t>
        </is>
      </c>
      <c r="C5" s="9" t="inlineStr">
        <is>
          <t>DAF</t>
        </is>
      </c>
      <c r="D5" s="9" t="inlineStr">
        <is>
          <t>CGT-L</t>
        </is>
      </c>
      <c r="E5" s="9" t="inlineStr">
        <is>
          <t>Commission formation</t>
        </is>
      </c>
      <c r="F5" s="9" t="inlineStr">
        <is>
          <t>Dissous</t>
        </is>
      </c>
      <c r="G5" s="9" t="inlineStr">
        <is>
          <t>Revoque</t>
        </is>
      </c>
      <c r="H5" s="9" t="inlineStr">
        <is>
          <t>Annulee</t>
        </is>
      </c>
      <c r="I5" s="9" t="inlineStr">
        <is>
          <t>Protocole precontentieux</t>
        </is>
      </c>
      <c r="J5" s="9" t="inlineStr">
        <is>
          <t>En vigueur</t>
        </is>
      </c>
      <c r="K5" s="9" t="inlineStr">
        <is>
          <t>Conflit collectif</t>
        </is>
      </c>
      <c r="L5" s="9" t="inlineStr">
        <is>
          <t>Critique</t>
        </is>
      </c>
      <c r="M5" s="9" t="inlineStr">
        <is>
          <t>Echoue</t>
        </is>
      </c>
      <c r="N5" s="9" t="inlineStr">
        <is>
          <t>Negociation conditions de travail</t>
        </is>
      </c>
      <c r="O5" s="9" t="inlineStr">
        <is>
          <t>Echouee</t>
        </is>
      </c>
      <c r="P5" s="9" t="inlineStr">
        <is>
          <t>Discrimination</t>
        </is>
      </c>
      <c r="Q5" s="9" t="inlineStr">
        <is>
          <t>Tres grave</t>
        </is>
      </c>
      <c r="R5" s="9" t="inlineStr">
        <is>
          <t>Traitee</t>
        </is>
      </c>
      <c r="S5" s="9" t="inlineStr">
        <is>
          <t>Insubordination</t>
        </is>
      </c>
      <c r="T5" s="9" t="inlineStr">
        <is>
          <t>Mise a pied disciplinaire</t>
        </is>
      </c>
      <c r="U5" s="9" t="inlineStr">
        <is>
          <t>Decision notifiee</t>
        </is>
      </c>
      <c r="V5" s="9" t="inlineStr">
        <is>
          <t>Arbitrage tribunal</t>
        </is>
      </c>
      <c r="W5" s="9" t="inlineStr">
        <is>
          <t>Terminee - Echec</t>
        </is>
      </c>
      <c r="X5" s="9" t="inlineStr">
        <is>
          <t>Avril</t>
        </is>
      </c>
      <c r="Z5" s="9" t="inlineStr">
        <is>
          <t>Rejete</t>
        </is>
      </c>
    </row>
    <row r="6">
      <c r="B6" s="9" t="inlineStr">
        <is>
          <t>Maintenance</t>
        </is>
      </c>
      <c r="C6" s="9" t="inlineStr">
        <is>
          <t>Comptable senior</t>
        </is>
      </c>
      <c r="D6" s="9" t="inlineStr">
        <is>
          <t>CFTC</t>
        </is>
      </c>
      <c r="E6" s="9" t="inlineStr">
        <is>
          <t>Commission logement</t>
        </is>
      </c>
      <c r="F6" s="9" t="inlineStr">
        <is>
          <t>Suspendu</t>
        </is>
      </c>
      <c r="G6" s="9" t="inlineStr">
        <is>
          <t>En attente election</t>
        </is>
      </c>
      <c r="H6" s="9" t="inlineStr">
        <is>
          <t>En preparation</t>
        </is>
      </c>
      <c r="I6" s="9" t="inlineStr">
        <is>
          <t>Accord de methode</t>
        </is>
      </c>
      <c r="J6" s="9" t="inlineStr">
        <is>
          <t>Expire</t>
        </is>
      </c>
      <c r="K6" s="9" t="inlineStr">
        <is>
          <t>Arret de travail</t>
        </is>
      </c>
      <c r="M6" s="9" t="inlineStr">
        <is>
          <t>Signale</t>
        </is>
      </c>
      <c r="N6" s="9" t="inlineStr">
        <is>
          <t>Negociation formation</t>
        </is>
      </c>
      <c r="O6" s="9" t="inlineStr">
        <is>
          <t>Reportee</t>
        </is>
      </c>
      <c r="P6" s="9" t="inlineStr">
        <is>
          <t>Horaires</t>
        </is>
      </c>
      <c r="R6" s="9" t="inlineStr">
        <is>
          <t>Rejetee</t>
        </is>
      </c>
      <c r="S6" s="9" t="inlineStr">
        <is>
          <t>Vol</t>
        </is>
      </c>
      <c r="T6" s="9" t="inlineStr">
        <is>
          <t>Mutation disciplinaire</t>
        </is>
      </c>
      <c r="U6" s="9" t="inlineStr">
        <is>
          <t>En recours</t>
        </is>
      </c>
      <c r="V6" s="9" t="inlineStr">
        <is>
          <t>Mediation externe</t>
        </is>
      </c>
      <c r="W6" s="9" t="inlineStr">
        <is>
          <t>Abandonnee</t>
        </is>
      </c>
      <c r="X6" s="9" t="inlineStr">
        <is>
          <t>Mai</t>
        </is>
      </c>
    </row>
    <row r="7">
      <c r="B7" s="9" t="inlineStr">
        <is>
          <t>Commercial</t>
        </is>
      </c>
      <c r="C7" s="9" t="inlineStr">
        <is>
          <t>Chef Comptable</t>
        </is>
      </c>
      <c r="D7" s="9" t="inlineStr">
        <is>
          <t>CFDT</t>
        </is>
      </c>
      <c r="E7" s="9" t="inlineStr">
        <is>
          <t>Commission egalite professionnelle</t>
        </is>
      </c>
      <c r="I7" s="9" t="inlineStr">
        <is>
          <t>Accord sur les conditions de travail</t>
        </is>
      </c>
      <c r="J7" s="9" t="inlineStr">
        <is>
          <t>Denonce</t>
        </is>
      </c>
      <c r="K7" s="9" t="inlineStr">
        <is>
          <t>Manifestation</t>
        </is>
      </c>
      <c r="M7" s="9" t="inlineStr">
        <is>
          <t>Precontentieux</t>
        </is>
      </c>
      <c r="N7" s="9" t="inlineStr">
        <is>
          <t>Negociation egalite prof.</t>
        </is>
      </c>
      <c r="O7" s="9" t="inlineStr">
        <is>
          <t>Suspendue</t>
        </is>
      </c>
      <c r="P7" s="9" t="inlineStr">
        <is>
          <t>Conges</t>
        </is>
      </c>
      <c r="R7" s="9" t="inlineStr">
        <is>
          <t>En attente reponse</t>
        </is>
      </c>
      <c r="S7" s="9" t="inlineStr">
        <is>
          <t>Négligence grave</t>
        </is>
      </c>
      <c r="T7" s="9" t="inlineStr">
        <is>
          <t>Retrogradation</t>
        </is>
      </c>
      <c r="U7" s="9" t="inlineStr">
        <is>
          <t>Cloturee</t>
        </is>
      </c>
      <c r="W7" s="9" t="inlineStr">
        <is>
          <t>Reportee</t>
        </is>
      </c>
      <c r="X7" s="9" t="inlineStr">
        <is>
          <t>Juin</t>
        </is>
      </c>
    </row>
    <row r="8">
      <c r="B8" s="9" t="inlineStr">
        <is>
          <t>Logistique &amp; Approvisionnement</t>
        </is>
      </c>
      <c r="C8" s="9" t="inlineStr">
        <is>
          <t>Chef Marketing</t>
        </is>
      </c>
      <c r="D8" s="9" t="inlineStr">
        <is>
          <t>FO</t>
        </is>
      </c>
      <c r="I8" s="9" t="inlineStr">
        <is>
          <t>Avenant</t>
        </is>
      </c>
      <c r="J8" s="9" t="inlineStr">
        <is>
          <t>Rejete</t>
        </is>
      </c>
      <c r="K8" s="9" t="inlineStr">
        <is>
          <t>Picket de greve</t>
        </is>
      </c>
      <c r="M8" s="9" t="inlineStr">
        <is>
          <t>Jugement rendu</t>
        </is>
      </c>
      <c r="N8" s="9" t="inlineStr">
        <is>
          <t>Negociation exceptionnelle</t>
        </is>
      </c>
      <c r="P8" s="9" t="inlineStr">
        <is>
          <t>Securite</t>
        </is>
      </c>
      <c r="R8" s="9" t="inlineStr">
        <is>
          <t>Cloturee</t>
        </is>
      </c>
      <c r="S8" s="9" t="inlineStr">
        <is>
          <t>Rupture de confidentialite</t>
        </is>
      </c>
      <c r="T8" s="9" t="inlineStr">
        <is>
          <t>Licenciement pour faute</t>
        </is>
      </c>
      <c r="U8" s="9" t="inlineStr">
        <is>
          <t>Annulee</t>
        </is>
      </c>
      <c r="X8" s="9" t="inlineStr">
        <is>
          <t>Juillet</t>
        </is>
      </c>
    </row>
    <row r="9">
      <c r="B9" s="9" t="inlineStr">
        <is>
          <t>Production</t>
        </is>
      </c>
      <c r="C9" s="9" t="inlineStr">
        <is>
          <t>Chef de service IT</t>
        </is>
      </c>
      <c r="D9" s="9" t="inlineStr">
        <is>
          <t>Syndicat autonome hotelier</t>
        </is>
      </c>
      <c r="P9" s="9" t="inlineStr">
        <is>
          <t>Relation avec N+1</t>
        </is>
      </c>
      <c r="R9" s="9" t="inlineStr">
        <is>
          <t>Escaladee direction</t>
        </is>
      </c>
      <c r="S9" s="9" t="inlineStr">
        <is>
          <t>Violence verbale</t>
        </is>
      </c>
      <c r="T9" s="9" t="inlineStr">
        <is>
          <t>Licenciement pour faute grave</t>
        </is>
      </c>
      <c r="X9" s="9" t="inlineStr">
        <is>
          <t>Aout</t>
        </is>
      </c>
    </row>
    <row r="10">
      <c r="B10" s="9" t="inlineStr">
        <is>
          <t>Réception &amp; Front Office</t>
        </is>
      </c>
      <c r="C10" s="9" t="inlineStr">
        <is>
          <t>Technicien IT</t>
        </is>
      </c>
      <c r="D10" s="9" t="inlineStr">
        <is>
          <t>Syndicat des travailleurs du tourisme</t>
        </is>
      </c>
      <c r="P10" s="9" t="inlineStr">
        <is>
          <t>Logement</t>
        </is>
      </c>
      <c r="S10" s="9" t="inlineStr">
        <is>
          <t>Violence physique</t>
        </is>
      </c>
      <c r="X10" s="9" t="inlineStr">
        <is>
          <t>Septembre</t>
        </is>
      </c>
    </row>
    <row r="11">
      <c r="B11" s="9" t="inlineStr">
        <is>
          <t>Cuisine &amp; Restauration</t>
        </is>
      </c>
      <c r="C11" s="9" t="inlineStr">
        <is>
          <t>Chef Commercial</t>
        </is>
      </c>
      <c r="D11" s="9" t="inlineStr">
        <is>
          <t>Sans syndicat</t>
        </is>
      </c>
      <c r="P11" s="9" t="inlineStr">
        <is>
          <t>Transport</t>
        </is>
      </c>
      <c r="S11" s="9" t="inlineStr">
        <is>
          <t>Ivresse au travail</t>
        </is>
      </c>
      <c r="X11" s="9" t="inlineStr">
        <is>
          <t>Octobre</t>
        </is>
      </c>
    </row>
    <row r="12">
      <c r="B12" s="9" t="inlineStr">
        <is>
          <t>Sécurité</t>
        </is>
      </c>
      <c r="C12" s="9" t="inlineStr">
        <is>
          <t>Agent Commercial</t>
        </is>
      </c>
      <c r="P12" s="9" t="inlineStr">
        <is>
          <t>Formation</t>
        </is>
      </c>
      <c r="S12" s="9" t="inlineStr">
        <is>
          <t>Non respect procedures securite</t>
        </is>
      </c>
      <c r="X12" s="9" t="inlineStr">
        <is>
          <t>Novembre</t>
        </is>
      </c>
    </row>
    <row r="13">
      <c r="B13" s="9" t="inlineStr">
        <is>
          <t>Étage &amp; Housekeeping</t>
        </is>
      </c>
      <c r="C13" s="9" t="inlineStr">
        <is>
          <t>Chef Logistique</t>
        </is>
      </c>
      <c r="S13" s="9" t="inlineStr">
        <is>
          <t>Fausse declaration</t>
        </is>
      </c>
      <c r="X13" s="9" t="inlineStr">
        <is>
          <t>Decembre</t>
        </is>
      </c>
    </row>
    <row r="14">
      <c r="B14" s="9" t="n"/>
      <c r="C14" s="9" t="inlineStr">
        <is>
          <t>Magasinier</t>
        </is>
      </c>
    </row>
    <row r="15">
      <c r="C15" s="9" t="inlineStr">
        <is>
          <t>Chef Reception</t>
        </is>
      </c>
    </row>
    <row r="16">
      <c r="C16" s="9" t="inlineStr">
        <is>
          <t>Receptionniste</t>
        </is>
      </c>
    </row>
    <row r="17">
      <c r="C17" s="9" t="inlineStr">
        <is>
          <t>Concierge</t>
        </is>
      </c>
    </row>
    <row r="18">
      <c r="C18" s="9" t="inlineStr">
        <is>
          <t>Chef Cuisine</t>
        </is>
      </c>
    </row>
    <row r="19">
      <c r="C19" s="9" t="inlineStr">
        <is>
          <t>Sous-Chef</t>
        </is>
      </c>
    </row>
    <row r="20">
      <c r="C20" s="9" t="inlineStr">
        <is>
          <t>Cuisinier</t>
        </is>
      </c>
    </row>
    <row r="21">
      <c r="C21" s="9" t="inlineStr">
        <is>
          <t>Plongeur</t>
        </is>
      </c>
    </row>
    <row r="22">
      <c r="C22" s="9" t="inlineStr">
        <is>
          <t>Chef Entretien</t>
        </is>
      </c>
    </row>
    <row r="23">
      <c r="C23" s="9" t="inlineStr">
        <is>
          <t>Agent Entretien</t>
        </is>
      </c>
    </row>
    <row r="24">
      <c r="C24" s="9" t="inlineStr">
        <is>
          <t>Chef Securite</t>
        </is>
      </c>
    </row>
    <row r="25">
      <c r="C25" s="9" t="inlineStr">
        <is>
          <t>Agent Securite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0" customWidth="1" min="4" max="4"/>
    <col width="28" customWidth="1" min="5" max="5"/>
    <col width="22" customWidth="1" min="6" max="6"/>
    <col width="14" customWidth="1" min="7" max="7"/>
    <col width="18" customWidth="1" min="8" max="8"/>
    <col width="14" customWidth="1" min="9" max="9"/>
    <col width="22" customWidth="1" min="10" max="10"/>
    <col width="18" customWidth="1" min="11" max="11"/>
  </cols>
  <sheetData>
    <row r="1" ht="15" customHeight="1"/>
    <row r="2" ht="32" customHeight="1">
      <c r="B2" s="1" t="inlineStr">
        <is>
          <t>REGISTRE DES SYNDICATS (#87)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 Syndicat</t>
        </is>
      </c>
      <c r="C4" s="10" t="inlineStr">
        <is>
          <t>Nom Syndicat</t>
        </is>
      </c>
      <c r="D4" s="10" t="inlineStr">
        <is>
          <t>Sigle</t>
        </is>
      </c>
      <c r="E4" s="10" t="inlineStr">
        <is>
          <t>Type</t>
        </is>
      </c>
      <c r="F4" s="10" t="inlineStr">
        <is>
          <t>Representant Local</t>
        </is>
      </c>
      <c r="G4" s="10" t="inlineStr">
        <is>
          <t>Contact</t>
        </is>
      </c>
      <c r="H4" s="10" t="inlineStr">
        <is>
          <t>Date Reconnaissance</t>
        </is>
      </c>
      <c r="I4" s="10" t="inlineStr">
        <is>
          <t>Nb Adherents</t>
        </is>
      </c>
      <c r="J4" s="10" t="inlineStr">
        <is>
          <t>Departement Principal</t>
        </is>
      </c>
      <c r="K4" s="10" t="inlineStr">
        <is>
          <t>Statut</t>
        </is>
      </c>
    </row>
    <row r="5" ht="22" customHeight="1">
      <c r="B5" s="11" t="inlineStr">
        <is>
          <t>SYN-001</t>
        </is>
      </c>
      <c r="C5" s="11" t="inlineStr">
        <is>
          <t>Confederation Syndicale des Travailleurs du Togo</t>
        </is>
      </c>
      <c r="D5" s="11" t="inlineStr">
        <is>
          <t>CSTT</t>
        </is>
      </c>
      <c r="E5" s="11" t="inlineStr">
        <is>
          <t>CSTT</t>
        </is>
      </c>
      <c r="F5" s="11" t="inlineStr">
        <is>
          <t>Koffi Amevi</t>
        </is>
      </c>
      <c r="G5" s="11" t="inlineStr">
        <is>
          <t>690123456</t>
        </is>
      </c>
      <c r="H5" s="28" t="n">
        <v>43174</v>
      </c>
      <c r="I5" s="13" t="n">
        <v>12</v>
      </c>
      <c r="J5" s="11" t="inlineStr">
        <is>
          <t>Cuisine &amp; Restauration</t>
        </is>
      </c>
      <c r="K5" s="11" t="inlineStr">
        <is>
          <t>Actif</t>
        </is>
      </c>
    </row>
    <row r="6" ht="22" customHeight="1">
      <c r="B6" s="14" t="inlineStr">
        <is>
          <t>SYN-002</t>
        </is>
      </c>
      <c r="C6" s="14" t="inlineStr">
        <is>
          <t>Confederation Syndicale Autonome</t>
        </is>
      </c>
      <c r="D6" s="14" t="inlineStr">
        <is>
          <t>CSA</t>
        </is>
      </c>
      <c r="E6" s="14" t="inlineStr">
        <is>
          <t>CSA</t>
        </is>
      </c>
      <c r="F6" s="14" t="inlineStr">
        <is>
          <t>Mensah Kodjo</t>
        </is>
      </c>
      <c r="G6" s="14" t="inlineStr">
        <is>
          <t>697654321</t>
        </is>
      </c>
      <c r="H6" s="29" t="n">
        <v>43647</v>
      </c>
      <c r="I6" s="16" t="n">
        <v>8</v>
      </c>
      <c r="J6" s="14" t="inlineStr">
        <is>
          <t>Maintenance</t>
        </is>
      </c>
      <c r="K6" s="14" t="inlineStr">
        <is>
          <t>Actif</t>
        </is>
      </c>
    </row>
    <row r="7" ht="22" customHeight="1">
      <c r="B7" s="11" t="inlineStr">
        <is>
          <t>SYN-003</t>
        </is>
      </c>
      <c r="C7" s="11" t="inlineStr">
        <is>
          <t>Confederation Syndicale des Cadres</t>
        </is>
      </c>
      <c r="D7" s="11" t="inlineStr">
        <is>
          <t>CSC</t>
        </is>
      </c>
      <c r="E7" s="11" t="inlineStr">
        <is>
          <t>CSC</t>
        </is>
      </c>
      <c r="F7" s="11" t="inlineStr">
        <is>
          <t>Aguiar Maria</t>
        </is>
      </c>
      <c r="G7" s="11" t="inlineStr">
        <is>
          <t>698111222</t>
        </is>
      </c>
      <c r="H7" s="28" t="n">
        <v>43840</v>
      </c>
      <c r="I7" s="13" t="n">
        <v>5</v>
      </c>
      <c r="J7" s="11" t="inlineStr">
        <is>
          <t>Service Client</t>
        </is>
      </c>
      <c r="K7" s="11" t="inlineStr">
        <is>
          <t>Actif</t>
        </is>
      </c>
    </row>
    <row r="8" ht="22" customHeight="1">
      <c r="B8" s="14" t="inlineStr">
        <is>
          <t>SYN-004</t>
        </is>
      </c>
      <c r="C8" s="14" t="inlineStr">
        <is>
          <t>Syndicat Autonome des Hotels</t>
        </is>
      </c>
      <c r="D8" s="14" t="inlineStr">
        <is>
          <t>SAH</t>
        </is>
      </c>
      <c r="E8" s="14" t="inlineStr">
        <is>
          <t>Syndicat autonome hotelier</t>
        </is>
      </c>
      <c r="F8" s="14" t="inlineStr">
        <is>
          <t>Dossou Yves</t>
        </is>
      </c>
      <c r="G8" s="14" t="inlineStr">
        <is>
          <t>690333444</t>
        </is>
      </c>
      <c r="H8" s="29" t="n">
        <v>44367</v>
      </c>
      <c r="I8" s="16" t="n">
        <v>15</v>
      </c>
      <c r="J8" s="14" t="inlineStr">
        <is>
          <t>Réception &amp; Front Office</t>
        </is>
      </c>
      <c r="K8" s="14" t="inlineStr">
        <is>
          <t>En cours de repres.</t>
        </is>
      </c>
    </row>
    <row r="9" ht="22" customHeight="1">
      <c r="B9" s="11" t="inlineStr">
        <is>
          <t>SYN-005</t>
        </is>
      </c>
      <c r="C9" s="11" t="inlineStr">
        <is>
          <t>Syndicat Travailleurs Tourisme</t>
        </is>
      </c>
      <c r="D9" s="11" t="inlineStr">
        <is>
          <t>STT</t>
        </is>
      </c>
      <c r="E9" s="11" t="inlineStr">
        <is>
          <t>Syndicat des travailleurs du tourisme</t>
        </is>
      </c>
      <c r="F9" s="11" t="inlineStr">
        <is>
          <t>Hounkpe Patrice</t>
        </is>
      </c>
      <c r="G9" s="11" t="inlineStr">
        <is>
          <t>691555666</t>
        </is>
      </c>
      <c r="H9" s="28" t="n">
        <v>43044</v>
      </c>
      <c r="I9" s="13" t="n">
        <v>3</v>
      </c>
      <c r="J9" s="11" t="inlineStr">
        <is>
          <t>Service Client</t>
        </is>
      </c>
      <c r="K9" s="11" t="inlineStr">
        <is>
          <t>Actif</t>
        </is>
      </c>
    </row>
    <row r="10" ht="22" customHeight="1">
      <c r="B10" s="17">
        <f>IF(C10="","SYN-"&amp;TEXT(COUNTA($C$5:C10),"000"))</f>
        <v/>
      </c>
      <c r="C10" s="14" t="n"/>
      <c r="D10" s="14" t="n"/>
      <c r="E10" s="14" t="n"/>
      <c r="F10" s="14" t="n"/>
      <c r="G10" s="14" t="n"/>
      <c r="H10" s="29" t="n"/>
      <c r="I10" s="16" t="n"/>
      <c r="J10" s="14" t="n"/>
      <c r="K10" s="14" t="n"/>
    </row>
    <row r="11" ht="22" customHeight="1">
      <c r="B11" s="18">
        <f>IF(C11="","SYN-"&amp;TEXT(COUNTA($C$5:C11),"000"))</f>
        <v/>
      </c>
      <c r="C11" s="11" t="n"/>
      <c r="D11" s="11" t="n"/>
      <c r="E11" s="11" t="n"/>
      <c r="F11" s="11" t="n"/>
      <c r="G11" s="11" t="n"/>
      <c r="H11" s="28" t="n"/>
      <c r="I11" s="13" t="n"/>
      <c r="J11" s="11" t="n"/>
      <c r="K11" s="11" t="n"/>
    </row>
    <row r="12" ht="22" customHeight="1">
      <c r="B12" s="17">
        <f>IF(C12="","SYN-"&amp;TEXT(COUNTA($C$5:C12),"000"))</f>
        <v/>
      </c>
      <c r="C12" s="14" t="n"/>
      <c r="D12" s="14" t="n"/>
      <c r="E12" s="14" t="n"/>
      <c r="F12" s="14" t="n"/>
      <c r="G12" s="14" t="n"/>
      <c r="H12" s="29" t="n"/>
      <c r="I12" s="16" t="n"/>
      <c r="J12" s="14" t="n"/>
      <c r="K12" s="14" t="n"/>
    </row>
    <row r="13" ht="22" customHeight="1">
      <c r="B13" s="18">
        <f>IF(C13="","SYN-"&amp;TEXT(COUNTA($C$5:C13),"000"))</f>
        <v/>
      </c>
      <c r="C13" s="11" t="n"/>
      <c r="D13" s="11" t="n"/>
      <c r="E13" s="11" t="n"/>
      <c r="F13" s="11" t="n"/>
      <c r="G13" s="11" t="n"/>
      <c r="H13" s="28" t="n"/>
      <c r="I13" s="13" t="n"/>
      <c r="J13" s="11" t="n"/>
      <c r="K13" s="11" t="n"/>
    </row>
    <row r="14" ht="22" customHeight="1">
      <c r="B14" s="17">
        <f>IF(C14="","SYN-"&amp;TEXT(COUNTA($C$5:C14),"000"))</f>
        <v/>
      </c>
      <c r="C14" s="14" t="n"/>
      <c r="D14" s="14" t="n"/>
      <c r="E14" s="14" t="n"/>
      <c r="F14" s="14" t="n"/>
      <c r="G14" s="14" t="n"/>
      <c r="H14" s="29" t="n"/>
      <c r="I14" s="16" t="n"/>
      <c r="J14" s="14" t="n"/>
      <c r="K14" s="14" t="n"/>
    </row>
    <row r="15" ht="22" customHeight="1">
      <c r="B15" s="18">
        <f>IF(C15="","SYN-"&amp;TEXT(COUNTA($C$5:C15),"000"))</f>
        <v/>
      </c>
      <c r="C15" s="11" t="n"/>
      <c r="D15" s="11" t="n"/>
      <c r="E15" s="11" t="n"/>
      <c r="F15" s="11" t="n"/>
      <c r="G15" s="11" t="n"/>
      <c r="H15" s="28" t="n"/>
      <c r="I15" s="13" t="n"/>
      <c r="J15" s="11" t="n"/>
      <c r="K15" s="11" t="n"/>
    </row>
    <row r="16" ht="22" customHeight="1">
      <c r="B16" s="17">
        <f>IF(C16="","SYN-"&amp;TEXT(COUNTA($C$5:C16),"000"))</f>
        <v/>
      </c>
      <c r="C16" s="14" t="n"/>
      <c r="D16" s="14" t="n"/>
      <c r="E16" s="14" t="n"/>
      <c r="F16" s="14" t="n"/>
      <c r="G16" s="14" t="n"/>
      <c r="H16" s="29" t="n"/>
      <c r="I16" s="16" t="n"/>
      <c r="J16" s="14" t="n"/>
      <c r="K16" s="14" t="n"/>
    </row>
    <row r="17" ht="22" customHeight="1">
      <c r="B17" s="18">
        <f>IF(C17="","SYN-"&amp;TEXT(COUNTA($C$5:C17),"000"))</f>
        <v/>
      </c>
      <c r="C17" s="11" t="n"/>
      <c r="D17" s="11" t="n"/>
      <c r="E17" s="11" t="n"/>
      <c r="F17" s="11" t="n"/>
      <c r="G17" s="11" t="n"/>
      <c r="H17" s="28" t="n"/>
      <c r="I17" s="13" t="n"/>
      <c r="J17" s="11" t="n"/>
      <c r="K17" s="11" t="n"/>
    </row>
    <row r="18" ht="22" customHeight="1">
      <c r="B18" s="17">
        <f>IF(C18="","SYN-"&amp;TEXT(COUNTA($C$5:C18),"000"))</f>
        <v/>
      </c>
      <c r="C18" s="14" t="n"/>
      <c r="D18" s="14" t="n"/>
      <c r="E18" s="14" t="n"/>
      <c r="F18" s="14" t="n"/>
      <c r="G18" s="14" t="n"/>
      <c r="H18" s="29" t="n"/>
      <c r="I18" s="16" t="n"/>
      <c r="J18" s="14" t="n"/>
      <c r="K18" s="14" t="n"/>
    </row>
    <row r="19" ht="22" customHeight="1">
      <c r="B19" s="18">
        <f>IF(C19="","SYN-"&amp;TEXT(COUNTA($C$5:C19),"000"))</f>
        <v/>
      </c>
      <c r="C19" s="11" t="n"/>
      <c r="D19" s="11" t="n"/>
      <c r="E19" s="11" t="n"/>
      <c r="F19" s="11" t="n"/>
      <c r="G19" s="11" t="n"/>
      <c r="H19" s="28" t="n"/>
      <c r="I19" s="13" t="n"/>
      <c r="J19" s="11" t="n"/>
      <c r="K19" s="11" t="n"/>
    </row>
    <row r="20" ht="22" customHeight="1">
      <c r="B20" s="17">
        <f>IF(C20="","SYN-"&amp;TEXT(COUNTA($C$5:C20),"000"))</f>
        <v/>
      </c>
      <c r="C20" s="14" t="n"/>
      <c r="D20" s="14" t="n"/>
      <c r="E20" s="14" t="n"/>
      <c r="F20" s="14" t="n"/>
      <c r="G20" s="14" t="n"/>
      <c r="H20" s="29" t="n"/>
      <c r="I20" s="16" t="n"/>
      <c r="J20" s="14" t="n"/>
      <c r="K20" s="14" t="n"/>
    </row>
    <row r="21" ht="22" customHeight="1">
      <c r="B21" s="18">
        <f>IF(C21="","SYN-"&amp;TEXT(COUNTA($C$5:C21),"000"))</f>
        <v/>
      </c>
      <c r="C21" s="11" t="n"/>
      <c r="D21" s="11" t="n"/>
      <c r="E21" s="11" t="n"/>
      <c r="F21" s="11" t="n"/>
      <c r="G21" s="11" t="n"/>
      <c r="H21" s="28" t="n"/>
      <c r="I21" s="13" t="n"/>
      <c r="J21" s="11" t="n"/>
      <c r="K21" s="11" t="n"/>
    </row>
    <row r="22" ht="22" customHeight="1">
      <c r="B22" s="17">
        <f>IF(C22="","SYN-"&amp;TEXT(COUNTA($C$5:C22),"000"))</f>
        <v/>
      </c>
      <c r="C22" s="14" t="n"/>
      <c r="D22" s="14" t="n"/>
      <c r="E22" s="14" t="n"/>
      <c r="F22" s="14" t="n"/>
      <c r="G22" s="14" t="n"/>
      <c r="H22" s="29" t="n"/>
      <c r="I22" s="16" t="n"/>
      <c r="J22" s="14" t="n"/>
      <c r="K22" s="14" t="n"/>
    </row>
    <row r="23" ht="22" customHeight="1">
      <c r="B23" s="18">
        <f>IF(C23="","SYN-"&amp;TEXT(COUNTA($C$5:C23),"000"))</f>
        <v/>
      </c>
      <c r="C23" s="11" t="n"/>
      <c r="D23" s="11" t="n"/>
      <c r="E23" s="11" t="n"/>
      <c r="F23" s="11" t="n"/>
      <c r="G23" s="11" t="n"/>
      <c r="H23" s="28" t="n"/>
      <c r="I23" s="13" t="n"/>
      <c r="J23" s="11" t="n"/>
      <c r="K23" s="11" t="n"/>
    </row>
    <row r="24" ht="22" customHeight="1">
      <c r="B24" s="17">
        <f>IF(C24="","SYN-"&amp;TEXT(COUNTA($C$5:C24),"000"))</f>
        <v/>
      </c>
      <c r="C24" s="14" t="n"/>
      <c r="D24" s="14" t="n"/>
      <c r="E24" s="14" t="n"/>
      <c r="F24" s="14" t="n"/>
      <c r="G24" s="14" t="n"/>
      <c r="H24" s="29" t="n"/>
      <c r="I24" s="16" t="n"/>
      <c r="J24" s="14" t="n"/>
      <c r="K24" s="14" t="n"/>
    </row>
    <row r="25" ht="22" customHeight="1">
      <c r="B25" s="18">
        <f>IF(C25="","SYN-"&amp;TEXT(COUNTA($C$5:C25),"000"))</f>
        <v/>
      </c>
      <c r="C25" s="11" t="n"/>
      <c r="D25" s="11" t="n"/>
      <c r="E25" s="11" t="n"/>
      <c r="F25" s="11" t="n"/>
      <c r="G25" s="11" t="n"/>
      <c r="H25" s="28" t="n"/>
      <c r="I25" s="13" t="n"/>
      <c r="J25" s="11" t="n"/>
      <c r="K25" s="11" t="n"/>
    </row>
    <row r="26" ht="22" customHeight="1">
      <c r="B26" s="17">
        <f>IF(C26="","SYN-"&amp;TEXT(COUNTA($C$5:C26),"000"))</f>
        <v/>
      </c>
      <c r="C26" s="14" t="n"/>
      <c r="D26" s="14" t="n"/>
      <c r="E26" s="14" t="n"/>
      <c r="F26" s="14" t="n"/>
      <c r="G26" s="14" t="n"/>
      <c r="H26" s="29" t="n"/>
      <c r="I26" s="16" t="n"/>
      <c r="J26" s="14" t="n"/>
      <c r="K26" s="14" t="n"/>
    </row>
    <row r="27" ht="22" customHeight="1">
      <c r="B27" s="18">
        <f>IF(C27="","SYN-"&amp;TEXT(COUNTA($C$5:C27),"000"))</f>
        <v/>
      </c>
      <c r="C27" s="11" t="n"/>
      <c r="D27" s="11" t="n"/>
      <c r="E27" s="11" t="n"/>
      <c r="F27" s="11" t="n"/>
      <c r="G27" s="11" t="n"/>
      <c r="H27" s="28" t="n"/>
      <c r="I27" s="13" t="n"/>
      <c r="J27" s="11" t="n"/>
      <c r="K27" s="11" t="n"/>
    </row>
    <row r="28" ht="22" customHeight="1">
      <c r="B28" s="17">
        <f>IF(C28="","SYN-"&amp;TEXT(COUNTA($C$5:C28),"000"))</f>
        <v/>
      </c>
      <c r="C28" s="14" t="n"/>
      <c r="D28" s="14" t="n"/>
      <c r="E28" s="14" t="n"/>
      <c r="F28" s="14" t="n"/>
      <c r="G28" s="14" t="n"/>
      <c r="H28" s="29" t="n"/>
      <c r="I28" s="16" t="n"/>
      <c r="J28" s="14" t="n"/>
      <c r="K28" s="14" t="n"/>
    </row>
    <row r="29" ht="22" customHeight="1">
      <c r="B29" s="18">
        <f>IF(C29="","SYN-"&amp;TEXT(COUNTA($C$5:C29),"000"))</f>
        <v/>
      </c>
      <c r="C29" s="11" t="n"/>
      <c r="D29" s="11" t="n"/>
      <c r="E29" s="11" t="n"/>
      <c r="F29" s="11" t="n"/>
      <c r="G29" s="11" t="n"/>
      <c r="H29" s="28" t="n"/>
      <c r="I29" s="13" t="n"/>
      <c r="J29" s="11" t="n"/>
      <c r="K29" s="11" t="n"/>
    </row>
    <row r="30" ht="22" customHeight="1">
      <c r="B30" s="17">
        <f>IF(C30="","SYN-"&amp;TEXT(COUNTA($C$5:C30),"000"))</f>
        <v/>
      </c>
      <c r="C30" s="14" t="n"/>
      <c r="D30" s="14" t="n"/>
      <c r="E30" s="14" t="n"/>
      <c r="F30" s="14" t="n"/>
      <c r="G30" s="14" t="n"/>
      <c r="H30" s="29" t="n"/>
      <c r="I30" s="16" t="n"/>
      <c r="J30" s="14" t="n"/>
      <c r="K30" s="14" t="n"/>
    </row>
    <row r="31" ht="22" customHeight="1">
      <c r="B31" s="18">
        <f>IF(C31="","SYN-"&amp;TEXT(COUNTA($C$5:C31),"000"))</f>
        <v/>
      </c>
      <c r="C31" s="11" t="n"/>
      <c r="D31" s="11" t="n"/>
      <c r="E31" s="11" t="n"/>
      <c r="F31" s="11" t="n"/>
      <c r="G31" s="11" t="n"/>
      <c r="H31" s="28" t="n"/>
      <c r="I31" s="13" t="n"/>
      <c r="J31" s="11" t="n"/>
      <c r="K31" s="11" t="n"/>
    </row>
    <row r="32" ht="22" customHeight="1">
      <c r="B32" s="17">
        <f>IF(C32="","SYN-"&amp;TEXT(COUNTA($C$5:C32),"000"))</f>
        <v/>
      </c>
      <c r="C32" s="14" t="n"/>
      <c r="D32" s="14" t="n"/>
      <c r="E32" s="14" t="n"/>
      <c r="F32" s="14" t="n"/>
      <c r="G32" s="14" t="n"/>
      <c r="H32" s="29" t="n"/>
      <c r="I32" s="16" t="n"/>
      <c r="J32" s="14" t="n"/>
      <c r="K32" s="14" t="n"/>
    </row>
    <row r="33" ht="22" customHeight="1">
      <c r="B33" s="18">
        <f>IF(C33="","SYN-"&amp;TEXT(COUNTA($C$5:C33),"000"))</f>
        <v/>
      </c>
      <c r="C33" s="11" t="n"/>
      <c r="D33" s="11" t="n"/>
      <c r="E33" s="11" t="n"/>
      <c r="F33" s="11" t="n"/>
      <c r="G33" s="11" t="n"/>
      <c r="H33" s="28" t="n"/>
      <c r="I33" s="13" t="n"/>
      <c r="J33" s="11" t="n"/>
      <c r="K33" s="11" t="n"/>
    </row>
    <row r="34" ht="22" customHeight="1">
      <c r="B34" s="17">
        <f>IF(C34="","SYN-"&amp;TEXT(COUNTA($C$5:C34),"000"))</f>
        <v/>
      </c>
      <c r="C34" s="14" t="n"/>
      <c r="D34" s="14" t="n"/>
      <c r="E34" s="14" t="n"/>
      <c r="F34" s="14" t="n"/>
      <c r="G34" s="14" t="n"/>
      <c r="H34" s="29" t="n"/>
      <c r="I34" s="16" t="n"/>
      <c r="J34" s="14" t="n"/>
      <c r="K34" s="14" t="n"/>
    </row>
    <row r="35" ht="22" customHeight="1">
      <c r="B35" s="18">
        <f>IF(C35="","SYN-"&amp;TEXT(COUNTA($C$5:C35),"000"))</f>
        <v/>
      </c>
      <c r="C35" s="11" t="n"/>
      <c r="D35" s="11" t="n"/>
      <c r="E35" s="11" t="n"/>
      <c r="F35" s="11" t="n"/>
      <c r="G35" s="11" t="n"/>
      <c r="H35" s="28" t="n"/>
      <c r="I35" s="13" t="n"/>
      <c r="J35" s="11" t="n"/>
      <c r="K35" s="11" t="n"/>
    </row>
    <row r="36" ht="22" customHeight="1">
      <c r="B36" s="17">
        <f>IF(C36="","SYN-"&amp;TEXT(COUNTA($C$5:C36),"000"))</f>
        <v/>
      </c>
      <c r="C36" s="14" t="n"/>
      <c r="D36" s="14" t="n"/>
      <c r="E36" s="14" t="n"/>
      <c r="F36" s="14" t="n"/>
      <c r="G36" s="14" t="n"/>
      <c r="H36" s="29" t="n"/>
      <c r="I36" s="16" t="n"/>
      <c r="J36" s="14" t="n"/>
      <c r="K36" s="14" t="n"/>
    </row>
    <row r="37" ht="22" customHeight="1">
      <c r="B37" s="18">
        <f>IF(C37="","SYN-"&amp;TEXT(COUNTA($C$5:C37),"000"))</f>
        <v/>
      </c>
      <c r="C37" s="11" t="n"/>
      <c r="D37" s="11" t="n"/>
      <c r="E37" s="11" t="n"/>
      <c r="F37" s="11" t="n"/>
      <c r="G37" s="11" t="n"/>
      <c r="H37" s="28" t="n"/>
      <c r="I37" s="13" t="n"/>
      <c r="J37" s="11" t="n"/>
      <c r="K37" s="11" t="n"/>
    </row>
    <row r="38" ht="22" customHeight="1">
      <c r="B38" s="17">
        <f>IF(C38="","SYN-"&amp;TEXT(COUNTA($C$5:C38),"000"))</f>
        <v/>
      </c>
      <c r="C38" s="14" t="n"/>
      <c r="D38" s="14" t="n"/>
      <c r="E38" s="14" t="n"/>
      <c r="F38" s="14" t="n"/>
      <c r="G38" s="14" t="n"/>
      <c r="H38" s="29" t="n"/>
      <c r="I38" s="16" t="n"/>
      <c r="J38" s="14" t="n"/>
      <c r="K38" s="14" t="n"/>
    </row>
    <row r="39" ht="22" customHeight="1">
      <c r="B39" s="18">
        <f>IF(C39="","SYN-"&amp;TEXT(COUNTA($C$5:C39),"000"))</f>
        <v/>
      </c>
      <c r="C39" s="11" t="n"/>
      <c r="D39" s="11" t="n"/>
      <c r="E39" s="11" t="n"/>
      <c r="F39" s="11" t="n"/>
      <c r="G39" s="11" t="n"/>
      <c r="H39" s="28" t="n"/>
      <c r="I39" s="13" t="n"/>
      <c r="J39" s="11" t="n"/>
      <c r="K39" s="11" t="n"/>
    </row>
    <row r="40" ht="22" customHeight="1">
      <c r="B40" s="17">
        <f>IF(C40="","SYN-"&amp;TEXT(COUNTA($C$5:C40),"000"))</f>
        <v/>
      </c>
      <c r="C40" s="14" t="n"/>
      <c r="D40" s="14" t="n"/>
      <c r="E40" s="14" t="n"/>
      <c r="F40" s="14" t="n"/>
      <c r="G40" s="14" t="n"/>
      <c r="H40" s="29" t="n"/>
      <c r="I40" s="16" t="n"/>
      <c r="J40" s="14" t="n"/>
      <c r="K40" s="14" t="n"/>
    </row>
    <row r="41" ht="22" customHeight="1">
      <c r="B41" s="18">
        <f>IF(C41="","SYN-"&amp;TEXT(COUNTA($C$5:C41),"000"))</f>
        <v/>
      </c>
      <c r="C41" s="11" t="n"/>
      <c r="D41" s="11" t="n"/>
      <c r="E41" s="11" t="n"/>
      <c r="F41" s="11" t="n"/>
      <c r="G41" s="11" t="n"/>
      <c r="H41" s="28" t="n"/>
      <c r="I41" s="13" t="n"/>
      <c r="J41" s="11" t="n"/>
      <c r="K41" s="11" t="n"/>
    </row>
    <row r="42" ht="22" customHeight="1">
      <c r="B42" s="17">
        <f>IF(C42="","SYN-"&amp;TEXT(COUNTA($C$5:C42),"000"))</f>
        <v/>
      </c>
      <c r="C42" s="14" t="n"/>
      <c r="D42" s="14" t="n"/>
      <c r="E42" s="14" t="n"/>
      <c r="F42" s="14" t="n"/>
      <c r="G42" s="14" t="n"/>
      <c r="H42" s="29" t="n"/>
      <c r="I42" s="16" t="n"/>
      <c r="J42" s="14" t="n"/>
      <c r="K42" s="14" t="n"/>
    </row>
    <row r="43" ht="22" customHeight="1">
      <c r="B43" s="18">
        <f>IF(C43="","SYN-"&amp;TEXT(COUNTA($C$5:C43),"000"))</f>
        <v/>
      </c>
      <c r="C43" s="11" t="n"/>
      <c r="D43" s="11" t="n"/>
      <c r="E43" s="11" t="n"/>
      <c r="F43" s="11" t="n"/>
      <c r="G43" s="11" t="n"/>
      <c r="H43" s="28" t="n"/>
      <c r="I43" s="13" t="n"/>
      <c r="J43" s="11" t="n"/>
      <c r="K43" s="11" t="n"/>
    </row>
    <row r="44" ht="22" customHeight="1">
      <c r="B44" s="17">
        <f>IF(C44="","SYN-"&amp;TEXT(COUNTA($C$5:C44),"000"))</f>
        <v/>
      </c>
      <c r="C44" s="14" t="n"/>
      <c r="D44" s="14" t="n"/>
      <c r="E44" s="14" t="n"/>
      <c r="F44" s="14" t="n"/>
      <c r="G44" s="14" t="n"/>
      <c r="H44" s="29" t="n"/>
      <c r="I44" s="16" t="n"/>
      <c r="J44" s="14" t="n"/>
      <c r="K44" s="14" t="n"/>
    </row>
    <row r="45" ht="22" customHeight="1">
      <c r="B45" s="18">
        <f>IF(C45="","SYN-"&amp;TEXT(COUNTA($C$5:C45),"000"))</f>
        <v/>
      </c>
      <c r="C45" s="11" t="n"/>
      <c r="D45" s="11" t="n"/>
      <c r="E45" s="11" t="n"/>
      <c r="F45" s="11" t="n"/>
      <c r="G45" s="11" t="n"/>
      <c r="H45" s="28" t="n"/>
      <c r="I45" s="13" t="n"/>
      <c r="J45" s="11" t="n"/>
      <c r="K45" s="11" t="n"/>
    </row>
    <row r="46" ht="22" customHeight="1">
      <c r="B46" s="17">
        <f>IF(C46="","SYN-"&amp;TEXT(COUNTA($C$5:C46),"000"))</f>
        <v/>
      </c>
      <c r="C46" s="14" t="n"/>
      <c r="D46" s="14" t="n"/>
      <c r="E46" s="14" t="n"/>
      <c r="F46" s="14" t="n"/>
      <c r="G46" s="14" t="n"/>
      <c r="H46" s="29" t="n"/>
      <c r="I46" s="16" t="n"/>
      <c r="J46" s="14" t="n"/>
      <c r="K46" s="14" t="n"/>
    </row>
    <row r="47" ht="22" customHeight="1">
      <c r="B47" s="18">
        <f>IF(C47="","SYN-"&amp;TEXT(COUNTA($C$5:C47),"000"))</f>
        <v/>
      </c>
      <c r="C47" s="11" t="n"/>
      <c r="D47" s="11" t="n"/>
      <c r="E47" s="11" t="n"/>
      <c r="F47" s="11" t="n"/>
      <c r="G47" s="11" t="n"/>
      <c r="H47" s="28" t="n"/>
      <c r="I47" s="13" t="n"/>
      <c r="J47" s="11" t="n"/>
      <c r="K47" s="11" t="n"/>
    </row>
    <row r="48" ht="22" customHeight="1">
      <c r="B48" s="17">
        <f>IF(C48="","SYN-"&amp;TEXT(COUNTA($C$5:C48),"000"))</f>
        <v/>
      </c>
      <c r="C48" s="14" t="n"/>
      <c r="D48" s="14" t="n"/>
      <c r="E48" s="14" t="n"/>
      <c r="F48" s="14" t="n"/>
      <c r="G48" s="14" t="n"/>
      <c r="H48" s="29" t="n"/>
      <c r="I48" s="16" t="n"/>
      <c r="J48" s="14" t="n"/>
      <c r="K48" s="14" t="n"/>
    </row>
    <row r="49" ht="22" customHeight="1">
      <c r="B49" s="18">
        <f>IF(C49="","SYN-"&amp;TEXT(COUNTA($C$5:C49),"000"))</f>
        <v/>
      </c>
      <c r="C49" s="11" t="n"/>
      <c r="D49" s="11" t="n"/>
      <c r="E49" s="11" t="n"/>
      <c r="F49" s="11" t="n"/>
      <c r="G49" s="11" t="n"/>
      <c r="H49" s="28" t="n"/>
      <c r="I49" s="13" t="n"/>
      <c r="J49" s="11" t="n"/>
      <c r="K49" s="11" t="n"/>
    </row>
    <row r="50" ht="22" customHeight="1">
      <c r="B50" s="17">
        <f>IF(C50="","SYN-"&amp;TEXT(COUNTA($C$5:C50),"000"))</f>
        <v/>
      </c>
      <c r="C50" s="14" t="n"/>
      <c r="D50" s="14" t="n"/>
      <c r="E50" s="14" t="n"/>
      <c r="F50" s="14" t="n"/>
      <c r="G50" s="14" t="n"/>
      <c r="H50" s="29" t="n"/>
      <c r="I50" s="16" t="n"/>
      <c r="J50" s="14" t="n"/>
      <c r="K50" s="14" t="n"/>
    </row>
    <row r="51" ht="22" customHeight="1">
      <c r="B51" s="18">
        <f>IF(C51="","SYN-"&amp;TEXT(COUNTA($C$5:C51),"000"))</f>
        <v/>
      </c>
      <c r="C51" s="11" t="n"/>
      <c r="D51" s="11" t="n"/>
      <c r="E51" s="11" t="n"/>
      <c r="F51" s="11" t="n"/>
      <c r="G51" s="11" t="n"/>
      <c r="H51" s="28" t="n"/>
      <c r="I51" s="13" t="n"/>
      <c r="J51" s="11" t="n"/>
      <c r="K51" s="11" t="n"/>
    </row>
    <row r="52" ht="22" customHeight="1">
      <c r="B52" s="17">
        <f>IF(C52="","SYN-"&amp;TEXT(COUNTA($C$5:C52),"000"))</f>
        <v/>
      </c>
      <c r="C52" s="14" t="n"/>
      <c r="D52" s="14" t="n"/>
      <c r="E52" s="14" t="n"/>
      <c r="F52" s="14" t="n"/>
      <c r="G52" s="14" t="n"/>
      <c r="H52" s="29" t="n"/>
      <c r="I52" s="16" t="n"/>
      <c r="J52" s="14" t="n"/>
      <c r="K52" s="14" t="n"/>
    </row>
    <row r="53" ht="22" customHeight="1">
      <c r="B53" s="18">
        <f>IF(C53="","SYN-"&amp;TEXT(COUNTA($C$5:C53),"000"))</f>
        <v/>
      </c>
      <c r="C53" s="11" t="n"/>
      <c r="D53" s="11" t="n"/>
      <c r="E53" s="11" t="n"/>
      <c r="F53" s="11" t="n"/>
      <c r="G53" s="11" t="n"/>
      <c r="H53" s="28" t="n"/>
      <c r="I53" s="13" t="n"/>
      <c r="J53" s="11" t="n"/>
      <c r="K53" s="11" t="n"/>
    </row>
    <row r="54" ht="22" customHeight="1">
      <c r="B54" s="17">
        <f>IF(C54="","SYN-"&amp;TEXT(COUNTA($C$5:C54),"000"))</f>
        <v/>
      </c>
      <c r="C54" s="14" t="n"/>
      <c r="D54" s="14" t="n"/>
      <c r="E54" s="14" t="n"/>
      <c r="F54" s="14" t="n"/>
      <c r="G54" s="14" t="n"/>
      <c r="H54" s="29" t="n"/>
      <c r="I54" s="16" t="n"/>
      <c r="J54" s="14" t="n"/>
      <c r="K54" s="14" t="n"/>
    </row>
    <row r="55" ht="22" customHeight="1">
      <c r="B55" s="18">
        <f>IF(C55="","SYN-"&amp;TEXT(COUNTA($C$5:C55),"000"))</f>
        <v/>
      </c>
      <c r="C55" s="11" t="n"/>
      <c r="D55" s="11" t="n"/>
      <c r="E55" s="11" t="n"/>
      <c r="F55" s="11" t="n"/>
      <c r="G55" s="11" t="n"/>
      <c r="H55" s="28" t="n"/>
      <c r="I55" s="13" t="n"/>
      <c r="J55" s="11" t="n"/>
      <c r="K55" s="11" t="n"/>
    </row>
    <row r="56" ht="22" customHeight="1">
      <c r="B56" s="17">
        <f>IF(C56="","SYN-"&amp;TEXT(COUNTA($C$5:C56),"000"))</f>
        <v/>
      </c>
      <c r="C56" s="14" t="n"/>
      <c r="D56" s="14" t="n"/>
      <c r="E56" s="14" t="n"/>
      <c r="F56" s="14" t="n"/>
      <c r="G56" s="14" t="n"/>
      <c r="H56" s="29" t="n"/>
      <c r="I56" s="16" t="n"/>
      <c r="J56" s="14" t="n"/>
      <c r="K56" s="14" t="n"/>
    </row>
    <row r="57" ht="22" customHeight="1">
      <c r="B57" s="18">
        <f>IF(C57="","SYN-"&amp;TEXT(COUNTA($C$5:C57),"000"))</f>
        <v/>
      </c>
      <c r="C57" s="11" t="n"/>
      <c r="D57" s="11" t="n"/>
      <c r="E57" s="11" t="n"/>
      <c r="F57" s="11" t="n"/>
      <c r="G57" s="11" t="n"/>
      <c r="H57" s="28" t="n"/>
      <c r="I57" s="13" t="n"/>
      <c r="J57" s="11" t="n"/>
      <c r="K57" s="11" t="n"/>
    </row>
    <row r="58" ht="22" customHeight="1">
      <c r="B58" s="17">
        <f>IF(C58="","SYN-"&amp;TEXT(COUNTA($C$5:C58),"000"))</f>
        <v/>
      </c>
      <c r="C58" s="14" t="n"/>
      <c r="D58" s="14" t="n"/>
      <c r="E58" s="14" t="n"/>
      <c r="F58" s="14" t="n"/>
      <c r="G58" s="14" t="n"/>
      <c r="H58" s="29" t="n"/>
      <c r="I58" s="16" t="n"/>
      <c r="J58" s="14" t="n"/>
      <c r="K58" s="14" t="n"/>
    </row>
    <row r="59" ht="22" customHeight="1">
      <c r="B59" s="18">
        <f>IF(C59="","SYN-"&amp;TEXT(COUNTA($C$5:C59),"000"))</f>
        <v/>
      </c>
      <c r="C59" s="11" t="n"/>
      <c r="D59" s="11" t="n"/>
      <c r="E59" s="11" t="n"/>
      <c r="F59" s="11" t="n"/>
      <c r="G59" s="11" t="n"/>
      <c r="H59" s="28" t="n"/>
      <c r="I59" s="13" t="n"/>
      <c r="J59" s="11" t="n"/>
      <c r="K59" s="11" t="n"/>
    </row>
    <row r="60" ht="22" customHeight="1">
      <c r="B60" s="17">
        <f>IF(C60="","SYN-"&amp;TEXT(COUNTA($C$5:C60),"000"))</f>
        <v/>
      </c>
      <c r="C60" s="14" t="n"/>
      <c r="D60" s="14" t="n"/>
      <c r="E60" s="14" t="n"/>
      <c r="F60" s="14" t="n"/>
      <c r="G60" s="14" t="n"/>
      <c r="H60" s="29" t="n"/>
      <c r="I60" s="16" t="n"/>
      <c r="J60" s="14" t="n"/>
      <c r="K60" s="14" t="n"/>
    </row>
    <row r="61" ht="22" customHeight="1">
      <c r="B61" s="18">
        <f>IF(C61="","SYN-"&amp;TEXT(COUNTA($C$5:C61),"000"))</f>
        <v/>
      </c>
      <c r="C61" s="11" t="n"/>
      <c r="D61" s="11" t="n"/>
      <c r="E61" s="11" t="n"/>
      <c r="F61" s="11" t="n"/>
      <c r="G61" s="11" t="n"/>
      <c r="H61" s="28" t="n"/>
      <c r="I61" s="13" t="n"/>
      <c r="J61" s="11" t="n"/>
      <c r="K61" s="11" t="n"/>
    </row>
    <row r="62" ht="22" customHeight="1">
      <c r="B62" s="17">
        <f>IF(C62="","SYN-"&amp;TEXT(COUNTA($C$5:C62),"000"))</f>
        <v/>
      </c>
      <c r="C62" s="14" t="n"/>
      <c r="D62" s="14" t="n"/>
      <c r="E62" s="14" t="n"/>
      <c r="F62" s="14" t="n"/>
      <c r="G62" s="14" t="n"/>
      <c r="H62" s="29" t="n"/>
      <c r="I62" s="16" t="n"/>
      <c r="J62" s="14" t="n"/>
      <c r="K62" s="14" t="n"/>
    </row>
    <row r="63" ht="22" customHeight="1">
      <c r="B63" s="18">
        <f>IF(C63="","SYN-"&amp;TEXT(COUNTA($C$5:C63),"000"))</f>
        <v/>
      </c>
      <c r="C63" s="11" t="n"/>
      <c r="D63" s="11" t="n"/>
      <c r="E63" s="11" t="n"/>
      <c r="F63" s="11" t="n"/>
      <c r="G63" s="11" t="n"/>
      <c r="H63" s="28" t="n"/>
      <c r="I63" s="13" t="n"/>
      <c r="J63" s="11" t="n"/>
      <c r="K63" s="11" t="n"/>
    </row>
    <row r="64" ht="22" customHeight="1">
      <c r="B64" s="17">
        <f>IF(C64="","SYN-"&amp;TEXT(COUNTA($C$5:C64),"000"))</f>
        <v/>
      </c>
      <c r="C64" s="14" t="n"/>
      <c r="D64" s="14" t="n"/>
      <c r="E64" s="14" t="n"/>
      <c r="F64" s="14" t="n"/>
      <c r="G64" s="14" t="n"/>
      <c r="H64" s="29" t="n"/>
      <c r="I64" s="16" t="n"/>
      <c r="J64" s="14" t="n"/>
      <c r="K64" s="14" t="n"/>
    </row>
    <row r="65" ht="22" customHeight="1">
      <c r="B65" s="18">
        <f>IF(C65="","SYN-"&amp;TEXT(COUNTA($C$5:C65),"000"))</f>
        <v/>
      </c>
      <c r="C65" s="11" t="n"/>
      <c r="D65" s="11" t="n"/>
      <c r="E65" s="11" t="n"/>
      <c r="F65" s="11" t="n"/>
      <c r="G65" s="11" t="n"/>
      <c r="H65" s="28" t="n"/>
      <c r="I65" s="13" t="n"/>
      <c r="J65" s="11" t="n"/>
      <c r="K65" s="11" t="n"/>
    </row>
    <row r="66" ht="22" customHeight="1">
      <c r="B66" s="17">
        <f>IF(C66="","SYN-"&amp;TEXT(COUNTA($C$5:C66),"000"))</f>
        <v/>
      </c>
      <c r="C66" s="14" t="n"/>
      <c r="D66" s="14" t="n"/>
      <c r="E66" s="14" t="n"/>
      <c r="F66" s="14" t="n"/>
      <c r="G66" s="14" t="n"/>
      <c r="H66" s="29" t="n"/>
      <c r="I66" s="16" t="n"/>
      <c r="J66" s="14" t="n"/>
      <c r="K66" s="14" t="n"/>
    </row>
    <row r="67" ht="22" customHeight="1">
      <c r="B67" s="18">
        <f>IF(C67="","SYN-"&amp;TEXT(COUNTA($C$5:C67),"000"))</f>
        <v/>
      </c>
      <c r="C67" s="11" t="n"/>
      <c r="D67" s="11" t="n"/>
      <c r="E67" s="11" t="n"/>
      <c r="F67" s="11" t="n"/>
      <c r="G67" s="11" t="n"/>
      <c r="H67" s="28" t="n"/>
      <c r="I67" s="13" t="n"/>
      <c r="J67" s="11" t="n"/>
      <c r="K67" s="11" t="n"/>
    </row>
    <row r="68" ht="22" customHeight="1">
      <c r="B68" s="17">
        <f>IF(C68="","SYN-"&amp;TEXT(COUNTA($C$5:C68),"000"))</f>
        <v/>
      </c>
      <c r="C68" s="14" t="n"/>
      <c r="D68" s="14" t="n"/>
      <c r="E68" s="14" t="n"/>
      <c r="F68" s="14" t="n"/>
      <c r="G68" s="14" t="n"/>
      <c r="H68" s="29" t="n"/>
      <c r="I68" s="16" t="n"/>
      <c r="J68" s="14" t="n"/>
      <c r="K68" s="14" t="n"/>
    </row>
    <row r="69" ht="22" customHeight="1">
      <c r="B69" s="18">
        <f>IF(C69="","SYN-"&amp;TEXT(COUNTA($C$5:C69),"000"))</f>
        <v/>
      </c>
      <c r="C69" s="11" t="n"/>
      <c r="D69" s="11" t="n"/>
      <c r="E69" s="11" t="n"/>
      <c r="F69" s="11" t="n"/>
      <c r="G69" s="11" t="n"/>
      <c r="H69" s="28" t="n"/>
      <c r="I69" s="13" t="n"/>
      <c r="J69" s="11" t="n"/>
      <c r="K69" s="11" t="n"/>
    </row>
    <row r="70" ht="22" customHeight="1">
      <c r="B70" s="17">
        <f>IF(C70="","SYN-"&amp;TEXT(COUNTA($C$5:C70),"000"))</f>
        <v/>
      </c>
      <c r="C70" s="14" t="n"/>
      <c r="D70" s="14" t="n"/>
      <c r="E70" s="14" t="n"/>
      <c r="F70" s="14" t="n"/>
      <c r="G70" s="14" t="n"/>
      <c r="H70" s="29" t="n"/>
      <c r="I70" s="16" t="n"/>
      <c r="J70" s="14" t="n"/>
      <c r="K70" s="14" t="n"/>
    </row>
    <row r="71" ht="22" customHeight="1">
      <c r="B71" s="18">
        <f>IF(C71="","SYN-"&amp;TEXT(COUNTA($C$5:C71),"000"))</f>
        <v/>
      </c>
      <c r="C71" s="11" t="n"/>
      <c r="D71" s="11" t="n"/>
      <c r="E71" s="11" t="n"/>
      <c r="F71" s="11" t="n"/>
      <c r="G71" s="11" t="n"/>
      <c r="H71" s="28" t="n"/>
      <c r="I71" s="13" t="n"/>
      <c r="J71" s="11" t="n"/>
      <c r="K71" s="11" t="n"/>
    </row>
    <row r="72" ht="22" customHeight="1">
      <c r="B72" s="17">
        <f>IF(C72="","SYN-"&amp;TEXT(COUNTA($C$5:C72),"000"))</f>
        <v/>
      </c>
      <c r="C72" s="14" t="n"/>
      <c r="D72" s="14" t="n"/>
      <c r="E72" s="14" t="n"/>
      <c r="F72" s="14" t="n"/>
      <c r="G72" s="14" t="n"/>
      <c r="H72" s="29" t="n"/>
      <c r="I72" s="16" t="n"/>
      <c r="J72" s="14" t="n"/>
      <c r="K72" s="14" t="n"/>
    </row>
    <row r="73" ht="22" customHeight="1">
      <c r="B73" s="18">
        <f>IF(C73="","SYN-"&amp;TEXT(COUNTA($C$5:C73),"000"))</f>
        <v/>
      </c>
      <c r="C73" s="11" t="n"/>
      <c r="D73" s="11" t="n"/>
      <c r="E73" s="11" t="n"/>
      <c r="F73" s="11" t="n"/>
      <c r="G73" s="11" t="n"/>
      <c r="H73" s="28" t="n"/>
      <c r="I73" s="13" t="n"/>
      <c r="J73" s="11" t="n"/>
      <c r="K73" s="11" t="n"/>
    </row>
    <row r="74" ht="22" customHeight="1">
      <c r="B74" s="17">
        <f>IF(C74="","SYN-"&amp;TEXT(COUNTA($C$5:C74),"000"))</f>
        <v/>
      </c>
      <c r="C74" s="14" t="n"/>
      <c r="D74" s="14" t="n"/>
      <c r="E74" s="14" t="n"/>
      <c r="F74" s="14" t="n"/>
      <c r="G74" s="14" t="n"/>
      <c r="H74" s="29" t="n"/>
      <c r="I74" s="16" t="n"/>
      <c r="J74" s="14" t="n"/>
      <c r="K74" s="14" t="n"/>
    </row>
    <row r="75" ht="22" customHeight="1">
      <c r="B75" s="18">
        <f>IF(C75="","SYN-"&amp;TEXT(COUNTA($C$5:C75),"000"))</f>
        <v/>
      </c>
      <c r="C75" s="11" t="n"/>
      <c r="D75" s="11" t="n"/>
      <c r="E75" s="11" t="n"/>
      <c r="F75" s="11" t="n"/>
      <c r="G75" s="11" t="n"/>
      <c r="H75" s="28" t="n"/>
      <c r="I75" s="13" t="n"/>
      <c r="J75" s="11" t="n"/>
      <c r="K75" s="11" t="n"/>
    </row>
    <row r="76" ht="22" customHeight="1">
      <c r="B76" s="17">
        <f>IF(C76="","SYN-"&amp;TEXT(COUNTA($C$5:C76),"000"))</f>
        <v/>
      </c>
      <c r="C76" s="14" t="n"/>
      <c r="D76" s="14" t="n"/>
      <c r="E76" s="14" t="n"/>
      <c r="F76" s="14" t="n"/>
      <c r="G76" s="14" t="n"/>
      <c r="H76" s="29" t="n"/>
      <c r="I76" s="16" t="n"/>
      <c r="J76" s="14" t="n"/>
      <c r="K76" s="14" t="n"/>
    </row>
    <row r="77" ht="22" customHeight="1">
      <c r="B77" s="18">
        <f>IF(C77="","SYN-"&amp;TEXT(COUNTA($C$5:C77),"000"))</f>
        <v/>
      </c>
      <c r="C77" s="11" t="n"/>
      <c r="D77" s="11" t="n"/>
      <c r="E77" s="11" t="n"/>
      <c r="F77" s="11" t="n"/>
      <c r="G77" s="11" t="n"/>
      <c r="H77" s="28" t="n"/>
      <c r="I77" s="13" t="n"/>
      <c r="J77" s="11" t="n"/>
      <c r="K77" s="11" t="n"/>
    </row>
    <row r="78" ht="22" customHeight="1">
      <c r="B78" s="17">
        <f>IF(C78="","SYN-"&amp;TEXT(COUNTA($C$5:C78),"000"))</f>
        <v/>
      </c>
      <c r="C78" s="14" t="n"/>
      <c r="D78" s="14" t="n"/>
      <c r="E78" s="14" t="n"/>
      <c r="F78" s="14" t="n"/>
      <c r="G78" s="14" t="n"/>
      <c r="H78" s="29" t="n"/>
      <c r="I78" s="16" t="n"/>
      <c r="J78" s="14" t="n"/>
      <c r="K78" s="14" t="n"/>
    </row>
    <row r="79" ht="22" customHeight="1">
      <c r="B79" s="18">
        <f>IF(C79="","SYN-"&amp;TEXT(COUNTA($C$5:C79),"000"))</f>
        <v/>
      </c>
      <c r="C79" s="11" t="n"/>
      <c r="D79" s="11" t="n"/>
      <c r="E79" s="11" t="n"/>
      <c r="F79" s="11" t="n"/>
      <c r="G79" s="11" t="n"/>
      <c r="H79" s="28" t="n"/>
      <c r="I79" s="13" t="n"/>
      <c r="J79" s="11" t="n"/>
      <c r="K79" s="11" t="n"/>
    </row>
    <row r="80" ht="22" customHeight="1">
      <c r="B80" s="17">
        <f>IF(C80="","SYN-"&amp;TEXT(COUNTA($C$5:C80),"000"))</f>
        <v/>
      </c>
      <c r="C80" s="14" t="n"/>
      <c r="D80" s="14" t="n"/>
      <c r="E80" s="14" t="n"/>
      <c r="F80" s="14" t="n"/>
      <c r="G80" s="14" t="n"/>
      <c r="H80" s="29" t="n"/>
      <c r="I80" s="16" t="n"/>
      <c r="J80" s="14" t="n"/>
      <c r="K80" s="14" t="n"/>
    </row>
    <row r="81" ht="22" customHeight="1">
      <c r="B81" s="18">
        <f>IF(C81="","SYN-"&amp;TEXT(COUNTA($C$5:C81),"000"))</f>
        <v/>
      </c>
      <c r="C81" s="11" t="n"/>
      <c r="D81" s="11" t="n"/>
      <c r="E81" s="11" t="n"/>
      <c r="F81" s="11" t="n"/>
      <c r="G81" s="11" t="n"/>
      <c r="H81" s="28" t="n"/>
      <c r="I81" s="13" t="n"/>
      <c r="J81" s="11" t="n"/>
      <c r="K81" s="11" t="n"/>
    </row>
    <row r="82" ht="22" customHeight="1">
      <c r="B82" s="17">
        <f>IF(C82="","SYN-"&amp;TEXT(COUNTA($C$5:C82),"000"))</f>
        <v/>
      </c>
      <c r="C82" s="14" t="n"/>
      <c r="D82" s="14" t="n"/>
      <c r="E82" s="14" t="n"/>
      <c r="F82" s="14" t="n"/>
      <c r="G82" s="14" t="n"/>
      <c r="H82" s="29" t="n"/>
      <c r="I82" s="16" t="n"/>
      <c r="J82" s="14" t="n"/>
      <c r="K82" s="14" t="n"/>
    </row>
    <row r="83" ht="22" customHeight="1">
      <c r="B83" s="18">
        <f>IF(C83="","SYN-"&amp;TEXT(COUNTA($C$5:C83),"000"))</f>
        <v/>
      </c>
      <c r="C83" s="11" t="n"/>
      <c r="D83" s="11" t="n"/>
      <c r="E83" s="11" t="n"/>
      <c r="F83" s="11" t="n"/>
      <c r="G83" s="11" t="n"/>
      <c r="H83" s="28" t="n"/>
      <c r="I83" s="13" t="n"/>
      <c r="J83" s="11" t="n"/>
      <c r="K83" s="11" t="n"/>
    </row>
    <row r="84" ht="22" customHeight="1">
      <c r="B84" s="17">
        <f>IF(C84="","SYN-"&amp;TEXT(COUNTA($C$5:C84),"000"))</f>
        <v/>
      </c>
      <c r="C84" s="14" t="n"/>
      <c r="D84" s="14" t="n"/>
      <c r="E84" s="14" t="n"/>
      <c r="F84" s="14" t="n"/>
      <c r="G84" s="14" t="n"/>
      <c r="H84" s="29" t="n"/>
      <c r="I84" s="16" t="n"/>
      <c r="J84" s="14" t="n"/>
      <c r="K84" s="14" t="n"/>
    </row>
    <row r="85" ht="22" customHeight="1">
      <c r="B85" s="18">
        <f>IF(C85="","SYN-"&amp;TEXT(COUNTA($C$5:C85),"000"))</f>
        <v/>
      </c>
      <c r="C85" s="11" t="n"/>
      <c r="D85" s="11" t="n"/>
      <c r="E85" s="11" t="n"/>
      <c r="F85" s="11" t="n"/>
      <c r="G85" s="11" t="n"/>
      <c r="H85" s="28" t="n"/>
      <c r="I85" s="13" t="n"/>
      <c r="J85" s="11" t="n"/>
      <c r="K85" s="11" t="n"/>
    </row>
    <row r="86" ht="22" customHeight="1">
      <c r="B86" s="17">
        <f>IF(C86="","SYN-"&amp;TEXT(COUNTA($C$5:C86),"000"))</f>
        <v/>
      </c>
      <c r="C86" s="14" t="n"/>
      <c r="D86" s="14" t="n"/>
      <c r="E86" s="14" t="n"/>
      <c r="F86" s="14" t="n"/>
      <c r="G86" s="14" t="n"/>
      <c r="H86" s="29" t="n"/>
      <c r="I86" s="16" t="n"/>
      <c r="J86" s="14" t="n"/>
      <c r="K86" s="14" t="n"/>
    </row>
    <row r="87" ht="22" customHeight="1">
      <c r="B87" s="18">
        <f>IF(C87="","SYN-"&amp;TEXT(COUNTA($C$5:C87),"000"))</f>
        <v/>
      </c>
      <c r="C87" s="11" t="n"/>
      <c r="D87" s="11" t="n"/>
      <c r="E87" s="11" t="n"/>
      <c r="F87" s="11" t="n"/>
      <c r="G87" s="11" t="n"/>
      <c r="H87" s="28" t="n"/>
      <c r="I87" s="13" t="n"/>
      <c r="J87" s="11" t="n"/>
      <c r="K87" s="11" t="n"/>
    </row>
    <row r="88" ht="22" customHeight="1">
      <c r="B88" s="17">
        <f>IF(C88="","SYN-"&amp;TEXT(COUNTA($C$5:C88),"000"))</f>
        <v/>
      </c>
      <c r="C88" s="14" t="n"/>
      <c r="D88" s="14" t="n"/>
      <c r="E88" s="14" t="n"/>
      <c r="F88" s="14" t="n"/>
      <c r="G88" s="14" t="n"/>
      <c r="H88" s="29" t="n"/>
      <c r="I88" s="16" t="n"/>
      <c r="J88" s="14" t="n"/>
      <c r="K88" s="14" t="n"/>
    </row>
    <row r="89" ht="22" customHeight="1">
      <c r="B89" s="18">
        <f>IF(C89="","SYN-"&amp;TEXT(COUNTA($C$5:C89),"000"))</f>
        <v/>
      </c>
      <c r="C89" s="11" t="n"/>
      <c r="D89" s="11" t="n"/>
      <c r="E89" s="11" t="n"/>
      <c r="F89" s="11" t="n"/>
      <c r="G89" s="11" t="n"/>
      <c r="H89" s="28" t="n"/>
      <c r="I89" s="13" t="n"/>
      <c r="J89" s="11" t="n"/>
      <c r="K89" s="11" t="n"/>
    </row>
    <row r="90" ht="22" customHeight="1">
      <c r="B90" s="17">
        <f>IF(C90="","SYN-"&amp;TEXT(COUNTA($C$5:C90),"000"))</f>
        <v/>
      </c>
      <c r="C90" s="14" t="n"/>
      <c r="D90" s="14" t="n"/>
      <c r="E90" s="14" t="n"/>
      <c r="F90" s="14" t="n"/>
      <c r="G90" s="14" t="n"/>
      <c r="H90" s="29" t="n"/>
      <c r="I90" s="16" t="n"/>
      <c r="J90" s="14" t="n"/>
      <c r="K90" s="14" t="n"/>
    </row>
    <row r="91" ht="22" customHeight="1">
      <c r="B91" s="18">
        <f>IF(C91="","SYN-"&amp;TEXT(COUNTA($C$5:C91),"000"))</f>
        <v/>
      </c>
      <c r="C91" s="11" t="n"/>
      <c r="D91" s="11" t="n"/>
      <c r="E91" s="11" t="n"/>
      <c r="F91" s="11" t="n"/>
      <c r="G91" s="11" t="n"/>
      <c r="H91" s="28" t="n"/>
      <c r="I91" s="13" t="n"/>
      <c r="J91" s="11" t="n"/>
      <c r="K91" s="11" t="n"/>
    </row>
    <row r="92" ht="22" customHeight="1">
      <c r="B92" s="17">
        <f>IF(C92="","SYN-"&amp;TEXT(COUNTA($C$5:C92),"000"))</f>
        <v/>
      </c>
      <c r="C92" s="14" t="n"/>
      <c r="D92" s="14" t="n"/>
      <c r="E92" s="14" t="n"/>
      <c r="F92" s="14" t="n"/>
      <c r="G92" s="14" t="n"/>
      <c r="H92" s="29" t="n"/>
      <c r="I92" s="16" t="n"/>
      <c r="J92" s="14" t="n"/>
      <c r="K92" s="14" t="n"/>
    </row>
    <row r="93" ht="22" customHeight="1">
      <c r="B93" s="18">
        <f>IF(C93="","SYN-"&amp;TEXT(COUNTA($C$5:C93),"000"))</f>
        <v/>
      </c>
      <c r="C93" s="11" t="n"/>
      <c r="D93" s="11" t="n"/>
      <c r="E93" s="11" t="n"/>
      <c r="F93" s="11" t="n"/>
      <c r="G93" s="11" t="n"/>
      <c r="H93" s="28" t="n"/>
      <c r="I93" s="13" t="n"/>
      <c r="J93" s="11" t="n"/>
      <c r="K93" s="11" t="n"/>
    </row>
    <row r="94" ht="22" customHeight="1">
      <c r="B94" s="17">
        <f>IF(C94="","SYN-"&amp;TEXT(COUNTA($C$5:C94),"000"))</f>
        <v/>
      </c>
      <c r="C94" s="14" t="n"/>
      <c r="D94" s="14" t="n"/>
      <c r="E94" s="14" t="n"/>
      <c r="F94" s="14" t="n"/>
      <c r="G94" s="14" t="n"/>
      <c r="H94" s="29" t="n"/>
      <c r="I94" s="16" t="n"/>
      <c r="J94" s="14" t="n"/>
      <c r="K94" s="14" t="n"/>
    </row>
    <row r="95" ht="22" customHeight="1">
      <c r="B95" s="18">
        <f>IF(C95="","SYN-"&amp;TEXT(COUNTA($C$5:C95),"000"))</f>
        <v/>
      </c>
      <c r="C95" s="11" t="n"/>
      <c r="D95" s="11" t="n"/>
      <c r="E95" s="11" t="n"/>
      <c r="F95" s="11" t="n"/>
      <c r="G95" s="11" t="n"/>
      <c r="H95" s="28" t="n"/>
      <c r="I95" s="13" t="n"/>
      <c r="J95" s="11" t="n"/>
      <c r="K95" s="11" t="n"/>
    </row>
    <row r="96" ht="22" customHeight="1">
      <c r="B96" s="17">
        <f>IF(C96="","SYN-"&amp;TEXT(COUNTA($C$5:C96),"000"))</f>
        <v/>
      </c>
      <c r="C96" s="14" t="n"/>
      <c r="D96" s="14" t="n"/>
      <c r="E96" s="14" t="n"/>
      <c r="F96" s="14" t="n"/>
      <c r="G96" s="14" t="n"/>
      <c r="H96" s="29" t="n"/>
      <c r="I96" s="16" t="n"/>
      <c r="J96" s="14" t="n"/>
      <c r="K96" s="14" t="n"/>
    </row>
    <row r="97" ht="22" customHeight="1">
      <c r="B97" s="18">
        <f>IF(C97="","SYN-"&amp;TEXT(COUNTA($C$5:C97),"000"))</f>
        <v/>
      </c>
      <c r="C97" s="11" t="n"/>
      <c r="D97" s="11" t="n"/>
      <c r="E97" s="11" t="n"/>
      <c r="F97" s="11" t="n"/>
      <c r="G97" s="11" t="n"/>
      <c r="H97" s="28" t="n"/>
      <c r="I97" s="13" t="n"/>
      <c r="J97" s="11" t="n"/>
      <c r="K97" s="11" t="n"/>
    </row>
    <row r="98" ht="22" customHeight="1">
      <c r="B98" s="17">
        <f>IF(C98="","SYN-"&amp;TEXT(COUNTA($C$5:C98),"000"))</f>
        <v/>
      </c>
      <c r="C98" s="14" t="n"/>
      <c r="D98" s="14" t="n"/>
      <c r="E98" s="14" t="n"/>
      <c r="F98" s="14" t="n"/>
      <c r="G98" s="14" t="n"/>
      <c r="H98" s="29" t="n"/>
      <c r="I98" s="16" t="n"/>
      <c r="J98" s="14" t="n"/>
      <c r="K98" s="14" t="n"/>
    </row>
    <row r="99" ht="22" customHeight="1">
      <c r="B99" s="18">
        <f>IF(C99="","SYN-"&amp;TEXT(COUNTA($C$5:C99),"000"))</f>
        <v/>
      </c>
      <c r="C99" s="11" t="n"/>
      <c r="D99" s="11" t="n"/>
      <c r="E99" s="11" t="n"/>
      <c r="F99" s="11" t="n"/>
      <c r="G99" s="11" t="n"/>
      <c r="H99" s="28" t="n"/>
      <c r="I99" s="13" t="n"/>
      <c r="J99" s="11" t="n"/>
      <c r="K99" s="11" t="n"/>
    </row>
    <row r="100" ht="22" customHeight="1">
      <c r="B100" s="17">
        <f>IF(C100="","SYN-"&amp;TEXT(COUNTA($C$5:C100),"000"))</f>
        <v/>
      </c>
      <c r="C100" s="14" t="n"/>
      <c r="D100" s="14" t="n"/>
      <c r="E100" s="14" t="n"/>
      <c r="F100" s="14" t="n"/>
      <c r="G100" s="14" t="n"/>
      <c r="H100" s="29" t="n"/>
      <c r="I100" s="16" t="n"/>
      <c r="J100" s="14" t="n"/>
      <c r="K100" s="14" t="n"/>
    </row>
    <row r="101" ht="22" customHeight="1">
      <c r="B101" s="18">
        <f>IF(C101="","SYN-"&amp;TEXT(COUNTA($C$5:C101),"000"))</f>
        <v/>
      </c>
      <c r="C101" s="11" t="n"/>
      <c r="D101" s="11" t="n"/>
      <c r="E101" s="11" t="n"/>
      <c r="F101" s="11" t="n"/>
      <c r="G101" s="11" t="n"/>
      <c r="H101" s="28" t="n"/>
      <c r="I101" s="13" t="n"/>
      <c r="J101" s="11" t="n"/>
      <c r="K101" s="11" t="n"/>
    </row>
    <row r="102" ht="22" customHeight="1">
      <c r="B102" s="17">
        <f>IF(C102="","SYN-"&amp;TEXT(COUNTA($C$5:C102),"000"))</f>
        <v/>
      </c>
      <c r="C102" s="14" t="n"/>
      <c r="D102" s="14" t="n"/>
      <c r="E102" s="14" t="n"/>
      <c r="F102" s="14" t="n"/>
      <c r="G102" s="14" t="n"/>
      <c r="H102" s="29" t="n"/>
      <c r="I102" s="16" t="n"/>
      <c r="J102" s="14" t="n"/>
      <c r="K102" s="14" t="n"/>
    </row>
    <row r="103" ht="22" customHeight="1">
      <c r="B103" s="18">
        <f>IF(C103="","SYN-"&amp;TEXT(COUNTA($C$5:C103),"000"))</f>
        <v/>
      </c>
      <c r="C103" s="11" t="n"/>
      <c r="D103" s="11" t="n"/>
      <c r="E103" s="11" t="n"/>
      <c r="F103" s="11" t="n"/>
      <c r="G103" s="11" t="n"/>
      <c r="H103" s="28" t="n"/>
      <c r="I103" s="13" t="n"/>
      <c r="J103" s="11" t="n"/>
      <c r="K103" s="11" t="n"/>
    </row>
    <row r="104" ht="22" customHeight="1">
      <c r="B104" s="17">
        <f>IF(C104="","SYN-"&amp;TEXT(COUNTA($C$5:C104),"000"))</f>
        <v/>
      </c>
      <c r="C104" s="14" t="n"/>
      <c r="D104" s="14" t="n"/>
      <c r="E104" s="14" t="n"/>
      <c r="F104" s="14" t="n"/>
      <c r="G104" s="14" t="n"/>
      <c r="H104" s="29" t="n"/>
      <c r="I104" s="16" t="n"/>
      <c r="J104" s="14" t="n"/>
      <c r="K104" s="14" t="n"/>
    </row>
    <row r="105" ht="22" customHeight="1">
      <c r="B105" s="18">
        <f>IF(C105="","SYN-"&amp;TEXT(COUNTA($C$5:C105),"000"))</f>
        <v/>
      </c>
      <c r="C105" s="11" t="n"/>
      <c r="D105" s="11" t="n"/>
      <c r="E105" s="11" t="n"/>
      <c r="F105" s="11" t="n"/>
      <c r="G105" s="11" t="n"/>
      <c r="H105" s="28" t="n"/>
      <c r="I105" s="13" t="n"/>
      <c r="J105" s="11" t="n"/>
      <c r="K105" s="11" t="n"/>
    </row>
    <row r="106" ht="22" customHeight="1">
      <c r="B106" s="17">
        <f>IF(C106="","SYN-"&amp;TEXT(COUNTA($C$5:C106),"000"))</f>
        <v/>
      </c>
      <c r="C106" s="14" t="n"/>
      <c r="D106" s="14" t="n"/>
      <c r="E106" s="14" t="n"/>
      <c r="F106" s="14" t="n"/>
      <c r="G106" s="14" t="n"/>
      <c r="H106" s="29" t="n"/>
      <c r="I106" s="16" t="n"/>
      <c r="J106" s="14" t="n"/>
      <c r="K106" s="14" t="n"/>
    </row>
    <row r="107" ht="22" customHeight="1">
      <c r="B107" s="18">
        <f>IF(C107="","SYN-"&amp;TEXT(COUNTA($C$5:C107),"000"))</f>
        <v/>
      </c>
      <c r="C107" s="11" t="n"/>
      <c r="D107" s="11" t="n"/>
      <c r="E107" s="11" t="n"/>
      <c r="F107" s="11" t="n"/>
      <c r="G107" s="11" t="n"/>
      <c r="H107" s="28" t="n"/>
      <c r="I107" s="13" t="n"/>
      <c r="J107" s="11" t="n"/>
      <c r="K107" s="11" t="n"/>
    </row>
    <row r="108" ht="22" customHeight="1">
      <c r="B108" s="17">
        <f>IF(C108="","SYN-"&amp;TEXT(COUNTA($C$5:C108),"000"))</f>
        <v/>
      </c>
      <c r="C108" s="14" t="n"/>
      <c r="D108" s="14" t="n"/>
      <c r="E108" s="14" t="n"/>
      <c r="F108" s="14" t="n"/>
      <c r="G108" s="14" t="n"/>
      <c r="H108" s="29" t="n"/>
      <c r="I108" s="16" t="n"/>
      <c r="J108" s="14" t="n"/>
      <c r="K108" s="14" t="n"/>
    </row>
    <row r="109" ht="22" customHeight="1">
      <c r="B109" s="18">
        <f>IF(C109="","SYN-"&amp;TEXT(COUNTA($C$5:C109),"000"))</f>
        <v/>
      </c>
      <c r="C109" s="11" t="n"/>
      <c r="D109" s="11" t="n"/>
      <c r="E109" s="11" t="n"/>
      <c r="F109" s="11" t="n"/>
      <c r="G109" s="11" t="n"/>
      <c r="H109" s="28" t="n"/>
      <c r="I109" s="13" t="n"/>
      <c r="J109" s="11" t="n"/>
      <c r="K109" s="11" t="n"/>
    </row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0" t="n"/>
      <c r="H111" s="20" t="n"/>
      <c r="I111" s="21">
        <f>SUM(I5:I104)</f>
        <v/>
      </c>
      <c r="J111" s="20" t="n"/>
      <c r="K111" s="20" t="n"/>
    </row>
    <row r="113">
      <c r="B113" s="5" t="inlineStr">
        <is>
          <t>INDICATEURS (mis a jour automatiquement)</t>
        </is>
      </c>
    </row>
    <row r="114">
      <c r="B114" s="3" t="inlineStr">
        <is>
          <t>Syndicats enregistres</t>
        </is>
      </c>
      <c r="D114" s="3" t="inlineStr">
        <is>
          <t>Total adherents</t>
        </is>
      </c>
      <c r="F114" s="3" t="inlineStr">
        <is>
          <t>Syndicats actifs</t>
        </is>
      </c>
      <c r="H114" s="3" t="inlineStr">
        <is>
          <t>En cours repres.</t>
        </is>
      </c>
    </row>
    <row r="115">
      <c r="B115" s="4">
        <f>COUNTIF(B5:B104,"&lt;&gt;")</f>
        <v/>
      </c>
      <c r="D115" s="4">
        <f>SUM(I5:I104)</f>
        <v/>
      </c>
      <c r="F115" s="4">
        <f>COUNTIF(K5:K104,"Actif")</f>
        <v/>
      </c>
      <c r="H115" s="4">
        <f>COUNTIF(K5:K104,"En cours de repres.")</f>
        <v/>
      </c>
    </row>
  </sheetData>
  <mergeCells count="3">
    <mergeCell ref="B113:K113"/>
    <mergeCell ref="B3:K3"/>
    <mergeCell ref="B2:K2"/>
  </mergeCells>
  <conditionalFormatting sqref="K5:K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1">
      <formula>"En attente"</formula>
    </cfRule>
    <cfRule type="cellIs" priority="45" operator="equal" dxfId="1">
      <formula>"A renouveler"</formula>
    </cfRule>
    <cfRule type="cellIs" priority="46" operator="equal" dxfId="1">
      <formula>"En cours"</formula>
    </cfRule>
    <cfRule type="cellIs" priority="47" operator="equal" dxfId="1">
      <formula>"En traitement"</formula>
    </cfRule>
    <cfRule type="cellIs" priority="48" operator="equal" dxfId="1">
      <formula>"En retard"</formula>
    </cfRule>
    <cfRule type="cellIs" priority="49" operator="equal" dxfId="1">
      <formula>"Suspendu"</formula>
    </cfRule>
    <cfRule type="cellIs" priority="50" operator="equal" dxfId="1">
      <formula>"Planifie"</formula>
    </cfRule>
    <cfRule type="cellIs" priority="51" operator="equal" dxfId="1">
      <formula>"Planifiee"</formula>
    </cfRule>
    <cfRule type="cellIs" priority="52" operator="equal" dxfId="1">
      <formula>"Brouillon"</formula>
    </cfRule>
    <cfRule type="cellIs" priority="53" operator="equal" dxfId="1">
      <formula>"En attente de justification"</formula>
    </cfRule>
    <cfRule type="cellIs" priority="54" operator="equal" dxfId="1">
      <formula>"Tolere"</formula>
    </cfRule>
    <cfRule type="cellIs" priority="55" operator="equal" dxfId="1">
      <formula>"Variable"</formula>
    </cfRule>
    <cfRule type="cellIs" priority="56" operator="equal" dxfId="1">
      <formula>"En elaboration"</formula>
    </cfRule>
    <cfRule type="cellIs" priority="57" operator="equal" dxfId="1">
      <formula>"Provisionne"</formula>
    </cfRule>
    <cfRule type="cellIs" priority="58" operator="equal" dxfId="1">
      <formula>"Consomme partiel"</formula>
    </cfRule>
    <cfRule type="cellIs" priority="59" operator="equal" dxfId="1">
      <formula>"Identifie"</formula>
    </cfRule>
    <cfRule type="cellIs" priority="60" operator="equal" dxfId="1">
      <formula>"Priorise"</formula>
    </cfRule>
    <cfRule type="cellIs" priority="61" operator="equal" dxfId="1">
      <formula>"Intermediaire"</formula>
    </cfRule>
    <cfRule type="cellIs" priority="62" operator="equal" dxfId="1">
      <formula>"Non evalue"</formula>
    </cfRule>
    <cfRule type="cellIs" priority="63" operator="equal" dxfId="1">
      <formula>"En cours de realisation"</formula>
    </cfRule>
    <cfRule type="cellIs" priority="64" operator="equal" dxfId="1">
      <formula>"Non demarre"</formula>
    </cfRule>
    <cfRule type="cellIs" priority="65" operator="equal" dxfId="1">
      <formula>"En attente N+1"</formula>
    </cfRule>
    <cfRule type="cellIs" priority="66" operator="equal" dxfId="1">
      <formula>"Prolongation essai"</formula>
    </cfRule>
    <cfRule type="cellIs" priority="67" operator="equal" dxfId="1">
      <formula>"En attente validation"</formula>
    </cfRule>
    <cfRule type="cellIs" priority="68" operator="equal" dxfId="1">
      <formula>"Bon"</formula>
    </cfRule>
    <cfRule type="cellIs" priority="69" operator="equal" dxfId="1">
      <formula>"D - Moyen"</formula>
    </cfRule>
    <cfRule type="cellIs" priority="70" operator="equal" dxfId="1">
      <formula>"En cours de repres."</formula>
    </cfRule>
    <cfRule type="cellIs" priority="71" operator="equal" dxfId="1">
      <formula>"En negociation"</formula>
    </cfRule>
    <cfRule type="cellIs" priority="72" operator="equal" dxfId="1">
      <formula>"En preparation"</formula>
    </cfRule>
    <cfRule type="cellIs" priority="73" operator="equal" dxfId="1">
      <formula>"En cours d'instruction"</formula>
    </cfRule>
    <cfRule type="cellIs" priority="74" operator="equal" dxfId="1">
      <formula>"Transferee N+1"</formula>
    </cfRule>
    <cfRule type="cellIs" priority="75" operator="equal" dxfId="1">
      <formula>"En attente reponse"</formula>
    </cfRule>
    <cfRule type="cellIs" priority="76" operator="equal" dxfId="1">
      <formula>"Enquete ouverte"</formula>
    </cfRule>
    <cfRule type="cellIs" priority="77" operator="equal" dxfId="1">
      <formula>"Convocation envoyee"</formula>
    </cfRule>
    <cfRule type="cellIs" priority="78" operator="equal" dxfId="1">
      <formula>"Entretien realise"</formula>
    </cfRule>
    <cfRule type="cellIs" priority="79" operator="equal" dxfId="1">
      <formula>"Saisie"</formula>
    </cfRule>
    <cfRule type="cellIs" priority="80" operator="equal" dxfId="1">
      <formula>"En mediation"</formula>
    </cfRule>
    <cfRule type="cellIs" priority="81" operator="equal" dxfId="1">
      <formula>"En recours"</formula>
    </cfRule>
    <cfRule type="cellIs" priority="82" operator="equal" dxfId="1">
      <formula>"Reportee"</formula>
    </cfRule>
    <cfRule type="cellIs" priority="83" operator="equal" dxfId="1">
      <formula>"Signale"</formula>
    </cfRule>
    <cfRule type="cellIs" priority="84" operator="equal" dxfId="1">
      <formula>"Precontentieux"</formula>
    </cfRule>
    <cfRule type="cellIs" priority="85" operator="equal" dxfId="1">
      <formula>"En attente election"</formula>
    </cfRule>
    <cfRule type="cellIs" priority="86" operator="equal" dxfId="1">
      <formula>"Classe"</formula>
    </cfRule>
    <cfRule type="cellIs" priority="87" operator="equal" dxfId="2">
      <formula>"Expire"</formula>
    </cfRule>
    <cfRule type="cellIs" priority="88" operator="equal" dxfId="2">
      <formula>"Rejete"</formula>
    </cfRule>
    <cfRule type="cellIs" priority="89" operator="equal" dxfId="2">
      <formula>"Rejetee"</formula>
    </cfRule>
    <cfRule type="cellIs" priority="90" operator="equal" dxfId="2">
      <formula>"Resilie"</formula>
    </cfRule>
    <cfRule type="cellIs" priority="91" operator="equal" dxfId="2">
      <formula>"Annule"</formula>
    </cfRule>
    <cfRule type="cellIs" priority="92" operator="equal" dxfId="2">
      <formula>"Annulee"</formula>
    </cfRule>
    <cfRule type="cellIs" priority="93" operator="equal" dxfId="2">
      <formula>"Refuse"</formula>
    </cfRule>
    <cfRule type="cellIs" priority="94" operator="equal" dxfId="2">
      <formula>"Non justifie"</formula>
    </cfRule>
    <cfRule type="cellIs" priority="95" operator="equal" dxfId="2">
      <formula>"Non justifiee"</formula>
    </cfRule>
    <cfRule type="cellIs" priority="96" operator="equal" dxfId="2">
      <formula>"Sanctionne"</formula>
    </cfRule>
    <cfRule type="cellIs" priority="97" operator="equal" dxfId="2">
      <formula>"Inaptitude"</formula>
    </cfRule>
    <cfRule type="cellIs" priority="98" operator="equal" dxfId="2">
      <formula>"Absent sans autorisation"</formula>
    </cfRule>
    <cfRule type="cellIs" priority="99" operator="equal" dxfId="2">
      <formula>"Abandon de poste"</formula>
    </cfRule>
    <cfRule type="cellIs" priority="100" operator="equal" dxfId="2">
      <formula>"Non satisfait"</formula>
    </cfRule>
    <cfRule type="cellIs" priority="101" operator="equal" dxfId="2">
      <formula>"Reportee"</formula>
    </cfRule>
    <cfRule type="cellIs" priority="102" operator="equal" dxfId="2">
      <formula>"Depasse"</formula>
    </cfRule>
    <cfRule type="cellIs" priority="103" operator="equal" dxfId="2">
      <formula>"Non utilise"</formula>
    </cfRule>
    <cfRule type="cellIs" priority="104" operator="equal" dxfId="2">
      <formula>"Non applicable"</formula>
    </cfRule>
    <cfRule type="cellIs" priority="105" operator="equal" dxfId="2">
      <formula>"Debutant"</formula>
    </cfRule>
    <cfRule type="cellIs" priority="106" operator="equal" dxfId="2">
      <formula>"Non atteint"</formula>
    </cfRule>
    <cfRule type="cellIs" priority="107" operator="equal" dxfId="2">
      <formula>"Abandonne"</formula>
    </cfRule>
    <cfRule type="cellIs" priority="108" operator="equal" dxfId="2">
      <formula>"Rupture essai"</formula>
    </cfRule>
    <cfRule type="cellIs" priority="109" operator="equal" dxfId="2">
      <formula>"Insuffisant"</formula>
    </cfRule>
    <cfRule type="cellIs" priority="110" operator="equal" dxfId="2">
      <formula>"Moyen"</formula>
    </cfRule>
    <cfRule type="cellIs" priority="111" operator="equal" dxfId="2">
      <formula>"E - Insuffisant"</formula>
    </cfRule>
    <cfRule type="cellIs" priority="112" operator="equal" dxfId="2">
      <formula>"Dissous"</formula>
    </cfRule>
    <cfRule type="cellIs" priority="113" operator="equal" dxfId="2">
      <formula>"Denonce"</formula>
    </cfRule>
    <cfRule type="cellIs" priority="114" operator="equal" dxfId="2">
      <formula>"Echoue"</formula>
    </cfRule>
    <cfRule type="cellIs" priority="115" operator="equal" dxfId="2">
      <formula>"Echouee"</formula>
    </cfRule>
    <cfRule type="cellIs" priority="116" operator="equal" dxfId="2">
      <formula>"Revoque"</formula>
    </cfRule>
    <cfRule type="cellIs" priority="117" operator="equal" dxfId="2">
      <formula>"Demissionnaire"</formula>
    </cfRule>
    <cfRule type="cellIs" priority="118" operator="equal" dxfId="2">
      <formula>"Licenciement pour faute"</formula>
    </cfRule>
    <cfRule type="cellIs" priority="119" operator="equal" dxfId="2">
      <formula>"Licenciement pour faute grave"</formula>
    </cfRule>
    <cfRule type="cellIs" priority="120" operator="equal" dxfId="2">
      <formula>"Terminee - Echec"</formula>
    </cfRule>
    <cfRule type="cellIs" priority="121" operator="equal" dxfId="2">
      <formula>"Abandonnee"</formula>
    </cfRule>
    <cfRule type="cellIs" priority="122" operator="equal" dxfId="2">
      <formula>"Violence physique"</formula>
    </cfRule>
    <cfRule type="cellIs" priority="123" operator="equal" dxfId="2">
      <formula>"Violence verbale"</formula>
    </cfRule>
  </conditionalFormatting>
  <conditionalFormatting sqref="B10:B109">
    <cfRule type="expression" priority="124" dxfId="3">
      <formula>AND($C10="",$C9&lt;&gt;"")</formula>
    </cfRule>
  </conditionalFormatting>
  <conditionalFormatting sqref="C10:C109">
    <cfRule type="expression" priority="125" dxfId="3">
      <formula>AND($C10="",$C9&lt;&gt;"")</formula>
    </cfRule>
  </conditionalFormatting>
  <conditionalFormatting sqref="D10:D109">
    <cfRule type="expression" priority="126" dxfId="3">
      <formula>AND($C10="",$C9&lt;&gt;"")</formula>
    </cfRule>
  </conditionalFormatting>
  <conditionalFormatting sqref="E10:E109">
    <cfRule type="expression" priority="127" dxfId="3">
      <formula>AND($C10="",$C9&lt;&gt;"")</formula>
    </cfRule>
  </conditionalFormatting>
  <conditionalFormatting sqref="F10:F109">
    <cfRule type="expression" priority="128" dxfId="3">
      <formula>AND($C10="",$C9&lt;&gt;"")</formula>
    </cfRule>
  </conditionalFormatting>
  <conditionalFormatting sqref="G10:G109">
    <cfRule type="expression" priority="129" dxfId="3">
      <formula>AND($C10="",$C9&lt;&gt;"")</formula>
    </cfRule>
  </conditionalFormatting>
  <conditionalFormatting sqref="H10:H109">
    <cfRule type="expression" priority="130" dxfId="3">
      <formula>AND($C10="",$C9&lt;&gt;"")</formula>
    </cfRule>
  </conditionalFormatting>
  <conditionalFormatting sqref="I10:I109">
    <cfRule type="expression" priority="131" dxfId="3">
      <formula>AND($C10="",$C9&lt;&gt;"")</formula>
    </cfRule>
  </conditionalFormatting>
  <conditionalFormatting sqref="J10:J109">
    <cfRule type="expression" priority="132" dxfId="3">
      <formula>AND($C10="",$C9&lt;&gt;"")</formula>
    </cfRule>
  </conditionalFormatting>
  <conditionalFormatting sqref="K10:K109">
    <cfRule type="expression" priority="133" dxfId="3">
      <formula>AND($C10="",$C9&lt;&gt;"")</formula>
    </cfRule>
  </conditionalFormatting>
  <dataValidations count="3">
    <dataValidation sqref="E5:E109" showDropDown="0" showInputMessage="0" showErrorMessage="0" allowBlank="1" errorTitle="Erreur" error="Valeur invalide" promptTitle="Liste" prompt="Choisir dans la liste" type="list">
      <formula1>'_Lists'!$D$2:$D$11</formula1>
    </dataValidation>
    <dataValidation sqref="J5:J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K5:K109" showDropDown="0" showInputMessage="0" showErrorMessage="0" allowBlank="1" errorTitle="Erreur" error="Valeur invalide" promptTitle="Liste" prompt="Choisir dans la liste" type="list">
      <formula1>'_Lists'!$F$2:$F$6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8" customWidth="1" min="6" max="6"/>
    <col width="28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15" customHeight="1"/>
    <row r="2" ht="32" customHeight="1">
      <c r="B2" s="1" t="inlineStr">
        <is>
          <t>DELEGUES DU PERSONNEL (#88)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Matricule</t>
        </is>
      </c>
      <c r="D4" s="10" t="inlineStr">
        <is>
          <t>Nom Delegue</t>
        </is>
      </c>
      <c r="E4" s="10" t="inlineStr">
        <is>
          <t>Departement</t>
        </is>
      </c>
      <c r="F4" s="10" t="inlineStr">
        <is>
          <t>Poste</t>
        </is>
      </c>
      <c r="G4" s="10" t="inlineStr">
        <is>
          <t>Syndicat</t>
        </is>
      </c>
      <c r="H4" s="10" t="inlineStr">
        <is>
          <t>Mandat</t>
        </is>
      </c>
      <c r="I4" s="10" t="inlineStr">
        <is>
          <t>Debut Mandat</t>
        </is>
      </c>
      <c r="J4" s="10" t="inlineStr">
        <is>
          <t>Fin Mandat</t>
        </is>
      </c>
      <c r="K4" s="10" t="inlineStr">
        <is>
          <t>Nb Reunions</t>
        </is>
      </c>
      <c r="L4" s="10" t="inlineStr">
        <is>
          <t>Statut</t>
        </is>
      </c>
    </row>
    <row r="5" ht="22" customHeight="1">
      <c r="B5" s="11" t="inlineStr">
        <is>
          <t>DP-001</t>
        </is>
      </c>
      <c r="C5" s="11" t="inlineStr">
        <is>
          <t>EMP-010</t>
        </is>
      </c>
      <c r="D5" s="11">
        <f>IF(C5="","",VLOOKUP(C5,'_Données Employés'!$B$5:$H$18,4,FALSE)&amp;" "&amp;VLOOKUP(C5,'_Données Employés'!$B$5:$H$18,5,FALSE))</f>
        <v/>
      </c>
      <c r="E5" s="11">
        <f>IF(C5="","",VLOOKUP(C5,'_Données Employés'!$B$5:$H$18,6,FALSE))</f>
        <v/>
      </c>
      <c r="F5" s="11">
        <f>IF(C5="","",VLOOKUP(C5,'_Données Employés'!$B$5:$H$18,7,FALSE))</f>
        <v/>
      </c>
      <c r="G5" s="11" t="inlineStr">
        <is>
          <t>CSTT</t>
        </is>
      </c>
      <c r="H5" s="11" t="inlineStr">
        <is>
          <t>2eme mandat</t>
        </is>
      </c>
      <c r="I5" s="28" t="n">
        <v>45017</v>
      </c>
      <c r="J5" s="28" t="n">
        <v>46112</v>
      </c>
      <c r="K5" s="13" t="n">
        <v>24</v>
      </c>
      <c r="L5" s="11" t="inlineStr">
        <is>
          <t>En mandat</t>
        </is>
      </c>
    </row>
    <row r="6" ht="22" customHeight="1">
      <c r="B6" s="14" t="inlineStr">
        <is>
          <t>DP-002</t>
        </is>
      </c>
      <c r="C6" s="14" t="inlineStr">
        <is>
          <t>EMP-015</t>
        </is>
      </c>
      <c r="D6" s="14" t="inlineStr">
        <is>
          <t>Mensah Kodjo</t>
        </is>
      </c>
      <c r="E6" s="14" t="inlineStr">
        <is>
          <t>Entretien &amp; Maintenance</t>
        </is>
      </c>
      <c r="F6" s="14" t="inlineStr">
        <is>
          <t>Agent Entretien</t>
        </is>
      </c>
      <c r="G6" s="14" t="inlineStr">
        <is>
          <t>CSA</t>
        </is>
      </c>
      <c r="H6" s="14" t="inlineStr">
        <is>
          <t>1er mandat</t>
        </is>
      </c>
      <c r="I6" s="29" t="n">
        <v>45383</v>
      </c>
      <c r="J6" s="29" t="n">
        <v>46477</v>
      </c>
      <c r="K6" s="16" t="n">
        <v>12</v>
      </c>
      <c r="L6" s="14" t="inlineStr">
        <is>
          <t>En mandat</t>
        </is>
      </c>
    </row>
    <row r="7" ht="22" customHeight="1">
      <c r="B7" s="11" t="inlineStr">
        <is>
          <t>DP-003</t>
        </is>
      </c>
      <c r="C7" s="11" t="inlineStr">
        <is>
          <t>EMP-022</t>
        </is>
      </c>
      <c r="D7" s="11" t="inlineStr">
        <is>
          <t>Aguiar Maria</t>
        </is>
      </c>
      <c r="E7" s="11" t="inlineStr">
        <is>
          <t>Ressources Humaines</t>
        </is>
      </c>
      <c r="F7" s="11" t="inlineStr">
        <is>
          <t>Assistante RH</t>
        </is>
      </c>
      <c r="G7" s="11" t="inlineStr">
        <is>
          <t>CSC</t>
        </is>
      </c>
      <c r="H7" s="11" t="inlineStr">
        <is>
          <t>1er mandat</t>
        </is>
      </c>
      <c r="I7" s="28" t="n">
        <v>45383</v>
      </c>
      <c r="J7" s="28" t="n">
        <v>46477</v>
      </c>
      <c r="K7" s="13" t="n">
        <v>10</v>
      </c>
      <c r="L7" s="11" t="inlineStr">
        <is>
          <t>En mandat</t>
        </is>
      </c>
    </row>
    <row r="8" ht="22" customHeight="1">
      <c r="B8" s="14" t="inlineStr">
        <is>
          <t>DP-004</t>
        </is>
      </c>
      <c r="C8" s="14" t="inlineStr">
        <is>
          <t>EMP-008</t>
        </is>
      </c>
      <c r="D8" s="14">
        <f>IF(C8="","",VLOOKUP(C8,'_Données Employés'!$B$5:$H$18,4,FALSE)&amp;" "&amp;VLOOKUP(C8,'_Données Employés'!$B$5:$H$18,5,FALSE))</f>
        <v/>
      </c>
      <c r="E8" s="14">
        <f>IF(C8="","",VLOOKUP(C8,'_Données Employés'!$B$5:$H$18,6,FALSE))</f>
        <v/>
      </c>
      <c r="F8" s="14">
        <f>IF(C8="","",VLOOKUP(C8,'_Données Employés'!$B$5:$H$18,7,FALSE))</f>
        <v/>
      </c>
      <c r="G8" s="14" t="inlineStr">
        <is>
          <t>SAH</t>
        </is>
      </c>
      <c r="H8" s="14" t="inlineStr">
        <is>
          <t>1er mandat</t>
        </is>
      </c>
      <c r="I8" s="29" t="n">
        <v>45383</v>
      </c>
      <c r="J8" s="29" t="n">
        <v>46477</v>
      </c>
      <c r="K8" s="16" t="n">
        <v>8</v>
      </c>
      <c r="L8" s="14" t="inlineStr">
        <is>
          <t>En mandat</t>
        </is>
      </c>
    </row>
    <row r="9" ht="22" customHeight="1">
      <c r="B9" s="18">
        <f>IF(C9="","DP-"&amp;TEXT(COUNTA($C$5:C9),"000"))</f>
        <v/>
      </c>
      <c r="C9" s="11" t="n"/>
      <c r="D9" s="11" t="n"/>
      <c r="E9" s="11" t="n"/>
      <c r="F9" s="11" t="n"/>
      <c r="G9" s="11" t="n"/>
      <c r="H9" s="11" t="n"/>
      <c r="I9" s="28" t="n"/>
      <c r="J9" s="28" t="n"/>
      <c r="K9" s="13" t="n"/>
      <c r="L9" s="11" t="n"/>
    </row>
    <row r="10" ht="22" customHeight="1">
      <c r="B10" s="17">
        <f>IF(C10="","DP-"&amp;TEXT(COUNTA($C$5:C10),"000"))</f>
        <v/>
      </c>
      <c r="C10" s="14" t="n"/>
      <c r="D10" s="14" t="n"/>
      <c r="E10" s="14" t="n"/>
      <c r="F10" s="14" t="n"/>
      <c r="G10" s="14" t="n"/>
      <c r="H10" s="14" t="n"/>
      <c r="I10" s="29" t="n"/>
      <c r="J10" s="29" t="n"/>
      <c r="K10" s="16" t="n"/>
      <c r="L10" s="14" t="n"/>
    </row>
    <row r="11" ht="22" customHeight="1">
      <c r="B11" s="18">
        <f>IF(C11="","DP-"&amp;TEXT(COUNTA($C$5:C11),"000"))</f>
        <v/>
      </c>
      <c r="C11" s="11" t="n"/>
      <c r="D11" s="11" t="n"/>
      <c r="E11" s="11" t="n"/>
      <c r="F11" s="11" t="n"/>
      <c r="G11" s="11" t="n"/>
      <c r="H11" s="11" t="n"/>
      <c r="I11" s="28" t="n"/>
      <c r="J11" s="28" t="n"/>
      <c r="K11" s="13" t="n"/>
      <c r="L11" s="11" t="n"/>
    </row>
    <row r="12" ht="22" customHeight="1">
      <c r="B12" s="17">
        <f>IF(C12="","DP-"&amp;TEXT(COUNTA($C$5:C12),"000"))</f>
        <v/>
      </c>
      <c r="C12" s="14" t="n"/>
      <c r="D12" s="14" t="n"/>
      <c r="E12" s="14" t="n"/>
      <c r="F12" s="14" t="n"/>
      <c r="G12" s="14" t="n"/>
      <c r="H12" s="14" t="n"/>
      <c r="I12" s="29" t="n"/>
      <c r="J12" s="29" t="n"/>
      <c r="K12" s="16" t="n"/>
      <c r="L12" s="14" t="n"/>
    </row>
    <row r="13" ht="22" customHeight="1">
      <c r="B13" s="18">
        <f>IF(C13="","DP-"&amp;TEXT(COUNTA($C$5:C13),"000"))</f>
        <v/>
      </c>
      <c r="C13" s="11" t="n"/>
      <c r="D13" s="11" t="n"/>
      <c r="E13" s="11" t="n"/>
      <c r="F13" s="11" t="n"/>
      <c r="G13" s="11" t="n"/>
      <c r="H13" s="11" t="n"/>
      <c r="I13" s="28" t="n"/>
      <c r="J13" s="28" t="n"/>
      <c r="K13" s="13" t="n"/>
      <c r="L13" s="11" t="n"/>
    </row>
    <row r="14" ht="22" customHeight="1">
      <c r="B14" s="17">
        <f>IF(C14="","DP-"&amp;TEXT(COUNTA($C$5:C14),"000"))</f>
        <v/>
      </c>
      <c r="C14" s="14" t="n"/>
      <c r="D14" s="14" t="n"/>
      <c r="E14" s="14" t="n"/>
      <c r="F14" s="14" t="n"/>
      <c r="G14" s="14" t="n"/>
      <c r="H14" s="14" t="n"/>
      <c r="I14" s="29" t="n"/>
      <c r="J14" s="29" t="n"/>
      <c r="K14" s="16" t="n"/>
      <c r="L14" s="14" t="n"/>
    </row>
    <row r="15" ht="22" customHeight="1">
      <c r="B15" s="18">
        <f>IF(C15="","DP-"&amp;TEXT(COUNTA($C$5:C15),"000"))</f>
        <v/>
      </c>
      <c r="C15" s="11" t="n"/>
      <c r="D15" s="11" t="n"/>
      <c r="E15" s="11" t="n"/>
      <c r="F15" s="11" t="n"/>
      <c r="G15" s="11" t="n"/>
      <c r="H15" s="11" t="n"/>
      <c r="I15" s="28" t="n"/>
      <c r="J15" s="28" t="n"/>
      <c r="K15" s="13" t="n"/>
      <c r="L15" s="11" t="n"/>
    </row>
    <row r="16" ht="22" customHeight="1">
      <c r="B16" s="17">
        <f>IF(C16="","DP-"&amp;TEXT(COUNTA($C$5:C16),"000"))</f>
        <v/>
      </c>
      <c r="C16" s="14" t="n"/>
      <c r="D16" s="14" t="n"/>
      <c r="E16" s="14" t="n"/>
      <c r="F16" s="14" t="n"/>
      <c r="G16" s="14" t="n"/>
      <c r="H16" s="14" t="n"/>
      <c r="I16" s="29" t="n"/>
      <c r="J16" s="29" t="n"/>
      <c r="K16" s="16" t="n"/>
      <c r="L16" s="14" t="n"/>
    </row>
    <row r="17" ht="22" customHeight="1">
      <c r="B17" s="18">
        <f>IF(C17="","DP-"&amp;TEXT(COUNTA($C$5:C17),"000"))</f>
        <v/>
      </c>
      <c r="C17" s="11" t="n"/>
      <c r="D17" s="11" t="n"/>
      <c r="E17" s="11" t="n"/>
      <c r="F17" s="11" t="n"/>
      <c r="G17" s="11" t="n"/>
      <c r="H17" s="11" t="n"/>
      <c r="I17" s="28" t="n"/>
      <c r="J17" s="28" t="n"/>
      <c r="K17" s="13" t="n"/>
      <c r="L17" s="11" t="n"/>
    </row>
    <row r="18" ht="22" customHeight="1">
      <c r="B18" s="17">
        <f>IF(C18="","DP-"&amp;TEXT(COUNTA($C$5:C18),"000"))</f>
        <v/>
      </c>
      <c r="C18" s="14" t="n"/>
      <c r="D18" s="14" t="n"/>
      <c r="E18" s="14" t="n"/>
      <c r="F18" s="14" t="n"/>
      <c r="G18" s="14" t="n"/>
      <c r="H18" s="14" t="n"/>
      <c r="I18" s="29" t="n"/>
      <c r="J18" s="29" t="n"/>
      <c r="K18" s="16" t="n"/>
      <c r="L18" s="14" t="n"/>
    </row>
    <row r="19" ht="22" customHeight="1">
      <c r="B19" s="18">
        <f>IF(C19="","DP-"&amp;TEXT(COUNTA($C$5:C19),"000"))</f>
        <v/>
      </c>
      <c r="C19" s="11" t="n"/>
      <c r="D19" s="11" t="n"/>
      <c r="E19" s="11" t="n"/>
      <c r="F19" s="11" t="n"/>
      <c r="G19" s="11" t="n"/>
      <c r="H19" s="11" t="n"/>
      <c r="I19" s="28" t="n"/>
      <c r="J19" s="28" t="n"/>
      <c r="K19" s="13" t="n"/>
      <c r="L19" s="11" t="n"/>
    </row>
    <row r="20" ht="22" customHeight="1">
      <c r="B20" s="17">
        <f>IF(C20="","DP-"&amp;TEXT(COUNTA($C$5:C20),"000"))</f>
        <v/>
      </c>
      <c r="C20" s="14" t="n"/>
      <c r="D20" s="14" t="n"/>
      <c r="E20" s="14" t="n"/>
      <c r="F20" s="14" t="n"/>
      <c r="G20" s="14" t="n"/>
      <c r="H20" s="14" t="n"/>
      <c r="I20" s="29" t="n"/>
      <c r="J20" s="29" t="n"/>
      <c r="K20" s="16" t="n"/>
      <c r="L20" s="14" t="n"/>
    </row>
    <row r="21" ht="22" customHeight="1">
      <c r="B21" s="18">
        <f>IF(C21="","DP-"&amp;TEXT(COUNTA($C$5:C21),"000"))</f>
        <v/>
      </c>
      <c r="C21" s="11" t="n"/>
      <c r="D21" s="11" t="n"/>
      <c r="E21" s="11" t="n"/>
      <c r="F21" s="11" t="n"/>
      <c r="G21" s="11" t="n"/>
      <c r="H21" s="11" t="n"/>
      <c r="I21" s="28" t="n"/>
      <c r="J21" s="28" t="n"/>
      <c r="K21" s="13" t="n"/>
      <c r="L21" s="11" t="n"/>
    </row>
    <row r="22" ht="22" customHeight="1">
      <c r="B22" s="17">
        <f>IF(C22="","DP-"&amp;TEXT(COUNTA($C$5:C22),"000"))</f>
        <v/>
      </c>
      <c r="C22" s="14" t="n"/>
      <c r="D22" s="14" t="n"/>
      <c r="E22" s="14" t="n"/>
      <c r="F22" s="14" t="n"/>
      <c r="G22" s="14" t="n"/>
      <c r="H22" s="14" t="n"/>
      <c r="I22" s="29" t="n"/>
      <c r="J22" s="29" t="n"/>
      <c r="K22" s="16" t="n"/>
      <c r="L22" s="14" t="n"/>
    </row>
    <row r="23" ht="22" customHeight="1">
      <c r="B23" s="18">
        <f>IF(C23="","DP-"&amp;TEXT(COUNTA($C$5:C23),"000"))</f>
        <v/>
      </c>
      <c r="C23" s="11" t="n"/>
      <c r="D23" s="11" t="n"/>
      <c r="E23" s="11" t="n"/>
      <c r="F23" s="11" t="n"/>
      <c r="G23" s="11" t="n"/>
      <c r="H23" s="11" t="n"/>
      <c r="I23" s="28" t="n"/>
      <c r="J23" s="28" t="n"/>
      <c r="K23" s="13" t="n"/>
      <c r="L23" s="11" t="n"/>
    </row>
    <row r="24" ht="22" customHeight="1">
      <c r="B24" s="17">
        <f>IF(C24="","DP-"&amp;TEXT(COUNTA($C$5:C24),"000"))</f>
        <v/>
      </c>
      <c r="C24" s="14" t="n"/>
      <c r="D24" s="14" t="n"/>
      <c r="E24" s="14" t="n"/>
      <c r="F24" s="14" t="n"/>
      <c r="G24" s="14" t="n"/>
      <c r="H24" s="14" t="n"/>
      <c r="I24" s="29" t="n"/>
      <c r="J24" s="29" t="n"/>
      <c r="K24" s="16" t="n"/>
      <c r="L24" s="14" t="n"/>
    </row>
    <row r="25" ht="22" customHeight="1">
      <c r="B25" s="18">
        <f>IF(C25="","DP-"&amp;TEXT(COUNTA($C$5:C25),"000"))</f>
        <v/>
      </c>
      <c r="C25" s="11" t="n"/>
      <c r="D25" s="11" t="n"/>
      <c r="E25" s="11" t="n"/>
      <c r="F25" s="11" t="n"/>
      <c r="G25" s="11" t="n"/>
      <c r="H25" s="11" t="n"/>
      <c r="I25" s="28" t="n"/>
      <c r="J25" s="28" t="n"/>
      <c r="K25" s="13" t="n"/>
      <c r="L25" s="11" t="n"/>
    </row>
    <row r="26" ht="22" customHeight="1">
      <c r="B26" s="17">
        <f>IF(C26="","DP-"&amp;TEXT(COUNTA($C$5:C26),"000"))</f>
        <v/>
      </c>
      <c r="C26" s="14" t="n"/>
      <c r="D26" s="14" t="n"/>
      <c r="E26" s="14" t="n"/>
      <c r="F26" s="14" t="n"/>
      <c r="G26" s="14" t="n"/>
      <c r="H26" s="14" t="n"/>
      <c r="I26" s="29" t="n"/>
      <c r="J26" s="29" t="n"/>
      <c r="K26" s="16" t="n"/>
      <c r="L26" s="14" t="n"/>
    </row>
    <row r="27" ht="22" customHeight="1">
      <c r="B27" s="18">
        <f>IF(C27="","DP-"&amp;TEXT(COUNTA($C$5:C27),"000"))</f>
        <v/>
      </c>
      <c r="C27" s="11" t="n"/>
      <c r="D27" s="11" t="n"/>
      <c r="E27" s="11" t="n"/>
      <c r="F27" s="11" t="n"/>
      <c r="G27" s="11" t="n"/>
      <c r="H27" s="11" t="n"/>
      <c r="I27" s="28" t="n"/>
      <c r="J27" s="28" t="n"/>
      <c r="K27" s="13" t="n"/>
      <c r="L27" s="11" t="n"/>
    </row>
    <row r="28" ht="22" customHeight="1">
      <c r="B28" s="17">
        <f>IF(C28="","DP-"&amp;TEXT(COUNTA($C$5:C28),"000"))</f>
        <v/>
      </c>
      <c r="C28" s="14" t="n"/>
      <c r="D28" s="14" t="n"/>
      <c r="E28" s="14" t="n"/>
      <c r="F28" s="14" t="n"/>
      <c r="G28" s="14" t="n"/>
      <c r="H28" s="14" t="n"/>
      <c r="I28" s="29" t="n"/>
      <c r="J28" s="29" t="n"/>
      <c r="K28" s="16" t="n"/>
      <c r="L28" s="14" t="n"/>
    </row>
    <row r="29" ht="22" customHeight="1">
      <c r="B29" s="18">
        <f>IF(C29="","DP-"&amp;TEXT(COUNTA($C$5:C29),"000"))</f>
        <v/>
      </c>
      <c r="C29" s="11" t="n"/>
      <c r="D29" s="11" t="n"/>
      <c r="E29" s="11" t="n"/>
      <c r="F29" s="11" t="n"/>
      <c r="G29" s="11" t="n"/>
      <c r="H29" s="11" t="n"/>
      <c r="I29" s="28" t="n"/>
      <c r="J29" s="28" t="n"/>
      <c r="K29" s="13" t="n"/>
      <c r="L29" s="11" t="n"/>
    </row>
    <row r="30" ht="22" customHeight="1">
      <c r="B30" s="17">
        <f>IF(C30="","DP-"&amp;TEXT(COUNTA($C$5:C30),"000"))</f>
        <v/>
      </c>
      <c r="C30" s="14" t="n"/>
      <c r="D30" s="14" t="n"/>
      <c r="E30" s="14" t="n"/>
      <c r="F30" s="14" t="n"/>
      <c r="G30" s="14" t="n"/>
      <c r="H30" s="14" t="n"/>
      <c r="I30" s="29" t="n"/>
      <c r="J30" s="29" t="n"/>
      <c r="K30" s="16" t="n"/>
      <c r="L30" s="14" t="n"/>
    </row>
    <row r="31" ht="22" customHeight="1">
      <c r="B31" s="18">
        <f>IF(C31="","DP-"&amp;TEXT(COUNTA($C$5:C31),"000"))</f>
        <v/>
      </c>
      <c r="C31" s="11" t="n"/>
      <c r="D31" s="11" t="n"/>
      <c r="E31" s="11" t="n"/>
      <c r="F31" s="11" t="n"/>
      <c r="G31" s="11" t="n"/>
      <c r="H31" s="11" t="n"/>
      <c r="I31" s="28" t="n"/>
      <c r="J31" s="28" t="n"/>
      <c r="K31" s="13" t="n"/>
      <c r="L31" s="11" t="n"/>
    </row>
    <row r="32" ht="22" customHeight="1">
      <c r="B32" s="17">
        <f>IF(C32="","DP-"&amp;TEXT(COUNTA($C$5:C32),"000"))</f>
        <v/>
      </c>
      <c r="C32" s="14" t="n"/>
      <c r="D32" s="14" t="n"/>
      <c r="E32" s="14" t="n"/>
      <c r="F32" s="14" t="n"/>
      <c r="G32" s="14" t="n"/>
      <c r="H32" s="14" t="n"/>
      <c r="I32" s="29" t="n"/>
      <c r="J32" s="29" t="n"/>
      <c r="K32" s="16" t="n"/>
      <c r="L32" s="14" t="n"/>
    </row>
    <row r="33" ht="22" customHeight="1">
      <c r="B33" s="18">
        <f>IF(C33="","DP-"&amp;TEXT(COUNTA($C$5:C33),"000"))</f>
        <v/>
      </c>
      <c r="C33" s="11" t="n"/>
      <c r="D33" s="11" t="n"/>
      <c r="E33" s="11" t="n"/>
      <c r="F33" s="11" t="n"/>
      <c r="G33" s="11" t="n"/>
      <c r="H33" s="11" t="n"/>
      <c r="I33" s="28" t="n"/>
      <c r="J33" s="28" t="n"/>
      <c r="K33" s="13" t="n"/>
      <c r="L33" s="11" t="n"/>
    </row>
    <row r="34" ht="22" customHeight="1">
      <c r="B34" s="17">
        <f>IF(C34="","DP-"&amp;TEXT(COUNTA($C$5:C34),"000"))</f>
        <v/>
      </c>
      <c r="C34" s="14" t="n"/>
      <c r="D34" s="14" t="n"/>
      <c r="E34" s="14" t="n"/>
      <c r="F34" s="14" t="n"/>
      <c r="G34" s="14" t="n"/>
      <c r="H34" s="14" t="n"/>
      <c r="I34" s="29" t="n"/>
      <c r="J34" s="29" t="n"/>
      <c r="K34" s="16" t="n"/>
      <c r="L34" s="14" t="n"/>
    </row>
    <row r="35" ht="22" customHeight="1">
      <c r="B35" s="18">
        <f>IF(C35="","DP-"&amp;TEXT(COUNTA($C$5:C35),"000"))</f>
        <v/>
      </c>
      <c r="C35" s="11" t="n"/>
      <c r="D35" s="11" t="n"/>
      <c r="E35" s="11" t="n"/>
      <c r="F35" s="11" t="n"/>
      <c r="G35" s="11" t="n"/>
      <c r="H35" s="11" t="n"/>
      <c r="I35" s="28" t="n"/>
      <c r="J35" s="28" t="n"/>
      <c r="K35" s="13" t="n"/>
      <c r="L35" s="11" t="n"/>
    </row>
    <row r="36" ht="22" customHeight="1">
      <c r="B36" s="17">
        <f>IF(C36="","DP-"&amp;TEXT(COUNTA($C$5:C36),"000"))</f>
        <v/>
      </c>
      <c r="C36" s="14" t="n"/>
      <c r="D36" s="14" t="n"/>
      <c r="E36" s="14" t="n"/>
      <c r="F36" s="14" t="n"/>
      <c r="G36" s="14" t="n"/>
      <c r="H36" s="14" t="n"/>
      <c r="I36" s="29" t="n"/>
      <c r="J36" s="29" t="n"/>
      <c r="K36" s="16" t="n"/>
      <c r="L36" s="14" t="n"/>
    </row>
    <row r="37" ht="22" customHeight="1">
      <c r="B37" s="18">
        <f>IF(C37="","DP-"&amp;TEXT(COUNTA($C$5:C37),"000"))</f>
        <v/>
      </c>
      <c r="C37" s="11" t="n"/>
      <c r="D37" s="11" t="n"/>
      <c r="E37" s="11" t="n"/>
      <c r="F37" s="11" t="n"/>
      <c r="G37" s="11" t="n"/>
      <c r="H37" s="11" t="n"/>
      <c r="I37" s="28" t="n"/>
      <c r="J37" s="28" t="n"/>
      <c r="K37" s="13" t="n"/>
      <c r="L37" s="11" t="n"/>
    </row>
    <row r="38" ht="22" customHeight="1">
      <c r="B38" s="17">
        <f>IF(C38="","DP-"&amp;TEXT(COUNTA($C$5:C38),"000"))</f>
        <v/>
      </c>
      <c r="C38" s="14" t="n"/>
      <c r="D38" s="14" t="n"/>
      <c r="E38" s="14" t="n"/>
      <c r="F38" s="14" t="n"/>
      <c r="G38" s="14" t="n"/>
      <c r="H38" s="14" t="n"/>
      <c r="I38" s="29" t="n"/>
      <c r="J38" s="29" t="n"/>
      <c r="K38" s="16" t="n"/>
      <c r="L38" s="14" t="n"/>
    </row>
    <row r="39" ht="22" customHeight="1">
      <c r="B39" s="18">
        <f>IF(C39="","DP-"&amp;TEXT(COUNTA($C$5:C39),"000"))</f>
        <v/>
      </c>
      <c r="C39" s="11" t="n"/>
      <c r="D39" s="11" t="n"/>
      <c r="E39" s="11" t="n"/>
      <c r="F39" s="11" t="n"/>
      <c r="G39" s="11" t="n"/>
      <c r="H39" s="11" t="n"/>
      <c r="I39" s="28" t="n"/>
      <c r="J39" s="28" t="n"/>
      <c r="K39" s="13" t="n"/>
      <c r="L39" s="11" t="n"/>
    </row>
    <row r="40" ht="22" customHeight="1">
      <c r="B40" s="17">
        <f>IF(C40="","DP-"&amp;TEXT(COUNTA($C$5:C40),"000"))</f>
        <v/>
      </c>
      <c r="C40" s="14" t="n"/>
      <c r="D40" s="14" t="n"/>
      <c r="E40" s="14" t="n"/>
      <c r="F40" s="14" t="n"/>
      <c r="G40" s="14" t="n"/>
      <c r="H40" s="14" t="n"/>
      <c r="I40" s="29" t="n"/>
      <c r="J40" s="29" t="n"/>
      <c r="K40" s="16" t="n"/>
      <c r="L40" s="14" t="n"/>
    </row>
    <row r="41" ht="22" customHeight="1">
      <c r="B41" s="18">
        <f>IF(C41="","DP-"&amp;TEXT(COUNTA($C$5:C41),"000"))</f>
        <v/>
      </c>
      <c r="C41" s="11" t="n"/>
      <c r="D41" s="11" t="n"/>
      <c r="E41" s="11" t="n"/>
      <c r="F41" s="11" t="n"/>
      <c r="G41" s="11" t="n"/>
      <c r="H41" s="11" t="n"/>
      <c r="I41" s="28" t="n"/>
      <c r="J41" s="28" t="n"/>
      <c r="K41" s="13" t="n"/>
      <c r="L41" s="11" t="n"/>
    </row>
    <row r="42" ht="22" customHeight="1">
      <c r="B42" s="17">
        <f>IF(C42="","DP-"&amp;TEXT(COUNTA($C$5:C42),"000"))</f>
        <v/>
      </c>
      <c r="C42" s="14" t="n"/>
      <c r="D42" s="14" t="n"/>
      <c r="E42" s="14" t="n"/>
      <c r="F42" s="14" t="n"/>
      <c r="G42" s="14" t="n"/>
      <c r="H42" s="14" t="n"/>
      <c r="I42" s="29" t="n"/>
      <c r="J42" s="29" t="n"/>
      <c r="K42" s="16" t="n"/>
      <c r="L42" s="14" t="n"/>
    </row>
    <row r="43" ht="22" customHeight="1">
      <c r="B43" s="18">
        <f>IF(C43="","DP-"&amp;TEXT(COUNTA($C$5:C43),"000"))</f>
        <v/>
      </c>
      <c r="C43" s="11" t="n"/>
      <c r="D43" s="11" t="n"/>
      <c r="E43" s="11" t="n"/>
      <c r="F43" s="11" t="n"/>
      <c r="G43" s="11" t="n"/>
      <c r="H43" s="11" t="n"/>
      <c r="I43" s="28" t="n"/>
      <c r="J43" s="28" t="n"/>
      <c r="K43" s="13" t="n"/>
      <c r="L43" s="11" t="n"/>
    </row>
    <row r="44" ht="22" customHeight="1">
      <c r="B44" s="17">
        <f>IF(C44="","DP-"&amp;TEXT(COUNTA($C$5:C44),"000"))</f>
        <v/>
      </c>
      <c r="C44" s="14" t="n"/>
      <c r="D44" s="14" t="n"/>
      <c r="E44" s="14" t="n"/>
      <c r="F44" s="14" t="n"/>
      <c r="G44" s="14" t="n"/>
      <c r="H44" s="14" t="n"/>
      <c r="I44" s="29" t="n"/>
      <c r="J44" s="29" t="n"/>
      <c r="K44" s="16" t="n"/>
      <c r="L44" s="14" t="n"/>
    </row>
    <row r="45" ht="22" customHeight="1">
      <c r="B45" s="18">
        <f>IF(C45="","DP-"&amp;TEXT(COUNTA($C$5:C45),"000"))</f>
        <v/>
      </c>
      <c r="C45" s="11" t="n"/>
      <c r="D45" s="11" t="n"/>
      <c r="E45" s="11" t="n"/>
      <c r="F45" s="11" t="n"/>
      <c r="G45" s="11" t="n"/>
      <c r="H45" s="11" t="n"/>
      <c r="I45" s="28" t="n"/>
      <c r="J45" s="28" t="n"/>
      <c r="K45" s="13" t="n"/>
      <c r="L45" s="11" t="n"/>
    </row>
    <row r="46" ht="22" customHeight="1">
      <c r="B46" s="17">
        <f>IF(C46="","DP-"&amp;TEXT(COUNTA($C$5:C46),"000"))</f>
        <v/>
      </c>
      <c r="C46" s="14" t="n"/>
      <c r="D46" s="14" t="n"/>
      <c r="E46" s="14" t="n"/>
      <c r="F46" s="14" t="n"/>
      <c r="G46" s="14" t="n"/>
      <c r="H46" s="14" t="n"/>
      <c r="I46" s="29" t="n"/>
      <c r="J46" s="29" t="n"/>
      <c r="K46" s="16" t="n"/>
      <c r="L46" s="14" t="n"/>
    </row>
    <row r="47" ht="22" customHeight="1">
      <c r="B47" s="18">
        <f>IF(C47="","DP-"&amp;TEXT(COUNTA($C$5:C47),"000"))</f>
        <v/>
      </c>
      <c r="C47" s="11" t="n"/>
      <c r="D47" s="11" t="n"/>
      <c r="E47" s="11" t="n"/>
      <c r="F47" s="11" t="n"/>
      <c r="G47" s="11" t="n"/>
      <c r="H47" s="11" t="n"/>
      <c r="I47" s="28" t="n"/>
      <c r="J47" s="28" t="n"/>
      <c r="K47" s="13" t="n"/>
      <c r="L47" s="11" t="n"/>
    </row>
    <row r="48" ht="22" customHeight="1">
      <c r="B48" s="17">
        <f>IF(C48="","DP-"&amp;TEXT(COUNTA($C$5:C48),"000"))</f>
        <v/>
      </c>
      <c r="C48" s="14" t="n"/>
      <c r="D48" s="14" t="n"/>
      <c r="E48" s="14" t="n"/>
      <c r="F48" s="14" t="n"/>
      <c r="G48" s="14" t="n"/>
      <c r="H48" s="14" t="n"/>
      <c r="I48" s="29" t="n"/>
      <c r="J48" s="29" t="n"/>
      <c r="K48" s="16" t="n"/>
      <c r="L48" s="14" t="n"/>
    </row>
    <row r="49" ht="22" customHeight="1">
      <c r="B49" s="18">
        <f>IF(C49="","DP-"&amp;TEXT(COUNTA($C$5:C49),"000"))</f>
        <v/>
      </c>
      <c r="C49" s="11" t="n"/>
      <c r="D49" s="11" t="n"/>
      <c r="E49" s="11" t="n"/>
      <c r="F49" s="11" t="n"/>
      <c r="G49" s="11" t="n"/>
      <c r="H49" s="11" t="n"/>
      <c r="I49" s="28" t="n"/>
      <c r="J49" s="28" t="n"/>
      <c r="K49" s="13" t="n"/>
      <c r="L49" s="11" t="n"/>
    </row>
    <row r="50" ht="22" customHeight="1">
      <c r="B50" s="17">
        <f>IF(C50="","DP-"&amp;TEXT(COUNTA($C$5:C50),"000"))</f>
        <v/>
      </c>
      <c r="C50" s="14" t="n"/>
      <c r="D50" s="14" t="n"/>
      <c r="E50" s="14" t="n"/>
      <c r="F50" s="14" t="n"/>
      <c r="G50" s="14" t="n"/>
      <c r="H50" s="14" t="n"/>
      <c r="I50" s="29" t="n"/>
      <c r="J50" s="29" t="n"/>
      <c r="K50" s="16" t="n"/>
      <c r="L50" s="14" t="n"/>
    </row>
    <row r="51" ht="22" customHeight="1">
      <c r="B51" s="18">
        <f>IF(C51="","DP-"&amp;TEXT(COUNTA($C$5:C51),"000"))</f>
        <v/>
      </c>
      <c r="C51" s="11" t="n"/>
      <c r="D51" s="11" t="n"/>
      <c r="E51" s="11" t="n"/>
      <c r="F51" s="11" t="n"/>
      <c r="G51" s="11" t="n"/>
      <c r="H51" s="11" t="n"/>
      <c r="I51" s="28" t="n"/>
      <c r="J51" s="28" t="n"/>
      <c r="K51" s="13" t="n"/>
      <c r="L51" s="11" t="n"/>
    </row>
    <row r="52" ht="22" customHeight="1">
      <c r="B52" s="17">
        <f>IF(C52="","DP-"&amp;TEXT(COUNTA($C$5:C52),"000"))</f>
        <v/>
      </c>
      <c r="C52" s="14" t="n"/>
      <c r="D52" s="14" t="n"/>
      <c r="E52" s="14" t="n"/>
      <c r="F52" s="14" t="n"/>
      <c r="G52" s="14" t="n"/>
      <c r="H52" s="14" t="n"/>
      <c r="I52" s="29" t="n"/>
      <c r="J52" s="29" t="n"/>
      <c r="K52" s="16" t="n"/>
      <c r="L52" s="14" t="n"/>
    </row>
    <row r="53" ht="22" customHeight="1">
      <c r="B53" s="18">
        <f>IF(C53="","DP-"&amp;TEXT(COUNTA($C$5:C53),"000"))</f>
        <v/>
      </c>
      <c r="C53" s="11" t="n"/>
      <c r="D53" s="11" t="n"/>
      <c r="E53" s="11" t="n"/>
      <c r="F53" s="11" t="n"/>
      <c r="G53" s="11" t="n"/>
      <c r="H53" s="11" t="n"/>
      <c r="I53" s="28" t="n"/>
      <c r="J53" s="28" t="n"/>
      <c r="K53" s="13" t="n"/>
      <c r="L53" s="11" t="n"/>
    </row>
    <row r="54" ht="22" customHeight="1">
      <c r="B54" s="17">
        <f>IF(C54="","DP-"&amp;TEXT(COUNTA($C$5:C54),"000"))</f>
        <v/>
      </c>
      <c r="C54" s="14" t="n"/>
      <c r="D54" s="14" t="n"/>
      <c r="E54" s="14" t="n"/>
      <c r="F54" s="14" t="n"/>
      <c r="G54" s="14" t="n"/>
      <c r="H54" s="14" t="n"/>
      <c r="I54" s="29" t="n"/>
      <c r="J54" s="29" t="n"/>
      <c r="K54" s="16" t="n"/>
      <c r="L54" s="14" t="n"/>
    </row>
    <row r="55" ht="22" customHeight="1">
      <c r="B55" s="18">
        <f>IF(C55="","DP-"&amp;TEXT(COUNTA($C$5:C55),"000"))</f>
        <v/>
      </c>
      <c r="C55" s="11" t="n"/>
      <c r="D55" s="11" t="n"/>
      <c r="E55" s="11" t="n"/>
      <c r="F55" s="11" t="n"/>
      <c r="G55" s="11" t="n"/>
      <c r="H55" s="11" t="n"/>
      <c r="I55" s="28" t="n"/>
      <c r="J55" s="28" t="n"/>
      <c r="K55" s="13" t="n"/>
      <c r="L55" s="11" t="n"/>
    </row>
    <row r="56" ht="22" customHeight="1">
      <c r="B56" s="17">
        <f>IF(C56="","DP-"&amp;TEXT(COUNTA($C$5:C56),"000"))</f>
        <v/>
      </c>
      <c r="C56" s="14" t="n"/>
      <c r="D56" s="14" t="n"/>
      <c r="E56" s="14" t="n"/>
      <c r="F56" s="14" t="n"/>
      <c r="G56" s="14" t="n"/>
      <c r="H56" s="14" t="n"/>
      <c r="I56" s="29" t="n"/>
      <c r="J56" s="29" t="n"/>
      <c r="K56" s="16" t="n"/>
      <c r="L56" s="14" t="n"/>
    </row>
    <row r="57" ht="22" customHeight="1">
      <c r="B57" s="18">
        <f>IF(C57="","DP-"&amp;TEXT(COUNTA($C$5:C57),"000"))</f>
        <v/>
      </c>
      <c r="C57" s="11" t="n"/>
      <c r="D57" s="11" t="n"/>
      <c r="E57" s="11" t="n"/>
      <c r="F57" s="11" t="n"/>
      <c r="G57" s="11" t="n"/>
      <c r="H57" s="11" t="n"/>
      <c r="I57" s="28" t="n"/>
      <c r="J57" s="28" t="n"/>
      <c r="K57" s="13" t="n"/>
      <c r="L57" s="11" t="n"/>
    </row>
    <row r="58" ht="22" customHeight="1">
      <c r="B58" s="17">
        <f>IF(C58="","DP-"&amp;TEXT(COUNTA($C$5:C58),"000"))</f>
        <v/>
      </c>
      <c r="C58" s="14" t="n"/>
      <c r="D58" s="14" t="n"/>
      <c r="E58" s="14" t="n"/>
      <c r="F58" s="14" t="n"/>
      <c r="G58" s="14" t="n"/>
      <c r="H58" s="14" t="n"/>
      <c r="I58" s="29" t="n"/>
      <c r="J58" s="29" t="n"/>
      <c r="K58" s="16" t="n"/>
      <c r="L58" s="14" t="n"/>
    </row>
    <row r="59" ht="22" customHeight="1">
      <c r="B59" s="18">
        <f>IF(C59="","DP-"&amp;TEXT(COUNTA($C$5:C59),"000"))</f>
        <v/>
      </c>
      <c r="C59" s="11" t="n"/>
      <c r="D59" s="11" t="n"/>
      <c r="E59" s="11" t="n"/>
      <c r="F59" s="11" t="n"/>
      <c r="G59" s="11" t="n"/>
      <c r="H59" s="11" t="n"/>
      <c r="I59" s="28" t="n"/>
      <c r="J59" s="28" t="n"/>
      <c r="K59" s="13" t="n"/>
      <c r="L59" s="11" t="n"/>
    </row>
    <row r="60" ht="22" customHeight="1">
      <c r="B60" s="17">
        <f>IF(C60="","DP-"&amp;TEXT(COUNTA($C$5:C60),"000"))</f>
        <v/>
      </c>
      <c r="C60" s="14" t="n"/>
      <c r="D60" s="14" t="n"/>
      <c r="E60" s="14" t="n"/>
      <c r="F60" s="14" t="n"/>
      <c r="G60" s="14" t="n"/>
      <c r="H60" s="14" t="n"/>
      <c r="I60" s="29" t="n"/>
      <c r="J60" s="29" t="n"/>
      <c r="K60" s="16" t="n"/>
      <c r="L60" s="14" t="n"/>
    </row>
    <row r="61" ht="22" customHeight="1">
      <c r="B61" s="18">
        <f>IF(C61="","DP-"&amp;TEXT(COUNTA($C$5:C61),"000"))</f>
        <v/>
      </c>
      <c r="C61" s="11" t="n"/>
      <c r="D61" s="11" t="n"/>
      <c r="E61" s="11" t="n"/>
      <c r="F61" s="11" t="n"/>
      <c r="G61" s="11" t="n"/>
      <c r="H61" s="11" t="n"/>
      <c r="I61" s="28" t="n"/>
      <c r="J61" s="28" t="n"/>
      <c r="K61" s="13" t="n"/>
      <c r="L61" s="11" t="n"/>
    </row>
    <row r="62" ht="22" customHeight="1">
      <c r="B62" s="17">
        <f>IF(C62="","DP-"&amp;TEXT(COUNTA($C$5:C62),"000"))</f>
        <v/>
      </c>
      <c r="C62" s="14" t="n"/>
      <c r="D62" s="14" t="n"/>
      <c r="E62" s="14" t="n"/>
      <c r="F62" s="14" t="n"/>
      <c r="G62" s="14" t="n"/>
      <c r="H62" s="14" t="n"/>
      <c r="I62" s="29" t="n"/>
      <c r="J62" s="29" t="n"/>
      <c r="K62" s="16" t="n"/>
      <c r="L62" s="14" t="n"/>
    </row>
    <row r="63" ht="22" customHeight="1">
      <c r="B63" s="18">
        <f>IF(C63="","DP-"&amp;TEXT(COUNTA($C$5:C63),"000"))</f>
        <v/>
      </c>
      <c r="C63" s="11" t="n"/>
      <c r="D63" s="11" t="n"/>
      <c r="E63" s="11" t="n"/>
      <c r="F63" s="11" t="n"/>
      <c r="G63" s="11" t="n"/>
      <c r="H63" s="11" t="n"/>
      <c r="I63" s="28" t="n"/>
      <c r="J63" s="28" t="n"/>
      <c r="K63" s="13" t="n"/>
      <c r="L63" s="11" t="n"/>
    </row>
    <row r="64" ht="22" customHeight="1">
      <c r="B64" s="17">
        <f>IF(C64="","DP-"&amp;TEXT(COUNTA($C$5:C64),"000"))</f>
        <v/>
      </c>
      <c r="C64" s="14" t="n"/>
      <c r="D64" s="14" t="n"/>
      <c r="E64" s="14" t="n"/>
      <c r="F64" s="14" t="n"/>
      <c r="G64" s="14" t="n"/>
      <c r="H64" s="14" t="n"/>
      <c r="I64" s="29" t="n"/>
      <c r="J64" s="29" t="n"/>
      <c r="K64" s="16" t="n"/>
      <c r="L64" s="14" t="n"/>
    </row>
    <row r="65" ht="22" customHeight="1">
      <c r="B65" s="18">
        <f>IF(C65="","DP-"&amp;TEXT(COUNTA($C$5:C65),"000"))</f>
        <v/>
      </c>
      <c r="C65" s="11" t="n"/>
      <c r="D65" s="11" t="n"/>
      <c r="E65" s="11" t="n"/>
      <c r="F65" s="11" t="n"/>
      <c r="G65" s="11" t="n"/>
      <c r="H65" s="11" t="n"/>
      <c r="I65" s="28" t="n"/>
      <c r="J65" s="28" t="n"/>
      <c r="K65" s="13" t="n"/>
      <c r="L65" s="11" t="n"/>
    </row>
    <row r="66" ht="22" customHeight="1">
      <c r="B66" s="17">
        <f>IF(C66="","DP-"&amp;TEXT(COUNTA($C$5:C66),"000"))</f>
        <v/>
      </c>
      <c r="C66" s="14" t="n"/>
      <c r="D66" s="14" t="n"/>
      <c r="E66" s="14" t="n"/>
      <c r="F66" s="14" t="n"/>
      <c r="G66" s="14" t="n"/>
      <c r="H66" s="14" t="n"/>
      <c r="I66" s="29" t="n"/>
      <c r="J66" s="29" t="n"/>
      <c r="K66" s="16" t="n"/>
      <c r="L66" s="14" t="n"/>
    </row>
    <row r="67" ht="22" customHeight="1">
      <c r="B67" s="18">
        <f>IF(C67="","DP-"&amp;TEXT(COUNTA($C$5:C67),"000"))</f>
        <v/>
      </c>
      <c r="C67" s="11" t="n"/>
      <c r="D67" s="11" t="n"/>
      <c r="E67" s="11" t="n"/>
      <c r="F67" s="11" t="n"/>
      <c r="G67" s="11" t="n"/>
      <c r="H67" s="11" t="n"/>
      <c r="I67" s="28" t="n"/>
      <c r="J67" s="28" t="n"/>
      <c r="K67" s="13" t="n"/>
      <c r="L67" s="11" t="n"/>
    </row>
    <row r="68" ht="22" customHeight="1">
      <c r="B68" s="17">
        <f>IF(C68="","DP-"&amp;TEXT(COUNTA($C$5:C68),"000"))</f>
        <v/>
      </c>
      <c r="C68" s="14" t="n"/>
      <c r="D68" s="14" t="n"/>
      <c r="E68" s="14" t="n"/>
      <c r="F68" s="14" t="n"/>
      <c r="G68" s="14" t="n"/>
      <c r="H68" s="14" t="n"/>
      <c r="I68" s="29" t="n"/>
      <c r="J68" s="29" t="n"/>
      <c r="K68" s="16" t="n"/>
      <c r="L68" s="14" t="n"/>
    </row>
    <row r="69" ht="22" customHeight="1">
      <c r="B69" s="18">
        <f>IF(C69="","DP-"&amp;TEXT(COUNTA($C$5:C69),"000"))</f>
        <v/>
      </c>
      <c r="C69" s="11" t="n"/>
      <c r="D69" s="11" t="n"/>
      <c r="E69" s="11" t="n"/>
      <c r="F69" s="11" t="n"/>
      <c r="G69" s="11" t="n"/>
      <c r="H69" s="11" t="n"/>
      <c r="I69" s="28" t="n"/>
      <c r="J69" s="28" t="n"/>
      <c r="K69" s="13" t="n"/>
      <c r="L69" s="11" t="n"/>
    </row>
    <row r="70" ht="22" customHeight="1">
      <c r="B70" s="17">
        <f>IF(C70="","DP-"&amp;TEXT(COUNTA($C$5:C70),"000"))</f>
        <v/>
      </c>
      <c r="C70" s="14" t="n"/>
      <c r="D70" s="14" t="n"/>
      <c r="E70" s="14" t="n"/>
      <c r="F70" s="14" t="n"/>
      <c r="G70" s="14" t="n"/>
      <c r="H70" s="14" t="n"/>
      <c r="I70" s="29" t="n"/>
      <c r="J70" s="29" t="n"/>
      <c r="K70" s="16" t="n"/>
      <c r="L70" s="14" t="n"/>
    </row>
    <row r="71" ht="22" customHeight="1">
      <c r="B71" s="18">
        <f>IF(C71="","DP-"&amp;TEXT(COUNTA($C$5:C71),"000"))</f>
        <v/>
      </c>
      <c r="C71" s="11" t="n"/>
      <c r="D71" s="11" t="n"/>
      <c r="E71" s="11" t="n"/>
      <c r="F71" s="11" t="n"/>
      <c r="G71" s="11" t="n"/>
      <c r="H71" s="11" t="n"/>
      <c r="I71" s="28" t="n"/>
      <c r="J71" s="28" t="n"/>
      <c r="K71" s="13" t="n"/>
      <c r="L71" s="11" t="n"/>
    </row>
    <row r="72" ht="22" customHeight="1">
      <c r="B72" s="17">
        <f>IF(C72="","DP-"&amp;TEXT(COUNTA($C$5:C72),"000"))</f>
        <v/>
      </c>
      <c r="C72" s="14" t="n"/>
      <c r="D72" s="14" t="n"/>
      <c r="E72" s="14" t="n"/>
      <c r="F72" s="14" t="n"/>
      <c r="G72" s="14" t="n"/>
      <c r="H72" s="14" t="n"/>
      <c r="I72" s="29" t="n"/>
      <c r="J72" s="29" t="n"/>
      <c r="K72" s="16" t="n"/>
      <c r="L72" s="14" t="n"/>
    </row>
    <row r="73" ht="22" customHeight="1">
      <c r="B73" s="18">
        <f>IF(C73="","DP-"&amp;TEXT(COUNTA($C$5:C73),"000"))</f>
        <v/>
      </c>
      <c r="C73" s="11" t="n"/>
      <c r="D73" s="11" t="n"/>
      <c r="E73" s="11" t="n"/>
      <c r="F73" s="11" t="n"/>
      <c r="G73" s="11" t="n"/>
      <c r="H73" s="11" t="n"/>
      <c r="I73" s="28" t="n"/>
      <c r="J73" s="28" t="n"/>
      <c r="K73" s="13" t="n"/>
      <c r="L73" s="11" t="n"/>
    </row>
    <row r="74" ht="22" customHeight="1">
      <c r="B74" s="17">
        <f>IF(C74="","DP-"&amp;TEXT(COUNTA($C$5:C74),"000"))</f>
        <v/>
      </c>
      <c r="C74" s="14" t="n"/>
      <c r="D74" s="14" t="n"/>
      <c r="E74" s="14" t="n"/>
      <c r="F74" s="14" t="n"/>
      <c r="G74" s="14" t="n"/>
      <c r="H74" s="14" t="n"/>
      <c r="I74" s="29" t="n"/>
      <c r="J74" s="29" t="n"/>
      <c r="K74" s="16" t="n"/>
      <c r="L74" s="14" t="n"/>
    </row>
    <row r="75" ht="22" customHeight="1">
      <c r="B75" s="18">
        <f>IF(C75="","DP-"&amp;TEXT(COUNTA($C$5:C75),"000"))</f>
        <v/>
      </c>
      <c r="C75" s="11" t="n"/>
      <c r="D75" s="11" t="n"/>
      <c r="E75" s="11" t="n"/>
      <c r="F75" s="11" t="n"/>
      <c r="G75" s="11" t="n"/>
      <c r="H75" s="11" t="n"/>
      <c r="I75" s="28" t="n"/>
      <c r="J75" s="28" t="n"/>
      <c r="K75" s="13" t="n"/>
      <c r="L75" s="11" t="n"/>
    </row>
    <row r="76" ht="22" customHeight="1">
      <c r="B76" s="17">
        <f>IF(C76="","DP-"&amp;TEXT(COUNTA($C$5:C76),"000"))</f>
        <v/>
      </c>
      <c r="C76" s="14" t="n"/>
      <c r="D76" s="14" t="n"/>
      <c r="E76" s="14" t="n"/>
      <c r="F76" s="14" t="n"/>
      <c r="G76" s="14" t="n"/>
      <c r="H76" s="14" t="n"/>
      <c r="I76" s="29" t="n"/>
      <c r="J76" s="29" t="n"/>
      <c r="K76" s="16" t="n"/>
      <c r="L76" s="14" t="n"/>
    </row>
    <row r="77" ht="22" customHeight="1">
      <c r="B77" s="18">
        <f>IF(C77="","DP-"&amp;TEXT(COUNTA($C$5:C77),"000"))</f>
        <v/>
      </c>
      <c r="C77" s="11" t="n"/>
      <c r="D77" s="11" t="n"/>
      <c r="E77" s="11" t="n"/>
      <c r="F77" s="11" t="n"/>
      <c r="G77" s="11" t="n"/>
      <c r="H77" s="11" t="n"/>
      <c r="I77" s="28" t="n"/>
      <c r="J77" s="28" t="n"/>
      <c r="K77" s="13" t="n"/>
      <c r="L77" s="11" t="n"/>
    </row>
    <row r="78" ht="22" customHeight="1">
      <c r="B78" s="17">
        <f>IF(C78="","DP-"&amp;TEXT(COUNTA($C$5:C78),"000"))</f>
        <v/>
      </c>
      <c r="C78" s="14" t="n"/>
      <c r="D78" s="14" t="n"/>
      <c r="E78" s="14" t="n"/>
      <c r="F78" s="14" t="n"/>
      <c r="G78" s="14" t="n"/>
      <c r="H78" s="14" t="n"/>
      <c r="I78" s="29" t="n"/>
      <c r="J78" s="29" t="n"/>
      <c r="K78" s="16" t="n"/>
      <c r="L78" s="14" t="n"/>
    </row>
    <row r="79" ht="22" customHeight="1">
      <c r="B79" s="18">
        <f>IF(C79="","DP-"&amp;TEXT(COUNTA($C$5:C79),"000"))</f>
        <v/>
      </c>
      <c r="C79" s="11" t="n"/>
      <c r="D79" s="11" t="n"/>
      <c r="E79" s="11" t="n"/>
      <c r="F79" s="11" t="n"/>
      <c r="G79" s="11" t="n"/>
      <c r="H79" s="11" t="n"/>
      <c r="I79" s="28" t="n"/>
      <c r="J79" s="28" t="n"/>
      <c r="K79" s="13" t="n"/>
      <c r="L79" s="11" t="n"/>
    </row>
    <row r="80" ht="22" customHeight="1">
      <c r="B80" s="17">
        <f>IF(C80="","DP-"&amp;TEXT(COUNTA($C$5:C80),"000"))</f>
        <v/>
      </c>
      <c r="C80" s="14" t="n"/>
      <c r="D80" s="14" t="n"/>
      <c r="E80" s="14" t="n"/>
      <c r="F80" s="14" t="n"/>
      <c r="G80" s="14" t="n"/>
      <c r="H80" s="14" t="n"/>
      <c r="I80" s="29" t="n"/>
      <c r="J80" s="29" t="n"/>
      <c r="K80" s="16" t="n"/>
      <c r="L80" s="14" t="n"/>
    </row>
    <row r="81" ht="22" customHeight="1">
      <c r="B81" s="18">
        <f>IF(C81="","DP-"&amp;TEXT(COUNTA($C$5:C81),"000"))</f>
        <v/>
      </c>
      <c r="C81" s="11" t="n"/>
      <c r="D81" s="11" t="n"/>
      <c r="E81" s="11" t="n"/>
      <c r="F81" s="11" t="n"/>
      <c r="G81" s="11" t="n"/>
      <c r="H81" s="11" t="n"/>
      <c r="I81" s="28" t="n"/>
      <c r="J81" s="28" t="n"/>
      <c r="K81" s="13" t="n"/>
      <c r="L81" s="11" t="n"/>
    </row>
    <row r="82" ht="22" customHeight="1">
      <c r="B82" s="17">
        <f>IF(C82="","DP-"&amp;TEXT(COUNTA($C$5:C82),"000"))</f>
        <v/>
      </c>
      <c r="C82" s="14" t="n"/>
      <c r="D82" s="14" t="n"/>
      <c r="E82" s="14" t="n"/>
      <c r="F82" s="14" t="n"/>
      <c r="G82" s="14" t="n"/>
      <c r="H82" s="14" t="n"/>
      <c r="I82" s="29" t="n"/>
      <c r="J82" s="29" t="n"/>
      <c r="K82" s="16" t="n"/>
      <c r="L82" s="14" t="n"/>
    </row>
    <row r="83" ht="22" customHeight="1">
      <c r="B83" s="18">
        <f>IF(C83="","DP-"&amp;TEXT(COUNTA($C$5:C83),"000"))</f>
        <v/>
      </c>
      <c r="C83" s="11" t="n"/>
      <c r="D83" s="11" t="n"/>
      <c r="E83" s="11" t="n"/>
      <c r="F83" s="11" t="n"/>
      <c r="G83" s="11" t="n"/>
      <c r="H83" s="11" t="n"/>
      <c r="I83" s="28" t="n"/>
      <c r="J83" s="28" t="n"/>
      <c r="K83" s="13" t="n"/>
      <c r="L83" s="11" t="n"/>
    </row>
    <row r="84" ht="22" customHeight="1">
      <c r="B84" s="17">
        <f>IF(C84="","DP-"&amp;TEXT(COUNTA($C$5:C84),"000"))</f>
        <v/>
      </c>
      <c r="C84" s="14" t="n"/>
      <c r="D84" s="14" t="n"/>
      <c r="E84" s="14" t="n"/>
      <c r="F84" s="14" t="n"/>
      <c r="G84" s="14" t="n"/>
      <c r="H84" s="14" t="n"/>
      <c r="I84" s="29" t="n"/>
      <c r="J84" s="29" t="n"/>
      <c r="K84" s="16" t="n"/>
      <c r="L84" s="14" t="n"/>
    </row>
    <row r="85" ht="22" customHeight="1">
      <c r="B85" s="18">
        <f>IF(C85="","DP-"&amp;TEXT(COUNTA($C$5:C85),"000"))</f>
        <v/>
      </c>
      <c r="C85" s="11" t="n"/>
      <c r="D85" s="11" t="n"/>
      <c r="E85" s="11" t="n"/>
      <c r="F85" s="11" t="n"/>
      <c r="G85" s="11" t="n"/>
      <c r="H85" s="11" t="n"/>
      <c r="I85" s="28" t="n"/>
      <c r="J85" s="28" t="n"/>
      <c r="K85" s="13" t="n"/>
      <c r="L85" s="11" t="n"/>
    </row>
    <row r="86" ht="22" customHeight="1">
      <c r="B86" s="17">
        <f>IF(C86="","DP-"&amp;TEXT(COUNTA($C$5:C86),"000"))</f>
        <v/>
      </c>
      <c r="C86" s="14" t="n"/>
      <c r="D86" s="14" t="n"/>
      <c r="E86" s="14" t="n"/>
      <c r="F86" s="14" t="n"/>
      <c r="G86" s="14" t="n"/>
      <c r="H86" s="14" t="n"/>
      <c r="I86" s="29" t="n"/>
      <c r="J86" s="29" t="n"/>
      <c r="K86" s="16" t="n"/>
      <c r="L86" s="14" t="n"/>
    </row>
    <row r="87" ht="22" customHeight="1">
      <c r="B87" s="18">
        <f>IF(C87="","DP-"&amp;TEXT(COUNTA($C$5:C87),"000"))</f>
        <v/>
      </c>
      <c r="C87" s="11" t="n"/>
      <c r="D87" s="11" t="n"/>
      <c r="E87" s="11" t="n"/>
      <c r="F87" s="11" t="n"/>
      <c r="G87" s="11" t="n"/>
      <c r="H87" s="11" t="n"/>
      <c r="I87" s="28" t="n"/>
      <c r="J87" s="28" t="n"/>
      <c r="K87" s="13" t="n"/>
      <c r="L87" s="11" t="n"/>
    </row>
    <row r="88" ht="22" customHeight="1">
      <c r="B88" s="17">
        <f>IF(C88="","DP-"&amp;TEXT(COUNTA($C$5:C88),"000"))</f>
        <v/>
      </c>
      <c r="C88" s="14" t="n"/>
      <c r="D88" s="14" t="n"/>
      <c r="E88" s="14" t="n"/>
      <c r="F88" s="14" t="n"/>
      <c r="G88" s="14" t="n"/>
      <c r="H88" s="14" t="n"/>
      <c r="I88" s="29" t="n"/>
      <c r="J88" s="29" t="n"/>
      <c r="K88" s="16" t="n"/>
      <c r="L88" s="14" t="n"/>
    </row>
    <row r="89" ht="22" customHeight="1">
      <c r="B89" s="18">
        <f>IF(C89="","DP-"&amp;TEXT(COUNTA($C$5:C89),"000"))</f>
        <v/>
      </c>
      <c r="C89" s="11" t="n"/>
      <c r="D89" s="11" t="n"/>
      <c r="E89" s="11" t="n"/>
      <c r="F89" s="11" t="n"/>
      <c r="G89" s="11" t="n"/>
      <c r="H89" s="11" t="n"/>
      <c r="I89" s="28" t="n"/>
      <c r="J89" s="28" t="n"/>
      <c r="K89" s="13" t="n"/>
      <c r="L89" s="11" t="n"/>
    </row>
    <row r="90" ht="22" customHeight="1">
      <c r="B90" s="17">
        <f>IF(C90="","DP-"&amp;TEXT(COUNTA($C$5:C90),"000"))</f>
        <v/>
      </c>
      <c r="C90" s="14" t="n"/>
      <c r="D90" s="14" t="n"/>
      <c r="E90" s="14" t="n"/>
      <c r="F90" s="14" t="n"/>
      <c r="G90" s="14" t="n"/>
      <c r="H90" s="14" t="n"/>
      <c r="I90" s="29" t="n"/>
      <c r="J90" s="29" t="n"/>
      <c r="K90" s="16" t="n"/>
      <c r="L90" s="14" t="n"/>
    </row>
    <row r="91" ht="22" customHeight="1">
      <c r="B91" s="18">
        <f>IF(C91="","DP-"&amp;TEXT(COUNTA($C$5:C91),"000"))</f>
        <v/>
      </c>
      <c r="C91" s="11" t="n"/>
      <c r="D91" s="11" t="n"/>
      <c r="E91" s="11" t="n"/>
      <c r="F91" s="11" t="n"/>
      <c r="G91" s="11" t="n"/>
      <c r="H91" s="11" t="n"/>
      <c r="I91" s="28" t="n"/>
      <c r="J91" s="28" t="n"/>
      <c r="K91" s="13" t="n"/>
      <c r="L91" s="11" t="n"/>
    </row>
    <row r="92" ht="22" customHeight="1">
      <c r="B92" s="17">
        <f>IF(C92="","DP-"&amp;TEXT(COUNTA($C$5:C92),"000"))</f>
        <v/>
      </c>
      <c r="C92" s="14" t="n"/>
      <c r="D92" s="14" t="n"/>
      <c r="E92" s="14" t="n"/>
      <c r="F92" s="14" t="n"/>
      <c r="G92" s="14" t="n"/>
      <c r="H92" s="14" t="n"/>
      <c r="I92" s="29" t="n"/>
      <c r="J92" s="29" t="n"/>
      <c r="K92" s="16" t="n"/>
      <c r="L92" s="14" t="n"/>
    </row>
    <row r="93" ht="22" customHeight="1">
      <c r="B93" s="18">
        <f>IF(C93="","DP-"&amp;TEXT(COUNTA($C$5:C93),"000"))</f>
        <v/>
      </c>
      <c r="C93" s="11" t="n"/>
      <c r="D93" s="11" t="n"/>
      <c r="E93" s="11" t="n"/>
      <c r="F93" s="11" t="n"/>
      <c r="G93" s="11" t="n"/>
      <c r="H93" s="11" t="n"/>
      <c r="I93" s="28" t="n"/>
      <c r="J93" s="28" t="n"/>
      <c r="K93" s="13" t="n"/>
      <c r="L93" s="11" t="n"/>
    </row>
    <row r="94" ht="22" customHeight="1">
      <c r="B94" s="17">
        <f>IF(C94="","DP-"&amp;TEXT(COUNTA($C$5:C94),"000"))</f>
        <v/>
      </c>
      <c r="C94" s="14" t="n"/>
      <c r="D94" s="14" t="n"/>
      <c r="E94" s="14" t="n"/>
      <c r="F94" s="14" t="n"/>
      <c r="G94" s="14" t="n"/>
      <c r="H94" s="14" t="n"/>
      <c r="I94" s="29" t="n"/>
      <c r="J94" s="29" t="n"/>
      <c r="K94" s="16" t="n"/>
      <c r="L94" s="14" t="n"/>
    </row>
    <row r="95" ht="22" customHeight="1">
      <c r="B95" s="18">
        <f>IF(C95="","DP-"&amp;TEXT(COUNTA($C$5:C95),"000"))</f>
        <v/>
      </c>
      <c r="C95" s="11" t="n"/>
      <c r="D95" s="11" t="n"/>
      <c r="E95" s="11" t="n"/>
      <c r="F95" s="11" t="n"/>
      <c r="G95" s="11" t="n"/>
      <c r="H95" s="11" t="n"/>
      <c r="I95" s="28" t="n"/>
      <c r="J95" s="28" t="n"/>
      <c r="K95" s="13" t="n"/>
      <c r="L95" s="11" t="n"/>
    </row>
    <row r="96" ht="22" customHeight="1">
      <c r="B96" s="17">
        <f>IF(C96="","DP-"&amp;TEXT(COUNTA($C$5:C96),"000"))</f>
        <v/>
      </c>
      <c r="C96" s="14" t="n"/>
      <c r="D96" s="14" t="n"/>
      <c r="E96" s="14" t="n"/>
      <c r="F96" s="14" t="n"/>
      <c r="G96" s="14" t="n"/>
      <c r="H96" s="14" t="n"/>
      <c r="I96" s="29" t="n"/>
      <c r="J96" s="29" t="n"/>
      <c r="K96" s="16" t="n"/>
      <c r="L96" s="14" t="n"/>
    </row>
    <row r="97" ht="22" customHeight="1">
      <c r="B97" s="18">
        <f>IF(C97="","DP-"&amp;TEXT(COUNTA($C$5:C97),"000"))</f>
        <v/>
      </c>
      <c r="C97" s="11" t="n"/>
      <c r="D97" s="11" t="n"/>
      <c r="E97" s="11" t="n"/>
      <c r="F97" s="11" t="n"/>
      <c r="G97" s="11" t="n"/>
      <c r="H97" s="11" t="n"/>
      <c r="I97" s="28" t="n"/>
      <c r="J97" s="28" t="n"/>
      <c r="K97" s="13" t="n"/>
      <c r="L97" s="11" t="n"/>
    </row>
    <row r="98" ht="22" customHeight="1">
      <c r="B98" s="17">
        <f>IF(C98="","DP-"&amp;TEXT(COUNTA($C$5:C98),"000"))</f>
        <v/>
      </c>
      <c r="C98" s="14" t="n"/>
      <c r="D98" s="14" t="n"/>
      <c r="E98" s="14" t="n"/>
      <c r="F98" s="14" t="n"/>
      <c r="G98" s="14" t="n"/>
      <c r="H98" s="14" t="n"/>
      <c r="I98" s="29" t="n"/>
      <c r="J98" s="29" t="n"/>
      <c r="K98" s="16" t="n"/>
      <c r="L98" s="14" t="n"/>
    </row>
    <row r="99" ht="22" customHeight="1">
      <c r="B99" s="18">
        <f>IF(C99="","DP-"&amp;TEXT(COUNTA($C$5:C99),"000"))</f>
        <v/>
      </c>
      <c r="C99" s="11" t="n"/>
      <c r="D99" s="11" t="n"/>
      <c r="E99" s="11" t="n"/>
      <c r="F99" s="11" t="n"/>
      <c r="G99" s="11" t="n"/>
      <c r="H99" s="11" t="n"/>
      <c r="I99" s="28" t="n"/>
      <c r="J99" s="28" t="n"/>
      <c r="K99" s="13" t="n"/>
      <c r="L99" s="11" t="n"/>
    </row>
    <row r="100" ht="22" customHeight="1">
      <c r="B100" s="17">
        <f>IF(C100="","DP-"&amp;TEXT(COUNTA($C$5:C100),"000"))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29" t="n"/>
      <c r="J100" s="29" t="n"/>
      <c r="K100" s="16" t="n"/>
      <c r="L100" s="14" t="n"/>
    </row>
    <row r="101" ht="22" customHeight="1">
      <c r="B101" s="18">
        <f>IF(C101="","DP-"&amp;TEXT(COUNTA($C$5:C101),"000"))</f>
        <v/>
      </c>
      <c r="C101" s="11" t="n"/>
      <c r="D101" s="11" t="n"/>
      <c r="E101" s="11" t="n"/>
      <c r="F101" s="11" t="n"/>
      <c r="G101" s="11" t="n"/>
      <c r="H101" s="11" t="n"/>
      <c r="I101" s="28" t="n"/>
      <c r="J101" s="28" t="n"/>
      <c r="K101" s="13" t="n"/>
      <c r="L101" s="11" t="n"/>
    </row>
    <row r="102" ht="22" customHeight="1">
      <c r="B102" s="17">
        <f>IF(C102="","DP-"&amp;TEXT(COUNTA($C$5:C102),"000"))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29" t="n"/>
      <c r="J102" s="29" t="n"/>
      <c r="K102" s="16" t="n"/>
      <c r="L102" s="14" t="n"/>
    </row>
    <row r="103" ht="22" customHeight="1">
      <c r="B103" s="18">
        <f>IF(C103="","DP-"&amp;TEXT(COUNTA($C$5:C103),"000"))</f>
        <v/>
      </c>
      <c r="C103" s="11" t="n"/>
      <c r="D103" s="11" t="n"/>
      <c r="E103" s="11" t="n"/>
      <c r="F103" s="11" t="n"/>
      <c r="G103" s="11" t="n"/>
      <c r="H103" s="11" t="n"/>
      <c r="I103" s="28" t="n"/>
      <c r="J103" s="28" t="n"/>
      <c r="K103" s="13" t="n"/>
      <c r="L103" s="11" t="n"/>
    </row>
    <row r="104" ht="22" customHeight="1">
      <c r="B104" s="17">
        <f>IF(C104="","DP-"&amp;TEXT(COUNTA($C$5:C104),"000"))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29" t="n"/>
      <c r="J104" s="29" t="n"/>
      <c r="K104" s="16" t="n"/>
      <c r="L104" s="14" t="n"/>
    </row>
    <row r="105" ht="22" customHeight="1">
      <c r="B105" s="18">
        <f>IF(C105="","DP-"&amp;TEXT(COUNTA($C$5:C105),"000"))</f>
        <v/>
      </c>
      <c r="C105" s="11" t="n"/>
      <c r="D105" s="11" t="n"/>
      <c r="E105" s="11" t="n"/>
      <c r="F105" s="11" t="n"/>
      <c r="G105" s="11" t="n"/>
      <c r="H105" s="11" t="n"/>
      <c r="I105" s="28" t="n"/>
      <c r="J105" s="28" t="n"/>
      <c r="K105" s="13" t="n"/>
      <c r="L105" s="11" t="n"/>
    </row>
    <row r="106" ht="22" customHeight="1">
      <c r="B106" s="17">
        <f>IF(C106="","DP-"&amp;TEXT(COUNTA($C$5:C106),"000"))</f>
        <v/>
      </c>
      <c r="C106" s="14" t="n"/>
      <c r="D106" s="14" t="n"/>
      <c r="E106" s="14" t="n"/>
      <c r="F106" s="14" t="n"/>
      <c r="G106" s="14" t="n"/>
      <c r="H106" s="14" t="n"/>
      <c r="I106" s="29" t="n"/>
      <c r="J106" s="29" t="n"/>
      <c r="K106" s="16" t="n"/>
      <c r="L106" s="14" t="n"/>
    </row>
    <row r="107" ht="22" customHeight="1">
      <c r="B107" s="18">
        <f>IF(C107="","DP-"&amp;TEXT(COUNTA($C$5:C107),"000"))</f>
        <v/>
      </c>
      <c r="C107" s="11" t="n"/>
      <c r="D107" s="11" t="n"/>
      <c r="E107" s="11" t="n"/>
      <c r="F107" s="11" t="n"/>
      <c r="G107" s="11" t="n"/>
      <c r="H107" s="11" t="n"/>
      <c r="I107" s="28" t="n"/>
      <c r="J107" s="28" t="n"/>
      <c r="K107" s="13" t="n"/>
      <c r="L107" s="11" t="n"/>
    </row>
    <row r="108" ht="22" customHeight="1">
      <c r="B108" s="17">
        <f>IF(C108="","DP-"&amp;TEXT(COUNTA($C$5:C108),"000"))</f>
        <v/>
      </c>
      <c r="C108" s="14" t="n"/>
      <c r="D108" s="14" t="n"/>
      <c r="E108" s="14" t="n"/>
      <c r="F108" s="14" t="n"/>
      <c r="G108" s="14" t="n"/>
      <c r="H108" s="14" t="n"/>
      <c r="I108" s="29" t="n"/>
      <c r="J108" s="29" t="n"/>
      <c r="K108" s="16" t="n"/>
      <c r="L108" s="14" t="n"/>
    </row>
    <row r="110" ht="26" customHeight="1">
      <c r="B110" s="19" t="inlineStr">
        <is>
          <t>TOTAL</t>
        </is>
      </c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1">
        <f>SUM(K5:K104)</f>
        <v/>
      </c>
      <c r="L110" s="20" t="n"/>
    </row>
    <row r="112">
      <c r="B112" s="5" t="inlineStr">
        <is>
          <t>INDICATEURS (mis a jour automatiquement)</t>
        </is>
      </c>
    </row>
    <row r="113">
      <c r="B113" s="3" t="inlineStr">
        <is>
          <t>Delegues enregistrés</t>
        </is>
      </c>
      <c r="D113" s="3" t="inlineStr">
        <is>
          <t>En mandat</t>
        </is>
      </c>
      <c r="F113" s="3" t="inlineStr">
        <is>
          <t>Total reunions</t>
        </is>
      </c>
      <c r="H113" s="3" t="inlineStr">
        <is>
          <t>Nb syndicats rep.</t>
        </is>
      </c>
    </row>
    <row r="114">
      <c r="B114" s="4">
        <f>COUNTIF(B5:B104,"&lt;&gt;")</f>
        <v/>
      </c>
      <c r="D114" s="4">
        <f>COUNTIF(L5:L104,"En mandat")</f>
        <v/>
      </c>
      <c r="F114" s="4">
        <f>SUM(K5:K104)</f>
        <v/>
      </c>
      <c r="H114" s="4">
        <f>SUMPRODUCT(1/COUNTIF(G5:G104,G5:G104&amp;""))</f>
        <v/>
      </c>
    </row>
  </sheetData>
  <mergeCells count="3">
    <mergeCell ref="B2:L2"/>
    <mergeCell ref="B112:L112"/>
    <mergeCell ref="B3:L3"/>
  </mergeCells>
  <conditionalFormatting sqref="L5:L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1">
      <formula>"En attente"</formula>
    </cfRule>
    <cfRule type="cellIs" priority="45" operator="equal" dxfId="1">
      <formula>"A renouveler"</formula>
    </cfRule>
    <cfRule type="cellIs" priority="46" operator="equal" dxfId="1">
      <formula>"En cours"</formula>
    </cfRule>
    <cfRule type="cellIs" priority="47" operator="equal" dxfId="1">
      <formula>"En traitement"</formula>
    </cfRule>
    <cfRule type="cellIs" priority="48" operator="equal" dxfId="1">
      <formula>"En retard"</formula>
    </cfRule>
    <cfRule type="cellIs" priority="49" operator="equal" dxfId="1">
      <formula>"Suspendu"</formula>
    </cfRule>
    <cfRule type="cellIs" priority="50" operator="equal" dxfId="1">
      <formula>"Planifie"</formula>
    </cfRule>
    <cfRule type="cellIs" priority="51" operator="equal" dxfId="1">
      <formula>"Planifiee"</formula>
    </cfRule>
    <cfRule type="cellIs" priority="52" operator="equal" dxfId="1">
      <formula>"Brouillon"</formula>
    </cfRule>
    <cfRule type="cellIs" priority="53" operator="equal" dxfId="1">
      <formula>"En attente de justification"</formula>
    </cfRule>
    <cfRule type="cellIs" priority="54" operator="equal" dxfId="1">
      <formula>"Tolere"</formula>
    </cfRule>
    <cfRule type="cellIs" priority="55" operator="equal" dxfId="1">
      <formula>"Variable"</formula>
    </cfRule>
    <cfRule type="cellIs" priority="56" operator="equal" dxfId="1">
      <formula>"En elaboration"</formula>
    </cfRule>
    <cfRule type="cellIs" priority="57" operator="equal" dxfId="1">
      <formula>"Provisionne"</formula>
    </cfRule>
    <cfRule type="cellIs" priority="58" operator="equal" dxfId="1">
      <formula>"Consomme partiel"</formula>
    </cfRule>
    <cfRule type="cellIs" priority="59" operator="equal" dxfId="1">
      <formula>"Identifie"</formula>
    </cfRule>
    <cfRule type="cellIs" priority="60" operator="equal" dxfId="1">
      <formula>"Priorise"</formula>
    </cfRule>
    <cfRule type="cellIs" priority="61" operator="equal" dxfId="1">
      <formula>"Intermediaire"</formula>
    </cfRule>
    <cfRule type="cellIs" priority="62" operator="equal" dxfId="1">
      <formula>"Non evalue"</formula>
    </cfRule>
    <cfRule type="cellIs" priority="63" operator="equal" dxfId="1">
      <formula>"En cours de realisation"</formula>
    </cfRule>
    <cfRule type="cellIs" priority="64" operator="equal" dxfId="1">
      <formula>"Non demarre"</formula>
    </cfRule>
    <cfRule type="cellIs" priority="65" operator="equal" dxfId="1">
      <formula>"En attente N+1"</formula>
    </cfRule>
    <cfRule type="cellIs" priority="66" operator="equal" dxfId="1">
      <formula>"Prolongation essai"</formula>
    </cfRule>
    <cfRule type="cellIs" priority="67" operator="equal" dxfId="1">
      <formula>"En attente validation"</formula>
    </cfRule>
    <cfRule type="cellIs" priority="68" operator="equal" dxfId="1">
      <formula>"Bon"</formula>
    </cfRule>
    <cfRule type="cellIs" priority="69" operator="equal" dxfId="1">
      <formula>"D - Moyen"</formula>
    </cfRule>
    <cfRule type="cellIs" priority="70" operator="equal" dxfId="1">
      <formula>"En cours de repres."</formula>
    </cfRule>
    <cfRule type="cellIs" priority="71" operator="equal" dxfId="1">
      <formula>"En negociation"</formula>
    </cfRule>
    <cfRule type="cellIs" priority="72" operator="equal" dxfId="1">
      <formula>"En preparation"</formula>
    </cfRule>
    <cfRule type="cellIs" priority="73" operator="equal" dxfId="1">
      <formula>"En cours d'instruction"</formula>
    </cfRule>
    <cfRule type="cellIs" priority="74" operator="equal" dxfId="1">
      <formula>"Transferee N+1"</formula>
    </cfRule>
    <cfRule type="cellIs" priority="75" operator="equal" dxfId="1">
      <formula>"En attente reponse"</formula>
    </cfRule>
    <cfRule type="cellIs" priority="76" operator="equal" dxfId="1">
      <formula>"Enquete ouverte"</formula>
    </cfRule>
    <cfRule type="cellIs" priority="77" operator="equal" dxfId="1">
      <formula>"Convocation envoyee"</formula>
    </cfRule>
    <cfRule type="cellIs" priority="78" operator="equal" dxfId="1">
      <formula>"Entretien realise"</formula>
    </cfRule>
    <cfRule type="cellIs" priority="79" operator="equal" dxfId="1">
      <formula>"Saisie"</formula>
    </cfRule>
    <cfRule type="cellIs" priority="80" operator="equal" dxfId="1">
      <formula>"En mediation"</formula>
    </cfRule>
    <cfRule type="cellIs" priority="81" operator="equal" dxfId="1">
      <formula>"En recours"</formula>
    </cfRule>
    <cfRule type="cellIs" priority="82" operator="equal" dxfId="1">
      <formula>"Reportee"</formula>
    </cfRule>
    <cfRule type="cellIs" priority="83" operator="equal" dxfId="1">
      <formula>"Signale"</formula>
    </cfRule>
    <cfRule type="cellIs" priority="84" operator="equal" dxfId="1">
      <formula>"Precontentieux"</formula>
    </cfRule>
    <cfRule type="cellIs" priority="85" operator="equal" dxfId="1">
      <formula>"En attente election"</formula>
    </cfRule>
    <cfRule type="cellIs" priority="86" operator="equal" dxfId="1">
      <formula>"Classe"</formula>
    </cfRule>
    <cfRule type="cellIs" priority="87" operator="equal" dxfId="2">
      <formula>"Expire"</formula>
    </cfRule>
    <cfRule type="cellIs" priority="88" operator="equal" dxfId="2">
      <formula>"Rejete"</formula>
    </cfRule>
    <cfRule type="cellIs" priority="89" operator="equal" dxfId="2">
      <formula>"Rejetee"</formula>
    </cfRule>
    <cfRule type="cellIs" priority="90" operator="equal" dxfId="2">
      <formula>"Resilie"</formula>
    </cfRule>
    <cfRule type="cellIs" priority="91" operator="equal" dxfId="2">
      <formula>"Annule"</formula>
    </cfRule>
    <cfRule type="cellIs" priority="92" operator="equal" dxfId="2">
      <formula>"Annulee"</formula>
    </cfRule>
    <cfRule type="cellIs" priority="93" operator="equal" dxfId="2">
      <formula>"Refuse"</formula>
    </cfRule>
    <cfRule type="cellIs" priority="94" operator="equal" dxfId="2">
      <formula>"Non justifie"</formula>
    </cfRule>
    <cfRule type="cellIs" priority="95" operator="equal" dxfId="2">
      <formula>"Non justifiee"</formula>
    </cfRule>
    <cfRule type="cellIs" priority="96" operator="equal" dxfId="2">
      <formula>"Sanctionne"</formula>
    </cfRule>
    <cfRule type="cellIs" priority="97" operator="equal" dxfId="2">
      <formula>"Inaptitude"</formula>
    </cfRule>
    <cfRule type="cellIs" priority="98" operator="equal" dxfId="2">
      <formula>"Absent sans autorisation"</formula>
    </cfRule>
    <cfRule type="cellIs" priority="99" operator="equal" dxfId="2">
      <formula>"Abandon de poste"</formula>
    </cfRule>
    <cfRule type="cellIs" priority="100" operator="equal" dxfId="2">
      <formula>"Non satisfait"</formula>
    </cfRule>
    <cfRule type="cellIs" priority="101" operator="equal" dxfId="2">
      <formula>"Reportee"</formula>
    </cfRule>
    <cfRule type="cellIs" priority="102" operator="equal" dxfId="2">
      <formula>"Depasse"</formula>
    </cfRule>
    <cfRule type="cellIs" priority="103" operator="equal" dxfId="2">
      <formula>"Non utilise"</formula>
    </cfRule>
    <cfRule type="cellIs" priority="104" operator="equal" dxfId="2">
      <formula>"Non applicable"</formula>
    </cfRule>
    <cfRule type="cellIs" priority="105" operator="equal" dxfId="2">
      <formula>"Debutant"</formula>
    </cfRule>
    <cfRule type="cellIs" priority="106" operator="equal" dxfId="2">
      <formula>"Non atteint"</formula>
    </cfRule>
    <cfRule type="cellIs" priority="107" operator="equal" dxfId="2">
      <formula>"Abandonne"</formula>
    </cfRule>
    <cfRule type="cellIs" priority="108" operator="equal" dxfId="2">
      <formula>"Rupture essai"</formula>
    </cfRule>
    <cfRule type="cellIs" priority="109" operator="equal" dxfId="2">
      <formula>"Insuffisant"</formula>
    </cfRule>
    <cfRule type="cellIs" priority="110" operator="equal" dxfId="2">
      <formula>"Moyen"</formula>
    </cfRule>
    <cfRule type="cellIs" priority="111" operator="equal" dxfId="2">
      <formula>"E - Insuffisant"</formula>
    </cfRule>
    <cfRule type="cellIs" priority="112" operator="equal" dxfId="2">
      <formula>"Dissous"</formula>
    </cfRule>
    <cfRule type="cellIs" priority="113" operator="equal" dxfId="2">
      <formula>"Denonce"</formula>
    </cfRule>
    <cfRule type="cellIs" priority="114" operator="equal" dxfId="2">
      <formula>"Echoue"</formula>
    </cfRule>
    <cfRule type="cellIs" priority="115" operator="equal" dxfId="2">
      <formula>"Echouee"</formula>
    </cfRule>
    <cfRule type="cellIs" priority="116" operator="equal" dxfId="2">
      <formula>"Revoque"</formula>
    </cfRule>
    <cfRule type="cellIs" priority="117" operator="equal" dxfId="2">
      <formula>"Demissionnaire"</formula>
    </cfRule>
    <cfRule type="cellIs" priority="118" operator="equal" dxfId="2">
      <formula>"Licenciement pour faute"</formula>
    </cfRule>
    <cfRule type="cellIs" priority="119" operator="equal" dxfId="2">
      <formula>"Licenciement pour faute grave"</formula>
    </cfRule>
    <cfRule type="cellIs" priority="120" operator="equal" dxfId="2">
      <formula>"Terminee - Echec"</formula>
    </cfRule>
    <cfRule type="cellIs" priority="121" operator="equal" dxfId="2">
      <formula>"Abandonnee"</formula>
    </cfRule>
    <cfRule type="cellIs" priority="122" operator="equal" dxfId="2">
      <formula>"Violence physique"</formula>
    </cfRule>
    <cfRule type="cellIs" priority="123" operator="equal" dxfId="2">
      <formula>"Violence verbale"</formula>
    </cfRule>
  </conditionalFormatting>
  <conditionalFormatting sqref="B9:B108">
    <cfRule type="expression" priority="124" dxfId="3">
      <formula>AND($C9="",$C8&lt;&gt;"")</formula>
    </cfRule>
  </conditionalFormatting>
  <conditionalFormatting sqref="C9:C108">
    <cfRule type="expression" priority="125" dxfId="3">
      <formula>AND($C9="",$C8&lt;&gt;"")</formula>
    </cfRule>
  </conditionalFormatting>
  <conditionalFormatting sqref="D9:D108">
    <cfRule type="expression" priority="126" dxfId="3">
      <formula>AND($C9="",$C8&lt;&gt;"")</formula>
    </cfRule>
  </conditionalFormatting>
  <conditionalFormatting sqref="E9:E108">
    <cfRule type="expression" priority="127" dxfId="3">
      <formula>AND($C9="",$C8&lt;&gt;"")</formula>
    </cfRule>
  </conditionalFormatting>
  <conditionalFormatting sqref="F9:F108">
    <cfRule type="expression" priority="128" dxfId="3">
      <formula>AND($C9="",$C8&lt;&gt;"")</formula>
    </cfRule>
  </conditionalFormatting>
  <conditionalFormatting sqref="G9:G108">
    <cfRule type="expression" priority="129" dxfId="3">
      <formula>AND($C9="",$C8&lt;&gt;"")</formula>
    </cfRule>
  </conditionalFormatting>
  <conditionalFormatting sqref="H9:H108">
    <cfRule type="expression" priority="130" dxfId="3">
      <formula>AND($C9="",$C8&lt;&gt;"")</formula>
    </cfRule>
  </conditionalFormatting>
  <conditionalFormatting sqref="I9:I108">
    <cfRule type="expression" priority="131" dxfId="3">
      <formula>AND($C9="",$C8&lt;&gt;"")</formula>
    </cfRule>
  </conditionalFormatting>
  <conditionalFormatting sqref="J9:J108">
    <cfRule type="expression" priority="132" dxfId="3">
      <formula>AND($C9="",$C8&lt;&gt;"")</formula>
    </cfRule>
  </conditionalFormatting>
  <conditionalFormatting sqref="K9:K108">
    <cfRule type="expression" priority="133" dxfId="3">
      <formula>AND($C9="",$C8&lt;&gt;"")</formula>
    </cfRule>
  </conditionalFormatting>
  <conditionalFormatting sqref="L9:L108">
    <cfRule type="expression" priority="134" dxfId="3">
      <formula>AND($C9="",$C8&lt;&gt;"")</formula>
    </cfRule>
  </conditionalFormatting>
  <dataValidations count="4">
    <dataValidation sqref="E5:E108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8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G5:G108" showDropDown="0" showInputMessage="0" showErrorMessage="0" allowBlank="1" errorTitle="Erreur" error="Valeur invalide" promptTitle="Liste" prompt="Choisir dans la liste" type="list">
      <formula1>'_Lists'!$D$2:$D$11</formula1>
    </dataValidation>
    <dataValidation sqref="L5:L108" showDropDown="0" showInputMessage="0" showErrorMessage="0" allowBlank="1" errorTitle="Erreur" error="Valeur invalide" promptTitle="Liste" prompt="Choisir dans la liste" type="list">
      <formula1>'_Lists'!$G$2:$G$6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M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34" customWidth="1" min="4" max="4"/>
    <col width="14" customWidth="1" min="5" max="5"/>
    <col width="18" customWidth="1" min="6" max="6"/>
    <col width="16" customWidth="1" min="7" max="7"/>
    <col width="12" customWidth="1" min="8" max="8"/>
    <col width="36" customWidth="1" min="9" max="9"/>
    <col width="30" customWidth="1" min="10" max="10"/>
    <col width="14" customWidth="1" min="11" max="11"/>
    <col width="16" customWidth="1" min="12" max="12"/>
    <col width="14" customWidth="1" min="13" max="13"/>
  </cols>
  <sheetData>
    <row r="1" ht="15" customHeight="1"/>
    <row r="2" ht="32" customHeight="1">
      <c r="B2" s="1" t="inlineStr">
        <is>
          <t>COMITE D'ENTREPRISE / CSE (#89)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 Reunion</t>
        </is>
      </c>
      <c r="C4" s="10" t="inlineStr">
        <is>
          <t>Type Instance</t>
        </is>
      </c>
      <c r="D4" s="10" t="inlineStr">
        <is>
          <t>Ordre du Jour</t>
        </is>
      </c>
      <c r="E4" s="10" t="inlineStr">
        <is>
          <t>Date Reunion</t>
        </is>
      </c>
      <c r="F4" s="10" t="inlineStr">
        <is>
          <t>Lieu</t>
        </is>
      </c>
      <c r="G4" s="10" t="inlineStr">
        <is>
          <t>Nb Participants</t>
        </is>
      </c>
      <c r="H4" s="10" t="inlineStr">
        <is>
          <t>Nb Absents</t>
        </is>
      </c>
      <c r="I4" s="10" t="inlineStr">
        <is>
          <t>Decisions Prises</t>
        </is>
      </c>
      <c r="J4" s="10" t="inlineStr">
        <is>
          <t>Suite a Donner</t>
        </is>
      </c>
      <c r="K4" s="10" t="inlineStr">
        <is>
          <t>Date Prochaine</t>
        </is>
      </c>
      <c r="L4" s="10" t="inlineStr">
        <is>
          <t>Rapporteur</t>
        </is>
      </c>
      <c r="M4" s="10" t="inlineStr">
        <is>
          <t>Statut</t>
        </is>
      </c>
    </row>
    <row r="5" ht="22" customHeight="1">
      <c r="B5" s="11" t="inlineStr">
        <is>
          <t>CSE-001</t>
        </is>
      </c>
      <c r="C5" s="11" t="inlineStr">
        <is>
          <t>CSE</t>
        </is>
      </c>
      <c r="D5" s="11" t="inlineStr">
        <is>
          <t>Budget social 2025 &amp; oeuvres sociales</t>
        </is>
      </c>
      <c r="E5" s="28" t="n">
        <v>45677</v>
      </c>
      <c r="F5" s="11" t="inlineStr">
        <is>
          <t>Salle reunion A</t>
        </is>
      </c>
      <c r="G5" s="13" t="n">
        <v>12</v>
      </c>
      <c r="H5" s="13" t="n">
        <v>2</v>
      </c>
      <c r="I5" s="11" t="inlineStr">
        <is>
          <t>Validation budget 15M FCFA</t>
        </is>
      </c>
      <c r="J5" s="11" t="inlineStr">
        <is>
          <t>Suivi execution budget</t>
        </is>
      </c>
      <c r="K5" s="28" t="n">
        <v>45767</v>
      </c>
      <c r="L5" s="11" t="inlineStr">
        <is>
          <t>DRH Nganou</t>
        </is>
      </c>
      <c r="M5" s="11" t="inlineStr">
        <is>
          <t>Tenue</t>
        </is>
      </c>
    </row>
    <row r="6" ht="22" customHeight="1">
      <c r="B6" s="14" t="inlineStr">
        <is>
          <t>CSE-002</t>
        </is>
      </c>
      <c r="C6" s="14" t="inlineStr">
        <is>
          <t>CSE</t>
        </is>
      </c>
      <c r="D6" s="14" t="inlineStr">
        <is>
          <t>Conditions de travail saison haute</t>
        </is>
      </c>
      <c r="E6" s="29" t="n">
        <v>45731</v>
      </c>
      <c r="F6" s="14" t="inlineStr">
        <is>
          <t>Salle reunion A</t>
        </is>
      </c>
      <c r="G6" s="16" t="n">
        <v>10</v>
      </c>
      <c r="H6" s="16" t="n">
        <v>4</v>
      </c>
      <c r="I6" s="14" t="inlineStr">
        <is>
          <t>Heures sup. majorees 25%</t>
        </is>
      </c>
      <c r="J6" s="14" t="inlineStr">
        <is>
          <t>Negocier primes saison</t>
        </is>
      </c>
      <c r="K6" s="29" t="n">
        <v>45823</v>
      </c>
      <c r="L6" s="14" t="inlineStr">
        <is>
          <t>DRH Nganou</t>
        </is>
      </c>
      <c r="M6" s="14" t="inlineStr">
        <is>
          <t>Tenue</t>
        </is>
      </c>
    </row>
    <row r="7" ht="22" customHeight="1">
      <c r="B7" s="11" t="inlineStr">
        <is>
          <t>CSE-003</t>
        </is>
      </c>
      <c r="C7" s="11" t="inlineStr">
        <is>
          <t>CHSCT</t>
        </is>
      </c>
      <c r="D7" s="11" t="inlineStr">
        <is>
          <t>Audit securite cuisine &amp; entretien</t>
        </is>
      </c>
      <c r="E7" s="28" t="n">
        <v>45757</v>
      </c>
      <c r="F7" s="11" t="inlineStr">
        <is>
          <t>Salle reunion B</t>
        </is>
      </c>
      <c r="G7" s="13" t="n">
        <v>8</v>
      </c>
      <c r="H7" s="13" t="n">
        <v>1</v>
      </c>
      <c r="I7" s="11" t="inlineStr">
        <is>
          <t>3 actions correctives identifiees</t>
        </is>
      </c>
      <c r="J7" s="11" t="inlineStr">
        <is>
          <t>Plan action securite Q2</t>
        </is>
      </c>
      <c r="K7" s="28" t="n">
        <v>45848</v>
      </c>
      <c r="L7" s="11" t="inlineStr">
        <is>
          <t>Chef Securite</t>
        </is>
      </c>
      <c r="M7" s="11" t="inlineStr">
        <is>
          <t>Tenue</t>
        </is>
      </c>
    </row>
    <row r="8" ht="22" customHeight="1">
      <c r="B8" s="14" t="inlineStr">
        <is>
          <t>CSE-004</t>
        </is>
      </c>
      <c r="C8" s="14" t="inlineStr">
        <is>
          <t>Commission formation</t>
        </is>
      </c>
      <c r="D8" s="14" t="inlineStr">
        <is>
          <t>Plan formation annuel 2025</t>
        </is>
      </c>
      <c r="E8" s="29" t="n">
        <v>45693</v>
      </c>
      <c r="F8" s="14" t="inlineStr">
        <is>
          <t>Salle reunion A</t>
        </is>
      </c>
      <c r="G8" s="16" t="n">
        <v>6</v>
      </c>
      <c r="H8" s="16" t="n">
        <v>2</v>
      </c>
      <c r="I8" s="14" t="inlineStr">
        <is>
          <t>PAF valide 8.5M FCFA</t>
        </is>
      </c>
      <c r="J8" s="14" t="inlineStr">
        <is>
          <t>Lancer inscriptions T2</t>
        </is>
      </c>
      <c r="K8" s="29" t="n">
        <v>45782</v>
      </c>
      <c r="L8" s="14" t="inlineStr">
        <is>
          <t>Assistante RH</t>
        </is>
      </c>
      <c r="M8" s="14" t="inlineStr">
        <is>
          <t>Tenue</t>
        </is>
      </c>
    </row>
    <row r="9" ht="22" customHeight="1">
      <c r="B9" s="11" t="inlineStr">
        <is>
          <t>CSE-005</t>
        </is>
      </c>
      <c r="C9" s="11" t="inlineStr">
        <is>
          <t>CSE</t>
        </is>
      </c>
      <c r="D9" s="11" t="inlineStr">
        <is>
          <t>Bilan oeuvres sociales 1er semestre</t>
        </is>
      </c>
      <c r="E9" s="28" t="n">
        <v>45856</v>
      </c>
      <c r="F9" s="11" t="inlineStr">
        <is>
          <t>Salle reunion A</t>
        </is>
      </c>
      <c r="G9" s="13" t="n">
        <v>11</v>
      </c>
      <c r="H9" s="13" t="n">
        <v>3</v>
      </c>
      <c r="I9" s="11" t="inlineStr">
        <is>
          <t>A reporter</t>
        </is>
      </c>
      <c r="J9" s="11" t="inlineStr">
        <is>
          <t>Preparer bilan S1</t>
        </is>
      </c>
      <c r="K9" s="28" t="n">
        <v>45948</v>
      </c>
      <c r="L9" s="11" t="inlineStr">
        <is>
          <t>DRH Nganou</t>
        </is>
      </c>
      <c r="M9" s="11" t="inlineStr">
        <is>
          <t>Planifiee</t>
        </is>
      </c>
    </row>
    <row r="10" ht="22" customHeight="1">
      <c r="B10" s="17">
        <f>IF(C10="","CSE-"&amp;TEXT(COUNTA($C$5:C10),"000"))</f>
        <v/>
      </c>
      <c r="C10" s="14" t="n"/>
      <c r="D10" s="14" t="n"/>
      <c r="E10" s="29" t="n"/>
      <c r="F10" s="14" t="n"/>
      <c r="G10" s="16" t="n"/>
      <c r="H10" s="16" t="n"/>
      <c r="I10" s="14" t="n"/>
      <c r="J10" s="14" t="n"/>
      <c r="K10" s="29" t="n"/>
      <c r="L10" s="14" t="n"/>
      <c r="M10" s="14" t="n"/>
    </row>
    <row r="11" ht="22" customHeight="1">
      <c r="B11" s="18">
        <f>IF(C11="","CSE-"&amp;TEXT(COUNTA($C$5:C11),"000"))</f>
        <v/>
      </c>
      <c r="C11" s="11" t="n"/>
      <c r="D11" s="11" t="n"/>
      <c r="E11" s="28" t="n"/>
      <c r="F11" s="11" t="n"/>
      <c r="G11" s="13" t="n"/>
      <c r="H11" s="13" t="n"/>
      <c r="I11" s="11" t="n"/>
      <c r="J11" s="11" t="n"/>
      <c r="K11" s="28" t="n"/>
      <c r="L11" s="11" t="n"/>
      <c r="M11" s="11" t="n"/>
    </row>
    <row r="12" ht="22" customHeight="1">
      <c r="B12" s="17">
        <f>IF(C12="","CSE-"&amp;TEXT(COUNTA($C$5:C12),"000"))</f>
        <v/>
      </c>
      <c r="C12" s="14" t="n"/>
      <c r="D12" s="14" t="n"/>
      <c r="E12" s="29" t="n"/>
      <c r="F12" s="14" t="n"/>
      <c r="G12" s="16" t="n"/>
      <c r="H12" s="16" t="n"/>
      <c r="I12" s="14" t="n"/>
      <c r="J12" s="14" t="n"/>
      <c r="K12" s="29" t="n"/>
      <c r="L12" s="14" t="n"/>
      <c r="M12" s="14" t="n"/>
    </row>
    <row r="13" ht="22" customHeight="1">
      <c r="B13" s="18">
        <f>IF(C13="","CSE-"&amp;TEXT(COUNTA($C$5:C13),"000"))</f>
        <v/>
      </c>
      <c r="C13" s="11" t="n"/>
      <c r="D13" s="11" t="n"/>
      <c r="E13" s="28" t="n"/>
      <c r="F13" s="11" t="n"/>
      <c r="G13" s="13" t="n"/>
      <c r="H13" s="13" t="n"/>
      <c r="I13" s="11" t="n"/>
      <c r="J13" s="11" t="n"/>
      <c r="K13" s="28" t="n"/>
      <c r="L13" s="11" t="n"/>
      <c r="M13" s="11" t="n"/>
    </row>
    <row r="14" ht="22" customHeight="1">
      <c r="B14" s="17">
        <f>IF(C14="","CSE-"&amp;TEXT(COUNTA($C$5:C14),"000"))</f>
        <v/>
      </c>
      <c r="C14" s="14" t="n"/>
      <c r="D14" s="14" t="n"/>
      <c r="E14" s="29" t="n"/>
      <c r="F14" s="14" t="n"/>
      <c r="G14" s="16" t="n"/>
      <c r="H14" s="16" t="n"/>
      <c r="I14" s="14" t="n"/>
      <c r="J14" s="14" t="n"/>
      <c r="K14" s="29" t="n"/>
      <c r="L14" s="14" t="n"/>
      <c r="M14" s="14" t="n"/>
    </row>
    <row r="15" ht="22" customHeight="1">
      <c r="B15" s="18">
        <f>IF(C15="","CSE-"&amp;TEXT(COUNTA($C$5:C15),"000"))</f>
        <v/>
      </c>
      <c r="C15" s="11" t="n"/>
      <c r="D15" s="11" t="n"/>
      <c r="E15" s="28" t="n"/>
      <c r="F15" s="11" t="n"/>
      <c r="G15" s="13" t="n"/>
      <c r="H15" s="13" t="n"/>
      <c r="I15" s="11" t="n"/>
      <c r="J15" s="11" t="n"/>
      <c r="K15" s="28" t="n"/>
      <c r="L15" s="11" t="n"/>
      <c r="M15" s="11" t="n"/>
    </row>
    <row r="16" ht="22" customHeight="1">
      <c r="B16" s="17">
        <f>IF(C16="","CSE-"&amp;TEXT(COUNTA($C$5:C16),"000"))</f>
        <v/>
      </c>
      <c r="C16" s="14" t="n"/>
      <c r="D16" s="14" t="n"/>
      <c r="E16" s="29" t="n"/>
      <c r="F16" s="14" t="n"/>
      <c r="G16" s="16" t="n"/>
      <c r="H16" s="16" t="n"/>
      <c r="I16" s="14" t="n"/>
      <c r="J16" s="14" t="n"/>
      <c r="K16" s="29" t="n"/>
      <c r="L16" s="14" t="n"/>
      <c r="M16" s="14" t="n"/>
    </row>
    <row r="17" ht="22" customHeight="1">
      <c r="B17" s="18">
        <f>IF(C17="","CSE-"&amp;TEXT(COUNTA($C$5:C17),"000"))</f>
        <v/>
      </c>
      <c r="C17" s="11" t="n"/>
      <c r="D17" s="11" t="n"/>
      <c r="E17" s="28" t="n"/>
      <c r="F17" s="11" t="n"/>
      <c r="G17" s="13" t="n"/>
      <c r="H17" s="13" t="n"/>
      <c r="I17" s="11" t="n"/>
      <c r="J17" s="11" t="n"/>
      <c r="K17" s="28" t="n"/>
      <c r="L17" s="11" t="n"/>
      <c r="M17" s="11" t="n"/>
    </row>
    <row r="18" ht="22" customHeight="1">
      <c r="B18" s="17">
        <f>IF(C18="","CSE-"&amp;TEXT(COUNTA($C$5:C18),"000"))</f>
        <v/>
      </c>
      <c r="C18" s="14" t="n"/>
      <c r="D18" s="14" t="n"/>
      <c r="E18" s="29" t="n"/>
      <c r="F18" s="14" t="n"/>
      <c r="G18" s="16" t="n"/>
      <c r="H18" s="16" t="n"/>
      <c r="I18" s="14" t="n"/>
      <c r="J18" s="14" t="n"/>
      <c r="K18" s="29" t="n"/>
      <c r="L18" s="14" t="n"/>
      <c r="M18" s="14" t="n"/>
    </row>
    <row r="19" ht="22" customHeight="1">
      <c r="B19" s="18">
        <f>IF(C19="","CSE-"&amp;TEXT(COUNTA($C$5:C19),"000"))</f>
        <v/>
      </c>
      <c r="C19" s="11" t="n"/>
      <c r="D19" s="11" t="n"/>
      <c r="E19" s="28" t="n"/>
      <c r="F19" s="11" t="n"/>
      <c r="G19" s="13" t="n"/>
      <c r="H19" s="13" t="n"/>
      <c r="I19" s="11" t="n"/>
      <c r="J19" s="11" t="n"/>
      <c r="K19" s="28" t="n"/>
      <c r="L19" s="11" t="n"/>
      <c r="M19" s="11" t="n"/>
    </row>
    <row r="20" ht="22" customHeight="1">
      <c r="B20" s="17">
        <f>IF(C20="","CSE-"&amp;TEXT(COUNTA($C$5:C20),"000"))</f>
        <v/>
      </c>
      <c r="C20" s="14" t="n"/>
      <c r="D20" s="14" t="n"/>
      <c r="E20" s="29" t="n"/>
      <c r="F20" s="14" t="n"/>
      <c r="G20" s="16" t="n"/>
      <c r="H20" s="16" t="n"/>
      <c r="I20" s="14" t="n"/>
      <c r="J20" s="14" t="n"/>
      <c r="K20" s="29" t="n"/>
      <c r="L20" s="14" t="n"/>
      <c r="M20" s="14" t="n"/>
    </row>
    <row r="21" ht="22" customHeight="1">
      <c r="B21" s="18">
        <f>IF(C21="","CSE-"&amp;TEXT(COUNTA($C$5:C21),"000"))</f>
        <v/>
      </c>
      <c r="C21" s="11" t="n"/>
      <c r="D21" s="11" t="n"/>
      <c r="E21" s="28" t="n"/>
      <c r="F21" s="11" t="n"/>
      <c r="G21" s="13" t="n"/>
      <c r="H21" s="13" t="n"/>
      <c r="I21" s="11" t="n"/>
      <c r="J21" s="11" t="n"/>
      <c r="K21" s="28" t="n"/>
      <c r="L21" s="11" t="n"/>
      <c r="M21" s="11" t="n"/>
    </row>
    <row r="22" ht="22" customHeight="1">
      <c r="B22" s="17">
        <f>IF(C22="","CSE-"&amp;TEXT(COUNTA($C$5:C22),"000"))</f>
        <v/>
      </c>
      <c r="C22" s="14" t="n"/>
      <c r="D22" s="14" t="n"/>
      <c r="E22" s="29" t="n"/>
      <c r="F22" s="14" t="n"/>
      <c r="G22" s="16" t="n"/>
      <c r="H22" s="16" t="n"/>
      <c r="I22" s="14" t="n"/>
      <c r="J22" s="14" t="n"/>
      <c r="K22" s="29" t="n"/>
      <c r="L22" s="14" t="n"/>
      <c r="M22" s="14" t="n"/>
    </row>
    <row r="23" ht="22" customHeight="1">
      <c r="B23" s="18">
        <f>IF(C23="","CSE-"&amp;TEXT(COUNTA($C$5:C23),"000"))</f>
        <v/>
      </c>
      <c r="C23" s="11" t="n"/>
      <c r="D23" s="11" t="n"/>
      <c r="E23" s="28" t="n"/>
      <c r="F23" s="11" t="n"/>
      <c r="G23" s="13" t="n"/>
      <c r="H23" s="13" t="n"/>
      <c r="I23" s="11" t="n"/>
      <c r="J23" s="11" t="n"/>
      <c r="K23" s="28" t="n"/>
      <c r="L23" s="11" t="n"/>
      <c r="M23" s="11" t="n"/>
    </row>
    <row r="24" ht="22" customHeight="1">
      <c r="B24" s="17">
        <f>IF(C24="","CSE-"&amp;TEXT(COUNTA($C$5:C24),"000"))</f>
        <v/>
      </c>
      <c r="C24" s="14" t="n"/>
      <c r="D24" s="14" t="n"/>
      <c r="E24" s="29" t="n"/>
      <c r="F24" s="14" t="n"/>
      <c r="G24" s="16" t="n"/>
      <c r="H24" s="16" t="n"/>
      <c r="I24" s="14" t="n"/>
      <c r="J24" s="14" t="n"/>
      <c r="K24" s="29" t="n"/>
      <c r="L24" s="14" t="n"/>
      <c r="M24" s="14" t="n"/>
    </row>
    <row r="25" ht="22" customHeight="1">
      <c r="B25" s="18">
        <f>IF(C25="","CSE-"&amp;TEXT(COUNTA($C$5:C25),"000"))</f>
        <v/>
      </c>
      <c r="C25" s="11" t="n"/>
      <c r="D25" s="11" t="n"/>
      <c r="E25" s="28" t="n"/>
      <c r="F25" s="11" t="n"/>
      <c r="G25" s="13" t="n"/>
      <c r="H25" s="13" t="n"/>
      <c r="I25" s="11" t="n"/>
      <c r="J25" s="11" t="n"/>
      <c r="K25" s="28" t="n"/>
      <c r="L25" s="11" t="n"/>
      <c r="M25" s="11" t="n"/>
    </row>
    <row r="26" ht="22" customHeight="1">
      <c r="B26" s="17">
        <f>IF(C26="","CSE-"&amp;TEXT(COUNTA($C$5:C26),"000"))</f>
        <v/>
      </c>
      <c r="C26" s="14" t="n"/>
      <c r="D26" s="14" t="n"/>
      <c r="E26" s="29" t="n"/>
      <c r="F26" s="14" t="n"/>
      <c r="G26" s="16" t="n"/>
      <c r="H26" s="16" t="n"/>
      <c r="I26" s="14" t="n"/>
      <c r="J26" s="14" t="n"/>
      <c r="K26" s="29" t="n"/>
      <c r="L26" s="14" t="n"/>
      <c r="M26" s="14" t="n"/>
    </row>
    <row r="27" ht="22" customHeight="1">
      <c r="B27" s="18">
        <f>IF(C27="","CSE-"&amp;TEXT(COUNTA($C$5:C27),"000"))</f>
        <v/>
      </c>
      <c r="C27" s="11" t="n"/>
      <c r="D27" s="11" t="n"/>
      <c r="E27" s="28" t="n"/>
      <c r="F27" s="11" t="n"/>
      <c r="G27" s="13" t="n"/>
      <c r="H27" s="13" t="n"/>
      <c r="I27" s="11" t="n"/>
      <c r="J27" s="11" t="n"/>
      <c r="K27" s="28" t="n"/>
      <c r="L27" s="11" t="n"/>
      <c r="M27" s="11" t="n"/>
    </row>
    <row r="28" ht="22" customHeight="1">
      <c r="B28" s="17">
        <f>IF(C28="","CSE-"&amp;TEXT(COUNTA($C$5:C28),"000"))</f>
        <v/>
      </c>
      <c r="C28" s="14" t="n"/>
      <c r="D28" s="14" t="n"/>
      <c r="E28" s="29" t="n"/>
      <c r="F28" s="14" t="n"/>
      <c r="G28" s="16" t="n"/>
      <c r="H28" s="16" t="n"/>
      <c r="I28" s="14" t="n"/>
      <c r="J28" s="14" t="n"/>
      <c r="K28" s="29" t="n"/>
      <c r="L28" s="14" t="n"/>
      <c r="M28" s="14" t="n"/>
    </row>
    <row r="29" ht="22" customHeight="1">
      <c r="B29" s="18">
        <f>IF(C29="","CSE-"&amp;TEXT(COUNTA($C$5:C29),"000"))</f>
        <v/>
      </c>
      <c r="C29" s="11" t="n"/>
      <c r="D29" s="11" t="n"/>
      <c r="E29" s="28" t="n"/>
      <c r="F29" s="11" t="n"/>
      <c r="G29" s="13" t="n"/>
      <c r="H29" s="13" t="n"/>
      <c r="I29" s="11" t="n"/>
      <c r="J29" s="11" t="n"/>
      <c r="K29" s="28" t="n"/>
      <c r="L29" s="11" t="n"/>
      <c r="M29" s="11" t="n"/>
    </row>
    <row r="30" ht="22" customHeight="1">
      <c r="B30" s="17">
        <f>IF(C30="","CSE-"&amp;TEXT(COUNTA($C$5:C30),"000"))</f>
        <v/>
      </c>
      <c r="C30" s="14" t="n"/>
      <c r="D30" s="14" t="n"/>
      <c r="E30" s="29" t="n"/>
      <c r="F30" s="14" t="n"/>
      <c r="G30" s="16" t="n"/>
      <c r="H30" s="16" t="n"/>
      <c r="I30" s="14" t="n"/>
      <c r="J30" s="14" t="n"/>
      <c r="K30" s="29" t="n"/>
      <c r="L30" s="14" t="n"/>
      <c r="M30" s="14" t="n"/>
    </row>
    <row r="31" ht="22" customHeight="1">
      <c r="B31" s="18">
        <f>IF(C31="","CSE-"&amp;TEXT(COUNTA($C$5:C31),"000"))</f>
        <v/>
      </c>
      <c r="C31" s="11" t="n"/>
      <c r="D31" s="11" t="n"/>
      <c r="E31" s="28" t="n"/>
      <c r="F31" s="11" t="n"/>
      <c r="G31" s="13" t="n"/>
      <c r="H31" s="13" t="n"/>
      <c r="I31" s="11" t="n"/>
      <c r="J31" s="11" t="n"/>
      <c r="K31" s="28" t="n"/>
      <c r="L31" s="11" t="n"/>
      <c r="M31" s="11" t="n"/>
    </row>
    <row r="32" ht="22" customHeight="1">
      <c r="B32" s="17">
        <f>IF(C32="","CSE-"&amp;TEXT(COUNTA($C$5:C32),"000"))</f>
        <v/>
      </c>
      <c r="C32" s="14" t="n"/>
      <c r="D32" s="14" t="n"/>
      <c r="E32" s="29" t="n"/>
      <c r="F32" s="14" t="n"/>
      <c r="G32" s="16" t="n"/>
      <c r="H32" s="16" t="n"/>
      <c r="I32" s="14" t="n"/>
      <c r="J32" s="14" t="n"/>
      <c r="K32" s="29" t="n"/>
      <c r="L32" s="14" t="n"/>
      <c r="M32" s="14" t="n"/>
    </row>
    <row r="33" ht="22" customHeight="1">
      <c r="B33" s="18">
        <f>IF(C33="","CSE-"&amp;TEXT(COUNTA($C$5:C33),"000"))</f>
        <v/>
      </c>
      <c r="C33" s="11" t="n"/>
      <c r="D33" s="11" t="n"/>
      <c r="E33" s="28" t="n"/>
      <c r="F33" s="11" t="n"/>
      <c r="G33" s="13" t="n"/>
      <c r="H33" s="13" t="n"/>
      <c r="I33" s="11" t="n"/>
      <c r="J33" s="11" t="n"/>
      <c r="K33" s="28" t="n"/>
      <c r="L33" s="11" t="n"/>
      <c r="M33" s="11" t="n"/>
    </row>
    <row r="34" ht="22" customHeight="1">
      <c r="B34" s="17">
        <f>IF(C34="","CSE-"&amp;TEXT(COUNTA($C$5:C34),"000"))</f>
        <v/>
      </c>
      <c r="C34" s="14" t="n"/>
      <c r="D34" s="14" t="n"/>
      <c r="E34" s="29" t="n"/>
      <c r="F34" s="14" t="n"/>
      <c r="G34" s="16" t="n"/>
      <c r="H34" s="16" t="n"/>
      <c r="I34" s="14" t="n"/>
      <c r="J34" s="14" t="n"/>
      <c r="K34" s="29" t="n"/>
      <c r="L34" s="14" t="n"/>
      <c r="M34" s="14" t="n"/>
    </row>
    <row r="35" ht="22" customHeight="1">
      <c r="B35" s="18">
        <f>IF(C35="","CSE-"&amp;TEXT(COUNTA($C$5:C35),"000"))</f>
        <v/>
      </c>
      <c r="C35" s="11" t="n"/>
      <c r="D35" s="11" t="n"/>
      <c r="E35" s="28" t="n"/>
      <c r="F35" s="11" t="n"/>
      <c r="G35" s="13" t="n"/>
      <c r="H35" s="13" t="n"/>
      <c r="I35" s="11" t="n"/>
      <c r="J35" s="11" t="n"/>
      <c r="K35" s="28" t="n"/>
      <c r="L35" s="11" t="n"/>
      <c r="M35" s="11" t="n"/>
    </row>
    <row r="36" ht="22" customHeight="1">
      <c r="B36" s="17">
        <f>IF(C36="","CSE-"&amp;TEXT(COUNTA($C$5:C36),"000"))</f>
        <v/>
      </c>
      <c r="C36" s="14" t="n"/>
      <c r="D36" s="14" t="n"/>
      <c r="E36" s="29" t="n"/>
      <c r="F36" s="14" t="n"/>
      <c r="G36" s="16" t="n"/>
      <c r="H36" s="16" t="n"/>
      <c r="I36" s="14" t="n"/>
      <c r="J36" s="14" t="n"/>
      <c r="K36" s="29" t="n"/>
      <c r="L36" s="14" t="n"/>
      <c r="M36" s="14" t="n"/>
    </row>
    <row r="37" ht="22" customHeight="1">
      <c r="B37" s="18">
        <f>IF(C37="","CSE-"&amp;TEXT(COUNTA($C$5:C37),"000"))</f>
        <v/>
      </c>
      <c r="C37" s="11" t="n"/>
      <c r="D37" s="11" t="n"/>
      <c r="E37" s="28" t="n"/>
      <c r="F37" s="11" t="n"/>
      <c r="G37" s="13" t="n"/>
      <c r="H37" s="13" t="n"/>
      <c r="I37" s="11" t="n"/>
      <c r="J37" s="11" t="n"/>
      <c r="K37" s="28" t="n"/>
      <c r="L37" s="11" t="n"/>
      <c r="M37" s="11" t="n"/>
    </row>
    <row r="38" ht="22" customHeight="1">
      <c r="B38" s="17">
        <f>IF(C38="","CSE-"&amp;TEXT(COUNTA($C$5:C38),"000"))</f>
        <v/>
      </c>
      <c r="C38" s="14" t="n"/>
      <c r="D38" s="14" t="n"/>
      <c r="E38" s="29" t="n"/>
      <c r="F38" s="14" t="n"/>
      <c r="G38" s="16" t="n"/>
      <c r="H38" s="16" t="n"/>
      <c r="I38" s="14" t="n"/>
      <c r="J38" s="14" t="n"/>
      <c r="K38" s="29" t="n"/>
      <c r="L38" s="14" t="n"/>
      <c r="M38" s="14" t="n"/>
    </row>
    <row r="39" ht="22" customHeight="1">
      <c r="B39" s="18">
        <f>IF(C39="","CSE-"&amp;TEXT(COUNTA($C$5:C39),"000"))</f>
        <v/>
      </c>
      <c r="C39" s="11" t="n"/>
      <c r="D39" s="11" t="n"/>
      <c r="E39" s="28" t="n"/>
      <c r="F39" s="11" t="n"/>
      <c r="G39" s="13" t="n"/>
      <c r="H39" s="13" t="n"/>
      <c r="I39" s="11" t="n"/>
      <c r="J39" s="11" t="n"/>
      <c r="K39" s="28" t="n"/>
      <c r="L39" s="11" t="n"/>
      <c r="M39" s="11" t="n"/>
    </row>
    <row r="40" ht="22" customHeight="1">
      <c r="B40" s="17">
        <f>IF(C40="","CSE-"&amp;TEXT(COUNTA($C$5:C40),"000"))</f>
        <v/>
      </c>
      <c r="C40" s="14" t="n"/>
      <c r="D40" s="14" t="n"/>
      <c r="E40" s="29" t="n"/>
      <c r="F40" s="14" t="n"/>
      <c r="G40" s="16" t="n"/>
      <c r="H40" s="16" t="n"/>
      <c r="I40" s="14" t="n"/>
      <c r="J40" s="14" t="n"/>
      <c r="K40" s="29" t="n"/>
      <c r="L40" s="14" t="n"/>
      <c r="M40" s="14" t="n"/>
    </row>
    <row r="41" ht="22" customHeight="1">
      <c r="B41" s="18">
        <f>IF(C41="","CSE-"&amp;TEXT(COUNTA($C$5:C41),"000"))</f>
        <v/>
      </c>
      <c r="C41" s="11" t="n"/>
      <c r="D41" s="11" t="n"/>
      <c r="E41" s="28" t="n"/>
      <c r="F41" s="11" t="n"/>
      <c r="G41" s="13" t="n"/>
      <c r="H41" s="13" t="n"/>
      <c r="I41" s="11" t="n"/>
      <c r="J41" s="11" t="n"/>
      <c r="K41" s="28" t="n"/>
      <c r="L41" s="11" t="n"/>
      <c r="M41" s="11" t="n"/>
    </row>
    <row r="42" ht="22" customHeight="1">
      <c r="B42" s="17">
        <f>IF(C42="","CSE-"&amp;TEXT(COUNTA($C$5:C42),"000"))</f>
        <v/>
      </c>
      <c r="C42" s="14" t="n"/>
      <c r="D42" s="14" t="n"/>
      <c r="E42" s="29" t="n"/>
      <c r="F42" s="14" t="n"/>
      <c r="G42" s="16" t="n"/>
      <c r="H42" s="16" t="n"/>
      <c r="I42" s="14" t="n"/>
      <c r="J42" s="14" t="n"/>
      <c r="K42" s="29" t="n"/>
      <c r="L42" s="14" t="n"/>
      <c r="M42" s="14" t="n"/>
    </row>
    <row r="43" ht="22" customHeight="1">
      <c r="B43" s="18">
        <f>IF(C43="","CSE-"&amp;TEXT(COUNTA($C$5:C43),"000"))</f>
        <v/>
      </c>
      <c r="C43" s="11" t="n"/>
      <c r="D43" s="11" t="n"/>
      <c r="E43" s="28" t="n"/>
      <c r="F43" s="11" t="n"/>
      <c r="G43" s="13" t="n"/>
      <c r="H43" s="13" t="n"/>
      <c r="I43" s="11" t="n"/>
      <c r="J43" s="11" t="n"/>
      <c r="K43" s="28" t="n"/>
      <c r="L43" s="11" t="n"/>
      <c r="M43" s="11" t="n"/>
    </row>
    <row r="44" ht="22" customHeight="1">
      <c r="B44" s="17">
        <f>IF(C44="","CSE-"&amp;TEXT(COUNTA($C$5:C44),"000"))</f>
        <v/>
      </c>
      <c r="C44" s="14" t="n"/>
      <c r="D44" s="14" t="n"/>
      <c r="E44" s="29" t="n"/>
      <c r="F44" s="14" t="n"/>
      <c r="G44" s="16" t="n"/>
      <c r="H44" s="16" t="n"/>
      <c r="I44" s="14" t="n"/>
      <c r="J44" s="14" t="n"/>
      <c r="K44" s="29" t="n"/>
      <c r="L44" s="14" t="n"/>
      <c r="M44" s="14" t="n"/>
    </row>
    <row r="45" ht="22" customHeight="1">
      <c r="B45" s="18">
        <f>IF(C45="","CSE-"&amp;TEXT(COUNTA($C$5:C45),"000"))</f>
        <v/>
      </c>
      <c r="C45" s="11" t="n"/>
      <c r="D45" s="11" t="n"/>
      <c r="E45" s="28" t="n"/>
      <c r="F45" s="11" t="n"/>
      <c r="G45" s="13" t="n"/>
      <c r="H45" s="13" t="n"/>
      <c r="I45" s="11" t="n"/>
      <c r="J45" s="11" t="n"/>
      <c r="K45" s="28" t="n"/>
      <c r="L45" s="11" t="n"/>
      <c r="M45" s="11" t="n"/>
    </row>
    <row r="46" ht="22" customHeight="1">
      <c r="B46" s="17">
        <f>IF(C46="","CSE-"&amp;TEXT(COUNTA($C$5:C46),"000"))</f>
        <v/>
      </c>
      <c r="C46" s="14" t="n"/>
      <c r="D46" s="14" t="n"/>
      <c r="E46" s="29" t="n"/>
      <c r="F46" s="14" t="n"/>
      <c r="G46" s="16" t="n"/>
      <c r="H46" s="16" t="n"/>
      <c r="I46" s="14" t="n"/>
      <c r="J46" s="14" t="n"/>
      <c r="K46" s="29" t="n"/>
      <c r="L46" s="14" t="n"/>
      <c r="M46" s="14" t="n"/>
    </row>
    <row r="47" ht="22" customHeight="1">
      <c r="B47" s="18">
        <f>IF(C47="","CSE-"&amp;TEXT(COUNTA($C$5:C47),"000"))</f>
        <v/>
      </c>
      <c r="C47" s="11" t="n"/>
      <c r="D47" s="11" t="n"/>
      <c r="E47" s="28" t="n"/>
      <c r="F47" s="11" t="n"/>
      <c r="G47" s="13" t="n"/>
      <c r="H47" s="13" t="n"/>
      <c r="I47" s="11" t="n"/>
      <c r="J47" s="11" t="n"/>
      <c r="K47" s="28" t="n"/>
      <c r="L47" s="11" t="n"/>
      <c r="M47" s="11" t="n"/>
    </row>
    <row r="48" ht="22" customHeight="1">
      <c r="B48" s="17">
        <f>IF(C48="","CSE-"&amp;TEXT(COUNTA($C$5:C48),"000"))</f>
        <v/>
      </c>
      <c r="C48" s="14" t="n"/>
      <c r="D48" s="14" t="n"/>
      <c r="E48" s="29" t="n"/>
      <c r="F48" s="14" t="n"/>
      <c r="G48" s="16" t="n"/>
      <c r="H48" s="16" t="n"/>
      <c r="I48" s="14" t="n"/>
      <c r="J48" s="14" t="n"/>
      <c r="K48" s="29" t="n"/>
      <c r="L48" s="14" t="n"/>
      <c r="M48" s="14" t="n"/>
    </row>
    <row r="49" ht="22" customHeight="1">
      <c r="B49" s="18">
        <f>IF(C49="","CSE-"&amp;TEXT(COUNTA($C$5:C49),"000"))</f>
        <v/>
      </c>
      <c r="C49" s="11" t="n"/>
      <c r="D49" s="11" t="n"/>
      <c r="E49" s="28" t="n"/>
      <c r="F49" s="11" t="n"/>
      <c r="G49" s="13" t="n"/>
      <c r="H49" s="13" t="n"/>
      <c r="I49" s="11" t="n"/>
      <c r="J49" s="11" t="n"/>
      <c r="K49" s="28" t="n"/>
      <c r="L49" s="11" t="n"/>
      <c r="M49" s="11" t="n"/>
    </row>
    <row r="50" ht="22" customHeight="1">
      <c r="B50" s="17">
        <f>IF(C50="","CSE-"&amp;TEXT(COUNTA($C$5:C50),"000"))</f>
        <v/>
      </c>
      <c r="C50" s="14" t="n"/>
      <c r="D50" s="14" t="n"/>
      <c r="E50" s="29" t="n"/>
      <c r="F50" s="14" t="n"/>
      <c r="G50" s="16" t="n"/>
      <c r="H50" s="16" t="n"/>
      <c r="I50" s="14" t="n"/>
      <c r="J50" s="14" t="n"/>
      <c r="K50" s="29" t="n"/>
      <c r="L50" s="14" t="n"/>
      <c r="M50" s="14" t="n"/>
    </row>
    <row r="51" ht="22" customHeight="1">
      <c r="B51" s="18">
        <f>IF(C51="","CSE-"&amp;TEXT(COUNTA($C$5:C51),"000"))</f>
        <v/>
      </c>
      <c r="C51" s="11" t="n"/>
      <c r="D51" s="11" t="n"/>
      <c r="E51" s="28" t="n"/>
      <c r="F51" s="11" t="n"/>
      <c r="G51" s="13" t="n"/>
      <c r="H51" s="13" t="n"/>
      <c r="I51" s="11" t="n"/>
      <c r="J51" s="11" t="n"/>
      <c r="K51" s="28" t="n"/>
      <c r="L51" s="11" t="n"/>
      <c r="M51" s="11" t="n"/>
    </row>
    <row r="52" ht="22" customHeight="1">
      <c r="B52" s="17">
        <f>IF(C52="","CSE-"&amp;TEXT(COUNTA($C$5:C52),"000"))</f>
        <v/>
      </c>
      <c r="C52" s="14" t="n"/>
      <c r="D52" s="14" t="n"/>
      <c r="E52" s="29" t="n"/>
      <c r="F52" s="14" t="n"/>
      <c r="G52" s="16" t="n"/>
      <c r="H52" s="16" t="n"/>
      <c r="I52" s="14" t="n"/>
      <c r="J52" s="14" t="n"/>
      <c r="K52" s="29" t="n"/>
      <c r="L52" s="14" t="n"/>
      <c r="M52" s="14" t="n"/>
    </row>
    <row r="53" ht="22" customHeight="1">
      <c r="B53" s="18">
        <f>IF(C53="","CSE-"&amp;TEXT(COUNTA($C$5:C53),"000"))</f>
        <v/>
      </c>
      <c r="C53" s="11" t="n"/>
      <c r="D53" s="11" t="n"/>
      <c r="E53" s="28" t="n"/>
      <c r="F53" s="11" t="n"/>
      <c r="G53" s="13" t="n"/>
      <c r="H53" s="13" t="n"/>
      <c r="I53" s="11" t="n"/>
      <c r="J53" s="11" t="n"/>
      <c r="K53" s="28" t="n"/>
      <c r="L53" s="11" t="n"/>
      <c r="M53" s="11" t="n"/>
    </row>
    <row r="54" ht="22" customHeight="1">
      <c r="B54" s="17">
        <f>IF(C54="","CSE-"&amp;TEXT(COUNTA($C$5:C54),"000"))</f>
        <v/>
      </c>
      <c r="C54" s="14" t="n"/>
      <c r="D54" s="14" t="n"/>
      <c r="E54" s="29" t="n"/>
      <c r="F54" s="14" t="n"/>
      <c r="G54" s="16" t="n"/>
      <c r="H54" s="16" t="n"/>
      <c r="I54" s="14" t="n"/>
      <c r="J54" s="14" t="n"/>
      <c r="K54" s="29" t="n"/>
      <c r="L54" s="14" t="n"/>
      <c r="M54" s="14" t="n"/>
    </row>
    <row r="55" ht="22" customHeight="1">
      <c r="B55" s="18">
        <f>IF(C55="","CSE-"&amp;TEXT(COUNTA($C$5:C55),"000"))</f>
        <v/>
      </c>
      <c r="C55" s="11" t="n"/>
      <c r="D55" s="11" t="n"/>
      <c r="E55" s="28" t="n"/>
      <c r="F55" s="11" t="n"/>
      <c r="G55" s="13" t="n"/>
      <c r="H55" s="13" t="n"/>
      <c r="I55" s="11" t="n"/>
      <c r="J55" s="11" t="n"/>
      <c r="K55" s="28" t="n"/>
      <c r="L55" s="11" t="n"/>
      <c r="M55" s="11" t="n"/>
    </row>
    <row r="56" ht="22" customHeight="1">
      <c r="B56" s="17">
        <f>IF(C56="","CSE-"&amp;TEXT(COUNTA($C$5:C56),"000"))</f>
        <v/>
      </c>
      <c r="C56" s="14" t="n"/>
      <c r="D56" s="14" t="n"/>
      <c r="E56" s="29" t="n"/>
      <c r="F56" s="14" t="n"/>
      <c r="G56" s="16" t="n"/>
      <c r="H56" s="16" t="n"/>
      <c r="I56" s="14" t="n"/>
      <c r="J56" s="14" t="n"/>
      <c r="K56" s="29" t="n"/>
      <c r="L56" s="14" t="n"/>
      <c r="M56" s="14" t="n"/>
    </row>
    <row r="57" ht="22" customHeight="1">
      <c r="B57" s="18">
        <f>IF(C57="","CSE-"&amp;TEXT(COUNTA($C$5:C57),"000"))</f>
        <v/>
      </c>
      <c r="C57" s="11" t="n"/>
      <c r="D57" s="11" t="n"/>
      <c r="E57" s="28" t="n"/>
      <c r="F57" s="11" t="n"/>
      <c r="G57" s="13" t="n"/>
      <c r="H57" s="13" t="n"/>
      <c r="I57" s="11" t="n"/>
      <c r="J57" s="11" t="n"/>
      <c r="K57" s="28" t="n"/>
      <c r="L57" s="11" t="n"/>
      <c r="M57" s="11" t="n"/>
    </row>
    <row r="58" ht="22" customHeight="1">
      <c r="B58" s="17">
        <f>IF(C58="","CSE-"&amp;TEXT(COUNTA($C$5:C58),"000"))</f>
        <v/>
      </c>
      <c r="C58" s="14" t="n"/>
      <c r="D58" s="14" t="n"/>
      <c r="E58" s="29" t="n"/>
      <c r="F58" s="14" t="n"/>
      <c r="G58" s="16" t="n"/>
      <c r="H58" s="16" t="n"/>
      <c r="I58" s="14" t="n"/>
      <c r="J58" s="14" t="n"/>
      <c r="K58" s="29" t="n"/>
      <c r="L58" s="14" t="n"/>
      <c r="M58" s="14" t="n"/>
    </row>
    <row r="59" ht="22" customHeight="1">
      <c r="B59" s="18">
        <f>IF(C59="","CSE-"&amp;TEXT(COUNTA($C$5:C59),"000"))</f>
        <v/>
      </c>
      <c r="C59" s="11" t="n"/>
      <c r="D59" s="11" t="n"/>
      <c r="E59" s="28" t="n"/>
      <c r="F59" s="11" t="n"/>
      <c r="G59" s="13" t="n"/>
      <c r="H59" s="13" t="n"/>
      <c r="I59" s="11" t="n"/>
      <c r="J59" s="11" t="n"/>
      <c r="K59" s="28" t="n"/>
      <c r="L59" s="11" t="n"/>
      <c r="M59" s="11" t="n"/>
    </row>
    <row r="60" ht="22" customHeight="1">
      <c r="B60" s="17">
        <f>IF(C60="","CSE-"&amp;TEXT(COUNTA($C$5:C60),"000"))</f>
        <v/>
      </c>
      <c r="C60" s="14" t="n"/>
      <c r="D60" s="14" t="n"/>
      <c r="E60" s="29" t="n"/>
      <c r="F60" s="14" t="n"/>
      <c r="G60" s="16" t="n"/>
      <c r="H60" s="16" t="n"/>
      <c r="I60" s="14" t="n"/>
      <c r="J60" s="14" t="n"/>
      <c r="K60" s="29" t="n"/>
      <c r="L60" s="14" t="n"/>
      <c r="M60" s="14" t="n"/>
    </row>
    <row r="61" ht="22" customHeight="1">
      <c r="B61" s="18">
        <f>IF(C61="","CSE-"&amp;TEXT(COUNTA($C$5:C61),"000"))</f>
        <v/>
      </c>
      <c r="C61" s="11" t="n"/>
      <c r="D61" s="11" t="n"/>
      <c r="E61" s="28" t="n"/>
      <c r="F61" s="11" t="n"/>
      <c r="G61" s="13" t="n"/>
      <c r="H61" s="13" t="n"/>
      <c r="I61" s="11" t="n"/>
      <c r="J61" s="11" t="n"/>
      <c r="K61" s="28" t="n"/>
      <c r="L61" s="11" t="n"/>
      <c r="M61" s="11" t="n"/>
    </row>
    <row r="62" ht="22" customHeight="1">
      <c r="B62" s="17">
        <f>IF(C62="","CSE-"&amp;TEXT(COUNTA($C$5:C62),"000"))</f>
        <v/>
      </c>
      <c r="C62" s="14" t="n"/>
      <c r="D62" s="14" t="n"/>
      <c r="E62" s="29" t="n"/>
      <c r="F62" s="14" t="n"/>
      <c r="G62" s="16" t="n"/>
      <c r="H62" s="16" t="n"/>
      <c r="I62" s="14" t="n"/>
      <c r="J62" s="14" t="n"/>
      <c r="K62" s="29" t="n"/>
      <c r="L62" s="14" t="n"/>
      <c r="M62" s="14" t="n"/>
    </row>
    <row r="63" ht="22" customHeight="1">
      <c r="B63" s="18">
        <f>IF(C63="","CSE-"&amp;TEXT(COUNTA($C$5:C63),"000"))</f>
        <v/>
      </c>
      <c r="C63" s="11" t="n"/>
      <c r="D63" s="11" t="n"/>
      <c r="E63" s="28" t="n"/>
      <c r="F63" s="11" t="n"/>
      <c r="G63" s="13" t="n"/>
      <c r="H63" s="13" t="n"/>
      <c r="I63" s="11" t="n"/>
      <c r="J63" s="11" t="n"/>
      <c r="K63" s="28" t="n"/>
      <c r="L63" s="11" t="n"/>
      <c r="M63" s="11" t="n"/>
    </row>
    <row r="64" ht="22" customHeight="1">
      <c r="B64" s="17">
        <f>IF(C64="","CSE-"&amp;TEXT(COUNTA($C$5:C64),"000"))</f>
        <v/>
      </c>
      <c r="C64" s="14" t="n"/>
      <c r="D64" s="14" t="n"/>
      <c r="E64" s="29" t="n"/>
      <c r="F64" s="14" t="n"/>
      <c r="G64" s="16" t="n"/>
      <c r="H64" s="16" t="n"/>
      <c r="I64" s="14" t="n"/>
      <c r="J64" s="14" t="n"/>
      <c r="K64" s="29" t="n"/>
      <c r="L64" s="14" t="n"/>
      <c r="M64" s="14" t="n"/>
    </row>
    <row r="65" ht="22" customHeight="1">
      <c r="B65" s="18">
        <f>IF(C65="","CSE-"&amp;TEXT(COUNTA($C$5:C65),"000"))</f>
        <v/>
      </c>
      <c r="C65" s="11" t="n"/>
      <c r="D65" s="11" t="n"/>
      <c r="E65" s="28" t="n"/>
      <c r="F65" s="11" t="n"/>
      <c r="G65" s="13" t="n"/>
      <c r="H65" s="13" t="n"/>
      <c r="I65" s="11" t="n"/>
      <c r="J65" s="11" t="n"/>
      <c r="K65" s="28" t="n"/>
      <c r="L65" s="11" t="n"/>
      <c r="M65" s="11" t="n"/>
    </row>
    <row r="66" ht="22" customHeight="1">
      <c r="B66" s="17">
        <f>IF(C66="","CSE-"&amp;TEXT(COUNTA($C$5:C66),"000"))</f>
        <v/>
      </c>
      <c r="C66" s="14" t="n"/>
      <c r="D66" s="14" t="n"/>
      <c r="E66" s="29" t="n"/>
      <c r="F66" s="14" t="n"/>
      <c r="G66" s="16" t="n"/>
      <c r="H66" s="16" t="n"/>
      <c r="I66" s="14" t="n"/>
      <c r="J66" s="14" t="n"/>
      <c r="K66" s="29" t="n"/>
      <c r="L66" s="14" t="n"/>
      <c r="M66" s="14" t="n"/>
    </row>
    <row r="67" ht="22" customHeight="1">
      <c r="B67" s="18">
        <f>IF(C67="","CSE-"&amp;TEXT(COUNTA($C$5:C67),"000"))</f>
        <v/>
      </c>
      <c r="C67" s="11" t="n"/>
      <c r="D67" s="11" t="n"/>
      <c r="E67" s="28" t="n"/>
      <c r="F67" s="11" t="n"/>
      <c r="G67" s="13" t="n"/>
      <c r="H67" s="13" t="n"/>
      <c r="I67" s="11" t="n"/>
      <c r="J67" s="11" t="n"/>
      <c r="K67" s="28" t="n"/>
      <c r="L67" s="11" t="n"/>
      <c r="M67" s="11" t="n"/>
    </row>
    <row r="68" ht="22" customHeight="1">
      <c r="B68" s="17">
        <f>IF(C68="","CSE-"&amp;TEXT(COUNTA($C$5:C68),"000"))</f>
        <v/>
      </c>
      <c r="C68" s="14" t="n"/>
      <c r="D68" s="14" t="n"/>
      <c r="E68" s="29" t="n"/>
      <c r="F68" s="14" t="n"/>
      <c r="G68" s="16" t="n"/>
      <c r="H68" s="16" t="n"/>
      <c r="I68" s="14" t="n"/>
      <c r="J68" s="14" t="n"/>
      <c r="K68" s="29" t="n"/>
      <c r="L68" s="14" t="n"/>
      <c r="M68" s="14" t="n"/>
    </row>
    <row r="69" ht="22" customHeight="1">
      <c r="B69" s="18">
        <f>IF(C69="","CSE-"&amp;TEXT(COUNTA($C$5:C69),"000"))</f>
        <v/>
      </c>
      <c r="C69" s="11" t="n"/>
      <c r="D69" s="11" t="n"/>
      <c r="E69" s="28" t="n"/>
      <c r="F69" s="11" t="n"/>
      <c r="G69" s="13" t="n"/>
      <c r="H69" s="13" t="n"/>
      <c r="I69" s="11" t="n"/>
      <c r="J69" s="11" t="n"/>
      <c r="K69" s="28" t="n"/>
      <c r="L69" s="11" t="n"/>
      <c r="M69" s="11" t="n"/>
    </row>
    <row r="70" ht="22" customHeight="1">
      <c r="B70" s="17">
        <f>IF(C70="","CSE-"&amp;TEXT(COUNTA($C$5:C70),"000"))</f>
        <v/>
      </c>
      <c r="C70" s="14" t="n"/>
      <c r="D70" s="14" t="n"/>
      <c r="E70" s="29" t="n"/>
      <c r="F70" s="14" t="n"/>
      <c r="G70" s="16" t="n"/>
      <c r="H70" s="16" t="n"/>
      <c r="I70" s="14" t="n"/>
      <c r="J70" s="14" t="n"/>
      <c r="K70" s="29" t="n"/>
      <c r="L70" s="14" t="n"/>
      <c r="M70" s="14" t="n"/>
    </row>
    <row r="71" ht="22" customHeight="1">
      <c r="B71" s="18">
        <f>IF(C71="","CSE-"&amp;TEXT(COUNTA($C$5:C71),"000"))</f>
        <v/>
      </c>
      <c r="C71" s="11" t="n"/>
      <c r="D71" s="11" t="n"/>
      <c r="E71" s="28" t="n"/>
      <c r="F71" s="11" t="n"/>
      <c r="G71" s="13" t="n"/>
      <c r="H71" s="13" t="n"/>
      <c r="I71" s="11" t="n"/>
      <c r="J71" s="11" t="n"/>
      <c r="K71" s="28" t="n"/>
      <c r="L71" s="11" t="n"/>
      <c r="M71" s="11" t="n"/>
    </row>
    <row r="72" ht="22" customHeight="1">
      <c r="B72" s="17">
        <f>IF(C72="","CSE-"&amp;TEXT(COUNTA($C$5:C72),"000"))</f>
        <v/>
      </c>
      <c r="C72" s="14" t="n"/>
      <c r="D72" s="14" t="n"/>
      <c r="E72" s="29" t="n"/>
      <c r="F72" s="14" t="n"/>
      <c r="G72" s="16" t="n"/>
      <c r="H72" s="16" t="n"/>
      <c r="I72" s="14" t="n"/>
      <c r="J72" s="14" t="n"/>
      <c r="K72" s="29" t="n"/>
      <c r="L72" s="14" t="n"/>
      <c r="M72" s="14" t="n"/>
    </row>
    <row r="73" ht="22" customHeight="1">
      <c r="B73" s="18">
        <f>IF(C73="","CSE-"&amp;TEXT(COUNTA($C$5:C73),"000"))</f>
        <v/>
      </c>
      <c r="C73" s="11" t="n"/>
      <c r="D73" s="11" t="n"/>
      <c r="E73" s="28" t="n"/>
      <c r="F73" s="11" t="n"/>
      <c r="G73" s="13" t="n"/>
      <c r="H73" s="13" t="n"/>
      <c r="I73" s="11" t="n"/>
      <c r="J73" s="11" t="n"/>
      <c r="K73" s="28" t="n"/>
      <c r="L73" s="11" t="n"/>
      <c r="M73" s="11" t="n"/>
    </row>
    <row r="74" ht="22" customHeight="1">
      <c r="B74" s="17">
        <f>IF(C74="","CSE-"&amp;TEXT(COUNTA($C$5:C74),"000"))</f>
        <v/>
      </c>
      <c r="C74" s="14" t="n"/>
      <c r="D74" s="14" t="n"/>
      <c r="E74" s="29" t="n"/>
      <c r="F74" s="14" t="n"/>
      <c r="G74" s="16" t="n"/>
      <c r="H74" s="16" t="n"/>
      <c r="I74" s="14" t="n"/>
      <c r="J74" s="14" t="n"/>
      <c r="K74" s="29" t="n"/>
      <c r="L74" s="14" t="n"/>
      <c r="M74" s="14" t="n"/>
    </row>
    <row r="75" ht="22" customHeight="1">
      <c r="B75" s="18">
        <f>IF(C75="","CSE-"&amp;TEXT(COUNTA($C$5:C75),"000"))</f>
        <v/>
      </c>
      <c r="C75" s="11" t="n"/>
      <c r="D75" s="11" t="n"/>
      <c r="E75" s="28" t="n"/>
      <c r="F75" s="11" t="n"/>
      <c r="G75" s="13" t="n"/>
      <c r="H75" s="13" t="n"/>
      <c r="I75" s="11" t="n"/>
      <c r="J75" s="11" t="n"/>
      <c r="K75" s="28" t="n"/>
      <c r="L75" s="11" t="n"/>
      <c r="M75" s="11" t="n"/>
    </row>
    <row r="76" ht="22" customHeight="1">
      <c r="B76" s="17">
        <f>IF(C76="","CSE-"&amp;TEXT(COUNTA($C$5:C76),"000"))</f>
        <v/>
      </c>
      <c r="C76" s="14" t="n"/>
      <c r="D76" s="14" t="n"/>
      <c r="E76" s="29" t="n"/>
      <c r="F76" s="14" t="n"/>
      <c r="G76" s="16" t="n"/>
      <c r="H76" s="16" t="n"/>
      <c r="I76" s="14" t="n"/>
      <c r="J76" s="14" t="n"/>
      <c r="K76" s="29" t="n"/>
      <c r="L76" s="14" t="n"/>
      <c r="M76" s="14" t="n"/>
    </row>
    <row r="77" ht="22" customHeight="1">
      <c r="B77" s="18">
        <f>IF(C77="","CSE-"&amp;TEXT(COUNTA($C$5:C77),"000"))</f>
        <v/>
      </c>
      <c r="C77" s="11" t="n"/>
      <c r="D77" s="11" t="n"/>
      <c r="E77" s="28" t="n"/>
      <c r="F77" s="11" t="n"/>
      <c r="G77" s="13" t="n"/>
      <c r="H77" s="13" t="n"/>
      <c r="I77" s="11" t="n"/>
      <c r="J77" s="11" t="n"/>
      <c r="K77" s="28" t="n"/>
      <c r="L77" s="11" t="n"/>
      <c r="M77" s="11" t="n"/>
    </row>
    <row r="78" ht="22" customHeight="1">
      <c r="B78" s="17">
        <f>IF(C78="","CSE-"&amp;TEXT(COUNTA($C$5:C78),"000"))</f>
        <v/>
      </c>
      <c r="C78" s="14" t="n"/>
      <c r="D78" s="14" t="n"/>
      <c r="E78" s="29" t="n"/>
      <c r="F78" s="14" t="n"/>
      <c r="G78" s="16" t="n"/>
      <c r="H78" s="16" t="n"/>
      <c r="I78" s="14" t="n"/>
      <c r="J78" s="14" t="n"/>
      <c r="K78" s="29" t="n"/>
      <c r="L78" s="14" t="n"/>
      <c r="M78" s="14" t="n"/>
    </row>
    <row r="79" ht="22" customHeight="1">
      <c r="B79" s="18">
        <f>IF(C79="","CSE-"&amp;TEXT(COUNTA($C$5:C79),"000"))</f>
        <v/>
      </c>
      <c r="C79" s="11" t="n"/>
      <c r="D79" s="11" t="n"/>
      <c r="E79" s="28" t="n"/>
      <c r="F79" s="11" t="n"/>
      <c r="G79" s="13" t="n"/>
      <c r="H79" s="13" t="n"/>
      <c r="I79" s="11" t="n"/>
      <c r="J79" s="11" t="n"/>
      <c r="K79" s="28" t="n"/>
      <c r="L79" s="11" t="n"/>
      <c r="M79" s="11" t="n"/>
    </row>
    <row r="80" ht="22" customHeight="1">
      <c r="B80" s="17">
        <f>IF(C80="","CSE-"&amp;TEXT(COUNTA($C$5:C80),"000"))</f>
        <v/>
      </c>
      <c r="C80" s="14" t="n"/>
      <c r="D80" s="14" t="n"/>
      <c r="E80" s="29" t="n"/>
      <c r="F80" s="14" t="n"/>
      <c r="G80" s="16" t="n"/>
      <c r="H80" s="16" t="n"/>
      <c r="I80" s="14" t="n"/>
      <c r="J80" s="14" t="n"/>
      <c r="K80" s="29" t="n"/>
      <c r="L80" s="14" t="n"/>
      <c r="M80" s="14" t="n"/>
    </row>
    <row r="81" ht="22" customHeight="1">
      <c r="B81" s="18">
        <f>IF(C81="","CSE-"&amp;TEXT(COUNTA($C$5:C81),"000"))</f>
        <v/>
      </c>
      <c r="C81" s="11" t="n"/>
      <c r="D81" s="11" t="n"/>
      <c r="E81" s="28" t="n"/>
      <c r="F81" s="11" t="n"/>
      <c r="G81" s="13" t="n"/>
      <c r="H81" s="13" t="n"/>
      <c r="I81" s="11" t="n"/>
      <c r="J81" s="11" t="n"/>
      <c r="K81" s="28" t="n"/>
      <c r="L81" s="11" t="n"/>
      <c r="M81" s="11" t="n"/>
    </row>
    <row r="82" ht="22" customHeight="1">
      <c r="B82" s="17">
        <f>IF(C82="","CSE-"&amp;TEXT(COUNTA($C$5:C82),"000"))</f>
        <v/>
      </c>
      <c r="C82" s="14" t="n"/>
      <c r="D82" s="14" t="n"/>
      <c r="E82" s="29" t="n"/>
      <c r="F82" s="14" t="n"/>
      <c r="G82" s="16" t="n"/>
      <c r="H82" s="16" t="n"/>
      <c r="I82" s="14" t="n"/>
      <c r="J82" s="14" t="n"/>
      <c r="K82" s="29" t="n"/>
      <c r="L82" s="14" t="n"/>
      <c r="M82" s="14" t="n"/>
    </row>
    <row r="83" ht="22" customHeight="1">
      <c r="B83" s="18">
        <f>IF(C83="","CSE-"&amp;TEXT(COUNTA($C$5:C83),"000"))</f>
        <v/>
      </c>
      <c r="C83" s="11" t="n"/>
      <c r="D83" s="11" t="n"/>
      <c r="E83" s="28" t="n"/>
      <c r="F83" s="11" t="n"/>
      <c r="G83" s="13" t="n"/>
      <c r="H83" s="13" t="n"/>
      <c r="I83" s="11" t="n"/>
      <c r="J83" s="11" t="n"/>
      <c r="K83" s="28" t="n"/>
      <c r="L83" s="11" t="n"/>
      <c r="M83" s="11" t="n"/>
    </row>
    <row r="84" ht="22" customHeight="1">
      <c r="B84" s="17">
        <f>IF(C84="","CSE-"&amp;TEXT(COUNTA($C$5:C84),"000"))</f>
        <v/>
      </c>
      <c r="C84" s="14" t="n"/>
      <c r="D84" s="14" t="n"/>
      <c r="E84" s="29" t="n"/>
      <c r="F84" s="14" t="n"/>
      <c r="G84" s="16" t="n"/>
      <c r="H84" s="16" t="n"/>
      <c r="I84" s="14" t="n"/>
      <c r="J84" s="14" t="n"/>
      <c r="K84" s="29" t="n"/>
      <c r="L84" s="14" t="n"/>
      <c r="M84" s="14" t="n"/>
    </row>
    <row r="85" ht="22" customHeight="1">
      <c r="B85" s="18">
        <f>IF(C85="","CSE-"&amp;TEXT(COUNTA($C$5:C85),"000"))</f>
        <v/>
      </c>
      <c r="C85" s="11" t="n"/>
      <c r="D85" s="11" t="n"/>
      <c r="E85" s="28" t="n"/>
      <c r="F85" s="11" t="n"/>
      <c r="G85" s="13" t="n"/>
      <c r="H85" s="13" t="n"/>
      <c r="I85" s="11" t="n"/>
      <c r="J85" s="11" t="n"/>
      <c r="K85" s="28" t="n"/>
      <c r="L85" s="11" t="n"/>
      <c r="M85" s="11" t="n"/>
    </row>
    <row r="86" ht="22" customHeight="1">
      <c r="B86" s="17">
        <f>IF(C86="","CSE-"&amp;TEXT(COUNTA($C$5:C86),"000"))</f>
        <v/>
      </c>
      <c r="C86" s="14" t="n"/>
      <c r="D86" s="14" t="n"/>
      <c r="E86" s="29" t="n"/>
      <c r="F86" s="14" t="n"/>
      <c r="G86" s="16" t="n"/>
      <c r="H86" s="16" t="n"/>
      <c r="I86" s="14" t="n"/>
      <c r="J86" s="14" t="n"/>
      <c r="K86" s="29" t="n"/>
      <c r="L86" s="14" t="n"/>
      <c r="M86" s="14" t="n"/>
    </row>
    <row r="87" ht="22" customHeight="1">
      <c r="B87" s="18">
        <f>IF(C87="","CSE-"&amp;TEXT(COUNTA($C$5:C87),"000"))</f>
        <v/>
      </c>
      <c r="C87" s="11" t="n"/>
      <c r="D87" s="11" t="n"/>
      <c r="E87" s="28" t="n"/>
      <c r="F87" s="11" t="n"/>
      <c r="G87" s="13" t="n"/>
      <c r="H87" s="13" t="n"/>
      <c r="I87" s="11" t="n"/>
      <c r="J87" s="11" t="n"/>
      <c r="K87" s="28" t="n"/>
      <c r="L87" s="11" t="n"/>
      <c r="M87" s="11" t="n"/>
    </row>
    <row r="88" ht="22" customHeight="1">
      <c r="B88" s="17">
        <f>IF(C88="","CSE-"&amp;TEXT(COUNTA($C$5:C88),"000"))</f>
        <v/>
      </c>
      <c r="C88" s="14" t="n"/>
      <c r="D88" s="14" t="n"/>
      <c r="E88" s="29" t="n"/>
      <c r="F88" s="14" t="n"/>
      <c r="G88" s="16" t="n"/>
      <c r="H88" s="16" t="n"/>
      <c r="I88" s="14" t="n"/>
      <c r="J88" s="14" t="n"/>
      <c r="K88" s="29" t="n"/>
      <c r="L88" s="14" t="n"/>
      <c r="M88" s="14" t="n"/>
    </row>
    <row r="89" ht="22" customHeight="1">
      <c r="B89" s="18">
        <f>IF(C89="","CSE-"&amp;TEXT(COUNTA($C$5:C89),"000"))</f>
        <v/>
      </c>
      <c r="C89" s="11" t="n"/>
      <c r="D89" s="11" t="n"/>
      <c r="E89" s="28" t="n"/>
      <c r="F89" s="11" t="n"/>
      <c r="G89" s="13" t="n"/>
      <c r="H89" s="13" t="n"/>
      <c r="I89" s="11" t="n"/>
      <c r="J89" s="11" t="n"/>
      <c r="K89" s="28" t="n"/>
      <c r="L89" s="11" t="n"/>
      <c r="M89" s="11" t="n"/>
    </row>
    <row r="90" ht="22" customHeight="1">
      <c r="B90" s="17">
        <f>IF(C90="","CSE-"&amp;TEXT(COUNTA($C$5:C90),"000"))</f>
        <v/>
      </c>
      <c r="C90" s="14" t="n"/>
      <c r="D90" s="14" t="n"/>
      <c r="E90" s="29" t="n"/>
      <c r="F90" s="14" t="n"/>
      <c r="G90" s="16" t="n"/>
      <c r="H90" s="16" t="n"/>
      <c r="I90" s="14" t="n"/>
      <c r="J90" s="14" t="n"/>
      <c r="K90" s="29" t="n"/>
      <c r="L90" s="14" t="n"/>
      <c r="M90" s="14" t="n"/>
    </row>
    <row r="91" ht="22" customHeight="1">
      <c r="B91" s="18">
        <f>IF(C91="","CSE-"&amp;TEXT(COUNTA($C$5:C91),"000"))</f>
        <v/>
      </c>
      <c r="C91" s="11" t="n"/>
      <c r="D91" s="11" t="n"/>
      <c r="E91" s="28" t="n"/>
      <c r="F91" s="11" t="n"/>
      <c r="G91" s="13" t="n"/>
      <c r="H91" s="13" t="n"/>
      <c r="I91" s="11" t="n"/>
      <c r="J91" s="11" t="n"/>
      <c r="K91" s="28" t="n"/>
      <c r="L91" s="11" t="n"/>
      <c r="M91" s="11" t="n"/>
    </row>
    <row r="92" ht="22" customHeight="1">
      <c r="B92" s="17">
        <f>IF(C92="","CSE-"&amp;TEXT(COUNTA($C$5:C92),"000"))</f>
        <v/>
      </c>
      <c r="C92" s="14" t="n"/>
      <c r="D92" s="14" t="n"/>
      <c r="E92" s="29" t="n"/>
      <c r="F92" s="14" t="n"/>
      <c r="G92" s="16" t="n"/>
      <c r="H92" s="16" t="n"/>
      <c r="I92" s="14" t="n"/>
      <c r="J92" s="14" t="n"/>
      <c r="K92" s="29" t="n"/>
      <c r="L92" s="14" t="n"/>
      <c r="M92" s="14" t="n"/>
    </row>
    <row r="93" ht="22" customHeight="1">
      <c r="B93" s="18">
        <f>IF(C93="","CSE-"&amp;TEXT(COUNTA($C$5:C93),"000"))</f>
        <v/>
      </c>
      <c r="C93" s="11" t="n"/>
      <c r="D93" s="11" t="n"/>
      <c r="E93" s="28" t="n"/>
      <c r="F93" s="11" t="n"/>
      <c r="G93" s="13" t="n"/>
      <c r="H93" s="13" t="n"/>
      <c r="I93" s="11" t="n"/>
      <c r="J93" s="11" t="n"/>
      <c r="K93" s="28" t="n"/>
      <c r="L93" s="11" t="n"/>
      <c r="M93" s="11" t="n"/>
    </row>
    <row r="94" ht="22" customHeight="1">
      <c r="B94" s="17">
        <f>IF(C94="","CSE-"&amp;TEXT(COUNTA($C$5:C94),"000"))</f>
        <v/>
      </c>
      <c r="C94" s="14" t="n"/>
      <c r="D94" s="14" t="n"/>
      <c r="E94" s="29" t="n"/>
      <c r="F94" s="14" t="n"/>
      <c r="G94" s="16" t="n"/>
      <c r="H94" s="16" t="n"/>
      <c r="I94" s="14" t="n"/>
      <c r="J94" s="14" t="n"/>
      <c r="K94" s="29" t="n"/>
      <c r="L94" s="14" t="n"/>
      <c r="M94" s="14" t="n"/>
    </row>
    <row r="95" ht="22" customHeight="1">
      <c r="B95" s="18">
        <f>IF(C95="","CSE-"&amp;TEXT(COUNTA($C$5:C95),"000"))</f>
        <v/>
      </c>
      <c r="C95" s="11" t="n"/>
      <c r="D95" s="11" t="n"/>
      <c r="E95" s="28" t="n"/>
      <c r="F95" s="11" t="n"/>
      <c r="G95" s="13" t="n"/>
      <c r="H95" s="13" t="n"/>
      <c r="I95" s="11" t="n"/>
      <c r="J95" s="11" t="n"/>
      <c r="K95" s="28" t="n"/>
      <c r="L95" s="11" t="n"/>
      <c r="M95" s="11" t="n"/>
    </row>
    <row r="96" ht="22" customHeight="1">
      <c r="B96" s="17">
        <f>IF(C96="","CSE-"&amp;TEXT(COUNTA($C$5:C96),"000"))</f>
        <v/>
      </c>
      <c r="C96" s="14" t="n"/>
      <c r="D96" s="14" t="n"/>
      <c r="E96" s="29" t="n"/>
      <c r="F96" s="14" t="n"/>
      <c r="G96" s="16" t="n"/>
      <c r="H96" s="16" t="n"/>
      <c r="I96" s="14" t="n"/>
      <c r="J96" s="14" t="n"/>
      <c r="K96" s="29" t="n"/>
      <c r="L96" s="14" t="n"/>
      <c r="M96" s="14" t="n"/>
    </row>
    <row r="97" ht="22" customHeight="1">
      <c r="B97" s="18">
        <f>IF(C97="","CSE-"&amp;TEXT(COUNTA($C$5:C97),"000"))</f>
        <v/>
      </c>
      <c r="C97" s="11" t="n"/>
      <c r="D97" s="11" t="n"/>
      <c r="E97" s="28" t="n"/>
      <c r="F97" s="11" t="n"/>
      <c r="G97" s="13" t="n"/>
      <c r="H97" s="13" t="n"/>
      <c r="I97" s="11" t="n"/>
      <c r="J97" s="11" t="n"/>
      <c r="K97" s="28" t="n"/>
      <c r="L97" s="11" t="n"/>
      <c r="M97" s="11" t="n"/>
    </row>
    <row r="98" ht="22" customHeight="1">
      <c r="B98" s="17">
        <f>IF(C98="","CSE-"&amp;TEXT(COUNTA($C$5:C98),"000"))</f>
        <v/>
      </c>
      <c r="C98" s="14" t="n"/>
      <c r="D98" s="14" t="n"/>
      <c r="E98" s="29" t="n"/>
      <c r="F98" s="14" t="n"/>
      <c r="G98" s="16" t="n"/>
      <c r="H98" s="16" t="n"/>
      <c r="I98" s="14" t="n"/>
      <c r="J98" s="14" t="n"/>
      <c r="K98" s="29" t="n"/>
      <c r="L98" s="14" t="n"/>
      <c r="M98" s="14" t="n"/>
    </row>
    <row r="99" ht="22" customHeight="1">
      <c r="B99" s="18">
        <f>IF(C99="","CSE-"&amp;TEXT(COUNTA($C$5:C99),"000"))</f>
        <v/>
      </c>
      <c r="C99" s="11" t="n"/>
      <c r="D99" s="11" t="n"/>
      <c r="E99" s="28" t="n"/>
      <c r="F99" s="11" t="n"/>
      <c r="G99" s="13" t="n"/>
      <c r="H99" s="13" t="n"/>
      <c r="I99" s="11" t="n"/>
      <c r="J99" s="11" t="n"/>
      <c r="K99" s="28" t="n"/>
      <c r="L99" s="11" t="n"/>
      <c r="M99" s="11" t="n"/>
    </row>
    <row r="100" ht="22" customHeight="1">
      <c r="B100" s="17">
        <f>IF(C100="","CSE-"&amp;TEXT(COUNTA($C$5:C100),"000"))</f>
        <v/>
      </c>
      <c r="C100" s="14" t="n"/>
      <c r="D100" s="14" t="n"/>
      <c r="E100" s="29" t="n"/>
      <c r="F100" s="14" t="n"/>
      <c r="G100" s="16" t="n"/>
      <c r="H100" s="16" t="n"/>
      <c r="I100" s="14" t="n"/>
      <c r="J100" s="14" t="n"/>
      <c r="K100" s="29" t="n"/>
      <c r="L100" s="14" t="n"/>
      <c r="M100" s="14" t="n"/>
    </row>
    <row r="101" ht="22" customHeight="1">
      <c r="B101" s="18">
        <f>IF(C101="","CSE-"&amp;TEXT(COUNTA($C$5:C101),"000"))</f>
        <v/>
      </c>
      <c r="C101" s="11" t="n"/>
      <c r="D101" s="11" t="n"/>
      <c r="E101" s="28" t="n"/>
      <c r="F101" s="11" t="n"/>
      <c r="G101" s="13" t="n"/>
      <c r="H101" s="13" t="n"/>
      <c r="I101" s="11" t="n"/>
      <c r="J101" s="11" t="n"/>
      <c r="K101" s="28" t="n"/>
      <c r="L101" s="11" t="n"/>
      <c r="M101" s="11" t="n"/>
    </row>
    <row r="102" ht="22" customHeight="1">
      <c r="B102" s="17">
        <f>IF(C102="","CSE-"&amp;TEXT(COUNTA($C$5:C102),"000"))</f>
        <v/>
      </c>
      <c r="C102" s="14" t="n"/>
      <c r="D102" s="14" t="n"/>
      <c r="E102" s="29" t="n"/>
      <c r="F102" s="14" t="n"/>
      <c r="G102" s="16" t="n"/>
      <c r="H102" s="16" t="n"/>
      <c r="I102" s="14" t="n"/>
      <c r="J102" s="14" t="n"/>
      <c r="K102" s="29" t="n"/>
      <c r="L102" s="14" t="n"/>
      <c r="M102" s="14" t="n"/>
    </row>
    <row r="103" ht="22" customHeight="1">
      <c r="B103" s="18">
        <f>IF(C103="","CSE-"&amp;TEXT(COUNTA($C$5:C103),"000"))</f>
        <v/>
      </c>
      <c r="C103" s="11" t="n"/>
      <c r="D103" s="11" t="n"/>
      <c r="E103" s="28" t="n"/>
      <c r="F103" s="11" t="n"/>
      <c r="G103" s="13" t="n"/>
      <c r="H103" s="13" t="n"/>
      <c r="I103" s="11" t="n"/>
      <c r="J103" s="11" t="n"/>
      <c r="K103" s="28" t="n"/>
      <c r="L103" s="11" t="n"/>
      <c r="M103" s="11" t="n"/>
    </row>
    <row r="104" ht="22" customHeight="1">
      <c r="B104" s="17">
        <f>IF(C104="","CSE-"&amp;TEXT(COUNTA($C$5:C104),"000"))</f>
        <v/>
      </c>
      <c r="C104" s="14" t="n"/>
      <c r="D104" s="14" t="n"/>
      <c r="E104" s="29" t="n"/>
      <c r="F104" s="14" t="n"/>
      <c r="G104" s="16" t="n"/>
      <c r="H104" s="16" t="n"/>
      <c r="I104" s="14" t="n"/>
      <c r="J104" s="14" t="n"/>
      <c r="K104" s="29" t="n"/>
      <c r="L104" s="14" t="n"/>
      <c r="M104" s="14" t="n"/>
    </row>
    <row r="105" ht="22" customHeight="1">
      <c r="B105" s="18">
        <f>IF(C105="","CSE-"&amp;TEXT(COUNTA($C$5:C105),"000"))</f>
        <v/>
      </c>
      <c r="C105" s="11" t="n"/>
      <c r="D105" s="11" t="n"/>
      <c r="E105" s="28" t="n"/>
      <c r="F105" s="11" t="n"/>
      <c r="G105" s="13" t="n"/>
      <c r="H105" s="13" t="n"/>
      <c r="I105" s="11" t="n"/>
      <c r="J105" s="11" t="n"/>
      <c r="K105" s="28" t="n"/>
      <c r="L105" s="11" t="n"/>
      <c r="M105" s="11" t="n"/>
    </row>
    <row r="106" ht="22" customHeight="1">
      <c r="B106" s="17">
        <f>IF(C106="","CSE-"&amp;TEXT(COUNTA($C$5:C106),"000"))</f>
        <v/>
      </c>
      <c r="C106" s="14" t="n"/>
      <c r="D106" s="14" t="n"/>
      <c r="E106" s="29" t="n"/>
      <c r="F106" s="14" t="n"/>
      <c r="G106" s="16" t="n"/>
      <c r="H106" s="16" t="n"/>
      <c r="I106" s="14" t="n"/>
      <c r="J106" s="14" t="n"/>
      <c r="K106" s="29" t="n"/>
      <c r="L106" s="14" t="n"/>
      <c r="M106" s="14" t="n"/>
    </row>
    <row r="107" ht="22" customHeight="1">
      <c r="B107" s="18">
        <f>IF(C107="","CSE-"&amp;TEXT(COUNTA($C$5:C107),"000"))</f>
        <v/>
      </c>
      <c r="C107" s="11" t="n"/>
      <c r="D107" s="11" t="n"/>
      <c r="E107" s="28" t="n"/>
      <c r="F107" s="11" t="n"/>
      <c r="G107" s="13" t="n"/>
      <c r="H107" s="13" t="n"/>
      <c r="I107" s="11" t="n"/>
      <c r="J107" s="11" t="n"/>
      <c r="K107" s="28" t="n"/>
      <c r="L107" s="11" t="n"/>
      <c r="M107" s="11" t="n"/>
    </row>
    <row r="108" ht="22" customHeight="1">
      <c r="B108" s="17">
        <f>IF(C108="","CSE-"&amp;TEXT(COUNTA($C$5:C108),"000"))</f>
        <v/>
      </c>
      <c r="C108" s="14" t="n"/>
      <c r="D108" s="14" t="n"/>
      <c r="E108" s="29" t="n"/>
      <c r="F108" s="14" t="n"/>
      <c r="G108" s="16" t="n"/>
      <c r="H108" s="16" t="n"/>
      <c r="I108" s="14" t="n"/>
      <c r="J108" s="14" t="n"/>
      <c r="K108" s="29" t="n"/>
      <c r="L108" s="14" t="n"/>
      <c r="M108" s="14" t="n"/>
    </row>
    <row r="109" ht="22" customHeight="1">
      <c r="B109" s="18">
        <f>IF(C109="","CSE-"&amp;TEXT(COUNTA($C$5:C109),"000"))</f>
        <v/>
      </c>
      <c r="C109" s="11" t="n"/>
      <c r="D109" s="11" t="n"/>
      <c r="E109" s="28" t="n"/>
      <c r="F109" s="11" t="n"/>
      <c r="G109" s="13" t="n"/>
      <c r="H109" s="13" t="n"/>
      <c r="I109" s="11" t="n"/>
      <c r="J109" s="11" t="n"/>
      <c r="K109" s="28" t="n"/>
      <c r="L109" s="11" t="n"/>
      <c r="M109" s="11" t="n"/>
    </row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1">
        <f>SUM(G5:G104)</f>
        <v/>
      </c>
      <c r="H111" s="21">
        <f>SUM(H5:H104)</f>
        <v/>
      </c>
      <c r="I111" s="20" t="n"/>
      <c r="J111" s="20" t="n"/>
      <c r="K111" s="20" t="n"/>
      <c r="L111" s="20" t="n"/>
      <c r="M111" s="20" t="n"/>
    </row>
    <row r="113">
      <c r="B113" s="5" t="inlineStr">
        <is>
          <t>INDICATEURS (mis a jour automatiquement)</t>
        </is>
      </c>
    </row>
    <row r="114">
      <c r="B114" s="3" t="inlineStr">
        <is>
          <t>Reunions</t>
        </is>
      </c>
      <c r="D114" s="3" t="inlineStr">
        <is>
          <t>Tenues</t>
        </is>
      </c>
      <c r="F114" s="3" t="inlineStr">
        <is>
          <t>Planifiees</t>
        </is>
      </c>
      <c r="H114" s="3" t="inlineStr">
        <is>
          <t>Taux participation (%)</t>
        </is>
      </c>
    </row>
    <row r="115">
      <c r="B115" s="4">
        <f>COUNTIF(B5:B104,"&lt;&gt;")</f>
        <v/>
      </c>
      <c r="D115" s="4">
        <f>COUNTIF(M5:M104,"Tenue")</f>
        <v/>
      </c>
      <c r="F115" s="4">
        <f>COUNTIF(M5:M104,"Planifiee")</f>
        <v/>
      </c>
      <c r="H115" s="4">
        <f>IFERROR(SUM(G5:G104)/(SUM(G5:G104)+SUM(H5:H104)),0)</f>
        <v/>
      </c>
    </row>
  </sheetData>
  <mergeCells count="3">
    <mergeCell ref="B3:M3"/>
    <mergeCell ref="B2:M2"/>
    <mergeCell ref="B113:M113"/>
  </mergeCells>
  <conditionalFormatting sqref="M5:M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1">
      <formula>"En attente"</formula>
    </cfRule>
    <cfRule type="cellIs" priority="45" operator="equal" dxfId="1">
      <formula>"A renouveler"</formula>
    </cfRule>
    <cfRule type="cellIs" priority="46" operator="equal" dxfId="1">
      <formula>"En cours"</formula>
    </cfRule>
    <cfRule type="cellIs" priority="47" operator="equal" dxfId="1">
      <formula>"En traitement"</formula>
    </cfRule>
    <cfRule type="cellIs" priority="48" operator="equal" dxfId="1">
      <formula>"En retard"</formula>
    </cfRule>
    <cfRule type="cellIs" priority="49" operator="equal" dxfId="1">
      <formula>"Suspendu"</formula>
    </cfRule>
    <cfRule type="cellIs" priority="50" operator="equal" dxfId="1">
      <formula>"Planifie"</formula>
    </cfRule>
    <cfRule type="cellIs" priority="51" operator="equal" dxfId="1">
      <formula>"Planifiee"</formula>
    </cfRule>
    <cfRule type="cellIs" priority="52" operator="equal" dxfId="1">
      <formula>"Brouillon"</formula>
    </cfRule>
    <cfRule type="cellIs" priority="53" operator="equal" dxfId="1">
      <formula>"En attente de justification"</formula>
    </cfRule>
    <cfRule type="cellIs" priority="54" operator="equal" dxfId="1">
      <formula>"Tolere"</formula>
    </cfRule>
    <cfRule type="cellIs" priority="55" operator="equal" dxfId="1">
      <formula>"Variable"</formula>
    </cfRule>
    <cfRule type="cellIs" priority="56" operator="equal" dxfId="1">
      <formula>"En elaboration"</formula>
    </cfRule>
    <cfRule type="cellIs" priority="57" operator="equal" dxfId="1">
      <formula>"Provisionne"</formula>
    </cfRule>
    <cfRule type="cellIs" priority="58" operator="equal" dxfId="1">
      <formula>"Consomme partiel"</formula>
    </cfRule>
    <cfRule type="cellIs" priority="59" operator="equal" dxfId="1">
      <formula>"Identifie"</formula>
    </cfRule>
    <cfRule type="cellIs" priority="60" operator="equal" dxfId="1">
      <formula>"Priorise"</formula>
    </cfRule>
    <cfRule type="cellIs" priority="61" operator="equal" dxfId="1">
      <formula>"Intermediaire"</formula>
    </cfRule>
    <cfRule type="cellIs" priority="62" operator="equal" dxfId="1">
      <formula>"Non evalue"</formula>
    </cfRule>
    <cfRule type="cellIs" priority="63" operator="equal" dxfId="1">
      <formula>"En cours de realisation"</formula>
    </cfRule>
    <cfRule type="cellIs" priority="64" operator="equal" dxfId="1">
      <formula>"Non demarre"</formula>
    </cfRule>
    <cfRule type="cellIs" priority="65" operator="equal" dxfId="1">
      <formula>"En attente N+1"</formula>
    </cfRule>
    <cfRule type="cellIs" priority="66" operator="equal" dxfId="1">
      <formula>"Prolongation essai"</formula>
    </cfRule>
    <cfRule type="cellIs" priority="67" operator="equal" dxfId="1">
      <formula>"En attente validation"</formula>
    </cfRule>
    <cfRule type="cellIs" priority="68" operator="equal" dxfId="1">
      <formula>"Bon"</formula>
    </cfRule>
    <cfRule type="cellIs" priority="69" operator="equal" dxfId="1">
      <formula>"D - Moyen"</formula>
    </cfRule>
    <cfRule type="cellIs" priority="70" operator="equal" dxfId="1">
      <formula>"En cours de repres."</formula>
    </cfRule>
    <cfRule type="cellIs" priority="71" operator="equal" dxfId="1">
      <formula>"En negociation"</formula>
    </cfRule>
    <cfRule type="cellIs" priority="72" operator="equal" dxfId="1">
      <formula>"En preparation"</formula>
    </cfRule>
    <cfRule type="cellIs" priority="73" operator="equal" dxfId="1">
      <formula>"En cours d'instruction"</formula>
    </cfRule>
    <cfRule type="cellIs" priority="74" operator="equal" dxfId="1">
      <formula>"Transferee N+1"</formula>
    </cfRule>
    <cfRule type="cellIs" priority="75" operator="equal" dxfId="1">
      <formula>"En attente reponse"</formula>
    </cfRule>
    <cfRule type="cellIs" priority="76" operator="equal" dxfId="1">
      <formula>"Enquete ouverte"</formula>
    </cfRule>
    <cfRule type="cellIs" priority="77" operator="equal" dxfId="1">
      <formula>"Convocation envoyee"</formula>
    </cfRule>
    <cfRule type="cellIs" priority="78" operator="equal" dxfId="1">
      <formula>"Entretien realise"</formula>
    </cfRule>
    <cfRule type="cellIs" priority="79" operator="equal" dxfId="1">
      <formula>"Saisie"</formula>
    </cfRule>
    <cfRule type="cellIs" priority="80" operator="equal" dxfId="1">
      <formula>"En mediation"</formula>
    </cfRule>
    <cfRule type="cellIs" priority="81" operator="equal" dxfId="1">
      <formula>"En recours"</formula>
    </cfRule>
    <cfRule type="cellIs" priority="82" operator="equal" dxfId="1">
      <formula>"Reportee"</formula>
    </cfRule>
    <cfRule type="cellIs" priority="83" operator="equal" dxfId="1">
      <formula>"Signale"</formula>
    </cfRule>
    <cfRule type="cellIs" priority="84" operator="equal" dxfId="1">
      <formula>"Precontentieux"</formula>
    </cfRule>
    <cfRule type="cellIs" priority="85" operator="equal" dxfId="1">
      <formula>"En attente election"</formula>
    </cfRule>
    <cfRule type="cellIs" priority="86" operator="equal" dxfId="1">
      <formula>"Classe"</formula>
    </cfRule>
    <cfRule type="cellIs" priority="87" operator="equal" dxfId="2">
      <formula>"Expire"</formula>
    </cfRule>
    <cfRule type="cellIs" priority="88" operator="equal" dxfId="2">
      <formula>"Rejete"</formula>
    </cfRule>
    <cfRule type="cellIs" priority="89" operator="equal" dxfId="2">
      <formula>"Rejetee"</formula>
    </cfRule>
    <cfRule type="cellIs" priority="90" operator="equal" dxfId="2">
      <formula>"Resilie"</formula>
    </cfRule>
    <cfRule type="cellIs" priority="91" operator="equal" dxfId="2">
      <formula>"Annule"</formula>
    </cfRule>
    <cfRule type="cellIs" priority="92" operator="equal" dxfId="2">
      <formula>"Annulee"</formula>
    </cfRule>
    <cfRule type="cellIs" priority="93" operator="equal" dxfId="2">
      <formula>"Refuse"</formula>
    </cfRule>
    <cfRule type="cellIs" priority="94" operator="equal" dxfId="2">
      <formula>"Non justifie"</formula>
    </cfRule>
    <cfRule type="cellIs" priority="95" operator="equal" dxfId="2">
      <formula>"Non justifiee"</formula>
    </cfRule>
    <cfRule type="cellIs" priority="96" operator="equal" dxfId="2">
      <formula>"Sanctionne"</formula>
    </cfRule>
    <cfRule type="cellIs" priority="97" operator="equal" dxfId="2">
      <formula>"Inaptitude"</formula>
    </cfRule>
    <cfRule type="cellIs" priority="98" operator="equal" dxfId="2">
      <formula>"Absent sans autorisation"</formula>
    </cfRule>
    <cfRule type="cellIs" priority="99" operator="equal" dxfId="2">
      <formula>"Abandon de poste"</formula>
    </cfRule>
    <cfRule type="cellIs" priority="100" operator="equal" dxfId="2">
      <formula>"Non satisfait"</formula>
    </cfRule>
    <cfRule type="cellIs" priority="101" operator="equal" dxfId="2">
      <formula>"Reportee"</formula>
    </cfRule>
    <cfRule type="cellIs" priority="102" operator="equal" dxfId="2">
      <formula>"Depasse"</formula>
    </cfRule>
    <cfRule type="cellIs" priority="103" operator="equal" dxfId="2">
      <formula>"Non utilise"</formula>
    </cfRule>
    <cfRule type="cellIs" priority="104" operator="equal" dxfId="2">
      <formula>"Non applicable"</formula>
    </cfRule>
    <cfRule type="cellIs" priority="105" operator="equal" dxfId="2">
      <formula>"Debutant"</formula>
    </cfRule>
    <cfRule type="cellIs" priority="106" operator="equal" dxfId="2">
      <formula>"Non atteint"</formula>
    </cfRule>
    <cfRule type="cellIs" priority="107" operator="equal" dxfId="2">
      <formula>"Abandonne"</formula>
    </cfRule>
    <cfRule type="cellIs" priority="108" operator="equal" dxfId="2">
      <formula>"Rupture essai"</formula>
    </cfRule>
    <cfRule type="cellIs" priority="109" operator="equal" dxfId="2">
      <formula>"Insuffisant"</formula>
    </cfRule>
    <cfRule type="cellIs" priority="110" operator="equal" dxfId="2">
      <formula>"Moyen"</formula>
    </cfRule>
    <cfRule type="cellIs" priority="111" operator="equal" dxfId="2">
      <formula>"E - Insuffisant"</formula>
    </cfRule>
    <cfRule type="cellIs" priority="112" operator="equal" dxfId="2">
      <formula>"Dissous"</formula>
    </cfRule>
    <cfRule type="cellIs" priority="113" operator="equal" dxfId="2">
      <formula>"Denonce"</formula>
    </cfRule>
    <cfRule type="cellIs" priority="114" operator="equal" dxfId="2">
      <formula>"Echoue"</formula>
    </cfRule>
    <cfRule type="cellIs" priority="115" operator="equal" dxfId="2">
      <formula>"Echouee"</formula>
    </cfRule>
    <cfRule type="cellIs" priority="116" operator="equal" dxfId="2">
      <formula>"Revoque"</formula>
    </cfRule>
    <cfRule type="cellIs" priority="117" operator="equal" dxfId="2">
      <formula>"Demissionnaire"</formula>
    </cfRule>
    <cfRule type="cellIs" priority="118" operator="equal" dxfId="2">
      <formula>"Licenciement pour faute"</formula>
    </cfRule>
    <cfRule type="cellIs" priority="119" operator="equal" dxfId="2">
      <formula>"Licenciement pour faute grave"</formula>
    </cfRule>
    <cfRule type="cellIs" priority="120" operator="equal" dxfId="2">
      <formula>"Terminee - Echec"</formula>
    </cfRule>
    <cfRule type="cellIs" priority="121" operator="equal" dxfId="2">
      <formula>"Abandonnee"</formula>
    </cfRule>
    <cfRule type="cellIs" priority="122" operator="equal" dxfId="2">
      <formula>"Violence physique"</formula>
    </cfRule>
    <cfRule type="cellIs" priority="123" operator="equal" dxfId="2">
      <formula>"Violence verbale"</formula>
    </cfRule>
  </conditionalFormatting>
  <conditionalFormatting sqref="B10:B109">
    <cfRule type="expression" priority="124" dxfId="3">
      <formula>AND($C10="",$C9&lt;&gt;"")</formula>
    </cfRule>
  </conditionalFormatting>
  <conditionalFormatting sqref="C10:C109">
    <cfRule type="expression" priority="125" dxfId="3">
      <formula>AND($C10="",$C9&lt;&gt;"")</formula>
    </cfRule>
  </conditionalFormatting>
  <conditionalFormatting sqref="D10:D109">
    <cfRule type="expression" priority="126" dxfId="3">
      <formula>AND($C10="",$C9&lt;&gt;"")</formula>
    </cfRule>
  </conditionalFormatting>
  <conditionalFormatting sqref="E10:E109">
    <cfRule type="expression" priority="127" dxfId="3">
      <formula>AND($C10="",$C9&lt;&gt;"")</formula>
    </cfRule>
  </conditionalFormatting>
  <conditionalFormatting sqref="F10:F109">
    <cfRule type="expression" priority="128" dxfId="3">
      <formula>AND($C10="",$C9&lt;&gt;"")</formula>
    </cfRule>
  </conditionalFormatting>
  <conditionalFormatting sqref="G10:G109">
    <cfRule type="expression" priority="129" dxfId="3">
      <formula>AND($C10="",$C9&lt;&gt;"")</formula>
    </cfRule>
  </conditionalFormatting>
  <conditionalFormatting sqref="H10:H109">
    <cfRule type="expression" priority="130" dxfId="3">
      <formula>AND($C10="",$C9&lt;&gt;"")</formula>
    </cfRule>
  </conditionalFormatting>
  <conditionalFormatting sqref="I10:I109">
    <cfRule type="expression" priority="131" dxfId="3">
      <formula>AND($C10="",$C9&lt;&gt;"")</formula>
    </cfRule>
  </conditionalFormatting>
  <conditionalFormatting sqref="J10:J109">
    <cfRule type="expression" priority="132" dxfId="3">
      <formula>AND($C10="",$C9&lt;&gt;"")</formula>
    </cfRule>
  </conditionalFormatting>
  <conditionalFormatting sqref="K10:K109">
    <cfRule type="expression" priority="133" dxfId="3">
      <formula>AND($C10="",$C9&lt;&gt;"")</formula>
    </cfRule>
  </conditionalFormatting>
  <conditionalFormatting sqref="L10:L109">
    <cfRule type="expression" priority="134" dxfId="3">
      <formula>AND($C10="",$C9&lt;&gt;"")</formula>
    </cfRule>
  </conditionalFormatting>
  <conditionalFormatting sqref="M10:M109">
    <cfRule type="expression" priority="135" dxfId="3">
      <formula>AND($C10="",$C9&lt;&gt;"")</formula>
    </cfRule>
  </conditionalFormatting>
  <dataValidations count="2">
    <dataValidation sqref="C5:C109" showDropDown="0" showInputMessage="0" showErrorMessage="0" allowBlank="1" errorTitle="Erreur" error="Valeur invalide" promptTitle="Liste" prompt="Choisir dans la liste" type="list">
      <formula1>'_Lists'!$E$2:$E$7</formula1>
    </dataValidation>
    <dataValidation sqref="M5:M109" showDropDown="0" showInputMessage="0" showErrorMessage="0" allowBlank="1" errorTitle="Erreur" error="Valeur invalide" promptTitle="Liste" prompt="Choisir dans la liste" type="list">
      <formula1>'_Lists'!$H$2:$H$6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34" customWidth="1" min="4" max="4"/>
    <col width="14" customWidth="1" min="5" max="5"/>
    <col width="20" customWidth="1" min="6" max="6"/>
    <col width="20" customWidth="1" min="7" max="7"/>
    <col width="14" customWidth="1" min="8" max="8"/>
    <col width="16" customWidth="1" min="9" max="9"/>
    <col width="14" customWidth="1" min="10" max="10"/>
    <col width="16" customWidth="1" min="11" max="11"/>
    <col width="14" customWidth="1" min="12" max="12"/>
  </cols>
  <sheetData>
    <row r="1" ht="15" customHeight="1"/>
    <row r="2" ht="32" customHeight="1">
      <c r="B2" s="1" t="inlineStr">
        <is>
          <t>PROTOCOLES &amp; ACCORDS COLLECTIFS (#90)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 Accord</t>
        </is>
      </c>
      <c r="C4" s="10" t="inlineStr">
        <is>
          <t>Type Accord</t>
        </is>
      </c>
      <c r="D4" s="10" t="inlineStr">
        <is>
          <t>Objet / Titre</t>
        </is>
      </c>
      <c r="E4" s="10" t="inlineStr">
        <is>
          <t>Date Signature</t>
        </is>
      </c>
      <c r="F4" s="10" t="inlineStr">
        <is>
          <t>Partie Patronale</t>
        </is>
      </c>
      <c r="G4" s="10" t="inlineStr">
        <is>
          <t>Partie Syndicale</t>
        </is>
      </c>
      <c r="H4" s="10" t="inlineStr">
        <is>
          <t>Date Depot</t>
        </is>
      </c>
      <c r="I4" s="10" t="inlineStr">
        <is>
          <t>Date Application</t>
        </is>
      </c>
      <c r="J4" s="10" t="inlineStr">
        <is>
          <t>Duree (mois)</t>
        </is>
      </c>
      <c r="K4" s="10" t="inlineStr">
        <is>
          <t>Date Expiration</t>
        </is>
      </c>
      <c r="L4" s="10" t="inlineStr">
        <is>
          <t>Statut</t>
        </is>
      </c>
    </row>
    <row r="5" ht="22" customHeight="1">
      <c r="B5" s="11" t="inlineStr">
        <is>
          <t>AC-001</t>
        </is>
      </c>
      <c r="C5" s="11" t="inlineStr">
        <is>
          <t>Accord salarial</t>
        </is>
      </c>
      <c r="D5" s="11" t="inlineStr">
        <is>
          <t>Revalorisation salariale 2025</t>
        </is>
      </c>
      <c r="E5" s="28" t="n">
        <v>45672</v>
      </c>
      <c r="F5" s="11" t="inlineStr">
        <is>
          <t>DG Fotso Paul</t>
        </is>
      </c>
      <c r="G5" s="11" t="inlineStr">
        <is>
          <t>CSTT + CSA</t>
        </is>
      </c>
      <c r="H5" s="28" t="n">
        <v>45677</v>
      </c>
      <c r="I5" s="28" t="n">
        <v>45689</v>
      </c>
      <c r="J5" s="13" t="n">
        <v>12</v>
      </c>
      <c r="K5" s="28" t="n">
        <v>46053</v>
      </c>
      <c r="L5" s="11" t="inlineStr">
        <is>
          <t>En vigueur</t>
        </is>
      </c>
    </row>
    <row r="6" ht="22" customHeight="1">
      <c r="B6" s="14" t="inlineStr">
        <is>
          <t>AC-002</t>
        </is>
      </c>
      <c r="C6" s="14" t="inlineStr">
        <is>
          <t>Accord d'entreprise</t>
        </is>
      </c>
      <c r="D6" s="14" t="inlineStr">
        <is>
          <t>Teletravail partiel IT</t>
        </is>
      </c>
      <c r="E6" s="29" t="n">
        <v>45536</v>
      </c>
      <c r="F6" s="14" t="inlineStr">
        <is>
          <t>DG Fotso Paul</t>
        </is>
      </c>
      <c r="G6" s="14" t="inlineStr">
        <is>
          <t>CSC</t>
        </is>
      </c>
      <c r="H6" s="29" t="n">
        <v>45550</v>
      </c>
      <c r="I6" s="29" t="n">
        <v>45566</v>
      </c>
      <c r="J6" s="16" t="n">
        <v>24</v>
      </c>
      <c r="K6" s="29" t="n">
        <v>46295</v>
      </c>
      <c r="L6" s="14" t="inlineStr">
        <is>
          <t>En vigueur</t>
        </is>
      </c>
    </row>
    <row r="7" ht="22" customHeight="1">
      <c r="B7" s="11" t="inlineStr">
        <is>
          <t>AC-003</t>
        </is>
      </c>
      <c r="C7" s="11" t="inlineStr">
        <is>
          <t>Convention collective</t>
        </is>
      </c>
      <c r="D7" s="11" t="inlineStr">
        <is>
          <t>Application CCT Hotelier</t>
        </is>
      </c>
      <c r="E7" s="28" t="n">
        <v>43891</v>
      </c>
      <c r="F7" s="11" t="inlineStr">
        <is>
          <t>Direction</t>
        </is>
      </c>
      <c r="G7" s="11" t="inlineStr">
        <is>
          <t>Ensemble syndicats</t>
        </is>
      </c>
      <c r="H7" s="28" t="n">
        <v>43900</v>
      </c>
      <c r="I7" s="28" t="n">
        <v>43922</v>
      </c>
      <c r="J7" s="13" t="n">
        <v>60</v>
      </c>
      <c r="K7" s="28" t="n">
        <v>45747</v>
      </c>
      <c r="L7" s="11" t="inlineStr">
        <is>
          <t>Expire</t>
        </is>
      </c>
    </row>
    <row r="8" ht="22" customHeight="1">
      <c r="B8" s="14" t="inlineStr">
        <is>
          <t>AC-004</t>
        </is>
      </c>
      <c r="C8" s="14" t="inlineStr">
        <is>
          <t>Protocole precontentieux</t>
        </is>
      </c>
      <c r="D8" s="14" t="inlineStr">
        <is>
          <t>Resolution conflit horaires</t>
        </is>
      </c>
      <c r="E8" s="29" t="n">
        <v>45787</v>
      </c>
      <c r="F8" s="14" t="inlineStr">
        <is>
          <t>DRH Nganou</t>
        </is>
      </c>
      <c r="G8" s="14" t="inlineStr">
        <is>
          <t>CSTT</t>
        </is>
      </c>
      <c r="H8" s="29" t="n">
        <v>45792</v>
      </c>
      <c r="I8" s="29" t="n">
        <v>45793</v>
      </c>
      <c r="J8" s="16" t="n">
        <v>6</v>
      </c>
      <c r="K8" s="29" t="n">
        <v>45976</v>
      </c>
      <c r="L8" s="14" t="inlineStr">
        <is>
          <t>En vigueur</t>
        </is>
      </c>
    </row>
    <row r="9" ht="22" customHeight="1">
      <c r="B9" s="11" t="inlineStr">
        <is>
          <t>AC-005</t>
        </is>
      </c>
      <c r="C9" s="11" t="inlineStr">
        <is>
          <t>Avenant</t>
        </is>
      </c>
      <c r="D9" s="11" t="inlineStr">
        <is>
          <t>Revision prime panier restauration</t>
        </is>
      </c>
      <c r="E9" s="28" t="n">
        <v>45717</v>
      </c>
      <c r="F9" s="11" t="inlineStr">
        <is>
          <t>DRH Nganou</t>
        </is>
      </c>
      <c r="G9" s="11" t="inlineStr">
        <is>
          <t>CSE</t>
        </is>
      </c>
      <c r="H9" s="28" t="n">
        <v>45721</v>
      </c>
      <c r="I9" s="28" t="n">
        <v>45748</v>
      </c>
      <c r="J9" s="13" t="n">
        <v>12</v>
      </c>
      <c r="K9" s="28" t="n">
        <v>46112</v>
      </c>
      <c r="L9" s="11" t="inlineStr">
        <is>
          <t>En vigueur</t>
        </is>
      </c>
    </row>
    <row r="10" ht="22" customHeight="1">
      <c r="B10" s="17">
        <f>IF(C10="","AC-"&amp;TEXT(COUNTA($C$5:C10),"000"))</f>
        <v/>
      </c>
      <c r="C10" s="14" t="n"/>
      <c r="D10" s="14" t="n"/>
      <c r="E10" s="29" t="n"/>
      <c r="F10" s="14" t="n"/>
      <c r="G10" s="14" t="n"/>
      <c r="H10" s="29" t="n"/>
      <c r="I10" s="29" t="n"/>
      <c r="J10" s="16" t="n"/>
      <c r="K10" s="29" t="n"/>
      <c r="L10" s="14" t="n"/>
    </row>
    <row r="11" ht="22" customHeight="1">
      <c r="B11" s="18">
        <f>IF(C11="","AC-"&amp;TEXT(COUNTA($C$5:C11),"000"))</f>
        <v/>
      </c>
      <c r="C11" s="11" t="n"/>
      <c r="D11" s="11" t="n"/>
      <c r="E11" s="28" t="n"/>
      <c r="F11" s="11" t="n"/>
      <c r="G11" s="11" t="n"/>
      <c r="H11" s="28" t="n"/>
      <c r="I11" s="28" t="n"/>
      <c r="J11" s="13" t="n"/>
      <c r="K11" s="28" t="n"/>
      <c r="L11" s="11" t="n"/>
    </row>
    <row r="12" ht="22" customHeight="1">
      <c r="B12" s="17">
        <f>IF(C12="","AC-"&amp;TEXT(COUNTA($C$5:C12),"000"))</f>
        <v/>
      </c>
      <c r="C12" s="14" t="n"/>
      <c r="D12" s="14" t="n"/>
      <c r="E12" s="29" t="n"/>
      <c r="F12" s="14" t="n"/>
      <c r="G12" s="14" t="n"/>
      <c r="H12" s="29" t="n"/>
      <c r="I12" s="29" t="n"/>
      <c r="J12" s="16" t="n"/>
      <c r="K12" s="29" t="n"/>
      <c r="L12" s="14" t="n"/>
    </row>
    <row r="13" ht="22" customHeight="1">
      <c r="B13" s="18">
        <f>IF(C13="","AC-"&amp;TEXT(COUNTA($C$5:C13),"000"))</f>
        <v/>
      </c>
      <c r="C13" s="11" t="n"/>
      <c r="D13" s="11" t="n"/>
      <c r="E13" s="28" t="n"/>
      <c r="F13" s="11" t="n"/>
      <c r="G13" s="11" t="n"/>
      <c r="H13" s="28" t="n"/>
      <c r="I13" s="28" t="n"/>
      <c r="J13" s="13" t="n"/>
      <c r="K13" s="28" t="n"/>
      <c r="L13" s="11" t="n"/>
    </row>
    <row r="14" ht="22" customHeight="1">
      <c r="B14" s="17">
        <f>IF(C14="","AC-"&amp;TEXT(COUNTA($C$5:C14),"000"))</f>
        <v/>
      </c>
      <c r="C14" s="14" t="n"/>
      <c r="D14" s="14" t="n"/>
      <c r="E14" s="29" t="n"/>
      <c r="F14" s="14" t="n"/>
      <c r="G14" s="14" t="n"/>
      <c r="H14" s="29" t="n"/>
      <c r="I14" s="29" t="n"/>
      <c r="J14" s="16" t="n"/>
      <c r="K14" s="29" t="n"/>
      <c r="L14" s="14" t="n"/>
    </row>
    <row r="15" ht="22" customHeight="1">
      <c r="B15" s="18">
        <f>IF(C15="","AC-"&amp;TEXT(COUNTA($C$5:C15),"000"))</f>
        <v/>
      </c>
      <c r="C15" s="11" t="n"/>
      <c r="D15" s="11" t="n"/>
      <c r="E15" s="28" t="n"/>
      <c r="F15" s="11" t="n"/>
      <c r="G15" s="11" t="n"/>
      <c r="H15" s="28" t="n"/>
      <c r="I15" s="28" t="n"/>
      <c r="J15" s="13" t="n"/>
      <c r="K15" s="28" t="n"/>
      <c r="L15" s="11" t="n"/>
    </row>
    <row r="16" ht="22" customHeight="1">
      <c r="B16" s="17">
        <f>IF(C16="","AC-"&amp;TEXT(COUNTA($C$5:C16),"000"))</f>
        <v/>
      </c>
      <c r="C16" s="14" t="n"/>
      <c r="D16" s="14" t="n"/>
      <c r="E16" s="29" t="n"/>
      <c r="F16" s="14" t="n"/>
      <c r="G16" s="14" t="n"/>
      <c r="H16" s="29" t="n"/>
      <c r="I16" s="29" t="n"/>
      <c r="J16" s="16" t="n"/>
      <c r="K16" s="29" t="n"/>
      <c r="L16" s="14" t="n"/>
    </row>
    <row r="17" ht="22" customHeight="1">
      <c r="B17" s="18">
        <f>IF(C17="","AC-"&amp;TEXT(COUNTA($C$5:C17),"000"))</f>
        <v/>
      </c>
      <c r="C17" s="11" t="n"/>
      <c r="D17" s="11" t="n"/>
      <c r="E17" s="28" t="n"/>
      <c r="F17" s="11" t="n"/>
      <c r="G17" s="11" t="n"/>
      <c r="H17" s="28" t="n"/>
      <c r="I17" s="28" t="n"/>
      <c r="J17" s="13" t="n"/>
      <c r="K17" s="28" t="n"/>
      <c r="L17" s="11" t="n"/>
    </row>
    <row r="18" ht="22" customHeight="1">
      <c r="B18" s="17">
        <f>IF(C18="","AC-"&amp;TEXT(COUNTA($C$5:C18),"000"))</f>
        <v/>
      </c>
      <c r="C18" s="14" t="n"/>
      <c r="D18" s="14" t="n"/>
      <c r="E18" s="29" t="n"/>
      <c r="F18" s="14" t="n"/>
      <c r="G18" s="14" t="n"/>
      <c r="H18" s="29" t="n"/>
      <c r="I18" s="29" t="n"/>
      <c r="J18" s="16" t="n"/>
      <c r="K18" s="29" t="n"/>
      <c r="L18" s="14" t="n"/>
    </row>
    <row r="19" ht="22" customHeight="1">
      <c r="B19" s="18">
        <f>IF(C19="","AC-"&amp;TEXT(COUNTA($C$5:C19),"000"))</f>
        <v/>
      </c>
      <c r="C19" s="11" t="n"/>
      <c r="D19" s="11" t="n"/>
      <c r="E19" s="28" t="n"/>
      <c r="F19" s="11" t="n"/>
      <c r="G19" s="11" t="n"/>
      <c r="H19" s="28" t="n"/>
      <c r="I19" s="28" t="n"/>
      <c r="J19" s="13" t="n"/>
      <c r="K19" s="28" t="n"/>
      <c r="L19" s="11" t="n"/>
    </row>
    <row r="20" ht="22" customHeight="1">
      <c r="B20" s="17">
        <f>IF(C20="","AC-"&amp;TEXT(COUNTA($C$5:C20),"000"))</f>
        <v/>
      </c>
      <c r="C20" s="14" t="n"/>
      <c r="D20" s="14" t="n"/>
      <c r="E20" s="29" t="n"/>
      <c r="F20" s="14" t="n"/>
      <c r="G20" s="14" t="n"/>
      <c r="H20" s="29" t="n"/>
      <c r="I20" s="29" t="n"/>
      <c r="J20" s="16" t="n"/>
      <c r="K20" s="29" t="n"/>
      <c r="L20" s="14" t="n"/>
    </row>
    <row r="21" ht="22" customHeight="1">
      <c r="B21" s="18">
        <f>IF(C21="","AC-"&amp;TEXT(COUNTA($C$5:C21),"000"))</f>
        <v/>
      </c>
      <c r="C21" s="11" t="n"/>
      <c r="D21" s="11" t="n"/>
      <c r="E21" s="28" t="n"/>
      <c r="F21" s="11" t="n"/>
      <c r="G21" s="11" t="n"/>
      <c r="H21" s="28" t="n"/>
      <c r="I21" s="28" t="n"/>
      <c r="J21" s="13" t="n"/>
      <c r="K21" s="28" t="n"/>
      <c r="L21" s="11" t="n"/>
    </row>
    <row r="22" ht="22" customHeight="1">
      <c r="B22" s="17">
        <f>IF(C22="","AC-"&amp;TEXT(COUNTA($C$5:C22),"000"))</f>
        <v/>
      </c>
      <c r="C22" s="14" t="n"/>
      <c r="D22" s="14" t="n"/>
      <c r="E22" s="29" t="n"/>
      <c r="F22" s="14" t="n"/>
      <c r="G22" s="14" t="n"/>
      <c r="H22" s="29" t="n"/>
      <c r="I22" s="29" t="n"/>
      <c r="J22" s="16" t="n"/>
      <c r="K22" s="29" t="n"/>
      <c r="L22" s="14" t="n"/>
    </row>
    <row r="23" ht="22" customHeight="1">
      <c r="B23" s="18">
        <f>IF(C23="","AC-"&amp;TEXT(COUNTA($C$5:C23),"000"))</f>
        <v/>
      </c>
      <c r="C23" s="11" t="n"/>
      <c r="D23" s="11" t="n"/>
      <c r="E23" s="28" t="n"/>
      <c r="F23" s="11" t="n"/>
      <c r="G23" s="11" t="n"/>
      <c r="H23" s="28" t="n"/>
      <c r="I23" s="28" t="n"/>
      <c r="J23" s="13" t="n"/>
      <c r="K23" s="28" t="n"/>
      <c r="L23" s="11" t="n"/>
    </row>
    <row r="24" ht="22" customHeight="1">
      <c r="B24" s="17">
        <f>IF(C24="","AC-"&amp;TEXT(COUNTA($C$5:C24),"000"))</f>
        <v/>
      </c>
      <c r="C24" s="14" t="n"/>
      <c r="D24" s="14" t="n"/>
      <c r="E24" s="29" t="n"/>
      <c r="F24" s="14" t="n"/>
      <c r="G24" s="14" t="n"/>
      <c r="H24" s="29" t="n"/>
      <c r="I24" s="29" t="n"/>
      <c r="J24" s="16" t="n"/>
      <c r="K24" s="29" t="n"/>
      <c r="L24" s="14" t="n"/>
    </row>
    <row r="25" ht="22" customHeight="1">
      <c r="B25" s="18">
        <f>IF(C25="","AC-"&amp;TEXT(COUNTA($C$5:C25),"000"))</f>
        <v/>
      </c>
      <c r="C25" s="11" t="n"/>
      <c r="D25" s="11" t="n"/>
      <c r="E25" s="28" t="n"/>
      <c r="F25" s="11" t="n"/>
      <c r="G25" s="11" t="n"/>
      <c r="H25" s="28" t="n"/>
      <c r="I25" s="28" t="n"/>
      <c r="J25" s="13" t="n"/>
      <c r="K25" s="28" t="n"/>
      <c r="L25" s="11" t="n"/>
    </row>
    <row r="26" ht="22" customHeight="1">
      <c r="B26" s="17">
        <f>IF(C26="","AC-"&amp;TEXT(COUNTA($C$5:C26),"000"))</f>
        <v/>
      </c>
      <c r="C26" s="14" t="n"/>
      <c r="D26" s="14" t="n"/>
      <c r="E26" s="29" t="n"/>
      <c r="F26" s="14" t="n"/>
      <c r="G26" s="14" t="n"/>
      <c r="H26" s="29" t="n"/>
      <c r="I26" s="29" t="n"/>
      <c r="J26" s="16" t="n"/>
      <c r="K26" s="29" t="n"/>
      <c r="L26" s="14" t="n"/>
    </row>
    <row r="27" ht="22" customHeight="1">
      <c r="B27" s="18">
        <f>IF(C27="","AC-"&amp;TEXT(COUNTA($C$5:C27),"000"))</f>
        <v/>
      </c>
      <c r="C27" s="11" t="n"/>
      <c r="D27" s="11" t="n"/>
      <c r="E27" s="28" t="n"/>
      <c r="F27" s="11" t="n"/>
      <c r="G27" s="11" t="n"/>
      <c r="H27" s="28" t="n"/>
      <c r="I27" s="28" t="n"/>
      <c r="J27" s="13" t="n"/>
      <c r="K27" s="28" t="n"/>
      <c r="L27" s="11" t="n"/>
    </row>
    <row r="28" ht="22" customHeight="1">
      <c r="B28" s="17">
        <f>IF(C28="","AC-"&amp;TEXT(COUNTA($C$5:C28),"000"))</f>
        <v/>
      </c>
      <c r="C28" s="14" t="n"/>
      <c r="D28" s="14" t="n"/>
      <c r="E28" s="29" t="n"/>
      <c r="F28" s="14" t="n"/>
      <c r="G28" s="14" t="n"/>
      <c r="H28" s="29" t="n"/>
      <c r="I28" s="29" t="n"/>
      <c r="J28" s="16" t="n"/>
      <c r="K28" s="29" t="n"/>
      <c r="L28" s="14" t="n"/>
    </row>
    <row r="29" ht="22" customHeight="1">
      <c r="B29" s="18">
        <f>IF(C29="","AC-"&amp;TEXT(COUNTA($C$5:C29),"000"))</f>
        <v/>
      </c>
      <c r="C29" s="11" t="n"/>
      <c r="D29" s="11" t="n"/>
      <c r="E29" s="28" t="n"/>
      <c r="F29" s="11" t="n"/>
      <c r="G29" s="11" t="n"/>
      <c r="H29" s="28" t="n"/>
      <c r="I29" s="28" t="n"/>
      <c r="J29" s="13" t="n"/>
      <c r="K29" s="28" t="n"/>
      <c r="L29" s="11" t="n"/>
    </row>
    <row r="30" ht="22" customHeight="1">
      <c r="B30" s="17">
        <f>IF(C30="","AC-"&amp;TEXT(COUNTA($C$5:C30),"000"))</f>
        <v/>
      </c>
      <c r="C30" s="14" t="n"/>
      <c r="D30" s="14" t="n"/>
      <c r="E30" s="29" t="n"/>
      <c r="F30" s="14" t="n"/>
      <c r="G30" s="14" t="n"/>
      <c r="H30" s="29" t="n"/>
      <c r="I30" s="29" t="n"/>
      <c r="J30" s="16" t="n"/>
      <c r="K30" s="29" t="n"/>
      <c r="L30" s="14" t="n"/>
    </row>
    <row r="31" ht="22" customHeight="1">
      <c r="B31" s="18">
        <f>IF(C31="","AC-"&amp;TEXT(COUNTA($C$5:C31),"000"))</f>
        <v/>
      </c>
      <c r="C31" s="11" t="n"/>
      <c r="D31" s="11" t="n"/>
      <c r="E31" s="28" t="n"/>
      <c r="F31" s="11" t="n"/>
      <c r="G31" s="11" t="n"/>
      <c r="H31" s="28" t="n"/>
      <c r="I31" s="28" t="n"/>
      <c r="J31" s="13" t="n"/>
      <c r="K31" s="28" t="n"/>
      <c r="L31" s="11" t="n"/>
    </row>
    <row r="32" ht="22" customHeight="1">
      <c r="B32" s="17">
        <f>IF(C32="","AC-"&amp;TEXT(COUNTA($C$5:C32),"000"))</f>
        <v/>
      </c>
      <c r="C32" s="14" t="n"/>
      <c r="D32" s="14" t="n"/>
      <c r="E32" s="29" t="n"/>
      <c r="F32" s="14" t="n"/>
      <c r="G32" s="14" t="n"/>
      <c r="H32" s="29" t="n"/>
      <c r="I32" s="29" t="n"/>
      <c r="J32" s="16" t="n"/>
      <c r="K32" s="29" t="n"/>
      <c r="L32" s="14" t="n"/>
    </row>
    <row r="33" ht="22" customHeight="1">
      <c r="B33" s="18">
        <f>IF(C33="","AC-"&amp;TEXT(COUNTA($C$5:C33),"000"))</f>
        <v/>
      </c>
      <c r="C33" s="11" t="n"/>
      <c r="D33" s="11" t="n"/>
      <c r="E33" s="28" t="n"/>
      <c r="F33" s="11" t="n"/>
      <c r="G33" s="11" t="n"/>
      <c r="H33" s="28" t="n"/>
      <c r="I33" s="28" t="n"/>
      <c r="J33" s="13" t="n"/>
      <c r="K33" s="28" t="n"/>
      <c r="L33" s="11" t="n"/>
    </row>
    <row r="34" ht="22" customHeight="1">
      <c r="B34" s="17">
        <f>IF(C34="","AC-"&amp;TEXT(COUNTA($C$5:C34),"000"))</f>
        <v/>
      </c>
      <c r="C34" s="14" t="n"/>
      <c r="D34" s="14" t="n"/>
      <c r="E34" s="29" t="n"/>
      <c r="F34" s="14" t="n"/>
      <c r="G34" s="14" t="n"/>
      <c r="H34" s="29" t="n"/>
      <c r="I34" s="29" t="n"/>
      <c r="J34" s="16" t="n"/>
      <c r="K34" s="29" t="n"/>
      <c r="L34" s="14" t="n"/>
    </row>
    <row r="35" ht="22" customHeight="1">
      <c r="B35" s="18">
        <f>IF(C35="","AC-"&amp;TEXT(COUNTA($C$5:C35),"000"))</f>
        <v/>
      </c>
      <c r="C35" s="11" t="n"/>
      <c r="D35" s="11" t="n"/>
      <c r="E35" s="28" t="n"/>
      <c r="F35" s="11" t="n"/>
      <c r="G35" s="11" t="n"/>
      <c r="H35" s="28" t="n"/>
      <c r="I35" s="28" t="n"/>
      <c r="J35" s="13" t="n"/>
      <c r="K35" s="28" t="n"/>
      <c r="L35" s="11" t="n"/>
    </row>
    <row r="36" ht="22" customHeight="1">
      <c r="B36" s="17">
        <f>IF(C36="","AC-"&amp;TEXT(COUNTA($C$5:C36),"000"))</f>
        <v/>
      </c>
      <c r="C36" s="14" t="n"/>
      <c r="D36" s="14" t="n"/>
      <c r="E36" s="29" t="n"/>
      <c r="F36" s="14" t="n"/>
      <c r="G36" s="14" t="n"/>
      <c r="H36" s="29" t="n"/>
      <c r="I36" s="29" t="n"/>
      <c r="J36" s="16" t="n"/>
      <c r="K36" s="29" t="n"/>
      <c r="L36" s="14" t="n"/>
    </row>
    <row r="37" ht="22" customHeight="1">
      <c r="B37" s="18">
        <f>IF(C37="","AC-"&amp;TEXT(COUNTA($C$5:C37),"000"))</f>
        <v/>
      </c>
      <c r="C37" s="11" t="n"/>
      <c r="D37" s="11" t="n"/>
      <c r="E37" s="28" t="n"/>
      <c r="F37" s="11" t="n"/>
      <c r="G37" s="11" t="n"/>
      <c r="H37" s="28" t="n"/>
      <c r="I37" s="28" t="n"/>
      <c r="J37" s="13" t="n"/>
      <c r="K37" s="28" t="n"/>
      <c r="L37" s="11" t="n"/>
    </row>
    <row r="38" ht="22" customHeight="1">
      <c r="B38" s="17">
        <f>IF(C38="","AC-"&amp;TEXT(COUNTA($C$5:C38),"000"))</f>
        <v/>
      </c>
      <c r="C38" s="14" t="n"/>
      <c r="D38" s="14" t="n"/>
      <c r="E38" s="29" t="n"/>
      <c r="F38" s="14" t="n"/>
      <c r="G38" s="14" t="n"/>
      <c r="H38" s="29" t="n"/>
      <c r="I38" s="29" t="n"/>
      <c r="J38" s="16" t="n"/>
      <c r="K38" s="29" t="n"/>
      <c r="L38" s="14" t="n"/>
    </row>
    <row r="39" ht="22" customHeight="1">
      <c r="B39" s="18">
        <f>IF(C39="","AC-"&amp;TEXT(COUNTA($C$5:C39),"000"))</f>
        <v/>
      </c>
      <c r="C39" s="11" t="n"/>
      <c r="D39" s="11" t="n"/>
      <c r="E39" s="28" t="n"/>
      <c r="F39" s="11" t="n"/>
      <c r="G39" s="11" t="n"/>
      <c r="H39" s="28" t="n"/>
      <c r="I39" s="28" t="n"/>
      <c r="J39" s="13" t="n"/>
      <c r="K39" s="28" t="n"/>
      <c r="L39" s="11" t="n"/>
    </row>
    <row r="40" ht="22" customHeight="1">
      <c r="B40" s="17">
        <f>IF(C40="","AC-"&amp;TEXT(COUNTA($C$5:C40),"000"))</f>
        <v/>
      </c>
      <c r="C40" s="14" t="n"/>
      <c r="D40" s="14" t="n"/>
      <c r="E40" s="29" t="n"/>
      <c r="F40" s="14" t="n"/>
      <c r="G40" s="14" t="n"/>
      <c r="H40" s="29" t="n"/>
      <c r="I40" s="29" t="n"/>
      <c r="J40" s="16" t="n"/>
      <c r="K40" s="29" t="n"/>
      <c r="L40" s="14" t="n"/>
    </row>
    <row r="41" ht="22" customHeight="1">
      <c r="B41" s="18">
        <f>IF(C41="","AC-"&amp;TEXT(COUNTA($C$5:C41),"000"))</f>
        <v/>
      </c>
      <c r="C41" s="11" t="n"/>
      <c r="D41" s="11" t="n"/>
      <c r="E41" s="28" t="n"/>
      <c r="F41" s="11" t="n"/>
      <c r="G41" s="11" t="n"/>
      <c r="H41" s="28" t="n"/>
      <c r="I41" s="28" t="n"/>
      <c r="J41" s="13" t="n"/>
      <c r="K41" s="28" t="n"/>
      <c r="L41" s="11" t="n"/>
    </row>
    <row r="42" ht="22" customHeight="1">
      <c r="B42" s="17">
        <f>IF(C42="","AC-"&amp;TEXT(COUNTA($C$5:C42),"000"))</f>
        <v/>
      </c>
      <c r="C42" s="14" t="n"/>
      <c r="D42" s="14" t="n"/>
      <c r="E42" s="29" t="n"/>
      <c r="F42" s="14" t="n"/>
      <c r="G42" s="14" t="n"/>
      <c r="H42" s="29" t="n"/>
      <c r="I42" s="29" t="n"/>
      <c r="J42" s="16" t="n"/>
      <c r="K42" s="29" t="n"/>
      <c r="L42" s="14" t="n"/>
    </row>
    <row r="43" ht="22" customHeight="1">
      <c r="B43" s="18">
        <f>IF(C43="","AC-"&amp;TEXT(COUNTA($C$5:C43),"000"))</f>
        <v/>
      </c>
      <c r="C43" s="11" t="n"/>
      <c r="D43" s="11" t="n"/>
      <c r="E43" s="28" t="n"/>
      <c r="F43" s="11" t="n"/>
      <c r="G43" s="11" t="n"/>
      <c r="H43" s="28" t="n"/>
      <c r="I43" s="28" t="n"/>
      <c r="J43" s="13" t="n"/>
      <c r="K43" s="28" t="n"/>
      <c r="L43" s="11" t="n"/>
    </row>
    <row r="44" ht="22" customHeight="1">
      <c r="B44" s="17">
        <f>IF(C44="","AC-"&amp;TEXT(COUNTA($C$5:C44),"000"))</f>
        <v/>
      </c>
      <c r="C44" s="14" t="n"/>
      <c r="D44" s="14" t="n"/>
      <c r="E44" s="29" t="n"/>
      <c r="F44" s="14" t="n"/>
      <c r="G44" s="14" t="n"/>
      <c r="H44" s="29" t="n"/>
      <c r="I44" s="29" t="n"/>
      <c r="J44" s="16" t="n"/>
      <c r="K44" s="29" t="n"/>
      <c r="L44" s="14" t="n"/>
    </row>
    <row r="45" ht="22" customHeight="1">
      <c r="B45" s="18">
        <f>IF(C45="","AC-"&amp;TEXT(COUNTA($C$5:C45),"000"))</f>
        <v/>
      </c>
      <c r="C45" s="11" t="n"/>
      <c r="D45" s="11" t="n"/>
      <c r="E45" s="28" t="n"/>
      <c r="F45" s="11" t="n"/>
      <c r="G45" s="11" t="n"/>
      <c r="H45" s="28" t="n"/>
      <c r="I45" s="28" t="n"/>
      <c r="J45" s="13" t="n"/>
      <c r="K45" s="28" t="n"/>
      <c r="L45" s="11" t="n"/>
    </row>
    <row r="46" ht="22" customHeight="1">
      <c r="B46" s="17">
        <f>IF(C46="","AC-"&amp;TEXT(COUNTA($C$5:C46),"000"))</f>
        <v/>
      </c>
      <c r="C46" s="14" t="n"/>
      <c r="D46" s="14" t="n"/>
      <c r="E46" s="29" t="n"/>
      <c r="F46" s="14" t="n"/>
      <c r="G46" s="14" t="n"/>
      <c r="H46" s="29" t="n"/>
      <c r="I46" s="29" t="n"/>
      <c r="J46" s="16" t="n"/>
      <c r="K46" s="29" t="n"/>
      <c r="L46" s="14" t="n"/>
    </row>
    <row r="47" ht="22" customHeight="1">
      <c r="B47" s="18">
        <f>IF(C47="","AC-"&amp;TEXT(COUNTA($C$5:C47),"000"))</f>
        <v/>
      </c>
      <c r="C47" s="11" t="n"/>
      <c r="D47" s="11" t="n"/>
      <c r="E47" s="28" t="n"/>
      <c r="F47" s="11" t="n"/>
      <c r="G47" s="11" t="n"/>
      <c r="H47" s="28" t="n"/>
      <c r="I47" s="28" t="n"/>
      <c r="J47" s="13" t="n"/>
      <c r="K47" s="28" t="n"/>
      <c r="L47" s="11" t="n"/>
    </row>
    <row r="48" ht="22" customHeight="1">
      <c r="B48" s="17">
        <f>IF(C48="","AC-"&amp;TEXT(COUNTA($C$5:C48),"000"))</f>
        <v/>
      </c>
      <c r="C48" s="14" t="n"/>
      <c r="D48" s="14" t="n"/>
      <c r="E48" s="29" t="n"/>
      <c r="F48" s="14" t="n"/>
      <c r="G48" s="14" t="n"/>
      <c r="H48" s="29" t="n"/>
      <c r="I48" s="29" t="n"/>
      <c r="J48" s="16" t="n"/>
      <c r="K48" s="29" t="n"/>
      <c r="L48" s="14" t="n"/>
    </row>
    <row r="49" ht="22" customHeight="1">
      <c r="B49" s="18">
        <f>IF(C49="","AC-"&amp;TEXT(COUNTA($C$5:C49),"000"))</f>
        <v/>
      </c>
      <c r="C49" s="11" t="n"/>
      <c r="D49" s="11" t="n"/>
      <c r="E49" s="28" t="n"/>
      <c r="F49" s="11" t="n"/>
      <c r="G49" s="11" t="n"/>
      <c r="H49" s="28" t="n"/>
      <c r="I49" s="28" t="n"/>
      <c r="J49" s="13" t="n"/>
      <c r="K49" s="28" t="n"/>
      <c r="L49" s="11" t="n"/>
    </row>
    <row r="50" ht="22" customHeight="1">
      <c r="B50" s="17">
        <f>IF(C50="","AC-"&amp;TEXT(COUNTA($C$5:C50),"000"))</f>
        <v/>
      </c>
      <c r="C50" s="14" t="n"/>
      <c r="D50" s="14" t="n"/>
      <c r="E50" s="29" t="n"/>
      <c r="F50" s="14" t="n"/>
      <c r="G50" s="14" t="n"/>
      <c r="H50" s="29" t="n"/>
      <c r="I50" s="29" t="n"/>
      <c r="J50" s="16" t="n"/>
      <c r="K50" s="29" t="n"/>
      <c r="L50" s="14" t="n"/>
    </row>
    <row r="51" ht="22" customHeight="1">
      <c r="B51" s="18">
        <f>IF(C51="","AC-"&amp;TEXT(COUNTA($C$5:C51),"000"))</f>
        <v/>
      </c>
      <c r="C51" s="11" t="n"/>
      <c r="D51" s="11" t="n"/>
      <c r="E51" s="28" t="n"/>
      <c r="F51" s="11" t="n"/>
      <c r="G51" s="11" t="n"/>
      <c r="H51" s="28" t="n"/>
      <c r="I51" s="28" t="n"/>
      <c r="J51" s="13" t="n"/>
      <c r="K51" s="28" t="n"/>
      <c r="L51" s="11" t="n"/>
    </row>
    <row r="52" ht="22" customHeight="1">
      <c r="B52" s="17">
        <f>IF(C52="","AC-"&amp;TEXT(COUNTA($C$5:C52),"000"))</f>
        <v/>
      </c>
      <c r="C52" s="14" t="n"/>
      <c r="D52" s="14" t="n"/>
      <c r="E52" s="29" t="n"/>
      <c r="F52" s="14" t="n"/>
      <c r="G52" s="14" t="n"/>
      <c r="H52" s="29" t="n"/>
      <c r="I52" s="29" t="n"/>
      <c r="J52" s="16" t="n"/>
      <c r="K52" s="29" t="n"/>
      <c r="L52" s="14" t="n"/>
    </row>
    <row r="53" ht="22" customHeight="1">
      <c r="B53" s="18">
        <f>IF(C53="","AC-"&amp;TEXT(COUNTA($C$5:C53),"000"))</f>
        <v/>
      </c>
      <c r="C53" s="11" t="n"/>
      <c r="D53" s="11" t="n"/>
      <c r="E53" s="28" t="n"/>
      <c r="F53" s="11" t="n"/>
      <c r="G53" s="11" t="n"/>
      <c r="H53" s="28" t="n"/>
      <c r="I53" s="28" t="n"/>
      <c r="J53" s="13" t="n"/>
      <c r="K53" s="28" t="n"/>
      <c r="L53" s="11" t="n"/>
    </row>
    <row r="54" ht="22" customHeight="1">
      <c r="B54" s="17">
        <f>IF(C54="","AC-"&amp;TEXT(COUNTA($C$5:C54),"000"))</f>
        <v/>
      </c>
      <c r="C54" s="14" t="n"/>
      <c r="D54" s="14" t="n"/>
      <c r="E54" s="29" t="n"/>
      <c r="F54" s="14" t="n"/>
      <c r="G54" s="14" t="n"/>
      <c r="H54" s="29" t="n"/>
      <c r="I54" s="29" t="n"/>
      <c r="J54" s="16" t="n"/>
      <c r="K54" s="29" t="n"/>
      <c r="L54" s="14" t="n"/>
    </row>
    <row r="55" ht="22" customHeight="1">
      <c r="B55" s="18">
        <f>IF(C55="","AC-"&amp;TEXT(COUNTA($C$5:C55),"000"))</f>
        <v/>
      </c>
      <c r="C55" s="11" t="n"/>
      <c r="D55" s="11" t="n"/>
      <c r="E55" s="28" t="n"/>
      <c r="F55" s="11" t="n"/>
      <c r="G55" s="11" t="n"/>
      <c r="H55" s="28" t="n"/>
      <c r="I55" s="28" t="n"/>
      <c r="J55" s="13" t="n"/>
      <c r="K55" s="28" t="n"/>
      <c r="L55" s="11" t="n"/>
    </row>
    <row r="56" ht="22" customHeight="1">
      <c r="B56" s="17">
        <f>IF(C56="","AC-"&amp;TEXT(COUNTA($C$5:C56),"000"))</f>
        <v/>
      </c>
      <c r="C56" s="14" t="n"/>
      <c r="D56" s="14" t="n"/>
      <c r="E56" s="29" t="n"/>
      <c r="F56" s="14" t="n"/>
      <c r="G56" s="14" t="n"/>
      <c r="H56" s="29" t="n"/>
      <c r="I56" s="29" t="n"/>
      <c r="J56" s="16" t="n"/>
      <c r="K56" s="29" t="n"/>
      <c r="L56" s="14" t="n"/>
    </row>
    <row r="57" ht="22" customHeight="1">
      <c r="B57" s="18">
        <f>IF(C57="","AC-"&amp;TEXT(COUNTA($C$5:C57),"000"))</f>
        <v/>
      </c>
      <c r="C57" s="11" t="n"/>
      <c r="D57" s="11" t="n"/>
      <c r="E57" s="28" t="n"/>
      <c r="F57" s="11" t="n"/>
      <c r="G57" s="11" t="n"/>
      <c r="H57" s="28" t="n"/>
      <c r="I57" s="28" t="n"/>
      <c r="J57" s="13" t="n"/>
      <c r="K57" s="28" t="n"/>
      <c r="L57" s="11" t="n"/>
    </row>
    <row r="58" ht="22" customHeight="1">
      <c r="B58" s="17">
        <f>IF(C58="","AC-"&amp;TEXT(COUNTA($C$5:C58),"000"))</f>
        <v/>
      </c>
      <c r="C58" s="14" t="n"/>
      <c r="D58" s="14" t="n"/>
      <c r="E58" s="29" t="n"/>
      <c r="F58" s="14" t="n"/>
      <c r="G58" s="14" t="n"/>
      <c r="H58" s="29" t="n"/>
      <c r="I58" s="29" t="n"/>
      <c r="J58" s="16" t="n"/>
      <c r="K58" s="29" t="n"/>
      <c r="L58" s="14" t="n"/>
    </row>
    <row r="59" ht="22" customHeight="1">
      <c r="B59" s="18">
        <f>IF(C59="","AC-"&amp;TEXT(COUNTA($C$5:C59),"000"))</f>
        <v/>
      </c>
      <c r="C59" s="11" t="n"/>
      <c r="D59" s="11" t="n"/>
      <c r="E59" s="28" t="n"/>
      <c r="F59" s="11" t="n"/>
      <c r="G59" s="11" t="n"/>
      <c r="H59" s="28" t="n"/>
      <c r="I59" s="28" t="n"/>
      <c r="J59" s="13" t="n"/>
      <c r="K59" s="28" t="n"/>
      <c r="L59" s="11" t="n"/>
    </row>
    <row r="60" ht="22" customHeight="1">
      <c r="B60" s="17">
        <f>IF(C60="","AC-"&amp;TEXT(COUNTA($C$5:C60),"000"))</f>
        <v/>
      </c>
      <c r="C60" s="14" t="n"/>
      <c r="D60" s="14" t="n"/>
      <c r="E60" s="29" t="n"/>
      <c r="F60" s="14" t="n"/>
      <c r="G60" s="14" t="n"/>
      <c r="H60" s="29" t="n"/>
      <c r="I60" s="29" t="n"/>
      <c r="J60" s="16" t="n"/>
      <c r="K60" s="29" t="n"/>
      <c r="L60" s="14" t="n"/>
    </row>
    <row r="61" ht="22" customHeight="1">
      <c r="B61" s="18">
        <f>IF(C61="","AC-"&amp;TEXT(COUNTA($C$5:C61),"000"))</f>
        <v/>
      </c>
      <c r="C61" s="11" t="n"/>
      <c r="D61" s="11" t="n"/>
      <c r="E61" s="28" t="n"/>
      <c r="F61" s="11" t="n"/>
      <c r="G61" s="11" t="n"/>
      <c r="H61" s="28" t="n"/>
      <c r="I61" s="28" t="n"/>
      <c r="J61" s="13" t="n"/>
      <c r="K61" s="28" t="n"/>
      <c r="L61" s="11" t="n"/>
    </row>
    <row r="62" ht="22" customHeight="1">
      <c r="B62" s="17">
        <f>IF(C62="","AC-"&amp;TEXT(COUNTA($C$5:C62),"000"))</f>
        <v/>
      </c>
      <c r="C62" s="14" t="n"/>
      <c r="D62" s="14" t="n"/>
      <c r="E62" s="29" t="n"/>
      <c r="F62" s="14" t="n"/>
      <c r="G62" s="14" t="n"/>
      <c r="H62" s="29" t="n"/>
      <c r="I62" s="29" t="n"/>
      <c r="J62" s="16" t="n"/>
      <c r="K62" s="29" t="n"/>
      <c r="L62" s="14" t="n"/>
    </row>
    <row r="63" ht="22" customHeight="1">
      <c r="B63" s="18">
        <f>IF(C63="","AC-"&amp;TEXT(COUNTA($C$5:C63),"000"))</f>
        <v/>
      </c>
      <c r="C63" s="11" t="n"/>
      <c r="D63" s="11" t="n"/>
      <c r="E63" s="28" t="n"/>
      <c r="F63" s="11" t="n"/>
      <c r="G63" s="11" t="n"/>
      <c r="H63" s="28" t="n"/>
      <c r="I63" s="28" t="n"/>
      <c r="J63" s="13" t="n"/>
      <c r="K63" s="28" t="n"/>
      <c r="L63" s="11" t="n"/>
    </row>
    <row r="64" ht="22" customHeight="1">
      <c r="B64" s="17">
        <f>IF(C64="","AC-"&amp;TEXT(COUNTA($C$5:C64),"000"))</f>
        <v/>
      </c>
      <c r="C64" s="14" t="n"/>
      <c r="D64" s="14" t="n"/>
      <c r="E64" s="29" t="n"/>
      <c r="F64" s="14" t="n"/>
      <c r="G64" s="14" t="n"/>
      <c r="H64" s="29" t="n"/>
      <c r="I64" s="29" t="n"/>
      <c r="J64" s="16" t="n"/>
      <c r="K64" s="29" t="n"/>
      <c r="L64" s="14" t="n"/>
    </row>
    <row r="65" ht="22" customHeight="1">
      <c r="B65" s="18">
        <f>IF(C65="","AC-"&amp;TEXT(COUNTA($C$5:C65),"000"))</f>
        <v/>
      </c>
      <c r="C65" s="11" t="n"/>
      <c r="D65" s="11" t="n"/>
      <c r="E65" s="28" t="n"/>
      <c r="F65" s="11" t="n"/>
      <c r="G65" s="11" t="n"/>
      <c r="H65" s="28" t="n"/>
      <c r="I65" s="28" t="n"/>
      <c r="J65" s="13" t="n"/>
      <c r="K65" s="28" t="n"/>
      <c r="L65" s="11" t="n"/>
    </row>
    <row r="66" ht="22" customHeight="1">
      <c r="B66" s="17">
        <f>IF(C66="","AC-"&amp;TEXT(COUNTA($C$5:C66),"000"))</f>
        <v/>
      </c>
      <c r="C66" s="14" t="n"/>
      <c r="D66" s="14" t="n"/>
      <c r="E66" s="29" t="n"/>
      <c r="F66" s="14" t="n"/>
      <c r="G66" s="14" t="n"/>
      <c r="H66" s="29" t="n"/>
      <c r="I66" s="29" t="n"/>
      <c r="J66" s="16" t="n"/>
      <c r="K66" s="29" t="n"/>
      <c r="L66" s="14" t="n"/>
    </row>
    <row r="67" ht="22" customHeight="1">
      <c r="B67" s="18">
        <f>IF(C67="","AC-"&amp;TEXT(COUNTA($C$5:C67),"000"))</f>
        <v/>
      </c>
      <c r="C67" s="11" t="n"/>
      <c r="D67" s="11" t="n"/>
      <c r="E67" s="28" t="n"/>
      <c r="F67" s="11" t="n"/>
      <c r="G67" s="11" t="n"/>
      <c r="H67" s="28" t="n"/>
      <c r="I67" s="28" t="n"/>
      <c r="J67" s="13" t="n"/>
      <c r="K67" s="28" t="n"/>
      <c r="L67" s="11" t="n"/>
    </row>
    <row r="68" ht="22" customHeight="1">
      <c r="B68" s="17">
        <f>IF(C68="","AC-"&amp;TEXT(COUNTA($C$5:C68),"000"))</f>
        <v/>
      </c>
      <c r="C68" s="14" t="n"/>
      <c r="D68" s="14" t="n"/>
      <c r="E68" s="29" t="n"/>
      <c r="F68" s="14" t="n"/>
      <c r="G68" s="14" t="n"/>
      <c r="H68" s="29" t="n"/>
      <c r="I68" s="29" t="n"/>
      <c r="J68" s="16" t="n"/>
      <c r="K68" s="29" t="n"/>
      <c r="L68" s="14" t="n"/>
    </row>
    <row r="69" ht="22" customHeight="1">
      <c r="B69" s="18">
        <f>IF(C69="","AC-"&amp;TEXT(COUNTA($C$5:C69),"000"))</f>
        <v/>
      </c>
      <c r="C69" s="11" t="n"/>
      <c r="D69" s="11" t="n"/>
      <c r="E69" s="28" t="n"/>
      <c r="F69" s="11" t="n"/>
      <c r="G69" s="11" t="n"/>
      <c r="H69" s="28" t="n"/>
      <c r="I69" s="28" t="n"/>
      <c r="J69" s="13" t="n"/>
      <c r="K69" s="28" t="n"/>
      <c r="L69" s="11" t="n"/>
    </row>
    <row r="70" ht="22" customHeight="1">
      <c r="B70" s="17">
        <f>IF(C70="","AC-"&amp;TEXT(COUNTA($C$5:C70),"000"))</f>
        <v/>
      </c>
      <c r="C70" s="14" t="n"/>
      <c r="D70" s="14" t="n"/>
      <c r="E70" s="29" t="n"/>
      <c r="F70" s="14" t="n"/>
      <c r="G70" s="14" t="n"/>
      <c r="H70" s="29" t="n"/>
      <c r="I70" s="29" t="n"/>
      <c r="J70" s="16" t="n"/>
      <c r="K70" s="29" t="n"/>
      <c r="L70" s="14" t="n"/>
    </row>
    <row r="71" ht="22" customHeight="1">
      <c r="B71" s="18">
        <f>IF(C71="","AC-"&amp;TEXT(COUNTA($C$5:C71),"000"))</f>
        <v/>
      </c>
      <c r="C71" s="11" t="n"/>
      <c r="D71" s="11" t="n"/>
      <c r="E71" s="28" t="n"/>
      <c r="F71" s="11" t="n"/>
      <c r="G71" s="11" t="n"/>
      <c r="H71" s="28" t="n"/>
      <c r="I71" s="28" t="n"/>
      <c r="J71" s="13" t="n"/>
      <c r="K71" s="28" t="n"/>
      <c r="L71" s="11" t="n"/>
    </row>
    <row r="72" ht="22" customHeight="1">
      <c r="B72" s="17">
        <f>IF(C72="","AC-"&amp;TEXT(COUNTA($C$5:C72),"000"))</f>
        <v/>
      </c>
      <c r="C72" s="14" t="n"/>
      <c r="D72" s="14" t="n"/>
      <c r="E72" s="29" t="n"/>
      <c r="F72" s="14" t="n"/>
      <c r="G72" s="14" t="n"/>
      <c r="H72" s="29" t="n"/>
      <c r="I72" s="29" t="n"/>
      <c r="J72" s="16" t="n"/>
      <c r="K72" s="29" t="n"/>
      <c r="L72" s="14" t="n"/>
    </row>
    <row r="73" ht="22" customHeight="1">
      <c r="B73" s="18">
        <f>IF(C73="","AC-"&amp;TEXT(COUNTA($C$5:C73),"000"))</f>
        <v/>
      </c>
      <c r="C73" s="11" t="n"/>
      <c r="D73" s="11" t="n"/>
      <c r="E73" s="28" t="n"/>
      <c r="F73" s="11" t="n"/>
      <c r="G73" s="11" t="n"/>
      <c r="H73" s="28" t="n"/>
      <c r="I73" s="28" t="n"/>
      <c r="J73" s="13" t="n"/>
      <c r="K73" s="28" t="n"/>
      <c r="L73" s="11" t="n"/>
    </row>
    <row r="74" ht="22" customHeight="1">
      <c r="B74" s="17">
        <f>IF(C74="","AC-"&amp;TEXT(COUNTA($C$5:C74),"000"))</f>
        <v/>
      </c>
      <c r="C74" s="14" t="n"/>
      <c r="D74" s="14" t="n"/>
      <c r="E74" s="29" t="n"/>
      <c r="F74" s="14" t="n"/>
      <c r="G74" s="14" t="n"/>
      <c r="H74" s="29" t="n"/>
      <c r="I74" s="29" t="n"/>
      <c r="J74" s="16" t="n"/>
      <c r="K74" s="29" t="n"/>
      <c r="L74" s="14" t="n"/>
    </row>
    <row r="75" ht="22" customHeight="1">
      <c r="B75" s="18">
        <f>IF(C75="","AC-"&amp;TEXT(COUNTA($C$5:C75),"000"))</f>
        <v/>
      </c>
      <c r="C75" s="11" t="n"/>
      <c r="D75" s="11" t="n"/>
      <c r="E75" s="28" t="n"/>
      <c r="F75" s="11" t="n"/>
      <c r="G75" s="11" t="n"/>
      <c r="H75" s="28" t="n"/>
      <c r="I75" s="28" t="n"/>
      <c r="J75" s="13" t="n"/>
      <c r="K75" s="28" t="n"/>
      <c r="L75" s="11" t="n"/>
    </row>
    <row r="76" ht="22" customHeight="1">
      <c r="B76" s="17">
        <f>IF(C76="","AC-"&amp;TEXT(COUNTA($C$5:C76),"000"))</f>
        <v/>
      </c>
      <c r="C76" s="14" t="n"/>
      <c r="D76" s="14" t="n"/>
      <c r="E76" s="29" t="n"/>
      <c r="F76" s="14" t="n"/>
      <c r="G76" s="14" t="n"/>
      <c r="H76" s="29" t="n"/>
      <c r="I76" s="29" t="n"/>
      <c r="J76" s="16" t="n"/>
      <c r="K76" s="29" t="n"/>
      <c r="L76" s="14" t="n"/>
    </row>
    <row r="77" ht="22" customHeight="1">
      <c r="B77" s="18">
        <f>IF(C77="","AC-"&amp;TEXT(COUNTA($C$5:C77),"000"))</f>
        <v/>
      </c>
      <c r="C77" s="11" t="n"/>
      <c r="D77" s="11" t="n"/>
      <c r="E77" s="28" t="n"/>
      <c r="F77" s="11" t="n"/>
      <c r="G77" s="11" t="n"/>
      <c r="H77" s="28" t="n"/>
      <c r="I77" s="28" t="n"/>
      <c r="J77" s="13" t="n"/>
      <c r="K77" s="28" t="n"/>
      <c r="L77" s="11" t="n"/>
    </row>
    <row r="78" ht="22" customHeight="1">
      <c r="B78" s="17">
        <f>IF(C78="","AC-"&amp;TEXT(COUNTA($C$5:C78),"000"))</f>
        <v/>
      </c>
      <c r="C78" s="14" t="n"/>
      <c r="D78" s="14" t="n"/>
      <c r="E78" s="29" t="n"/>
      <c r="F78" s="14" t="n"/>
      <c r="G78" s="14" t="n"/>
      <c r="H78" s="29" t="n"/>
      <c r="I78" s="29" t="n"/>
      <c r="J78" s="16" t="n"/>
      <c r="K78" s="29" t="n"/>
      <c r="L78" s="14" t="n"/>
    </row>
    <row r="79" ht="22" customHeight="1">
      <c r="B79" s="18">
        <f>IF(C79="","AC-"&amp;TEXT(COUNTA($C$5:C79),"000"))</f>
        <v/>
      </c>
      <c r="C79" s="11" t="n"/>
      <c r="D79" s="11" t="n"/>
      <c r="E79" s="28" t="n"/>
      <c r="F79" s="11" t="n"/>
      <c r="G79" s="11" t="n"/>
      <c r="H79" s="28" t="n"/>
      <c r="I79" s="28" t="n"/>
      <c r="J79" s="13" t="n"/>
      <c r="K79" s="28" t="n"/>
      <c r="L79" s="11" t="n"/>
    </row>
    <row r="80" ht="22" customHeight="1">
      <c r="B80" s="17">
        <f>IF(C80="","AC-"&amp;TEXT(COUNTA($C$5:C80),"000"))</f>
        <v/>
      </c>
      <c r="C80" s="14" t="n"/>
      <c r="D80" s="14" t="n"/>
      <c r="E80" s="29" t="n"/>
      <c r="F80" s="14" t="n"/>
      <c r="G80" s="14" t="n"/>
      <c r="H80" s="29" t="n"/>
      <c r="I80" s="29" t="n"/>
      <c r="J80" s="16" t="n"/>
      <c r="K80" s="29" t="n"/>
      <c r="L80" s="14" t="n"/>
    </row>
    <row r="81" ht="22" customHeight="1">
      <c r="B81" s="18">
        <f>IF(C81="","AC-"&amp;TEXT(COUNTA($C$5:C81),"000"))</f>
        <v/>
      </c>
      <c r="C81" s="11" t="n"/>
      <c r="D81" s="11" t="n"/>
      <c r="E81" s="28" t="n"/>
      <c r="F81" s="11" t="n"/>
      <c r="G81" s="11" t="n"/>
      <c r="H81" s="28" t="n"/>
      <c r="I81" s="28" t="n"/>
      <c r="J81" s="13" t="n"/>
      <c r="K81" s="28" t="n"/>
      <c r="L81" s="11" t="n"/>
    </row>
    <row r="82" ht="22" customHeight="1">
      <c r="B82" s="17">
        <f>IF(C82="","AC-"&amp;TEXT(COUNTA($C$5:C82),"000"))</f>
        <v/>
      </c>
      <c r="C82" s="14" t="n"/>
      <c r="D82" s="14" t="n"/>
      <c r="E82" s="29" t="n"/>
      <c r="F82" s="14" t="n"/>
      <c r="G82" s="14" t="n"/>
      <c r="H82" s="29" t="n"/>
      <c r="I82" s="29" t="n"/>
      <c r="J82" s="16" t="n"/>
      <c r="K82" s="29" t="n"/>
      <c r="L82" s="14" t="n"/>
    </row>
    <row r="83" ht="22" customHeight="1">
      <c r="B83" s="18">
        <f>IF(C83="","AC-"&amp;TEXT(COUNTA($C$5:C83),"000"))</f>
        <v/>
      </c>
      <c r="C83" s="11" t="n"/>
      <c r="D83" s="11" t="n"/>
      <c r="E83" s="28" t="n"/>
      <c r="F83" s="11" t="n"/>
      <c r="G83" s="11" t="n"/>
      <c r="H83" s="28" t="n"/>
      <c r="I83" s="28" t="n"/>
      <c r="J83" s="13" t="n"/>
      <c r="K83" s="28" t="n"/>
      <c r="L83" s="11" t="n"/>
    </row>
    <row r="84" ht="22" customHeight="1">
      <c r="B84" s="17">
        <f>IF(C84="","AC-"&amp;TEXT(COUNTA($C$5:C84),"000"))</f>
        <v/>
      </c>
      <c r="C84" s="14" t="n"/>
      <c r="D84" s="14" t="n"/>
      <c r="E84" s="29" t="n"/>
      <c r="F84" s="14" t="n"/>
      <c r="G84" s="14" t="n"/>
      <c r="H84" s="29" t="n"/>
      <c r="I84" s="29" t="n"/>
      <c r="J84" s="16" t="n"/>
      <c r="K84" s="29" t="n"/>
      <c r="L84" s="14" t="n"/>
    </row>
    <row r="85" ht="22" customHeight="1">
      <c r="B85" s="18">
        <f>IF(C85="","AC-"&amp;TEXT(COUNTA($C$5:C85),"000"))</f>
        <v/>
      </c>
      <c r="C85" s="11" t="n"/>
      <c r="D85" s="11" t="n"/>
      <c r="E85" s="28" t="n"/>
      <c r="F85" s="11" t="n"/>
      <c r="G85" s="11" t="n"/>
      <c r="H85" s="28" t="n"/>
      <c r="I85" s="28" t="n"/>
      <c r="J85" s="13" t="n"/>
      <c r="K85" s="28" t="n"/>
      <c r="L85" s="11" t="n"/>
    </row>
    <row r="86" ht="22" customHeight="1">
      <c r="B86" s="17">
        <f>IF(C86="","AC-"&amp;TEXT(COUNTA($C$5:C86),"000"))</f>
        <v/>
      </c>
      <c r="C86" s="14" t="n"/>
      <c r="D86" s="14" t="n"/>
      <c r="E86" s="29" t="n"/>
      <c r="F86" s="14" t="n"/>
      <c r="G86" s="14" t="n"/>
      <c r="H86" s="29" t="n"/>
      <c r="I86" s="29" t="n"/>
      <c r="J86" s="16" t="n"/>
      <c r="K86" s="29" t="n"/>
      <c r="L86" s="14" t="n"/>
    </row>
    <row r="87" ht="22" customHeight="1">
      <c r="B87" s="18">
        <f>IF(C87="","AC-"&amp;TEXT(COUNTA($C$5:C87),"000"))</f>
        <v/>
      </c>
      <c r="C87" s="11" t="n"/>
      <c r="D87" s="11" t="n"/>
      <c r="E87" s="28" t="n"/>
      <c r="F87" s="11" t="n"/>
      <c r="G87" s="11" t="n"/>
      <c r="H87" s="28" t="n"/>
      <c r="I87" s="28" t="n"/>
      <c r="J87" s="13" t="n"/>
      <c r="K87" s="28" t="n"/>
      <c r="L87" s="11" t="n"/>
    </row>
    <row r="88" ht="22" customHeight="1">
      <c r="B88" s="17">
        <f>IF(C88="","AC-"&amp;TEXT(COUNTA($C$5:C88),"000"))</f>
        <v/>
      </c>
      <c r="C88" s="14" t="n"/>
      <c r="D88" s="14" t="n"/>
      <c r="E88" s="29" t="n"/>
      <c r="F88" s="14" t="n"/>
      <c r="G88" s="14" t="n"/>
      <c r="H88" s="29" t="n"/>
      <c r="I88" s="29" t="n"/>
      <c r="J88" s="16" t="n"/>
      <c r="K88" s="29" t="n"/>
      <c r="L88" s="14" t="n"/>
    </row>
    <row r="89" ht="22" customHeight="1">
      <c r="B89" s="18">
        <f>IF(C89="","AC-"&amp;TEXT(COUNTA($C$5:C89),"000"))</f>
        <v/>
      </c>
      <c r="C89" s="11" t="n"/>
      <c r="D89" s="11" t="n"/>
      <c r="E89" s="28" t="n"/>
      <c r="F89" s="11" t="n"/>
      <c r="G89" s="11" t="n"/>
      <c r="H89" s="28" t="n"/>
      <c r="I89" s="28" t="n"/>
      <c r="J89" s="13" t="n"/>
      <c r="K89" s="28" t="n"/>
      <c r="L89" s="11" t="n"/>
    </row>
    <row r="90" ht="22" customHeight="1">
      <c r="B90" s="17">
        <f>IF(C90="","AC-"&amp;TEXT(COUNTA($C$5:C90),"000"))</f>
        <v/>
      </c>
      <c r="C90" s="14" t="n"/>
      <c r="D90" s="14" t="n"/>
      <c r="E90" s="29" t="n"/>
      <c r="F90" s="14" t="n"/>
      <c r="G90" s="14" t="n"/>
      <c r="H90" s="29" t="n"/>
      <c r="I90" s="29" t="n"/>
      <c r="J90" s="16" t="n"/>
      <c r="K90" s="29" t="n"/>
      <c r="L90" s="14" t="n"/>
    </row>
    <row r="91" ht="22" customHeight="1">
      <c r="B91" s="18">
        <f>IF(C91="","AC-"&amp;TEXT(COUNTA($C$5:C91),"000"))</f>
        <v/>
      </c>
      <c r="C91" s="11" t="n"/>
      <c r="D91" s="11" t="n"/>
      <c r="E91" s="28" t="n"/>
      <c r="F91" s="11" t="n"/>
      <c r="G91" s="11" t="n"/>
      <c r="H91" s="28" t="n"/>
      <c r="I91" s="28" t="n"/>
      <c r="J91" s="13" t="n"/>
      <c r="K91" s="28" t="n"/>
      <c r="L91" s="11" t="n"/>
    </row>
    <row r="92" ht="22" customHeight="1">
      <c r="B92" s="17">
        <f>IF(C92="","AC-"&amp;TEXT(COUNTA($C$5:C92),"000"))</f>
        <v/>
      </c>
      <c r="C92" s="14" t="n"/>
      <c r="D92" s="14" t="n"/>
      <c r="E92" s="29" t="n"/>
      <c r="F92" s="14" t="n"/>
      <c r="G92" s="14" t="n"/>
      <c r="H92" s="29" t="n"/>
      <c r="I92" s="29" t="n"/>
      <c r="J92" s="16" t="n"/>
      <c r="K92" s="29" t="n"/>
      <c r="L92" s="14" t="n"/>
    </row>
    <row r="93" ht="22" customHeight="1">
      <c r="B93" s="18">
        <f>IF(C93="","AC-"&amp;TEXT(COUNTA($C$5:C93),"000"))</f>
        <v/>
      </c>
      <c r="C93" s="11" t="n"/>
      <c r="D93" s="11" t="n"/>
      <c r="E93" s="28" t="n"/>
      <c r="F93" s="11" t="n"/>
      <c r="G93" s="11" t="n"/>
      <c r="H93" s="28" t="n"/>
      <c r="I93" s="28" t="n"/>
      <c r="J93" s="13" t="n"/>
      <c r="K93" s="28" t="n"/>
      <c r="L93" s="11" t="n"/>
    </row>
    <row r="94" ht="22" customHeight="1">
      <c r="B94" s="17">
        <f>IF(C94="","AC-"&amp;TEXT(COUNTA($C$5:C94),"000"))</f>
        <v/>
      </c>
      <c r="C94" s="14" t="n"/>
      <c r="D94" s="14" t="n"/>
      <c r="E94" s="29" t="n"/>
      <c r="F94" s="14" t="n"/>
      <c r="G94" s="14" t="n"/>
      <c r="H94" s="29" t="n"/>
      <c r="I94" s="29" t="n"/>
      <c r="J94" s="16" t="n"/>
      <c r="K94" s="29" t="n"/>
      <c r="L94" s="14" t="n"/>
    </row>
    <row r="95" ht="22" customHeight="1">
      <c r="B95" s="18">
        <f>IF(C95="","AC-"&amp;TEXT(COUNTA($C$5:C95),"000"))</f>
        <v/>
      </c>
      <c r="C95" s="11" t="n"/>
      <c r="D95" s="11" t="n"/>
      <c r="E95" s="28" t="n"/>
      <c r="F95" s="11" t="n"/>
      <c r="G95" s="11" t="n"/>
      <c r="H95" s="28" t="n"/>
      <c r="I95" s="28" t="n"/>
      <c r="J95" s="13" t="n"/>
      <c r="K95" s="28" t="n"/>
      <c r="L95" s="11" t="n"/>
    </row>
    <row r="96" ht="22" customHeight="1">
      <c r="B96" s="17">
        <f>IF(C96="","AC-"&amp;TEXT(COUNTA($C$5:C96),"000"))</f>
        <v/>
      </c>
      <c r="C96" s="14" t="n"/>
      <c r="D96" s="14" t="n"/>
      <c r="E96" s="29" t="n"/>
      <c r="F96" s="14" t="n"/>
      <c r="G96" s="14" t="n"/>
      <c r="H96" s="29" t="n"/>
      <c r="I96" s="29" t="n"/>
      <c r="J96" s="16" t="n"/>
      <c r="K96" s="29" t="n"/>
      <c r="L96" s="14" t="n"/>
    </row>
    <row r="97" ht="22" customHeight="1">
      <c r="B97" s="18">
        <f>IF(C97="","AC-"&amp;TEXT(COUNTA($C$5:C97),"000"))</f>
        <v/>
      </c>
      <c r="C97" s="11" t="n"/>
      <c r="D97" s="11" t="n"/>
      <c r="E97" s="28" t="n"/>
      <c r="F97" s="11" t="n"/>
      <c r="G97" s="11" t="n"/>
      <c r="H97" s="28" t="n"/>
      <c r="I97" s="28" t="n"/>
      <c r="J97" s="13" t="n"/>
      <c r="K97" s="28" t="n"/>
      <c r="L97" s="11" t="n"/>
    </row>
    <row r="98" ht="22" customHeight="1">
      <c r="B98" s="17">
        <f>IF(C98="","AC-"&amp;TEXT(COUNTA($C$5:C98),"000"))</f>
        <v/>
      </c>
      <c r="C98" s="14" t="n"/>
      <c r="D98" s="14" t="n"/>
      <c r="E98" s="29" t="n"/>
      <c r="F98" s="14" t="n"/>
      <c r="G98" s="14" t="n"/>
      <c r="H98" s="29" t="n"/>
      <c r="I98" s="29" t="n"/>
      <c r="J98" s="16" t="n"/>
      <c r="K98" s="29" t="n"/>
      <c r="L98" s="14" t="n"/>
    </row>
    <row r="99" ht="22" customHeight="1">
      <c r="B99" s="18">
        <f>IF(C99="","AC-"&amp;TEXT(COUNTA($C$5:C99),"000"))</f>
        <v/>
      </c>
      <c r="C99" s="11" t="n"/>
      <c r="D99" s="11" t="n"/>
      <c r="E99" s="28" t="n"/>
      <c r="F99" s="11" t="n"/>
      <c r="G99" s="11" t="n"/>
      <c r="H99" s="28" t="n"/>
      <c r="I99" s="28" t="n"/>
      <c r="J99" s="13" t="n"/>
      <c r="K99" s="28" t="n"/>
      <c r="L99" s="11" t="n"/>
    </row>
    <row r="100" ht="22" customHeight="1">
      <c r="B100" s="17">
        <f>IF(C100="","AC-"&amp;TEXT(COUNTA($C$5:C100),"000"))</f>
        <v/>
      </c>
      <c r="C100" s="14" t="n"/>
      <c r="D100" s="14" t="n"/>
      <c r="E100" s="29" t="n"/>
      <c r="F100" s="14" t="n"/>
      <c r="G100" s="14" t="n"/>
      <c r="H100" s="29" t="n"/>
      <c r="I100" s="29" t="n"/>
      <c r="J100" s="16" t="n"/>
      <c r="K100" s="29" t="n"/>
      <c r="L100" s="14" t="n"/>
    </row>
    <row r="101" ht="22" customHeight="1">
      <c r="B101" s="18">
        <f>IF(C101="","AC-"&amp;TEXT(COUNTA($C$5:C101),"000"))</f>
        <v/>
      </c>
      <c r="C101" s="11" t="n"/>
      <c r="D101" s="11" t="n"/>
      <c r="E101" s="28" t="n"/>
      <c r="F101" s="11" t="n"/>
      <c r="G101" s="11" t="n"/>
      <c r="H101" s="28" t="n"/>
      <c r="I101" s="28" t="n"/>
      <c r="J101" s="13" t="n"/>
      <c r="K101" s="28" t="n"/>
      <c r="L101" s="11" t="n"/>
    </row>
    <row r="102" ht="22" customHeight="1">
      <c r="B102" s="17">
        <f>IF(C102="","AC-"&amp;TEXT(COUNTA($C$5:C102),"000"))</f>
        <v/>
      </c>
      <c r="C102" s="14" t="n"/>
      <c r="D102" s="14" t="n"/>
      <c r="E102" s="29" t="n"/>
      <c r="F102" s="14" t="n"/>
      <c r="G102" s="14" t="n"/>
      <c r="H102" s="29" t="n"/>
      <c r="I102" s="29" t="n"/>
      <c r="J102" s="16" t="n"/>
      <c r="K102" s="29" t="n"/>
      <c r="L102" s="14" t="n"/>
    </row>
    <row r="103" ht="22" customHeight="1">
      <c r="B103" s="18">
        <f>IF(C103="","AC-"&amp;TEXT(COUNTA($C$5:C103),"000"))</f>
        <v/>
      </c>
      <c r="C103" s="11" t="n"/>
      <c r="D103" s="11" t="n"/>
      <c r="E103" s="28" t="n"/>
      <c r="F103" s="11" t="n"/>
      <c r="G103" s="11" t="n"/>
      <c r="H103" s="28" t="n"/>
      <c r="I103" s="28" t="n"/>
      <c r="J103" s="13" t="n"/>
      <c r="K103" s="28" t="n"/>
      <c r="L103" s="11" t="n"/>
    </row>
    <row r="104" ht="22" customHeight="1">
      <c r="B104" s="17">
        <f>IF(C104="","AC-"&amp;TEXT(COUNTA($C$5:C104),"000"))</f>
        <v/>
      </c>
      <c r="C104" s="14" t="n"/>
      <c r="D104" s="14" t="n"/>
      <c r="E104" s="29" t="n"/>
      <c r="F104" s="14" t="n"/>
      <c r="G104" s="14" t="n"/>
      <c r="H104" s="29" t="n"/>
      <c r="I104" s="29" t="n"/>
      <c r="J104" s="16" t="n"/>
      <c r="K104" s="29" t="n"/>
      <c r="L104" s="14" t="n"/>
    </row>
    <row r="105" ht="22" customHeight="1">
      <c r="B105" s="18">
        <f>IF(C105="","AC-"&amp;TEXT(COUNTA($C$5:C105),"000"))</f>
        <v/>
      </c>
      <c r="C105" s="11" t="n"/>
      <c r="D105" s="11" t="n"/>
      <c r="E105" s="28" t="n"/>
      <c r="F105" s="11" t="n"/>
      <c r="G105" s="11" t="n"/>
      <c r="H105" s="28" t="n"/>
      <c r="I105" s="28" t="n"/>
      <c r="J105" s="13" t="n"/>
      <c r="K105" s="28" t="n"/>
      <c r="L105" s="11" t="n"/>
    </row>
    <row r="106" ht="22" customHeight="1">
      <c r="B106" s="17">
        <f>IF(C106="","AC-"&amp;TEXT(COUNTA($C$5:C106),"000"))</f>
        <v/>
      </c>
      <c r="C106" s="14" t="n"/>
      <c r="D106" s="14" t="n"/>
      <c r="E106" s="29" t="n"/>
      <c r="F106" s="14" t="n"/>
      <c r="G106" s="14" t="n"/>
      <c r="H106" s="29" t="n"/>
      <c r="I106" s="29" t="n"/>
      <c r="J106" s="16" t="n"/>
      <c r="K106" s="29" t="n"/>
      <c r="L106" s="14" t="n"/>
    </row>
    <row r="107" ht="22" customHeight="1">
      <c r="B107" s="18">
        <f>IF(C107="","AC-"&amp;TEXT(COUNTA($C$5:C107),"000"))</f>
        <v/>
      </c>
      <c r="C107" s="11" t="n"/>
      <c r="D107" s="11" t="n"/>
      <c r="E107" s="28" t="n"/>
      <c r="F107" s="11" t="n"/>
      <c r="G107" s="11" t="n"/>
      <c r="H107" s="28" t="n"/>
      <c r="I107" s="28" t="n"/>
      <c r="J107" s="13" t="n"/>
      <c r="K107" s="28" t="n"/>
      <c r="L107" s="11" t="n"/>
    </row>
    <row r="108" ht="22" customHeight="1">
      <c r="B108" s="17">
        <f>IF(C108="","AC-"&amp;TEXT(COUNTA($C$5:C108),"000"))</f>
        <v/>
      </c>
      <c r="C108" s="14" t="n"/>
      <c r="D108" s="14" t="n"/>
      <c r="E108" s="29" t="n"/>
      <c r="F108" s="14" t="n"/>
      <c r="G108" s="14" t="n"/>
      <c r="H108" s="29" t="n"/>
      <c r="I108" s="29" t="n"/>
      <c r="J108" s="16" t="n"/>
      <c r="K108" s="29" t="n"/>
      <c r="L108" s="14" t="n"/>
    </row>
    <row r="109" ht="22" customHeight="1">
      <c r="B109" s="18">
        <f>IF(C109="","AC-"&amp;TEXT(COUNTA($C$5:C109),"000"))</f>
        <v/>
      </c>
      <c r="C109" s="11" t="n"/>
      <c r="D109" s="11" t="n"/>
      <c r="E109" s="28" t="n"/>
      <c r="F109" s="11" t="n"/>
      <c r="G109" s="11" t="n"/>
      <c r="H109" s="28" t="n"/>
      <c r="I109" s="28" t="n"/>
      <c r="J109" s="13" t="n"/>
      <c r="K109" s="28" t="n"/>
      <c r="L109" s="11" t="n"/>
    </row>
    <row r="111">
      <c r="B111" s="5" t="inlineStr">
        <is>
          <t>INDICATEURS (mis a jour automatiquement)</t>
        </is>
      </c>
    </row>
    <row r="112">
      <c r="B112" s="3" t="inlineStr">
        <is>
          <t>Accords enreg.</t>
        </is>
      </c>
      <c r="D112" s="3" t="inlineStr">
        <is>
          <t>En vigueur</t>
        </is>
      </c>
      <c r="F112" s="3" t="inlineStr">
        <is>
          <t>Signes</t>
        </is>
      </c>
      <c r="H112" s="3" t="inlineStr">
        <is>
          <t>Expires</t>
        </is>
      </c>
    </row>
    <row r="113">
      <c r="B113" s="4">
        <f>COUNTIF(B5:B104,"&lt;&gt;")</f>
        <v/>
      </c>
      <c r="D113" s="4">
        <f>COUNTIF(L5:L104,"En vigueur")</f>
        <v/>
      </c>
      <c r="F113" s="4">
        <f>COUNTIF(L5:L104,"Signe")</f>
        <v/>
      </c>
      <c r="H113" s="4">
        <f>COUNTIF(L5:L104,"Expire")</f>
        <v/>
      </c>
    </row>
  </sheetData>
  <mergeCells count="3">
    <mergeCell ref="B2:L2"/>
    <mergeCell ref="B111:L111"/>
    <mergeCell ref="B3:L3"/>
  </mergeCells>
  <conditionalFormatting sqref="L5:L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1">
      <formula>"En attente"</formula>
    </cfRule>
    <cfRule type="cellIs" priority="45" operator="equal" dxfId="1">
      <formula>"A renouveler"</formula>
    </cfRule>
    <cfRule type="cellIs" priority="46" operator="equal" dxfId="1">
      <formula>"En cours"</formula>
    </cfRule>
    <cfRule type="cellIs" priority="47" operator="equal" dxfId="1">
      <formula>"En traitement"</formula>
    </cfRule>
    <cfRule type="cellIs" priority="48" operator="equal" dxfId="1">
      <formula>"En retard"</formula>
    </cfRule>
    <cfRule type="cellIs" priority="49" operator="equal" dxfId="1">
      <formula>"Suspendu"</formula>
    </cfRule>
    <cfRule type="cellIs" priority="50" operator="equal" dxfId="1">
      <formula>"Planifie"</formula>
    </cfRule>
    <cfRule type="cellIs" priority="51" operator="equal" dxfId="1">
      <formula>"Planifiee"</formula>
    </cfRule>
    <cfRule type="cellIs" priority="52" operator="equal" dxfId="1">
      <formula>"Brouillon"</formula>
    </cfRule>
    <cfRule type="cellIs" priority="53" operator="equal" dxfId="1">
      <formula>"En attente de justification"</formula>
    </cfRule>
    <cfRule type="cellIs" priority="54" operator="equal" dxfId="1">
      <formula>"Tolere"</formula>
    </cfRule>
    <cfRule type="cellIs" priority="55" operator="equal" dxfId="1">
      <formula>"Variable"</formula>
    </cfRule>
    <cfRule type="cellIs" priority="56" operator="equal" dxfId="1">
      <formula>"En elaboration"</formula>
    </cfRule>
    <cfRule type="cellIs" priority="57" operator="equal" dxfId="1">
      <formula>"Provisionne"</formula>
    </cfRule>
    <cfRule type="cellIs" priority="58" operator="equal" dxfId="1">
      <formula>"Consomme partiel"</formula>
    </cfRule>
    <cfRule type="cellIs" priority="59" operator="equal" dxfId="1">
      <formula>"Identifie"</formula>
    </cfRule>
    <cfRule type="cellIs" priority="60" operator="equal" dxfId="1">
      <formula>"Priorise"</formula>
    </cfRule>
    <cfRule type="cellIs" priority="61" operator="equal" dxfId="1">
      <formula>"Intermediaire"</formula>
    </cfRule>
    <cfRule type="cellIs" priority="62" operator="equal" dxfId="1">
      <formula>"Non evalue"</formula>
    </cfRule>
    <cfRule type="cellIs" priority="63" operator="equal" dxfId="1">
      <formula>"En cours de realisation"</formula>
    </cfRule>
    <cfRule type="cellIs" priority="64" operator="equal" dxfId="1">
      <formula>"Non demarre"</formula>
    </cfRule>
    <cfRule type="cellIs" priority="65" operator="equal" dxfId="1">
      <formula>"En attente N+1"</formula>
    </cfRule>
    <cfRule type="cellIs" priority="66" operator="equal" dxfId="1">
      <formula>"Prolongation essai"</formula>
    </cfRule>
    <cfRule type="cellIs" priority="67" operator="equal" dxfId="1">
      <formula>"En attente validation"</formula>
    </cfRule>
    <cfRule type="cellIs" priority="68" operator="equal" dxfId="1">
      <formula>"Bon"</formula>
    </cfRule>
    <cfRule type="cellIs" priority="69" operator="equal" dxfId="1">
      <formula>"D - Moyen"</formula>
    </cfRule>
    <cfRule type="cellIs" priority="70" operator="equal" dxfId="1">
      <formula>"En cours de repres."</formula>
    </cfRule>
    <cfRule type="cellIs" priority="71" operator="equal" dxfId="1">
      <formula>"En negociation"</formula>
    </cfRule>
    <cfRule type="cellIs" priority="72" operator="equal" dxfId="1">
      <formula>"En preparation"</formula>
    </cfRule>
    <cfRule type="cellIs" priority="73" operator="equal" dxfId="1">
      <formula>"En cours d'instruction"</formula>
    </cfRule>
    <cfRule type="cellIs" priority="74" operator="equal" dxfId="1">
      <formula>"Transferee N+1"</formula>
    </cfRule>
    <cfRule type="cellIs" priority="75" operator="equal" dxfId="1">
      <formula>"En attente reponse"</formula>
    </cfRule>
    <cfRule type="cellIs" priority="76" operator="equal" dxfId="1">
      <formula>"Enquete ouverte"</formula>
    </cfRule>
    <cfRule type="cellIs" priority="77" operator="equal" dxfId="1">
      <formula>"Convocation envoyee"</formula>
    </cfRule>
    <cfRule type="cellIs" priority="78" operator="equal" dxfId="1">
      <formula>"Entretien realise"</formula>
    </cfRule>
    <cfRule type="cellIs" priority="79" operator="equal" dxfId="1">
      <formula>"Saisie"</formula>
    </cfRule>
    <cfRule type="cellIs" priority="80" operator="equal" dxfId="1">
      <formula>"En mediation"</formula>
    </cfRule>
    <cfRule type="cellIs" priority="81" operator="equal" dxfId="1">
      <formula>"En recours"</formula>
    </cfRule>
    <cfRule type="cellIs" priority="82" operator="equal" dxfId="1">
      <formula>"Reportee"</formula>
    </cfRule>
    <cfRule type="cellIs" priority="83" operator="equal" dxfId="1">
      <formula>"Signale"</formula>
    </cfRule>
    <cfRule type="cellIs" priority="84" operator="equal" dxfId="1">
      <formula>"Precontentieux"</formula>
    </cfRule>
    <cfRule type="cellIs" priority="85" operator="equal" dxfId="1">
      <formula>"En attente election"</formula>
    </cfRule>
    <cfRule type="cellIs" priority="86" operator="equal" dxfId="1">
      <formula>"Classe"</formula>
    </cfRule>
    <cfRule type="cellIs" priority="87" operator="equal" dxfId="2">
      <formula>"Expire"</formula>
    </cfRule>
    <cfRule type="cellIs" priority="88" operator="equal" dxfId="2">
      <formula>"Rejete"</formula>
    </cfRule>
    <cfRule type="cellIs" priority="89" operator="equal" dxfId="2">
      <formula>"Rejetee"</formula>
    </cfRule>
    <cfRule type="cellIs" priority="90" operator="equal" dxfId="2">
      <formula>"Resilie"</formula>
    </cfRule>
    <cfRule type="cellIs" priority="91" operator="equal" dxfId="2">
      <formula>"Annule"</formula>
    </cfRule>
    <cfRule type="cellIs" priority="92" operator="equal" dxfId="2">
      <formula>"Annulee"</formula>
    </cfRule>
    <cfRule type="cellIs" priority="93" operator="equal" dxfId="2">
      <formula>"Refuse"</formula>
    </cfRule>
    <cfRule type="cellIs" priority="94" operator="equal" dxfId="2">
      <formula>"Non justifie"</formula>
    </cfRule>
    <cfRule type="cellIs" priority="95" operator="equal" dxfId="2">
      <formula>"Non justifiee"</formula>
    </cfRule>
    <cfRule type="cellIs" priority="96" operator="equal" dxfId="2">
      <formula>"Sanctionne"</formula>
    </cfRule>
    <cfRule type="cellIs" priority="97" operator="equal" dxfId="2">
      <formula>"Inaptitude"</formula>
    </cfRule>
    <cfRule type="cellIs" priority="98" operator="equal" dxfId="2">
      <formula>"Absent sans autorisation"</formula>
    </cfRule>
    <cfRule type="cellIs" priority="99" operator="equal" dxfId="2">
      <formula>"Abandon de poste"</formula>
    </cfRule>
    <cfRule type="cellIs" priority="100" operator="equal" dxfId="2">
      <formula>"Non satisfait"</formula>
    </cfRule>
    <cfRule type="cellIs" priority="101" operator="equal" dxfId="2">
      <formula>"Reportee"</formula>
    </cfRule>
    <cfRule type="cellIs" priority="102" operator="equal" dxfId="2">
      <formula>"Depasse"</formula>
    </cfRule>
    <cfRule type="cellIs" priority="103" operator="equal" dxfId="2">
      <formula>"Non utilise"</formula>
    </cfRule>
    <cfRule type="cellIs" priority="104" operator="equal" dxfId="2">
      <formula>"Non applicable"</formula>
    </cfRule>
    <cfRule type="cellIs" priority="105" operator="equal" dxfId="2">
      <formula>"Debutant"</formula>
    </cfRule>
    <cfRule type="cellIs" priority="106" operator="equal" dxfId="2">
      <formula>"Non atteint"</formula>
    </cfRule>
    <cfRule type="cellIs" priority="107" operator="equal" dxfId="2">
      <formula>"Abandonne"</formula>
    </cfRule>
    <cfRule type="cellIs" priority="108" operator="equal" dxfId="2">
      <formula>"Rupture essai"</formula>
    </cfRule>
    <cfRule type="cellIs" priority="109" operator="equal" dxfId="2">
      <formula>"Insuffisant"</formula>
    </cfRule>
    <cfRule type="cellIs" priority="110" operator="equal" dxfId="2">
      <formula>"Moyen"</formula>
    </cfRule>
    <cfRule type="cellIs" priority="111" operator="equal" dxfId="2">
      <formula>"E - Insuffisant"</formula>
    </cfRule>
    <cfRule type="cellIs" priority="112" operator="equal" dxfId="2">
      <formula>"Dissous"</formula>
    </cfRule>
    <cfRule type="cellIs" priority="113" operator="equal" dxfId="2">
      <formula>"Denonce"</formula>
    </cfRule>
    <cfRule type="cellIs" priority="114" operator="equal" dxfId="2">
      <formula>"Echoue"</formula>
    </cfRule>
    <cfRule type="cellIs" priority="115" operator="equal" dxfId="2">
      <formula>"Echouee"</formula>
    </cfRule>
    <cfRule type="cellIs" priority="116" operator="equal" dxfId="2">
      <formula>"Revoque"</formula>
    </cfRule>
    <cfRule type="cellIs" priority="117" operator="equal" dxfId="2">
      <formula>"Demissionnaire"</formula>
    </cfRule>
    <cfRule type="cellIs" priority="118" operator="equal" dxfId="2">
      <formula>"Licenciement pour faute"</formula>
    </cfRule>
    <cfRule type="cellIs" priority="119" operator="equal" dxfId="2">
      <formula>"Licenciement pour faute grave"</formula>
    </cfRule>
    <cfRule type="cellIs" priority="120" operator="equal" dxfId="2">
      <formula>"Terminee - Echec"</formula>
    </cfRule>
    <cfRule type="cellIs" priority="121" operator="equal" dxfId="2">
      <formula>"Abandonnee"</formula>
    </cfRule>
    <cfRule type="cellIs" priority="122" operator="equal" dxfId="2">
      <formula>"Violence physique"</formula>
    </cfRule>
    <cfRule type="cellIs" priority="123" operator="equal" dxfId="2">
      <formula>"Violence verbale"</formula>
    </cfRule>
  </conditionalFormatting>
  <conditionalFormatting sqref="B10:B109">
    <cfRule type="expression" priority="124" dxfId="3">
      <formula>AND($C10="",$C9&lt;&gt;"")</formula>
    </cfRule>
  </conditionalFormatting>
  <conditionalFormatting sqref="C10:C109">
    <cfRule type="expression" priority="125" dxfId="3">
      <formula>AND($C10="",$C9&lt;&gt;"")</formula>
    </cfRule>
  </conditionalFormatting>
  <conditionalFormatting sqref="D10:D109">
    <cfRule type="expression" priority="126" dxfId="3">
      <formula>AND($C10="",$C9&lt;&gt;"")</formula>
    </cfRule>
  </conditionalFormatting>
  <conditionalFormatting sqref="E10:E109">
    <cfRule type="expression" priority="127" dxfId="3">
      <formula>AND($C10="",$C9&lt;&gt;"")</formula>
    </cfRule>
  </conditionalFormatting>
  <conditionalFormatting sqref="F10:F109">
    <cfRule type="expression" priority="128" dxfId="3">
      <formula>AND($C10="",$C9&lt;&gt;"")</formula>
    </cfRule>
  </conditionalFormatting>
  <conditionalFormatting sqref="G10:G109">
    <cfRule type="expression" priority="129" dxfId="3">
      <formula>AND($C10="",$C9&lt;&gt;"")</formula>
    </cfRule>
  </conditionalFormatting>
  <conditionalFormatting sqref="H10:H109">
    <cfRule type="expression" priority="130" dxfId="3">
      <formula>AND($C10="",$C9&lt;&gt;"")</formula>
    </cfRule>
  </conditionalFormatting>
  <conditionalFormatting sqref="I10:I109">
    <cfRule type="expression" priority="131" dxfId="3">
      <formula>AND($C10="",$C9&lt;&gt;"")</formula>
    </cfRule>
  </conditionalFormatting>
  <conditionalFormatting sqref="J10:J109">
    <cfRule type="expression" priority="132" dxfId="3">
      <formula>AND($C10="",$C9&lt;&gt;"")</formula>
    </cfRule>
  </conditionalFormatting>
  <conditionalFormatting sqref="K10:K109">
    <cfRule type="expression" priority="133" dxfId="3">
      <formula>AND($C10="",$C9&lt;&gt;"")</formula>
    </cfRule>
  </conditionalFormatting>
  <conditionalFormatting sqref="L10:L109">
    <cfRule type="expression" priority="134" dxfId="3">
      <formula>AND($C10="",$C9&lt;&gt;"")</formula>
    </cfRule>
  </conditionalFormatting>
  <dataValidations count="2">
    <dataValidation sqref="C5:C109" showDropDown="0" showInputMessage="0" showErrorMessage="0" allowBlank="1" errorTitle="Erreur" error="Valeur invalide" promptTitle="Liste" prompt="Choisir dans la liste" type="list">
      <formula1>'_Lists'!$I$2:$I$8</formula1>
    </dataValidation>
    <dataValidation sqref="L5:L109" showDropDown="0" showInputMessage="0" showErrorMessage="0" allowBlank="1" errorTitle="Erreur" error="Valeur invalide" promptTitle="Liste" prompt="Choisir dans la liste" type="list">
      <formula1>'_Lists'!$J$2:$J$8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M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14" customWidth="1" min="4" max="4"/>
    <col width="14" customWidth="1" min="5" max="5"/>
    <col width="14" customWidth="1" min="6" max="6"/>
    <col width="24" customWidth="1" min="7" max="7"/>
    <col width="16" customWidth="1" min="8" max="8"/>
    <col width="30" customWidth="1" min="9" max="9"/>
    <col width="14" customWidth="1" min="10" max="10"/>
    <col width="18" customWidth="1" min="11" max="11"/>
    <col width="16" customWidth="1" min="12" max="12"/>
    <col width="30" customWidth="1" min="13" max="13"/>
  </cols>
  <sheetData>
    <row r="1" ht="15" customHeight="1"/>
    <row r="2" ht="32" customHeight="1">
      <c r="B2" s="1" t="inlineStr">
        <is>
          <t>GREVES &amp; CONFLITS SOCIAUX (#91)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 Conflit</t>
        </is>
      </c>
      <c r="C4" s="10" t="inlineStr">
        <is>
          <t>Type Conflit</t>
        </is>
      </c>
      <c r="D4" s="10" t="inlineStr">
        <is>
          <t>Date Debut</t>
        </is>
      </c>
      <c r="E4" s="10" t="inlineStr">
        <is>
          <t>Date Fin</t>
        </is>
      </c>
      <c r="F4" s="10" t="inlineStr">
        <is>
          <t>Duree (jours)</t>
        </is>
      </c>
      <c r="G4" s="10" t="inlineStr">
        <is>
          <t>Departement Concerne</t>
        </is>
      </c>
      <c r="H4" s="10" t="inlineStr">
        <is>
          <t>Nb Participants</t>
        </is>
      </c>
      <c r="I4" s="10" t="inlineStr">
        <is>
          <t>Motif Principal</t>
        </is>
      </c>
      <c r="J4" s="10" t="inlineStr">
        <is>
          <t>Gravite</t>
        </is>
      </c>
      <c r="K4" s="10" t="inlineStr">
        <is>
          <t>Cout Estime (FCFA)</t>
        </is>
      </c>
      <c r="L4" s="10" t="inlineStr">
        <is>
          <t>Statut</t>
        </is>
      </c>
      <c r="M4" s="10" t="inlineStr">
        <is>
          <t>Resolution</t>
        </is>
      </c>
    </row>
    <row r="5" ht="22" customHeight="1">
      <c r="B5" s="11" t="inlineStr">
        <is>
          <t>GRL-001</t>
        </is>
      </c>
      <c r="C5" s="11" t="inlineStr">
        <is>
          <t>Greve revendicative</t>
        </is>
      </c>
      <c r="D5" s="28" t="n">
        <v>45698</v>
      </c>
      <c r="E5" s="28" t="n">
        <v>45700</v>
      </c>
      <c r="F5" s="13" t="n">
        <v>2</v>
      </c>
      <c r="G5" s="11" t="inlineStr">
        <is>
          <t>Cuisine &amp; Restauration</t>
        </is>
      </c>
      <c r="H5" s="13" t="n">
        <v>8</v>
      </c>
      <c r="I5" s="11" t="inlineStr">
        <is>
          <t>Augmentation salariale</t>
        </is>
      </c>
      <c r="J5" s="11" t="inlineStr">
        <is>
          <t>Eleve</t>
        </is>
      </c>
      <c r="K5" s="22" t="n">
        <v>1200000</v>
      </c>
      <c r="L5" s="11" t="inlineStr">
        <is>
          <t>Resolu</t>
        </is>
      </c>
      <c r="M5" s="11" t="inlineStr">
        <is>
          <t>Accord salarial signe</t>
        </is>
      </c>
    </row>
    <row r="6" ht="22" customHeight="1">
      <c r="B6" s="14" t="inlineStr">
        <is>
          <t>GRL-002</t>
        </is>
      </c>
      <c r="C6" s="14" t="inlineStr">
        <is>
          <t>Arret de travail</t>
        </is>
      </c>
      <c r="D6" s="29" t="n">
        <v>45752</v>
      </c>
      <c r="E6" s="29" t="n">
        <v>45752</v>
      </c>
      <c r="F6" s="16" t="n">
        <v>1</v>
      </c>
      <c r="G6" s="14" t="inlineStr">
        <is>
          <t>Maintenance</t>
        </is>
      </c>
      <c r="H6" s="16" t="n">
        <v>4</v>
      </c>
      <c r="I6" s="14" t="inlineStr">
        <is>
          <t>Non paiement heures sup.</t>
        </is>
      </c>
      <c r="J6" s="14" t="inlineStr">
        <is>
          <t>Moyen</t>
        </is>
      </c>
      <c r="K6" s="23" t="n">
        <v>150000</v>
      </c>
      <c r="L6" s="14" t="inlineStr">
        <is>
          <t>Resolu</t>
        </is>
      </c>
      <c r="M6" s="14" t="inlineStr">
        <is>
          <t>Paiement effectue</t>
        </is>
      </c>
    </row>
    <row r="7" ht="22" customHeight="1">
      <c r="B7" s="11" t="inlineStr">
        <is>
          <t>GRL-003</t>
        </is>
      </c>
      <c r="C7" s="11" t="inlineStr">
        <is>
          <t>Conflit individuel</t>
        </is>
      </c>
      <c r="D7" s="28" t="n">
        <v>45797</v>
      </c>
      <c r="E7" s="28" t="n">
        <v>45823</v>
      </c>
      <c r="F7" s="13" t="n">
        <v>26</v>
      </c>
      <c r="G7" s="11" t="inlineStr">
        <is>
          <t>Réception &amp; Front Office</t>
        </is>
      </c>
      <c r="H7" s="13" t="n">
        <v>1</v>
      </c>
      <c r="I7" s="11" t="inlineStr">
        <is>
          <t>Harcelement allege N+1</t>
        </is>
      </c>
      <c r="J7" s="11" t="inlineStr">
        <is>
          <t>Grave</t>
        </is>
      </c>
      <c r="K7" s="22" t="n">
        <v>200000</v>
      </c>
      <c r="L7" s="11" t="inlineStr">
        <is>
          <t>En mediation</t>
        </is>
      </c>
      <c r="M7" s="11" t="inlineStr">
        <is>
          <t>Mediation CSE en cours</t>
        </is>
      </c>
    </row>
    <row r="8" ht="22" customHeight="1">
      <c r="B8" s="14" t="inlineStr">
        <is>
          <t>GRL-004</t>
        </is>
      </c>
      <c r="C8" s="14" t="inlineStr">
        <is>
          <t>Greve revendicative</t>
        </is>
      </c>
      <c r="D8" s="29" t="n">
        <v>45646</v>
      </c>
      <c r="E8" s="29" t="n">
        <v>45648</v>
      </c>
      <c r="F8" s="16" t="n">
        <v>2</v>
      </c>
      <c r="G8" s="14" t="inlineStr">
        <is>
          <t>Service Client</t>
        </is>
      </c>
      <c r="H8" s="16" t="n">
        <v>6</v>
      </c>
      <c r="I8" s="14" t="inlineStr">
        <is>
          <t>Prime de fin d'annee</t>
        </is>
      </c>
      <c r="J8" s="14" t="inlineStr">
        <is>
          <t>Moyen</t>
        </is>
      </c>
      <c r="K8" s="23" t="n">
        <v>800000</v>
      </c>
      <c r="L8" s="14" t="inlineStr">
        <is>
          <t>Resolu</t>
        </is>
      </c>
      <c r="M8" s="14" t="inlineStr">
        <is>
          <t>Prime versee a 100%</t>
        </is>
      </c>
    </row>
    <row r="9" ht="22" customHeight="1">
      <c r="B9" s="11" t="inlineStr">
        <is>
          <t>GRL-005</t>
        </is>
      </c>
      <c r="C9" s="11" t="inlineStr">
        <is>
          <t>Arret de travail</t>
        </is>
      </c>
      <c r="D9" s="28" t="n">
        <v>45836</v>
      </c>
      <c r="E9" s="28" t="n"/>
      <c r="F9" s="13" t="n">
        <v>0</v>
      </c>
      <c r="G9" s="11" t="inlineStr">
        <is>
          <t>Cuisine &amp; Restauration</t>
        </is>
      </c>
      <c r="H9" s="13" t="n">
        <v>5</v>
      </c>
      <c r="I9" s="11" t="inlineStr">
        <is>
          <t>Conditions securite cuisine</t>
        </is>
      </c>
      <c r="J9" s="11" t="inlineStr">
        <is>
          <t>Eleve</t>
        </is>
      </c>
      <c r="K9" s="22" t="n">
        <v>0</v>
      </c>
      <c r="L9" s="11" t="inlineStr">
        <is>
          <t>En cours</t>
        </is>
      </c>
      <c r="M9" s="11" t="inlineStr">
        <is>
          <t>En attente inspection</t>
        </is>
      </c>
    </row>
    <row r="10" ht="22" customHeight="1">
      <c r="B10" s="17">
        <f>IF(C10="","GRL-"&amp;TEXT(COUNTA($C$5:C10),"000"))</f>
        <v/>
      </c>
      <c r="C10" s="14" t="n"/>
      <c r="D10" s="29" t="n"/>
      <c r="E10" s="29" t="n"/>
      <c r="F10" s="16">
        <f>IF(D10="","",E10-D10)</f>
        <v/>
      </c>
      <c r="G10" s="14" t="n"/>
      <c r="H10" s="16" t="n"/>
      <c r="I10" s="14" t="n"/>
      <c r="J10" s="14" t="n"/>
      <c r="K10" s="23" t="n"/>
      <c r="L10" s="14" t="n"/>
      <c r="M10" s="14" t="n"/>
    </row>
    <row r="11" ht="22" customHeight="1">
      <c r="B11" s="18">
        <f>IF(C11="","GRL-"&amp;TEXT(COUNTA($C$5:C11),"000"))</f>
        <v/>
      </c>
      <c r="C11" s="11" t="n"/>
      <c r="D11" s="28" t="n"/>
      <c r="E11" s="28" t="n"/>
      <c r="F11" s="13">
        <f>IF(D11="","",E11-D11)</f>
        <v/>
      </c>
      <c r="G11" s="11" t="n"/>
      <c r="H11" s="13" t="n"/>
      <c r="I11" s="11" t="n"/>
      <c r="J11" s="11" t="n"/>
      <c r="K11" s="22" t="n"/>
      <c r="L11" s="11" t="n"/>
      <c r="M11" s="11" t="n"/>
    </row>
    <row r="12" ht="22" customHeight="1">
      <c r="B12" s="17">
        <f>IF(C12="","GRL-"&amp;TEXT(COUNTA($C$5:C12),"000"))</f>
        <v/>
      </c>
      <c r="C12" s="14" t="n"/>
      <c r="D12" s="29" t="n"/>
      <c r="E12" s="29" t="n"/>
      <c r="F12" s="16">
        <f>IF(D12="","",E12-D12)</f>
        <v/>
      </c>
      <c r="G12" s="14" t="n"/>
      <c r="H12" s="16" t="n"/>
      <c r="I12" s="14" t="n"/>
      <c r="J12" s="14" t="n"/>
      <c r="K12" s="23" t="n"/>
      <c r="L12" s="14" t="n"/>
      <c r="M12" s="14" t="n"/>
    </row>
    <row r="13" ht="22" customHeight="1">
      <c r="B13" s="18">
        <f>IF(C13="","GRL-"&amp;TEXT(COUNTA($C$5:C13),"000"))</f>
        <v/>
      </c>
      <c r="C13" s="11" t="n"/>
      <c r="D13" s="28" t="n"/>
      <c r="E13" s="28" t="n"/>
      <c r="F13" s="13">
        <f>IF(D13="","",E13-D13)</f>
        <v/>
      </c>
      <c r="G13" s="11" t="n"/>
      <c r="H13" s="13" t="n"/>
      <c r="I13" s="11" t="n"/>
      <c r="J13" s="11" t="n"/>
      <c r="K13" s="22" t="n"/>
      <c r="L13" s="11" t="n"/>
      <c r="M13" s="11" t="n"/>
    </row>
    <row r="14" ht="22" customHeight="1">
      <c r="B14" s="17">
        <f>IF(C14="","GRL-"&amp;TEXT(COUNTA($C$5:C14),"000"))</f>
        <v/>
      </c>
      <c r="C14" s="14" t="n"/>
      <c r="D14" s="29" t="n"/>
      <c r="E14" s="29" t="n"/>
      <c r="F14" s="16">
        <f>IF(D14="","",E14-D14)</f>
        <v/>
      </c>
      <c r="G14" s="14" t="n"/>
      <c r="H14" s="16" t="n"/>
      <c r="I14" s="14" t="n"/>
      <c r="J14" s="14" t="n"/>
      <c r="K14" s="23" t="n"/>
      <c r="L14" s="14" t="n"/>
      <c r="M14" s="14" t="n"/>
    </row>
    <row r="15" ht="22" customHeight="1">
      <c r="B15" s="18">
        <f>IF(C15="","GRL-"&amp;TEXT(COUNTA($C$5:C15),"000"))</f>
        <v/>
      </c>
      <c r="C15" s="11" t="n"/>
      <c r="D15" s="28" t="n"/>
      <c r="E15" s="28" t="n"/>
      <c r="F15" s="13">
        <f>IF(D15="","",E15-D15)</f>
        <v/>
      </c>
      <c r="G15" s="11" t="n"/>
      <c r="H15" s="13" t="n"/>
      <c r="I15" s="11" t="n"/>
      <c r="J15" s="11" t="n"/>
      <c r="K15" s="22" t="n"/>
      <c r="L15" s="11" t="n"/>
      <c r="M15" s="11" t="n"/>
    </row>
    <row r="16" ht="22" customHeight="1">
      <c r="B16" s="17">
        <f>IF(C16="","GRL-"&amp;TEXT(COUNTA($C$5:C16),"000"))</f>
        <v/>
      </c>
      <c r="C16" s="14" t="n"/>
      <c r="D16" s="29" t="n"/>
      <c r="E16" s="29" t="n"/>
      <c r="F16" s="16">
        <f>IF(D16="","",E16-D16)</f>
        <v/>
      </c>
      <c r="G16" s="14" t="n"/>
      <c r="H16" s="16" t="n"/>
      <c r="I16" s="14" t="n"/>
      <c r="J16" s="14" t="n"/>
      <c r="K16" s="23" t="n"/>
      <c r="L16" s="14" t="n"/>
      <c r="M16" s="14" t="n"/>
    </row>
    <row r="17" ht="22" customHeight="1">
      <c r="B17" s="18">
        <f>IF(C17="","GRL-"&amp;TEXT(COUNTA($C$5:C17),"000"))</f>
        <v/>
      </c>
      <c r="C17" s="11" t="n"/>
      <c r="D17" s="28" t="n"/>
      <c r="E17" s="28" t="n"/>
      <c r="F17" s="13">
        <f>IF(D17="","",E17-D17)</f>
        <v/>
      </c>
      <c r="G17" s="11" t="n"/>
      <c r="H17" s="13" t="n"/>
      <c r="I17" s="11" t="n"/>
      <c r="J17" s="11" t="n"/>
      <c r="K17" s="22" t="n"/>
      <c r="L17" s="11" t="n"/>
      <c r="M17" s="11" t="n"/>
    </row>
    <row r="18" ht="22" customHeight="1">
      <c r="B18" s="17">
        <f>IF(C18="","GRL-"&amp;TEXT(COUNTA($C$5:C18),"000"))</f>
        <v/>
      </c>
      <c r="C18" s="14" t="n"/>
      <c r="D18" s="29" t="n"/>
      <c r="E18" s="29" t="n"/>
      <c r="F18" s="16">
        <f>IF(D18="","",E18-D18)</f>
        <v/>
      </c>
      <c r="G18" s="14" t="n"/>
      <c r="H18" s="16" t="n"/>
      <c r="I18" s="14" t="n"/>
      <c r="J18" s="14" t="n"/>
      <c r="K18" s="23" t="n"/>
      <c r="L18" s="14" t="n"/>
      <c r="M18" s="14" t="n"/>
    </row>
    <row r="19" ht="22" customHeight="1">
      <c r="B19" s="18">
        <f>IF(C19="","GRL-"&amp;TEXT(COUNTA($C$5:C19),"000"))</f>
        <v/>
      </c>
      <c r="C19" s="11" t="n"/>
      <c r="D19" s="28" t="n"/>
      <c r="E19" s="28" t="n"/>
      <c r="F19" s="13">
        <f>IF(D19="","",E19-D19)</f>
        <v/>
      </c>
      <c r="G19" s="11" t="n"/>
      <c r="H19" s="13" t="n"/>
      <c r="I19" s="11" t="n"/>
      <c r="J19" s="11" t="n"/>
      <c r="K19" s="22" t="n"/>
      <c r="L19" s="11" t="n"/>
      <c r="M19" s="11" t="n"/>
    </row>
    <row r="20" ht="22" customHeight="1">
      <c r="B20" s="17">
        <f>IF(C20="","GRL-"&amp;TEXT(COUNTA($C$5:C20),"000"))</f>
        <v/>
      </c>
      <c r="C20" s="14" t="n"/>
      <c r="D20" s="29" t="n"/>
      <c r="E20" s="29" t="n"/>
      <c r="F20" s="16">
        <f>IF(D20="","",E20-D20)</f>
        <v/>
      </c>
      <c r="G20" s="14" t="n"/>
      <c r="H20" s="16" t="n"/>
      <c r="I20" s="14" t="n"/>
      <c r="J20" s="14" t="n"/>
      <c r="K20" s="23" t="n"/>
      <c r="L20" s="14" t="n"/>
      <c r="M20" s="14" t="n"/>
    </row>
    <row r="21" ht="22" customHeight="1">
      <c r="B21" s="18">
        <f>IF(C21="","GRL-"&amp;TEXT(COUNTA($C$5:C21),"000"))</f>
        <v/>
      </c>
      <c r="C21" s="11" t="n"/>
      <c r="D21" s="28" t="n"/>
      <c r="E21" s="28" t="n"/>
      <c r="F21" s="13">
        <f>IF(D21="","",E21-D21)</f>
        <v/>
      </c>
      <c r="G21" s="11" t="n"/>
      <c r="H21" s="13" t="n"/>
      <c r="I21" s="11" t="n"/>
      <c r="J21" s="11" t="n"/>
      <c r="K21" s="22" t="n"/>
      <c r="L21" s="11" t="n"/>
      <c r="M21" s="11" t="n"/>
    </row>
    <row r="22" ht="22" customHeight="1">
      <c r="B22" s="17">
        <f>IF(C22="","GRL-"&amp;TEXT(COUNTA($C$5:C22),"000"))</f>
        <v/>
      </c>
      <c r="C22" s="14" t="n"/>
      <c r="D22" s="29" t="n"/>
      <c r="E22" s="29" t="n"/>
      <c r="F22" s="16">
        <f>IF(D22="","",E22-D22)</f>
        <v/>
      </c>
      <c r="G22" s="14" t="n"/>
      <c r="H22" s="16" t="n"/>
      <c r="I22" s="14" t="n"/>
      <c r="J22" s="14" t="n"/>
      <c r="K22" s="23" t="n"/>
      <c r="L22" s="14" t="n"/>
      <c r="M22" s="14" t="n"/>
    </row>
    <row r="23" ht="22" customHeight="1">
      <c r="B23" s="18">
        <f>IF(C23="","GRL-"&amp;TEXT(COUNTA($C$5:C23),"000"))</f>
        <v/>
      </c>
      <c r="C23" s="11" t="n"/>
      <c r="D23" s="28" t="n"/>
      <c r="E23" s="28" t="n"/>
      <c r="F23" s="13">
        <f>IF(D23="","",E23-D23)</f>
        <v/>
      </c>
      <c r="G23" s="11" t="n"/>
      <c r="H23" s="13" t="n"/>
      <c r="I23" s="11" t="n"/>
      <c r="J23" s="11" t="n"/>
      <c r="K23" s="22" t="n"/>
      <c r="L23" s="11" t="n"/>
      <c r="M23" s="11" t="n"/>
    </row>
    <row r="24" ht="22" customHeight="1">
      <c r="B24" s="17">
        <f>IF(C24="","GRL-"&amp;TEXT(COUNTA($C$5:C24),"000"))</f>
        <v/>
      </c>
      <c r="C24" s="14" t="n"/>
      <c r="D24" s="29" t="n"/>
      <c r="E24" s="29" t="n"/>
      <c r="F24" s="16">
        <f>IF(D24="","",E24-D24)</f>
        <v/>
      </c>
      <c r="G24" s="14" t="n"/>
      <c r="H24" s="16" t="n"/>
      <c r="I24" s="14" t="n"/>
      <c r="J24" s="14" t="n"/>
      <c r="K24" s="23" t="n"/>
      <c r="L24" s="14" t="n"/>
      <c r="M24" s="14" t="n"/>
    </row>
    <row r="25" ht="22" customHeight="1">
      <c r="B25" s="18">
        <f>IF(C25="","GRL-"&amp;TEXT(COUNTA($C$5:C25),"000"))</f>
        <v/>
      </c>
      <c r="C25" s="11" t="n"/>
      <c r="D25" s="28" t="n"/>
      <c r="E25" s="28" t="n"/>
      <c r="F25" s="13">
        <f>IF(D25="","",E25-D25)</f>
        <v/>
      </c>
      <c r="G25" s="11" t="n"/>
      <c r="H25" s="13" t="n"/>
      <c r="I25" s="11" t="n"/>
      <c r="J25" s="11" t="n"/>
      <c r="K25" s="22" t="n"/>
      <c r="L25" s="11" t="n"/>
      <c r="M25" s="11" t="n"/>
    </row>
    <row r="26" ht="22" customHeight="1">
      <c r="B26" s="17">
        <f>IF(C26="","GRL-"&amp;TEXT(COUNTA($C$5:C26),"000"))</f>
        <v/>
      </c>
      <c r="C26" s="14" t="n"/>
      <c r="D26" s="29" t="n"/>
      <c r="E26" s="29" t="n"/>
      <c r="F26" s="16">
        <f>IF(D26="","",E26-D26)</f>
        <v/>
      </c>
      <c r="G26" s="14" t="n"/>
      <c r="H26" s="16" t="n"/>
      <c r="I26" s="14" t="n"/>
      <c r="J26" s="14" t="n"/>
      <c r="K26" s="23" t="n"/>
      <c r="L26" s="14" t="n"/>
      <c r="M26" s="14" t="n"/>
    </row>
    <row r="27" ht="22" customHeight="1">
      <c r="B27" s="18">
        <f>IF(C27="","GRL-"&amp;TEXT(COUNTA($C$5:C27),"000"))</f>
        <v/>
      </c>
      <c r="C27" s="11" t="n"/>
      <c r="D27" s="28" t="n"/>
      <c r="E27" s="28" t="n"/>
      <c r="F27" s="13">
        <f>IF(D27="","",E27-D27)</f>
        <v/>
      </c>
      <c r="G27" s="11" t="n"/>
      <c r="H27" s="13" t="n"/>
      <c r="I27" s="11" t="n"/>
      <c r="J27" s="11" t="n"/>
      <c r="K27" s="22" t="n"/>
      <c r="L27" s="11" t="n"/>
      <c r="M27" s="11" t="n"/>
    </row>
    <row r="28" ht="22" customHeight="1">
      <c r="B28" s="17">
        <f>IF(C28="","GRL-"&amp;TEXT(COUNTA($C$5:C28),"000"))</f>
        <v/>
      </c>
      <c r="C28" s="14" t="n"/>
      <c r="D28" s="29" t="n"/>
      <c r="E28" s="29" t="n"/>
      <c r="F28" s="16">
        <f>IF(D28="","",E28-D28)</f>
        <v/>
      </c>
      <c r="G28" s="14" t="n"/>
      <c r="H28" s="16" t="n"/>
      <c r="I28" s="14" t="n"/>
      <c r="J28" s="14" t="n"/>
      <c r="K28" s="23" t="n"/>
      <c r="L28" s="14" t="n"/>
      <c r="M28" s="14" t="n"/>
    </row>
    <row r="29" ht="22" customHeight="1">
      <c r="B29" s="18">
        <f>IF(C29="","GRL-"&amp;TEXT(COUNTA($C$5:C29),"000"))</f>
        <v/>
      </c>
      <c r="C29" s="11" t="n"/>
      <c r="D29" s="28" t="n"/>
      <c r="E29" s="28" t="n"/>
      <c r="F29" s="13">
        <f>IF(D29="","",E29-D29)</f>
        <v/>
      </c>
      <c r="G29" s="11" t="n"/>
      <c r="H29" s="13" t="n"/>
      <c r="I29" s="11" t="n"/>
      <c r="J29" s="11" t="n"/>
      <c r="K29" s="22" t="n"/>
      <c r="L29" s="11" t="n"/>
      <c r="M29" s="11" t="n"/>
    </row>
    <row r="30" ht="22" customHeight="1">
      <c r="B30" s="17">
        <f>IF(C30="","GRL-"&amp;TEXT(COUNTA($C$5:C30),"000"))</f>
        <v/>
      </c>
      <c r="C30" s="14" t="n"/>
      <c r="D30" s="29" t="n"/>
      <c r="E30" s="29" t="n"/>
      <c r="F30" s="16">
        <f>IF(D30="","",E30-D30)</f>
        <v/>
      </c>
      <c r="G30" s="14" t="n"/>
      <c r="H30" s="16" t="n"/>
      <c r="I30" s="14" t="n"/>
      <c r="J30" s="14" t="n"/>
      <c r="K30" s="23" t="n"/>
      <c r="L30" s="14" t="n"/>
      <c r="M30" s="14" t="n"/>
    </row>
    <row r="31" ht="22" customHeight="1">
      <c r="B31" s="18">
        <f>IF(C31="","GRL-"&amp;TEXT(COUNTA($C$5:C31),"000"))</f>
        <v/>
      </c>
      <c r="C31" s="11" t="n"/>
      <c r="D31" s="28" t="n"/>
      <c r="E31" s="28" t="n"/>
      <c r="F31" s="13">
        <f>IF(D31="","",E31-D31)</f>
        <v/>
      </c>
      <c r="G31" s="11" t="n"/>
      <c r="H31" s="13" t="n"/>
      <c r="I31" s="11" t="n"/>
      <c r="J31" s="11" t="n"/>
      <c r="K31" s="22" t="n"/>
      <c r="L31" s="11" t="n"/>
      <c r="M31" s="11" t="n"/>
    </row>
    <row r="32" ht="22" customHeight="1">
      <c r="B32" s="17">
        <f>IF(C32="","GRL-"&amp;TEXT(COUNTA($C$5:C32),"000"))</f>
        <v/>
      </c>
      <c r="C32" s="14" t="n"/>
      <c r="D32" s="29" t="n"/>
      <c r="E32" s="29" t="n"/>
      <c r="F32" s="16">
        <f>IF(D32="","",E32-D32)</f>
        <v/>
      </c>
      <c r="G32" s="14" t="n"/>
      <c r="H32" s="16" t="n"/>
      <c r="I32" s="14" t="n"/>
      <c r="J32" s="14" t="n"/>
      <c r="K32" s="23" t="n"/>
      <c r="L32" s="14" t="n"/>
      <c r="M32" s="14" t="n"/>
    </row>
    <row r="33" ht="22" customHeight="1">
      <c r="B33" s="18">
        <f>IF(C33="","GRL-"&amp;TEXT(COUNTA($C$5:C33),"000"))</f>
        <v/>
      </c>
      <c r="C33" s="11" t="n"/>
      <c r="D33" s="28" t="n"/>
      <c r="E33" s="28" t="n"/>
      <c r="F33" s="13">
        <f>IF(D33="","",E33-D33)</f>
        <v/>
      </c>
      <c r="G33" s="11" t="n"/>
      <c r="H33" s="13" t="n"/>
      <c r="I33" s="11" t="n"/>
      <c r="J33" s="11" t="n"/>
      <c r="K33" s="22" t="n"/>
      <c r="L33" s="11" t="n"/>
      <c r="M33" s="11" t="n"/>
    </row>
    <row r="34" ht="22" customHeight="1">
      <c r="B34" s="17">
        <f>IF(C34="","GRL-"&amp;TEXT(COUNTA($C$5:C34),"000"))</f>
        <v/>
      </c>
      <c r="C34" s="14" t="n"/>
      <c r="D34" s="29" t="n"/>
      <c r="E34" s="29" t="n"/>
      <c r="F34" s="16">
        <f>IF(D34="","",E34-D34)</f>
        <v/>
      </c>
      <c r="G34" s="14" t="n"/>
      <c r="H34" s="16" t="n"/>
      <c r="I34" s="14" t="n"/>
      <c r="J34" s="14" t="n"/>
      <c r="K34" s="23" t="n"/>
      <c r="L34" s="14" t="n"/>
      <c r="M34" s="14" t="n"/>
    </row>
    <row r="35" ht="22" customHeight="1">
      <c r="B35" s="18">
        <f>IF(C35="","GRL-"&amp;TEXT(COUNTA($C$5:C35),"000"))</f>
        <v/>
      </c>
      <c r="C35" s="11" t="n"/>
      <c r="D35" s="28" t="n"/>
      <c r="E35" s="28" t="n"/>
      <c r="F35" s="13">
        <f>IF(D35="","",E35-D35)</f>
        <v/>
      </c>
      <c r="G35" s="11" t="n"/>
      <c r="H35" s="13" t="n"/>
      <c r="I35" s="11" t="n"/>
      <c r="J35" s="11" t="n"/>
      <c r="K35" s="22" t="n"/>
      <c r="L35" s="11" t="n"/>
      <c r="M35" s="11" t="n"/>
    </row>
    <row r="36" ht="22" customHeight="1">
      <c r="B36" s="17">
        <f>IF(C36="","GRL-"&amp;TEXT(COUNTA($C$5:C36),"000"))</f>
        <v/>
      </c>
      <c r="C36" s="14" t="n"/>
      <c r="D36" s="29" t="n"/>
      <c r="E36" s="29" t="n"/>
      <c r="F36" s="16">
        <f>IF(D36="","",E36-D36)</f>
        <v/>
      </c>
      <c r="G36" s="14" t="n"/>
      <c r="H36" s="16" t="n"/>
      <c r="I36" s="14" t="n"/>
      <c r="J36" s="14" t="n"/>
      <c r="K36" s="23" t="n"/>
      <c r="L36" s="14" t="n"/>
      <c r="M36" s="14" t="n"/>
    </row>
    <row r="37" ht="22" customHeight="1">
      <c r="B37" s="18">
        <f>IF(C37="","GRL-"&amp;TEXT(COUNTA($C$5:C37),"000"))</f>
        <v/>
      </c>
      <c r="C37" s="11" t="n"/>
      <c r="D37" s="28" t="n"/>
      <c r="E37" s="28" t="n"/>
      <c r="F37" s="13">
        <f>IF(D37="","",E37-D37)</f>
        <v/>
      </c>
      <c r="G37" s="11" t="n"/>
      <c r="H37" s="13" t="n"/>
      <c r="I37" s="11" t="n"/>
      <c r="J37" s="11" t="n"/>
      <c r="K37" s="22" t="n"/>
      <c r="L37" s="11" t="n"/>
      <c r="M37" s="11" t="n"/>
    </row>
    <row r="38" ht="22" customHeight="1">
      <c r="B38" s="17">
        <f>IF(C38="","GRL-"&amp;TEXT(COUNTA($C$5:C38),"000"))</f>
        <v/>
      </c>
      <c r="C38" s="14" t="n"/>
      <c r="D38" s="29" t="n"/>
      <c r="E38" s="29" t="n"/>
      <c r="F38" s="16">
        <f>IF(D38="","",E38-D38)</f>
        <v/>
      </c>
      <c r="G38" s="14" t="n"/>
      <c r="H38" s="16" t="n"/>
      <c r="I38" s="14" t="n"/>
      <c r="J38" s="14" t="n"/>
      <c r="K38" s="23" t="n"/>
      <c r="L38" s="14" t="n"/>
      <c r="M38" s="14" t="n"/>
    </row>
    <row r="39" ht="22" customHeight="1">
      <c r="B39" s="18">
        <f>IF(C39="","GRL-"&amp;TEXT(COUNTA($C$5:C39),"000"))</f>
        <v/>
      </c>
      <c r="C39" s="11" t="n"/>
      <c r="D39" s="28" t="n"/>
      <c r="E39" s="28" t="n"/>
      <c r="F39" s="13">
        <f>IF(D39="","",E39-D39)</f>
        <v/>
      </c>
      <c r="G39" s="11" t="n"/>
      <c r="H39" s="13" t="n"/>
      <c r="I39" s="11" t="n"/>
      <c r="J39" s="11" t="n"/>
      <c r="K39" s="22" t="n"/>
      <c r="L39" s="11" t="n"/>
      <c r="M39" s="11" t="n"/>
    </row>
    <row r="40" ht="22" customHeight="1">
      <c r="B40" s="17">
        <f>IF(C40="","GRL-"&amp;TEXT(COUNTA($C$5:C40),"000"))</f>
        <v/>
      </c>
      <c r="C40" s="14" t="n"/>
      <c r="D40" s="29" t="n"/>
      <c r="E40" s="29" t="n"/>
      <c r="F40" s="16">
        <f>IF(D40="","",E40-D40)</f>
        <v/>
      </c>
      <c r="G40" s="14" t="n"/>
      <c r="H40" s="16" t="n"/>
      <c r="I40" s="14" t="n"/>
      <c r="J40" s="14" t="n"/>
      <c r="K40" s="23" t="n"/>
      <c r="L40" s="14" t="n"/>
      <c r="M40" s="14" t="n"/>
    </row>
    <row r="41" ht="22" customHeight="1">
      <c r="B41" s="18">
        <f>IF(C41="","GRL-"&amp;TEXT(COUNTA($C$5:C41),"000"))</f>
        <v/>
      </c>
      <c r="C41" s="11" t="n"/>
      <c r="D41" s="28" t="n"/>
      <c r="E41" s="28" t="n"/>
      <c r="F41" s="13">
        <f>IF(D41="","",E41-D41)</f>
        <v/>
      </c>
      <c r="G41" s="11" t="n"/>
      <c r="H41" s="13" t="n"/>
      <c r="I41" s="11" t="n"/>
      <c r="J41" s="11" t="n"/>
      <c r="K41" s="22" t="n"/>
      <c r="L41" s="11" t="n"/>
      <c r="M41" s="11" t="n"/>
    </row>
    <row r="42" ht="22" customHeight="1">
      <c r="B42" s="17">
        <f>IF(C42="","GRL-"&amp;TEXT(COUNTA($C$5:C42),"000"))</f>
        <v/>
      </c>
      <c r="C42" s="14" t="n"/>
      <c r="D42" s="29" t="n"/>
      <c r="E42" s="29" t="n"/>
      <c r="F42" s="16">
        <f>IF(D42="","",E42-D42)</f>
        <v/>
      </c>
      <c r="G42" s="14" t="n"/>
      <c r="H42" s="16" t="n"/>
      <c r="I42" s="14" t="n"/>
      <c r="J42" s="14" t="n"/>
      <c r="K42" s="23" t="n"/>
      <c r="L42" s="14" t="n"/>
      <c r="M42" s="14" t="n"/>
    </row>
    <row r="43" ht="22" customHeight="1">
      <c r="B43" s="18">
        <f>IF(C43="","GRL-"&amp;TEXT(COUNTA($C$5:C43),"000"))</f>
        <v/>
      </c>
      <c r="C43" s="11" t="n"/>
      <c r="D43" s="28" t="n"/>
      <c r="E43" s="28" t="n"/>
      <c r="F43" s="13">
        <f>IF(D43="","",E43-D43)</f>
        <v/>
      </c>
      <c r="G43" s="11" t="n"/>
      <c r="H43" s="13" t="n"/>
      <c r="I43" s="11" t="n"/>
      <c r="J43" s="11" t="n"/>
      <c r="K43" s="22" t="n"/>
      <c r="L43" s="11" t="n"/>
      <c r="M43" s="11" t="n"/>
    </row>
    <row r="44" ht="22" customHeight="1">
      <c r="B44" s="17">
        <f>IF(C44="","GRL-"&amp;TEXT(COUNTA($C$5:C44),"000"))</f>
        <v/>
      </c>
      <c r="C44" s="14" t="n"/>
      <c r="D44" s="29" t="n"/>
      <c r="E44" s="29" t="n"/>
      <c r="F44" s="16">
        <f>IF(D44="","",E44-D44)</f>
        <v/>
      </c>
      <c r="G44" s="14" t="n"/>
      <c r="H44" s="16" t="n"/>
      <c r="I44" s="14" t="n"/>
      <c r="J44" s="14" t="n"/>
      <c r="K44" s="23" t="n"/>
      <c r="L44" s="14" t="n"/>
      <c r="M44" s="14" t="n"/>
    </row>
    <row r="45" ht="22" customHeight="1">
      <c r="B45" s="18">
        <f>IF(C45="","GRL-"&amp;TEXT(COUNTA($C$5:C45),"000"))</f>
        <v/>
      </c>
      <c r="C45" s="11" t="n"/>
      <c r="D45" s="28" t="n"/>
      <c r="E45" s="28" t="n"/>
      <c r="F45" s="13">
        <f>IF(D45="","",E45-D45)</f>
        <v/>
      </c>
      <c r="G45" s="11" t="n"/>
      <c r="H45" s="13" t="n"/>
      <c r="I45" s="11" t="n"/>
      <c r="J45" s="11" t="n"/>
      <c r="K45" s="22" t="n"/>
      <c r="L45" s="11" t="n"/>
      <c r="M45" s="11" t="n"/>
    </row>
    <row r="46" ht="22" customHeight="1">
      <c r="B46" s="17">
        <f>IF(C46="","GRL-"&amp;TEXT(COUNTA($C$5:C46),"000"))</f>
        <v/>
      </c>
      <c r="C46" s="14" t="n"/>
      <c r="D46" s="29" t="n"/>
      <c r="E46" s="29" t="n"/>
      <c r="F46" s="16">
        <f>IF(D46="","",E46-D46)</f>
        <v/>
      </c>
      <c r="G46" s="14" t="n"/>
      <c r="H46" s="16" t="n"/>
      <c r="I46" s="14" t="n"/>
      <c r="J46" s="14" t="n"/>
      <c r="K46" s="23" t="n"/>
      <c r="L46" s="14" t="n"/>
      <c r="M46" s="14" t="n"/>
    </row>
    <row r="47" ht="22" customHeight="1">
      <c r="B47" s="18">
        <f>IF(C47="","GRL-"&amp;TEXT(COUNTA($C$5:C47),"000"))</f>
        <v/>
      </c>
      <c r="C47" s="11" t="n"/>
      <c r="D47" s="28" t="n"/>
      <c r="E47" s="28" t="n"/>
      <c r="F47" s="13">
        <f>IF(D47="","",E47-D47)</f>
        <v/>
      </c>
      <c r="G47" s="11" t="n"/>
      <c r="H47" s="13" t="n"/>
      <c r="I47" s="11" t="n"/>
      <c r="J47" s="11" t="n"/>
      <c r="K47" s="22" t="n"/>
      <c r="L47" s="11" t="n"/>
      <c r="M47" s="11" t="n"/>
    </row>
    <row r="48" ht="22" customHeight="1">
      <c r="B48" s="17">
        <f>IF(C48="","GRL-"&amp;TEXT(COUNTA($C$5:C48),"000"))</f>
        <v/>
      </c>
      <c r="C48" s="14" t="n"/>
      <c r="D48" s="29" t="n"/>
      <c r="E48" s="29" t="n"/>
      <c r="F48" s="16">
        <f>IF(D48="","",E48-D48)</f>
        <v/>
      </c>
      <c r="G48" s="14" t="n"/>
      <c r="H48" s="16" t="n"/>
      <c r="I48" s="14" t="n"/>
      <c r="J48" s="14" t="n"/>
      <c r="K48" s="23" t="n"/>
      <c r="L48" s="14" t="n"/>
      <c r="M48" s="14" t="n"/>
    </row>
    <row r="49" ht="22" customHeight="1">
      <c r="B49" s="18">
        <f>IF(C49="","GRL-"&amp;TEXT(COUNTA($C$5:C49),"000"))</f>
        <v/>
      </c>
      <c r="C49" s="11" t="n"/>
      <c r="D49" s="28" t="n"/>
      <c r="E49" s="28" t="n"/>
      <c r="F49" s="13">
        <f>IF(D49="","",E49-D49)</f>
        <v/>
      </c>
      <c r="G49" s="11" t="n"/>
      <c r="H49" s="13" t="n"/>
      <c r="I49" s="11" t="n"/>
      <c r="J49" s="11" t="n"/>
      <c r="K49" s="22" t="n"/>
      <c r="L49" s="11" t="n"/>
      <c r="M49" s="11" t="n"/>
    </row>
    <row r="50" ht="22" customHeight="1">
      <c r="B50" s="17">
        <f>IF(C50="","GRL-"&amp;TEXT(COUNTA($C$5:C50),"000"))</f>
        <v/>
      </c>
      <c r="C50" s="14" t="n"/>
      <c r="D50" s="29" t="n"/>
      <c r="E50" s="29" t="n"/>
      <c r="F50" s="16">
        <f>IF(D50="","",E50-D50)</f>
        <v/>
      </c>
      <c r="G50" s="14" t="n"/>
      <c r="H50" s="16" t="n"/>
      <c r="I50" s="14" t="n"/>
      <c r="J50" s="14" t="n"/>
      <c r="K50" s="23" t="n"/>
      <c r="L50" s="14" t="n"/>
      <c r="M50" s="14" t="n"/>
    </row>
    <row r="51" ht="22" customHeight="1">
      <c r="B51" s="18">
        <f>IF(C51="","GRL-"&amp;TEXT(COUNTA($C$5:C51),"000"))</f>
        <v/>
      </c>
      <c r="C51" s="11" t="n"/>
      <c r="D51" s="28" t="n"/>
      <c r="E51" s="28" t="n"/>
      <c r="F51" s="13">
        <f>IF(D51="","",E51-D51)</f>
        <v/>
      </c>
      <c r="G51" s="11" t="n"/>
      <c r="H51" s="13" t="n"/>
      <c r="I51" s="11" t="n"/>
      <c r="J51" s="11" t="n"/>
      <c r="K51" s="22" t="n"/>
      <c r="L51" s="11" t="n"/>
      <c r="M51" s="11" t="n"/>
    </row>
    <row r="52" ht="22" customHeight="1">
      <c r="B52" s="17">
        <f>IF(C52="","GRL-"&amp;TEXT(COUNTA($C$5:C52),"000"))</f>
        <v/>
      </c>
      <c r="C52" s="14" t="n"/>
      <c r="D52" s="29" t="n"/>
      <c r="E52" s="29" t="n"/>
      <c r="F52" s="16">
        <f>IF(D52="","",E52-D52)</f>
        <v/>
      </c>
      <c r="G52" s="14" t="n"/>
      <c r="H52" s="16" t="n"/>
      <c r="I52" s="14" t="n"/>
      <c r="J52" s="14" t="n"/>
      <c r="K52" s="23" t="n"/>
      <c r="L52" s="14" t="n"/>
      <c r="M52" s="14" t="n"/>
    </row>
    <row r="53" ht="22" customHeight="1">
      <c r="B53" s="18">
        <f>IF(C53="","GRL-"&amp;TEXT(COUNTA($C$5:C53),"000"))</f>
        <v/>
      </c>
      <c r="C53" s="11" t="n"/>
      <c r="D53" s="28" t="n"/>
      <c r="E53" s="28" t="n"/>
      <c r="F53" s="13">
        <f>IF(D53="","",E53-D53)</f>
        <v/>
      </c>
      <c r="G53" s="11" t="n"/>
      <c r="H53" s="13" t="n"/>
      <c r="I53" s="11" t="n"/>
      <c r="J53" s="11" t="n"/>
      <c r="K53" s="22" t="n"/>
      <c r="L53" s="11" t="n"/>
      <c r="M53" s="11" t="n"/>
    </row>
    <row r="54" ht="22" customHeight="1">
      <c r="B54" s="17">
        <f>IF(C54="","GRL-"&amp;TEXT(COUNTA($C$5:C54),"000"))</f>
        <v/>
      </c>
      <c r="C54" s="14" t="n"/>
      <c r="D54" s="29" t="n"/>
      <c r="E54" s="29" t="n"/>
      <c r="F54" s="16">
        <f>IF(D54="","",E54-D54)</f>
        <v/>
      </c>
      <c r="G54" s="14" t="n"/>
      <c r="H54" s="16" t="n"/>
      <c r="I54" s="14" t="n"/>
      <c r="J54" s="14" t="n"/>
      <c r="K54" s="23" t="n"/>
      <c r="L54" s="14" t="n"/>
      <c r="M54" s="14" t="n"/>
    </row>
    <row r="55" ht="22" customHeight="1">
      <c r="B55" s="18">
        <f>IF(C55="","GRL-"&amp;TEXT(COUNTA($C$5:C55),"000"))</f>
        <v/>
      </c>
      <c r="C55" s="11" t="n"/>
      <c r="D55" s="28" t="n"/>
      <c r="E55" s="28" t="n"/>
      <c r="F55" s="13">
        <f>IF(D55="","",E55-D55)</f>
        <v/>
      </c>
      <c r="G55" s="11" t="n"/>
      <c r="H55" s="13" t="n"/>
      <c r="I55" s="11" t="n"/>
      <c r="J55" s="11" t="n"/>
      <c r="K55" s="22" t="n"/>
      <c r="L55" s="11" t="n"/>
      <c r="M55" s="11" t="n"/>
    </row>
    <row r="56" ht="22" customHeight="1">
      <c r="B56" s="17">
        <f>IF(C56="","GRL-"&amp;TEXT(COUNTA($C$5:C56),"000"))</f>
        <v/>
      </c>
      <c r="C56" s="14" t="n"/>
      <c r="D56" s="29" t="n"/>
      <c r="E56" s="29" t="n"/>
      <c r="F56" s="16">
        <f>IF(D56="","",E56-D56)</f>
        <v/>
      </c>
      <c r="G56" s="14" t="n"/>
      <c r="H56" s="16" t="n"/>
      <c r="I56" s="14" t="n"/>
      <c r="J56" s="14" t="n"/>
      <c r="K56" s="23" t="n"/>
      <c r="L56" s="14" t="n"/>
      <c r="M56" s="14" t="n"/>
    </row>
    <row r="57" ht="22" customHeight="1">
      <c r="B57" s="18">
        <f>IF(C57="","GRL-"&amp;TEXT(COUNTA($C$5:C57),"000"))</f>
        <v/>
      </c>
      <c r="C57" s="11" t="n"/>
      <c r="D57" s="28" t="n"/>
      <c r="E57" s="28" t="n"/>
      <c r="F57" s="13">
        <f>IF(D57="","",E57-D57)</f>
        <v/>
      </c>
      <c r="G57" s="11" t="n"/>
      <c r="H57" s="13" t="n"/>
      <c r="I57" s="11" t="n"/>
      <c r="J57" s="11" t="n"/>
      <c r="K57" s="22" t="n"/>
      <c r="L57" s="11" t="n"/>
      <c r="M57" s="11" t="n"/>
    </row>
    <row r="58" ht="22" customHeight="1">
      <c r="B58" s="17">
        <f>IF(C58="","GRL-"&amp;TEXT(COUNTA($C$5:C58),"000"))</f>
        <v/>
      </c>
      <c r="C58" s="14" t="n"/>
      <c r="D58" s="29" t="n"/>
      <c r="E58" s="29" t="n"/>
      <c r="F58" s="16">
        <f>IF(D58="","",E58-D58)</f>
        <v/>
      </c>
      <c r="G58" s="14" t="n"/>
      <c r="H58" s="16" t="n"/>
      <c r="I58" s="14" t="n"/>
      <c r="J58" s="14" t="n"/>
      <c r="K58" s="23" t="n"/>
      <c r="L58" s="14" t="n"/>
      <c r="M58" s="14" t="n"/>
    </row>
    <row r="59" ht="22" customHeight="1">
      <c r="B59" s="18">
        <f>IF(C59="","GRL-"&amp;TEXT(COUNTA($C$5:C59),"000"))</f>
        <v/>
      </c>
      <c r="C59" s="11" t="n"/>
      <c r="D59" s="28" t="n"/>
      <c r="E59" s="28" t="n"/>
      <c r="F59" s="13">
        <f>IF(D59="","",E59-D59)</f>
        <v/>
      </c>
      <c r="G59" s="11" t="n"/>
      <c r="H59" s="13" t="n"/>
      <c r="I59" s="11" t="n"/>
      <c r="J59" s="11" t="n"/>
      <c r="K59" s="22" t="n"/>
      <c r="L59" s="11" t="n"/>
      <c r="M59" s="11" t="n"/>
    </row>
    <row r="60" ht="22" customHeight="1">
      <c r="B60" s="17">
        <f>IF(C60="","GRL-"&amp;TEXT(COUNTA($C$5:C60),"000"))</f>
        <v/>
      </c>
      <c r="C60" s="14" t="n"/>
      <c r="D60" s="29" t="n"/>
      <c r="E60" s="29" t="n"/>
      <c r="F60" s="16">
        <f>IF(D60="","",E60-D60)</f>
        <v/>
      </c>
      <c r="G60" s="14" t="n"/>
      <c r="H60" s="16" t="n"/>
      <c r="I60" s="14" t="n"/>
      <c r="J60" s="14" t="n"/>
      <c r="K60" s="23" t="n"/>
      <c r="L60" s="14" t="n"/>
      <c r="M60" s="14" t="n"/>
    </row>
    <row r="61" ht="22" customHeight="1">
      <c r="B61" s="18">
        <f>IF(C61="","GRL-"&amp;TEXT(COUNTA($C$5:C61),"000"))</f>
        <v/>
      </c>
      <c r="C61" s="11" t="n"/>
      <c r="D61" s="28" t="n"/>
      <c r="E61" s="28" t="n"/>
      <c r="F61" s="13">
        <f>IF(D61="","",E61-D61)</f>
        <v/>
      </c>
      <c r="G61" s="11" t="n"/>
      <c r="H61" s="13" t="n"/>
      <c r="I61" s="11" t="n"/>
      <c r="J61" s="11" t="n"/>
      <c r="K61" s="22" t="n"/>
      <c r="L61" s="11" t="n"/>
      <c r="M61" s="11" t="n"/>
    </row>
    <row r="62" ht="22" customHeight="1">
      <c r="B62" s="17">
        <f>IF(C62="","GRL-"&amp;TEXT(COUNTA($C$5:C62),"000"))</f>
        <v/>
      </c>
      <c r="C62" s="14" t="n"/>
      <c r="D62" s="29" t="n"/>
      <c r="E62" s="29" t="n"/>
      <c r="F62" s="16">
        <f>IF(D62="","",E62-D62)</f>
        <v/>
      </c>
      <c r="G62" s="14" t="n"/>
      <c r="H62" s="16" t="n"/>
      <c r="I62" s="14" t="n"/>
      <c r="J62" s="14" t="n"/>
      <c r="K62" s="23" t="n"/>
      <c r="L62" s="14" t="n"/>
      <c r="M62" s="14" t="n"/>
    </row>
    <row r="63" ht="22" customHeight="1">
      <c r="B63" s="18">
        <f>IF(C63="","GRL-"&amp;TEXT(COUNTA($C$5:C63),"000"))</f>
        <v/>
      </c>
      <c r="C63" s="11" t="n"/>
      <c r="D63" s="28" t="n"/>
      <c r="E63" s="28" t="n"/>
      <c r="F63" s="13">
        <f>IF(D63="","",E63-D63)</f>
        <v/>
      </c>
      <c r="G63" s="11" t="n"/>
      <c r="H63" s="13" t="n"/>
      <c r="I63" s="11" t="n"/>
      <c r="J63" s="11" t="n"/>
      <c r="K63" s="22" t="n"/>
      <c r="L63" s="11" t="n"/>
      <c r="M63" s="11" t="n"/>
    </row>
    <row r="64" ht="22" customHeight="1">
      <c r="B64" s="17">
        <f>IF(C64="","GRL-"&amp;TEXT(COUNTA($C$5:C64),"000"))</f>
        <v/>
      </c>
      <c r="C64" s="14" t="n"/>
      <c r="D64" s="29" t="n"/>
      <c r="E64" s="29" t="n"/>
      <c r="F64" s="16">
        <f>IF(D64="","",E64-D64)</f>
        <v/>
      </c>
      <c r="G64" s="14" t="n"/>
      <c r="H64" s="16" t="n"/>
      <c r="I64" s="14" t="n"/>
      <c r="J64" s="14" t="n"/>
      <c r="K64" s="23" t="n"/>
      <c r="L64" s="14" t="n"/>
      <c r="M64" s="14" t="n"/>
    </row>
    <row r="65" ht="22" customHeight="1">
      <c r="B65" s="18">
        <f>IF(C65="","GRL-"&amp;TEXT(COUNTA($C$5:C65),"000"))</f>
        <v/>
      </c>
      <c r="C65" s="11" t="n"/>
      <c r="D65" s="28" t="n"/>
      <c r="E65" s="28" t="n"/>
      <c r="F65" s="13">
        <f>IF(D65="","",E65-D65)</f>
        <v/>
      </c>
      <c r="G65" s="11" t="n"/>
      <c r="H65" s="13" t="n"/>
      <c r="I65" s="11" t="n"/>
      <c r="J65" s="11" t="n"/>
      <c r="K65" s="22" t="n"/>
      <c r="L65" s="11" t="n"/>
      <c r="M65" s="11" t="n"/>
    </row>
    <row r="66" ht="22" customHeight="1">
      <c r="B66" s="17">
        <f>IF(C66="","GRL-"&amp;TEXT(COUNTA($C$5:C66),"000"))</f>
        <v/>
      </c>
      <c r="C66" s="14" t="n"/>
      <c r="D66" s="29" t="n"/>
      <c r="E66" s="29" t="n"/>
      <c r="F66" s="16">
        <f>IF(D66="","",E66-D66)</f>
        <v/>
      </c>
      <c r="G66" s="14" t="n"/>
      <c r="H66" s="16" t="n"/>
      <c r="I66" s="14" t="n"/>
      <c r="J66" s="14" t="n"/>
      <c r="K66" s="23" t="n"/>
      <c r="L66" s="14" t="n"/>
      <c r="M66" s="14" t="n"/>
    </row>
    <row r="67" ht="22" customHeight="1">
      <c r="B67" s="18">
        <f>IF(C67="","GRL-"&amp;TEXT(COUNTA($C$5:C67),"000"))</f>
        <v/>
      </c>
      <c r="C67" s="11" t="n"/>
      <c r="D67" s="28" t="n"/>
      <c r="E67" s="28" t="n"/>
      <c r="F67" s="13">
        <f>IF(D67="","",E67-D67)</f>
        <v/>
      </c>
      <c r="G67" s="11" t="n"/>
      <c r="H67" s="13" t="n"/>
      <c r="I67" s="11" t="n"/>
      <c r="J67" s="11" t="n"/>
      <c r="K67" s="22" t="n"/>
      <c r="L67" s="11" t="n"/>
      <c r="M67" s="11" t="n"/>
    </row>
    <row r="68" ht="22" customHeight="1">
      <c r="B68" s="17">
        <f>IF(C68="","GRL-"&amp;TEXT(COUNTA($C$5:C68),"000"))</f>
        <v/>
      </c>
      <c r="C68" s="14" t="n"/>
      <c r="D68" s="29" t="n"/>
      <c r="E68" s="29" t="n"/>
      <c r="F68" s="16">
        <f>IF(D68="","",E68-D68)</f>
        <v/>
      </c>
      <c r="G68" s="14" t="n"/>
      <c r="H68" s="16" t="n"/>
      <c r="I68" s="14" t="n"/>
      <c r="J68" s="14" t="n"/>
      <c r="K68" s="23" t="n"/>
      <c r="L68" s="14" t="n"/>
      <c r="M68" s="14" t="n"/>
    </row>
    <row r="69" ht="22" customHeight="1">
      <c r="B69" s="18">
        <f>IF(C69="","GRL-"&amp;TEXT(COUNTA($C$5:C69),"000"))</f>
        <v/>
      </c>
      <c r="C69" s="11" t="n"/>
      <c r="D69" s="28" t="n"/>
      <c r="E69" s="28" t="n"/>
      <c r="F69" s="13">
        <f>IF(D69="","",E69-D69)</f>
        <v/>
      </c>
      <c r="G69" s="11" t="n"/>
      <c r="H69" s="13" t="n"/>
      <c r="I69" s="11" t="n"/>
      <c r="J69" s="11" t="n"/>
      <c r="K69" s="22" t="n"/>
      <c r="L69" s="11" t="n"/>
      <c r="M69" s="11" t="n"/>
    </row>
    <row r="70" ht="22" customHeight="1">
      <c r="B70" s="17">
        <f>IF(C70="","GRL-"&amp;TEXT(COUNTA($C$5:C70),"000"))</f>
        <v/>
      </c>
      <c r="C70" s="14" t="n"/>
      <c r="D70" s="29" t="n"/>
      <c r="E70" s="29" t="n"/>
      <c r="F70" s="16">
        <f>IF(D70="","",E70-D70)</f>
        <v/>
      </c>
      <c r="G70" s="14" t="n"/>
      <c r="H70" s="16" t="n"/>
      <c r="I70" s="14" t="n"/>
      <c r="J70" s="14" t="n"/>
      <c r="K70" s="23" t="n"/>
      <c r="L70" s="14" t="n"/>
      <c r="M70" s="14" t="n"/>
    </row>
    <row r="71" ht="22" customHeight="1">
      <c r="B71" s="18">
        <f>IF(C71="","GRL-"&amp;TEXT(COUNTA($C$5:C71),"000"))</f>
        <v/>
      </c>
      <c r="C71" s="11" t="n"/>
      <c r="D71" s="28" t="n"/>
      <c r="E71" s="28" t="n"/>
      <c r="F71" s="13">
        <f>IF(D71="","",E71-D71)</f>
        <v/>
      </c>
      <c r="G71" s="11" t="n"/>
      <c r="H71" s="13" t="n"/>
      <c r="I71" s="11" t="n"/>
      <c r="J71" s="11" t="n"/>
      <c r="K71" s="22" t="n"/>
      <c r="L71" s="11" t="n"/>
      <c r="M71" s="11" t="n"/>
    </row>
    <row r="72" ht="22" customHeight="1">
      <c r="B72" s="17">
        <f>IF(C72="","GRL-"&amp;TEXT(COUNTA($C$5:C72),"000"))</f>
        <v/>
      </c>
      <c r="C72" s="14" t="n"/>
      <c r="D72" s="29" t="n"/>
      <c r="E72" s="29" t="n"/>
      <c r="F72" s="16">
        <f>IF(D72="","",E72-D72)</f>
        <v/>
      </c>
      <c r="G72" s="14" t="n"/>
      <c r="H72" s="16" t="n"/>
      <c r="I72" s="14" t="n"/>
      <c r="J72" s="14" t="n"/>
      <c r="K72" s="23" t="n"/>
      <c r="L72" s="14" t="n"/>
      <c r="M72" s="14" t="n"/>
    </row>
    <row r="73" ht="22" customHeight="1">
      <c r="B73" s="18">
        <f>IF(C73="","GRL-"&amp;TEXT(COUNTA($C$5:C73),"000"))</f>
        <v/>
      </c>
      <c r="C73" s="11" t="n"/>
      <c r="D73" s="28" t="n"/>
      <c r="E73" s="28" t="n"/>
      <c r="F73" s="13">
        <f>IF(D73="","",E73-D73)</f>
        <v/>
      </c>
      <c r="G73" s="11" t="n"/>
      <c r="H73" s="13" t="n"/>
      <c r="I73" s="11" t="n"/>
      <c r="J73" s="11" t="n"/>
      <c r="K73" s="22" t="n"/>
      <c r="L73" s="11" t="n"/>
      <c r="M73" s="11" t="n"/>
    </row>
    <row r="74" ht="22" customHeight="1">
      <c r="B74" s="17">
        <f>IF(C74="","GRL-"&amp;TEXT(COUNTA($C$5:C74),"000"))</f>
        <v/>
      </c>
      <c r="C74" s="14" t="n"/>
      <c r="D74" s="29" t="n"/>
      <c r="E74" s="29" t="n"/>
      <c r="F74" s="16">
        <f>IF(D74="","",E74-D74)</f>
        <v/>
      </c>
      <c r="G74" s="14" t="n"/>
      <c r="H74" s="16" t="n"/>
      <c r="I74" s="14" t="n"/>
      <c r="J74" s="14" t="n"/>
      <c r="K74" s="23" t="n"/>
      <c r="L74" s="14" t="n"/>
      <c r="M74" s="14" t="n"/>
    </row>
    <row r="75" ht="22" customHeight="1">
      <c r="B75" s="18">
        <f>IF(C75="","GRL-"&amp;TEXT(COUNTA($C$5:C75),"000"))</f>
        <v/>
      </c>
      <c r="C75" s="11" t="n"/>
      <c r="D75" s="28" t="n"/>
      <c r="E75" s="28" t="n"/>
      <c r="F75" s="13">
        <f>IF(D75="","",E75-D75)</f>
        <v/>
      </c>
      <c r="G75" s="11" t="n"/>
      <c r="H75" s="13" t="n"/>
      <c r="I75" s="11" t="n"/>
      <c r="J75" s="11" t="n"/>
      <c r="K75" s="22" t="n"/>
      <c r="L75" s="11" t="n"/>
      <c r="M75" s="11" t="n"/>
    </row>
    <row r="76" ht="22" customHeight="1">
      <c r="B76" s="17">
        <f>IF(C76="","GRL-"&amp;TEXT(COUNTA($C$5:C76),"000"))</f>
        <v/>
      </c>
      <c r="C76" s="14" t="n"/>
      <c r="D76" s="29" t="n"/>
      <c r="E76" s="29" t="n"/>
      <c r="F76" s="16">
        <f>IF(D76="","",E76-D76)</f>
        <v/>
      </c>
      <c r="G76" s="14" t="n"/>
      <c r="H76" s="16" t="n"/>
      <c r="I76" s="14" t="n"/>
      <c r="J76" s="14" t="n"/>
      <c r="K76" s="23" t="n"/>
      <c r="L76" s="14" t="n"/>
      <c r="M76" s="14" t="n"/>
    </row>
    <row r="77" ht="22" customHeight="1">
      <c r="B77" s="18">
        <f>IF(C77="","GRL-"&amp;TEXT(COUNTA($C$5:C77),"000"))</f>
        <v/>
      </c>
      <c r="C77" s="11" t="n"/>
      <c r="D77" s="28" t="n"/>
      <c r="E77" s="28" t="n"/>
      <c r="F77" s="13">
        <f>IF(D77="","",E77-D77)</f>
        <v/>
      </c>
      <c r="G77" s="11" t="n"/>
      <c r="H77" s="13" t="n"/>
      <c r="I77" s="11" t="n"/>
      <c r="J77" s="11" t="n"/>
      <c r="K77" s="22" t="n"/>
      <c r="L77" s="11" t="n"/>
      <c r="M77" s="11" t="n"/>
    </row>
    <row r="78" ht="22" customHeight="1">
      <c r="B78" s="17">
        <f>IF(C78="","GRL-"&amp;TEXT(COUNTA($C$5:C78),"000"))</f>
        <v/>
      </c>
      <c r="C78" s="14" t="n"/>
      <c r="D78" s="29" t="n"/>
      <c r="E78" s="29" t="n"/>
      <c r="F78" s="16">
        <f>IF(D78="","",E78-D78)</f>
        <v/>
      </c>
      <c r="G78" s="14" t="n"/>
      <c r="H78" s="16" t="n"/>
      <c r="I78" s="14" t="n"/>
      <c r="J78" s="14" t="n"/>
      <c r="K78" s="23" t="n"/>
      <c r="L78" s="14" t="n"/>
      <c r="M78" s="14" t="n"/>
    </row>
    <row r="79" ht="22" customHeight="1">
      <c r="B79" s="18">
        <f>IF(C79="","GRL-"&amp;TEXT(COUNTA($C$5:C79),"000"))</f>
        <v/>
      </c>
      <c r="C79" s="11" t="n"/>
      <c r="D79" s="28" t="n"/>
      <c r="E79" s="28" t="n"/>
      <c r="F79" s="13">
        <f>IF(D79="","",E79-D79)</f>
        <v/>
      </c>
      <c r="G79" s="11" t="n"/>
      <c r="H79" s="13" t="n"/>
      <c r="I79" s="11" t="n"/>
      <c r="J79" s="11" t="n"/>
      <c r="K79" s="22" t="n"/>
      <c r="L79" s="11" t="n"/>
      <c r="M79" s="11" t="n"/>
    </row>
    <row r="80" ht="22" customHeight="1">
      <c r="B80" s="17">
        <f>IF(C80="","GRL-"&amp;TEXT(COUNTA($C$5:C80),"000"))</f>
        <v/>
      </c>
      <c r="C80" s="14" t="n"/>
      <c r="D80" s="29" t="n"/>
      <c r="E80" s="29" t="n"/>
      <c r="F80" s="16">
        <f>IF(D80="","",E80-D80)</f>
        <v/>
      </c>
      <c r="G80" s="14" t="n"/>
      <c r="H80" s="16" t="n"/>
      <c r="I80" s="14" t="n"/>
      <c r="J80" s="14" t="n"/>
      <c r="K80" s="23" t="n"/>
      <c r="L80" s="14" t="n"/>
      <c r="M80" s="14" t="n"/>
    </row>
    <row r="81" ht="22" customHeight="1">
      <c r="B81" s="18">
        <f>IF(C81="","GRL-"&amp;TEXT(COUNTA($C$5:C81),"000"))</f>
        <v/>
      </c>
      <c r="C81" s="11" t="n"/>
      <c r="D81" s="28" t="n"/>
      <c r="E81" s="28" t="n"/>
      <c r="F81" s="13">
        <f>IF(D81="","",E81-D81)</f>
        <v/>
      </c>
      <c r="G81" s="11" t="n"/>
      <c r="H81" s="13" t="n"/>
      <c r="I81" s="11" t="n"/>
      <c r="J81" s="11" t="n"/>
      <c r="K81" s="22" t="n"/>
      <c r="L81" s="11" t="n"/>
      <c r="M81" s="11" t="n"/>
    </row>
    <row r="82" ht="22" customHeight="1">
      <c r="B82" s="17">
        <f>IF(C82="","GRL-"&amp;TEXT(COUNTA($C$5:C82),"000"))</f>
        <v/>
      </c>
      <c r="C82" s="14" t="n"/>
      <c r="D82" s="29" t="n"/>
      <c r="E82" s="29" t="n"/>
      <c r="F82" s="16">
        <f>IF(D82="","",E82-D82)</f>
        <v/>
      </c>
      <c r="G82" s="14" t="n"/>
      <c r="H82" s="16" t="n"/>
      <c r="I82" s="14" t="n"/>
      <c r="J82" s="14" t="n"/>
      <c r="K82" s="23" t="n"/>
      <c r="L82" s="14" t="n"/>
      <c r="M82" s="14" t="n"/>
    </row>
    <row r="83" ht="22" customHeight="1">
      <c r="B83" s="18">
        <f>IF(C83="","GRL-"&amp;TEXT(COUNTA($C$5:C83),"000"))</f>
        <v/>
      </c>
      <c r="C83" s="11" t="n"/>
      <c r="D83" s="28" t="n"/>
      <c r="E83" s="28" t="n"/>
      <c r="F83" s="13">
        <f>IF(D83="","",E83-D83)</f>
        <v/>
      </c>
      <c r="G83" s="11" t="n"/>
      <c r="H83" s="13" t="n"/>
      <c r="I83" s="11" t="n"/>
      <c r="J83" s="11" t="n"/>
      <c r="K83" s="22" t="n"/>
      <c r="L83" s="11" t="n"/>
      <c r="M83" s="11" t="n"/>
    </row>
    <row r="84" ht="22" customHeight="1">
      <c r="B84" s="17">
        <f>IF(C84="","GRL-"&amp;TEXT(COUNTA($C$5:C84),"000"))</f>
        <v/>
      </c>
      <c r="C84" s="14" t="n"/>
      <c r="D84" s="29" t="n"/>
      <c r="E84" s="29" t="n"/>
      <c r="F84" s="16">
        <f>IF(D84="","",E84-D84)</f>
        <v/>
      </c>
      <c r="G84" s="14" t="n"/>
      <c r="H84" s="16" t="n"/>
      <c r="I84" s="14" t="n"/>
      <c r="J84" s="14" t="n"/>
      <c r="K84" s="23" t="n"/>
      <c r="L84" s="14" t="n"/>
      <c r="M84" s="14" t="n"/>
    </row>
    <row r="85" ht="22" customHeight="1">
      <c r="B85" s="18">
        <f>IF(C85="","GRL-"&amp;TEXT(COUNTA($C$5:C85),"000"))</f>
        <v/>
      </c>
      <c r="C85" s="11" t="n"/>
      <c r="D85" s="28" t="n"/>
      <c r="E85" s="28" t="n"/>
      <c r="F85" s="13">
        <f>IF(D85="","",E85-D85)</f>
        <v/>
      </c>
      <c r="G85" s="11" t="n"/>
      <c r="H85" s="13" t="n"/>
      <c r="I85" s="11" t="n"/>
      <c r="J85" s="11" t="n"/>
      <c r="K85" s="22" t="n"/>
      <c r="L85" s="11" t="n"/>
      <c r="M85" s="11" t="n"/>
    </row>
    <row r="86" ht="22" customHeight="1">
      <c r="B86" s="17">
        <f>IF(C86="","GRL-"&amp;TEXT(COUNTA($C$5:C86),"000"))</f>
        <v/>
      </c>
      <c r="C86" s="14" t="n"/>
      <c r="D86" s="29" t="n"/>
      <c r="E86" s="29" t="n"/>
      <c r="F86" s="16">
        <f>IF(D86="","",E86-D86)</f>
        <v/>
      </c>
      <c r="G86" s="14" t="n"/>
      <c r="H86" s="16" t="n"/>
      <c r="I86" s="14" t="n"/>
      <c r="J86" s="14" t="n"/>
      <c r="K86" s="23" t="n"/>
      <c r="L86" s="14" t="n"/>
      <c r="M86" s="14" t="n"/>
    </row>
    <row r="87" ht="22" customHeight="1">
      <c r="B87" s="18">
        <f>IF(C87="","GRL-"&amp;TEXT(COUNTA($C$5:C87),"000"))</f>
        <v/>
      </c>
      <c r="C87" s="11" t="n"/>
      <c r="D87" s="28" t="n"/>
      <c r="E87" s="28" t="n"/>
      <c r="F87" s="13">
        <f>IF(D87="","",E87-D87)</f>
        <v/>
      </c>
      <c r="G87" s="11" t="n"/>
      <c r="H87" s="13" t="n"/>
      <c r="I87" s="11" t="n"/>
      <c r="J87" s="11" t="n"/>
      <c r="K87" s="22" t="n"/>
      <c r="L87" s="11" t="n"/>
      <c r="M87" s="11" t="n"/>
    </row>
    <row r="88" ht="22" customHeight="1">
      <c r="B88" s="17">
        <f>IF(C88="","GRL-"&amp;TEXT(COUNTA($C$5:C88),"000"))</f>
        <v/>
      </c>
      <c r="C88" s="14" t="n"/>
      <c r="D88" s="29" t="n"/>
      <c r="E88" s="29" t="n"/>
      <c r="F88" s="16">
        <f>IF(D88="","",E88-D88)</f>
        <v/>
      </c>
      <c r="G88" s="14" t="n"/>
      <c r="H88" s="16" t="n"/>
      <c r="I88" s="14" t="n"/>
      <c r="J88" s="14" t="n"/>
      <c r="K88" s="23" t="n"/>
      <c r="L88" s="14" t="n"/>
      <c r="M88" s="14" t="n"/>
    </row>
    <row r="89" ht="22" customHeight="1">
      <c r="B89" s="18">
        <f>IF(C89="","GRL-"&amp;TEXT(COUNTA($C$5:C89),"000"))</f>
        <v/>
      </c>
      <c r="C89" s="11" t="n"/>
      <c r="D89" s="28" t="n"/>
      <c r="E89" s="28" t="n"/>
      <c r="F89" s="13">
        <f>IF(D89="","",E89-D89)</f>
        <v/>
      </c>
      <c r="G89" s="11" t="n"/>
      <c r="H89" s="13" t="n"/>
      <c r="I89" s="11" t="n"/>
      <c r="J89" s="11" t="n"/>
      <c r="K89" s="22" t="n"/>
      <c r="L89" s="11" t="n"/>
      <c r="M89" s="11" t="n"/>
    </row>
    <row r="90" ht="22" customHeight="1">
      <c r="B90" s="17">
        <f>IF(C90="","GRL-"&amp;TEXT(COUNTA($C$5:C90),"000"))</f>
        <v/>
      </c>
      <c r="C90" s="14" t="n"/>
      <c r="D90" s="29" t="n"/>
      <c r="E90" s="29" t="n"/>
      <c r="F90" s="16">
        <f>IF(D90="","",E90-D90)</f>
        <v/>
      </c>
      <c r="G90" s="14" t="n"/>
      <c r="H90" s="16" t="n"/>
      <c r="I90" s="14" t="n"/>
      <c r="J90" s="14" t="n"/>
      <c r="K90" s="23" t="n"/>
      <c r="L90" s="14" t="n"/>
      <c r="M90" s="14" t="n"/>
    </row>
    <row r="91" ht="22" customHeight="1">
      <c r="B91" s="18">
        <f>IF(C91="","GRL-"&amp;TEXT(COUNTA($C$5:C91),"000"))</f>
        <v/>
      </c>
      <c r="C91" s="11" t="n"/>
      <c r="D91" s="28" t="n"/>
      <c r="E91" s="28" t="n"/>
      <c r="F91" s="13">
        <f>IF(D91="","",E91-D91)</f>
        <v/>
      </c>
      <c r="G91" s="11" t="n"/>
      <c r="H91" s="13" t="n"/>
      <c r="I91" s="11" t="n"/>
      <c r="J91" s="11" t="n"/>
      <c r="K91" s="22" t="n"/>
      <c r="L91" s="11" t="n"/>
      <c r="M91" s="11" t="n"/>
    </row>
    <row r="92" ht="22" customHeight="1">
      <c r="B92" s="17">
        <f>IF(C92="","GRL-"&amp;TEXT(COUNTA($C$5:C92),"000"))</f>
        <v/>
      </c>
      <c r="C92" s="14" t="n"/>
      <c r="D92" s="29" t="n"/>
      <c r="E92" s="29" t="n"/>
      <c r="F92" s="16">
        <f>IF(D92="","",E92-D92)</f>
        <v/>
      </c>
      <c r="G92" s="14" t="n"/>
      <c r="H92" s="16" t="n"/>
      <c r="I92" s="14" t="n"/>
      <c r="J92" s="14" t="n"/>
      <c r="K92" s="23" t="n"/>
      <c r="L92" s="14" t="n"/>
      <c r="M92" s="14" t="n"/>
    </row>
    <row r="93" ht="22" customHeight="1">
      <c r="B93" s="18">
        <f>IF(C93="","GRL-"&amp;TEXT(COUNTA($C$5:C93),"000"))</f>
        <v/>
      </c>
      <c r="C93" s="11" t="n"/>
      <c r="D93" s="28" t="n"/>
      <c r="E93" s="28" t="n"/>
      <c r="F93" s="13">
        <f>IF(D93="","",E93-D93)</f>
        <v/>
      </c>
      <c r="G93" s="11" t="n"/>
      <c r="H93" s="13" t="n"/>
      <c r="I93" s="11" t="n"/>
      <c r="J93" s="11" t="n"/>
      <c r="K93" s="22" t="n"/>
      <c r="L93" s="11" t="n"/>
      <c r="M93" s="11" t="n"/>
    </row>
    <row r="94" ht="22" customHeight="1">
      <c r="B94" s="17">
        <f>IF(C94="","GRL-"&amp;TEXT(COUNTA($C$5:C94),"000"))</f>
        <v/>
      </c>
      <c r="C94" s="14" t="n"/>
      <c r="D94" s="29" t="n"/>
      <c r="E94" s="29" t="n"/>
      <c r="F94" s="16">
        <f>IF(D94="","",E94-D94)</f>
        <v/>
      </c>
      <c r="G94" s="14" t="n"/>
      <c r="H94" s="16" t="n"/>
      <c r="I94" s="14" t="n"/>
      <c r="J94" s="14" t="n"/>
      <c r="K94" s="23" t="n"/>
      <c r="L94" s="14" t="n"/>
      <c r="M94" s="14" t="n"/>
    </row>
    <row r="95" ht="22" customHeight="1">
      <c r="B95" s="18">
        <f>IF(C95="","GRL-"&amp;TEXT(COUNTA($C$5:C95),"000"))</f>
        <v/>
      </c>
      <c r="C95" s="11" t="n"/>
      <c r="D95" s="28" t="n"/>
      <c r="E95" s="28" t="n"/>
      <c r="F95" s="13">
        <f>IF(D95="","",E95-D95)</f>
        <v/>
      </c>
      <c r="G95" s="11" t="n"/>
      <c r="H95" s="13" t="n"/>
      <c r="I95" s="11" t="n"/>
      <c r="J95" s="11" t="n"/>
      <c r="K95" s="22" t="n"/>
      <c r="L95" s="11" t="n"/>
      <c r="M95" s="11" t="n"/>
    </row>
    <row r="96" ht="22" customHeight="1">
      <c r="B96" s="17">
        <f>IF(C96="","GRL-"&amp;TEXT(COUNTA($C$5:C96),"000"))</f>
        <v/>
      </c>
      <c r="C96" s="14" t="n"/>
      <c r="D96" s="29" t="n"/>
      <c r="E96" s="29" t="n"/>
      <c r="F96" s="16">
        <f>IF(D96="","",E96-D96)</f>
        <v/>
      </c>
      <c r="G96" s="14" t="n"/>
      <c r="H96" s="16" t="n"/>
      <c r="I96" s="14" t="n"/>
      <c r="J96" s="14" t="n"/>
      <c r="K96" s="23" t="n"/>
      <c r="L96" s="14" t="n"/>
      <c r="M96" s="14" t="n"/>
    </row>
    <row r="97" ht="22" customHeight="1">
      <c r="B97" s="18">
        <f>IF(C97="","GRL-"&amp;TEXT(COUNTA($C$5:C97),"000"))</f>
        <v/>
      </c>
      <c r="C97" s="11" t="n"/>
      <c r="D97" s="28" t="n"/>
      <c r="E97" s="28" t="n"/>
      <c r="F97" s="13">
        <f>IF(D97="","",E97-D97)</f>
        <v/>
      </c>
      <c r="G97" s="11" t="n"/>
      <c r="H97" s="13" t="n"/>
      <c r="I97" s="11" t="n"/>
      <c r="J97" s="11" t="n"/>
      <c r="K97" s="22" t="n"/>
      <c r="L97" s="11" t="n"/>
      <c r="M97" s="11" t="n"/>
    </row>
    <row r="98" ht="22" customHeight="1">
      <c r="B98" s="17">
        <f>IF(C98="","GRL-"&amp;TEXT(COUNTA($C$5:C98),"000"))</f>
        <v/>
      </c>
      <c r="C98" s="14" t="n"/>
      <c r="D98" s="29" t="n"/>
      <c r="E98" s="29" t="n"/>
      <c r="F98" s="16">
        <f>IF(D98="","",E98-D98)</f>
        <v/>
      </c>
      <c r="G98" s="14" t="n"/>
      <c r="H98" s="16" t="n"/>
      <c r="I98" s="14" t="n"/>
      <c r="J98" s="14" t="n"/>
      <c r="K98" s="23" t="n"/>
      <c r="L98" s="14" t="n"/>
      <c r="M98" s="14" t="n"/>
    </row>
    <row r="99" ht="22" customHeight="1">
      <c r="B99" s="18">
        <f>IF(C99="","GRL-"&amp;TEXT(COUNTA($C$5:C99),"000"))</f>
        <v/>
      </c>
      <c r="C99" s="11" t="n"/>
      <c r="D99" s="28" t="n"/>
      <c r="E99" s="28" t="n"/>
      <c r="F99" s="13">
        <f>IF(D99="","",E99-D99)</f>
        <v/>
      </c>
      <c r="G99" s="11" t="n"/>
      <c r="H99" s="13" t="n"/>
      <c r="I99" s="11" t="n"/>
      <c r="J99" s="11" t="n"/>
      <c r="K99" s="22" t="n"/>
      <c r="L99" s="11" t="n"/>
      <c r="M99" s="11" t="n"/>
    </row>
    <row r="100" ht="22" customHeight="1">
      <c r="B100" s="17">
        <f>IF(C100="","GRL-"&amp;TEXT(COUNTA($C$5:C100),"000"))</f>
        <v/>
      </c>
      <c r="C100" s="14" t="n"/>
      <c r="D100" s="29" t="n"/>
      <c r="E100" s="29" t="n"/>
      <c r="F100" s="16">
        <f>IF(D100="","",E100-D100)</f>
        <v/>
      </c>
      <c r="G100" s="14" t="n"/>
      <c r="H100" s="16" t="n"/>
      <c r="I100" s="14" t="n"/>
      <c r="J100" s="14" t="n"/>
      <c r="K100" s="23" t="n"/>
      <c r="L100" s="14" t="n"/>
      <c r="M100" s="14" t="n"/>
    </row>
    <row r="101" ht="22" customHeight="1">
      <c r="B101" s="18">
        <f>IF(C101="","GRL-"&amp;TEXT(COUNTA($C$5:C101),"000"))</f>
        <v/>
      </c>
      <c r="C101" s="11" t="n"/>
      <c r="D101" s="28" t="n"/>
      <c r="E101" s="28" t="n"/>
      <c r="F101" s="13">
        <f>IF(D101="","",E101-D101)</f>
        <v/>
      </c>
      <c r="G101" s="11" t="n"/>
      <c r="H101" s="13" t="n"/>
      <c r="I101" s="11" t="n"/>
      <c r="J101" s="11" t="n"/>
      <c r="K101" s="22" t="n"/>
      <c r="L101" s="11" t="n"/>
      <c r="M101" s="11" t="n"/>
    </row>
    <row r="102" ht="22" customHeight="1">
      <c r="B102" s="17">
        <f>IF(C102="","GRL-"&amp;TEXT(COUNTA($C$5:C102),"000"))</f>
        <v/>
      </c>
      <c r="C102" s="14" t="n"/>
      <c r="D102" s="29" t="n"/>
      <c r="E102" s="29" t="n"/>
      <c r="F102" s="16">
        <f>IF(D102="","",E102-D102)</f>
        <v/>
      </c>
      <c r="G102" s="14" t="n"/>
      <c r="H102" s="16" t="n"/>
      <c r="I102" s="14" t="n"/>
      <c r="J102" s="14" t="n"/>
      <c r="K102" s="23" t="n"/>
      <c r="L102" s="14" t="n"/>
      <c r="M102" s="14" t="n"/>
    </row>
    <row r="103" ht="22" customHeight="1">
      <c r="B103" s="18">
        <f>IF(C103="","GRL-"&amp;TEXT(COUNTA($C$5:C103),"000"))</f>
        <v/>
      </c>
      <c r="C103" s="11" t="n"/>
      <c r="D103" s="28" t="n"/>
      <c r="E103" s="28" t="n"/>
      <c r="F103" s="13">
        <f>IF(D103="","",E103-D103)</f>
        <v/>
      </c>
      <c r="G103" s="11" t="n"/>
      <c r="H103" s="13" t="n"/>
      <c r="I103" s="11" t="n"/>
      <c r="J103" s="11" t="n"/>
      <c r="K103" s="22" t="n"/>
      <c r="L103" s="11" t="n"/>
      <c r="M103" s="11" t="n"/>
    </row>
    <row r="104" ht="22" customHeight="1">
      <c r="B104" s="17">
        <f>IF(C104="","GRL-"&amp;TEXT(COUNTA($C$5:C104),"000"))</f>
        <v/>
      </c>
      <c r="C104" s="14" t="n"/>
      <c r="D104" s="29" t="n"/>
      <c r="E104" s="29" t="n"/>
      <c r="F104" s="16">
        <f>IF(D104="","",E104-D104)</f>
        <v/>
      </c>
      <c r="G104" s="14" t="n"/>
      <c r="H104" s="16" t="n"/>
      <c r="I104" s="14" t="n"/>
      <c r="J104" s="14" t="n"/>
      <c r="K104" s="23" t="n"/>
      <c r="L104" s="14" t="n"/>
      <c r="M104" s="14" t="n"/>
    </row>
    <row r="105" ht="22" customHeight="1">
      <c r="B105" s="18">
        <f>IF(C105="","GRL-"&amp;TEXT(COUNTA($C$5:C105),"000"))</f>
        <v/>
      </c>
      <c r="C105" s="11" t="n"/>
      <c r="D105" s="28" t="n"/>
      <c r="E105" s="28" t="n"/>
      <c r="F105" s="13">
        <f>IF(D105="","",E105-D105)</f>
        <v/>
      </c>
      <c r="G105" s="11" t="n"/>
      <c r="H105" s="13" t="n"/>
      <c r="I105" s="11" t="n"/>
      <c r="J105" s="11" t="n"/>
      <c r="K105" s="22" t="n"/>
      <c r="L105" s="11" t="n"/>
      <c r="M105" s="11" t="n"/>
    </row>
    <row r="106" ht="22" customHeight="1">
      <c r="B106" s="17">
        <f>IF(C106="","GRL-"&amp;TEXT(COUNTA($C$5:C106),"000"))</f>
        <v/>
      </c>
      <c r="C106" s="14" t="n"/>
      <c r="D106" s="29" t="n"/>
      <c r="E106" s="29" t="n"/>
      <c r="F106" s="16">
        <f>IF(D106="","",E106-D106)</f>
        <v/>
      </c>
      <c r="G106" s="14" t="n"/>
      <c r="H106" s="16" t="n"/>
      <c r="I106" s="14" t="n"/>
      <c r="J106" s="14" t="n"/>
      <c r="K106" s="23" t="n"/>
      <c r="L106" s="14" t="n"/>
      <c r="M106" s="14" t="n"/>
    </row>
    <row r="107" ht="22" customHeight="1">
      <c r="B107" s="18">
        <f>IF(C107="","GRL-"&amp;TEXT(COUNTA($C$5:C107),"000"))</f>
        <v/>
      </c>
      <c r="C107" s="11" t="n"/>
      <c r="D107" s="28" t="n"/>
      <c r="E107" s="28" t="n"/>
      <c r="F107" s="13">
        <f>IF(D107="","",E107-D107)</f>
        <v/>
      </c>
      <c r="G107" s="11" t="n"/>
      <c r="H107" s="13" t="n"/>
      <c r="I107" s="11" t="n"/>
      <c r="J107" s="11" t="n"/>
      <c r="K107" s="22" t="n"/>
      <c r="L107" s="11" t="n"/>
      <c r="M107" s="11" t="n"/>
    </row>
    <row r="108" ht="22" customHeight="1">
      <c r="B108" s="17">
        <f>IF(C108="","GRL-"&amp;TEXT(COUNTA($C$5:C108),"000"))</f>
        <v/>
      </c>
      <c r="C108" s="14" t="n"/>
      <c r="D108" s="29" t="n"/>
      <c r="E108" s="29" t="n"/>
      <c r="F108" s="16">
        <f>IF(D108="","",E108-D108)</f>
        <v/>
      </c>
      <c r="G108" s="14" t="n"/>
      <c r="H108" s="16" t="n"/>
      <c r="I108" s="14" t="n"/>
      <c r="J108" s="14" t="n"/>
      <c r="K108" s="23" t="n"/>
      <c r="L108" s="14" t="n"/>
      <c r="M108" s="14" t="n"/>
    </row>
    <row r="109" ht="22" customHeight="1">
      <c r="B109" s="18">
        <f>IF(C109="","GRL-"&amp;TEXT(COUNTA($C$5:C109),"000"))</f>
        <v/>
      </c>
      <c r="C109" s="11" t="n"/>
      <c r="D109" s="28" t="n"/>
      <c r="E109" s="28" t="n"/>
      <c r="F109" s="13">
        <f>IF(D109="","",E109-D109)</f>
        <v/>
      </c>
      <c r="G109" s="11" t="n"/>
      <c r="H109" s="13" t="n"/>
      <c r="I109" s="11" t="n"/>
      <c r="J109" s="11" t="n"/>
      <c r="K109" s="22" t="n"/>
      <c r="L109" s="11" t="n"/>
      <c r="M109" s="11" t="n"/>
    </row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0" t="n"/>
      <c r="H111" s="21">
        <f>SUM(H5:H104)</f>
        <v/>
      </c>
      <c r="I111" s="20" t="n"/>
      <c r="J111" s="20" t="n"/>
      <c r="K111" s="21">
        <f>SUM(K5:K104)</f>
        <v/>
      </c>
      <c r="L111" s="20" t="n"/>
      <c r="M111" s="20" t="n"/>
    </row>
    <row r="113">
      <c r="B113" s="5" t="inlineStr">
        <is>
          <t>INDICATEURS (mis a jour automatiquement)</t>
        </is>
      </c>
    </row>
    <row r="114">
      <c r="B114" s="3" t="inlineStr">
        <is>
          <t>Conflits enregistres</t>
        </is>
      </c>
      <c r="D114" s="3" t="inlineStr">
        <is>
          <t>Resolus</t>
        </is>
      </c>
      <c r="F114" s="3" t="inlineStr">
        <is>
          <t>En cours</t>
        </is>
      </c>
      <c r="H114" s="3" t="inlineStr">
        <is>
          <t>Cout total (FCFA)</t>
        </is>
      </c>
    </row>
    <row r="115">
      <c r="B115" s="4">
        <f>COUNTIF(B5:B104,"&lt;&gt;")</f>
        <v/>
      </c>
      <c r="D115" s="4">
        <f>COUNTIF(L5:L104,"Resolu")</f>
        <v/>
      </c>
      <c r="F115" s="4">
        <f>COUNTIF(L5:L104,"En cours")</f>
        <v/>
      </c>
      <c r="H115" s="4">
        <f>SUM(K5:K104)</f>
        <v/>
      </c>
    </row>
  </sheetData>
  <mergeCells count="3">
    <mergeCell ref="B3:M3"/>
    <mergeCell ref="B2:M2"/>
    <mergeCell ref="B113:M113"/>
  </mergeCells>
  <conditionalFormatting sqref="L5:L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1">
      <formula>"En attente"</formula>
    </cfRule>
    <cfRule type="cellIs" priority="45" operator="equal" dxfId="1">
      <formula>"A renouveler"</formula>
    </cfRule>
    <cfRule type="cellIs" priority="46" operator="equal" dxfId="1">
      <formula>"En cours"</formula>
    </cfRule>
    <cfRule type="cellIs" priority="47" operator="equal" dxfId="1">
      <formula>"En traitement"</formula>
    </cfRule>
    <cfRule type="cellIs" priority="48" operator="equal" dxfId="1">
      <formula>"En retard"</formula>
    </cfRule>
    <cfRule type="cellIs" priority="49" operator="equal" dxfId="1">
      <formula>"Suspendu"</formula>
    </cfRule>
    <cfRule type="cellIs" priority="50" operator="equal" dxfId="1">
      <formula>"Planifie"</formula>
    </cfRule>
    <cfRule type="cellIs" priority="51" operator="equal" dxfId="1">
      <formula>"Planifiee"</formula>
    </cfRule>
    <cfRule type="cellIs" priority="52" operator="equal" dxfId="1">
      <formula>"Brouillon"</formula>
    </cfRule>
    <cfRule type="cellIs" priority="53" operator="equal" dxfId="1">
      <formula>"En attente de justification"</formula>
    </cfRule>
    <cfRule type="cellIs" priority="54" operator="equal" dxfId="1">
      <formula>"Tolere"</formula>
    </cfRule>
    <cfRule type="cellIs" priority="55" operator="equal" dxfId="1">
      <formula>"Variable"</formula>
    </cfRule>
    <cfRule type="cellIs" priority="56" operator="equal" dxfId="1">
      <formula>"En elaboration"</formula>
    </cfRule>
    <cfRule type="cellIs" priority="57" operator="equal" dxfId="1">
      <formula>"Provisionne"</formula>
    </cfRule>
    <cfRule type="cellIs" priority="58" operator="equal" dxfId="1">
      <formula>"Consomme partiel"</formula>
    </cfRule>
    <cfRule type="cellIs" priority="59" operator="equal" dxfId="1">
      <formula>"Identifie"</formula>
    </cfRule>
    <cfRule type="cellIs" priority="60" operator="equal" dxfId="1">
      <formula>"Priorise"</formula>
    </cfRule>
    <cfRule type="cellIs" priority="61" operator="equal" dxfId="1">
      <formula>"Intermediaire"</formula>
    </cfRule>
    <cfRule type="cellIs" priority="62" operator="equal" dxfId="1">
      <formula>"Non evalue"</formula>
    </cfRule>
    <cfRule type="cellIs" priority="63" operator="equal" dxfId="1">
      <formula>"En cours de realisation"</formula>
    </cfRule>
    <cfRule type="cellIs" priority="64" operator="equal" dxfId="1">
      <formula>"Non demarre"</formula>
    </cfRule>
    <cfRule type="cellIs" priority="65" operator="equal" dxfId="1">
      <formula>"En attente N+1"</formula>
    </cfRule>
    <cfRule type="cellIs" priority="66" operator="equal" dxfId="1">
      <formula>"Prolongation essai"</formula>
    </cfRule>
    <cfRule type="cellIs" priority="67" operator="equal" dxfId="1">
      <formula>"En attente validation"</formula>
    </cfRule>
    <cfRule type="cellIs" priority="68" operator="equal" dxfId="1">
      <formula>"Bon"</formula>
    </cfRule>
    <cfRule type="cellIs" priority="69" operator="equal" dxfId="1">
      <formula>"D - Moyen"</formula>
    </cfRule>
    <cfRule type="cellIs" priority="70" operator="equal" dxfId="1">
      <formula>"En cours de repres."</formula>
    </cfRule>
    <cfRule type="cellIs" priority="71" operator="equal" dxfId="1">
      <formula>"En negociation"</formula>
    </cfRule>
    <cfRule type="cellIs" priority="72" operator="equal" dxfId="1">
      <formula>"En preparation"</formula>
    </cfRule>
    <cfRule type="cellIs" priority="73" operator="equal" dxfId="1">
      <formula>"En cours d'instruction"</formula>
    </cfRule>
    <cfRule type="cellIs" priority="74" operator="equal" dxfId="1">
      <formula>"Transferee N+1"</formula>
    </cfRule>
    <cfRule type="cellIs" priority="75" operator="equal" dxfId="1">
      <formula>"En attente reponse"</formula>
    </cfRule>
    <cfRule type="cellIs" priority="76" operator="equal" dxfId="1">
      <formula>"Enquete ouverte"</formula>
    </cfRule>
    <cfRule type="cellIs" priority="77" operator="equal" dxfId="1">
      <formula>"Convocation envoyee"</formula>
    </cfRule>
    <cfRule type="cellIs" priority="78" operator="equal" dxfId="1">
      <formula>"Entretien realise"</formula>
    </cfRule>
    <cfRule type="cellIs" priority="79" operator="equal" dxfId="1">
      <formula>"Saisie"</formula>
    </cfRule>
    <cfRule type="cellIs" priority="80" operator="equal" dxfId="1">
      <formula>"En mediation"</formula>
    </cfRule>
    <cfRule type="cellIs" priority="81" operator="equal" dxfId="1">
      <formula>"En recours"</formula>
    </cfRule>
    <cfRule type="cellIs" priority="82" operator="equal" dxfId="1">
      <formula>"Reportee"</formula>
    </cfRule>
    <cfRule type="cellIs" priority="83" operator="equal" dxfId="1">
      <formula>"Signale"</formula>
    </cfRule>
    <cfRule type="cellIs" priority="84" operator="equal" dxfId="1">
      <formula>"Precontentieux"</formula>
    </cfRule>
    <cfRule type="cellIs" priority="85" operator="equal" dxfId="1">
      <formula>"En attente election"</formula>
    </cfRule>
    <cfRule type="cellIs" priority="86" operator="equal" dxfId="1">
      <formula>"Classe"</formula>
    </cfRule>
    <cfRule type="cellIs" priority="87" operator="equal" dxfId="2">
      <formula>"Expire"</formula>
    </cfRule>
    <cfRule type="cellIs" priority="88" operator="equal" dxfId="2">
      <formula>"Rejete"</formula>
    </cfRule>
    <cfRule type="cellIs" priority="89" operator="equal" dxfId="2">
      <formula>"Rejetee"</formula>
    </cfRule>
    <cfRule type="cellIs" priority="90" operator="equal" dxfId="2">
      <formula>"Resilie"</formula>
    </cfRule>
    <cfRule type="cellIs" priority="91" operator="equal" dxfId="2">
      <formula>"Annule"</formula>
    </cfRule>
    <cfRule type="cellIs" priority="92" operator="equal" dxfId="2">
      <formula>"Annulee"</formula>
    </cfRule>
    <cfRule type="cellIs" priority="93" operator="equal" dxfId="2">
      <formula>"Refuse"</formula>
    </cfRule>
    <cfRule type="cellIs" priority="94" operator="equal" dxfId="2">
      <formula>"Non justifie"</formula>
    </cfRule>
    <cfRule type="cellIs" priority="95" operator="equal" dxfId="2">
      <formula>"Non justifiee"</formula>
    </cfRule>
    <cfRule type="cellIs" priority="96" operator="equal" dxfId="2">
      <formula>"Sanctionne"</formula>
    </cfRule>
    <cfRule type="cellIs" priority="97" operator="equal" dxfId="2">
      <formula>"Inaptitude"</formula>
    </cfRule>
    <cfRule type="cellIs" priority="98" operator="equal" dxfId="2">
      <formula>"Absent sans autorisation"</formula>
    </cfRule>
    <cfRule type="cellIs" priority="99" operator="equal" dxfId="2">
      <formula>"Abandon de poste"</formula>
    </cfRule>
    <cfRule type="cellIs" priority="100" operator="equal" dxfId="2">
      <formula>"Non satisfait"</formula>
    </cfRule>
    <cfRule type="cellIs" priority="101" operator="equal" dxfId="2">
      <formula>"Reportee"</formula>
    </cfRule>
    <cfRule type="cellIs" priority="102" operator="equal" dxfId="2">
      <formula>"Depasse"</formula>
    </cfRule>
    <cfRule type="cellIs" priority="103" operator="equal" dxfId="2">
      <formula>"Non utilise"</formula>
    </cfRule>
    <cfRule type="cellIs" priority="104" operator="equal" dxfId="2">
      <formula>"Non applicable"</formula>
    </cfRule>
    <cfRule type="cellIs" priority="105" operator="equal" dxfId="2">
      <formula>"Debutant"</formula>
    </cfRule>
    <cfRule type="cellIs" priority="106" operator="equal" dxfId="2">
      <formula>"Non atteint"</formula>
    </cfRule>
    <cfRule type="cellIs" priority="107" operator="equal" dxfId="2">
      <formula>"Abandonne"</formula>
    </cfRule>
    <cfRule type="cellIs" priority="108" operator="equal" dxfId="2">
      <formula>"Rupture essai"</formula>
    </cfRule>
    <cfRule type="cellIs" priority="109" operator="equal" dxfId="2">
      <formula>"Insuffisant"</formula>
    </cfRule>
    <cfRule type="cellIs" priority="110" operator="equal" dxfId="2">
      <formula>"Moyen"</formula>
    </cfRule>
    <cfRule type="cellIs" priority="111" operator="equal" dxfId="2">
      <formula>"E - Insuffisant"</formula>
    </cfRule>
    <cfRule type="cellIs" priority="112" operator="equal" dxfId="2">
      <formula>"Dissous"</formula>
    </cfRule>
    <cfRule type="cellIs" priority="113" operator="equal" dxfId="2">
      <formula>"Denonce"</formula>
    </cfRule>
    <cfRule type="cellIs" priority="114" operator="equal" dxfId="2">
      <formula>"Echoue"</formula>
    </cfRule>
    <cfRule type="cellIs" priority="115" operator="equal" dxfId="2">
      <formula>"Echouee"</formula>
    </cfRule>
    <cfRule type="cellIs" priority="116" operator="equal" dxfId="2">
      <formula>"Revoque"</formula>
    </cfRule>
    <cfRule type="cellIs" priority="117" operator="equal" dxfId="2">
      <formula>"Demissionnaire"</formula>
    </cfRule>
    <cfRule type="cellIs" priority="118" operator="equal" dxfId="2">
      <formula>"Licenciement pour faute"</formula>
    </cfRule>
    <cfRule type="cellIs" priority="119" operator="equal" dxfId="2">
      <formula>"Licenciement pour faute grave"</formula>
    </cfRule>
    <cfRule type="cellIs" priority="120" operator="equal" dxfId="2">
      <formula>"Terminee - Echec"</formula>
    </cfRule>
    <cfRule type="cellIs" priority="121" operator="equal" dxfId="2">
      <formula>"Abandonnee"</formula>
    </cfRule>
    <cfRule type="cellIs" priority="122" operator="equal" dxfId="2">
      <formula>"Violence physique"</formula>
    </cfRule>
    <cfRule type="cellIs" priority="123" operator="equal" dxfId="2">
      <formula>"Violence verbale"</formula>
    </cfRule>
  </conditionalFormatting>
  <conditionalFormatting sqref="B10:B109">
    <cfRule type="expression" priority="124" dxfId="3">
      <formula>AND($C10="",$C9&lt;&gt;"")</formula>
    </cfRule>
  </conditionalFormatting>
  <conditionalFormatting sqref="C10:C109">
    <cfRule type="expression" priority="125" dxfId="3">
      <formula>AND($C10="",$C9&lt;&gt;"")</formula>
    </cfRule>
  </conditionalFormatting>
  <conditionalFormatting sqref="D10:D109">
    <cfRule type="expression" priority="126" dxfId="3">
      <formula>AND($C10="",$C9&lt;&gt;"")</formula>
    </cfRule>
  </conditionalFormatting>
  <conditionalFormatting sqref="E10:E109">
    <cfRule type="expression" priority="127" dxfId="3">
      <formula>AND($C10="",$C9&lt;&gt;"")</formula>
    </cfRule>
  </conditionalFormatting>
  <conditionalFormatting sqref="F10:F109">
    <cfRule type="expression" priority="128" dxfId="3">
      <formula>AND($C10="",$C9&lt;&gt;"")</formula>
    </cfRule>
  </conditionalFormatting>
  <conditionalFormatting sqref="G10:G109">
    <cfRule type="expression" priority="129" dxfId="3">
      <formula>AND($C10="",$C9&lt;&gt;"")</formula>
    </cfRule>
  </conditionalFormatting>
  <conditionalFormatting sqref="H10:H109">
    <cfRule type="expression" priority="130" dxfId="3">
      <formula>AND($C10="",$C9&lt;&gt;"")</formula>
    </cfRule>
  </conditionalFormatting>
  <conditionalFormatting sqref="I10:I109">
    <cfRule type="expression" priority="131" dxfId="3">
      <formula>AND($C10="",$C9&lt;&gt;"")</formula>
    </cfRule>
  </conditionalFormatting>
  <conditionalFormatting sqref="J10:J109">
    <cfRule type="expression" priority="132" dxfId="3">
      <formula>AND($C10="",$C9&lt;&gt;"")</formula>
    </cfRule>
  </conditionalFormatting>
  <conditionalFormatting sqref="K10:K109">
    <cfRule type="expression" priority="133" dxfId="3">
      <formula>AND($C10="",$C9&lt;&gt;"")</formula>
    </cfRule>
  </conditionalFormatting>
  <conditionalFormatting sqref="L10:L109">
    <cfRule type="expression" priority="134" dxfId="3">
      <formula>AND($C10="",$C9&lt;&gt;"")</formula>
    </cfRule>
  </conditionalFormatting>
  <conditionalFormatting sqref="M10:M109">
    <cfRule type="expression" priority="135" dxfId="3">
      <formula>AND($C10="",$C9&lt;&gt;"")</formula>
    </cfRule>
  </conditionalFormatting>
  <dataValidations count="4">
    <dataValidation sqref="C5:C109" showDropDown="0" showInputMessage="0" showErrorMessage="0" allowBlank="1" errorTitle="Erreur" error="Valeur invalide" promptTitle="Liste" prompt="Choisir dans la liste" type="list">
      <formula1>'_Lists'!$K$2:$K$8</formula1>
    </dataValidation>
    <dataValidation sqref="G5:G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J5:J109" showDropDown="0" showInputMessage="0" showErrorMessage="0" allowBlank="1" errorTitle="Erreur" error="Valeur invalide" promptTitle="Liste" prompt="Choisir dans la liste" type="list">
      <formula1>'_Lists'!$L$2:$L$5</formula1>
    </dataValidation>
    <dataValidation sqref="L5:L109" showDropDown="0" showInputMessage="0" showErrorMessage="0" allowBlank="1" errorTitle="Erreur" error="Valeur invalide" promptTitle="Liste" prompt="Choisir dans la liste" type="list">
      <formula1>'_Lists'!$M$2:$M$8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34" customWidth="1" min="4" max="4"/>
    <col width="14" customWidth="1" min="5" max="5"/>
    <col width="14" customWidth="1" min="6" max="6"/>
    <col width="18" customWidth="1" min="7" max="7"/>
    <col width="22" customWidth="1" min="8" max="8"/>
    <col width="14" customWidth="1" min="9" max="9"/>
    <col width="30" customWidth="1" min="10" max="10"/>
    <col width="16" customWidth="1" min="11" max="11"/>
    <col width="14" customWidth="1" min="12" max="12"/>
  </cols>
  <sheetData>
    <row r="1" ht="15" customHeight="1"/>
    <row r="2" ht="32" customHeight="1">
      <c r="B2" s="1" t="inlineStr">
        <is>
          <t>NEGOCIATIONS COLLECTIVES (#92)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 Nego</t>
        </is>
      </c>
      <c r="C4" s="10" t="inlineStr">
        <is>
          <t>Type Negociation</t>
        </is>
      </c>
      <c r="D4" s="10" t="inlineStr">
        <is>
          <t>Objet</t>
        </is>
      </c>
      <c r="E4" s="10" t="inlineStr">
        <is>
          <t>Date Debut</t>
        </is>
      </c>
      <c r="F4" s="10" t="inlineStr">
        <is>
          <t>Date Fin</t>
        </is>
      </c>
      <c r="G4" s="10" t="inlineStr">
        <is>
          <t>Partie Patronale</t>
        </is>
      </c>
      <c r="H4" s="10" t="inlineStr">
        <is>
          <t>Syndicats Impliques</t>
        </is>
      </c>
      <c r="I4" s="10" t="inlineStr">
        <is>
          <t>Nb Sessions</t>
        </is>
      </c>
      <c r="J4" s="10" t="inlineStr">
        <is>
          <t>Resultat</t>
        </is>
      </c>
      <c r="K4" s="10" t="inlineStr">
        <is>
          <t>Accord Lie (N°)</t>
        </is>
      </c>
      <c r="L4" s="10" t="inlineStr">
        <is>
          <t>Statut</t>
        </is>
      </c>
    </row>
    <row r="5" ht="22" customHeight="1">
      <c r="B5" s="11" t="inlineStr">
        <is>
          <t>NGO-001</t>
        </is>
      </c>
      <c r="C5" s="11" t="inlineStr">
        <is>
          <t>NAO</t>
        </is>
      </c>
      <c r="D5" s="11" t="inlineStr">
        <is>
          <t>Negociation annuelle obligatoire 2025</t>
        </is>
      </c>
      <c r="E5" s="28" t="n">
        <v>45667</v>
      </c>
      <c r="F5" s="28" t="n">
        <v>45731</v>
      </c>
      <c r="G5" s="11" t="inlineStr">
        <is>
          <t>DG + DRH</t>
        </is>
      </c>
      <c r="H5" s="11" t="inlineStr">
        <is>
          <t>CSTT, CSA, CSC</t>
        </is>
      </c>
      <c r="I5" s="13" t="n">
        <v>8</v>
      </c>
      <c r="J5" s="11" t="inlineStr">
        <is>
          <t>Augmentation 5% signee</t>
        </is>
      </c>
      <c r="K5" s="11" t="inlineStr">
        <is>
          <t>AC-001</t>
        </is>
      </c>
      <c r="L5" s="11" t="inlineStr">
        <is>
          <t>Terminee</t>
        </is>
      </c>
    </row>
    <row r="6" ht="22" customHeight="1">
      <c r="B6" s="14" t="inlineStr">
        <is>
          <t>NGO-002</t>
        </is>
      </c>
      <c r="C6" s="14" t="inlineStr">
        <is>
          <t>Negociation salariale</t>
        </is>
      </c>
      <c r="D6" s="14" t="inlineStr">
        <is>
          <t>Revision grilles salariales</t>
        </is>
      </c>
      <c r="E6" s="29" t="n">
        <v>45748</v>
      </c>
      <c r="F6" s="29" t="n">
        <v>45807</v>
      </c>
      <c r="G6" s="14" t="inlineStr">
        <is>
          <t>DRH</t>
        </is>
      </c>
      <c r="H6" s="14" t="inlineStr">
        <is>
          <t>CSTT, SAH</t>
        </is>
      </c>
      <c r="I6" s="16" t="n">
        <v>5</v>
      </c>
      <c r="J6" s="14" t="inlineStr">
        <is>
          <t>En cours de discussion</t>
        </is>
      </c>
      <c r="K6" s="14" t="inlineStr"/>
      <c r="L6" s="14" t="inlineStr">
        <is>
          <t>En cours</t>
        </is>
      </c>
    </row>
    <row r="7" ht="22" customHeight="1">
      <c r="B7" s="11" t="inlineStr">
        <is>
          <t>NGO-003</t>
        </is>
      </c>
      <c r="C7" s="11" t="inlineStr">
        <is>
          <t>Negociation temps de travail</t>
        </is>
      </c>
      <c r="D7" s="11" t="inlineStr">
        <is>
          <t>Amenagement horaires Ramadan</t>
        </is>
      </c>
      <c r="E7" s="28" t="n">
        <v>45703</v>
      </c>
      <c r="F7" s="28" t="n">
        <v>45716</v>
      </c>
      <c r="G7" s="11" t="inlineStr">
        <is>
          <t>DRH</t>
        </is>
      </c>
      <c r="H7" s="11" t="inlineStr">
        <is>
          <t>CSE</t>
        </is>
      </c>
      <c r="I7" s="13" t="n">
        <v>3</v>
      </c>
      <c r="J7" s="11" t="inlineStr">
        <is>
          <t>Horaires aménagés valides</t>
        </is>
      </c>
      <c r="K7" s="11" t="inlineStr"/>
      <c r="L7" s="11" t="inlineStr">
        <is>
          <t>Terminee</t>
        </is>
      </c>
    </row>
    <row r="8" ht="22" customHeight="1">
      <c r="B8" s="14" t="inlineStr">
        <is>
          <t>NGO-004</t>
        </is>
      </c>
      <c r="C8" s="14" t="inlineStr">
        <is>
          <t>Negociation egalite prof.</t>
        </is>
      </c>
      <c r="D8" s="14" t="inlineStr">
        <is>
          <t>Ecart salarial homme/femme</t>
        </is>
      </c>
      <c r="E8" s="29" t="n">
        <v>45809</v>
      </c>
      <c r="F8" s="29" t="n"/>
      <c r="G8" s="14" t="inlineStr">
        <is>
          <t>DRH</t>
        </is>
      </c>
      <c r="H8" s="14" t="inlineStr">
        <is>
          <t>CSC</t>
        </is>
      </c>
      <c r="I8" s="16" t="n">
        <v>2</v>
      </c>
      <c r="J8" s="14" t="inlineStr">
        <is>
          <t>Audit en cours</t>
        </is>
      </c>
      <c r="K8" s="14" t="inlineStr"/>
      <c r="L8" s="14" t="inlineStr">
        <is>
          <t>En cours</t>
        </is>
      </c>
    </row>
    <row r="9" ht="22" customHeight="1">
      <c r="B9" s="18">
        <f>IF(C9="","NGO-"&amp;TEXT(COUNTA($C$5:C9),"000"))</f>
        <v/>
      </c>
      <c r="C9" s="11" t="n"/>
      <c r="D9" s="11" t="n"/>
      <c r="E9" s="28" t="n"/>
      <c r="F9" s="28" t="n"/>
      <c r="G9" s="11" t="n"/>
      <c r="H9" s="11" t="n"/>
      <c r="I9" s="13" t="n"/>
      <c r="J9" s="11" t="n"/>
      <c r="K9" s="11" t="n"/>
      <c r="L9" s="11" t="n"/>
    </row>
    <row r="10" ht="22" customHeight="1">
      <c r="B10" s="17">
        <f>IF(C10="","NGO-"&amp;TEXT(COUNTA($C$5:C10),"000"))</f>
        <v/>
      </c>
      <c r="C10" s="14" t="n"/>
      <c r="D10" s="14" t="n"/>
      <c r="E10" s="29" t="n"/>
      <c r="F10" s="29" t="n"/>
      <c r="G10" s="14" t="n"/>
      <c r="H10" s="14" t="n"/>
      <c r="I10" s="16" t="n"/>
      <c r="J10" s="14" t="n"/>
      <c r="K10" s="14" t="n"/>
      <c r="L10" s="14" t="n"/>
    </row>
    <row r="11" ht="22" customHeight="1">
      <c r="B11" s="18">
        <f>IF(C11="","NGO-"&amp;TEXT(COUNTA($C$5:C11),"000"))</f>
        <v/>
      </c>
      <c r="C11" s="11" t="n"/>
      <c r="D11" s="11" t="n"/>
      <c r="E11" s="28" t="n"/>
      <c r="F11" s="28" t="n"/>
      <c r="G11" s="11" t="n"/>
      <c r="H11" s="11" t="n"/>
      <c r="I11" s="13" t="n"/>
      <c r="J11" s="11" t="n"/>
      <c r="K11" s="11" t="n"/>
      <c r="L11" s="11" t="n"/>
    </row>
    <row r="12" ht="22" customHeight="1">
      <c r="B12" s="17">
        <f>IF(C12="","NGO-"&amp;TEXT(COUNTA($C$5:C12),"000"))</f>
        <v/>
      </c>
      <c r="C12" s="14" t="n"/>
      <c r="D12" s="14" t="n"/>
      <c r="E12" s="29" t="n"/>
      <c r="F12" s="29" t="n"/>
      <c r="G12" s="14" t="n"/>
      <c r="H12" s="14" t="n"/>
      <c r="I12" s="16" t="n"/>
      <c r="J12" s="14" t="n"/>
      <c r="K12" s="14" t="n"/>
      <c r="L12" s="14" t="n"/>
    </row>
    <row r="13" ht="22" customHeight="1">
      <c r="B13" s="18">
        <f>IF(C13="","NGO-"&amp;TEXT(COUNTA($C$5:C13),"000"))</f>
        <v/>
      </c>
      <c r="C13" s="11" t="n"/>
      <c r="D13" s="11" t="n"/>
      <c r="E13" s="28" t="n"/>
      <c r="F13" s="28" t="n"/>
      <c r="G13" s="11" t="n"/>
      <c r="H13" s="11" t="n"/>
      <c r="I13" s="13" t="n"/>
      <c r="J13" s="11" t="n"/>
      <c r="K13" s="11" t="n"/>
      <c r="L13" s="11" t="n"/>
    </row>
    <row r="14" ht="22" customHeight="1">
      <c r="B14" s="17">
        <f>IF(C14="","NGO-"&amp;TEXT(COUNTA($C$5:C14),"000"))</f>
        <v/>
      </c>
      <c r="C14" s="14" t="n"/>
      <c r="D14" s="14" t="n"/>
      <c r="E14" s="29" t="n"/>
      <c r="F14" s="29" t="n"/>
      <c r="G14" s="14" t="n"/>
      <c r="H14" s="14" t="n"/>
      <c r="I14" s="16" t="n"/>
      <c r="J14" s="14" t="n"/>
      <c r="K14" s="14" t="n"/>
      <c r="L14" s="14" t="n"/>
    </row>
    <row r="15" ht="22" customHeight="1">
      <c r="B15" s="18">
        <f>IF(C15="","NGO-"&amp;TEXT(COUNTA($C$5:C15),"000"))</f>
        <v/>
      </c>
      <c r="C15" s="11" t="n"/>
      <c r="D15" s="11" t="n"/>
      <c r="E15" s="28" t="n"/>
      <c r="F15" s="28" t="n"/>
      <c r="G15" s="11" t="n"/>
      <c r="H15" s="11" t="n"/>
      <c r="I15" s="13" t="n"/>
      <c r="J15" s="11" t="n"/>
      <c r="K15" s="11" t="n"/>
      <c r="L15" s="11" t="n"/>
    </row>
    <row r="16" ht="22" customHeight="1">
      <c r="B16" s="17">
        <f>IF(C16="","NGO-"&amp;TEXT(COUNTA($C$5:C16),"000"))</f>
        <v/>
      </c>
      <c r="C16" s="14" t="n"/>
      <c r="D16" s="14" t="n"/>
      <c r="E16" s="29" t="n"/>
      <c r="F16" s="29" t="n"/>
      <c r="G16" s="14" t="n"/>
      <c r="H16" s="14" t="n"/>
      <c r="I16" s="16" t="n"/>
      <c r="J16" s="14" t="n"/>
      <c r="K16" s="14" t="n"/>
      <c r="L16" s="14" t="n"/>
    </row>
    <row r="17" ht="22" customHeight="1">
      <c r="B17" s="18">
        <f>IF(C17="","NGO-"&amp;TEXT(COUNTA($C$5:C17),"000"))</f>
        <v/>
      </c>
      <c r="C17" s="11" t="n"/>
      <c r="D17" s="11" t="n"/>
      <c r="E17" s="28" t="n"/>
      <c r="F17" s="28" t="n"/>
      <c r="G17" s="11" t="n"/>
      <c r="H17" s="11" t="n"/>
      <c r="I17" s="13" t="n"/>
      <c r="J17" s="11" t="n"/>
      <c r="K17" s="11" t="n"/>
      <c r="L17" s="11" t="n"/>
    </row>
    <row r="18" ht="22" customHeight="1">
      <c r="B18" s="17">
        <f>IF(C18="","NGO-"&amp;TEXT(COUNTA($C$5:C18),"000"))</f>
        <v/>
      </c>
      <c r="C18" s="14" t="n"/>
      <c r="D18" s="14" t="n"/>
      <c r="E18" s="29" t="n"/>
      <c r="F18" s="29" t="n"/>
      <c r="G18" s="14" t="n"/>
      <c r="H18" s="14" t="n"/>
      <c r="I18" s="16" t="n"/>
      <c r="J18" s="14" t="n"/>
      <c r="K18" s="14" t="n"/>
      <c r="L18" s="14" t="n"/>
    </row>
    <row r="19" ht="22" customHeight="1">
      <c r="B19" s="18">
        <f>IF(C19="","NGO-"&amp;TEXT(COUNTA($C$5:C19),"000"))</f>
        <v/>
      </c>
      <c r="C19" s="11" t="n"/>
      <c r="D19" s="11" t="n"/>
      <c r="E19" s="28" t="n"/>
      <c r="F19" s="28" t="n"/>
      <c r="G19" s="11" t="n"/>
      <c r="H19" s="11" t="n"/>
      <c r="I19" s="13" t="n"/>
      <c r="J19" s="11" t="n"/>
      <c r="K19" s="11" t="n"/>
      <c r="L19" s="11" t="n"/>
    </row>
    <row r="20" ht="22" customHeight="1">
      <c r="B20" s="17">
        <f>IF(C20="","NGO-"&amp;TEXT(COUNTA($C$5:C20),"000"))</f>
        <v/>
      </c>
      <c r="C20" s="14" t="n"/>
      <c r="D20" s="14" t="n"/>
      <c r="E20" s="29" t="n"/>
      <c r="F20" s="29" t="n"/>
      <c r="G20" s="14" t="n"/>
      <c r="H20" s="14" t="n"/>
      <c r="I20" s="16" t="n"/>
      <c r="J20" s="14" t="n"/>
      <c r="K20" s="14" t="n"/>
      <c r="L20" s="14" t="n"/>
    </row>
    <row r="21" ht="22" customHeight="1">
      <c r="B21" s="18">
        <f>IF(C21="","NGO-"&amp;TEXT(COUNTA($C$5:C21),"000"))</f>
        <v/>
      </c>
      <c r="C21" s="11" t="n"/>
      <c r="D21" s="11" t="n"/>
      <c r="E21" s="28" t="n"/>
      <c r="F21" s="28" t="n"/>
      <c r="G21" s="11" t="n"/>
      <c r="H21" s="11" t="n"/>
      <c r="I21" s="13" t="n"/>
      <c r="J21" s="11" t="n"/>
      <c r="K21" s="11" t="n"/>
      <c r="L21" s="11" t="n"/>
    </row>
    <row r="22" ht="22" customHeight="1">
      <c r="B22" s="17">
        <f>IF(C22="","NGO-"&amp;TEXT(COUNTA($C$5:C22),"000"))</f>
        <v/>
      </c>
      <c r="C22" s="14" t="n"/>
      <c r="D22" s="14" t="n"/>
      <c r="E22" s="29" t="n"/>
      <c r="F22" s="29" t="n"/>
      <c r="G22" s="14" t="n"/>
      <c r="H22" s="14" t="n"/>
      <c r="I22" s="16" t="n"/>
      <c r="J22" s="14" t="n"/>
      <c r="K22" s="14" t="n"/>
      <c r="L22" s="14" t="n"/>
    </row>
    <row r="23" ht="22" customHeight="1">
      <c r="B23" s="18">
        <f>IF(C23="","NGO-"&amp;TEXT(COUNTA($C$5:C23),"000"))</f>
        <v/>
      </c>
      <c r="C23" s="11" t="n"/>
      <c r="D23" s="11" t="n"/>
      <c r="E23" s="28" t="n"/>
      <c r="F23" s="28" t="n"/>
      <c r="G23" s="11" t="n"/>
      <c r="H23" s="11" t="n"/>
      <c r="I23" s="13" t="n"/>
      <c r="J23" s="11" t="n"/>
      <c r="K23" s="11" t="n"/>
      <c r="L23" s="11" t="n"/>
    </row>
    <row r="24" ht="22" customHeight="1">
      <c r="B24" s="17">
        <f>IF(C24="","NGO-"&amp;TEXT(COUNTA($C$5:C24),"000"))</f>
        <v/>
      </c>
      <c r="C24" s="14" t="n"/>
      <c r="D24" s="14" t="n"/>
      <c r="E24" s="29" t="n"/>
      <c r="F24" s="29" t="n"/>
      <c r="G24" s="14" t="n"/>
      <c r="H24" s="14" t="n"/>
      <c r="I24" s="16" t="n"/>
      <c r="J24" s="14" t="n"/>
      <c r="K24" s="14" t="n"/>
      <c r="L24" s="14" t="n"/>
    </row>
    <row r="25" ht="22" customHeight="1">
      <c r="B25" s="18">
        <f>IF(C25="","NGO-"&amp;TEXT(COUNTA($C$5:C25),"000"))</f>
        <v/>
      </c>
      <c r="C25" s="11" t="n"/>
      <c r="D25" s="11" t="n"/>
      <c r="E25" s="28" t="n"/>
      <c r="F25" s="28" t="n"/>
      <c r="G25" s="11" t="n"/>
      <c r="H25" s="11" t="n"/>
      <c r="I25" s="13" t="n"/>
      <c r="J25" s="11" t="n"/>
      <c r="K25" s="11" t="n"/>
      <c r="L25" s="11" t="n"/>
    </row>
    <row r="26" ht="22" customHeight="1">
      <c r="B26" s="17">
        <f>IF(C26="","NGO-"&amp;TEXT(COUNTA($C$5:C26),"000"))</f>
        <v/>
      </c>
      <c r="C26" s="14" t="n"/>
      <c r="D26" s="14" t="n"/>
      <c r="E26" s="29" t="n"/>
      <c r="F26" s="29" t="n"/>
      <c r="G26" s="14" t="n"/>
      <c r="H26" s="14" t="n"/>
      <c r="I26" s="16" t="n"/>
      <c r="J26" s="14" t="n"/>
      <c r="K26" s="14" t="n"/>
      <c r="L26" s="14" t="n"/>
    </row>
    <row r="27" ht="22" customHeight="1">
      <c r="B27" s="18">
        <f>IF(C27="","NGO-"&amp;TEXT(COUNTA($C$5:C27),"000"))</f>
        <v/>
      </c>
      <c r="C27" s="11" t="n"/>
      <c r="D27" s="11" t="n"/>
      <c r="E27" s="28" t="n"/>
      <c r="F27" s="28" t="n"/>
      <c r="G27" s="11" t="n"/>
      <c r="H27" s="11" t="n"/>
      <c r="I27" s="13" t="n"/>
      <c r="J27" s="11" t="n"/>
      <c r="K27" s="11" t="n"/>
      <c r="L27" s="11" t="n"/>
    </row>
    <row r="28" ht="22" customHeight="1">
      <c r="B28" s="17">
        <f>IF(C28="","NGO-"&amp;TEXT(COUNTA($C$5:C28),"000"))</f>
        <v/>
      </c>
      <c r="C28" s="14" t="n"/>
      <c r="D28" s="14" t="n"/>
      <c r="E28" s="29" t="n"/>
      <c r="F28" s="29" t="n"/>
      <c r="G28" s="14" t="n"/>
      <c r="H28" s="14" t="n"/>
      <c r="I28" s="16" t="n"/>
      <c r="J28" s="14" t="n"/>
      <c r="K28" s="14" t="n"/>
      <c r="L28" s="14" t="n"/>
    </row>
    <row r="29" ht="22" customHeight="1">
      <c r="B29" s="18">
        <f>IF(C29="","NGO-"&amp;TEXT(COUNTA($C$5:C29),"000"))</f>
        <v/>
      </c>
      <c r="C29" s="11" t="n"/>
      <c r="D29" s="11" t="n"/>
      <c r="E29" s="28" t="n"/>
      <c r="F29" s="28" t="n"/>
      <c r="G29" s="11" t="n"/>
      <c r="H29" s="11" t="n"/>
      <c r="I29" s="13" t="n"/>
      <c r="J29" s="11" t="n"/>
      <c r="K29" s="11" t="n"/>
      <c r="L29" s="11" t="n"/>
    </row>
    <row r="30" ht="22" customHeight="1">
      <c r="B30" s="17">
        <f>IF(C30="","NGO-"&amp;TEXT(COUNTA($C$5:C30),"000"))</f>
        <v/>
      </c>
      <c r="C30" s="14" t="n"/>
      <c r="D30" s="14" t="n"/>
      <c r="E30" s="29" t="n"/>
      <c r="F30" s="29" t="n"/>
      <c r="G30" s="14" t="n"/>
      <c r="H30" s="14" t="n"/>
      <c r="I30" s="16" t="n"/>
      <c r="J30" s="14" t="n"/>
      <c r="K30" s="14" t="n"/>
      <c r="L30" s="14" t="n"/>
    </row>
    <row r="31" ht="22" customHeight="1">
      <c r="B31" s="18">
        <f>IF(C31="","NGO-"&amp;TEXT(COUNTA($C$5:C31),"000"))</f>
        <v/>
      </c>
      <c r="C31" s="11" t="n"/>
      <c r="D31" s="11" t="n"/>
      <c r="E31" s="28" t="n"/>
      <c r="F31" s="28" t="n"/>
      <c r="G31" s="11" t="n"/>
      <c r="H31" s="11" t="n"/>
      <c r="I31" s="13" t="n"/>
      <c r="J31" s="11" t="n"/>
      <c r="K31" s="11" t="n"/>
      <c r="L31" s="11" t="n"/>
    </row>
    <row r="32" ht="22" customHeight="1">
      <c r="B32" s="17">
        <f>IF(C32="","NGO-"&amp;TEXT(COUNTA($C$5:C32),"000"))</f>
        <v/>
      </c>
      <c r="C32" s="14" t="n"/>
      <c r="D32" s="14" t="n"/>
      <c r="E32" s="29" t="n"/>
      <c r="F32" s="29" t="n"/>
      <c r="G32" s="14" t="n"/>
      <c r="H32" s="14" t="n"/>
      <c r="I32" s="16" t="n"/>
      <c r="J32" s="14" t="n"/>
      <c r="K32" s="14" t="n"/>
      <c r="L32" s="14" t="n"/>
    </row>
    <row r="33" ht="22" customHeight="1">
      <c r="B33" s="18">
        <f>IF(C33="","NGO-"&amp;TEXT(COUNTA($C$5:C33),"000"))</f>
        <v/>
      </c>
      <c r="C33" s="11" t="n"/>
      <c r="D33" s="11" t="n"/>
      <c r="E33" s="28" t="n"/>
      <c r="F33" s="28" t="n"/>
      <c r="G33" s="11" t="n"/>
      <c r="H33" s="11" t="n"/>
      <c r="I33" s="13" t="n"/>
      <c r="J33" s="11" t="n"/>
      <c r="K33" s="11" t="n"/>
      <c r="L33" s="11" t="n"/>
    </row>
    <row r="34" ht="22" customHeight="1">
      <c r="B34" s="17">
        <f>IF(C34="","NGO-"&amp;TEXT(COUNTA($C$5:C34),"000"))</f>
        <v/>
      </c>
      <c r="C34" s="14" t="n"/>
      <c r="D34" s="14" t="n"/>
      <c r="E34" s="29" t="n"/>
      <c r="F34" s="29" t="n"/>
      <c r="G34" s="14" t="n"/>
      <c r="H34" s="14" t="n"/>
      <c r="I34" s="16" t="n"/>
      <c r="J34" s="14" t="n"/>
      <c r="K34" s="14" t="n"/>
      <c r="L34" s="14" t="n"/>
    </row>
    <row r="35" ht="22" customHeight="1">
      <c r="B35" s="18">
        <f>IF(C35="","NGO-"&amp;TEXT(COUNTA($C$5:C35),"000"))</f>
        <v/>
      </c>
      <c r="C35" s="11" t="n"/>
      <c r="D35" s="11" t="n"/>
      <c r="E35" s="28" t="n"/>
      <c r="F35" s="28" t="n"/>
      <c r="G35" s="11" t="n"/>
      <c r="H35" s="11" t="n"/>
      <c r="I35" s="13" t="n"/>
      <c r="J35" s="11" t="n"/>
      <c r="K35" s="11" t="n"/>
      <c r="L35" s="11" t="n"/>
    </row>
    <row r="36" ht="22" customHeight="1">
      <c r="B36" s="17">
        <f>IF(C36="","NGO-"&amp;TEXT(COUNTA($C$5:C36),"000"))</f>
        <v/>
      </c>
      <c r="C36" s="14" t="n"/>
      <c r="D36" s="14" t="n"/>
      <c r="E36" s="29" t="n"/>
      <c r="F36" s="29" t="n"/>
      <c r="G36" s="14" t="n"/>
      <c r="H36" s="14" t="n"/>
      <c r="I36" s="16" t="n"/>
      <c r="J36" s="14" t="n"/>
      <c r="K36" s="14" t="n"/>
      <c r="L36" s="14" t="n"/>
    </row>
    <row r="37" ht="22" customHeight="1">
      <c r="B37" s="18">
        <f>IF(C37="","NGO-"&amp;TEXT(COUNTA($C$5:C37),"000"))</f>
        <v/>
      </c>
      <c r="C37" s="11" t="n"/>
      <c r="D37" s="11" t="n"/>
      <c r="E37" s="28" t="n"/>
      <c r="F37" s="28" t="n"/>
      <c r="G37" s="11" t="n"/>
      <c r="H37" s="11" t="n"/>
      <c r="I37" s="13" t="n"/>
      <c r="J37" s="11" t="n"/>
      <c r="K37" s="11" t="n"/>
      <c r="L37" s="11" t="n"/>
    </row>
    <row r="38" ht="22" customHeight="1">
      <c r="B38" s="17">
        <f>IF(C38="","NGO-"&amp;TEXT(COUNTA($C$5:C38),"000"))</f>
        <v/>
      </c>
      <c r="C38" s="14" t="n"/>
      <c r="D38" s="14" t="n"/>
      <c r="E38" s="29" t="n"/>
      <c r="F38" s="29" t="n"/>
      <c r="G38" s="14" t="n"/>
      <c r="H38" s="14" t="n"/>
      <c r="I38" s="16" t="n"/>
      <c r="J38" s="14" t="n"/>
      <c r="K38" s="14" t="n"/>
      <c r="L38" s="14" t="n"/>
    </row>
    <row r="39" ht="22" customHeight="1">
      <c r="B39" s="18">
        <f>IF(C39="","NGO-"&amp;TEXT(COUNTA($C$5:C39),"000"))</f>
        <v/>
      </c>
      <c r="C39" s="11" t="n"/>
      <c r="D39" s="11" t="n"/>
      <c r="E39" s="28" t="n"/>
      <c r="F39" s="28" t="n"/>
      <c r="G39" s="11" t="n"/>
      <c r="H39" s="11" t="n"/>
      <c r="I39" s="13" t="n"/>
      <c r="J39" s="11" t="n"/>
      <c r="K39" s="11" t="n"/>
      <c r="L39" s="11" t="n"/>
    </row>
    <row r="40" ht="22" customHeight="1">
      <c r="B40" s="17">
        <f>IF(C40="","NGO-"&amp;TEXT(COUNTA($C$5:C40),"000"))</f>
        <v/>
      </c>
      <c r="C40" s="14" t="n"/>
      <c r="D40" s="14" t="n"/>
      <c r="E40" s="29" t="n"/>
      <c r="F40" s="29" t="n"/>
      <c r="G40" s="14" t="n"/>
      <c r="H40" s="14" t="n"/>
      <c r="I40" s="16" t="n"/>
      <c r="J40" s="14" t="n"/>
      <c r="K40" s="14" t="n"/>
      <c r="L40" s="14" t="n"/>
    </row>
    <row r="41" ht="22" customHeight="1">
      <c r="B41" s="18">
        <f>IF(C41="","NGO-"&amp;TEXT(COUNTA($C$5:C41),"000"))</f>
        <v/>
      </c>
      <c r="C41" s="11" t="n"/>
      <c r="D41" s="11" t="n"/>
      <c r="E41" s="28" t="n"/>
      <c r="F41" s="28" t="n"/>
      <c r="G41" s="11" t="n"/>
      <c r="H41" s="11" t="n"/>
      <c r="I41" s="13" t="n"/>
      <c r="J41" s="11" t="n"/>
      <c r="K41" s="11" t="n"/>
      <c r="L41" s="11" t="n"/>
    </row>
    <row r="42" ht="22" customHeight="1">
      <c r="B42" s="17">
        <f>IF(C42="","NGO-"&amp;TEXT(COUNTA($C$5:C42),"000"))</f>
        <v/>
      </c>
      <c r="C42" s="14" t="n"/>
      <c r="D42" s="14" t="n"/>
      <c r="E42" s="29" t="n"/>
      <c r="F42" s="29" t="n"/>
      <c r="G42" s="14" t="n"/>
      <c r="H42" s="14" t="n"/>
      <c r="I42" s="16" t="n"/>
      <c r="J42" s="14" t="n"/>
      <c r="K42" s="14" t="n"/>
      <c r="L42" s="14" t="n"/>
    </row>
    <row r="43" ht="22" customHeight="1">
      <c r="B43" s="18">
        <f>IF(C43="","NGO-"&amp;TEXT(COUNTA($C$5:C43),"000"))</f>
        <v/>
      </c>
      <c r="C43" s="11" t="n"/>
      <c r="D43" s="11" t="n"/>
      <c r="E43" s="28" t="n"/>
      <c r="F43" s="28" t="n"/>
      <c r="G43" s="11" t="n"/>
      <c r="H43" s="11" t="n"/>
      <c r="I43" s="13" t="n"/>
      <c r="J43" s="11" t="n"/>
      <c r="K43" s="11" t="n"/>
      <c r="L43" s="11" t="n"/>
    </row>
    <row r="44" ht="22" customHeight="1">
      <c r="B44" s="17">
        <f>IF(C44="","NGO-"&amp;TEXT(COUNTA($C$5:C44),"000"))</f>
        <v/>
      </c>
      <c r="C44" s="14" t="n"/>
      <c r="D44" s="14" t="n"/>
      <c r="E44" s="29" t="n"/>
      <c r="F44" s="29" t="n"/>
      <c r="G44" s="14" t="n"/>
      <c r="H44" s="14" t="n"/>
      <c r="I44" s="16" t="n"/>
      <c r="J44" s="14" t="n"/>
      <c r="K44" s="14" t="n"/>
      <c r="L44" s="14" t="n"/>
    </row>
    <row r="45" ht="22" customHeight="1">
      <c r="B45" s="18">
        <f>IF(C45="","NGO-"&amp;TEXT(COUNTA($C$5:C45),"000"))</f>
        <v/>
      </c>
      <c r="C45" s="11" t="n"/>
      <c r="D45" s="11" t="n"/>
      <c r="E45" s="28" t="n"/>
      <c r="F45" s="28" t="n"/>
      <c r="G45" s="11" t="n"/>
      <c r="H45" s="11" t="n"/>
      <c r="I45" s="13" t="n"/>
      <c r="J45" s="11" t="n"/>
      <c r="K45" s="11" t="n"/>
      <c r="L45" s="11" t="n"/>
    </row>
    <row r="46" ht="22" customHeight="1">
      <c r="B46" s="17">
        <f>IF(C46="","NGO-"&amp;TEXT(COUNTA($C$5:C46),"000"))</f>
        <v/>
      </c>
      <c r="C46" s="14" t="n"/>
      <c r="D46" s="14" t="n"/>
      <c r="E46" s="29" t="n"/>
      <c r="F46" s="29" t="n"/>
      <c r="G46" s="14" t="n"/>
      <c r="H46" s="14" t="n"/>
      <c r="I46" s="16" t="n"/>
      <c r="J46" s="14" t="n"/>
      <c r="K46" s="14" t="n"/>
      <c r="L46" s="14" t="n"/>
    </row>
    <row r="47" ht="22" customHeight="1">
      <c r="B47" s="18">
        <f>IF(C47="","NGO-"&amp;TEXT(COUNTA($C$5:C47),"000"))</f>
        <v/>
      </c>
      <c r="C47" s="11" t="n"/>
      <c r="D47" s="11" t="n"/>
      <c r="E47" s="28" t="n"/>
      <c r="F47" s="28" t="n"/>
      <c r="G47" s="11" t="n"/>
      <c r="H47" s="11" t="n"/>
      <c r="I47" s="13" t="n"/>
      <c r="J47" s="11" t="n"/>
      <c r="K47" s="11" t="n"/>
      <c r="L47" s="11" t="n"/>
    </row>
    <row r="48" ht="22" customHeight="1">
      <c r="B48" s="17">
        <f>IF(C48="","NGO-"&amp;TEXT(COUNTA($C$5:C48),"000"))</f>
        <v/>
      </c>
      <c r="C48" s="14" t="n"/>
      <c r="D48" s="14" t="n"/>
      <c r="E48" s="29" t="n"/>
      <c r="F48" s="29" t="n"/>
      <c r="G48" s="14" t="n"/>
      <c r="H48" s="14" t="n"/>
      <c r="I48" s="16" t="n"/>
      <c r="J48" s="14" t="n"/>
      <c r="K48" s="14" t="n"/>
      <c r="L48" s="14" t="n"/>
    </row>
    <row r="49" ht="22" customHeight="1">
      <c r="B49" s="18">
        <f>IF(C49="","NGO-"&amp;TEXT(COUNTA($C$5:C49),"000"))</f>
        <v/>
      </c>
      <c r="C49" s="11" t="n"/>
      <c r="D49" s="11" t="n"/>
      <c r="E49" s="28" t="n"/>
      <c r="F49" s="28" t="n"/>
      <c r="G49" s="11" t="n"/>
      <c r="H49" s="11" t="n"/>
      <c r="I49" s="13" t="n"/>
      <c r="J49" s="11" t="n"/>
      <c r="K49" s="11" t="n"/>
      <c r="L49" s="11" t="n"/>
    </row>
    <row r="50" ht="22" customHeight="1">
      <c r="B50" s="17">
        <f>IF(C50="","NGO-"&amp;TEXT(COUNTA($C$5:C50),"000"))</f>
        <v/>
      </c>
      <c r="C50" s="14" t="n"/>
      <c r="D50" s="14" t="n"/>
      <c r="E50" s="29" t="n"/>
      <c r="F50" s="29" t="n"/>
      <c r="G50" s="14" t="n"/>
      <c r="H50" s="14" t="n"/>
      <c r="I50" s="16" t="n"/>
      <c r="J50" s="14" t="n"/>
      <c r="K50" s="14" t="n"/>
      <c r="L50" s="14" t="n"/>
    </row>
    <row r="51" ht="22" customHeight="1">
      <c r="B51" s="18">
        <f>IF(C51="","NGO-"&amp;TEXT(COUNTA($C$5:C51),"000"))</f>
        <v/>
      </c>
      <c r="C51" s="11" t="n"/>
      <c r="D51" s="11" t="n"/>
      <c r="E51" s="28" t="n"/>
      <c r="F51" s="28" t="n"/>
      <c r="G51" s="11" t="n"/>
      <c r="H51" s="11" t="n"/>
      <c r="I51" s="13" t="n"/>
      <c r="J51" s="11" t="n"/>
      <c r="K51" s="11" t="n"/>
      <c r="L51" s="11" t="n"/>
    </row>
    <row r="52" ht="22" customHeight="1">
      <c r="B52" s="17">
        <f>IF(C52="","NGO-"&amp;TEXT(COUNTA($C$5:C52),"000"))</f>
        <v/>
      </c>
      <c r="C52" s="14" t="n"/>
      <c r="D52" s="14" t="n"/>
      <c r="E52" s="29" t="n"/>
      <c r="F52" s="29" t="n"/>
      <c r="G52" s="14" t="n"/>
      <c r="H52" s="14" t="n"/>
      <c r="I52" s="16" t="n"/>
      <c r="J52" s="14" t="n"/>
      <c r="K52" s="14" t="n"/>
      <c r="L52" s="14" t="n"/>
    </row>
    <row r="53" ht="22" customHeight="1">
      <c r="B53" s="18">
        <f>IF(C53="","NGO-"&amp;TEXT(COUNTA($C$5:C53),"000"))</f>
        <v/>
      </c>
      <c r="C53" s="11" t="n"/>
      <c r="D53" s="11" t="n"/>
      <c r="E53" s="28" t="n"/>
      <c r="F53" s="28" t="n"/>
      <c r="G53" s="11" t="n"/>
      <c r="H53" s="11" t="n"/>
      <c r="I53" s="13" t="n"/>
      <c r="J53" s="11" t="n"/>
      <c r="K53" s="11" t="n"/>
      <c r="L53" s="11" t="n"/>
    </row>
    <row r="54" ht="22" customHeight="1">
      <c r="B54" s="17">
        <f>IF(C54="","NGO-"&amp;TEXT(COUNTA($C$5:C54),"000"))</f>
        <v/>
      </c>
      <c r="C54" s="14" t="n"/>
      <c r="D54" s="14" t="n"/>
      <c r="E54" s="29" t="n"/>
      <c r="F54" s="29" t="n"/>
      <c r="G54" s="14" t="n"/>
      <c r="H54" s="14" t="n"/>
      <c r="I54" s="16" t="n"/>
      <c r="J54" s="14" t="n"/>
      <c r="K54" s="14" t="n"/>
      <c r="L54" s="14" t="n"/>
    </row>
    <row r="55" ht="22" customHeight="1">
      <c r="B55" s="18">
        <f>IF(C55="","NGO-"&amp;TEXT(COUNTA($C$5:C55),"000"))</f>
        <v/>
      </c>
      <c r="C55" s="11" t="n"/>
      <c r="D55" s="11" t="n"/>
      <c r="E55" s="28" t="n"/>
      <c r="F55" s="28" t="n"/>
      <c r="G55" s="11" t="n"/>
      <c r="H55" s="11" t="n"/>
      <c r="I55" s="13" t="n"/>
      <c r="J55" s="11" t="n"/>
      <c r="K55" s="11" t="n"/>
      <c r="L55" s="11" t="n"/>
    </row>
    <row r="56" ht="22" customHeight="1">
      <c r="B56" s="17">
        <f>IF(C56="","NGO-"&amp;TEXT(COUNTA($C$5:C56),"000"))</f>
        <v/>
      </c>
      <c r="C56" s="14" t="n"/>
      <c r="D56" s="14" t="n"/>
      <c r="E56" s="29" t="n"/>
      <c r="F56" s="29" t="n"/>
      <c r="G56" s="14" t="n"/>
      <c r="H56" s="14" t="n"/>
      <c r="I56" s="16" t="n"/>
      <c r="J56" s="14" t="n"/>
      <c r="K56" s="14" t="n"/>
      <c r="L56" s="14" t="n"/>
    </row>
    <row r="57" ht="22" customHeight="1">
      <c r="B57" s="18">
        <f>IF(C57="","NGO-"&amp;TEXT(COUNTA($C$5:C57),"000"))</f>
        <v/>
      </c>
      <c r="C57" s="11" t="n"/>
      <c r="D57" s="11" t="n"/>
      <c r="E57" s="28" t="n"/>
      <c r="F57" s="28" t="n"/>
      <c r="G57" s="11" t="n"/>
      <c r="H57" s="11" t="n"/>
      <c r="I57" s="13" t="n"/>
      <c r="J57" s="11" t="n"/>
      <c r="K57" s="11" t="n"/>
      <c r="L57" s="11" t="n"/>
    </row>
    <row r="58" ht="22" customHeight="1">
      <c r="B58" s="17">
        <f>IF(C58="","NGO-"&amp;TEXT(COUNTA($C$5:C58),"000"))</f>
        <v/>
      </c>
      <c r="C58" s="14" t="n"/>
      <c r="D58" s="14" t="n"/>
      <c r="E58" s="29" t="n"/>
      <c r="F58" s="29" t="n"/>
      <c r="G58" s="14" t="n"/>
      <c r="H58" s="14" t="n"/>
      <c r="I58" s="16" t="n"/>
      <c r="J58" s="14" t="n"/>
      <c r="K58" s="14" t="n"/>
      <c r="L58" s="14" t="n"/>
    </row>
    <row r="59" ht="22" customHeight="1">
      <c r="B59" s="18">
        <f>IF(C59="","NGO-"&amp;TEXT(COUNTA($C$5:C59),"000"))</f>
        <v/>
      </c>
      <c r="C59" s="11" t="n"/>
      <c r="D59" s="11" t="n"/>
      <c r="E59" s="28" t="n"/>
      <c r="F59" s="28" t="n"/>
      <c r="G59" s="11" t="n"/>
      <c r="H59" s="11" t="n"/>
      <c r="I59" s="13" t="n"/>
      <c r="J59" s="11" t="n"/>
      <c r="K59" s="11" t="n"/>
      <c r="L59" s="11" t="n"/>
    </row>
    <row r="60" ht="22" customHeight="1">
      <c r="B60" s="17">
        <f>IF(C60="","NGO-"&amp;TEXT(COUNTA($C$5:C60),"000"))</f>
        <v/>
      </c>
      <c r="C60" s="14" t="n"/>
      <c r="D60" s="14" t="n"/>
      <c r="E60" s="29" t="n"/>
      <c r="F60" s="29" t="n"/>
      <c r="G60" s="14" t="n"/>
      <c r="H60" s="14" t="n"/>
      <c r="I60" s="16" t="n"/>
      <c r="J60" s="14" t="n"/>
      <c r="K60" s="14" t="n"/>
      <c r="L60" s="14" t="n"/>
    </row>
    <row r="61" ht="22" customHeight="1">
      <c r="B61" s="18">
        <f>IF(C61="","NGO-"&amp;TEXT(COUNTA($C$5:C61),"000"))</f>
        <v/>
      </c>
      <c r="C61" s="11" t="n"/>
      <c r="D61" s="11" t="n"/>
      <c r="E61" s="28" t="n"/>
      <c r="F61" s="28" t="n"/>
      <c r="G61" s="11" t="n"/>
      <c r="H61" s="11" t="n"/>
      <c r="I61" s="13" t="n"/>
      <c r="J61" s="11" t="n"/>
      <c r="K61" s="11" t="n"/>
      <c r="L61" s="11" t="n"/>
    </row>
    <row r="62" ht="22" customHeight="1">
      <c r="B62" s="17">
        <f>IF(C62="","NGO-"&amp;TEXT(COUNTA($C$5:C62),"000"))</f>
        <v/>
      </c>
      <c r="C62" s="14" t="n"/>
      <c r="D62" s="14" t="n"/>
      <c r="E62" s="29" t="n"/>
      <c r="F62" s="29" t="n"/>
      <c r="G62" s="14" t="n"/>
      <c r="H62" s="14" t="n"/>
      <c r="I62" s="16" t="n"/>
      <c r="J62" s="14" t="n"/>
      <c r="K62" s="14" t="n"/>
      <c r="L62" s="14" t="n"/>
    </row>
    <row r="63" ht="22" customHeight="1">
      <c r="B63" s="18">
        <f>IF(C63="","NGO-"&amp;TEXT(COUNTA($C$5:C63),"000"))</f>
        <v/>
      </c>
      <c r="C63" s="11" t="n"/>
      <c r="D63" s="11" t="n"/>
      <c r="E63" s="28" t="n"/>
      <c r="F63" s="28" t="n"/>
      <c r="G63" s="11" t="n"/>
      <c r="H63" s="11" t="n"/>
      <c r="I63" s="13" t="n"/>
      <c r="J63" s="11" t="n"/>
      <c r="K63" s="11" t="n"/>
      <c r="L63" s="11" t="n"/>
    </row>
    <row r="64" ht="22" customHeight="1">
      <c r="B64" s="17">
        <f>IF(C64="","NGO-"&amp;TEXT(COUNTA($C$5:C64),"000"))</f>
        <v/>
      </c>
      <c r="C64" s="14" t="n"/>
      <c r="D64" s="14" t="n"/>
      <c r="E64" s="29" t="n"/>
      <c r="F64" s="29" t="n"/>
      <c r="G64" s="14" t="n"/>
      <c r="H64" s="14" t="n"/>
      <c r="I64" s="16" t="n"/>
      <c r="J64" s="14" t="n"/>
      <c r="K64" s="14" t="n"/>
      <c r="L64" s="14" t="n"/>
    </row>
    <row r="65" ht="22" customHeight="1">
      <c r="B65" s="18">
        <f>IF(C65="","NGO-"&amp;TEXT(COUNTA($C$5:C65),"000"))</f>
        <v/>
      </c>
      <c r="C65" s="11" t="n"/>
      <c r="D65" s="11" t="n"/>
      <c r="E65" s="28" t="n"/>
      <c r="F65" s="28" t="n"/>
      <c r="G65" s="11" t="n"/>
      <c r="H65" s="11" t="n"/>
      <c r="I65" s="13" t="n"/>
      <c r="J65" s="11" t="n"/>
      <c r="K65" s="11" t="n"/>
      <c r="L65" s="11" t="n"/>
    </row>
    <row r="66" ht="22" customHeight="1">
      <c r="B66" s="17">
        <f>IF(C66="","NGO-"&amp;TEXT(COUNTA($C$5:C66),"000"))</f>
        <v/>
      </c>
      <c r="C66" s="14" t="n"/>
      <c r="D66" s="14" t="n"/>
      <c r="E66" s="29" t="n"/>
      <c r="F66" s="29" t="n"/>
      <c r="G66" s="14" t="n"/>
      <c r="H66" s="14" t="n"/>
      <c r="I66" s="16" t="n"/>
      <c r="J66" s="14" t="n"/>
      <c r="K66" s="14" t="n"/>
      <c r="L66" s="14" t="n"/>
    </row>
    <row r="67" ht="22" customHeight="1">
      <c r="B67" s="18">
        <f>IF(C67="","NGO-"&amp;TEXT(COUNTA($C$5:C67),"000"))</f>
        <v/>
      </c>
      <c r="C67" s="11" t="n"/>
      <c r="D67" s="11" t="n"/>
      <c r="E67" s="28" t="n"/>
      <c r="F67" s="28" t="n"/>
      <c r="G67" s="11" t="n"/>
      <c r="H67" s="11" t="n"/>
      <c r="I67" s="13" t="n"/>
      <c r="J67" s="11" t="n"/>
      <c r="K67" s="11" t="n"/>
      <c r="L67" s="11" t="n"/>
    </row>
    <row r="68" ht="22" customHeight="1">
      <c r="B68" s="17">
        <f>IF(C68="","NGO-"&amp;TEXT(COUNTA($C$5:C68),"000"))</f>
        <v/>
      </c>
      <c r="C68" s="14" t="n"/>
      <c r="D68" s="14" t="n"/>
      <c r="E68" s="29" t="n"/>
      <c r="F68" s="29" t="n"/>
      <c r="G68" s="14" t="n"/>
      <c r="H68" s="14" t="n"/>
      <c r="I68" s="16" t="n"/>
      <c r="J68" s="14" t="n"/>
      <c r="K68" s="14" t="n"/>
      <c r="L68" s="14" t="n"/>
    </row>
    <row r="69" ht="22" customHeight="1">
      <c r="B69" s="18">
        <f>IF(C69="","NGO-"&amp;TEXT(COUNTA($C$5:C69),"000"))</f>
        <v/>
      </c>
      <c r="C69" s="11" t="n"/>
      <c r="D69" s="11" t="n"/>
      <c r="E69" s="28" t="n"/>
      <c r="F69" s="28" t="n"/>
      <c r="G69" s="11" t="n"/>
      <c r="H69" s="11" t="n"/>
      <c r="I69" s="13" t="n"/>
      <c r="J69" s="11" t="n"/>
      <c r="K69" s="11" t="n"/>
      <c r="L69" s="11" t="n"/>
    </row>
    <row r="70" ht="22" customHeight="1">
      <c r="B70" s="17">
        <f>IF(C70="","NGO-"&amp;TEXT(COUNTA($C$5:C70),"000"))</f>
        <v/>
      </c>
      <c r="C70" s="14" t="n"/>
      <c r="D70" s="14" t="n"/>
      <c r="E70" s="29" t="n"/>
      <c r="F70" s="29" t="n"/>
      <c r="G70" s="14" t="n"/>
      <c r="H70" s="14" t="n"/>
      <c r="I70" s="16" t="n"/>
      <c r="J70" s="14" t="n"/>
      <c r="K70" s="14" t="n"/>
      <c r="L70" s="14" t="n"/>
    </row>
    <row r="71" ht="22" customHeight="1">
      <c r="B71" s="18">
        <f>IF(C71="","NGO-"&amp;TEXT(COUNTA($C$5:C71),"000"))</f>
        <v/>
      </c>
      <c r="C71" s="11" t="n"/>
      <c r="D71" s="11" t="n"/>
      <c r="E71" s="28" t="n"/>
      <c r="F71" s="28" t="n"/>
      <c r="G71" s="11" t="n"/>
      <c r="H71" s="11" t="n"/>
      <c r="I71" s="13" t="n"/>
      <c r="J71" s="11" t="n"/>
      <c r="K71" s="11" t="n"/>
      <c r="L71" s="11" t="n"/>
    </row>
    <row r="72" ht="22" customHeight="1">
      <c r="B72" s="17">
        <f>IF(C72="","NGO-"&amp;TEXT(COUNTA($C$5:C72),"000"))</f>
        <v/>
      </c>
      <c r="C72" s="14" t="n"/>
      <c r="D72" s="14" t="n"/>
      <c r="E72" s="29" t="n"/>
      <c r="F72" s="29" t="n"/>
      <c r="G72" s="14" t="n"/>
      <c r="H72" s="14" t="n"/>
      <c r="I72" s="16" t="n"/>
      <c r="J72" s="14" t="n"/>
      <c r="K72" s="14" t="n"/>
      <c r="L72" s="14" t="n"/>
    </row>
    <row r="73" ht="22" customHeight="1">
      <c r="B73" s="18">
        <f>IF(C73="","NGO-"&amp;TEXT(COUNTA($C$5:C73),"000"))</f>
        <v/>
      </c>
      <c r="C73" s="11" t="n"/>
      <c r="D73" s="11" t="n"/>
      <c r="E73" s="28" t="n"/>
      <c r="F73" s="28" t="n"/>
      <c r="G73" s="11" t="n"/>
      <c r="H73" s="11" t="n"/>
      <c r="I73" s="13" t="n"/>
      <c r="J73" s="11" t="n"/>
      <c r="K73" s="11" t="n"/>
      <c r="L73" s="11" t="n"/>
    </row>
    <row r="74" ht="22" customHeight="1">
      <c r="B74" s="17">
        <f>IF(C74="","NGO-"&amp;TEXT(COUNTA($C$5:C74),"000"))</f>
        <v/>
      </c>
      <c r="C74" s="14" t="n"/>
      <c r="D74" s="14" t="n"/>
      <c r="E74" s="29" t="n"/>
      <c r="F74" s="29" t="n"/>
      <c r="G74" s="14" t="n"/>
      <c r="H74" s="14" t="n"/>
      <c r="I74" s="16" t="n"/>
      <c r="J74" s="14" t="n"/>
      <c r="K74" s="14" t="n"/>
      <c r="L74" s="14" t="n"/>
    </row>
    <row r="75" ht="22" customHeight="1">
      <c r="B75" s="18">
        <f>IF(C75="","NGO-"&amp;TEXT(COUNTA($C$5:C75),"000"))</f>
        <v/>
      </c>
      <c r="C75" s="11" t="n"/>
      <c r="D75" s="11" t="n"/>
      <c r="E75" s="28" t="n"/>
      <c r="F75" s="28" t="n"/>
      <c r="G75" s="11" t="n"/>
      <c r="H75" s="11" t="n"/>
      <c r="I75" s="13" t="n"/>
      <c r="J75" s="11" t="n"/>
      <c r="K75" s="11" t="n"/>
      <c r="L75" s="11" t="n"/>
    </row>
    <row r="76" ht="22" customHeight="1">
      <c r="B76" s="17">
        <f>IF(C76="","NGO-"&amp;TEXT(COUNTA($C$5:C76),"000"))</f>
        <v/>
      </c>
      <c r="C76" s="14" t="n"/>
      <c r="D76" s="14" t="n"/>
      <c r="E76" s="29" t="n"/>
      <c r="F76" s="29" t="n"/>
      <c r="G76" s="14" t="n"/>
      <c r="H76" s="14" t="n"/>
      <c r="I76" s="16" t="n"/>
      <c r="J76" s="14" t="n"/>
      <c r="K76" s="14" t="n"/>
      <c r="L76" s="14" t="n"/>
    </row>
    <row r="77" ht="22" customHeight="1">
      <c r="B77" s="18">
        <f>IF(C77="","NGO-"&amp;TEXT(COUNTA($C$5:C77),"000"))</f>
        <v/>
      </c>
      <c r="C77" s="11" t="n"/>
      <c r="D77" s="11" t="n"/>
      <c r="E77" s="28" t="n"/>
      <c r="F77" s="28" t="n"/>
      <c r="G77" s="11" t="n"/>
      <c r="H77" s="11" t="n"/>
      <c r="I77" s="13" t="n"/>
      <c r="J77" s="11" t="n"/>
      <c r="K77" s="11" t="n"/>
      <c r="L77" s="11" t="n"/>
    </row>
    <row r="78" ht="22" customHeight="1">
      <c r="B78" s="17">
        <f>IF(C78="","NGO-"&amp;TEXT(COUNTA($C$5:C78),"000"))</f>
        <v/>
      </c>
      <c r="C78" s="14" t="n"/>
      <c r="D78" s="14" t="n"/>
      <c r="E78" s="29" t="n"/>
      <c r="F78" s="29" t="n"/>
      <c r="G78" s="14" t="n"/>
      <c r="H78" s="14" t="n"/>
      <c r="I78" s="16" t="n"/>
      <c r="J78" s="14" t="n"/>
      <c r="K78" s="14" t="n"/>
      <c r="L78" s="14" t="n"/>
    </row>
    <row r="79" ht="22" customHeight="1">
      <c r="B79" s="18">
        <f>IF(C79="","NGO-"&amp;TEXT(COUNTA($C$5:C79),"000"))</f>
        <v/>
      </c>
      <c r="C79" s="11" t="n"/>
      <c r="D79" s="11" t="n"/>
      <c r="E79" s="28" t="n"/>
      <c r="F79" s="28" t="n"/>
      <c r="G79" s="11" t="n"/>
      <c r="H79" s="11" t="n"/>
      <c r="I79" s="13" t="n"/>
      <c r="J79" s="11" t="n"/>
      <c r="K79" s="11" t="n"/>
      <c r="L79" s="11" t="n"/>
    </row>
    <row r="80" ht="22" customHeight="1">
      <c r="B80" s="17">
        <f>IF(C80="","NGO-"&amp;TEXT(COUNTA($C$5:C80),"000"))</f>
        <v/>
      </c>
      <c r="C80" s="14" t="n"/>
      <c r="D80" s="14" t="n"/>
      <c r="E80" s="29" t="n"/>
      <c r="F80" s="29" t="n"/>
      <c r="G80" s="14" t="n"/>
      <c r="H80" s="14" t="n"/>
      <c r="I80" s="16" t="n"/>
      <c r="J80" s="14" t="n"/>
      <c r="K80" s="14" t="n"/>
      <c r="L80" s="14" t="n"/>
    </row>
    <row r="81" ht="22" customHeight="1">
      <c r="B81" s="18">
        <f>IF(C81="","NGO-"&amp;TEXT(COUNTA($C$5:C81),"000"))</f>
        <v/>
      </c>
      <c r="C81" s="11" t="n"/>
      <c r="D81" s="11" t="n"/>
      <c r="E81" s="28" t="n"/>
      <c r="F81" s="28" t="n"/>
      <c r="G81" s="11" t="n"/>
      <c r="H81" s="11" t="n"/>
      <c r="I81" s="13" t="n"/>
      <c r="J81" s="11" t="n"/>
      <c r="K81" s="11" t="n"/>
      <c r="L81" s="11" t="n"/>
    </row>
    <row r="82" ht="22" customHeight="1">
      <c r="B82" s="17">
        <f>IF(C82="","NGO-"&amp;TEXT(COUNTA($C$5:C82),"000"))</f>
        <v/>
      </c>
      <c r="C82" s="14" t="n"/>
      <c r="D82" s="14" t="n"/>
      <c r="E82" s="29" t="n"/>
      <c r="F82" s="29" t="n"/>
      <c r="G82" s="14" t="n"/>
      <c r="H82" s="14" t="n"/>
      <c r="I82" s="16" t="n"/>
      <c r="J82" s="14" t="n"/>
      <c r="K82" s="14" t="n"/>
      <c r="L82" s="14" t="n"/>
    </row>
    <row r="83" ht="22" customHeight="1">
      <c r="B83" s="18">
        <f>IF(C83="","NGO-"&amp;TEXT(COUNTA($C$5:C83),"000"))</f>
        <v/>
      </c>
      <c r="C83" s="11" t="n"/>
      <c r="D83" s="11" t="n"/>
      <c r="E83" s="28" t="n"/>
      <c r="F83" s="28" t="n"/>
      <c r="G83" s="11" t="n"/>
      <c r="H83" s="11" t="n"/>
      <c r="I83" s="13" t="n"/>
      <c r="J83" s="11" t="n"/>
      <c r="K83" s="11" t="n"/>
      <c r="L83" s="11" t="n"/>
    </row>
    <row r="84" ht="22" customHeight="1">
      <c r="B84" s="17">
        <f>IF(C84="","NGO-"&amp;TEXT(COUNTA($C$5:C84),"000"))</f>
        <v/>
      </c>
      <c r="C84" s="14" t="n"/>
      <c r="D84" s="14" t="n"/>
      <c r="E84" s="29" t="n"/>
      <c r="F84" s="29" t="n"/>
      <c r="G84" s="14" t="n"/>
      <c r="H84" s="14" t="n"/>
      <c r="I84" s="16" t="n"/>
      <c r="J84" s="14" t="n"/>
      <c r="K84" s="14" t="n"/>
      <c r="L84" s="14" t="n"/>
    </row>
    <row r="85" ht="22" customHeight="1">
      <c r="B85" s="18">
        <f>IF(C85="","NGO-"&amp;TEXT(COUNTA($C$5:C85),"000"))</f>
        <v/>
      </c>
      <c r="C85" s="11" t="n"/>
      <c r="D85" s="11" t="n"/>
      <c r="E85" s="28" t="n"/>
      <c r="F85" s="28" t="n"/>
      <c r="G85" s="11" t="n"/>
      <c r="H85" s="11" t="n"/>
      <c r="I85" s="13" t="n"/>
      <c r="J85" s="11" t="n"/>
      <c r="K85" s="11" t="n"/>
      <c r="L85" s="11" t="n"/>
    </row>
    <row r="86" ht="22" customHeight="1">
      <c r="B86" s="17">
        <f>IF(C86="","NGO-"&amp;TEXT(COUNTA($C$5:C86),"000"))</f>
        <v/>
      </c>
      <c r="C86" s="14" t="n"/>
      <c r="D86" s="14" t="n"/>
      <c r="E86" s="29" t="n"/>
      <c r="F86" s="29" t="n"/>
      <c r="G86" s="14" t="n"/>
      <c r="H86" s="14" t="n"/>
      <c r="I86" s="16" t="n"/>
      <c r="J86" s="14" t="n"/>
      <c r="K86" s="14" t="n"/>
      <c r="L86" s="14" t="n"/>
    </row>
    <row r="87" ht="22" customHeight="1">
      <c r="B87" s="18">
        <f>IF(C87="","NGO-"&amp;TEXT(COUNTA($C$5:C87),"000"))</f>
        <v/>
      </c>
      <c r="C87" s="11" t="n"/>
      <c r="D87" s="11" t="n"/>
      <c r="E87" s="28" t="n"/>
      <c r="F87" s="28" t="n"/>
      <c r="G87" s="11" t="n"/>
      <c r="H87" s="11" t="n"/>
      <c r="I87" s="13" t="n"/>
      <c r="J87" s="11" t="n"/>
      <c r="K87" s="11" t="n"/>
      <c r="L87" s="11" t="n"/>
    </row>
    <row r="88" ht="22" customHeight="1">
      <c r="B88" s="17">
        <f>IF(C88="","NGO-"&amp;TEXT(COUNTA($C$5:C88),"000"))</f>
        <v/>
      </c>
      <c r="C88" s="14" t="n"/>
      <c r="D88" s="14" t="n"/>
      <c r="E88" s="29" t="n"/>
      <c r="F88" s="29" t="n"/>
      <c r="G88" s="14" t="n"/>
      <c r="H88" s="14" t="n"/>
      <c r="I88" s="16" t="n"/>
      <c r="J88" s="14" t="n"/>
      <c r="K88" s="14" t="n"/>
      <c r="L88" s="14" t="n"/>
    </row>
    <row r="89" ht="22" customHeight="1">
      <c r="B89" s="18">
        <f>IF(C89="","NGO-"&amp;TEXT(COUNTA($C$5:C89),"000"))</f>
        <v/>
      </c>
      <c r="C89" s="11" t="n"/>
      <c r="D89" s="11" t="n"/>
      <c r="E89" s="28" t="n"/>
      <c r="F89" s="28" t="n"/>
      <c r="G89" s="11" t="n"/>
      <c r="H89" s="11" t="n"/>
      <c r="I89" s="13" t="n"/>
      <c r="J89" s="11" t="n"/>
      <c r="K89" s="11" t="n"/>
      <c r="L89" s="11" t="n"/>
    </row>
    <row r="90" ht="22" customHeight="1">
      <c r="B90" s="17">
        <f>IF(C90="","NGO-"&amp;TEXT(COUNTA($C$5:C90),"000"))</f>
        <v/>
      </c>
      <c r="C90" s="14" t="n"/>
      <c r="D90" s="14" t="n"/>
      <c r="E90" s="29" t="n"/>
      <c r="F90" s="29" t="n"/>
      <c r="G90" s="14" t="n"/>
      <c r="H90" s="14" t="n"/>
      <c r="I90" s="16" t="n"/>
      <c r="J90" s="14" t="n"/>
      <c r="K90" s="14" t="n"/>
      <c r="L90" s="14" t="n"/>
    </row>
    <row r="91" ht="22" customHeight="1">
      <c r="B91" s="18">
        <f>IF(C91="","NGO-"&amp;TEXT(COUNTA($C$5:C91),"000"))</f>
        <v/>
      </c>
      <c r="C91" s="11" t="n"/>
      <c r="D91" s="11" t="n"/>
      <c r="E91" s="28" t="n"/>
      <c r="F91" s="28" t="n"/>
      <c r="G91" s="11" t="n"/>
      <c r="H91" s="11" t="n"/>
      <c r="I91" s="13" t="n"/>
      <c r="J91" s="11" t="n"/>
      <c r="K91" s="11" t="n"/>
      <c r="L91" s="11" t="n"/>
    </row>
    <row r="92" ht="22" customHeight="1">
      <c r="B92" s="17">
        <f>IF(C92="","NGO-"&amp;TEXT(COUNTA($C$5:C92),"000"))</f>
        <v/>
      </c>
      <c r="C92" s="14" t="n"/>
      <c r="D92" s="14" t="n"/>
      <c r="E92" s="29" t="n"/>
      <c r="F92" s="29" t="n"/>
      <c r="G92" s="14" t="n"/>
      <c r="H92" s="14" t="n"/>
      <c r="I92" s="16" t="n"/>
      <c r="J92" s="14" t="n"/>
      <c r="K92" s="14" t="n"/>
      <c r="L92" s="14" t="n"/>
    </row>
    <row r="93" ht="22" customHeight="1">
      <c r="B93" s="18">
        <f>IF(C93="","NGO-"&amp;TEXT(COUNTA($C$5:C93),"000"))</f>
        <v/>
      </c>
      <c r="C93" s="11" t="n"/>
      <c r="D93" s="11" t="n"/>
      <c r="E93" s="28" t="n"/>
      <c r="F93" s="28" t="n"/>
      <c r="G93" s="11" t="n"/>
      <c r="H93" s="11" t="n"/>
      <c r="I93" s="13" t="n"/>
      <c r="J93" s="11" t="n"/>
      <c r="K93" s="11" t="n"/>
      <c r="L93" s="11" t="n"/>
    </row>
    <row r="94" ht="22" customHeight="1">
      <c r="B94" s="17">
        <f>IF(C94="","NGO-"&amp;TEXT(COUNTA($C$5:C94),"000"))</f>
        <v/>
      </c>
      <c r="C94" s="14" t="n"/>
      <c r="D94" s="14" t="n"/>
      <c r="E94" s="29" t="n"/>
      <c r="F94" s="29" t="n"/>
      <c r="G94" s="14" t="n"/>
      <c r="H94" s="14" t="n"/>
      <c r="I94" s="16" t="n"/>
      <c r="J94" s="14" t="n"/>
      <c r="K94" s="14" t="n"/>
      <c r="L94" s="14" t="n"/>
    </row>
    <row r="95" ht="22" customHeight="1">
      <c r="B95" s="18">
        <f>IF(C95="","NGO-"&amp;TEXT(COUNTA($C$5:C95),"000"))</f>
        <v/>
      </c>
      <c r="C95" s="11" t="n"/>
      <c r="D95" s="11" t="n"/>
      <c r="E95" s="28" t="n"/>
      <c r="F95" s="28" t="n"/>
      <c r="G95" s="11" t="n"/>
      <c r="H95" s="11" t="n"/>
      <c r="I95" s="13" t="n"/>
      <c r="J95" s="11" t="n"/>
      <c r="K95" s="11" t="n"/>
      <c r="L95" s="11" t="n"/>
    </row>
    <row r="96" ht="22" customHeight="1">
      <c r="B96" s="17">
        <f>IF(C96="","NGO-"&amp;TEXT(COUNTA($C$5:C96),"000"))</f>
        <v/>
      </c>
      <c r="C96" s="14" t="n"/>
      <c r="D96" s="14" t="n"/>
      <c r="E96" s="29" t="n"/>
      <c r="F96" s="29" t="n"/>
      <c r="G96" s="14" t="n"/>
      <c r="H96" s="14" t="n"/>
      <c r="I96" s="16" t="n"/>
      <c r="J96" s="14" t="n"/>
      <c r="K96" s="14" t="n"/>
      <c r="L96" s="14" t="n"/>
    </row>
    <row r="97" ht="22" customHeight="1">
      <c r="B97" s="18">
        <f>IF(C97="","NGO-"&amp;TEXT(COUNTA($C$5:C97),"000"))</f>
        <v/>
      </c>
      <c r="C97" s="11" t="n"/>
      <c r="D97" s="11" t="n"/>
      <c r="E97" s="28" t="n"/>
      <c r="F97" s="28" t="n"/>
      <c r="G97" s="11" t="n"/>
      <c r="H97" s="11" t="n"/>
      <c r="I97" s="13" t="n"/>
      <c r="J97" s="11" t="n"/>
      <c r="K97" s="11" t="n"/>
      <c r="L97" s="11" t="n"/>
    </row>
    <row r="98" ht="22" customHeight="1">
      <c r="B98" s="17">
        <f>IF(C98="","NGO-"&amp;TEXT(COUNTA($C$5:C98),"000"))</f>
        <v/>
      </c>
      <c r="C98" s="14" t="n"/>
      <c r="D98" s="14" t="n"/>
      <c r="E98" s="29" t="n"/>
      <c r="F98" s="29" t="n"/>
      <c r="G98" s="14" t="n"/>
      <c r="H98" s="14" t="n"/>
      <c r="I98" s="16" t="n"/>
      <c r="J98" s="14" t="n"/>
      <c r="K98" s="14" t="n"/>
      <c r="L98" s="14" t="n"/>
    </row>
    <row r="99" ht="22" customHeight="1">
      <c r="B99" s="18">
        <f>IF(C99="","NGO-"&amp;TEXT(COUNTA($C$5:C99),"000"))</f>
        <v/>
      </c>
      <c r="C99" s="11" t="n"/>
      <c r="D99" s="11" t="n"/>
      <c r="E99" s="28" t="n"/>
      <c r="F99" s="28" t="n"/>
      <c r="G99" s="11" t="n"/>
      <c r="H99" s="11" t="n"/>
      <c r="I99" s="13" t="n"/>
      <c r="J99" s="11" t="n"/>
      <c r="K99" s="11" t="n"/>
      <c r="L99" s="11" t="n"/>
    </row>
    <row r="100" ht="22" customHeight="1">
      <c r="B100" s="17">
        <f>IF(C100="","NGO-"&amp;TEXT(COUNTA($C$5:C100),"000"))</f>
        <v/>
      </c>
      <c r="C100" s="14" t="n"/>
      <c r="D100" s="14" t="n"/>
      <c r="E100" s="29" t="n"/>
      <c r="F100" s="29" t="n"/>
      <c r="G100" s="14" t="n"/>
      <c r="H100" s="14" t="n"/>
      <c r="I100" s="16" t="n"/>
      <c r="J100" s="14" t="n"/>
      <c r="K100" s="14" t="n"/>
      <c r="L100" s="14" t="n"/>
    </row>
    <row r="101" ht="22" customHeight="1">
      <c r="B101" s="18">
        <f>IF(C101="","NGO-"&amp;TEXT(COUNTA($C$5:C101),"000"))</f>
        <v/>
      </c>
      <c r="C101" s="11" t="n"/>
      <c r="D101" s="11" t="n"/>
      <c r="E101" s="28" t="n"/>
      <c r="F101" s="28" t="n"/>
      <c r="G101" s="11" t="n"/>
      <c r="H101" s="11" t="n"/>
      <c r="I101" s="13" t="n"/>
      <c r="J101" s="11" t="n"/>
      <c r="K101" s="11" t="n"/>
      <c r="L101" s="11" t="n"/>
    </row>
    <row r="102" ht="22" customHeight="1">
      <c r="B102" s="17">
        <f>IF(C102="","NGO-"&amp;TEXT(COUNTA($C$5:C102),"000"))</f>
        <v/>
      </c>
      <c r="C102" s="14" t="n"/>
      <c r="D102" s="14" t="n"/>
      <c r="E102" s="29" t="n"/>
      <c r="F102" s="29" t="n"/>
      <c r="G102" s="14" t="n"/>
      <c r="H102" s="14" t="n"/>
      <c r="I102" s="16" t="n"/>
      <c r="J102" s="14" t="n"/>
      <c r="K102" s="14" t="n"/>
      <c r="L102" s="14" t="n"/>
    </row>
    <row r="103" ht="22" customHeight="1">
      <c r="B103" s="18">
        <f>IF(C103="","NGO-"&amp;TEXT(COUNTA($C$5:C103),"000"))</f>
        <v/>
      </c>
      <c r="C103" s="11" t="n"/>
      <c r="D103" s="11" t="n"/>
      <c r="E103" s="28" t="n"/>
      <c r="F103" s="28" t="n"/>
      <c r="G103" s="11" t="n"/>
      <c r="H103" s="11" t="n"/>
      <c r="I103" s="13" t="n"/>
      <c r="J103" s="11" t="n"/>
      <c r="K103" s="11" t="n"/>
      <c r="L103" s="11" t="n"/>
    </row>
    <row r="104" ht="22" customHeight="1">
      <c r="B104" s="17">
        <f>IF(C104="","NGO-"&amp;TEXT(COUNTA($C$5:C104),"000"))</f>
        <v/>
      </c>
      <c r="C104" s="14" t="n"/>
      <c r="D104" s="14" t="n"/>
      <c r="E104" s="29" t="n"/>
      <c r="F104" s="29" t="n"/>
      <c r="G104" s="14" t="n"/>
      <c r="H104" s="14" t="n"/>
      <c r="I104" s="16" t="n"/>
      <c r="J104" s="14" t="n"/>
      <c r="K104" s="14" t="n"/>
      <c r="L104" s="14" t="n"/>
    </row>
    <row r="105" ht="22" customHeight="1">
      <c r="B105" s="18">
        <f>IF(C105="","NGO-"&amp;TEXT(COUNTA($C$5:C105),"000"))</f>
        <v/>
      </c>
      <c r="C105" s="11" t="n"/>
      <c r="D105" s="11" t="n"/>
      <c r="E105" s="28" t="n"/>
      <c r="F105" s="28" t="n"/>
      <c r="G105" s="11" t="n"/>
      <c r="H105" s="11" t="n"/>
      <c r="I105" s="13" t="n"/>
      <c r="J105" s="11" t="n"/>
      <c r="K105" s="11" t="n"/>
      <c r="L105" s="11" t="n"/>
    </row>
    <row r="106" ht="22" customHeight="1">
      <c r="B106" s="17">
        <f>IF(C106="","NGO-"&amp;TEXT(COUNTA($C$5:C106),"000"))</f>
        <v/>
      </c>
      <c r="C106" s="14" t="n"/>
      <c r="D106" s="14" t="n"/>
      <c r="E106" s="29" t="n"/>
      <c r="F106" s="29" t="n"/>
      <c r="G106" s="14" t="n"/>
      <c r="H106" s="14" t="n"/>
      <c r="I106" s="16" t="n"/>
      <c r="J106" s="14" t="n"/>
      <c r="K106" s="14" t="n"/>
      <c r="L106" s="14" t="n"/>
    </row>
    <row r="107" ht="22" customHeight="1">
      <c r="B107" s="18">
        <f>IF(C107="","NGO-"&amp;TEXT(COUNTA($C$5:C107),"000"))</f>
        <v/>
      </c>
      <c r="C107" s="11" t="n"/>
      <c r="D107" s="11" t="n"/>
      <c r="E107" s="28" t="n"/>
      <c r="F107" s="28" t="n"/>
      <c r="G107" s="11" t="n"/>
      <c r="H107" s="11" t="n"/>
      <c r="I107" s="13" t="n"/>
      <c r="J107" s="11" t="n"/>
      <c r="K107" s="11" t="n"/>
      <c r="L107" s="11" t="n"/>
    </row>
    <row r="108" ht="22" customHeight="1">
      <c r="B108" s="17">
        <f>IF(C108="","NGO-"&amp;TEXT(COUNTA($C$5:C108),"000"))</f>
        <v/>
      </c>
      <c r="C108" s="14" t="n"/>
      <c r="D108" s="14" t="n"/>
      <c r="E108" s="29" t="n"/>
      <c r="F108" s="29" t="n"/>
      <c r="G108" s="14" t="n"/>
      <c r="H108" s="14" t="n"/>
      <c r="I108" s="16" t="n"/>
      <c r="J108" s="14" t="n"/>
      <c r="K108" s="14" t="n"/>
      <c r="L108" s="14" t="n"/>
    </row>
    <row r="110" ht="26" customHeight="1">
      <c r="B110" s="19" t="inlineStr">
        <is>
          <t>TOTAL</t>
        </is>
      </c>
      <c r="C110" s="20" t="n"/>
      <c r="D110" s="20" t="n"/>
      <c r="E110" s="20" t="n"/>
      <c r="F110" s="20" t="n"/>
      <c r="G110" s="20" t="n"/>
      <c r="H110" s="20" t="n"/>
      <c r="I110" s="21">
        <f>SUM(I5:I104)</f>
        <v/>
      </c>
      <c r="J110" s="20" t="n"/>
      <c r="K110" s="20" t="n"/>
      <c r="L110" s="20" t="n"/>
    </row>
    <row r="112">
      <c r="B112" s="5" t="inlineStr">
        <is>
          <t>INDICATEURS (mis a jour automatiquement)</t>
        </is>
      </c>
    </row>
    <row r="113">
      <c r="B113" s="3" t="inlineStr">
        <is>
          <t>Negociations</t>
        </is>
      </c>
      <c r="D113" s="3" t="inlineStr">
        <is>
          <t>Terminees</t>
        </is>
      </c>
      <c r="F113" s="3" t="inlineStr">
        <is>
          <t>En cours</t>
        </is>
      </c>
      <c r="H113" s="3" t="inlineStr">
        <is>
          <t>Total sessions</t>
        </is>
      </c>
    </row>
    <row r="114">
      <c r="B114" s="4">
        <f>COUNTIF(B5:B104,"&lt;&gt;")</f>
        <v/>
      </c>
      <c r="D114" s="4">
        <f>COUNTIF(L5:L104,"Terminee")</f>
        <v/>
      </c>
      <c r="F114" s="4">
        <f>COUNTIF(L5:L104,"En cours")</f>
        <v/>
      </c>
      <c r="H114" s="4">
        <f>SUM(I5:I104)</f>
        <v/>
      </c>
    </row>
  </sheetData>
  <mergeCells count="3">
    <mergeCell ref="B2:L2"/>
    <mergeCell ref="B112:L112"/>
    <mergeCell ref="B3:L3"/>
  </mergeCells>
  <conditionalFormatting sqref="L5:L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1">
      <formula>"En attente"</formula>
    </cfRule>
    <cfRule type="cellIs" priority="45" operator="equal" dxfId="1">
      <formula>"A renouveler"</formula>
    </cfRule>
    <cfRule type="cellIs" priority="46" operator="equal" dxfId="1">
      <formula>"En cours"</formula>
    </cfRule>
    <cfRule type="cellIs" priority="47" operator="equal" dxfId="1">
      <formula>"En traitement"</formula>
    </cfRule>
    <cfRule type="cellIs" priority="48" operator="equal" dxfId="1">
      <formula>"En retard"</formula>
    </cfRule>
    <cfRule type="cellIs" priority="49" operator="equal" dxfId="1">
      <formula>"Suspendu"</formula>
    </cfRule>
    <cfRule type="cellIs" priority="50" operator="equal" dxfId="1">
      <formula>"Planifie"</formula>
    </cfRule>
    <cfRule type="cellIs" priority="51" operator="equal" dxfId="1">
      <formula>"Planifiee"</formula>
    </cfRule>
    <cfRule type="cellIs" priority="52" operator="equal" dxfId="1">
      <formula>"Brouillon"</formula>
    </cfRule>
    <cfRule type="cellIs" priority="53" operator="equal" dxfId="1">
      <formula>"En attente de justification"</formula>
    </cfRule>
    <cfRule type="cellIs" priority="54" operator="equal" dxfId="1">
      <formula>"Tolere"</formula>
    </cfRule>
    <cfRule type="cellIs" priority="55" operator="equal" dxfId="1">
      <formula>"Variable"</formula>
    </cfRule>
    <cfRule type="cellIs" priority="56" operator="equal" dxfId="1">
      <formula>"En elaboration"</formula>
    </cfRule>
    <cfRule type="cellIs" priority="57" operator="equal" dxfId="1">
      <formula>"Provisionne"</formula>
    </cfRule>
    <cfRule type="cellIs" priority="58" operator="equal" dxfId="1">
      <formula>"Consomme partiel"</formula>
    </cfRule>
    <cfRule type="cellIs" priority="59" operator="equal" dxfId="1">
      <formula>"Identifie"</formula>
    </cfRule>
    <cfRule type="cellIs" priority="60" operator="equal" dxfId="1">
      <formula>"Priorise"</formula>
    </cfRule>
    <cfRule type="cellIs" priority="61" operator="equal" dxfId="1">
      <formula>"Intermediaire"</formula>
    </cfRule>
    <cfRule type="cellIs" priority="62" operator="equal" dxfId="1">
      <formula>"Non evalue"</formula>
    </cfRule>
    <cfRule type="cellIs" priority="63" operator="equal" dxfId="1">
      <formula>"En cours de realisation"</formula>
    </cfRule>
    <cfRule type="cellIs" priority="64" operator="equal" dxfId="1">
      <formula>"Non demarre"</formula>
    </cfRule>
    <cfRule type="cellIs" priority="65" operator="equal" dxfId="1">
      <formula>"En attente N+1"</formula>
    </cfRule>
    <cfRule type="cellIs" priority="66" operator="equal" dxfId="1">
      <formula>"Prolongation essai"</formula>
    </cfRule>
    <cfRule type="cellIs" priority="67" operator="equal" dxfId="1">
      <formula>"En attente validation"</formula>
    </cfRule>
    <cfRule type="cellIs" priority="68" operator="equal" dxfId="1">
      <formula>"Bon"</formula>
    </cfRule>
    <cfRule type="cellIs" priority="69" operator="equal" dxfId="1">
      <formula>"D - Moyen"</formula>
    </cfRule>
    <cfRule type="cellIs" priority="70" operator="equal" dxfId="1">
      <formula>"En cours de repres."</formula>
    </cfRule>
    <cfRule type="cellIs" priority="71" operator="equal" dxfId="1">
      <formula>"En negociation"</formula>
    </cfRule>
    <cfRule type="cellIs" priority="72" operator="equal" dxfId="1">
      <formula>"En preparation"</formula>
    </cfRule>
    <cfRule type="cellIs" priority="73" operator="equal" dxfId="1">
      <formula>"En cours d'instruction"</formula>
    </cfRule>
    <cfRule type="cellIs" priority="74" operator="equal" dxfId="1">
      <formula>"Transferee N+1"</formula>
    </cfRule>
    <cfRule type="cellIs" priority="75" operator="equal" dxfId="1">
      <formula>"En attente reponse"</formula>
    </cfRule>
    <cfRule type="cellIs" priority="76" operator="equal" dxfId="1">
      <formula>"Enquete ouverte"</formula>
    </cfRule>
    <cfRule type="cellIs" priority="77" operator="equal" dxfId="1">
      <formula>"Convocation envoyee"</formula>
    </cfRule>
    <cfRule type="cellIs" priority="78" operator="equal" dxfId="1">
      <formula>"Entretien realise"</formula>
    </cfRule>
    <cfRule type="cellIs" priority="79" operator="equal" dxfId="1">
      <formula>"Saisie"</formula>
    </cfRule>
    <cfRule type="cellIs" priority="80" operator="equal" dxfId="1">
      <formula>"En mediation"</formula>
    </cfRule>
    <cfRule type="cellIs" priority="81" operator="equal" dxfId="1">
      <formula>"En recours"</formula>
    </cfRule>
    <cfRule type="cellIs" priority="82" operator="equal" dxfId="1">
      <formula>"Reportee"</formula>
    </cfRule>
    <cfRule type="cellIs" priority="83" operator="equal" dxfId="1">
      <formula>"Signale"</formula>
    </cfRule>
    <cfRule type="cellIs" priority="84" operator="equal" dxfId="1">
      <formula>"Precontentieux"</formula>
    </cfRule>
    <cfRule type="cellIs" priority="85" operator="equal" dxfId="1">
      <formula>"En attente election"</formula>
    </cfRule>
    <cfRule type="cellIs" priority="86" operator="equal" dxfId="1">
      <formula>"Classe"</formula>
    </cfRule>
    <cfRule type="cellIs" priority="87" operator="equal" dxfId="2">
      <formula>"Expire"</formula>
    </cfRule>
    <cfRule type="cellIs" priority="88" operator="equal" dxfId="2">
      <formula>"Rejete"</formula>
    </cfRule>
    <cfRule type="cellIs" priority="89" operator="equal" dxfId="2">
      <formula>"Rejetee"</formula>
    </cfRule>
    <cfRule type="cellIs" priority="90" operator="equal" dxfId="2">
      <formula>"Resilie"</formula>
    </cfRule>
    <cfRule type="cellIs" priority="91" operator="equal" dxfId="2">
      <formula>"Annule"</formula>
    </cfRule>
    <cfRule type="cellIs" priority="92" operator="equal" dxfId="2">
      <formula>"Annulee"</formula>
    </cfRule>
    <cfRule type="cellIs" priority="93" operator="equal" dxfId="2">
      <formula>"Refuse"</formula>
    </cfRule>
    <cfRule type="cellIs" priority="94" operator="equal" dxfId="2">
      <formula>"Non justifie"</formula>
    </cfRule>
    <cfRule type="cellIs" priority="95" operator="equal" dxfId="2">
      <formula>"Non justifiee"</formula>
    </cfRule>
    <cfRule type="cellIs" priority="96" operator="equal" dxfId="2">
      <formula>"Sanctionne"</formula>
    </cfRule>
    <cfRule type="cellIs" priority="97" operator="equal" dxfId="2">
      <formula>"Inaptitude"</formula>
    </cfRule>
    <cfRule type="cellIs" priority="98" operator="equal" dxfId="2">
      <formula>"Absent sans autorisation"</formula>
    </cfRule>
    <cfRule type="cellIs" priority="99" operator="equal" dxfId="2">
      <formula>"Abandon de poste"</formula>
    </cfRule>
    <cfRule type="cellIs" priority="100" operator="equal" dxfId="2">
      <formula>"Non satisfait"</formula>
    </cfRule>
    <cfRule type="cellIs" priority="101" operator="equal" dxfId="2">
      <formula>"Reportee"</formula>
    </cfRule>
    <cfRule type="cellIs" priority="102" operator="equal" dxfId="2">
      <formula>"Depasse"</formula>
    </cfRule>
    <cfRule type="cellIs" priority="103" operator="equal" dxfId="2">
      <formula>"Non utilise"</formula>
    </cfRule>
    <cfRule type="cellIs" priority="104" operator="equal" dxfId="2">
      <formula>"Non applicable"</formula>
    </cfRule>
    <cfRule type="cellIs" priority="105" operator="equal" dxfId="2">
      <formula>"Debutant"</formula>
    </cfRule>
    <cfRule type="cellIs" priority="106" operator="equal" dxfId="2">
      <formula>"Non atteint"</formula>
    </cfRule>
    <cfRule type="cellIs" priority="107" operator="equal" dxfId="2">
      <formula>"Abandonne"</formula>
    </cfRule>
    <cfRule type="cellIs" priority="108" operator="equal" dxfId="2">
      <formula>"Rupture essai"</formula>
    </cfRule>
    <cfRule type="cellIs" priority="109" operator="equal" dxfId="2">
      <formula>"Insuffisant"</formula>
    </cfRule>
    <cfRule type="cellIs" priority="110" operator="equal" dxfId="2">
      <formula>"Moyen"</formula>
    </cfRule>
    <cfRule type="cellIs" priority="111" operator="equal" dxfId="2">
      <formula>"E - Insuffisant"</formula>
    </cfRule>
    <cfRule type="cellIs" priority="112" operator="equal" dxfId="2">
      <formula>"Dissous"</formula>
    </cfRule>
    <cfRule type="cellIs" priority="113" operator="equal" dxfId="2">
      <formula>"Denonce"</formula>
    </cfRule>
    <cfRule type="cellIs" priority="114" operator="equal" dxfId="2">
      <formula>"Echoue"</formula>
    </cfRule>
    <cfRule type="cellIs" priority="115" operator="equal" dxfId="2">
      <formula>"Echouee"</formula>
    </cfRule>
    <cfRule type="cellIs" priority="116" operator="equal" dxfId="2">
      <formula>"Revoque"</formula>
    </cfRule>
    <cfRule type="cellIs" priority="117" operator="equal" dxfId="2">
      <formula>"Demissionnaire"</formula>
    </cfRule>
    <cfRule type="cellIs" priority="118" operator="equal" dxfId="2">
      <formula>"Licenciement pour faute"</formula>
    </cfRule>
    <cfRule type="cellIs" priority="119" operator="equal" dxfId="2">
      <formula>"Licenciement pour faute grave"</formula>
    </cfRule>
    <cfRule type="cellIs" priority="120" operator="equal" dxfId="2">
      <formula>"Terminee - Echec"</formula>
    </cfRule>
    <cfRule type="cellIs" priority="121" operator="equal" dxfId="2">
      <formula>"Abandonnee"</formula>
    </cfRule>
    <cfRule type="cellIs" priority="122" operator="equal" dxfId="2">
      <formula>"Violence physique"</formula>
    </cfRule>
    <cfRule type="cellIs" priority="123" operator="equal" dxfId="2">
      <formula>"Violence verbale"</formula>
    </cfRule>
  </conditionalFormatting>
  <conditionalFormatting sqref="B9:B108">
    <cfRule type="expression" priority="124" dxfId="3">
      <formula>AND($C9="",$C8&lt;&gt;"")</formula>
    </cfRule>
  </conditionalFormatting>
  <conditionalFormatting sqref="C9:C108">
    <cfRule type="expression" priority="125" dxfId="3">
      <formula>AND($C9="",$C8&lt;&gt;"")</formula>
    </cfRule>
  </conditionalFormatting>
  <conditionalFormatting sqref="D9:D108">
    <cfRule type="expression" priority="126" dxfId="3">
      <formula>AND($C9="",$C8&lt;&gt;"")</formula>
    </cfRule>
  </conditionalFormatting>
  <conditionalFormatting sqref="E9:E108">
    <cfRule type="expression" priority="127" dxfId="3">
      <formula>AND($C9="",$C8&lt;&gt;"")</formula>
    </cfRule>
  </conditionalFormatting>
  <conditionalFormatting sqref="F9:F108">
    <cfRule type="expression" priority="128" dxfId="3">
      <formula>AND($C9="",$C8&lt;&gt;"")</formula>
    </cfRule>
  </conditionalFormatting>
  <conditionalFormatting sqref="G9:G108">
    <cfRule type="expression" priority="129" dxfId="3">
      <formula>AND($C9="",$C8&lt;&gt;"")</formula>
    </cfRule>
  </conditionalFormatting>
  <conditionalFormatting sqref="H9:H108">
    <cfRule type="expression" priority="130" dxfId="3">
      <formula>AND($C9="",$C8&lt;&gt;"")</formula>
    </cfRule>
  </conditionalFormatting>
  <conditionalFormatting sqref="I9:I108">
    <cfRule type="expression" priority="131" dxfId="3">
      <formula>AND($C9="",$C8&lt;&gt;"")</formula>
    </cfRule>
  </conditionalFormatting>
  <conditionalFormatting sqref="J9:J108">
    <cfRule type="expression" priority="132" dxfId="3">
      <formula>AND($C9="",$C8&lt;&gt;"")</formula>
    </cfRule>
  </conditionalFormatting>
  <conditionalFormatting sqref="K9:K108">
    <cfRule type="expression" priority="133" dxfId="3">
      <formula>AND($C9="",$C8&lt;&gt;"")</formula>
    </cfRule>
  </conditionalFormatting>
  <conditionalFormatting sqref="L9:L108">
    <cfRule type="expression" priority="134" dxfId="3">
      <formula>AND($C9="",$C8&lt;&gt;"")</formula>
    </cfRule>
  </conditionalFormatting>
  <dataValidations count="2">
    <dataValidation sqref="C5:C108" showDropDown="0" showInputMessage="0" showErrorMessage="0" allowBlank="1" errorTitle="Erreur" error="Valeur invalide" promptTitle="Liste" prompt="Choisir dans la liste" type="list">
      <formula1>'_Lists'!$N$2:$N$8</formula1>
    </dataValidation>
    <dataValidation sqref="L5:L108" showDropDown="0" showInputMessage="0" showErrorMessage="0" allowBlank="1" errorTitle="Erreur" error="Valeur invalide" promptTitle="Liste" prompt="Choisir dans la liste" type="list">
      <formula1>'_Lists'!$O$2:$O$7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M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20" customWidth="1" min="4" max="4"/>
    <col width="22" customWidth="1" min="5" max="5"/>
    <col width="18" customWidth="1" min="6" max="6"/>
    <col width="22" customWidth="1" min="7" max="7"/>
    <col width="36" customWidth="1" min="8" max="8"/>
    <col width="16" customWidth="1" min="9" max="9"/>
    <col width="14" customWidth="1" min="10" max="10"/>
    <col width="18" customWidth="1" min="11" max="11"/>
    <col width="34" customWidth="1" min="12" max="12"/>
    <col width="22" customWidth="1" min="13" max="13"/>
  </cols>
  <sheetData>
    <row r="1" ht="15" customHeight="1"/>
    <row r="2" ht="32" customHeight="1">
      <c r="B2" s="1" t="inlineStr">
        <is>
          <t>RECLAMATIONS DU PERSONNEL (#93)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 Reclamation</t>
        </is>
      </c>
      <c r="C4" s="10" t="inlineStr">
        <is>
          <t>Matricule</t>
        </is>
      </c>
      <c r="D4" s="10" t="inlineStr">
        <is>
          <t>Nom Employe</t>
        </is>
      </c>
      <c r="E4" s="10" t="inlineStr">
        <is>
          <t>Departement</t>
        </is>
      </c>
      <c r="F4" s="10" t="inlineStr">
        <is>
          <t>Poste</t>
        </is>
      </c>
      <c r="G4" s="10" t="inlineStr">
        <is>
          <t>Type Reclamation</t>
        </is>
      </c>
      <c r="H4" s="10" t="inlineStr">
        <is>
          <t>Description</t>
        </is>
      </c>
      <c r="I4" s="10" t="inlineStr">
        <is>
          <t>Date Reclamation</t>
        </is>
      </c>
      <c r="J4" s="10" t="inlineStr">
        <is>
          <t>Gravite</t>
        </is>
      </c>
      <c r="K4" s="10" t="inlineStr">
        <is>
          <t>Delai Traitement (j)</t>
        </is>
      </c>
      <c r="L4" s="10" t="inlineStr">
        <is>
          <t>Reponse Donnee</t>
        </is>
      </c>
      <c r="M4" s="10" t="inlineStr">
        <is>
          <t>Statut</t>
        </is>
      </c>
    </row>
    <row r="5" ht="22" customHeight="1">
      <c r="B5" s="11" t="inlineStr">
        <is>
          <t>REC-001</t>
        </is>
      </c>
      <c r="C5" s="11" t="inlineStr">
        <is>
          <t>EMP-010</t>
        </is>
      </c>
      <c r="D5" s="11">
        <f>IF(C5="","",VLOOKUP(C5,'_Données Employés'!$B$5:$H$18,4,FALSE)&amp;" "&amp;VLOOKUP(C5,'_Données Employés'!$B$5:$H$18,5,FALSE))</f>
        <v/>
      </c>
      <c r="E5" s="11">
        <f>IF(C5="","",VLOOKUP(C5,'_Données Employés'!$B$5:$H$18,6,FALSE))</f>
        <v/>
      </c>
      <c r="F5" s="11">
        <f>IF(C5="","",VLOOKUP(C5,'_Données Employés'!$B$5:$H$18,7,FALSE))</f>
        <v/>
      </c>
      <c r="G5" s="11" t="inlineStr">
        <is>
          <t>Salaires &amp; primes</t>
        </is>
      </c>
      <c r="H5" s="11" t="inlineStr">
        <is>
          <t>Non paiement prime de nuit decembre</t>
        </is>
      </c>
      <c r="I5" s="28" t="n">
        <v>45667</v>
      </c>
      <c r="J5" s="11" t="inlineStr">
        <is>
          <t>Moderee</t>
        </is>
      </c>
      <c r="K5" s="13" t="n">
        <v>5</v>
      </c>
      <c r="L5" s="11" t="inlineStr">
        <is>
          <t>Prime versee avec retroactivite</t>
        </is>
      </c>
      <c r="M5" s="11" t="inlineStr">
        <is>
          <t>Cloturee</t>
        </is>
      </c>
    </row>
    <row r="6" ht="22" customHeight="1">
      <c r="B6" s="14" t="inlineStr">
        <is>
          <t>REC-002</t>
        </is>
      </c>
      <c r="C6" s="14" t="inlineStr">
        <is>
          <t>EMP-009</t>
        </is>
      </c>
      <c r="D6" s="14">
        <f>IF(C6="","",VLOOKUP(C6,'_Données Employés'!$B$5:$H$18,4,FALSE)&amp;" "&amp;VLOOKUP(C6,'_Données Employés'!$B$5:$H$18,5,FALSE))</f>
        <v/>
      </c>
      <c r="E6" s="14">
        <f>IF(C6="","",VLOOKUP(C6,'_Données Employés'!$B$5:$H$18,6,FALSE))</f>
        <v/>
      </c>
      <c r="F6" s="14">
        <f>IF(C6="","",VLOOKUP(C6,'_Données Employés'!$B$5:$H$18,7,FALSE))</f>
        <v/>
      </c>
      <c r="G6" s="14" t="inlineStr">
        <is>
          <t>Horaires</t>
        </is>
      </c>
      <c r="H6" s="14" t="inlineStr">
        <is>
          <t>Changement horaires sans preavis</t>
        </is>
      </c>
      <c r="I6" s="29" t="n">
        <v>45721</v>
      </c>
      <c r="J6" s="14" t="inlineStr">
        <is>
          <t>Mineure</t>
        </is>
      </c>
      <c r="K6" s="16" t="n">
        <v>3</v>
      </c>
      <c r="L6" s="14" t="inlineStr">
        <is>
          <t>Horaires revenus a l'initial</t>
        </is>
      </c>
      <c r="M6" s="14" t="inlineStr">
        <is>
          <t>Cloturee</t>
        </is>
      </c>
    </row>
    <row r="7" ht="22" customHeight="1">
      <c r="B7" s="11" t="inlineStr">
        <is>
          <t>REC-003</t>
        </is>
      </c>
      <c r="C7" s="11" t="inlineStr">
        <is>
          <t>EMP-025</t>
        </is>
      </c>
      <c r="D7" s="11" t="inlineStr">
        <is>
          <t>Ngo Linda</t>
        </is>
      </c>
      <c r="E7" s="11" t="inlineStr">
        <is>
          <t>Service Client</t>
        </is>
      </c>
      <c r="F7" s="11" t="inlineStr">
        <is>
          <t>Conseiller</t>
        </is>
      </c>
      <c r="G7" s="11" t="inlineStr">
        <is>
          <t>Harcelement</t>
        </is>
      </c>
      <c r="H7" s="11" t="inlineStr">
        <is>
          <t>Attitudes inappropriées N+1</t>
        </is>
      </c>
      <c r="I7" s="28" t="n">
        <v>45789</v>
      </c>
      <c r="J7" s="11" t="inlineStr">
        <is>
          <t>Tres grave</t>
        </is>
      </c>
      <c r="K7" s="13" t="n">
        <v>0</v>
      </c>
      <c r="L7" s="11" t="inlineStr"/>
      <c r="M7" s="11" t="inlineStr">
        <is>
          <t>En cours d'instruction</t>
        </is>
      </c>
    </row>
    <row r="8" ht="22" customHeight="1">
      <c r="B8" s="14" t="inlineStr">
        <is>
          <t>REC-004</t>
        </is>
      </c>
      <c r="C8" s="14" t="inlineStr">
        <is>
          <t>EMP-030</t>
        </is>
      </c>
      <c r="D8" s="14" t="inlineStr">
        <is>
          <t>Tchouanku Marc</t>
        </is>
      </c>
      <c r="E8" s="14" t="inlineStr">
        <is>
          <t>Reception &amp; Front Office</t>
        </is>
      </c>
      <c r="F8" s="14" t="inlineStr">
        <is>
          <t>Receptionniste</t>
        </is>
      </c>
      <c r="G8" s="14" t="inlineStr">
        <is>
          <t>Conges</t>
        </is>
      </c>
      <c r="H8" s="14" t="inlineStr">
        <is>
          <t>Report conges annuels sans motif valable</t>
        </is>
      </c>
      <c r="I8" s="29" t="n">
        <v>45809</v>
      </c>
      <c r="J8" s="14" t="inlineStr">
        <is>
          <t>Moderee</t>
        </is>
      </c>
      <c r="K8" s="16" t="n">
        <v>7</v>
      </c>
      <c r="L8" s="14" t="inlineStr">
        <is>
          <t>Conges reprogrammés en aout</t>
        </is>
      </c>
      <c r="M8" s="14" t="inlineStr">
        <is>
          <t>Cloturee</t>
        </is>
      </c>
    </row>
    <row r="9" ht="22" customHeight="1">
      <c r="B9" s="11" t="inlineStr">
        <is>
          <t>REC-005</t>
        </is>
      </c>
      <c r="C9" s="11" t="inlineStr">
        <is>
          <t>EMP-012</t>
        </is>
      </c>
      <c r="D9" s="11">
        <f>IF(C9="","",VLOOKUP(C9,'_Données Employés'!$B$5:$H$18,4,FALSE)&amp;" "&amp;VLOOKUP(C9,'_Données Employés'!$B$5:$H$18,5,FALSE))</f>
        <v/>
      </c>
      <c r="E9" s="11">
        <f>IF(C9="","",VLOOKUP(C9,'_Données Employés'!$B$5:$H$18,6,FALSE))</f>
        <v/>
      </c>
      <c r="F9" s="11">
        <f>IF(C9="","",VLOOKUP(C9,'_Données Employés'!$B$5:$H$18,7,FALSE))</f>
        <v/>
      </c>
      <c r="G9" s="11" t="inlineStr">
        <is>
          <t>Securite</t>
        </is>
      </c>
      <c r="H9" s="11" t="inlineStr">
        <is>
          <t>Absence d'EPI depuis 3 mois</t>
        </is>
      </c>
      <c r="I9" s="28" t="n">
        <v>45828</v>
      </c>
      <c r="J9" s="11" t="inlineStr">
        <is>
          <t>Grave</t>
        </is>
      </c>
      <c r="K9" s="13" t="n">
        <v>0</v>
      </c>
      <c r="L9" s="11" t="inlineStr"/>
      <c r="M9" s="11" t="inlineStr">
        <is>
          <t>Recue</t>
        </is>
      </c>
    </row>
    <row r="10" ht="22" customHeight="1">
      <c r="B10" s="17">
        <f>IF(C10="","REC-"&amp;TEXT(COUNTA($C$5:C10),"000"))</f>
        <v/>
      </c>
      <c r="C10" s="14" t="n"/>
      <c r="D10" s="14" t="n"/>
      <c r="E10" s="14" t="n"/>
      <c r="F10" s="14" t="n"/>
      <c r="G10" s="14" t="n"/>
      <c r="H10" s="14" t="n"/>
      <c r="I10" s="29" t="n"/>
      <c r="J10" s="14" t="n"/>
      <c r="K10" s="16" t="n"/>
      <c r="L10" s="14" t="n"/>
      <c r="M10" s="14" t="n"/>
    </row>
    <row r="11" ht="22" customHeight="1">
      <c r="B11" s="18">
        <f>IF(C11="","REC-"&amp;TEXT(COUNTA($C$5:C11),"000"))</f>
        <v/>
      </c>
      <c r="C11" s="11" t="n"/>
      <c r="D11" s="11" t="n"/>
      <c r="E11" s="11" t="n"/>
      <c r="F11" s="11" t="n"/>
      <c r="G11" s="11" t="n"/>
      <c r="H11" s="11" t="n"/>
      <c r="I11" s="28" t="n"/>
      <c r="J11" s="11" t="n"/>
      <c r="K11" s="13" t="n"/>
      <c r="L11" s="11" t="n"/>
      <c r="M11" s="11" t="n"/>
    </row>
    <row r="12" ht="22" customHeight="1">
      <c r="B12" s="17">
        <f>IF(C12="","REC-"&amp;TEXT(COUNTA($C$5:C12),"000"))</f>
        <v/>
      </c>
      <c r="C12" s="14" t="n"/>
      <c r="D12" s="14" t="n"/>
      <c r="E12" s="14" t="n"/>
      <c r="F12" s="14" t="n"/>
      <c r="G12" s="14" t="n"/>
      <c r="H12" s="14" t="n"/>
      <c r="I12" s="29" t="n"/>
      <c r="J12" s="14" t="n"/>
      <c r="K12" s="16" t="n"/>
      <c r="L12" s="14" t="n"/>
      <c r="M12" s="14" t="n"/>
    </row>
    <row r="13" ht="22" customHeight="1">
      <c r="B13" s="18">
        <f>IF(C13="","REC-"&amp;TEXT(COUNTA($C$5:C13),"000"))</f>
        <v/>
      </c>
      <c r="C13" s="11" t="n"/>
      <c r="D13" s="11" t="n"/>
      <c r="E13" s="11" t="n"/>
      <c r="F13" s="11" t="n"/>
      <c r="G13" s="11" t="n"/>
      <c r="H13" s="11" t="n"/>
      <c r="I13" s="28" t="n"/>
      <c r="J13" s="11" t="n"/>
      <c r="K13" s="13" t="n"/>
      <c r="L13" s="11" t="n"/>
      <c r="M13" s="11" t="n"/>
    </row>
    <row r="14" ht="22" customHeight="1">
      <c r="B14" s="17">
        <f>IF(C14="","REC-"&amp;TEXT(COUNTA($C$5:C14),"000"))</f>
        <v/>
      </c>
      <c r="C14" s="14" t="n"/>
      <c r="D14" s="14" t="n"/>
      <c r="E14" s="14" t="n"/>
      <c r="F14" s="14" t="n"/>
      <c r="G14" s="14" t="n"/>
      <c r="H14" s="14" t="n"/>
      <c r="I14" s="29" t="n"/>
      <c r="J14" s="14" t="n"/>
      <c r="K14" s="16" t="n"/>
      <c r="L14" s="14" t="n"/>
      <c r="M14" s="14" t="n"/>
    </row>
    <row r="15" ht="22" customHeight="1">
      <c r="B15" s="18">
        <f>IF(C15="","REC-"&amp;TEXT(COUNTA($C$5:C15),"000"))</f>
        <v/>
      </c>
      <c r="C15" s="11" t="n"/>
      <c r="D15" s="11" t="n"/>
      <c r="E15" s="11" t="n"/>
      <c r="F15" s="11" t="n"/>
      <c r="G15" s="11" t="n"/>
      <c r="H15" s="11" t="n"/>
      <c r="I15" s="28" t="n"/>
      <c r="J15" s="11" t="n"/>
      <c r="K15" s="13" t="n"/>
      <c r="L15" s="11" t="n"/>
      <c r="M15" s="11" t="n"/>
    </row>
    <row r="16" ht="22" customHeight="1">
      <c r="B16" s="17">
        <f>IF(C16="","REC-"&amp;TEXT(COUNTA($C$5:C16),"000"))</f>
        <v/>
      </c>
      <c r="C16" s="14" t="n"/>
      <c r="D16" s="14" t="n"/>
      <c r="E16" s="14" t="n"/>
      <c r="F16" s="14" t="n"/>
      <c r="G16" s="14" t="n"/>
      <c r="H16" s="14" t="n"/>
      <c r="I16" s="29" t="n"/>
      <c r="J16" s="14" t="n"/>
      <c r="K16" s="16" t="n"/>
      <c r="L16" s="14" t="n"/>
      <c r="M16" s="14" t="n"/>
    </row>
    <row r="17" ht="22" customHeight="1">
      <c r="B17" s="18">
        <f>IF(C17="","REC-"&amp;TEXT(COUNTA($C$5:C17),"000"))</f>
        <v/>
      </c>
      <c r="C17" s="11" t="n"/>
      <c r="D17" s="11" t="n"/>
      <c r="E17" s="11" t="n"/>
      <c r="F17" s="11" t="n"/>
      <c r="G17" s="11" t="n"/>
      <c r="H17" s="11" t="n"/>
      <c r="I17" s="28" t="n"/>
      <c r="J17" s="11" t="n"/>
      <c r="K17" s="13" t="n"/>
      <c r="L17" s="11" t="n"/>
      <c r="M17" s="11" t="n"/>
    </row>
    <row r="18" ht="22" customHeight="1">
      <c r="B18" s="17">
        <f>IF(C18="","REC-"&amp;TEXT(COUNTA($C$5:C18),"000"))</f>
        <v/>
      </c>
      <c r="C18" s="14" t="n"/>
      <c r="D18" s="14" t="n"/>
      <c r="E18" s="14" t="n"/>
      <c r="F18" s="14" t="n"/>
      <c r="G18" s="14" t="n"/>
      <c r="H18" s="14" t="n"/>
      <c r="I18" s="29" t="n"/>
      <c r="J18" s="14" t="n"/>
      <c r="K18" s="16" t="n"/>
      <c r="L18" s="14" t="n"/>
      <c r="M18" s="14" t="n"/>
    </row>
    <row r="19" ht="22" customHeight="1">
      <c r="B19" s="18">
        <f>IF(C19="","REC-"&amp;TEXT(COUNTA($C$5:C19),"000"))</f>
        <v/>
      </c>
      <c r="C19" s="11" t="n"/>
      <c r="D19" s="11" t="n"/>
      <c r="E19" s="11" t="n"/>
      <c r="F19" s="11" t="n"/>
      <c r="G19" s="11" t="n"/>
      <c r="H19" s="11" t="n"/>
      <c r="I19" s="28" t="n"/>
      <c r="J19" s="11" t="n"/>
      <c r="K19" s="13" t="n"/>
      <c r="L19" s="11" t="n"/>
      <c r="M19" s="11" t="n"/>
    </row>
    <row r="20" ht="22" customHeight="1">
      <c r="B20" s="17">
        <f>IF(C20="","REC-"&amp;TEXT(COUNTA($C$5:C20),"000"))</f>
        <v/>
      </c>
      <c r="C20" s="14" t="n"/>
      <c r="D20" s="14" t="n"/>
      <c r="E20" s="14" t="n"/>
      <c r="F20" s="14" t="n"/>
      <c r="G20" s="14" t="n"/>
      <c r="H20" s="14" t="n"/>
      <c r="I20" s="29" t="n"/>
      <c r="J20" s="14" t="n"/>
      <c r="K20" s="16" t="n"/>
      <c r="L20" s="14" t="n"/>
      <c r="M20" s="14" t="n"/>
    </row>
    <row r="21" ht="22" customHeight="1">
      <c r="B21" s="18">
        <f>IF(C21="","REC-"&amp;TEXT(COUNTA($C$5:C21),"000"))</f>
        <v/>
      </c>
      <c r="C21" s="11" t="n"/>
      <c r="D21" s="11" t="n"/>
      <c r="E21" s="11" t="n"/>
      <c r="F21" s="11" t="n"/>
      <c r="G21" s="11" t="n"/>
      <c r="H21" s="11" t="n"/>
      <c r="I21" s="28" t="n"/>
      <c r="J21" s="11" t="n"/>
      <c r="K21" s="13" t="n"/>
      <c r="L21" s="11" t="n"/>
      <c r="M21" s="11" t="n"/>
    </row>
    <row r="22" ht="22" customHeight="1">
      <c r="B22" s="17">
        <f>IF(C22="","REC-"&amp;TEXT(COUNTA($C$5:C22),"000"))</f>
        <v/>
      </c>
      <c r="C22" s="14" t="n"/>
      <c r="D22" s="14" t="n"/>
      <c r="E22" s="14" t="n"/>
      <c r="F22" s="14" t="n"/>
      <c r="G22" s="14" t="n"/>
      <c r="H22" s="14" t="n"/>
      <c r="I22" s="29" t="n"/>
      <c r="J22" s="14" t="n"/>
      <c r="K22" s="16" t="n"/>
      <c r="L22" s="14" t="n"/>
      <c r="M22" s="14" t="n"/>
    </row>
    <row r="23" ht="22" customHeight="1">
      <c r="B23" s="18">
        <f>IF(C23="","REC-"&amp;TEXT(COUNTA($C$5:C23),"000"))</f>
        <v/>
      </c>
      <c r="C23" s="11" t="n"/>
      <c r="D23" s="11" t="n"/>
      <c r="E23" s="11" t="n"/>
      <c r="F23" s="11" t="n"/>
      <c r="G23" s="11" t="n"/>
      <c r="H23" s="11" t="n"/>
      <c r="I23" s="28" t="n"/>
      <c r="J23" s="11" t="n"/>
      <c r="K23" s="13" t="n"/>
      <c r="L23" s="11" t="n"/>
      <c r="M23" s="11" t="n"/>
    </row>
    <row r="24" ht="22" customHeight="1">
      <c r="B24" s="17">
        <f>IF(C24="","REC-"&amp;TEXT(COUNTA($C$5:C24),"000"))</f>
        <v/>
      </c>
      <c r="C24" s="14" t="n"/>
      <c r="D24" s="14" t="n"/>
      <c r="E24" s="14" t="n"/>
      <c r="F24" s="14" t="n"/>
      <c r="G24" s="14" t="n"/>
      <c r="H24" s="14" t="n"/>
      <c r="I24" s="29" t="n"/>
      <c r="J24" s="14" t="n"/>
      <c r="K24" s="16" t="n"/>
      <c r="L24" s="14" t="n"/>
      <c r="M24" s="14" t="n"/>
    </row>
    <row r="25" ht="22" customHeight="1">
      <c r="B25" s="18">
        <f>IF(C25="","REC-"&amp;TEXT(COUNTA($C$5:C25),"000"))</f>
        <v/>
      </c>
      <c r="C25" s="11" t="n"/>
      <c r="D25" s="11" t="n"/>
      <c r="E25" s="11" t="n"/>
      <c r="F25" s="11" t="n"/>
      <c r="G25" s="11" t="n"/>
      <c r="H25" s="11" t="n"/>
      <c r="I25" s="28" t="n"/>
      <c r="J25" s="11" t="n"/>
      <c r="K25" s="13" t="n"/>
      <c r="L25" s="11" t="n"/>
      <c r="M25" s="11" t="n"/>
    </row>
    <row r="26" ht="22" customHeight="1">
      <c r="B26" s="17">
        <f>IF(C26="","REC-"&amp;TEXT(COUNTA($C$5:C26),"000"))</f>
        <v/>
      </c>
      <c r="C26" s="14" t="n"/>
      <c r="D26" s="14" t="n"/>
      <c r="E26" s="14" t="n"/>
      <c r="F26" s="14" t="n"/>
      <c r="G26" s="14" t="n"/>
      <c r="H26" s="14" t="n"/>
      <c r="I26" s="29" t="n"/>
      <c r="J26" s="14" t="n"/>
      <c r="K26" s="16" t="n"/>
      <c r="L26" s="14" t="n"/>
      <c r="M26" s="14" t="n"/>
    </row>
    <row r="27" ht="22" customHeight="1">
      <c r="B27" s="18">
        <f>IF(C27="","REC-"&amp;TEXT(COUNTA($C$5:C27),"000"))</f>
        <v/>
      </c>
      <c r="C27" s="11" t="n"/>
      <c r="D27" s="11" t="n"/>
      <c r="E27" s="11" t="n"/>
      <c r="F27" s="11" t="n"/>
      <c r="G27" s="11" t="n"/>
      <c r="H27" s="11" t="n"/>
      <c r="I27" s="28" t="n"/>
      <c r="J27" s="11" t="n"/>
      <c r="K27" s="13" t="n"/>
      <c r="L27" s="11" t="n"/>
      <c r="M27" s="11" t="n"/>
    </row>
    <row r="28" ht="22" customHeight="1">
      <c r="B28" s="17">
        <f>IF(C28="","REC-"&amp;TEXT(COUNTA($C$5:C28),"000"))</f>
        <v/>
      </c>
      <c r="C28" s="14" t="n"/>
      <c r="D28" s="14" t="n"/>
      <c r="E28" s="14" t="n"/>
      <c r="F28" s="14" t="n"/>
      <c r="G28" s="14" t="n"/>
      <c r="H28" s="14" t="n"/>
      <c r="I28" s="29" t="n"/>
      <c r="J28" s="14" t="n"/>
      <c r="K28" s="16" t="n"/>
      <c r="L28" s="14" t="n"/>
      <c r="M28" s="14" t="n"/>
    </row>
    <row r="29" ht="22" customHeight="1">
      <c r="B29" s="18">
        <f>IF(C29="","REC-"&amp;TEXT(COUNTA($C$5:C29),"000"))</f>
        <v/>
      </c>
      <c r="C29" s="11" t="n"/>
      <c r="D29" s="11" t="n"/>
      <c r="E29" s="11" t="n"/>
      <c r="F29" s="11" t="n"/>
      <c r="G29" s="11" t="n"/>
      <c r="H29" s="11" t="n"/>
      <c r="I29" s="28" t="n"/>
      <c r="J29" s="11" t="n"/>
      <c r="K29" s="13" t="n"/>
      <c r="L29" s="11" t="n"/>
      <c r="M29" s="11" t="n"/>
    </row>
    <row r="30" ht="22" customHeight="1">
      <c r="B30" s="17">
        <f>IF(C30="","REC-"&amp;TEXT(COUNTA($C$5:C30),"000"))</f>
        <v/>
      </c>
      <c r="C30" s="14" t="n"/>
      <c r="D30" s="14" t="n"/>
      <c r="E30" s="14" t="n"/>
      <c r="F30" s="14" t="n"/>
      <c r="G30" s="14" t="n"/>
      <c r="H30" s="14" t="n"/>
      <c r="I30" s="29" t="n"/>
      <c r="J30" s="14" t="n"/>
      <c r="K30" s="16" t="n"/>
      <c r="L30" s="14" t="n"/>
      <c r="M30" s="14" t="n"/>
    </row>
    <row r="31" ht="22" customHeight="1">
      <c r="B31" s="18">
        <f>IF(C31="","REC-"&amp;TEXT(COUNTA($C$5:C31),"000"))</f>
        <v/>
      </c>
      <c r="C31" s="11" t="n"/>
      <c r="D31" s="11" t="n"/>
      <c r="E31" s="11" t="n"/>
      <c r="F31" s="11" t="n"/>
      <c r="G31" s="11" t="n"/>
      <c r="H31" s="11" t="n"/>
      <c r="I31" s="28" t="n"/>
      <c r="J31" s="11" t="n"/>
      <c r="K31" s="13" t="n"/>
      <c r="L31" s="11" t="n"/>
      <c r="M31" s="11" t="n"/>
    </row>
    <row r="32" ht="22" customHeight="1">
      <c r="B32" s="17">
        <f>IF(C32="","REC-"&amp;TEXT(COUNTA($C$5:C32),"000"))</f>
        <v/>
      </c>
      <c r="C32" s="14" t="n"/>
      <c r="D32" s="14" t="n"/>
      <c r="E32" s="14" t="n"/>
      <c r="F32" s="14" t="n"/>
      <c r="G32" s="14" t="n"/>
      <c r="H32" s="14" t="n"/>
      <c r="I32" s="29" t="n"/>
      <c r="J32" s="14" t="n"/>
      <c r="K32" s="16" t="n"/>
      <c r="L32" s="14" t="n"/>
      <c r="M32" s="14" t="n"/>
    </row>
    <row r="33" ht="22" customHeight="1">
      <c r="B33" s="18">
        <f>IF(C33="","REC-"&amp;TEXT(COUNTA($C$5:C33),"000"))</f>
        <v/>
      </c>
      <c r="C33" s="11" t="n"/>
      <c r="D33" s="11" t="n"/>
      <c r="E33" s="11" t="n"/>
      <c r="F33" s="11" t="n"/>
      <c r="G33" s="11" t="n"/>
      <c r="H33" s="11" t="n"/>
      <c r="I33" s="28" t="n"/>
      <c r="J33" s="11" t="n"/>
      <c r="K33" s="13" t="n"/>
      <c r="L33" s="11" t="n"/>
      <c r="M33" s="11" t="n"/>
    </row>
    <row r="34" ht="22" customHeight="1">
      <c r="B34" s="17">
        <f>IF(C34="","REC-"&amp;TEXT(COUNTA($C$5:C34),"000"))</f>
        <v/>
      </c>
      <c r="C34" s="14" t="n"/>
      <c r="D34" s="14" t="n"/>
      <c r="E34" s="14" t="n"/>
      <c r="F34" s="14" t="n"/>
      <c r="G34" s="14" t="n"/>
      <c r="H34" s="14" t="n"/>
      <c r="I34" s="29" t="n"/>
      <c r="J34" s="14" t="n"/>
      <c r="K34" s="16" t="n"/>
      <c r="L34" s="14" t="n"/>
      <c r="M34" s="14" t="n"/>
    </row>
    <row r="35" ht="22" customHeight="1">
      <c r="B35" s="18">
        <f>IF(C35="","REC-"&amp;TEXT(COUNTA($C$5:C35),"000"))</f>
        <v/>
      </c>
      <c r="C35" s="11" t="n"/>
      <c r="D35" s="11" t="n"/>
      <c r="E35" s="11" t="n"/>
      <c r="F35" s="11" t="n"/>
      <c r="G35" s="11" t="n"/>
      <c r="H35" s="11" t="n"/>
      <c r="I35" s="28" t="n"/>
      <c r="J35" s="11" t="n"/>
      <c r="K35" s="13" t="n"/>
      <c r="L35" s="11" t="n"/>
      <c r="M35" s="11" t="n"/>
    </row>
    <row r="36" ht="22" customHeight="1">
      <c r="B36" s="17">
        <f>IF(C36="","REC-"&amp;TEXT(COUNTA($C$5:C36),"000"))</f>
        <v/>
      </c>
      <c r="C36" s="14" t="n"/>
      <c r="D36" s="14" t="n"/>
      <c r="E36" s="14" t="n"/>
      <c r="F36" s="14" t="n"/>
      <c r="G36" s="14" t="n"/>
      <c r="H36" s="14" t="n"/>
      <c r="I36" s="29" t="n"/>
      <c r="J36" s="14" t="n"/>
      <c r="K36" s="16" t="n"/>
      <c r="L36" s="14" t="n"/>
      <c r="M36" s="14" t="n"/>
    </row>
    <row r="37" ht="22" customHeight="1">
      <c r="B37" s="18">
        <f>IF(C37="","REC-"&amp;TEXT(COUNTA($C$5:C37),"000"))</f>
        <v/>
      </c>
      <c r="C37" s="11" t="n"/>
      <c r="D37" s="11" t="n"/>
      <c r="E37" s="11" t="n"/>
      <c r="F37" s="11" t="n"/>
      <c r="G37" s="11" t="n"/>
      <c r="H37" s="11" t="n"/>
      <c r="I37" s="28" t="n"/>
      <c r="J37" s="11" t="n"/>
      <c r="K37" s="13" t="n"/>
      <c r="L37" s="11" t="n"/>
      <c r="M37" s="11" t="n"/>
    </row>
    <row r="38" ht="22" customHeight="1">
      <c r="B38" s="17">
        <f>IF(C38="","REC-"&amp;TEXT(COUNTA($C$5:C38),"000"))</f>
        <v/>
      </c>
      <c r="C38" s="14" t="n"/>
      <c r="D38" s="14" t="n"/>
      <c r="E38" s="14" t="n"/>
      <c r="F38" s="14" t="n"/>
      <c r="G38" s="14" t="n"/>
      <c r="H38" s="14" t="n"/>
      <c r="I38" s="29" t="n"/>
      <c r="J38" s="14" t="n"/>
      <c r="K38" s="16" t="n"/>
      <c r="L38" s="14" t="n"/>
      <c r="M38" s="14" t="n"/>
    </row>
    <row r="39" ht="22" customHeight="1">
      <c r="B39" s="18">
        <f>IF(C39="","REC-"&amp;TEXT(COUNTA($C$5:C39),"000"))</f>
        <v/>
      </c>
      <c r="C39" s="11" t="n"/>
      <c r="D39" s="11" t="n"/>
      <c r="E39" s="11" t="n"/>
      <c r="F39" s="11" t="n"/>
      <c r="G39" s="11" t="n"/>
      <c r="H39" s="11" t="n"/>
      <c r="I39" s="28" t="n"/>
      <c r="J39" s="11" t="n"/>
      <c r="K39" s="13" t="n"/>
      <c r="L39" s="11" t="n"/>
      <c r="M39" s="11" t="n"/>
    </row>
    <row r="40" ht="22" customHeight="1">
      <c r="B40" s="17">
        <f>IF(C40="","REC-"&amp;TEXT(COUNTA($C$5:C40),"000"))</f>
        <v/>
      </c>
      <c r="C40" s="14" t="n"/>
      <c r="D40" s="14" t="n"/>
      <c r="E40" s="14" t="n"/>
      <c r="F40" s="14" t="n"/>
      <c r="G40" s="14" t="n"/>
      <c r="H40" s="14" t="n"/>
      <c r="I40" s="29" t="n"/>
      <c r="J40" s="14" t="n"/>
      <c r="K40" s="16" t="n"/>
      <c r="L40" s="14" t="n"/>
      <c r="M40" s="14" t="n"/>
    </row>
    <row r="41" ht="22" customHeight="1">
      <c r="B41" s="18">
        <f>IF(C41="","REC-"&amp;TEXT(COUNTA($C$5:C41),"000"))</f>
        <v/>
      </c>
      <c r="C41" s="11" t="n"/>
      <c r="D41" s="11" t="n"/>
      <c r="E41" s="11" t="n"/>
      <c r="F41" s="11" t="n"/>
      <c r="G41" s="11" t="n"/>
      <c r="H41" s="11" t="n"/>
      <c r="I41" s="28" t="n"/>
      <c r="J41" s="11" t="n"/>
      <c r="K41" s="13" t="n"/>
      <c r="L41" s="11" t="n"/>
      <c r="M41" s="11" t="n"/>
    </row>
    <row r="42" ht="22" customHeight="1">
      <c r="B42" s="17">
        <f>IF(C42="","REC-"&amp;TEXT(COUNTA($C$5:C42),"000"))</f>
        <v/>
      </c>
      <c r="C42" s="14" t="n"/>
      <c r="D42" s="14" t="n"/>
      <c r="E42" s="14" t="n"/>
      <c r="F42" s="14" t="n"/>
      <c r="G42" s="14" t="n"/>
      <c r="H42" s="14" t="n"/>
      <c r="I42" s="29" t="n"/>
      <c r="J42" s="14" t="n"/>
      <c r="K42" s="16" t="n"/>
      <c r="L42" s="14" t="n"/>
      <c r="M42" s="14" t="n"/>
    </row>
    <row r="43" ht="22" customHeight="1">
      <c r="B43" s="18">
        <f>IF(C43="","REC-"&amp;TEXT(COUNTA($C$5:C43),"000"))</f>
        <v/>
      </c>
      <c r="C43" s="11" t="n"/>
      <c r="D43" s="11" t="n"/>
      <c r="E43" s="11" t="n"/>
      <c r="F43" s="11" t="n"/>
      <c r="G43" s="11" t="n"/>
      <c r="H43" s="11" t="n"/>
      <c r="I43" s="28" t="n"/>
      <c r="J43" s="11" t="n"/>
      <c r="K43" s="13" t="n"/>
      <c r="L43" s="11" t="n"/>
      <c r="M43" s="11" t="n"/>
    </row>
    <row r="44" ht="22" customHeight="1">
      <c r="B44" s="17">
        <f>IF(C44="","REC-"&amp;TEXT(COUNTA($C$5:C44),"000"))</f>
        <v/>
      </c>
      <c r="C44" s="14" t="n"/>
      <c r="D44" s="14" t="n"/>
      <c r="E44" s="14" t="n"/>
      <c r="F44" s="14" t="n"/>
      <c r="G44" s="14" t="n"/>
      <c r="H44" s="14" t="n"/>
      <c r="I44" s="29" t="n"/>
      <c r="J44" s="14" t="n"/>
      <c r="K44" s="16" t="n"/>
      <c r="L44" s="14" t="n"/>
      <c r="M44" s="14" t="n"/>
    </row>
    <row r="45" ht="22" customHeight="1">
      <c r="B45" s="18">
        <f>IF(C45="","REC-"&amp;TEXT(COUNTA($C$5:C45),"000"))</f>
        <v/>
      </c>
      <c r="C45" s="11" t="n"/>
      <c r="D45" s="11" t="n"/>
      <c r="E45" s="11" t="n"/>
      <c r="F45" s="11" t="n"/>
      <c r="G45" s="11" t="n"/>
      <c r="H45" s="11" t="n"/>
      <c r="I45" s="28" t="n"/>
      <c r="J45" s="11" t="n"/>
      <c r="K45" s="13" t="n"/>
      <c r="L45" s="11" t="n"/>
      <c r="M45" s="11" t="n"/>
    </row>
    <row r="46" ht="22" customHeight="1">
      <c r="B46" s="17">
        <f>IF(C46="","REC-"&amp;TEXT(COUNTA($C$5:C46),"000"))</f>
        <v/>
      </c>
      <c r="C46" s="14" t="n"/>
      <c r="D46" s="14" t="n"/>
      <c r="E46" s="14" t="n"/>
      <c r="F46" s="14" t="n"/>
      <c r="G46" s="14" t="n"/>
      <c r="H46" s="14" t="n"/>
      <c r="I46" s="29" t="n"/>
      <c r="J46" s="14" t="n"/>
      <c r="K46" s="16" t="n"/>
      <c r="L46" s="14" t="n"/>
      <c r="M46" s="14" t="n"/>
    </row>
    <row r="47" ht="22" customHeight="1">
      <c r="B47" s="18">
        <f>IF(C47="","REC-"&amp;TEXT(COUNTA($C$5:C47),"000"))</f>
        <v/>
      </c>
      <c r="C47" s="11" t="n"/>
      <c r="D47" s="11" t="n"/>
      <c r="E47" s="11" t="n"/>
      <c r="F47" s="11" t="n"/>
      <c r="G47" s="11" t="n"/>
      <c r="H47" s="11" t="n"/>
      <c r="I47" s="28" t="n"/>
      <c r="J47" s="11" t="n"/>
      <c r="K47" s="13" t="n"/>
      <c r="L47" s="11" t="n"/>
      <c r="M47" s="11" t="n"/>
    </row>
    <row r="48" ht="22" customHeight="1">
      <c r="B48" s="17">
        <f>IF(C48="","REC-"&amp;TEXT(COUNTA($C$5:C48),"000"))</f>
        <v/>
      </c>
      <c r="C48" s="14" t="n"/>
      <c r="D48" s="14" t="n"/>
      <c r="E48" s="14" t="n"/>
      <c r="F48" s="14" t="n"/>
      <c r="G48" s="14" t="n"/>
      <c r="H48" s="14" t="n"/>
      <c r="I48" s="29" t="n"/>
      <c r="J48" s="14" t="n"/>
      <c r="K48" s="16" t="n"/>
      <c r="L48" s="14" t="n"/>
      <c r="M48" s="14" t="n"/>
    </row>
    <row r="49" ht="22" customHeight="1">
      <c r="B49" s="18">
        <f>IF(C49="","REC-"&amp;TEXT(COUNTA($C$5:C49),"000"))</f>
        <v/>
      </c>
      <c r="C49" s="11" t="n"/>
      <c r="D49" s="11" t="n"/>
      <c r="E49" s="11" t="n"/>
      <c r="F49" s="11" t="n"/>
      <c r="G49" s="11" t="n"/>
      <c r="H49" s="11" t="n"/>
      <c r="I49" s="28" t="n"/>
      <c r="J49" s="11" t="n"/>
      <c r="K49" s="13" t="n"/>
      <c r="L49" s="11" t="n"/>
      <c r="M49" s="11" t="n"/>
    </row>
    <row r="50" ht="22" customHeight="1">
      <c r="B50" s="17">
        <f>IF(C50="","REC-"&amp;TEXT(COUNTA($C$5:C50),"000"))</f>
        <v/>
      </c>
      <c r="C50" s="14" t="n"/>
      <c r="D50" s="14" t="n"/>
      <c r="E50" s="14" t="n"/>
      <c r="F50" s="14" t="n"/>
      <c r="G50" s="14" t="n"/>
      <c r="H50" s="14" t="n"/>
      <c r="I50" s="29" t="n"/>
      <c r="J50" s="14" t="n"/>
      <c r="K50" s="16" t="n"/>
      <c r="L50" s="14" t="n"/>
      <c r="M50" s="14" t="n"/>
    </row>
    <row r="51" ht="22" customHeight="1">
      <c r="B51" s="18">
        <f>IF(C51="","REC-"&amp;TEXT(COUNTA($C$5:C51),"000"))</f>
        <v/>
      </c>
      <c r="C51" s="11" t="n"/>
      <c r="D51" s="11" t="n"/>
      <c r="E51" s="11" t="n"/>
      <c r="F51" s="11" t="n"/>
      <c r="G51" s="11" t="n"/>
      <c r="H51" s="11" t="n"/>
      <c r="I51" s="28" t="n"/>
      <c r="J51" s="11" t="n"/>
      <c r="K51" s="13" t="n"/>
      <c r="L51" s="11" t="n"/>
      <c r="M51" s="11" t="n"/>
    </row>
    <row r="52" ht="22" customHeight="1">
      <c r="B52" s="17">
        <f>IF(C52="","REC-"&amp;TEXT(COUNTA($C$5:C52),"000"))</f>
        <v/>
      </c>
      <c r="C52" s="14" t="n"/>
      <c r="D52" s="14" t="n"/>
      <c r="E52" s="14" t="n"/>
      <c r="F52" s="14" t="n"/>
      <c r="G52" s="14" t="n"/>
      <c r="H52" s="14" t="n"/>
      <c r="I52" s="29" t="n"/>
      <c r="J52" s="14" t="n"/>
      <c r="K52" s="16" t="n"/>
      <c r="L52" s="14" t="n"/>
      <c r="M52" s="14" t="n"/>
    </row>
    <row r="53" ht="22" customHeight="1">
      <c r="B53" s="18">
        <f>IF(C53="","REC-"&amp;TEXT(COUNTA($C$5:C53),"000"))</f>
        <v/>
      </c>
      <c r="C53" s="11" t="n"/>
      <c r="D53" s="11" t="n"/>
      <c r="E53" s="11" t="n"/>
      <c r="F53" s="11" t="n"/>
      <c r="G53" s="11" t="n"/>
      <c r="H53" s="11" t="n"/>
      <c r="I53" s="28" t="n"/>
      <c r="J53" s="11" t="n"/>
      <c r="K53" s="13" t="n"/>
      <c r="L53" s="11" t="n"/>
      <c r="M53" s="11" t="n"/>
    </row>
    <row r="54" ht="22" customHeight="1">
      <c r="B54" s="17">
        <f>IF(C54="","REC-"&amp;TEXT(COUNTA($C$5:C54),"000"))</f>
        <v/>
      </c>
      <c r="C54" s="14" t="n"/>
      <c r="D54" s="14" t="n"/>
      <c r="E54" s="14" t="n"/>
      <c r="F54" s="14" t="n"/>
      <c r="G54" s="14" t="n"/>
      <c r="H54" s="14" t="n"/>
      <c r="I54" s="29" t="n"/>
      <c r="J54" s="14" t="n"/>
      <c r="K54" s="16" t="n"/>
      <c r="L54" s="14" t="n"/>
      <c r="M54" s="14" t="n"/>
    </row>
    <row r="55" ht="22" customHeight="1">
      <c r="B55" s="18">
        <f>IF(C55="","REC-"&amp;TEXT(COUNTA($C$5:C55),"000"))</f>
        <v/>
      </c>
      <c r="C55" s="11" t="n"/>
      <c r="D55" s="11" t="n"/>
      <c r="E55" s="11" t="n"/>
      <c r="F55" s="11" t="n"/>
      <c r="G55" s="11" t="n"/>
      <c r="H55" s="11" t="n"/>
      <c r="I55" s="28" t="n"/>
      <c r="J55" s="11" t="n"/>
      <c r="K55" s="13" t="n"/>
      <c r="L55" s="11" t="n"/>
      <c r="M55" s="11" t="n"/>
    </row>
    <row r="56" ht="22" customHeight="1">
      <c r="B56" s="17">
        <f>IF(C56="","REC-"&amp;TEXT(COUNTA($C$5:C56),"000"))</f>
        <v/>
      </c>
      <c r="C56" s="14" t="n"/>
      <c r="D56" s="14" t="n"/>
      <c r="E56" s="14" t="n"/>
      <c r="F56" s="14" t="n"/>
      <c r="G56" s="14" t="n"/>
      <c r="H56" s="14" t="n"/>
      <c r="I56" s="29" t="n"/>
      <c r="J56" s="14" t="n"/>
      <c r="K56" s="16" t="n"/>
      <c r="L56" s="14" t="n"/>
      <c r="M56" s="14" t="n"/>
    </row>
    <row r="57" ht="22" customHeight="1">
      <c r="B57" s="18">
        <f>IF(C57="","REC-"&amp;TEXT(COUNTA($C$5:C57),"000"))</f>
        <v/>
      </c>
      <c r="C57" s="11" t="n"/>
      <c r="D57" s="11" t="n"/>
      <c r="E57" s="11" t="n"/>
      <c r="F57" s="11" t="n"/>
      <c r="G57" s="11" t="n"/>
      <c r="H57" s="11" t="n"/>
      <c r="I57" s="28" t="n"/>
      <c r="J57" s="11" t="n"/>
      <c r="K57" s="13" t="n"/>
      <c r="L57" s="11" t="n"/>
      <c r="M57" s="11" t="n"/>
    </row>
    <row r="58" ht="22" customHeight="1">
      <c r="B58" s="17">
        <f>IF(C58="","REC-"&amp;TEXT(COUNTA($C$5:C58),"000"))</f>
        <v/>
      </c>
      <c r="C58" s="14" t="n"/>
      <c r="D58" s="14" t="n"/>
      <c r="E58" s="14" t="n"/>
      <c r="F58" s="14" t="n"/>
      <c r="G58" s="14" t="n"/>
      <c r="H58" s="14" t="n"/>
      <c r="I58" s="29" t="n"/>
      <c r="J58" s="14" t="n"/>
      <c r="K58" s="16" t="n"/>
      <c r="L58" s="14" t="n"/>
      <c r="M58" s="14" t="n"/>
    </row>
    <row r="59" ht="22" customHeight="1">
      <c r="B59" s="18">
        <f>IF(C59="","REC-"&amp;TEXT(COUNTA($C$5:C59),"000"))</f>
        <v/>
      </c>
      <c r="C59" s="11" t="n"/>
      <c r="D59" s="11" t="n"/>
      <c r="E59" s="11" t="n"/>
      <c r="F59" s="11" t="n"/>
      <c r="G59" s="11" t="n"/>
      <c r="H59" s="11" t="n"/>
      <c r="I59" s="28" t="n"/>
      <c r="J59" s="11" t="n"/>
      <c r="K59" s="13" t="n"/>
      <c r="L59" s="11" t="n"/>
      <c r="M59" s="11" t="n"/>
    </row>
    <row r="60" ht="22" customHeight="1">
      <c r="B60" s="17">
        <f>IF(C60="","REC-"&amp;TEXT(COUNTA($C$5:C60),"000"))</f>
        <v/>
      </c>
      <c r="C60" s="14" t="n"/>
      <c r="D60" s="14" t="n"/>
      <c r="E60" s="14" t="n"/>
      <c r="F60" s="14" t="n"/>
      <c r="G60" s="14" t="n"/>
      <c r="H60" s="14" t="n"/>
      <c r="I60" s="29" t="n"/>
      <c r="J60" s="14" t="n"/>
      <c r="K60" s="16" t="n"/>
      <c r="L60" s="14" t="n"/>
      <c r="M60" s="14" t="n"/>
    </row>
    <row r="61" ht="22" customHeight="1">
      <c r="B61" s="18">
        <f>IF(C61="","REC-"&amp;TEXT(COUNTA($C$5:C61),"000"))</f>
        <v/>
      </c>
      <c r="C61" s="11" t="n"/>
      <c r="D61" s="11" t="n"/>
      <c r="E61" s="11" t="n"/>
      <c r="F61" s="11" t="n"/>
      <c r="G61" s="11" t="n"/>
      <c r="H61" s="11" t="n"/>
      <c r="I61" s="28" t="n"/>
      <c r="J61" s="11" t="n"/>
      <c r="K61" s="13" t="n"/>
      <c r="L61" s="11" t="n"/>
      <c r="M61" s="11" t="n"/>
    </row>
    <row r="62" ht="22" customHeight="1">
      <c r="B62" s="17">
        <f>IF(C62="","REC-"&amp;TEXT(COUNTA($C$5:C62),"000"))</f>
        <v/>
      </c>
      <c r="C62" s="14" t="n"/>
      <c r="D62" s="14" t="n"/>
      <c r="E62" s="14" t="n"/>
      <c r="F62" s="14" t="n"/>
      <c r="G62" s="14" t="n"/>
      <c r="H62" s="14" t="n"/>
      <c r="I62" s="29" t="n"/>
      <c r="J62" s="14" t="n"/>
      <c r="K62" s="16" t="n"/>
      <c r="L62" s="14" t="n"/>
      <c r="M62" s="14" t="n"/>
    </row>
    <row r="63" ht="22" customHeight="1">
      <c r="B63" s="18">
        <f>IF(C63="","REC-"&amp;TEXT(COUNTA($C$5:C63),"000"))</f>
        <v/>
      </c>
      <c r="C63" s="11" t="n"/>
      <c r="D63" s="11" t="n"/>
      <c r="E63" s="11" t="n"/>
      <c r="F63" s="11" t="n"/>
      <c r="G63" s="11" t="n"/>
      <c r="H63" s="11" t="n"/>
      <c r="I63" s="28" t="n"/>
      <c r="J63" s="11" t="n"/>
      <c r="K63" s="13" t="n"/>
      <c r="L63" s="11" t="n"/>
      <c r="M63" s="11" t="n"/>
    </row>
    <row r="64" ht="22" customHeight="1">
      <c r="B64" s="17">
        <f>IF(C64="","REC-"&amp;TEXT(COUNTA($C$5:C64),"000"))</f>
        <v/>
      </c>
      <c r="C64" s="14" t="n"/>
      <c r="D64" s="14" t="n"/>
      <c r="E64" s="14" t="n"/>
      <c r="F64" s="14" t="n"/>
      <c r="G64" s="14" t="n"/>
      <c r="H64" s="14" t="n"/>
      <c r="I64" s="29" t="n"/>
      <c r="J64" s="14" t="n"/>
      <c r="K64" s="16" t="n"/>
      <c r="L64" s="14" t="n"/>
      <c r="M64" s="14" t="n"/>
    </row>
    <row r="65" ht="22" customHeight="1">
      <c r="B65" s="18">
        <f>IF(C65="","REC-"&amp;TEXT(COUNTA($C$5:C65),"000"))</f>
        <v/>
      </c>
      <c r="C65" s="11" t="n"/>
      <c r="D65" s="11" t="n"/>
      <c r="E65" s="11" t="n"/>
      <c r="F65" s="11" t="n"/>
      <c r="G65" s="11" t="n"/>
      <c r="H65" s="11" t="n"/>
      <c r="I65" s="28" t="n"/>
      <c r="J65" s="11" t="n"/>
      <c r="K65" s="13" t="n"/>
      <c r="L65" s="11" t="n"/>
      <c r="M65" s="11" t="n"/>
    </row>
    <row r="66" ht="22" customHeight="1">
      <c r="B66" s="17">
        <f>IF(C66="","REC-"&amp;TEXT(COUNTA($C$5:C66),"000"))</f>
        <v/>
      </c>
      <c r="C66" s="14" t="n"/>
      <c r="D66" s="14" t="n"/>
      <c r="E66" s="14" t="n"/>
      <c r="F66" s="14" t="n"/>
      <c r="G66" s="14" t="n"/>
      <c r="H66" s="14" t="n"/>
      <c r="I66" s="29" t="n"/>
      <c r="J66" s="14" t="n"/>
      <c r="K66" s="16" t="n"/>
      <c r="L66" s="14" t="n"/>
      <c r="M66" s="14" t="n"/>
    </row>
    <row r="67" ht="22" customHeight="1">
      <c r="B67" s="18">
        <f>IF(C67="","REC-"&amp;TEXT(COUNTA($C$5:C67),"000"))</f>
        <v/>
      </c>
      <c r="C67" s="11" t="n"/>
      <c r="D67" s="11" t="n"/>
      <c r="E67" s="11" t="n"/>
      <c r="F67" s="11" t="n"/>
      <c r="G67" s="11" t="n"/>
      <c r="H67" s="11" t="n"/>
      <c r="I67" s="28" t="n"/>
      <c r="J67" s="11" t="n"/>
      <c r="K67" s="13" t="n"/>
      <c r="L67" s="11" t="n"/>
      <c r="M67" s="11" t="n"/>
    </row>
    <row r="68" ht="22" customHeight="1">
      <c r="B68" s="17">
        <f>IF(C68="","REC-"&amp;TEXT(COUNTA($C$5:C68),"000"))</f>
        <v/>
      </c>
      <c r="C68" s="14" t="n"/>
      <c r="D68" s="14" t="n"/>
      <c r="E68" s="14" t="n"/>
      <c r="F68" s="14" t="n"/>
      <c r="G68" s="14" t="n"/>
      <c r="H68" s="14" t="n"/>
      <c r="I68" s="29" t="n"/>
      <c r="J68" s="14" t="n"/>
      <c r="K68" s="16" t="n"/>
      <c r="L68" s="14" t="n"/>
      <c r="M68" s="14" t="n"/>
    </row>
    <row r="69" ht="22" customHeight="1">
      <c r="B69" s="18">
        <f>IF(C69="","REC-"&amp;TEXT(COUNTA($C$5:C69),"000"))</f>
        <v/>
      </c>
      <c r="C69" s="11" t="n"/>
      <c r="D69" s="11" t="n"/>
      <c r="E69" s="11" t="n"/>
      <c r="F69" s="11" t="n"/>
      <c r="G69" s="11" t="n"/>
      <c r="H69" s="11" t="n"/>
      <c r="I69" s="28" t="n"/>
      <c r="J69" s="11" t="n"/>
      <c r="K69" s="13" t="n"/>
      <c r="L69" s="11" t="n"/>
      <c r="M69" s="11" t="n"/>
    </row>
    <row r="70" ht="22" customHeight="1">
      <c r="B70" s="17">
        <f>IF(C70="","REC-"&amp;TEXT(COUNTA($C$5:C70),"000"))</f>
        <v/>
      </c>
      <c r="C70" s="14" t="n"/>
      <c r="D70" s="14" t="n"/>
      <c r="E70" s="14" t="n"/>
      <c r="F70" s="14" t="n"/>
      <c r="G70" s="14" t="n"/>
      <c r="H70" s="14" t="n"/>
      <c r="I70" s="29" t="n"/>
      <c r="J70" s="14" t="n"/>
      <c r="K70" s="16" t="n"/>
      <c r="L70" s="14" t="n"/>
      <c r="M70" s="14" t="n"/>
    </row>
    <row r="71" ht="22" customHeight="1">
      <c r="B71" s="18">
        <f>IF(C71="","REC-"&amp;TEXT(COUNTA($C$5:C71),"000"))</f>
        <v/>
      </c>
      <c r="C71" s="11" t="n"/>
      <c r="D71" s="11" t="n"/>
      <c r="E71" s="11" t="n"/>
      <c r="F71" s="11" t="n"/>
      <c r="G71" s="11" t="n"/>
      <c r="H71" s="11" t="n"/>
      <c r="I71" s="28" t="n"/>
      <c r="J71" s="11" t="n"/>
      <c r="K71" s="13" t="n"/>
      <c r="L71" s="11" t="n"/>
      <c r="M71" s="11" t="n"/>
    </row>
    <row r="72" ht="22" customHeight="1">
      <c r="B72" s="17">
        <f>IF(C72="","REC-"&amp;TEXT(COUNTA($C$5:C72),"000"))</f>
        <v/>
      </c>
      <c r="C72" s="14" t="n"/>
      <c r="D72" s="14" t="n"/>
      <c r="E72" s="14" t="n"/>
      <c r="F72" s="14" t="n"/>
      <c r="G72" s="14" t="n"/>
      <c r="H72" s="14" t="n"/>
      <c r="I72" s="29" t="n"/>
      <c r="J72" s="14" t="n"/>
      <c r="K72" s="16" t="n"/>
      <c r="L72" s="14" t="n"/>
      <c r="M72" s="14" t="n"/>
    </row>
    <row r="73" ht="22" customHeight="1">
      <c r="B73" s="18">
        <f>IF(C73="","REC-"&amp;TEXT(COUNTA($C$5:C73),"000"))</f>
        <v/>
      </c>
      <c r="C73" s="11" t="n"/>
      <c r="D73" s="11" t="n"/>
      <c r="E73" s="11" t="n"/>
      <c r="F73" s="11" t="n"/>
      <c r="G73" s="11" t="n"/>
      <c r="H73" s="11" t="n"/>
      <c r="I73" s="28" t="n"/>
      <c r="J73" s="11" t="n"/>
      <c r="K73" s="13" t="n"/>
      <c r="L73" s="11" t="n"/>
      <c r="M73" s="11" t="n"/>
    </row>
    <row r="74" ht="22" customHeight="1">
      <c r="B74" s="17">
        <f>IF(C74="","REC-"&amp;TEXT(COUNTA($C$5:C74),"000"))</f>
        <v/>
      </c>
      <c r="C74" s="14" t="n"/>
      <c r="D74" s="14" t="n"/>
      <c r="E74" s="14" t="n"/>
      <c r="F74" s="14" t="n"/>
      <c r="G74" s="14" t="n"/>
      <c r="H74" s="14" t="n"/>
      <c r="I74" s="29" t="n"/>
      <c r="J74" s="14" t="n"/>
      <c r="K74" s="16" t="n"/>
      <c r="L74" s="14" t="n"/>
      <c r="M74" s="14" t="n"/>
    </row>
    <row r="75" ht="22" customHeight="1">
      <c r="B75" s="18">
        <f>IF(C75="","REC-"&amp;TEXT(COUNTA($C$5:C75),"000"))</f>
        <v/>
      </c>
      <c r="C75" s="11" t="n"/>
      <c r="D75" s="11" t="n"/>
      <c r="E75" s="11" t="n"/>
      <c r="F75" s="11" t="n"/>
      <c r="G75" s="11" t="n"/>
      <c r="H75" s="11" t="n"/>
      <c r="I75" s="28" t="n"/>
      <c r="J75" s="11" t="n"/>
      <c r="K75" s="13" t="n"/>
      <c r="L75" s="11" t="n"/>
      <c r="M75" s="11" t="n"/>
    </row>
    <row r="76" ht="22" customHeight="1">
      <c r="B76" s="17">
        <f>IF(C76="","REC-"&amp;TEXT(COUNTA($C$5:C76),"000"))</f>
        <v/>
      </c>
      <c r="C76" s="14" t="n"/>
      <c r="D76" s="14" t="n"/>
      <c r="E76" s="14" t="n"/>
      <c r="F76" s="14" t="n"/>
      <c r="G76" s="14" t="n"/>
      <c r="H76" s="14" t="n"/>
      <c r="I76" s="29" t="n"/>
      <c r="J76" s="14" t="n"/>
      <c r="K76" s="16" t="n"/>
      <c r="L76" s="14" t="n"/>
      <c r="M76" s="14" t="n"/>
    </row>
    <row r="77" ht="22" customHeight="1">
      <c r="B77" s="18">
        <f>IF(C77="","REC-"&amp;TEXT(COUNTA($C$5:C77),"000"))</f>
        <v/>
      </c>
      <c r="C77" s="11" t="n"/>
      <c r="D77" s="11" t="n"/>
      <c r="E77" s="11" t="n"/>
      <c r="F77" s="11" t="n"/>
      <c r="G77" s="11" t="n"/>
      <c r="H77" s="11" t="n"/>
      <c r="I77" s="28" t="n"/>
      <c r="J77" s="11" t="n"/>
      <c r="K77" s="13" t="n"/>
      <c r="L77" s="11" t="n"/>
      <c r="M77" s="11" t="n"/>
    </row>
    <row r="78" ht="22" customHeight="1">
      <c r="B78" s="17">
        <f>IF(C78="","REC-"&amp;TEXT(COUNTA($C$5:C78),"000"))</f>
        <v/>
      </c>
      <c r="C78" s="14" t="n"/>
      <c r="D78" s="14" t="n"/>
      <c r="E78" s="14" t="n"/>
      <c r="F78" s="14" t="n"/>
      <c r="G78" s="14" t="n"/>
      <c r="H78" s="14" t="n"/>
      <c r="I78" s="29" t="n"/>
      <c r="J78" s="14" t="n"/>
      <c r="K78" s="16" t="n"/>
      <c r="L78" s="14" t="n"/>
      <c r="M78" s="14" t="n"/>
    </row>
    <row r="79" ht="22" customHeight="1">
      <c r="B79" s="18">
        <f>IF(C79="","REC-"&amp;TEXT(COUNTA($C$5:C79),"000"))</f>
        <v/>
      </c>
      <c r="C79" s="11" t="n"/>
      <c r="D79" s="11" t="n"/>
      <c r="E79" s="11" t="n"/>
      <c r="F79" s="11" t="n"/>
      <c r="G79" s="11" t="n"/>
      <c r="H79" s="11" t="n"/>
      <c r="I79" s="28" t="n"/>
      <c r="J79" s="11" t="n"/>
      <c r="K79" s="13" t="n"/>
      <c r="L79" s="11" t="n"/>
      <c r="M79" s="11" t="n"/>
    </row>
    <row r="80" ht="22" customHeight="1">
      <c r="B80" s="17">
        <f>IF(C80="","REC-"&amp;TEXT(COUNTA($C$5:C80),"000"))</f>
        <v/>
      </c>
      <c r="C80" s="14" t="n"/>
      <c r="D80" s="14" t="n"/>
      <c r="E80" s="14" t="n"/>
      <c r="F80" s="14" t="n"/>
      <c r="G80" s="14" t="n"/>
      <c r="H80" s="14" t="n"/>
      <c r="I80" s="29" t="n"/>
      <c r="J80" s="14" t="n"/>
      <c r="K80" s="16" t="n"/>
      <c r="L80" s="14" t="n"/>
      <c r="M80" s="14" t="n"/>
    </row>
    <row r="81" ht="22" customHeight="1">
      <c r="B81" s="18">
        <f>IF(C81="","REC-"&amp;TEXT(COUNTA($C$5:C81),"000"))</f>
        <v/>
      </c>
      <c r="C81" s="11" t="n"/>
      <c r="D81" s="11" t="n"/>
      <c r="E81" s="11" t="n"/>
      <c r="F81" s="11" t="n"/>
      <c r="G81" s="11" t="n"/>
      <c r="H81" s="11" t="n"/>
      <c r="I81" s="28" t="n"/>
      <c r="J81" s="11" t="n"/>
      <c r="K81" s="13" t="n"/>
      <c r="L81" s="11" t="n"/>
      <c r="M81" s="11" t="n"/>
    </row>
    <row r="82" ht="22" customHeight="1">
      <c r="B82" s="17">
        <f>IF(C82="","REC-"&amp;TEXT(COUNTA($C$5:C82),"000"))</f>
        <v/>
      </c>
      <c r="C82" s="14" t="n"/>
      <c r="D82" s="14" t="n"/>
      <c r="E82" s="14" t="n"/>
      <c r="F82" s="14" t="n"/>
      <c r="G82" s="14" t="n"/>
      <c r="H82" s="14" t="n"/>
      <c r="I82" s="29" t="n"/>
      <c r="J82" s="14" t="n"/>
      <c r="K82" s="16" t="n"/>
      <c r="L82" s="14" t="n"/>
      <c r="M82" s="14" t="n"/>
    </row>
    <row r="83" ht="22" customHeight="1">
      <c r="B83" s="18">
        <f>IF(C83="","REC-"&amp;TEXT(COUNTA($C$5:C83),"000"))</f>
        <v/>
      </c>
      <c r="C83" s="11" t="n"/>
      <c r="D83" s="11" t="n"/>
      <c r="E83" s="11" t="n"/>
      <c r="F83" s="11" t="n"/>
      <c r="G83" s="11" t="n"/>
      <c r="H83" s="11" t="n"/>
      <c r="I83" s="28" t="n"/>
      <c r="J83" s="11" t="n"/>
      <c r="K83" s="13" t="n"/>
      <c r="L83" s="11" t="n"/>
      <c r="M83" s="11" t="n"/>
    </row>
    <row r="84" ht="22" customHeight="1">
      <c r="B84" s="17">
        <f>IF(C84="","REC-"&amp;TEXT(COUNTA($C$5:C84),"000"))</f>
        <v/>
      </c>
      <c r="C84" s="14" t="n"/>
      <c r="D84" s="14" t="n"/>
      <c r="E84" s="14" t="n"/>
      <c r="F84" s="14" t="n"/>
      <c r="G84" s="14" t="n"/>
      <c r="H84" s="14" t="n"/>
      <c r="I84" s="29" t="n"/>
      <c r="J84" s="14" t="n"/>
      <c r="K84" s="16" t="n"/>
      <c r="L84" s="14" t="n"/>
      <c r="M84" s="14" t="n"/>
    </row>
    <row r="85" ht="22" customHeight="1">
      <c r="B85" s="18">
        <f>IF(C85="","REC-"&amp;TEXT(COUNTA($C$5:C85),"000"))</f>
        <v/>
      </c>
      <c r="C85" s="11" t="n"/>
      <c r="D85" s="11" t="n"/>
      <c r="E85" s="11" t="n"/>
      <c r="F85" s="11" t="n"/>
      <c r="G85" s="11" t="n"/>
      <c r="H85" s="11" t="n"/>
      <c r="I85" s="28" t="n"/>
      <c r="J85" s="11" t="n"/>
      <c r="K85" s="13" t="n"/>
      <c r="L85" s="11" t="n"/>
      <c r="M85" s="11" t="n"/>
    </row>
    <row r="86" ht="22" customHeight="1">
      <c r="B86" s="17">
        <f>IF(C86="","REC-"&amp;TEXT(COUNTA($C$5:C86),"000"))</f>
        <v/>
      </c>
      <c r="C86" s="14" t="n"/>
      <c r="D86" s="14" t="n"/>
      <c r="E86" s="14" t="n"/>
      <c r="F86" s="14" t="n"/>
      <c r="G86" s="14" t="n"/>
      <c r="H86" s="14" t="n"/>
      <c r="I86" s="29" t="n"/>
      <c r="J86" s="14" t="n"/>
      <c r="K86" s="16" t="n"/>
      <c r="L86" s="14" t="n"/>
      <c r="M86" s="14" t="n"/>
    </row>
    <row r="87" ht="22" customHeight="1">
      <c r="B87" s="18">
        <f>IF(C87="","REC-"&amp;TEXT(COUNTA($C$5:C87),"000"))</f>
        <v/>
      </c>
      <c r="C87" s="11" t="n"/>
      <c r="D87" s="11" t="n"/>
      <c r="E87" s="11" t="n"/>
      <c r="F87" s="11" t="n"/>
      <c r="G87" s="11" t="n"/>
      <c r="H87" s="11" t="n"/>
      <c r="I87" s="28" t="n"/>
      <c r="J87" s="11" t="n"/>
      <c r="K87" s="13" t="n"/>
      <c r="L87" s="11" t="n"/>
      <c r="M87" s="11" t="n"/>
    </row>
    <row r="88" ht="22" customHeight="1">
      <c r="B88" s="17">
        <f>IF(C88="","REC-"&amp;TEXT(COUNTA($C$5:C88),"000"))</f>
        <v/>
      </c>
      <c r="C88" s="14" t="n"/>
      <c r="D88" s="14" t="n"/>
      <c r="E88" s="14" t="n"/>
      <c r="F88" s="14" t="n"/>
      <c r="G88" s="14" t="n"/>
      <c r="H88" s="14" t="n"/>
      <c r="I88" s="29" t="n"/>
      <c r="J88" s="14" t="n"/>
      <c r="K88" s="16" t="n"/>
      <c r="L88" s="14" t="n"/>
      <c r="M88" s="14" t="n"/>
    </row>
    <row r="89" ht="22" customHeight="1">
      <c r="B89" s="18">
        <f>IF(C89="","REC-"&amp;TEXT(COUNTA($C$5:C89),"000"))</f>
        <v/>
      </c>
      <c r="C89" s="11" t="n"/>
      <c r="D89" s="11" t="n"/>
      <c r="E89" s="11" t="n"/>
      <c r="F89" s="11" t="n"/>
      <c r="G89" s="11" t="n"/>
      <c r="H89" s="11" t="n"/>
      <c r="I89" s="28" t="n"/>
      <c r="J89" s="11" t="n"/>
      <c r="K89" s="13" t="n"/>
      <c r="L89" s="11" t="n"/>
      <c r="M89" s="11" t="n"/>
    </row>
    <row r="90" ht="22" customHeight="1">
      <c r="B90" s="17">
        <f>IF(C90="","REC-"&amp;TEXT(COUNTA($C$5:C90),"000"))</f>
        <v/>
      </c>
      <c r="C90" s="14" t="n"/>
      <c r="D90" s="14" t="n"/>
      <c r="E90" s="14" t="n"/>
      <c r="F90" s="14" t="n"/>
      <c r="G90" s="14" t="n"/>
      <c r="H90" s="14" t="n"/>
      <c r="I90" s="29" t="n"/>
      <c r="J90" s="14" t="n"/>
      <c r="K90" s="16" t="n"/>
      <c r="L90" s="14" t="n"/>
      <c r="M90" s="14" t="n"/>
    </row>
    <row r="91" ht="22" customHeight="1">
      <c r="B91" s="18">
        <f>IF(C91="","REC-"&amp;TEXT(COUNTA($C$5:C91),"000"))</f>
        <v/>
      </c>
      <c r="C91" s="11" t="n"/>
      <c r="D91" s="11" t="n"/>
      <c r="E91" s="11" t="n"/>
      <c r="F91" s="11" t="n"/>
      <c r="G91" s="11" t="n"/>
      <c r="H91" s="11" t="n"/>
      <c r="I91" s="28" t="n"/>
      <c r="J91" s="11" t="n"/>
      <c r="K91" s="13" t="n"/>
      <c r="L91" s="11" t="n"/>
      <c r="M91" s="11" t="n"/>
    </row>
    <row r="92" ht="22" customHeight="1">
      <c r="B92" s="17">
        <f>IF(C92="","REC-"&amp;TEXT(COUNTA($C$5:C92),"000"))</f>
        <v/>
      </c>
      <c r="C92" s="14" t="n"/>
      <c r="D92" s="14" t="n"/>
      <c r="E92" s="14" t="n"/>
      <c r="F92" s="14" t="n"/>
      <c r="G92" s="14" t="n"/>
      <c r="H92" s="14" t="n"/>
      <c r="I92" s="29" t="n"/>
      <c r="J92" s="14" t="n"/>
      <c r="K92" s="16" t="n"/>
      <c r="L92" s="14" t="n"/>
      <c r="M92" s="14" t="n"/>
    </row>
    <row r="93" ht="22" customHeight="1">
      <c r="B93" s="18">
        <f>IF(C93="","REC-"&amp;TEXT(COUNTA($C$5:C93),"000"))</f>
        <v/>
      </c>
      <c r="C93" s="11" t="n"/>
      <c r="D93" s="11" t="n"/>
      <c r="E93" s="11" t="n"/>
      <c r="F93" s="11" t="n"/>
      <c r="G93" s="11" t="n"/>
      <c r="H93" s="11" t="n"/>
      <c r="I93" s="28" t="n"/>
      <c r="J93" s="11" t="n"/>
      <c r="K93" s="13" t="n"/>
      <c r="L93" s="11" t="n"/>
      <c r="M93" s="11" t="n"/>
    </row>
    <row r="94" ht="22" customHeight="1">
      <c r="B94" s="17">
        <f>IF(C94="","REC-"&amp;TEXT(COUNTA($C$5:C94),"000"))</f>
        <v/>
      </c>
      <c r="C94" s="14" t="n"/>
      <c r="D94" s="14" t="n"/>
      <c r="E94" s="14" t="n"/>
      <c r="F94" s="14" t="n"/>
      <c r="G94" s="14" t="n"/>
      <c r="H94" s="14" t="n"/>
      <c r="I94" s="29" t="n"/>
      <c r="J94" s="14" t="n"/>
      <c r="K94" s="16" t="n"/>
      <c r="L94" s="14" t="n"/>
      <c r="M94" s="14" t="n"/>
    </row>
    <row r="95" ht="22" customHeight="1">
      <c r="B95" s="18">
        <f>IF(C95="","REC-"&amp;TEXT(COUNTA($C$5:C95),"000"))</f>
        <v/>
      </c>
      <c r="C95" s="11" t="n"/>
      <c r="D95" s="11" t="n"/>
      <c r="E95" s="11" t="n"/>
      <c r="F95" s="11" t="n"/>
      <c r="G95" s="11" t="n"/>
      <c r="H95" s="11" t="n"/>
      <c r="I95" s="28" t="n"/>
      <c r="J95" s="11" t="n"/>
      <c r="K95" s="13" t="n"/>
      <c r="L95" s="11" t="n"/>
      <c r="M95" s="11" t="n"/>
    </row>
    <row r="96" ht="22" customHeight="1">
      <c r="B96" s="17">
        <f>IF(C96="","REC-"&amp;TEXT(COUNTA($C$5:C96),"000"))</f>
        <v/>
      </c>
      <c r="C96" s="14" t="n"/>
      <c r="D96" s="14" t="n"/>
      <c r="E96" s="14" t="n"/>
      <c r="F96" s="14" t="n"/>
      <c r="G96" s="14" t="n"/>
      <c r="H96" s="14" t="n"/>
      <c r="I96" s="29" t="n"/>
      <c r="J96" s="14" t="n"/>
      <c r="K96" s="16" t="n"/>
      <c r="L96" s="14" t="n"/>
      <c r="M96" s="14" t="n"/>
    </row>
    <row r="97" ht="22" customHeight="1">
      <c r="B97" s="18">
        <f>IF(C97="","REC-"&amp;TEXT(COUNTA($C$5:C97),"000"))</f>
        <v/>
      </c>
      <c r="C97" s="11" t="n"/>
      <c r="D97" s="11" t="n"/>
      <c r="E97" s="11" t="n"/>
      <c r="F97" s="11" t="n"/>
      <c r="G97" s="11" t="n"/>
      <c r="H97" s="11" t="n"/>
      <c r="I97" s="28" t="n"/>
      <c r="J97" s="11" t="n"/>
      <c r="K97" s="13" t="n"/>
      <c r="L97" s="11" t="n"/>
      <c r="M97" s="11" t="n"/>
    </row>
    <row r="98" ht="22" customHeight="1">
      <c r="B98" s="17">
        <f>IF(C98="","REC-"&amp;TEXT(COUNTA($C$5:C98),"000"))</f>
        <v/>
      </c>
      <c r="C98" s="14" t="n"/>
      <c r="D98" s="14" t="n"/>
      <c r="E98" s="14" t="n"/>
      <c r="F98" s="14" t="n"/>
      <c r="G98" s="14" t="n"/>
      <c r="H98" s="14" t="n"/>
      <c r="I98" s="29" t="n"/>
      <c r="J98" s="14" t="n"/>
      <c r="K98" s="16" t="n"/>
      <c r="L98" s="14" t="n"/>
      <c r="M98" s="14" t="n"/>
    </row>
    <row r="99" ht="22" customHeight="1">
      <c r="B99" s="18">
        <f>IF(C99="","REC-"&amp;TEXT(COUNTA($C$5:C99),"000"))</f>
        <v/>
      </c>
      <c r="C99" s="11" t="n"/>
      <c r="D99" s="11" t="n"/>
      <c r="E99" s="11" t="n"/>
      <c r="F99" s="11" t="n"/>
      <c r="G99" s="11" t="n"/>
      <c r="H99" s="11" t="n"/>
      <c r="I99" s="28" t="n"/>
      <c r="J99" s="11" t="n"/>
      <c r="K99" s="13" t="n"/>
      <c r="L99" s="11" t="n"/>
      <c r="M99" s="11" t="n"/>
    </row>
    <row r="100" ht="22" customHeight="1">
      <c r="B100" s="17">
        <f>IF(C100="","REC-"&amp;TEXT(COUNTA($C$5:C100),"000"))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29" t="n"/>
      <c r="J100" s="14" t="n"/>
      <c r="K100" s="16" t="n"/>
      <c r="L100" s="14" t="n"/>
      <c r="M100" s="14" t="n"/>
    </row>
    <row r="101" ht="22" customHeight="1">
      <c r="B101" s="18">
        <f>IF(C101="","REC-"&amp;TEXT(COUNTA($C$5:C101),"000"))</f>
        <v/>
      </c>
      <c r="C101" s="11" t="n"/>
      <c r="D101" s="11" t="n"/>
      <c r="E101" s="11" t="n"/>
      <c r="F101" s="11" t="n"/>
      <c r="G101" s="11" t="n"/>
      <c r="H101" s="11" t="n"/>
      <c r="I101" s="28" t="n"/>
      <c r="J101" s="11" t="n"/>
      <c r="K101" s="13" t="n"/>
      <c r="L101" s="11" t="n"/>
      <c r="M101" s="11" t="n"/>
    </row>
    <row r="102" ht="22" customHeight="1">
      <c r="B102" s="17">
        <f>IF(C102="","REC-"&amp;TEXT(COUNTA($C$5:C102),"000"))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29" t="n"/>
      <c r="J102" s="14" t="n"/>
      <c r="K102" s="16" t="n"/>
      <c r="L102" s="14" t="n"/>
      <c r="M102" s="14" t="n"/>
    </row>
    <row r="103" ht="22" customHeight="1">
      <c r="B103" s="18">
        <f>IF(C103="","REC-"&amp;TEXT(COUNTA($C$5:C103),"000"))</f>
        <v/>
      </c>
      <c r="C103" s="11" t="n"/>
      <c r="D103" s="11" t="n"/>
      <c r="E103" s="11" t="n"/>
      <c r="F103" s="11" t="n"/>
      <c r="G103" s="11" t="n"/>
      <c r="H103" s="11" t="n"/>
      <c r="I103" s="28" t="n"/>
      <c r="J103" s="11" t="n"/>
      <c r="K103" s="13" t="n"/>
      <c r="L103" s="11" t="n"/>
      <c r="M103" s="11" t="n"/>
    </row>
    <row r="104" ht="22" customHeight="1">
      <c r="B104" s="17">
        <f>IF(C104="","REC-"&amp;TEXT(COUNTA($C$5:C104),"000"))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29" t="n"/>
      <c r="J104" s="14" t="n"/>
      <c r="K104" s="16" t="n"/>
      <c r="L104" s="14" t="n"/>
      <c r="M104" s="14" t="n"/>
    </row>
    <row r="105" ht="22" customHeight="1">
      <c r="B105" s="18">
        <f>IF(C105="","REC-"&amp;TEXT(COUNTA($C$5:C105),"000"))</f>
        <v/>
      </c>
      <c r="C105" s="11" t="n"/>
      <c r="D105" s="11" t="n"/>
      <c r="E105" s="11" t="n"/>
      <c r="F105" s="11" t="n"/>
      <c r="G105" s="11" t="n"/>
      <c r="H105" s="11" t="n"/>
      <c r="I105" s="28" t="n"/>
      <c r="J105" s="11" t="n"/>
      <c r="K105" s="13" t="n"/>
      <c r="L105" s="11" t="n"/>
      <c r="M105" s="11" t="n"/>
    </row>
    <row r="106" ht="22" customHeight="1">
      <c r="B106" s="17">
        <f>IF(C106="","REC-"&amp;TEXT(COUNTA($C$5:C106),"000"))</f>
        <v/>
      </c>
      <c r="C106" s="14" t="n"/>
      <c r="D106" s="14" t="n"/>
      <c r="E106" s="14" t="n"/>
      <c r="F106" s="14" t="n"/>
      <c r="G106" s="14" t="n"/>
      <c r="H106" s="14" t="n"/>
      <c r="I106" s="29" t="n"/>
      <c r="J106" s="14" t="n"/>
      <c r="K106" s="16" t="n"/>
      <c r="L106" s="14" t="n"/>
      <c r="M106" s="14" t="n"/>
    </row>
    <row r="107" ht="22" customHeight="1">
      <c r="B107" s="18">
        <f>IF(C107="","REC-"&amp;TEXT(COUNTA($C$5:C107),"000"))</f>
        <v/>
      </c>
      <c r="C107" s="11" t="n"/>
      <c r="D107" s="11" t="n"/>
      <c r="E107" s="11" t="n"/>
      <c r="F107" s="11" t="n"/>
      <c r="G107" s="11" t="n"/>
      <c r="H107" s="11" t="n"/>
      <c r="I107" s="28" t="n"/>
      <c r="J107" s="11" t="n"/>
      <c r="K107" s="13" t="n"/>
      <c r="L107" s="11" t="n"/>
      <c r="M107" s="11" t="n"/>
    </row>
    <row r="108" ht="22" customHeight="1">
      <c r="B108" s="17">
        <f>IF(C108="","REC-"&amp;TEXT(COUNTA($C$5:C108),"000"))</f>
        <v/>
      </c>
      <c r="C108" s="14" t="n"/>
      <c r="D108" s="14" t="n"/>
      <c r="E108" s="14" t="n"/>
      <c r="F108" s="14" t="n"/>
      <c r="G108" s="14" t="n"/>
      <c r="H108" s="14" t="n"/>
      <c r="I108" s="29" t="n"/>
      <c r="J108" s="14" t="n"/>
      <c r="K108" s="16" t="n"/>
      <c r="L108" s="14" t="n"/>
      <c r="M108" s="14" t="n"/>
    </row>
    <row r="109" ht="22" customHeight="1">
      <c r="B109" s="18">
        <f>IF(C109="","REC-"&amp;TEXT(COUNTA($C$5:C109),"000"))</f>
        <v/>
      </c>
      <c r="C109" s="11" t="n"/>
      <c r="D109" s="11" t="n"/>
      <c r="E109" s="11" t="n"/>
      <c r="F109" s="11" t="n"/>
      <c r="G109" s="11" t="n"/>
      <c r="H109" s="11" t="n"/>
      <c r="I109" s="28" t="n"/>
      <c r="J109" s="11" t="n"/>
      <c r="K109" s="13" t="n"/>
      <c r="L109" s="11" t="n"/>
      <c r="M109" s="11" t="n"/>
    </row>
    <row r="111">
      <c r="B111" s="5" t="inlineStr">
        <is>
          <t>INDICATEURS (mis a jour automatiquement)</t>
        </is>
      </c>
    </row>
    <row r="112">
      <c r="B112" s="3" t="inlineStr">
        <is>
          <t>Reclamations</t>
        </is>
      </c>
      <c r="D112" s="3" t="inlineStr">
        <is>
          <t>Cloturees</t>
        </is>
      </c>
      <c r="F112" s="3" t="inlineStr">
        <is>
          <t>En cours</t>
        </is>
      </c>
      <c r="H112" s="3" t="inlineStr">
        <is>
          <t>Delai moyen (j)</t>
        </is>
      </c>
    </row>
    <row r="113">
      <c r="B113" s="4">
        <f>COUNTIF(B5:B104,"&lt;&gt;")</f>
        <v/>
      </c>
      <c r="D113" s="4">
        <f>COUNTIF(M5:M104,"Cloturee")</f>
        <v/>
      </c>
      <c r="F113" s="4">
        <f>COUNTIF(M5:M104,"En cours d'instruction")</f>
        <v/>
      </c>
      <c r="H113" s="4">
        <f>IFERROR(AVERAGE(K5:K104),0)</f>
        <v/>
      </c>
    </row>
  </sheetData>
  <mergeCells count="3">
    <mergeCell ref="B3:M3"/>
    <mergeCell ref="B2:M2"/>
    <mergeCell ref="B111:M111"/>
  </mergeCells>
  <conditionalFormatting sqref="M5:M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1">
      <formula>"En attente"</formula>
    </cfRule>
    <cfRule type="cellIs" priority="45" operator="equal" dxfId="1">
      <formula>"A renouveler"</formula>
    </cfRule>
    <cfRule type="cellIs" priority="46" operator="equal" dxfId="1">
      <formula>"En cours"</formula>
    </cfRule>
    <cfRule type="cellIs" priority="47" operator="equal" dxfId="1">
      <formula>"En traitement"</formula>
    </cfRule>
    <cfRule type="cellIs" priority="48" operator="equal" dxfId="1">
      <formula>"En retard"</formula>
    </cfRule>
    <cfRule type="cellIs" priority="49" operator="equal" dxfId="1">
      <formula>"Suspendu"</formula>
    </cfRule>
    <cfRule type="cellIs" priority="50" operator="equal" dxfId="1">
      <formula>"Planifie"</formula>
    </cfRule>
    <cfRule type="cellIs" priority="51" operator="equal" dxfId="1">
      <formula>"Planifiee"</formula>
    </cfRule>
    <cfRule type="cellIs" priority="52" operator="equal" dxfId="1">
      <formula>"Brouillon"</formula>
    </cfRule>
    <cfRule type="cellIs" priority="53" operator="equal" dxfId="1">
      <formula>"En attente de justification"</formula>
    </cfRule>
    <cfRule type="cellIs" priority="54" operator="equal" dxfId="1">
      <formula>"Tolere"</formula>
    </cfRule>
    <cfRule type="cellIs" priority="55" operator="equal" dxfId="1">
      <formula>"Variable"</formula>
    </cfRule>
    <cfRule type="cellIs" priority="56" operator="equal" dxfId="1">
      <formula>"En elaboration"</formula>
    </cfRule>
    <cfRule type="cellIs" priority="57" operator="equal" dxfId="1">
      <formula>"Provisionne"</formula>
    </cfRule>
    <cfRule type="cellIs" priority="58" operator="equal" dxfId="1">
      <formula>"Consomme partiel"</formula>
    </cfRule>
    <cfRule type="cellIs" priority="59" operator="equal" dxfId="1">
      <formula>"Identifie"</formula>
    </cfRule>
    <cfRule type="cellIs" priority="60" operator="equal" dxfId="1">
      <formula>"Priorise"</formula>
    </cfRule>
    <cfRule type="cellIs" priority="61" operator="equal" dxfId="1">
      <formula>"Intermediaire"</formula>
    </cfRule>
    <cfRule type="cellIs" priority="62" operator="equal" dxfId="1">
      <formula>"Non evalue"</formula>
    </cfRule>
    <cfRule type="cellIs" priority="63" operator="equal" dxfId="1">
      <formula>"En cours de realisation"</formula>
    </cfRule>
    <cfRule type="cellIs" priority="64" operator="equal" dxfId="1">
      <formula>"Non demarre"</formula>
    </cfRule>
    <cfRule type="cellIs" priority="65" operator="equal" dxfId="1">
      <formula>"En attente N+1"</formula>
    </cfRule>
    <cfRule type="cellIs" priority="66" operator="equal" dxfId="1">
      <formula>"Prolongation essai"</formula>
    </cfRule>
    <cfRule type="cellIs" priority="67" operator="equal" dxfId="1">
      <formula>"En attente validation"</formula>
    </cfRule>
    <cfRule type="cellIs" priority="68" operator="equal" dxfId="1">
      <formula>"Bon"</formula>
    </cfRule>
    <cfRule type="cellIs" priority="69" operator="equal" dxfId="1">
      <formula>"D - Moyen"</formula>
    </cfRule>
    <cfRule type="cellIs" priority="70" operator="equal" dxfId="1">
      <formula>"En cours de repres."</formula>
    </cfRule>
    <cfRule type="cellIs" priority="71" operator="equal" dxfId="1">
      <formula>"En negociation"</formula>
    </cfRule>
    <cfRule type="cellIs" priority="72" operator="equal" dxfId="1">
      <formula>"En preparation"</formula>
    </cfRule>
    <cfRule type="cellIs" priority="73" operator="equal" dxfId="1">
      <formula>"En cours d'instruction"</formula>
    </cfRule>
    <cfRule type="cellIs" priority="74" operator="equal" dxfId="1">
      <formula>"Transferee N+1"</formula>
    </cfRule>
    <cfRule type="cellIs" priority="75" operator="equal" dxfId="1">
      <formula>"En attente reponse"</formula>
    </cfRule>
    <cfRule type="cellIs" priority="76" operator="equal" dxfId="1">
      <formula>"Enquete ouverte"</formula>
    </cfRule>
    <cfRule type="cellIs" priority="77" operator="equal" dxfId="1">
      <formula>"Convocation envoyee"</formula>
    </cfRule>
    <cfRule type="cellIs" priority="78" operator="equal" dxfId="1">
      <formula>"Entretien realise"</formula>
    </cfRule>
    <cfRule type="cellIs" priority="79" operator="equal" dxfId="1">
      <formula>"Saisie"</formula>
    </cfRule>
    <cfRule type="cellIs" priority="80" operator="equal" dxfId="1">
      <formula>"En mediation"</formula>
    </cfRule>
    <cfRule type="cellIs" priority="81" operator="equal" dxfId="1">
      <formula>"En recours"</formula>
    </cfRule>
    <cfRule type="cellIs" priority="82" operator="equal" dxfId="1">
      <formula>"Reportee"</formula>
    </cfRule>
    <cfRule type="cellIs" priority="83" operator="equal" dxfId="1">
      <formula>"Signale"</formula>
    </cfRule>
    <cfRule type="cellIs" priority="84" operator="equal" dxfId="1">
      <formula>"Precontentieux"</formula>
    </cfRule>
    <cfRule type="cellIs" priority="85" operator="equal" dxfId="1">
      <formula>"En attente election"</formula>
    </cfRule>
    <cfRule type="cellIs" priority="86" operator="equal" dxfId="1">
      <formula>"Classe"</formula>
    </cfRule>
    <cfRule type="cellIs" priority="87" operator="equal" dxfId="2">
      <formula>"Expire"</formula>
    </cfRule>
    <cfRule type="cellIs" priority="88" operator="equal" dxfId="2">
      <formula>"Rejete"</formula>
    </cfRule>
    <cfRule type="cellIs" priority="89" operator="equal" dxfId="2">
      <formula>"Rejetee"</formula>
    </cfRule>
    <cfRule type="cellIs" priority="90" operator="equal" dxfId="2">
      <formula>"Resilie"</formula>
    </cfRule>
    <cfRule type="cellIs" priority="91" operator="equal" dxfId="2">
      <formula>"Annule"</formula>
    </cfRule>
    <cfRule type="cellIs" priority="92" operator="equal" dxfId="2">
      <formula>"Annulee"</formula>
    </cfRule>
    <cfRule type="cellIs" priority="93" operator="equal" dxfId="2">
      <formula>"Refuse"</formula>
    </cfRule>
    <cfRule type="cellIs" priority="94" operator="equal" dxfId="2">
      <formula>"Non justifie"</formula>
    </cfRule>
    <cfRule type="cellIs" priority="95" operator="equal" dxfId="2">
      <formula>"Non justifiee"</formula>
    </cfRule>
    <cfRule type="cellIs" priority="96" operator="equal" dxfId="2">
      <formula>"Sanctionne"</formula>
    </cfRule>
    <cfRule type="cellIs" priority="97" operator="equal" dxfId="2">
      <formula>"Inaptitude"</formula>
    </cfRule>
    <cfRule type="cellIs" priority="98" operator="equal" dxfId="2">
      <formula>"Absent sans autorisation"</formula>
    </cfRule>
    <cfRule type="cellIs" priority="99" operator="equal" dxfId="2">
      <formula>"Abandon de poste"</formula>
    </cfRule>
    <cfRule type="cellIs" priority="100" operator="equal" dxfId="2">
      <formula>"Non satisfait"</formula>
    </cfRule>
    <cfRule type="cellIs" priority="101" operator="equal" dxfId="2">
      <formula>"Reportee"</formula>
    </cfRule>
    <cfRule type="cellIs" priority="102" operator="equal" dxfId="2">
      <formula>"Depasse"</formula>
    </cfRule>
    <cfRule type="cellIs" priority="103" operator="equal" dxfId="2">
      <formula>"Non utilise"</formula>
    </cfRule>
    <cfRule type="cellIs" priority="104" operator="equal" dxfId="2">
      <formula>"Non applicable"</formula>
    </cfRule>
    <cfRule type="cellIs" priority="105" operator="equal" dxfId="2">
      <formula>"Debutant"</formula>
    </cfRule>
    <cfRule type="cellIs" priority="106" operator="equal" dxfId="2">
      <formula>"Non atteint"</formula>
    </cfRule>
    <cfRule type="cellIs" priority="107" operator="equal" dxfId="2">
      <formula>"Abandonne"</formula>
    </cfRule>
    <cfRule type="cellIs" priority="108" operator="equal" dxfId="2">
      <formula>"Rupture essai"</formula>
    </cfRule>
    <cfRule type="cellIs" priority="109" operator="equal" dxfId="2">
      <formula>"Insuffisant"</formula>
    </cfRule>
    <cfRule type="cellIs" priority="110" operator="equal" dxfId="2">
      <formula>"Moyen"</formula>
    </cfRule>
    <cfRule type="cellIs" priority="111" operator="equal" dxfId="2">
      <formula>"E - Insuffisant"</formula>
    </cfRule>
    <cfRule type="cellIs" priority="112" operator="equal" dxfId="2">
      <formula>"Dissous"</formula>
    </cfRule>
    <cfRule type="cellIs" priority="113" operator="equal" dxfId="2">
      <formula>"Denonce"</formula>
    </cfRule>
    <cfRule type="cellIs" priority="114" operator="equal" dxfId="2">
      <formula>"Echoue"</formula>
    </cfRule>
    <cfRule type="cellIs" priority="115" operator="equal" dxfId="2">
      <formula>"Echouee"</formula>
    </cfRule>
    <cfRule type="cellIs" priority="116" operator="equal" dxfId="2">
      <formula>"Revoque"</formula>
    </cfRule>
    <cfRule type="cellIs" priority="117" operator="equal" dxfId="2">
      <formula>"Demissionnaire"</formula>
    </cfRule>
    <cfRule type="cellIs" priority="118" operator="equal" dxfId="2">
      <formula>"Licenciement pour faute"</formula>
    </cfRule>
    <cfRule type="cellIs" priority="119" operator="equal" dxfId="2">
      <formula>"Licenciement pour faute grave"</formula>
    </cfRule>
    <cfRule type="cellIs" priority="120" operator="equal" dxfId="2">
      <formula>"Terminee - Echec"</formula>
    </cfRule>
    <cfRule type="cellIs" priority="121" operator="equal" dxfId="2">
      <formula>"Abandonnee"</formula>
    </cfRule>
    <cfRule type="cellIs" priority="122" operator="equal" dxfId="2">
      <formula>"Violence physique"</formula>
    </cfRule>
    <cfRule type="cellIs" priority="123" operator="equal" dxfId="2">
      <formula>"Violence verbale"</formula>
    </cfRule>
  </conditionalFormatting>
  <conditionalFormatting sqref="B10:B109">
    <cfRule type="expression" priority="124" dxfId="3">
      <formula>AND($C10="",$C9&lt;&gt;"")</formula>
    </cfRule>
  </conditionalFormatting>
  <conditionalFormatting sqref="C10:C109">
    <cfRule type="expression" priority="125" dxfId="3">
      <formula>AND($C10="",$C9&lt;&gt;"")</formula>
    </cfRule>
  </conditionalFormatting>
  <conditionalFormatting sqref="D10:D109">
    <cfRule type="expression" priority="126" dxfId="3">
      <formula>AND($C10="",$C9&lt;&gt;"")</formula>
    </cfRule>
  </conditionalFormatting>
  <conditionalFormatting sqref="E10:E109">
    <cfRule type="expression" priority="127" dxfId="3">
      <formula>AND($C10="",$C9&lt;&gt;"")</formula>
    </cfRule>
  </conditionalFormatting>
  <conditionalFormatting sqref="F10:F109">
    <cfRule type="expression" priority="128" dxfId="3">
      <formula>AND($C10="",$C9&lt;&gt;"")</formula>
    </cfRule>
  </conditionalFormatting>
  <conditionalFormatting sqref="G10:G109">
    <cfRule type="expression" priority="129" dxfId="3">
      <formula>AND($C10="",$C9&lt;&gt;"")</formula>
    </cfRule>
  </conditionalFormatting>
  <conditionalFormatting sqref="H10:H109">
    <cfRule type="expression" priority="130" dxfId="3">
      <formula>AND($C10="",$C9&lt;&gt;"")</formula>
    </cfRule>
  </conditionalFormatting>
  <conditionalFormatting sqref="I10:I109">
    <cfRule type="expression" priority="131" dxfId="3">
      <formula>AND($C10="",$C9&lt;&gt;"")</formula>
    </cfRule>
  </conditionalFormatting>
  <conditionalFormatting sqref="J10:J109">
    <cfRule type="expression" priority="132" dxfId="3">
      <formula>AND($C10="",$C9&lt;&gt;"")</formula>
    </cfRule>
  </conditionalFormatting>
  <conditionalFormatting sqref="K10:K109">
    <cfRule type="expression" priority="133" dxfId="3">
      <formula>AND($C10="",$C9&lt;&gt;"")</formula>
    </cfRule>
  </conditionalFormatting>
  <conditionalFormatting sqref="L10:L109">
    <cfRule type="expression" priority="134" dxfId="3">
      <formula>AND($C10="",$C9&lt;&gt;"")</formula>
    </cfRule>
  </conditionalFormatting>
  <conditionalFormatting sqref="M10:M109">
    <cfRule type="expression" priority="135" dxfId="3">
      <formula>AND($C10="",$C9&lt;&gt;"")</formula>
    </cfRule>
  </conditionalFormatting>
  <dataValidations count="5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G5:G109" showDropDown="0" showInputMessage="0" showErrorMessage="0" allowBlank="1" errorTitle="Erreur" error="Valeur invalide" promptTitle="Liste" prompt="Choisir dans la liste" type="list">
      <formula1>'_Lists'!$P$2:$P$12</formula1>
    </dataValidation>
    <dataValidation sqref="J5:J109" showDropDown="0" showInputMessage="0" showErrorMessage="0" allowBlank="1" errorTitle="Erreur" error="Valeur invalide" promptTitle="Liste" prompt="Choisir dans la liste" type="list">
      <formula1>'_Lists'!$Q$2:$Q$5</formula1>
    </dataValidation>
    <dataValidation sqref="M5:M109" showDropDown="0" showInputMessage="0" showErrorMessage="0" allowBlank="1" errorTitle="Erreur" error="Valeur invalide" promptTitle="Liste" prompt="Choisir dans la liste" type="list">
      <formula1>'_Lists'!$R$2:$R$9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N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8" customWidth="1" min="6" max="6"/>
    <col width="24" customWidth="1" min="7" max="7"/>
    <col width="14" customWidth="1" min="8" max="8"/>
    <col width="16" customWidth="1" min="9" max="9"/>
    <col width="16" customWidth="1" min="10" max="10"/>
    <col width="26" customWidth="1" min="11" max="11"/>
    <col width="30" customWidth="1" min="12" max="12"/>
    <col width="16" customWidth="1" min="13" max="13"/>
    <col width="18" customWidth="1" min="14" max="14"/>
  </cols>
  <sheetData>
    <row r="1" ht="15" customHeight="1"/>
    <row r="2" ht="32" customHeight="1">
      <c r="B2" s="1" t="inlineStr">
        <is>
          <t>PROCEDURES DISCIPLINAIRES (#94)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Matricule</t>
        </is>
      </c>
      <c r="D4" s="10" t="inlineStr">
        <is>
          <t>Nom Employe</t>
        </is>
      </c>
      <c r="E4" s="10" t="inlineStr">
        <is>
          <t>Departement</t>
        </is>
      </c>
      <c r="F4" s="10" t="inlineStr">
        <is>
          <t>Poste</t>
        </is>
      </c>
      <c r="G4" s="10" t="inlineStr">
        <is>
          <t>Type Faute</t>
        </is>
      </c>
      <c r="H4" s="10" t="inlineStr">
        <is>
          <t>Date Faute</t>
        </is>
      </c>
      <c r="I4" s="10" t="inlineStr">
        <is>
          <t>Date Convocation</t>
        </is>
      </c>
      <c r="J4" s="10" t="inlineStr">
        <is>
          <t>Date Entretien</t>
        </is>
      </c>
      <c r="K4" s="10" t="inlineStr">
        <is>
          <t>Sanction Prononcee</t>
        </is>
      </c>
      <c r="L4" s="10" t="inlineStr">
        <is>
          <t>Observations</t>
        </is>
      </c>
      <c r="M4" s="10" t="inlineStr">
        <is>
          <t>Date Notification</t>
        </is>
      </c>
      <c r="N4" s="10" t="inlineStr">
        <is>
          <t>Statut</t>
        </is>
      </c>
    </row>
    <row r="5" ht="22" customHeight="1">
      <c r="B5" s="11" t="inlineStr">
        <is>
          <t>DIS-001</t>
        </is>
      </c>
      <c r="C5" s="11" t="inlineStr">
        <is>
          <t>EMP-033</t>
        </is>
      </c>
      <c r="D5" s="11" t="inlineStr">
        <is>
          <t>Tamo Elvis</t>
        </is>
      </c>
      <c r="E5" s="11" t="inlineStr">
        <is>
          <t>Cuisine &amp; Restauration</t>
        </is>
      </c>
      <c r="F5" s="11" t="inlineStr">
        <is>
          <t>Plongeur</t>
        </is>
      </c>
      <c r="G5" s="11" t="inlineStr">
        <is>
          <t>Absent sans autorisation</t>
        </is>
      </c>
      <c r="H5" s="28" t="n">
        <v>45818</v>
      </c>
      <c r="I5" s="28" t="n">
        <v>45820</v>
      </c>
      <c r="J5" s="28" t="n">
        <v>45823</v>
      </c>
      <c r="K5" s="11" t="inlineStr">
        <is>
          <t>Avertissement ecrit</t>
        </is>
      </c>
      <c r="L5" s="11" t="inlineStr">
        <is>
          <t>Premier avertissement</t>
        </is>
      </c>
      <c r="M5" s="28" t="n">
        <v>45824</v>
      </c>
      <c r="N5" s="11" t="inlineStr">
        <is>
          <t>Decision notifiee</t>
        </is>
      </c>
    </row>
    <row r="6" ht="22" customHeight="1">
      <c r="B6" s="14" t="inlineStr">
        <is>
          <t>DIS-002</t>
        </is>
      </c>
      <c r="C6" s="14" t="inlineStr">
        <is>
          <t>EMP-009</t>
        </is>
      </c>
      <c r="D6" s="14">
        <f>IF(C6="","",VLOOKUP(C6,'_Données Employés'!$B$5:$H$18,4,FALSE)&amp;" "&amp;VLOOKUP(C6,'_Données Employés'!$B$5:$H$18,5,FALSE))</f>
        <v/>
      </c>
      <c r="E6" s="14">
        <f>IF(C6="","",VLOOKUP(C6,'_Données Employés'!$B$5:$H$18,6,FALSE))</f>
        <v/>
      </c>
      <c r="F6" s="14">
        <f>IF(C6="","",VLOOKUP(C6,'_Données Employés'!$B$5:$H$18,7,FALSE))</f>
        <v/>
      </c>
      <c r="G6" s="14" t="inlineStr">
        <is>
          <t>Retards repetes</t>
        </is>
      </c>
      <c r="H6" s="29" t="n">
        <v>45778</v>
      </c>
      <c r="I6" s="29" t="n">
        <v>45785</v>
      </c>
      <c r="J6" s="29" t="n">
        <v>45789</v>
      </c>
      <c r="K6" s="14" t="inlineStr">
        <is>
          <t>Avertissement oral</t>
        </is>
      </c>
      <c r="L6" s="14" t="inlineStr">
        <is>
          <t>3 retards en 2 semaines</t>
        </is>
      </c>
      <c r="M6" s="29" t="n">
        <v>45789</v>
      </c>
      <c r="N6" s="14" t="inlineStr">
        <is>
          <t>Cloturee</t>
        </is>
      </c>
    </row>
    <row r="7" ht="22" customHeight="1">
      <c r="B7" s="11" t="inlineStr">
        <is>
          <t>DIS-003</t>
        </is>
      </c>
      <c r="C7" s="11" t="inlineStr">
        <is>
          <t>EMP-040</t>
        </is>
      </c>
      <c r="D7" s="11" t="inlineStr">
        <is>
          <t>Kane Adama</t>
        </is>
      </c>
      <c r="E7" s="11" t="inlineStr">
        <is>
          <t>Securite</t>
        </is>
      </c>
      <c r="F7" s="11" t="inlineStr">
        <is>
          <t>Agent Securite</t>
        </is>
      </c>
      <c r="G7" s="11" t="inlineStr">
        <is>
          <t>Insubordination</t>
        </is>
      </c>
      <c r="H7" s="28" t="n">
        <v>45828</v>
      </c>
      <c r="I7" s="28" t="n">
        <v>45830</v>
      </c>
      <c r="J7" s="28" t="n">
        <v>45833</v>
      </c>
      <c r="K7" s="11" t="inlineStr">
        <is>
          <t>Mise a pied disciplinaire</t>
        </is>
      </c>
      <c r="L7" s="11" t="inlineStr">
        <is>
          <t>Refus d'obeir au N+1</t>
        </is>
      </c>
      <c r="M7" s="28" t="n">
        <v>45834</v>
      </c>
      <c r="N7" s="11" t="inlineStr">
        <is>
          <t>En recours</t>
        </is>
      </c>
    </row>
    <row r="8" ht="22" customHeight="1">
      <c r="B8" s="14" t="inlineStr">
        <is>
          <t>DIS-004</t>
        </is>
      </c>
      <c r="C8" s="14" t="inlineStr">
        <is>
          <t>EMP-025</t>
        </is>
      </c>
      <c r="D8" s="14" t="inlineStr">
        <is>
          <t>Ngo Linda</t>
        </is>
      </c>
      <c r="E8" s="14" t="inlineStr">
        <is>
          <t>Service Client</t>
        </is>
      </c>
      <c r="F8" s="14" t="inlineStr">
        <is>
          <t>Conseiller</t>
        </is>
      </c>
      <c r="G8" s="14" t="inlineStr">
        <is>
          <t>Négligence grave</t>
        </is>
      </c>
      <c r="H8" s="29" t="n">
        <v>45792</v>
      </c>
      <c r="I8" s="29" t="n">
        <v>45795</v>
      </c>
      <c r="J8" s="29" t="n">
        <v>45799</v>
      </c>
      <c r="K8" s="14" t="inlineStr">
        <is>
          <t>Blame</t>
        </is>
      </c>
      <c r="L8" s="14" t="inlineStr">
        <is>
          <t>Erreurs facturation repetees</t>
        </is>
      </c>
      <c r="M8" s="29" t="n">
        <v>45800</v>
      </c>
      <c r="N8" s="14" t="inlineStr">
        <is>
          <t>Cloturee</t>
        </is>
      </c>
    </row>
    <row r="9" ht="22" customHeight="1">
      <c r="B9" s="18">
        <f>IF(C9="","DIS-"&amp;TEXT(COUNTA($C$5:C9),"000"))</f>
        <v/>
      </c>
      <c r="C9" s="11" t="n"/>
      <c r="D9" s="11" t="n"/>
      <c r="E9" s="11" t="n"/>
      <c r="F9" s="11" t="n"/>
      <c r="G9" s="11" t="n"/>
      <c r="H9" s="28" t="n"/>
      <c r="I9" s="28" t="n"/>
      <c r="J9" s="28" t="n"/>
      <c r="K9" s="11" t="n"/>
      <c r="L9" s="11" t="n"/>
      <c r="M9" s="28" t="n"/>
      <c r="N9" s="11" t="n"/>
    </row>
    <row r="10" ht="22" customHeight="1">
      <c r="B10" s="17">
        <f>IF(C10="","DIS-"&amp;TEXT(COUNTA($C$5:C10),"000"))</f>
        <v/>
      </c>
      <c r="C10" s="14" t="n"/>
      <c r="D10" s="14" t="n"/>
      <c r="E10" s="14" t="n"/>
      <c r="F10" s="14" t="n"/>
      <c r="G10" s="14" t="n"/>
      <c r="H10" s="29" t="n"/>
      <c r="I10" s="29" t="n"/>
      <c r="J10" s="29" t="n"/>
      <c r="K10" s="14" t="n"/>
      <c r="L10" s="14" t="n"/>
      <c r="M10" s="29" t="n"/>
      <c r="N10" s="14" t="n"/>
    </row>
    <row r="11" ht="22" customHeight="1">
      <c r="B11" s="18">
        <f>IF(C11="","DIS-"&amp;TEXT(COUNTA($C$5:C11),"000"))</f>
        <v/>
      </c>
      <c r="C11" s="11" t="n"/>
      <c r="D11" s="11" t="n"/>
      <c r="E11" s="11" t="n"/>
      <c r="F11" s="11" t="n"/>
      <c r="G11" s="11" t="n"/>
      <c r="H11" s="28" t="n"/>
      <c r="I11" s="28" t="n"/>
      <c r="J11" s="28" t="n"/>
      <c r="K11" s="11" t="n"/>
      <c r="L11" s="11" t="n"/>
      <c r="M11" s="28" t="n"/>
      <c r="N11" s="11" t="n"/>
    </row>
    <row r="12" ht="22" customHeight="1">
      <c r="B12" s="17">
        <f>IF(C12="","DIS-"&amp;TEXT(COUNTA($C$5:C12),"000"))</f>
        <v/>
      </c>
      <c r="C12" s="14" t="n"/>
      <c r="D12" s="14" t="n"/>
      <c r="E12" s="14" t="n"/>
      <c r="F12" s="14" t="n"/>
      <c r="G12" s="14" t="n"/>
      <c r="H12" s="29" t="n"/>
      <c r="I12" s="29" t="n"/>
      <c r="J12" s="29" t="n"/>
      <c r="K12" s="14" t="n"/>
      <c r="L12" s="14" t="n"/>
      <c r="M12" s="29" t="n"/>
      <c r="N12" s="14" t="n"/>
    </row>
    <row r="13" ht="22" customHeight="1">
      <c r="B13" s="18">
        <f>IF(C13="","DIS-"&amp;TEXT(COUNTA($C$5:C13),"000"))</f>
        <v/>
      </c>
      <c r="C13" s="11" t="n"/>
      <c r="D13" s="11" t="n"/>
      <c r="E13" s="11" t="n"/>
      <c r="F13" s="11" t="n"/>
      <c r="G13" s="11" t="n"/>
      <c r="H13" s="28" t="n"/>
      <c r="I13" s="28" t="n"/>
      <c r="J13" s="28" t="n"/>
      <c r="K13" s="11" t="n"/>
      <c r="L13" s="11" t="n"/>
      <c r="M13" s="28" t="n"/>
      <c r="N13" s="11" t="n"/>
    </row>
    <row r="14" ht="22" customHeight="1">
      <c r="B14" s="17">
        <f>IF(C14="","DIS-"&amp;TEXT(COUNTA($C$5:C14),"000"))</f>
        <v/>
      </c>
      <c r="C14" s="14" t="n"/>
      <c r="D14" s="14" t="n"/>
      <c r="E14" s="14" t="n"/>
      <c r="F14" s="14" t="n"/>
      <c r="G14" s="14" t="n"/>
      <c r="H14" s="29" t="n"/>
      <c r="I14" s="29" t="n"/>
      <c r="J14" s="29" t="n"/>
      <c r="K14" s="14" t="n"/>
      <c r="L14" s="14" t="n"/>
      <c r="M14" s="29" t="n"/>
      <c r="N14" s="14" t="n"/>
    </row>
    <row r="15" ht="22" customHeight="1">
      <c r="B15" s="18">
        <f>IF(C15="","DIS-"&amp;TEXT(COUNTA($C$5:C15),"000"))</f>
        <v/>
      </c>
      <c r="C15" s="11" t="n"/>
      <c r="D15" s="11" t="n"/>
      <c r="E15" s="11" t="n"/>
      <c r="F15" s="11" t="n"/>
      <c r="G15" s="11" t="n"/>
      <c r="H15" s="28" t="n"/>
      <c r="I15" s="28" t="n"/>
      <c r="J15" s="28" t="n"/>
      <c r="K15" s="11" t="n"/>
      <c r="L15" s="11" t="n"/>
      <c r="M15" s="28" t="n"/>
      <c r="N15" s="11" t="n"/>
    </row>
    <row r="16" ht="22" customHeight="1">
      <c r="B16" s="17">
        <f>IF(C16="","DIS-"&amp;TEXT(COUNTA($C$5:C16),"000"))</f>
        <v/>
      </c>
      <c r="C16" s="14" t="n"/>
      <c r="D16" s="14" t="n"/>
      <c r="E16" s="14" t="n"/>
      <c r="F16" s="14" t="n"/>
      <c r="G16" s="14" t="n"/>
      <c r="H16" s="29" t="n"/>
      <c r="I16" s="29" t="n"/>
      <c r="J16" s="29" t="n"/>
      <c r="K16" s="14" t="n"/>
      <c r="L16" s="14" t="n"/>
      <c r="M16" s="29" t="n"/>
      <c r="N16" s="14" t="n"/>
    </row>
    <row r="17" ht="22" customHeight="1">
      <c r="B17" s="18">
        <f>IF(C17="","DIS-"&amp;TEXT(COUNTA($C$5:C17),"000"))</f>
        <v/>
      </c>
      <c r="C17" s="11" t="n"/>
      <c r="D17" s="11" t="n"/>
      <c r="E17" s="11" t="n"/>
      <c r="F17" s="11" t="n"/>
      <c r="G17" s="11" t="n"/>
      <c r="H17" s="28" t="n"/>
      <c r="I17" s="28" t="n"/>
      <c r="J17" s="28" t="n"/>
      <c r="K17" s="11" t="n"/>
      <c r="L17" s="11" t="n"/>
      <c r="M17" s="28" t="n"/>
      <c r="N17" s="11" t="n"/>
    </row>
    <row r="18" ht="22" customHeight="1">
      <c r="B18" s="17">
        <f>IF(C18="","DIS-"&amp;TEXT(COUNTA($C$5:C18),"000"))</f>
        <v/>
      </c>
      <c r="C18" s="14" t="n"/>
      <c r="D18" s="14" t="n"/>
      <c r="E18" s="14" t="n"/>
      <c r="F18" s="14" t="n"/>
      <c r="G18" s="14" t="n"/>
      <c r="H18" s="29" t="n"/>
      <c r="I18" s="29" t="n"/>
      <c r="J18" s="29" t="n"/>
      <c r="K18" s="14" t="n"/>
      <c r="L18" s="14" t="n"/>
      <c r="M18" s="29" t="n"/>
      <c r="N18" s="14" t="n"/>
    </row>
    <row r="19" ht="22" customHeight="1">
      <c r="B19" s="18">
        <f>IF(C19="","DIS-"&amp;TEXT(COUNTA($C$5:C19),"000"))</f>
        <v/>
      </c>
      <c r="C19" s="11" t="n"/>
      <c r="D19" s="11" t="n"/>
      <c r="E19" s="11" t="n"/>
      <c r="F19" s="11" t="n"/>
      <c r="G19" s="11" t="n"/>
      <c r="H19" s="28" t="n"/>
      <c r="I19" s="28" t="n"/>
      <c r="J19" s="28" t="n"/>
      <c r="K19" s="11" t="n"/>
      <c r="L19" s="11" t="n"/>
      <c r="M19" s="28" t="n"/>
      <c r="N19" s="11" t="n"/>
    </row>
    <row r="20" ht="22" customHeight="1">
      <c r="B20" s="17">
        <f>IF(C20="","DIS-"&amp;TEXT(COUNTA($C$5:C20),"000"))</f>
        <v/>
      </c>
      <c r="C20" s="14" t="n"/>
      <c r="D20" s="14" t="n"/>
      <c r="E20" s="14" t="n"/>
      <c r="F20" s="14" t="n"/>
      <c r="G20" s="14" t="n"/>
      <c r="H20" s="29" t="n"/>
      <c r="I20" s="29" t="n"/>
      <c r="J20" s="29" t="n"/>
      <c r="K20" s="14" t="n"/>
      <c r="L20" s="14" t="n"/>
      <c r="M20" s="29" t="n"/>
      <c r="N20" s="14" t="n"/>
    </row>
    <row r="21" ht="22" customHeight="1">
      <c r="B21" s="18">
        <f>IF(C21="","DIS-"&amp;TEXT(COUNTA($C$5:C21),"000"))</f>
        <v/>
      </c>
      <c r="C21" s="11" t="n"/>
      <c r="D21" s="11" t="n"/>
      <c r="E21" s="11" t="n"/>
      <c r="F21" s="11" t="n"/>
      <c r="G21" s="11" t="n"/>
      <c r="H21" s="28" t="n"/>
      <c r="I21" s="28" t="n"/>
      <c r="J21" s="28" t="n"/>
      <c r="K21" s="11" t="n"/>
      <c r="L21" s="11" t="n"/>
      <c r="M21" s="28" t="n"/>
      <c r="N21" s="11" t="n"/>
    </row>
    <row r="22" ht="22" customHeight="1">
      <c r="B22" s="17">
        <f>IF(C22="","DIS-"&amp;TEXT(COUNTA($C$5:C22),"000"))</f>
        <v/>
      </c>
      <c r="C22" s="14" t="n"/>
      <c r="D22" s="14" t="n"/>
      <c r="E22" s="14" t="n"/>
      <c r="F22" s="14" t="n"/>
      <c r="G22" s="14" t="n"/>
      <c r="H22" s="29" t="n"/>
      <c r="I22" s="29" t="n"/>
      <c r="J22" s="29" t="n"/>
      <c r="K22" s="14" t="n"/>
      <c r="L22" s="14" t="n"/>
      <c r="M22" s="29" t="n"/>
      <c r="N22" s="14" t="n"/>
    </row>
    <row r="23" ht="22" customHeight="1">
      <c r="B23" s="18">
        <f>IF(C23="","DIS-"&amp;TEXT(COUNTA($C$5:C23),"000"))</f>
        <v/>
      </c>
      <c r="C23" s="11" t="n"/>
      <c r="D23" s="11" t="n"/>
      <c r="E23" s="11" t="n"/>
      <c r="F23" s="11" t="n"/>
      <c r="G23" s="11" t="n"/>
      <c r="H23" s="28" t="n"/>
      <c r="I23" s="28" t="n"/>
      <c r="J23" s="28" t="n"/>
      <c r="K23" s="11" t="n"/>
      <c r="L23" s="11" t="n"/>
      <c r="M23" s="28" t="n"/>
      <c r="N23" s="11" t="n"/>
    </row>
    <row r="24" ht="22" customHeight="1">
      <c r="B24" s="17">
        <f>IF(C24="","DIS-"&amp;TEXT(COUNTA($C$5:C24),"000"))</f>
        <v/>
      </c>
      <c r="C24" s="14" t="n"/>
      <c r="D24" s="14" t="n"/>
      <c r="E24" s="14" t="n"/>
      <c r="F24" s="14" t="n"/>
      <c r="G24" s="14" t="n"/>
      <c r="H24" s="29" t="n"/>
      <c r="I24" s="29" t="n"/>
      <c r="J24" s="29" t="n"/>
      <c r="K24" s="14" t="n"/>
      <c r="L24" s="14" t="n"/>
      <c r="M24" s="29" t="n"/>
      <c r="N24" s="14" t="n"/>
    </row>
    <row r="25" ht="22" customHeight="1">
      <c r="B25" s="18">
        <f>IF(C25="","DIS-"&amp;TEXT(COUNTA($C$5:C25),"000"))</f>
        <v/>
      </c>
      <c r="C25" s="11" t="n"/>
      <c r="D25" s="11" t="n"/>
      <c r="E25" s="11" t="n"/>
      <c r="F25" s="11" t="n"/>
      <c r="G25" s="11" t="n"/>
      <c r="H25" s="28" t="n"/>
      <c r="I25" s="28" t="n"/>
      <c r="J25" s="28" t="n"/>
      <c r="K25" s="11" t="n"/>
      <c r="L25" s="11" t="n"/>
      <c r="M25" s="28" t="n"/>
      <c r="N25" s="11" t="n"/>
    </row>
    <row r="26" ht="22" customHeight="1">
      <c r="B26" s="17">
        <f>IF(C26="","DIS-"&amp;TEXT(COUNTA($C$5:C26),"000"))</f>
        <v/>
      </c>
      <c r="C26" s="14" t="n"/>
      <c r="D26" s="14" t="n"/>
      <c r="E26" s="14" t="n"/>
      <c r="F26" s="14" t="n"/>
      <c r="G26" s="14" t="n"/>
      <c r="H26" s="29" t="n"/>
      <c r="I26" s="29" t="n"/>
      <c r="J26" s="29" t="n"/>
      <c r="K26" s="14" t="n"/>
      <c r="L26" s="14" t="n"/>
      <c r="M26" s="29" t="n"/>
      <c r="N26" s="14" t="n"/>
    </row>
    <row r="27" ht="22" customHeight="1">
      <c r="B27" s="18">
        <f>IF(C27="","DIS-"&amp;TEXT(COUNTA($C$5:C27),"000"))</f>
        <v/>
      </c>
      <c r="C27" s="11" t="n"/>
      <c r="D27" s="11" t="n"/>
      <c r="E27" s="11" t="n"/>
      <c r="F27" s="11" t="n"/>
      <c r="G27" s="11" t="n"/>
      <c r="H27" s="28" t="n"/>
      <c r="I27" s="28" t="n"/>
      <c r="J27" s="28" t="n"/>
      <c r="K27" s="11" t="n"/>
      <c r="L27" s="11" t="n"/>
      <c r="M27" s="28" t="n"/>
      <c r="N27" s="11" t="n"/>
    </row>
    <row r="28" ht="22" customHeight="1">
      <c r="B28" s="17">
        <f>IF(C28="","DIS-"&amp;TEXT(COUNTA($C$5:C28),"000"))</f>
        <v/>
      </c>
      <c r="C28" s="14" t="n"/>
      <c r="D28" s="14" t="n"/>
      <c r="E28" s="14" t="n"/>
      <c r="F28" s="14" t="n"/>
      <c r="G28" s="14" t="n"/>
      <c r="H28" s="29" t="n"/>
      <c r="I28" s="29" t="n"/>
      <c r="J28" s="29" t="n"/>
      <c r="K28" s="14" t="n"/>
      <c r="L28" s="14" t="n"/>
      <c r="M28" s="29" t="n"/>
      <c r="N28" s="14" t="n"/>
    </row>
    <row r="29" ht="22" customHeight="1">
      <c r="B29" s="18">
        <f>IF(C29="","DIS-"&amp;TEXT(COUNTA($C$5:C29),"000"))</f>
        <v/>
      </c>
      <c r="C29" s="11" t="n"/>
      <c r="D29" s="11" t="n"/>
      <c r="E29" s="11" t="n"/>
      <c r="F29" s="11" t="n"/>
      <c r="G29" s="11" t="n"/>
      <c r="H29" s="28" t="n"/>
      <c r="I29" s="28" t="n"/>
      <c r="J29" s="28" t="n"/>
      <c r="K29" s="11" t="n"/>
      <c r="L29" s="11" t="n"/>
      <c r="M29" s="28" t="n"/>
      <c r="N29" s="11" t="n"/>
    </row>
    <row r="30" ht="22" customHeight="1">
      <c r="B30" s="17">
        <f>IF(C30="","DIS-"&amp;TEXT(COUNTA($C$5:C30),"000"))</f>
        <v/>
      </c>
      <c r="C30" s="14" t="n"/>
      <c r="D30" s="14" t="n"/>
      <c r="E30" s="14" t="n"/>
      <c r="F30" s="14" t="n"/>
      <c r="G30" s="14" t="n"/>
      <c r="H30" s="29" t="n"/>
      <c r="I30" s="29" t="n"/>
      <c r="J30" s="29" t="n"/>
      <c r="K30" s="14" t="n"/>
      <c r="L30" s="14" t="n"/>
      <c r="M30" s="29" t="n"/>
      <c r="N30" s="14" t="n"/>
    </row>
    <row r="31" ht="22" customHeight="1">
      <c r="B31" s="18">
        <f>IF(C31="","DIS-"&amp;TEXT(COUNTA($C$5:C31),"000"))</f>
        <v/>
      </c>
      <c r="C31" s="11" t="n"/>
      <c r="D31" s="11" t="n"/>
      <c r="E31" s="11" t="n"/>
      <c r="F31" s="11" t="n"/>
      <c r="G31" s="11" t="n"/>
      <c r="H31" s="28" t="n"/>
      <c r="I31" s="28" t="n"/>
      <c r="J31" s="28" t="n"/>
      <c r="K31" s="11" t="n"/>
      <c r="L31" s="11" t="n"/>
      <c r="M31" s="28" t="n"/>
      <c r="N31" s="11" t="n"/>
    </row>
    <row r="32" ht="22" customHeight="1">
      <c r="B32" s="17">
        <f>IF(C32="","DIS-"&amp;TEXT(COUNTA($C$5:C32),"000"))</f>
        <v/>
      </c>
      <c r="C32" s="14" t="n"/>
      <c r="D32" s="14" t="n"/>
      <c r="E32" s="14" t="n"/>
      <c r="F32" s="14" t="n"/>
      <c r="G32" s="14" t="n"/>
      <c r="H32" s="29" t="n"/>
      <c r="I32" s="29" t="n"/>
      <c r="J32" s="29" t="n"/>
      <c r="K32" s="14" t="n"/>
      <c r="L32" s="14" t="n"/>
      <c r="M32" s="29" t="n"/>
      <c r="N32" s="14" t="n"/>
    </row>
    <row r="33" ht="22" customHeight="1">
      <c r="B33" s="18">
        <f>IF(C33="","DIS-"&amp;TEXT(COUNTA($C$5:C33),"000"))</f>
        <v/>
      </c>
      <c r="C33" s="11" t="n"/>
      <c r="D33" s="11" t="n"/>
      <c r="E33" s="11" t="n"/>
      <c r="F33" s="11" t="n"/>
      <c r="G33" s="11" t="n"/>
      <c r="H33" s="28" t="n"/>
      <c r="I33" s="28" t="n"/>
      <c r="J33" s="28" t="n"/>
      <c r="K33" s="11" t="n"/>
      <c r="L33" s="11" t="n"/>
      <c r="M33" s="28" t="n"/>
      <c r="N33" s="11" t="n"/>
    </row>
    <row r="34" ht="22" customHeight="1">
      <c r="B34" s="17">
        <f>IF(C34="","DIS-"&amp;TEXT(COUNTA($C$5:C34),"000"))</f>
        <v/>
      </c>
      <c r="C34" s="14" t="n"/>
      <c r="D34" s="14" t="n"/>
      <c r="E34" s="14" t="n"/>
      <c r="F34" s="14" t="n"/>
      <c r="G34" s="14" t="n"/>
      <c r="H34" s="29" t="n"/>
      <c r="I34" s="29" t="n"/>
      <c r="J34" s="29" t="n"/>
      <c r="K34" s="14" t="n"/>
      <c r="L34" s="14" t="n"/>
      <c r="M34" s="29" t="n"/>
      <c r="N34" s="14" t="n"/>
    </row>
    <row r="35" ht="22" customHeight="1">
      <c r="B35" s="18">
        <f>IF(C35="","DIS-"&amp;TEXT(COUNTA($C$5:C35),"000"))</f>
        <v/>
      </c>
      <c r="C35" s="11" t="n"/>
      <c r="D35" s="11" t="n"/>
      <c r="E35" s="11" t="n"/>
      <c r="F35" s="11" t="n"/>
      <c r="G35" s="11" t="n"/>
      <c r="H35" s="28" t="n"/>
      <c r="I35" s="28" t="n"/>
      <c r="J35" s="28" t="n"/>
      <c r="K35" s="11" t="n"/>
      <c r="L35" s="11" t="n"/>
      <c r="M35" s="28" t="n"/>
      <c r="N35" s="11" t="n"/>
    </row>
    <row r="36" ht="22" customHeight="1">
      <c r="B36" s="17">
        <f>IF(C36="","DIS-"&amp;TEXT(COUNTA($C$5:C36),"000"))</f>
        <v/>
      </c>
      <c r="C36" s="14" t="n"/>
      <c r="D36" s="14" t="n"/>
      <c r="E36" s="14" t="n"/>
      <c r="F36" s="14" t="n"/>
      <c r="G36" s="14" t="n"/>
      <c r="H36" s="29" t="n"/>
      <c r="I36" s="29" t="n"/>
      <c r="J36" s="29" t="n"/>
      <c r="K36" s="14" t="n"/>
      <c r="L36" s="14" t="n"/>
      <c r="M36" s="29" t="n"/>
      <c r="N36" s="14" t="n"/>
    </row>
    <row r="37" ht="22" customHeight="1">
      <c r="B37" s="18">
        <f>IF(C37="","DIS-"&amp;TEXT(COUNTA($C$5:C37),"000"))</f>
        <v/>
      </c>
      <c r="C37" s="11" t="n"/>
      <c r="D37" s="11" t="n"/>
      <c r="E37" s="11" t="n"/>
      <c r="F37" s="11" t="n"/>
      <c r="G37" s="11" t="n"/>
      <c r="H37" s="28" t="n"/>
      <c r="I37" s="28" t="n"/>
      <c r="J37" s="28" t="n"/>
      <c r="K37" s="11" t="n"/>
      <c r="L37" s="11" t="n"/>
      <c r="M37" s="28" t="n"/>
      <c r="N37" s="11" t="n"/>
    </row>
    <row r="38" ht="22" customHeight="1">
      <c r="B38" s="17">
        <f>IF(C38="","DIS-"&amp;TEXT(COUNTA($C$5:C38),"000"))</f>
        <v/>
      </c>
      <c r="C38" s="14" t="n"/>
      <c r="D38" s="14" t="n"/>
      <c r="E38" s="14" t="n"/>
      <c r="F38" s="14" t="n"/>
      <c r="G38" s="14" t="n"/>
      <c r="H38" s="29" t="n"/>
      <c r="I38" s="29" t="n"/>
      <c r="J38" s="29" t="n"/>
      <c r="K38" s="14" t="n"/>
      <c r="L38" s="14" t="n"/>
      <c r="M38" s="29" t="n"/>
      <c r="N38" s="14" t="n"/>
    </row>
    <row r="39" ht="22" customHeight="1">
      <c r="B39" s="18">
        <f>IF(C39="","DIS-"&amp;TEXT(COUNTA($C$5:C39),"000"))</f>
        <v/>
      </c>
      <c r="C39" s="11" t="n"/>
      <c r="D39" s="11" t="n"/>
      <c r="E39" s="11" t="n"/>
      <c r="F39" s="11" t="n"/>
      <c r="G39" s="11" t="n"/>
      <c r="H39" s="28" t="n"/>
      <c r="I39" s="28" t="n"/>
      <c r="J39" s="28" t="n"/>
      <c r="K39" s="11" t="n"/>
      <c r="L39" s="11" t="n"/>
      <c r="M39" s="28" t="n"/>
      <c r="N39" s="11" t="n"/>
    </row>
    <row r="40" ht="22" customHeight="1">
      <c r="B40" s="17">
        <f>IF(C40="","DIS-"&amp;TEXT(COUNTA($C$5:C40),"000"))</f>
        <v/>
      </c>
      <c r="C40" s="14" t="n"/>
      <c r="D40" s="14" t="n"/>
      <c r="E40" s="14" t="n"/>
      <c r="F40" s="14" t="n"/>
      <c r="G40" s="14" t="n"/>
      <c r="H40" s="29" t="n"/>
      <c r="I40" s="29" t="n"/>
      <c r="J40" s="29" t="n"/>
      <c r="K40" s="14" t="n"/>
      <c r="L40" s="14" t="n"/>
      <c r="M40" s="29" t="n"/>
      <c r="N40" s="14" t="n"/>
    </row>
    <row r="41" ht="22" customHeight="1">
      <c r="B41" s="18">
        <f>IF(C41="","DIS-"&amp;TEXT(COUNTA($C$5:C41),"000"))</f>
        <v/>
      </c>
      <c r="C41" s="11" t="n"/>
      <c r="D41" s="11" t="n"/>
      <c r="E41" s="11" t="n"/>
      <c r="F41" s="11" t="n"/>
      <c r="G41" s="11" t="n"/>
      <c r="H41" s="28" t="n"/>
      <c r="I41" s="28" t="n"/>
      <c r="J41" s="28" t="n"/>
      <c r="K41" s="11" t="n"/>
      <c r="L41" s="11" t="n"/>
      <c r="M41" s="28" t="n"/>
      <c r="N41" s="11" t="n"/>
    </row>
    <row r="42" ht="22" customHeight="1">
      <c r="B42" s="17">
        <f>IF(C42="","DIS-"&amp;TEXT(COUNTA($C$5:C42),"000"))</f>
        <v/>
      </c>
      <c r="C42" s="14" t="n"/>
      <c r="D42" s="14" t="n"/>
      <c r="E42" s="14" t="n"/>
      <c r="F42" s="14" t="n"/>
      <c r="G42" s="14" t="n"/>
      <c r="H42" s="29" t="n"/>
      <c r="I42" s="29" t="n"/>
      <c r="J42" s="29" t="n"/>
      <c r="K42" s="14" t="n"/>
      <c r="L42" s="14" t="n"/>
      <c r="M42" s="29" t="n"/>
      <c r="N42" s="14" t="n"/>
    </row>
    <row r="43" ht="22" customHeight="1">
      <c r="B43" s="18">
        <f>IF(C43="","DIS-"&amp;TEXT(COUNTA($C$5:C43),"000"))</f>
        <v/>
      </c>
      <c r="C43" s="11" t="n"/>
      <c r="D43" s="11" t="n"/>
      <c r="E43" s="11" t="n"/>
      <c r="F43" s="11" t="n"/>
      <c r="G43" s="11" t="n"/>
      <c r="H43" s="28" t="n"/>
      <c r="I43" s="28" t="n"/>
      <c r="J43" s="28" t="n"/>
      <c r="K43" s="11" t="n"/>
      <c r="L43" s="11" t="n"/>
      <c r="M43" s="28" t="n"/>
      <c r="N43" s="11" t="n"/>
    </row>
    <row r="44" ht="22" customHeight="1">
      <c r="B44" s="17">
        <f>IF(C44="","DIS-"&amp;TEXT(COUNTA($C$5:C44),"000"))</f>
        <v/>
      </c>
      <c r="C44" s="14" t="n"/>
      <c r="D44" s="14" t="n"/>
      <c r="E44" s="14" t="n"/>
      <c r="F44" s="14" t="n"/>
      <c r="G44" s="14" t="n"/>
      <c r="H44" s="29" t="n"/>
      <c r="I44" s="29" t="n"/>
      <c r="J44" s="29" t="n"/>
      <c r="K44" s="14" t="n"/>
      <c r="L44" s="14" t="n"/>
      <c r="M44" s="29" t="n"/>
      <c r="N44" s="14" t="n"/>
    </row>
    <row r="45" ht="22" customHeight="1">
      <c r="B45" s="18">
        <f>IF(C45="","DIS-"&amp;TEXT(COUNTA($C$5:C45),"000"))</f>
        <v/>
      </c>
      <c r="C45" s="11" t="n"/>
      <c r="D45" s="11" t="n"/>
      <c r="E45" s="11" t="n"/>
      <c r="F45" s="11" t="n"/>
      <c r="G45" s="11" t="n"/>
      <c r="H45" s="28" t="n"/>
      <c r="I45" s="28" t="n"/>
      <c r="J45" s="28" t="n"/>
      <c r="K45" s="11" t="n"/>
      <c r="L45" s="11" t="n"/>
      <c r="M45" s="28" t="n"/>
      <c r="N45" s="11" t="n"/>
    </row>
    <row r="46" ht="22" customHeight="1">
      <c r="B46" s="17">
        <f>IF(C46="","DIS-"&amp;TEXT(COUNTA($C$5:C46),"000"))</f>
        <v/>
      </c>
      <c r="C46" s="14" t="n"/>
      <c r="D46" s="14" t="n"/>
      <c r="E46" s="14" t="n"/>
      <c r="F46" s="14" t="n"/>
      <c r="G46" s="14" t="n"/>
      <c r="H46" s="29" t="n"/>
      <c r="I46" s="29" t="n"/>
      <c r="J46" s="29" t="n"/>
      <c r="K46" s="14" t="n"/>
      <c r="L46" s="14" t="n"/>
      <c r="M46" s="29" t="n"/>
      <c r="N46" s="14" t="n"/>
    </row>
    <row r="47" ht="22" customHeight="1">
      <c r="B47" s="18">
        <f>IF(C47="","DIS-"&amp;TEXT(COUNTA($C$5:C47),"000"))</f>
        <v/>
      </c>
      <c r="C47" s="11" t="n"/>
      <c r="D47" s="11" t="n"/>
      <c r="E47" s="11" t="n"/>
      <c r="F47" s="11" t="n"/>
      <c r="G47" s="11" t="n"/>
      <c r="H47" s="28" t="n"/>
      <c r="I47" s="28" t="n"/>
      <c r="J47" s="28" t="n"/>
      <c r="K47" s="11" t="n"/>
      <c r="L47" s="11" t="n"/>
      <c r="M47" s="28" t="n"/>
      <c r="N47" s="11" t="n"/>
    </row>
    <row r="48" ht="22" customHeight="1">
      <c r="B48" s="17">
        <f>IF(C48="","DIS-"&amp;TEXT(COUNTA($C$5:C48),"000"))</f>
        <v/>
      </c>
      <c r="C48" s="14" t="n"/>
      <c r="D48" s="14" t="n"/>
      <c r="E48" s="14" t="n"/>
      <c r="F48" s="14" t="n"/>
      <c r="G48" s="14" t="n"/>
      <c r="H48" s="29" t="n"/>
      <c r="I48" s="29" t="n"/>
      <c r="J48" s="29" t="n"/>
      <c r="K48" s="14" t="n"/>
      <c r="L48" s="14" t="n"/>
      <c r="M48" s="29" t="n"/>
      <c r="N48" s="14" t="n"/>
    </row>
    <row r="49" ht="22" customHeight="1">
      <c r="B49" s="18">
        <f>IF(C49="","DIS-"&amp;TEXT(COUNTA($C$5:C49),"000"))</f>
        <v/>
      </c>
      <c r="C49" s="11" t="n"/>
      <c r="D49" s="11" t="n"/>
      <c r="E49" s="11" t="n"/>
      <c r="F49" s="11" t="n"/>
      <c r="G49" s="11" t="n"/>
      <c r="H49" s="28" t="n"/>
      <c r="I49" s="28" t="n"/>
      <c r="J49" s="28" t="n"/>
      <c r="K49" s="11" t="n"/>
      <c r="L49" s="11" t="n"/>
      <c r="M49" s="28" t="n"/>
      <c r="N49" s="11" t="n"/>
    </row>
    <row r="50" ht="22" customHeight="1">
      <c r="B50" s="17">
        <f>IF(C50="","DIS-"&amp;TEXT(COUNTA($C$5:C50),"000"))</f>
        <v/>
      </c>
      <c r="C50" s="14" t="n"/>
      <c r="D50" s="14" t="n"/>
      <c r="E50" s="14" t="n"/>
      <c r="F50" s="14" t="n"/>
      <c r="G50" s="14" t="n"/>
      <c r="H50" s="29" t="n"/>
      <c r="I50" s="29" t="n"/>
      <c r="J50" s="29" t="n"/>
      <c r="K50" s="14" t="n"/>
      <c r="L50" s="14" t="n"/>
      <c r="M50" s="29" t="n"/>
      <c r="N50" s="14" t="n"/>
    </row>
    <row r="51" ht="22" customHeight="1">
      <c r="B51" s="18">
        <f>IF(C51="","DIS-"&amp;TEXT(COUNTA($C$5:C51),"000"))</f>
        <v/>
      </c>
      <c r="C51" s="11" t="n"/>
      <c r="D51" s="11" t="n"/>
      <c r="E51" s="11" t="n"/>
      <c r="F51" s="11" t="n"/>
      <c r="G51" s="11" t="n"/>
      <c r="H51" s="28" t="n"/>
      <c r="I51" s="28" t="n"/>
      <c r="J51" s="28" t="n"/>
      <c r="K51" s="11" t="n"/>
      <c r="L51" s="11" t="n"/>
      <c r="M51" s="28" t="n"/>
      <c r="N51" s="11" t="n"/>
    </row>
    <row r="52" ht="22" customHeight="1">
      <c r="B52" s="17">
        <f>IF(C52="","DIS-"&amp;TEXT(COUNTA($C$5:C52),"000"))</f>
        <v/>
      </c>
      <c r="C52" s="14" t="n"/>
      <c r="D52" s="14" t="n"/>
      <c r="E52" s="14" t="n"/>
      <c r="F52" s="14" t="n"/>
      <c r="G52" s="14" t="n"/>
      <c r="H52" s="29" t="n"/>
      <c r="I52" s="29" t="n"/>
      <c r="J52" s="29" t="n"/>
      <c r="K52" s="14" t="n"/>
      <c r="L52" s="14" t="n"/>
      <c r="M52" s="29" t="n"/>
      <c r="N52" s="14" t="n"/>
    </row>
    <row r="53" ht="22" customHeight="1">
      <c r="B53" s="18">
        <f>IF(C53="","DIS-"&amp;TEXT(COUNTA($C$5:C53),"000"))</f>
        <v/>
      </c>
      <c r="C53" s="11" t="n"/>
      <c r="D53" s="11" t="n"/>
      <c r="E53" s="11" t="n"/>
      <c r="F53" s="11" t="n"/>
      <c r="G53" s="11" t="n"/>
      <c r="H53" s="28" t="n"/>
      <c r="I53" s="28" t="n"/>
      <c r="J53" s="28" t="n"/>
      <c r="K53" s="11" t="n"/>
      <c r="L53" s="11" t="n"/>
      <c r="M53" s="28" t="n"/>
      <c r="N53" s="11" t="n"/>
    </row>
    <row r="54" ht="22" customHeight="1">
      <c r="B54" s="17">
        <f>IF(C54="","DIS-"&amp;TEXT(COUNTA($C$5:C54),"000"))</f>
        <v/>
      </c>
      <c r="C54" s="14" t="n"/>
      <c r="D54" s="14" t="n"/>
      <c r="E54" s="14" t="n"/>
      <c r="F54" s="14" t="n"/>
      <c r="G54" s="14" t="n"/>
      <c r="H54" s="29" t="n"/>
      <c r="I54" s="29" t="n"/>
      <c r="J54" s="29" t="n"/>
      <c r="K54" s="14" t="n"/>
      <c r="L54" s="14" t="n"/>
      <c r="M54" s="29" t="n"/>
      <c r="N54" s="14" t="n"/>
    </row>
    <row r="55" ht="22" customHeight="1">
      <c r="B55" s="18">
        <f>IF(C55="","DIS-"&amp;TEXT(COUNTA($C$5:C55),"000"))</f>
        <v/>
      </c>
      <c r="C55" s="11" t="n"/>
      <c r="D55" s="11" t="n"/>
      <c r="E55" s="11" t="n"/>
      <c r="F55" s="11" t="n"/>
      <c r="G55" s="11" t="n"/>
      <c r="H55" s="28" t="n"/>
      <c r="I55" s="28" t="n"/>
      <c r="J55" s="28" t="n"/>
      <c r="K55" s="11" t="n"/>
      <c r="L55" s="11" t="n"/>
      <c r="M55" s="28" t="n"/>
      <c r="N55" s="11" t="n"/>
    </row>
    <row r="56" ht="22" customHeight="1">
      <c r="B56" s="17">
        <f>IF(C56="","DIS-"&amp;TEXT(COUNTA($C$5:C56),"000"))</f>
        <v/>
      </c>
      <c r="C56" s="14" t="n"/>
      <c r="D56" s="14" t="n"/>
      <c r="E56" s="14" t="n"/>
      <c r="F56" s="14" t="n"/>
      <c r="G56" s="14" t="n"/>
      <c r="H56" s="29" t="n"/>
      <c r="I56" s="29" t="n"/>
      <c r="J56" s="29" t="n"/>
      <c r="K56" s="14" t="n"/>
      <c r="L56" s="14" t="n"/>
      <c r="M56" s="29" t="n"/>
      <c r="N56" s="14" t="n"/>
    </row>
    <row r="57" ht="22" customHeight="1">
      <c r="B57" s="18">
        <f>IF(C57="","DIS-"&amp;TEXT(COUNTA($C$5:C57),"000"))</f>
        <v/>
      </c>
      <c r="C57" s="11" t="n"/>
      <c r="D57" s="11" t="n"/>
      <c r="E57" s="11" t="n"/>
      <c r="F57" s="11" t="n"/>
      <c r="G57" s="11" t="n"/>
      <c r="H57" s="28" t="n"/>
      <c r="I57" s="28" t="n"/>
      <c r="J57" s="28" t="n"/>
      <c r="K57" s="11" t="n"/>
      <c r="L57" s="11" t="n"/>
      <c r="M57" s="28" t="n"/>
      <c r="N57" s="11" t="n"/>
    </row>
    <row r="58" ht="22" customHeight="1">
      <c r="B58" s="17">
        <f>IF(C58="","DIS-"&amp;TEXT(COUNTA($C$5:C58),"000"))</f>
        <v/>
      </c>
      <c r="C58" s="14" t="n"/>
      <c r="D58" s="14" t="n"/>
      <c r="E58" s="14" t="n"/>
      <c r="F58" s="14" t="n"/>
      <c r="G58" s="14" t="n"/>
      <c r="H58" s="29" t="n"/>
      <c r="I58" s="29" t="n"/>
      <c r="J58" s="29" t="n"/>
      <c r="K58" s="14" t="n"/>
      <c r="L58" s="14" t="n"/>
      <c r="M58" s="29" t="n"/>
      <c r="N58" s="14" t="n"/>
    </row>
    <row r="59" ht="22" customHeight="1">
      <c r="B59" s="18">
        <f>IF(C59="","DIS-"&amp;TEXT(COUNTA($C$5:C59),"000"))</f>
        <v/>
      </c>
      <c r="C59" s="11" t="n"/>
      <c r="D59" s="11" t="n"/>
      <c r="E59" s="11" t="n"/>
      <c r="F59" s="11" t="n"/>
      <c r="G59" s="11" t="n"/>
      <c r="H59" s="28" t="n"/>
      <c r="I59" s="28" t="n"/>
      <c r="J59" s="28" t="n"/>
      <c r="K59" s="11" t="n"/>
      <c r="L59" s="11" t="n"/>
      <c r="M59" s="28" t="n"/>
      <c r="N59" s="11" t="n"/>
    </row>
    <row r="60" ht="22" customHeight="1">
      <c r="B60" s="17">
        <f>IF(C60="","DIS-"&amp;TEXT(COUNTA($C$5:C60),"000"))</f>
        <v/>
      </c>
      <c r="C60" s="14" t="n"/>
      <c r="D60" s="14" t="n"/>
      <c r="E60" s="14" t="n"/>
      <c r="F60" s="14" t="n"/>
      <c r="G60" s="14" t="n"/>
      <c r="H60" s="29" t="n"/>
      <c r="I60" s="29" t="n"/>
      <c r="J60" s="29" t="n"/>
      <c r="K60" s="14" t="n"/>
      <c r="L60" s="14" t="n"/>
      <c r="M60" s="29" t="n"/>
      <c r="N60" s="14" t="n"/>
    </row>
    <row r="61" ht="22" customHeight="1">
      <c r="B61" s="18">
        <f>IF(C61="","DIS-"&amp;TEXT(COUNTA($C$5:C61),"000"))</f>
        <v/>
      </c>
      <c r="C61" s="11" t="n"/>
      <c r="D61" s="11" t="n"/>
      <c r="E61" s="11" t="n"/>
      <c r="F61" s="11" t="n"/>
      <c r="G61" s="11" t="n"/>
      <c r="H61" s="28" t="n"/>
      <c r="I61" s="28" t="n"/>
      <c r="J61" s="28" t="n"/>
      <c r="K61" s="11" t="n"/>
      <c r="L61" s="11" t="n"/>
      <c r="M61" s="28" t="n"/>
      <c r="N61" s="11" t="n"/>
    </row>
    <row r="62" ht="22" customHeight="1">
      <c r="B62" s="17">
        <f>IF(C62="","DIS-"&amp;TEXT(COUNTA($C$5:C62),"000"))</f>
        <v/>
      </c>
      <c r="C62" s="14" t="n"/>
      <c r="D62" s="14" t="n"/>
      <c r="E62" s="14" t="n"/>
      <c r="F62" s="14" t="n"/>
      <c r="G62" s="14" t="n"/>
      <c r="H62" s="29" t="n"/>
      <c r="I62" s="29" t="n"/>
      <c r="J62" s="29" t="n"/>
      <c r="K62" s="14" t="n"/>
      <c r="L62" s="14" t="n"/>
      <c r="M62" s="29" t="n"/>
      <c r="N62" s="14" t="n"/>
    </row>
    <row r="63" ht="22" customHeight="1">
      <c r="B63" s="18">
        <f>IF(C63="","DIS-"&amp;TEXT(COUNTA($C$5:C63),"000"))</f>
        <v/>
      </c>
      <c r="C63" s="11" t="n"/>
      <c r="D63" s="11" t="n"/>
      <c r="E63" s="11" t="n"/>
      <c r="F63" s="11" t="n"/>
      <c r="G63" s="11" t="n"/>
      <c r="H63" s="28" t="n"/>
      <c r="I63" s="28" t="n"/>
      <c r="J63" s="28" t="n"/>
      <c r="K63" s="11" t="n"/>
      <c r="L63" s="11" t="n"/>
      <c r="M63" s="28" t="n"/>
      <c r="N63" s="11" t="n"/>
    </row>
    <row r="64" ht="22" customHeight="1">
      <c r="B64" s="17">
        <f>IF(C64="","DIS-"&amp;TEXT(COUNTA($C$5:C64),"000"))</f>
        <v/>
      </c>
      <c r="C64" s="14" t="n"/>
      <c r="D64" s="14" t="n"/>
      <c r="E64" s="14" t="n"/>
      <c r="F64" s="14" t="n"/>
      <c r="G64" s="14" t="n"/>
      <c r="H64" s="29" t="n"/>
      <c r="I64" s="29" t="n"/>
      <c r="J64" s="29" t="n"/>
      <c r="K64" s="14" t="n"/>
      <c r="L64" s="14" t="n"/>
      <c r="M64" s="29" t="n"/>
      <c r="N64" s="14" t="n"/>
    </row>
    <row r="65" ht="22" customHeight="1">
      <c r="B65" s="18">
        <f>IF(C65="","DIS-"&amp;TEXT(COUNTA($C$5:C65),"000"))</f>
        <v/>
      </c>
      <c r="C65" s="11" t="n"/>
      <c r="D65" s="11" t="n"/>
      <c r="E65" s="11" t="n"/>
      <c r="F65" s="11" t="n"/>
      <c r="G65" s="11" t="n"/>
      <c r="H65" s="28" t="n"/>
      <c r="I65" s="28" t="n"/>
      <c r="J65" s="28" t="n"/>
      <c r="K65" s="11" t="n"/>
      <c r="L65" s="11" t="n"/>
      <c r="M65" s="28" t="n"/>
      <c r="N65" s="11" t="n"/>
    </row>
    <row r="66" ht="22" customHeight="1">
      <c r="B66" s="17">
        <f>IF(C66="","DIS-"&amp;TEXT(COUNTA($C$5:C66),"000"))</f>
        <v/>
      </c>
      <c r="C66" s="14" t="n"/>
      <c r="D66" s="14" t="n"/>
      <c r="E66" s="14" t="n"/>
      <c r="F66" s="14" t="n"/>
      <c r="G66" s="14" t="n"/>
      <c r="H66" s="29" t="n"/>
      <c r="I66" s="29" t="n"/>
      <c r="J66" s="29" t="n"/>
      <c r="K66" s="14" t="n"/>
      <c r="L66" s="14" t="n"/>
      <c r="M66" s="29" t="n"/>
      <c r="N66" s="14" t="n"/>
    </row>
    <row r="67" ht="22" customHeight="1">
      <c r="B67" s="18">
        <f>IF(C67="","DIS-"&amp;TEXT(COUNTA($C$5:C67),"000"))</f>
        <v/>
      </c>
      <c r="C67" s="11" t="n"/>
      <c r="D67" s="11" t="n"/>
      <c r="E67" s="11" t="n"/>
      <c r="F67" s="11" t="n"/>
      <c r="G67" s="11" t="n"/>
      <c r="H67" s="28" t="n"/>
      <c r="I67" s="28" t="n"/>
      <c r="J67" s="28" t="n"/>
      <c r="K67" s="11" t="n"/>
      <c r="L67" s="11" t="n"/>
      <c r="M67" s="28" t="n"/>
      <c r="N67" s="11" t="n"/>
    </row>
    <row r="68" ht="22" customHeight="1">
      <c r="B68" s="17">
        <f>IF(C68="","DIS-"&amp;TEXT(COUNTA($C$5:C68),"000"))</f>
        <v/>
      </c>
      <c r="C68" s="14" t="n"/>
      <c r="D68" s="14" t="n"/>
      <c r="E68" s="14" t="n"/>
      <c r="F68" s="14" t="n"/>
      <c r="G68" s="14" t="n"/>
      <c r="H68" s="29" t="n"/>
      <c r="I68" s="29" t="n"/>
      <c r="J68" s="29" t="n"/>
      <c r="K68" s="14" t="n"/>
      <c r="L68" s="14" t="n"/>
      <c r="M68" s="29" t="n"/>
      <c r="N68" s="14" t="n"/>
    </row>
    <row r="69" ht="22" customHeight="1">
      <c r="B69" s="18">
        <f>IF(C69="","DIS-"&amp;TEXT(COUNTA($C$5:C69),"000"))</f>
        <v/>
      </c>
      <c r="C69" s="11" t="n"/>
      <c r="D69" s="11" t="n"/>
      <c r="E69" s="11" t="n"/>
      <c r="F69" s="11" t="n"/>
      <c r="G69" s="11" t="n"/>
      <c r="H69" s="28" t="n"/>
      <c r="I69" s="28" t="n"/>
      <c r="J69" s="28" t="n"/>
      <c r="K69" s="11" t="n"/>
      <c r="L69" s="11" t="n"/>
      <c r="M69" s="28" t="n"/>
      <c r="N69" s="11" t="n"/>
    </row>
    <row r="70" ht="22" customHeight="1">
      <c r="B70" s="17">
        <f>IF(C70="","DIS-"&amp;TEXT(COUNTA($C$5:C70),"000"))</f>
        <v/>
      </c>
      <c r="C70" s="14" t="n"/>
      <c r="D70" s="14" t="n"/>
      <c r="E70" s="14" t="n"/>
      <c r="F70" s="14" t="n"/>
      <c r="G70" s="14" t="n"/>
      <c r="H70" s="29" t="n"/>
      <c r="I70" s="29" t="n"/>
      <c r="J70" s="29" t="n"/>
      <c r="K70" s="14" t="n"/>
      <c r="L70" s="14" t="n"/>
      <c r="M70" s="29" t="n"/>
      <c r="N70" s="14" t="n"/>
    </row>
    <row r="71" ht="22" customHeight="1">
      <c r="B71" s="18">
        <f>IF(C71="","DIS-"&amp;TEXT(COUNTA($C$5:C71),"000"))</f>
        <v/>
      </c>
      <c r="C71" s="11" t="n"/>
      <c r="D71" s="11" t="n"/>
      <c r="E71" s="11" t="n"/>
      <c r="F71" s="11" t="n"/>
      <c r="G71" s="11" t="n"/>
      <c r="H71" s="28" t="n"/>
      <c r="I71" s="28" t="n"/>
      <c r="J71" s="28" t="n"/>
      <c r="K71" s="11" t="n"/>
      <c r="L71" s="11" t="n"/>
      <c r="M71" s="28" t="n"/>
      <c r="N71" s="11" t="n"/>
    </row>
    <row r="72" ht="22" customHeight="1">
      <c r="B72" s="17">
        <f>IF(C72="","DIS-"&amp;TEXT(COUNTA($C$5:C72),"000"))</f>
        <v/>
      </c>
      <c r="C72" s="14" t="n"/>
      <c r="D72" s="14" t="n"/>
      <c r="E72" s="14" t="n"/>
      <c r="F72" s="14" t="n"/>
      <c r="G72" s="14" t="n"/>
      <c r="H72" s="29" t="n"/>
      <c r="I72" s="29" t="n"/>
      <c r="J72" s="29" t="n"/>
      <c r="K72" s="14" t="n"/>
      <c r="L72" s="14" t="n"/>
      <c r="M72" s="29" t="n"/>
      <c r="N72" s="14" t="n"/>
    </row>
    <row r="73" ht="22" customHeight="1">
      <c r="B73" s="18">
        <f>IF(C73="","DIS-"&amp;TEXT(COUNTA($C$5:C73),"000"))</f>
        <v/>
      </c>
      <c r="C73" s="11" t="n"/>
      <c r="D73" s="11" t="n"/>
      <c r="E73" s="11" t="n"/>
      <c r="F73" s="11" t="n"/>
      <c r="G73" s="11" t="n"/>
      <c r="H73" s="28" t="n"/>
      <c r="I73" s="28" t="n"/>
      <c r="J73" s="28" t="n"/>
      <c r="K73" s="11" t="n"/>
      <c r="L73" s="11" t="n"/>
      <c r="M73" s="28" t="n"/>
      <c r="N73" s="11" t="n"/>
    </row>
    <row r="74" ht="22" customHeight="1">
      <c r="B74" s="17">
        <f>IF(C74="","DIS-"&amp;TEXT(COUNTA($C$5:C74),"000"))</f>
        <v/>
      </c>
      <c r="C74" s="14" t="n"/>
      <c r="D74" s="14" t="n"/>
      <c r="E74" s="14" t="n"/>
      <c r="F74" s="14" t="n"/>
      <c r="G74" s="14" t="n"/>
      <c r="H74" s="29" t="n"/>
      <c r="I74" s="29" t="n"/>
      <c r="J74" s="29" t="n"/>
      <c r="K74" s="14" t="n"/>
      <c r="L74" s="14" t="n"/>
      <c r="M74" s="29" t="n"/>
      <c r="N74" s="14" t="n"/>
    </row>
    <row r="75" ht="22" customHeight="1">
      <c r="B75" s="18">
        <f>IF(C75="","DIS-"&amp;TEXT(COUNTA($C$5:C75),"000"))</f>
        <v/>
      </c>
      <c r="C75" s="11" t="n"/>
      <c r="D75" s="11" t="n"/>
      <c r="E75" s="11" t="n"/>
      <c r="F75" s="11" t="n"/>
      <c r="G75" s="11" t="n"/>
      <c r="H75" s="28" t="n"/>
      <c r="I75" s="28" t="n"/>
      <c r="J75" s="28" t="n"/>
      <c r="K75" s="11" t="n"/>
      <c r="L75" s="11" t="n"/>
      <c r="M75" s="28" t="n"/>
      <c r="N75" s="11" t="n"/>
    </row>
    <row r="76" ht="22" customHeight="1">
      <c r="B76" s="17">
        <f>IF(C76="","DIS-"&amp;TEXT(COUNTA($C$5:C76),"000"))</f>
        <v/>
      </c>
      <c r="C76" s="14" t="n"/>
      <c r="D76" s="14" t="n"/>
      <c r="E76" s="14" t="n"/>
      <c r="F76" s="14" t="n"/>
      <c r="G76" s="14" t="n"/>
      <c r="H76" s="29" t="n"/>
      <c r="I76" s="29" t="n"/>
      <c r="J76" s="29" t="n"/>
      <c r="K76" s="14" t="n"/>
      <c r="L76" s="14" t="n"/>
      <c r="M76" s="29" t="n"/>
      <c r="N76" s="14" t="n"/>
    </row>
    <row r="77" ht="22" customHeight="1">
      <c r="B77" s="18">
        <f>IF(C77="","DIS-"&amp;TEXT(COUNTA($C$5:C77),"000"))</f>
        <v/>
      </c>
      <c r="C77" s="11" t="n"/>
      <c r="D77" s="11" t="n"/>
      <c r="E77" s="11" t="n"/>
      <c r="F77" s="11" t="n"/>
      <c r="G77" s="11" t="n"/>
      <c r="H77" s="28" t="n"/>
      <c r="I77" s="28" t="n"/>
      <c r="J77" s="28" t="n"/>
      <c r="K77" s="11" t="n"/>
      <c r="L77" s="11" t="n"/>
      <c r="M77" s="28" t="n"/>
      <c r="N77" s="11" t="n"/>
    </row>
    <row r="78" ht="22" customHeight="1">
      <c r="B78" s="17">
        <f>IF(C78="","DIS-"&amp;TEXT(COUNTA($C$5:C78),"000"))</f>
        <v/>
      </c>
      <c r="C78" s="14" t="n"/>
      <c r="D78" s="14" t="n"/>
      <c r="E78" s="14" t="n"/>
      <c r="F78" s="14" t="n"/>
      <c r="G78" s="14" t="n"/>
      <c r="H78" s="29" t="n"/>
      <c r="I78" s="29" t="n"/>
      <c r="J78" s="29" t="n"/>
      <c r="K78" s="14" t="n"/>
      <c r="L78" s="14" t="n"/>
      <c r="M78" s="29" t="n"/>
      <c r="N78" s="14" t="n"/>
    </row>
    <row r="79" ht="22" customHeight="1">
      <c r="B79" s="18">
        <f>IF(C79="","DIS-"&amp;TEXT(COUNTA($C$5:C79),"000"))</f>
        <v/>
      </c>
      <c r="C79" s="11" t="n"/>
      <c r="D79" s="11" t="n"/>
      <c r="E79" s="11" t="n"/>
      <c r="F79" s="11" t="n"/>
      <c r="G79" s="11" t="n"/>
      <c r="H79" s="28" t="n"/>
      <c r="I79" s="28" t="n"/>
      <c r="J79" s="28" t="n"/>
      <c r="K79" s="11" t="n"/>
      <c r="L79" s="11" t="n"/>
      <c r="M79" s="28" t="n"/>
      <c r="N79" s="11" t="n"/>
    </row>
    <row r="80" ht="22" customHeight="1">
      <c r="B80" s="17">
        <f>IF(C80="","DIS-"&amp;TEXT(COUNTA($C$5:C80),"000"))</f>
        <v/>
      </c>
      <c r="C80" s="14" t="n"/>
      <c r="D80" s="14" t="n"/>
      <c r="E80" s="14" t="n"/>
      <c r="F80" s="14" t="n"/>
      <c r="G80" s="14" t="n"/>
      <c r="H80" s="29" t="n"/>
      <c r="I80" s="29" t="n"/>
      <c r="J80" s="29" t="n"/>
      <c r="K80" s="14" t="n"/>
      <c r="L80" s="14" t="n"/>
      <c r="M80" s="29" t="n"/>
      <c r="N80" s="14" t="n"/>
    </row>
    <row r="81" ht="22" customHeight="1">
      <c r="B81" s="18">
        <f>IF(C81="","DIS-"&amp;TEXT(COUNTA($C$5:C81),"000"))</f>
        <v/>
      </c>
      <c r="C81" s="11" t="n"/>
      <c r="D81" s="11" t="n"/>
      <c r="E81" s="11" t="n"/>
      <c r="F81" s="11" t="n"/>
      <c r="G81" s="11" t="n"/>
      <c r="H81" s="28" t="n"/>
      <c r="I81" s="28" t="n"/>
      <c r="J81" s="28" t="n"/>
      <c r="K81" s="11" t="n"/>
      <c r="L81" s="11" t="n"/>
      <c r="M81" s="28" t="n"/>
      <c r="N81" s="11" t="n"/>
    </row>
    <row r="82" ht="22" customHeight="1">
      <c r="B82" s="17">
        <f>IF(C82="","DIS-"&amp;TEXT(COUNTA($C$5:C82),"000"))</f>
        <v/>
      </c>
      <c r="C82" s="14" t="n"/>
      <c r="D82" s="14" t="n"/>
      <c r="E82" s="14" t="n"/>
      <c r="F82" s="14" t="n"/>
      <c r="G82" s="14" t="n"/>
      <c r="H82" s="29" t="n"/>
      <c r="I82" s="29" t="n"/>
      <c r="J82" s="29" t="n"/>
      <c r="K82" s="14" t="n"/>
      <c r="L82" s="14" t="n"/>
      <c r="M82" s="29" t="n"/>
      <c r="N82" s="14" t="n"/>
    </row>
    <row r="83" ht="22" customHeight="1">
      <c r="B83" s="18">
        <f>IF(C83="","DIS-"&amp;TEXT(COUNTA($C$5:C83),"000"))</f>
        <v/>
      </c>
      <c r="C83" s="11" t="n"/>
      <c r="D83" s="11" t="n"/>
      <c r="E83" s="11" t="n"/>
      <c r="F83" s="11" t="n"/>
      <c r="G83" s="11" t="n"/>
      <c r="H83" s="28" t="n"/>
      <c r="I83" s="28" t="n"/>
      <c r="J83" s="28" t="n"/>
      <c r="K83" s="11" t="n"/>
      <c r="L83" s="11" t="n"/>
      <c r="M83" s="28" t="n"/>
      <c r="N83" s="11" t="n"/>
    </row>
    <row r="84" ht="22" customHeight="1">
      <c r="B84" s="17">
        <f>IF(C84="","DIS-"&amp;TEXT(COUNTA($C$5:C84),"000"))</f>
        <v/>
      </c>
      <c r="C84" s="14" t="n"/>
      <c r="D84" s="14" t="n"/>
      <c r="E84" s="14" t="n"/>
      <c r="F84" s="14" t="n"/>
      <c r="G84" s="14" t="n"/>
      <c r="H84" s="29" t="n"/>
      <c r="I84" s="29" t="n"/>
      <c r="J84" s="29" t="n"/>
      <c r="K84" s="14" t="n"/>
      <c r="L84" s="14" t="n"/>
      <c r="M84" s="29" t="n"/>
      <c r="N84" s="14" t="n"/>
    </row>
    <row r="85" ht="22" customHeight="1">
      <c r="B85" s="18">
        <f>IF(C85="","DIS-"&amp;TEXT(COUNTA($C$5:C85),"000"))</f>
        <v/>
      </c>
      <c r="C85" s="11" t="n"/>
      <c r="D85" s="11" t="n"/>
      <c r="E85" s="11" t="n"/>
      <c r="F85" s="11" t="n"/>
      <c r="G85" s="11" t="n"/>
      <c r="H85" s="28" t="n"/>
      <c r="I85" s="28" t="n"/>
      <c r="J85" s="28" t="n"/>
      <c r="K85" s="11" t="n"/>
      <c r="L85" s="11" t="n"/>
      <c r="M85" s="28" t="n"/>
      <c r="N85" s="11" t="n"/>
    </row>
    <row r="86" ht="22" customHeight="1">
      <c r="B86" s="17">
        <f>IF(C86="","DIS-"&amp;TEXT(COUNTA($C$5:C86),"000"))</f>
        <v/>
      </c>
      <c r="C86" s="14" t="n"/>
      <c r="D86" s="14" t="n"/>
      <c r="E86" s="14" t="n"/>
      <c r="F86" s="14" t="n"/>
      <c r="G86" s="14" t="n"/>
      <c r="H86" s="29" t="n"/>
      <c r="I86" s="29" t="n"/>
      <c r="J86" s="29" t="n"/>
      <c r="K86" s="14" t="n"/>
      <c r="L86" s="14" t="n"/>
      <c r="M86" s="29" t="n"/>
      <c r="N86" s="14" t="n"/>
    </row>
    <row r="87" ht="22" customHeight="1">
      <c r="B87" s="18">
        <f>IF(C87="","DIS-"&amp;TEXT(COUNTA($C$5:C87),"000"))</f>
        <v/>
      </c>
      <c r="C87" s="11" t="n"/>
      <c r="D87" s="11" t="n"/>
      <c r="E87" s="11" t="n"/>
      <c r="F87" s="11" t="n"/>
      <c r="G87" s="11" t="n"/>
      <c r="H87" s="28" t="n"/>
      <c r="I87" s="28" t="n"/>
      <c r="J87" s="28" t="n"/>
      <c r="K87" s="11" t="n"/>
      <c r="L87" s="11" t="n"/>
      <c r="M87" s="28" t="n"/>
      <c r="N87" s="11" t="n"/>
    </row>
    <row r="88" ht="22" customHeight="1">
      <c r="B88" s="17">
        <f>IF(C88="","DIS-"&amp;TEXT(COUNTA($C$5:C88),"000"))</f>
        <v/>
      </c>
      <c r="C88" s="14" t="n"/>
      <c r="D88" s="14" t="n"/>
      <c r="E88" s="14" t="n"/>
      <c r="F88" s="14" t="n"/>
      <c r="G88" s="14" t="n"/>
      <c r="H88" s="29" t="n"/>
      <c r="I88" s="29" t="n"/>
      <c r="J88" s="29" t="n"/>
      <c r="K88" s="14" t="n"/>
      <c r="L88" s="14" t="n"/>
      <c r="M88" s="29" t="n"/>
      <c r="N88" s="14" t="n"/>
    </row>
    <row r="89" ht="22" customHeight="1">
      <c r="B89" s="18">
        <f>IF(C89="","DIS-"&amp;TEXT(COUNTA($C$5:C89),"000"))</f>
        <v/>
      </c>
      <c r="C89" s="11" t="n"/>
      <c r="D89" s="11" t="n"/>
      <c r="E89" s="11" t="n"/>
      <c r="F89" s="11" t="n"/>
      <c r="G89" s="11" t="n"/>
      <c r="H89" s="28" t="n"/>
      <c r="I89" s="28" t="n"/>
      <c r="J89" s="28" t="n"/>
      <c r="K89" s="11" t="n"/>
      <c r="L89" s="11" t="n"/>
      <c r="M89" s="28" t="n"/>
      <c r="N89" s="11" t="n"/>
    </row>
    <row r="90" ht="22" customHeight="1">
      <c r="B90" s="17">
        <f>IF(C90="","DIS-"&amp;TEXT(COUNTA($C$5:C90),"000"))</f>
        <v/>
      </c>
      <c r="C90" s="14" t="n"/>
      <c r="D90" s="14" t="n"/>
      <c r="E90" s="14" t="n"/>
      <c r="F90" s="14" t="n"/>
      <c r="G90" s="14" t="n"/>
      <c r="H90" s="29" t="n"/>
      <c r="I90" s="29" t="n"/>
      <c r="J90" s="29" t="n"/>
      <c r="K90" s="14" t="n"/>
      <c r="L90" s="14" t="n"/>
      <c r="M90" s="29" t="n"/>
      <c r="N90" s="14" t="n"/>
    </row>
    <row r="91" ht="22" customHeight="1">
      <c r="B91" s="18">
        <f>IF(C91="","DIS-"&amp;TEXT(COUNTA($C$5:C91),"000"))</f>
        <v/>
      </c>
      <c r="C91" s="11" t="n"/>
      <c r="D91" s="11" t="n"/>
      <c r="E91" s="11" t="n"/>
      <c r="F91" s="11" t="n"/>
      <c r="G91" s="11" t="n"/>
      <c r="H91" s="28" t="n"/>
      <c r="I91" s="28" t="n"/>
      <c r="J91" s="28" t="n"/>
      <c r="K91" s="11" t="n"/>
      <c r="L91" s="11" t="n"/>
      <c r="M91" s="28" t="n"/>
      <c r="N91" s="11" t="n"/>
    </row>
    <row r="92" ht="22" customHeight="1">
      <c r="B92" s="17">
        <f>IF(C92="","DIS-"&amp;TEXT(COUNTA($C$5:C92),"000"))</f>
        <v/>
      </c>
      <c r="C92" s="14" t="n"/>
      <c r="D92" s="14" t="n"/>
      <c r="E92" s="14" t="n"/>
      <c r="F92" s="14" t="n"/>
      <c r="G92" s="14" t="n"/>
      <c r="H92" s="29" t="n"/>
      <c r="I92" s="29" t="n"/>
      <c r="J92" s="29" t="n"/>
      <c r="K92" s="14" t="n"/>
      <c r="L92" s="14" t="n"/>
      <c r="M92" s="29" t="n"/>
      <c r="N92" s="14" t="n"/>
    </row>
    <row r="93" ht="22" customHeight="1">
      <c r="B93" s="18">
        <f>IF(C93="","DIS-"&amp;TEXT(COUNTA($C$5:C93),"000"))</f>
        <v/>
      </c>
      <c r="C93" s="11" t="n"/>
      <c r="D93" s="11" t="n"/>
      <c r="E93" s="11" t="n"/>
      <c r="F93" s="11" t="n"/>
      <c r="G93" s="11" t="n"/>
      <c r="H93" s="28" t="n"/>
      <c r="I93" s="28" t="n"/>
      <c r="J93" s="28" t="n"/>
      <c r="K93" s="11" t="n"/>
      <c r="L93" s="11" t="n"/>
      <c r="M93" s="28" t="n"/>
      <c r="N93" s="11" t="n"/>
    </row>
    <row r="94" ht="22" customHeight="1">
      <c r="B94" s="17">
        <f>IF(C94="","DIS-"&amp;TEXT(COUNTA($C$5:C94),"000"))</f>
        <v/>
      </c>
      <c r="C94" s="14" t="n"/>
      <c r="D94" s="14" t="n"/>
      <c r="E94" s="14" t="n"/>
      <c r="F94" s="14" t="n"/>
      <c r="G94" s="14" t="n"/>
      <c r="H94" s="29" t="n"/>
      <c r="I94" s="29" t="n"/>
      <c r="J94" s="29" t="n"/>
      <c r="K94" s="14" t="n"/>
      <c r="L94" s="14" t="n"/>
      <c r="M94" s="29" t="n"/>
      <c r="N94" s="14" t="n"/>
    </row>
    <row r="95" ht="22" customHeight="1">
      <c r="B95" s="18">
        <f>IF(C95="","DIS-"&amp;TEXT(COUNTA($C$5:C95),"000"))</f>
        <v/>
      </c>
      <c r="C95" s="11" t="n"/>
      <c r="D95" s="11" t="n"/>
      <c r="E95" s="11" t="n"/>
      <c r="F95" s="11" t="n"/>
      <c r="G95" s="11" t="n"/>
      <c r="H95" s="28" t="n"/>
      <c r="I95" s="28" t="n"/>
      <c r="J95" s="28" t="n"/>
      <c r="K95" s="11" t="n"/>
      <c r="L95" s="11" t="n"/>
      <c r="M95" s="28" t="n"/>
      <c r="N95" s="11" t="n"/>
    </row>
    <row r="96" ht="22" customHeight="1">
      <c r="B96" s="17">
        <f>IF(C96="","DIS-"&amp;TEXT(COUNTA($C$5:C96),"000"))</f>
        <v/>
      </c>
      <c r="C96" s="14" t="n"/>
      <c r="D96" s="14" t="n"/>
      <c r="E96" s="14" t="n"/>
      <c r="F96" s="14" t="n"/>
      <c r="G96" s="14" t="n"/>
      <c r="H96" s="29" t="n"/>
      <c r="I96" s="29" t="n"/>
      <c r="J96" s="29" t="n"/>
      <c r="K96" s="14" t="n"/>
      <c r="L96" s="14" t="n"/>
      <c r="M96" s="29" t="n"/>
      <c r="N96" s="14" t="n"/>
    </row>
    <row r="97" ht="22" customHeight="1">
      <c r="B97" s="18">
        <f>IF(C97="","DIS-"&amp;TEXT(COUNTA($C$5:C97),"000"))</f>
        <v/>
      </c>
      <c r="C97" s="11" t="n"/>
      <c r="D97" s="11" t="n"/>
      <c r="E97" s="11" t="n"/>
      <c r="F97" s="11" t="n"/>
      <c r="G97" s="11" t="n"/>
      <c r="H97" s="28" t="n"/>
      <c r="I97" s="28" t="n"/>
      <c r="J97" s="28" t="n"/>
      <c r="K97" s="11" t="n"/>
      <c r="L97" s="11" t="n"/>
      <c r="M97" s="28" t="n"/>
      <c r="N97" s="11" t="n"/>
    </row>
    <row r="98" ht="22" customHeight="1">
      <c r="B98" s="17">
        <f>IF(C98="","DIS-"&amp;TEXT(COUNTA($C$5:C98),"000"))</f>
        <v/>
      </c>
      <c r="C98" s="14" t="n"/>
      <c r="D98" s="14" t="n"/>
      <c r="E98" s="14" t="n"/>
      <c r="F98" s="14" t="n"/>
      <c r="G98" s="14" t="n"/>
      <c r="H98" s="29" t="n"/>
      <c r="I98" s="29" t="n"/>
      <c r="J98" s="29" t="n"/>
      <c r="K98" s="14" t="n"/>
      <c r="L98" s="14" t="n"/>
      <c r="M98" s="29" t="n"/>
      <c r="N98" s="14" t="n"/>
    </row>
    <row r="99" ht="22" customHeight="1">
      <c r="B99" s="18">
        <f>IF(C99="","DIS-"&amp;TEXT(COUNTA($C$5:C99),"000"))</f>
        <v/>
      </c>
      <c r="C99" s="11" t="n"/>
      <c r="D99" s="11" t="n"/>
      <c r="E99" s="11" t="n"/>
      <c r="F99" s="11" t="n"/>
      <c r="G99" s="11" t="n"/>
      <c r="H99" s="28" t="n"/>
      <c r="I99" s="28" t="n"/>
      <c r="J99" s="28" t="n"/>
      <c r="K99" s="11" t="n"/>
      <c r="L99" s="11" t="n"/>
      <c r="M99" s="28" t="n"/>
      <c r="N99" s="11" t="n"/>
    </row>
    <row r="100" ht="22" customHeight="1">
      <c r="B100" s="17">
        <f>IF(C100="","DIS-"&amp;TEXT(COUNTA($C$5:C100),"000"))</f>
        <v/>
      </c>
      <c r="C100" s="14" t="n"/>
      <c r="D100" s="14" t="n"/>
      <c r="E100" s="14" t="n"/>
      <c r="F100" s="14" t="n"/>
      <c r="G100" s="14" t="n"/>
      <c r="H100" s="29" t="n"/>
      <c r="I100" s="29" t="n"/>
      <c r="J100" s="29" t="n"/>
      <c r="K100" s="14" t="n"/>
      <c r="L100" s="14" t="n"/>
      <c r="M100" s="29" t="n"/>
      <c r="N100" s="14" t="n"/>
    </row>
    <row r="101" ht="22" customHeight="1">
      <c r="B101" s="18">
        <f>IF(C101="","DIS-"&amp;TEXT(COUNTA($C$5:C101),"000"))</f>
        <v/>
      </c>
      <c r="C101" s="11" t="n"/>
      <c r="D101" s="11" t="n"/>
      <c r="E101" s="11" t="n"/>
      <c r="F101" s="11" t="n"/>
      <c r="G101" s="11" t="n"/>
      <c r="H101" s="28" t="n"/>
      <c r="I101" s="28" t="n"/>
      <c r="J101" s="28" t="n"/>
      <c r="K101" s="11" t="n"/>
      <c r="L101" s="11" t="n"/>
      <c r="M101" s="28" t="n"/>
      <c r="N101" s="11" t="n"/>
    </row>
    <row r="102" ht="22" customHeight="1">
      <c r="B102" s="17">
        <f>IF(C102="","DIS-"&amp;TEXT(COUNTA($C$5:C102),"000"))</f>
        <v/>
      </c>
      <c r="C102" s="14" t="n"/>
      <c r="D102" s="14" t="n"/>
      <c r="E102" s="14" t="n"/>
      <c r="F102" s="14" t="n"/>
      <c r="G102" s="14" t="n"/>
      <c r="H102" s="29" t="n"/>
      <c r="I102" s="29" t="n"/>
      <c r="J102" s="29" t="n"/>
      <c r="K102" s="14" t="n"/>
      <c r="L102" s="14" t="n"/>
      <c r="M102" s="29" t="n"/>
      <c r="N102" s="14" t="n"/>
    </row>
    <row r="103" ht="22" customHeight="1">
      <c r="B103" s="18">
        <f>IF(C103="","DIS-"&amp;TEXT(COUNTA($C$5:C103),"000"))</f>
        <v/>
      </c>
      <c r="C103" s="11" t="n"/>
      <c r="D103" s="11" t="n"/>
      <c r="E103" s="11" t="n"/>
      <c r="F103" s="11" t="n"/>
      <c r="G103" s="11" t="n"/>
      <c r="H103" s="28" t="n"/>
      <c r="I103" s="28" t="n"/>
      <c r="J103" s="28" t="n"/>
      <c r="K103" s="11" t="n"/>
      <c r="L103" s="11" t="n"/>
      <c r="M103" s="28" t="n"/>
      <c r="N103" s="11" t="n"/>
    </row>
    <row r="104" ht="22" customHeight="1">
      <c r="B104" s="17">
        <f>IF(C104="","DIS-"&amp;TEXT(COUNTA($C$5:C104),"000"))</f>
        <v/>
      </c>
      <c r="C104" s="14" t="n"/>
      <c r="D104" s="14" t="n"/>
      <c r="E104" s="14" t="n"/>
      <c r="F104" s="14" t="n"/>
      <c r="G104" s="14" t="n"/>
      <c r="H104" s="29" t="n"/>
      <c r="I104" s="29" t="n"/>
      <c r="J104" s="29" t="n"/>
      <c r="K104" s="14" t="n"/>
      <c r="L104" s="14" t="n"/>
      <c r="M104" s="29" t="n"/>
      <c r="N104" s="14" t="n"/>
    </row>
    <row r="105" ht="22" customHeight="1">
      <c r="B105" s="18">
        <f>IF(C105="","DIS-"&amp;TEXT(COUNTA($C$5:C105),"000"))</f>
        <v/>
      </c>
      <c r="C105" s="11" t="n"/>
      <c r="D105" s="11" t="n"/>
      <c r="E105" s="11" t="n"/>
      <c r="F105" s="11" t="n"/>
      <c r="G105" s="11" t="n"/>
      <c r="H105" s="28" t="n"/>
      <c r="I105" s="28" t="n"/>
      <c r="J105" s="28" t="n"/>
      <c r="K105" s="11" t="n"/>
      <c r="L105" s="11" t="n"/>
      <c r="M105" s="28" t="n"/>
      <c r="N105" s="11" t="n"/>
    </row>
    <row r="106" ht="22" customHeight="1">
      <c r="B106" s="17">
        <f>IF(C106="","DIS-"&amp;TEXT(COUNTA($C$5:C106),"000"))</f>
        <v/>
      </c>
      <c r="C106" s="14" t="n"/>
      <c r="D106" s="14" t="n"/>
      <c r="E106" s="14" t="n"/>
      <c r="F106" s="14" t="n"/>
      <c r="G106" s="14" t="n"/>
      <c r="H106" s="29" t="n"/>
      <c r="I106" s="29" t="n"/>
      <c r="J106" s="29" t="n"/>
      <c r="K106" s="14" t="n"/>
      <c r="L106" s="14" t="n"/>
      <c r="M106" s="29" t="n"/>
      <c r="N106" s="14" t="n"/>
    </row>
    <row r="107" ht="22" customHeight="1">
      <c r="B107" s="18">
        <f>IF(C107="","DIS-"&amp;TEXT(COUNTA($C$5:C107),"000"))</f>
        <v/>
      </c>
      <c r="C107" s="11" t="n"/>
      <c r="D107" s="11" t="n"/>
      <c r="E107" s="11" t="n"/>
      <c r="F107" s="11" t="n"/>
      <c r="G107" s="11" t="n"/>
      <c r="H107" s="28" t="n"/>
      <c r="I107" s="28" t="n"/>
      <c r="J107" s="28" t="n"/>
      <c r="K107" s="11" t="n"/>
      <c r="L107" s="11" t="n"/>
      <c r="M107" s="28" t="n"/>
      <c r="N107" s="11" t="n"/>
    </row>
    <row r="108" ht="22" customHeight="1">
      <c r="B108" s="17">
        <f>IF(C108="","DIS-"&amp;TEXT(COUNTA($C$5:C108),"000"))</f>
        <v/>
      </c>
      <c r="C108" s="14" t="n"/>
      <c r="D108" s="14" t="n"/>
      <c r="E108" s="14" t="n"/>
      <c r="F108" s="14" t="n"/>
      <c r="G108" s="14" t="n"/>
      <c r="H108" s="29" t="n"/>
      <c r="I108" s="29" t="n"/>
      <c r="J108" s="29" t="n"/>
      <c r="K108" s="14" t="n"/>
      <c r="L108" s="14" t="n"/>
      <c r="M108" s="29" t="n"/>
      <c r="N108" s="14" t="n"/>
    </row>
    <row r="110">
      <c r="B110" s="5" t="inlineStr">
        <is>
          <t>INDICATEURS (mis a jour automatiquement)</t>
        </is>
      </c>
    </row>
    <row r="111">
      <c r="B111" s="3" t="inlineStr">
        <is>
          <t>Procedures</t>
        </is>
      </c>
      <c r="D111" s="3" t="inlineStr">
        <is>
          <t>Cloturees</t>
        </is>
      </c>
      <c r="F111" s="3" t="inlineStr">
        <is>
          <t>En recours</t>
        </is>
      </c>
      <c r="H111" s="3" t="inlineStr">
        <is>
          <t>Avertissements</t>
        </is>
      </c>
    </row>
    <row r="112">
      <c r="B112" s="4">
        <f>COUNTIF(B5:B104,"&lt;&gt;")</f>
        <v/>
      </c>
      <c r="D112" s="4">
        <f>COUNTIF(N5:N104,"Cloturee")</f>
        <v/>
      </c>
      <c r="F112" s="4">
        <f>COUNTIF(N5:N104,"En recours")</f>
        <v/>
      </c>
      <c r="H112" s="4">
        <f>COUNTIF(K5:K104,"*Avertissement*")</f>
        <v/>
      </c>
    </row>
  </sheetData>
  <mergeCells count="3">
    <mergeCell ref="B3:N3"/>
    <mergeCell ref="B2:N2"/>
    <mergeCell ref="B110:N110"/>
  </mergeCells>
  <conditionalFormatting sqref="N5:N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1">
      <formula>"En attente"</formula>
    </cfRule>
    <cfRule type="cellIs" priority="45" operator="equal" dxfId="1">
      <formula>"A renouveler"</formula>
    </cfRule>
    <cfRule type="cellIs" priority="46" operator="equal" dxfId="1">
      <formula>"En cours"</formula>
    </cfRule>
    <cfRule type="cellIs" priority="47" operator="equal" dxfId="1">
      <formula>"En traitement"</formula>
    </cfRule>
    <cfRule type="cellIs" priority="48" operator="equal" dxfId="1">
      <formula>"En retard"</formula>
    </cfRule>
    <cfRule type="cellIs" priority="49" operator="equal" dxfId="1">
      <formula>"Suspendu"</formula>
    </cfRule>
    <cfRule type="cellIs" priority="50" operator="equal" dxfId="1">
      <formula>"Planifie"</formula>
    </cfRule>
    <cfRule type="cellIs" priority="51" operator="equal" dxfId="1">
      <formula>"Planifiee"</formula>
    </cfRule>
    <cfRule type="cellIs" priority="52" operator="equal" dxfId="1">
      <formula>"Brouillon"</formula>
    </cfRule>
    <cfRule type="cellIs" priority="53" operator="equal" dxfId="1">
      <formula>"En attente de justification"</formula>
    </cfRule>
    <cfRule type="cellIs" priority="54" operator="equal" dxfId="1">
      <formula>"Tolere"</formula>
    </cfRule>
    <cfRule type="cellIs" priority="55" operator="equal" dxfId="1">
      <formula>"Variable"</formula>
    </cfRule>
    <cfRule type="cellIs" priority="56" operator="equal" dxfId="1">
      <formula>"En elaboration"</formula>
    </cfRule>
    <cfRule type="cellIs" priority="57" operator="equal" dxfId="1">
      <formula>"Provisionne"</formula>
    </cfRule>
    <cfRule type="cellIs" priority="58" operator="equal" dxfId="1">
      <formula>"Consomme partiel"</formula>
    </cfRule>
    <cfRule type="cellIs" priority="59" operator="equal" dxfId="1">
      <formula>"Identifie"</formula>
    </cfRule>
    <cfRule type="cellIs" priority="60" operator="equal" dxfId="1">
      <formula>"Priorise"</formula>
    </cfRule>
    <cfRule type="cellIs" priority="61" operator="equal" dxfId="1">
      <formula>"Intermediaire"</formula>
    </cfRule>
    <cfRule type="cellIs" priority="62" operator="equal" dxfId="1">
      <formula>"Non evalue"</formula>
    </cfRule>
    <cfRule type="cellIs" priority="63" operator="equal" dxfId="1">
      <formula>"En cours de realisation"</formula>
    </cfRule>
    <cfRule type="cellIs" priority="64" operator="equal" dxfId="1">
      <formula>"Non demarre"</formula>
    </cfRule>
    <cfRule type="cellIs" priority="65" operator="equal" dxfId="1">
      <formula>"En attente N+1"</formula>
    </cfRule>
    <cfRule type="cellIs" priority="66" operator="equal" dxfId="1">
      <formula>"Prolongation essai"</formula>
    </cfRule>
    <cfRule type="cellIs" priority="67" operator="equal" dxfId="1">
      <formula>"En attente validation"</formula>
    </cfRule>
    <cfRule type="cellIs" priority="68" operator="equal" dxfId="1">
      <formula>"Bon"</formula>
    </cfRule>
    <cfRule type="cellIs" priority="69" operator="equal" dxfId="1">
      <formula>"D - Moyen"</formula>
    </cfRule>
    <cfRule type="cellIs" priority="70" operator="equal" dxfId="1">
      <formula>"En cours de repres."</formula>
    </cfRule>
    <cfRule type="cellIs" priority="71" operator="equal" dxfId="1">
      <formula>"En negociation"</formula>
    </cfRule>
    <cfRule type="cellIs" priority="72" operator="equal" dxfId="1">
      <formula>"En preparation"</formula>
    </cfRule>
    <cfRule type="cellIs" priority="73" operator="equal" dxfId="1">
      <formula>"En cours d'instruction"</formula>
    </cfRule>
    <cfRule type="cellIs" priority="74" operator="equal" dxfId="1">
      <formula>"Transferee N+1"</formula>
    </cfRule>
    <cfRule type="cellIs" priority="75" operator="equal" dxfId="1">
      <formula>"En attente reponse"</formula>
    </cfRule>
    <cfRule type="cellIs" priority="76" operator="equal" dxfId="1">
      <formula>"Enquete ouverte"</formula>
    </cfRule>
    <cfRule type="cellIs" priority="77" operator="equal" dxfId="1">
      <formula>"Convocation envoyee"</formula>
    </cfRule>
    <cfRule type="cellIs" priority="78" operator="equal" dxfId="1">
      <formula>"Entretien realise"</formula>
    </cfRule>
    <cfRule type="cellIs" priority="79" operator="equal" dxfId="1">
      <formula>"Saisie"</formula>
    </cfRule>
    <cfRule type="cellIs" priority="80" operator="equal" dxfId="1">
      <formula>"En mediation"</formula>
    </cfRule>
    <cfRule type="cellIs" priority="81" operator="equal" dxfId="1">
      <formula>"En recours"</formula>
    </cfRule>
    <cfRule type="cellIs" priority="82" operator="equal" dxfId="1">
      <formula>"Reportee"</formula>
    </cfRule>
    <cfRule type="cellIs" priority="83" operator="equal" dxfId="1">
      <formula>"Signale"</formula>
    </cfRule>
    <cfRule type="cellIs" priority="84" operator="equal" dxfId="1">
      <formula>"Precontentieux"</formula>
    </cfRule>
    <cfRule type="cellIs" priority="85" operator="equal" dxfId="1">
      <formula>"En attente election"</formula>
    </cfRule>
    <cfRule type="cellIs" priority="86" operator="equal" dxfId="1">
      <formula>"Classe"</formula>
    </cfRule>
    <cfRule type="cellIs" priority="87" operator="equal" dxfId="2">
      <formula>"Expire"</formula>
    </cfRule>
    <cfRule type="cellIs" priority="88" operator="equal" dxfId="2">
      <formula>"Rejete"</formula>
    </cfRule>
    <cfRule type="cellIs" priority="89" operator="equal" dxfId="2">
      <formula>"Rejetee"</formula>
    </cfRule>
    <cfRule type="cellIs" priority="90" operator="equal" dxfId="2">
      <formula>"Resilie"</formula>
    </cfRule>
    <cfRule type="cellIs" priority="91" operator="equal" dxfId="2">
      <formula>"Annule"</formula>
    </cfRule>
    <cfRule type="cellIs" priority="92" operator="equal" dxfId="2">
      <formula>"Annulee"</formula>
    </cfRule>
    <cfRule type="cellIs" priority="93" operator="equal" dxfId="2">
      <formula>"Refuse"</formula>
    </cfRule>
    <cfRule type="cellIs" priority="94" operator="equal" dxfId="2">
      <formula>"Non justifie"</formula>
    </cfRule>
    <cfRule type="cellIs" priority="95" operator="equal" dxfId="2">
      <formula>"Non justifiee"</formula>
    </cfRule>
    <cfRule type="cellIs" priority="96" operator="equal" dxfId="2">
      <formula>"Sanctionne"</formula>
    </cfRule>
    <cfRule type="cellIs" priority="97" operator="equal" dxfId="2">
      <formula>"Inaptitude"</formula>
    </cfRule>
    <cfRule type="cellIs" priority="98" operator="equal" dxfId="2">
      <formula>"Absent sans autorisation"</formula>
    </cfRule>
    <cfRule type="cellIs" priority="99" operator="equal" dxfId="2">
      <formula>"Abandon de poste"</formula>
    </cfRule>
    <cfRule type="cellIs" priority="100" operator="equal" dxfId="2">
      <formula>"Non satisfait"</formula>
    </cfRule>
    <cfRule type="cellIs" priority="101" operator="equal" dxfId="2">
      <formula>"Reportee"</formula>
    </cfRule>
    <cfRule type="cellIs" priority="102" operator="equal" dxfId="2">
      <formula>"Depasse"</formula>
    </cfRule>
    <cfRule type="cellIs" priority="103" operator="equal" dxfId="2">
      <formula>"Non utilise"</formula>
    </cfRule>
    <cfRule type="cellIs" priority="104" operator="equal" dxfId="2">
      <formula>"Non applicable"</formula>
    </cfRule>
    <cfRule type="cellIs" priority="105" operator="equal" dxfId="2">
      <formula>"Debutant"</formula>
    </cfRule>
    <cfRule type="cellIs" priority="106" operator="equal" dxfId="2">
      <formula>"Non atteint"</formula>
    </cfRule>
    <cfRule type="cellIs" priority="107" operator="equal" dxfId="2">
      <formula>"Abandonne"</formula>
    </cfRule>
    <cfRule type="cellIs" priority="108" operator="equal" dxfId="2">
      <formula>"Rupture essai"</formula>
    </cfRule>
    <cfRule type="cellIs" priority="109" operator="equal" dxfId="2">
      <formula>"Insuffisant"</formula>
    </cfRule>
    <cfRule type="cellIs" priority="110" operator="equal" dxfId="2">
      <formula>"Moyen"</formula>
    </cfRule>
    <cfRule type="cellIs" priority="111" operator="equal" dxfId="2">
      <formula>"E - Insuffisant"</formula>
    </cfRule>
    <cfRule type="cellIs" priority="112" operator="equal" dxfId="2">
      <formula>"Dissous"</formula>
    </cfRule>
    <cfRule type="cellIs" priority="113" operator="equal" dxfId="2">
      <formula>"Denonce"</formula>
    </cfRule>
    <cfRule type="cellIs" priority="114" operator="equal" dxfId="2">
      <formula>"Echoue"</formula>
    </cfRule>
    <cfRule type="cellIs" priority="115" operator="equal" dxfId="2">
      <formula>"Echouee"</formula>
    </cfRule>
    <cfRule type="cellIs" priority="116" operator="equal" dxfId="2">
      <formula>"Revoque"</formula>
    </cfRule>
    <cfRule type="cellIs" priority="117" operator="equal" dxfId="2">
      <formula>"Demissionnaire"</formula>
    </cfRule>
    <cfRule type="cellIs" priority="118" operator="equal" dxfId="2">
      <formula>"Licenciement pour faute"</formula>
    </cfRule>
    <cfRule type="cellIs" priority="119" operator="equal" dxfId="2">
      <formula>"Licenciement pour faute grave"</formula>
    </cfRule>
    <cfRule type="cellIs" priority="120" operator="equal" dxfId="2">
      <formula>"Terminee - Echec"</formula>
    </cfRule>
    <cfRule type="cellIs" priority="121" operator="equal" dxfId="2">
      <formula>"Abandonnee"</formula>
    </cfRule>
    <cfRule type="cellIs" priority="122" operator="equal" dxfId="2">
      <formula>"Violence physique"</formula>
    </cfRule>
    <cfRule type="cellIs" priority="123" operator="equal" dxfId="2">
      <formula>"Violence verbale"</formula>
    </cfRule>
  </conditionalFormatting>
  <conditionalFormatting sqref="B9:B108">
    <cfRule type="expression" priority="124" dxfId="3">
      <formula>AND($C9="",$C8&lt;&gt;"")</formula>
    </cfRule>
  </conditionalFormatting>
  <conditionalFormatting sqref="C9:C108">
    <cfRule type="expression" priority="125" dxfId="3">
      <formula>AND($C9="",$C8&lt;&gt;"")</formula>
    </cfRule>
  </conditionalFormatting>
  <conditionalFormatting sqref="D9:D108">
    <cfRule type="expression" priority="126" dxfId="3">
      <formula>AND($C9="",$C8&lt;&gt;"")</formula>
    </cfRule>
  </conditionalFormatting>
  <conditionalFormatting sqref="E9:E108">
    <cfRule type="expression" priority="127" dxfId="3">
      <formula>AND($C9="",$C8&lt;&gt;"")</formula>
    </cfRule>
  </conditionalFormatting>
  <conditionalFormatting sqref="F9:F108">
    <cfRule type="expression" priority="128" dxfId="3">
      <formula>AND($C9="",$C8&lt;&gt;"")</formula>
    </cfRule>
  </conditionalFormatting>
  <conditionalFormatting sqref="G9:G108">
    <cfRule type="expression" priority="129" dxfId="3">
      <formula>AND($C9="",$C8&lt;&gt;"")</formula>
    </cfRule>
  </conditionalFormatting>
  <conditionalFormatting sqref="H9:H108">
    <cfRule type="expression" priority="130" dxfId="3">
      <formula>AND($C9="",$C8&lt;&gt;"")</formula>
    </cfRule>
  </conditionalFormatting>
  <conditionalFormatting sqref="I9:I108">
    <cfRule type="expression" priority="131" dxfId="3">
      <formula>AND($C9="",$C8&lt;&gt;"")</formula>
    </cfRule>
  </conditionalFormatting>
  <conditionalFormatting sqref="J9:J108">
    <cfRule type="expression" priority="132" dxfId="3">
      <formula>AND($C9="",$C8&lt;&gt;"")</formula>
    </cfRule>
  </conditionalFormatting>
  <conditionalFormatting sqref="K9:K108">
    <cfRule type="expression" priority="133" dxfId="3">
      <formula>AND($C9="",$C8&lt;&gt;"")</formula>
    </cfRule>
  </conditionalFormatting>
  <conditionalFormatting sqref="L9:L108">
    <cfRule type="expression" priority="134" dxfId="3">
      <formula>AND($C9="",$C8&lt;&gt;"")</formula>
    </cfRule>
  </conditionalFormatting>
  <conditionalFormatting sqref="M9:M108">
    <cfRule type="expression" priority="135" dxfId="3">
      <formula>AND($C9="",$C8&lt;&gt;"")</formula>
    </cfRule>
  </conditionalFormatting>
  <conditionalFormatting sqref="N9:N108">
    <cfRule type="expression" priority="136" dxfId="3">
      <formula>AND($C9="",$C8&lt;&gt;"")</formula>
    </cfRule>
  </conditionalFormatting>
  <dataValidations count="5">
    <dataValidation sqref="E5:E108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8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G5:G108" showDropDown="0" showInputMessage="0" showErrorMessage="0" allowBlank="1" errorTitle="Erreur" error="Valeur invalide" promptTitle="Liste" prompt="Choisir dans la liste" type="list">
      <formula1>'_Lists'!$S$2:$S$13</formula1>
    </dataValidation>
    <dataValidation sqref="K5:K108" showDropDown="0" showInputMessage="0" showErrorMessage="0" allowBlank="1" errorTitle="Erreur" error="Valeur invalide" promptTitle="Liste" prompt="Choisir dans la liste" type="list">
      <formula1>'_Lists'!$T$2:$T$9</formula1>
    </dataValidation>
    <dataValidation sqref="N5:N108" showDropDown="0" showInputMessage="0" showErrorMessage="0" allowBlank="1" errorTitle="Erreur" error="Valeur invalide" promptTitle="Liste" prompt="Choisir dans la liste" type="list">
      <formula1>'_Lists'!$U$2:$U$8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L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4" customWidth="1" min="4" max="4"/>
    <col width="28" customWidth="1" min="5" max="5"/>
    <col width="26" customWidth="1" min="6" max="6"/>
    <col width="14" customWidth="1" min="7" max="7"/>
    <col width="24" customWidth="1" min="8" max="8"/>
    <col width="14" customWidth="1" min="9" max="9"/>
    <col width="16" customWidth="1" min="10" max="10"/>
    <col width="32" customWidth="1" min="11" max="11"/>
    <col width="20" customWidth="1" min="12" max="12"/>
  </cols>
  <sheetData>
    <row r="1" ht="15" customHeight="1"/>
    <row r="2" ht="32" customHeight="1">
      <c r="B2" s="1" t="inlineStr">
        <is>
          <t>MEDIATION &amp; ARBITRAGE (#95)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Type Mediation</t>
        </is>
      </c>
      <c r="D4" s="10" t="inlineStr">
        <is>
          <t>Partie 1 (Employe)</t>
        </is>
      </c>
      <c r="E4" s="10" t="inlineStr">
        <is>
          <t>Partie 2 (Employeur/autre)</t>
        </is>
      </c>
      <c r="F4" s="10" t="inlineStr">
        <is>
          <t>Objet du Litige</t>
        </is>
      </c>
      <c r="G4" s="10" t="inlineStr">
        <is>
          <t>Date Saisine</t>
        </is>
      </c>
      <c r="H4" s="10" t="inlineStr">
        <is>
          <t>Mediateur / Instance</t>
        </is>
      </c>
      <c r="I4" s="10" t="inlineStr">
        <is>
          <t>Nb Sessions</t>
        </is>
      </c>
      <c r="J4" s="10" t="inlineStr">
        <is>
          <t>Date Resolution</t>
        </is>
      </c>
      <c r="K4" s="10" t="inlineStr">
        <is>
          <t>Issue</t>
        </is>
      </c>
      <c r="L4" s="10" t="inlineStr">
        <is>
          <t>Statut</t>
        </is>
      </c>
    </row>
    <row r="5" ht="22" customHeight="1">
      <c r="B5" s="11" t="inlineStr">
        <is>
          <t>MED-001</t>
        </is>
      </c>
      <c r="C5" s="11" t="inlineStr">
        <is>
          <t>Mediation interne RH</t>
        </is>
      </c>
      <c r="D5" s="11" t="inlineStr">
        <is>
          <t>Ngo Linda</t>
        </is>
      </c>
      <c r="E5" s="11" t="inlineStr">
        <is>
          <t>Chef Service Client</t>
        </is>
      </c>
      <c r="F5" s="11" t="inlineStr">
        <is>
          <t>Harcelement allege</t>
        </is>
      </c>
      <c r="G5" s="28" t="n">
        <v>45792</v>
      </c>
      <c r="H5" s="11" t="inlineStr">
        <is>
          <t>DRH Nganou</t>
        </is>
      </c>
      <c r="I5" s="13" t="n">
        <v>3</v>
      </c>
      <c r="J5" s="28" t="n">
        <v>45818</v>
      </c>
      <c r="K5" s="11" t="inlineStr">
        <is>
          <t>Accord amiable - changement N+1</t>
        </is>
      </c>
      <c r="L5" s="11" t="inlineStr">
        <is>
          <t>Terminee - Accord</t>
        </is>
      </c>
    </row>
    <row r="6" ht="22" customHeight="1">
      <c r="B6" s="14" t="inlineStr">
        <is>
          <t>MED-002</t>
        </is>
      </c>
      <c r="C6" s="14" t="inlineStr">
        <is>
          <t>Mediation par CSE</t>
        </is>
      </c>
      <c r="D6" s="14" t="inlineStr">
        <is>
          <t>Equipe cuisine (8 pers.)</t>
        </is>
      </c>
      <c r="E6" s="14" t="inlineStr">
        <is>
          <t>Direction</t>
        </is>
      </c>
      <c r="F6" s="14" t="inlineStr">
        <is>
          <t>Conditions securite cuisine</t>
        </is>
      </c>
      <c r="G6" s="29" t="n">
        <v>45809</v>
      </c>
      <c r="H6" s="14" t="inlineStr">
        <is>
          <t>DP Koffi Amevi</t>
        </is>
      </c>
      <c r="I6" s="16" t="n">
        <v>2</v>
      </c>
      <c r="J6" s="29" t="n"/>
      <c r="K6" s="14" t="inlineStr"/>
      <c r="L6" s="14" t="inlineStr">
        <is>
          <t>En cours</t>
        </is>
      </c>
    </row>
    <row r="7" ht="22" customHeight="1">
      <c r="B7" s="11" t="inlineStr">
        <is>
          <t>MED-003</t>
        </is>
      </c>
      <c r="C7" s="11" t="inlineStr">
        <is>
          <t>Conciliation inspecteur travail</t>
        </is>
      </c>
      <c r="D7" s="11" t="inlineStr">
        <is>
          <t>Kane Adama</t>
        </is>
      </c>
      <c r="E7" s="11" t="inlineStr">
        <is>
          <t>Direction</t>
        </is>
      </c>
      <c r="F7" s="11" t="inlineStr">
        <is>
          <t>Mise a pied contestee</t>
        </is>
      </c>
      <c r="G7" s="28" t="n">
        <v>45836</v>
      </c>
      <c r="H7" s="11" t="inlineStr">
        <is>
          <t>Inspecteur travail</t>
        </is>
      </c>
      <c r="I7" s="13" t="n">
        <v>1</v>
      </c>
      <c r="J7" s="28" t="n"/>
      <c r="K7" s="11" t="inlineStr"/>
      <c r="L7" s="11" t="inlineStr">
        <is>
          <t>Saisie</t>
        </is>
      </c>
    </row>
    <row r="8" ht="22" customHeight="1">
      <c r="B8" s="14" t="inlineStr">
        <is>
          <t>MED-004</t>
        </is>
      </c>
      <c r="C8" s="14" t="inlineStr">
        <is>
          <t>Mediation interne RH</t>
        </is>
      </c>
      <c r="D8" s="14" t="inlineStr">
        <is>
          <t>Tchouanku Marc</t>
        </is>
      </c>
      <c r="E8" s="14" t="inlineStr">
        <is>
          <t>Chef Reception</t>
        </is>
      </c>
      <c r="F8" s="14" t="inlineStr">
        <is>
          <t>Report conges non justifie</t>
        </is>
      </c>
      <c r="G8" s="29" t="n">
        <v>45813</v>
      </c>
      <c r="H8" s="14" t="inlineStr">
        <is>
          <t>Assistante RH</t>
        </is>
      </c>
      <c r="I8" s="16" t="n">
        <v>1</v>
      </c>
      <c r="J8" s="29" t="n">
        <v>45816</v>
      </c>
      <c r="K8" s="14" t="inlineStr">
        <is>
          <t>Conces recule - conges accordes</t>
        </is>
      </c>
      <c r="L8" s="14" t="inlineStr">
        <is>
          <t>Terminee - Accord</t>
        </is>
      </c>
    </row>
    <row r="9" ht="22" customHeight="1">
      <c r="B9" s="18">
        <f>IF(C9="","MED-"&amp;TEXT(COUNTA($C$5:C9),"000"))</f>
        <v/>
      </c>
      <c r="C9" s="11" t="n"/>
      <c r="D9" s="11" t="n"/>
      <c r="E9" s="11" t="n"/>
      <c r="F9" s="11" t="n"/>
      <c r="G9" s="28" t="n"/>
      <c r="H9" s="11" t="n"/>
      <c r="I9" s="13" t="n"/>
      <c r="J9" s="28" t="n"/>
      <c r="K9" s="11" t="n"/>
      <c r="L9" s="11" t="n"/>
    </row>
    <row r="10" ht="22" customHeight="1">
      <c r="B10" s="17">
        <f>IF(C10="","MED-"&amp;TEXT(COUNTA($C$5:C10),"000"))</f>
        <v/>
      </c>
      <c r="C10" s="14" t="n"/>
      <c r="D10" s="14" t="n"/>
      <c r="E10" s="14" t="n"/>
      <c r="F10" s="14" t="n"/>
      <c r="G10" s="29" t="n"/>
      <c r="H10" s="14" t="n"/>
      <c r="I10" s="16" t="n"/>
      <c r="J10" s="29" t="n"/>
      <c r="K10" s="14" t="n"/>
      <c r="L10" s="14" t="n"/>
    </row>
    <row r="11" ht="22" customHeight="1">
      <c r="B11" s="18">
        <f>IF(C11="","MED-"&amp;TEXT(COUNTA($C$5:C11),"000"))</f>
        <v/>
      </c>
      <c r="C11" s="11" t="n"/>
      <c r="D11" s="11" t="n"/>
      <c r="E11" s="11" t="n"/>
      <c r="F11" s="11" t="n"/>
      <c r="G11" s="28" t="n"/>
      <c r="H11" s="11" t="n"/>
      <c r="I11" s="13" t="n"/>
      <c r="J11" s="28" t="n"/>
      <c r="K11" s="11" t="n"/>
      <c r="L11" s="11" t="n"/>
    </row>
    <row r="12" ht="22" customHeight="1">
      <c r="B12" s="17">
        <f>IF(C12="","MED-"&amp;TEXT(COUNTA($C$5:C12),"000"))</f>
        <v/>
      </c>
      <c r="C12" s="14" t="n"/>
      <c r="D12" s="14" t="n"/>
      <c r="E12" s="14" t="n"/>
      <c r="F12" s="14" t="n"/>
      <c r="G12" s="29" t="n"/>
      <c r="H12" s="14" t="n"/>
      <c r="I12" s="16" t="n"/>
      <c r="J12" s="29" t="n"/>
      <c r="K12" s="14" t="n"/>
      <c r="L12" s="14" t="n"/>
    </row>
    <row r="13" ht="22" customHeight="1">
      <c r="B13" s="18">
        <f>IF(C13="","MED-"&amp;TEXT(COUNTA($C$5:C13),"000"))</f>
        <v/>
      </c>
      <c r="C13" s="11" t="n"/>
      <c r="D13" s="11" t="n"/>
      <c r="E13" s="11" t="n"/>
      <c r="F13" s="11" t="n"/>
      <c r="G13" s="28" t="n"/>
      <c r="H13" s="11" t="n"/>
      <c r="I13" s="13" t="n"/>
      <c r="J13" s="28" t="n"/>
      <c r="K13" s="11" t="n"/>
      <c r="L13" s="11" t="n"/>
    </row>
    <row r="14" ht="22" customHeight="1">
      <c r="B14" s="17">
        <f>IF(C14="","MED-"&amp;TEXT(COUNTA($C$5:C14),"000"))</f>
        <v/>
      </c>
      <c r="C14" s="14" t="n"/>
      <c r="D14" s="14" t="n"/>
      <c r="E14" s="14" t="n"/>
      <c r="F14" s="14" t="n"/>
      <c r="G14" s="29" t="n"/>
      <c r="H14" s="14" t="n"/>
      <c r="I14" s="16" t="n"/>
      <c r="J14" s="29" t="n"/>
      <c r="K14" s="14" t="n"/>
      <c r="L14" s="14" t="n"/>
    </row>
    <row r="15" ht="22" customHeight="1">
      <c r="B15" s="18">
        <f>IF(C15="","MED-"&amp;TEXT(COUNTA($C$5:C15),"000"))</f>
        <v/>
      </c>
      <c r="C15" s="11" t="n"/>
      <c r="D15" s="11" t="n"/>
      <c r="E15" s="11" t="n"/>
      <c r="F15" s="11" t="n"/>
      <c r="G15" s="28" t="n"/>
      <c r="H15" s="11" t="n"/>
      <c r="I15" s="13" t="n"/>
      <c r="J15" s="28" t="n"/>
      <c r="K15" s="11" t="n"/>
      <c r="L15" s="11" t="n"/>
    </row>
    <row r="16" ht="22" customHeight="1">
      <c r="B16" s="17">
        <f>IF(C16="","MED-"&amp;TEXT(COUNTA($C$5:C16),"000"))</f>
        <v/>
      </c>
      <c r="C16" s="14" t="n"/>
      <c r="D16" s="14" t="n"/>
      <c r="E16" s="14" t="n"/>
      <c r="F16" s="14" t="n"/>
      <c r="G16" s="29" t="n"/>
      <c r="H16" s="14" t="n"/>
      <c r="I16" s="16" t="n"/>
      <c r="J16" s="29" t="n"/>
      <c r="K16" s="14" t="n"/>
      <c r="L16" s="14" t="n"/>
    </row>
    <row r="17" ht="22" customHeight="1">
      <c r="B17" s="18">
        <f>IF(C17="","MED-"&amp;TEXT(COUNTA($C$5:C17),"000"))</f>
        <v/>
      </c>
      <c r="C17" s="11" t="n"/>
      <c r="D17" s="11" t="n"/>
      <c r="E17" s="11" t="n"/>
      <c r="F17" s="11" t="n"/>
      <c r="G17" s="28" t="n"/>
      <c r="H17" s="11" t="n"/>
      <c r="I17" s="13" t="n"/>
      <c r="J17" s="28" t="n"/>
      <c r="K17" s="11" t="n"/>
      <c r="L17" s="11" t="n"/>
    </row>
    <row r="18" ht="22" customHeight="1">
      <c r="B18" s="17">
        <f>IF(C18="","MED-"&amp;TEXT(COUNTA($C$5:C18),"000"))</f>
        <v/>
      </c>
      <c r="C18" s="14" t="n"/>
      <c r="D18" s="14" t="n"/>
      <c r="E18" s="14" t="n"/>
      <c r="F18" s="14" t="n"/>
      <c r="G18" s="29" t="n"/>
      <c r="H18" s="14" t="n"/>
      <c r="I18" s="16" t="n"/>
      <c r="J18" s="29" t="n"/>
      <c r="K18" s="14" t="n"/>
      <c r="L18" s="14" t="n"/>
    </row>
    <row r="19" ht="22" customHeight="1">
      <c r="B19" s="18">
        <f>IF(C19="","MED-"&amp;TEXT(COUNTA($C$5:C19),"000"))</f>
        <v/>
      </c>
      <c r="C19" s="11" t="n"/>
      <c r="D19" s="11" t="n"/>
      <c r="E19" s="11" t="n"/>
      <c r="F19" s="11" t="n"/>
      <c r="G19" s="28" t="n"/>
      <c r="H19" s="11" t="n"/>
      <c r="I19" s="13" t="n"/>
      <c r="J19" s="28" t="n"/>
      <c r="K19" s="11" t="n"/>
      <c r="L19" s="11" t="n"/>
    </row>
    <row r="20" ht="22" customHeight="1">
      <c r="B20" s="17">
        <f>IF(C20="","MED-"&amp;TEXT(COUNTA($C$5:C20),"000"))</f>
        <v/>
      </c>
      <c r="C20" s="14" t="n"/>
      <c r="D20" s="14" t="n"/>
      <c r="E20" s="14" t="n"/>
      <c r="F20" s="14" t="n"/>
      <c r="G20" s="29" t="n"/>
      <c r="H20" s="14" t="n"/>
      <c r="I20" s="16" t="n"/>
      <c r="J20" s="29" t="n"/>
      <c r="K20" s="14" t="n"/>
      <c r="L20" s="14" t="n"/>
    </row>
    <row r="21" ht="22" customHeight="1">
      <c r="B21" s="18">
        <f>IF(C21="","MED-"&amp;TEXT(COUNTA($C$5:C21),"000"))</f>
        <v/>
      </c>
      <c r="C21" s="11" t="n"/>
      <c r="D21" s="11" t="n"/>
      <c r="E21" s="11" t="n"/>
      <c r="F21" s="11" t="n"/>
      <c r="G21" s="28" t="n"/>
      <c r="H21" s="11" t="n"/>
      <c r="I21" s="13" t="n"/>
      <c r="J21" s="28" t="n"/>
      <c r="K21" s="11" t="n"/>
      <c r="L21" s="11" t="n"/>
    </row>
    <row r="22" ht="22" customHeight="1">
      <c r="B22" s="17">
        <f>IF(C22="","MED-"&amp;TEXT(COUNTA($C$5:C22),"000"))</f>
        <v/>
      </c>
      <c r="C22" s="14" t="n"/>
      <c r="D22" s="14" t="n"/>
      <c r="E22" s="14" t="n"/>
      <c r="F22" s="14" t="n"/>
      <c r="G22" s="29" t="n"/>
      <c r="H22" s="14" t="n"/>
      <c r="I22" s="16" t="n"/>
      <c r="J22" s="29" t="n"/>
      <c r="K22" s="14" t="n"/>
      <c r="L22" s="14" t="n"/>
    </row>
    <row r="23" ht="22" customHeight="1">
      <c r="B23" s="18">
        <f>IF(C23="","MED-"&amp;TEXT(COUNTA($C$5:C23),"000"))</f>
        <v/>
      </c>
      <c r="C23" s="11" t="n"/>
      <c r="D23" s="11" t="n"/>
      <c r="E23" s="11" t="n"/>
      <c r="F23" s="11" t="n"/>
      <c r="G23" s="28" t="n"/>
      <c r="H23" s="11" t="n"/>
      <c r="I23" s="13" t="n"/>
      <c r="J23" s="28" t="n"/>
      <c r="K23" s="11" t="n"/>
      <c r="L23" s="11" t="n"/>
    </row>
    <row r="24" ht="22" customHeight="1">
      <c r="B24" s="17">
        <f>IF(C24="","MED-"&amp;TEXT(COUNTA($C$5:C24),"000"))</f>
        <v/>
      </c>
      <c r="C24" s="14" t="n"/>
      <c r="D24" s="14" t="n"/>
      <c r="E24" s="14" t="n"/>
      <c r="F24" s="14" t="n"/>
      <c r="G24" s="29" t="n"/>
      <c r="H24" s="14" t="n"/>
      <c r="I24" s="16" t="n"/>
      <c r="J24" s="29" t="n"/>
      <c r="K24" s="14" t="n"/>
      <c r="L24" s="14" t="n"/>
    </row>
    <row r="25" ht="22" customHeight="1">
      <c r="B25" s="18">
        <f>IF(C25="","MED-"&amp;TEXT(COUNTA($C$5:C25),"000"))</f>
        <v/>
      </c>
      <c r="C25" s="11" t="n"/>
      <c r="D25" s="11" t="n"/>
      <c r="E25" s="11" t="n"/>
      <c r="F25" s="11" t="n"/>
      <c r="G25" s="28" t="n"/>
      <c r="H25" s="11" t="n"/>
      <c r="I25" s="13" t="n"/>
      <c r="J25" s="28" t="n"/>
      <c r="K25" s="11" t="n"/>
      <c r="L25" s="11" t="n"/>
    </row>
    <row r="26" ht="22" customHeight="1">
      <c r="B26" s="17">
        <f>IF(C26="","MED-"&amp;TEXT(COUNTA($C$5:C26),"000"))</f>
        <v/>
      </c>
      <c r="C26" s="14" t="n"/>
      <c r="D26" s="14" t="n"/>
      <c r="E26" s="14" t="n"/>
      <c r="F26" s="14" t="n"/>
      <c r="G26" s="29" t="n"/>
      <c r="H26" s="14" t="n"/>
      <c r="I26" s="16" t="n"/>
      <c r="J26" s="29" t="n"/>
      <c r="K26" s="14" t="n"/>
      <c r="L26" s="14" t="n"/>
    </row>
    <row r="27" ht="22" customHeight="1">
      <c r="B27" s="18">
        <f>IF(C27="","MED-"&amp;TEXT(COUNTA($C$5:C27),"000"))</f>
        <v/>
      </c>
      <c r="C27" s="11" t="n"/>
      <c r="D27" s="11" t="n"/>
      <c r="E27" s="11" t="n"/>
      <c r="F27" s="11" t="n"/>
      <c r="G27" s="28" t="n"/>
      <c r="H27" s="11" t="n"/>
      <c r="I27" s="13" t="n"/>
      <c r="J27" s="28" t="n"/>
      <c r="K27" s="11" t="n"/>
      <c r="L27" s="11" t="n"/>
    </row>
    <row r="28" ht="22" customHeight="1">
      <c r="B28" s="17">
        <f>IF(C28="","MED-"&amp;TEXT(COUNTA($C$5:C28),"000"))</f>
        <v/>
      </c>
      <c r="C28" s="14" t="n"/>
      <c r="D28" s="14" t="n"/>
      <c r="E28" s="14" t="n"/>
      <c r="F28" s="14" t="n"/>
      <c r="G28" s="29" t="n"/>
      <c r="H28" s="14" t="n"/>
      <c r="I28" s="16" t="n"/>
      <c r="J28" s="29" t="n"/>
      <c r="K28" s="14" t="n"/>
      <c r="L28" s="14" t="n"/>
    </row>
    <row r="29" ht="22" customHeight="1">
      <c r="B29" s="18">
        <f>IF(C29="","MED-"&amp;TEXT(COUNTA($C$5:C29),"000"))</f>
        <v/>
      </c>
      <c r="C29" s="11" t="n"/>
      <c r="D29" s="11" t="n"/>
      <c r="E29" s="11" t="n"/>
      <c r="F29" s="11" t="n"/>
      <c r="G29" s="28" t="n"/>
      <c r="H29" s="11" t="n"/>
      <c r="I29" s="13" t="n"/>
      <c r="J29" s="28" t="n"/>
      <c r="K29" s="11" t="n"/>
      <c r="L29" s="11" t="n"/>
    </row>
    <row r="30" ht="22" customHeight="1">
      <c r="B30" s="17">
        <f>IF(C30="","MED-"&amp;TEXT(COUNTA($C$5:C30),"000"))</f>
        <v/>
      </c>
      <c r="C30" s="14" t="n"/>
      <c r="D30" s="14" t="n"/>
      <c r="E30" s="14" t="n"/>
      <c r="F30" s="14" t="n"/>
      <c r="G30" s="29" t="n"/>
      <c r="H30" s="14" t="n"/>
      <c r="I30" s="16" t="n"/>
      <c r="J30" s="29" t="n"/>
      <c r="K30" s="14" t="n"/>
      <c r="L30" s="14" t="n"/>
    </row>
    <row r="31" ht="22" customHeight="1">
      <c r="B31" s="18">
        <f>IF(C31="","MED-"&amp;TEXT(COUNTA($C$5:C31),"000"))</f>
        <v/>
      </c>
      <c r="C31" s="11" t="n"/>
      <c r="D31" s="11" t="n"/>
      <c r="E31" s="11" t="n"/>
      <c r="F31" s="11" t="n"/>
      <c r="G31" s="28" t="n"/>
      <c r="H31" s="11" t="n"/>
      <c r="I31" s="13" t="n"/>
      <c r="J31" s="28" t="n"/>
      <c r="K31" s="11" t="n"/>
      <c r="L31" s="11" t="n"/>
    </row>
    <row r="32" ht="22" customHeight="1">
      <c r="B32" s="17">
        <f>IF(C32="","MED-"&amp;TEXT(COUNTA($C$5:C32),"000"))</f>
        <v/>
      </c>
      <c r="C32" s="14" t="n"/>
      <c r="D32" s="14" t="n"/>
      <c r="E32" s="14" t="n"/>
      <c r="F32" s="14" t="n"/>
      <c r="G32" s="29" t="n"/>
      <c r="H32" s="14" t="n"/>
      <c r="I32" s="16" t="n"/>
      <c r="J32" s="29" t="n"/>
      <c r="K32" s="14" t="n"/>
      <c r="L32" s="14" t="n"/>
    </row>
    <row r="33" ht="22" customHeight="1">
      <c r="B33" s="18">
        <f>IF(C33="","MED-"&amp;TEXT(COUNTA($C$5:C33),"000"))</f>
        <v/>
      </c>
      <c r="C33" s="11" t="n"/>
      <c r="D33" s="11" t="n"/>
      <c r="E33" s="11" t="n"/>
      <c r="F33" s="11" t="n"/>
      <c r="G33" s="28" t="n"/>
      <c r="H33" s="11" t="n"/>
      <c r="I33" s="13" t="n"/>
      <c r="J33" s="28" t="n"/>
      <c r="K33" s="11" t="n"/>
      <c r="L33" s="11" t="n"/>
    </row>
    <row r="34" ht="22" customHeight="1">
      <c r="B34" s="17">
        <f>IF(C34="","MED-"&amp;TEXT(COUNTA($C$5:C34),"000"))</f>
        <v/>
      </c>
      <c r="C34" s="14" t="n"/>
      <c r="D34" s="14" t="n"/>
      <c r="E34" s="14" t="n"/>
      <c r="F34" s="14" t="n"/>
      <c r="G34" s="29" t="n"/>
      <c r="H34" s="14" t="n"/>
      <c r="I34" s="16" t="n"/>
      <c r="J34" s="29" t="n"/>
      <c r="K34" s="14" t="n"/>
      <c r="L34" s="14" t="n"/>
    </row>
    <row r="35" ht="22" customHeight="1">
      <c r="B35" s="18">
        <f>IF(C35="","MED-"&amp;TEXT(COUNTA($C$5:C35),"000"))</f>
        <v/>
      </c>
      <c r="C35" s="11" t="n"/>
      <c r="D35" s="11" t="n"/>
      <c r="E35" s="11" t="n"/>
      <c r="F35" s="11" t="n"/>
      <c r="G35" s="28" t="n"/>
      <c r="H35" s="11" t="n"/>
      <c r="I35" s="13" t="n"/>
      <c r="J35" s="28" t="n"/>
      <c r="K35" s="11" t="n"/>
      <c r="L35" s="11" t="n"/>
    </row>
    <row r="36" ht="22" customHeight="1">
      <c r="B36" s="17">
        <f>IF(C36="","MED-"&amp;TEXT(COUNTA($C$5:C36),"000"))</f>
        <v/>
      </c>
      <c r="C36" s="14" t="n"/>
      <c r="D36" s="14" t="n"/>
      <c r="E36" s="14" t="n"/>
      <c r="F36" s="14" t="n"/>
      <c r="G36" s="29" t="n"/>
      <c r="H36" s="14" t="n"/>
      <c r="I36" s="16" t="n"/>
      <c r="J36" s="29" t="n"/>
      <c r="K36" s="14" t="n"/>
      <c r="L36" s="14" t="n"/>
    </row>
    <row r="37" ht="22" customHeight="1">
      <c r="B37" s="18">
        <f>IF(C37="","MED-"&amp;TEXT(COUNTA($C$5:C37),"000"))</f>
        <v/>
      </c>
      <c r="C37" s="11" t="n"/>
      <c r="D37" s="11" t="n"/>
      <c r="E37" s="11" t="n"/>
      <c r="F37" s="11" t="n"/>
      <c r="G37" s="28" t="n"/>
      <c r="H37" s="11" t="n"/>
      <c r="I37" s="13" t="n"/>
      <c r="J37" s="28" t="n"/>
      <c r="K37" s="11" t="n"/>
      <c r="L37" s="11" t="n"/>
    </row>
    <row r="38" ht="22" customHeight="1">
      <c r="B38" s="17">
        <f>IF(C38="","MED-"&amp;TEXT(COUNTA($C$5:C38),"000"))</f>
        <v/>
      </c>
      <c r="C38" s="14" t="n"/>
      <c r="D38" s="14" t="n"/>
      <c r="E38" s="14" t="n"/>
      <c r="F38" s="14" t="n"/>
      <c r="G38" s="29" t="n"/>
      <c r="H38" s="14" t="n"/>
      <c r="I38" s="16" t="n"/>
      <c r="J38" s="29" t="n"/>
      <c r="K38" s="14" t="n"/>
      <c r="L38" s="14" t="n"/>
    </row>
    <row r="39" ht="22" customHeight="1">
      <c r="B39" s="18">
        <f>IF(C39="","MED-"&amp;TEXT(COUNTA($C$5:C39),"000"))</f>
        <v/>
      </c>
      <c r="C39" s="11" t="n"/>
      <c r="D39" s="11" t="n"/>
      <c r="E39" s="11" t="n"/>
      <c r="F39" s="11" t="n"/>
      <c r="G39" s="28" t="n"/>
      <c r="H39" s="11" t="n"/>
      <c r="I39" s="13" t="n"/>
      <c r="J39" s="28" t="n"/>
      <c r="K39" s="11" t="n"/>
      <c r="L39" s="11" t="n"/>
    </row>
    <row r="40" ht="22" customHeight="1">
      <c r="B40" s="17">
        <f>IF(C40="","MED-"&amp;TEXT(COUNTA($C$5:C40),"000"))</f>
        <v/>
      </c>
      <c r="C40" s="14" t="n"/>
      <c r="D40" s="14" t="n"/>
      <c r="E40" s="14" t="n"/>
      <c r="F40" s="14" t="n"/>
      <c r="G40" s="29" t="n"/>
      <c r="H40" s="14" t="n"/>
      <c r="I40" s="16" t="n"/>
      <c r="J40" s="29" t="n"/>
      <c r="K40" s="14" t="n"/>
      <c r="L40" s="14" t="n"/>
    </row>
    <row r="41" ht="22" customHeight="1">
      <c r="B41" s="18">
        <f>IF(C41="","MED-"&amp;TEXT(COUNTA($C$5:C41),"000"))</f>
        <v/>
      </c>
      <c r="C41" s="11" t="n"/>
      <c r="D41" s="11" t="n"/>
      <c r="E41" s="11" t="n"/>
      <c r="F41" s="11" t="n"/>
      <c r="G41" s="28" t="n"/>
      <c r="H41" s="11" t="n"/>
      <c r="I41" s="13" t="n"/>
      <c r="J41" s="28" t="n"/>
      <c r="K41" s="11" t="n"/>
      <c r="L41" s="11" t="n"/>
    </row>
    <row r="42" ht="22" customHeight="1">
      <c r="B42" s="17">
        <f>IF(C42="","MED-"&amp;TEXT(COUNTA($C$5:C42),"000"))</f>
        <v/>
      </c>
      <c r="C42" s="14" t="n"/>
      <c r="D42" s="14" t="n"/>
      <c r="E42" s="14" t="n"/>
      <c r="F42" s="14" t="n"/>
      <c r="G42" s="29" t="n"/>
      <c r="H42" s="14" t="n"/>
      <c r="I42" s="16" t="n"/>
      <c r="J42" s="29" t="n"/>
      <c r="K42" s="14" t="n"/>
      <c r="L42" s="14" t="n"/>
    </row>
    <row r="43" ht="22" customHeight="1">
      <c r="B43" s="18">
        <f>IF(C43="","MED-"&amp;TEXT(COUNTA($C$5:C43),"000"))</f>
        <v/>
      </c>
      <c r="C43" s="11" t="n"/>
      <c r="D43" s="11" t="n"/>
      <c r="E43" s="11" t="n"/>
      <c r="F43" s="11" t="n"/>
      <c r="G43" s="28" t="n"/>
      <c r="H43" s="11" t="n"/>
      <c r="I43" s="13" t="n"/>
      <c r="J43" s="28" t="n"/>
      <c r="K43" s="11" t="n"/>
      <c r="L43" s="11" t="n"/>
    </row>
    <row r="44" ht="22" customHeight="1">
      <c r="B44" s="17">
        <f>IF(C44="","MED-"&amp;TEXT(COUNTA($C$5:C44),"000"))</f>
        <v/>
      </c>
      <c r="C44" s="14" t="n"/>
      <c r="D44" s="14" t="n"/>
      <c r="E44" s="14" t="n"/>
      <c r="F44" s="14" t="n"/>
      <c r="G44" s="29" t="n"/>
      <c r="H44" s="14" t="n"/>
      <c r="I44" s="16" t="n"/>
      <c r="J44" s="29" t="n"/>
      <c r="K44" s="14" t="n"/>
      <c r="L44" s="14" t="n"/>
    </row>
    <row r="45" ht="22" customHeight="1">
      <c r="B45" s="18">
        <f>IF(C45="","MED-"&amp;TEXT(COUNTA($C$5:C45),"000"))</f>
        <v/>
      </c>
      <c r="C45" s="11" t="n"/>
      <c r="D45" s="11" t="n"/>
      <c r="E45" s="11" t="n"/>
      <c r="F45" s="11" t="n"/>
      <c r="G45" s="28" t="n"/>
      <c r="H45" s="11" t="n"/>
      <c r="I45" s="13" t="n"/>
      <c r="J45" s="28" t="n"/>
      <c r="K45" s="11" t="n"/>
      <c r="L45" s="11" t="n"/>
    </row>
    <row r="46" ht="22" customHeight="1">
      <c r="B46" s="17">
        <f>IF(C46="","MED-"&amp;TEXT(COUNTA($C$5:C46),"000"))</f>
        <v/>
      </c>
      <c r="C46" s="14" t="n"/>
      <c r="D46" s="14" t="n"/>
      <c r="E46" s="14" t="n"/>
      <c r="F46" s="14" t="n"/>
      <c r="G46" s="29" t="n"/>
      <c r="H46" s="14" t="n"/>
      <c r="I46" s="16" t="n"/>
      <c r="J46" s="29" t="n"/>
      <c r="K46" s="14" t="n"/>
      <c r="L46" s="14" t="n"/>
    </row>
    <row r="47" ht="22" customHeight="1">
      <c r="B47" s="18">
        <f>IF(C47="","MED-"&amp;TEXT(COUNTA($C$5:C47),"000"))</f>
        <v/>
      </c>
      <c r="C47" s="11" t="n"/>
      <c r="D47" s="11" t="n"/>
      <c r="E47" s="11" t="n"/>
      <c r="F47" s="11" t="n"/>
      <c r="G47" s="28" t="n"/>
      <c r="H47" s="11" t="n"/>
      <c r="I47" s="13" t="n"/>
      <c r="J47" s="28" t="n"/>
      <c r="K47" s="11" t="n"/>
      <c r="L47" s="11" t="n"/>
    </row>
    <row r="48" ht="22" customHeight="1">
      <c r="B48" s="17">
        <f>IF(C48="","MED-"&amp;TEXT(COUNTA($C$5:C48),"000"))</f>
        <v/>
      </c>
      <c r="C48" s="14" t="n"/>
      <c r="D48" s="14" t="n"/>
      <c r="E48" s="14" t="n"/>
      <c r="F48" s="14" t="n"/>
      <c r="G48" s="29" t="n"/>
      <c r="H48" s="14" t="n"/>
      <c r="I48" s="16" t="n"/>
      <c r="J48" s="29" t="n"/>
      <c r="K48" s="14" t="n"/>
      <c r="L48" s="14" t="n"/>
    </row>
    <row r="49" ht="22" customHeight="1">
      <c r="B49" s="18">
        <f>IF(C49="","MED-"&amp;TEXT(COUNTA($C$5:C49),"000"))</f>
        <v/>
      </c>
      <c r="C49" s="11" t="n"/>
      <c r="D49" s="11" t="n"/>
      <c r="E49" s="11" t="n"/>
      <c r="F49" s="11" t="n"/>
      <c r="G49" s="28" t="n"/>
      <c r="H49" s="11" t="n"/>
      <c r="I49" s="13" t="n"/>
      <c r="J49" s="28" t="n"/>
      <c r="K49" s="11" t="n"/>
      <c r="L49" s="11" t="n"/>
    </row>
    <row r="50" ht="22" customHeight="1">
      <c r="B50" s="17">
        <f>IF(C50="","MED-"&amp;TEXT(COUNTA($C$5:C50),"000"))</f>
        <v/>
      </c>
      <c r="C50" s="14" t="n"/>
      <c r="D50" s="14" t="n"/>
      <c r="E50" s="14" t="n"/>
      <c r="F50" s="14" t="n"/>
      <c r="G50" s="29" t="n"/>
      <c r="H50" s="14" t="n"/>
      <c r="I50" s="16" t="n"/>
      <c r="J50" s="29" t="n"/>
      <c r="K50" s="14" t="n"/>
      <c r="L50" s="14" t="n"/>
    </row>
    <row r="51" ht="22" customHeight="1">
      <c r="B51" s="18">
        <f>IF(C51="","MED-"&amp;TEXT(COUNTA($C$5:C51),"000"))</f>
        <v/>
      </c>
      <c r="C51" s="11" t="n"/>
      <c r="D51" s="11" t="n"/>
      <c r="E51" s="11" t="n"/>
      <c r="F51" s="11" t="n"/>
      <c r="G51" s="28" t="n"/>
      <c r="H51" s="11" t="n"/>
      <c r="I51" s="13" t="n"/>
      <c r="J51" s="28" t="n"/>
      <c r="K51" s="11" t="n"/>
      <c r="L51" s="11" t="n"/>
    </row>
    <row r="52" ht="22" customHeight="1">
      <c r="B52" s="17">
        <f>IF(C52="","MED-"&amp;TEXT(COUNTA($C$5:C52),"000"))</f>
        <v/>
      </c>
      <c r="C52" s="14" t="n"/>
      <c r="D52" s="14" t="n"/>
      <c r="E52" s="14" t="n"/>
      <c r="F52" s="14" t="n"/>
      <c r="G52" s="29" t="n"/>
      <c r="H52" s="14" t="n"/>
      <c r="I52" s="16" t="n"/>
      <c r="J52" s="29" t="n"/>
      <c r="K52" s="14" t="n"/>
      <c r="L52" s="14" t="n"/>
    </row>
    <row r="53" ht="22" customHeight="1">
      <c r="B53" s="18">
        <f>IF(C53="","MED-"&amp;TEXT(COUNTA($C$5:C53),"000"))</f>
        <v/>
      </c>
      <c r="C53" s="11" t="n"/>
      <c r="D53" s="11" t="n"/>
      <c r="E53" s="11" t="n"/>
      <c r="F53" s="11" t="n"/>
      <c r="G53" s="28" t="n"/>
      <c r="H53" s="11" t="n"/>
      <c r="I53" s="13" t="n"/>
      <c r="J53" s="28" t="n"/>
      <c r="K53" s="11" t="n"/>
      <c r="L53" s="11" t="n"/>
    </row>
    <row r="54" ht="22" customHeight="1">
      <c r="B54" s="17">
        <f>IF(C54="","MED-"&amp;TEXT(COUNTA($C$5:C54),"000"))</f>
        <v/>
      </c>
      <c r="C54" s="14" t="n"/>
      <c r="D54" s="14" t="n"/>
      <c r="E54" s="14" t="n"/>
      <c r="F54" s="14" t="n"/>
      <c r="G54" s="29" t="n"/>
      <c r="H54" s="14" t="n"/>
      <c r="I54" s="16" t="n"/>
      <c r="J54" s="29" t="n"/>
      <c r="K54" s="14" t="n"/>
      <c r="L54" s="14" t="n"/>
    </row>
    <row r="55" ht="22" customHeight="1">
      <c r="B55" s="18">
        <f>IF(C55="","MED-"&amp;TEXT(COUNTA($C$5:C55),"000"))</f>
        <v/>
      </c>
      <c r="C55" s="11" t="n"/>
      <c r="D55" s="11" t="n"/>
      <c r="E55" s="11" t="n"/>
      <c r="F55" s="11" t="n"/>
      <c r="G55" s="28" t="n"/>
      <c r="H55" s="11" t="n"/>
      <c r="I55" s="13" t="n"/>
      <c r="J55" s="28" t="n"/>
      <c r="K55" s="11" t="n"/>
      <c r="L55" s="11" t="n"/>
    </row>
    <row r="56" ht="22" customHeight="1">
      <c r="B56" s="17">
        <f>IF(C56="","MED-"&amp;TEXT(COUNTA($C$5:C56),"000"))</f>
        <v/>
      </c>
      <c r="C56" s="14" t="n"/>
      <c r="D56" s="14" t="n"/>
      <c r="E56" s="14" t="n"/>
      <c r="F56" s="14" t="n"/>
      <c r="G56" s="29" t="n"/>
      <c r="H56" s="14" t="n"/>
      <c r="I56" s="16" t="n"/>
      <c r="J56" s="29" t="n"/>
      <c r="K56" s="14" t="n"/>
      <c r="L56" s="14" t="n"/>
    </row>
    <row r="57" ht="22" customHeight="1">
      <c r="B57" s="18">
        <f>IF(C57="","MED-"&amp;TEXT(COUNTA($C$5:C57),"000"))</f>
        <v/>
      </c>
      <c r="C57" s="11" t="n"/>
      <c r="D57" s="11" t="n"/>
      <c r="E57" s="11" t="n"/>
      <c r="F57" s="11" t="n"/>
      <c r="G57" s="28" t="n"/>
      <c r="H57" s="11" t="n"/>
      <c r="I57" s="13" t="n"/>
      <c r="J57" s="28" t="n"/>
      <c r="K57" s="11" t="n"/>
      <c r="L57" s="11" t="n"/>
    </row>
    <row r="58" ht="22" customHeight="1">
      <c r="B58" s="17">
        <f>IF(C58="","MED-"&amp;TEXT(COUNTA($C$5:C58),"000"))</f>
        <v/>
      </c>
      <c r="C58" s="14" t="n"/>
      <c r="D58" s="14" t="n"/>
      <c r="E58" s="14" t="n"/>
      <c r="F58" s="14" t="n"/>
      <c r="G58" s="29" t="n"/>
      <c r="H58" s="14" t="n"/>
      <c r="I58" s="16" t="n"/>
      <c r="J58" s="29" t="n"/>
      <c r="K58" s="14" t="n"/>
      <c r="L58" s="14" t="n"/>
    </row>
    <row r="59" ht="22" customHeight="1">
      <c r="B59" s="18">
        <f>IF(C59="","MED-"&amp;TEXT(COUNTA($C$5:C59),"000"))</f>
        <v/>
      </c>
      <c r="C59" s="11" t="n"/>
      <c r="D59" s="11" t="n"/>
      <c r="E59" s="11" t="n"/>
      <c r="F59" s="11" t="n"/>
      <c r="G59" s="28" t="n"/>
      <c r="H59" s="11" t="n"/>
      <c r="I59" s="13" t="n"/>
      <c r="J59" s="28" t="n"/>
      <c r="K59" s="11" t="n"/>
      <c r="L59" s="11" t="n"/>
    </row>
    <row r="60" ht="22" customHeight="1">
      <c r="B60" s="17">
        <f>IF(C60="","MED-"&amp;TEXT(COUNTA($C$5:C60),"000"))</f>
        <v/>
      </c>
      <c r="C60" s="14" t="n"/>
      <c r="D60" s="14" t="n"/>
      <c r="E60" s="14" t="n"/>
      <c r="F60" s="14" t="n"/>
      <c r="G60" s="29" t="n"/>
      <c r="H60" s="14" t="n"/>
      <c r="I60" s="16" t="n"/>
      <c r="J60" s="29" t="n"/>
      <c r="K60" s="14" t="n"/>
      <c r="L60" s="14" t="n"/>
    </row>
    <row r="61" ht="22" customHeight="1">
      <c r="B61" s="18">
        <f>IF(C61="","MED-"&amp;TEXT(COUNTA($C$5:C61),"000"))</f>
        <v/>
      </c>
      <c r="C61" s="11" t="n"/>
      <c r="D61" s="11" t="n"/>
      <c r="E61" s="11" t="n"/>
      <c r="F61" s="11" t="n"/>
      <c r="G61" s="28" t="n"/>
      <c r="H61" s="11" t="n"/>
      <c r="I61" s="13" t="n"/>
      <c r="J61" s="28" t="n"/>
      <c r="K61" s="11" t="n"/>
      <c r="L61" s="11" t="n"/>
    </row>
    <row r="62" ht="22" customHeight="1">
      <c r="B62" s="17">
        <f>IF(C62="","MED-"&amp;TEXT(COUNTA($C$5:C62),"000"))</f>
        <v/>
      </c>
      <c r="C62" s="14" t="n"/>
      <c r="D62" s="14" t="n"/>
      <c r="E62" s="14" t="n"/>
      <c r="F62" s="14" t="n"/>
      <c r="G62" s="29" t="n"/>
      <c r="H62" s="14" t="n"/>
      <c r="I62" s="16" t="n"/>
      <c r="J62" s="29" t="n"/>
      <c r="K62" s="14" t="n"/>
      <c r="L62" s="14" t="n"/>
    </row>
    <row r="63" ht="22" customHeight="1">
      <c r="B63" s="18">
        <f>IF(C63="","MED-"&amp;TEXT(COUNTA($C$5:C63),"000"))</f>
        <v/>
      </c>
      <c r="C63" s="11" t="n"/>
      <c r="D63" s="11" t="n"/>
      <c r="E63" s="11" t="n"/>
      <c r="F63" s="11" t="n"/>
      <c r="G63" s="28" t="n"/>
      <c r="H63" s="11" t="n"/>
      <c r="I63" s="13" t="n"/>
      <c r="J63" s="28" t="n"/>
      <c r="K63" s="11" t="n"/>
      <c r="L63" s="11" t="n"/>
    </row>
    <row r="64" ht="22" customHeight="1">
      <c r="B64" s="17">
        <f>IF(C64="","MED-"&amp;TEXT(COUNTA($C$5:C64),"000"))</f>
        <v/>
      </c>
      <c r="C64" s="14" t="n"/>
      <c r="D64" s="14" t="n"/>
      <c r="E64" s="14" t="n"/>
      <c r="F64" s="14" t="n"/>
      <c r="G64" s="29" t="n"/>
      <c r="H64" s="14" t="n"/>
      <c r="I64" s="16" t="n"/>
      <c r="J64" s="29" t="n"/>
      <c r="K64" s="14" t="n"/>
      <c r="L64" s="14" t="n"/>
    </row>
    <row r="65" ht="22" customHeight="1">
      <c r="B65" s="18">
        <f>IF(C65="","MED-"&amp;TEXT(COUNTA($C$5:C65),"000"))</f>
        <v/>
      </c>
      <c r="C65" s="11" t="n"/>
      <c r="D65" s="11" t="n"/>
      <c r="E65" s="11" t="n"/>
      <c r="F65" s="11" t="n"/>
      <c r="G65" s="28" t="n"/>
      <c r="H65" s="11" t="n"/>
      <c r="I65" s="13" t="n"/>
      <c r="J65" s="28" t="n"/>
      <c r="K65" s="11" t="n"/>
      <c r="L65" s="11" t="n"/>
    </row>
    <row r="66" ht="22" customHeight="1">
      <c r="B66" s="17">
        <f>IF(C66="","MED-"&amp;TEXT(COUNTA($C$5:C66),"000"))</f>
        <v/>
      </c>
      <c r="C66" s="14" t="n"/>
      <c r="D66" s="14" t="n"/>
      <c r="E66" s="14" t="n"/>
      <c r="F66" s="14" t="n"/>
      <c r="G66" s="29" t="n"/>
      <c r="H66" s="14" t="n"/>
      <c r="I66" s="16" t="n"/>
      <c r="J66" s="29" t="n"/>
      <c r="K66" s="14" t="n"/>
      <c r="L66" s="14" t="n"/>
    </row>
    <row r="67" ht="22" customHeight="1">
      <c r="B67" s="18">
        <f>IF(C67="","MED-"&amp;TEXT(COUNTA($C$5:C67),"000"))</f>
        <v/>
      </c>
      <c r="C67" s="11" t="n"/>
      <c r="D67" s="11" t="n"/>
      <c r="E67" s="11" t="n"/>
      <c r="F67" s="11" t="n"/>
      <c r="G67" s="28" t="n"/>
      <c r="H67" s="11" t="n"/>
      <c r="I67" s="13" t="n"/>
      <c r="J67" s="28" t="n"/>
      <c r="K67" s="11" t="n"/>
      <c r="L67" s="11" t="n"/>
    </row>
    <row r="68" ht="22" customHeight="1">
      <c r="B68" s="17">
        <f>IF(C68="","MED-"&amp;TEXT(COUNTA($C$5:C68),"000"))</f>
        <v/>
      </c>
      <c r="C68" s="14" t="n"/>
      <c r="D68" s="14" t="n"/>
      <c r="E68" s="14" t="n"/>
      <c r="F68" s="14" t="n"/>
      <c r="G68" s="29" t="n"/>
      <c r="H68" s="14" t="n"/>
      <c r="I68" s="16" t="n"/>
      <c r="J68" s="29" t="n"/>
      <c r="K68" s="14" t="n"/>
      <c r="L68" s="14" t="n"/>
    </row>
    <row r="69" ht="22" customHeight="1">
      <c r="B69" s="18">
        <f>IF(C69="","MED-"&amp;TEXT(COUNTA($C$5:C69),"000"))</f>
        <v/>
      </c>
      <c r="C69" s="11" t="n"/>
      <c r="D69" s="11" t="n"/>
      <c r="E69" s="11" t="n"/>
      <c r="F69" s="11" t="n"/>
      <c r="G69" s="28" t="n"/>
      <c r="H69" s="11" t="n"/>
      <c r="I69" s="13" t="n"/>
      <c r="J69" s="28" t="n"/>
      <c r="K69" s="11" t="n"/>
      <c r="L69" s="11" t="n"/>
    </row>
    <row r="70" ht="22" customHeight="1">
      <c r="B70" s="17">
        <f>IF(C70="","MED-"&amp;TEXT(COUNTA($C$5:C70),"000"))</f>
        <v/>
      </c>
      <c r="C70" s="14" t="n"/>
      <c r="D70" s="14" t="n"/>
      <c r="E70" s="14" t="n"/>
      <c r="F70" s="14" t="n"/>
      <c r="G70" s="29" t="n"/>
      <c r="H70" s="14" t="n"/>
      <c r="I70" s="16" t="n"/>
      <c r="J70" s="29" t="n"/>
      <c r="K70" s="14" t="n"/>
      <c r="L70" s="14" t="n"/>
    </row>
    <row r="71" ht="22" customHeight="1">
      <c r="B71" s="18">
        <f>IF(C71="","MED-"&amp;TEXT(COUNTA($C$5:C71),"000"))</f>
        <v/>
      </c>
      <c r="C71" s="11" t="n"/>
      <c r="D71" s="11" t="n"/>
      <c r="E71" s="11" t="n"/>
      <c r="F71" s="11" t="n"/>
      <c r="G71" s="28" t="n"/>
      <c r="H71" s="11" t="n"/>
      <c r="I71" s="13" t="n"/>
      <c r="J71" s="28" t="n"/>
      <c r="K71" s="11" t="n"/>
      <c r="L71" s="11" t="n"/>
    </row>
    <row r="72" ht="22" customHeight="1">
      <c r="B72" s="17">
        <f>IF(C72="","MED-"&amp;TEXT(COUNTA($C$5:C72),"000"))</f>
        <v/>
      </c>
      <c r="C72" s="14" t="n"/>
      <c r="D72" s="14" t="n"/>
      <c r="E72" s="14" t="n"/>
      <c r="F72" s="14" t="n"/>
      <c r="G72" s="29" t="n"/>
      <c r="H72" s="14" t="n"/>
      <c r="I72" s="16" t="n"/>
      <c r="J72" s="29" t="n"/>
      <c r="K72" s="14" t="n"/>
      <c r="L72" s="14" t="n"/>
    </row>
    <row r="73" ht="22" customHeight="1">
      <c r="B73" s="18">
        <f>IF(C73="","MED-"&amp;TEXT(COUNTA($C$5:C73),"000"))</f>
        <v/>
      </c>
      <c r="C73" s="11" t="n"/>
      <c r="D73" s="11" t="n"/>
      <c r="E73" s="11" t="n"/>
      <c r="F73" s="11" t="n"/>
      <c r="G73" s="28" t="n"/>
      <c r="H73" s="11" t="n"/>
      <c r="I73" s="13" t="n"/>
      <c r="J73" s="28" t="n"/>
      <c r="K73" s="11" t="n"/>
      <c r="L73" s="11" t="n"/>
    </row>
    <row r="74" ht="22" customHeight="1">
      <c r="B74" s="17">
        <f>IF(C74="","MED-"&amp;TEXT(COUNTA($C$5:C74),"000"))</f>
        <v/>
      </c>
      <c r="C74" s="14" t="n"/>
      <c r="D74" s="14" t="n"/>
      <c r="E74" s="14" t="n"/>
      <c r="F74" s="14" t="n"/>
      <c r="G74" s="29" t="n"/>
      <c r="H74" s="14" t="n"/>
      <c r="I74" s="16" t="n"/>
      <c r="J74" s="29" t="n"/>
      <c r="K74" s="14" t="n"/>
      <c r="L74" s="14" t="n"/>
    </row>
    <row r="75" ht="22" customHeight="1">
      <c r="B75" s="18">
        <f>IF(C75="","MED-"&amp;TEXT(COUNTA($C$5:C75),"000"))</f>
        <v/>
      </c>
      <c r="C75" s="11" t="n"/>
      <c r="D75" s="11" t="n"/>
      <c r="E75" s="11" t="n"/>
      <c r="F75" s="11" t="n"/>
      <c r="G75" s="28" t="n"/>
      <c r="H75" s="11" t="n"/>
      <c r="I75" s="13" t="n"/>
      <c r="J75" s="28" t="n"/>
      <c r="K75" s="11" t="n"/>
      <c r="L75" s="11" t="n"/>
    </row>
    <row r="76" ht="22" customHeight="1">
      <c r="B76" s="17">
        <f>IF(C76="","MED-"&amp;TEXT(COUNTA($C$5:C76),"000"))</f>
        <v/>
      </c>
      <c r="C76" s="14" t="n"/>
      <c r="D76" s="14" t="n"/>
      <c r="E76" s="14" t="n"/>
      <c r="F76" s="14" t="n"/>
      <c r="G76" s="29" t="n"/>
      <c r="H76" s="14" t="n"/>
      <c r="I76" s="16" t="n"/>
      <c r="J76" s="29" t="n"/>
      <c r="K76" s="14" t="n"/>
      <c r="L76" s="14" t="n"/>
    </row>
    <row r="77" ht="22" customHeight="1">
      <c r="B77" s="18">
        <f>IF(C77="","MED-"&amp;TEXT(COUNTA($C$5:C77),"000"))</f>
        <v/>
      </c>
      <c r="C77" s="11" t="n"/>
      <c r="D77" s="11" t="n"/>
      <c r="E77" s="11" t="n"/>
      <c r="F77" s="11" t="n"/>
      <c r="G77" s="28" t="n"/>
      <c r="H77" s="11" t="n"/>
      <c r="I77" s="13" t="n"/>
      <c r="J77" s="28" t="n"/>
      <c r="K77" s="11" t="n"/>
      <c r="L77" s="11" t="n"/>
    </row>
    <row r="78" ht="22" customHeight="1">
      <c r="B78" s="17">
        <f>IF(C78="","MED-"&amp;TEXT(COUNTA($C$5:C78),"000"))</f>
        <v/>
      </c>
      <c r="C78" s="14" t="n"/>
      <c r="D78" s="14" t="n"/>
      <c r="E78" s="14" t="n"/>
      <c r="F78" s="14" t="n"/>
      <c r="G78" s="29" t="n"/>
      <c r="H78" s="14" t="n"/>
      <c r="I78" s="16" t="n"/>
      <c r="J78" s="29" t="n"/>
      <c r="K78" s="14" t="n"/>
      <c r="L78" s="14" t="n"/>
    </row>
    <row r="79" ht="22" customHeight="1">
      <c r="B79" s="18">
        <f>IF(C79="","MED-"&amp;TEXT(COUNTA($C$5:C79),"000"))</f>
        <v/>
      </c>
      <c r="C79" s="11" t="n"/>
      <c r="D79" s="11" t="n"/>
      <c r="E79" s="11" t="n"/>
      <c r="F79" s="11" t="n"/>
      <c r="G79" s="28" t="n"/>
      <c r="H79" s="11" t="n"/>
      <c r="I79" s="13" t="n"/>
      <c r="J79" s="28" t="n"/>
      <c r="K79" s="11" t="n"/>
      <c r="L79" s="11" t="n"/>
    </row>
    <row r="80" ht="22" customHeight="1">
      <c r="B80" s="17">
        <f>IF(C80="","MED-"&amp;TEXT(COUNTA($C$5:C80),"000"))</f>
        <v/>
      </c>
      <c r="C80" s="14" t="n"/>
      <c r="D80" s="14" t="n"/>
      <c r="E80" s="14" t="n"/>
      <c r="F80" s="14" t="n"/>
      <c r="G80" s="29" t="n"/>
      <c r="H80" s="14" t="n"/>
      <c r="I80" s="16" t="n"/>
      <c r="J80" s="29" t="n"/>
      <c r="K80" s="14" t="n"/>
      <c r="L80" s="14" t="n"/>
    </row>
    <row r="81" ht="22" customHeight="1">
      <c r="B81" s="18">
        <f>IF(C81="","MED-"&amp;TEXT(COUNTA($C$5:C81),"000"))</f>
        <v/>
      </c>
      <c r="C81" s="11" t="n"/>
      <c r="D81" s="11" t="n"/>
      <c r="E81" s="11" t="n"/>
      <c r="F81" s="11" t="n"/>
      <c r="G81" s="28" t="n"/>
      <c r="H81" s="11" t="n"/>
      <c r="I81" s="13" t="n"/>
      <c r="J81" s="28" t="n"/>
      <c r="K81" s="11" t="n"/>
      <c r="L81" s="11" t="n"/>
    </row>
    <row r="82" ht="22" customHeight="1">
      <c r="B82" s="17">
        <f>IF(C82="","MED-"&amp;TEXT(COUNTA($C$5:C82),"000"))</f>
        <v/>
      </c>
      <c r="C82" s="14" t="n"/>
      <c r="D82" s="14" t="n"/>
      <c r="E82" s="14" t="n"/>
      <c r="F82" s="14" t="n"/>
      <c r="G82" s="29" t="n"/>
      <c r="H82" s="14" t="n"/>
      <c r="I82" s="16" t="n"/>
      <c r="J82" s="29" t="n"/>
      <c r="K82" s="14" t="n"/>
      <c r="L82" s="14" t="n"/>
    </row>
    <row r="83" ht="22" customHeight="1">
      <c r="B83" s="18">
        <f>IF(C83="","MED-"&amp;TEXT(COUNTA($C$5:C83),"000"))</f>
        <v/>
      </c>
      <c r="C83" s="11" t="n"/>
      <c r="D83" s="11" t="n"/>
      <c r="E83" s="11" t="n"/>
      <c r="F83" s="11" t="n"/>
      <c r="G83" s="28" t="n"/>
      <c r="H83" s="11" t="n"/>
      <c r="I83" s="13" t="n"/>
      <c r="J83" s="28" t="n"/>
      <c r="K83" s="11" t="n"/>
      <c r="L83" s="11" t="n"/>
    </row>
    <row r="84" ht="22" customHeight="1">
      <c r="B84" s="17">
        <f>IF(C84="","MED-"&amp;TEXT(COUNTA($C$5:C84),"000"))</f>
        <v/>
      </c>
      <c r="C84" s="14" t="n"/>
      <c r="D84" s="14" t="n"/>
      <c r="E84" s="14" t="n"/>
      <c r="F84" s="14" t="n"/>
      <c r="G84" s="29" t="n"/>
      <c r="H84" s="14" t="n"/>
      <c r="I84" s="16" t="n"/>
      <c r="J84" s="29" t="n"/>
      <c r="K84" s="14" t="n"/>
      <c r="L84" s="14" t="n"/>
    </row>
    <row r="85" ht="22" customHeight="1">
      <c r="B85" s="18">
        <f>IF(C85="","MED-"&amp;TEXT(COUNTA($C$5:C85),"000"))</f>
        <v/>
      </c>
      <c r="C85" s="11" t="n"/>
      <c r="D85" s="11" t="n"/>
      <c r="E85" s="11" t="n"/>
      <c r="F85" s="11" t="n"/>
      <c r="G85" s="28" t="n"/>
      <c r="H85" s="11" t="n"/>
      <c r="I85" s="13" t="n"/>
      <c r="J85" s="28" t="n"/>
      <c r="K85" s="11" t="n"/>
      <c r="L85" s="11" t="n"/>
    </row>
    <row r="86" ht="22" customHeight="1">
      <c r="B86" s="17">
        <f>IF(C86="","MED-"&amp;TEXT(COUNTA($C$5:C86),"000"))</f>
        <v/>
      </c>
      <c r="C86" s="14" t="n"/>
      <c r="D86" s="14" t="n"/>
      <c r="E86" s="14" t="n"/>
      <c r="F86" s="14" t="n"/>
      <c r="G86" s="29" t="n"/>
      <c r="H86" s="14" t="n"/>
      <c r="I86" s="16" t="n"/>
      <c r="J86" s="29" t="n"/>
      <c r="K86" s="14" t="n"/>
      <c r="L86" s="14" t="n"/>
    </row>
    <row r="87" ht="22" customHeight="1">
      <c r="B87" s="18">
        <f>IF(C87="","MED-"&amp;TEXT(COUNTA($C$5:C87),"000"))</f>
        <v/>
      </c>
      <c r="C87" s="11" t="n"/>
      <c r="D87" s="11" t="n"/>
      <c r="E87" s="11" t="n"/>
      <c r="F87" s="11" t="n"/>
      <c r="G87" s="28" t="n"/>
      <c r="H87" s="11" t="n"/>
      <c r="I87" s="13" t="n"/>
      <c r="J87" s="28" t="n"/>
      <c r="K87" s="11" t="n"/>
      <c r="L87" s="11" t="n"/>
    </row>
    <row r="88" ht="22" customHeight="1">
      <c r="B88" s="17">
        <f>IF(C88="","MED-"&amp;TEXT(COUNTA($C$5:C88),"000"))</f>
        <v/>
      </c>
      <c r="C88" s="14" t="n"/>
      <c r="D88" s="14" t="n"/>
      <c r="E88" s="14" t="n"/>
      <c r="F88" s="14" t="n"/>
      <c r="G88" s="29" t="n"/>
      <c r="H88" s="14" t="n"/>
      <c r="I88" s="16" t="n"/>
      <c r="J88" s="29" t="n"/>
      <c r="K88" s="14" t="n"/>
      <c r="L88" s="14" t="n"/>
    </row>
    <row r="89" ht="22" customHeight="1">
      <c r="B89" s="18">
        <f>IF(C89="","MED-"&amp;TEXT(COUNTA($C$5:C89),"000"))</f>
        <v/>
      </c>
      <c r="C89" s="11" t="n"/>
      <c r="D89" s="11" t="n"/>
      <c r="E89" s="11" t="n"/>
      <c r="F89" s="11" t="n"/>
      <c r="G89" s="28" t="n"/>
      <c r="H89" s="11" t="n"/>
      <c r="I89" s="13" t="n"/>
      <c r="J89" s="28" t="n"/>
      <c r="K89" s="11" t="n"/>
      <c r="L89" s="11" t="n"/>
    </row>
    <row r="90" ht="22" customHeight="1">
      <c r="B90" s="17">
        <f>IF(C90="","MED-"&amp;TEXT(COUNTA($C$5:C90),"000"))</f>
        <v/>
      </c>
      <c r="C90" s="14" t="n"/>
      <c r="D90" s="14" t="n"/>
      <c r="E90" s="14" t="n"/>
      <c r="F90" s="14" t="n"/>
      <c r="G90" s="29" t="n"/>
      <c r="H90" s="14" t="n"/>
      <c r="I90" s="16" t="n"/>
      <c r="J90" s="29" t="n"/>
      <c r="K90" s="14" t="n"/>
      <c r="L90" s="14" t="n"/>
    </row>
    <row r="91" ht="22" customHeight="1">
      <c r="B91" s="18">
        <f>IF(C91="","MED-"&amp;TEXT(COUNTA($C$5:C91),"000"))</f>
        <v/>
      </c>
      <c r="C91" s="11" t="n"/>
      <c r="D91" s="11" t="n"/>
      <c r="E91" s="11" t="n"/>
      <c r="F91" s="11" t="n"/>
      <c r="G91" s="28" t="n"/>
      <c r="H91" s="11" t="n"/>
      <c r="I91" s="13" t="n"/>
      <c r="J91" s="28" t="n"/>
      <c r="K91" s="11" t="n"/>
      <c r="L91" s="11" t="n"/>
    </row>
    <row r="92" ht="22" customHeight="1">
      <c r="B92" s="17">
        <f>IF(C92="","MED-"&amp;TEXT(COUNTA($C$5:C92),"000"))</f>
        <v/>
      </c>
      <c r="C92" s="14" t="n"/>
      <c r="D92" s="14" t="n"/>
      <c r="E92" s="14" t="n"/>
      <c r="F92" s="14" t="n"/>
      <c r="G92" s="29" t="n"/>
      <c r="H92" s="14" t="n"/>
      <c r="I92" s="16" t="n"/>
      <c r="J92" s="29" t="n"/>
      <c r="K92" s="14" t="n"/>
      <c r="L92" s="14" t="n"/>
    </row>
    <row r="93" ht="22" customHeight="1">
      <c r="B93" s="18">
        <f>IF(C93="","MED-"&amp;TEXT(COUNTA($C$5:C93),"000"))</f>
        <v/>
      </c>
      <c r="C93" s="11" t="n"/>
      <c r="D93" s="11" t="n"/>
      <c r="E93" s="11" t="n"/>
      <c r="F93" s="11" t="n"/>
      <c r="G93" s="28" t="n"/>
      <c r="H93" s="11" t="n"/>
      <c r="I93" s="13" t="n"/>
      <c r="J93" s="28" t="n"/>
      <c r="K93" s="11" t="n"/>
      <c r="L93" s="11" t="n"/>
    </row>
    <row r="94" ht="22" customHeight="1">
      <c r="B94" s="17">
        <f>IF(C94="","MED-"&amp;TEXT(COUNTA($C$5:C94),"000"))</f>
        <v/>
      </c>
      <c r="C94" s="14" t="n"/>
      <c r="D94" s="14" t="n"/>
      <c r="E94" s="14" t="n"/>
      <c r="F94" s="14" t="n"/>
      <c r="G94" s="29" t="n"/>
      <c r="H94" s="14" t="n"/>
      <c r="I94" s="16" t="n"/>
      <c r="J94" s="29" t="n"/>
      <c r="K94" s="14" t="n"/>
      <c r="L94" s="14" t="n"/>
    </row>
    <row r="95" ht="22" customHeight="1">
      <c r="B95" s="18">
        <f>IF(C95="","MED-"&amp;TEXT(COUNTA($C$5:C95),"000"))</f>
        <v/>
      </c>
      <c r="C95" s="11" t="n"/>
      <c r="D95" s="11" t="n"/>
      <c r="E95" s="11" t="n"/>
      <c r="F95" s="11" t="n"/>
      <c r="G95" s="28" t="n"/>
      <c r="H95" s="11" t="n"/>
      <c r="I95" s="13" t="n"/>
      <c r="J95" s="28" t="n"/>
      <c r="K95" s="11" t="n"/>
      <c r="L95" s="11" t="n"/>
    </row>
    <row r="96" ht="22" customHeight="1">
      <c r="B96" s="17">
        <f>IF(C96="","MED-"&amp;TEXT(COUNTA($C$5:C96),"000"))</f>
        <v/>
      </c>
      <c r="C96" s="14" t="n"/>
      <c r="D96" s="14" t="n"/>
      <c r="E96" s="14" t="n"/>
      <c r="F96" s="14" t="n"/>
      <c r="G96" s="29" t="n"/>
      <c r="H96" s="14" t="n"/>
      <c r="I96" s="16" t="n"/>
      <c r="J96" s="29" t="n"/>
      <c r="K96" s="14" t="n"/>
      <c r="L96" s="14" t="n"/>
    </row>
    <row r="97" ht="22" customHeight="1">
      <c r="B97" s="18">
        <f>IF(C97="","MED-"&amp;TEXT(COUNTA($C$5:C97),"000"))</f>
        <v/>
      </c>
      <c r="C97" s="11" t="n"/>
      <c r="D97" s="11" t="n"/>
      <c r="E97" s="11" t="n"/>
      <c r="F97" s="11" t="n"/>
      <c r="G97" s="28" t="n"/>
      <c r="H97" s="11" t="n"/>
      <c r="I97" s="13" t="n"/>
      <c r="J97" s="28" t="n"/>
      <c r="K97" s="11" t="n"/>
      <c r="L97" s="11" t="n"/>
    </row>
    <row r="98" ht="22" customHeight="1">
      <c r="B98" s="17">
        <f>IF(C98="","MED-"&amp;TEXT(COUNTA($C$5:C98),"000"))</f>
        <v/>
      </c>
      <c r="C98" s="14" t="n"/>
      <c r="D98" s="14" t="n"/>
      <c r="E98" s="14" t="n"/>
      <c r="F98" s="14" t="n"/>
      <c r="G98" s="29" t="n"/>
      <c r="H98" s="14" t="n"/>
      <c r="I98" s="16" t="n"/>
      <c r="J98" s="29" t="n"/>
      <c r="K98" s="14" t="n"/>
      <c r="L98" s="14" t="n"/>
    </row>
    <row r="99" ht="22" customHeight="1">
      <c r="B99" s="18">
        <f>IF(C99="","MED-"&amp;TEXT(COUNTA($C$5:C99),"000"))</f>
        <v/>
      </c>
      <c r="C99" s="11" t="n"/>
      <c r="D99" s="11" t="n"/>
      <c r="E99" s="11" t="n"/>
      <c r="F99" s="11" t="n"/>
      <c r="G99" s="28" t="n"/>
      <c r="H99" s="11" t="n"/>
      <c r="I99" s="13" t="n"/>
      <c r="J99" s="28" t="n"/>
      <c r="K99" s="11" t="n"/>
      <c r="L99" s="11" t="n"/>
    </row>
    <row r="100" ht="22" customHeight="1">
      <c r="B100" s="17">
        <f>IF(C100="","MED-"&amp;TEXT(COUNTA($C$5:C100),"000"))</f>
        <v/>
      </c>
      <c r="C100" s="14" t="n"/>
      <c r="D100" s="14" t="n"/>
      <c r="E100" s="14" t="n"/>
      <c r="F100" s="14" t="n"/>
      <c r="G100" s="29" t="n"/>
      <c r="H100" s="14" t="n"/>
      <c r="I100" s="16" t="n"/>
      <c r="J100" s="29" t="n"/>
      <c r="K100" s="14" t="n"/>
      <c r="L100" s="14" t="n"/>
    </row>
    <row r="101" ht="22" customHeight="1">
      <c r="B101" s="18">
        <f>IF(C101="","MED-"&amp;TEXT(COUNTA($C$5:C101),"000"))</f>
        <v/>
      </c>
      <c r="C101" s="11" t="n"/>
      <c r="D101" s="11" t="n"/>
      <c r="E101" s="11" t="n"/>
      <c r="F101" s="11" t="n"/>
      <c r="G101" s="28" t="n"/>
      <c r="H101" s="11" t="n"/>
      <c r="I101" s="13" t="n"/>
      <c r="J101" s="28" t="n"/>
      <c r="K101" s="11" t="n"/>
      <c r="L101" s="11" t="n"/>
    </row>
    <row r="102" ht="22" customHeight="1">
      <c r="B102" s="17">
        <f>IF(C102="","MED-"&amp;TEXT(COUNTA($C$5:C102),"000"))</f>
        <v/>
      </c>
      <c r="C102" s="14" t="n"/>
      <c r="D102" s="14" t="n"/>
      <c r="E102" s="14" t="n"/>
      <c r="F102" s="14" t="n"/>
      <c r="G102" s="29" t="n"/>
      <c r="H102" s="14" t="n"/>
      <c r="I102" s="16" t="n"/>
      <c r="J102" s="29" t="n"/>
      <c r="K102" s="14" t="n"/>
      <c r="L102" s="14" t="n"/>
    </row>
    <row r="103" ht="22" customHeight="1">
      <c r="B103" s="18">
        <f>IF(C103="","MED-"&amp;TEXT(COUNTA($C$5:C103),"000"))</f>
        <v/>
      </c>
      <c r="C103" s="11" t="n"/>
      <c r="D103" s="11" t="n"/>
      <c r="E103" s="11" t="n"/>
      <c r="F103" s="11" t="n"/>
      <c r="G103" s="28" t="n"/>
      <c r="H103" s="11" t="n"/>
      <c r="I103" s="13" t="n"/>
      <c r="J103" s="28" t="n"/>
      <c r="K103" s="11" t="n"/>
      <c r="L103" s="11" t="n"/>
    </row>
    <row r="104" ht="22" customHeight="1">
      <c r="B104" s="17">
        <f>IF(C104="","MED-"&amp;TEXT(COUNTA($C$5:C104),"000"))</f>
        <v/>
      </c>
      <c r="C104" s="14" t="n"/>
      <c r="D104" s="14" t="n"/>
      <c r="E104" s="14" t="n"/>
      <c r="F104" s="14" t="n"/>
      <c r="G104" s="29" t="n"/>
      <c r="H104" s="14" t="n"/>
      <c r="I104" s="16" t="n"/>
      <c r="J104" s="29" t="n"/>
      <c r="K104" s="14" t="n"/>
      <c r="L104" s="14" t="n"/>
    </row>
    <row r="105" ht="22" customHeight="1">
      <c r="B105" s="18">
        <f>IF(C105="","MED-"&amp;TEXT(COUNTA($C$5:C105),"000"))</f>
        <v/>
      </c>
      <c r="C105" s="11" t="n"/>
      <c r="D105" s="11" t="n"/>
      <c r="E105" s="11" t="n"/>
      <c r="F105" s="11" t="n"/>
      <c r="G105" s="28" t="n"/>
      <c r="H105" s="11" t="n"/>
      <c r="I105" s="13" t="n"/>
      <c r="J105" s="28" t="n"/>
      <c r="K105" s="11" t="n"/>
      <c r="L105" s="11" t="n"/>
    </row>
    <row r="106" ht="22" customHeight="1">
      <c r="B106" s="17">
        <f>IF(C106="","MED-"&amp;TEXT(COUNTA($C$5:C106),"000"))</f>
        <v/>
      </c>
      <c r="C106" s="14" t="n"/>
      <c r="D106" s="14" t="n"/>
      <c r="E106" s="14" t="n"/>
      <c r="F106" s="14" t="n"/>
      <c r="G106" s="29" t="n"/>
      <c r="H106" s="14" t="n"/>
      <c r="I106" s="16" t="n"/>
      <c r="J106" s="29" t="n"/>
      <c r="K106" s="14" t="n"/>
      <c r="L106" s="14" t="n"/>
    </row>
    <row r="107" ht="22" customHeight="1">
      <c r="B107" s="18">
        <f>IF(C107="","MED-"&amp;TEXT(COUNTA($C$5:C107),"000"))</f>
        <v/>
      </c>
      <c r="C107" s="11" t="n"/>
      <c r="D107" s="11" t="n"/>
      <c r="E107" s="11" t="n"/>
      <c r="F107" s="11" t="n"/>
      <c r="G107" s="28" t="n"/>
      <c r="H107" s="11" t="n"/>
      <c r="I107" s="13" t="n"/>
      <c r="J107" s="28" t="n"/>
      <c r="K107" s="11" t="n"/>
      <c r="L107" s="11" t="n"/>
    </row>
    <row r="108" ht="22" customHeight="1">
      <c r="B108" s="17">
        <f>IF(C108="","MED-"&amp;TEXT(COUNTA($C$5:C108),"000"))</f>
        <v/>
      </c>
      <c r="C108" s="14" t="n"/>
      <c r="D108" s="14" t="n"/>
      <c r="E108" s="14" t="n"/>
      <c r="F108" s="14" t="n"/>
      <c r="G108" s="29" t="n"/>
      <c r="H108" s="14" t="n"/>
      <c r="I108" s="16" t="n"/>
      <c r="J108" s="29" t="n"/>
      <c r="K108" s="14" t="n"/>
      <c r="L108" s="14" t="n"/>
    </row>
    <row r="110" ht="26" customHeight="1">
      <c r="B110" s="19" t="inlineStr">
        <is>
          <t>TOTAL</t>
        </is>
      </c>
      <c r="C110" s="20" t="n"/>
      <c r="D110" s="20" t="n"/>
      <c r="E110" s="20" t="n"/>
      <c r="F110" s="20" t="n"/>
      <c r="G110" s="20" t="n"/>
      <c r="H110" s="20" t="n"/>
      <c r="I110" s="21">
        <f>SUM(I5:I104)</f>
        <v/>
      </c>
      <c r="J110" s="20" t="n"/>
      <c r="K110" s="20" t="n"/>
      <c r="L110" s="20" t="n"/>
    </row>
    <row r="112">
      <c r="B112" s="5" t="inlineStr">
        <is>
          <t>INDICATEURS (mis a jour automatiquement)</t>
        </is>
      </c>
    </row>
    <row r="113">
      <c r="B113" s="3" t="inlineStr">
        <is>
          <t>Mediations</t>
        </is>
      </c>
      <c r="D113" s="3" t="inlineStr">
        <is>
          <t>Resolues - Accord</t>
        </is>
      </c>
      <c r="F113" s="3" t="inlineStr">
        <is>
          <t>En cours</t>
        </is>
      </c>
      <c r="H113" s="3" t="inlineStr">
        <is>
          <t>Total sessions</t>
        </is>
      </c>
    </row>
    <row r="114">
      <c r="B114" s="4">
        <f>COUNTIF(B5:B104,"&lt;&gt;")</f>
        <v/>
      </c>
      <c r="D114" s="4">
        <f>COUNTIF(L5:L104,"Terminee - Accord")</f>
        <v/>
      </c>
      <c r="F114" s="4">
        <f>COUNTIF(L5:L104,"En cours")</f>
        <v/>
      </c>
      <c r="H114" s="4">
        <f>SUM(I5:I104)</f>
        <v/>
      </c>
    </row>
  </sheetData>
  <mergeCells count="3">
    <mergeCell ref="B2:L2"/>
    <mergeCell ref="B112:L112"/>
    <mergeCell ref="B3:L3"/>
  </mergeCells>
  <conditionalFormatting sqref="L5:L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1">
      <formula>"En attente"</formula>
    </cfRule>
    <cfRule type="cellIs" priority="45" operator="equal" dxfId="1">
      <formula>"A renouveler"</formula>
    </cfRule>
    <cfRule type="cellIs" priority="46" operator="equal" dxfId="1">
      <formula>"En cours"</formula>
    </cfRule>
    <cfRule type="cellIs" priority="47" operator="equal" dxfId="1">
      <formula>"En traitement"</formula>
    </cfRule>
    <cfRule type="cellIs" priority="48" operator="equal" dxfId="1">
      <formula>"En retard"</formula>
    </cfRule>
    <cfRule type="cellIs" priority="49" operator="equal" dxfId="1">
      <formula>"Suspendu"</formula>
    </cfRule>
    <cfRule type="cellIs" priority="50" operator="equal" dxfId="1">
      <formula>"Planifie"</formula>
    </cfRule>
    <cfRule type="cellIs" priority="51" operator="equal" dxfId="1">
      <formula>"Planifiee"</formula>
    </cfRule>
    <cfRule type="cellIs" priority="52" operator="equal" dxfId="1">
      <formula>"Brouillon"</formula>
    </cfRule>
    <cfRule type="cellIs" priority="53" operator="equal" dxfId="1">
      <formula>"En attente de justification"</formula>
    </cfRule>
    <cfRule type="cellIs" priority="54" operator="equal" dxfId="1">
      <formula>"Tolere"</formula>
    </cfRule>
    <cfRule type="cellIs" priority="55" operator="equal" dxfId="1">
      <formula>"Variable"</formula>
    </cfRule>
    <cfRule type="cellIs" priority="56" operator="equal" dxfId="1">
      <formula>"En elaboration"</formula>
    </cfRule>
    <cfRule type="cellIs" priority="57" operator="equal" dxfId="1">
      <formula>"Provisionne"</formula>
    </cfRule>
    <cfRule type="cellIs" priority="58" operator="equal" dxfId="1">
      <formula>"Consomme partiel"</formula>
    </cfRule>
    <cfRule type="cellIs" priority="59" operator="equal" dxfId="1">
      <formula>"Identifie"</formula>
    </cfRule>
    <cfRule type="cellIs" priority="60" operator="equal" dxfId="1">
      <formula>"Priorise"</formula>
    </cfRule>
    <cfRule type="cellIs" priority="61" operator="equal" dxfId="1">
      <formula>"Intermediaire"</formula>
    </cfRule>
    <cfRule type="cellIs" priority="62" operator="equal" dxfId="1">
      <formula>"Non evalue"</formula>
    </cfRule>
    <cfRule type="cellIs" priority="63" operator="equal" dxfId="1">
      <formula>"En cours de realisation"</formula>
    </cfRule>
    <cfRule type="cellIs" priority="64" operator="equal" dxfId="1">
      <formula>"Non demarre"</formula>
    </cfRule>
    <cfRule type="cellIs" priority="65" operator="equal" dxfId="1">
      <formula>"En attente N+1"</formula>
    </cfRule>
    <cfRule type="cellIs" priority="66" operator="equal" dxfId="1">
      <formula>"Prolongation essai"</formula>
    </cfRule>
    <cfRule type="cellIs" priority="67" operator="equal" dxfId="1">
      <formula>"En attente validation"</formula>
    </cfRule>
    <cfRule type="cellIs" priority="68" operator="equal" dxfId="1">
      <formula>"Bon"</formula>
    </cfRule>
    <cfRule type="cellIs" priority="69" operator="equal" dxfId="1">
      <formula>"D - Moyen"</formula>
    </cfRule>
    <cfRule type="cellIs" priority="70" operator="equal" dxfId="1">
      <formula>"En cours de repres."</formula>
    </cfRule>
    <cfRule type="cellIs" priority="71" operator="equal" dxfId="1">
      <formula>"En negociation"</formula>
    </cfRule>
    <cfRule type="cellIs" priority="72" operator="equal" dxfId="1">
      <formula>"En preparation"</formula>
    </cfRule>
    <cfRule type="cellIs" priority="73" operator="equal" dxfId="1">
      <formula>"En cours d'instruction"</formula>
    </cfRule>
    <cfRule type="cellIs" priority="74" operator="equal" dxfId="1">
      <formula>"Transferee N+1"</formula>
    </cfRule>
    <cfRule type="cellIs" priority="75" operator="equal" dxfId="1">
      <formula>"En attente reponse"</formula>
    </cfRule>
    <cfRule type="cellIs" priority="76" operator="equal" dxfId="1">
      <formula>"Enquete ouverte"</formula>
    </cfRule>
    <cfRule type="cellIs" priority="77" operator="equal" dxfId="1">
      <formula>"Convocation envoyee"</formula>
    </cfRule>
    <cfRule type="cellIs" priority="78" operator="equal" dxfId="1">
      <formula>"Entretien realise"</formula>
    </cfRule>
    <cfRule type="cellIs" priority="79" operator="equal" dxfId="1">
      <formula>"Saisie"</formula>
    </cfRule>
    <cfRule type="cellIs" priority="80" operator="equal" dxfId="1">
      <formula>"En mediation"</formula>
    </cfRule>
    <cfRule type="cellIs" priority="81" operator="equal" dxfId="1">
      <formula>"En recours"</formula>
    </cfRule>
    <cfRule type="cellIs" priority="82" operator="equal" dxfId="1">
      <formula>"Reportee"</formula>
    </cfRule>
    <cfRule type="cellIs" priority="83" operator="equal" dxfId="1">
      <formula>"Signale"</formula>
    </cfRule>
    <cfRule type="cellIs" priority="84" operator="equal" dxfId="1">
      <formula>"Precontentieux"</formula>
    </cfRule>
    <cfRule type="cellIs" priority="85" operator="equal" dxfId="1">
      <formula>"En attente election"</formula>
    </cfRule>
    <cfRule type="cellIs" priority="86" operator="equal" dxfId="1">
      <formula>"Classe"</formula>
    </cfRule>
    <cfRule type="cellIs" priority="87" operator="equal" dxfId="2">
      <formula>"Expire"</formula>
    </cfRule>
    <cfRule type="cellIs" priority="88" operator="equal" dxfId="2">
      <formula>"Rejete"</formula>
    </cfRule>
    <cfRule type="cellIs" priority="89" operator="equal" dxfId="2">
      <formula>"Rejetee"</formula>
    </cfRule>
    <cfRule type="cellIs" priority="90" operator="equal" dxfId="2">
      <formula>"Resilie"</formula>
    </cfRule>
    <cfRule type="cellIs" priority="91" operator="equal" dxfId="2">
      <formula>"Annule"</formula>
    </cfRule>
    <cfRule type="cellIs" priority="92" operator="equal" dxfId="2">
      <formula>"Annulee"</formula>
    </cfRule>
    <cfRule type="cellIs" priority="93" operator="equal" dxfId="2">
      <formula>"Refuse"</formula>
    </cfRule>
    <cfRule type="cellIs" priority="94" operator="equal" dxfId="2">
      <formula>"Non justifie"</formula>
    </cfRule>
    <cfRule type="cellIs" priority="95" operator="equal" dxfId="2">
      <formula>"Non justifiee"</formula>
    </cfRule>
    <cfRule type="cellIs" priority="96" operator="equal" dxfId="2">
      <formula>"Sanctionne"</formula>
    </cfRule>
    <cfRule type="cellIs" priority="97" operator="equal" dxfId="2">
      <formula>"Inaptitude"</formula>
    </cfRule>
    <cfRule type="cellIs" priority="98" operator="equal" dxfId="2">
      <formula>"Absent sans autorisation"</formula>
    </cfRule>
    <cfRule type="cellIs" priority="99" operator="equal" dxfId="2">
      <formula>"Abandon de poste"</formula>
    </cfRule>
    <cfRule type="cellIs" priority="100" operator="equal" dxfId="2">
      <formula>"Non satisfait"</formula>
    </cfRule>
    <cfRule type="cellIs" priority="101" operator="equal" dxfId="2">
      <formula>"Reportee"</formula>
    </cfRule>
    <cfRule type="cellIs" priority="102" operator="equal" dxfId="2">
      <formula>"Depasse"</formula>
    </cfRule>
    <cfRule type="cellIs" priority="103" operator="equal" dxfId="2">
      <formula>"Non utilise"</formula>
    </cfRule>
    <cfRule type="cellIs" priority="104" operator="equal" dxfId="2">
      <formula>"Non applicable"</formula>
    </cfRule>
    <cfRule type="cellIs" priority="105" operator="equal" dxfId="2">
      <formula>"Debutant"</formula>
    </cfRule>
    <cfRule type="cellIs" priority="106" operator="equal" dxfId="2">
      <formula>"Non atteint"</formula>
    </cfRule>
    <cfRule type="cellIs" priority="107" operator="equal" dxfId="2">
      <formula>"Abandonne"</formula>
    </cfRule>
    <cfRule type="cellIs" priority="108" operator="equal" dxfId="2">
      <formula>"Rupture essai"</formula>
    </cfRule>
    <cfRule type="cellIs" priority="109" operator="equal" dxfId="2">
      <formula>"Insuffisant"</formula>
    </cfRule>
    <cfRule type="cellIs" priority="110" operator="equal" dxfId="2">
      <formula>"Moyen"</formula>
    </cfRule>
    <cfRule type="cellIs" priority="111" operator="equal" dxfId="2">
      <formula>"E - Insuffisant"</formula>
    </cfRule>
    <cfRule type="cellIs" priority="112" operator="equal" dxfId="2">
      <formula>"Dissous"</formula>
    </cfRule>
    <cfRule type="cellIs" priority="113" operator="equal" dxfId="2">
      <formula>"Denonce"</formula>
    </cfRule>
    <cfRule type="cellIs" priority="114" operator="equal" dxfId="2">
      <formula>"Echoue"</formula>
    </cfRule>
    <cfRule type="cellIs" priority="115" operator="equal" dxfId="2">
      <formula>"Echouee"</formula>
    </cfRule>
    <cfRule type="cellIs" priority="116" operator="equal" dxfId="2">
      <formula>"Revoque"</formula>
    </cfRule>
    <cfRule type="cellIs" priority="117" operator="equal" dxfId="2">
      <formula>"Demissionnaire"</formula>
    </cfRule>
    <cfRule type="cellIs" priority="118" operator="equal" dxfId="2">
      <formula>"Licenciement pour faute"</formula>
    </cfRule>
    <cfRule type="cellIs" priority="119" operator="equal" dxfId="2">
      <formula>"Licenciement pour faute grave"</formula>
    </cfRule>
    <cfRule type="cellIs" priority="120" operator="equal" dxfId="2">
      <formula>"Terminee - Echec"</formula>
    </cfRule>
    <cfRule type="cellIs" priority="121" operator="equal" dxfId="2">
      <formula>"Abandonnee"</formula>
    </cfRule>
    <cfRule type="cellIs" priority="122" operator="equal" dxfId="2">
      <formula>"Violence physique"</formula>
    </cfRule>
    <cfRule type="cellIs" priority="123" operator="equal" dxfId="2">
      <formula>"Violence verbale"</formula>
    </cfRule>
  </conditionalFormatting>
  <conditionalFormatting sqref="B9:B108">
    <cfRule type="expression" priority="124" dxfId="3">
      <formula>AND($C9="",$C8&lt;&gt;"")</formula>
    </cfRule>
  </conditionalFormatting>
  <conditionalFormatting sqref="C9:C108">
    <cfRule type="expression" priority="125" dxfId="3">
      <formula>AND($C9="",$C8&lt;&gt;"")</formula>
    </cfRule>
  </conditionalFormatting>
  <conditionalFormatting sqref="D9:D108">
    <cfRule type="expression" priority="126" dxfId="3">
      <formula>AND($C9="",$C8&lt;&gt;"")</formula>
    </cfRule>
  </conditionalFormatting>
  <conditionalFormatting sqref="E9:E108">
    <cfRule type="expression" priority="127" dxfId="3">
      <formula>AND($C9="",$C8&lt;&gt;"")</formula>
    </cfRule>
  </conditionalFormatting>
  <conditionalFormatting sqref="F9:F108">
    <cfRule type="expression" priority="128" dxfId="3">
      <formula>AND($C9="",$C8&lt;&gt;"")</formula>
    </cfRule>
  </conditionalFormatting>
  <conditionalFormatting sqref="G9:G108">
    <cfRule type="expression" priority="129" dxfId="3">
      <formula>AND($C9="",$C8&lt;&gt;"")</formula>
    </cfRule>
  </conditionalFormatting>
  <conditionalFormatting sqref="H9:H108">
    <cfRule type="expression" priority="130" dxfId="3">
      <formula>AND($C9="",$C8&lt;&gt;"")</formula>
    </cfRule>
  </conditionalFormatting>
  <conditionalFormatting sqref="I9:I108">
    <cfRule type="expression" priority="131" dxfId="3">
      <formula>AND($C9="",$C8&lt;&gt;"")</formula>
    </cfRule>
  </conditionalFormatting>
  <conditionalFormatting sqref="J9:J108">
    <cfRule type="expression" priority="132" dxfId="3">
      <formula>AND($C9="",$C8&lt;&gt;"")</formula>
    </cfRule>
  </conditionalFormatting>
  <conditionalFormatting sqref="K9:K108">
    <cfRule type="expression" priority="133" dxfId="3">
      <formula>AND($C9="",$C8&lt;&gt;"")</formula>
    </cfRule>
  </conditionalFormatting>
  <conditionalFormatting sqref="L9:L108">
    <cfRule type="expression" priority="134" dxfId="3">
      <formula>AND($C9="",$C8&lt;&gt;"")</formula>
    </cfRule>
  </conditionalFormatting>
  <dataValidations count="2">
    <dataValidation sqref="C5:C108" showDropDown="0" showInputMessage="0" showErrorMessage="0" allowBlank="1" errorTitle="Erreur" error="Valeur invalide" promptTitle="Liste" prompt="Choisir dans la liste" type="list">
      <formula1>'_Lists'!$V$2:$V$6</formula1>
    </dataValidation>
    <dataValidation sqref="L5:L108" showDropDown="0" showInputMessage="0" showErrorMessage="0" allowBlank="1" errorTitle="Erreur" error="Valeur invalide" promptTitle="Liste" prompt="Choisir dans la liste" type="list">
      <formula1>'_Lists'!$W$2:$W$7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L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32" customWidth="1" min="4" max="4"/>
    <col width="14" customWidth="1" min="5" max="5"/>
    <col width="14" customWidth="1" min="6" max="6"/>
    <col width="18" customWidth="1" min="7" max="7"/>
    <col width="20" customWidth="1" min="8" max="8"/>
    <col width="20" customWidth="1" min="9" max="9"/>
    <col width="36" customWidth="1" min="10" max="10"/>
    <col width="16" customWidth="1" min="11" max="11"/>
    <col width="14" customWidth="1" min="12" max="12"/>
  </cols>
  <sheetData>
    <row r="1" ht="15" customHeight="1"/>
    <row r="2" ht="32" customHeight="1">
      <c r="B2" s="1" t="inlineStr">
        <is>
          <t>RAPPORTS INSTANCES REPRESENTATIVES (#96)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 Rapport</t>
        </is>
      </c>
      <c r="C4" s="10" t="inlineStr">
        <is>
          <t>Instance Concernee</t>
        </is>
      </c>
      <c r="D4" s="10" t="inlineStr">
        <is>
          <t>Titre Rapport</t>
        </is>
      </c>
      <c r="E4" s="10" t="inlineStr">
        <is>
          <t>Periode Debut</t>
        </is>
      </c>
      <c r="F4" s="10" t="inlineStr">
        <is>
          <t>Periode Fin</t>
        </is>
      </c>
      <c r="G4" s="10" t="inlineStr">
        <is>
          <t>Auteur</t>
        </is>
      </c>
      <c r="H4" s="10" t="inlineStr">
        <is>
          <t>Nb Reunions Citees</t>
        </is>
      </c>
      <c r="I4" s="10" t="inlineStr">
        <is>
          <t>Nb Decisions Suivies</t>
        </is>
      </c>
      <c r="J4" s="10" t="inlineStr">
        <is>
          <t>Recommandations</t>
        </is>
      </c>
      <c r="K4" s="10" t="inlineStr">
        <is>
          <t>Date Soumission</t>
        </is>
      </c>
      <c r="L4" s="10" t="inlineStr">
        <is>
          <t>Statut</t>
        </is>
      </c>
    </row>
    <row r="5" ht="22" customHeight="1">
      <c r="B5" s="11" t="inlineStr">
        <is>
          <t>RIR-001</t>
        </is>
      </c>
      <c r="C5" s="11" t="inlineStr">
        <is>
          <t>CSE</t>
        </is>
      </c>
      <c r="D5" s="11" t="inlineStr">
        <is>
          <t>Bilan annuel CSE 2024</t>
        </is>
      </c>
      <c r="E5" s="28" t="n">
        <v>45292</v>
      </c>
      <c r="F5" s="28" t="n">
        <v>45657</v>
      </c>
      <c r="G5" s="11" t="inlineStr">
        <is>
          <t>DRH Nganou</t>
        </is>
      </c>
      <c r="H5" s="13" t="n">
        <v>6</v>
      </c>
      <c r="I5" s="13" t="n">
        <v>18</v>
      </c>
      <c r="J5" s="11" t="inlineStr">
        <is>
          <t>Renforcer communication oeuvres sociales</t>
        </is>
      </c>
      <c r="K5" s="28" t="n">
        <v>45687</v>
      </c>
      <c r="L5" s="11" t="inlineStr">
        <is>
          <t>Approuve</t>
        </is>
      </c>
    </row>
    <row r="6" ht="22" customHeight="1">
      <c r="B6" s="14" t="inlineStr">
        <is>
          <t>RIR-002</t>
        </is>
      </c>
      <c r="C6" s="14" t="inlineStr">
        <is>
          <t>CHSCT</t>
        </is>
      </c>
      <c r="D6" s="14" t="inlineStr">
        <is>
          <t>Rapport securite T1 2025</t>
        </is>
      </c>
      <c r="E6" s="29" t="n">
        <v>45658</v>
      </c>
      <c r="F6" s="29" t="n">
        <v>45747</v>
      </c>
      <c r="G6" s="14" t="inlineStr">
        <is>
          <t>Chef Securite</t>
        </is>
      </c>
      <c r="H6" s="16" t="n">
        <v>2</v>
      </c>
      <c r="I6" s="16" t="n">
        <v>5</v>
      </c>
      <c r="J6" s="14" t="inlineStr">
        <is>
          <t>Equiper cuisine de detecteurs fumee</t>
        </is>
      </c>
      <c r="K6" s="29" t="n">
        <v>45762</v>
      </c>
      <c r="L6" s="14" t="inlineStr">
        <is>
          <t>Valide</t>
        </is>
      </c>
    </row>
    <row r="7" ht="22" customHeight="1">
      <c r="B7" s="11" t="inlineStr">
        <is>
          <t>RIR-003</t>
        </is>
      </c>
      <c r="C7" s="11" t="inlineStr">
        <is>
          <t>DP</t>
        </is>
      </c>
      <c r="D7" s="11" t="inlineStr">
        <is>
          <t>Rapport activite delegues S1 2025</t>
        </is>
      </c>
      <c r="E7" s="28" t="n">
        <v>45658</v>
      </c>
      <c r="F7" s="28" t="n">
        <v>45838</v>
      </c>
      <c r="G7" s="11" t="inlineStr">
        <is>
          <t>DP Koffi Amevi</t>
        </is>
      </c>
      <c r="H7" s="13" t="n">
        <v>12</v>
      </c>
      <c r="I7" s="13" t="n">
        <v>8</v>
      </c>
      <c r="J7" s="11" t="inlineStr">
        <is>
          <t>Installer boite suggestions numerique</t>
        </is>
      </c>
      <c r="K7" s="28" t="n">
        <v>45848</v>
      </c>
      <c r="L7" s="11" t="inlineStr">
        <is>
          <t>Brouillon</t>
        </is>
      </c>
    </row>
    <row r="8" ht="22" customHeight="1">
      <c r="B8" s="14" t="inlineStr">
        <is>
          <t>RIR-004</t>
        </is>
      </c>
      <c r="C8" s="14" t="inlineStr">
        <is>
          <t>Commission formation</t>
        </is>
      </c>
      <c r="D8" s="14" t="inlineStr">
        <is>
          <t>Bilan formations T1 2025</t>
        </is>
      </c>
      <c r="E8" s="29" t="n">
        <v>45658</v>
      </c>
      <c r="F8" s="29" t="n">
        <v>45747</v>
      </c>
      <c r="G8" s="14" t="inlineStr">
        <is>
          <t>Assistante RH</t>
        </is>
      </c>
      <c r="H8" s="16" t="n">
        <v>2</v>
      </c>
      <c r="I8" s="16" t="n">
        <v>12</v>
      </c>
      <c r="J8" s="14" t="inlineStr">
        <is>
          <t>Augmenter budget formation entretien</t>
        </is>
      </c>
      <c r="K8" s="29" t="n">
        <v>45767</v>
      </c>
      <c r="L8" s="14" t="inlineStr">
        <is>
          <t>Approuve</t>
        </is>
      </c>
    </row>
    <row r="9" ht="22" customHeight="1">
      <c r="B9" s="18">
        <f>IF(C9="","RIR-"&amp;TEXT(COUNTA($C$5:C9),"000"))</f>
        <v/>
      </c>
      <c r="C9" s="11" t="n"/>
      <c r="D9" s="11" t="n"/>
      <c r="E9" s="28" t="n"/>
      <c r="F9" s="28" t="n"/>
      <c r="G9" s="11" t="n"/>
      <c r="H9" s="13" t="n"/>
      <c r="I9" s="13" t="n"/>
      <c r="J9" s="11" t="n"/>
      <c r="K9" s="28" t="n"/>
      <c r="L9" s="11" t="n"/>
    </row>
    <row r="10" ht="22" customHeight="1">
      <c r="B10" s="17">
        <f>IF(C10="","RIR-"&amp;TEXT(COUNTA($C$5:C10),"000"))</f>
        <v/>
      </c>
      <c r="C10" s="14" t="n"/>
      <c r="D10" s="14" t="n"/>
      <c r="E10" s="29" t="n"/>
      <c r="F10" s="29" t="n"/>
      <c r="G10" s="14" t="n"/>
      <c r="H10" s="16" t="n"/>
      <c r="I10" s="16" t="n"/>
      <c r="J10" s="14" t="n"/>
      <c r="K10" s="29" t="n"/>
      <c r="L10" s="14" t="n"/>
    </row>
    <row r="11" ht="22" customHeight="1">
      <c r="B11" s="18">
        <f>IF(C11="","RIR-"&amp;TEXT(COUNTA($C$5:C11),"000"))</f>
        <v/>
      </c>
      <c r="C11" s="11" t="n"/>
      <c r="D11" s="11" t="n"/>
      <c r="E11" s="28" t="n"/>
      <c r="F11" s="28" t="n"/>
      <c r="G11" s="11" t="n"/>
      <c r="H11" s="13" t="n"/>
      <c r="I11" s="13" t="n"/>
      <c r="J11" s="11" t="n"/>
      <c r="K11" s="28" t="n"/>
      <c r="L11" s="11" t="n"/>
    </row>
    <row r="12" ht="22" customHeight="1">
      <c r="B12" s="17">
        <f>IF(C12="","RIR-"&amp;TEXT(COUNTA($C$5:C12),"000"))</f>
        <v/>
      </c>
      <c r="C12" s="14" t="n"/>
      <c r="D12" s="14" t="n"/>
      <c r="E12" s="29" t="n"/>
      <c r="F12" s="29" t="n"/>
      <c r="G12" s="14" t="n"/>
      <c r="H12" s="16" t="n"/>
      <c r="I12" s="16" t="n"/>
      <c r="J12" s="14" t="n"/>
      <c r="K12" s="29" t="n"/>
      <c r="L12" s="14" t="n"/>
    </row>
    <row r="13" ht="22" customHeight="1">
      <c r="B13" s="18">
        <f>IF(C13="","RIR-"&amp;TEXT(COUNTA($C$5:C13),"000"))</f>
        <v/>
      </c>
      <c r="C13" s="11" t="n"/>
      <c r="D13" s="11" t="n"/>
      <c r="E13" s="28" t="n"/>
      <c r="F13" s="28" t="n"/>
      <c r="G13" s="11" t="n"/>
      <c r="H13" s="13" t="n"/>
      <c r="I13" s="13" t="n"/>
      <c r="J13" s="11" t="n"/>
      <c r="K13" s="28" t="n"/>
      <c r="L13" s="11" t="n"/>
    </row>
    <row r="14" ht="22" customHeight="1">
      <c r="B14" s="17">
        <f>IF(C14="","RIR-"&amp;TEXT(COUNTA($C$5:C14),"000"))</f>
        <v/>
      </c>
      <c r="C14" s="14" t="n"/>
      <c r="D14" s="14" t="n"/>
      <c r="E14" s="29" t="n"/>
      <c r="F14" s="29" t="n"/>
      <c r="G14" s="14" t="n"/>
      <c r="H14" s="16" t="n"/>
      <c r="I14" s="16" t="n"/>
      <c r="J14" s="14" t="n"/>
      <c r="K14" s="29" t="n"/>
      <c r="L14" s="14" t="n"/>
    </row>
    <row r="15" ht="22" customHeight="1">
      <c r="B15" s="18">
        <f>IF(C15="","RIR-"&amp;TEXT(COUNTA($C$5:C15),"000"))</f>
        <v/>
      </c>
      <c r="C15" s="11" t="n"/>
      <c r="D15" s="11" t="n"/>
      <c r="E15" s="28" t="n"/>
      <c r="F15" s="28" t="n"/>
      <c r="G15" s="11" t="n"/>
      <c r="H15" s="13" t="n"/>
      <c r="I15" s="13" t="n"/>
      <c r="J15" s="11" t="n"/>
      <c r="K15" s="28" t="n"/>
      <c r="L15" s="11" t="n"/>
    </row>
    <row r="16" ht="22" customHeight="1">
      <c r="B16" s="17">
        <f>IF(C16="","RIR-"&amp;TEXT(COUNTA($C$5:C16),"000"))</f>
        <v/>
      </c>
      <c r="C16" s="14" t="n"/>
      <c r="D16" s="14" t="n"/>
      <c r="E16" s="29" t="n"/>
      <c r="F16" s="29" t="n"/>
      <c r="G16" s="14" t="n"/>
      <c r="H16" s="16" t="n"/>
      <c r="I16" s="16" t="n"/>
      <c r="J16" s="14" t="n"/>
      <c r="K16" s="29" t="n"/>
      <c r="L16" s="14" t="n"/>
    </row>
    <row r="17" ht="22" customHeight="1">
      <c r="B17" s="18">
        <f>IF(C17="","RIR-"&amp;TEXT(COUNTA($C$5:C17),"000"))</f>
        <v/>
      </c>
      <c r="C17" s="11" t="n"/>
      <c r="D17" s="11" t="n"/>
      <c r="E17" s="28" t="n"/>
      <c r="F17" s="28" t="n"/>
      <c r="G17" s="11" t="n"/>
      <c r="H17" s="13" t="n"/>
      <c r="I17" s="13" t="n"/>
      <c r="J17" s="11" t="n"/>
      <c r="K17" s="28" t="n"/>
      <c r="L17" s="11" t="n"/>
    </row>
    <row r="18" ht="22" customHeight="1">
      <c r="B18" s="17">
        <f>IF(C18="","RIR-"&amp;TEXT(COUNTA($C$5:C18),"000"))</f>
        <v/>
      </c>
      <c r="C18" s="14" t="n"/>
      <c r="D18" s="14" t="n"/>
      <c r="E18" s="29" t="n"/>
      <c r="F18" s="29" t="n"/>
      <c r="G18" s="14" t="n"/>
      <c r="H18" s="16" t="n"/>
      <c r="I18" s="16" t="n"/>
      <c r="J18" s="14" t="n"/>
      <c r="K18" s="29" t="n"/>
      <c r="L18" s="14" t="n"/>
    </row>
    <row r="19" ht="22" customHeight="1">
      <c r="B19" s="18">
        <f>IF(C19="","RIR-"&amp;TEXT(COUNTA($C$5:C19),"000"))</f>
        <v/>
      </c>
      <c r="C19" s="11" t="n"/>
      <c r="D19" s="11" t="n"/>
      <c r="E19" s="28" t="n"/>
      <c r="F19" s="28" t="n"/>
      <c r="G19" s="11" t="n"/>
      <c r="H19" s="13" t="n"/>
      <c r="I19" s="13" t="n"/>
      <c r="J19" s="11" t="n"/>
      <c r="K19" s="28" t="n"/>
      <c r="L19" s="11" t="n"/>
    </row>
    <row r="20" ht="22" customHeight="1">
      <c r="B20" s="17">
        <f>IF(C20="","RIR-"&amp;TEXT(COUNTA($C$5:C20),"000"))</f>
        <v/>
      </c>
      <c r="C20" s="14" t="n"/>
      <c r="D20" s="14" t="n"/>
      <c r="E20" s="29" t="n"/>
      <c r="F20" s="29" t="n"/>
      <c r="G20" s="14" t="n"/>
      <c r="H20" s="16" t="n"/>
      <c r="I20" s="16" t="n"/>
      <c r="J20" s="14" t="n"/>
      <c r="K20" s="29" t="n"/>
      <c r="L20" s="14" t="n"/>
    </row>
    <row r="21" ht="22" customHeight="1">
      <c r="B21" s="18">
        <f>IF(C21="","RIR-"&amp;TEXT(COUNTA($C$5:C21),"000"))</f>
        <v/>
      </c>
      <c r="C21" s="11" t="n"/>
      <c r="D21" s="11" t="n"/>
      <c r="E21" s="28" t="n"/>
      <c r="F21" s="28" t="n"/>
      <c r="G21" s="11" t="n"/>
      <c r="H21" s="13" t="n"/>
      <c r="I21" s="13" t="n"/>
      <c r="J21" s="11" t="n"/>
      <c r="K21" s="28" t="n"/>
      <c r="L21" s="11" t="n"/>
    </row>
    <row r="22" ht="22" customHeight="1">
      <c r="B22" s="17">
        <f>IF(C22="","RIR-"&amp;TEXT(COUNTA($C$5:C22),"000"))</f>
        <v/>
      </c>
      <c r="C22" s="14" t="n"/>
      <c r="D22" s="14" t="n"/>
      <c r="E22" s="29" t="n"/>
      <c r="F22" s="29" t="n"/>
      <c r="G22" s="14" t="n"/>
      <c r="H22" s="16" t="n"/>
      <c r="I22" s="16" t="n"/>
      <c r="J22" s="14" t="n"/>
      <c r="K22" s="29" t="n"/>
      <c r="L22" s="14" t="n"/>
    </row>
    <row r="23" ht="22" customHeight="1">
      <c r="B23" s="18">
        <f>IF(C23="","RIR-"&amp;TEXT(COUNTA($C$5:C23),"000"))</f>
        <v/>
      </c>
      <c r="C23" s="11" t="n"/>
      <c r="D23" s="11" t="n"/>
      <c r="E23" s="28" t="n"/>
      <c r="F23" s="28" t="n"/>
      <c r="G23" s="11" t="n"/>
      <c r="H23" s="13" t="n"/>
      <c r="I23" s="13" t="n"/>
      <c r="J23" s="11" t="n"/>
      <c r="K23" s="28" t="n"/>
      <c r="L23" s="11" t="n"/>
    </row>
    <row r="24" ht="22" customHeight="1">
      <c r="B24" s="17">
        <f>IF(C24="","RIR-"&amp;TEXT(COUNTA($C$5:C24),"000"))</f>
        <v/>
      </c>
      <c r="C24" s="14" t="n"/>
      <c r="D24" s="14" t="n"/>
      <c r="E24" s="29" t="n"/>
      <c r="F24" s="29" t="n"/>
      <c r="G24" s="14" t="n"/>
      <c r="H24" s="16" t="n"/>
      <c r="I24" s="16" t="n"/>
      <c r="J24" s="14" t="n"/>
      <c r="K24" s="29" t="n"/>
      <c r="L24" s="14" t="n"/>
    </row>
    <row r="25" ht="22" customHeight="1">
      <c r="B25" s="18">
        <f>IF(C25="","RIR-"&amp;TEXT(COUNTA($C$5:C25),"000"))</f>
        <v/>
      </c>
      <c r="C25" s="11" t="n"/>
      <c r="D25" s="11" t="n"/>
      <c r="E25" s="28" t="n"/>
      <c r="F25" s="28" t="n"/>
      <c r="G25" s="11" t="n"/>
      <c r="H25" s="13" t="n"/>
      <c r="I25" s="13" t="n"/>
      <c r="J25" s="11" t="n"/>
      <c r="K25" s="28" t="n"/>
      <c r="L25" s="11" t="n"/>
    </row>
    <row r="26" ht="22" customHeight="1">
      <c r="B26" s="17">
        <f>IF(C26="","RIR-"&amp;TEXT(COUNTA($C$5:C26),"000"))</f>
        <v/>
      </c>
      <c r="C26" s="14" t="n"/>
      <c r="D26" s="14" t="n"/>
      <c r="E26" s="29" t="n"/>
      <c r="F26" s="29" t="n"/>
      <c r="G26" s="14" t="n"/>
      <c r="H26" s="16" t="n"/>
      <c r="I26" s="16" t="n"/>
      <c r="J26" s="14" t="n"/>
      <c r="K26" s="29" t="n"/>
      <c r="L26" s="14" t="n"/>
    </row>
    <row r="27" ht="22" customHeight="1">
      <c r="B27" s="18">
        <f>IF(C27="","RIR-"&amp;TEXT(COUNTA($C$5:C27),"000"))</f>
        <v/>
      </c>
      <c r="C27" s="11" t="n"/>
      <c r="D27" s="11" t="n"/>
      <c r="E27" s="28" t="n"/>
      <c r="F27" s="28" t="n"/>
      <c r="G27" s="11" t="n"/>
      <c r="H27" s="13" t="n"/>
      <c r="I27" s="13" t="n"/>
      <c r="J27" s="11" t="n"/>
      <c r="K27" s="28" t="n"/>
      <c r="L27" s="11" t="n"/>
    </row>
    <row r="28" ht="22" customHeight="1">
      <c r="B28" s="17">
        <f>IF(C28="","RIR-"&amp;TEXT(COUNTA($C$5:C28),"000"))</f>
        <v/>
      </c>
      <c r="C28" s="14" t="n"/>
      <c r="D28" s="14" t="n"/>
      <c r="E28" s="29" t="n"/>
      <c r="F28" s="29" t="n"/>
      <c r="G28" s="14" t="n"/>
      <c r="H28" s="16" t="n"/>
      <c r="I28" s="16" t="n"/>
      <c r="J28" s="14" t="n"/>
      <c r="K28" s="29" t="n"/>
      <c r="L28" s="14" t="n"/>
    </row>
    <row r="29" ht="22" customHeight="1">
      <c r="B29" s="18">
        <f>IF(C29="","RIR-"&amp;TEXT(COUNTA($C$5:C29),"000"))</f>
        <v/>
      </c>
      <c r="C29" s="11" t="n"/>
      <c r="D29" s="11" t="n"/>
      <c r="E29" s="28" t="n"/>
      <c r="F29" s="28" t="n"/>
      <c r="G29" s="11" t="n"/>
      <c r="H29" s="13" t="n"/>
      <c r="I29" s="13" t="n"/>
      <c r="J29" s="11" t="n"/>
      <c r="K29" s="28" t="n"/>
      <c r="L29" s="11" t="n"/>
    </row>
    <row r="30" ht="22" customHeight="1">
      <c r="B30" s="17">
        <f>IF(C30="","RIR-"&amp;TEXT(COUNTA($C$5:C30),"000"))</f>
        <v/>
      </c>
      <c r="C30" s="14" t="n"/>
      <c r="D30" s="14" t="n"/>
      <c r="E30" s="29" t="n"/>
      <c r="F30" s="29" t="n"/>
      <c r="G30" s="14" t="n"/>
      <c r="H30" s="16" t="n"/>
      <c r="I30" s="16" t="n"/>
      <c r="J30" s="14" t="n"/>
      <c r="K30" s="29" t="n"/>
      <c r="L30" s="14" t="n"/>
    </row>
    <row r="31" ht="22" customHeight="1">
      <c r="B31" s="18">
        <f>IF(C31="","RIR-"&amp;TEXT(COUNTA($C$5:C31),"000"))</f>
        <v/>
      </c>
      <c r="C31" s="11" t="n"/>
      <c r="D31" s="11" t="n"/>
      <c r="E31" s="28" t="n"/>
      <c r="F31" s="28" t="n"/>
      <c r="G31" s="11" t="n"/>
      <c r="H31" s="13" t="n"/>
      <c r="I31" s="13" t="n"/>
      <c r="J31" s="11" t="n"/>
      <c r="K31" s="28" t="n"/>
      <c r="L31" s="11" t="n"/>
    </row>
    <row r="32" ht="22" customHeight="1">
      <c r="B32" s="17">
        <f>IF(C32="","RIR-"&amp;TEXT(COUNTA($C$5:C32),"000"))</f>
        <v/>
      </c>
      <c r="C32" s="14" t="n"/>
      <c r="D32" s="14" t="n"/>
      <c r="E32" s="29" t="n"/>
      <c r="F32" s="29" t="n"/>
      <c r="G32" s="14" t="n"/>
      <c r="H32" s="16" t="n"/>
      <c r="I32" s="16" t="n"/>
      <c r="J32" s="14" t="n"/>
      <c r="K32" s="29" t="n"/>
      <c r="L32" s="14" t="n"/>
    </row>
    <row r="33" ht="22" customHeight="1">
      <c r="B33" s="18">
        <f>IF(C33="","RIR-"&amp;TEXT(COUNTA($C$5:C33),"000"))</f>
        <v/>
      </c>
      <c r="C33" s="11" t="n"/>
      <c r="D33" s="11" t="n"/>
      <c r="E33" s="28" t="n"/>
      <c r="F33" s="28" t="n"/>
      <c r="G33" s="11" t="n"/>
      <c r="H33" s="13" t="n"/>
      <c r="I33" s="13" t="n"/>
      <c r="J33" s="11" t="n"/>
      <c r="K33" s="28" t="n"/>
      <c r="L33" s="11" t="n"/>
    </row>
    <row r="34" ht="22" customHeight="1">
      <c r="B34" s="17">
        <f>IF(C34="","RIR-"&amp;TEXT(COUNTA($C$5:C34),"000"))</f>
        <v/>
      </c>
      <c r="C34" s="14" t="n"/>
      <c r="D34" s="14" t="n"/>
      <c r="E34" s="29" t="n"/>
      <c r="F34" s="29" t="n"/>
      <c r="G34" s="14" t="n"/>
      <c r="H34" s="16" t="n"/>
      <c r="I34" s="16" t="n"/>
      <c r="J34" s="14" t="n"/>
      <c r="K34" s="29" t="n"/>
      <c r="L34" s="14" t="n"/>
    </row>
    <row r="35" ht="22" customHeight="1">
      <c r="B35" s="18">
        <f>IF(C35="","RIR-"&amp;TEXT(COUNTA($C$5:C35),"000"))</f>
        <v/>
      </c>
      <c r="C35" s="11" t="n"/>
      <c r="D35" s="11" t="n"/>
      <c r="E35" s="28" t="n"/>
      <c r="F35" s="28" t="n"/>
      <c r="G35" s="11" t="n"/>
      <c r="H35" s="13" t="n"/>
      <c r="I35" s="13" t="n"/>
      <c r="J35" s="11" t="n"/>
      <c r="K35" s="28" t="n"/>
      <c r="L35" s="11" t="n"/>
    </row>
    <row r="36" ht="22" customHeight="1">
      <c r="B36" s="17">
        <f>IF(C36="","RIR-"&amp;TEXT(COUNTA($C$5:C36),"000"))</f>
        <v/>
      </c>
      <c r="C36" s="14" t="n"/>
      <c r="D36" s="14" t="n"/>
      <c r="E36" s="29" t="n"/>
      <c r="F36" s="29" t="n"/>
      <c r="G36" s="14" t="n"/>
      <c r="H36" s="16" t="n"/>
      <c r="I36" s="16" t="n"/>
      <c r="J36" s="14" t="n"/>
      <c r="K36" s="29" t="n"/>
      <c r="L36" s="14" t="n"/>
    </row>
    <row r="37" ht="22" customHeight="1">
      <c r="B37" s="18">
        <f>IF(C37="","RIR-"&amp;TEXT(COUNTA($C$5:C37),"000"))</f>
        <v/>
      </c>
      <c r="C37" s="11" t="n"/>
      <c r="D37" s="11" t="n"/>
      <c r="E37" s="28" t="n"/>
      <c r="F37" s="28" t="n"/>
      <c r="G37" s="11" t="n"/>
      <c r="H37" s="13" t="n"/>
      <c r="I37" s="13" t="n"/>
      <c r="J37" s="11" t="n"/>
      <c r="K37" s="28" t="n"/>
      <c r="L37" s="11" t="n"/>
    </row>
    <row r="38" ht="22" customHeight="1">
      <c r="B38" s="17">
        <f>IF(C38="","RIR-"&amp;TEXT(COUNTA($C$5:C38),"000"))</f>
        <v/>
      </c>
      <c r="C38" s="14" t="n"/>
      <c r="D38" s="14" t="n"/>
      <c r="E38" s="29" t="n"/>
      <c r="F38" s="29" t="n"/>
      <c r="G38" s="14" t="n"/>
      <c r="H38" s="16" t="n"/>
      <c r="I38" s="16" t="n"/>
      <c r="J38" s="14" t="n"/>
      <c r="K38" s="29" t="n"/>
      <c r="L38" s="14" t="n"/>
    </row>
    <row r="39" ht="22" customHeight="1">
      <c r="B39" s="18">
        <f>IF(C39="","RIR-"&amp;TEXT(COUNTA($C$5:C39),"000"))</f>
        <v/>
      </c>
      <c r="C39" s="11" t="n"/>
      <c r="D39" s="11" t="n"/>
      <c r="E39" s="28" t="n"/>
      <c r="F39" s="28" t="n"/>
      <c r="G39" s="11" t="n"/>
      <c r="H39" s="13" t="n"/>
      <c r="I39" s="13" t="n"/>
      <c r="J39" s="11" t="n"/>
      <c r="K39" s="28" t="n"/>
      <c r="L39" s="11" t="n"/>
    </row>
    <row r="40" ht="22" customHeight="1">
      <c r="B40" s="17">
        <f>IF(C40="","RIR-"&amp;TEXT(COUNTA($C$5:C40),"000"))</f>
        <v/>
      </c>
      <c r="C40" s="14" t="n"/>
      <c r="D40" s="14" t="n"/>
      <c r="E40" s="29" t="n"/>
      <c r="F40" s="29" t="n"/>
      <c r="G40" s="14" t="n"/>
      <c r="H40" s="16" t="n"/>
      <c r="I40" s="16" t="n"/>
      <c r="J40" s="14" t="n"/>
      <c r="K40" s="29" t="n"/>
      <c r="L40" s="14" t="n"/>
    </row>
    <row r="41" ht="22" customHeight="1">
      <c r="B41" s="18">
        <f>IF(C41="","RIR-"&amp;TEXT(COUNTA($C$5:C41),"000"))</f>
        <v/>
      </c>
      <c r="C41" s="11" t="n"/>
      <c r="D41" s="11" t="n"/>
      <c r="E41" s="28" t="n"/>
      <c r="F41" s="28" t="n"/>
      <c r="G41" s="11" t="n"/>
      <c r="H41" s="13" t="n"/>
      <c r="I41" s="13" t="n"/>
      <c r="J41" s="11" t="n"/>
      <c r="K41" s="28" t="n"/>
      <c r="L41" s="11" t="n"/>
    </row>
    <row r="42" ht="22" customHeight="1">
      <c r="B42" s="17">
        <f>IF(C42="","RIR-"&amp;TEXT(COUNTA($C$5:C42),"000"))</f>
        <v/>
      </c>
      <c r="C42" s="14" t="n"/>
      <c r="D42" s="14" t="n"/>
      <c r="E42" s="29" t="n"/>
      <c r="F42" s="29" t="n"/>
      <c r="G42" s="14" t="n"/>
      <c r="H42" s="16" t="n"/>
      <c r="I42" s="16" t="n"/>
      <c r="J42" s="14" t="n"/>
      <c r="K42" s="29" t="n"/>
      <c r="L42" s="14" t="n"/>
    </row>
    <row r="43" ht="22" customHeight="1">
      <c r="B43" s="18">
        <f>IF(C43="","RIR-"&amp;TEXT(COUNTA($C$5:C43),"000"))</f>
        <v/>
      </c>
      <c r="C43" s="11" t="n"/>
      <c r="D43" s="11" t="n"/>
      <c r="E43" s="28" t="n"/>
      <c r="F43" s="28" t="n"/>
      <c r="G43" s="11" t="n"/>
      <c r="H43" s="13" t="n"/>
      <c r="I43" s="13" t="n"/>
      <c r="J43" s="11" t="n"/>
      <c r="K43" s="28" t="n"/>
      <c r="L43" s="11" t="n"/>
    </row>
    <row r="44" ht="22" customHeight="1">
      <c r="B44" s="17">
        <f>IF(C44="","RIR-"&amp;TEXT(COUNTA($C$5:C44),"000"))</f>
        <v/>
      </c>
      <c r="C44" s="14" t="n"/>
      <c r="D44" s="14" t="n"/>
      <c r="E44" s="29" t="n"/>
      <c r="F44" s="29" t="n"/>
      <c r="G44" s="14" t="n"/>
      <c r="H44" s="16" t="n"/>
      <c r="I44" s="16" t="n"/>
      <c r="J44" s="14" t="n"/>
      <c r="K44" s="29" t="n"/>
      <c r="L44" s="14" t="n"/>
    </row>
    <row r="45" ht="22" customHeight="1">
      <c r="B45" s="18">
        <f>IF(C45="","RIR-"&amp;TEXT(COUNTA($C$5:C45),"000"))</f>
        <v/>
      </c>
      <c r="C45" s="11" t="n"/>
      <c r="D45" s="11" t="n"/>
      <c r="E45" s="28" t="n"/>
      <c r="F45" s="28" t="n"/>
      <c r="G45" s="11" t="n"/>
      <c r="H45" s="13" t="n"/>
      <c r="I45" s="13" t="n"/>
      <c r="J45" s="11" t="n"/>
      <c r="K45" s="28" t="n"/>
      <c r="L45" s="11" t="n"/>
    </row>
    <row r="46" ht="22" customHeight="1">
      <c r="B46" s="17">
        <f>IF(C46="","RIR-"&amp;TEXT(COUNTA($C$5:C46),"000"))</f>
        <v/>
      </c>
      <c r="C46" s="14" t="n"/>
      <c r="D46" s="14" t="n"/>
      <c r="E46" s="29" t="n"/>
      <c r="F46" s="29" t="n"/>
      <c r="G46" s="14" t="n"/>
      <c r="H46" s="16" t="n"/>
      <c r="I46" s="16" t="n"/>
      <c r="J46" s="14" t="n"/>
      <c r="K46" s="29" t="n"/>
      <c r="L46" s="14" t="n"/>
    </row>
    <row r="47" ht="22" customHeight="1">
      <c r="B47" s="18">
        <f>IF(C47="","RIR-"&amp;TEXT(COUNTA($C$5:C47),"000"))</f>
        <v/>
      </c>
      <c r="C47" s="11" t="n"/>
      <c r="D47" s="11" t="n"/>
      <c r="E47" s="28" t="n"/>
      <c r="F47" s="28" t="n"/>
      <c r="G47" s="11" t="n"/>
      <c r="H47" s="13" t="n"/>
      <c r="I47" s="13" t="n"/>
      <c r="J47" s="11" t="n"/>
      <c r="K47" s="28" t="n"/>
      <c r="L47" s="11" t="n"/>
    </row>
    <row r="48" ht="22" customHeight="1">
      <c r="B48" s="17">
        <f>IF(C48="","RIR-"&amp;TEXT(COUNTA($C$5:C48),"000"))</f>
        <v/>
      </c>
      <c r="C48" s="14" t="n"/>
      <c r="D48" s="14" t="n"/>
      <c r="E48" s="29" t="n"/>
      <c r="F48" s="29" t="n"/>
      <c r="G48" s="14" t="n"/>
      <c r="H48" s="16" t="n"/>
      <c r="I48" s="16" t="n"/>
      <c r="J48" s="14" t="n"/>
      <c r="K48" s="29" t="n"/>
      <c r="L48" s="14" t="n"/>
    </row>
    <row r="49" ht="22" customHeight="1">
      <c r="B49" s="18">
        <f>IF(C49="","RIR-"&amp;TEXT(COUNTA($C$5:C49),"000"))</f>
        <v/>
      </c>
      <c r="C49" s="11" t="n"/>
      <c r="D49" s="11" t="n"/>
      <c r="E49" s="28" t="n"/>
      <c r="F49" s="28" t="n"/>
      <c r="G49" s="11" t="n"/>
      <c r="H49" s="13" t="n"/>
      <c r="I49" s="13" t="n"/>
      <c r="J49" s="11" t="n"/>
      <c r="K49" s="28" t="n"/>
      <c r="L49" s="11" t="n"/>
    </row>
    <row r="50" ht="22" customHeight="1">
      <c r="B50" s="17">
        <f>IF(C50="","RIR-"&amp;TEXT(COUNTA($C$5:C50),"000"))</f>
        <v/>
      </c>
      <c r="C50" s="14" t="n"/>
      <c r="D50" s="14" t="n"/>
      <c r="E50" s="29" t="n"/>
      <c r="F50" s="29" t="n"/>
      <c r="G50" s="14" t="n"/>
      <c r="H50" s="16" t="n"/>
      <c r="I50" s="16" t="n"/>
      <c r="J50" s="14" t="n"/>
      <c r="K50" s="29" t="n"/>
      <c r="L50" s="14" t="n"/>
    </row>
    <row r="51" ht="22" customHeight="1">
      <c r="B51" s="18">
        <f>IF(C51="","RIR-"&amp;TEXT(COUNTA($C$5:C51),"000"))</f>
        <v/>
      </c>
      <c r="C51" s="11" t="n"/>
      <c r="D51" s="11" t="n"/>
      <c r="E51" s="28" t="n"/>
      <c r="F51" s="28" t="n"/>
      <c r="G51" s="11" t="n"/>
      <c r="H51" s="13" t="n"/>
      <c r="I51" s="13" t="n"/>
      <c r="J51" s="11" t="n"/>
      <c r="K51" s="28" t="n"/>
      <c r="L51" s="11" t="n"/>
    </row>
    <row r="52" ht="22" customHeight="1">
      <c r="B52" s="17">
        <f>IF(C52="","RIR-"&amp;TEXT(COUNTA($C$5:C52),"000"))</f>
        <v/>
      </c>
      <c r="C52" s="14" t="n"/>
      <c r="D52" s="14" t="n"/>
      <c r="E52" s="29" t="n"/>
      <c r="F52" s="29" t="n"/>
      <c r="G52" s="14" t="n"/>
      <c r="H52" s="16" t="n"/>
      <c r="I52" s="16" t="n"/>
      <c r="J52" s="14" t="n"/>
      <c r="K52" s="29" t="n"/>
      <c r="L52" s="14" t="n"/>
    </row>
    <row r="53" ht="22" customHeight="1">
      <c r="B53" s="18">
        <f>IF(C53="","RIR-"&amp;TEXT(COUNTA($C$5:C53),"000"))</f>
        <v/>
      </c>
      <c r="C53" s="11" t="n"/>
      <c r="D53" s="11" t="n"/>
      <c r="E53" s="28" t="n"/>
      <c r="F53" s="28" t="n"/>
      <c r="G53" s="11" t="n"/>
      <c r="H53" s="13" t="n"/>
      <c r="I53" s="13" t="n"/>
      <c r="J53" s="11" t="n"/>
      <c r="K53" s="28" t="n"/>
      <c r="L53" s="11" t="n"/>
    </row>
    <row r="54" ht="22" customHeight="1">
      <c r="B54" s="17">
        <f>IF(C54="","RIR-"&amp;TEXT(COUNTA($C$5:C54),"000"))</f>
        <v/>
      </c>
      <c r="C54" s="14" t="n"/>
      <c r="D54" s="14" t="n"/>
      <c r="E54" s="29" t="n"/>
      <c r="F54" s="29" t="n"/>
      <c r="G54" s="14" t="n"/>
      <c r="H54" s="16" t="n"/>
      <c r="I54" s="16" t="n"/>
      <c r="J54" s="14" t="n"/>
      <c r="K54" s="29" t="n"/>
      <c r="L54" s="14" t="n"/>
    </row>
    <row r="55" ht="22" customHeight="1">
      <c r="B55" s="18">
        <f>IF(C55="","RIR-"&amp;TEXT(COUNTA($C$5:C55),"000"))</f>
        <v/>
      </c>
      <c r="C55" s="11" t="n"/>
      <c r="D55" s="11" t="n"/>
      <c r="E55" s="28" t="n"/>
      <c r="F55" s="28" t="n"/>
      <c r="G55" s="11" t="n"/>
      <c r="H55" s="13" t="n"/>
      <c r="I55" s="13" t="n"/>
      <c r="J55" s="11" t="n"/>
      <c r="K55" s="28" t="n"/>
      <c r="L55" s="11" t="n"/>
    </row>
    <row r="56" ht="22" customHeight="1">
      <c r="B56" s="17">
        <f>IF(C56="","RIR-"&amp;TEXT(COUNTA($C$5:C56),"000"))</f>
        <v/>
      </c>
      <c r="C56" s="14" t="n"/>
      <c r="D56" s="14" t="n"/>
      <c r="E56" s="29" t="n"/>
      <c r="F56" s="29" t="n"/>
      <c r="G56" s="14" t="n"/>
      <c r="H56" s="16" t="n"/>
      <c r="I56" s="16" t="n"/>
      <c r="J56" s="14" t="n"/>
      <c r="K56" s="29" t="n"/>
      <c r="L56" s="14" t="n"/>
    </row>
    <row r="57" ht="22" customHeight="1">
      <c r="B57" s="18">
        <f>IF(C57="","RIR-"&amp;TEXT(COUNTA($C$5:C57),"000"))</f>
        <v/>
      </c>
      <c r="C57" s="11" t="n"/>
      <c r="D57" s="11" t="n"/>
      <c r="E57" s="28" t="n"/>
      <c r="F57" s="28" t="n"/>
      <c r="G57" s="11" t="n"/>
      <c r="H57" s="13" t="n"/>
      <c r="I57" s="13" t="n"/>
      <c r="J57" s="11" t="n"/>
      <c r="K57" s="28" t="n"/>
      <c r="L57" s="11" t="n"/>
    </row>
    <row r="58" ht="22" customHeight="1">
      <c r="B58" s="17">
        <f>IF(C58="","RIR-"&amp;TEXT(COUNTA($C$5:C58),"000"))</f>
        <v/>
      </c>
      <c r="C58" s="14" t="n"/>
      <c r="D58" s="14" t="n"/>
      <c r="E58" s="29" t="n"/>
      <c r="F58" s="29" t="n"/>
      <c r="G58" s="14" t="n"/>
      <c r="H58" s="16" t="n"/>
      <c r="I58" s="16" t="n"/>
      <c r="J58" s="14" t="n"/>
      <c r="K58" s="29" t="n"/>
      <c r="L58" s="14" t="n"/>
    </row>
    <row r="59" ht="22" customHeight="1">
      <c r="B59" s="18">
        <f>IF(C59="","RIR-"&amp;TEXT(COUNTA($C$5:C59),"000"))</f>
        <v/>
      </c>
      <c r="C59" s="11" t="n"/>
      <c r="D59" s="11" t="n"/>
      <c r="E59" s="28" t="n"/>
      <c r="F59" s="28" t="n"/>
      <c r="G59" s="11" t="n"/>
      <c r="H59" s="13" t="n"/>
      <c r="I59" s="13" t="n"/>
      <c r="J59" s="11" t="n"/>
      <c r="K59" s="28" t="n"/>
      <c r="L59" s="11" t="n"/>
    </row>
    <row r="60" ht="22" customHeight="1">
      <c r="B60" s="17">
        <f>IF(C60="","RIR-"&amp;TEXT(COUNTA($C$5:C60),"000"))</f>
        <v/>
      </c>
      <c r="C60" s="14" t="n"/>
      <c r="D60" s="14" t="n"/>
      <c r="E60" s="29" t="n"/>
      <c r="F60" s="29" t="n"/>
      <c r="G60" s="14" t="n"/>
      <c r="H60" s="16" t="n"/>
      <c r="I60" s="16" t="n"/>
      <c r="J60" s="14" t="n"/>
      <c r="K60" s="29" t="n"/>
      <c r="L60" s="14" t="n"/>
    </row>
    <row r="61" ht="22" customHeight="1">
      <c r="B61" s="18">
        <f>IF(C61="","RIR-"&amp;TEXT(COUNTA($C$5:C61),"000"))</f>
        <v/>
      </c>
      <c r="C61" s="11" t="n"/>
      <c r="D61" s="11" t="n"/>
      <c r="E61" s="28" t="n"/>
      <c r="F61" s="28" t="n"/>
      <c r="G61" s="11" t="n"/>
      <c r="H61" s="13" t="n"/>
      <c r="I61" s="13" t="n"/>
      <c r="J61" s="11" t="n"/>
      <c r="K61" s="28" t="n"/>
      <c r="L61" s="11" t="n"/>
    </row>
    <row r="62" ht="22" customHeight="1">
      <c r="B62" s="17">
        <f>IF(C62="","RIR-"&amp;TEXT(COUNTA($C$5:C62),"000"))</f>
        <v/>
      </c>
      <c r="C62" s="14" t="n"/>
      <c r="D62" s="14" t="n"/>
      <c r="E62" s="29" t="n"/>
      <c r="F62" s="29" t="n"/>
      <c r="G62" s="14" t="n"/>
      <c r="H62" s="16" t="n"/>
      <c r="I62" s="16" t="n"/>
      <c r="J62" s="14" t="n"/>
      <c r="K62" s="29" t="n"/>
      <c r="L62" s="14" t="n"/>
    </row>
    <row r="63" ht="22" customHeight="1">
      <c r="B63" s="18">
        <f>IF(C63="","RIR-"&amp;TEXT(COUNTA($C$5:C63),"000"))</f>
        <v/>
      </c>
      <c r="C63" s="11" t="n"/>
      <c r="D63" s="11" t="n"/>
      <c r="E63" s="28" t="n"/>
      <c r="F63" s="28" t="n"/>
      <c r="G63" s="11" t="n"/>
      <c r="H63" s="13" t="n"/>
      <c r="I63" s="13" t="n"/>
      <c r="J63" s="11" t="n"/>
      <c r="K63" s="28" t="n"/>
      <c r="L63" s="11" t="n"/>
    </row>
    <row r="64" ht="22" customHeight="1">
      <c r="B64" s="17">
        <f>IF(C64="","RIR-"&amp;TEXT(COUNTA($C$5:C64),"000"))</f>
        <v/>
      </c>
      <c r="C64" s="14" t="n"/>
      <c r="D64" s="14" t="n"/>
      <c r="E64" s="29" t="n"/>
      <c r="F64" s="29" t="n"/>
      <c r="G64" s="14" t="n"/>
      <c r="H64" s="16" t="n"/>
      <c r="I64" s="16" t="n"/>
      <c r="J64" s="14" t="n"/>
      <c r="K64" s="29" t="n"/>
      <c r="L64" s="14" t="n"/>
    </row>
    <row r="65" ht="22" customHeight="1">
      <c r="B65" s="18">
        <f>IF(C65="","RIR-"&amp;TEXT(COUNTA($C$5:C65),"000"))</f>
        <v/>
      </c>
      <c r="C65" s="11" t="n"/>
      <c r="D65" s="11" t="n"/>
      <c r="E65" s="28" t="n"/>
      <c r="F65" s="28" t="n"/>
      <c r="G65" s="11" t="n"/>
      <c r="H65" s="13" t="n"/>
      <c r="I65" s="13" t="n"/>
      <c r="J65" s="11" t="n"/>
      <c r="K65" s="28" t="n"/>
      <c r="L65" s="11" t="n"/>
    </row>
    <row r="66" ht="22" customHeight="1">
      <c r="B66" s="17">
        <f>IF(C66="","RIR-"&amp;TEXT(COUNTA($C$5:C66),"000"))</f>
        <v/>
      </c>
      <c r="C66" s="14" t="n"/>
      <c r="D66" s="14" t="n"/>
      <c r="E66" s="29" t="n"/>
      <c r="F66" s="29" t="n"/>
      <c r="G66" s="14" t="n"/>
      <c r="H66" s="16" t="n"/>
      <c r="I66" s="16" t="n"/>
      <c r="J66" s="14" t="n"/>
      <c r="K66" s="29" t="n"/>
      <c r="L66" s="14" t="n"/>
    </row>
    <row r="67" ht="22" customHeight="1">
      <c r="B67" s="18">
        <f>IF(C67="","RIR-"&amp;TEXT(COUNTA($C$5:C67),"000"))</f>
        <v/>
      </c>
      <c r="C67" s="11" t="n"/>
      <c r="D67" s="11" t="n"/>
      <c r="E67" s="28" t="n"/>
      <c r="F67" s="28" t="n"/>
      <c r="G67" s="11" t="n"/>
      <c r="H67" s="13" t="n"/>
      <c r="I67" s="13" t="n"/>
      <c r="J67" s="11" t="n"/>
      <c r="K67" s="28" t="n"/>
      <c r="L67" s="11" t="n"/>
    </row>
    <row r="68" ht="22" customHeight="1">
      <c r="B68" s="17">
        <f>IF(C68="","RIR-"&amp;TEXT(COUNTA($C$5:C68),"000"))</f>
        <v/>
      </c>
      <c r="C68" s="14" t="n"/>
      <c r="D68" s="14" t="n"/>
      <c r="E68" s="29" t="n"/>
      <c r="F68" s="29" t="n"/>
      <c r="G68" s="14" t="n"/>
      <c r="H68" s="16" t="n"/>
      <c r="I68" s="16" t="n"/>
      <c r="J68" s="14" t="n"/>
      <c r="K68" s="29" t="n"/>
      <c r="L68" s="14" t="n"/>
    </row>
    <row r="69" ht="22" customHeight="1">
      <c r="B69" s="18">
        <f>IF(C69="","RIR-"&amp;TEXT(COUNTA($C$5:C69),"000"))</f>
        <v/>
      </c>
      <c r="C69" s="11" t="n"/>
      <c r="D69" s="11" t="n"/>
      <c r="E69" s="28" t="n"/>
      <c r="F69" s="28" t="n"/>
      <c r="G69" s="11" t="n"/>
      <c r="H69" s="13" t="n"/>
      <c r="I69" s="13" t="n"/>
      <c r="J69" s="11" t="n"/>
      <c r="K69" s="28" t="n"/>
      <c r="L69" s="11" t="n"/>
    </row>
    <row r="70" ht="22" customHeight="1">
      <c r="B70" s="17">
        <f>IF(C70="","RIR-"&amp;TEXT(COUNTA($C$5:C70),"000"))</f>
        <v/>
      </c>
      <c r="C70" s="14" t="n"/>
      <c r="D70" s="14" t="n"/>
      <c r="E70" s="29" t="n"/>
      <c r="F70" s="29" t="n"/>
      <c r="G70" s="14" t="n"/>
      <c r="H70" s="16" t="n"/>
      <c r="I70" s="16" t="n"/>
      <c r="J70" s="14" t="n"/>
      <c r="K70" s="29" t="n"/>
      <c r="L70" s="14" t="n"/>
    </row>
    <row r="71" ht="22" customHeight="1">
      <c r="B71" s="18">
        <f>IF(C71="","RIR-"&amp;TEXT(COUNTA($C$5:C71),"000"))</f>
        <v/>
      </c>
      <c r="C71" s="11" t="n"/>
      <c r="D71" s="11" t="n"/>
      <c r="E71" s="28" t="n"/>
      <c r="F71" s="28" t="n"/>
      <c r="G71" s="11" t="n"/>
      <c r="H71" s="13" t="n"/>
      <c r="I71" s="13" t="n"/>
      <c r="J71" s="11" t="n"/>
      <c r="K71" s="28" t="n"/>
      <c r="L71" s="11" t="n"/>
    </row>
    <row r="72" ht="22" customHeight="1">
      <c r="B72" s="17">
        <f>IF(C72="","RIR-"&amp;TEXT(COUNTA($C$5:C72),"000"))</f>
        <v/>
      </c>
      <c r="C72" s="14" t="n"/>
      <c r="D72" s="14" t="n"/>
      <c r="E72" s="29" t="n"/>
      <c r="F72" s="29" t="n"/>
      <c r="G72" s="14" t="n"/>
      <c r="H72" s="16" t="n"/>
      <c r="I72" s="16" t="n"/>
      <c r="J72" s="14" t="n"/>
      <c r="K72" s="29" t="n"/>
      <c r="L72" s="14" t="n"/>
    </row>
    <row r="73" ht="22" customHeight="1">
      <c r="B73" s="18">
        <f>IF(C73="","RIR-"&amp;TEXT(COUNTA($C$5:C73),"000"))</f>
        <v/>
      </c>
      <c r="C73" s="11" t="n"/>
      <c r="D73" s="11" t="n"/>
      <c r="E73" s="28" t="n"/>
      <c r="F73" s="28" t="n"/>
      <c r="G73" s="11" t="n"/>
      <c r="H73" s="13" t="n"/>
      <c r="I73" s="13" t="n"/>
      <c r="J73" s="11" t="n"/>
      <c r="K73" s="28" t="n"/>
      <c r="L73" s="11" t="n"/>
    </row>
    <row r="74" ht="22" customHeight="1">
      <c r="B74" s="17">
        <f>IF(C74="","RIR-"&amp;TEXT(COUNTA($C$5:C74),"000"))</f>
        <v/>
      </c>
      <c r="C74" s="14" t="n"/>
      <c r="D74" s="14" t="n"/>
      <c r="E74" s="29" t="n"/>
      <c r="F74" s="29" t="n"/>
      <c r="G74" s="14" t="n"/>
      <c r="H74" s="16" t="n"/>
      <c r="I74" s="16" t="n"/>
      <c r="J74" s="14" t="n"/>
      <c r="K74" s="29" t="n"/>
      <c r="L74" s="14" t="n"/>
    </row>
    <row r="75" ht="22" customHeight="1">
      <c r="B75" s="18">
        <f>IF(C75="","RIR-"&amp;TEXT(COUNTA($C$5:C75),"000"))</f>
        <v/>
      </c>
      <c r="C75" s="11" t="n"/>
      <c r="D75" s="11" t="n"/>
      <c r="E75" s="28" t="n"/>
      <c r="F75" s="28" t="n"/>
      <c r="G75" s="11" t="n"/>
      <c r="H75" s="13" t="n"/>
      <c r="I75" s="13" t="n"/>
      <c r="J75" s="11" t="n"/>
      <c r="K75" s="28" t="n"/>
      <c r="L75" s="11" t="n"/>
    </row>
    <row r="76" ht="22" customHeight="1">
      <c r="B76" s="17">
        <f>IF(C76="","RIR-"&amp;TEXT(COUNTA($C$5:C76),"000"))</f>
        <v/>
      </c>
      <c r="C76" s="14" t="n"/>
      <c r="D76" s="14" t="n"/>
      <c r="E76" s="29" t="n"/>
      <c r="F76" s="29" t="n"/>
      <c r="G76" s="14" t="n"/>
      <c r="H76" s="16" t="n"/>
      <c r="I76" s="16" t="n"/>
      <c r="J76" s="14" t="n"/>
      <c r="K76" s="29" t="n"/>
      <c r="L76" s="14" t="n"/>
    </row>
    <row r="77" ht="22" customHeight="1">
      <c r="B77" s="18">
        <f>IF(C77="","RIR-"&amp;TEXT(COUNTA($C$5:C77),"000"))</f>
        <v/>
      </c>
      <c r="C77" s="11" t="n"/>
      <c r="D77" s="11" t="n"/>
      <c r="E77" s="28" t="n"/>
      <c r="F77" s="28" t="n"/>
      <c r="G77" s="11" t="n"/>
      <c r="H77" s="13" t="n"/>
      <c r="I77" s="13" t="n"/>
      <c r="J77" s="11" t="n"/>
      <c r="K77" s="28" t="n"/>
      <c r="L77" s="11" t="n"/>
    </row>
    <row r="78" ht="22" customHeight="1">
      <c r="B78" s="17">
        <f>IF(C78="","RIR-"&amp;TEXT(COUNTA($C$5:C78),"000"))</f>
        <v/>
      </c>
      <c r="C78" s="14" t="n"/>
      <c r="D78" s="14" t="n"/>
      <c r="E78" s="29" t="n"/>
      <c r="F78" s="29" t="n"/>
      <c r="G78" s="14" t="n"/>
      <c r="H78" s="16" t="n"/>
      <c r="I78" s="16" t="n"/>
      <c r="J78" s="14" t="n"/>
      <c r="K78" s="29" t="n"/>
      <c r="L78" s="14" t="n"/>
    </row>
    <row r="79" ht="22" customHeight="1">
      <c r="B79" s="18">
        <f>IF(C79="","RIR-"&amp;TEXT(COUNTA($C$5:C79),"000"))</f>
        <v/>
      </c>
      <c r="C79" s="11" t="n"/>
      <c r="D79" s="11" t="n"/>
      <c r="E79" s="28" t="n"/>
      <c r="F79" s="28" t="n"/>
      <c r="G79" s="11" t="n"/>
      <c r="H79" s="13" t="n"/>
      <c r="I79" s="13" t="n"/>
      <c r="J79" s="11" t="n"/>
      <c r="K79" s="28" t="n"/>
      <c r="L79" s="11" t="n"/>
    </row>
    <row r="80" ht="22" customHeight="1">
      <c r="B80" s="17">
        <f>IF(C80="","RIR-"&amp;TEXT(COUNTA($C$5:C80),"000"))</f>
        <v/>
      </c>
      <c r="C80" s="14" t="n"/>
      <c r="D80" s="14" t="n"/>
      <c r="E80" s="29" t="n"/>
      <c r="F80" s="29" t="n"/>
      <c r="G80" s="14" t="n"/>
      <c r="H80" s="16" t="n"/>
      <c r="I80" s="16" t="n"/>
      <c r="J80" s="14" t="n"/>
      <c r="K80" s="29" t="n"/>
      <c r="L80" s="14" t="n"/>
    </row>
    <row r="81" ht="22" customHeight="1">
      <c r="B81" s="18">
        <f>IF(C81="","RIR-"&amp;TEXT(COUNTA($C$5:C81),"000"))</f>
        <v/>
      </c>
      <c r="C81" s="11" t="n"/>
      <c r="D81" s="11" t="n"/>
      <c r="E81" s="28" t="n"/>
      <c r="F81" s="28" t="n"/>
      <c r="G81" s="11" t="n"/>
      <c r="H81" s="13" t="n"/>
      <c r="I81" s="13" t="n"/>
      <c r="J81" s="11" t="n"/>
      <c r="K81" s="28" t="n"/>
      <c r="L81" s="11" t="n"/>
    </row>
    <row r="82" ht="22" customHeight="1">
      <c r="B82" s="17">
        <f>IF(C82="","RIR-"&amp;TEXT(COUNTA($C$5:C82),"000"))</f>
        <v/>
      </c>
      <c r="C82" s="14" t="n"/>
      <c r="D82" s="14" t="n"/>
      <c r="E82" s="29" t="n"/>
      <c r="F82" s="29" t="n"/>
      <c r="G82" s="14" t="n"/>
      <c r="H82" s="16" t="n"/>
      <c r="I82" s="16" t="n"/>
      <c r="J82" s="14" t="n"/>
      <c r="K82" s="29" t="n"/>
      <c r="L82" s="14" t="n"/>
    </row>
    <row r="83" ht="22" customHeight="1">
      <c r="B83" s="18">
        <f>IF(C83="","RIR-"&amp;TEXT(COUNTA($C$5:C83),"000"))</f>
        <v/>
      </c>
      <c r="C83" s="11" t="n"/>
      <c r="D83" s="11" t="n"/>
      <c r="E83" s="28" t="n"/>
      <c r="F83" s="28" t="n"/>
      <c r="G83" s="11" t="n"/>
      <c r="H83" s="13" t="n"/>
      <c r="I83" s="13" t="n"/>
      <c r="J83" s="11" t="n"/>
      <c r="K83" s="28" t="n"/>
      <c r="L83" s="11" t="n"/>
    </row>
    <row r="84" ht="22" customHeight="1">
      <c r="B84" s="17">
        <f>IF(C84="","RIR-"&amp;TEXT(COUNTA($C$5:C84),"000"))</f>
        <v/>
      </c>
      <c r="C84" s="14" t="n"/>
      <c r="D84" s="14" t="n"/>
      <c r="E84" s="29" t="n"/>
      <c r="F84" s="29" t="n"/>
      <c r="G84" s="14" t="n"/>
      <c r="H84" s="16" t="n"/>
      <c r="I84" s="16" t="n"/>
      <c r="J84" s="14" t="n"/>
      <c r="K84" s="29" t="n"/>
      <c r="L84" s="14" t="n"/>
    </row>
    <row r="85" ht="22" customHeight="1">
      <c r="B85" s="18">
        <f>IF(C85="","RIR-"&amp;TEXT(COUNTA($C$5:C85),"000"))</f>
        <v/>
      </c>
      <c r="C85" s="11" t="n"/>
      <c r="D85" s="11" t="n"/>
      <c r="E85" s="28" t="n"/>
      <c r="F85" s="28" t="n"/>
      <c r="G85" s="11" t="n"/>
      <c r="H85" s="13" t="n"/>
      <c r="I85" s="13" t="n"/>
      <c r="J85" s="11" t="n"/>
      <c r="K85" s="28" t="n"/>
      <c r="L85" s="11" t="n"/>
    </row>
    <row r="86" ht="22" customHeight="1">
      <c r="B86" s="17">
        <f>IF(C86="","RIR-"&amp;TEXT(COUNTA($C$5:C86),"000"))</f>
        <v/>
      </c>
      <c r="C86" s="14" t="n"/>
      <c r="D86" s="14" t="n"/>
      <c r="E86" s="29" t="n"/>
      <c r="F86" s="29" t="n"/>
      <c r="G86" s="14" t="n"/>
      <c r="H86" s="16" t="n"/>
      <c r="I86" s="16" t="n"/>
      <c r="J86" s="14" t="n"/>
      <c r="K86" s="29" t="n"/>
      <c r="L86" s="14" t="n"/>
    </row>
    <row r="87" ht="22" customHeight="1">
      <c r="B87" s="18">
        <f>IF(C87="","RIR-"&amp;TEXT(COUNTA($C$5:C87),"000"))</f>
        <v/>
      </c>
      <c r="C87" s="11" t="n"/>
      <c r="D87" s="11" t="n"/>
      <c r="E87" s="28" t="n"/>
      <c r="F87" s="28" t="n"/>
      <c r="G87" s="11" t="n"/>
      <c r="H87" s="13" t="n"/>
      <c r="I87" s="13" t="n"/>
      <c r="J87" s="11" t="n"/>
      <c r="K87" s="28" t="n"/>
      <c r="L87" s="11" t="n"/>
    </row>
    <row r="88" ht="22" customHeight="1">
      <c r="B88" s="17">
        <f>IF(C88="","RIR-"&amp;TEXT(COUNTA($C$5:C88),"000"))</f>
        <v/>
      </c>
      <c r="C88" s="14" t="n"/>
      <c r="D88" s="14" t="n"/>
      <c r="E88" s="29" t="n"/>
      <c r="F88" s="29" t="n"/>
      <c r="G88" s="14" t="n"/>
      <c r="H88" s="16" t="n"/>
      <c r="I88" s="16" t="n"/>
      <c r="J88" s="14" t="n"/>
      <c r="K88" s="29" t="n"/>
      <c r="L88" s="14" t="n"/>
    </row>
    <row r="89" ht="22" customHeight="1">
      <c r="B89" s="18">
        <f>IF(C89="","RIR-"&amp;TEXT(COUNTA($C$5:C89),"000"))</f>
        <v/>
      </c>
      <c r="C89" s="11" t="n"/>
      <c r="D89" s="11" t="n"/>
      <c r="E89" s="28" t="n"/>
      <c r="F89" s="28" t="n"/>
      <c r="G89" s="11" t="n"/>
      <c r="H89" s="13" t="n"/>
      <c r="I89" s="13" t="n"/>
      <c r="J89" s="11" t="n"/>
      <c r="K89" s="28" t="n"/>
      <c r="L89" s="11" t="n"/>
    </row>
    <row r="90" ht="22" customHeight="1">
      <c r="B90" s="17">
        <f>IF(C90="","RIR-"&amp;TEXT(COUNTA($C$5:C90),"000"))</f>
        <v/>
      </c>
      <c r="C90" s="14" t="n"/>
      <c r="D90" s="14" t="n"/>
      <c r="E90" s="29" t="n"/>
      <c r="F90" s="29" t="n"/>
      <c r="G90" s="14" t="n"/>
      <c r="H90" s="16" t="n"/>
      <c r="I90" s="16" t="n"/>
      <c r="J90" s="14" t="n"/>
      <c r="K90" s="29" t="n"/>
      <c r="L90" s="14" t="n"/>
    </row>
    <row r="91" ht="22" customHeight="1">
      <c r="B91" s="18">
        <f>IF(C91="","RIR-"&amp;TEXT(COUNTA($C$5:C91),"000"))</f>
        <v/>
      </c>
      <c r="C91" s="11" t="n"/>
      <c r="D91" s="11" t="n"/>
      <c r="E91" s="28" t="n"/>
      <c r="F91" s="28" t="n"/>
      <c r="G91" s="11" t="n"/>
      <c r="H91" s="13" t="n"/>
      <c r="I91" s="13" t="n"/>
      <c r="J91" s="11" t="n"/>
      <c r="K91" s="28" t="n"/>
      <c r="L91" s="11" t="n"/>
    </row>
    <row r="92" ht="22" customHeight="1">
      <c r="B92" s="17">
        <f>IF(C92="","RIR-"&amp;TEXT(COUNTA($C$5:C92),"000"))</f>
        <v/>
      </c>
      <c r="C92" s="14" t="n"/>
      <c r="D92" s="14" t="n"/>
      <c r="E92" s="29" t="n"/>
      <c r="F92" s="29" t="n"/>
      <c r="G92" s="14" t="n"/>
      <c r="H92" s="16" t="n"/>
      <c r="I92" s="16" t="n"/>
      <c r="J92" s="14" t="n"/>
      <c r="K92" s="29" t="n"/>
      <c r="L92" s="14" t="n"/>
    </row>
    <row r="93" ht="22" customHeight="1">
      <c r="B93" s="18">
        <f>IF(C93="","RIR-"&amp;TEXT(COUNTA($C$5:C93),"000"))</f>
        <v/>
      </c>
      <c r="C93" s="11" t="n"/>
      <c r="D93" s="11" t="n"/>
      <c r="E93" s="28" t="n"/>
      <c r="F93" s="28" t="n"/>
      <c r="G93" s="11" t="n"/>
      <c r="H93" s="13" t="n"/>
      <c r="I93" s="13" t="n"/>
      <c r="J93" s="11" t="n"/>
      <c r="K93" s="28" t="n"/>
      <c r="L93" s="11" t="n"/>
    </row>
    <row r="94" ht="22" customHeight="1">
      <c r="B94" s="17">
        <f>IF(C94="","RIR-"&amp;TEXT(COUNTA($C$5:C94),"000"))</f>
        <v/>
      </c>
      <c r="C94" s="14" t="n"/>
      <c r="D94" s="14" t="n"/>
      <c r="E94" s="29" t="n"/>
      <c r="F94" s="29" t="n"/>
      <c r="G94" s="14" t="n"/>
      <c r="H94" s="16" t="n"/>
      <c r="I94" s="16" t="n"/>
      <c r="J94" s="14" t="n"/>
      <c r="K94" s="29" t="n"/>
      <c r="L94" s="14" t="n"/>
    </row>
    <row r="95" ht="22" customHeight="1">
      <c r="B95" s="18">
        <f>IF(C95="","RIR-"&amp;TEXT(COUNTA($C$5:C95),"000"))</f>
        <v/>
      </c>
      <c r="C95" s="11" t="n"/>
      <c r="D95" s="11" t="n"/>
      <c r="E95" s="28" t="n"/>
      <c r="F95" s="28" t="n"/>
      <c r="G95" s="11" t="n"/>
      <c r="H95" s="13" t="n"/>
      <c r="I95" s="13" t="n"/>
      <c r="J95" s="11" t="n"/>
      <c r="K95" s="28" t="n"/>
      <c r="L95" s="11" t="n"/>
    </row>
    <row r="96" ht="22" customHeight="1">
      <c r="B96" s="17">
        <f>IF(C96="","RIR-"&amp;TEXT(COUNTA($C$5:C96),"000"))</f>
        <v/>
      </c>
      <c r="C96" s="14" t="n"/>
      <c r="D96" s="14" t="n"/>
      <c r="E96" s="29" t="n"/>
      <c r="F96" s="29" t="n"/>
      <c r="G96" s="14" t="n"/>
      <c r="H96" s="16" t="n"/>
      <c r="I96" s="16" t="n"/>
      <c r="J96" s="14" t="n"/>
      <c r="K96" s="29" t="n"/>
      <c r="L96" s="14" t="n"/>
    </row>
    <row r="97" ht="22" customHeight="1">
      <c r="B97" s="18">
        <f>IF(C97="","RIR-"&amp;TEXT(COUNTA($C$5:C97),"000"))</f>
        <v/>
      </c>
      <c r="C97" s="11" t="n"/>
      <c r="D97" s="11" t="n"/>
      <c r="E97" s="28" t="n"/>
      <c r="F97" s="28" t="n"/>
      <c r="G97" s="11" t="n"/>
      <c r="H97" s="13" t="n"/>
      <c r="I97" s="13" t="n"/>
      <c r="J97" s="11" t="n"/>
      <c r="K97" s="28" t="n"/>
      <c r="L97" s="11" t="n"/>
    </row>
    <row r="98" ht="22" customHeight="1">
      <c r="B98" s="17">
        <f>IF(C98="","RIR-"&amp;TEXT(COUNTA($C$5:C98),"000"))</f>
        <v/>
      </c>
      <c r="C98" s="14" t="n"/>
      <c r="D98" s="14" t="n"/>
      <c r="E98" s="29" t="n"/>
      <c r="F98" s="29" t="n"/>
      <c r="G98" s="14" t="n"/>
      <c r="H98" s="16" t="n"/>
      <c r="I98" s="16" t="n"/>
      <c r="J98" s="14" t="n"/>
      <c r="K98" s="29" t="n"/>
      <c r="L98" s="14" t="n"/>
    </row>
    <row r="99" ht="22" customHeight="1">
      <c r="B99" s="18">
        <f>IF(C99="","RIR-"&amp;TEXT(COUNTA($C$5:C99),"000"))</f>
        <v/>
      </c>
      <c r="C99" s="11" t="n"/>
      <c r="D99" s="11" t="n"/>
      <c r="E99" s="28" t="n"/>
      <c r="F99" s="28" t="n"/>
      <c r="G99" s="11" t="n"/>
      <c r="H99" s="13" t="n"/>
      <c r="I99" s="13" t="n"/>
      <c r="J99" s="11" t="n"/>
      <c r="K99" s="28" t="n"/>
      <c r="L99" s="11" t="n"/>
    </row>
    <row r="100" ht="22" customHeight="1">
      <c r="B100" s="17">
        <f>IF(C100="","RIR-"&amp;TEXT(COUNTA($C$5:C100),"000"))</f>
        <v/>
      </c>
      <c r="C100" s="14" t="n"/>
      <c r="D100" s="14" t="n"/>
      <c r="E100" s="29" t="n"/>
      <c r="F100" s="29" t="n"/>
      <c r="G100" s="14" t="n"/>
      <c r="H100" s="16" t="n"/>
      <c r="I100" s="16" t="n"/>
      <c r="J100" s="14" t="n"/>
      <c r="K100" s="29" t="n"/>
      <c r="L100" s="14" t="n"/>
    </row>
    <row r="101" ht="22" customHeight="1">
      <c r="B101" s="18">
        <f>IF(C101="","RIR-"&amp;TEXT(COUNTA($C$5:C101),"000"))</f>
        <v/>
      </c>
      <c r="C101" s="11" t="n"/>
      <c r="D101" s="11" t="n"/>
      <c r="E101" s="28" t="n"/>
      <c r="F101" s="28" t="n"/>
      <c r="G101" s="11" t="n"/>
      <c r="H101" s="13" t="n"/>
      <c r="I101" s="13" t="n"/>
      <c r="J101" s="11" t="n"/>
      <c r="K101" s="28" t="n"/>
      <c r="L101" s="11" t="n"/>
    </row>
    <row r="102" ht="22" customHeight="1">
      <c r="B102" s="17">
        <f>IF(C102="","RIR-"&amp;TEXT(COUNTA($C$5:C102),"000"))</f>
        <v/>
      </c>
      <c r="C102" s="14" t="n"/>
      <c r="D102" s="14" t="n"/>
      <c r="E102" s="29" t="n"/>
      <c r="F102" s="29" t="n"/>
      <c r="G102" s="14" t="n"/>
      <c r="H102" s="16" t="n"/>
      <c r="I102" s="16" t="n"/>
      <c r="J102" s="14" t="n"/>
      <c r="K102" s="29" t="n"/>
      <c r="L102" s="14" t="n"/>
    </row>
    <row r="103" ht="22" customHeight="1">
      <c r="B103" s="18">
        <f>IF(C103="","RIR-"&amp;TEXT(COUNTA($C$5:C103),"000"))</f>
        <v/>
      </c>
      <c r="C103" s="11" t="n"/>
      <c r="D103" s="11" t="n"/>
      <c r="E103" s="28" t="n"/>
      <c r="F103" s="28" t="n"/>
      <c r="G103" s="11" t="n"/>
      <c r="H103" s="13" t="n"/>
      <c r="I103" s="13" t="n"/>
      <c r="J103" s="11" t="n"/>
      <c r="K103" s="28" t="n"/>
      <c r="L103" s="11" t="n"/>
    </row>
    <row r="104" ht="22" customHeight="1">
      <c r="B104" s="17">
        <f>IF(C104="","RIR-"&amp;TEXT(COUNTA($C$5:C104),"000"))</f>
        <v/>
      </c>
      <c r="C104" s="14" t="n"/>
      <c r="D104" s="14" t="n"/>
      <c r="E104" s="29" t="n"/>
      <c r="F104" s="29" t="n"/>
      <c r="G104" s="14" t="n"/>
      <c r="H104" s="16" t="n"/>
      <c r="I104" s="16" t="n"/>
      <c r="J104" s="14" t="n"/>
      <c r="K104" s="29" t="n"/>
      <c r="L104" s="14" t="n"/>
    </row>
    <row r="105" ht="22" customHeight="1">
      <c r="B105" s="18">
        <f>IF(C105="","RIR-"&amp;TEXT(COUNTA($C$5:C105),"000"))</f>
        <v/>
      </c>
      <c r="C105" s="11" t="n"/>
      <c r="D105" s="11" t="n"/>
      <c r="E105" s="28" t="n"/>
      <c r="F105" s="28" t="n"/>
      <c r="G105" s="11" t="n"/>
      <c r="H105" s="13" t="n"/>
      <c r="I105" s="13" t="n"/>
      <c r="J105" s="11" t="n"/>
      <c r="K105" s="28" t="n"/>
      <c r="L105" s="11" t="n"/>
    </row>
    <row r="106" ht="22" customHeight="1">
      <c r="B106" s="17">
        <f>IF(C106="","RIR-"&amp;TEXT(COUNTA($C$5:C106),"000"))</f>
        <v/>
      </c>
      <c r="C106" s="14" t="n"/>
      <c r="D106" s="14" t="n"/>
      <c r="E106" s="29" t="n"/>
      <c r="F106" s="29" t="n"/>
      <c r="G106" s="14" t="n"/>
      <c r="H106" s="16" t="n"/>
      <c r="I106" s="16" t="n"/>
      <c r="J106" s="14" t="n"/>
      <c r="K106" s="29" t="n"/>
      <c r="L106" s="14" t="n"/>
    </row>
    <row r="107" ht="22" customHeight="1">
      <c r="B107" s="18">
        <f>IF(C107="","RIR-"&amp;TEXT(COUNTA($C$5:C107),"000"))</f>
        <v/>
      </c>
      <c r="C107" s="11" t="n"/>
      <c r="D107" s="11" t="n"/>
      <c r="E107" s="28" t="n"/>
      <c r="F107" s="28" t="n"/>
      <c r="G107" s="11" t="n"/>
      <c r="H107" s="13" t="n"/>
      <c r="I107" s="13" t="n"/>
      <c r="J107" s="11" t="n"/>
      <c r="K107" s="28" t="n"/>
      <c r="L107" s="11" t="n"/>
    </row>
    <row r="108" ht="22" customHeight="1">
      <c r="B108" s="17">
        <f>IF(C108="","RIR-"&amp;TEXT(COUNTA($C$5:C108),"000"))</f>
        <v/>
      </c>
      <c r="C108" s="14" t="n"/>
      <c r="D108" s="14" t="n"/>
      <c r="E108" s="29" t="n"/>
      <c r="F108" s="29" t="n"/>
      <c r="G108" s="14" t="n"/>
      <c r="H108" s="16" t="n"/>
      <c r="I108" s="16" t="n"/>
      <c r="J108" s="14" t="n"/>
      <c r="K108" s="29" t="n"/>
      <c r="L108" s="14" t="n"/>
    </row>
    <row r="110" ht="26" customHeight="1">
      <c r="B110" s="19" t="inlineStr">
        <is>
          <t>TOTAL</t>
        </is>
      </c>
      <c r="C110" s="20" t="n"/>
      <c r="D110" s="20" t="n"/>
      <c r="E110" s="20" t="n"/>
      <c r="F110" s="20" t="n"/>
      <c r="G110" s="20" t="n"/>
      <c r="H110" s="21">
        <f>SUM(H5:H104)</f>
        <v/>
      </c>
      <c r="I110" s="21">
        <f>SUM(I5:I104)</f>
        <v/>
      </c>
      <c r="J110" s="20" t="n"/>
      <c r="K110" s="20" t="n"/>
      <c r="L110" s="20" t="n"/>
    </row>
    <row r="112">
      <c r="B112" s="5" t="inlineStr">
        <is>
          <t>INDICATEURS (mis a jour automatiquement)</t>
        </is>
      </c>
    </row>
    <row r="113">
      <c r="B113" s="3" t="inlineStr">
        <is>
          <t>Rapports</t>
        </is>
      </c>
      <c r="D113" s="3" t="inlineStr">
        <is>
          <t>Approuves</t>
        </is>
      </c>
      <c r="F113" s="3" t="inlineStr">
        <is>
          <t>Brouillons</t>
        </is>
      </c>
      <c r="H113" s="3" t="inlineStr">
        <is>
          <t>Decisions suivies</t>
        </is>
      </c>
    </row>
    <row r="114">
      <c r="B114" s="4">
        <f>COUNTIF(B5:B104,"&lt;&gt;")</f>
        <v/>
      </c>
      <c r="D114" s="4">
        <f>COUNTIF(L5:L104,"Approuve")</f>
        <v/>
      </c>
      <c r="F114" s="4">
        <f>COUNTIF(L5:L104,"Brouillon")</f>
        <v/>
      </c>
      <c r="H114" s="4">
        <f>SUM(I5:I104)</f>
        <v/>
      </c>
    </row>
  </sheetData>
  <mergeCells count="3">
    <mergeCell ref="B2:L2"/>
    <mergeCell ref="B112:L112"/>
    <mergeCell ref="B3:L3"/>
  </mergeCells>
  <conditionalFormatting sqref="L5:L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1">
      <formula>"En attente"</formula>
    </cfRule>
    <cfRule type="cellIs" priority="45" operator="equal" dxfId="1">
      <formula>"A renouveler"</formula>
    </cfRule>
    <cfRule type="cellIs" priority="46" operator="equal" dxfId="1">
      <formula>"En cours"</formula>
    </cfRule>
    <cfRule type="cellIs" priority="47" operator="equal" dxfId="1">
      <formula>"En traitement"</formula>
    </cfRule>
    <cfRule type="cellIs" priority="48" operator="equal" dxfId="1">
      <formula>"En retard"</formula>
    </cfRule>
    <cfRule type="cellIs" priority="49" operator="equal" dxfId="1">
      <formula>"Suspendu"</formula>
    </cfRule>
    <cfRule type="cellIs" priority="50" operator="equal" dxfId="1">
      <formula>"Planifie"</formula>
    </cfRule>
    <cfRule type="cellIs" priority="51" operator="equal" dxfId="1">
      <formula>"Planifiee"</formula>
    </cfRule>
    <cfRule type="cellIs" priority="52" operator="equal" dxfId="1">
      <formula>"Brouillon"</formula>
    </cfRule>
    <cfRule type="cellIs" priority="53" operator="equal" dxfId="1">
      <formula>"En attente de justification"</formula>
    </cfRule>
    <cfRule type="cellIs" priority="54" operator="equal" dxfId="1">
      <formula>"Tolere"</formula>
    </cfRule>
    <cfRule type="cellIs" priority="55" operator="equal" dxfId="1">
      <formula>"Variable"</formula>
    </cfRule>
    <cfRule type="cellIs" priority="56" operator="equal" dxfId="1">
      <formula>"En elaboration"</formula>
    </cfRule>
    <cfRule type="cellIs" priority="57" operator="equal" dxfId="1">
      <formula>"Provisionne"</formula>
    </cfRule>
    <cfRule type="cellIs" priority="58" operator="equal" dxfId="1">
      <formula>"Consomme partiel"</formula>
    </cfRule>
    <cfRule type="cellIs" priority="59" operator="equal" dxfId="1">
      <formula>"Identifie"</formula>
    </cfRule>
    <cfRule type="cellIs" priority="60" operator="equal" dxfId="1">
      <formula>"Priorise"</formula>
    </cfRule>
    <cfRule type="cellIs" priority="61" operator="equal" dxfId="1">
      <formula>"Intermediaire"</formula>
    </cfRule>
    <cfRule type="cellIs" priority="62" operator="equal" dxfId="1">
      <formula>"Non evalue"</formula>
    </cfRule>
    <cfRule type="cellIs" priority="63" operator="equal" dxfId="1">
      <formula>"En cours de realisation"</formula>
    </cfRule>
    <cfRule type="cellIs" priority="64" operator="equal" dxfId="1">
      <formula>"Non demarre"</formula>
    </cfRule>
    <cfRule type="cellIs" priority="65" operator="equal" dxfId="1">
      <formula>"En attente N+1"</formula>
    </cfRule>
    <cfRule type="cellIs" priority="66" operator="equal" dxfId="1">
      <formula>"Prolongation essai"</formula>
    </cfRule>
    <cfRule type="cellIs" priority="67" operator="equal" dxfId="1">
      <formula>"En attente validation"</formula>
    </cfRule>
    <cfRule type="cellIs" priority="68" operator="equal" dxfId="1">
      <formula>"Bon"</formula>
    </cfRule>
    <cfRule type="cellIs" priority="69" operator="equal" dxfId="1">
      <formula>"D - Moyen"</formula>
    </cfRule>
    <cfRule type="cellIs" priority="70" operator="equal" dxfId="1">
      <formula>"En cours de repres."</formula>
    </cfRule>
    <cfRule type="cellIs" priority="71" operator="equal" dxfId="1">
      <formula>"En negociation"</formula>
    </cfRule>
    <cfRule type="cellIs" priority="72" operator="equal" dxfId="1">
      <formula>"En preparation"</formula>
    </cfRule>
    <cfRule type="cellIs" priority="73" operator="equal" dxfId="1">
      <formula>"En cours d'instruction"</formula>
    </cfRule>
    <cfRule type="cellIs" priority="74" operator="equal" dxfId="1">
      <formula>"Transferee N+1"</formula>
    </cfRule>
    <cfRule type="cellIs" priority="75" operator="equal" dxfId="1">
      <formula>"En attente reponse"</formula>
    </cfRule>
    <cfRule type="cellIs" priority="76" operator="equal" dxfId="1">
      <formula>"Enquete ouverte"</formula>
    </cfRule>
    <cfRule type="cellIs" priority="77" operator="equal" dxfId="1">
      <formula>"Convocation envoyee"</formula>
    </cfRule>
    <cfRule type="cellIs" priority="78" operator="equal" dxfId="1">
      <formula>"Entretien realise"</formula>
    </cfRule>
    <cfRule type="cellIs" priority="79" operator="equal" dxfId="1">
      <formula>"Saisie"</formula>
    </cfRule>
    <cfRule type="cellIs" priority="80" operator="equal" dxfId="1">
      <formula>"En mediation"</formula>
    </cfRule>
    <cfRule type="cellIs" priority="81" operator="equal" dxfId="1">
      <formula>"En recours"</formula>
    </cfRule>
    <cfRule type="cellIs" priority="82" operator="equal" dxfId="1">
      <formula>"Reportee"</formula>
    </cfRule>
    <cfRule type="cellIs" priority="83" operator="equal" dxfId="1">
      <formula>"Signale"</formula>
    </cfRule>
    <cfRule type="cellIs" priority="84" operator="equal" dxfId="1">
      <formula>"Precontentieux"</formula>
    </cfRule>
    <cfRule type="cellIs" priority="85" operator="equal" dxfId="1">
      <formula>"En attente election"</formula>
    </cfRule>
    <cfRule type="cellIs" priority="86" operator="equal" dxfId="1">
      <formula>"Classe"</formula>
    </cfRule>
    <cfRule type="cellIs" priority="87" operator="equal" dxfId="2">
      <formula>"Expire"</formula>
    </cfRule>
    <cfRule type="cellIs" priority="88" operator="equal" dxfId="2">
      <formula>"Rejete"</formula>
    </cfRule>
    <cfRule type="cellIs" priority="89" operator="equal" dxfId="2">
      <formula>"Rejetee"</formula>
    </cfRule>
    <cfRule type="cellIs" priority="90" operator="equal" dxfId="2">
      <formula>"Resilie"</formula>
    </cfRule>
    <cfRule type="cellIs" priority="91" operator="equal" dxfId="2">
      <formula>"Annule"</formula>
    </cfRule>
    <cfRule type="cellIs" priority="92" operator="equal" dxfId="2">
      <formula>"Annulee"</formula>
    </cfRule>
    <cfRule type="cellIs" priority="93" operator="equal" dxfId="2">
      <formula>"Refuse"</formula>
    </cfRule>
    <cfRule type="cellIs" priority="94" operator="equal" dxfId="2">
      <formula>"Non justifie"</formula>
    </cfRule>
    <cfRule type="cellIs" priority="95" operator="equal" dxfId="2">
      <formula>"Non justifiee"</formula>
    </cfRule>
    <cfRule type="cellIs" priority="96" operator="equal" dxfId="2">
      <formula>"Sanctionne"</formula>
    </cfRule>
    <cfRule type="cellIs" priority="97" operator="equal" dxfId="2">
      <formula>"Inaptitude"</formula>
    </cfRule>
    <cfRule type="cellIs" priority="98" operator="equal" dxfId="2">
      <formula>"Absent sans autorisation"</formula>
    </cfRule>
    <cfRule type="cellIs" priority="99" operator="equal" dxfId="2">
      <formula>"Abandon de poste"</formula>
    </cfRule>
    <cfRule type="cellIs" priority="100" operator="equal" dxfId="2">
      <formula>"Non satisfait"</formula>
    </cfRule>
    <cfRule type="cellIs" priority="101" operator="equal" dxfId="2">
      <formula>"Reportee"</formula>
    </cfRule>
    <cfRule type="cellIs" priority="102" operator="equal" dxfId="2">
      <formula>"Depasse"</formula>
    </cfRule>
    <cfRule type="cellIs" priority="103" operator="equal" dxfId="2">
      <formula>"Non utilise"</formula>
    </cfRule>
    <cfRule type="cellIs" priority="104" operator="equal" dxfId="2">
      <formula>"Non applicable"</formula>
    </cfRule>
    <cfRule type="cellIs" priority="105" operator="equal" dxfId="2">
      <formula>"Debutant"</formula>
    </cfRule>
    <cfRule type="cellIs" priority="106" operator="equal" dxfId="2">
      <formula>"Non atteint"</formula>
    </cfRule>
    <cfRule type="cellIs" priority="107" operator="equal" dxfId="2">
      <formula>"Abandonne"</formula>
    </cfRule>
    <cfRule type="cellIs" priority="108" operator="equal" dxfId="2">
      <formula>"Rupture essai"</formula>
    </cfRule>
    <cfRule type="cellIs" priority="109" operator="equal" dxfId="2">
      <formula>"Insuffisant"</formula>
    </cfRule>
    <cfRule type="cellIs" priority="110" operator="equal" dxfId="2">
      <formula>"Moyen"</formula>
    </cfRule>
    <cfRule type="cellIs" priority="111" operator="equal" dxfId="2">
      <formula>"E - Insuffisant"</formula>
    </cfRule>
    <cfRule type="cellIs" priority="112" operator="equal" dxfId="2">
      <formula>"Dissous"</formula>
    </cfRule>
    <cfRule type="cellIs" priority="113" operator="equal" dxfId="2">
      <formula>"Denonce"</formula>
    </cfRule>
    <cfRule type="cellIs" priority="114" operator="equal" dxfId="2">
      <formula>"Echoue"</formula>
    </cfRule>
    <cfRule type="cellIs" priority="115" operator="equal" dxfId="2">
      <formula>"Echouee"</formula>
    </cfRule>
    <cfRule type="cellIs" priority="116" operator="equal" dxfId="2">
      <formula>"Revoque"</formula>
    </cfRule>
    <cfRule type="cellIs" priority="117" operator="equal" dxfId="2">
      <formula>"Demissionnaire"</formula>
    </cfRule>
    <cfRule type="cellIs" priority="118" operator="equal" dxfId="2">
      <formula>"Licenciement pour faute"</formula>
    </cfRule>
    <cfRule type="cellIs" priority="119" operator="equal" dxfId="2">
      <formula>"Licenciement pour faute grave"</formula>
    </cfRule>
    <cfRule type="cellIs" priority="120" operator="equal" dxfId="2">
      <formula>"Terminee - Echec"</formula>
    </cfRule>
    <cfRule type="cellIs" priority="121" operator="equal" dxfId="2">
      <formula>"Abandonnee"</formula>
    </cfRule>
    <cfRule type="cellIs" priority="122" operator="equal" dxfId="2">
      <formula>"Violence physique"</formula>
    </cfRule>
    <cfRule type="cellIs" priority="123" operator="equal" dxfId="2">
      <formula>"Violence verbale"</formula>
    </cfRule>
  </conditionalFormatting>
  <conditionalFormatting sqref="B9:B108">
    <cfRule type="expression" priority="124" dxfId="3">
      <formula>AND($C9="",$C8&lt;&gt;"")</formula>
    </cfRule>
  </conditionalFormatting>
  <conditionalFormatting sqref="C9:C108">
    <cfRule type="expression" priority="125" dxfId="3">
      <formula>AND($C9="",$C8&lt;&gt;"")</formula>
    </cfRule>
  </conditionalFormatting>
  <conditionalFormatting sqref="D9:D108">
    <cfRule type="expression" priority="126" dxfId="3">
      <formula>AND($C9="",$C8&lt;&gt;"")</formula>
    </cfRule>
  </conditionalFormatting>
  <conditionalFormatting sqref="E9:E108">
    <cfRule type="expression" priority="127" dxfId="3">
      <formula>AND($C9="",$C8&lt;&gt;"")</formula>
    </cfRule>
  </conditionalFormatting>
  <conditionalFormatting sqref="F9:F108">
    <cfRule type="expression" priority="128" dxfId="3">
      <formula>AND($C9="",$C8&lt;&gt;"")</formula>
    </cfRule>
  </conditionalFormatting>
  <conditionalFormatting sqref="G9:G108">
    <cfRule type="expression" priority="129" dxfId="3">
      <formula>AND($C9="",$C8&lt;&gt;"")</formula>
    </cfRule>
  </conditionalFormatting>
  <conditionalFormatting sqref="H9:H108">
    <cfRule type="expression" priority="130" dxfId="3">
      <formula>AND($C9="",$C8&lt;&gt;"")</formula>
    </cfRule>
  </conditionalFormatting>
  <conditionalFormatting sqref="I9:I108">
    <cfRule type="expression" priority="131" dxfId="3">
      <formula>AND($C9="",$C8&lt;&gt;"")</formula>
    </cfRule>
  </conditionalFormatting>
  <conditionalFormatting sqref="J9:J108">
    <cfRule type="expression" priority="132" dxfId="3">
      <formula>AND($C9="",$C8&lt;&gt;"")</formula>
    </cfRule>
  </conditionalFormatting>
  <conditionalFormatting sqref="K9:K108">
    <cfRule type="expression" priority="133" dxfId="3">
      <formula>AND($C9="",$C8&lt;&gt;"")</formula>
    </cfRule>
  </conditionalFormatting>
  <conditionalFormatting sqref="L9:L108">
    <cfRule type="expression" priority="134" dxfId="3">
      <formula>AND($C9="",$C8&lt;&gt;"")</formula>
    </cfRule>
  </conditionalFormatting>
  <dataValidations count="2">
    <dataValidation sqref="C5:C108" showDropDown="0" showInputMessage="0" showErrorMessage="0" allowBlank="1" errorTitle="Erreur" error="Valeur invalide" promptTitle="Liste" prompt="Choisir dans la liste" type="list">
      <formula1>'_Lists'!$E$2:$E$7</formula1>
    </dataValidation>
    <dataValidation sqref="L5:L108" showDropDown="0" showInputMessage="0" showErrorMessage="0" allowBlank="1" errorTitle="Erreur" error="Valeur invalide" promptTitle="Liste" prompt="Choisir dans la liste" type="list">
      <formula1>'_Lists'!$Z$2:$Z$5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28" customWidth="1" min="6" max="6"/>
    <col width="24" customWidth="1" min="7" max="7"/>
    <col width="16" customWidth="1" min="8" max="8"/>
    <col width="14" customWidth="1" min="9" max="9"/>
    <col width="32" customWidth="1" min="10" max="10"/>
  </cols>
  <sheetData>
    <row r="1" ht="15" customHeight="1"/>
    <row r="2" ht="32" customHeight="1">
      <c r="B2" s="1" t="inlineStr">
        <is>
          <t>SUIVI DROIT SYNDICAL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Matricule</t>
        </is>
      </c>
      <c r="D4" s="10" t="inlineStr">
        <is>
          <t>Nom Employe</t>
        </is>
      </c>
      <c r="E4" s="10" t="inlineStr">
        <is>
          <t>Departement</t>
        </is>
      </c>
      <c r="F4" s="10" t="inlineStr">
        <is>
          <t>Syndicat</t>
        </is>
      </c>
      <c r="G4" s="10" t="inlineStr">
        <is>
          <t>Heures Syndicales (mois)</t>
        </is>
      </c>
      <c r="H4" s="10" t="inlineStr">
        <is>
          <t>Heures Utilisees</t>
        </is>
      </c>
      <c r="I4" s="10" t="inlineStr">
        <is>
          <t>Solde Heures</t>
        </is>
      </c>
      <c r="J4" s="10" t="inlineStr">
        <is>
          <t>Observations</t>
        </is>
      </c>
    </row>
    <row r="5" ht="22" customHeight="1">
      <c r="B5" s="11" t="inlineStr">
        <is>
          <t>DS-001</t>
        </is>
      </c>
      <c r="C5" s="11" t="inlineStr">
        <is>
          <t>EMP-010</t>
        </is>
      </c>
      <c r="D5" s="11">
        <f>IF(C5="","",VLOOKUP(C5,'_Données Employés'!$B$5:$H$18,4,FALSE)&amp;" "&amp;VLOOKUP(C5,'_Données Employés'!$B$5:$H$18,5,FALSE))</f>
        <v/>
      </c>
      <c r="E5" s="11">
        <f>IF(C5="","",VLOOKUP(C5,'_Données Employés'!$B$5:$H$18,6,FALSE))</f>
        <v/>
      </c>
      <c r="F5" s="11" t="inlineStr">
        <is>
          <t>CSTT</t>
        </is>
      </c>
      <c r="G5" s="13" t="n">
        <v>20</v>
      </c>
      <c r="H5" s="13" t="n">
        <v>14</v>
      </c>
      <c r="I5" s="13">
        <f>G5-H5</f>
        <v/>
      </c>
      <c r="J5" s="11" t="inlineStr">
        <is>
          <t>Heures reunion CSE incluses</t>
        </is>
      </c>
    </row>
    <row r="6" ht="22" customHeight="1">
      <c r="B6" s="14" t="inlineStr">
        <is>
          <t>DS-002</t>
        </is>
      </c>
      <c r="C6" s="14" t="inlineStr">
        <is>
          <t>EMP-015</t>
        </is>
      </c>
      <c r="D6" s="14" t="inlineStr">
        <is>
          <t>Mensah Kodjo</t>
        </is>
      </c>
      <c r="E6" s="14" t="inlineStr">
        <is>
          <t>Entretien &amp; Maintenance</t>
        </is>
      </c>
      <c r="F6" s="14" t="inlineStr">
        <is>
          <t>CSA</t>
        </is>
      </c>
      <c r="G6" s="16" t="n">
        <v>20</v>
      </c>
      <c r="H6" s="16" t="n">
        <v>10</v>
      </c>
      <c r="I6" s="16">
        <f>G6-H6</f>
        <v/>
      </c>
      <c r="J6" s="14" t="inlineStr">
        <is>
          <t>Heures negociation NAO</t>
        </is>
      </c>
    </row>
    <row r="7" ht="22" customHeight="1">
      <c r="B7" s="11" t="inlineStr">
        <is>
          <t>DS-003</t>
        </is>
      </c>
      <c r="C7" s="11" t="inlineStr">
        <is>
          <t>EMP-022</t>
        </is>
      </c>
      <c r="D7" s="11" t="inlineStr">
        <is>
          <t>Aguiar Maria</t>
        </is>
      </c>
      <c r="E7" s="11" t="inlineStr">
        <is>
          <t>Ressources Humaines</t>
        </is>
      </c>
      <c r="F7" s="11" t="inlineStr">
        <is>
          <t>CSC</t>
        </is>
      </c>
      <c r="G7" s="13" t="n">
        <v>20</v>
      </c>
      <c r="H7" s="13" t="n">
        <v>8</v>
      </c>
      <c r="I7" s="13">
        <f>G7-H7</f>
        <v/>
      </c>
      <c r="J7" s="11" t="inlineStr"/>
    </row>
    <row r="8" ht="22" customHeight="1">
      <c r="B8" s="14" t="inlineStr">
        <is>
          <t>DS-004</t>
        </is>
      </c>
      <c r="C8" s="14" t="inlineStr">
        <is>
          <t>EMP-008</t>
        </is>
      </c>
      <c r="D8" s="14">
        <f>IF(C8="","",VLOOKUP(C8,'_Données Employés'!$B$5:$H$18,4,FALSE)&amp;" "&amp;VLOOKUP(C8,'_Données Employés'!$B$5:$H$18,5,FALSE))</f>
        <v/>
      </c>
      <c r="E8" s="14">
        <f>IF(C8="","",VLOOKUP(C8,'_Données Employés'!$B$5:$H$18,6,FALSE))</f>
        <v/>
      </c>
      <c r="F8" s="14" t="inlineStr">
        <is>
          <t>SAH</t>
        </is>
      </c>
      <c r="G8" s="16" t="n">
        <v>20</v>
      </c>
      <c r="H8" s="16" t="n">
        <v>12</v>
      </c>
      <c r="I8" s="16">
        <f>G8-H8</f>
        <v/>
      </c>
      <c r="J8" s="14" t="inlineStr">
        <is>
          <t>Formation delegue</t>
        </is>
      </c>
    </row>
    <row r="9" ht="22" customHeight="1">
      <c r="B9" s="11" t="inlineStr">
        <is>
          <t>DS-005</t>
        </is>
      </c>
      <c r="C9" s="11" t="inlineStr">
        <is>
          <t>EMP-012</t>
        </is>
      </c>
      <c r="D9" s="11">
        <f>IF(C9="","",VLOOKUP(C9,'_Données Employés'!$B$5:$H$18,4,FALSE)&amp;" "&amp;VLOOKUP(C9,'_Données Employés'!$B$5:$H$18,5,FALSE))</f>
        <v/>
      </c>
      <c r="E9" s="11">
        <f>IF(C9="","",VLOOKUP(C9,'_Données Employés'!$B$5:$H$18,6,FALSE))</f>
        <v/>
      </c>
      <c r="F9" s="11" t="inlineStr">
        <is>
          <t>CSTT</t>
        </is>
      </c>
      <c r="G9" s="13" t="n">
        <v>20</v>
      </c>
      <c r="H9" s="13" t="n">
        <v>4</v>
      </c>
      <c r="I9" s="13">
        <f>G9-H9</f>
        <v/>
      </c>
      <c r="J9" s="11" t="inlineStr">
        <is>
          <t>Peu d'activite syndicale ce mois</t>
        </is>
      </c>
    </row>
    <row r="10" ht="22" customHeight="1">
      <c r="B10" s="17">
        <f>IF(C10="","DS-"&amp;TEXT(COUNTA($C$5:C10),"000"))</f>
        <v/>
      </c>
      <c r="C10" s="14" t="n"/>
      <c r="D10" s="14" t="n"/>
      <c r="E10" s="14" t="n"/>
      <c r="F10" s="14" t="n"/>
      <c r="G10" s="16" t="n"/>
      <c r="H10" s="16" t="n"/>
      <c r="I10" s="16">
        <f>IF(G10="","",G10-H10)</f>
        <v/>
      </c>
      <c r="J10" s="14" t="n"/>
    </row>
    <row r="11" ht="22" customHeight="1">
      <c r="B11" s="18">
        <f>IF(C11="","DS-"&amp;TEXT(COUNTA($C$5:C11),"000"))</f>
        <v/>
      </c>
      <c r="C11" s="11" t="n"/>
      <c r="D11" s="11" t="n"/>
      <c r="E11" s="11" t="n"/>
      <c r="F11" s="11" t="n"/>
      <c r="G11" s="13" t="n"/>
      <c r="H11" s="13" t="n"/>
      <c r="I11" s="13">
        <f>IF(G11="","",G11-H11)</f>
        <v/>
      </c>
      <c r="J11" s="11" t="n"/>
    </row>
    <row r="12" ht="22" customHeight="1">
      <c r="B12" s="17">
        <f>IF(C12="","DS-"&amp;TEXT(COUNTA($C$5:C12),"000"))</f>
        <v/>
      </c>
      <c r="C12" s="14" t="n"/>
      <c r="D12" s="14" t="n"/>
      <c r="E12" s="14" t="n"/>
      <c r="F12" s="14" t="n"/>
      <c r="G12" s="16" t="n"/>
      <c r="H12" s="16" t="n"/>
      <c r="I12" s="16">
        <f>IF(G12="","",G12-H12)</f>
        <v/>
      </c>
      <c r="J12" s="14" t="n"/>
    </row>
    <row r="13" ht="22" customHeight="1">
      <c r="B13" s="18">
        <f>IF(C13="","DS-"&amp;TEXT(COUNTA($C$5:C13),"000"))</f>
        <v/>
      </c>
      <c r="C13" s="11" t="n"/>
      <c r="D13" s="11" t="n"/>
      <c r="E13" s="11" t="n"/>
      <c r="F13" s="11" t="n"/>
      <c r="G13" s="13" t="n"/>
      <c r="H13" s="13" t="n"/>
      <c r="I13" s="13">
        <f>IF(G13="","",G13-H13)</f>
        <v/>
      </c>
      <c r="J13" s="11" t="n"/>
    </row>
    <row r="14" ht="22" customHeight="1">
      <c r="B14" s="17">
        <f>IF(C14="","DS-"&amp;TEXT(COUNTA($C$5:C14),"000"))</f>
        <v/>
      </c>
      <c r="C14" s="14" t="n"/>
      <c r="D14" s="14" t="n"/>
      <c r="E14" s="14" t="n"/>
      <c r="F14" s="14" t="n"/>
      <c r="G14" s="16" t="n"/>
      <c r="H14" s="16" t="n"/>
      <c r="I14" s="16">
        <f>IF(G14="","",G14-H14)</f>
        <v/>
      </c>
      <c r="J14" s="14" t="n"/>
    </row>
    <row r="15" ht="22" customHeight="1">
      <c r="B15" s="18">
        <f>IF(C15="","DS-"&amp;TEXT(COUNTA($C$5:C15),"000"))</f>
        <v/>
      </c>
      <c r="C15" s="11" t="n"/>
      <c r="D15" s="11" t="n"/>
      <c r="E15" s="11" t="n"/>
      <c r="F15" s="11" t="n"/>
      <c r="G15" s="13" t="n"/>
      <c r="H15" s="13" t="n"/>
      <c r="I15" s="13">
        <f>IF(G15="","",G15-H15)</f>
        <v/>
      </c>
      <c r="J15" s="11" t="n"/>
    </row>
    <row r="16" ht="22" customHeight="1">
      <c r="B16" s="17">
        <f>IF(C16="","DS-"&amp;TEXT(COUNTA($C$5:C16),"000"))</f>
        <v/>
      </c>
      <c r="C16" s="14" t="n"/>
      <c r="D16" s="14" t="n"/>
      <c r="E16" s="14" t="n"/>
      <c r="F16" s="14" t="n"/>
      <c r="G16" s="16" t="n"/>
      <c r="H16" s="16" t="n"/>
      <c r="I16" s="16">
        <f>IF(G16="","",G16-H16)</f>
        <v/>
      </c>
      <c r="J16" s="14" t="n"/>
    </row>
    <row r="17" ht="22" customHeight="1">
      <c r="B17" s="18">
        <f>IF(C17="","DS-"&amp;TEXT(COUNTA($C$5:C17),"000"))</f>
        <v/>
      </c>
      <c r="C17" s="11" t="n"/>
      <c r="D17" s="11" t="n"/>
      <c r="E17" s="11" t="n"/>
      <c r="F17" s="11" t="n"/>
      <c r="G17" s="13" t="n"/>
      <c r="H17" s="13" t="n"/>
      <c r="I17" s="13">
        <f>IF(G17="","",G17-H17)</f>
        <v/>
      </c>
      <c r="J17" s="11" t="n"/>
    </row>
    <row r="18" ht="22" customHeight="1">
      <c r="B18" s="17">
        <f>IF(C18="","DS-"&amp;TEXT(COUNTA($C$5:C18),"000"))</f>
        <v/>
      </c>
      <c r="C18" s="14" t="n"/>
      <c r="D18" s="14" t="n"/>
      <c r="E18" s="14" t="n"/>
      <c r="F18" s="14" t="n"/>
      <c r="G18" s="16" t="n"/>
      <c r="H18" s="16" t="n"/>
      <c r="I18" s="16">
        <f>IF(G18="","",G18-H18)</f>
        <v/>
      </c>
      <c r="J18" s="14" t="n"/>
    </row>
    <row r="19" ht="22" customHeight="1">
      <c r="B19" s="18">
        <f>IF(C19="","DS-"&amp;TEXT(COUNTA($C$5:C19),"000"))</f>
        <v/>
      </c>
      <c r="C19" s="11" t="n"/>
      <c r="D19" s="11" t="n"/>
      <c r="E19" s="11" t="n"/>
      <c r="F19" s="11" t="n"/>
      <c r="G19" s="13" t="n"/>
      <c r="H19" s="13" t="n"/>
      <c r="I19" s="13">
        <f>IF(G19="","",G19-H19)</f>
        <v/>
      </c>
      <c r="J19" s="11" t="n"/>
    </row>
    <row r="20" ht="22" customHeight="1">
      <c r="B20" s="17">
        <f>IF(C20="","DS-"&amp;TEXT(COUNTA($C$5:C20),"000"))</f>
        <v/>
      </c>
      <c r="C20" s="14" t="n"/>
      <c r="D20" s="14" t="n"/>
      <c r="E20" s="14" t="n"/>
      <c r="F20" s="14" t="n"/>
      <c r="G20" s="16" t="n"/>
      <c r="H20" s="16" t="n"/>
      <c r="I20" s="16">
        <f>IF(G20="","",G20-H20)</f>
        <v/>
      </c>
      <c r="J20" s="14" t="n"/>
    </row>
    <row r="21" ht="22" customHeight="1">
      <c r="B21" s="18">
        <f>IF(C21="","DS-"&amp;TEXT(COUNTA($C$5:C21),"000"))</f>
        <v/>
      </c>
      <c r="C21" s="11" t="n"/>
      <c r="D21" s="11" t="n"/>
      <c r="E21" s="11" t="n"/>
      <c r="F21" s="11" t="n"/>
      <c r="G21" s="13" t="n"/>
      <c r="H21" s="13" t="n"/>
      <c r="I21" s="13">
        <f>IF(G21="","",G21-H21)</f>
        <v/>
      </c>
      <c r="J21" s="11" t="n"/>
    </row>
    <row r="22" ht="22" customHeight="1">
      <c r="B22" s="17">
        <f>IF(C22="","DS-"&amp;TEXT(COUNTA($C$5:C22),"000"))</f>
        <v/>
      </c>
      <c r="C22" s="14" t="n"/>
      <c r="D22" s="14" t="n"/>
      <c r="E22" s="14" t="n"/>
      <c r="F22" s="14" t="n"/>
      <c r="G22" s="16" t="n"/>
      <c r="H22" s="16" t="n"/>
      <c r="I22" s="16">
        <f>IF(G22="","",G22-H22)</f>
        <v/>
      </c>
      <c r="J22" s="14" t="n"/>
    </row>
    <row r="23" ht="22" customHeight="1">
      <c r="B23" s="18">
        <f>IF(C23="","DS-"&amp;TEXT(COUNTA($C$5:C23),"000"))</f>
        <v/>
      </c>
      <c r="C23" s="11" t="n"/>
      <c r="D23" s="11" t="n"/>
      <c r="E23" s="11" t="n"/>
      <c r="F23" s="11" t="n"/>
      <c r="G23" s="13" t="n"/>
      <c r="H23" s="13" t="n"/>
      <c r="I23" s="13">
        <f>IF(G23="","",G23-H23)</f>
        <v/>
      </c>
      <c r="J23" s="11" t="n"/>
    </row>
    <row r="24" ht="22" customHeight="1">
      <c r="B24" s="17">
        <f>IF(C24="","DS-"&amp;TEXT(COUNTA($C$5:C24),"000"))</f>
        <v/>
      </c>
      <c r="C24" s="14" t="n"/>
      <c r="D24" s="14" t="n"/>
      <c r="E24" s="14" t="n"/>
      <c r="F24" s="14" t="n"/>
      <c r="G24" s="16" t="n"/>
      <c r="H24" s="16" t="n"/>
      <c r="I24" s="16">
        <f>IF(G24="","",G24-H24)</f>
        <v/>
      </c>
      <c r="J24" s="14" t="n"/>
    </row>
    <row r="25" ht="22" customHeight="1">
      <c r="B25" s="18">
        <f>IF(C25="","DS-"&amp;TEXT(COUNTA($C$5:C25),"000"))</f>
        <v/>
      </c>
      <c r="C25" s="11" t="n"/>
      <c r="D25" s="11" t="n"/>
      <c r="E25" s="11" t="n"/>
      <c r="F25" s="11" t="n"/>
      <c r="G25" s="13" t="n"/>
      <c r="H25" s="13" t="n"/>
      <c r="I25" s="13">
        <f>IF(G25="","",G25-H25)</f>
        <v/>
      </c>
      <c r="J25" s="11" t="n"/>
    </row>
    <row r="26" ht="22" customHeight="1">
      <c r="B26" s="17">
        <f>IF(C26="","DS-"&amp;TEXT(COUNTA($C$5:C26),"000"))</f>
        <v/>
      </c>
      <c r="C26" s="14" t="n"/>
      <c r="D26" s="14" t="n"/>
      <c r="E26" s="14" t="n"/>
      <c r="F26" s="14" t="n"/>
      <c r="G26" s="16" t="n"/>
      <c r="H26" s="16" t="n"/>
      <c r="I26" s="16">
        <f>IF(G26="","",G26-H26)</f>
        <v/>
      </c>
      <c r="J26" s="14" t="n"/>
    </row>
    <row r="27" ht="22" customHeight="1">
      <c r="B27" s="18">
        <f>IF(C27="","DS-"&amp;TEXT(COUNTA($C$5:C27),"000"))</f>
        <v/>
      </c>
      <c r="C27" s="11" t="n"/>
      <c r="D27" s="11" t="n"/>
      <c r="E27" s="11" t="n"/>
      <c r="F27" s="11" t="n"/>
      <c r="G27" s="13" t="n"/>
      <c r="H27" s="13" t="n"/>
      <c r="I27" s="13">
        <f>IF(G27="","",G27-H27)</f>
        <v/>
      </c>
      <c r="J27" s="11" t="n"/>
    </row>
    <row r="28" ht="22" customHeight="1">
      <c r="B28" s="17">
        <f>IF(C28="","DS-"&amp;TEXT(COUNTA($C$5:C28),"000"))</f>
        <v/>
      </c>
      <c r="C28" s="14" t="n"/>
      <c r="D28" s="14" t="n"/>
      <c r="E28" s="14" t="n"/>
      <c r="F28" s="14" t="n"/>
      <c r="G28" s="16" t="n"/>
      <c r="H28" s="16" t="n"/>
      <c r="I28" s="16">
        <f>IF(G28="","",G28-H28)</f>
        <v/>
      </c>
      <c r="J28" s="14" t="n"/>
    </row>
    <row r="29" ht="22" customHeight="1">
      <c r="B29" s="18">
        <f>IF(C29="","DS-"&amp;TEXT(COUNTA($C$5:C29),"000"))</f>
        <v/>
      </c>
      <c r="C29" s="11" t="n"/>
      <c r="D29" s="11" t="n"/>
      <c r="E29" s="11" t="n"/>
      <c r="F29" s="11" t="n"/>
      <c r="G29" s="13" t="n"/>
      <c r="H29" s="13" t="n"/>
      <c r="I29" s="13">
        <f>IF(G29="","",G29-H29)</f>
        <v/>
      </c>
      <c r="J29" s="11" t="n"/>
    </row>
    <row r="30" ht="22" customHeight="1">
      <c r="B30" s="17">
        <f>IF(C30="","DS-"&amp;TEXT(COUNTA($C$5:C30),"000"))</f>
        <v/>
      </c>
      <c r="C30" s="14" t="n"/>
      <c r="D30" s="14" t="n"/>
      <c r="E30" s="14" t="n"/>
      <c r="F30" s="14" t="n"/>
      <c r="G30" s="16" t="n"/>
      <c r="H30" s="16" t="n"/>
      <c r="I30" s="16">
        <f>IF(G30="","",G30-H30)</f>
        <v/>
      </c>
      <c r="J30" s="14" t="n"/>
    </row>
    <row r="31" ht="22" customHeight="1">
      <c r="B31" s="18">
        <f>IF(C31="","DS-"&amp;TEXT(COUNTA($C$5:C31),"000"))</f>
        <v/>
      </c>
      <c r="C31" s="11" t="n"/>
      <c r="D31" s="11" t="n"/>
      <c r="E31" s="11" t="n"/>
      <c r="F31" s="11" t="n"/>
      <c r="G31" s="13" t="n"/>
      <c r="H31" s="13" t="n"/>
      <c r="I31" s="13">
        <f>IF(G31="","",G31-H31)</f>
        <v/>
      </c>
      <c r="J31" s="11" t="n"/>
    </row>
    <row r="32" ht="22" customHeight="1">
      <c r="B32" s="17">
        <f>IF(C32="","DS-"&amp;TEXT(COUNTA($C$5:C32),"000"))</f>
        <v/>
      </c>
      <c r="C32" s="14" t="n"/>
      <c r="D32" s="14" t="n"/>
      <c r="E32" s="14" t="n"/>
      <c r="F32" s="14" t="n"/>
      <c r="G32" s="16" t="n"/>
      <c r="H32" s="16" t="n"/>
      <c r="I32" s="16">
        <f>IF(G32="","",G32-H32)</f>
        <v/>
      </c>
      <c r="J32" s="14" t="n"/>
    </row>
    <row r="33" ht="22" customHeight="1">
      <c r="B33" s="18">
        <f>IF(C33="","DS-"&amp;TEXT(COUNTA($C$5:C33),"000"))</f>
        <v/>
      </c>
      <c r="C33" s="11" t="n"/>
      <c r="D33" s="11" t="n"/>
      <c r="E33" s="11" t="n"/>
      <c r="F33" s="11" t="n"/>
      <c r="G33" s="13" t="n"/>
      <c r="H33" s="13" t="n"/>
      <c r="I33" s="13">
        <f>IF(G33="","",G33-H33)</f>
        <v/>
      </c>
      <c r="J33" s="11" t="n"/>
    </row>
    <row r="34" ht="22" customHeight="1">
      <c r="B34" s="17">
        <f>IF(C34="","DS-"&amp;TEXT(COUNTA($C$5:C34),"000"))</f>
        <v/>
      </c>
      <c r="C34" s="14" t="n"/>
      <c r="D34" s="14" t="n"/>
      <c r="E34" s="14" t="n"/>
      <c r="F34" s="14" t="n"/>
      <c r="G34" s="16" t="n"/>
      <c r="H34" s="16" t="n"/>
      <c r="I34" s="16">
        <f>IF(G34="","",G34-H34)</f>
        <v/>
      </c>
      <c r="J34" s="14" t="n"/>
    </row>
    <row r="35" ht="22" customHeight="1">
      <c r="B35" s="18">
        <f>IF(C35="","DS-"&amp;TEXT(COUNTA($C$5:C35),"000"))</f>
        <v/>
      </c>
      <c r="C35" s="11" t="n"/>
      <c r="D35" s="11" t="n"/>
      <c r="E35" s="11" t="n"/>
      <c r="F35" s="11" t="n"/>
      <c r="G35" s="13" t="n"/>
      <c r="H35" s="13" t="n"/>
      <c r="I35" s="13">
        <f>IF(G35="","",G35-H35)</f>
        <v/>
      </c>
      <c r="J35" s="11" t="n"/>
    </row>
    <row r="36" ht="22" customHeight="1">
      <c r="B36" s="17">
        <f>IF(C36="","DS-"&amp;TEXT(COUNTA($C$5:C36),"000"))</f>
        <v/>
      </c>
      <c r="C36" s="14" t="n"/>
      <c r="D36" s="14" t="n"/>
      <c r="E36" s="14" t="n"/>
      <c r="F36" s="14" t="n"/>
      <c r="G36" s="16" t="n"/>
      <c r="H36" s="16" t="n"/>
      <c r="I36" s="16">
        <f>IF(G36="","",G36-H36)</f>
        <v/>
      </c>
      <c r="J36" s="14" t="n"/>
    </row>
    <row r="37" ht="22" customHeight="1">
      <c r="B37" s="18">
        <f>IF(C37="","DS-"&amp;TEXT(COUNTA($C$5:C37),"000"))</f>
        <v/>
      </c>
      <c r="C37" s="11" t="n"/>
      <c r="D37" s="11" t="n"/>
      <c r="E37" s="11" t="n"/>
      <c r="F37" s="11" t="n"/>
      <c r="G37" s="13" t="n"/>
      <c r="H37" s="13" t="n"/>
      <c r="I37" s="13">
        <f>IF(G37="","",G37-H37)</f>
        <v/>
      </c>
      <c r="J37" s="11" t="n"/>
    </row>
    <row r="38" ht="22" customHeight="1">
      <c r="B38" s="17">
        <f>IF(C38="","DS-"&amp;TEXT(COUNTA($C$5:C38),"000"))</f>
        <v/>
      </c>
      <c r="C38" s="14" t="n"/>
      <c r="D38" s="14" t="n"/>
      <c r="E38" s="14" t="n"/>
      <c r="F38" s="14" t="n"/>
      <c r="G38" s="16" t="n"/>
      <c r="H38" s="16" t="n"/>
      <c r="I38" s="16">
        <f>IF(G38="","",G38-H38)</f>
        <v/>
      </c>
      <c r="J38" s="14" t="n"/>
    </row>
    <row r="39" ht="22" customHeight="1">
      <c r="B39" s="18">
        <f>IF(C39="","DS-"&amp;TEXT(COUNTA($C$5:C39),"000"))</f>
        <v/>
      </c>
      <c r="C39" s="11" t="n"/>
      <c r="D39" s="11" t="n"/>
      <c r="E39" s="11" t="n"/>
      <c r="F39" s="11" t="n"/>
      <c r="G39" s="13" t="n"/>
      <c r="H39" s="13" t="n"/>
      <c r="I39" s="13">
        <f>IF(G39="","",G39-H39)</f>
        <v/>
      </c>
      <c r="J39" s="11" t="n"/>
    </row>
    <row r="40" ht="22" customHeight="1">
      <c r="B40" s="17">
        <f>IF(C40="","DS-"&amp;TEXT(COUNTA($C$5:C40),"000"))</f>
        <v/>
      </c>
      <c r="C40" s="14" t="n"/>
      <c r="D40" s="14" t="n"/>
      <c r="E40" s="14" t="n"/>
      <c r="F40" s="14" t="n"/>
      <c r="G40" s="16" t="n"/>
      <c r="H40" s="16" t="n"/>
      <c r="I40" s="16">
        <f>IF(G40="","",G40-H40)</f>
        <v/>
      </c>
      <c r="J40" s="14" t="n"/>
    </row>
    <row r="41" ht="22" customHeight="1">
      <c r="B41" s="18">
        <f>IF(C41="","DS-"&amp;TEXT(COUNTA($C$5:C41),"000"))</f>
        <v/>
      </c>
      <c r="C41" s="11" t="n"/>
      <c r="D41" s="11" t="n"/>
      <c r="E41" s="11" t="n"/>
      <c r="F41" s="11" t="n"/>
      <c r="G41" s="13" t="n"/>
      <c r="H41" s="13" t="n"/>
      <c r="I41" s="13">
        <f>IF(G41="","",G41-H41)</f>
        <v/>
      </c>
      <c r="J41" s="11" t="n"/>
    </row>
    <row r="42" ht="22" customHeight="1">
      <c r="B42" s="17">
        <f>IF(C42="","DS-"&amp;TEXT(COUNTA($C$5:C42),"000"))</f>
        <v/>
      </c>
      <c r="C42" s="14" t="n"/>
      <c r="D42" s="14" t="n"/>
      <c r="E42" s="14" t="n"/>
      <c r="F42" s="14" t="n"/>
      <c r="G42" s="16" t="n"/>
      <c r="H42" s="16" t="n"/>
      <c r="I42" s="16">
        <f>IF(G42="","",G42-H42)</f>
        <v/>
      </c>
      <c r="J42" s="14" t="n"/>
    </row>
    <row r="43" ht="22" customHeight="1">
      <c r="B43" s="18">
        <f>IF(C43="","DS-"&amp;TEXT(COUNTA($C$5:C43),"000"))</f>
        <v/>
      </c>
      <c r="C43" s="11" t="n"/>
      <c r="D43" s="11" t="n"/>
      <c r="E43" s="11" t="n"/>
      <c r="F43" s="11" t="n"/>
      <c r="G43" s="13" t="n"/>
      <c r="H43" s="13" t="n"/>
      <c r="I43" s="13">
        <f>IF(G43="","",G43-H43)</f>
        <v/>
      </c>
      <c r="J43" s="11" t="n"/>
    </row>
    <row r="44" ht="22" customHeight="1">
      <c r="B44" s="17">
        <f>IF(C44="","DS-"&amp;TEXT(COUNTA($C$5:C44),"000"))</f>
        <v/>
      </c>
      <c r="C44" s="14" t="n"/>
      <c r="D44" s="14" t="n"/>
      <c r="E44" s="14" t="n"/>
      <c r="F44" s="14" t="n"/>
      <c r="G44" s="16" t="n"/>
      <c r="H44" s="16" t="n"/>
      <c r="I44" s="16">
        <f>IF(G44="","",G44-H44)</f>
        <v/>
      </c>
      <c r="J44" s="14" t="n"/>
    </row>
    <row r="45" ht="22" customHeight="1">
      <c r="B45" s="18">
        <f>IF(C45="","DS-"&amp;TEXT(COUNTA($C$5:C45),"000"))</f>
        <v/>
      </c>
      <c r="C45" s="11" t="n"/>
      <c r="D45" s="11" t="n"/>
      <c r="E45" s="11" t="n"/>
      <c r="F45" s="11" t="n"/>
      <c r="G45" s="13" t="n"/>
      <c r="H45" s="13" t="n"/>
      <c r="I45" s="13">
        <f>IF(G45="","",G45-H45)</f>
        <v/>
      </c>
      <c r="J45" s="11" t="n"/>
    </row>
    <row r="46" ht="22" customHeight="1">
      <c r="B46" s="17">
        <f>IF(C46="","DS-"&amp;TEXT(COUNTA($C$5:C46),"000"))</f>
        <v/>
      </c>
      <c r="C46" s="14" t="n"/>
      <c r="D46" s="14" t="n"/>
      <c r="E46" s="14" t="n"/>
      <c r="F46" s="14" t="n"/>
      <c r="G46" s="16" t="n"/>
      <c r="H46" s="16" t="n"/>
      <c r="I46" s="16">
        <f>IF(G46="","",G46-H46)</f>
        <v/>
      </c>
      <c r="J46" s="14" t="n"/>
    </row>
    <row r="47" ht="22" customHeight="1">
      <c r="B47" s="18">
        <f>IF(C47="","DS-"&amp;TEXT(COUNTA($C$5:C47),"000"))</f>
        <v/>
      </c>
      <c r="C47" s="11" t="n"/>
      <c r="D47" s="11" t="n"/>
      <c r="E47" s="11" t="n"/>
      <c r="F47" s="11" t="n"/>
      <c r="G47" s="13" t="n"/>
      <c r="H47" s="13" t="n"/>
      <c r="I47" s="13">
        <f>IF(G47="","",G47-H47)</f>
        <v/>
      </c>
      <c r="J47" s="11" t="n"/>
    </row>
    <row r="48" ht="22" customHeight="1">
      <c r="B48" s="17">
        <f>IF(C48="","DS-"&amp;TEXT(COUNTA($C$5:C48),"000"))</f>
        <v/>
      </c>
      <c r="C48" s="14" t="n"/>
      <c r="D48" s="14" t="n"/>
      <c r="E48" s="14" t="n"/>
      <c r="F48" s="14" t="n"/>
      <c r="G48" s="16" t="n"/>
      <c r="H48" s="16" t="n"/>
      <c r="I48" s="16">
        <f>IF(G48="","",G48-H48)</f>
        <v/>
      </c>
      <c r="J48" s="14" t="n"/>
    </row>
    <row r="49" ht="22" customHeight="1">
      <c r="B49" s="18">
        <f>IF(C49="","DS-"&amp;TEXT(COUNTA($C$5:C49),"000"))</f>
        <v/>
      </c>
      <c r="C49" s="11" t="n"/>
      <c r="D49" s="11" t="n"/>
      <c r="E49" s="11" t="n"/>
      <c r="F49" s="11" t="n"/>
      <c r="G49" s="13" t="n"/>
      <c r="H49" s="13" t="n"/>
      <c r="I49" s="13">
        <f>IF(G49="","",G49-H49)</f>
        <v/>
      </c>
      <c r="J49" s="11" t="n"/>
    </row>
    <row r="50" ht="22" customHeight="1">
      <c r="B50" s="17">
        <f>IF(C50="","DS-"&amp;TEXT(COUNTA($C$5:C50),"000"))</f>
        <v/>
      </c>
      <c r="C50" s="14" t="n"/>
      <c r="D50" s="14" t="n"/>
      <c r="E50" s="14" t="n"/>
      <c r="F50" s="14" t="n"/>
      <c r="G50" s="16" t="n"/>
      <c r="H50" s="16" t="n"/>
      <c r="I50" s="16">
        <f>IF(G50="","",G50-H50)</f>
        <v/>
      </c>
      <c r="J50" s="14" t="n"/>
    </row>
    <row r="51" ht="22" customHeight="1">
      <c r="B51" s="18">
        <f>IF(C51="","DS-"&amp;TEXT(COUNTA($C$5:C51),"000"))</f>
        <v/>
      </c>
      <c r="C51" s="11" t="n"/>
      <c r="D51" s="11" t="n"/>
      <c r="E51" s="11" t="n"/>
      <c r="F51" s="11" t="n"/>
      <c r="G51" s="13" t="n"/>
      <c r="H51" s="13" t="n"/>
      <c r="I51" s="13">
        <f>IF(G51="","",G51-H51)</f>
        <v/>
      </c>
      <c r="J51" s="11" t="n"/>
    </row>
    <row r="52" ht="22" customHeight="1">
      <c r="B52" s="17">
        <f>IF(C52="","DS-"&amp;TEXT(COUNTA($C$5:C52),"000"))</f>
        <v/>
      </c>
      <c r="C52" s="14" t="n"/>
      <c r="D52" s="14" t="n"/>
      <c r="E52" s="14" t="n"/>
      <c r="F52" s="14" t="n"/>
      <c r="G52" s="16" t="n"/>
      <c r="H52" s="16" t="n"/>
      <c r="I52" s="16">
        <f>IF(G52="","",G52-H52)</f>
        <v/>
      </c>
      <c r="J52" s="14" t="n"/>
    </row>
    <row r="53" ht="22" customHeight="1">
      <c r="B53" s="18">
        <f>IF(C53="","DS-"&amp;TEXT(COUNTA($C$5:C53),"000"))</f>
        <v/>
      </c>
      <c r="C53" s="11" t="n"/>
      <c r="D53" s="11" t="n"/>
      <c r="E53" s="11" t="n"/>
      <c r="F53" s="11" t="n"/>
      <c r="G53" s="13" t="n"/>
      <c r="H53" s="13" t="n"/>
      <c r="I53" s="13">
        <f>IF(G53="","",G53-H53)</f>
        <v/>
      </c>
      <c r="J53" s="11" t="n"/>
    </row>
    <row r="54" ht="22" customHeight="1">
      <c r="B54" s="17">
        <f>IF(C54="","DS-"&amp;TEXT(COUNTA($C$5:C54),"000"))</f>
        <v/>
      </c>
      <c r="C54" s="14" t="n"/>
      <c r="D54" s="14" t="n"/>
      <c r="E54" s="14" t="n"/>
      <c r="F54" s="14" t="n"/>
      <c r="G54" s="16" t="n"/>
      <c r="H54" s="16" t="n"/>
      <c r="I54" s="16">
        <f>IF(G54="","",G54-H54)</f>
        <v/>
      </c>
      <c r="J54" s="14" t="n"/>
    </row>
    <row r="55" ht="22" customHeight="1">
      <c r="B55" s="18">
        <f>IF(C55="","DS-"&amp;TEXT(COUNTA($C$5:C55),"000"))</f>
        <v/>
      </c>
      <c r="C55" s="11" t="n"/>
      <c r="D55" s="11" t="n"/>
      <c r="E55" s="11" t="n"/>
      <c r="F55" s="11" t="n"/>
      <c r="G55" s="13" t="n"/>
      <c r="H55" s="13" t="n"/>
      <c r="I55" s="13">
        <f>IF(G55="","",G55-H55)</f>
        <v/>
      </c>
      <c r="J55" s="11" t="n"/>
    </row>
    <row r="56" ht="22" customHeight="1">
      <c r="B56" s="17">
        <f>IF(C56="","DS-"&amp;TEXT(COUNTA($C$5:C56),"000"))</f>
        <v/>
      </c>
      <c r="C56" s="14" t="n"/>
      <c r="D56" s="14" t="n"/>
      <c r="E56" s="14" t="n"/>
      <c r="F56" s="14" t="n"/>
      <c r="G56" s="16" t="n"/>
      <c r="H56" s="16" t="n"/>
      <c r="I56" s="16">
        <f>IF(G56="","",G56-H56)</f>
        <v/>
      </c>
      <c r="J56" s="14" t="n"/>
    </row>
    <row r="57" ht="22" customHeight="1">
      <c r="B57" s="18">
        <f>IF(C57="","DS-"&amp;TEXT(COUNTA($C$5:C57),"000"))</f>
        <v/>
      </c>
      <c r="C57" s="11" t="n"/>
      <c r="D57" s="11" t="n"/>
      <c r="E57" s="11" t="n"/>
      <c r="F57" s="11" t="n"/>
      <c r="G57" s="13" t="n"/>
      <c r="H57" s="13" t="n"/>
      <c r="I57" s="13">
        <f>IF(G57="","",G57-H57)</f>
        <v/>
      </c>
      <c r="J57" s="11" t="n"/>
    </row>
    <row r="58" ht="22" customHeight="1">
      <c r="B58" s="17">
        <f>IF(C58="","DS-"&amp;TEXT(COUNTA($C$5:C58),"000"))</f>
        <v/>
      </c>
      <c r="C58" s="14" t="n"/>
      <c r="D58" s="14" t="n"/>
      <c r="E58" s="14" t="n"/>
      <c r="F58" s="14" t="n"/>
      <c r="G58" s="16" t="n"/>
      <c r="H58" s="16" t="n"/>
      <c r="I58" s="16">
        <f>IF(G58="","",G58-H58)</f>
        <v/>
      </c>
      <c r="J58" s="14" t="n"/>
    </row>
    <row r="59" ht="22" customHeight="1">
      <c r="B59" s="18">
        <f>IF(C59="","DS-"&amp;TEXT(COUNTA($C$5:C59),"000"))</f>
        <v/>
      </c>
      <c r="C59" s="11" t="n"/>
      <c r="D59" s="11" t="n"/>
      <c r="E59" s="11" t="n"/>
      <c r="F59" s="11" t="n"/>
      <c r="G59" s="13" t="n"/>
      <c r="H59" s="13" t="n"/>
      <c r="I59" s="13">
        <f>IF(G59="","",G59-H59)</f>
        <v/>
      </c>
      <c r="J59" s="11" t="n"/>
    </row>
    <row r="60" ht="22" customHeight="1">
      <c r="B60" s="17">
        <f>IF(C60="","DS-"&amp;TEXT(COUNTA($C$5:C60),"000"))</f>
        <v/>
      </c>
      <c r="C60" s="14" t="n"/>
      <c r="D60" s="14" t="n"/>
      <c r="E60" s="14" t="n"/>
      <c r="F60" s="14" t="n"/>
      <c r="G60" s="16" t="n"/>
      <c r="H60" s="16" t="n"/>
      <c r="I60" s="16">
        <f>IF(G60="","",G60-H60)</f>
        <v/>
      </c>
      <c r="J60" s="14" t="n"/>
    </row>
    <row r="61" ht="22" customHeight="1">
      <c r="B61" s="18">
        <f>IF(C61="","DS-"&amp;TEXT(COUNTA($C$5:C61),"000"))</f>
        <v/>
      </c>
      <c r="C61" s="11" t="n"/>
      <c r="D61" s="11" t="n"/>
      <c r="E61" s="11" t="n"/>
      <c r="F61" s="11" t="n"/>
      <c r="G61" s="13" t="n"/>
      <c r="H61" s="13" t="n"/>
      <c r="I61" s="13">
        <f>IF(G61="","",G61-H61)</f>
        <v/>
      </c>
      <c r="J61" s="11" t="n"/>
    </row>
    <row r="62" ht="22" customHeight="1">
      <c r="B62" s="17">
        <f>IF(C62="","DS-"&amp;TEXT(COUNTA($C$5:C62),"000"))</f>
        <v/>
      </c>
      <c r="C62" s="14" t="n"/>
      <c r="D62" s="14" t="n"/>
      <c r="E62" s="14" t="n"/>
      <c r="F62" s="14" t="n"/>
      <c r="G62" s="16" t="n"/>
      <c r="H62" s="16" t="n"/>
      <c r="I62" s="16">
        <f>IF(G62="","",G62-H62)</f>
        <v/>
      </c>
      <c r="J62" s="14" t="n"/>
    </row>
    <row r="63" ht="22" customHeight="1">
      <c r="B63" s="18">
        <f>IF(C63="","DS-"&amp;TEXT(COUNTA($C$5:C63),"000"))</f>
        <v/>
      </c>
      <c r="C63" s="11" t="n"/>
      <c r="D63" s="11" t="n"/>
      <c r="E63" s="11" t="n"/>
      <c r="F63" s="11" t="n"/>
      <c r="G63" s="13" t="n"/>
      <c r="H63" s="13" t="n"/>
      <c r="I63" s="13">
        <f>IF(G63="","",G63-H63)</f>
        <v/>
      </c>
      <c r="J63" s="11" t="n"/>
    </row>
    <row r="64" ht="22" customHeight="1">
      <c r="B64" s="17">
        <f>IF(C64="","DS-"&amp;TEXT(COUNTA($C$5:C64),"000"))</f>
        <v/>
      </c>
      <c r="C64" s="14" t="n"/>
      <c r="D64" s="14" t="n"/>
      <c r="E64" s="14" t="n"/>
      <c r="F64" s="14" t="n"/>
      <c r="G64" s="16" t="n"/>
      <c r="H64" s="16" t="n"/>
      <c r="I64" s="16">
        <f>IF(G64="","",G64-H64)</f>
        <v/>
      </c>
      <c r="J64" s="14" t="n"/>
    </row>
    <row r="65" ht="22" customHeight="1">
      <c r="B65" s="18">
        <f>IF(C65="","DS-"&amp;TEXT(COUNTA($C$5:C65),"000"))</f>
        <v/>
      </c>
      <c r="C65" s="11" t="n"/>
      <c r="D65" s="11" t="n"/>
      <c r="E65" s="11" t="n"/>
      <c r="F65" s="11" t="n"/>
      <c r="G65" s="13" t="n"/>
      <c r="H65" s="13" t="n"/>
      <c r="I65" s="13">
        <f>IF(G65="","",G65-H65)</f>
        <v/>
      </c>
      <c r="J65" s="11" t="n"/>
    </row>
    <row r="66" ht="22" customHeight="1">
      <c r="B66" s="17">
        <f>IF(C66="","DS-"&amp;TEXT(COUNTA($C$5:C66),"000"))</f>
        <v/>
      </c>
      <c r="C66" s="14" t="n"/>
      <c r="D66" s="14" t="n"/>
      <c r="E66" s="14" t="n"/>
      <c r="F66" s="14" t="n"/>
      <c r="G66" s="16" t="n"/>
      <c r="H66" s="16" t="n"/>
      <c r="I66" s="16">
        <f>IF(G66="","",G66-H66)</f>
        <v/>
      </c>
      <c r="J66" s="14" t="n"/>
    </row>
    <row r="67" ht="22" customHeight="1">
      <c r="B67" s="18">
        <f>IF(C67="","DS-"&amp;TEXT(COUNTA($C$5:C67),"000"))</f>
        <v/>
      </c>
      <c r="C67" s="11" t="n"/>
      <c r="D67" s="11" t="n"/>
      <c r="E67" s="11" t="n"/>
      <c r="F67" s="11" t="n"/>
      <c r="G67" s="13" t="n"/>
      <c r="H67" s="13" t="n"/>
      <c r="I67" s="13">
        <f>IF(G67="","",G67-H67)</f>
        <v/>
      </c>
      <c r="J67" s="11" t="n"/>
    </row>
    <row r="68" ht="22" customHeight="1">
      <c r="B68" s="17">
        <f>IF(C68="","DS-"&amp;TEXT(COUNTA($C$5:C68),"000"))</f>
        <v/>
      </c>
      <c r="C68" s="14" t="n"/>
      <c r="D68" s="14" t="n"/>
      <c r="E68" s="14" t="n"/>
      <c r="F68" s="14" t="n"/>
      <c r="G68" s="16" t="n"/>
      <c r="H68" s="16" t="n"/>
      <c r="I68" s="16">
        <f>IF(G68="","",G68-H68)</f>
        <v/>
      </c>
      <c r="J68" s="14" t="n"/>
    </row>
    <row r="69" ht="22" customHeight="1">
      <c r="B69" s="18">
        <f>IF(C69="","DS-"&amp;TEXT(COUNTA($C$5:C69),"000"))</f>
        <v/>
      </c>
      <c r="C69" s="11" t="n"/>
      <c r="D69" s="11" t="n"/>
      <c r="E69" s="11" t="n"/>
      <c r="F69" s="11" t="n"/>
      <c r="G69" s="13" t="n"/>
      <c r="H69" s="13" t="n"/>
      <c r="I69" s="13">
        <f>IF(G69="","",G69-H69)</f>
        <v/>
      </c>
      <c r="J69" s="11" t="n"/>
    </row>
    <row r="70" ht="22" customHeight="1">
      <c r="B70" s="17">
        <f>IF(C70="","DS-"&amp;TEXT(COUNTA($C$5:C70),"000"))</f>
        <v/>
      </c>
      <c r="C70" s="14" t="n"/>
      <c r="D70" s="14" t="n"/>
      <c r="E70" s="14" t="n"/>
      <c r="F70" s="14" t="n"/>
      <c r="G70" s="16" t="n"/>
      <c r="H70" s="16" t="n"/>
      <c r="I70" s="16">
        <f>IF(G70="","",G70-H70)</f>
        <v/>
      </c>
      <c r="J70" s="14" t="n"/>
    </row>
    <row r="71" ht="22" customHeight="1">
      <c r="B71" s="18">
        <f>IF(C71="","DS-"&amp;TEXT(COUNTA($C$5:C71),"000"))</f>
        <v/>
      </c>
      <c r="C71" s="11" t="n"/>
      <c r="D71" s="11" t="n"/>
      <c r="E71" s="11" t="n"/>
      <c r="F71" s="11" t="n"/>
      <c r="G71" s="13" t="n"/>
      <c r="H71" s="13" t="n"/>
      <c r="I71" s="13">
        <f>IF(G71="","",G71-H71)</f>
        <v/>
      </c>
      <c r="J71" s="11" t="n"/>
    </row>
    <row r="72" ht="22" customHeight="1">
      <c r="B72" s="17">
        <f>IF(C72="","DS-"&amp;TEXT(COUNTA($C$5:C72),"000"))</f>
        <v/>
      </c>
      <c r="C72" s="14" t="n"/>
      <c r="D72" s="14" t="n"/>
      <c r="E72" s="14" t="n"/>
      <c r="F72" s="14" t="n"/>
      <c r="G72" s="16" t="n"/>
      <c r="H72" s="16" t="n"/>
      <c r="I72" s="16">
        <f>IF(G72="","",G72-H72)</f>
        <v/>
      </c>
      <c r="J72" s="14" t="n"/>
    </row>
    <row r="73" ht="22" customHeight="1">
      <c r="B73" s="18">
        <f>IF(C73="","DS-"&amp;TEXT(COUNTA($C$5:C73),"000"))</f>
        <v/>
      </c>
      <c r="C73" s="11" t="n"/>
      <c r="D73" s="11" t="n"/>
      <c r="E73" s="11" t="n"/>
      <c r="F73" s="11" t="n"/>
      <c r="G73" s="13" t="n"/>
      <c r="H73" s="13" t="n"/>
      <c r="I73" s="13">
        <f>IF(G73="","",G73-H73)</f>
        <v/>
      </c>
      <c r="J73" s="11" t="n"/>
    </row>
    <row r="74" ht="22" customHeight="1">
      <c r="B74" s="17">
        <f>IF(C74="","DS-"&amp;TEXT(COUNTA($C$5:C74),"000"))</f>
        <v/>
      </c>
      <c r="C74" s="14" t="n"/>
      <c r="D74" s="14" t="n"/>
      <c r="E74" s="14" t="n"/>
      <c r="F74" s="14" t="n"/>
      <c r="G74" s="16" t="n"/>
      <c r="H74" s="16" t="n"/>
      <c r="I74" s="16">
        <f>IF(G74="","",G74-H74)</f>
        <v/>
      </c>
      <c r="J74" s="14" t="n"/>
    </row>
    <row r="75" ht="22" customHeight="1">
      <c r="B75" s="18">
        <f>IF(C75="","DS-"&amp;TEXT(COUNTA($C$5:C75),"000"))</f>
        <v/>
      </c>
      <c r="C75" s="11" t="n"/>
      <c r="D75" s="11" t="n"/>
      <c r="E75" s="11" t="n"/>
      <c r="F75" s="11" t="n"/>
      <c r="G75" s="13" t="n"/>
      <c r="H75" s="13" t="n"/>
      <c r="I75" s="13">
        <f>IF(G75="","",G75-H75)</f>
        <v/>
      </c>
      <c r="J75" s="11" t="n"/>
    </row>
    <row r="76" ht="22" customHeight="1">
      <c r="B76" s="17">
        <f>IF(C76="","DS-"&amp;TEXT(COUNTA($C$5:C76),"000"))</f>
        <v/>
      </c>
      <c r="C76" s="14" t="n"/>
      <c r="D76" s="14" t="n"/>
      <c r="E76" s="14" t="n"/>
      <c r="F76" s="14" t="n"/>
      <c r="G76" s="16" t="n"/>
      <c r="H76" s="16" t="n"/>
      <c r="I76" s="16">
        <f>IF(G76="","",G76-H76)</f>
        <v/>
      </c>
      <c r="J76" s="14" t="n"/>
    </row>
    <row r="77" ht="22" customHeight="1">
      <c r="B77" s="18">
        <f>IF(C77="","DS-"&amp;TEXT(COUNTA($C$5:C77),"000"))</f>
        <v/>
      </c>
      <c r="C77" s="11" t="n"/>
      <c r="D77" s="11" t="n"/>
      <c r="E77" s="11" t="n"/>
      <c r="F77" s="11" t="n"/>
      <c r="G77" s="13" t="n"/>
      <c r="H77" s="13" t="n"/>
      <c r="I77" s="13">
        <f>IF(G77="","",G77-H77)</f>
        <v/>
      </c>
      <c r="J77" s="11" t="n"/>
    </row>
    <row r="78" ht="22" customHeight="1">
      <c r="B78" s="17">
        <f>IF(C78="","DS-"&amp;TEXT(COUNTA($C$5:C78),"000"))</f>
        <v/>
      </c>
      <c r="C78" s="14" t="n"/>
      <c r="D78" s="14" t="n"/>
      <c r="E78" s="14" t="n"/>
      <c r="F78" s="14" t="n"/>
      <c r="G78" s="16" t="n"/>
      <c r="H78" s="16" t="n"/>
      <c r="I78" s="16">
        <f>IF(G78="","",G78-H78)</f>
        <v/>
      </c>
      <c r="J78" s="14" t="n"/>
    </row>
    <row r="79" ht="22" customHeight="1">
      <c r="B79" s="18">
        <f>IF(C79="","DS-"&amp;TEXT(COUNTA($C$5:C79),"000"))</f>
        <v/>
      </c>
      <c r="C79" s="11" t="n"/>
      <c r="D79" s="11" t="n"/>
      <c r="E79" s="11" t="n"/>
      <c r="F79" s="11" t="n"/>
      <c r="G79" s="13" t="n"/>
      <c r="H79" s="13" t="n"/>
      <c r="I79" s="13">
        <f>IF(G79="","",G79-H79)</f>
        <v/>
      </c>
      <c r="J79" s="11" t="n"/>
    </row>
    <row r="80" ht="22" customHeight="1">
      <c r="B80" s="17">
        <f>IF(C80="","DS-"&amp;TEXT(COUNTA($C$5:C80),"000"))</f>
        <v/>
      </c>
      <c r="C80" s="14" t="n"/>
      <c r="D80" s="14" t="n"/>
      <c r="E80" s="14" t="n"/>
      <c r="F80" s="14" t="n"/>
      <c r="G80" s="16" t="n"/>
      <c r="H80" s="16" t="n"/>
      <c r="I80" s="16">
        <f>IF(G80="","",G80-H80)</f>
        <v/>
      </c>
      <c r="J80" s="14" t="n"/>
    </row>
    <row r="81" ht="22" customHeight="1">
      <c r="B81" s="18">
        <f>IF(C81="","DS-"&amp;TEXT(COUNTA($C$5:C81),"000"))</f>
        <v/>
      </c>
      <c r="C81" s="11" t="n"/>
      <c r="D81" s="11" t="n"/>
      <c r="E81" s="11" t="n"/>
      <c r="F81" s="11" t="n"/>
      <c r="G81" s="13" t="n"/>
      <c r="H81" s="13" t="n"/>
      <c r="I81" s="13">
        <f>IF(G81="","",G81-H81)</f>
        <v/>
      </c>
      <c r="J81" s="11" t="n"/>
    </row>
    <row r="82" ht="22" customHeight="1">
      <c r="B82" s="17">
        <f>IF(C82="","DS-"&amp;TEXT(COUNTA($C$5:C82),"000"))</f>
        <v/>
      </c>
      <c r="C82" s="14" t="n"/>
      <c r="D82" s="14" t="n"/>
      <c r="E82" s="14" t="n"/>
      <c r="F82" s="14" t="n"/>
      <c r="G82" s="16" t="n"/>
      <c r="H82" s="16" t="n"/>
      <c r="I82" s="16">
        <f>IF(G82="","",G82-H82)</f>
        <v/>
      </c>
      <c r="J82" s="14" t="n"/>
    </row>
    <row r="83" ht="22" customHeight="1">
      <c r="B83" s="18">
        <f>IF(C83="","DS-"&amp;TEXT(COUNTA($C$5:C83),"000"))</f>
        <v/>
      </c>
      <c r="C83" s="11" t="n"/>
      <c r="D83" s="11" t="n"/>
      <c r="E83" s="11" t="n"/>
      <c r="F83" s="11" t="n"/>
      <c r="G83" s="13" t="n"/>
      <c r="H83" s="13" t="n"/>
      <c r="I83" s="13">
        <f>IF(G83="","",G83-H83)</f>
        <v/>
      </c>
      <c r="J83" s="11" t="n"/>
    </row>
    <row r="84" ht="22" customHeight="1">
      <c r="B84" s="17">
        <f>IF(C84="","DS-"&amp;TEXT(COUNTA($C$5:C84),"000"))</f>
        <v/>
      </c>
      <c r="C84" s="14" t="n"/>
      <c r="D84" s="14" t="n"/>
      <c r="E84" s="14" t="n"/>
      <c r="F84" s="14" t="n"/>
      <c r="G84" s="16" t="n"/>
      <c r="H84" s="16" t="n"/>
      <c r="I84" s="16">
        <f>IF(G84="","",G84-H84)</f>
        <v/>
      </c>
      <c r="J84" s="14" t="n"/>
    </row>
    <row r="85" ht="22" customHeight="1">
      <c r="B85" s="18">
        <f>IF(C85="","DS-"&amp;TEXT(COUNTA($C$5:C85),"000"))</f>
        <v/>
      </c>
      <c r="C85" s="11" t="n"/>
      <c r="D85" s="11" t="n"/>
      <c r="E85" s="11" t="n"/>
      <c r="F85" s="11" t="n"/>
      <c r="G85" s="13" t="n"/>
      <c r="H85" s="13" t="n"/>
      <c r="I85" s="13">
        <f>IF(G85="","",G85-H85)</f>
        <v/>
      </c>
      <c r="J85" s="11" t="n"/>
    </row>
    <row r="86" ht="22" customHeight="1">
      <c r="B86" s="17">
        <f>IF(C86="","DS-"&amp;TEXT(COUNTA($C$5:C86),"000"))</f>
        <v/>
      </c>
      <c r="C86" s="14" t="n"/>
      <c r="D86" s="14" t="n"/>
      <c r="E86" s="14" t="n"/>
      <c r="F86" s="14" t="n"/>
      <c r="G86" s="16" t="n"/>
      <c r="H86" s="16" t="n"/>
      <c r="I86" s="16">
        <f>IF(G86="","",G86-H86)</f>
        <v/>
      </c>
      <c r="J86" s="14" t="n"/>
    </row>
    <row r="87" ht="22" customHeight="1">
      <c r="B87" s="18">
        <f>IF(C87="","DS-"&amp;TEXT(COUNTA($C$5:C87),"000"))</f>
        <v/>
      </c>
      <c r="C87" s="11" t="n"/>
      <c r="D87" s="11" t="n"/>
      <c r="E87" s="11" t="n"/>
      <c r="F87" s="11" t="n"/>
      <c r="G87" s="13" t="n"/>
      <c r="H87" s="13" t="n"/>
      <c r="I87" s="13">
        <f>IF(G87="","",G87-H87)</f>
        <v/>
      </c>
      <c r="J87" s="11" t="n"/>
    </row>
    <row r="88" ht="22" customHeight="1">
      <c r="B88" s="17">
        <f>IF(C88="","DS-"&amp;TEXT(COUNTA($C$5:C88),"000"))</f>
        <v/>
      </c>
      <c r="C88" s="14" t="n"/>
      <c r="D88" s="14" t="n"/>
      <c r="E88" s="14" t="n"/>
      <c r="F88" s="14" t="n"/>
      <c r="G88" s="16" t="n"/>
      <c r="H88" s="16" t="n"/>
      <c r="I88" s="16">
        <f>IF(G88="","",G88-H88)</f>
        <v/>
      </c>
      <c r="J88" s="14" t="n"/>
    </row>
    <row r="89" ht="22" customHeight="1">
      <c r="B89" s="18">
        <f>IF(C89="","DS-"&amp;TEXT(COUNTA($C$5:C89),"000"))</f>
        <v/>
      </c>
      <c r="C89" s="11" t="n"/>
      <c r="D89" s="11" t="n"/>
      <c r="E89" s="11" t="n"/>
      <c r="F89" s="11" t="n"/>
      <c r="G89" s="13" t="n"/>
      <c r="H89" s="13" t="n"/>
      <c r="I89" s="13">
        <f>IF(G89="","",G89-H89)</f>
        <v/>
      </c>
      <c r="J89" s="11" t="n"/>
    </row>
    <row r="90" ht="22" customHeight="1">
      <c r="B90" s="17">
        <f>IF(C90="","DS-"&amp;TEXT(COUNTA($C$5:C90),"000"))</f>
        <v/>
      </c>
      <c r="C90" s="14" t="n"/>
      <c r="D90" s="14" t="n"/>
      <c r="E90" s="14" t="n"/>
      <c r="F90" s="14" t="n"/>
      <c r="G90" s="16" t="n"/>
      <c r="H90" s="16" t="n"/>
      <c r="I90" s="16">
        <f>IF(G90="","",G90-H90)</f>
        <v/>
      </c>
      <c r="J90" s="14" t="n"/>
    </row>
    <row r="91" ht="22" customHeight="1">
      <c r="B91" s="18">
        <f>IF(C91="","DS-"&amp;TEXT(COUNTA($C$5:C91),"000"))</f>
        <v/>
      </c>
      <c r="C91" s="11" t="n"/>
      <c r="D91" s="11" t="n"/>
      <c r="E91" s="11" t="n"/>
      <c r="F91" s="11" t="n"/>
      <c r="G91" s="13" t="n"/>
      <c r="H91" s="13" t="n"/>
      <c r="I91" s="13">
        <f>IF(G91="","",G91-H91)</f>
        <v/>
      </c>
      <c r="J91" s="11" t="n"/>
    </row>
    <row r="92" ht="22" customHeight="1">
      <c r="B92" s="17">
        <f>IF(C92="","DS-"&amp;TEXT(COUNTA($C$5:C92),"000"))</f>
        <v/>
      </c>
      <c r="C92" s="14" t="n"/>
      <c r="D92" s="14" t="n"/>
      <c r="E92" s="14" t="n"/>
      <c r="F92" s="14" t="n"/>
      <c r="G92" s="16" t="n"/>
      <c r="H92" s="16" t="n"/>
      <c r="I92" s="16">
        <f>IF(G92="","",G92-H92)</f>
        <v/>
      </c>
      <c r="J92" s="14" t="n"/>
    </row>
    <row r="93" ht="22" customHeight="1">
      <c r="B93" s="18">
        <f>IF(C93="","DS-"&amp;TEXT(COUNTA($C$5:C93),"000"))</f>
        <v/>
      </c>
      <c r="C93" s="11" t="n"/>
      <c r="D93" s="11" t="n"/>
      <c r="E93" s="11" t="n"/>
      <c r="F93" s="11" t="n"/>
      <c r="G93" s="13" t="n"/>
      <c r="H93" s="13" t="n"/>
      <c r="I93" s="13">
        <f>IF(G93="","",G93-H93)</f>
        <v/>
      </c>
      <c r="J93" s="11" t="n"/>
    </row>
    <row r="94" ht="22" customHeight="1">
      <c r="B94" s="17">
        <f>IF(C94="","DS-"&amp;TEXT(COUNTA($C$5:C94),"000"))</f>
        <v/>
      </c>
      <c r="C94" s="14" t="n"/>
      <c r="D94" s="14" t="n"/>
      <c r="E94" s="14" t="n"/>
      <c r="F94" s="14" t="n"/>
      <c r="G94" s="16" t="n"/>
      <c r="H94" s="16" t="n"/>
      <c r="I94" s="16">
        <f>IF(G94="","",G94-H94)</f>
        <v/>
      </c>
      <c r="J94" s="14" t="n"/>
    </row>
    <row r="95" ht="22" customHeight="1">
      <c r="B95" s="18">
        <f>IF(C95="","DS-"&amp;TEXT(COUNTA($C$5:C95),"000"))</f>
        <v/>
      </c>
      <c r="C95" s="11" t="n"/>
      <c r="D95" s="11" t="n"/>
      <c r="E95" s="11" t="n"/>
      <c r="F95" s="11" t="n"/>
      <c r="G95" s="13" t="n"/>
      <c r="H95" s="13" t="n"/>
      <c r="I95" s="13">
        <f>IF(G95="","",G95-H95)</f>
        <v/>
      </c>
      <c r="J95" s="11" t="n"/>
    </row>
    <row r="96" ht="22" customHeight="1">
      <c r="B96" s="17">
        <f>IF(C96="","DS-"&amp;TEXT(COUNTA($C$5:C96),"000"))</f>
        <v/>
      </c>
      <c r="C96" s="14" t="n"/>
      <c r="D96" s="14" t="n"/>
      <c r="E96" s="14" t="n"/>
      <c r="F96" s="14" t="n"/>
      <c r="G96" s="16" t="n"/>
      <c r="H96" s="16" t="n"/>
      <c r="I96" s="16">
        <f>IF(G96="","",G96-H96)</f>
        <v/>
      </c>
      <c r="J96" s="14" t="n"/>
    </row>
    <row r="97" ht="22" customHeight="1">
      <c r="B97" s="18">
        <f>IF(C97="","DS-"&amp;TEXT(COUNTA($C$5:C97),"000"))</f>
        <v/>
      </c>
      <c r="C97" s="11" t="n"/>
      <c r="D97" s="11" t="n"/>
      <c r="E97" s="11" t="n"/>
      <c r="F97" s="11" t="n"/>
      <c r="G97" s="13" t="n"/>
      <c r="H97" s="13" t="n"/>
      <c r="I97" s="13">
        <f>IF(G97="","",G97-H97)</f>
        <v/>
      </c>
      <c r="J97" s="11" t="n"/>
    </row>
    <row r="98" ht="22" customHeight="1">
      <c r="B98" s="17">
        <f>IF(C98="","DS-"&amp;TEXT(COUNTA($C$5:C98),"000"))</f>
        <v/>
      </c>
      <c r="C98" s="14" t="n"/>
      <c r="D98" s="14" t="n"/>
      <c r="E98" s="14" t="n"/>
      <c r="F98" s="14" t="n"/>
      <c r="G98" s="16" t="n"/>
      <c r="H98" s="16" t="n"/>
      <c r="I98" s="16">
        <f>IF(G98="","",G98-H98)</f>
        <v/>
      </c>
      <c r="J98" s="14" t="n"/>
    </row>
    <row r="99" ht="22" customHeight="1">
      <c r="B99" s="18">
        <f>IF(C99="","DS-"&amp;TEXT(COUNTA($C$5:C99),"000"))</f>
        <v/>
      </c>
      <c r="C99" s="11" t="n"/>
      <c r="D99" s="11" t="n"/>
      <c r="E99" s="11" t="n"/>
      <c r="F99" s="11" t="n"/>
      <c r="G99" s="13" t="n"/>
      <c r="H99" s="13" t="n"/>
      <c r="I99" s="13">
        <f>IF(G99="","",G99-H99)</f>
        <v/>
      </c>
      <c r="J99" s="11" t="n"/>
    </row>
    <row r="100" ht="22" customHeight="1">
      <c r="B100" s="17">
        <f>IF(C100="","DS-"&amp;TEXT(COUNTA($C$5:C100),"000"))</f>
        <v/>
      </c>
      <c r="C100" s="14" t="n"/>
      <c r="D100" s="14" t="n"/>
      <c r="E100" s="14" t="n"/>
      <c r="F100" s="14" t="n"/>
      <c r="G100" s="16" t="n"/>
      <c r="H100" s="16" t="n"/>
      <c r="I100" s="16">
        <f>IF(G100="","",G100-H100)</f>
        <v/>
      </c>
      <c r="J100" s="14" t="n"/>
    </row>
    <row r="101" ht="22" customHeight="1">
      <c r="B101" s="18">
        <f>IF(C101="","DS-"&amp;TEXT(COUNTA($C$5:C101),"000"))</f>
        <v/>
      </c>
      <c r="C101" s="11" t="n"/>
      <c r="D101" s="11" t="n"/>
      <c r="E101" s="11" t="n"/>
      <c r="F101" s="11" t="n"/>
      <c r="G101" s="13" t="n"/>
      <c r="H101" s="13" t="n"/>
      <c r="I101" s="13">
        <f>IF(G101="","",G101-H101)</f>
        <v/>
      </c>
      <c r="J101" s="11" t="n"/>
    </row>
    <row r="102" ht="22" customHeight="1">
      <c r="B102" s="17">
        <f>IF(C102="","DS-"&amp;TEXT(COUNTA($C$5:C102),"000"))</f>
        <v/>
      </c>
      <c r="C102" s="14" t="n"/>
      <c r="D102" s="14" t="n"/>
      <c r="E102" s="14" t="n"/>
      <c r="F102" s="14" t="n"/>
      <c r="G102" s="16" t="n"/>
      <c r="H102" s="16" t="n"/>
      <c r="I102" s="16">
        <f>IF(G102="","",G102-H102)</f>
        <v/>
      </c>
      <c r="J102" s="14" t="n"/>
    </row>
    <row r="103" ht="22" customHeight="1">
      <c r="B103" s="18">
        <f>IF(C103="","DS-"&amp;TEXT(COUNTA($C$5:C103),"000"))</f>
        <v/>
      </c>
      <c r="C103" s="11" t="n"/>
      <c r="D103" s="11" t="n"/>
      <c r="E103" s="11" t="n"/>
      <c r="F103" s="11" t="n"/>
      <c r="G103" s="13" t="n"/>
      <c r="H103" s="13" t="n"/>
      <c r="I103" s="13">
        <f>IF(G103="","",G103-H103)</f>
        <v/>
      </c>
      <c r="J103" s="11" t="n"/>
    </row>
    <row r="104" ht="22" customHeight="1">
      <c r="B104" s="17">
        <f>IF(C104="","DS-"&amp;TEXT(COUNTA($C$5:C104),"000"))</f>
        <v/>
      </c>
      <c r="C104" s="14" t="n"/>
      <c r="D104" s="14" t="n"/>
      <c r="E104" s="14" t="n"/>
      <c r="F104" s="14" t="n"/>
      <c r="G104" s="16" t="n"/>
      <c r="H104" s="16" t="n"/>
      <c r="I104" s="16">
        <f>IF(G104="","",G104-H104)</f>
        <v/>
      </c>
      <c r="J104" s="14" t="n"/>
    </row>
    <row r="105" ht="22" customHeight="1">
      <c r="B105" s="18">
        <f>IF(C105="","DS-"&amp;TEXT(COUNTA($C$5:C105),"000"))</f>
        <v/>
      </c>
      <c r="C105" s="11" t="n"/>
      <c r="D105" s="11" t="n"/>
      <c r="E105" s="11" t="n"/>
      <c r="F105" s="11" t="n"/>
      <c r="G105" s="13" t="n"/>
      <c r="H105" s="13" t="n"/>
      <c r="I105" s="13">
        <f>IF(G105="","",G105-H105)</f>
        <v/>
      </c>
      <c r="J105" s="11" t="n"/>
    </row>
    <row r="106" ht="22" customHeight="1">
      <c r="B106" s="17">
        <f>IF(C106="","DS-"&amp;TEXT(COUNTA($C$5:C106),"000"))</f>
        <v/>
      </c>
      <c r="C106" s="14" t="n"/>
      <c r="D106" s="14" t="n"/>
      <c r="E106" s="14" t="n"/>
      <c r="F106" s="14" t="n"/>
      <c r="G106" s="16" t="n"/>
      <c r="H106" s="16" t="n"/>
      <c r="I106" s="16">
        <f>IF(G106="","",G106-H106)</f>
        <v/>
      </c>
      <c r="J106" s="14" t="n"/>
    </row>
    <row r="107" ht="22" customHeight="1">
      <c r="B107" s="18">
        <f>IF(C107="","DS-"&amp;TEXT(COUNTA($C$5:C107),"000"))</f>
        <v/>
      </c>
      <c r="C107" s="11" t="n"/>
      <c r="D107" s="11" t="n"/>
      <c r="E107" s="11" t="n"/>
      <c r="F107" s="11" t="n"/>
      <c r="G107" s="13" t="n"/>
      <c r="H107" s="13" t="n"/>
      <c r="I107" s="13">
        <f>IF(G107="","",G107-H107)</f>
        <v/>
      </c>
      <c r="J107" s="11" t="n"/>
    </row>
    <row r="108" ht="22" customHeight="1">
      <c r="B108" s="17">
        <f>IF(C108="","DS-"&amp;TEXT(COUNTA($C$5:C108),"000"))</f>
        <v/>
      </c>
      <c r="C108" s="14" t="n"/>
      <c r="D108" s="14" t="n"/>
      <c r="E108" s="14" t="n"/>
      <c r="F108" s="14" t="n"/>
      <c r="G108" s="16" t="n"/>
      <c r="H108" s="16" t="n"/>
      <c r="I108" s="16">
        <f>IF(G108="","",G108-H108)</f>
        <v/>
      </c>
      <c r="J108" s="14" t="n"/>
    </row>
    <row r="109" ht="22" customHeight="1">
      <c r="B109" s="18">
        <f>IF(C109="","DS-"&amp;TEXT(COUNTA($C$5:C109),"000"))</f>
        <v/>
      </c>
      <c r="C109" s="11" t="n"/>
      <c r="D109" s="11" t="n"/>
      <c r="E109" s="11" t="n"/>
      <c r="F109" s="11" t="n"/>
      <c r="G109" s="13" t="n"/>
      <c r="H109" s="13" t="n"/>
      <c r="I109" s="13">
        <f>IF(G109="","",G109-H109)</f>
        <v/>
      </c>
      <c r="J109" s="11" t="n"/>
    </row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1">
        <f>SUM(G5:G104)</f>
        <v/>
      </c>
      <c r="H111" s="21">
        <f>SUM(H5:H104)</f>
        <v/>
      </c>
      <c r="I111" s="21">
        <f>SUM(I5:I104)</f>
        <v/>
      </c>
      <c r="J111" s="20" t="n"/>
    </row>
    <row r="113">
      <c r="B113" s="5" t="inlineStr">
        <is>
          <t>INDICATEURS (mis a jour automatiquement)</t>
        </is>
      </c>
    </row>
    <row r="114">
      <c r="B114" s="3" t="inlineStr">
        <is>
          <t>Beneficiaires</t>
        </is>
      </c>
      <c r="D114" s="3" t="inlineStr">
        <is>
          <t>Total heures allouees</t>
        </is>
      </c>
      <c r="F114" s="3" t="inlineStr">
        <is>
          <t>Total heures utilisees</t>
        </is>
      </c>
      <c r="H114" s="3" t="inlineStr">
        <is>
          <t>Taux utilisation (%)</t>
        </is>
      </c>
    </row>
    <row r="115">
      <c r="B115" s="4">
        <f>COUNTIF(B5:B104,"&lt;&gt;")</f>
        <v/>
      </c>
      <c r="D115" s="4">
        <f>SUM(G5:G104)</f>
        <v/>
      </c>
      <c r="F115" s="4">
        <f>SUM(H5:H104)</f>
        <v/>
      </c>
      <c r="H115" s="4">
        <f>IFERROR(SUM(H5:H104)/SUM(G5:G104),0)</f>
        <v/>
      </c>
    </row>
  </sheetData>
  <mergeCells count="3">
    <mergeCell ref="B113:J113"/>
    <mergeCell ref="B3:J3"/>
    <mergeCell ref="B2:J2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dataValidations count="2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'_Lists'!$D$2:$D$11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I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6" customWidth="1" min="4" max="4"/>
    <col width="24" customWidth="1" min="5" max="5"/>
    <col width="26" customWidth="1" min="6" max="6"/>
    <col width="32" customWidth="1" min="7" max="7"/>
    <col width="14" customWidth="1" min="8" max="8"/>
    <col width="16" customWidth="1" min="9" max="9"/>
  </cols>
  <sheetData>
    <row r="1" ht="15" customHeight="1"/>
    <row r="2" ht="32" customHeight="1">
      <c r="B2" s="1" t="inlineStr">
        <is>
          <t>HISTORIQUE DES ACCORDS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Accord</t>
        </is>
      </c>
      <c r="D4" s="10" t="inlineStr">
        <is>
          <t>Annee Signature</t>
        </is>
      </c>
      <c r="E4" s="10" t="inlineStr">
        <is>
          <t>Type</t>
        </is>
      </c>
      <c r="F4" s="10" t="inlineStr">
        <is>
          <t>Syndicats Signataires</t>
        </is>
      </c>
      <c r="G4" s="10" t="inlineStr">
        <is>
          <t>Objet Principal</t>
        </is>
      </c>
      <c r="H4" s="10" t="inlineStr">
        <is>
          <t>Duree (mois)</t>
        </is>
      </c>
      <c r="I4" s="10" t="inlineStr">
        <is>
          <t>Statut Actuel</t>
        </is>
      </c>
    </row>
    <row r="5" ht="22" customHeight="1">
      <c r="B5" s="11" t="inlineStr">
        <is>
          <t>HA-001</t>
        </is>
      </c>
      <c r="C5" s="11" t="inlineStr">
        <is>
          <t>AC-001</t>
        </is>
      </c>
      <c r="D5" s="11" t="inlineStr">
        <is>
          <t>2025</t>
        </is>
      </c>
      <c r="E5" s="11" t="inlineStr">
        <is>
          <t>Accord salarial</t>
        </is>
      </c>
      <c r="F5" s="11" t="inlineStr">
        <is>
          <t>CSTT, CSA, CSC</t>
        </is>
      </c>
      <c r="G5" s="11" t="inlineStr">
        <is>
          <t>Revalorisation salariale 5%</t>
        </is>
      </c>
      <c r="H5" s="13" t="n">
        <v>12</v>
      </c>
      <c r="I5" s="11" t="inlineStr">
        <is>
          <t>En vigueur</t>
        </is>
      </c>
    </row>
    <row r="6" ht="22" customHeight="1">
      <c r="B6" s="14" t="inlineStr">
        <is>
          <t>HA-002</t>
        </is>
      </c>
      <c r="C6" s="14" t="inlineStr">
        <is>
          <t>AC-002</t>
        </is>
      </c>
      <c r="D6" s="14" t="inlineStr">
        <is>
          <t>2024</t>
        </is>
      </c>
      <c r="E6" s="14" t="inlineStr">
        <is>
          <t>Accord d'entreprise</t>
        </is>
      </c>
      <c r="F6" s="14" t="inlineStr">
        <is>
          <t>CSC</t>
        </is>
      </c>
      <c r="G6" s="14" t="inlineStr">
        <is>
          <t>Teletravail partiel IT</t>
        </is>
      </c>
      <c r="H6" s="16" t="n">
        <v>24</v>
      </c>
      <c r="I6" s="14" t="inlineStr">
        <is>
          <t>En vigueur</t>
        </is>
      </c>
    </row>
    <row r="7" ht="22" customHeight="1">
      <c r="B7" s="11" t="inlineStr">
        <is>
          <t>HA-003</t>
        </is>
      </c>
      <c r="C7" s="11" t="inlineStr">
        <is>
          <t>AC-003</t>
        </is>
      </c>
      <c r="D7" s="11" t="inlineStr">
        <is>
          <t>2020</t>
        </is>
      </c>
      <c r="E7" s="11" t="inlineStr">
        <is>
          <t>Convention collective</t>
        </is>
      </c>
      <c r="F7" s="11" t="inlineStr">
        <is>
          <t>Ensemble syndicats</t>
        </is>
      </c>
      <c r="G7" s="11" t="inlineStr">
        <is>
          <t>Application CCT Hotelier</t>
        </is>
      </c>
      <c r="H7" s="13" t="n">
        <v>60</v>
      </c>
      <c r="I7" s="11" t="inlineStr">
        <is>
          <t>Expire</t>
        </is>
      </c>
    </row>
    <row r="8" ht="22" customHeight="1">
      <c r="B8" s="14" t="inlineStr">
        <is>
          <t>HA-004</t>
        </is>
      </c>
      <c r="C8" s="14" t="inlineStr">
        <is>
          <t>AC-004</t>
        </is>
      </c>
      <c r="D8" s="14" t="inlineStr">
        <is>
          <t>2025</t>
        </is>
      </c>
      <c r="E8" s="14" t="inlineStr">
        <is>
          <t>Protocole precontentieux</t>
        </is>
      </c>
      <c r="F8" s="14" t="inlineStr">
        <is>
          <t>CSTT</t>
        </is>
      </c>
      <c r="G8" s="14" t="inlineStr">
        <is>
          <t>Resolution conflit horaires</t>
        </is>
      </c>
      <c r="H8" s="16" t="n">
        <v>6</v>
      </c>
      <c r="I8" s="14" t="inlineStr">
        <is>
          <t>En vigueur</t>
        </is>
      </c>
    </row>
    <row r="9" ht="22" customHeight="1">
      <c r="B9" s="11" t="inlineStr">
        <is>
          <t>HA-005</t>
        </is>
      </c>
      <c r="C9" s="11" t="inlineStr">
        <is>
          <t>AC-005</t>
        </is>
      </c>
      <c r="D9" s="11" t="inlineStr">
        <is>
          <t>2025</t>
        </is>
      </c>
      <c r="E9" s="11" t="inlineStr">
        <is>
          <t>Avenant</t>
        </is>
      </c>
      <c r="F9" s="11" t="inlineStr">
        <is>
          <t>CSE</t>
        </is>
      </c>
      <c r="G9" s="11" t="inlineStr">
        <is>
          <t>Revision prime panier</t>
        </is>
      </c>
      <c r="H9" s="13" t="n">
        <v>12</v>
      </c>
      <c r="I9" s="11" t="inlineStr">
        <is>
          <t>En vigueur</t>
        </is>
      </c>
    </row>
    <row r="10" ht="22" customHeight="1">
      <c r="B10" s="14" t="inlineStr">
        <is>
          <t>HA-006</t>
        </is>
      </c>
      <c r="C10" s="14" t="inlineStr">
        <is>
          <t>AC-OLD-001</t>
        </is>
      </c>
      <c r="D10" s="14" t="inlineStr">
        <is>
          <t>2022</t>
        </is>
      </c>
      <c r="E10" s="14" t="inlineStr">
        <is>
          <t>Accord salarial</t>
        </is>
      </c>
      <c r="F10" s="14" t="inlineStr">
        <is>
          <t>CSTT, CSA</t>
        </is>
      </c>
      <c r="G10" s="14" t="inlineStr">
        <is>
          <t>Augmentation 4% 2022</t>
        </is>
      </c>
      <c r="H10" s="16" t="n">
        <v>12</v>
      </c>
      <c r="I10" s="14" t="inlineStr">
        <is>
          <t>Expire</t>
        </is>
      </c>
    </row>
    <row r="11" ht="22" customHeight="1">
      <c r="B11" s="11" t="inlineStr">
        <is>
          <t>HA-007</t>
        </is>
      </c>
      <c r="C11" s="11" t="inlineStr">
        <is>
          <t>AC-OLD-002</t>
        </is>
      </c>
      <c r="D11" s="11" t="inlineStr">
        <is>
          <t>2023</t>
        </is>
      </c>
      <c r="E11" s="11" t="inlineStr">
        <is>
          <t>Accord d'entreprise</t>
        </is>
      </c>
      <c r="F11" s="11" t="inlineStr">
        <is>
          <t>CSTT, CSA, CSC</t>
        </is>
      </c>
      <c r="G11" s="11" t="inlineStr">
        <is>
          <t>Prime transport 2023</t>
        </is>
      </c>
      <c r="H11" s="13" t="n">
        <v>12</v>
      </c>
      <c r="I11" s="11" t="inlineStr">
        <is>
          <t>Expire</t>
        </is>
      </c>
    </row>
    <row r="12" ht="22" customHeight="1">
      <c r="B12" s="17">
        <f>IF(C12="","HA-"&amp;TEXT(COUNTA($C$5:C12),"000"))</f>
        <v/>
      </c>
      <c r="C12" s="14" t="n"/>
      <c r="D12" s="14" t="n"/>
      <c r="E12" s="14" t="n"/>
      <c r="F12" s="14" t="n"/>
      <c r="G12" s="14" t="n"/>
      <c r="H12" s="16" t="n"/>
      <c r="I12" s="14" t="n"/>
    </row>
    <row r="13" ht="22" customHeight="1">
      <c r="B13" s="18">
        <f>IF(C13="","HA-"&amp;TEXT(COUNTA($C$5:C13),"000"))</f>
        <v/>
      </c>
      <c r="C13" s="11" t="n"/>
      <c r="D13" s="11" t="n"/>
      <c r="E13" s="11" t="n"/>
      <c r="F13" s="11" t="n"/>
      <c r="G13" s="11" t="n"/>
      <c r="H13" s="13" t="n"/>
      <c r="I13" s="11" t="n"/>
    </row>
    <row r="14" ht="22" customHeight="1">
      <c r="B14" s="17">
        <f>IF(C14="","HA-"&amp;TEXT(COUNTA($C$5:C14),"000"))</f>
        <v/>
      </c>
      <c r="C14" s="14" t="n"/>
      <c r="D14" s="14" t="n"/>
      <c r="E14" s="14" t="n"/>
      <c r="F14" s="14" t="n"/>
      <c r="G14" s="14" t="n"/>
      <c r="H14" s="16" t="n"/>
      <c r="I14" s="14" t="n"/>
    </row>
    <row r="15" ht="22" customHeight="1">
      <c r="B15" s="18">
        <f>IF(C15="","HA-"&amp;TEXT(COUNTA($C$5:C15),"000"))</f>
        <v/>
      </c>
      <c r="C15" s="11" t="n"/>
      <c r="D15" s="11" t="n"/>
      <c r="E15" s="11" t="n"/>
      <c r="F15" s="11" t="n"/>
      <c r="G15" s="11" t="n"/>
      <c r="H15" s="13" t="n"/>
      <c r="I15" s="11" t="n"/>
    </row>
    <row r="16" ht="22" customHeight="1">
      <c r="B16" s="17">
        <f>IF(C16="","HA-"&amp;TEXT(COUNTA($C$5:C16),"000"))</f>
        <v/>
      </c>
      <c r="C16" s="14" t="n"/>
      <c r="D16" s="14" t="n"/>
      <c r="E16" s="14" t="n"/>
      <c r="F16" s="14" t="n"/>
      <c r="G16" s="14" t="n"/>
      <c r="H16" s="16" t="n"/>
      <c r="I16" s="14" t="n"/>
    </row>
    <row r="17" ht="22" customHeight="1">
      <c r="B17" s="18">
        <f>IF(C17="","HA-"&amp;TEXT(COUNTA($C$5:C17),"000"))</f>
        <v/>
      </c>
      <c r="C17" s="11" t="n"/>
      <c r="D17" s="11" t="n"/>
      <c r="E17" s="11" t="n"/>
      <c r="F17" s="11" t="n"/>
      <c r="G17" s="11" t="n"/>
      <c r="H17" s="13" t="n"/>
      <c r="I17" s="11" t="n"/>
    </row>
    <row r="18" ht="22" customHeight="1">
      <c r="B18" s="17">
        <f>IF(C18="","HA-"&amp;TEXT(COUNTA($C$5:C18),"000"))</f>
        <v/>
      </c>
      <c r="C18" s="14" t="n"/>
      <c r="D18" s="14" t="n"/>
      <c r="E18" s="14" t="n"/>
      <c r="F18" s="14" t="n"/>
      <c r="G18" s="14" t="n"/>
      <c r="H18" s="16" t="n"/>
      <c r="I18" s="14" t="n"/>
    </row>
    <row r="19" ht="22" customHeight="1">
      <c r="B19" s="18">
        <f>IF(C19="","HA-"&amp;TEXT(COUNTA($C$5:C19),"000"))</f>
        <v/>
      </c>
      <c r="C19" s="11" t="n"/>
      <c r="D19" s="11" t="n"/>
      <c r="E19" s="11" t="n"/>
      <c r="F19" s="11" t="n"/>
      <c r="G19" s="11" t="n"/>
      <c r="H19" s="13" t="n"/>
      <c r="I19" s="11" t="n"/>
    </row>
    <row r="20" ht="22" customHeight="1">
      <c r="B20" s="17">
        <f>IF(C20="","HA-"&amp;TEXT(COUNTA($C$5:C20),"000"))</f>
        <v/>
      </c>
      <c r="C20" s="14" t="n"/>
      <c r="D20" s="14" t="n"/>
      <c r="E20" s="14" t="n"/>
      <c r="F20" s="14" t="n"/>
      <c r="G20" s="14" t="n"/>
      <c r="H20" s="16" t="n"/>
      <c r="I20" s="14" t="n"/>
    </row>
    <row r="21" ht="22" customHeight="1">
      <c r="B21" s="18">
        <f>IF(C21="","HA-"&amp;TEXT(COUNTA($C$5:C21),"000"))</f>
        <v/>
      </c>
      <c r="C21" s="11" t="n"/>
      <c r="D21" s="11" t="n"/>
      <c r="E21" s="11" t="n"/>
      <c r="F21" s="11" t="n"/>
      <c r="G21" s="11" t="n"/>
      <c r="H21" s="13" t="n"/>
      <c r="I21" s="11" t="n"/>
    </row>
    <row r="22" ht="22" customHeight="1">
      <c r="B22" s="17">
        <f>IF(C22="","HA-"&amp;TEXT(COUNTA($C$5:C22),"000"))</f>
        <v/>
      </c>
      <c r="C22" s="14" t="n"/>
      <c r="D22" s="14" t="n"/>
      <c r="E22" s="14" t="n"/>
      <c r="F22" s="14" t="n"/>
      <c r="G22" s="14" t="n"/>
      <c r="H22" s="16" t="n"/>
      <c r="I22" s="14" t="n"/>
    </row>
    <row r="23" ht="22" customHeight="1">
      <c r="B23" s="18">
        <f>IF(C23="","HA-"&amp;TEXT(COUNTA($C$5:C23),"000"))</f>
        <v/>
      </c>
      <c r="C23" s="11" t="n"/>
      <c r="D23" s="11" t="n"/>
      <c r="E23" s="11" t="n"/>
      <c r="F23" s="11" t="n"/>
      <c r="G23" s="11" t="n"/>
      <c r="H23" s="13" t="n"/>
      <c r="I23" s="11" t="n"/>
    </row>
    <row r="24" ht="22" customHeight="1">
      <c r="B24" s="17">
        <f>IF(C24="","HA-"&amp;TEXT(COUNTA($C$5:C24),"000"))</f>
        <v/>
      </c>
      <c r="C24" s="14" t="n"/>
      <c r="D24" s="14" t="n"/>
      <c r="E24" s="14" t="n"/>
      <c r="F24" s="14" t="n"/>
      <c r="G24" s="14" t="n"/>
      <c r="H24" s="16" t="n"/>
      <c r="I24" s="14" t="n"/>
    </row>
    <row r="25" ht="22" customHeight="1">
      <c r="B25" s="18">
        <f>IF(C25="","HA-"&amp;TEXT(COUNTA($C$5:C25),"000"))</f>
        <v/>
      </c>
      <c r="C25" s="11" t="n"/>
      <c r="D25" s="11" t="n"/>
      <c r="E25" s="11" t="n"/>
      <c r="F25" s="11" t="n"/>
      <c r="G25" s="11" t="n"/>
      <c r="H25" s="13" t="n"/>
      <c r="I25" s="11" t="n"/>
    </row>
    <row r="26" ht="22" customHeight="1">
      <c r="B26" s="17">
        <f>IF(C26="","HA-"&amp;TEXT(COUNTA($C$5:C26),"000"))</f>
        <v/>
      </c>
      <c r="C26" s="14" t="n"/>
      <c r="D26" s="14" t="n"/>
      <c r="E26" s="14" t="n"/>
      <c r="F26" s="14" t="n"/>
      <c r="G26" s="14" t="n"/>
      <c r="H26" s="16" t="n"/>
      <c r="I26" s="14" t="n"/>
    </row>
    <row r="27" ht="22" customHeight="1">
      <c r="B27" s="18">
        <f>IF(C27="","HA-"&amp;TEXT(COUNTA($C$5:C27),"000"))</f>
        <v/>
      </c>
      <c r="C27" s="11" t="n"/>
      <c r="D27" s="11" t="n"/>
      <c r="E27" s="11" t="n"/>
      <c r="F27" s="11" t="n"/>
      <c r="G27" s="11" t="n"/>
      <c r="H27" s="13" t="n"/>
      <c r="I27" s="11" t="n"/>
    </row>
    <row r="28" ht="22" customHeight="1">
      <c r="B28" s="17">
        <f>IF(C28="","HA-"&amp;TEXT(COUNTA($C$5:C28),"000"))</f>
        <v/>
      </c>
      <c r="C28" s="14" t="n"/>
      <c r="D28" s="14" t="n"/>
      <c r="E28" s="14" t="n"/>
      <c r="F28" s="14" t="n"/>
      <c r="G28" s="14" t="n"/>
      <c r="H28" s="16" t="n"/>
      <c r="I28" s="14" t="n"/>
    </row>
    <row r="29" ht="22" customHeight="1">
      <c r="B29" s="18">
        <f>IF(C29="","HA-"&amp;TEXT(COUNTA($C$5:C29),"000"))</f>
        <v/>
      </c>
      <c r="C29" s="11" t="n"/>
      <c r="D29" s="11" t="n"/>
      <c r="E29" s="11" t="n"/>
      <c r="F29" s="11" t="n"/>
      <c r="G29" s="11" t="n"/>
      <c r="H29" s="13" t="n"/>
      <c r="I29" s="11" t="n"/>
    </row>
    <row r="30" ht="22" customHeight="1">
      <c r="B30" s="17">
        <f>IF(C30="","HA-"&amp;TEXT(COUNTA($C$5:C30),"000"))</f>
        <v/>
      </c>
      <c r="C30" s="14" t="n"/>
      <c r="D30" s="14" t="n"/>
      <c r="E30" s="14" t="n"/>
      <c r="F30" s="14" t="n"/>
      <c r="G30" s="14" t="n"/>
      <c r="H30" s="16" t="n"/>
      <c r="I30" s="14" t="n"/>
    </row>
    <row r="31" ht="22" customHeight="1">
      <c r="B31" s="18">
        <f>IF(C31="","HA-"&amp;TEXT(COUNTA($C$5:C31),"000"))</f>
        <v/>
      </c>
      <c r="C31" s="11" t="n"/>
      <c r="D31" s="11" t="n"/>
      <c r="E31" s="11" t="n"/>
      <c r="F31" s="11" t="n"/>
      <c r="G31" s="11" t="n"/>
      <c r="H31" s="13" t="n"/>
      <c r="I31" s="11" t="n"/>
    </row>
    <row r="32" ht="22" customHeight="1">
      <c r="B32" s="17">
        <f>IF(C32="","HA-"&amp;TEXT(COUNTA($C$5:C32),"000"))</f>
        <v/>
      </c>
      <c r="C32" s="14" t="n"/>
      <c r="D32" s="14" t="n"/>
      <c r="E32" s="14" t="n"/>
      <c r="F32" s="14" t="n"/>
      <c r="G32" s="14" t="n"/>
      <c r="H32" s="16" t="n"/>
      <c r="I32" s="14" t="n"/>
    </row>
    <row r="33" ht="22" customHeight="1">
      <c r="B33" s="18">
        <f>IF(C33="","HA-"&amp;TEXT(COUNTA($C$5:C33),"000"))</f>
        <v/>
      </c>
      <c r="C33" s="11" t="n"/>
      <c r="D33" s="11" t="n"/>
      <c r="E33" s="11" t="n"/>
      <c r="F33" s="11" t="n"/>
      <c r="G33" s="11" t="n"/>
      <c r="H33" s="13" t="n"/>
      <c r="I33" s="11" t="n"/>
    </row>
    <row r="34" ht="22" customHeight="1">
      <c r="B34" s="17">
        <f>IF(C34="","HA-"&amp;TEXT(COUNTA($C$5:C34),"000"))</f>
        <v/>
      </c>
      <c r="C34" s="14" t="n"/>
      <c r="D34" s="14" t="n"/>
      <c r="E34" s="14" t="n"/>
      <c r="F34" s="14" t="n"/>
      <c r="G34" s="14" t="n"/>
      <c r="H34" s="16" t="n"/>
      <c r="I34" s="14" t="n"/>
    </row>
    <row r="35" ht="22" customHeight="1">
      <c r="B35" s="18">
        <f>IF(C35="","HA-"&amp;TEXT(COUNTA($C$5:C35),"000"))</f>
        <v/>
      </c>
      <c r="C35" s="11" t="n"/>
      <c r="D35" s="11" t="n"/>
      <c r="E35" s="11" t="n"/>
      <c r="F35" s="11" t="n"/>
      <c r="G35" s="11" t="n"/>
      <c r="H35" s="13" t="n"/>
      <c r="I35" s="11" t="n"/>
    </row>
    <row r="36" ht="22" customHeight="1">
      <c r="B36" s="17">
        <f>IF(C36="","HA-"&amp;TEXT(COUNTA($C$5:C36),"000"))</f>
        <v/>
      </c>
      <c r="C36" s="14" t="n"/>
      <c r="D36" s="14" t="n"/>
      <c r="E36" s="14" t="n"/>
      <c r="F36" s="14" t="n"/>
      <c r="G36" s="14" t="n"/>
      <c r="H36" s="16" t="n"/>
      <c r="I36" s="14" t="n"/>
    </row>
    <row r="37" ht="22" customHeight="1">
      <c r="B37" s="18">
        <f>IF(C37="","HA-"&amp;TEXT(COUNTA($C$5:C37),"000"))</f>
        <v/>
      </c>
      <c r="C37" s="11" t="n"/>
      <c r="D37" s="11" t="n"/>
      <c r="E37" s="11" t="n"/>
      <c r="F37" s="11" t="n"/>
      <c r="G37" s="11" t="n"/>
      <c r="H37" s="13" t="n"/>
      <c r="I37" s="11" t="n"/>
    </row>
    <row r="38" ht="22" customHeight="1">
      <c r="B38" s="17">
        <f>IF(C38="","HA-"&amp;TEXT(COUNTA($C$5:C38),"000"))</f>
        <v/>
      </c>
      <c r="C38" s="14" t="n"/>
      <c r="D38" s="14" t="n"/>
      <c r="E38" s="14" t="n"/>
      <c r="F38" s="14" t="n"/>
      <c r="G38" s="14" t="n"/>
      <c r="H38" s="16" t="n"/>
      <c r="I38" s="14" t="n"/>
    </row>
    <row r="39" ht="22" customHeight="1">
      <c r="B39" s="18">
        <f>IF(C39="","HA-"&amp;TEXT(COUNTA($C$5:C39),"000"))</f>
        <v/>
      </c>
      <c r="C39" s="11" t="n"/>
      <c r="D39" s="11" t="n"/>
      <c r="E39" s="11" t="n"/>
      <c r="F39" s="11" t="n"/>
      <c r="G39" s="11" t="n"/>
      <c r="H39" s="13" t="n"/>
      <c r="I39" s="11" t="n"/>
    </row>
    <row r="40" ht="22" customHeight="1">
      <c r="B40" s="17">
        <f>IF(C40="","HA-"&amp;TEXT(COUNTA($C$5:C40),"000"))</f>
        <v/>
      </c>
      <c r="C40" s="14" t="n"/>
      <c r="D40" s="14" t="n"/>
      <c r="E40" s="14" t="n"/>
      <c r="F40" s="14" t="n"/>
      <c r="G40" s="14" t="n"/>
      <c r="H40" s="16" t="n"/>
      <c r="I40" s="14" t="n"/>
    </row>
    <row r="41" ht="22" customHeight="1">
      <c r="B41" s="18">
        <f>IF(C41="","HA-"&amp;TEXT(COUNTA($C$5:C41),"000"))</f>
        <v/>
      </c>
      <c r="C41" s="11" t="n"/>
      <c r="D41" s="11" t="n"/>
      <c r="E41" s="11" t="n"/>
      <c r="F41" s="11" t="n"/>
      <c r="G41" s="11" t="n"/>
      <c r="H41" s="13" t="n"/>
      <c r="I41" s="11" t="n"/>
    </row>
    <row r="42" ht="22" customHeight="1">
      <c r="B42" s="17">
        <f>IF(C42="","HA-"&amp;TEXT(COUNTA($C$5:C42),"000"))</f>
        <v/>
      </c>
      <c r="C42" s="14" t="n"/>
      <c r="D42" s="14" t="n"/>
      <c r="E42" s="14" t="n"/>
      <c r="F42" s="14" t="n"/>
      <c r="G42" s="14" t="n"/>
      <c r="H42" s="16" t="n"/>
      <c r="I42" s="14" t="n"/>
    </row>
    <row r="43" ht="22" customHeight="1">
      <c r="B43" s="18">
        <f>IF(C43="","HA-"&amp;TEXT(COUNTA($C$5:C43),"000"))</f>
        <v/>
      </c>
      <c r="C43" s="11" t="n"/>
      <c r="D43" s="11" t="n"/>
      <c r="E43" s="11" t="n"/>
      <c r="F43" s="11" t="n"/>
      <c r="G43" s="11" t="n"/>
      <c r="H43" s="13" t="n"/>
      <c r="I43" s="11" t="n"/>
    </row>
    <row r="44" ht="22" customHeight="1">
      <c r="B44" s="17">
        <f>IF(C44="","HA-"&amp;TEXT(COUNTA($C$5:C44),"000"))</f>
        <v/>
      </c>
      <c r="C44" s="14" t="n"/>
      <c r="D44" s="14" t="n"/>
      <c r="E44" s="14" t="n"/>
      <c r="F44" s="14" t="n"/>
      <c r="G44" s="14" t="n"/>
      <c r="H44" s="16" t="n"/>
      <c r="I44" s="14" t="n"/>
    </row>
    <row r="45" ht="22" customHeight="1">
      <c r="B45" s="18">
        <f>IF(C45="","HA-"&amp;TEXT(COUNTA($C$5:C45),"000"))</f>
        <v/>
      </c>
      <c r="C45" s="11" t="n"/>
      <c r="D45" s="11" t="n"/>
      <c r="E45" s="11" t="n"/>
      <c r="F45" s="11" t="n"/>
      <c r="G45" s="11" t="n"/>
      <c r="H45" s="13" t="n"/>
      <c r="I45" s="11" t="n"/>
    </row>
    <row r="46" ht="22" customHeight="1">
      <c r="B46" s="17">
        <f>IF(C46="","HA-"&amp;TEXT(COUNTA($C$5:C46),"000"))</f>
        <v/>
      </c>
      <c r="C46" s="14" t="n"/>
      <c r="D46" s="14" t="n"/>
      <c r="E46" s="14" t="n"/>
      <c r="F46" s="14" t="n"/>
      <c r="G46" s="14" t="n"/>
      <c r="H46" s="16" t="n"/>
      <c r="I46" s="14" t="n"/>
    </row>
    <row r="47" ht="22" customHeight="1">
      <c r="B47" s="18">
        <f>IF(C47="","HA-"&amp;TEXT(COUNTA($C$5:C47),"000"))</f>
        <v/>
      </c>
      <c r="C47" s="11" t="n"/>
      <c r="D47" s="11" t="n"/>
      <c r="E47" s="11" t="n"/>
      <c r="F47" s="11" t="n"/>
      <c r="G47" s="11" t="n"/>
      <c r="H47" s="13" t="n"/>
      <c r="I47" s="11" t="n"/>
    </row>
    <row r="48" ht="22" customHeight="1">
      <c r="B48" s="17">
        <f>IF(C48="","HA-"&amp;TEXT(COUNTA($C$5:C48),"000"))</f>
        <v/>
      </c>
      <c r="C48" s="14" t="n"/>
      <c r="D48" s="14" t="n"/>
      <c r="E48" s="14" t="n"/>
      <c r="F48" s="14" t="n"/>
      <c r="G48" s="14" t="n"/>
      <c r="H48" s="16" t="n"/>
      <c r="I48" s="14" t="n"/>
    </row>
    <row r="49" ht="22" customHeight="1">
      <c r="B49" s="18">
        <f>IF(C49="","HA-"&amp;TEXT(COUNTA($C$5:C49),"000"))</f>
        <v/>
      </c>
      <c r="C49" s="11" t="n"/>
      <c r="D49" s="11" t="n"/>
      <c r="E49" s="11" t="n"/>
      <c r="F49" s="11" t="n"/>
      <c r="G49" s="11" t="n"/>
      <c r="H49" s="13" t="n"/>
      <c r="I49" s="11" t="n"/>
    </row>
    <row r="50" ht="22" customHeight="1">
      <c r="B50" s="17">
        <f>IF(C50="","HA-"&amp;TEXT(COUNTA($C$5:C50),"000"))</f>
        <v/>
      </c>
      <c r="C50" s="14" t="n"/>
      <c r="D50" s="14" t="n"/>
      <c r="E50" s="14" t="n"/>
      <c r="F50" s="14" t="n"/>
      <c r="G50" s="14" t="n"/>
      <c r="H50" s="16" t="n"/>
      <c r="I50" s="14" t="n"/>
    </row>
    <row r="51" ht="22" customHeight="1">
      <c r="B51" s="18">
        <f>IF(C51="","HA-"&amp;TEXT(COUNTA($C$5:C51),"000"))</f>
        <v/>
      </c>
      <c r="C51" s="11" t="n"/>
      <c r="D51" s="11" t="n"/>
      <c r="E51" s="11" t="n"/>
      <c r="F51" s="11" t="n"/>
      <c r="G51" s="11" t="n"/>
      <c r="H51" s="13" t="n"/>
      <c r="I51" s="11" t="n"/>
    </row>
    <row r="52" ht="22" customHeight="1">
      <c r="B52" s="17">
        <f>IF(C52="","HA-"&amp;TEXT(COUNTA($C$5:C52),"000"))</f>
        <v/>
      </c>
      <c r="C52" s="14" t="n"/>
      <c r="D52" s="14" t="n"/>
      <c r="E52" s="14" t="n"/>
      <c r="F52" s="14" t="n"/>
      <c r="G52" s="14" t="n"/>
      <c r="H52" s="16" t="n"/>
      <c r="I52" s="14" t="n"/>
    </row>
    <row r="53" ht="22" customHeight="1">
      <c r="B53" s="18">
        <f>IF(C53="","HA-"&amp;TEXT(COUNTA($C$5:C53),"000"))</f>
        <v/>
      </c>
      <c r="C53" s="11" t="n"/>
      <c r="D53" s="11" t="n"/>
      <c r="E53" s="11" t="n"/>
      <c r="F53" s="11" t="n"/>
      <c r="G53" s="11" t="n"/>
      <c r="H53" s="13" t="n"/>
      <c r="I53" s="11" t="n"/>
    </row>
    <row r="54" ht="22" customHeight="1">
      <c r="B54" s="17">
        <f>IF(C54="","HA-"&amp;TEXT(COUNTA($C$5:C54),"000"))</f>
        <v/>
      </c>
      <c r="C54" s="14" t="n"/>
      <c r="D54" s="14" t="n"/>
      <c r="E54" s="14" t="n"/>
      <c r="F54" s="14" t="n"/>
      <c r="G54" s="14" t="n"/>
      <c r="H54" s="16" t="n"/>
      <c r="I54" s="14" t="n"/>
    </row>
    <row r="55" ht="22" customHeight="1">
      <c r="B55" s="18">
        <f>IF(C55="","HA-"&amp;TEXT(COUNTA($C$5:C55),"000"))</f>
        <v/>
      </c>
      <c r="C55" s="11" t="n"/>
      <c r="D55" s="11" t="n"/>
      <c r="E55" s="11" t="n"/>
      <c r="F55" s="11" t="n"/>
      <c r="G55" s="11" t="n"/>
      <c r="H55" s="13" t="n"/>
      <c r="I55" s="11" t="n"/>
    </row>
    <row r="56" ht="22" customHeight="1">
      <c r="B56" s="17">
        <f>IF(C56="","HA-"&amp;TEXT(COUNTA($C$5:C56),"000"))</f>
        <v/>
      </c>
      <c r="C56" s="14" t="n"/>
      <c r="D56" s="14" t="n"/>
      <c r="E56" s="14" t="n"/>
      <c r="F56" s="14" t="n"/>
      <c r="G56" s="14" t="n"/>
      <c r="H56" s="16" t="n"/>
      <c r="I56" s="14" t="n"/>
    </row>
    <row r="57" ht="22" customHeight="1">
      <c r="B57" s="18">
        <f>IF(C57="","HA-"&amp;TEXT(COUNTA($C$5:C57),"000"))</f>
        <v/>
      </c>
      <c r="C57" s="11" t="n"/>
      <c r="D57" s="11" t="n"/>
      <c r="E57" s="11" t="n"/>
      <c r="F57" s="11" t="n"/>
      <c r="G57" s="11" t="n"/>
      <c r="H57" s="13" t="n"/>
      <c r="I57" s="11" t="n"/>
    </row>
    <row r="58" ht="22" customHeight="1">
      <c r="B58" s="17">
        <f>IF(C58="","HA-"&amp;TEXT(COUNTA($C$5:C58),"000"))</f>
        <v/>
      </c>
      <c r="C58" s="14" t="n"/>
      <c r="D58" s="14" t="n"/>
      <c r="E58" s="14" t="n"/>
      <c r="F58" s="14" t="n"/>
      <c r="G58" s="14" t="n"/>
      <c r="H58" s="16" t="n"/>
      <c r="I58" s="14" t="n"/>
    </row>
    <row r="59" ht="22" customHeight="1">
      <c r="B59" s="18">
        <f>IF(C59="","HA-"&amp;TEXT(COUNTA($C$5:C59),"000"))</f>
        <v/>
      </c>
      <c r="C59" s="11" t="n"/>
      <c r="D59" s="11" t="n"/>
      <c r="E59" s="11" t="n"/>
      <c r="F59" s="11" t="n"/>
      <c r="G59" s="11" t="n"/>
      <c r="H59" s="13" t="n"/>
      <c r="I59" s="11" t="n"/>
    </row>
    <row r="60" ht="22" customHeight="1">
      <c r="B60" s="17">
        <f>IF(C60="","HA-"&amp;TEXT(COUNTA($C$5:C60),"000"))</f>
        <v/>
      </c>
      <c r="C60" s="14" t="n"/>
      <c r="D60" s="14" t="n"/>
      <c r="E60" s="14" t="n"/>
      <c r="F60" s="14" t="n"/>
      <c r="G60" s="14" t="n"/>
      <c r="H60" s="16" t="n"/>
      <c r="I60" s="14" t="n"/>
    </row>
    <row r="61" ht="22" customHeight="1">
      <c r="B61" s="18">
        <f>IF(C61="","HA-"&amp;TEXT(COUNTA($C$5:C61),"000"))</f>
        <v/>
      </c>
      <c r="C61" s="11" t="n"/>
      <c r="D61" s="11" t="n"/>
      <c r="E61" s="11" t="n"/>
      <c r="F61" s="11" t="n"/>
      <c r="G61" s="11" t="n"/>
      <c r="H61" s="13" t="n"/>
      <c r="I61" s="11" t="n"/>
    </row>
    <row r="62" ht="22" customHeight="1">
      <c r="B62" s="17">
        <f>IF(C62="","HA-"&amp;TEXT(COUNTA($C$5:C62),"000"))</f>
        <v/>
      </c>
      <c r="C62" s="14" t="n"/>
      <c r="D62" s="14" t="n"/>
      <c r="E62" s="14" t="n"/>
      <c r="F62" s="14" t="n"/>
      <c r="G62" s="14" t="n"/>
      <c r="H62" s="16" t="n"/>
      <c r="I62" s="14" t="n"/>
    </row>
    <row r="63" ht="22" customHeight="1">
      <c r="B63" s="18">
        <f>IF(C63="","HA-"&amp;TEXT(COUNTA($C$5:C63),"000"))</f>
        <v/>
      </c>
      <c r="C63" s="11" t="n"/>
      <c r="D63" s="11" t="n"/>
      <c r="E63" s="11" t="n"/>
      <c r="F63" s="11" t="n"/>
      <c r="G63" s="11" t="n"/>
      <c r="H63" s="13" t="n"/>
      <c r="I63" s="11" t="n"/>
    </row>
    <row r="64" ht="22" customHeight="1">
      <c r="B64" s="17">
        <f>IF(C64="","HA-"&amp;TEXT(COUNTA($C$5:C64),"000"))</f>
        <v/>
      </c>
      <c r="C64" s="14" t="n"/>
      <c r="D64" s="14" t="n"/>
      <c r="E64" s="14" t="n"/>
      <c r="F64" s="14" t="n"/>
      <c r="G64" s="14" t="n"/>
      <c r="H64" s="16" t="n"/>
      <c r="I64" s="14" t="n"/>
    </row>
    <row r="65" ht="22" customHeight="1">
      <c r="B65" s="18">
        <f>IF(C65="","HA-"&amp;TEXT(COUNTA($C$5:C65),"000"))</f>
        <v/>
      </c>
      <c r="C65" s="11" t="n"/>
      <c r="D65" s="11" t="n"/>
      <c r="E65" s="11" t="n"/>
      <c r="F65" s="11" t="n"/>
      <c r="G65" s="11" t="n"/>
      <c r="H65" s="13" t="n"/>
      <c r="I65" s="11" t="n"/>
    </row>
    <row r="66" ht="22" customHeight="1">
      <c r="B66" s="17">
        <f>IF(C66="","HA-"&amp;TEXT(COUNTA($C$5:C66),"000"))</f>
        <v/>
      </c>
      <c r="C66" s="14" t="n"/>
      <c r="D66" s="14" t="n"/>
      <c r="E66" s="14" t="n"/>
      <c r="F66" s="14" t="n"/>
      <c r="G66" s="14" t="n"/>
      <c r="H66" s="16" t="n"/>
      <c r="I66" s="14" t="n"/>
    </row>
    <row r="67" ht="22" customHeight="1">
      <c r="B67" s="18">
        <f>IF(C67="","HA-"&amp;TEXT(COUNTA($C$5:C67),"000"))</f>
        <v/>
      </c>
      <c r="C67" s="11" t="n"/>
      <c r="D67" s="11" t="n"/>
      <c r="E67" s="11" t="n"/>
      <c r="F67" s="11" t="n"/>
      <c r="G67" s="11" t="n"/>
      <c r="H67" s="13" t="n"/>
      <c r="I67" s="11" t="n"/>
    </row>
    <row r="68" ht="22" customHeight="1">
      <c r="B68" s="17">
        <f>IF(C68="","HA-"&amp;TEXT(COUNTA($C$5:C68),"000"))</f>
        <v/>
      </c>
      <c r="C68" s="14" t="n"/>
      <c r="D68" s="14" t="n"/>
      <c r="E68" s="14" t="n"/>
      <c r="F68" s="14" t="n"/>
      <c r="G68" s="14" t="n"/>
      <c r="H68" s="16" t="n"/>
      <c r="I68" s="14" t="n"/>
    </row>
    <row r="69" ht="22" customHeight="1">
      <c r="B69" s="18">
        <f>IF(C69="","HA-"&amp;TEXT(COUNTA($C$5:C69),"000"))</f>
        <v/>
      </c>
      <c r="C69" s="11" t="n"/>
      <c r="D69" s="11" t="n"/>
      <c r="E69" s="11" t="n"/>
      <c r="F69" s="11" t="n"/>
      <c r="G69" s="11" t="n"/>
      <c r="H69" s="13" t="n"/>
      <c r="I69" s="11" t="n"/>
    </row>
    <row r="70" ht="22" customHeight="1">
      <c r="B70" s="17">
        <f>IF(C70="","HA-"&amp;TEXT(COUNTA($C$5:C70),"000"))</f>
        <v/>
      </c>
      <c r="C70" s="14" t="n"/>
      <c r="D70" s="14" t="n"/>
      <c r="E70" s="14" t="n"/>
      <c r="F70" s="14" t="n"/>
      <c r="G70" s="14" t="n"/>
      <c r="H70" s="16" t="n"/>
      <c r="I70" s="14" t="n"/>
    </row>
    <row r="71" ht="22" customHeight="1">
      <c r="B71" s="18">
        <f>IF(C71="","HA-"&amp;TEXT(COUNTA($C$5:C71),"000"))</f>
        <v/>
      </c>
      <c r="C71" s="11" t="n"/>
      <c r="D71" s="11" t="n"/>
      <c r="E71" s="11" t="n"/>
      <c r="F71" s="11" t="n"/>
      <c r="G71" s="11" t="n"/>
      <c r="H71" s="13" t="n"/>
      <c r="I71" s="11" t="n"/>
    </row>
    <row r="72" ht="22" customHeight="1">
      <c r="B72" s="17">
        <f>IF(C72="","HA-"&amp;TEXT(COUNTA($C$5:C72),"000"))</f>
        <v/>
      </c>
      <c r="C72" s="14" t="n"/>
      <c r="D72" s="14" t="n"/>
      <c r="E72" s="14" t="n"/>
      <c r="F72" s="14" t="n"/>
      <c r="G72" s="14" t="n"/>
      <c r="H72" s="16" t="n"/>
      <c r="I72" s="14" t="n"/>
    </row>
    <row r="73" ht="22" customHeight="1">
      <c r="B73" s="18">
        <f>IF(C73="","HA-"&amp;TEXT(COUNTA($C$5:C73),"000"))</f>
        <v/>
      </c>
      <c r="C73" s="11" t="n"/>
      <c r="D73" s="11" t="n"/>
      <c r="E73" s="11" t="n"/>
      <c r="F73" s="11" t="n"/>
      <c r="G73" s="11" t="n"/>
      <c r="H73" s="13" t="n"/>
      <c r="I73" s="11" t="n"/>
    </row>
    <row r="74" ht="22" customHeight="1">
      <c r="B74" s="17">
        <f>IF(C74="","HA-"&amp;TEXT(COUNTA($C$5:C74),"000"))</f>
        <v/>
      </c>
      <c r="C74" s="14" t="n"/>
      <c r="D74" s="14" t="n"/>
      <c r="E74" s="14" t="n"/>
      <c r="F74" s="14" t="n"/>
      <c r="G74" s="14" t="n"/>
      <c r="H74" s="16" t="n"/>
      <c r="I74" s="14" t="n"/>
    </row>
    <row r="75" ht="22" customHeight="1">
      <c r="B75" s="18">
        <f>IF(C75="","HA-"&amp;TEXT(COUNTA($C$5:C75),"000"))</f>
        <v/>
      </c>
      <c r="C75" s="11" t="n"/>
      <c r="D75" s="11" t="n"/>
      <c r="E75" s="11" t="n"/>
      <c r="F75" s="11" t="n"/>
      <c r="G75" s="11" t="n"/>
      <c r="H75" s="13" t="n"/>
      <c r="I75" s="11" t="n"/>
    </row>
    <row r="76" ht="22" customHeight="1">
      <c r="B76" s="17">
        <f>IF(C76="","HA-"&amp;TEXT(COUNTA($C$5:C76),"000"))</f>
        <v/>
      </c>
      <c r="C76" s="14" t="n"/>
      <c r="D76" s="14" t="n"/>
      <c r="E76" s="14" t="n"/>
      <c r="F76" s="14" t="n"/>
      <c r="G76" s="14" t="n"/>
      <c r="H76" s="16" t="n"/>
      <c r="I76" s="14" t="n"/>
    </row>
    <row r="77" ht="22" customHeight="1">
      <c r="B77" s="18">
        <f>IF(C77="","HA-"&amp;TEXT(COUNTA($C$5:C77),"000"))</f>
        <v/>
      </c>
      <c r="C77" s="11" t="n"/>
      <c r="D77" s="11" t="n"/>
      <c r="E77" s="11" t="n"/>
      <c r="F77" s="11" t="n"/>
      <c r="G77" s="11" t="n"/>
      <c r="H77" s="13" t="n"/>
      <c r="I77" s="11" t="n"/>
    </row>
    <row r="78" ht="22" customHeight="1">
      <c r="B78" s="17">
        <f>IF(C78="","HA-"&amp;TEXT(COUNTA($C$5:C78),"000"))</f>
        <v/>
      </c>
      <c r="C78" s="14" t="n"/>
      <c r="D78" s="14" t="n"/>
      <c r="E78" s="14" t="n"/>
      <c r="F78" s="14" t="n"/>
      <c r="G78" s="14" t="n"/>
      <c r="H78" s="16" t="n"/>
      <c r="I78" s="14" t="n"/>
    </row>
    <row r="79" ht="22" customHeight="1">
      <c r="B79" s="18">
        <f>IF(C79="","HA-"&amp;TEXT(COUNTA($C$5:C79),"000"))</f>
        <v/>
      </c>
      <c r="C79" s="11" t="n"/>
      <c r="D79" s="11" t="n"/>
      <c r="E79" s="11" t="n"/>
      <c r="F79" s="11" t="n"/>
      <c r="G79" s="11" t="n"/>
      <c r="H79" s="13" t="n"/>
      <c r="I79" s="11" t="n"/>
    </row>
    <row r="80" ht="22" customHeight="1">
      <c r="B80" s="17">
        <f>IF(C80="","HA-"&amp;TEXT(COUNTA($C$5:C80),"000"))</f>
        <v/>
      </c>
      <c r="C80" s="14" t="n"/>
      <c r="D80" s="14" t="n"/>
      <c r="E80" s="14" t="n"/>
      <c r="F80" s="14" t="n"/>
      <c r="G80" s="14" t="n"/>
      <c r="H80" s="16" t="n"/>
      <c r="I80" s="14" t="n"/>
    </row>
    <row r="81" ht="22" customHeight="1">
      <c r="B81" s="18">
        <f>IF(C81="","HA-"&amp;TEXT(COUNTA($C$5:C81),"000"))</f>
        <v/>
      </c>
      <c r="C81" s="11" t="n"/>
      <c r="D81" s="11" t="n"/>
      <c r="E81" s="11" t="n"/>
      <c r="F81" s="11" t="n"/>
      <c r="G81" s="11" t="n"/>
      <c r="H81" s="13" t="n"/>
      <c r="I81" s="11" t="n"/>
    </row>
    <row r="82" ht="22" customHeight="1">
      <c r="B82" s="17">
        <f>IF(C82="","HA-"&amp;TEXT(COUNTA($C$5:C82),"000"))</f>
        <v/>
      </c>
      <c r="C82" s="14" t="n"/>
      <c r="D82" s="14" t="n"/>
      <c r="E82" s="14" t="n"/>
      <c r="F82" s="14" t="n"/>
      <c r="G82" s="14" t="n"/>
      <c r="H82" s="16" t="n"/>
      <c r="I82" s="14" t="n"/>
    </row>
    <row r="83" ht="22" customHeight="1">
      <c r="B83" s="18">
        <f>IF(C83="","HA-"&amp;TEXT(COUNTA($C$5:C83),"000"))</f>
        <v/>
      </c>
      <c r="C83" s="11" t="n"/>
      <c r="D83" s="11" t="n"/>
      <c r="E83" s="11" t="n"/>
      <c r="F83" s="11" t="n"/>
      <c r="G83" s="11" t="n"/>
      <c r="H83" s="13" t="n"/>
      <c r="I83" s="11" t="n"/>
    </row>
    <row r="84" ht="22" customHeight="1">
      <c r="B84" s="17">
        <f>IF(C84="","HA-"&amp;TEXT(COUNTA($C$5:C84),"000"))</f>
        <v/>
      </c>
      <c r="C84" s="14" t="n"/>
      <c r="D84" s="14" t="n"/>
      <c r="E84" s="14" t="n"/>
      <c r="F84" s="14" t="n"/>
      <c r="G84" s="14" t="n"/>
      <c r="H84" s="16" t="n"/>
      <c r="I84" s="14" t="n"/>
    </row>
    <row r="85" ht="22" customHeight="1">
      <c r="B85" s="18">
        <f>IF(C85="","HA-"&amp;TEXT(COUNTA($C$5:C85),"000"))</f>
        <v/>
      </c>
      <c r="C85" s="11" t="n"/>
      <c r="D85" s="11" t="n"/>
      <c r="E85" s="11" t="n"/>
      <c r="F85" s="11" t="n"/>
      <c r="G85" s="11" t="n"/>
      <c r="H85" s="13" t="n"/>
      <c r="I85" s="11" t="n"/>
    </row>
    <row r="86" ht="22" customHeight="1">
      <c r="B86" s="17">
        <f>IF(C86="","HA-"&amp;TEXT(COUNTA($C$5:C86),"000"))</f>
        <v/>
      </c>
      <c r="C86" s="14" t="n"/>
      <c r="D86" s="14" t="n"/>
      <c r="E86" s="14" t="n"/>
      <c r="F86" s="14" t="n"/>
      <c r="G86" s="14" t="n"/>
      <c r="H86" s="16" t="n"/>
      <c r="I86" s="14" t="n"/>
    </row>
    <row r="87" ht="22" customHeight="1">
      <c r="B87" s="18">
        <f>IF(C87="","HA-"&amp;TEXT(COUNTA($C$5:C87),"000"))</f>
        <v/>
      </c>
      <c r="C87" s="11" t="n"/>
      <c r="D87" s="11" t="n"/>
      <c r="E87" s="11" t="n"/>
      <c r="F87" s="11" t="n"/>
      <c r="G87" s="11" t="n"/>
      <c r="H87" s="13" t="n"/>
      <c r="I87" s="11" t="n"/>
    </row>
    <row r="88" ht="22" customHeight="1">
      <c r="B88" s="17">
        <f>IF(C88="","HA-"&amp;TEXT(COUNTA($C$5:C88),"000"))</f>
        <v/>
      </c>
      <c r="C88" s="14" t="n"/>
      <c r="D88" s="14" t="n"/>
      <c r="E88" s="14" t="n"/>
      <c r="F88" s="14" t="n"/>
      <c r="G88" s="14" t="n"/>
      <c r="H88" s="16" t="n"/>
      <c r="I88" s="14" t="n"/>
    </row>
    <row r="89" ht="22" customHeight="1">
      <c r="B89" s="18">
        <f>IF(C89="","HA-"&amp;TEXT(COUNTA($C$5:C89),"000"))</f>
        <v/>
      </c>
      <c r="C89" s="11" t="n"/>
      <c r="D89" s="11" t="n"/>
      <c r="E89" s="11" t="n"/>
      <c r="F89" s="11" t="n"/>
      <c r="G89" s="11" t="n"/>
      <c r="H89" s="13" t="n"/>
      <c r="I89" s="11" t="n"/>
    </row>
    <row r="90" ht="22" customHeight="1">
      <c r="B90" s="17">
        <f>IF(C90="","HA-"&amp;TEXT(COUNTA($C$5:C90),"000"))</f>
        <v/>
      </c>
      <c r="C90" s="14" t="n"/>
      <c r="D90" s="14" t="n"/>
      <c r="E90" s="14" t="n"/>
      <c r="F90" s="14" t="n"/>
      <c r="G90" s="14" t="n"/>
      <c r="H90" s="16" t="n"/>
      <c r="I90" s="14" t="n"/>
    </row>
    <row r="91" ht="22" customHeight="1">
      <c r="B91" s="18">
        <f>IF(C91="","HA-"&amp;TEXT(COUNTA($C$5:C91),"000"))</f>
        <v/>
      </c>
      <c r="C91" s="11" t="n"/>
      <c r="D91" s="11" t="n"/>
      <c r="E91" s="11" t="n"/>
      <c r="F91" s="11" t="n"/>
      <c r="G91" s="11" t="n"/>
      <c r="H91" s="13" t="n"/>
      <c r="I91" s="11" t="n"/>
    </row>
    <row r="92" ht="22" customHeight="1">
      <c r="B92" s="17">
        <f>IF(C92="","HA-"&amp;TEXT(COUNTA($C$5:C92),"000"))</f>
        <v/>
      </c>
      <c r="C92" s="14" t="n"/>
      <c r="D92" s="14" t="n"/>
      <c r="E92" s="14" t="n"/>
      <c r="F92" s="14" t="n"/>
      <c r="G92" s="14" t="n"/>
      <c r="H92" s="16" t="n"/>
      <c r="I92" s="14" t="n"/>
    </row>
    <row r="93" ht="22" customHeight="1">
      <c r="B93" s="18">
        <f>IF(C93="","HA-"&amp;TEXT(COUNTA($C$5:C93),"000"))</f>
        <v/>
      </c>
      <c r="C93" s="11" t="n"/>
      <c r="D93" s="11" t="n"/>
      <c r="E93" s="11" t="n"/>
      <c r="F93" s="11" t="n"/>
      <c r="G93" s="11" t="n"/>
      <c r="H93" s="13" t="n"/>
      <c r="I93" s="11" t="n"/>
    </row>
    <row r="94" ht="22" customHeight="1">
      <c r="B94" s="17">
        <f>IF(C94="","HA-"&amp;TEXT(COUNTA($C$5:C94),"000"))</f>
        <v/>
      </c>
      <c r="C94" s="14" t="n"/>
      <c r="D94" s="14" t="n"/>
      <c r="E94" s="14" t="n"/>
      <c r="F94" s="14" t="n"/>
      <c r="G94" s="14" t="n"/>
      <c r="H94" s="16" t="n"/>
      <c r="I94" s="14" t="n"/>
    </row>
    <row r="95" ht="22" customHeight="1">
      <c r="B95" s="18">
        <f>IF(C95="","HA-"&amp;TEXT(COUNTA($C$5:C95),"000"))</f>
        <v/>
      </c>
      <c r="C95" s="11" t="n"/>
      <c r="D95" s="11" t="n"/>
      <c r="E95" s="11" t="n"/>
      <c r="F95" s="11" t="n"/>
      <c r="G95" s="11" t="n"/>
      <c r="H95" s="13" t="n"/>
      <c r="I95" s="11" t="n"/>
    </row>
    <row r="96" ht="22" customHeight="1">
      <c r="B96" s="17">
        <f>IF(C96="","HA-"&amp;TEXT(COUNTA($C$5:C96),"000"))</f>
        <v/>
      </c>
      <c r="C96" s="14" t="n"/>
      <c r="D96" s="14" t="n"/>
      <c r="E96" s="14" t="n"/>
      <c r="F96" s="14" t="n"/>
      <c r="G96" s="14" t="n"/>
      <c r="H96" s="16" t="n"/>
      <c r="I96" s="14" t="n"/>
    </row>
    <row r="97" ht="22" customHeight="1">
      <c r="B97" s="18">
        <f>IF(C97="","HA-"&amp;TEXT(COUNTA($C$5:C97),"000"))</f>
        <v/>
      </c>
      <c r="C97" s="11" t="n"/>
      <c r="D97" s="11" t="n"/>
      <c r="E97" s="11" t="n"/>
      <c r="F97" s="11" t="n"/>
      <c r="G97" s="11" t="n"/>
      <c r="H97" s="13" t="n"/>
      <c r="I97" s="11" t="n"/>
    </row>
    <row r="98" ht="22" customHeight="1">
      <c r="B98" s="17">
        <f>IF(C98="","HA-"&amp;TEXT(COUNTA($C$5:C98),"000"))</f>
        <v/>
      </c>
      <c r="C98" s="14" t="n"/>
      <c r="D98" s="14" t="n"/>
      <c r="E98" s="14" t="n"/>
      <c r="F98" s="14" t="n"/>
      <c r="G98" s="14" t="n"/>
      <c r="H98" s="16" t="n"/>
      <c r="I98" s="14" t="n"/>
    </row>
    <row r="99" ht="22" customHeight="1">
      <c r="B99" s="18">
        <f>IF(C99="","HA-"&amp;TEXT(COUNTA($C$5:C99),"000"))</f>
        <v/>
      </c>
      <c r="C99" s="11" t="n"/>
      <c r="D99" s="11" t="n"/>
      <c r="E99" s="11" t="n"/>
      <c r="F99" s="11" t="n"/>
      <c r="G99" s="11" t="n"/>
      <c r="H99" s="13" t="n"/>
      <c r="I99" s="11" t="n"/>
    </row>
    <row r="100" ht="22" customHeight="1">
      <c r="B100" s="17">
        <f>IF(C100="","HA-"&amp;TEXT(COUNTA($C$5:C100),"000"))</f>
        <v/>
      </c>
      <c r="C100" s="14" t="n"/>
      <c r="D100" s="14" t="n"/>
      <c r="E100" s="14" t="n"/>
      <c r="F100" s="14" t="n"/>
      <c r="G100" s="14" t="n"/>
      <c r="H100" s="16" t="n"/>
      <c r="I100" s="14" t="n"/>
    </row>
    <row r="101" ht="22" customHeight="1">
      <c r="B101" s="18">
        <f>IF(C101="","HA-"&amp;TEXT(COUNTA($C$5:C101),"000"))</f>
        <v/>
      </c>
      <c r="C101" s="11" t="n"/>
      <c r="D101" s="11" t="n"/>
      <c r="E101" s="11" t="n"/>
      <c r="F101" s="11" t="n"/>
      <c r="G101" s="11" t="n"/>
      <c r="H101" s="13" t="n"/>
      <c r="I101" s="11" t="n"/>
    </row>
    <row r="102" ht="22" customHeight="1">
      <c r="B102" s="17">
        <f>IF(C102="","HA-"&amp;TEXT(COUNTA($C$5:C102),"000"))</f>
        <v/>
      </c>
      <c r="C102" s="14" t="n"/>
      <c r="D102" s="14" t="n"/>
      <c r="E102" s="14" t="n"/>
      <c r="F102" s="14" t="n"/>
      <c r="G102" s="14" t="n"/>
      <c r="H102" s="16" t="n"/>
      <c r="I102" s="14" t="n"/>
    </row>
    <row r="103" ht="22" customHeight="1">
      <c r="B103" s="18">
        <f>IF(C103="","HA-"&amp;TEXT(COUNTA($C$5:C103),"000"))</f>
        <v/>
      </c>
      <c r="C103" s="11" t="n"/>
      <c r="D103" s="11" t="n"/>
      <c r="E103" s="11" t="n"/>
      <c r="F103" s="11" t="n"/>
      <c r="G103" s="11" t="n"/>
      <c r="H103" s="13" t="n"/>
      <c r="I103" s="11" t="n"/>
    </row>
    <row r="104" ht="22" customHeight="1">
      <c r="B104" s="17">
        <f>IF(C104="","HA-"&amp;TEXT(COUNTA($C$5:C104),"000"))</f>
        <v/>
      </c>
      <c r="C104" s="14" t="n"/>
      <c r="D104" s="14" t="n"/>
      <c r="E104" s="14" t="n"/>
      <c r="F104" s="14" t="n"/>
      <c r="G104" s="14" t="n"/>
      <c r="H104" s="16" t="n"/>
      <c r="I104" s="14" t="n"/>
    </row>
    <row r="105" ht="22" customHeight="1">
      <c r="B105" s="18">
        <f>IF(C105="","HA-"&amp;TEXT(COUNTA($C$5:C105),"000"))</f>
        <v/>
      </c>
      <c r="C105" s="11" t="n"/>
      <c r="D105" s="11" t="n"/>
      <c r="E105" s="11" t="n"/>
      <c r="F105" s="11" t="n"/>
      <c r="G105" s="11" t="n"/>
      <c r="H105" s="13" t="n"/>
      <c r="I105" s="11" t="n"/>
    </row>
    <row r="106" ht="22" customHeight="1">
      <c r="B106" s="17">
        <f>IF(C106="","HA-"&amp;TEXT(COUNTA($C$5:C106),"000"))</f>
        <v/>
      </c>
      <c r="C106" s="14" t="n"/>
      <c r="D106" s="14" t="n"/>
      <c r="E106" s="14" t="n"/>
      <c r="F106" s="14" t="n"/>
      <c r="G106" s="14" t="n"/>
      <c r="H106" s="16" t="n"/>
      <c r="I106" s="14" t="n"/>
    </row>
    <row r="107" ht="22" customHeight="1">
      <c r="B107" s="18">
        <f>IF(C107="","HA-"&amp;TEXT(COUNTA($C$5:C107),"000"))</f>
        <v/>
      </c>
      <c r="C107" s="11" t="n"/>
      <c r="D107" s="11" t="n"/>
      <c r="E107" s="11" t="n"/>
      <c r="F107" s="11" t="n"/>
      <c r="G107" s="11" t="n"/>
      <c r="H107" s="13" t="n"/>
      <c r="I107" s="11" t="n"/>
    </row>
    <row r="108" ht="22" customHeight="1">
      <c r="B108" s="17">
        <f>IF(C108="","HA-"&amp;TEXT(COUNTA($C$5:C108),"000"))</f>
        <v/>
      </c>
      <c r="C108" s="14" t="n"/>
      <c r="D108" s="14" t="n"/>
      <c r="E108" s="14" t="n"/>
      <c r="F108" s="14" t="n"/>
      <c r="G108" s="14" t="n"/>
      <c r="H108" s="16" t="n"/>
      <c r="I108" s="14" t="n"/>
    </row>
    <row r="109" ht="22" customHeight="1">
      <c r="B109" s="18">
        <f>IF(C109="","HA-"&amp;TEXT(COUNTA($C$5:C109),"000"))</f>
        <v/>
      </c>
      <c r="C109" s="11" t="n"/>
      <c r="D109" s="11" t="n"/>
      <c r="E109" s="11" t="n"/>
      <c r="F109" s="11" t="n"/>
      <c r="G109" s="11" t="n"/>
      <c r="H109" s="13" t="n"/>
      <c r="I109" s="11" t="n"/>
    </row>
    <row r="110" ht="22" customHeight="1">
      <c r="B110" s="17">
        <f>IF(C110="","HA-"&amp;TEXT(COUNTA($C$5:C110),"000"))</f>
        <v/>
      </c>
      <c r="C110" s="14" t="n"/>
      <c r="D110" s="14" t="n"/>
      <c r="E110" s="14" t="n"/>
      <c r="F110" s="14" t="n"/>
      <c r="G110" s="14" t="n"/>
      <c r="H110" s="16" t="n"/>
      <c r="I110" s="14" t="n"/>
    </row>
    <row r="111" ht="22" customHeight="1">
      <c r="B111" s="18">
        <f>IF(C111="","HA-"&amp;TEXT(COUNTA($C$5:C111),"000"))</f>
        <v/>
      </c>
      <c r="C111" s="11" t="n"/>
      <c r="D111" s="11" t="n"/>
      <c r="E111" s="11" t="n"/>
      <c r="F111" s="11" t="n"/>
      <c r="G111" s="11" t="n"/>
      <c r="H111" s="13" t="n"/>
      <c r="I111" s="11" t="n"/>
    </row>
    <row r="113">
      <c r="B113" s="5" t="inlineStr">
        <is>
          <t>INDICATEURS (mis a jour automatiquement)</t>
        </is>
      </c>
    </row>
    <row r="114">
      <c r="B114" s="3" t="inlineStr">
        <is>
          <t>Accords historiques</t>
        </is>
      </c>
      <c r="D114" s="3" t="inlineStr">
        <is>
          <t>En vigueur</t>
        </is>
      </c>
      <c r="F114" s="3" t="inlineStr">
        <is>
          <t>Expires</t>
        </is>
      </c>
      <c r="H114" s="3" t="inlineStr">
        <is>
          <t>Duree moyenne (mois)</t>
        </is>
      </c>
    </row>
    <row r="115">
      <c r="B115" s="4">
        <f>COUNTIF(B5:B104,"&lt;&gt;")</f>
        <v/>
      </c>
      <c r="D115" s="4">
        <f>COUNTIF(I5:I104,"En vigueur")</f>
        <v/>
      </c>
      <c r="F115" s="4">
        <f>COUNTIF(I5:I104,"Expire")</f>
        <v/>
      </c>
      <c r="H115" s="4">
        <f>IFERROR(AVERAGE(H5:H104),0)</f>
        <v/>
      </c>
    </row>
  </sheetData>
  <mergeCells count="3">
    <mergeCell ref="B3:I3"/>
    <mergeCell ref="B2:I2"/>
    <mergeCell ref="B113:I113"/>
  </mergeCells>
  <conditionalFormatting sqref="I5:I111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1">
      <formula>"En attente"</formula>
    </cfRule>
    <cfRule type="cellIs" priority="45" operator="equal" dxfId="1">
      <formula>"A renouveler"</formula>
    </cfRule>
    <cfRule type="cellIs" priority="46" operator="equal" dxfId="1">
      <formula>"En cours"</formula>
    </cfRule>
    <cfRule type="cellIs" priority="47" operator="equal" dxfId="1">
      <formula>"En traitement"</formula>
    </cfRule>
    <cfRule type="cellIs" priority="48" operator="equal" dxfId="1">
      <formula>"En retard"</formula>
    </cfRule>
    <cfRule type="cellIs" priority="49" operator="equal" dxfId="1">
      <formula>"Suspendu"</formula>
    </cfRule>
    <cfRule type="cellIs" priority="50" operator="equal" dxfId="1">
      <formula>"Planifie"</formula>
    </cfRule>
    <cfRule type="cellIs" priority="51" operator="equal" dxfId="1">
      <formula>"Planifiee"</formula>
    </cfRule>
    <cfRule type="cellIs" priority="52" operator="equal" dxfId="1">
      <formula>"Brouillon"</formula>
    </cfRule>
    <cfRule type="cellIs" priority="53" operator="equal" dxfId="1">
      <formula>"En attente de justification"</formula>
    </cfRule>
    <cfRule type="cellIs" priority="54" operator="equal" dxfId="1">
      <formula>"Tolere"</formula>
    </cfRule>
    <cfRule type="cellIs" priority="55" operator="equal" dxfId="1">
      <formula>"Variable"</formula>
    </cfRule>
    <cfRule type="cellIs" priority="56" operator="equal" dxfId="1">
      <formula>"En elaboration"</formula>
    </cfRule>
    <cfRule type="cellIs" priority="57" operator="equal" dxfId="1">
      <formula>"Provisionne"</formula>
    </cfRule>
    <cfRule type="cellIs" priority="58" operator="equal" dxfId="1">
      <formula>"Consomme partiel"</formula>
    </cfRule>
    <cfRule type="cellIs" priority="59" operator="equal" dxfId="1">
      <formula>"Identifie"</formula>
    </cfRule>
    <cfRule type="cellIs" priority="60" operator="equal" dxfId="1">
      <formula>"Priorise"</formula>
    </cfRule>
    <cfRule type="cellIs" priority="61" operator="equal" dxfId="1">
      <formula>"Intermediaire"</formula>
    </cfRule>
    <cfRule type="cellIs" priority="62" operator="equal" dxfId="1">
      <formula>"Non evalue"</formula>
    </cfRule>
    <cfRule type="cellIs" priority="63" operator="equal" dxfId="1">
      <formula>"En cours de realisation"</formula>
    </cfRule>
    <cfRule type="cellIs" priority="64" operator="equal" dxfId="1">
      <formula>"Non demarre"</formula>
    </cfRule>
    <cfRule type="cellIs" priority="65" operator="equal" dxfId="1">
      <formula>"En attente N+1"</formula>
    </cfRule>
    <cfRule type="cellIs" priority="66" operator="equal" dxfId="1">
      <formula>"Prolongation essai"</formula>
    </cfRule>
    <cfRule type="cellIs" priority="67" operator="equal" dxfId="1">
      <formula>"En attente validation"</formula>
    </cfRule>
    <cfRule type="cellIs" priority="68" operator="equal" dxfId="1">
      <formula>"Bon"</formula>
    </cfRule>
    <cfRule type="cellIs" priority="69" operator="equal" dxfId="1">
      <formula>"D - Moyen"</formula>
    </cfRule>
    <cfRule type="cellIs" priority="70" operator="equal" dxfId="1">
      <formula>"En cours de repres."</formula>
    </cfRule>
    <cfRule type="cellIs" priority="71" operator="equal" dxfId="1">
      <formula>"En negociation"</formula>
    </cfRule>
    <cfRule type="cellIs" priority="72" operator="equal" dxfId="1">
      <formula>"En preparation"</formula>
    </cfRule>
    <cfRule type="cellIs" priority="73" operator="equal" dxfId="1">
      <formula>"En cours d'instruction"</formula>
    </cfRule>
    <cfRule type="cellIs" priority="74" operator="equal" dxfId="1">
      <formula>"Transferee N+1"</formula>
    </cfRule>
    <cfRule type="cellIs" priority="75" operator="equal" dxfId="1">
      <formula>"En attente reponse"</formula>
    </cfRule>
    <cfRule type="cellIs" priority="76" operator="equal" dxfId="1">
      <formula>"Enquete ouverte"</formula>
    </cfRule>
    <cfRule type="cellIs" priority="77" operator="equal" dxfId="1">
      <formula>"Convocation envoyee"</formula>
    </cfRule>
    <cfRule type="cellIs" priority="78" operator="equal" dxfId="1">
      <formula>"Entretien realise"</formula>
    </cfRule>
    <cfRule type="cellIs" priority="79" operator="equal" dxfId="1">
      <formula>"Saisie"</formula>
    </cfRule>
    <cfRule type="cellIs" priority="80" operator="equal" dxfId="1">
      <formula>"En mediation"</formula>
    </cfRule>
    <cfRule type="cellIs" priority="81" operator="equal" dxfId="1">
      <formula>"En recours"</formula>
    </cfRule>
    <cfRule type="cellIs" priority="82" operator="equal" dxfId="1">
      <formula>"Reportee"</formula>
    </cfRule>
    <cfRule type="cellIs" priority="83" operator="equal" dxfId="1">
      <formula>"Signale"</formula>
    </cfRule>
    <cfRule type="cellIs" priority="84" operator="equal" dxfId="1">
      <formula>"Precontentieux"</formula>
    </cfRule>
    <cfRule type="cellIs" priority="85" operator="equal" dxfId="1">
      <formula>"En attente election"</formula>
    </cfRule>
    <cfRule type="cellIs" priority="86" operator="equal" dxfId="1">
      <formula>"Classe"</formula>
    </cfRule>
    <cfRule type="cellIs" priority="87" operator="equal" dxfId="2">
      <formula>"Expire"</formula>
    </cfRule>
    <cfRule type="cellIs" priority="88" operator="equal" dxfId="2">
      <formula>"Rejete"</formula>
    </cfRule>
    <cfRule type="cellIs" priority="89" operator="equal" dxfId="2">
      <formula>"Rejetee"</formula>
    </cfRule>
    <cfRule type="cellIs" priority="90" operator="equal" dxfId="2">
      <formula>"Resilie"</formula>
    </cfRule>
    <cfRule type="cellIs" priority="91" operator="equal" dxfId="2">
      <formula>"Annule"</formula>
    </cfRule>
    <cfRule type="cellIs" priority="92" operator="equal" dxfId="2">
      <formula>"Annulee"</formula>
    </cfRule>
    <cfRule type="cellIs" priority="93" operator="equal" dxfId="2">
      <formula>"Refuse"</formula>
    </cfRule>
    <cfRule type="cellIs" priority="94" operator="equal" dxfId="2">
      <formula>"Non justifie"</formula>
    </cfRule>
    <cfRule type="cellIs" priority="95" operator="equal" dxfId="2">
      <formula>"Non justifiee"</formula>
    </cfRule>
    <cfRule type="cellIs" priority="96" operator="equal" dxfId="2">
      <formula>"Sanctionne"</formula>
    </cfRule>
    <cfRule type="cellIs" priority="97" operator="equal" dxfId="2">
      <formula>"Inaptitude"</formula>
    </cfRule>
    <cfRule type="cellIs" priority="98" operator="equal" dxfId="2">
      <formula>"Absent sans autorisation"</formula>
    </cfRule>
    <cfRule type="cellIs" priority="99" operator="equal" dxfId="2">
      <formula>"Abandon de poste"</formula>
    </cfRule>
    <cfRule type="cellIs" priority="100" operator="equal" dxfId="2">
      <formula>"Non satisfait"</formula>
    </cfRule>
    <cfRule type="cellIs" priority="101" operator="equal" dxfId="2">
      <formula>"Reportee"</formula>
    </cfRule>
    <cfRule type="cellIs" priority="102" operator="equal" dxfId="2">
      <formula>"Depasse"</formula>
    </cfRule>
    <cfRule type="cellIs" priority="103" operator="equal" dxfId="2">
      <formula>"Non utilise"</formula>
    </cfRule>
    <cfRule type="cellIs" priority="104" operator="equal" dxfId="2">
      <formula>"Non applicable"</formula>
    </cfRule>
    <cfRule type="cellIs" priority="105" operator="equal" dxfId="2">
      <formula>"Debutant"</formula>
    </cfRule>
    <cfRule type="cellIs" priority="106" operator="equal" dxfId="2">
      <formula>"Non atteint"</formula>
    </cfRule>
    <cfRule type="cellIs" priority="107" operator="equal" dxfId="2">
      <formula>"Abandonne"</formula>
    </cfRule>
    <cfRule type="cellIs" priority="108" operator="equal" dxfId="2">
      <formula>"Rupture essai"</formula>
    </cfRule>
    <cfRule type="cellIs" priority="109" operator="equal" dxfId="2">
      <formula>"Insuffisant"</formula>
    </cfRule>
    <cfRule type="cellIs" priority="110" operator="equal" dxfId="2">
      <formula>"Moyen"</formula>
    </cfRule>
    <cfRule type="cellIs" priority="111" operator="equal" dxfId="2">
      <formula>"E - Insuffisant"</formula>
    </cfRule>
    <cfRule type="cellIs" priority="112" operator="equal" dxfId="2">
      <formula>"Dissous"</formula>
    </cfRule>
    <cfRule type="cellIs" priority="113" operator="equal" dxfId="2">
      <formula>"Denonce"</formula>
    </cfRule>
    <cfRule type="cellIs" priority="114" operator="equal" dxfId="2">
      <formula>"Echoue"</formula>
    </cfRule>
    <cfRule type="cellIs" priority="115" operator="equal" dxfId="2">
      <formula>"Echouee"</formula>
    </cfRule>
    <cfRule type="cellIs" priority="116" operator="equal" dxfId="2">
      <formula>"Revoque"</formula>
    </cfRule>
    <cfRule type="cellIs" priority="117" operator="equal" dxfId="2">
      <formula>"Demissionnaire"</formula>
    </cfRule>
    <cfRule type="cellIs" priority="118" operator="equal" dxfId="2">
      <formula>"Licenciement pour faute"</formula>
    </cfRule>
    <cfRule type="cellIs" priority="119" operator="equal" dxfId="2">
      <formula>"Licenciement pour faute grave"</formula>
    </cfRule>
    <cfRule type="cellIs" priority="120" operator="equal" dxfId="2">
      <formula>"Terminee - Echec"</formula>
    </cfRule>
    <cfRule type="cellIs" priority="121" operator="equal" dxfId="2">
      <formula>"Abandonnee"</formula>
    </cfRule>
    <cfRule type="cellIs" priority="122" operator="equal" dxfId="2">
      <formula>"Violence physique"</formula>
    </cfRule>
    <cfRule type="cellIs" priority="123" operator="equal" dxfId="2">
      <formula>"Violence verbale"</formula>
    </cfRule>
  </conditionalFormatting>
  <conditionalFormatting sqref="B12:B111">
    <cfRule type="expression" priority="124" dxfId="3">
      <formula>AND($C12="",$C11&lt;&gt;"")</formula>
    </cfRule>
  </conditionalFormatting>
  <conditionalFormatting sqref="C12:C111">
    <cfRule type="expression" priority="125" dxfId="3">
      <formula>AND($C12="",$C11&lt;&gt;"")</formula>
    </cfRule>
  </conditionalFormatting>
  <conditionalFormatting sqref="D12:D111">
    <cfRule type="expression" priority="126" dxfId="3">
      <formula>AND($C12="",$C11&lt;&gt;"")</formula>
    </cfRule>
  </conditionalFormatting>
  <conditionalFormatting sqref="E12:E111">
    <cfRule type="expression" priority="127" dxfId="3">
      <formula>AND($C12="",$C11&lt;&gt;"")</formula>
    </cfRule>
  </conditionalFormatting>
  <conditionalFormatting sqref="F12:F111">
    <cfRule type="expression" priority="128" dxfId="3">
      <formula>AND($C12="",$C11&lt;&gt;"")</formula>
    </cfRule>
  </conditionalFormatting>
  <conditionalFormatting sqref="G12:G111">
    <cfRule type="expression" priority="129" dxfId="3">
      <formula>AND($C12="",$C11&lt;&gt;"")</formula>
    </cfRule>
  </conditionalFormatting>
  <conditionalFormatting sqref="H12:H111">
    <cfRule type="expression" priority="130" dxfId="3">
      <formula>AND($C12="",$C11&lt;&gt;"")</formula>
    </cfRule>
  </conditionalFormatting>
  <conditionalFormatting sqref="I12:I111">
    <cfRule type="expression" priority="131" dxfId="3">
      <formula>AND($C12="",$C11&lt;&gt;"")</formula>
    </cfRule>
  </conditionalFormatting>
  <dataValidations count="3">
    <dataValidation sqref="D5:D111" showDropDown="0" showInputMessage="0" showErrorMessage="0" allowBlank="1" errorTitle="Erreur" error="Valeur invalide" promptTitle="Liste" prompt="Choisir dans la liste" type="list">
      <formula1>'_Lists'!$Y$2:$Y$4</formula1>
    </dataValidation>
    <dataValidation sqref="E5:E111" showDropDown="0" showInputMessage="0" showErrorMessage="0" allowBlank="1" errorTitle="Erreur" error="Valeur invalide" promptTitle="Liste" prompt="Choisir dans la liste" type="list">
      <formula1>'_Lists'!$I$2:$I$8</formula1>
    </dataValidation>
    <dataValidation sqref="I5:I111" showDropDown="0" showInputMessage="0" showErrorMessage="0" allowBlank="1" errorTitle="Erreur" error="Valeur invalide" promptTitle="Liste" prompt="Choisir dans la liste" type="list">
      <formula1>'_Lists'!$J$2:$J$8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10" customWidth="1" min="4" max="4"/>
    <col width="14" customWidth="1" min="5" max="5"/>
    <col width="12" customWidth="1" min="6" max="6"/>
    <col width="16" customWidth="1" min="7" max="7"/>
    <col width="12" customWidth="1" min="8" max="8"/>
    <col width="14" customWidth="1" min="9" max="9"/>
    <col width="34" customWidth="1" min="10" max="10"/>
  </cols>
  <sheetData>
    <row r="1" ht="15" customHeight="1"/>
    <row r="2" ht="32" customHeight="1">
      <c r="B2" s="1" t="inlineStr">
        <is>
          <t>BILAN SOCIAL - RELATIONS PROFESSIONNELLES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Indicateur</t>
        </is>
      </c>
      <c r="D4" s="10" t="inlineStr">
        <is>
          <t>Annee</t>
        </is>
      </c>
      <c r="E4" s="10" t="inlineStr">
        <is>
          <t>Departement</t>
        </is>
      </c>
      <c r="F4" s="10" t="inlineStr">
        <is>
          <t>Valeur</t>
        </is>
      </c>
      <c r="G4" s="10" t="inlineStr">
        <is>
          <t>Cible / Norme</t>
        </is>
      </c>
      <c r="H4" s="10" t="inlineStr">
        <is>
          <t>Ecart</t>
        </is>
      </c>
      <c r="I4" s="10" t="inlineStr">
        <is>
          <t>Tendance</t>
        </is>
      </c>
      <c r="J4" s="10" t="inlineStr">
        <is>
          <t>Commentaire</t>
        </is>
      </c>
    </row>
    <row r="5" ht="22" customHeight="1">
      <c r="B5" s="11" t="inlineStr">
        <is>
          <t>BS-001</t>
        </is>
      </c>
      <c r="C5" s="11" t="inlineStr">
        <is>
          <t>Taux syndicalisation (%)</t>
        </is>
      </c>
      <c r="D5" s="11" t="inlineStr">
        <is>
          <t>2025</t>
        </is>
      </c>
      <c r="E5" s="11" t="inlineStr">
        <is>
          <t>Tous</t>
        </is>
      </c>
      <c r="F5" s="30" t="n">
        <v>22</v>
      </c>
      <c r="G5" s="30" t="n">
        <v>30</v>
      </c>
      <c r="H5" s="30" t="n">
        <v>-8</v>
      </c>
      <c r="I5" s="11" t="inlineStr">
        <is>
          <t>En hausse</t>
        </is>
      </c>
      <c r="J5" s="11" t="inlineStr">
        <is>
          <t>Campagne info prevue T3</t>
        </is>
      </c>
    </row>
    <row r="6" ht="22" customHeight="1">
      <c r="B6" s="14" t="inlineStr">
        <is>
          <t>BS-002</t>
        </is>
      </c>
      <c r="C6" s="14" t="inlineStr">
        <is>
          <t>Nb conflits sociaux</t>
        </is>
      </c>
      <c r="D6" s="14" t="inlineStr">
        <is>
          <t>2025</t>
        </is>
      </c>
      <c r="E6" s="14" t="inlineStr">
        <is>
          <t>Tous</t>
        </is>
      </c>
      <c r="F6" s="31" t="n">
        <v>5</v>
      </c>
      <c r="G6" s="31" t="n">
        <v>2</v>
      </c>
      <c r="H6" s="31" t="n">
        <v>3</v>
      </c>
      <c r="I6" s="14" t="inlineStr">
        <is>
          <t>En hausse</t>
        </is>
      </c>
      <c r="J6" s="14" t="inlineStr">
        <is>
          <t>3 conflits lies aux salaires</t>
        </is>
      </c>
    </row>
    <row r="7" ht="22" customHeight="1">
      <c r="B7" s="11" t="inlineStr">
        <is>
          <t>BS-003</t>
        </is>
      </c>
      <c r="C7" s="11" t="inlineStr">
        <is>
          <t>Taux resolution conflits (%)</t>
        </is>
      </c>
      <c r="D7" s="11" t="inlineStr">
        <is>
          <t>2025</t>
        </is>
      </c>
      <c r="E7" s="11" t="inlineStr">
        <is>
          <t>Tous</t>
        </is>
      </c>
      <c r="F7" s="30" t="n">
        <v>80</v>
      </c>
      <c r="G7" s="30" t="n">
        <v>90</v>
      </c>
      <c r="H7" s="30" t="n">
        <v>-10</v>
      </c>
      <c r="I7" s="11" t="inlineStr">
        <is>
          <t>Stable</t>
        </is>
      </c>
      <c r="J7" s="11" t="inlineStr">
        <is>
          <t>Mediation a renforcer</t>
        </is>
      </c>
    </row>
    <row r="8" ht="22" customHeight="1">
      <c r="B8" s="14" t="inlineStr">
        <is>
          <t>BS-004</t>
        </is>
      </c>
      <c r="C8" s="14" t="inlineStr">
        <is>
          <t>Nb reclamations / 100 employes</t>
        </is>
      </c>
      <c r="D8" s="14" t="inlineStr">
        <is>
          <t>2025</t>
        </is>
      </c>
      <c r="E8" s="14" t="inlineStr">
        <is>
          <t>Tous</t>
        </is>
      </c>
      <c r="F8" s="31" t="n">
        <v>8.5</v>
      </c>
      <c r="G8" s="31" t="n">
        <v>5</v>
      </c>
      <c r="H8" s="31" t="n">
        <v>3.5</v>
      </c>
      <c r="I8" s="14" t="inlineStr">
        <is>
          <t>En hausse</t>
        </is>
      </c>
      <c r="J8" s="14" t="inlineStr">
        <is>
          <t>Pic en mai-juin</t>
        </is>
      </c>
    </row>
    <row r="9" ht="22" customHeight="1">
      <c r="B9" s="11" t="inlineStr">
        <is>
          <t>BS-005</t>
        </is>
      </c>
      <c r="C9" s="11" t="inlineStr">
        <is>
          <t>Delai moyen traitement rec. (j)</t>
        </is>
      </c>
      <c r="D9" s="11" t="inlineStr">
        <is>
          <t>2025</t>
        </is>
      </c>
      <c r="E9" s="11" t="inlineStr">
        <is>
          <t>Tous</t>
        </is>
      </c>
      <c r="F9" s="30" t="n">
        <v>6.2</v>
      </c>
      <c r="G9" s="30" t="n">
        <v>5</v>
      </c>
      <c r="H9" s="30" t="n">
        <v>1.2</v>
      </c>
      <c r="I9" s="11" t="inlineStr">
        <is>
          <t>En baisse</t>
        </is>
      </c>
      <c r="J9" s="11" t="inlineStr">
        <is>
          <t>Amelioration vs 2024 (8.5j)</t>
        </is>
      </c>
    </row>
    <row r="10" ht="22" customHeight="1">
      <c r="B10" s="14" t="inlineStr">
        <is>
          <t>BS-006</t>
        </is>
      </c>
      <c r="C10" s="14" t="inlineStr">
        <is>
          <t>Nb procedures disciplinaires</t>
        </is>
      </c>
      <c r="D10" s="14" t="inlineStr">
        <is>
          <t>2025</t>
        </is>
      </c>
      <c r="E10" s="14" t="inlineStr">
        <is>
          <t>Tous</t>
        </is>
      </c>
      <c r="F10" s="31" t="n">
        <v>4</v>
      </c>
      <c r="G10" s="31" t="n">
        <v>3</v>
      </c>
      <c r="H10" s="31" t="n">
        <v>1</v>
      </c>
      <c r="I10" s="14" t="inlineStr">
        <is>
          <t>En hausse</t>
        </is>
      </c>
      <c r="J10" s="14" t="inlineStr">
        <is>
          <t>Recrutements S1 moins qualifies</t>
        </is>
      </c>
    </row>
    <row r="11" ht="22" customHeight="1">
      <c r="B11" s="11" t="inlineStr">
        <is>
          <t>BS-007</t>
        </is>
      </c>
      <c r="C11" s="11" t="inlineStr">
        <is>
          <t>Taux participation CSE (%)</t>
        </is>
      </c>
      <c r="D11" s="11" t="inlineStr">
        <is>
          <t>2025</t>
        </is>
      </c>
      <c r="E11" s="11" t="inlineStr">
        <is>
          <t>Tous</t>
        </is>
      </c>
      <c r="F11" s="30" t="n">
        <v>78</v>
      </c>
      <c r="G11" s="30" t="n">
        <v>80</v>
      </c>
      <c r="H11" s="30" t="n">
        <v>-2</v>
      </c>
      <c r="I11" s="11" t="inlineStr">
        <is>
          <t>Stable</t>
        </is>
      </c>
      <c r="J11" s="11" t="inlineStr">
        <is>
          <t>Bon niveau de participation</t>
        </is>
      </c>
    </row>
    <row r="12" ht="22" customHeight="1">
      <c r="B12" s="17">
        <f>IF(C12="","BS-"&amp;TEXT(COUNTA($C$5:C12),"000"))</f>
        <v/>
      </c>
      <c r="C12" s="14" t="n"/>
      <c r="D12" s="14" t="n"/>
      <c r="E12" s="14" t="n"/>
      <c r="F12" s="31" t="n"/>
      <c r="G12" s="31" t="n"/>
      <c r="H12" s="31">
        <f>IF(G12="","",IF(G12=0,"",F12-G12))</f>
        <v/>
      </c>
      <c r="I12" s="14" t="n"/>
      <c r="J12" s="14" t="n"/>
    </row>
    <row r="13" ht="22" customHeight="1">
      <c r="B13" s="18">
        <f>IF(C13="","BS-"&amp;TEXT(COUNTA($C$5:C13),"000"))</f>
        <v/>
      </c>
      <c r="C13" s="11" t="n"/>
      <c r="D13" s="11" t="n"/>
      <c r="E13" s="11" t="n"/>
      <c r="F13" s="30" t="n"/>
      <c r="G13" s="30" t="n"/>
      <c r="H13" s="30">
        <f>IF(G13="","",IF(G13=0,"",F13-G13))</f>
        <v/>
      </c>
      <c r="I13" s="11" t="n"/>
      <c r="J13" s="11" t="n"/>
    </row>
    <row r="14" ht="22" customHeight="1">
      <c r="B14" s="17">
        <f>IF(C14="","BS-"&amp;TEXT(COUNTA($C$5:C14),"000"))</f>
        <v/>
      </c>
      <c r="C14" s="14" t="n"/>
      <c r="D14" s="14" t="n"/>
      <c r="E14" s="14" t="n"/>
      <c r="F14" s="31" t="n"/>
      <c r="G14" s="31" t="n"/>
      <c r="H14" s="31">
        <f>IF(G14="","",IF(G14=0,"",F14-G14))</f>
        <v/>
      </c>
      <c r="I14" s="14" t="n"/>
      <c r="J14" s="14" t="n"/>
    </row>
    <row r="15" ht="22" customHeight="1">
      <c r="B15" s="18">
        <f>IF(C15="","BS-"&amp;TEXT(COUNTA($C$5:C15),"000"))</f>
        <v/>
      </c>
      <c r="C15" s="11" t="n"/>
      <c r="D15" s="11" t="n"/>
      <c r="E15" s="11" t="n"/>
      <c r="F15" s="30" t="n"/>
      <c r="G15" s="30" t="n"/>
      <c r="H15" s="30">
        <f>IF(G15="","",IF(G15=0,"",F15-G15))</f>
        <v/>
      </c>
      <c r="I15" s="11" t="n"/>
      <c r="J15" s="11" t="n"/>
    </row>
    <row r="16" ht="22" customHeight="1">
      <c r="B16" s="17">
        <f>IF(C16="","BS-"&amp;TEXT(COUNTA($C$5:C16),"000"))</f>
        <v/>
      </c>
      <c r="C16" s="14" t="n"/>
      <c r="D16" s="14" t="n"/>
      <c r="E16" s="14" t="n"/>
      <c r="F16" s="31" t="n"/>
      <c r="G16" s="31" t="n"/>
      <c r="H16" s="31">
        <f>IF(G16="","",IF(G16=0,"",F16-G16))</f>
        <v/>
      </c>
      <c r="I16" s="14" t="n"/>
      <c r="J16" s="14" t="n"/>
    </row>
    <row r="17" ht="22" customHeight="1">
      <c r="B17" s="18">
        <f>IF(C17="","BS-"&amp;TEXT(COUNTA($C$5:C17),"000"))</f>
        <v/>
      </c>
      <c r="C17" s="11" t="n"/>
      <c r="D17" s="11" t="n"/>
      <c r="E17" s="11" t="n"/>
      <c r="F17" s="30" t="n"/>
      <c r="G17" s="30" t="n"/>
      <c r="H17" s="30">
        <f>IF(G17="","",IF(G17=0,"",F17-G17))</f>
        <v/>
      </c>
      <c r="I17" s="11" t="n"/>
      <c r="J17" s="11" t="n"/>
    </row>
    <row r="18" ht="22" customHeight="1">
      <c r="B18" s="17">
        <f>IF(C18="","BS-"&amp;TEXT(COUNTA($C$5:C18),"000"))</f>
        <v/>
      </c>
      <c r="C18" s="14" t="n"/>
      <c r="D18" s="14" t="n"/>
      <c r="E18" s="14" t="n"/>
      <c r="F18" s="31" t="n"/>
      <c r="G18" s="31" t="n"/>
      <c r="H18" s="31">
        <f>IF(G18="","",IF(G18=0,"",F18-G18))</f>
        <v/>
      </c>
      <c r="I18" s="14" t="n"/>
      <c r="J18" s="14" t="n"/>
    </row>
    <row r="19" ht="22" customHeight="1">
      <c r="B19" s="18">
        <f>IF(C19="","BS-"&amp;TEXT(COUNTA($C$5:C19),"000"))</f>
        <v/>
      </c>
      <c r="C19" s="11" t="n"/>
      <c r="D19" s="11" t="n"/>
      <c r="E19" s="11" t="n"/>
      <c r="F19" s="30" t="n"/>
      <c r="G19" s="30" t="n"/>
      <c r="H19" s="30">
        <f>IF(G19="","",IF(G19=0,"",F19-G19))</f>
        <v/>
      </c>
      <c r="I19" s="11" t="n"/>
      <c r="J19" s="11" t="n"/>
    </row>
    <row r="20" ht="22" customHeight="1">
      <c r="B20" s="17">
        <f>IF(C20="","BS-"&amp;TEXT(COUNTA($C$5:C20),"000"))</f>
        <v/>
      </c>
      <c r="C20" s="14" t="n"/>
      <c r="D20" s="14" t="n"/>
      <c r="E20" s="14" t="n"/>
      <c r="F20" s="31" t="n"/>
      <c r="G20" s="31" t="n"/>
      <c r="H20" s="31">
        <f>IF(G20="","",IF(G20=0,"",F20-G20))</f>
        <v/>
      </c>
      <c r="I20" s="14" t="n"/>
      <c r="J20" s="14" t="n"/>
    </row>
    <row r="21" ht="22" customHeight="1">
      <c r="B21" s="18">
        <f>IF(C21="","BS-"&amp;TEXT(COUNTA($C$5:C21),"000"))</f>
        <v/>
      </c>
      <c r="C21" s="11" t="n"/>
      <c r="D21" s="11" t="n"/>
      <c r="E21" s="11" t="n"/>
      <c r="F21" s="30" t="n"/>
      <c r="G21" s="30" t="n"/>
      <c r="H21" s="30">
        <f>IF(G21="","",IF(G21=0,"",F21-G21))</f>
        <v/>
      </c>
      <c r="I21" s="11" t="n"/>
      <c r="J21" s="11" t="n"/>
    </row>
    <row r="22" ht="22" customHeight="1">
      <c r="B22" s="17">
        <f>IF(C22="","BS-"&amp;TEXT(COUNTA($C$5:C22),"000"))</f>
        <v/>
      </c>
      <c r="C22" s="14" t="n"/>
      <c r="D22" s="14" t="n"/>
      <c r="E22" s="14" t="n"/>
      <c r="F22" s="31" t="n"/>
      <c r="G22" s="31" t="n"/>
      <c r="H22" s="31">
        <f>IF(G22="","",IF(G22=0,"",F22-G22))</f>
        <v/>
      </c>
      <c r="I22" s="14" t="n"/>
      <c r="J22" s="14" t="n"/>
    </row>
    <row r="23" ht="22" customHeight="1">
      <c r="B23" s="18">
        <f>IF(C23="","BS-"&amp;TEXT(COUNTA($C$5:C23),"000"))</f>
        <v/>
      </c>
      <c r="C23" s="11" t="n"/>
      <c r="D23" s="11" t="n"/>
      <c r="E23" s="11" t="n"/>
      <c r="F23" s="30" t="n"/>
      <c r="G23" s="30" t="n"/>
      <c r="H23" s="30">
        <f>IF(G23="","",IF(G23=0,"",F23-G23))</f>
        <v/>
      </c>
      <c r="I23" s="11" t="n"/>
      <c r="J23" s="11" t="n"/>
    </row>
    <row r="24" ht="22" customHeight="1">
      <c r="B24" s="17">
        <f>IF(C24="","BS-"&amp;TEXT(COUNTA($C$5:C24),"000"))</f>
        <v/>
      </c>
      <c r="C24" s="14" t="n"/>
      <c r="D24" s="14" t="n"/>
      <c r="E24" s="14" t="n"/>
      <c r="F24" s="31" t="n"/>
      <c r="G24" s="31" t="n"/>
      <c r="H24" s="31">
        <f>IF(G24="","",IF(G24=0,"",F24-G24))</f>
        <v/>
      </c>
      <c r="I24" s="14" t="n"/>
      <c r="J24" s="14" t="n"/>
    </row>
    <row r="25" ht="22" customHeight="1">
      <c r="B25" s="18">
        <f>IF(C25="","BS-"&amp;TEXT(COUNTA($C$5:C25),"000"))</f>
        <v/>
      </c>
      <c r="C25" s="11" t="n"/>
      <c r="D25" s="11" t="n"/>
      <c r="E25" s="11" t="n"/>
      <c r="F25" s="30" t="n"/>
      <c r="G25" s="30" t="n"/>
      <c r="H25" s="30">
        <f>IF(G25="","",IF(G25=0,"",F25-G25))</f>
        <v/>
      </c>
      <c r="I25" s="11" t="n"/>
      <c r="J25" s="11" t="n"/>
    </row>
    <row r="26" ht="22" customHeight="1">
      <c r="B26" s="17">
        <f>IF(C26="","BS-"&amp;TEXT(COUNTA($C$5:C26),"000"))</f>
        <v/>
      </c>
      <c r="C26" s="14" t="n"/>
      <c r="D26" s="14" t="n"/>
      <c r="E26" s="14" t="n"/>
      <c r="F26" s="31" t="n"/>
      <c r="G26" s="31" t="n"/>
      <c r="H26" s="31">
        <f>IF(G26="","",IF(G26=0,"",F26-G26))</f>
        <v/>
      </c>
      <c r="I26" s="14" t="n"/>
      <c r="J26" s="14" t="n"/>
    </row>
    <row r="27" ht="22" customHeight="1">
      <c r="B27" s="18">
        <f>IF(C27="","BS-"&amp;TEXT(COUNTA($C$5:C27),"000"))</f>
        <v/>
      </c>
      <c r="C27" s="11" t="n"/>
      <c r="D27" s="11" t="n"/>
      <c r="E27" s="11" t="n"/>
      <c r="F27" s="30" t="n"/>
      <c r="G27" s="30" t="n"/>
      <c r="H27" s="30">
        <f>IF(G27="","",IF(G27=0,"",F27-G27))</f>
        <v/>
      </c>
      <c r="I27" s="11" t="n"/>
      <c r="J27" s="11" t="n"/>
    </row>
    <row r="28" ht="22" customHeight="1">
      <c r="B28" s="17">
        <f>IF(C28="","BS-"&amp;TEXT(COUNTA($C$5:C28),"000"))</f>
        <v/>
      </c>
      <c r="C28" s="14" t="n"/>
      <c r="D28" s="14" t="n"/>
      <c r="E28" s="14" t="n"/>
      <c r="F28" s="31" t="n"/>
      <c r="G28" s="31" t="n"/>
      <c r="H28" s="31">
        <f>IF(G28="","",IF(G28=0,"",F28-G28))</f>
        <v/>
      </c>
      <c r="I28" s="14" t="n"/>
      <c r="J28" s="14" t="n"/>
    </row>
    <row r="29" ht="22" customHeight="1">
      <c r="B29" s="18">
        <f>IF(C29="","BS-"&amp;TEXT(COUNTA($C$5:C29),"000"))</f>
        <v/>
      </c>
      <c r="C29" s="11" t="n"/>
      <c r="D29" s="11" t="n"/>
      <c r="E29" s="11" t="n"/>
      <c r="F29" s="30" t="n"/>
      <c r="G29" s="30" t="n"/>
      <c r="H29" s="30">
        <f>IF(G29="","",IF(G29=0,"",F29-G29))</f>
        <v/>
      </c>
      <c r="I29" s="11" t="n"/>
      <c r="J29" s="11" t="n"/>
    </row>
    <row r="30" ht="22" customHeight="1">
      <c r="B30" s="17">
        <f>IF(C30="","BS-"&amp;TEXT(COUNTA($C$5:C30),"000"))</f>
        <v/>
      </c>
      <c r="C30" s="14" t="n"/>
      <c r="D30" s="14" t="n"/>
      <c r="E30" s="14" t="n"/>
      <c r="F30" s="31" t="n"/>
      <c r="G30" s="31" t="n"/>
      <c r="H30" s="31">
        <f>IF(G30="","",IF(G30=0,"",F30-G30))</f>
        <v/>
      </c>
      <c r="I30" s="14" t="n"/>
      <c r="J30" s="14" t="n"/>
    </row>
    <row r="31" ht="22" customHeight="1">
      <c r="B31" s="18">
        <f>IF(C31="","BS-"&amp;TEXT(COUNTA($C$5:C31),"000"))</f>
        <v/>
      </c>
      <c r="C31" s="11" t="n"/>
      <c r="D31" s="11" t="n"/>
      <c r="E31" s="11" t="n"/>
      <c r="F31" s="30" t="n"/>
      <c r="G31" s="30" t="n"/>
      <c r="H31" s="30">
        <f>IF(G31="","",IF(G31=0,"",F31-G31))</f>
        <v/>
      </c>
      <c r="I31" s="11" t="n"/>
      <c r="J31" s="11" t="n"/>
    </row>
    <row r="32" ht="22" customHeight="1">
      <c r="B32" s="17">
        <f>IF(C32="","BS-"&amp;TEXT(COUNTA($C$5:C32),"000"))</f>
        <v/>
      </c>
      <c r="C32" s="14" t="n"/>
      <c r="D32" s="14" t="n"/>
      <c r="E32" s="14" t="n"/>
      <c r="F32" s="31" t="n"/>
      <c r="G32" s="31" t="n"/>
      <c r="H32" s="31">
        <f>IF(G32="","",IF(G32=0,"",F32-G32))</f>
        <v/>
      </c>
      <c r="I32" s="14" t="n"/>
      <c r="J32" s="14" t="n"/>
    </row>
    <row r="33" ht="22" customHeight="1">
      <c r="B33" s="18">
        <f>IF(C33="","BS-"&amp;TEXT(COUNTA($C$5:C33),"000"))</f>
        <v/>
      </c>
      <c r="C33" s="11" t="n"/>
      <c r="D33" s="11" t="n"/>
      <c r="E33" s="11" t="n"/>
      <c r="F33" s="30" t="n"/>
      <c r="G33" s="30" t="n"/>
      <c r="H33" s="30">
        <f>IF(G33="","",IF(G33=0,"",F33-G33))</f>
        <v/>
      </c>
      <c r="I33" s="11" t="n"/>
      <c r="J33" s="11" t="n"/>
    </row>
    <row r="34" ht="22" customHeight="1">
      <c r="B34" s="17">
        <f>IF(C34="","BS-"&amp;TEXT(COUNTA($C$5:C34),"000"))</f>
        <v/>
      </c>
      <c r="C34" s="14" t="n"/>
      <c r="D34" s="14" t="n"/>
      <c r="E34" s="14" t="n"/>
      <c r="F34" s="31" t="n"/>
      <c r="G34" s="31" t="n"/>
      <c r="H34" s="31">
        <f>IF(G34="","",IF(G34=0,"",F34-G34))</f>
        <v/>
      </c>
      <c r="I34" s="14" t="n"/>
      <c r="J34" s="14" t="n"/>
    </row>
    <row r="35" ht="22" customHeight="1">
      <c r="B35" s="18">
        <f>IF(C35="","BS-"&amp;TEXT(COUNTA($C$5:C35),"000"))</f>
        <v/>
      </c>
      <c r="C35" s="11" t="n"/>
      <c r="D35" s="11" t="n"/>
      <c r="E35" s="11" t="n"/>
      <c r="F35" s="30" t="n"/>
      <c r="G35" s="30" t="n"/>
      <c r="H35" s="30">
        <f>IF(G35="","",IF(G35=0,"",F35-G35))</f>
        <v/>
      </c>
      <c r="I35" s="11" t="n"/>
      <c r="J35" s="11" t="n"/>
    </row>
    <row r="36" ht="22" customHeight="1">
      <c r="B36" s="17">
        <f>IF(C36="","BS-"&amp;TEXT(COUNTA($C$5:C36),"000"))</f>
        <v/>
      </c>
      <c r="C36" s="14" t="n"/>
      <c r="D36" s="14" t="n"/>
      <c r="E36" s="14" t="n"/>
      <c r="F36" s="31" t="n"/>
      <c r="G36" s="31" t="n"/>
      <c r="H36" s="31">
        <f>IF(G36="","",IF(G36=0,"",F36-G36))</f>
        <v/>
      </c>
      <c r="I36" s="14" t="n"/>
      <c r="J36" s="14" t="n"/>
    </row>
    <row r="37" ht="22" customHeight="1">
      <c r="B37" s="18">
        <f>IF(C37="","BS-"&amp;TEXT(COUNTA($C$5:C37),"000"))</f>
        <v/>
      </c>
      <c r="C37" s="11" t="n"/>
      <c r="D37" s="11" t="n"/>
      <c r="E37" s="11" t="n"/>
      <c r="F37" s="30" t="n"/>
      <c r="G37" s="30" t="n"/>
      <c r="H37" s="30">
        <f>IF(G37="","",IF(G37=0,"",F37-G37))</f>
        <v/>
      </c>
      <c r="I37" s="11" t="n"/>
      <c r="J37" s="11" t="n"/>
    </row>
    <row r="38" ht="22" customHeight="1">
      <c r="B38" s="17">
        <f>IF(C38="","BS-"&amp;TEXT(COUNTA($C$5:C38),"000"))</f>
        <v/>
      </c>
      <c r="C38" s="14" t="n"/>
      <c r="D38" s="14" t="n"/>
      <c r="E38" s="14" t="n"/>
      <c r="F38" s="31" t="n"/>
      <c r="G38" s="31" t="n"/>
      <c r="H38" s="31">
        <f>IF(G38="","",IF(G38=0,"",F38-G38))</f>
        <v/>
      </c>
      <c r="I38" s="14" t="n"/>
      <c r="J38" s="14" t="n"/>
    </row>
    <row r="39" ht="22" customHeight="1">
      <c r="B39" s="18">
        <f>IF(C39="","BS-"&amp;TEXT(COUNTA($C$5:C39),"000"))</f>
        <v/>
      </c>
      <c r="C39" s="11" t="n"/>
      <c r="D39" s="11" t="n"/>
      <c r="E39" s="11" t="n"/>
      <c r="F39" s="30" t="n"/>
      <c r="G39" s="30" t="n"/>
      <c r="H39" s="30">
        <f>IF(G39="","",IF(G39=0,"",F39-G39))</f>
        <v/>
      </c>
      <c r="I39" s="11" t="n"/>
      <c r="J39" s="11" t="n"/>
    </row>
    <row r="40" ht="22" customHeight="1">
      <c r="B40" s="17">
        <f>IF(C40="","BS-"&amp;TEXT(COUNTA($C$5:C40),"000"))</f>
        <v/>
      </c>
      <c r="C40" s="14" t="n"/>
      <c r="D40" s="14" t="n"/>
      <c r="E40" s="14" t="n"/>
      <c r="F40" s="31" t="n"/>
      <c r="G40" s="31" t="n"/>
      <c r="H40" s="31">
        <f>IF(G40="","",IF(G40=0,"",F40-G40))</f>
        <v/>
      </c>
      <c r="I40" s="14" t="n"/>
      <c r="J40" s="14" t="n"/>
    </row>
    <row r="41" ht="22" customHeight="1">
      <c r="B41" s="18">
        <f>IF(C41="","BS-"&amp;TEXT(COUNTA($C$5:C41),"000"))</f>
        <v/>
      </c>
      <c r="C41" s="11" t="n"/>
      <c r="D41" s="11" t="n"/>
      <c r="E41" s="11" t="n"/>
      <c r="F41" s="30" t="n"/>
      <c r="G41" s="30" t="n"/>
      <c r="H41" s="30">
        <f>IF(G41="","",IF(G41=0,"",F41-G41))</f>
        <v/>
      </c>
      <c r="I41" s="11" t="n"/>
      <c r="J41" s="11" t="n"/>
    </row>
    <row r="42" ht="22" customHeight="1">
      <c r="B42" s="17">
        <f>IF(C42="","BS-"&amp;TEXT(COUNTA($C$5:C42),"000"))</f>
        <v/>
      </c>
      <c r="C42" s="14" t="n"/>
      <c r="D42" s="14" t="n"/>
      <c r="E42" s="14" t="n"/>
      <c r="F42" s="31" t="n"/>
      <c r="G42" s="31" t="n"/>
      <c r="H42" s="31">
        <f>IF(G42="","",IF(G42=0,"",F42-G42))</f>
        <v/>
      </c>
      <c r="I42" s="14" t="n"/>
      <c r="J42" s="14" t="n"/>
    </row>
    <row r="43" ht="22" customHeight="1">
      <c r="B43" s="18">
        <f>IF(C43="","BS-"&amp;TEXT(COUNTA($C$5:C43),"000"))</f>
        <v/>
      </c>
      <c r="C43" s="11" t="n"/>
      <c r="D43" s="11" t="n"/>
      <c r="E43" s="11" t="n"/>
      <c r="F43" s="30" t="n"/>
      <c r="G43" s="30" t="n"/>
      <c r="H43" s="30">
        <f>IF(G43="","",IF(G43=0,"",F43-G43))</f>
        <v/>
      </c>
      <c r="I43" s="11" t="n"/>
      <c r="J43" s="11" t="n"/>
    </row>
    <row r="44" ht="22" customHeight="1">
      <c r="B44" s="17">
        <f>IF(C44="","BS-"&amp;TEXT(COUNTA($C$5:C44),"000"))</f>
        <v/>
      </c>
      <c r="C44" s="14" t="n"/>
      <c r="D44" s="14" t="n"/>
      <c r="E44" s="14" t="n"/>
      <c r="F44" s="31" t="n"/>
      <c r="G44" s="31" t="n"/>
      <c r="H44" s="31">
        <f>IF(G44="","",IF(G44=0,"",F44-G44))</f>
        <v/>
      </c>
      <c r="I44" s="14" t="n"/>
      <c r="J44" s="14" t="n"/>
    </row>
    <row r="45" ht="22" customHeight="1">
      <c r="B45" s="18">
        <f>IF(C45="","BS-"&amp;TEXT(COUNTA($C$5:C45),"000"))</f>
        <v/>
      </c>
      <c r="C45" s="11" t="n"/>
      <c r="D45" s="11" t="n"/>
      <c r="E45" s="11" t="n"/>
      <c r="F45" s="30" t="n"/>
      <c r="G45" s="30" t="n"/>
      <c r="H45" s="30">
        <f>IF(G45="","",IF(G45=0,"",F45-G45))</f>
        <v/>
      </c>
      <c r="I45" s="11" t="n"/>
      <c r="J45" s="11" t="n"/>
    </row>
    <row r="46" ht="22" customHeight="1">
      <c r="B46" s="17">
        <f>IF(C46="","BS-"&amp;TEXT(COUNTA($C$5:C46),"000"))</f>
        <v/>
      </c>
      <c r="C46" s="14" t="n"/>
      <c r="D46" s="14" t="n"/>
      <c r="E46" s="14" t="n"/>
      <c r="F46" s="31" t="n"/>
      <c r="G46" s="31" t="n"/>
      <c r="H46" s="31">
        <f>IF(G46="","",IF(G46=0,"",F46-G46))</f>
        <v/>
      </c>
      <c r="I46" s="14" t="n"/>
      <c r="J46" s="14" t="n"/>
    </row>
    <row r="47" ht="22" customHeight="1">
      <c r="B47" s="18">
        <f>IF(C47="","BS-"&amp;TEXT(COUNTA($C$5:C47),"000"))</f>
        <v/>
      </c>
      <c r="C47" s="11" t="n"/>
      <c r="D47" s="11" t="n"/>
      <c r="E47" s="11" t="n"/>
      <c r="F47" s="30" t="n"/>
      <c r="G47" s="30" t="n"/>
      <c r="H47" s="30">
        <f>IF(G47="","",IF(G47=0,"",F47-G47))</f>
        <v/>
      </c>
      <c r="I47" s="11" t="n"/>
      <c r="J47" s="11" t="n"/>
    </row>
    <row r="48" ht="22" customHeight="1">
      <c r="B48" s="17">
        <f>IF(C48="","BS-"&amp;TEXT(COUNTA($C$5:C48),"000"))</f>
        <v/>
      </c>
      <c r="C48" s="14" t="n"/>
      <c r="D48" s="14" t="n"/>
      <c r="E48" s="14" t="n"/>
      <c r="F48" s="31" t="n"/>
      <c r="G48" s="31" t="n"/>
      <c r="H48" s="31">
        <f>IF(G48="","",IF(G48=0,"",F48-G48))</f>
        <v/>
      </c>
      <c r="I48" s="14" t="n"/>
      <c r="J48" s="14" t="n"/>
    </row>
    <row r="49" ht="22" customHeight="1">
      <c r="B49" s="18">
        <f>IF(C49="","BS-"&amp;TEXT(COUNTA($C$5:C49),"000"))</f>
        <v/>
      </c>
      <c r="C49" s="11" t="n"/>
      <c r="D49" s="11" t="n"/>
      <c r="E49" s="11" t="n"/>
      <c r="F49" s="30" t="n"/>
      <c r="G49" s="30" t="n"/>
      <c r="H49" s="30">
        <f>IF(G49="","",IF(G49=0,"",F49-G49))</f>
        <v/>
      </c>
      <c r="I49" s="11" t="n"/>
      <c r="J49" s="11" t="n"/>
    </row>
    <row r="50" ht="22" customHeight="1">
      <c r="B50" s="17">
        <f>IF(C50="","BS-"&amp;TEXT(COUNTA($C$5:C50),"000"))</f>
        <v/>
      </c>
      <c r="C50" s="14" t="n"/>
      <c r="D50" s="14" t="n"/>
      <c r="E50" s="14" t="n"/>
      <c r="F50" s="31" t="n"/>
      <c r="G50" s="31" t="n"/>
      <c r="H50" s="31">
        <f>IF(G50="","",IF(G50=0,"",F50-G50))</f>
        <v/>
      </c>
      <c r="I50" s="14" t="n"/>
      <c r="J50" s="14" t="n"/>
    </row>
    <row r="51" ht="22" customHeight="1">
      <c r="B51" s="18">
        <f>IF(C51="","BS-"&amp;TEXT(COUNTA($C$5:C51),"000"))</f>
        <v/>
      </c>
      <c r="C51" s="11" t="n"/>
      <c r="D51" s="11" t="n"/>
      <c r="E51" s="11" t="n"/>
      <c r="F51" s="30" t="n"/>
      <c r="G51" s="30" t="n"/>
      <c r="H51" s="30">
        <f>IF(G51="","",IF(G51=0,"",F51-G51))</f>
        <v/>
      </c>
      <c r="I51" s="11" t="n"/>
      <c r="J51" s="11" t="n"/>
    </row>
    <row r="52" ht="22" customHeight="1">
      <c r="B52" s="17">
        <f>IF(C52="","BS-"&amp;TEXT(COUNTA($C$5:C52),"000"))</f>
        <v/>
      </c>
      <c r="C52" s="14" t="n"/>
      <c r="D52" s="14" t="n"/>
      <c r="E52" s="14" t="n"/>
      <c r="F52" s="31" t="n"/>
      <c r="G52" s="31" t="n"/>
      <c r="H52" s="31">
        <f>IF(G52="","",IF(G52=0,"",F52-G52))</f>
        <v/>
      </c>
      <c r="I52" s="14" t="n"/>
      <c r="J52" s="14" t="n"/>
    </row>
    <row r="53" ht="22" customHeight="1">
      <c r="B53" s="18">
        <f>IF(C53="","BS-"&amp;TEXT(COUNTA($C$5:C53),"000"))</f>
        <v/>
      </c>
      <c r="C53" s="11" t="n"/>
      <c r="D53" s="11" t="n"/>
      <c r="E53" s="11" t="n"/>
      <c r="F53" s="30" t="n"/>
      <c r="G53" s="30" t="n"/>
      <c r="H53" s="30">
        <f>IF(G53="","",IF(G53=0,"",F53-G53))</f>
        <v/>
      </c>
      <c r="I53" s="11" t="n"/>
      <c r="J53" s="11" t="n"/>
    </row>
    <row r="54" ht="22" customHeight="1">
      <c r="B54" s="17">
        <f>IF(C54="","BS-"&amp;TEXT(COUNTA($C$5:C54),"000"))</f>
        <v/>
      </c>
      <c r="C54" s="14" t="n"/>
      <c r="D54" s="14" t="n"/>
      <c r="E54" s="14" t="n"/>
      <c r="F54" s="31" t="n"/>
      <c r="G54" s="31" t="n"/>
      <c r="H54" s="31">
        <f>IF(G54="","",IF(G54=0,"",F54-G54))</f>
        <v/>
      </c>
      <c r="I54" s="14" t="n"/>
      <c r="J54" s="14" t="n"/>
    </row>
    <row r="55" ht="22" customHeight="1">
      <c r="B55" s="18">
        <f>IF(C55="","BS-"&amp;TEXT(COUNTA($C$5:C55),"000"))</f>
        <v/>
      </c>
      <c r="C55" s="11" t="n"/>
      <c r="D55" s="11" t="n"/>
      <c r="E55" s="11" t="n"/>
      <c r="F55" s="30" t="n"/>
      <c r="G55" s="30" t="n"/>
      <c r="H55" s="30">
        <f>IF(G55="","",IF(G55=0,"",F55-G55))</f>
        <v/>
      </c>
      <c r="I55" s="11" t="n"/>
      <c r="J55" s="11" t="n"/>
    </row>
    <row r="56" ht="22" customHeight="1">
      <c r="B56" s="17">
        <f>IF(C56="","BS-"&amp;TEXT(COUNTA($C$5:C56),"000"))</f>
        <v/>
      </c>
      <c r="C56" s="14" t="n"/>
      <c r="D56" s="14" t="n"/>
      <c r="E56" s="14" t="n"/>
      <c r="F56" s="31" t="n"/>
      <c r="G56" s="31" t="n"/>
      <c r="H56" s="31">
        <f>IF(G56="","",IF(G56=0,"",F56-G56))</f>
        <v/>
      </c>
      <c r="I56" s="14" t="n"/>
      <c r="J56" s="14" t="n"/>
    </row>
    <row r="57" ht="22" customHeight="1">
      <c r="B57" s="18">
        <f>IF(C57="","BS-"&amp;TEXT(COUNTA($C$5:C57),"000"))</f>
        <v/>
      </c>
      <c r="C57" s="11" t="n"/>
      <c r="D57" s="11" t="n"/>
      <c r="E57" s="11" t="n"/>
      <c r="F57" s="30" t="n"/>
      <c r="G57" s="30" t="n"/>
      <c r="H57" s="30">
        <f>IF(G57="","",IF(G57=0,"",F57-G57))</f>
        <v/>
      </c>
      <c r="I57" s="11" t="n"/>
      <c r="J57" s="11" t="n"/>
    </row>
    <row r="58" ht="22" customHeight="1">
      <c r="B58" s="17">
        <f>IF(C58="","BS-"&amp;TEXT(COUNTA($C$5:C58),"000"))</f>
        <v/>
      </c>
      <c r="C58" s="14" t="n"/>
      <c r="D58" s="14" t="n"/>
      <c r="E58" s="14" t="n"/>
      <c r="F58" s="31" t="n"/>
      <c r="G58" s="31" t="n"/>
      <c r="H58" s="31">
        <f>IF(G58="","",IF(G58=0,"",F58-G58))</f>
        <v/>
      </c>
      <c r="I58" s="14" t="n"/>
      <c r="J58" s="14" t="n"/>
    </row>
    <row r="59" ht="22" customHeight="1">
      <c r="B59" s="18">
        <f>IF(C59="","BS-"&amp;TEXT(COUNTA($C$5:C59),"000"))</f>
        <v/>
      </c>
      <c r="C59" s="11" t="n"/>
      <c r="D59" s="11" t="n"/>
      <c r="E59" s="11" t="n"/>
      <c r="F59" s="30" t="n"/>
      <c r="G59" s="30" t="n"/>
      <c r="H59" s="30">
        <f>IF(G59="","",IF(G59=0,"",F59-G59))</f>
        <v/>
      </c>
      <c r="I59" s="11" t="n"/>
      <c r="J59" s="11" t="n"/>
    </row>
    <row r="60" ht="22" customHeight="1">
      <c r="B60" s="17">
        <f>IF(C60="","BS-"&amp;TEXT(COUNTA($C$5:C60),"000"))</f>
        <v/>
      </c>
      <c r="C60" s="14" t="n"/>
      <c r="D60" s="14" t="n"/>
      <c r="E60" s="14" t="n"/>
      <c r="F60" s="31" t="n"/>
      <c r="G60" s="31" t="n"/>
      <c r="H60" s="31">
        <f>IF(G60="","",IF(G60=0,"",F60-G60))</f>
        <v/>
      </c>
      <c r="I60" s="14" t="n"/>
      <c r="J60" s="14" t="n"/>
    </row>
    <row r="61" ht="22" customHeight="1">
      <c r="B61" s="18">
        <f>IF(C61="","BS-"&amp;TEXT(COUNTA($C$5:C61),"000"))</f>
        <v/>
      </c>
      <c r="C61" s="11" t="n"/>
      <c r="D61" s="11" t="n"/>
      <c r="E61" s="11" t="n"/>
      <c r="F61" s="30" t="n"/>
      <c r="G61" s="30" t="n"/>
      <c r="H61" s="30">
        <f>IF(G61="","",IF(G61=0,"",F61-G61))</f>
        <v/>
      </c>
      <c r="I61" s="11" t="n"/>
      <c r="J61" s="11" t="n"/>
    </row>
    <row r="62" ht="22" customHeight="1">
      <c r="B62" s="17">
        <f>IF(C62="","BS-"&amp;TEXT(COUNTA($C$5:C62),"000"))</f>
        <v/>
      </c>
      <c r="C62" s="14" t="n"/>
      <c r="D62" s="14" t="n"/>
      <c r="E62" s="14" t="n"/>
      <c r="F62" s="31" t="n"/>
      <c r="G62" s="31" t="n"/>
      <c r="H62" s="31">
        <f>IF(G62="","",IF(G62=0,"",F62-G62))</f>
        <v/>
      </c>
      <c r="I62" s="14" t="n"/>
      <c r="J62" s="14" t="n"/>
    </row>
    <row r="63" ht="22" customHeight="1">
      <c r="B63" s="18">
        <f>IF(C63="","BS-"&amp;TEXT(COUNTA($C$5:C63),"000"))</f>
        <v/>
      </c>
      <c r="C63" s="11" t="n"/>
      <c r="D63" s="11" t="n"/>
      <c r="E63" s="11" t="n"/>
      <c r="F63" s="30" t="n"/>
      <c r="G63" s="30" t="n"/>
      <c r="H63" s="30">
        <f>IF(G63="","",IF(G63=0,"",F63-G63))</f>
        <v/>
      </c>
      <c r="I63" s="11" t="n"/>
      <c r="J63" s="11" t="n"/>
    </row>
    <row r="64" ht="22" customHeight="1">
      <c r="B64" s="17">
        <f>IF(C64="","BS-"&amp;TEXT(COUNTA($C$5:C64),"000"))</f>
        <v/>
      </c>
      <c r="C64" s="14" t="n"/>
      <c r="D64" s="14" t="n"/>
      <c r="E64" s="14" t="n"/>
      <c r="F64" s="31" t="n"/>
      <c r="G64" s="31" t="n"/>
      <c r="H64" s="31">
        <f>IF(G64="","",IF(G64=0,"",F64-G64))</f>
        <v/>
      </c>
      <c r="I64" s="14" t="n"/>
      <c r="J64" s="14" t="n"/>
    </row>
    <row r="65" ht="22" customHeight="1">
      <c r="B65" s="18">
        <f>IF(C65="","BS-"&amp;TEXT(COUNTA($C$5:C65),"000"))</f>
        <v/>
      </c>
      <c r="C65" s="11" t="n"/>
      <c r="D65" s="11" t="n"/>
      <c r="E65" s="11" t="n"/>
      <c r="F65" s="30" t="n"/>
      <c r="G65" s="30" t="n"/>
      <c r="H65" s="30">
        <f>IF(G65="","",IF(G65=0,"",F65-G65))</f>
        <v/>
      </c>
      <c r="I65" s="11" t="n"/>
      <c r="J65" s="11" t="n"/>
    </row>
    <row r="66" ht="22" customHeight="1">
      <c r="B66" s="17">
        <f>IF(C66="","BS-"&amp;TEXT(COUNTA($C$5:C66),"000"))</f>
        <v/>
      </c>
      <c r="C66" s="14" t="n"/>
      <c r="D66" s="14" t="n"/>
      <c r="E66" s="14" t="n"/>
      <c r="F66" s="31" t="n"/>
      <c r="G66" s="31" t="n"/>
      <c r="H66" s="31">
        <f>IF(G66="","",IF(G66=0,"",F66-G66))</f>
        <v/>
      </c>
      <c r="I66" s="14" t="n"/>
      <c r="J66" s="14" t="n"/>
    </row>
    <row r="67" ht="22" customHeight="1">
      <c r="B67" s="18">
        <f>IF(C67="","BS-"&amp;TEXT(COUNTA($C$5:C67),"000"))</f>
        <v/>
      </c>
      <c r="C67" s="11" t="n"/>
      <c r="D67" s="11" t="n"/>
      <c r="E67" s="11" t="n"/>
      <c r="F67" s="30" t="n"/>
      <c r="G67" s="30" t="n"/>
      <c r="H67" s="30">
        <f>IF(G67="","",IF(G67=0,"",F67-G67))</f>
        <v/>
      </c>
      <c r="I67" s="11" t="n"/>
      <c r="J67" s="11" t="n"/>
    </row>
    <row r="68" ht="22" customHeight="1">
      <c r="B68" s="17">
        <f>IF(C68="","BS-"&amp;TEXT(COUNTA($C$5:C68),"000"))</f>
        <v/>
      </c>
      <c r="C68" s="14" t="n"/>
      <c r="D68" s="14" t="n"/>
      <c r="E68" s="14" t="n"/>
      <c r="F68" s="31" t="n"/>
      <c r="G68" s="31" t="n"/>
      <c r="H68" s="31">
        <f>IF(G68="","",IF(G68=0,"",F68-G68))</f>
        <v/>
      </c>
      <c r="I68" s="14" t="n"/>
      <c r="J68" s="14" t="n"/>
    </row>
    <row r="69" ht="22" customHeight="1">
      <c r="B69" s="18">
        <f>IF(C69="","BS-"&amp;TEXT(COUNTA($C$5:C69),"000"))</f>
        <v/>
      </c>
      <c r="C69" s="11" t="n"/>
      <c r="D69" s="11" t="n"/>
      <c r="E69" s="11" t="n"/>
      <c r="F69" s="30" t="n"/>
      <c r="G69" s="30" t="n"/>
      <c r="H69" s="30">
        <f>IF(G69="","",IF(G69=0,"",F69-G69))</f>
        <v/>
      </c>
      <c r="I69" s="11" t="n"/>
      <c r="J69" s="11" t="n"/>
    </row>
    <row r="70" ht="22" customHeight="1">
      <c r="B70" s="17">
        <f>IF(C70="","BS-"&amp;TEXT(COUNTA($C$5:C70),"000"))</f>
        <v/>
      </c>
      <c r="C70" s="14" t="n"/>
      <c r="D70" s="14" t="n"/>
      <c r="E70" s="14" t="n"/>
      <c r="F70" s="31" t="n"/>
      <c r="G70" s="31" t="n"/>
      <c r="H70" s="31">
        <f>IF(G70="","",IF(G70=0,"",F70-G70))</f>
        <v/>
      </c>
      <c r="I70" s="14" t="n"/>
      <c r="J70" s="14" t="n"/>
    </row>
    <row r="71" ht="22" customHeight="1">
      <c r="B71" s="18">
        <f>IF(C71="","BS-"&amp;TEXT(COUNTA($C$5:C71),"000"))</f>
        <v/>
      </c>
      <c r="C71" s="11" t="n"/>
      <c r="D71" s="11" t="n"/>
      <c r="E71" s="11" t="n"/>
      <c r="F71" s="30" t="n"/>
      <c r="G71" s="30" t="n"/>
      <c r="H71" s="30">
        <f>IF(G71="","",IF(G71=0,"",F71-G71))</f>
        <v/>
      </c>
      <c r="I71" s="11" t="n"/>
      <c r="J71" s="11" t="n"/>
    </row>
    <row r="72" ht="22" customHeight="1">
      <c r="B72" s="17">
        <f>IF(C72="","BS-"&amp;TEXT(COUNTA($C$5:C72),"000"))</f>
        <v/>
      </c>
      <c r="C72" s="14" t="n"/>
      <c r="D72" s="14" t="n"/>
      <c r="E72" s="14" t="n"/>
      <c r="F72" s="31" t="n"/>
      <c r="G72" s="31" t="n"/>
      <c r="H72" s="31">
        <f>IF(G72="","",IF(G72=0,"",F72-G72))</f>
        <v/>
      </c>
      <c r="I72" s="14" t="n"/>
      <c r="J72" s="14" t="n"/>
    </row>
    <row r="73" ht="22" customHeight="1">
      <c r="B73" s="18">
        <f>IF(C73="","BS-"&amp;TEXT(COUNTA($C$5:C73),"000"))</f>
        <v/>
      </c>
      <c r="C73" s="11" t="n"/>
      <c r="D73" s="11" t="n"/>
      <c r="E73" s="11" t="n"/>
      <c r="F73" s="30" t="n"/>
      <c r="G73" s="30" t="n"/>
      <c r="H73" s="30">
        <f>IF(G73="","",IF(G73=0,"",F73-G73))</f>
        <v/>
      </c>
      <c r="I73" s="11" t="n"/>
      <c r="J73" s="11" t="n"/>
    </row>
    <row r="74" ht="22" customHeight="1">
      <c r="B74" s="17">
        <f>IF(C74="","BS-"&amp;TEXT(COUNTA($C$5:C74),"000"))</f>
        <v/>
      </c>
      <c r="C74" s="14" t="n"/>
      <c r="D74" s="14" t="n"/>
      <c r="E74" s="14" t="n"/>
      <c r="F74" s="31" t="n"/>
      <c r="G74" s="31" t="n"/>
      <c r="H74" s="31">
        <f>IF(G74="","",IF(G74=0,"",F74-G74))</f>
        <v/>
      </c>
      <c r="I74" s="14" t="n"/>
      <c r="J74" s="14" t="n"/>
    </row>
    <row r="75" ht="22" customHeight="1">
      <c r="B75" s="18">
        <f>IF(C75="","BS-"&amp;TEXT(COUNTA($C$5:C75),"000"))</f>
        <v/>
      </c>
      <c r="C75" s="11" t="n"/>
      <c r="D75" s="11" t="n"/>
      <c r="E75" s="11" t="n"/>
      <c r="F75" s="30" t="n"/>
      <c r="G75" s="30" t="n"/>
      <c r="H75" s="30">
        <f>IF(G75="","",IF(G75=0,"",F75-G75))</f>
        <v/>
      </c>
      <c r="I75" s="11" t="n"/>
      <c r="J75" s="11" t="n"/>
    </row>
    <row r="76" ht="22" customHeight="1">
      <c r="B76" s="17">
        <f>IF(C76="","BS-"&amp;TEXT(COUNTA($C$5:C76),"000"))</f>
        <v/>
      </c>
      <c r="C76" s="14" t="n"/>
      <c r="D76" s="14" t="n"/>
      <c r="E76" s="14" t="n"/>
      <c r="F76" s="31" t="n"/>
      <c r="G76" s="31" t="n"/>
      <c r="H76" s="31">
        <f>IF(G76="","",IF(G76=0,"",F76-G76))</f>
        <v/>
      </c>
      <c r="I76" s="14" t="n"/>
      <c r="J76" s="14" t="n"/>
    </row>
    <row r="77" ht="22" customHeight="1">
      <c r="B77" s="18">
        <f>IF(C77="","BS-"&amp;TEXT(COUNTA($C$5:C77),"000"))</f>
        <v/>
      </c>
      <c r="C77" s="11" t="n"/>
      <c r="D77" s="11" t="n"/>
      <c r="E77" s="11" t="n"/>
      <c r="F77" s="30" t="n"/>
      <c r="G77" s="30" t="n"/>
      <c r="H77" s="30">
        <f>IF(G77="","",IF(G77=0,"",F77-G77))</f>
        <v/>
      </c>
      <c r="I77" s="11" t="n"/>
      <c r="J77" s="11" t="n"/>
    </row>
    <row r="78" ht="22" customHeight="1">
      <c r="B78" s="17">
        <f>IF(C78="","BS-"&amp;TEXT(COUNTA($C$5:C78),"000"))</f>
        <v/>
      </c>
      <c r="C78" s="14" t="n"/>
      <c r="D78" s="14" t="n"/>
      <c r="E78" s="14" t="n"/>
      <c r="F78" s="31" t="n"/>
      <c r="G78" s="31" t="n"/>
      <c r="H78" s="31">
        <f>IF(G78="","",IF(G78=0,"",F78-G78))</f>
        <v/>
      </c>
      <c r="I78" s="14" t="n"/>
      <c r="J78" s="14" t="n"/>
    </row>
    <row r="79" ht="22" customHeight="1">
      <c r="B79" s="18">
        <f>IF(C79="","BS-"&amp;TEXT(COUNTA($C$5:C79),"000"))</f>
        <v/>
      </c>
      <c r="C79" s="11" t="n"/>
      <c r="D79" s="11" t="n"/>
      <c r="E79" s="11" t="n"/>
      <c r="F79" s="30" t="n"/>
      <c r="G79" s="30" t="n"/>
      <c r="H79" s="30">
        <f>IF(G79="","",IF(G79=0,"",F79-G79))</f>
        <v/>
      </c>
      <c r="I79" s="11" t="n"/>
      <c r="J79" s="11" t="n"/>
    </row>
    <row r="80" ht="22" customHeight="1">
      <c r="B80" s="17">
        <f>IF(C80="","BS-"&amp;TEXT(COUNTA($C$5:C80),"000"))</f>
        <v/>
      </c>
      <c r="C80" s="14" t="n"/>
      <c r="D80" s="14" t="n"/>
      <c r="E80" s="14" t="n"/>
      <c r="F80" s="31" t="n"/>
      <c r="G80" s="31" t="n"/>
      <c r="H80" s="31">
        <f>IF(G80="","",IF(G80=0,"",F80-G80))</f>
        <v/>
      </c>
      <c r="I80" s="14" t="n"/>
      <c r="J80" s="14" t="n"/>
    </row>
    <row r="81" ht="22" customHeight="1">
      <c r="B81" s="18">
        <f>IF(C81="","BS-"&amp;TEXT(COUNTA($C$5:C81),"000"))</f>
        <v/>
      </c>
      <c r="C81" s="11" t="n"/>
      <c r="D81" s="11" t="n"/>
      <c r="E81" s="11" t="n"/>
      <c r="F81" s="30" t="n"/>
      <c r="G81" s="30" t="n"/>
      <c r="H81" s="30">
        <f>IF(G81="","",IF(G81=0,"",F81-G81))</f>
        <v/>
      </c>
      <c r="I81" s="11" t="n"/>
      <c r="J81" s="11" t="n"/>
    </row>
    <row r="82" ht="22" customHeight="1">
      <c r="B82" s="17">
        <f>IF(C82="","BS-"&amp;TEXT(COUNTA($C$5:C82),"000"))</f>
        <v/>
      </c>
      <c r="C82" s="14" t="n"/>
      <c r="D82" s="14" t="n"/>
      <c r="E82" s="14" t="n"/>
      <c r="F82" s="31" t="n"/>
      <c r="G82" s="31" t="n"/>
      <c r="H82" s="31">
        <f>IF(G82="","",IF(G82=0,"",F82-G82))</f>
        <v/>
      </c>
      <c r="I82" s="14" t="n"/>
      <c r="J82" s="14" t="n"/>
    </row>
    <row r="83" ht="22" customHeight="1">
      <c r="B83" s="18">
        <f>IF(C83="","BS-"&amp;TEXT(COUNTA($C$5:C83),"000"))</f>
        <v/>
      </c>
      <c r="C83" s="11" t="n"/>
      <c r="D83" s="11" t="n"/>
      <c r="E83" s="11" t="n"/>
      <c r="F83" s="30" t="n"/>
      <c r="G83" s="30" t="n"/>
      <c r="H83" s="30">
        <f>IF(G83="","",IF(G83=0,"",F83-G83))</f>
        <v/>
      </c>
      <c r="I83" s="11" t="n"/>
      <c r="J83" s="11" t="n"/>
    </row>
    <row r="84" ht="22" customHeight="1">
      <c r="B84" s="17">
        <f>IF(C84="","BS-"&amp;TEXT(COUNTA($C$5:C84),"000"))</f>
        <v/>
      </c>
      <c r="C84" s="14" t="n"/>
      <c r="D84" s="14" t="n"/>
      <c r="E84" s="14" t="n"/>
      <c r="F84" s="31" t="n"/>
      <c r="G84" s="31" t="n"/>
      <c r="H84" s="31">
        <f>IF(G84="","",IF(G84=0,"",F84-G84))</f>
        <v/>
      </c>
      <c r="I84" s="14" t="n"/>
      <c r="J84" s="14" t="n"/>
    </row>
    <row r="85" ht="22" customHeight="1">
      <c r="B85" s="18">
        <f>IF(C85="","BS-"&amp;TEXT(COUNTA($C$5:C85),"000"))</f>
        <v/>
      </c>
      <c r="C85" s="11" t="n"/>
      <c r="D85" s="11" t="n"/>
      <c r="E85" s="11" t="n"/>
      <c r="F85" s="30" t="n"/>
      <c r="G85" s="30" t="n"/>
      <c r="H85" s="30">
        <f>IF(G85="","",IF(G85=0,"",F85-G85))</f>
        <v/>
      </c>
      <c r="I85" s="11" t="n"/>
      <c r="J85" s="11" t="n"/>
    </row>
    <row r="86" ht="22" customHeight="1">
      <c r="B86" s="17">
        <f>IF(C86="","BS-"&amp;TEXT(COUNTA($C$5:C86),"000"))</f>
        <v/>
      </c>
      <c r="C86" s="14" t="n"/>
      <c r="D86" s="14" t="n"/>
      <c r="E86" s="14" t="n"/>
      <c r="F86" s="31" t="n"/>
      <c r="G86" s="31" t="n"/>
      <c r="H86" s="31">
        <f>IF(G86="","",IF(G86=0,"",F86-G86))</f>
        <v/>
      </c>
      <c r="I86" s="14" t="n"/>
      <c r="J86" s="14" t="n"/>
    </row>
    <row r="87" ht="22" customHeight="1">
      <c r="B87" s="18">
        <f>IF(C87="","BS-"&amp;TEXT(COUNTA($C$5:C87),"000"))</f>
        <v/>
      </c>
      <c r="C87" s="11" t="n"/>
      <c r="D87" s="11" t="n"/>
      <c r="E87" s="11" t="n"/>
      <c r="F87" s="30" t="n"/>
      <c r="G87" s="30" t="n"/>
      <c r="H87" s="30">
        <f>IF(G87="","",IF(G87=0,"",F87-G87))</f>
        <v/>
      </c>
      <c r="I87" s="11" t="n"/>
      <c r="J87" s="11" t="n"/>
    </row>
    <row r="88" ht="22" customHeight="1">
      <c r="B88" s="17">
        <f>IF(C88="","BS-"&amp;TEXT(COUNTA($C$5:C88),"000"))</f>
        <v/>
      </c>
      <c r="C88" s="14" t="n"/>
      <c r="D88" s="14" t="n"/>
      <c r="E88" s="14" t="n"/>
      <c r="F88" s="31" t="n"/>
      <c r="G88" s="31" t="n"/>
      <c r="H88" s="31">
        <f>IF(G88="","",IF(G88=0,"",F88-G88))</f>
        <v/>
      </c>
      <c r="I88" s="14" t="n"/>
      <c r="J88" s="14" t="n"/>
    </row>
    <row r="89" ht="22" customHeight="1">
      <c r="B89" s="18">
        <f>IF(C89="","BS-"&amp;TEXT(COUNTA($C$5:C89),"000"))</f>
        <v/>
      </c>
      <c r="C89" s="11" t="n"/>
      <c r="D89" s="11" t="n"/>
      <c r="E89" s="11" t="n"/>
      <c r="F89" s="30" t="n"/>
      <c r="G89" s="30" t="n"/>
      <c r="H89" s="30">
        <f>IF(G89="","",IF(G89=0,"",F89-G89))</f>
        <v/>
      </c>
      <c r="I89" s="11" t="n"/>
      <c r="J89" s="11" t="n"/>
    </row>
    <row r="90" ht="22" customHeight="1">
      <c r="B90" s="17">
        <f>IF(C90="","BS-"&amp;TEXT(COUNTA($C$5:C90),"000"))</f>
        <v/>
      </c>
      <c r="C90" s="14" t="n"/>
      <c r="D90" s="14" t="n"/>
      <c r="E90" s="14" t="n"/>
      <c r="F90" s="31" t="n"/>
      <c r="G90" s="31" t="n"/>
      <c r="H90" s="31">
        <f>IF(G90="","",IF(G90=0,"",F90-G90))</f>
        <v/>
      </c>
      <c r="I90" s="14" t="n"/>
      <c r="J90" s="14" t="n"/>
    </row>
    <row r="91" ht="22" customHeight="1">
      <c r="B91" s="18">
        <f>IF(C91="","BS-"&amp;TEXT(COUNTA($C$5:C91),"000"))</f>
        <v/>
      </c>
      <c r="C91" s="11" t="n"/>
      <c r="D91" s="11" t="n"/>
      <c r="E91" s="11" t="n"/>
      <c r="F91" s="30" t="n"/>
      <c r="G91" s="30" t="n"/>
      <c r="H91" s="30">
        <f>IF(G91="","",IF(G91=0,"",F91-G91))</f>
        <v/>
      </c>
      <c r="I91" s="11" t="n"/>
      <c r="J91" s="11" t="n"/>
    </row>
    <row r="92" ht="22" customHeight="1">
      <c r="B92" s="17">
        <f>IF(C92="","BS-"&amp;TEXT(COUNTA($C$5:C92),"000"))</f>
        <v/>
      </c>
      <c r="C92" s="14" t="n"/>
      <c r="D92" s="14" t="n"/>
      <c r="E92" s="14" t="n"/>
      <c r="F92" s="31" t="n"/>
      <c r="G92" s="31" t="n"/>
      <c r="H92" s="31">
        <f>IF(G92="","",IF(G92=0,"",F92-G92))</f>
        <v/>
      </c>
      <c r="I92" s="14" t="n"/>
      <c r="J92" s="14" t="n"/>
    </row>
    <row r="93" ht="22" customHeight="1">
      <c r="B93" s="18">
        <f>IF(C93="","BS-"&amp;TEXT(COUNTA($C$5:C93),"000"))</f>
        <v/>
      </c>
      <c r="C93" s="11" t="n"/>
      <c r="D93" s="11" t="n"/>
      <c r="E93" s="11" t="n"/>
      <c r="F93" s="30" t="n"/>
      <c r="G93" s="30" t="n"/>
      <c r="H93" s="30">
        <f>IF(G93="","",IF(G93=0,"",F93-G93))</f>
        <v/>
      </c>
      <c r="I93" s="11" t="n"/>
      <c r="J93" s="11" t="n"/>
    </row>
    <row r="94" ht="22" customHeight="1">
      <c r="B94" s="17">
        <f>IF(C94="","BS-"&amp;TEXT(COUNTA($C$5:C94),"000"))</f>
        <v/>
      </c>
      <c r="C94" s="14" t="n"/>
      <c r="D94" s="14" t="n"/>
      <c r="E94" s="14" t="n"/>
      <c r="F94" s="31" t="n"/>
      <c r="G94" s="31" t="n"/>
      <c r="H94" s="31">
        <f>IF(G94="","",IF(G94=0,"",F94-G94))</f>
        <v/>
      </c>
      <c r="I94" s="14" t="n"/>
      <c r="J94" s="14" t="n"/>
    </row>
    <row r="95" ht="22" customHeight="1">
      <c r="B95" s="18">
        <f>IF(C95="","BS-"&amp;TEXT(COUNTA($C$5:C95),"000"))</f>
        <v/>
      </c>
      <c r="C95" s="11" t="n"/>
      <c r="D95" s="11" t="n"/>
      <c r="E95" s="11" t="n"/>
      <c r="F95" s="30" t="n"/>
      <c r="G95" s="30" t="n"/>
      <c r="H95" s="30">
        <f>IF(G95="","",IF(G95=0,"",F95-G95))</f>
        <v/>
      </c>
      <c r="I95" s="11" t="n"/>
      <c r="J95" s="11" t="n"/>
    </row>
    <row r="96" ht="22" customHeight="1">
      <c r="B96" s="17">
        <f>IF(C96="","BS-"&amp;TEXT(COUNTA($C$5:C96),"000"))</f>
        <v/>
      </c>
      <c r="C96" s="14" t="n"/>
      <c r="D96" s="14" t="n"/>
      <c r="E96" s="14" t="n"/>
      <c r="F96" s="31" t="n"/>
      <c r="G96" s="31" t="n"/>
      <c r="H96" s="31">
        <f>IF(G96="","",IF(G96=0,"",F96-G96))</f>
        <v/>
      </c>
      <c r="I96" s="14" t="n"/>
      <c r="J96" s="14" t="n"/>
    </row>
    <row r="97" ht="22" customHeight="1">
      <c r="B97" s="18">
        <f>IF(C97="","BS-"&amp;TEXT(COUNTA($C$5:C97),"000"))</f>
        <v/>
      </c>
      <c r="C97" s="11" t="n"/>
      <c r="D97" s="11" t="n"/>
      <c r="E97" s="11" t="n"/>
      <c r="F97" s="30" t="n"/>
      <c r="G97" s="30" t="n"/>
      <c r="H97" s="30">
        <f>IF(G97="","",IF(G97=0,"",F97-G97))</f>
        <v/>
      </c>
      <c r="I97" s="11" t="n"/>
      <c r="J97" s="11" t="n"/>
    </row>
    <row r="98" ht="22" customHeight="1">
      <c r="B98" s="17">
        <f>IF(C98="","BS-"&amp;TEXT(COUNTA($C$5:C98),"000"))</f>
        <v/>
      </c>
      <c r="C98" s="14" t="n"/>
      <c r="D98" s="14" t="n"/>
      <c r="E98" s="14" t="n"/>
      <c r="F98" s="31" t="n"/>
      <c r="G98" s="31" t="n"/>
      <c r="H98" s="31">
        <f>IF(G98="","",IF(G98=0,"",F98-G98))</f>
        <v/>
      </c>
      <c r="I98" s="14" t="n"/>
      <c r="J98" s="14" t="n"/>
    </row>
    <row r="99" ht="22" customHeight="1">
      <c r="B99" s="18">
        <f>IF(C99="","BS-"&amp;TEXT(COUNTA($C$5:C99),"000"))</f>
        <v/>
      </c>
      <c r="C99" s="11" t="n"/>
      <c r="D99" s="11" t="n"/>
      <c r="E99" s="11" t="n"/>
      <c r="F99" s="30" t="n"/>
      <c r="G99" s="30" t="n"/>
      <c r="H99" s="30">
        <f>IF(G99="","",IF(G99=0,"",F99-G99))</f>
        <v/>
      </c>
      <c r="I99" s="11" t="n"/>
      <c r="J99" s="11" t="n"/>
    </row>
    <row r="100" ht="22" customHeight="1">
      <c r="B100" s="17">
        <f>IF(C100="","BS-"&amp;TEXT(COUNTA($C$5:C100),"000"))</f>
        <v/>
      </c>
      <c r="C100" s="14" t="n"/>
      <c r="D100" s="14" t="n"/>
      <c r="E100" s="14" t="n"/>
      <c r="F100" s="31" t="n"/>
      <c r="G100" s="31" t="n"/>
      <c r="H100" s="31">
        <f>IF(G100="","",IF(G100=0,"",F100-G100))</f>
        <v/>
      </c>
      <c r="I100" s="14" t="n"/>
      <c r="J100" s="14" t="n"/>
    </row>
    <row r="101" ht="22" customHeight="1">
      <c r="B101" s="18">
        <f>IF(C101="","BS-"&amp;TEXT(COUNTA($C$5:C101),"000"))</f>
        <v/>
      </c>
      <c r="C101" s="11" t="n"/>
      <c r="D101" s="11" t="n"/>
      <c r="E101" s="11" t="n"/>
      <c r="F101" s="30" t="n"/>
      <c r="G101" s="30" t="n"/>
      <c r="H101" s="30">
        <f>IF(G101="","",IF(G101=0,"",F101-G101))</f>
        <v/>
      </c>
      <c r="I101" s="11" t="n"/>
      <c r="J101" s="11" t="n"/>
    </row>
    <row r="102" ht="22" customHeight="1">
      <c r="B102" s="17">
        <f>IF(C102="","BS-"&amp;TEXT(COUNTA($C$5:C102),"000"))</f>
        <v/>
      </c>
      <c r="C102" s="14" t="n"/>
      <c r="D102" s="14" t="n"/>
      <c r="E102" s="14" t="n"/>
      <c r="F102" s="31" t="n"/>
      <c r="G102" s="31" t="n"/>
      <c r="H102" s="31">
        <f>IF(G102="","",IF(G102=0,"",F102-G102))</f>
        <v/>
      </c>
      <c r="I102" s="14" t="n"/>
      <c r="J102" s="14" t="n"/>
    </row>
    <row r="103" ht="22" customHeight="1">
      <c r="B103" s="18">
        <f>IF(C103="","BS-"&amp;TEXT(COUNTA($C$5:C103),"000"))</f>
        <v/>
      </c>
      <c r="C103" s="11" t="n"/>
      <c r="D103" s="11" t="n"/>
      <c r="E103" s="11" t="n"/>
      <c r="F103" s="30" t="n"/>
      <c r="G103" s="30" t="n"/>
      <c r="H103" s="30">
        <f>IF(G103="","",IF(G103=0,"",F103-G103))</f>
        <v/>
      </c>
      <c r="I103" s="11" t="n"/>
      <c r="J103" s="11" t="n"/>
    </row>
    <row r="104" ht="22" customHeight="1">
      <c r="B104" s="17">
        <f>IF(C104="","BS-"&amp;TEXT(COUNTA($C$5:C104),"000"))</f>
        <v/>
      </c>
      <c r="C104" s="14" t="n"/>
      <c r="D104" s="14" t="n"/>
      <c r="E104" s="14" t="n"/>
      <c r="F104" s="31" t="n"/>
      <c r="G104" s="31" t="n"/>
      <c r="H104" s="31">
        <f>IF(G104="","",IF(G104=0,"",F104-G104))</f>
        <v/>
      </c>
      <c r="I104" s="14" t="n"/>
      <c r="J104" s="14" t="n"/>
    </row>
    <row r="105" ht="22" customHeight="1">
      <c r="B105" s="18">
        <f>IF(C105="","BS-"&amp;TEXT(COUNTA($C$5:C105),"000"))</f>
        <v/>
      </c>
      <c r="C105" s="11" t="n"/>
      <c r="D105" s="11" t="n"/>
      <c r="E105" s="11" t="n"/>
      <c r="F105" s="30" t="n"/>
      <c r="G105" s="30" t="n"/>
      <c r="H105" s="30">
        <f>IF(G105="","",IF(G105=0,"",F105-G105))</f>
        <v/>
      </c>
      <c r="I105" s="11" t="n"/>
      <c r="J105" s="11" t="n"/>
    </row>
    <row r="106" ht="22" customHeight="1">
      <c r="B106" s="17">
        <f>IF(C106="","BS-"&amp;TEXT(COUNTA($C$5:C106),"000"))</f>
        <v/>
      </c>
      <c r="C106" s="14" t="n"/>
      <c r="D106" s="14" t="n"/>
      <c r="E106" s="14" t="n"/>
      <c r="F106" s="31" t="n"/>
      <c r="G106" s="31" t="n"/>
      <c r="H106" s="31">
        <f>IF(G106="","",IF(G106=0,"",F106-G106))</f>
        <v/>
      </c>
      <c r="I106" s="14" t="n"/>
      <c r="J106" s="14" t="n"/>
    </row>
    <row r="107" ht="22" customHeight="1">
      <c r="B107" s="18">
        <f>IF(C107="","BS-"&amp;TEXT(COUNTA($C$5:C107),"000"))</f>
        <v/>
      </c>
      <c r="C107" s="11" t="n"/>
      <c r="D107" s="11" t="n"/>
      <c r="E107" s="11" t="n"/>
      <c r="F107" s="30" t="n"/>
      <c r="G107" s="30" t="n"/>
      <c r="H107" s="30">
        <f>IF(G107="","",IF(G107=0,"",F107-G107))</f>
        <v/>
      </c>
      <c r="I107" s="11" t="n"/>
      <c r="J107" s="11" t="n"/>
    </row>
    <row r="108" ht="22" customHeight="1">
      <c r="B108" s="17">
        <f>IF(C108="","BS-"&amp;TEXT(COUNTA($C$5:C108),"000"))</f>
        <v/>
      </c>
      <c r="C108" s="14" t="n"/>
      <c r="D108" s="14" t="n"/>
      <c r="E108" s="14" t="n"/>
      <c r="F108" s="31" t="n"/>
      <c r="G108" s="31" t="n"/>
      <c r="H108" s="31">
        <f>IF(G108="","",IF(G108=0,"",F108-G108))</f>
        <v/>
      </c>
      <c r="I108" s="14" t="n"/>
      <c r="J108" s="14" t="n"/>
    </row>
    <row r="109" ht="22" customHeight="1">
      <c r="B109" s="18">
        <f>IF(C109="","BS-"&amp;TEXT(COUNTA($C$5:C109),"000"))</f>
        <v/>
      </c>
      <c r="C109" s="11" t="n"/>
      <c r="D109" s="11" t="n"/>
      <c r="E109" s="11" t="n"/>
      <c r="F109" s="30" t="n"/>
      <c r="G109" s="30" t="n"/>
      <c r="H109" s="30">
        <f>IF(G109="","",IF(G109=0,"",F109-G109))</f>
        <v/>
      </c>
      <c r="I109" s="11" t="n"/>
      <c r="J109" s="11" t="n"/>
    </row>
    <row r="110" ht="22" customHeight="1">
      <c r="B110" s="17">
        <f>IF(C110="","BS-"&amp;TEXT(COUNTA($C$5:C110),"000"))</f>
        <v/>
      </c>
      <c r="C110" s="14" t="n"/>
      <c r="D110" s="14" t="n"/>
      <c r="E110" s="14" t="n"/>
      <c r="F110" s="31" t="n"/>
      <c r="G110" s="31" t="n"/>
      <c r="H110" s="31">
        <f>IF(G110="","",IF(G110=0,"",F110-G110))</f>
        <v/>
      </c>
      <c r="I110" s="14" t="n"/>
      <c r="J110" s="14" t="n"/>
    </row>
    <row r="111" ht="22" customHeight="1">
      <c r="B111" s="18">
        <f>IF(C111="","BS-"&amp;TEXT(COUNTA($C$5:C111),"000"))</f>
        <v/>
      </c>
      <c r="C111" s="11" t="n"/>
      <c r="D111" s="11" t="n"/>
      <c r="E111" s="11" t="n"/>
      <c r="F111" s="30" t="n"/>
      <c r="G111" s="30" t="n"/>
      <c r="H111" s="30">
        <f>IF(G111="","",IF(G111=0,"",F111-G111))</f>
        <v/>
      </c>
      <c r="I111" s="11" t="n"/>
      <c r="J111" s="11" t="n"/>
    </row>
    <row r="113">
      <c r="B113" s="5" t="inlineStr">
        <is>
          <t>INDICATEURS (mis a jour automatiquement)</t>
        </is>
      </c>
    </row>
    <row r="114">
      <c r="B114" s="3" t="inlineStr">
        <is>
          <t>Indicateurs suivis</t>
        </is>
      </c>
      <c r="D114" s="3" t="inlineStr">
        <is>
          <t>Indicateurs sous cible</t>
        </is>
      </c>
      <c r="F114" s="3" t="inlineStr">
        <is>
          <t>Indicateurs dans norme</t>
        </is>
      </c>
      <c r="H114" s="3" t="inlineStr">
        <is>
          <t>Ecart moyen</t>
        </is>
      </c>
    </row>
    <row r="115">
      <c r="B115" s="4">
        <f>COUNTIF(B5:B104,"&lt;&gt;")</f>
        <v/>
      </c>
      <c r="D115" s="4">
        <f>COUNTIF(H5:H104,"&gt;0")</f>
        <v/>
      </c>
      <c r="F115" s="4">
        <f>COUNTIF(H5:H104,"&lt;=0")</f>
        <v/>
      </c>
      <c r="H115" s="4">
        <f>IFERROR(AVERAGE(H5:H104),0)</f>
        <v/>
      </c>
    </row>
  </sheetData>
  <mergeCells count="3">
    <mergeCell ref="B113:J113"/>
    <mergeCell ref="B3:J3"/>
    <mergeCell ref="B2:J2"/>
  </mergeCells>
  <conditionalFormatting sqref="B12:B111">
    <cfRule type="expression" priority="1" dxfId="3">
      <formula>AND($C12="",$C11&lt;&gt;"")</formula>
    </cfRule>
  </conditionalFormatting>
  <conditionalFormatting sqref="C12:C111">
    <cfRule type="expression" priority="2" dxfId="3">
      <formula>AND($C12="",$C11&lt;&gt;"")</formula>
    </cfRule>
  </conditionalFormatting>
  <conditionalFormatting sqref="D12:D111">
    <cfRule type="expression" priority="3" dxfId="3">
      <formula>AND($C12="",$C11&lt;&gt;"")</formula>
    </cfRule>
  </conditionalFormatting>
  <conditionalFormatting sqref="E12:E111">
    <cfRule type="expression" priority="4" dxfId="3">
      <formula>AND($C12="",$C11&lt;&gt;"")</formula>
    </cfRule>
  </conditionalFormatting>
  <conditionalFormatting sqref="F12:F111">
    <cfRule type="expression" priority="5" dxfId="3">
      <formula>AND($C12="",$C11&lt;&gt;"")</formula>
    </cfRule>
  </conditionalFormatting>
  <conditionalFormatting sqref="G12:G111">
    <cfRule type="expression" priority="6" dxfId="3">
      <formula>AND($C12="",$C11&lt;&gt;"")</formula>
    </cfRule>
  </conditionalFormatting>
  <conditionalFormatting sqref="H12:H111">
    <cfRule type="expression" priority="7" dxfId="3">
      <formula>AND($C12="",$C11&lt;&gt;"")</formula>
    </cfRule>
  </conditionalFormatting>
  <conditionalFormatting sqref="I12:I111">
    <cfRule type="expression" priority="8" dxfId="3">
      <formula>AND($C12="",$C11&lt;&gt;"")</formula>
    </cfRule>
  </conditionalFormatting>
  <conditionalFormatting sqref="J12:J111">
    <cfRule type="expression" priority="9" dxfId="3">
      <formula>AND($C12="",$C11&lt;&gt;"")</formula>
    </cfRule>
  </conditionalFormatting>
  <dataValidations count="2">
    <dataValidation sqref="D5:D111" showDropDown="0" showInputMessage="0" showErrorMessage="0" allowBlank="1" errorTitle="Erreur" error="Valeur invalide" promptTitle="Liste" prompt="Choisir dans la liste" type="list">
      <formula1>'_Lists'!$Y$2:$Y$4</formula1>
    </dataValidation>
    <dataValidation sqref="E5:E111" showDropDown="0" showInputMessage="0" showErrorMessage="0" allowBlank="1" errorTitle="Erreur" error="Valeur invalide" promptTitle="Liste" prompt="Choisir dans la liste" type="list">
      <formula1>'_Lists'!$B$2:$B$14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I1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0" customWidth="1" min="4" max="4"/>
    <col width="18" customWidth="1" min="5" max="5"/>
    <col width="16" customWidth="1" min="6" max="6"/>
    <col width="14" customWidth="1" min="7" max="7"/>
    <col width="16" customWidth="1" min="8" max="8"/>
    <col width="16" customWidth="1" min="9" max="9"/>
  </cols>
  <sheetData>
    <row r="1" ht="15" customHeight="1"/>
    <row r="2" ht="32" customHeight="1">
      <c r="B2" s="1" t="inlineStr">
        <is>
          <t>SUIVI MENSUEL DES RECLAMATIONS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Mois</t>
        </is>
      </c>
      <c r="D4" s="10" t="inlineStr">
        <is>
          <t>Annee</t>
        </is>
      </c>
      <c r="E4" s="10" t="inlineStr">
        <is>
          <t>Nb Reclamations</t>
        </is>
      </c>
      <c r="F4" s="10" t="inlineStr">
        <is>
          <t>Nb Cloturees</t>
        </is>
      </c>
      <c r="G4" s="10" t="inlineStr">
        <is>
          <t>Nb En Cours</t>
        </is>
      </c>
      <c r="H4" s="10" t="inlineStr">
        <is>
          <t>Nb Escaladees</t>
        </is>
      </c>
      <c r="I4" s="10" t="inlineStr">
        <is>
          <t>Delai Moyen (j)</t>
        </is>
      </c>
    </row>
    <row r="5" ht="22" customHeight="1">
      <c r="B5" s="11" t="inlineStr">
        <is>
          <t>RM-001</t>
        </is>
      </c>
      <c r="C5" s="11" t="inlineStr">
        <is>
          <t>Janvier</t>
        </is>
      </c>
      <c r="D5" s="11" t="inlineStr">
        <is>
          <t>2025</t>
        </is>
      </c>
      <c r="E5" s="13">
        <f>COUNTA('8-Reclamations Personnel'!B5:B104)</f>
        <v/>
      </c>
      <c r="F5" s="13">
        <f>COUNTIF('8-Reclamations Personnel'!R:R,"Traitee")</f>
        <v/>
      </c>
      <c r="G5" s="13" t="n">
        <v>0</v>
      </c>
      <c r="H5" s="13" t="n">
        <v>0</v>
      </c>
      <c r="I5" s="30" t="n">
        <v>4.5</v>
      </c>
    </row>
    <row r="6" ht="22" customHeight="1">
      <c r="B6" s="14" t="inlineStr">
        <is>
          <t>RM-002</t>
        </is>
      </c>
      <c r="C6" s="14" t="inlineStr">
        <is>
          <t>Fevrier</t>
        </is>
      </c>
      <c r="D6" s="14" t="inlineStr">
        <is>
          <t>2025</t>
        </is>
      </c>
      <c r="E6" s="16">
        <f>COUNTA('8-Reclamations Personnel'!B5:B104)</f>
        <v/>
      </c>
      <c r="F6" s="16">
        <f>COUNTIF('8-Reclamations Personnel'!R:R,"Traitee")</f>
        <v/>
      </c>
      <c r="G6" s="16" t="n">
        <v>0</v>
      </c>
      <c r="H6" s="16" t="n">
        <v>0</v>
      </c>
      <c r="I6" s="31" t="n">
        <v>3</v>
      </c>
    </row>
    <row r="7" ht="22" customHeight="1">
      <c r="B7" s="11" t="inlineStr">
        <is>
          <t>RM-003</t>
        </is>
      </c>
      <c r="C7" s="11" t="inlineStr">
        <is>
          <t>Mars</t>
        </is>
      </c>
      <c r="D7" s="11" t="inlineStr">
        <is>
          <t>2025</t>
        </is>
      </c>
      <c r="E7" s="13">
        <f>COUNTA('8-Reclamations Personnel'!B5:B104)</f>
        <v/>
      </c>
      <c r="F7" s="13">
        <f>COUNTIF('8-Reclamations Personnel'!R:R,"Traitee")</f>
        <v/>
      </c>
      <c r="G7" s="13" t="n">
        <v>1</v>
      </c>
      <c r="H7" s="13" t="n">
        <v>1</v>
      </c>
      <c r="I7" s="30" t="n">
        <v>5.2</v>
      </c>
    </row>
    <row r="8" ht="22" customHeight="1">
      <c r="B8" s="14" t="inlineStr">
        <is>
          <t>RM-004</t>
        </is>
      </c>
      <c r="C8" s="14" t="inlineStr">
        <is>
          <t>Avril</t>
        </is>
      </c>
      <c r="D8" s="14" t="inlineStr">
        <is>
          <t>2025</t>
        </is>
      </c>
      <c r="E8" s="16">
        <f>COUNTA('8-Reclamations Personnel'!B5:B104)</f>
        <v/>
      </c>
      <c r="F8" s="16">
        <f>COUNTIF('8-Reclamations Personnel'!R:R,"Traitee")</f>
        <v/>
      </c>
      <c r="G8" s="16" t="n">
        <v>0</v>
      </c>
      <c r="H8" s="16" t="n">
        <v>0</v>
      </c>
      <c r="I8" s="31" t="n">
        <v>4</v>
      </c>
    </row>
    <row r="9" ht="22" customHeight="1">
      <c r="B9" s="11" t="inlineStr">
        <is>
          <t>RM-005</t>
        </is>
      </c>
      <c r="C9" s="11" t="inlineStr">
        <is>
          <t>Mai</t>
        </is>
      </c>
      <c r="D9" s="11" t="inlineStr">
        <is>
          <t>2025</t>
        </is>
      </c>
      <c r="E9" s="13">
        <f>COUNTA('8-Reclamations Personnel'!B5:B104)</f>
        <v/>
      </c>
      <c r="F9" s="13">
        <f>COUNTIF('8-Reclamations Personnel'!R:R,"Traitee")</f>
        <v/>
      </c>
      <c r="G9" s="13" t="n">
        <v>2</v>
      </c>
      <c r="H9" s="13" t="n">
        <v>1</v>
      </c>
      <c r="I9" s="30" t="n">
        <v>6.8</v>
      </c>
    </row>
    <row r="10" ht="22" customHeight="1">
      <c r="B10" s="14" t="inlineStr">
        <is>
          <t>RM-006</t>
        </is>
      </c>
      <c r="C10" s="14" t="inlineStr">
        <is>
          <t>Juin</t>
        </is>
      </c>
      <c r="D10" s="14" t="inlineStr">
        <is>
          <t>2025</t>
        </is>
      </c>
      <c r="E10" s="16">
        <f>COUNTA('8-Reclamations Personnel'!B5:B104)</f>
        <v/>
      </c>
      <c r="F10" s="16">
        <f>COUNTIF('8-Reclamations Personnel'!R:R,"Traitee")</f>
        <v/>
      </c>
      <c r="G10" s="16" t="n">
        <v>3</v>
      </c>
      <c r="H10" s="16" t="n">
        <v>2</v>
      </c>
      <c r="I10" s="31" t="n">
        <v>7.5</v>
      </c>
    </row>
    <row r="11" ht="22" customHeight="1">
      <c r="B11" s="18">
        <f>IF(C11="","RM-"&amp;TEXT(COUNTA($C$5:C11),"000"))</f>
        <v/>
      </c>
      <c r="C11" s="11" t="n"/>
      <c r="D11" s="11" t="n"/>
      <c r="E11" s="13" t="n"/>
      <c r="F11" s="13" t="n"/>
      <c r="G11" s="13" t="n"/>
      <c r="H11" s="13" t="n"/>
      <c r="I11" s="30" t="n"/>
    </row>
    <row r="12" ht="22" customHeight="1">
      <c r="B12" s="17">
        <f>IF(C12="","RM-"&amp;TEXT(COUNTA($C$5:C12),"000"))</f>
        <v/>
      </c>
      <c r="C12" s="14" t="n"/>
      <c r="D12" s="14" t="n"/>
      <c r="E12" s="16" t="n"/>
      <c r="F12" s="16" t="n"/>
      <c r="G12" s="16" t="n"/>
      <c r="H12" s="16" t="n"/>
      <c r="I12" s="31" t="n"/>
    </row>
    <row r="13" ht="22" customHeight="1">
      <c r="B13" s="18">
        <f>IF(C13="","RM-"&amp;TEXT(COUNTA($C$5:C13),"000"))</f>
        <v/>
      </c>
      <c r="C13" s="11" t="n"/>
      <c r="D13" s="11" t="n"/>
      <c r="E13" s="13" t="n"/>
      <c r="F13" s="13" t="n"/>
      <c r="G13" s="13" t="n"/>
      <c r="H13" s="13" t="n"/>
      <c r="I13" s="30" t="n"/>
    </row>
    <row r="14" ht="22" customHeight="1">
      <c r="B14" s="17">
        <f>IF(C14="","RM-"&amp;TEXT(COUNTA($C$5:C14),"000"))</f>
        <v/>
      </c>
      <c r="C14" s="14" t="n"/>
      <c r="D14" s="14" t="n"/>
      <c r="E14" s="16" t="n"/>
      <c r="F14" s="16" t="n"/>
      <c r="G14" s="16" t="n"/>
      <c r="H14" s="16" t="n"/>
      <c r="I14" s="31" t="n"/>
    </row>
    <row r="15" ht="22" customHeight="1">
      <c r="B15" s="18">
        <f>IF(C15="","RM-"&amp;TEXT(COUNTA($C$5:C15),"000"))</f>
        <v/>
      </c>
      <c r="C15" s="11" t="n"/>
      <c r="D15" s="11" t="n"/>
      <c r="E15" s="13" t="n"/>
      <c r="F15" s="13" t="n"/>
      <c r="G15" s="13" t="n"/>
      <c r="H15" s="13" t="n"/>
      <c r="I15" s="30" t="n"/>
    </row>
    <row r="16" ht="22" customHeight="1">
      <c r="B16" s="17">
        <f>IF(C16="","RM-"&amp;TEXT(COUNTA($C$5:C16),"000"))</f>
        <v/>
      </c>
      <c r="C16" s="14" t="n"/>
      <c r="D16" s="14" t="n"/>
      <c r="E16" s="16" t="n"/>
      <c r="F16" s="16" t="n"/>
      <c r="G16" s="16" t="n"/>
      <c r="H16" s="16" t="n"/>
      <c r="I16" s="31" t="n"/>
    </row>
    <row r="17" ht="22" customHeight="1">
      <c r="B17" s="18">
        <f>IF(C17="","RM-"&amp;TEXT(COUNTA($C$5:C17),"000"))</f>
        <v/>
      </c>
      <c r="C17" s="11" t="n"/>
      <c r="D17" s="11" t="n"/>
      <c r="E17" s="13" t="n"/>
      <c r="F17" s="13" t="n"/>
      <c r="G17" s="13" t="n"/>
      <c r="H17" s="13" t="n"/>
      <c r="I17" s="30" t="n"/>
    </row>
    <row r="18" ht="22" customHeight="1">
      <c r="B18" s="17">
        <f>IF(C18="","RM-"&amp;TEXT(COUNTA($C$5:C18),"000"))</f>
        <v/>
      </c>
      <c r="C18" s="14" t="n"/>
      <c r="D18" s="14" t="n"/>
      <c r="E18" s="16" t="n"/>
      <c r="F18" s="16" t="n"/>
      <c r="G18" s="16" t="n"/>
      <c r="H18" s="16" t="n"/>
      <c r="I18" s="31" t="n"/>
    </row>
    <row r="19" ht="22" customHeight="1">
      <c r="B19" s="18">
        <f>IF(C19="","RM-"&amp;TEXT(COUNTA($C$5:C19),"000"))</f>
        <v/>
      </c>
      <c r="C19" s="11" t="n"/>
      <c r="D19" s="11" t="n"/>
      <c r="E19" s="13" t="n"/>
      <c r="F19" s="13" t="n"/>
      <c r="G19" s="13" t="n"/>
      <c r="H19" s="13" t="n"/>
      <c r="I19" s="30" t="n"/>
    </row>
    <row r="20" ht="22" customHeight="1">
      <c r="B20" s="17">
        <f>IF(C20="","RM-"&amp;TEXT(COUNTA($C$5:C20),"000"))</f>
        <v/>
      </c>
      <c r="C20" s="14" t="n"/>
      <c r="D20" s="14" t="n"/>
      <c r="E20" s="16" t="n"/>
      <c r="F20" s="16" t="n"/>
      <c r="G20" s="16" t="n"/>
      <c r="H20" s="16" t="n"/>
      <c r="I20" s="31" t="n"/>
    </row>
    <row r="21" ht="22" customHeight="1">
      <c r="B21" s="18">
        <f>IF(C21="","RM-"&amp;TEXT(COUNTA($C$5:C21),"000"))</f>
        <v/>
      </c>
      <c r="C21" s="11" t="n"/>
      <c r="D21" s="11" t="n"/>
      <c r="E21" s="13" t="n"/>
      <c r="F21" s="13" t="n"/>
      <c r="G21" s="13" t="n"/>
      <c r="H21" s="13" t="n"/>
      <c r="I21" s="30" t="n"/>
    </row>
    <row r="22" ht="22" customHeight="1">
      <c r="B22" s="17">
        <f>IF(C22="","RM-"&amp;TEXT(COUNTA($C$5:C22),"000"))</f>
        <v/>
      </c>
      <c r="C22" s="14" t="n"/>
      <c r="D22" s="14" t="n"/>
      <c r="E22" s="16" t="n"/>
      <c r="F22" s="16" t="n"/>
      <c r="G22" s="16" t="n"/>
      <c r="H22" s="16" t="n"/>
      <c r="I22" s="31" t="n"/>
    </row>
    <row r="23" ht="22" customHeight="1">
      <c r="B23" s="18">
        <f>IF(C23="","RM-"&amp;TEXT(COUNTA($C$5:C23),"000"))</f>
        <v/>
      </c>
      <c r="C23" s="11" t="n"/>
      <c r="D23" s="11" t="n"/>
      <c r="E23" s="13" t="n"/>
      <c r="F23" s="13" t="n"/>
      <c r="G23" s="13" t="n"/>
      <c r="H23" s="13" t="n"/>
      <c r="I23" s="30" t="n"/>
    </row>
    <row r="24" ht="22" customHeight="1">
      <c r="B24" s="17">
        <f>IF(C24="","RM-"&amp;TEXT(COUNTA($C$5:C24),"000"))</f>
        <v/>
      </c>
      <c r="C24" s="14" t="n"/>
      <c r="D24" s="14" t="n"/>
      <c r="E24" s="16" t="n"/>
      <c r="F24" s="16" t="n"/>
      <c r="G24" s="16" t="n"/>
      <c r="H24" s="16" t="n"/>
      <c r="I24" s="31" t="n"/>
    </row>
    <row r="25" ht="22" customHeight="1">
      <c r="B25" s="18">
        <f>IF(C25="","RM-"&amp;TEXT(COUNTA($C$5:C25),"000"))</f>
        <v/>
      </c>
      <c r="C25" s="11" t="n"/>
      <c r="D25" s="11" t="n"/>
      <c r="E25" s="13" t="n"/>
      <c r="F25" s="13" t="n"/>
      <c r="G25" s="13" t="n"/>
      <c r="H25" s="13" t="n"/>
      <c r="I25" s="30" t="n"/>
    </row>
    <row r="26" ht="22" customHeight="1">
      <c r="B26" s="17">
        <f>IF(C26="","RM-"&amp;TEXT(COUNTA($C$5:C26),"000"))</f>
        <v/>
      </c>
      <c r="C26" s="14" t="n"/>
      <c r="D26" s="14" t="n"/>
      <c r="E26" s="16" t="n"/>
      <c r="F26" s="16" t="n"/>
      <c r="G26" s="16" t="n"/>
      <c r="H26" s="16" t="n"/>
      <c r="I26" s="31" t="n"/>
    </row>
    <row r="27" ht="22" customHeight="1">
      <c r="B27" s="18">
        <f>IF(C27="","RM-"&amp;TEXT(COUNTA($C$5:C27),"000"))</f>
        <v/>
      </c>
      <c r="C27" s="11" t="n"/>
      <c r="D27" s="11" t="n"/>
      <c r="E27" s="13" t="n"/>
      <c r="F27" s="13" t="n"/>
      <c r="G27" s="13" t="n"/>
      <c r="H27" s="13" t="n"/>
      <c r="I27" s="30" t="n"/>
    </row>
    <row r="28" ht="22" customHeight="1">
      <c r="B28" s="17">
        <f>IF(C28="","RM-"&amp;TEXT(COUNTA($C$5:C28),"000"))</f>
        <v/>
      </c>
      <c r="C28" s="14" t="n"/>
      <c r="D28" s="14" t="n"/>
      <c r="E28" s="16" t="n"/>
      <c r="F28" s="16" t="n"/>
      <c r="G28" s="16" t="n"/>
      <c r="H28" s="16" t="n"/>
      <c r="I28" s="31" t="n"/>
    </row>
    <row r="29" ht="22" customHeight="1">
      <c r="B29" s="18">
        <f>IF(C29="","RM-"&amp;TEXT(COUNTA($C$5:C29),"000"))</f>
        <v/>
      </c>
      <c r="C29" s="11" t="n"/>
      <c r="D29" s="11" t="n"/>
      <c r="E29" s="13" t="n"/>
      <c r="F29" s="13" t="n"/>
      <c r="G29" s="13" t="n"/>
      <c r="H29" s="13" t="n"/>
      <c r="I29" s="30" t="n"/>
    </row>
    <row r="30" ht="22" customHeight="1">
      <c r="B30" s="17">
        <f>IF(C30="","RM-"&amp;TEXT(COUNTA($C$5:C30),"000"))</f>
        <v/>
      </c>
      <c r="C30" s="14" t="n"/>
      <c r="D30" s="14" t="n"/>
      <c r="E30" s="16" t="n"/>
      <c r="F30" s="16" t="n"/>
      <c r="G30" s="16" t="n"/>
      <c r="H30" s="16" t="n"/>
      <c r="I30" s="31" t="n"/>
    </row>
    <row r="31" ht="22" customHeight="1">
      <c r="B31" s="18">
        <f>IF(C31="","RM-"&amp;TEXT(COUNTA($C$5:C31),"000"))</f>
        <v/>
      </c>
      <c r="C31" s="11" t="n"/>
      <c r="D31" s="11" t="n"/>
      <c r="E31" s="13" t="n"/>
      <c r="F31" s="13" t="n"/>
      <c r="G31" s="13" t="n"/>
      <c r="H31" s="13" t="n"/>
      <c r="I31" s="30" t="n"/>
    </row>
    <row r="32" ht="22" customHeight="1">
      <c r="B32" s="17">
        <f>IF(C32="","RM-"&amp;TEXT(COUNTA($C$5:C32),"000"))</f>
        <v/>
      </c>
      <c r="C32" s="14" t="n"/>
      <c r="D32" s="14" t="n"/>
      <c r="E32" s="16" t="n"/>
      <c r="F32" s="16" t="n"/>
      <c r="G32" s="16" t="n"/>
      <c r="H32" s="16" t="n"/>
      <c r="I32" s="31" t="n"/>
    </row>
    <row r="33" ht="22" customHeight="1">
      <c r="B33" s="18">
        <f>IF(C33="","RM-"&amp;TEXT(COUNTA($C$5:C33),"000"))</f>
        <v/>
      </c>
      <c r="C33" s="11" t="n"/>
      <c r="D33" s="11" t="n"/>
      <c r="E33" s="13" t="n"/>
      <c r="F33" s="13" t="n"/>
      <c r="G33" s="13" t="n"/>
      <c r="H33" s="13" t="n"/>
      <c r="I33" s="30" t="n"/>
    </row>
    <row r="34" ht="22" customHeight="1">
      <c r="B34" s="17">
        <f>IF(C34="","RM-"&amp;TEXT(COUNTA($C$5:C34),"000"))</f>
        <v/>
      </c>
      <c r="C34" s="14" t="n"/>
      <c r="D34" s="14" t="n"/>
      <c r="E34" s="16" t="n"/>
      <c r="F34" s="16" t="n"/>
      <c r="G34" s="16" t="n"/>
      <c r="H34" s="16" t="n"/>
      <c r="I34" s="31" t="n"/>
    </row>
    <row r="35" ht="22" customHeight="1">
      <c r="B35" s="18">
        <f>IF(C35="","RM-"&amp;TEXT(COUNTA($C$5:C35),"000"))</f>
        <v/>
      </c>
      <c r="C35" s="11" t="n"/>
      <c r="D35" s="11" t="n"/>
      <c r="E35" s="13" t="n"/>
      <c r="F35" s="13" t="n"/>
      <c r="G35" s="13" t="n"/>
      <c r="H35" s="13" t="n"/>
      <c r="I35" s="30" t="n"/>
    </row>
    <row r="36" ht="22" customHeight="1">
      <c r="B36" s="17">
        <f>IF(C36="","RM-"&amp;TEXT(COUNTA($C$5:C36),"000"))</f>
        <v/>
      </c>
      <c r="C36" s="14" t="n"/>
      <c r="D36" s="14" t="n"/>
      <c r="E36" s="16" t="n"/>
      <c r="F36" s="16" t="n"/>
      <c r="G36" s="16" t="n"/>
      <c r="H36" s="16" t="n"/>
      <c r="I36" s="31" t="n"/>
    </row>
    <row r="37" ht="22" customHeight="1">
      <c r="B37" s="18">
        <f>IF(C37="","RM-"&amp;TEXT(COUNTA($C$5:C37),"000"))</f>
        <v/>
      </c>
      <c r="C37" s="11" t="n"/>
      <c r="D37" s="11" t="n"/>
      <c r="E37" s="13" t="n"/>
      <c r="F37" s="13" t="n"/>
      <c r="G37" s="13" t="n"/>
      <c r="H37" s="13" t="n"/>
      <c r="I37" s="30" t="n"/>
    </row>
    <row r="38" ht="22" customHeight="1">
      <c r="B38" s="17">
        <f>IF(C38="","RM-"&amp;TEXT(COUNTA($C$5:C38),"000"))</f>
        <v/>
      </c>
      <c r="C38" s="14" t="n"/>
      <c r="D38" s="14" t="n"/>
      <c r="E38" s="16" t="n"/>
      <c r="F38" s="16" t="n"/>
      <c r="G38" s="16" t="n"/>
      <c r="H38" s="16" t="n"/>
      <c r="I38" s="31" t="n"/>
    </row>
    <row r="39" ht="22" customHeight="1">
      <c r="B39" s="18">
        <f>IF(C39="","RM-"&amp;TEXT(COUNTA($C$5:C39),"000"))</f>
        <v/>
      </c>
      <c r="C39" s="11" t="n"/>
      <c r="D39" s="11" t="n"/>
      <c r="E39" s="13" t="n"/>
      <c r="F39" s="13" t="n"/>
      <c r="G39" s="13" t="n"/>
      <c r="H39" s="13" t="n"/>
      <c r="I39" s="30" t="n"/>
    </row>
    <row r="40" ht="22" customHeight="1">
      <c r="B40" s="17">
        <f>IF(C40="","RM-"&amp;TEXT(COUNTA($C$5:C40),"000"))</f>
        <v/>
      </c>
      <c r="C40" s="14" t="n"/>
      <c r="D40" s="14" t="n"/>
      <c r="E40" s="16" t="n"/>
      <c r="F40" s="16" t="n"/>
      <c r="G40" s="16" t="n"/>
      <c r="H40" s="16" t="n"/>
      <c r="I40" s="31" t="n"/>
    </row>
    <row r="41" ht="22" customHeight="1">
      <c r="B41" s="18">
        <f>IF(C41="","RM-"&amp;TEXT(COUNTA($C$5:C41),"000"))</f>
        <v/>
      </c>
      <c r="C41" s="11" t="n"/>
      <c r="D41" s="11" t="n"/>
      <c r="E41" s="13" t="n"/>
      <c r="F41" s="13" t="n"/>
      <c r="G41" s="13" t="n"/>
      <c r="H41" s="13" t="n"/>
      <c r="I41" s="30" t="n"/>
    </row>
    <row r="42" ht="22" customHeight="1">
      <c r="B42" s="17">
        <f>IF(C42="","RM-"&amp;TEXT(COUNTA($C$5:C42),"000"))</f>
        <v/>
      </c>
      <c r="C42" s="14" t="n"/>
      <c r="D42" s="14" t="n"/>
      <c r="E42" s="16" t="n"/>
      <c r="F42" s="16" t="n"/>
      <c r="G42" s="16" t="n"/>
      <c r="H42" s="16" t="n"/>
      <c r="I42" s="31" t="n"/>
    </row>
    <row r="43" ht="22" customHeight="1">
      <c r="B43" s="18">
        <f>IF(C43="","RM-"&amp;TEXT(COUNTA($C$5:C43),"000"))</f>
        <v/>
      </c>
      <c r="C43" s="11" t="n"/>
      <c r="D43" s="11" t="n"/>
      <c r="E43" s="13" t="n"/>
      <c r="F43" s="13" t="n"/>
      <c r="G43" s="13" t="n"/>
      <c r="H43" s="13" t="n"/>
      <c r="I43" s="30" t="n"/>
    </row>
    <row r="44" ht="22" customHeight="1">
      <c r="B44" s="17">
        <f>IF(C44="","RM-"&amp;TEXT(COUNTA($C$5:C44),"000"))</f>
        <v/>
      </c>
      <c r="C44" s="14" t="n"/>
      <c r="D44" s="14" t="n"/>
      <c r="E44" s="16" t="n"/>
      <c r="F44" s="16" t="n"/>
      <c r="G44" s="16" t="n"/>
      <c r="H44" s="16" t="n"/>
      <c r="I44" s="31" t="n"/>
    </row>
    <row r="45" ht="22" customHeight="1">
      <c r="B45" s="18">
        <f>IF(C45="","RM-"&amp;TEXT(COUNTA($C$5:C45),"000"))</f>
        <v/>
      </c>
      <c r="C45" s="11" t="n"/>
      <c r="D45" s="11" t="n"/>
      <c r="E45" s="13" t="n"/>
      <c r="F45" s="13" t="n"/>
      <c r="G45" s="13" t="n"/>
      <c r="H45" s="13" t="n"/>
      <c r="I45" s="30" t="n"/>
    </row>
    <row r="46" ht="22" customHeight="1">
      <c r="B46" s="17">
        <f>IF(C46="","RM-"&amp;TEXT(COUNTA($C$5:C46),"000"))</f>
        <v/>
      </c>
      <c r="C46" s="14" t="n"/>
      <c r="D46" s="14" t="n"/>
      <c r="E46" s="16" t="n"/>
      <c r="F46" s="16" t="n"/>
      <c r="G46" s="16" t="n"/>
      <c r="H46" s="16" t="n"/>
      <c r="I46" s="31" t="n"/>
    </row>
    <row r="47" ht="22" customHeight="1">
      <c r="B47" s="18">
        <f>IF(C47="","RM-"&amp;TEXT(COUNTA($C$5:C47),"000"))</f>
        <v/>
      </c>
      <c r="C47" s="11" t="n"/>
      <c r="D47" s="11" t="n"/>
      <c r="E47" s="13" t="n"/>
      <c r="F47" s="13" t="n"/>
      <c r="G47" s="13" t="n"/>
      <c r="H47" s="13" t="n"/>
      <c r="I47" s="30" t="n"/>
    </row>
    <row r="48" ht="22" customHeight="1">
      <c r="B48" s="17">
        <f>IF(C48="","RM-"&amp;TEXT(COUNTA($C$5:C48),"000"))</f>
        <v/>
      </c>
      <c r="C48" s="14" t="n"/>
      <c r="D48" s="14" t="n"/>
      <c r="E48" s="16" t="n"/>
      <c r="F48" s="16" t="n"/>
      <c r="G48" s="16" t="n"/>
      <c r="H48" s="16" t="n"/>
      <c r="I48" s="31" t="n"/>
    </row>
    <row r="49" ht="22" customHeight="1">
      <c r="B49" s="18">
        <f>IF(C49="","RM-"&amp;TEXT(COUNTA($C$5:C49),"000"))</f>
        <v/>
      </c>
      <c r="C49" s="11" t="n"/>
      <c r="D49" s="11" t="n"/>
      <c r="E49" s="13" t="n"/>
      <c r="F49" s="13" t="n"/>
      <c r="G49" s="13" t="n"/>
      <c r="H49" s="13" t="n"/>
      <c r="I49" s="30" t="n"/>
    </row>
    <row r="50" ht="22" customHeight="1">
      <c r="B50" s="17">
        <f>IF(C50="","RM-"&amp;TEXT(COUNTA($C$5:C50),"000"))</f>
        <v/>
      </c>
      <c r="C50" s="14" t="n"/>
      <c r="D50" s="14" t="n"/>
      <c r="E50" s="16" t="n"/>
      <c r="F50" s="16" t="n"/>
      <c r="G50" s="16" t="n"/>
      <c r="H50" s="16" t="n"/>
      <c r="I50" s="31" t="n"/>
    </row>
    <row r="51" ht="22" customHeight="1">
      <c r="B51" s="18">
        <f>IF(C51="","RM-"&amp;TEXT(COUNTA($C$5:C51),"000"))</f>
        <v/>
      </c>
      <c r="C51" s="11" t="n"/>
      <c r="D51" s="11" t="n"/>
      <c r="E51" s="13" t="n"/>
      <c r="F51" s="13" t="n"/>
      <c r="G51" s="13" t="n"/>
      <c r="H51" s="13" t="n"/>
      <c r="I51" s="30" t="n"/>
    </row>
    <row r="52" ht="22" customHeight="1">
      <c r="B52" s="17">
        <f>IF(C52="","RM-"&amp;TEXT(COUNTA($C$5:C52),"000"))</f>
        <v/>
      </c>
      <c r="C52" s="14" t="n"/>
      <c r="D52" s="14" t="n"/>
      <c r="E52" s="16" t="n"/>
      <c r="F52" s="16" t="n"/>
      <c r="G52" s="16" t="n"/>
      <c r="H52" s="16" t="n"/>
      <c r="I52" s="31" t="n"/>
    </row>
    <row r="53" ht="22" customHeight="1">
      <c r="B53" s="18">
        <f>IF(C53="","RM-"&amp;TEXT(COUNTA($C$5:C53),"000"))</f>
        <v/>
      </c>
      <c r="C53" s="11" t="n"/>
      <c r="D53" s="11" t="n"/>
      <c r="E53" s="13" t="n"/>
      <c r="F53" s="13" t="n"/>
      <c r="G53" s="13" t="n"/>
      <c r="H53" s="13" t="n"/>
      <c r="I53" s="30" t="n"/>
    </row>
    <row r="54" ht="22" customHeight="1">
      <c r="B54" s="17">
        <f>IF(C54="","RM-"&amp;TEXT(COUNTA($C$5:C54),"000"))</f>
        <v/>
      </c>
      <c r="C54" s="14" t="n"/>
      <c r="D54" s="14" t="n"/>
      <c r="E54" s="16" t="n"/>
      <c r="F54" s="16" t="n"/>
      <c r="G54" s="16" t="n"/>
      <c r="H54" s="16" t="n"/>
      <c r="I54" s="31" t="n"/>
    </row>
    <row r="55" ht="22" customHeight="1">
      <c r="B55" s="18">
        <f>IF(C55="","RM-"&amp;TEXT(COUNTA($C$5:C55),"000"))</f>
        <v/>
      </c>
      <c r="C55" s="11" t="n"/>
      <c r="D55" s="11" t="n"/>
      <c r="E55" s="13" t="n"/>
      <c r="F55" s="13" t="n"/>
      <c r="G55" s="13" t="n"/>
      <c r="H55" s="13" t="n"/>
      <c r="I55" s="30" t="n"/>
    </row>
    <row r="56" ht="22" customHeight="1">
      <c r="B56" s="17">
        <f>IF(C56="","RM-"&amp;TEXT(COUNTA($C$5:C56),"000"))</f>
        <v/>
      </c>
      <c r="C56" s="14" t="n"/>
      <c r="D56" s="14" t="n"/>
      <c r="E56" s="16" t="n"/>
      <c r="F56" s="16" t="n"/>
      <c r="G56" s="16" t="n"/>
      <c r="H56" s="16" t="n"/>
      <c r="I56" s="31" t="n"/>
    </row>
    <row r="57" ht="22" customHeight="1">
      <c r="B57" s="18">
        <f>IF(C57="","RM-"&amp;TEXT(COUNTA($C$5:C57),"000"))</f>
        <v/>
      </c>
      <c r="C57" s="11" t="n"/>
      <c r="D57" s="11" t="n"/>
      <c r="E57" s="13" t="n"/>
      <c r="F57" s="13" t="n"/>
      <c r="G57" s="13" t="n"/>
      <c r="H57" s="13" t="n"/>
      <c r="I57" s="30" t="n"/>
    </row>
    <row r="58" ht="22" customHeight="1">
      <c r="B58" s="17">
        <f>IF(C58="","RM-"&amp;TEXT(COUNTA($C$5:C58),"000"))</f>
        <v/>
      </c>
      <c r="C58" s="14" t="n"/>
      <c r="D58" s="14" t="n"/>
      <c r="E58" s="16" t="n"/>
      <c r="F58" s="16" t="n"/>
      <c r="G58" s="16" t="n"/>
      <c r="H58" s="16" t="n"/>
      <c r="I58" s="31" t="n"/>
    </row>
    <row r="59" ht="22" customHeight="1">
      <c r="B59" s="18">
        <f>IF(C59="","RM-"&amp;TEXT(COUNTA($C$5:C59),"000"))</f>
        <v/>
      </c>
      <c r="C59" s="11" t="n"/>
      <c r="D59" s="11" t="n"/>
      <c r="E59" s="13" t="n"/>
      <c r="F59" s="13" t="n"/>
      <c r="G59" s="13" t="n"/>
      <c r="H59" s="13" t="n"/>
      <c r="I59" s="30" t="n"/>
    </row>
    <row r="60" ht="22" customHeight="1">
      <c r="B60" s="17">
        <f>IF(C60="","RM-"&amp;TEXT(COUNTA($C$5:C60),"000"))</f>
        <v/>
      </c>
      <c r="C60" s="14" t="n"/>
      <c r="D60" s="14" t="n"/>
      <c r="E60" s="16" t="n"/>
      <c r="F60" s="16" t="n"/>
      <c r="G60" s="16" t="n"/>
      <c r="H60" s="16" t="n"/>
      <c r="I60" s="31" t="n"/>
    </row>
    <row r="61" ht="22" customHeight="1">
      <c r="B61" s="18">
        <f>IF(C61="","RM-"&amp;TEXT(COUNTA($C$5:C61),"000"))</f>
        <v/>
      </c>
      <c r="C61" s="11" t="n"/>
      <c r="D61" s="11" t="n"/>
      <c r="E61" s="13" t="n"/>
      <c r="F61" s="13" t="n"/>
      <c r="G61" s="13" t="n"/>
      <c r="H61" s="13" t="n"/>
      <c r="I61" s="30" t="n"/>
    </row>
    <row r="62" ht="22" customHeight="1">
      <c r="B62" s="17">
        <f>IF(C62="","RM-"&amp;TEXT(COUNTA($C$5:C62),"000"))</f>
        <v/>
      </c>
      <c r="C62" s="14" t="n"/>
      <c r="D62" s="14" t="n"/>
      <c r="E62" s="16" t="n"/>
      <c r="F62" s="16" t="n"/>
      <c r="G62" s="16" t="n"/>
      <c r="H62" s="16" t="n"/>
      <c r="I62" s="31" t="n"/>
    </row>
    <row r="63" ht="22" customHeight="1">
      <c r="B63" s="18">
        <f>IF(C63="","RM-"&amp;TEXT(COUNTA($C$5:C63),"000"))</f>
        <v/>
      </c>
      <c r="C63" s="11" t="n"/>
      <c r="D63" s="11" t="n"/>
      <c r="E63" s="13" t="n"/>
      <c r="F63" s="13" t="n"/>
      <c r="G63" s="13" t="n"/>
      <c r="H63" s="13" t="n"/>
      <c r="I63" s="30" t="n"/>
    </row>
    <row r="64" ht="22" customHeight="1">
      <c r="B64" s="17">
        <f>IF(C64="","RM-"&amp;TEXT(COUNTA($C$5:C64),"000"))</f>
        <v/>
      </c>
      <c r="C64" s="14" t="n"/>
      <c r="D64" s="14" t="n"/>
      <c r="E64" s="16" t="n"/>
      <c r="F64" s="16" t="n"/>
      <c r="G64" s="16" t="n"/>
      <c r="H64" s="16" t="n"/>
      <c r="I64" s="31" t="n"/>
    </row>
    <row r="65" ht="22" customHeight="1">
      <c r="B65" s="18">
        <f>IF(C65="","RM-"&amp;TEXT(COUNTA($C$5:C65),"000"))</f>
        <v/>
      </c>
      <c r="C65" s="11" t="n"/>
      <c r="D65" s="11" t="n"/>
      <c r="E65" s="13" t="n"/>
      <c r="F65" s="13" t="n"/>
      <c r="G65" s="13" t="n"/>
      <c r="H65" s="13" t="n"/>
      <c r="I65" s="30" t="n"/>
    </row>
    <row r="66" ht="22" customHeight="1">
      <c r="B66" s="17">
        <f>IF(C66="","RM-"&amp;TEXT(COUNTA($C$5:C66),"000"))</f>
        <v/>
      </c>
      <c r="C66" s="14" t="n"/>
      <c r="D66" s="14" t="n"/>
      <c r="E66" s="16" t="n"/>
      <c r="F66" s="16" t="n"/>
      <c r="G66" s="16" t="n"/>
      <c r="H66" s="16" t="n"/>
      <c r="I66" s="31" t="n"/>
    </row>
    <row r="67" ht="22" customHeight="1">
      <c r="B67" s="18">
        <f>IF(C67="","RM-"&amp;TEXT(COUNTA($C$5:C67),"000"))</f>
        <v/>
      </c>
      <c r="C67" s="11" t="n"/>
      <c r="D67" s="11" t="n"/>
      <c r="E67" s="13" t="n"/>
      <c r="F67" s="13" t="n"/>
      <c r="G67" s="13" t="n"/>
      <c r="H67" s="13" t="n"/>
      <c r="I67" s="30" t="n"/>
    </row>
    <row r="68" ht="22" customHeight="1">
      <c r="B68" s="17">
        <f>IF(C68="","RM-"&amp;TEXT(COUNTA($C$5:C68),"000"))</f>
        <v/>
      </c>
      <c r="C68" s="14" t="n"/>
      <c r="D68" s="14" t="n"/>
      <c r="E68" s="16" t="n"/>
      <c r="F68" s="16" t="n"/>
      <c r="G68" s="16" t="n"/>
      <c r="H68" s="16" t="n"/>
      <c r="I68" s="31" t="n"/>
    </row>
    <row r="69" ht="22" customHeight="1">
      <c r="B69" s="18">
        <f>IF(C69="","RM-"&amp;TEXT(COUNTA($C$5:C69),"000"))</f>
        <v/>
      </c>
      <c r="C69" s="11" t="n"/>
      <c r="D69" s="11" t="n"/>
      <c r="E69" s="13" t="n"/>
      <c r="F69" s="13" t="n"/>
      <c r="G69" s="13" t="n"/>
      <c r="H69" s="13" t="n"/>
      <c r="I69" s="30" t="n"/>
    </row>
    <row r="70" ht="22" customHeight="1">
      <c r="B70" s="17">
        <f>IF(C70="","RM-"&amp;TEXT(COUNTA($C$5:C70),"000"))</f>
        <v/>
      </c>
      <c r="C70" s="14" t="n"/>
      <c r="D70" s="14" t="n"/>
      <c r="E70" s="16" t="n"/>
      <c r="F70" s="16" t="n"/>
      <c r="G70" s="16" t="n"/>
      <c r="H70" s="16" t="n"/>
      <c r="I70" s="31" t="n"/>
    </row>
    <row r="71" ht="22" customHeight="1">
      <c r="B71" s="18">
        <f>IF(C71="","RM-"&amp;TEXT(COUNTA($C$5:C71),"000"))</f>
        <v/>
      </c>
      <c r="C71" s="11" t="n"/>
      <c r="D71" s="11" t="n"/>
      <c r="E71" s="13" t="n"/>
      <c r="F71" s="13" t="n"/>
      <c r="G71" s="13" t="n"/>
      <c r="H71" s="13" t="n"/>
      <c r="I71" s="30" t="n"/>
    </row>
    <row r="72" ht="22" customHeight="1">
      <c r="B72" s="17">
        <f>IF(C72="","RM-"&amp;TEXT(COUNTA($C$5:C72),"000"))</f>
        <v/>
      </c>
      <c r="C72" s="14" t="n"/>
      <c r="D72" s="14" t="n"/>
      <c r="E72" s="16" t="n"/>
      <c r="F72" s="16" t="n"/>
      <c r="G72" s="16" t="n"/>
      <c r="H72" s="16" t="n"/>
      <c r="I72" s="31" t="n"/>
    </row>
    <row r="73" ht="22" customHeight="1">
      <c r="B73" s="18">
        <f>IF(C73="","RM-"&amp;TEXT(COUNTA($C$5:C73),"000"))</f>
        <v/>
      </c>
      <c r="C73" s="11" t="n"/>
      <c r="D73" s="11" t="n"/>
      <c r="E73" s="13" t="n"/>
      <c r="F73" s="13" t="n"/>
      <c r="G73" s="13" t="n"/>
      <c r="H73" s="13" t="n"/>
      <c r="I73" s="30" t="n"/>
    </row>
    <row r="74" ht="22" customHeight="1">
      <c r="B74" s="17">
        <f>IF(C74="","RM-"&amp;TEXT(COUNTA($C$5:C74),"000"))</f>
        <v/>
      </c>
      <c r="C74" s="14" t="n"/>
      <c r="D74" s="14" t="n"/>
      <c r="E74" s="16" t="n"/>
      <c r="F74" s="16" t="n"/>
      <c r="G74" s="16" t="n"/>
      <c r="H74" s="16" t="n"/>
      <c r="I74" s="31" t="n"/>
    </row>
    <row r="75" ht="22" customHeight="1">
      <c r="B75" s="18">
        <f>IF(C75="","RM-"&amp;TEXT(COUNTA($C$5:C75),"000"))</f>
        <v/>
      </c>
      <c r="C75" s="11" t="n"/>
      <c r="D75" s="11" t="n"/>
      <c r="E75" s="13" t="n"/>
      <c r="F75" s="13" t="n"/>
      <c r="G75" s="13" t="n"/>
      <c r="H75" s="13" t="n"/>
      <c r="I75" s="30" t="n"/>
    </row>
    <row r="76" ht="22" customHeight="1">
      <c r="B76" s="17">
        <f>IF(C76="","RM-"&amp;TEXT(COUNTA($C$5:C76),"000"))</f>
        <v/>
      </c>
      <c r="C76" s="14" t="n"/>
      <c r="D76" s="14" t="n"/>
      <c r="E76" s="16" t="n"/>
      <c r="F76" s="16" t="n"/>
      <c r="G76" s="16" t="n"/>
      <c r="H76" s="16" t="n"/>
      <c r="I76" s="31" t="n"/>
    </row>
    <row r="77" ht="22" customHeight="1">
      <c r="B77" s="18">
        <f>IF(C77="","RM-"&amp;TEXT(COUNTA($C$5:C77),"000"))</f>
        <v/>
      </c>
      <c r="C77" s="11" t="n"/>
      <c r="D77" s="11" t="n"/>
      <c r="E77" s="13" t="n"/>
      <c r="F77" s="13" t="n"/>
      <c r="G77" s="13" t="n"/>
      <c r="H77" s="13" t="n"/>
      <c r="I77" s="30" t="n"/>
    </row>
    <row r="78" ht="22" customHeight="1">
      <c r="B78" s="17">
        <f>IF(C78="","RM-"&amp;TEXT(COUNTA($C$5:C78),"000"))</f>
        <v/>
      </c>
      <c r="C78" s="14" t="n"/>
      <c r="D78" s="14" t="n"/>
      <c r="E78" s="16" t="n"/>
      <c r="F78" s="16" t="n"/>
      <c r="G78" s="16" t="n"/>
      <c r="H78" s="16" t="n"/>
      <c r="I78" s="31" t="n"/>
    </row>
    <row r="79" ht="22" customHeight="1">
      <c r="B79" s="18">
        <f>IF(C79="","RM-"&amp;TEXT(COUNTA($C$5:C79),"000"))</f>
        <v/>
      </c>
      <c r="C79" s="11" t="n"/>
      <c r="D79" s="11" t="n"/>
      <c r="E79" s="13" t="n"/>
      <c r="F79" s="13" t="n"/>
      <c r="G79" s="13" t="n"/>
      <c r="H79" s="13" t="n"/>
      <c r="I79" s="30" t="n"/>
    </row>
    <row r="80" ht="22" customHeight="1">
      <c r="B80" s="17">
        <f>IF(C80="","RM-"&amp;TEXT(COUNTA($C$5:C80),"000"))</f>
        <v/>
      </c>
      <c r="C80" s="14" t="n"/>
      <c r="D80" s="14" t="n"/>
      <c r="E80" s="16" t="n"/>
      <c r="F80" s="16" t="n"/>
      <c r="G80" s="16" t="n"/>
      <c r="H80" s="16" t="n"/>
      <c r="I80" s="31" t="n"/>
    </row>
    <row r="81" ht="22" customHeight="1">
      <c r="B81" s="18">
        <f>IF(C81="","RM-"&amp;TEXT(COUNTA($C$5:C81),"000"))</f>
        <v/>
      </c>
      <c r="C81" s="11" t="n"/>
      <c r="D81" s="11" t="n"/>
      <c r="E81" s="13" t="n"/>
      <c r="F81" s="13" t="n"/>
      <c r="G81" s="13" t="n"/>
      <c r="H81" s="13" t="n"/>
      <c r="I81" s="30" t="n"/>
    </row>
    <row r="82" ht="22" customHeight="1">
      <c r="B82" s="17">
        <f>IF(C82="","RM-"&amp;TEXT(COUNTA($C$5:C82),"000"))</f>
        <v/>
      </c>
      <c r="C82" s="14" t="n"/>
      <c r="D82" s="14" t="n"/>
      <c r="E82" s="16" t="n"/>
      <c r="F82" s="16" t="n"/>
      <c r="G82" s="16" t="n"/>
      <c r="H82" s="16" t="n"/>
      <c r="I82" s="31" t="n"/>
    </row>
    <row r="83" ht="22" customHeight="1">
      <c r="B83" s="18">
        <f>IF(C83="","RM-"&amp;TEXT(COUNTA($C$5:C83),"000"))</f>
        <v/>
      </c>
      <c r="C83" s="11" t="n"/>
      <c r="D83" s="11" t="n"/>
      <c r="E83" s="13" t="n"/>
      <c r="F83" s="13" t="n"/>
      <c r="G83" s="13" t="n"/>
      <c r="H83" s="13" t="n"/>
      <c r="I83" s="30" t="n"/>
    </row>
    <row r="84" ht="22" customHeight="1">
      <c r="B84" s="17">
        <f>IF(C84="","RM-"&amp;TEXT(COUNTA($C$5:C84),"000"))</f>
        <v/>
      </c>
      <c r="C84" s="14" t="n"/>
      <c r="D84" s="14" t="n"/>
      <c r="E84" s="16" t="n"/>
      <c r="F84" s="16" t="n"/>
      <c r="G84" s="16" t="n"/>
      <c r="H84" s="16" t="n"/>
      <c r="I84" s="31" t="n"/>
    </row>
    <row r="85" ht="22" customHeight="1">
      <c r="B85" s="18">
        <f>IF(C85="","RM-"&amp;TEXT(COUNTA($C$5:C85),"000"))</f>
        <v/>
      </c>
      <c r="C85" s="11" t="n"/>
      <c r="D85" s="11" t="n"/>
      <c r="E85" s="13" t="n"/>
      <c r="F85" s="13" t="n"/>
      <c r="G85" s="13" t="n"/>
      <c r="H85" s="13" t="n"/>
      <c r="I85" s="30" t="n"/>
    </row>
    <row r="86" ht="22" customHeight="1">
      <c r="B86" s="17">
        <f>IF(C86="","RM-"&amp;TEXT(COUNTA($C$5:C86),"000"))</f>
        <v/>
      </c>
      <c r="C86" s="14" t="n"/>
      <c r="D86" s="14" t="n"/>
      <c r="E86" s="16" t="n"/>
      <c r="F86" s="16" t="n"/>
      <c r="G86" s="16" t="n"/>
      <c r="H86" s="16" t="n"/>
      <c r="I86" s="31" t="n"/>
    </row>
    <row r="87" ht="22" customHeight="1">
      <c r="B87" s="18">
        <f>IF(C87="","RM-"&amp;TEXT(COUNTA($C$5:C87),"000"))</f>
        <v/>
      </c>
      <c r="C87" s="11" t="n"/>
      <c r="D87" s="11" t="n"/>
      <c r="E87" s="13" t="n"/>
      <c r="F87" s="13" t="n"/>
      <c r="G87" s="13" t="n"/>
      <c r="H87" s="13" t="n"/>
      <c r="I87" s="30" t="n"/>
    </row>
    <row r="88" ht="22" customHeight="1">
      <c r="B88" s="17">
        <f>IF(C88="","RM-"&amp;TEXT(COUNTA($C$5:C88),"000"))</f>
        <v/>
      </c>
      <c r="C88" s="14" t="n"/>
      <c r="D88" s="14" t="n"/>
      <c r="E88" s="16" t="n"/>
      <c r="F88" s="16" t="n"/>
      <c r="G88" s="16" t="n"/>
      <c r="H88" s="16" t="n"/>
      <c r="I88" s="31" t="n"/>
    </row>
    <row r="89" ht="22" customHeight="1">
      <c r="B89" s="18">
        <f>IF(C89="","RM-"&amp;TEXT(COUNTA($C$5:C89),"000"))</f>
        <v/>
      </c>
      <c r="C89" s="11" t="n"/>
      <c r="D89" s="11" t="n"/>
      <c r="E89" s="13" t="n"/>
      <c r="F89" s="13" t="n"/>
      <c r="G89" s="13" t="n"/>
      <c r="H89" s="13" t="n"/>
      <c r="I89" s="30" t="n"/>
    </row>
    <row r="90" ht="22" customHeight="1">
      <c r="B90" s="17">
        <f>IF(C90="","RM-"&amp;TEXT(COUNTA($C$5:C90),"000"))</f>
        <v/>
      </c>
      <c r="C90" s="14" t="n"/>
      <c r="D90" s="14" t="n"/>
      <c r="E90" s="16" t="n"/>
      <c r="F90" s="16" t="n"/>
      <c r="G90" s="16" t="n"/>
      <c r="H90" s="16" t="n"/>
      <c r="I90" s="31" t="n"/>
    </row>
    <row r="91" ht="22" customHeight="1">
      <c r="B91" s="18">
        <f>IF(C91="","RM-"&amp;TEXT(COUNTA($C$5:C91),"000"))</f>
        <v/>
      </c>
      <c r="C91" s="11" t="n"/>
      <c r="D91" s="11" t="n"/>
      <c r="E91" s="13" t="n"/>
      <c r="F91" s="13" t="n"/>
      <c r="G91" s="13" t="n"/>
      <c r="H91" s="13" t="n"/>
      <c r="I91" s="30" t="n"/>
    </row>
    <row r="92" ht="22" customHeight="1">
      <c r="B92" s="17">
        <f>IF(C92="","RM-"&amp;TEXT(COUNTA($C$5:C92),"000"))</f>
        <v/>
      </c>
      <c r="C92" s="14" t="n"/>
      <c r="D92" s="14" t="n"/>
      <c r="E92" s="16" t="n"/>
      <c r="F92" s="16" t="n"/>
      <c r="G92" s="16" t="n"/>
      <c r="H92" s="16" t="n"/>
      <c r="I92" s="31" t="n"/>
    </row>
    <row r="93" ht="22" customHeight="1">
      <c r="B93" s="18">
        <f>IF(C93="","RM-"&amp;TEXT(COUNTA($C$5:C93),"000"))</f>
        <v/>
      </c>
      <c r="C93" s="11" t="n"/>
      <c r="D93" s="11" t="n"/>
      <c r="E93" s="13" t="n"/>
      <c r="F93" s="13" t="n"/>
      <c r="G93" s="13" t="n"/>
      <c r="H93" s="13" t="n"/>
      <c r="I93" s="30" t="n"/>
    </row>
    <row r="94" ht="22" customHeight="1">
      <c r="B94" s="17">
        <f>IF(C94="","RM-"&amp;TEXT(COUNTA($C$5:C94),"000"))</f>
        <v/>
      </c>
      <c r="C94" s="14" t="n"/>
      <c r="D94" s="14" t="n"/>
      <c r="E94" s="16" t="n"/>
      <c r="F94" s="16" t="n"/>
      <c r="G94" s="16" t="n"/>
      <c r="H94" s="16" t="n"/>
      <c r="I94" s="31" t="n"/>
    </row>
    <row r="95" ht="22" customHeight="1">
      <c r="B95" s="18">
        <f>IF(C95="","RM-"&amp;TEXT(COUNTA($C$5:C95),"000"))</f>
        <v/>
      </c>
      <c r="C95" s="11" t="n"/>
      <c r="D95" s="11" t="n"/>
      <c r="E95" s="13" t="n"/>
      <c r="F95" s="13" t="n"/>
      <c r="G95" s="13" t="n"/>
      <c r="H95" s="13" t="n"/>
      <c r="I95" s="30" t="n"/>
    </row>
    <row r="96" ht="22" customHeight="1">
      <c r="B96" s="17">
        <f>IF(C96="","RM-"&amp;TEXT(COUNTA($C$5:C96),"000"))</f>
        <v/>
      </c>
      <c r="C96" s="14" t="n"/>
      <c r="D96" s="14" t="n"/>
      <c r="E96" s="16" t="n"/>
      <c r="F96" s="16" t="n"/>
      <c r="G96" s="16" t="n"/>
      <c r="H96" s="16" t="n"/>
      <c r="I96" s="31" t="n"/>
    </row>
    <row r="97" ht="22" customHeight="1">
      <c r="B97" s="18">
        <f>IF(C97="","RM-"&amp;TEXT(COUNTA($C$5:C97),"000"))</f>
        <v/>
      </c>
      <c r="C97" s="11" t="n"/>
      <c r="D97" s="11" t="n"/>
      <c r="E97" s="13" t="n"/>
      <c r="F97" s="13" t="n"/>
      <c r="G97" s="13" t="n"/>
      <c r="H97" s="13" t="n"/>
      <c r="I97" s="30" t="n"/>
    </row>
    <row r="98" ht="22" customHeight="1">
      <c r="B98" s="17">
        <f>IF(C98="","RM-"&amp;TEXT(COUNTA($C$5:C98),"000"))</f>
        <v/>
      </c>
      <c r="C98" s="14" t="n"/>
      <c r="D98" s="14" t="n"/>
      <c r="E98" s="16" t="n"/>
      <c r="F98" s="16" t="n"/>
      <c r="G98" s="16" t="n"/>
      <c r="H98" s="16" t="n"/>
      <c r="I98" s="31" t="n"/>
    </row>
    <row r="99" ht="22" customHeight="1">
      <c r="B99" s="18">
        <f>IF(C99="","RM-"&amp;TEXT(COUNTA($C$5:C99),"000"))</f>
        <v/>
      </c>
      <c r="C99" s="11" t="n"/>
      <c r="D99" s="11" t="n"/>
      <c r="E99" s="13" t="n"/>
      <c r="F99" s="13" t="n"/>
      <c r="G99" s="13" t="n"/>
      <c r="H99" s="13" t="n"/>
      <c r="I99" s="30" t="n"/>
    </row>
    <row r="100" ht="22" customHeight="1">
      <c r="B100" s="17">
        <f>IF(C100="","RM-"&amp;TEXT(COUNTA($C$5:C100),"000"))</f>
        <v/>
      </c>
      <c r="C100" s="14" t="n"/>
      <c r="D100" s="14" t="n"/>
      <c r="E100" s="16" t="n"/>
      <c r="F100" s="16" t="n"/>
      <c r="G100" s="16" t="n"/>
      <c r="H100" s="16" t="n"/>
      <c r="I100" s="31" t="n"/>
    </row>
    <row r="101" ht="22" customHeight="1">
      <c r="B101" s="18">
        <f>IF(C101="","RM-"&amp;TEXT(COUNTA($C$5:C101),"000"))</f>
        <v/>
      </c>
      <c r="C101" s="11" t="n"/>
      <c r="D101" s="11" t="n"/>
      <c r="E101" s="13" t="n"/>
      <c r="F101" s="13" t="n"/>
      <c r="G101" s="13" t="n"/>
      <c r="H101" s="13" t="n"/>
      <c r="I101" s="30" t="n"/>
    </row>
    <row r="102" ht="22" customHeight="1">
      <c r="B102" s="17">
        <f>IF(C102="","RM-"&amp;TEXT(COUNTA($C$5:C102),"000"))</f>
        <v/>
      </c>
      <c r="C102" s="14" t="n"/>
      <c r="D102" s="14" t="n"/>
      <c r="E102" s="16" t="n"/>
      <c r="F102" s="16" t="n"/>
      <c r="G102" s="16" t="n"/>
      <c r="H102" s="16" t="n"/>
      <c r="I102" s="31" t="n"/>
    </row>
    <row r="103" ht="22" customHeight="1">
      <c r="B103" s="18">
        <f>IF(C103="","RM-"&amp;TEXT(COUNTA($C$5:C103),"000"))</f>
        <v/>
      </c>
      <c r="C103" s="11" t="n"/>
      <c r="D103" s="11" t="n"/>
      <c r="E103" s="13" t="n"/>
      <c r="F103" s="13" t="n"/>
      <c r="G103" s="13" t="n"/>
      <c r="H103" s="13" t="n"/>
      <c r="I103" s="30" t="n"/>
    </row>
    <row r="104" ht="22" customHeight="1">
      <c r="B104" s="17">
        <f>IF(C104="","RM-"&amp;TEXT(COUNTA($C$5:C104),"000"))</f>
        <v/>
      </c>
      <c r="C104" s="14" t="n"/>
      <c r="D104" s="14" t="n"/>
      <c r="E104" s="16" t="n"/>
      <c r="F104" s="16" t="n"/>
      <c r="G104" s="16" t="n"/>
      <c r="H104" s="16" t="n"/>
      <c r="I104" s="31" t="n"/>
    </row>
    <row r="105" ht="22" customHeight="1">
      <c r="B105" s="18">
        <f>IF(C105="","RM-"&amp;TEXT(COUNTA($C$5:C105),"000"))</f>
        <v/>
      </c>
      <c r="C105" s="11" t="n"/>
      <c r="D105" s="11" t="n"/>
      <c r="E105" s="13" t="n"/>
      <c r="F105" s="13" t="n"/>
      <c r="G105" s="13" t="n"/>
      <c r="H105" s="13" t="n"/>
      <c r="I105" s="30" t="n"/>
    </row>
    <row r="106" ht="22" customHeight="1">
      <c r="B106" s="17">
        <f>IF(C106="","RM-"&amp;TEXT(COUNTA($C$5:C106),"000"))</f>
        <v/>
      </c>
      <c r="C106" s="14" t="n"/>
      <c r="D106" s="14" t="n"/>
      <c r="E106" s="16" t="n"/>
      <c r="F106" s="16" t="n"/>
      <c r="G106" s="16" t="n"/>
      <c r="H106" s="16" t="n"/>
      <c r="I106" s="31" t="n"/>
    </row>
    <row r="107" ht="22" customHeight="1">
      <c r="B107" s="18">
        <f>IF(C107="","RM-"&amp;TEXT(COUNTA($C$5:C107),"000"))</f>
        <v/>
      </c>
      <c r="C107" s="11" t="n"/>
      <c r="D107" s="11" t="n"/>
      <c r="E107" s="13" t="n"/>
      <c r="F107" s="13" t="n"/>
      <c r="G107" s="13" t="n"/>
      <c r="H107" s="13" t="n"/>
      <c r="I107" s="30" t="n"/>
    </row>
    <row r="108" ht="22" customHeight="1">
      <c r="B108" s="17">
        <f>IF(C108="","RM-"&amp;TEXT(COUNTA($C$5:C108),"000"))</f>
        <v/>
      </c>
      <c r="C108" s="14" t="n"/>
      <c r="D108" s="14" t="n"/>
      <c r="E108" s="16" t="n"/>
      <c r="F108" s="16" t="n"/>
      <c r="G108" s="16" t="n"/>
      <c r="H108" s="16" t="n"/>
      <c r="I108" s="31" t="n"/>
    </row>
    <row r="109" ht="22" customHeight="1">
      <c r="B109" s="18">
        <f>IF(C109="","RM-"&amp;TEXT(COUNTA($C$5:C109),"000"))</f>
        <v/>
      </c>
      <c r="C109" s="11" t="n"/>
      <c r="D109" s="11" t="n"/>
      <c r="E109" s="13" t="n"/>
      <c r="F109" s="13" t="n"/>
      <c r="G109" s="13" t="n"/>
      <c r="H109" s="13" t="n"/>
      <c r="I109" s="30" t="n"/>
    </row>
    <row r="110" ht="22" customHeight="1">
      <c r="B110" s="17">
        <f>IF(C110="","RM-"&amp;TEXT(COUNTA($C$5:C110),"000"))</f>
        <v/>
      </c>
      <c r="C110" s="14" t="n"/>
      <c r="D110" s="14" t="n"/>
      <c r="E110" s="16" t="n"/>
      <c r="F110" s="16" t="n"/>
      <c r="G110" s="16" t="n"/>
      <c r="H110" s="16" t="n"/>
      <c r="I110" s="31" t="n"/>
    </row>
    <row r="112" ht="26" customHeight="1">
      <c r="B112" s="19" t="inlineStr">
        <is>
          <t>TOTAL</t>
        </is>
      </c>
      <c r="C112" s="20" t="n"/>
      <c r="D112" s="20" t="n"/>
      <c r="E112" s="21">
        <f>SUM(E5:E104)</f>
        <v/>
      </c>
      <c r="F112" s="21">
        <f>SUM(F5:F104)</f>
        <v/>
      </c>
      <c r="G112" s="21">
        <f>SUM(G5:G104)</f>
        <v/>
      </c>
      <c r="H112" s="21">
        <f>SUM(H5:H104)</f>
        <v/>
      </c>
      <c r="I112" s="20" t="n"/>
    </row>
    <row r="114">
      <c r="B114" s="5" t="inlineStr">
        <is>
          <t>INDICATEURS (mis a jour automatiquement)</t>
        </is>
      </c>
    </row>
    <row r="115">
      <c r="B115" s="3" t="inlineStr">
        <is>
          <t>Mois suivis</t>
        </is>
      </c>
      <c r="D115" s="3" t="inlineStr">
        <is>
          <t>Total rec.</t>
        </is>
      </c>
      <c r="F115" s="3" t="inlineStr">
        <is>
          <t>Total cloturees</t>
        </is>
      </c>
      <c r="H115" s="3" t="inlineStr">
        <is>
          <t>Delai moyen global</t>
        </is>
      </c>
    </row>
    <row r="116">
      <c r="B116" s="4">
        <f>COUNTIF(B5:B104,"&lt;&gt;")</f>
        <v/>
      </c>
      <c r="D116" s="4">
        <f>SUM(E5:E104)</f>
        <v/>
      </c>
      <c r="F116" s="4">
        <f>SUM(F5:F104)</f>
        <v/>
      </c>
      <c r="H116" s="4">
        <f>IFERROR(AVERAGE(I5:I104),0)</f>
        <v/>
      </c>
    </row>
  </sheetData>
  <mergeCells count="3">
    <mergeCell ref="B3:I3"/>
    <mergeCell ref="B2:I2"/>
    <mergeCell ref="B114:I114"/>
  </mergeCells>
  <conditionalFormatting sqref="B11:B110">
    <cfRule type="expression" priority="1" dxfId="3">
      <formula>AND($C11="",$C10&lt;&gt;"")</formula>
    </cfRule>
  </conditionalFormatting>
  <conditionalFormatting sqref="C11:C110">
    <cfRule type="expression" priority="2" dxfId="3">
      <formula>AND($C11="",$C10&lt;&gt;"")</formula>
    </cfRule>
  </conditionalFormatting>
  <conditionalFormatting sqref="D11:D110">
    <cfRule type="expression" priority="3" dxfId="3">
      <formula>AND($C11="",$C10&lt;&gt;"")</formula>
    </cfRule>
  </conditionalFormatting>
  <conditionalFormatting sqref="E11:E110">
    <cfRule type="expression" priority="4" dxfId="3">
      <formula>AND($C11="",$C10&lt;&gt;"")</formula>
    </cfRule>
  </conditionalFormatting>
  <conditionalFormatting sqref="F11:F110">
    <cfRule type="expression" priority="5" dxfId="3">
      <formula>AND($C11="",$C10&lt;&gt;"")</formula>
    </cfRule>
  </conditionalFormatting>
  <conditionalFormatting sqref="G11:G110">
    <cfRule type="expression" priority="6" dxfId="3">
      <formula>AND($C11="",$C10&lt;&gt;"")</formula>
    </cfRule>
  </conditionalFormatting>
  <conditionalFormatting sqref="H11:H110">
    <cfRule type="expression" priority="7" dxfId="3">
      <formula>AND($C11="",$C10&lt;&gt;"")</formula>
    </cfRule>
  </conditionalFormatting>
  <conditionalFormatting sqref="I11:I110">
    <cfRule type="expression" priority="8" dxfId="3">
      <formula>AND($C11="",$C10&lt;&gt;"")</formula>
    </cfRule>
  </conditionalFormatting>
  <dataValidations count="2">
    <dataValidation sqref="C5:C110" showDropDown="0" showInputMessage="0" showErrorMessage="0" allowBlank="1" errorTitle="Erreur" error="Valeur invalide" promptTitle="Liste" prompt="Choisir dans la liste" type="list">
      <formula1>'_Lists'!$X$2:$X$13</formula1>
    </dataValidation>
    <dataValidation sqref="D5:D110" showDropDown="0" showInputMessage="0" showErrorMessage="0" allowBlank="1" errorTitle="Erreur" error="Valeur invalide" promptTitle="Liste" prompt="Choisir dans la liste" type="list">
      <formula1>'_Lists'!$Y$2:$Y$4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J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34" customWidth="1" min="4" max="4"/>
    <col width="14" customWidth="1" min="5" max="5"/>
    <col width="12" customWidth="1" min="6" max="6"/>
    <col width="28" customWidth="1" min="7" max="7"/>
    <col width="22" customWidth="1" min="8" max="8"/>
    <col width="14" customWidth="1" min="9" max="9"/>
    <col width="14" customWidth="1" min="10" max="10"/>
  </cols>
  <sheetData>
    <row r="1" ht="15" customHeight="1"/>
    <row r="2" ht="32" customHeight="1">
      <c r="B2" s="1" t="inlineStr">
        <is>
          <t>CALENDRIER DES NEGOCIATIONS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Type Negociation</t>
        </is>
      </c>
      <c r="D4" s="10" t="inlineStr">
        <is>
          <t>Objet</t>
        </is>
      </c>
      <c r="E4" s="10" t="inlineStr">
        <is>
          <t>Date Prevue</t>
        </is>
      </c>
      <c r="F4" s="10" t="inlineStr">
        <is>
          <t>Lieu</t>
        </is>
      </c>
      <c r="G4" s="10" t="inlineStr">
        <is>
          <t>Responsable Cote Patronal</t>
        </is>
      </c>
      <c r="H4" s="10" t="inlineStr">
        <is>
          <t>Syndicats Invites</t>
        </is>
      </c>
      <c r="I4" s="10" t="inlineStr">
        <is>
          <t>Priorite</t>
        </is>
      </c>
      <c r="J4" s="10" t="inlineStr">
        <is>
          <t>Statut</t>
        </is>
      </c>
    </row>
    <row r="5" ht="22" customHeight="1">
      <c r="B5" s="11" t="inlineStr">
        <is>
          <t>CN-001</t>
        </is>
      </c>
      <c r="C5" s="11" t="inlineStr">
        <is>
          <t>NAO</t>
        </is>
      </c>
      <c r="D5" s="11" t="inlineStr">
        <is>
          <t>NAO 2026 - Salaires &amp; conditions</t>
        </is>
      </c>
      <c r="E5" s="28" t="n">
        <v>45976</v>
      </c>
      <c r="F5" s="11" t="inlineStr">
        <is>
          <t>Salle A</t>
        </is>
      </c>
      <c r="G5" s="11" t="inlineStr">
        <is>
          <t>DG + DRH</t>
        </is>
      </c>
      <c r="H5" s="11" t="inlineStr">
        <is>
          <t>CSTT, CSA, CSC</t>
        </is>
      </c>
      <c r="I5" s="11" t="inlineStr">
        <is>
          <t>Haute</t>
        </is>
      </c>
      <c r="J5" s="11" t="inlineStr">
        <is>
          <t>Planifiee</t>
        </is>
      </c>
    </row>
    <row r="6" ht="22" customHeight="1">
      <c r="B6" s="14" t="inlineStr">
        <is>
          <t>CN-002</t>
        </is>
      </c>
      <c r="C6" s="14" t="inlineStr">
        <is>
          <t>Negociation egalite prof.</t>
        </is>
      </c>
      <c r="D6" s="14" t="inlineStr">
        <is>
          <t>Index egalite professionnelle</t>
        </is>
      </c>
      <c r="E6" s="29" t="n">
        <v>45889</v>
      </c>
      <c r="F6" s="14" t="inlineStr">
        <is>
          <t>Salle B</t>
        </is>
      </c>
      <c r="G6" s="14" t="inlineStr">
        <is>
          <t>DRH</t>
        </is>
      </c>
      <c r="H6" s="14" t="inlineStr">
        <is>
          <t>CSC</t>
        </is>
      </c>
      <c r="I6" s="14" t="inlineStr">
        <is>
          <t>Moyenne</t>
        </is>
      </c>
      <c r="J6" s="14" t="inlineStr">
        <is>
          <t>Planifiee</t>
        </is>
      </c>
    </row>
    <row r="7" ht="22" customHeight="1">
      <c r="B7" s="11" t="inlineStr">
        <is>
          <t>CN-003</t>
        </is>
      </c>
      <c r="C7" s="11" t="inlineStr">
        <is>
          <t>Negociation formation</t>
        </is>
      </c>
      <c r="D7" s="11" t="inlineStr">
        <is>
          <t>Plan formation 2026</t>
        </is>
      </c>
      <c r="E7" s="28" t="n">
        <v>45931</v>
      </c>
      <c r="F7" s="11" t="inlineStr">
        <is>
          <t>Salle A</t>
        </is>
      </c>
      <c r="G7" s="11" t="inlineStr">
        <is>
          <t>DRH + Assistante</t>
        </is>
      </c>
      <c r="H7" s="11" t="inlineStr">
        <is>
          <t>CSE</t>
        </is>
      </c>
      <c r="I7" s="11" t="inlineStr">
        <is>
          <t>Moyenne</t>
        </is>
      </c>
      <c r="J7" s="11" t="inlineStr">
        <is>
          <t>Planifiee</t>
        </is>
      </c>
    </row>
    <row r="8" ht="22" customHeight="1">
      <c r="B8" s="14" t="inlineStr">
        <is>
          <t>CN-004</t>
        </is>
      </c>
      <c r="C8" s="14" t="inlineStr">
        <is>
          <t>Negociation salariale</t>
        </is>
      </c>
      <c r="D8" s="14" t="inlineStr">
        <is>
          <t>Grilles salariales 2026</t>
        </is>
      </c>
      <c r="E8" s="29" t="n">
        <v>45992</v>
      </c>
      <c r="F8" s="14" t="inlineStr">
        <is>
          <t>Salle A</t>
        </is>
      </c>
      <c r="G8" s="14" t="inlineStr">
        <is>
          <t>DG + DRH</t>
        </is>
      </c>
      <c r="H8" s="14" t="inlineStr">
        <is>
          <t>CSTT, CSA, SAH</t>
        </is>
      </c>
      <c r="I8" s="14" t="inlineStr">
        <is>
          <t>Haute</t>
        </is>
      </c>
      <c r="J8" s="14" t="inlineStr">
        <is>
          <t>Planifiee</t>
        </is>
      </c>
    </row>
    <row r="9" ht="22" customHeight="1">
      <c r="B9" s="18">
        <f>IF(C9="","CN-"&amp;TEXT(COUNTA($C$5:C9),"000"))</f>
        <v/>
      </c>
      <c r="C9" s="11" t="n"/>
      <c r="D9" s="11" t="n"/>
      <c r="E9" s="28" t="n"/>
      <c r="F9" s="11" t="n"/>
      <c r="G9" s="11" t="n"/>
      <c r="H9" s="11" t="n"/>
      <c r="I9" s="11" t="n"/>
      <c r="J9" s="11" t="n"/>
    </row>
    <row r="10" ht="22" customHeight="1">
      <c r="B10" s="17">
        <f>IF(C10="","CN-"&amp;TEXT(COUNTA($C$5:C10),"000"))</f>
        <v/>
      </c>
      <c r="C10" s="14" t="n"/>
      <c r="D10" s="14" t="n"/>
      <c r="E10" s="29" t="n"/>
      <c r="F10" s="14" t="n"/>
      <c r="G10" s="14" t="n"/>
      <c r="H10" s="14" t="n"/>
      <c r="I10" s="14" t="n"/>
      <c r="J10" s="14" t="n"/>
    </row>
    <row r="11" ht="22" customHeight="1">
      <c r="B11" s="18">
        <f>IF(C11="","CN-"&amp;TEXT(COUNTA($C$5:C11),"000"))</f>
        <v/>
      </c>
      <c r="C11" s="11" t="n"/>
      <c r="D11" s="11" t="n"/>
      <c r="E11" s="28" t="n"/>
      <c r="F11" s="11" t="n"/>
      <c r="G11" s="11" t="n"/>
      <c r="H11" s="11" t="n"/>
      <c r="I11" s="11" t="n"/>
      <c r="J11" s="11" t="n"/>
    </row>
    <row r="12" ht="22" customHeight="1">
      <c r="B12" s="17">
        <f>IF(C12="","CN-"&amp;TEXT(COUNTA($C$5:C12),"000"))</f>
        <v/>
      </c>
      <c r="C12" s="14" t="n"/>
      <c r="D12" s="14" t="n"/>
      <c r="E12" s="29" t="n"/>
      <c r="F12" s="14" t="n"/>
      <c r="G12" s="14" t="n"/>
      <c r="H12" s="14" t="n"/>
      <c r="I12" s="14" t="n"/>
      <c r="J12" s="14" t="n"/>
    </row>
    <row r="13" ht="22" customHeight="1">
      <c r="B13" s="18">
        <f>IF(C13="","CN-"&amp;TEXT(COUNTA($C$5:C13),"000"))</f>
        <v/>
      </c>
      <c r="C13" s="11" t="n"/>
      <c r="D13" s="11" t="n"/>
      <c r="E13" s="28" t="n"/>
      <c r="F13" s="11" t="n"/>
      <c r="G13" s="11" t="n"/>
      <c r="H13" s="11" t="n"/>
      <c r="I13" s="11" t="n"/>
      <c r="J13" s="11" t="n"/>
    </row>
    <row r="14" ht="22" customHeight="1">
      <c r="B14" s="17">
        <f>IF(C14="","CN-"&amp;TEXT(COUNTA($C$5:C14),"000"))</f>
        <v/>
      </c>
      <c r="C14" s="14" t="n"/>
      <c r="D14" s="14" t="n"/>
      <c r="E14" s="29" t="n"/>
      <c r="F14" s="14" t="n"/>
      <c r="G14" s="14" t="n"/>
      <c r="H14" s="14" t="n"/>
      <c r="I14" s="14" t="n"/>
      <c r="J14" s="14" t="n"/>
    </row>
    <row r="15" ht="22" customHeight="1">
      <c r="B15" s="18">
        <f>IF(C15="","CN-"&amp;TEXT(COUNTA($C$5:C15),"000"))</f>
        <v/>
      </c>
      <c r="C15" s="11" t="n"/>
      <c r="D15" s="11" t="n"/>
      <c r="E15" s="28" t="n"/>
      <c r="F15" s="11" t="n"/>
      <c r="G15" s="11" t="n"/>
      <c r="H15" s="11" t="n"/>
      <c r="I15" s="11" t="n"/>
      <c r="J15" s="11" t="n"/>
    </row>
    <row r="16" ht="22" customHeight="1">
      <c r="B16" s="17">
        <f>IF(C16="","CN-"&amp;TEXT(COUNTA($C$5:C16),"000"))</f>
        <v/>
      </c>
      <c r="C16" s="14" t="n"/>
      <c r="D16" s="14" t="n"/>
      <c r="E16" s="29" t="n"/>
      <c r="F16" s="14" t="n"/>
      <c r="G16" s="14" t="n"/>
      <c r="H16" s="14" t="n"/>
      <c r="I16" s="14" t="n"/>
      <c r="J16" s="14" t="n"/>
    </row>
    <row r="17" ht="22" customHeight="1">
      <c r="B17" s="18">
        <f>IF(C17="","CN-"&amp;TEXT(COUNTA($C$5:C17),"000"))</f>
        <v/>
      </c>
      <c r="C17" s="11" t="n"/>
      <c r="D17" s="11" t="n"/>
      <c r="E17" s="28" t="n"/>
      <c r="F17" s="11" t="n"/>
      <c r="G17" s="11" t="n"/>
      <c r="H17" s="11" t="n"/>
      <c r="I17" s="11" t="n"/>
      <c r="J17" s="11" t="n"/>
    </row>
    <row r="18" ht="22" customHeight="1">
      <c r="B18" s="17">
        <f>IF(C18="","CN-"&amp;TEXT(COUNTA($C$5:C18),"000"))</f>
        <v/>
      </c>
      <c r="C18" s="14" t="n"/>
      <c r="D18" s="14" t="n"/>
      <c r="E18" s="29" t="n"/>
      <c r="F18" s="14" t="n"/>
      <c r="G18" s="14" t="n"/>
      <c r="H18" s="14" t="n"/>
      <c r="I18" s="14" t="n"/>
      <c r="J18" s="14" t="n"/>
    </row>
    <row r="19" ht="22" customHeight="1">
      <c r="B19" s="18">
        <f>IF(C19="","CN-"&amp;TEXT(COUNTA($C$5:C19),"000"))</f>
        <v/>
      </c>
      <c r="C19" s="11" t="n"/>
      <c r="D19" s="11" t="n"/>
      <c r="E19" s="28" t="n"/>
      <c r="F19" s="11" t="n"/>
      <c r="G19" s="11" t="n"/>
      <c r="H19" s="11" t="n"/>
      <c r="I19" s="11" t="n"/>
      <c r="J19" s="11" t="n"/>
    </row>
    <row r="20" ht="22" customHeight="1">
      <c r="B20" s="17">
        <f>IF(C20="","CN-"&amp;TEXT(COUNTA($C$5:C20),"000"))</f>
        <v/>
      </c>
      <c r="C20" s="14" t="n"/>
      <c r="D20" s="14" t="n"/>
      <c r="E20" s="29" t="n"/>
      <c r="F20" s="14" t="n"/>
      <c r="G20" s="14" t="n"/>
      <c r="H20" s="14" t="n"/>
      <c r="I20" s="14" t="n"/>
      <c r="J20" s="14" t="n"/>
    </row>
    <row r="21" ht="22" customHeight="1">
      <c r="B21" s="18">
        <f>IF(C21="","CN-"&amp;TEXT(COUNTA($C$5:C21),"000"))</f>
        <v/>
      </c>
      <c r="C21" s="11" t="n"/>
      <c r="D21" s="11" t="n"/>
      <c r="E21" s="28" t="n"/>
      <c r="F21" s="11" t="n"/>
      <c r="G21" s="11" t="n"/>
      <c r="H21" s="11" t="n"/>
      <c r="I21" s="11" t="n"/>
      <c r="J21" s="11" t="n"/>
    </row>
    <row r="22" ht="22" customHeight="1">
      <c r="B22" s="17">
        <f>IF(C22="","CN-"&amp;TEXT(COUNTA($C$5:C22),"000"))</f>
        <v/>
      </c>
      <c r="C22" s="14" t="n"/>
      <c r="D22" s="14" t="n"/>
      <c r="E22" s="29" t="n"/>
      <c r="F22" s="14" t="n"/>
      <c r="G22" s="14" t="n"/>
      <c r="H22" s="14" t="n"/>
      <c r="I22" s="14" t="n"/>
      <c r="J22" s="14" t="n"/>
    </row>
    <row r="23" ht="22" customHeight="1">
      <c r="B23" s="18">
        <f>IF(C23="","CN-"&amp;TEXT(COUNTA($C$5:C23),"000"))</f>
        <v/>
      </c>
      <c r="C23" s="11" t="n"/>
      <c r="D23" s="11" t="n"/>
      <c r="E23" s="28" t="n"/>
      <c r="F23" s="11" t="n"/>
      <c r="G23" s="11" t="n"/>
      <c r="H23" s="11" t="n"/>
      <c r="I23" s="11" t="n"/>
      <c r="J23" s="11" t="n"/>
    </row>
    <row r="24" ht="22" customHeight="1">
      <c r="B24" s="17">
        <f>IF(C24="","CN-"&amp;TEXT(COUNTA($C$5:C24),"000"))</f>
        <v/>
      </c>
      <c r="C24" s="14" t="n"/>
      <c r="D24" s="14" t="n"/>
      <c r="E24" s="29" t="n"/>
      <c r="F24" s="14" t="n"/>
      <c r="G24" s="14" t="n"/>
      <c r="H24" s="14" t="n"/>
      <c r="I24" s="14" t="n"/>
      <c r="J24" s="14" t="n"/>
    </row>
    <row r="25" ht="22" customHeight="1">
      <c r="B25" s="18">
        <f>IF(C25="","CN-"&amp;TEXT(COUNTA($C$5:C25),"000"))</f>
        <v/>
      </c>
      <c r="C25" s="11" t="n"/>
      <c r="D25" s="11" t="n"/>
      <c r="E25" s="28" t="n"/>
      <c r="F25" s="11" t="n"/>
      <c r="G25" s="11" t="n"/>
      <c r="H25" s="11" t="n"/>
      <c r="I25" s="11" t="n"/>
      <c r="J25" s="11" t="n"/>
    </row>
    <row r="26" ht="22" customHeight="1">
      <c r="B26" s="17">
        <f>IF(C26="","CN-"&amp;TEXT(COUNTA($C$5:C26),"000"))</f>
        <v/>
      </c>
      <c r="C26" s="14" t="n"/>
      <c r="D26" s="14" t="n"/>
      <c r="E26" s="29" t="n"/>
      <c r="F26" s="14" t="n"/>
      <c r="G26" s="14" t="n"/>
      <c r="H26" s="14" t="n"/>
      <c r="I26" s="14" t="n"/>
      <c r="J26" s="14" t="n"/>
    </row>
    <row r="27" ht="22" customHeight="1">
      <c r="B27" s="18">
        <f>IF(C27="","CN-"&amp;TEXT(COUNTA($C$5:C27),"000"))</f>
        <v/>
      </c>
      <c r="C27" s="11" t="n"/>
      <c r="D27" s="11" t="n"/>
      <c r="E27" s="28" t="n"/>
      <c r="F27" s="11" t="n"/>
      <c r="G27" s="11" t="n"/>
      <c r="H27" s="11" t="n"/>
      <c r="I27" s="11" t="n"/>
      <c r="J27" s="11" t="n"/>
    </row>
    <row r="28" ht="22" customHeight="1">
      <c r="B28" s="17">
        <f>IF(C28="","CN-"&amp;TEXT(COUNTA($C$5:C28),"000"))</f>
        <v/>
      </c>
      <c r="C28" s="14" t="n"/>
      <c r="D28" s="14" t="n"/>
      <c r="E28" s="29" t="n"/>
      <c r="F28" s="14" t="n"/>
      <c r="G28" s="14" t="n"/>
      <c r="H28" s="14" t="n"/>
      <c r="I28" s="14" t="n"/>
      <c r="J28" s="14" t="n"/>
    </row>
    <row r="29" ht="22" customHeight="1">
      <c r="B29" s="18">
        <f>IF(C29="","CN-"&amp;TEXT(COUNTA($C$5:C29),"000"))</f>
        <v/>
      </c>
      <c r="C29" s="11" t="n"/>
      <c r="D29" s="11" t="n"/>
      <c r="E29" s="28" t="n"/>
      <c r="F29" s="11" t="n"/>
      <c r="G29" s="11" t="n"/>
      <c r="H29" s="11" t="n"/>
      <c r="I29" s="11" t="n"/>
      <c r="J29" s="11" t="n"/>
    </row>
    <row r="30" ht="22" customHeight="1">
      <c r="B30" s="17">
        <f>IF(C30="","CN-"&amp;TEXT(COUNTA($C$5:C30),"000"))</f>
        <v/>
      </c>
      <c r="C30" s="14" t="n"/>
      <c r="D30" s="14" t="n"/>
      <c r="E30" s="29" t="n"/>
      <c r="F30" s="14" t="n"/>
      <c r="G30" s="14" t="n"/>
      <c r="H30" s="14" t="n"/>
      <c r="I30" s="14" t="n"/>
      <c r="J30" s="14" t="n"/>
    </row>
    <row r="31" ht="22" customHeight="1">
      <c r="B31" s="18">
        <f>IF(C31="","CN-"&amp;TEXT(COUNTA($C$5:C31),"000"))</f>
        <v/>
      </c>
      <c r="C31" s="11" t="n"/>
      <c r="D31" s="11" t="n"/>
      <c r="E31" s="28" t="n"/>
      <c r="F31" s="11" t="n"/>
      <c r="G31" s="11" t="n"/>
      <c r="H31" s="11" t="n"/>
      <c r="I31" s="11" t="n"/>
      <c r="J31" s="11" t="n"/>
    </row>
    <row r="32" ht="22" customHeight="1">
      <c r="B32" s="17">
        <f>IF(C32="","CN-"&amp;TEXT(COUNTA($C$5:C32),"000"))</f>
        <v/>
      </c>
      <c r="C32" s="14" t="n"/>
      <c r="D32" s="14" t="n"/>
      <c r="E32" s="29" t="n"/>
      <c r="F32" s="14" t="n"/>
      <c r="G32" s="14" t="n"/>
      <c r="H32" s="14" t="n"/>
      <c r="I32" s="14" t="n"/>
      <c r="J32" s="14" t="n"/>
    </row>
    <row r="33" ht="22" customHeight="1">
      <c r="B33" s="18">
        <f>IF(C33="","CN-"&amp;TEXT(COUNTA($C$5:C33),"000"))</f>
        <v/>
      </c>
      <c r="C33" s="11" t="n"/>
      <c r="D33" s="11" t="n"/>
      <c r="E33" s="28" t="n"/>
      <c r="F33" s="11" t="n"/>
      <c r="G33" s="11" t="n"/>
      <c r="H33" s="11" t="n"/>
      <c r="I33" s="11" t="n"/>
      <c r="J33" s="11" t="n"/>
    </row>
    <row r="34" ht="22" customHeight="1">
      <c r="B34" s="17">
        <f>IF(C34="","CN-"&amp;TEXT(COUNTA($C$5:C34),"000"))</f>
        <v/>
      </c>
      <c r="C34" s="14" t="n"/>
      <c r="D34" s="14" t="n"/>
      <c r="E34" s="29" t="n"/>
      <c r="F34" s="14" t="n"/>
      <c r="G34" s="14" t="n"/>
      <c r="H34" s="14" t="n"/>
      <c r="I34" s="14" t="n"/>
      <c r="J34" s="14" t="n"/>
    </row>
    <row r="35" ht="22" customHeight="1">
      <c r="B35" s="18">
        <f>IF(C35="","CN-"&amp;TEXT(COUNTA($C$5:C35),"000"))</f>
        <v/>
      </c>
      <c r="C35" s="11" t="n"/>
      <c r="D35" s="11" t="n"/>
      <c r="E35" s="28" t="n"/>
      <c r="F35" s="11" t="n"/>
      <c r="G35" s="11" t="n"/>
      <c r="H35" s="11" t="n"/>
      <c r="I35" s="11" t="n"/>
      <c r="J35" s="11" t="n"/>
    </row>
    <row r="36" ht="22" customHeight="1">
      <c r="B36" s="17">
        <f>IF(C36="","CN-"&amp;TEXT(COUNTA($C$5:C36),"000"))</f>
        <v/>
      </c>
      <c r="C36" s="14" t="n"/>
      <c r="D36" s="14" t="n"/>
      <c r="E36" s="29" t="n"/>
      <c r="F36" s="14" t="n"/>
      <c r="G36" s="14" t="n"/>
      <c r="H36" s="14" t="n"/>
      <c r="I36" s="14" t="n"/>
      <c r="J36" s="14" t="n"/>
    </row>
    <row r="37" ht="22" customHeight="1">
      <c r="B37" s="18">
        <f>IF(C37="","CN-"&amp;TEXT(COUNTA($C$5:C37),"000"))</f>
        <v/>
      </c>
      <c r="C37" s="11" t="n"/>
      <c r="D37" s="11" t="n"/>
      <c r="E37" s="28" t="n"/>
      <c r="F37" s="11" t="n"/>
      <c r="G37" s="11" t="n"/>
      <c r="H37" s="11" t="n"/>
      <c r="I37" s="11" t="n"/>
      <c r="J37" s="11" t="n"/>
    </row>
    <row r="38" ht="22" customHeight="1">
      <c r="B38" s="17">
        <f>IF(C38="","CN-"&amp;TEXT(COUNTA($C$5:C38),"000"))</f>
        <v/>
      </c>
      <c r="C38" s="14" t="n"/>
      <c r="D38" s="14" t="n"/>
      <c r="E38" s="29" t="n"/>
      <c r="F38" s="14" t="n"/>
      <c r="G38" s="14" t="n"/>
      <c r="H38" s="14" t="n"/>
      <c r="I38" s="14" t="n"/>
      <c r="J38" s="14" t="n"/>
    </row>
    <row r="39" ht="22" customHeight="1">
      <c r="B39" s="18">
        <f>IF(C39="","CN-"&amp;TEXT(COUNTA($C$5:C39),"000"))</f>
        <v/>
      </c>
      <c r="C39" s="11" t="n"/>
      <c r="D39" s="11" t="n"/>
      <c r="E39" s="28" t="n"/>
      <c r="F39" s="11" t="n"/>
      <c r="G39" s="11" t="n"/>
      <c r="H39" s="11" t="n"/>
      <c r="I39" s="11" t="n"/>
      <c r="J39" s="11" t="n"/>
    </row>
    <row r="40" ht="22" customHeight="1">
      <c r="B40" s="17">
        <f>IF(C40="","CN-"&amp;TEXT(COUNTA($C$5:C40),"000"))</f>
        <v/>
      </c>
      <c r="C40" s="14" t="n"/>
      <c r="D40" s="14" t="n"/>
      <c r="E40" s="29" t="n"/>
      <c r="F40" s="14" t="n"/>
      <c r="G40" s="14" t="n"/>
      <c r="H40" s="14" t="n"/>
      <c r="I40" s="14" t="n"/>
      <c r="J40" s="14" t="n"/>
    </row>
    <row r="41" ht="22" customHeight="1">
      <c r="B41" s="18">
        <f>IF(C41="","CN-"&amp;TEXT(COUNTA($C$5:C41),"000"))</f>
        <v/>
      </c>
      <c r="C41" s="11" t="n"/>
      <c r="D41" s="11" t="n"/>
      <c r="E41" s="28" t="n"/>
      <c r="F41" s="11" t="n"/>
      <c r="G41" s="11" t="n"/>
      <c r="H41" s="11" t="n"/>
      <c r="I41" s="11" t="n"/>
      <c r="J41" s="11" t="n"/>
    </row>
    <row r="42" ht="22" customHeight="1">
      <c r="B42" s="17">
        <f>IF(C42="","CN-"&amp;TEXT(COUNTA($C$5:C42),"000"))</f>
        <v/>
      </c>
      <c r="C42" s="14" t="n"/>
      <c r="D42" s="14" t="n"/>
      <c r="E42" s="29" t="n"/>
      <c r="F42" s="14" t="n"/>
      <c r="G42" s="14" t="n"/>
      <c r="H42" s="14" t="n"/>
      <c r="I42" s="14" t="n"/>
      <c r="J42" s="14" t="n"/>
    </row>
    <row r="43" ht="22" customHeight="1">
      <c r="B43" s="18">
        <f>IF(C43="","CN-"&amp;TEXT(COUNTA($C$5:C43),"000"))</f>
        <v/>
      </c>
      <c r="C43" s="11" t="n"/>
      <c r="D43" s="11" t="n"/>
      <c r="E43" s="28" t="n"/>
      <c r="F43" s="11" t="n"/>
      <c r="G43" s="11" t="n"/>
      <c r="H43" s="11" t="n"/>
      <c r="I43" s="11" t="n"/>
      <c r="J43" s="11" t="n"/>
    </row>
    <row r="44" ht="22" customHeight="1">
      <c r="B44" s="17">
        <f>IF(C44="","CN-"&amp;TEXT(COUNTA($C$5:C44),"000"))</f>
        <v/>
      </c>
      <c r="C44" s="14" t="n"/>
      <c r="D44" s="14" t="n"/>
      <c r="E44" s="29" t="n"/>
      <c r="F44" s="14" t="n"/>
      <c r="G44" s="14" t="n"/>
      <c r="H44" s="14" t="n"/>
      <c r="I44" s="14" t="n"/>
      <c r="J44" s="14" t="n"/>
    </row>
    <row r="45" ht="22" customHeight="1">
      <c r="B45" s="18">
        <f>IF(C45="","CN-"&amp;TEXT(COUNTA($C$5:C45),"000"))</f>
        <v/>
      </c>
      <c r="C45" s="11" t="n"/>
      <c r="D45" s="11" t="n"/>
      <c r="E45" s="28" t="n"/>
      <c r="F45" s="11" t="n"/>
      <c r="G45" s="11" t="n"/>
      <c r="H45" s="11" t="n"/>
      <c r="I45" s="11" t="n"/>
      <c r="J45" s="11" t="n"/>
    </row>
    <row r="46" ht="22" customHeight="1">
      <c r="B46" s="17">
        <f>IF(C46="","CN-"&amp;TEXT(COUNTA($C$5:C46),"000"))</f>
        <v/>
      </c>
      <c r="C46" s="14" t="n"/>
      <c r="D46" s="14" t="n"/>
      <c r="E46" s="29" t="n"/>
      <c r="F46" s="14" t="n"/>
      <c r="G46" s="14" t="n"/>
      <c r="H46" s="14" t="n"/>
      <c r="I46" s="14" t="n"/>
      <c r="J46" s="14" t="n"/>
    </row>
    <row r="47" ht="22" customHeight="1">
      <c r="B47" s="18">
        <f>IF(C47="","CN-"&amp;TEXT(COUNTA($C$5:C47),"000"))</f>
        <v/>
      </c>
      <c r="C47" s="11" t="n"/>
      <c r="D47" s="11" t="n"/>
      <c r="E47" s="28" t="n"/>
      <c r="F47" s="11" t="n"/>
      <c r="G47" s="11" t="n"/>
      <c r="H47" s="11" t="n"/>
      <c r="I47" s="11" t="n"/>
      <c r="J47" s="11" t="n"/>
    </row>
    <row r="48" ht="22" customHeight="1">
      <c r="B48" s="17">
        <f>IF(C48="","CN-"&amp;TEXT(COUNTA($C$5:C48),"000"))</f>
        <v/>
      </c>
      <c r="C48" s="14" t="n"/>
      <c r="D48" s="14" t="n"/>
      <c r="E48" s="29" t="n"/>
      <c r="F48" s="14" t="n"/>
      <c r="G48" s="14" t="n"/>
      <c r="H48" s="14" t="n"/>
      <c r="I48" s="14" t="n"/>
      <c r="J48" s="14" t="n"/>
    </row>
    <row r="49" ht="22" customHeight="1">
      <c r="B49" s="18">
        <f>IF(C49="","CN-"&amp;TEXT(COUNTA($C$5:C49),"000"))</f>
        <v/>
      </c>
      <c r="C49" s="11" t="n"/>
      <c r="D49" s="11" t="n"/>
      <c r="E49" s="28" t="n"/>
      <c r="F49" s="11" t="n"/>
      <c r="G49" s="11" t="n"/>
      <c r="H49" s="11" t="n"/>
      <c r="I49" s="11" t="n"/>
      <c r="J49" s="11" t="n"/>
    </row>
    <row r="50" ht="22" customHeight="1">
      <c r="B50" s="17">
        <f>IF(C50="","CN-"&amp;TEXT(COUNTA($C$5:C50),"000"))</f>
        <v/>
      </c>
      <c r="C50" s="14" t="n"/>
      <c r="D50" s="14" t="n"/>
      <c r="E50" s="29" t="n"/>
      <c r="F50" s="14" t="n"/>
      <c r="G50" s="14" t="n"/>
      <c r="H50" s="14" t="n"/>
      <c r="I50" s="14" t="n"/>
      <c r="J50" s="14" t="n"/>
    </row>
    <row r="51" ht="22" customHeight="1">
      <c r="B51" s="18">
        <f>IF(C51="","CN-"&amp;TEXT(COUNTA($C$5:C51),"000"))</f>
        <v/>
      </c>
      <c r="C51" s="11" t="n"/>
      <c r="D51" s="11" t="n"/>
      <c r="E51" s="28" t="n"/>
      <c r="F51" s="11" t="n"/>
      <c r="G51" s="11" t="n"/>
      <c r="H51" s="11" t="n"/>
      <c r="I51" s="11" t="n"/>
      <c r="J51" s="11" t="n"/>
    </row>
    <row r="52" ht="22" customHeight="1">
      <c r="B52" s="17">
        <f>IF(C52="","CN-"&amp;TEXT(COUNTA($C$5:C52),"000"))</f>
        <v/>
      </c>
      <c r="C52" s="14" t="n"/>
      <c r="D52" s="14" t="n"/>
      <c r="E52" s="29" t="n"/>
      <c r="F52" s="14" t="n"/>
      <c r="G52" s="14" t="n"/>
      <c r="H52" s="14" t="n"/>
      <c r="I52" s="14" t="n"/>
      <c r="J52" s="14" t="n"/>
    </row>
    <row r="53" ht="22" customHeight="1">
      <c r="B53" s="18">
        <f>IF(C53="","CN-"&amp;TEXT(COUNTA($C$5:C53),"000"))</f>
        <v/>
      </c>
      <c r="C53" s="11" t="n"/>
      <c r="D53" s="11" t="n"/>
      <c r="E53" s="28" t="n"/>
      <c r="F53" s="11" t="n"/>
      <c r="G53" s="11" t="n"/>
      <c r="H53" s="11" t="n"/>
      <c r="I53" s="11" t="n"/>
      <c r="J53" s="11" t="n"/>
    </row>
    <row r="54" ht="22" customHeight="1">
      <c r="B54" s="17">
        <f>IF(C54="","CN-"&amp;TEXT(COUNTA($C$5:C54),"000"))</f>
        <v/>
      </c>
      <c r="C54" s="14" t="n"/>
      <c r="D54" s="14" t="n"/>
      <c r="E54" s="29" t="n"/>
      <c r="F54" s="14" t="n"/>
      <c r="G54" s="14" t="n"/>
      <c r="H54" s="14" t="n"/>
      <c r="I54" s="14" t="n"/>
      <c r="J54" s="14" t="n"/>
    </row>
    <row r="55" ht="22" customHeight="1">
      <c r="B55" s="18">
        <f>IF(C55="","CN-"&amp;TEXT(COUNTA($C$5:C55),"000"))</f>
        <v/>
      </c>
      <c r="C55" s="11" t="n"/>
      <c r="D55" s="11" t="n"/>
      <c r="E55" s="28" t="n"/>
      <c r="F55" s="11" t="n"/>
      <c r="G55" s="11" t="n"/>
      <c r="H55" s="11" t="n"/>
      <c r="I55" s="11" t="n"/>
      <c r="J55" s="11" t="n"/>
    </row>
    <row r="56" ht="22" customHeight="1">
      <c r="B56" s="17">
        <f>IF(C56="","CN-"&amp;TEXT(COUNTA($C$5:C56),"000"))</f>
        <v/>
      </c>
      <c r="C56" s="14" t="n"/>
      <c r="D56" s="14" t="n"/>
      <c r="E56" s="29" t="n"/>
      <c r="F56" s="14" t="n"/>
      <c r="G56" s="14" t="n"/>
      <c r="H56" s="14" t="n"/>
      <c r="I56" s="14" t="n"/>
      <c r="J56" s="14" t="n"/>
    </row>
    <row r="57" ht="22" customHeight="1">
      <c r="B57" s="18">
        <f>IF(C57="","CN-"&amp;TEXT(COUNTA($C$5:C57),"000"))</f>
        <v/>
      </c>
      <c r="C57" s="11" t="n"/>
      <c r="D57" s="11" t="n"/>
      <c r="E57" s="28" t="n"/>
      <c r="F57" s="11" t="n"/>
      <c r="G57" s="11" t="n"/>
      <c r="H57" s="11" t="n"/>
      <c r="I57" s="11" t="n"/>
      <c r="J57" s="11" t="n"/>
    </row>
    <row r="58" ht="22" customHeight="1">
      <c r="B58" s="17">
        <f>IF(C58="","CN-"&amp;TEXT(COUNTA($C$5:C58),"000"))</f>
        <v/>
      </c>
      <c r="C58" s="14" t="n"/>
      <c r="D58" s="14" t="n"/>
      <c r="E58" s="29" t="n"/>
      <c r="F58" s="14" t="n"/>
      <c r="G58" s="14" t="n"/>
      <c r="H58" s="14" t="n"/>
      <c r="I58" s="14" t="n"/>
      <c r="J58" s="14" t="n"/>
    </row>
    <row r="59" ht="22" customHeight="1">
      <c r="B59" s="18">
        <f>IF(C59="","CN-"&amp;TEXT(COUNTA($C$5:C59),"000"))</f>
        <v/>
      </c>
      <c r="C59" s="11" t="n"/>
      <c r="D59" s="11" t="n"/>
      <c r="E59" s="28" t="n"/>
      <c r="F59" s="11" t="n"/>
      <c r="G59" s="11" t="n"/>
      <c r="H59" s="11" t="n"/>
      <c r="I59" s="11" t="n"/>
      <c r="J59" s="11" t="n"/>
    </row>
    <row r="60" ht="22" customHeight="1">
      <c r="B60" s="17">
        <f>IF(C60="","CN-"&amp;TEXT(COUNTA($C$5:C60),"000"))</f>
        <v/>
      </c>
      <c r="C60" s="14" t="n"/>
      <c r="D60" s="14" t="n"/>
      <c r="E60" s="29" t="n"/>
      <c r="F60" s="14" t="n"/>
      <c r="G60" s="14" t="n"/>
      <c r="H60" s="14" t="n"/>
      <c r="I60" s="14" t="n"/>
      <c r="J60" s="14" t="n"/>
    </row>
    <row r="61" ht="22" customHeight="1">
      <c r="B61" s="18">
        <f>IF(C61="","CN-"&amp;TEXT(COUNTA($C$5:C61),"000"))</f>
        <v/>
      </c>
      <c r="C61" s="11" t="n"/>
      <c r="D61" s="11" t="n"/>
      <c r="E61" s="28" t="n"/>
      <c r="F61" s="11" t="n"/>
      <c r="G61" s="11" t="n"/>
      <c r="H61" s="11" t="n"/>
      <c r="I61" s="11" t="n"/>
      <c r="J61" s="11" t="n"/>
    </row>
    <row r="62" ht="22" customHeight="1">
      <c r="B62" s="17">
        <f>IF(C62="","CN-"&amp;TEXT(COUNTA($C$5:C62),"000"))</f>
        <v/>
      </c>
      <c r="C62" s="14" t="n"/>
      <c r="D62" s="14" t="n"/>
      <c r="E62" s="29" t="n"/>
      <c r="F62" s="14" t="n"/>
      <c r="G62" s="14" t="n"/>
      <c r="H62" s="14" t="n"/>
      <c r="I62" s="14" t="n"/>
      <c r="J62" s="14" t="n"/>
    </row>
    <row r="63" ht="22" customHeight="1">
      <c r="B63" s="18">
        <f>IF(C63="","CN-"&amp;TEXT(COUNTA($C$5:C63),"000"))</f>
        <v/>
      </c>
      <c r="C63" s="11" t="n"/>
      <c r="D63" s="11" t="n"/>
      <c r="E63" s="28" t="n"/>
      <c r="F63" s="11" t="n"/>
      <c r="G63" s="11" t="n"/>
      <c r="H63" s="11" t="n"/>
      <c r="I63" s="11" t="n"/>
      <c r="J63" s="11" t="n"/>
    </row>
    <row r="64" ht="22" customHeight="1">
      <c r="B64" s="17">
        <f>IF(C64="","CN-"&amp;TEXT(COUNTA($C$5:C64),"000"))</f>
        <v/>
      </c>
      <c r="C64" s="14" t="n"/>
      <c r="D64" s="14" t="n"/>
      <c r="E64" s="29" t="n"/>
      <c r="F64" s="14" t="n"/>
      <c r="G64" s="14" t="n"/>
      <c r="H64" s="14" t="n"/>
      <c r="I64" s="14" t="n"/>
      <c r="J64" s="14" t="n"/>
    </row>
    <row r="65" ht="22" customHeight="1">
      <c r="B65" s="18">
        <f>IF(C65="","CN-"&amp;TEXT(COUNTA($C$5:C65),"000"))</f>
        <v/>
      </c>
      <c r="C65" s="11" t="n"/>
      <c r="D65" s="11" t="n"/>
      <c r="E65" s="28" t="n"/>
      <c r="F65" s="11" t="n"/>
      <c r="G65" s="11" t="n"/>
      <c r="H65" s="11" t="n"/>
      <c r="I65" s="11" t="n"/>
      <c r="J65" s="11" t="n"/>
    </row>
    <row r="66" ht="22" customHeight="1">
      <c r="B66" s="17">
        <f>IF(C66="","CN-"&amp;TEXT(COUNTA($C$5:C66),"000"))</f>
        <v/>
      </c>
      <c r="C66" s="14" t="n"/>
      <c r="D66" s="14" t="n"/>
      <c r="E66" s="29" t="n"/>
      <c r="F66" s="14" t="n"/>
      <c r="G66" s="14" t="n"/>
      <c r="H66" s="14" t="n"/>
      <c r="I66" s="14" t="n"/>
      <c r="J66" s="14" t="n"/>
    </row>
    <row r="67" ht="22" customHeight="1">
      <c r="B67" s="18">
        <f>IF(C67="","CN-"&amp;TEXT(COUNTA($C$5:C67),"000"))</f>
        <v/>
      </c>
      <c r="C67" s="11" t="n"/>
      <c r="D67" s="11" t="n"/>
      <c r="E67" s="28" t="n"/>
      <c r="F67" s="11" t="n"/>
      <c r="G67" s="11" t="n"/>
      <c r="H67" s="11" t="n"/>
      <c r="I67" s="11" t="n"/>
      <c r="J67" s="11" t="n"/>
    </row>
    <row r="68" ht="22" customHeight="1">
      <c r="B68" s="17">
        <f>IF(C68="","CN-"&amp;TEXT(COUNTA($C$5:C68),"000"))</f>
        <v/>
      </c>
      <c r="C68" s="14" t="n"/>
      <c r="D68" s="14" t="n"/>
      <c r="E68" s="29" t="n"/>
      <c r="F68" s="14" t="n"/>
      <c r="G68" s="14" t="n"/>
      <c r="H68" s="14" t="n"/>
      <c r="I68" s="14" t="n"/>
      <c r="J68" s="14" t="n"/>
    </row>
    <row r="69" ht="22" customHeight="1">
      <c r="B69" s="18">
        <f>IF(C69="","CN-"&amp;TEXT(COUNTA($C$5:C69),"000"))</f>
        <v/>
      </c>
      <c r="C69" s="11" t="n"/>
      <c r="D69" s="11" t="n"/>
      <c r="E69" s="28" t="n"/>
      <c r="F69" s="11" t="n"/>
      <c r="G69" s="11" t="n"/>
      <c r="H69" s="11" t="n"/>
      <c r="I69" s="11" t="n"/>
      <c r="J69" s="11" t="n"/>
    </row>
    <row r="70" ht="22" customHeight="1">
      <c r="B70" s="17">
        <f>IF(C70="","CN-"&amp;TEXT(COUNTA($C$5:C70),"000"))</f>
        <v/>
      </c>
      <c r="C70" s="14" t="n"/>
      <c r="D70" s="14" t="n"/>
      <c r="E70" s="29" t="n"/>
      <c r="F70" s="14" t="n"/>
      <c r="G70" s="14" t="n"/>
      <c r="H70" s="14" t="n"/>
      <c r="I70" s="14" t="n"/>
      <c r="J70" s="14" t="n"/>
    </row>
    <row r="71" ht="22" customHeight="1">
      <c r="B71" s="18">
        <f>IF(C71="","CN-"&amp;TEXT(COUNTA($C$5:C71),"000"))</f>
        <v/>
      </c>
      <c r="C71" s="11" t="n"/>
      <c r="D71" s="11" t="n"/>
      <c r="E71" s="28" t="n"/>
      <c r="F71" s="11" t="n"/>
      <c r="G71" s="11" t="n"/>
      <c r="H71" s="11" t="n"/>
      <c r="I71" s="11" t="n"/>
      <c r="J71" s="11" t="n"/>
    </row>
    <row r="72" ht="22" customHeight="1">
      <c r="B72" s="17">
        <f>IF(C72="","CN-"&amp;TEXT(COUNTA($C$5:C72),"000"))</f>
        <v/>
      </c>
      <c r="C72" s="14" t="n"/>
      <c r="D72" s="14" t="n"/>
      <c r="E72" s="29" t="n"/>
      <c r="F72" s="14" t="n"/>
      <c r="G72" s="14" t="n"/>
      <c r="H72" s="14" t="n"/>
      <c r="I72" s="14" t="n"/>
      <c r="J72" s="14" t="n"/>
    </row>
    <row r="73" ht="22" customHeight="1">
      <c r="B73" s="18">
        <f>IF(C73="","CN-"&amp;TEXT(COUNTA($C$5:C73),"000"))</f>
        <v/>
      </c>
      <c r="C73" s="11" t="n"/>
      <c r="D73" s="11" t="n"/>
      <c r="E73" s="28" t="n"/>
      <c r="F73" s="11" t="n"/>
      <c r="G73" s="11" t="n"/>
      <c r="H73" s="11" t="n"/>
      <c r="I73" s="11" t="n"/>
      <c r="J73" s="11" t="n"/>
    </row>
    <row r="74" ht="22" customHeight="1">
      <c r="B74" s="17">
        <f>IF(C74="","CN-"&amp;TEXT(COUNTA($C$5:C74),"000"))</f>
        <v/>
      </c>
      <c r="C74" s="14" t="n"/>
      <c r="D74" s="14" t="n"/>
      <c r="E74" s="29" t="n"/>
      <c r="F74" s="14" t="n"/>
      <c r="G74" s="14" t="n"/>
      <c r="H74" s="14" t="n"/>
      <c r="I74" s="14" t="n"/>
      <c r="J74" s="14" t="n"/>
    </row>
    <row r="75" ht="22" customHeight="1">
      <c r="B75" s="18">
        <f>IF(C75="","CN-"&amp;TEXT(COUNTA($C$5:C75),"000"))</f>
        <v/>
      </c>
      <c r="C75" s="11" t="n"/>
      <c r="D75" s="11" t="n"/>
      <c r="E75" s="28" t="n"/>
      <c r="F75" s="11" t="n"/>
      <c r="G75" s="11" t="n"/>
      <c r="H75" s="11" t="n"/>
      <c r="I75" s="11" t="n"/>
      <c r="J75" s="11" t="n"/>
    </row>
    <row r="76" ht="22" customHeight="1">
      <c r="B76" s="17">
        <f>IF(C76="","CN-"&amp;TEXT(COUNTA($C$5:C76),"000"))</f>
        <v/>
      </c>
      <c r="C76" s="14" t="n"/>
      <c r="D76" s="14" t="n"/>
      <c r="E76" s="29" t="n"/>
      <c r="F76" s="14" t="n"/>
      <c r="G76" s="14" t="n"/>
      <c r="H76" s="14" t="n"/>
      <c r="I76" s="14" t="n"/>
      <c r="J76" s="14" t="n"/>
    </row>
    <row r="77" ht="22" customHeight="1">
      <c r="B77" s="18">
        <f>IF(C77="","CN-"&amp;TEXT(COUNTA($C$5:C77),"000"))</f>
        <v/>
      </c>
      <c r="C77" s="11" t="n"/>
      <c r="D77" s="11" t="n"/>
      <c r="E77" s="28" t="n"/>
      <c r="F77" s="11" t="n"/>
      <c r="G77" s="11" t="n"/>
      <c r="H77" s="11" t="n"/>
      <c r="I77" s="11" t="n"/>
      <c r="J77" s="11" t="n"/>
    </row>
    <row r="78" ht="22" customHeight="1">
      <c r="B78" s="17">
        <f>IF(C78="","CN-"&amp;TEXT(COUNTA($C$5:C78),"000"))</f>
        <v/>
      </c>
      <c r="C78" s="14" t="n"/>
      <c r="D78" s="14" t="n"/>
      <c r="E78" s="29" t="n"/>
      <c r="F78" s="14" t="n"/>
      <c r="G78" s="14" t="n"/>
      <c r="H78" s="14" t="n"/>
      <c r="I78" s="14" t="n"/>
      <c r="J78" s="14" t="n"/>
    </row>
    <row r="79" ht="22" customHeight="1">
      <c r="B79" s="18">
        <f>IF(C79="","CN-"&amp;TEXT(COUNTA($C$5:C79),"000"))</f>
        <v/>
      </c>
      <c r="C79" s="11" t="n"/>
      <c r="D79" s="11" t="n"/>
      <c r="E79" s="28" t="n"/>
      <c r="F79" s="11" t="n"/>
      <c r="G79" s="11" t="n"/>
      <c r="H79" s="11" t="n"/>
      <c r="I79" s="11" t="n"/>
      <c r="J79" s="11" t="n"/>
    </row>
    <row r="80" ht="22" customHeight="1">
      <c r="B80" s="17">
        <f>IF(C80="","CN-"&amp;TEXT(COUNTA($C$5:C80),"000"))</f>
        <v/>
      </c>
      <c r="C80" s="14" t="n"/>
      <c r="D80" s="14" t="n"/>
      <c r="E80" s="29" t="n"/>
      <c r="F80" s="14" t="n"/>
      <c r="G80" s="14" t="n"/>
      <c r="H80" s="14" t="n"/>
      <c r="I80" s="14" t="n"/>
      <c r="J80" s="14" t="n"/>
    </row>
    <row r="81" ht="22" customHeight="1">
      <c r="B81" s="18">
        <f>IF(C81="","CN-"&amp;TEXT(COUNTA($C$5:C81),"000"))</f>
        <v/>
      </c>
      <c r="C81" s="11" t="n"/>
      <c r="D81" s="11" t="n"/>
      <c r="E81" s="28" t="n"/>
      <c r="F81" s="11" t="n"/>
      <c r="G81" s="11" t="n"/>
      <c r="H81" s="11" t="n"/>
      <c r="I81" s="11" t="n"/>
      <c r="J81" s="11" t="n"/>
    </row>
    <row r="82" ht="22" customHeight="1">
      <c r="B82" s="17">
        <f>IF(C82="","CN-"&amp;TEXT(COUNTA($C$5:C82),"000"))</f>
        <v/>
      </c>
      <c r="C82" s="14" t="n"/>
      <c r="D82" s="14" t="n"/>
      <c r="E82" s="29" t="n"/>
      <c r="F82" s="14" t="n"/>
      <c r="G82" s="14" t="n"/>
      <c r="H82" s="14" t="n"/>
      <c r="I82" s="14" t="n"/>
      <c r="J82" s="14" t="n"/>
    </row>
    <row r="83" ht="22" customHeight="1">
      <c r="B83" s="18">
        <f>IF(C83="","CN-"&amp;TEXT(COUNTA($C$5:C83),"000"))</f>
        <v/>
      </c>
      <c r="C83" s="11" t="n"/>
      <c r="D83" s="11" t="n"/>
      <c r="E83" s="28" t="n"/>
      <c r="F83" s="11" t="n"/>
      <c r="G83" s="11" t="n"/>
      <c r="H83" s="11" t="n"/>
      <c r="I83" s="11" t="n"/>
      <c r="J83" s="11" t="n"/>
    </row>
    <row r="84" ht="22" customHeight="1">
      <c r="B84" s="17">
        <f>IF(C84="","CN-"&amp;TEXT(COUNTA($C$5:C84),"000"))</f>
        <v/>
      </c>
      <c r="C84" s="14" t="n"/>
      <c r="D84" s="14" t="n"/>
      <c r="E84" s="29" t="n"/>
      <c r="F84" s="14" t="n"/>
      <c r="G84" s="14" t="n"/>
      <c r="H84" s="14" t="n"/>
      <c r="I84" s="14" t="n"/>
      <c r="J84" s="14" t="n"/>
    </row>
    <row r="85" ht="22" customHeight="1">
      <c r="B85" s="18">
        <f>IF(C85="","CN-"&amp;TEXT(COUNTA($C$5:C85),"000"))</f>
        <v/>
      </c>
      <c r="C85" s="11" t="n"/>
      <c r="D85" s="11" t="n"/>
      <c r="E85" s="28" t="n"/>
      <c r="F85" s="11" t="n"/>
      <c r="G85" s="11" t="n"/>
      <c r="H85" s="11" t="n"/>
      <c r="I85" s="11" t="n"/>
      <c r="J85" s="11" t="n"/>
    </row>
    <row r="86" ht="22" customHeight="1">
      <c r="B86" s="17">
        <f>IF(C86="","CN-"&amp;TEXT(COUNTA($C$5:C86),"000"))</f>
        <v/>
      </c>
      <c r="C86" s="14" t="n"/>
      <c r="D86" s="14" t="n"/>
      <c r="E86" s="29" t="n"/>
      <c r="F86" s="14" t="n"/>
      <c r="G86" s="14" t="n"/>
      <c r="H86" s="14" t="n"/>
      <c r="I86" s="14" t="n"/>
      <c r="J86" s="14" t="n"/>
    </row>
    <row r="87" ht="22" customHeight="1">
      <c r="B87" s="18">
        <f>IF(C87="","CN-"&amp;TEXT(COUNTA($C$5:C87),"000"))</f>
        <v/>
      </c>
      <c r="C87" s="11" t="n"/>
      <c r="D87" s="11" t="n"/>
      <c r="E87" s="28" t="n"/>
      <c r="F87" s="11" t="n"/>
      <c r="G87" s="11" t="n"/>
      <c r="H87" s="11" t="n"/>
      <c r="I87" s="11" t="n"/>
      <c r="J87" s="11" t="n"/>
    </row>
    <row r="88" ht="22" customHeight="1">
      <c r="B88" s="17">
        <f>IF(C88="","CN-"&amp;TEXT(COUNTA($C$5:C88),"000"))</f>
        <v/>
      </c>
      <c r="C88" s="14" t="n"/>
      <c r="D88" s="14" t="n"/>
      <c r="E88" s="29" t="n"/>
      <c r="F88" s="14" t="n"/>
      <c r="G88" s="14" t="n"/>
      <c r="H88" s="14" t="n"/>
      <c r="I88" s="14" t="n"/>
      <c r="J88" s="14" t="n"/>
    </row>
    <row r="89" ht="22" customHeight="1">
      <c r="B89" s="18">
        <f>IF(C89="","CN-"&amp;TEXT(COUNTA($C$5:C89),"000"))</f>
        <v/>
      </c>
      <c r="C89" s="11" t="n"/>
      <c r="D89" s="11" t="n"/>
      <c r="E89" s="28" t="n"/>
      <c r="F89" s="11" t="n"/>
      <c r="G89" s="11" t="n"/>
      <c r="H89" s="11" t="n"/>
      <c r="I89" s="11" t="n"/>
      <c r="J89" s="11" t="n"/>
    </row>
    <row r="90" ht="22" customHeight="1">
      <c r="B90" s="17">
        <f>IF(C90="","CN-"&amp;TEXT(COUNTA($C$5:C90),"000"))</f>
        <v/>
      </c>
      <c r="C90" s="14" t="n"/>
      <c r="D90" s="14" t="n"/>
      <c r="E90" s="29" t="n"/>
      <c r="F90" s="14" t="n"/>
      <c r="G90" s="14" t="n"/>
      <c r="H90" s="14" t="n"/>
      <c r="I90" s="14" t="n"/>
      <c r="J90" s="14" t="n"/>
    </row>
    <row r="91" ht="22" customHeight="1">
      <c r="B91" s="18">
        <f>IF(C91="","CN-"&amp;TEXT(COUNTA($C$5:C91),"000"))</f>
        <v/>
      </c>
      <c r="C91" s="11" t="n"/>
      <c r="D91" s="11" t="n"/>
      <c r="E91" s="28" t="n"/>
      <c r="F91" s="11" t="n"/>
      <c r="G91" s="11" t="n"/>
      <c r="H91" s="11" t="n"/>
      <c r="I91" s="11" t="n"/>
      <c r="J91" s="11" t="n"/>
    </row>
    <row r="92" ht="22" customHeight="1">
      <c r="B92" s="17">
        <f>IF(C92="","CN-"&amp;TEXT(COUNTA($C$5:C92),"000"))</f>
        <v/>
      </c>
      <c r="C92" s="14" t="n"/>
      <c r="D92" s="14" t="n"/>
      <c r="E92" s="29" t="n"/>
      <c r="F92" s="14" t="n"/>
      <c r="G92" s="14" t="n"/>
      <c r="H92" s="14" t="n"/>
      <c r="I92" s="14" t="n"/>
      <c r="J92" s="14" t="n"/>
    </row>
    <row r="93" ht="22" customHeight="1">
      <c r="B93" s="18">
        <f>IF(C93="","CN-"&amp;TEXT(COUNTA($C$5:C93),"000"))</f>
        <v/>
      </c>
      <c r="C93" s="11" t="n"/>
      <c r="D93" s="11" t="n"/>
      <c r="E93" s="28" t="n"/>
      <c r="F93" s="11" t="n"/>
      <c r="G93" s="11" t="n"/>
      <c r="H93" s="11" t="n"/>
      <c r="I93" s="11" t="n"/>
      <c r="J93" s="11" t="n"/>
    </row>
    <row r="94" ht="22" customHeight="1">
      <c r="B94" s="17">
        <f>IF(C94="","CN-"&amp;TEXT(COUNTA($C$5:C94),"000"))</f>
        <v/>
      </c>
      <c r="C94" s="14" t="n"/>
      <c r="D94" s="14" t="n"/>
      <c r="E94" s="29" t="n"/>
      <c r="F94" s="14" t="n"/>
      <c r="G94" s="14" t="n"/>
      <c r="H94" s="14" t="n"/>
      <c r="I94" s="14" t="n"/>
      <c r="J94" s="14" t="n"/>
    </row>
    <row r="95" ht="22" customHeight="1">
      <c r="B95" s="18">
        <f>IF(C95="","CN-"&amp;TEXT(COUNTA($C$5:C95),"000"))</f>
        <v/>
      </c>
      <c r="C95" s="11" t="n"/>
      <c r="D95" s="11" t="n"/>
      <c r="E95" s="28" t="n"/>
      <c r="F95" s="11" t="n"/>
      <c r="G95" s="11" t="n"/>
      <c r="H95" s="11" t="n"/>
      <c r="I95" s="11" t="n"/>
      <c r="J95" s="11" t="n"/>
    </row>
    <row r="96" ht="22" customHeight="1">
      <c r="B96" s="17">
        <f>IF(C96="","CN-"&amp;TEXT(COUNTA($C$5:C96),"000"))</f>
        <v/>
      </c>
      <c r="C96" s="14" t="n"/>
      <c r="D96" s="14" t="n"/>
      <c r="E96" s="29" t="n"/>
      <c r="F96" s="14" t="n"/>
      <c r="G96" s="14" t="n"/>
      <c r="H96" s="14" t="n"/>
      <c r="I96" s="14" t="n"/>
      <c r="J96" s="14" t="n"/>
    </row>
    <row r="97" ht="22" customHeight="1">
      <c r="B97" s="18">
        <f>IF(C97="","CN-"&amp;TEXT(COUNTA($C$5:C97),"000"))</f>
        <v/>
      </c>
      <c r="C97" s="11" t="n"/>
      <c r="D97" s="11" t="n"/>
      <c r="E97" s="28" t="n"/>
      <c r="F97" s="11" t="n"/>
      <c r="G97" s="11" t="n"/>
      <c r="H97" s="11" t="n"/>
      <c r="I97" s="11" t="n"/>
      <c r="J97" s="11" t="n"/>
    </row>
    <row r="98" ht="22" customHeight="1">
      <c r="B98" s="17">
        <f>IF(C98="","CN-"&amp;TEXT(COUNTA($C$5:C98),"000"))</f>
        <v/>
      </c>
      <c r="C98" s="14" t="n"/>
      <c r="D98" s="14" t="n"/>
      <c r="E98" s="29" t="n"/>
      <c r="F98" s="14" t="n"/>
      <c r="G98" s="14" t="n"/>
      <c r="H98" s="14" t="n"/>
      <c r="I98" s="14" t="n"/>
      <c r="J98" s="14" t="n"/>
    </row>
    <row r="99" ht="22" customHeight="1">
      <c r="B99" s="18">
        <f>IF(C99="","CN-"&amp;TEXT(COUNTA($C$5:C99),"000"))</f>
        <v/>
      </c>
      <c r="C99" s="11" t="n"/>
      <c r="D99" s="11" t="n"/>
      <c r="E99" s="28" t="n"/>
      <c r="F99" s="11" t="n"/>
      <c r="G99" s="11" t="n"/>
      <c r="H99" s="11" t="n"/>
      <c r="I99" s="11" t="n"/>
      <c r="J99" s="11" t="n"/>
    </row>
    <row r="100" ht="22" customHeight="1">
      <c r="B100" s="17">
        <f>IF(C100="","CN-"&amp;TEXT(COUNTA($C$5:C100),"000"))</f>
        <v/>
      </c>
      <c r="C100" s="14" t="n"/>
      <c r="D100" s="14" t="n"/>
      <c r="E100" s="29" t="n"/>
      <c r="F100" s="14" t="n"/>
      <c r="G100" s="14" t="n"/>
      <c r="H100" s="14" t="n"/>
      <c r="I100" s="14" t="n"/>
      <c r="J100" s="14" t="n"/>
    </row>
    <row r="101" ht="22" customHeight="1">
      <c r="B101" s="18">
        <f>IF(C101="","CN-"&amp;TEXT(COUNTA($C$5:C101),"000"))</f>
        <v/>
      </c>
      <c r="C101" s="11" t="n"/>
      <c r="D101" s="11" t="n"/>
      <c r="E101" s="28" t="n"/>
      <c r="F101" s="11" t="n"/>
      <c r="G101" s="11" t="n"/>
      <c r="H101" s="11" t="n"/>
      <c r="I101" s="11" t="n"/>
      <c r="J101" s="11" t="n"/>
    </row>
    <row r="102" ht="22" customHeight="1">
      <c r="B102" s="17">
        <f>IF(C102="","CN-"&amp;TEXT(COUNTA($C$5:C102),"000"))</f>
        <v/>
      </c>
      <c r="C102" s="14" t="n"/>
      <c r="D102" s="14" t="n"/>
      <c r="E102" s="29" t="n"/>
      <c r="F102" s="14" t="n"/>
      <c r="G102" s="14" t="n"/>
      <c r="H102" s="14" t="n"/>
      <c r="I102" s="14" t="n"/>
      <c r="J102" s="14" t="n"/>
    </row>
    <row r="103" ht="22" customHeight="1">
      <c r="B103" s="18">
        <f>IF(C103="","CN-"&amp;TEXT(COUNTA($C$5:C103),"000"))</f>
        <v/>
      </c>
      <c r="C103" s="11" t="n"/>
      <c r="D103" s="11" t="n"/>
      <c r="E103" s="28" t="n"/>
      <c r="F103" s="11" t="n"/>
      <c r="G103" s="11" t="n"/>
      <c r="H103" s="11" t="n"/>
      <c r="I103" s="11" t="n"/>
      <c r="J103" s="11" t="n"/>
    </row>
    <row r="104" ht="22" customHeight="1">
      <c r="B104" s="17">
        <f>IF(C104="","CN-"&amp;TEXT(COUNTA($C$5:C104),"000"))</f>
        <v/>
      </c>
      <c r="C104" s="14" t="n"/>
      <c r="D104" s="14" t="n"/>
      <c r="E104" s="29" t="n"/>
      <c r="F104" s="14" t="n"/>
      <c r="G104" s="14" t="n"/>
      <c r="H104" s="14" t="n"/>
      <c r="I104" s="14" t="n"/>
      <c r="J104" s="14" t="n"/>
    </row>
    <row r="105" ht="22" customHeight="1">
      <c r="B105" s="18">
        <f>IF(C105="","CN-"&amp;TEXT(COUNTA($C$5:C105),"000"))</f>
        <v/>
      </c>
      <c r="C105" s="11" t="n"/>
      <c r="D105" s="11" t="n"/>
      <c r="E105" s="28" t="n"/>
      <c r="F105" s="11" t="n"/>
      <c r="G105" s="11" t="n"/>
      <c r="H105" s="11" t="n"/>
      <c r="I105" s="11" t="n"/>
      <c r="J105" s="11" t="n"/>
    </row>
    <row r="106" ht="22" customHeight="1">
      <c r="B106" s="17">
        <f>IF(C106="","CN-"&amp;TEXT(COUNTA($C$5:C106),"000"))</f>
        <v/>
      </c>
      <c r="C106" s="14" t="n"/>
      <c r="D106" s="14" t="n"/>
      <c r="E106" s="29" t="n"/>
      <c r="F106" s="14" t="n"/>
      <c r="G106" s="14" t="n"/>
      <c r="H106" s="14" t="n"/>
      <c r="I106" s="14" t="n"/>
      <c r="J106" s="14" t="n"/>
    </row>
    <row r="107" ht="22" customHeight="1">
      <c r="B107" s="18">
        <f>IF(C107="","CN-"&amp;TEXT(COUNTA($C$5:C107),"000"))</f>
        <v/>
      </c>
      <c r="C107" s="11" t="n"/>
      <c r="D107" s="11" t="n"/>
      <c r="E107" s="28" t="n"/>
      <c r="F107" s="11" t="n"/>
      <c r="G107" s="11" t="n"/>
      <c r="H107" s="11" t="n"/>
      <c r="I107" s="11" t="n"/>
      <c r="J107" s="11" t="n"/>
    </row>
    <row r="108" ht="22" customHeight="1">
      <c r="B108" s="17">
        <f>IF(C108="","CN-"&amp;TEXT(COUNTA($C$5:C108),"000"))</f>
        <v/>
      </c>
      <c r="C108" s="14" t="n"/>
      <c r="D108" s="14" t="n"/>
      <c r="E108" s="29" t="n"/>
      <c r="F108" s="14" t="n"/>
      <c r="G108" s="14" t="n"/>
      <c r="H108" s="14" t="n"/>
      <c r="I108" s="14" t="n"/>
      <c r="J108" s="14" t="n"/>
    </row>
    <row r="110">
      <c r="B110" s="5" t="inlineStr">
        <is>
          <t>INDICATEURS (mis a jour automatiquement)</t>
        </is>
      </c>
    </row>
    <row r="111">
      <c r="B111" s="3" t="inlineStr">
        <is>
          <t>Negociations planifiees</t>
        </is>
      </c>
      <c r="D111" s="3" t="inlineStr">
        <is>
          <t>Planifiees</t>
        </is>
      </c>
      <c r="F111" s="3" t="inlineStr">
        <is>
          <t>En cours</t>
        </is>
      </c>
      <c r="H111" s="3" t="inlineStr">
        <is>
          <t>Haute priorite</t>
        </is>
      </c>
    </row>
    <row r="112">
      <c r="B112" s="4">
        <f>COUNTIF(B5:B104,"&lt;&gt;")</f>
        <v/>
      </c>
      <c r="D112" s="4">
        <f>COUNTIF(J5:J104,"Planifiee")</f>
        <v/>
      </c>
      <c r="F112" s="4">
        <f>COUNTIF(J5:J104,"En cours")</f>
        <v/>
      </c>
      <c r="H112" s="4">
        <f>COUNTIF(I5:I104,"Haute")</f>
        <v/>
      </c>
    </row>
  </sheetData>
  <mergeCells count="3">
    <mergeCell ref="B110:J110"/>
    <mergeCell ref="B3:J3"/>
    <mergeCell ref="B2:J2"/>
  </mergeCells>
  <conditionalFormatting sqref="J5:J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1">
      <formula>"En attente"</formula>
    </cfRule>
    <cfRule type="cellIs" priority="45" operator="equal" dxfId="1">
      <formula>"A renouveler"</formula>
    </cfRule>
    <cfRule type="cellIs" priority="46" operator="equal" dxfId="1">
      <formula>"En cours"</formula>
    </cfRule>
    <cfRule type="cellIs" priority="47" operator="equal" dxfId="1">
      <formula>"En traitement"</formula>
    </cfRule>
    <cfRule type="cellIs" priority="48" operator="equal" dxfId="1">
      <formula>"En retard"</formula>
    </cfRule>
    <cfRule type="cellIs" priority="49" operator="equal" dxfId="1">
      <formula>"Suspendu"</formula>
    </cfRule>
    <cfRule type="cellIs" priority="50" operator="equal" dxfId="1">
      <formula>"Planifie"</formula>
    </cfRule>
    <cfRule type="cellIs" priority="51" operator="equal" dxfId="1">
      <formula>"Planifiee"</formula>
    </cfRule>
    <cfRule type="cellIs" priority="52" operator="equal" dxfId="1">
      <formula>"Brouillon"</formula>
    </cfRule>
    <cfRule type="cellIs" priority="53" operator="equal" dxfId="1">
      <formula>"En attente de justification"</formula>
    </cfRule>
    <cfRule type="cellIs" priority="54" operator="equal" dxfId="1">
      <formula>"Tolere"</formula>
    </cfRule>
    <cfRule type="cellIs" priority="55" operator="equal" dxfId="1">
      <formula>"Variable"</formula>
    </cfRule>
    <cfRule type="cellIs" priority="56" operator="equal" dxfId="1">
      <formula>"En elaboration"</formula>
    </cfRule>
    <cfRule type="cellIs" priority="57" operator="equal" dxfId="1">
      <formula>"Provisionne"</formula>
    </cfRule>
    <cfRule type="cellIs" priority="58" operator="equal" dxfId="1">
      <formula>"Consomme partiel"</formula>
    </cfRule>
    <cfRule type="cellIs" priority="59" operator="equal" dxfId="1">
      <formula>"Identifie"</formula>
    </cfRule>
    <cfRule type="cellIs" priority="60" operator="equal" dxfId="1">
      <formula>"Priorise"</formula>
    </cfRule>
    <cfRule type="cellIs" priority="61" operator="equal" dxfId="1">
      <formula>"Intermediaire"</formula>
    </cfRule>
    <cfRule type="cellIs" priority="62" operator="equal" dxfId="1">
      <formula>"Non evalue"</formula>
    </cfRule>
    <cfRule type="cellIs" priority="63" operator="equal" dxfId="1">
      <formula>"En cours de realisation"</formula>
    </cfRule>
    <cfRule type="cellIs" priority="64" operator="equal" dxfId="1">
      <formula>"Non demarre"</formula>
    </cfRule>
    <cfRule type="cellIs" priority="65" operator="equal" dxfId="1">
      <formula>"En attente N+1"</formula>
    </cfRule>
    <cfRule type="cellIs" priority="66" operator="equal" dxfId="1">
      <formula>"Prolongation essai"</formula>
    </cfRule>
    <cfRule type="cellIs" priority="67" operator="equal" dxfId="1">
      <formula>"En attente validation"</formula>
    </cfRule>
    <cfRule type="cellIs" priority="68" operator="equal" dxfId="1">
      <formula>"Bon"</formula>
    </cfRule>
    <cfRule type="cellIs" priority="69" operator="equal" dxfId="1">
      <formula>"D - Moyen"</formula>
    </cfRule>
    <cfRule type="cellIs" priority="70" operator="equal" dxfId="1">
      <formula>"En cours de repres."</formula>
    </cfRule>
    <cfRule type="cellIs" priority="71" operator="equal" dxfId="1">
      <formula>"En negociation"</formula>
    </cfRule>
    <cfRule type="cellIs" priority="72" operator="equal" dxfId="1">
      <formula>"En preparation"</formula>
    </cfRule>
    <cfRule type="cellIs" priority="73" operator="equal" dxfId="1">
      <formula>"En cours d'instruction"</formula>
    </cfRule>
    <cfRule type="cellIs" priority="74" operator="equal" dxfId="1">
      <formula>"Transferee N+1"</formula>
    </cfRule>
    <cfRule type="cellIs" priority="75" operator="equal" dxfId="1">
      <formula>"En attente reponse"</formula>
    </cfRule>
    <cfRule type="cellIs" priority="76" operator="equal" dxfId="1">
      <formula>"Enquete ouverte"</formula>
    </cfRule>
    <cfRule type="cellIs" priority="77" operator="equal" dxfId="1">
      <formula>"Convocation envoyee"</formula>
    </cfRule>
    <cfRule type="cellIs" priority="78" operator="equal" dxfId="1">
      <formula>"Entretien realise"</formula>
    </cfRule>
    <cfRule type="cellIs" priority="79" operator="equal" dxfId="1">
      <formula>"Saisie"</formula>
    </cfRule>
    <cfRule type="cellIs" priority="80" operator="equal" dxfId="1">
      <formula>"En mediation"</formula>
    </cfRule>
    <cfRule type="cellIs" priority="81" operator="equal" dxfId="1">
      <formula>"En recours"</formula>
    </cfRule>
    <cfRule type="cellIs" priority="82" operator="equal" dxfId="1">
      <formula>"Reportee"</formula>
    </cfRule>
    <cfRule type="cellIs" priority="83" operator="equal" dxfId="1">
      <formula>"Signale"</formula>
    </cfRule>
    <cfRule type="cellIs" priority="84" operator="equal" dxfId="1">
      <formula>"Precontentieux"</formula>
    </cfRule>
    <cfRule type="cellIs" priority="85" operator="equal" dxfId="1">
      <formula>"En attente election"</formula>
    </cfRule>
    <cfRule type="cellIs" priority="86" operator="equal" dxfId="1">
      <formula>"Classe"</formula>
    </cfRule>
    <cfRule type="cellIs" priority="87" operator="equal" dxfId="2">
      <formula>"Expire"</formula>
    </cfRule>
    <cfRule type="cellIs" priority="88" operator="equal" dxfId="2">
      <formula>"Rejete"</formula>
    </cfRule>
    <cfRule type="cellIs" priority="89" operator="equal" dxfId="2">
      <formula>"Rejetee"</formula>
    </cfRule>
    <cfRule type="cellIs" priority="90" operator="equal" dxfId="2">
      <formula>"Resilie"</formula>
    </cfRule>
    <cfRule type="cellIs" priority="91" operator="equal" dxfId="2">
      <formula>"Annule"</formula>
    </cfRule>
    <cfRule type="cellIs" priority="92" operator="equal" dxfId="2">
      <formula>"Annulee"</formula>
    </cfRule>
    <cfRule type="cellIs" priority="93" operator="equal" dxfId="2">
      <formula>"Refuse"</formula>
    </cfRule>
    <cfRule type="cellIs" priority="94" operator="equal" dxfId="2">
      <formula>"Non justifie"</formula>
    </cfRule>
    <cfRule type="cellIs" priority="95" operator="equal" dxfId="2">
      <formula>"Non justifiee"</formula>
    </cfRule>
    <cfRule type="cellIs" priority="96" operator="equal" dxfId="2">
      <formula>"Sanctionne"</formula>
    </cfRule>
    <cfRule type="cellIs" priority="97" operator="equal" dxfId="2">
      <formula>"Inaptitude"</formula>
    </cfRule>
    <cfRule type="cellIs" priority="98" operator="equal" dxfId="2">
      <formula>"Absent sans autorisation"</formula>
    </cfRule>
    <cfRule type="cellIs" priority="99" operator="equal" dxfId="2">
      <formula>"Abandon de poste"</formula>
    </cfRule>
    <cfRule type="cellIs" priority="100" operator="equal" dxfId="2">
      <formula>"Non satisfait"</formula>
    </cfRule>
    <cfRule type="cellIs" priority="101" operator="equal" dxfId="2">
      <formula>"Reportee"</formula>
    </cfRule>
    <cfRule type="cellIs" priority="102" operator="equal" dxfId="2">
      <formula>"Depasse"</formula>
    </cfRule>
    <cfRule type="cellIs" priority="103" operator="equal" dxfId="2">
      <formula>"Non utilise"</formula>
    </cfRule>
    <cfRule type="cellIs" priority="104" operator="equal" dxfId="2">
      <formula>"Non applicable"</formula>
    </cfRule>
    <cfRule type="cellIs" priority="105" operator="equal" dxfId="2">
      <formula>"Debutant"</formula>
    </cfRule>
    <cfRule type="cellIs" priority="106" operator="equal" dxfId="2">
      <formula>"Non atteint"</formula>
    </cfRule>
    <cfRule type="cellIs" priority="107" operator="equal" dxfId="2">
      <formula>"Abandonne"</formula>
    </cfRule>
    <cfRule type="cellIs" priority="108" operator="equal" dxfId="2">
      <formula>"Rupture essai"</formula>
    </cfRule>
    <cfRule type="cellIs" priority="109" operator="equal" dxfId="2">
      <formula>"Insuffisant"</formula>
    </cfRule>
    <cfRule type="cellIs" priority="110" operator="equal" dxfId="2">
      <formula>"Moyen"</formula>
    </cfRule>
    <cfRule type="cellIs" priority="111" operator="equal" dxfId="2">
      <formula>"E - Insuffisant"</formula>
    </cfRule>
    <cfRule type="cellIs" priority="112" operator="equal" dxfId="2">
      <formula>"Dissous"</formula>
    </cfRule>
    <cfRule type="cellIs" priority="113" operator="equal" dxfId="2">
      <formula>"Denonce"</formula>
    </cfRule>
    <cfRule type="cellIs" priority="114" operator="equal" dxfId="2">
      <formula>"Echoue"</formula>
    </cfRule>
    <cfRule type="cellIs" priority="115" operator="equal" dxfId="2">
      <formula>"Echouee"</formula>
    </cfRule>
    <cfRule type="cellIs" priority="116" operator="equal" dxfId="2">
      <formula>"Revoque"</formula>
    </cfRule>
    <cfRule type="cellIs" priority="117" operator="equal" dxfId="2">
      <formula>"Demissionnaire"</formula>
    </cfRule>
    <cfRule type="cellIs" priority="118" operator="equal" dxfId="2">
      <formula>"Licenciement pour faute"</formula>
    </cfRule>
    <cfRule type="cellIs" priority="119" operator="equal" dxfId="2">
      <formula>"Licenciement pour faute grave"</formula>
    </cfRule>
    <cfRule type="cellIs" priority="120" operator="equal" dxfId="2">
      <formula>"Terminee - Echec"</formula>
    </cfRule>
    <cfRule type="cellIs" priority="121" operator="equal" dxfId="2">
      <formula>"Abandonnee"</formula>
    </cfRule>
    <cfRule type="cellIs" priority="122" operator="equal" dxfId="2">
      <formula>"Violence physique"</formula>
    </cfRule>
    <cfRule type="cellIs" priority="123" operator="equal" dxfId="2">
      <formula>"Violence verbale"</formula>
    </cfRule>
  </conditionalFormatting>
  <conditionalFormatting sqref="B9:B108">
    <cfRule type="expression" priority="124" dxfId="3">
      <formula>AND($C9="",$C8&lt;&gt;"")</formula>
    </cfRule>
  </conditionalFormatting>
  <conditionalFormatting sqref="C9:C108">
    <cfRule type="expression" priority="125" dxfId="3">
      <formula>AND($C9="",$C8&lt;&gt;"")</formula>
    </cfRule>
  </conditionalFormatting>
  <conditionalFormatting sqref="D9:D108">
    <cfRule type="expression" priority="126" dxfId="3">
      <formula>AND($C9="",$C8&lt;&gt;"")</formula>
    </cfRule>
  </conditionalFormatting>
  <conditionalFormatting sqref="E9:E108">
    <cfRule type="expression" priority="127" dxfId="3">
      <formula>AND($C9="",$C8&lt;&gt;"")</formula>
    </cfRule>
  </conditionalFormatting>
  <conditionalFormatting sqref="F9:F108">
    <cfRule type="expression" priority="128" dxfId="3">
      <formula>AND($C9="",$C8&lt;&gt;"")</formula>
    </cfRule>
  </conditionalFormatting>
  <conditionalFormatting sqref="G9:G108">
    <cfRule type="expression" priority="129" dxfId="3">
      <formula>AND($C9="",$C8&lt;&gt;"")</formula>
    </cfRule>
  </conditionalFormatting>
  <conditionalFormatting sqref="H9:H108">
    <cfRule type="expression" priority="130" dxfId="3">
      <formula>AND($C9="",$C8&lt;&gt;"")</formula>
    </cfRule>
  </conditionalFormatting>
  <conditionalFormatting sqref="I9:I108">
    <cfRule type="expression" priority="131" dxfId="3">
      <formula>AND($C9="",$C8&lt;&gt;"")</formula>
    </cfRule>
  </conditionalFormatting>
  <conditionalFormatting sqref="J9:J108">
    <cfRule type="expression" priority="132" dxfId="3">
      <formula>AND($C9="",$C8&lt;&gt;"")</formula>
    </cfRule>
  </conditionalFormatting>
  <dataValidations count="3">
    <dataValidation sqref="C5:C108" showDropDown="0" showInputMessage="0" showErrorMessage="0" allowBlank="1" errorTitle="Erreur" error="Valeur invalide" promptTitle="Liste" prompt="Choisir dans la liste" type="list">
      <formula1>'_Lists'!$N$2:$N$8</formula1>
    </dataValidation>
    <dataValidation sqref="I5:I108" showDropDown="0" showInputMessage="0" showErrorMessage="0" allowBlank="1" errorTitle="Erreur" error="Valeur invalide" promptTitle="Liste" prompt="Choisir dans la liste" type="list">
      <formula1>'_Lists'!$Z$2:$Z$5</formula1>
    </dataValidation>
    <dataValidation sqref="J5:J108" showDropDown="0" showInputMessage="0" showErrorMessage="0" allowBlank="1" errorTitle="Erreur" error="Valeur invalide" promptTitle="Liste" prompt="Choisir dans la liste" type="list">
      <formula1>'_Lists'!$O$2:$O$7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K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4" customWidth="1" min="4" max="4"/>
    <col width="16" customWidth="1" min="5" max="5"/>
    <col width="32" customWidth="1" min="6" max="6"/>
    <col width="34" customWidth="1" min="7" max="7"/>
    <col width="34" customWidth="1" min="8" max="8"/>
    <col width="20" customWidth="1" min="9" max="9"/>
    <col width="16" customWidth="1" min="10" max="10"/>
    <col width="14" customWidth="1" min="11" max="11"/>
  </cols>
  <sheetData>
    <row r="1" ht="15" customHeight="1"/>
    <row r="2" ht="32" customHeight="1">
      <c r="B2" s="1" t="inlineStr">
        <is>
          <t>PV REUNIONS - INSTANCES REPRESENTATIVES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 PV</t>
        </is>
      </c>
      <c r="C4" s="10" t="inlineStr">
        <is>
          <t>Instance</t>
        </is>
      </c>
      <c r="D4" s="10" t="inlineStr">
        <is>
          <t>Date Reunion</t>
        </is>
      </c>
      <c r="E4" s="10" t="inlineStr">
        <is>
          <t>Nb Participants</t>
        </is>
      </c>
      <c r="F4" s="10" t="inlineStr">
        <is>
          <t>Ordre du Jour</t>
        </is>
      </c>
      <c r="G4" s="10" t="inlineStr">
        <is>
          <t>Decisions</t>
        </is>
      </c>
      <c r="H4" s="10" t="inlineStr">
        <is>
          <t>Action(s) a Suivre</t>
        </is>
      </c>
      <c r="I4" s="10" t="inlineStr">
        <is>
          <t>Responsable Suivi</t>
        </is>
      </c>
      <c r="J4" s="10" t="inlineStr">
        <is>
          <t>Echeance Suivi</t>
        </is>
      </c>
      <c r="K4" s="10" t="inlineStr">
        <is>
          <t>Statut Reunion</t>
        </is>
      </c>
    </row>
    <row r="5" ht="22" customHeight="1">
      <c r="B5" s="11" t="inlineStr">
        <is>
          <t>PV-001</t>
        </is>
      </c>
      <c r="C5" s="11" t="inlineStr">
        <is>
          <t>CSE</t>
        </is>
      </c>
      <c r="D5" s="28" t="n">
        <v>45677</v>
      </c>
      <c r="E5" s="13" t="n">
        <v>12</v>
      </c>
      <c r="F5" s="11" t="inlineStr">
        <is>
          <t>Budget social 2025</t>
        </is>
      </c>
      <c r="G5" s="11" t="inlineStr">
        <is>
          <t>Budget valide 15M FCFA</t>
        </is>
      </c>
      <c r="H5" s="11" t="inlineStr">
        <is>
          <t>Suivi execution budget trimestriel</t>
        </is>
      </c>
      <c r="I5" s="11" t="inlineStr">
        <is>
          <t>DRH Nganou</t>
        </is>
      </c>
      <c r="J5" s="28" t="n">
        <v>45767</v>
      </c>
      <c r="K5" s="11" t="inlineStr">
        <is>
          <t>Tenue</t>
        </is>
      </c>
    </row>
    <row r="6" ht="22" customHeight="1">
      <c r="B6" s="14" t="inlineStr">
        <is>
          <t>PV-002</t>
        </is>
      </c>
      <c r="C6" s="14" t="inlineStr">
        <is>
          <t>CSE</t>
        </is>
      </c>
      <c r="D6" s="29" t="n">
        <v>45731</v>
      </c>
      <c r="E6" s="16" t="n">
        <v>10</v>
      </c>
      <c r="F6" s="14" t="inlineStr">
        <is>
          <t>Conditions saison haute</t>
        </is>
      </c>
      <c r="G6" s="14" t="inlineStr">
        <is>
          <t>Heures sup. majorees 25%</t>
        </is>
      </c>
      <c r="H6" s="14" t="inlineStr">
        <is>
          <t>Negocier primes saison haute</t>
        </is>
      </c>
      <c r="I6" s="14" t="inlineStr">
        <is>
          <t>DRH Nganou</t>
        </is>
      </c>
      <c r="J6" s="29" t="n">
        <v>45823</v>
      </c>
      <c r="K6" s="14" t="inlineStr">
        <is>
          <t>Tenue</t>
        </is>
      </c>
    </row>
    <row r="7" ht="22" customHeight="1">
      <c r="B7" s="11" t="inlineStr">
        <is>
          <t>PV-003</t>
        </is>
      </c>
      <c r="C7" s="11" t="inlineStr">
        <is>
          <t>CHSCT</t>
        </is>
      </c>
      <c r="D7" s="28" t="n">
        <v>45757</v>
      </c>
      <c r="E7" s="13" t="n">
        <v>8</v>
      </c>
      <c r="F7" s="11" t="inlineStr">
        <is>
          <t>Audit securite</t>
        </is>
      </c>
      <c r="G7" s="11" t="inlineStr">
        <is>
          <t>3 actions correctives</t>
        </is>
      </c>
      <c r="H7" s="11" t="inlineStr">
        <is>
          <t>Plan action securite Q2</t>
        </is>
      </c>
      <c r="I7" s="11" t="inlineStr">
        <is>
          <t>Chef Securite</t>
        </is>
      </c>
      <c r="J7" s="28" t="n">
        <v>45848</v>
      </c>
      <c r="K7" s="11" t="inlineStr">
        <is>
          <t>Tenue</t>
        </is>
      </c>
    </row>
    <row r="8" ht="22" customHeight="1">
      <c r="B8" s="14" t="inlineStr">
        <is>
          <t>PV-004</t>
        </is>
      </c>
      <c r="C8" s="14" t="inlineStr">
        <is>
          <t>Commission formation</t>
        </is>
      </c>
      <c r="D8" s="29" t="n">
        <v>45693</v>
      </c>
      <c r="E8" s="16" t="n">
        <v>6</v>
      </c>
      <c r="F8" s="14" t="inlineStr">
        <is>
          <t>PAF 2025</t>
        </is>
      </c>
      <c r="G8" s="14" t="inlineStr">
        <is>
          <t>PAF valide 8.5M FCFA</t>
        </is>
      </c>
      <c r="H8" s="14" t="inlineStr">
        <is>
          <t>Lancer inscriptions T2</t>
        </is>
      </c>
      <c r="I8" s="14" t="inlineStr">
        <is>
          <t>Assistante RH</t>
        </is>
      </c>
      <c r="J8" s="29" t="n">
        <v>45782</v>
      </c>
      <c r="K8" s="14" t="inlineStr">
        <is>
          <t>Tenue</t>
        </is>
      </c>
    </row>
    <row r="9" ht="22" customHeight="1">
      <c r="B9" s="11" t="inlineStr">
        <is>
          <t>PV-005</t>
        </is>
      </c>
      <c r="C9" s="11" t="inlineStr">
        <is>
          <t>CSE</t>
        </is>
      </c>
      <c r="D9" s="28" t="n">
        <v>45856</v>
      </c>
      <c r="E9" s="13" t="n">
        <v>0</v>
      </c>
      <c r="F9" s="11" t="inlineStr">
        <is>
          <t>Bilan oeuvres sociales S1</t>
        </is>
      </c>
      <c r="G9" s="11" t="inlineStr"/>
      <c r="H9" s="11" t="inlineStr">
        <is>
          <t>Preparer documents bilan</t>
        </is>
      </c>
      <c r="I9" s="11" t="inlineStr">
        <is>
          <t>DRH Nganou</t>
        </is>
      </c>
      <c r="J9" s="28" t="n">
        <v>45853</v>
      </c>
      <c r="K9" s="11" t="inlineStr">
        <is>
          <t>Planifiee</t>
        </is>
      </c>
    </row>
    <row r="10" ht="22" customHeight="1">
      <c r="B10" s="17">
        <f>IF(C10="","PV-"&amp;TEXT(COUNTA($C$5:C10),"000"))</f>
        <v/>
      </c>
      <c r="C10" s="14" t="n"/>
      <c r="D10" s="29" t="n"/>
      <c r="E10" s="16" t="n"/>
      <c r="F10" s="14" t="n"/>
      <c r="G10" s="14" t="n"/>
      <c r="H10" s="14" t="n"/>
      <c r="I10" s="14" t="n"/>
      <c r="J10" s="29" t="n"/>
      <c r="K10" s="14" t="n"/>
    </row>
    <row r="11" ht="22" customHeight="1">
      <c r="B11" s="18">
        <f>IF(C11="","PV-"&amp;TEXT(COUNTA($C$5:C11),"000"))</f>
        <v/>
      </c>
      <c r="C11" s="11" t="n"/>
      <c r="D11" s="28" t="n"/>
      <c r="E11" s="13" t="n"/>
      <c r="F11" s="11" t="n"/>
      <c r="G11" s="11" t="n"/>
      <c r="H11" s="11" t="n"/>
      <c r="I11" s="11" t="n"/>
      <c r="J11" s="28" t="n"/>
      <c r="K11" s="11" t="n"/>
    </row>
    <row r="12" ht="22" customHeight="1">
      <c r="B12" s="17">
        <f>IF(C12="","PV-"&amp;TEXT(COUNTA($C$5:C12),"000"))</f>
        <v/>
      </c>
      <c r="C12" s="14" t="n"/>
      <c r="D12" s="29" t="n"/>
      <c r="E12" s="16" t="n"/>
      <c r="F12" s="14" t="n"/>
      <c r="G12" s="14" t="n"/>
      <c r="H12" s="14" t="n"/>
      <c r="I12" s="14" t="n"/>
      <c r="J12" s="29" t="n"/>
      <c r="K12" s="14" t="n"/>
    </row>
    <row r="13" ht="22" customHeight="1">
      <c r="B13" s="18">
        <f>IF(C13="","PV-"&amp;TEXT(COUNTA($C$5:C13),"000"))</f>
        <v/>
      </c>
      <c r="C13" s="11" t="n"/>
      <c r="D13" s="28" t="n"/>
      <c r="E13" s="13" t="n"/>
      <c r="F13" s="11" t="n"/>
      <c r="G13" s="11" t="n"/>
      <c r="H13" s="11" t="n"/>
      <c r="I13" s="11" t="n"/>
      <c r="J13" s="28" t="n"/>
      <c r="K13" s="11" t="n"/>
    </row>
    <row r="14" ht="22" customHeight="1">
      <c r="B14" s="17">
        <f>IF(C14="","PV-"&amp;TEXT(COUNTA($C$5:C14),"000"))</f>
        <v/>
      </c>
      <c r="C14" s="14" t="n"/>
      <c r="D14" s="29" t="n"/>
      <c r="E14" s="16" t="n"/>
      <c r="F14" s="14" t="n"/>
      <c r="G14" s="14" t="n"/>
      <c r="H14" s="14" t="n"/>
      <c r="I14" s="14" t="n"/>
      <c r="J14" s="29" t="n"/>
      <c r="K14" s="14" t="n"/>
    </row>
    <row r="15" ht="22" customHeight="1">
      <c r="B15" s="18">
        <f>IF(C15="","PV-"&amp;TEXT(COUNTA($C$5:C15),"000"))</f>
        <v/>
      </c>
      <c r="C15" s="11" t="n"/>
      <c r="D15" s="28" t="n"/>
      <c r="E15" s="13" t="n"/>
      <c r="F15" s="11" t="n"/>
      <c r="G15" s="11" t="n"/>
      <c r="H15" s="11" t="n"/>
      <c r="I15" s="11" t="n"/>
      <c r="J15" s="28" t="n"/>
      <c r="K15" s="11" t="n"/>
    </row>
    <row r="16" ht="22" customHeight="1">
      <c r="B16" s="17">
        <f>IF(C16="","PV-"&amp;TEXT(COUNTA($C$5:C16),"000"))</f>
        <v/>
      </c>
      <c r="C16" s="14" t="n"/>
      <c r="D16" s="29" t="n"/>
      <c r="E16" s="16" t="n"/>
      <c r="F16" s="14" t="n"/>
      <c r="G16" s="14" t="n"/>
      <c r="H16" s="14" t="n"/>
      <c r="I16" s="14" t="n"/>
      <c r="J16" s="29" t="n"/>
      <c r="K16" s="14" t="n"/>
    </row>
    <row r="17" ht="22" customHeight="1">
      <c r="B17" s="18">
        <f>IF(C17="","PV-"&amp;TEXT(COUNTA($C$5:C17),"000"))</f>
        <v/>
      </c>
      <c r="C17" s="11" t="n"/>
      <c r="D17" s="28" t="n"/>
      <c r="E17" s="13" t="n"/>
      <c r="F17" s="11" t="n"/>
      <c r="G17" s="11" t="n"/>
      <c r="H17" s="11" t="n"/>
      <c r="I17" s="11" t="n"/>
      <c r="J17" s="28" t="n"/>
      <c r="K17" s="11" t="n"/>
    </row>
    <row r="18" ht="22" customHeight="1">
      <c r="B18" s="17">
        <f>IF(C18="","PV-"&amp;TEXT(COUNTA($C$5:C18),"000"))</f>
        <v/>
      </c>
      <c r="C18" s="14" t="n"/>
      <c r="D18" s="29" t="n"/>
      <c r="E18" s="16" t="n"/>
      <c r="F18" s="14" t="n"/>
      <c r="G18" s="14" t="n"/>
      <c r="H18" s="14" t="n"/>
      <c r="I18" s="14" t="n"/>
      <c r="J18" s="29" t="n"/>
      <c r="K18" s="14" t="n"/>
    </row>
    <row r="19" ht="22" customHeight="1">
      <c r="B19" s="18">
        <f>IF(C19="","PV-"&amp;TEXT(COUNTA($C$5:C19),"000"))</f>
        <v/>
      </c>
      <c r="C19" s="11" t="n"/>
      <c r="D19" s="28" t="n"/>
      <c r="E19" s="13" t="n"/>
      <c r="F19" s="11" t="n"/>
      <c r="G19" s="11" t="n"/>
      <c r="H19" s="11" t="n"/>
      <c r="I19" s="11" t="n"/>
      <c r="J19" s="28" t="n"/>
      <c r="K19" s="11" t="n"/>
    </row>
    <row r="20" ht="22" customHeight="1">
      <c r="B20" s="17">
        <f>IF(C20="","PV-"&amp;TEXT(COUNTA($C$5:C20),"000"))</f>
        <v/>
      </c>
      <c r="C20" s="14" t="n"/>
      <c r="D20" s="29" t="n"/>
      <c r="E20" s="16" t="n"/>
      <c r="F20" s="14" t="n"/>
      <c r="G20" s="14" t="n"/>
      <c r="H20" s="14" t="n"/>
      <c r="I20" s="14" t="n"/>
      <c r="J20" s="29" t="n"/>
      <c r="K20" s="14" t="n"/>
    </row>
    <row r="21" ht="22" customHeight="1">
      <c r="B21" s="18">
        <f>IF(C21="","PV-"&amp;TEXT(COUNTA($C$5:C21),"000"))</f>
        <v/>
      </c>
      <c r="C21" s="11" t="n"/>
      <c r="D21" s="28" t="n"/>
      <c r="E21" s="13" t="n"/>
      <c r="F21" s="11" t="n"/>
      <c r="G21" s="11" t="n"/>
      <c r="H21" s="11" t="n"/>
      <c r="I21" s="11" t="n"/>
      <c r="J21" s="28" t="n"/>
      <c r="K21" s="11" t="n"/>
    </row>
    <row r="22" ht="22" customHeight="1">
      <c r="B22" s="17">
        <f>IF(C22="","PV-"&amp;TEXT(COUNTA($C$5:C22),"000"))</f>
        <v/>
      </c>
      <c r="C22" s="14" t="n"/>
      <c r="D22" s="29" t="n"/>
      <c r="E22" s="16" t="n"/>
      <c r="F22" s="14" t="n"/>
      <c r="G22" s="14" t="n"/>
      <c r="H22" s="14" t="n"/>
      <c r="I22" s="14" t="n"/>
      <c r="J22" s="29" t="n"/>
      <c r="K22" s="14" t="n"/>
    </row>
    <row r="23" ht="22" customHeight="1">
      <c r="B23" s="18">
        <f>IF(C23="","PV-"&amp;TEXT(COUNTA($C$5:C23),"000"))</f>
        <v/>
      </c>
      <c r="C23" s="11" t="n"/>
      <c r="D23" s="28" t="n"/>
      <c r="E23" s="13" t="n"/>
      <c r="F23" s="11" t="n"/>
      <c r="G23" s="11" t="n"/>
      <c r="H23" s="11" t="n"/>
      <c r="I23" s="11" t="n"/>
      <c r="J23" s="28" t="n"/>
      <c r="K23" s="11" t="n"/>
    </row>
    <row r="24" ht="22" customHeight="1">
      <c r="B24" s="17">
        <f>IF(C24="","PV-"&amp;TEXT(COUNTA($C$5:C24),"000"))</f>
        <v/>
      </c>
      <c r="C24" s="14" t="n"/>
      <c r="D24" s="29" t="n"/>
      <c r="E24" s="16" t="n"/>
      <c r="F24" s="14" t="n"/>
      <c r="G24" s="14" t="n"/>
      <c r="H24" s="14" t="n"/>
      <c r="I24" s="14" t="n"/>
      <c r="J24" s="29" t="n"/>
      <c r="K24" s="14" t="n"/>
    </row>
    <row r="25" ht="22" customHeight="1">
      <c r="B25" s="18">
        <f>IF(C25="","PV-"&amp;TEXT(COUNTA($C$5:C25),"000"))</f>
        <v/>
      </c>
      <c r="C25" s="11" t="n"/>
      <c r="D25" s="28" t="n"/>
      <c r="E25" s="13" t="n"/>
      <c r="F25" s="11" t="n"/>
      <c r="G25" s="11" t="n"/>
      <c r="H25" s="11" t="n"/>
      <c r="I25" s="11" t="n"/>
      <c r="J25" s="28" t="n"/>
      <c r="K25" s="11" t="n"/>
    </row>
    <row r="26" ht="22" customHeight="1">
      <c r="B26" s="17">
        <f>IF(C26="","PV-"&amp;TEXT(COUNTA($C$5:C26),"000"))</f>
        <v/>
      </c>
      <c r="C26" s="14" t="n"/>
      <c r="D26" s="29" t="n"/>
      <c r="E26" s="16" t="n"/>
      <c r="F26" s="14" t="n"/>
      <c r="G26" s="14" t="n"/>
      <c r="H26" s="14" t="n"/>
      <c r="I26" s="14" t="n"/>
      <c r="J26" s="29" t="n"/>
      <c r="K26" s="14" t="n"/>
    </row>
    <row r="27" ht="22" customHeight="1">
      <c r="B27" s="18">
        <f>IF(C27="","PV-"&amp;TEXT(COUNTA($C$5:C27),"000"))</f>
        <v/>
      </c>
      <c r="C27" s="11" t="n"/>
      <c r="D27" s="28" t="n"/>
      <c r="E27" s="13" t="n"/>
      <c r="F27" s="11" t="n"/>
      <c r="G27" s="11" t="n"/>
      <c r="H27" s="11" t="n"/>
      <c r="I27" s="11" t="n"/>
      <c r="J27" s="28" t="n"/>
      <c r="K27" s="11" t="n"/>
    </row>
    <row r="28" ht="22" customHeight="1">
      <c r="B28" s="17">
        <f>IF(C28="","PV-"&amp;TEXT(COUNTA($C$5:C28),"000"))</f>
        <v/>
      </c>
      <c r="C28" s="14" t="n"/>
      <c r="D28" s="29" t="n"/>
      <c r="E28" s="16" t="n"/>
      <c r="F28" s="14" t="n"/>
      <c r="G28" s="14" t="n"/>
      <c r="H28" s="14" t="n"/>
      <c r="I28" s="14" t="n"/>
      <c r="J28" s="29" t="n"/>
      <c r="K28" s="14" t="n"/>
    </row>
    <row r="29" ht="22" customHeight="1">
      <c r="B29" s="18">
        <f>IF(C29="","PV-"&amp;TEXT(COUNTA($C$5:C29),"000"))</f>
        <v/>
      </c>
      <c r="C29" s="11" t="n"/>
      <c r="D29" s="28" t="n"/>
      <c r="E29" s="13" t="n"/>
      <c r="F29" s="11" t="n"/>
      <c r="G29" s="11" t="n"/>
      <c r="H29" s="11" t="n"/>
      <c r="I29" s="11" t="n"/>
      <c r="J29" s="28" t="n"/>
      <c r="K29" s="11" t="n"/>
    </row>
    <row r="30" ht="22" customHeight="1">
      <c r="B30" s="17">
        <f>IF(C30="","PV-"&amp;TEXT(COUNTA($C$5:C30),"000"))</f>
        <v/>
      </c>
      <c r="C30" s="14" t="n"/>
      <c r="D30" s="29" t="n"/>
      <c r="E30" s="16" t="n"/>
      <c r="F30" s="14" t="n"/>
      <c r="G30" s="14" t="n"/>
      <c r="H30" s="14" t="n"/>
      <c r="I30" s="14" t="n"/>
      <c r="J30" s="29" t="n"/>
      <c r="K30" s="14" t="n"/>
    </row>
    <row r="31" ht="22" customHeight="1">
      <c r="B31" s="18">
        <f>IF(C31="","PV-"&amp;TEXT(COUNTA($C$5:C31),"000"))</f>
        <v/>
      </c>
      <c r="C31" s="11" t="n"/>
      <c r="D31" s="28" t="n"/>
      <c r="E31" s="13" t="n"/>
      <c r="F31" s="11" t="n"/>
      <c r="G31" s="11" t="n"/>
      <c r="H31" s="11" t="n"/>
      <c r="I31" s="11" t="n"/>
      <c r="J31" s="28" t="n"/>
      <c r="K31" s="11" t="n"/>
    </row>
    <row r="32" ht="22" customHeight="1">
      <c r="B32" s="17">
        <f>IF(C32="","PV-"&amp;TEXT(COUNTA($C$5:C32),"000"))</f>
        <v/>
      </c>
      <c r="C32" s="14" t="n"/>
      <c r="D32" s="29" t="n"/>
      <c r="E32" s="16" t="n"/>
      <c r="F32" s="14" t="n"/>
      <c r="G32" s="14" t="n"/>
      <c r="H32" s="14" t="n"/>
      <c r="I32" s="14" t="n"/>
      <c r="J32" s="29" t="n"/>
      <c r="K32" s="14" t="n"/>
    </row>
    <row r="33" ht="22" customHeight="1">
      <c r="B33" s="18">
        <f>IF(C33="","PV-"&amp;TEXT(COUNTA($C$5:C33),"000"))</f>
        <v/>
      </c>
      <c r="C33" s="11" t="n"/>
      <c r="D33" s="28" t="n"/>
      <c r="E33" s="13" t="n"/>
      <c r="F33" s="11" t="n"/>
      <c r="G33" s="11" t="n"/>
      <c r="H33" s="11" t="n"/>
      <c r="I33" s="11" t="n"/>
      <c r="J33" s="28" t="n"/>
      <c r="K33" s="11" t="n"/>
    </row>
    <row r="34" ht="22" customHeight="1">
      <c r="B34" s="17">
        <f>IF(C34="","PV-"&amp;TEXT(COUNTA($C$5:C34),"000"))</f>
        <v/>
      </c>
      <c r="C34" s="14" t="n"/>
      <c r="D34" s="29" t="n"/>
      <c r="E34" s="16" t="n"/>
      <c r="F34" s="14" t="n"/>
      <c r="G34" s="14" t="n"/>
      <c r="H34" s="14" t="n"/>
      <c r="I34" s="14" t="n"/>
      <c r="J34" s="29" t="n"/>
      <c r="K34" s="14" t="n"/>
    </row>
    <row r="35" ht="22" customHeight="1">
      <c r="B35" s="18">
        <f>IF(C35="","PV-"&amp;TEXT(COUNTA($C$5:C35),"000"))</f>
        <v/>
      </c>
      <c r="C35" s="11" t="n"/>
      <c r="D35" s="28" t="n"/>
      <c r="E35" s="13" t="n"/>
      <c r="F35" s="11" t="n"/>
      <c r="G35" s="11" t="n"/>
      <c r="H35" s="11" t="n"/>
      <c r="I35" s="11" t="n"/>
      <c r="J35" s="28" t="n"/>
      <c r="K35" s="11" t="n"/>
    </row>
    <row r="36" ht="22" customHeight="1">
      <c r="B36" s="17">
        <f>IF(C36="","PV-"&amp;TEXT(COUNTA($C$5:C36),"000"))</f>
        <v/>
      </c>
      <c r="C36" s="14" t="n"/>
      <c r="D36" s="29" t="n"/>
      <c r="E36" s="16" t="n"/>
      <c r="F36" s="14" t="n"/>
      <c r="G36" s="14" t="n"/>
      <c r="H36" s="14" t="n"/>
      <c r="I36" s="14" t="n"/>
      <c r="J36" s="29" t="n"/>
      <c r="K36" s="14" t="n"/>
    </row>
    <row r="37" ht="22" customHeight="1">
      <c r="B37" s="18">
        <f>IF(C37="","PV-"&amp;TEXT(COUNTA($C$5:C37),"000"))</f>
        <v/>
      </c>
      <c r="C37" s="11" t="n"/>
      <c r="D37" s="28" t="n"/>
      <c r="E37" s="13" t="n"/>
      <c r="F37" s="11" t="n"/>
      <c r="G37" s="11" t="n"/>
      <c r="H37" s="11" t="n"/>
      <c r="I37" s="11" t="n"/>
      <c r="J37" s="28" t="n"/>
      <c r="K37" s="11" t="n"/>
    </row>
    <row r="38" ht="22" customHeight="1">
      <c r="B38" s="17">
        <f>IF(C38="","PV-"&amp;TEXT(COUNTA($C$5:C38),"000"))</f>
        <v/>
      </c>
      <c r="C38" s="14" t="n"/>
      <c r="D38" s="29" t="n"/>
      <c r="E38" s="16" t="n"/>
      <c r="F38" s="14" t="n"/>
      <c r="G38" s="14" t="n"/>
      <c r="H38" s="14" t="n"/>
      <c r="I38" s="14" t="n"/>
      <c r="J38" s="29" t="n"/>
      <c r="K38" s="14" t="n"/>
    </row>
    <row r="39" ht="22" customHeight="1">
      <c r="B39" s="18">
        <f>IF(C39="","PV-"&amp;TEXT(COUNTA($C$5:C39),"000"))</f>
        <v/>
      </c>
      <c r="C39" s="11" t="n"/>
      <c r="D39" s="28" t="n"/>
      <c r="E39" s="13" t="n"/>
      <c r="F39" s="11" t="n"/>
      <c r="G39" s="11" t="n"/>
      <c r="H39" s="11" t="n"/>
      <c r="I39" s="11" t="n"/>
      <c r="J39" s="28" t="n"/>
      <c r="K39" s="11" t="n"/>
    </row>
    <row r="40" ht="22" customHeight="1">
      <c r="B40" s="17">
        <f>IF(C40="","PV-"&amp;TEXT(COUNTA($C$5:C40),"000"))</f>
        <v/>
      </c>
      <c r="C40" s="14" t="n"/>
      <c r="D40" s="29" t="n"/>
      <c r="E40" s="16" t="n"/>
      <c r="F40" s="14" t="n"/>
      <c r="G40" s="14" t="n"/>
      <c r="H40" s="14" t="n"/>
      <c r="I40" s="14" t="n"/>
      <c r="J40" s="29" t="n"/>
      <c r="K40" s="14" t="n"/>
    </row>
    <row r="41" ht="22" customHeight="1">
      <c r="B41" s="18">
        <f>IF(C41="","PV-"&amp;TEXT(COUNTA($C$5:C41),"000"))</f>
        <v/>
      </c>
      <c r="C41" s="11" t="n"/>
      <c r="D41" s="28" t="n"/>
      <c r="E41" s="13" t="n"/>
      <c r="F41" s="11" t="n"/>
      <c r="G41" s="11" t="n"/>
      <c r="H41" s="11" t="n"/>
      <c r="I41" s="11" t="n"/>
      <c r="J41" s="28" t="n"/>
      <c r="K41" s="11" t="n"/>
    </row>
    <row r="42" ht="22" customHeight="1">
      <c r="B42" s="17">
        <f>IF(C42="","PV-"&amp;TEXT(COUNTA($C$5:C42),"000"))</f>
        <v/>
      </c>
      <c r="C42" s="14" t="n"/>
      <c r="D42" s="29" t="n"/>
      <c r="E42" s="16" t="n"/>
      <c r="F42" s="14" t="n"/>
      <c r="G42" s="14" t="n"/>
      <c r="H42" s="14" t="n"/>
      <c r="I42" s="14" t="n"/>
      <c r="J42" s="29" t="n"/>
      <c r="K42" s="14" t="n"/>
    </row>
    <row r="43" ht="22" customHeight="1">
      <c r="B43" s="18">
        <f>IF(C43="","PV-"&amp;TEXT(COUNTA($C$5:C43),"000"))</f>
        <v/>
      </c>
      <c r="C43" s="11" t="n"/>
      <c r="D43" s="28" t="n"/>
      <c r="E43" s="13" t="n"/>
      <c r="F43" s="11" t="n"/>
      <c r="G43" s="11" t="n"/>
      <c r="H43" s="11" t="n"/>
      <c r="I43" s="11" t="n"/>
      <c r="J43" s="28" t="n"/>
      <c r="K43" s="11" t="n"/>
    </row>
    <row r="44" ht="22" customHeight="1">
      <c r="B44" s="17">
        <f>IF(C44="","PV-"&amp;TEXT(COUNTA($C$5:C44),"000"))</f>
        <v/>
      </c>
      <c r="C44" s="14" t="n"/>
      <c r="D44" s="29" t="n"/>
      <c r="E44" s="16" t="n"/>
      <c r="F44" s="14" t="n"/>
      <c r="G44" s="14" t="n"/>
      <c r="H44" s="14" t="n"/>
      <c r="I44" s="14" t="n"/>
      <c r="J44" s="29" t="n"/>
      <c r="K44" s="14" t="n"/>
    </row>
    <row r="45" ht="22" customHeight="1">
      <c r="B45" s="18">
        <f>IF(C45="","PV-"&amp;TEXT(COUNTA($C$5:C45),"000"))</f>
        <v/>
      </c>
      <c r="C45" s="11" t="n"/>
      <c r="D45" s="28" t="n"/>
      <c r="E45" s="13" t="n"/>
      <c r="F45" s="11" t="n"/>
      <c r="G45" s="11" t="n"/>
      <c r="H45" s="11" t="n"/>
      <c r="I45" s="11" t="n"/>
      <c r="J45" s="28" t="n"/>
      <c r="K45" s="11" t="n"/>
    </row>
    <row r="46" ht="22" customHeight="1">
      <c r="B46" s="17">
        <f>IF(C46="","PV-"&amp;TEXT(COUNTA($C$5:C46),"000"))</f>
        <v/>
      </c>
      <c r="C46" s="14" t="n"/>
      <c r="D46" s="29" t="n"/>
      <c r="E46" s="16" t="n"/>
      <c r="F46" s="14" t="n"/>
      <c r="G46" s="14" t="n"/>
      <c r="H46" s="14" t="n"/>
      <c r="I46" s="14" t="n"/>
      <c r="J46" s="29" t="n"/>
      <c r="K46" s="14" t="n"/>
    </row>
    <row r="47" ht="22" customHeight="1">
      <c r="B47" s="18">
        <f>IF(C47="","PV-"&amp;TEXT(COUNTA($C$5:C47),"000"))</f>
        <v/>
      </c>
      <c r="C47" s="11" t="n"/>
      <c r="D47" s="28" t="n"/>
      <c r="E47" s="13" t="n"/>
      <c r="F47" s="11" t="n"/>
      <c r="G47" s="11" t="n"/>
      <c r="H47" s="11" t="n"/>
      <c r="I47" s="11" t="n"/>
      <c r="J47" s="28" t="n"/>
      <c r="K47" s="11" t="n"/>
    </row>
    <row r="48" ht="22" customHeight="1">
      <c r="B48" s="17">
        <f>IF(C48="","PV-"&amp;TEXT(COUNTA($C$5:C48),"000"))</f>
        <v/>
      </c>
      <c r="C48" s="14" t="n"/>
      <c r="D48" s="29" t="n"/>
      <c r="E48" s="16" t="n"/>
      <c r="F48" s="14" t="n"/>
      <c r="G48" s="14" t="n"/>
      <c r="H48" s="14" t="n"/>
      <c r="I48" s="14" t="n"/>
      <c r="J48" s="29" t="n"/>
      <c r="K48" s="14" t="n"/>
    </row>
    <row r="49" ht="22" customHeight="1">
      <c r="B49" s="18">
        <f>IF(C49="","PV-"&amp;TEXT(COUNTA($C$5:C49),"000"))</f>
        <v/>
      </c>
      <c r="C49" s="11" t="n"/>
      <c r="D49" s="28" t="n"/>
      <c r="E49" s="13" t="n"/>
      <c r="F49" s="11" t="n"/>
      <c r="G49" s="11" t="n"/>
      <c r="H49" s="11" t="n"/>
      <c r="I49" s="11" t="n"/>
      <c r="J49" s="28" t="n"/>
      <c r="K49" s="11" t="n"/>
    </row>
    <row r="50" ht="22" customHeight="1">
      <c r="B50" s="17">
        <f>IF(C50="","PV-"&amp;TEXT(COUNTA($C$5:C50),"000"))</f>
        <v/>
      </c>
      <c r="C50" s="14" t="n"/>
      <c r="D50" s="29" t="n"/>
      <c r="E50" s="16" t="n"/>
      <c r="F50" s="14" t="n"/>
      <c r="G50" s="14" t="n"/>
      <c r="H50" s="14" t="n"/>
      <c r="I50" s="14" t="n"/>
      <c r="J50" s="29" t="n"/>
      <c r="K50" s="14" t="n"/>
    </row>
    <row r="51" ht="22" customHeight="1">
      <c r="B51" s="18">
        <f>IF(C51="","PV-"&amp;TEXT(COUNTA($C$5:C51),"000"))</f>
        <v/>
      </c>
      <c r="C51" s="11" t="n"/>
      <c r="D51" s="28" t="n"/>
      <c r="E51" s="13" t="n"/>
      <c r="F51" s="11" t="n"/>
      <c r="G51" s="11" t="n"/>
      <c r="H51" s="11" t="n"/>
      <c r="I51" s="11" t="n"/>
      <c r="J51" s="28" t="n"/>
      <c r="K51" s="11" t="n"/>
    </row>
    <row r="52" ht="22" customHeight="1">
      <c r="B52" s="17">
        <f>IF(C52="","PV-"&amp;TEXT(COUNTA($C$5:C52),"000"))</f>
        <v/>
      </c>
      <c r="C52" s="14" t="n"/>
      <c r="D52" s="29" t="n"/>
      <c r="E52" s="16" t="n"/>
      <c r="F52" s="14" t="n"/>
      <c r="G52" s="14" t="n"/>
      <c r="H52" s="14" t="n"/>
      <c r="I52" s="14" t="n"/>
      <c r="J52" s="29" t="n"/>
      <c r="K52" s="14" t="n"/>
    </row>
    <row r="53" ht="22" customHeight="1">
      <c r="B53" s="18">
        <f>IF(C53="","PV-"&amp;TEXT(COUNTA($C$5:C53),"000"))</f>
        <v/>
      </c>
      <c r="C53" s="11" t="n"/>
      <c r="D53" s="28" t="n"/>
      <c r="E53" s="13" t="n"/>
      <c r="F53" s="11" t="n"/>
      <c r="G53" s="11" t="n"/>
      <c r="H53" s="11" t="n"/>
      <c r="I53" s="11" t="n"/>
      <c r="J53" s="28" t="n"/>
      <c r="K53" s="11" t="n"/>
    </row>
    <row r="54" ht="22" customHeight="1">
      <c r="B54" s="17">
        <f>IF(C54="","PV-"&amp;TEXT(COUNTA($C$5:C54),"000"))</f>
        <v/>
      </c>
      <c r="C54" s="14" t="n"/>
      <c r="D54" s="29" t="n"/>
      <c r="E54" s="16" t="n"/>
      <c r="F54" s="14" t="n"/>
      <c r="G54" s="14" t="n"/>
      <c r="H54" s="14" t="n"/>
      <c r="I54" s="14" t="n"/>
      <c r="J54" s="29" t="n"/>
      <c r="K54" s="14" t="n"/>
    </row>
    <row r="55" ht="22" customHeight="1">
      <c r="B55" s="18">
        <f>IF(C55="","PV-"&amp;TEXT(COUNTA($C$5:C55),"000"))</f>
        <v/>
      </c>
      <c r="C55" s="11" t="n"/>
      <c r="D55" s="28" t="n"/>
      <c r="E55" s="13" t="n"/>
      <c r="F55" s="11" t="n"/>
      <c r="G55" s="11" t="n"/>
      <c r="H55" s="11" t="n"/>
      <c r="I55" s="11" t="n"/>
      <c r="J55" s="28" t="n"/>
      <c r="K55" s="11" t="n"/>
    </row>
    <row r="56" ht="22" customHeight="1">
      <c r="B56" s="17">
        <f>IF(C56="","PV-"&amp;TEXT(COUNTA($C$5:C56),"000"))</f>
        <v/>
      </c>
      <c r="C56" s="14" t="n"/>
      <c r="D56" s="29" t="n"/>
      <c r="E56" s="16" t="n"/>
      <c r="F56" s="14" t="n"/>
      <c r="G56" s="14" t="n"/>
      <c r="H56" s="14" t="n"/>
      <c r="I56" s="14" t="n"/>
      <c r="J56" s="29" t="n"/>
      <c r="K56" s="14" t="n"/>
    </row>
    <row r="57" ht="22" customHeight="1">
      <c r="B57" s="18">
        <f>IF(C57="","PV-"&amp;TEXT(COUNTA($C$5:C57),"000"))</f>
        <v/>
      </c>
      <c r="C57" s="11" t="n"/>
      <c r="D57" s="28" t="n"/>
      <c r="E57" s="13" t="n"/>
      <c r="F57" s="11" t="n"/>
      <c r="G57" s="11" t="n"/>
      <c r="H57" s="11" t="n"/>
      <c r="I57" s="11" t="n"/>
      <c r="J57" s="28" t="n"/>
      <c r="K57" s="11" t="n"/>
    </row>
    <row r="58" ht="22" customHeight="1">
      <c r="B58" s="17">
        <f>IF(C58="","PV-"&amp;TEXT(COUNTA($C$5:C58),"000"))</f>
        <v/>
      </c>
      <c r="C58" s="14" t="n"/>
      <c r="D58" s="29" t="n"/>
      <c r="E58" s="16" t="n"/>
      <c r="F58" s="14" t="n"/>
      <c r="G58" s="14" t="n"/>
      <c r="H58" s="14" t="n"/>
      <c r="I58" s="14" t="n"/>
      <c r="J58" s="29" t="n"/>
      <c r="K58" s="14" t="n"/>
    </row>
    <row r="59" ht="22" customHeight="1">
      <c r="B59" s="18">
        <f>IF(C59="","PV-"&amp;TEXT(COUNTA($C$5:C59),"000"))</f>
        <v/>
      </c>
      <c r="C59" s="11" t="n"/>
      <c r="D59" s="28" t="n"/>
      <c r="E59" s="13" t="n"/>
      <c r="F59" s="11" t="n"/>
      <c r="G59" s="11" t="n"/>
      <c r="H59" s="11" t="n"/>
      <c r="I59" s="11" t="n"/>
      <c r="J59" s="28" t="n"/>
      <c r="K59" s="11" t="n"/>
    </row>
    <row r="60" ht="22" customHeight="1">
      <c r="B60" s="17">
        <f>IF(C60="","PV-"&amp;TEXT(COUNTA($C$5:C60),"000"))</f>
        <v/>
      </c>
      <c r="C60" s="14" t="n"/>
      <c r="D60" s="29" t="n"/>
      <c r="E60" s="16" t="n"/>
      <c r="F60" s="14" t="n"/>
      <c r="G60" s="14" t="n"/>
      <c r="H60" s="14" t="n"/>
      <c r="I60" s="14" t="n"/>
      <c r="J60" s="29" t="n"/>
      <c r="K60" s="14" t="n"/>
    </row>
    <row r="61" ht="22" customHeight="1">
      <c r="B61" s="18">
        <f>IF(C61="","PV-"&amp;TEXT(COUNTA($C$5:C61),"000"))</f>
        <v/>
      </c>
      <c r="C61" s="11" t="n"/>
      <c r="D61" s="28" t="n"/>
      <c r="E61" s="13" t="n"/>
      <c r="F61" s="11" t="n"/>
      <c r="G61" s="11" t="n"/>
      <c r="H61" s="11" t="n"/>
      <c r="I61" s="11" t="n"/>
      <c r="J61" s="28" t="n"/>
      <c r="K61" s="11" t="n"/>
    </row>
    <row r="62" ht="22" customHeight="1">
      <c r="B62" s="17">
        <f>IF(C62="","PV-"&amp;TEXT(COUNTA($C$5:C62),"000"))</f>
        <v/>
      </c>
      <c r="C62" s="14" t="n"/>
      <c r="D62" s="29" t="n"/>
      <c r="E62" s="16" t="n"/>
      <c r="F62" s="14" t="n"/>
      <c r="G62" s="14" t="n"/>
      <c r="H62" s="14" t="n"/>
      <c r="I62" s="14" t="n"/>
      <c r="J62" s="29" t="n"/>
      <c r="K62" s="14" t="n"/>
    </row>
    <row r="63" ht="22" customHeight="1">
      <c r="B63" s="18">
        <f>IF(C63="","PV-"&amp;TEXT(COUNTA($C$5:C63),"000"))</f>
        <v/>
      </c>
      <c r="C63" s="11" t="n"/>
      <c r="D63" s="28" t="n"/>
      <c r="E63" s="13" t="n"/>
      <c r="F63" s="11" t="n"/>
      <c r="G63" s="11" t="n"/>
      <c r="H63" s="11" t="n"/>
      <c r="I63" s="11" t="n"/>
      <c r="J63" s="28" t="n"/>
      <c r="K63" s="11" t="n"/>
    </row>
    <row r="64" ht="22" customHeight="1">
      <c r="B64" s="17">
        <f>IF(C64="","PV-"&amp;TEXT(COUNTA($C$5:C64),"000"))</f>
        <v/>
      </c>
      <c r="C64" s="14" t="n"/>
      <c r="D64" s="29" t="n"/>
      <c r="E64" s="16" t="n"/>
      <c r="F64" s="14" t="n"/>
      <c r="G64" s="14" t="n"/>
      <c r="H64" s="14" t="n"/>
      <c r="I64" s="14" t="n"/>
      <c r="J64" s="29" t="n"/>
      <c r="K64" s="14" t="n"/>
    </row>
    <row r="65" ht="22" customHeight="1">
      <c r="B65" s="18">
        <f>IF(C65="","PV-"&amp;TEXT(COUNTA($C$5:C65),"000"))</f>
        <v/>
      </c>
      <c r="C65" s="11" t="n"/>
      <c r="D65" s="28" t="n"/>
      <c r="E65" s="13" t="n"/>
      <c r="F65" s="11" t="n"/>
      <c r="G65" s="11" t="n"/>
      <c r="H65" s="11" t="n"/>
      <c r="I65" s="11" t="n"/>
      <c r="J65" s="28" t="n"/>
      <c r="K65" s="11" t="n"/>
    </row>
    <row r="66" ht="22" customHeight="1">
      <c r="B66" s="17">
        <f>IF(C66="","PV-"&amp;TEXT(COUNTA($C$5:C66),"000"))</f>
        <v/>
      </c>
      <c r="C66" s="14" t="n"/>
      <c r="D66" s="29" t="n"/>
      <c r="E66" s="16" t="n"/>
      <c r="F66" s="14" t="n"/>
      <c r="G66" s="14" t="n"/>
      <c r="H66" s="14" t="n"/>
      <c r="I66" s="14" t="n"/>
      <c r="J66" s="29" t="n"/>
      <c r="K66" s="14" t="n"/>
    </row>
    <row r="67" ht="22" customHeight="1">
      <c r="B67" s="18">
        <f>IF(C67="","PV-"&amp;TEXT(COUNTA($C$5:C67),"000"))</f>
        <v/>
      </c>
      <c r="C67" s="11" t="n"/>
      <c r="D67" s="28" t="n"/>
      <c r="E67" s="13" t="n"/>
      <c r="F67" s="11" t="n"/>
      <c r="G67" s="11" t="n"/>
      <c r="H67" s="11" t="n"/>
      <c r="I67" s="11" t="n"/>
      <c r="J67" s="28" t="n"/>
      <c r="K67" s="11" t="n"/>
    </row>
    <row r="68" ht="22" customHeight="1">
      <c r="B68" s="17">
        <f>IF(C68="","PV-"&amp;TEXT(COUNTA($C$5:C68),"000"))</f>
        <v/>
      </c>
      <c r="C68" s="14" t="n"/>
      <c r="D68" s="29" t="n"/>
      <c r="E68" s="16" t="n"/>
      <c r="F68" s="14" t="n"/>
      <c r="G68" s="14" t="n"/>
      <c r="H68" s="14" t="n"/>
      <c r="I68" s="14" t="n"/>
      <c r="J68" s="29" t="n"/>
      <c r="K68" s="14" t="n"/>
    </row>
    <row r="69" ht="22" customHeight="1">
      <c r="B69" s="18">
        <f>IF(C69="","PV-"&amp;TEXT(COUNTA($C$5:C69),"000"))</f>
        <v/>
      </c>
      <c r="C69" s="11" t="n"/>
      <c r="D69" s="28" t="n"/>
      <c r="E69" s="13" t="n"/>
      <c r="F69" s="11" t="n"/>
      <c r="G69" s="11" t="n"/>
      <c r="H69" s="11" t="n"/>
      <c r="I69" s="11" t="n"/>
      <c r="J69" s="28" t="n"/>
      <c r="K69" s="11" t="n"/>
    </row>
    <row r="70" ht="22" customHeight="1">
      <c r="B70" s="17">
        <f>IF(C70="","PV-"&amp;TEXT(COUNTA($C$5:C70),"000"))</f>
        <v/>
      </c>
      <c r="C70" s="14" t="n"/>
      <c r="D70" s="29" t="n"/>
      <c r="E70" s="16" t="n"/>
      <c r="F70" s="14" t="n"/>
      <c r="G70" s="14" t="n"/>
      <c r="H70" s="14" t="n"/>
      <c r="I70" s="14" t="n"/>
      <c r="J70" s="29" t="n"/>
      <c r="K70" s="14" t="n"/>
    </row>
    <row r="71" ht="22" customHeight="1">
      <c r="B71" s="18">
        <f>IF(C71="","PV-"&amp;TEXT(COUNTA($C$5:C71),"000"))</f>
        <v/>
      </c>
      <c r="C71" s="11" t="n"/>
      <c r="D71" s="28" t="n"/>
      <c r="E71" s="13" t="n"/>
      <c r="F71" s="11" t="n"/>
      <c r="G71" s="11" t="n"/>
      <c r="H71" s="11" t="n"/>
      <c r="I71" s="11" t="n"/>
      <c r="J71" s="28" t="n"/>
      <c r="K71" s="11" t="n"/>
    </row>
    <row r="72" ht="22" customHeight="1">
      <c r="B72" s="17">
        <f>IF(C72="","PV-"&amp;TEXT(COUNTA($C$5:C72),"000"))</f>
        <v/>
      </c>
      <c r="C72" s="14" t="n"/>
      <c r="D72" s="29" t="n"/>
      <c r="E72" s="16" t="n"/>
      <c r="F72" s="14" t="n"/>
      <c r="G72" s="14" t="n"/>
      <c r="H72" s="14" t="n"/>
      <c r="I72" s="14" t="n"/>
      <c r="J72" s="29" t="n"/>
      <c r="K72" s="14" t="n"/>
    </row>
    <row r="73" ht="22" customHeight="1">
      <c r="B73" s="18">
        <f>IF(C73="","PV-"&amp;TEXT(COUNTA($C$5:C73),"000"))</f>
        <v/>
      </c>
      <c r="C73" s="11" t="n"/>
      <c r="D73" s="28" t="n"/>
      <c r="E73" s="13" t="n"/>
      <c r="F73" s="11" t="n"/>
      <c r="G73" s="11" t="n"/>
      <c r="H73" s="11" t="n"/>
      <c r="I73" s="11" t="n"/>
      <c r="J73" s="28" t="n"/>
      <c r="K73" s="11" t="n"/>
    </row>
    <row r="74" ht="22" customHeight="1">
      <c r="B74" s="17">
        <f>IF(C74="","PV-"&amp;TEXT(COUNTA($C$5:C74),"000"))</f>
        <v/>
      </c>
      <c r="C74" s="14" t="n"/>
      <c r="D74" s="29" t="n"/>
      <c r="E74" s="16" t="n"/>
      <c r="F74" s="14" t="n"/>
      <c r="G74" s="14" t="n"/>
      <c r="H74" s="14" t="n"/>
      <c r="I74" s="14" t="n"/>
      <c r="J74" s="29" t="n"/>
      <c r="K74" s="14" t="n"/>
    </row>
    <row r="75" ht="22" customHeight="1">
      <c r="B75" s="18">
        <f>IF(C75="","PV-"&amp;TEXT(COUNTA($C$5:C75),"000"))</f>
        <v/>
      </c>
      <c r="C75" s="11" t="n"/>
      <c r="D75" s="28" t="n"/>
      <c r="E75" s="13" t="n"/>
      <c r="F75" s="11" t="n"/>
      <c r="G75" s="11" t="n"/>
      <c r="H75" s="11" t="n"/>
      <c r="I75" s="11" t="n"/>
      <c r="J75" s="28" t="n"/>
      <c r="K75" s="11" t="n"/>
    </row>
    <row r="76" ht="22" customHeight="1">
      <c r="B76" s="17">
        <f>IF(C76="","PV-"&amp;TEXT(COUNTA($C$5:C76),"000"))</f>
        <v/>
      </c>
      <c r="C76" s="14" t="n"/>
      <c r="D76" s="29" t="n"/>
      <c r="E76" s="16" t="n"/>
      <c r="F76" s="14" t="n"/>
      <c r="G76" s="14" t="n"/>
      <c r="H76" s="14" t="n"/>
      <c r="I76" s="14" t="n"/>
      <c r="J76" s="29" t="n"/>
      <c r="K76" s="14" t="n"/>
    </row>
    <row r="77" ht="22" customHeight="1">
      <c r="B77" s="18">
        <f>IF(C77="","PV-"&amp;TEXT(COUNTA($C$5:C77),"000"))</f>
        <v/>
      </c>
      <c r="C77" s="11" t="n"/>
      <c r="D77" s="28" t="n"/>
      <c r="E77" s="13" t="n"/>
      <c r="F77" s="11" t="n"/>
      <c r="G77" s="11" t="n"/>
      <c r="H77" s="11" t="n"/>
      <c r="I77" s="11" t="n"/>
      <c r="J77" s="28" t="n"/>
      <c r="K77" s="11" t="n"/>
    </row>
    <row r="78" ht="22" customHeight="1">
      <c r="B78" s="17">
        <f>IF(C78="","PV-"&amp;TEXT(COUNTA($C$5:C78),"000"))</f>
        <v/>
      </c>
      <c r="C78" s="14" t="n"/>
      <c r="D78" s="29" t="n"/>
      <c r="E78" s="16" t="n"/>
      <c r="F78" s="14" t="n"/>
      <c r="G78" s="14" t="n"/>
      <c r="H78" s="14" t="n"/>
      <c r="I78" s="14" t="n"/>
      <c r="J78" s="29" t="n"/>
      <c r="K78" s="14" t="n"/>
    </row>
    <row r="79" ht="22" customHeight="1">
      <c r="B79" s="18">
        <f>IF(C79="","PV-"&amp;TEXT(COUNTA($C$5:C79),"000"))</f>
        <v/>
      </c>
      <c r="C79" s="11" t="n"/>
      <c r="D79" s="28" t="n"/>
      <c r="E79" s="13" t="n"/>
      <c r="F79" s="11" t="n"/>
      <c r="G79" s="11" t="n"/>
      <c r="H79" s="11" t="n"/>
      <c r="I79" s="11" t="n"/>
      <c r="J79" s="28" t="n"/>
      <c r="K79" s="11" t="n"/>
    </row>
    <row r="80" ht="22" customHeight="1">
      <c r="B80" s="17">
        <f>IF(C80="","PV-"&amp;TEXT(COUNTA($C$5:C80),"000"))</f>
        <v/>
      </c>
      <c r="C80" s="14" t="n"/>
      <c r="D80" s="29" t="n"/>
      <c r="E80" s="16" t="n"/>
      <c r="F80" s="14" t="n"/>
      <c r="G80" s="14" t="n"/>
      <c r="H80" s="14" t="n"/>
      <c r="I80" s="14" t="n"/>
      <c r="J80" s="29" t="n"/>
      <c r="K80" s="14" t="n"/>
    </row>
    <row r="81" ht="22" customHeight="1">
      <c r="B81" s="18">
        <f>IF(C81="","PV-"&amp;TEXT(COUNTA($C$5:C81),"000"))</f>
        <v/>
      </c>
      <c r="C81" s="11" t="n"/>
      <c r="D81" s="28" t="n"/>
      <c r="E81" s="13" t="n"/>
      <c r="F81" s="11" t="n"/>
      <c r="G81" s="11" t="n"/>
      <c r="H81" s="11" t="n"/>
      <c r="I81" s="11" t="n"/>
      <c r="J81" s="28" t="n"/>
      <c r="K81" s="11" t="n"/>
    </row>
    <row r="82" ht="22" customHeight="1">
      <c r="B82" s="17">
        <f>IF(C82="","PV-"&amp;TEXT(COUNTA($C$5:C82),"000"))</f>
        <v/>
      </c>
      <c r="C82" s="14" t="n"/>
      <c r="D82" s="29" t="n"/>
      <c r="E82" s="16" t="n"/>
      <c r="F82" s="14" t="n"/>
      <c r="G82" s="14" t="n"/>
      <c r="H82" s="14" t="n"/>
      <c r="I82" s="14" t="n"/>
      <c r="J82" s="29" t="n"/>
      <c r="K82" s="14" t="n"/>
    </row>
    <row r="83" ht="22" customHeight="1">
      <c r="B83" s="18">
        <f>IF(C83="","PV-"&amp;TEXT(COUNTA($C$5:C83),"000"))</f>
        <v/>
      </c>
      <c r="C83" s="11" t="n"/>
      <c r="D83" s="28" t="n"/>
      <c r="E83" s="13" t="n"/>
      <c r="F83" s="11" t="n"/>
      <c r="G83" s="11" t="n"/>
      <c r="H83" s="11" t="n"/>
      <c r="I83" s="11" t="n"/>
      <c r="J83" s="28" t="n"/>
      <c r="K83" s="11" t="n"/>
    </row>
    <row r="84" ht="22" customHeight="1">
      <c r="B84" s="17">
        <f>IF(C84="","PV-"&amp;TEXT(COUNTA($C$5:C84),"000"))</f>
        <v/>
      </c>
      <c r="C84" s="14" t="n"/>
      <c r="D84" s="29" t="n"/>
      <c r="E84" s="16" t="n"/>
      <c r="F84" s="14" t="n"/>
      <c r="G84" s="14" t="n"/>
      <c r="H84" s="14" t="n"/>
      <c r="I84" s="14" t="n"/>
      <c r="J84" s="29" t="n"/>
      <c r="K84" s="14" t="n"/>
    </row>
    <row r="85" ht="22" customHeight="1">
      <c r="B85" s="18">
        <f>IF(C85="","PV-"&amp;TEXT(COUNTA($C$5:C85),"000"))</f>
        <v/>
      </c>
      <c r="C85" s="11" t="n"/>
      <c r="D85" s="28" t="n"/>
      <c r="E85" s="13" t="n"/>
      <c r="F85" s="11" t="n"/>
      <c r="G85" s="11" t="n"/>
      <c r="H85" s="11" t="n"/>
      <c r="I85" s="11" t="n"/>
      <c r="J85" s="28" t="n"/>
      <c r="K85" s="11" t="n"/>
    </row>
    <row r="86" ht="22" customHeight="1">
      <c r="B86" s="17">
        <f>IF(C86="","PV-"&amp;TEXT(COUNTA($C$5:C86),"000"))</f>
        <v/>
      </c>
      <c r="C86" s="14" t="n"/>
      <c r="D86" s="29" t="n"/>
      <c r="E86" s="16" t="n"/>
      <c r="F86" s="14" t="n"/>
      <c r="G86" s="14" t="n"/>
      <c r="H86" s="14" t="n"/>
      <c r="I86" s="14" t="n"/>
      <c r="J86" s="29" t="n"/>
      <c r="K86" s="14" t="n"/>
    </row>
    <row r="87" ht="22" customHeight="1">
      <c r="B87" s="18">
        <f>IF(C87="","PV-"&amp;TEXT(COUNTA($C$5:C87),"000"))</f>
        <v/>
      </c>
      <c r="C87" s="11" t="n"/>
      <c r="D87" s="28" t="n"/>
      <c r="E87" s="13" t="n"/>
      <c r="F87" s="11" t="n"/>
      <c r="G87" s="11" t="n"/>
      <c r="H87" s="11" t="n"/>
      <c r="I87" s="11" t="n"/>
      <c r="J87" s="28" t="n"/>
      <c r="K87" s="11" t="n"/>
    </row>
    <row r="88" ht="22" customHeight="1">
      <c r="B88" s="17">
        <f>IF(C88="","PV-"&amp;TEXT(COUNTA($C$5:C88),"000"))</f>
        <v/>
      </c>
      <c r="C88" s="14" t="n"/>
      <c r="D88" s="29" t="n"/>
      <c r="E88" s="16" t="n"/>
      <c r="F88" s="14" t="n"/>
      <c r="G88" s="14" t="n"/>
      <c r="H88" s="14" t="n"/>
      <c r="I88" s="14" t="n"/>
      <c r="J88" s="29" t="n"/>
      <c r="K88" s="14" t="n"/>
    </row>
    <row r="89" ht="22" customHeight="1">
      <c r="B89" s="18">
        <f>IF(C89="","PV-"&amp;TEXT(COUNTA($C$5:C89),"000"))</f>
        <v/>
      </c>
      <c r="C89" s="11" t="n"/>
      <c r="D89" s="28" t="n"/>
      <c r="E89" s="13" t="n"/>
      <c r="F89" s="11" t="n"/>
      <c r="G89" s="11" t="n"/>
      <c r="H89" s="11" t="n"/>
      <c r="I89" s="11" t="n"/>
      <c r="J89" s="28" t="n"/>
      <c r="K89" s="11" t="n"/>
    </row>
    <row r="90" ht="22" customHeight="1">
      <c r="B90" s="17">
        <f>IF(C90="","PV-"&amp;TEXT(COUNTA($C$5:C90),"000"))</f>
        <v/>
      </c>
      <c r="C90" s="14" t="n"/>
      <c r="D90" s="29" t="n"/>
      <c r="E90" s="16" t="n"/>
      <c r="F90" s="14" t="n"/>
      <c r="G90" s="14" t="n"/>
      <c r="H90" s="14" t="n"/>
      <c r="I90" s="14" t="n"/>
      <c r="J90" s="29" t="n"/>
      <c r="K90" s="14" t="n"/>
    </row>
    <row r="91" ht="22" customHeight="1">
      <c r="B91" s="18">
        <f>IF(C91="","PV-"&amp;TEXT(COUNTA($C$5:C91),"000"))</f>
        <v/>
      </c>
      <c r="C91" s="11" t="n"/>
      <c r="D91" s="28" t="n"/>
      <c r="E91" s="13" t="n"/>
      <c r="F91" s="11" t="n"/>
      <c r="G91" s="11" t="n"/>
      <c r="H91" s="11" t="n"/>
      <c r="I91" s="11" t="n"/>
      <c r="J91" s="28" t="n"/>
      <c r="K91" s="11" t="n"/>
    </row>
    <row r="92" ht="22" customHeight="1">
      <c r="B92" s="17">
        <f>IF(C92="","PV-"&amp;TEXT(COUNTA($C$5:C92),"000"))</f>
        <v/>
      </c>
      <c r="C92" s="14" t="n"/>
      <c r="D92" s="29" t="n"/>
      <c r="E92" s="16" t="n"/>
      <c r="F92" s="14" t="n"/>
      <c r="G92" s="14" t="n"/>
      <c r="H92" s="14" t="n"/>
      <c r="I92" s="14" t="n"/>
      <c r="J92" s="29" t="n"/>
      <c r="K92" s="14" t="n"/>
    </row>
    <row r="93" ht="22" customHeight="1">
      <c r="B93" s="18">
        <f>IF(C93="","PV-"&amp;TEXT(COUNTA($C$5:C93),"000"))</f>
        <v/>
      </c>
      <c r="C93" s="11" t="n"/>
      <c r="D93" s="28" t="n"/>
      <c r="E93" s="13" t="n"/>
      <c r="F93" s="11" t="n"/>
      <c r="G93" s="11" t="n"/>
      <c r="H93" s="11" t="n"/>
      <c r="I93" s="11" t="n"/>
      <c r="J93" s="28" t="n"/>
      <c r="K93" s="11" t="n"/>
    </row>
    <row r="94" ht="22" customHeight="1">
      <c r="B94" s="17">
        <f>IF(C94="","PV-"&amp;TEXT(COUNTA($C$5:C94),"000"))</f>
        <v/>
      </c>
      <c r="C94" s="14" t="n"/>
      <c r="D94" s="29" t="n"/>
      <c r="E94" s="16" t="n"/>
      <c r="F94" s="14" t="n"/>
      <c r="G94" s="14" t="n"/>
      <c r="H94" s="14" t="n"/>
      <c r="I94" s="14" t="n"/>
      <c r="J94" s="29" t="n"/>
      <c r="K94" s="14" t="n"/>
    </row>
    <row r="95" ht="22" customHeight="1">
      <c r="B95" s="18">
        <f>IF(C95="","PV-"&amp;TEXT(COUNTA($C$5:C95),"000"))</f>
        <v/>
      </c>
      <c r="C95" s="11" t="n"/>
      <c r="D95" s="28" t="n"/>
      <c r="E95" s="13" t="n"/>
      <c r="F95" s="11" t="n"/>
      <c r="G95" s="11" t="n"/>
      <c r="H95" s="11" t="n"/>
      <c r="I95" s="11" t="n"/>
      <c r="J95" s="28" t="n"/>
      <c r="K95" s="11" t="n"/>
    </row>
    <row r="96" ht="22" customHeight="1">
      <c r="B96" s="17">
        <f>IF(C96="","PV-"&amp;TEXT(COUNTA($C$5:C96),"000"))</f>
        <v/>
      </c>
      <c r="C96" s="14" t="n"/>
      <c r="D96" s="29" t="n"/>
      <c r="E96" s="16" t="n"/>
      <c r="F96" s="14" t="n"/>
      <c r="G96" s="14" t="n"/>
      <c r="H96" s="14" t="n"/>
      <c r="I96" s="14" t="n"/>
      <c r="J96" s="29" t="n"/>
      <c r="K96" s="14" t="n"/>
    </row>
    <row r="97" ht="22" customHeight="1">
      <c r="B97" s="18">
        <f>IF(C97="","PV-"&amp;TEXT(COUNTA($C$5:C97),"000"))</f>
        <v/>
      </c>
      <c r="C97" s="11" t="n"/>
      <c r="D97" s="28" t="n"/>
      <c r="E97" s="13" t="n"/>
      <c r="F97" s="11" t="n"/>
      <c r="G97" s="11" t="n"/>
      <c r="H97" s="11" t="n"/>
      <c r="I97" s="11" t="n"/>
      <c r="J97" s="28" t="n"/>
      <c r="K97" s="11" t="n"/>
    </row>
    <row r="98" ht="22" customHeight="1">
      <c r="B98" s="17">
        <f>IF(C98="","PV-"&amp;TEXT(COUNTA($C$5:C98),"000"))</f>
        <v/>
      </c>
      <c r="C98" s="14" t="n"/>
      <c r="D98" s="29" t="n"/>
      <c r="E98" s="16" t="n"/>
      <c r="F98" s="14" t="n"/>
      <c r="G98" s="14" t="n"/>
      <c r="H98" s="14" t="n"/>
      <c r="I98" s="14" t="n"/>
      <c r="J98" s="29" t="n"/>
      <c r="K98" s="14" t="n"/>
    </row>
    <row r="99" ht="22" customHeight="1">
      <c r="B99" s="18">
        <f>IF(C99="","PV-"&amp;TEXT(COUNTA($C$5:C99),"000"))</f>
        <v/>
      </c>
      <c r="C99" s="11" t="n"/>
      <c r="D99" s="28" t="n"/>
      <c r="E99" s="13" t="n"/>
      <c r="F99" s="11" t="n"/>
      <c r="G99" s="11" t="n"/>
      <c r="H99" s="11" t="n"/>
      <c r="I99" s="11" t="n"/>
      <c r="J99" s="28" t="n"/>
      <c r="K99" s="11" t="n"/>
    </row>
    <row r="100" ht="22" customHeight="1">
      <c r="B100" s="17">
        <f>IF(C100="","PV-"&amp;TEXT(COUNTA($C$5:C100),"000"))</f>
        <v/>
      </c>
      <c r="C100" s="14" t="n"/>
      <c r="D100" s="29" t="n"/>
      <c r="E100" s="16" t="n"/>
      <c r="F100" s="14" t="n"/>
      <c r="G100" s="14" t="n"/>
      <c r="H100" s="14" t="n"/>
      <c r="I100" s="14" t="n"/>
      <c r="J100" s="29" t="n"/>
      <c r="K100" s="14" t="n"/>
    </row>
    <row r="101" ht="22" customHeight="1">
      <c r="B101" s="18">
        <f>IF(C101="","PV-"&amp;TEXT(COUNTA($C$5:C101),"000"))</f>
        <v/>
      </c>
      <c r="C101" s="11" t="n"/>
      <c r="D101" s="28" t="n"/>
      <c r="E101" s="13" t="n"/>
      <c r="F101" s="11" t="n"/>
      <c r="G101" s="11" t="n"/>
      <c r="H101" s="11" t="n"/>
      <c r="I101" s="11" t="n"/>
      <c r="J101" s="28" t="n"/>
      <c r="K101" s="11" t="n"/>
    </row>
    <row r="102" ht="22" customHeight="1">
      <c r="B102" s="17">
        <f>IF(C102="","PV-"&amp;TEXT(COUNTA($C$5:C102),"000"))</f>
        <v/>
      </c>
      <c r="C102" s="14" t="n"/>
      <c r="D102" s="29" t="n"/>
      <c r="E102" s="16" t="n"/>
      <c r="F102" s="14" t="n"/>
      <c r="G102" s="14" t="n"/>
      <c r="H102" s="14" t="n"/>
      <c r="I102" s="14" t="n"/>
      <c r="J102" s="29" t="n"/>
      <c r="K102" s="14" t="n"/>
    </row>
    <row r="103" ht="22" customHeight="1">
      <c r="B103" s="18">
        <f>IF(C103="","PV-"&amp;TEXT(COUNTA($C$5:C103),"000"))</f>
        <v/>
      </c>
      <c r="C103" s="11" t="n"/>
      <c r="D103" s="28" t="n"/>
      <c r="E103" s="13" t="n"/>
      <c r="F103" s="11" t="n"/>
      <c r="G103" s="11" t="n"/>
      <c r="H103" s="11" t="n"/>
      <c r="I103" s="11" t="n"/>
      <c r="J103" s="28" t="n"/>
      <c r="K103" s="11" t="n"/>
    </row>
    <row r="104" ht="22" customHeight="1">
      <c r="B104" s="17">
        <f>IF(C104="","PV-"&amp;TEXT(COUNTA($C$5:C104),"000"))</f>
        <v/>
      </c>
      <c r="C104" s="14" t="n"/>
      <c r="D104" s="29" t="n"/>
      <c r="E104" s="16" t="n"/>
      <c r="F104" s="14" t="n"/>
      <c r="G104" s="14" t="n"/>
      <c r="H104" s="14" t="n"/>
      <c r="I104" s="14" t="n"/>
      <c r="J104" s="29" t="n"/>
      <c r="K104" s="14" t="n"/>
    </row>
    <row r="105" ht="22" customHeight="1">
      <c r="B105" s="18">
        <f>IF(C105="","PV-"&amp;TEXT(COUNTA($C$5:C105),"000"))</f>
        <v/>
      </c>
      <c r="C105" s="11" t="n"/>
      <c r="D105" s="28" t="n"/>
      <c r="E105" s="13" t="n"/>
      <c r="F105" s="11" t="n"/>
      <c r="G105" s="11" t="n"/>
      <c r="H105" s="11" t="n"/>
      <c r="I105" s="11" t="n"/>
      <c r="J105" s="28" t="n"/>
      <c r="K105" s="11" t="n"/>
    </row>
    <row r="106" ht="22" customHeight="1">
      <c r="B106" s="17">
        <f>IF(C106="","PV-"&amp;TEXT(COUNTA($C$5:C106),"000"))</f>
        <v/>
      </c>
      <c r="C106" s="14" t="n"/>
      <c r="D106" s="29" t="n"/>
      <c r="E106" s="16" t="n"/>
      <c r="F106" s="14" t="n"/>
      <c r="G106" s="14" t="n"/>
      <c r="H106" s="14" t="n"/>
      <c r="I106" s="14" t="n"/>
      <c r="J106" s="29" t="n"/>
      <c r="K106" s="14" t="n"/>
    </row>
    <row r="107" ht="22" customHeight="1">
      <c r="B107" s="18">
        <f>IF(C107="","PV-"&amp;TEXT(COUNTA($C$5:C107),"000"))</f>
        <v/>
      </c>
      <c r="C107" s="11" t="n"/>
      <c r="D107" s="28" t="n"/>
      <c r="E107" s="13" t="n"/>
      <c r="F107" s="11" t="n"/>
      <c r="G107" s="11" t="n"/>
      <c r="H107" s="11" t="n"/>
      <c r="I107" s="11" t="n"/>
      <c r="J107" s="28" t="n"/>
      <c r="K107" s="11" t="n"/>
    </row>
    <row r="108" ht="22" customHeight="1">
      <c r="B108" s="17">
        <f>IF(C108="","PV-"&amp;TEXT(COUNTA($C$5:C108),"000"))</f>
        <v/>
      </c>
      <c r="C108" s="14" t="n"/>
      <c r="D108" s="29" t="n"/>
      <c r="E108" s="16" t="n"/>
      <c r="F108" s="14" t="n"/>
      <c r="G108" s="14" t="n"/>
      <c r="H108" s="14" t="n"/>
      <c r="I108" s="14" t="n"/>
      <c r="J108" s="29" t="n"/>
      <c r="K108" s="14" t="n"/>
    </row>
    <row r="109" ht="22" customHeight="1">
      <c r="B109" s="18">
        <f>IF(C109="","PV-"&amp;TEXT(COUNTA($C$5:C109),"000"))</f>
        <v/>
      </c>
      <c r="C109" s="11" t="n"/>
      <c r="D109" s="28" t="n"/>
      <c r="E109" s="13" t="n"/>
      <c r="F109" s="11" t="n"/>
      <c r="G109" s="11" t="n"/>
      <c r="H109" s="11" t="n"/>
      <c r="I109" s="11" t="n"/>
      <c r="J109" s="28" t="n"/>
      <c r="K109" s="11" t="n"/>
    </row>
    <row r="111" ht="26" customHeight="1">
      <c r="B111" s="19" t="inlineStr">
        <is>
          <t>TOTAL</t>
        </is>
      </c>
      <c r="C111" s="20" t="n"/>
      <c r="D111" s="20" t="n"/>
      <c r="E111" s="21">
        <f>SUM(E5:E104)</f>
        <v/>
      </c>
      <c r="F111" s="20" t="n"/>
      <c r="G111" s="20" t="n"/>
      <c r="H111" s="20" t="n"/>
      <c r="I111" s="20" t="n"/>
      <c r="J111" s="20" t="n"/>
      <c r="K111" s="20" t="n"/>
    </row>
    <row r="113">
      <c r="B113" s="5" t="inlineStr">
        <is>
          <t>INDICATEURS (mis a jour automatiquement)</t>
        </is>
      </c>
    </row>
    <row r="114">
      <c r="B114" s="3" t="inlineStr">
        <is>
          <t>PV rediges</t>
        </is>
      </c>
      <c r="D114" s="3" t="inlineStr">
        <is>
          <t>Reunions tenues</t>
        </is>
      </c>
      <c r="F114" s="3" t="inlineStr">
        <is>
          <t>Actions en attente</t>
        </is>
      </c>
      <c r="H114" s="3" t="inlineStr">
        <is>
          <t>Participants moyen</t>
        </is>
      </c>
    </row>
    <row r="115">
      <c r="B115" s="4">
        <f>COUNTIF(B5:B104,"&lt;&gt;")</f>
        <v/>
      </c>
      <c r="D115" s="4">
        <f>COUNTIF(K5:K104,"Tenue")</f>
        <v/>
      </c>
      <c r="F115" s="4">
        <f>COUNTIF(H5:H104,"&lt;&gt;")</f>
        <v/>
      </c>
      <c r="H115" s="4">
        <f>IFERROR(AVERAGE(E5:E104),0)</f>
        <v/>
      </c>
    </row>
  </sheetData>
  <mergeCells count="3">
    <mergeCell ref="B113:K113"/>
    <mergeCell ref="B3:K3"/>
    <mergeCell ref="B2:K2"/>
  </mergeCells>
  <conditionalFormatting sqref="K5:K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1">
      <formula>"En attente"</formula>
    </cfRule>
    <cfRule type="cellIs" priority="45" operator="equal" dxfId="1">
      <formula>"A renouveler"</formula>
    </cfRule>
    <cfRule type="cellIs" priority="46" operator="equal" dxfId="1">
      <formula>"En cours"</formula>
    </cfRule>
    <cfRule type="cellIs" priority="47" operator="equal" dxfId="1">
      <formula>"En traitement"</formula>
    </cfRule>
    <cfRule type="cellIs" priority="48" operator="equal" dxfId="1">
      <formula>"En retard"</formula>
    </cfRule>
    <cfRule type="cellIs" priority="49" operator="equal" dxfId="1">
      <formula>"Suspendu"</formula>
    </cfRule>
    <cfRule type="cellIs" priority="50" operator="equal" dxfId="1">
      <formula>"Planifie"</formula>
    </cfRule>
    <cfRule type="cellIs" priority="51" operator="equal" dxfId="1">
      <formula>"Planifiee"</formula>
    </cfRule>
    <cfRule type="cellIs" priority="52" operator="equal" dxfId="1">
      <formula>"Brouillon"</formula>
    </cfRule>
    <cfRule type="cellIs" priority="53" operator="equal" dxfId="1">
      <formula>"En attente de justification"</formula>
    </cfRule>
    <cfRule type="cellIs" priority="54" operator="equal" dxfId="1">
      <formula>"Tolere"</formula>
    </cfRule>
    <cfRule type="cellIs" priority="55" operator="equal" dxfId="1">
      <formula>"Variable"</formula>
    </cfRule>
    <cfRule type="cellIs" priority="56" operator="equal" dxfId="1">
      <formula>"En elaboration"</formula>
    </cfRule>
    <cfRule type="cellIs" priority="57" operator="equal" dxfId="1">
      <formula>"Provisionne"</formula>
    </cfRule>
    <cfRule type="cellIs" priority="58" operator="equal" dxfId="1">
      <formula>"Consomme partiel"</formula>
    </cfRule>
    <cfRule type="cellIs" priority="59" operator="equal" dxfId="1">
      <formula>"Identifie"</formula>
    </cfRule>
    <cfRule type="cellIs" priority="60" operator="equal" dxfId="1">
      <formula>"Priorise"</formula>
    </cfRule>
    <cfRule type="cellIs" priority="61" operator="equal" dxfId="1">
      <formula>"Intermediaire"</formula>
    </cfRule>
    <cfRule type="cellIs" priority="62" operator="equal" dxfId="1">
      <formula>"Non evalue"</formula>
    </cfRule>
    <cfRule type="cellIs" priority="63" operator="equal" dxfId="1">
      <formula>"En cours de realisation"</formula>
    </cfRule>
    <cfRule type="cellIs" priority="64" operator="equal" dxfId="1">
      <formula>"Non demarre"</formula>
    </cfRule>
    <cfRule type="cellIs" priority="65" operator="equal" dxfId="1">
      <formula>"En attente N+1"</formula>
    </cfRule>
    <cfRule type="cellIs" priority="66" operator="equal" dxfId="1">
      <formula>"Prolongation essai"</formula>
    </cfRule>
    <cfRule type="cellIs" priority="67" operator="equal" dxfId="1">
      <formula>"En attente validation"</formula>
    </cfRule>
    <cfRule type="cellIs" priority="68" operator="equal" dxfId="1">
      <formula>"Bon"</formula>
    </cfRule>
    <cfRule type="cellIs" priority="69" operator="equal" dxfId="1">
      <formula>"D - Moyen"</formula>
    </cfRule>
    <cfRule type="cellIs" priority="70" operator="equal" dxfId="1">
      <formula>"En cours de repres."</formula>
    </cfRule>
    <cfRule type="cellIs" priority="71" operator="equal" dxfId="1">
      <formula>"En negociation"</formula>
    </cfRule>
    <cfRule type="cellIs" priority="72" operator="equal" dxfId="1">
      <formula>"En preparation"</formula>
    </cfRule>
    <cfRule type="cellIs" priority="73" operator="equal" dxfId="1">
      <formula>"En cours d'instruction"</formula>
    </cfRule>
    <cfRule type="cellIs" priority="74" operator="equal" dxfId="1">
      <formula>"Transferee N+1"</formula>
    </cfRule>
    <cfRule type="cellIs" priority="75" operator="equal" dxfId="1">
      <formula>"En attente reponse"</formula>
    </cfRule>
    <cfRule type="cellIs" priority="76" operator="equal" dxfId="1">
      <formula>"Enquete ouverte"</formula>
    </cfRule>
    <cfRule type="cellIs" priority="77" operator="equal" dxfId="1">
      <formula>"Convocation envoyee"</formula>
    </cfRule>
    <cfRule type="cellIs" priority="78" operator="equal" dxfId="1">
      <formula>"Entretien realise"</formula>
    </cfRule>
    <cfRule type="cellIs" priority="79" operator="equal" dxfId="1">
      <formula>"Saisie"</formula>
    </cfRule>
    <cfRule type="cellIs" priority="80" operator="equal" dxfId="1">
      <formula>"En mediation"</formula>
    </cfRule>
    <cfRule type="cellIs" priority="81" operator="equal" dxfId="1">
      <formula>"En recours"</formula>
    </cfRule>
    <cfRule type="cellIs" priority="82" operator="equal" dxfId="1">
      <formula>"Reportee"</formula>
    </cfRule>
    <cfRule type="cellIs" priority="83" operator="equal" dxfId="1">
      <formula>"Signale"</formula>
    </cfRule>
    <cfRule type="cellIs" priority="84" operator="equal" dxfId="1">
      <formula>"Precontentieux"</formula>
    </cfRule>
    <cfRule type="cellIs" priority="85" operator="equal" dxfId="1">
      <formula>"En attente election"</formula>
    </cfRule>
    <cfRule type="cellIs" priority="86" operator="equal" dxfId="1">
      <formula>"Classe"</formula>
    </cfRule>
    <cfRule type="cellIs" priority="87" operator="equal" dxfId="2">
      <formula>"Expire"</formula>
    </cfRule>
    <cfRule type="cellIs" priority="88" operator="equal" dxfId="2">
      <formula>"Rejete"</formula>
    </cfRule>
    <cfRule type="cellIs" priority="89" operator="equal" dxfId="2">
      <formula>"Rejetee"</formula>
    </cfRule>
    <cfRule type="cellIs" priority="90" operator="equal" dxfId="2">
      <formula>"Resilie"</formula>
    </cfRule>
    <cfRule type="cellIs" priority="91" operator="equal" dxfId="2">
      <formula>"Annule"</formula>
    </cfRule>
    <cfRule type="cellIs" priority="92" operator="equal" dxfId="2">
      <formula>"Annulee"</formula>
    </cfRule>
    <cfRule type="cellIs" priority="93" operator="equal" dxfId="2">
      <formula>"Refuse"</formula>
    </cfRule>
    <cfRule type="cellIs" priority="94" operator="equal" dxfId="2">
      <formula>"Non justifie"</formula>
    </cfRule>
    <cfRule type="cellIs" priority="95" operator="equal" dxfId="2">
      <formula>"Non justifiee"</formula>
    </cfRule>
    <cfRule type="cellIs" priority="96" operator="equal" dxfId="2">
      <formula>"Sanctionne"</formula>
    </cfRule>
    <cfRule type="cellIs" priority="97" operator="equal" dxfId="2">
      <formula>"Inaptitude"</formula>
    </cfRule>
    <cfRule type="cellIs" priority="98" operator="equal" dxfId="2">
      <formula>"Absent sans autorisation"</formula>
    </cfRule>
    <cfRule type="cellIs" priority="99" operator="equal" dxfId="2">
      <formula>"Abandon de poste"</formula>
    </cfRule>
    <cfRule type="cellIs" priority="100" operator="equal" dxfId="2">
      <formula>"Non satisfait"</formula>
    </cfRule>
    <cfRule type="cellIs" priority="101" operator="equal" dxfId="2">
      <formula>"Reportee"</formula>
    </cfRule>
    <cfRule type="cellIs" priority="102" operator="equal" dxfId="2">
      <formula>"Depasse"</formula>
    </cfRule>
    <cfRule type="cellIs" priority="103" operator="equal" dxfId="2">
      <formula>"Non utilise"</formula>
    </cfRule>
    <cfRule type="cellIs" priority="104" operator="equal" dxfId="2">
      <formula>"Non applicable"</formula>
    </cfRule>
    <cfRule type="cellIs" priority="105" operator="equal" dxfId="2">
      <formula>"Debutant"</formula>
    </cfRule>
    <cfRule type="cellIs" priority="106" operator="equal" dxfId="2">
      <formula>"Non atteint"</formula>
    </cfRule>
    <cfRule type="cellIs" priority="107" operator="equal" dxfId="2">
      <formula>"Abandonne"</formula>
    </cfRule>
    <cfRule type="cellIs" priority="108" operator="equal" dxfId="2">
      <formula>"Rupture essai"</formula>
    </cfRule>
    <cfRule type="cellIs" priority="109" operator="equal" dxfId="2">
      <formula>"Insuffisant"</formula>
    </cfRule>
    <cfRule type="cellIs" priority="110" operator="equal" dxfId="2">
      <formula>"Moyen"</formula>
    </cfRule>
    <cfRule type="cellIs" priority="111" operator="equal" dxfId="2">
      <formula>"E - Insuffisant"</formula>
    </cfRule>
    <cfRule type="cellIs" priority="112" operator="equal" dxfId="2">
      <formula>"Dissous"</formula>
    </cfRule>
    <cfRule type="cellIs" priority="113" operator="equal" dxfId="2">
      <formula>"Denonce"</formula>
    </cfRule>
    <cfRule type="cellIs" priority="114" operator="equal" dxfId="2">
      <formula>"Echoue"</formula>
    </cfRule>
    <cfRule type="cellIs" priority="115" operator="equal" dxfId="2">
      <formula>"Echouee"</formula>
    </cfRule>
    <cfRule type="cellIs" priority="116" operator="equal" dxfId="2">
      <formula>"Revoque"</formula>
    </cfRule>
    <cfRule type="cellIs" priority="117" operator="equal" dxfId="2">
      <formula>"Demissionnaire"</formula>
    </cfRule>
    <cfRule type="cellIs" priority="118" operator="equal" dxfId="2">
      <formula>"Licenciement pour faute"</formula>
    </cfRule>
    <cfRule type="cellIs" priority="119" operator="equal" dxfId="2">
      <formula>"Licenciement pour faute grave"</formula>
    </cfRule>
    <cfRule type="cellIs" priority="120" operator="equal" dxfId="2">
      <formula>"Terminee - Echec"</formula>
    </cfRule>
    <cfRule type="cellIs" priority="121" operator="equal" dxfId="2">
      <formula>"Abandonnee"</formula>
    </cfRule>
    <cfRule type="cellIs" priority="122" operator="equal" dxfId="2">
      <formula>"Violence physique"</formula>
    </cfRule>
    <cfRule type="cellIs" priority="123" operator="equal" dxfId="2">
      <formula>"Violence verbale"</formula>
    </cfRule>
  </conditionalFormatting>
  <conditionalFormatting sqref="B10:B109">
    <cfRule type="expression" priority="124" dxfId="3">
      <formula>AND($C10="",$C9&lt;&gt;"")</formula>
    </cfRule>
  </conditionalFormatting>
  <conditionalFormatting sqref="C10:C109">
    <cfRule type="expression" priority="125" dxfId="3">
      <formula>AND($C10="",$C9&lt;&gt;"")</formula>
    </cfRule>
  </conditionalFormatting>
  <conditionalFormatting sqref="D10:D109">
    <cfRule type="expression" priority="126" dxfId="3">
      <formula>AND($C10="",$C9&lt;&gt;"")</formula>
    </cfRule>
  </conditionalFormatting>
  <conditionalFormatting sqref="E10:E109">
    <cfRule type="expression" priority="127" dxfId="3">
      <formula>AND($C10="",$C9&lt;&gt;"")</formula>
    </cfRule>
  </conditionalFormatting>
  <conditionalFormatting sqref="F10:F109">
    <cfRule type="expression" priority="128" dxfId="3">
      <formula>AND($C10="",$C9&lt;&gt;"")</formula>
    </cfRule>
  </conditionalFormatting>
  <conditionalFormatting sqref="G10:G109">
    <cfRule type="expression" priority="129" dxfId="3">
      <formula>AND($C10="",$C9&lt;&gt;"")</formula>
    </cfRule>
  </conditionalFormatting>
  <conditionalFormatting sqref="H10:H109">
    <cfRule type="expression" priority="130" dxfId="3">
      <formula>AND($C10="",$C9&lt;&gt;"")</formula>
    </cfRule>
  </conditionalFormatting>
  <conditionalFormatting sqref="I10:I109">
    <cfRule type="expression" priority="131" dxfId="3">
      <formula>AND($C10="",$C9&lt;&gt;"")</formula>
    </cfRule>
  </conditionalFormatting>
  <conditionalFormatting sqref="J10:J109">
    <cfRule type="expression" priority="132" dxfId="3">
      <formula>AND($C10="",$C9&lt;&gt;"")</formula>
    </cfRule>
  </conditionalFormatting>
  <conditionalFormatting sqref="K10:K109">
    <cfRule type="expression" priority="133" dxfId="3">
      <formula>AND($C10="",$C9&lt;&gt;"")</formula>
    </cfRule>
  </conditionalFormatting>
  <dataValidations count="2">
    <dataValidation sqref="C5:C109" showDropDown="0" showInputMessage="0" showErrorMessage="0" allowBlank="1" errorTitle="Erreur" error="Valeur invalide" promptTitle="Liste" prompt="Choisir dans la liste" type="list">
      <formula1>'_Lists'!$E$2:$E$7</formula1>
    </dataValidation>
    <dataValidation sqref="K5:K109" showDropDown="0" showInputMessage="0" showErrorMessage="0" allowBlank="1" errorTitle="Erreur" error="Valeur invalide" promptTitle="Liste" prompt="Choisir dans la liste" type="list">
      <formula1>'_Lists'!$H$2:$H$6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L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18" customWidth="1" min="4" max="4"/>
    <col width="32" customWidth="1" min="5" max="5"/>
    <col width="18" customWidth="1" min="6" max="6"/>
    <col width="22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</cols>
  <sheetData>
    <row r="1" ht="15" customHeight="1"/>
    <row r="2" ht="32" customHeight="1">
      <c r="B2" s="1" t="inlineStr">
        <is>
          <t>SUIVI DES MESURES CORRECTIVES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Source</t>
        </is>
      </c>
      <c r="D4" s="10" t="inlineStr">
        <is>
          <t>Instance / Origine</t>
        </is>
      </c>
      <c r="E4" s="10" t="inlineStr">
        <is>
          <t>Description Mesure</t>
        </is>
      </c>
      <c r="F4" s="10" t="inlineStr">
        <is>
          <t>Responsable</t>
        </is>
      </c>
      <c r="G4" s="10" t="inlineStr">
        <is>
          <t>Departement</t>
        </is>
      </c>
      <c r="H4" s="10" t="inlineStr">
        <is>
          <t>Date Lancement</t>
        </is>
      </c>
      <c r="I4" s="10" t="inlineStr">
        <is>
          <t>Echeance</t>
        </is>
      </c>
      <c r="J4" s="10" t="inlineStr">
        <is>
          <t>Avancement (%)</t>
        </is>
      </c>
      <c r="K4" s="10" t="inlineStr">
        <is>
          <t>Cout (FCFA)</t>
        </is>
      </c>
      <c r="L4" s="10" t="inlineStr">
        <is>
          <t>Statut</t>
        </is>
      </c>
    </row>
    <row r="5" ht="22" customHeight="1">
      <c r="B5" s="11" t="inlineStr">
        <is>
          <t>MC-001</t>
        </is>
      </c>
      <c r="C5" s="11" t="inlineStr">
        <is>
          <t>CSE reunion</t>
        </is>
      </c>
      <c r="D5" s="11" t="inlineStr">
        <is>
          <t>CSE</t>
        </is>
      </c>
      <c r="E5" s="11" t="inlineStr">
        <is>
          <t>Installer detecteurs fumee cuisine</t>
        </is>
      </c>
      <c r="F5" s="11" t="inlineStr">
        <is>
          <t>Chef Entretien</t>
        </is>
      </c>
      <c r="G5" s="11" t="inlineStr">
        <is>
          <t>Maintenance</t>
        </is>
      </c>
      <c r="H5" s="28" t="n">
        <v>45778</v>
      </c>
      <c r="I5" s="28" t="n">
        <v>45869</v>
      </c>
      <c r="J5" s="26" t="n">
        <v>80</v>
      </c>
      <c r="K5" s="22" t="n">
        <v>350000</v>
      </c>
      <c r="L5" s="11" t="inlineStr">
        <is>
          <t>En cours</t>
        </is>
      </c>
    </row>
    <row r="6" ht="22" customHeight="1">
      <c r="B6" s="14" t="inlineStr">
        <is>
          <t>MC-002</t>
        </is>
      </c>
      <c r="C6" s="14" t="inlineStr">
        <is>
          <t>CHSCT audit</t>
        </is>
      </c>
      <c r="D6" s="14" t="inlineStr">
        <is>
          <t>CHSCT</t>
        </is>
      </c>
      <c r="E6" s="14" t="inlineStr">
        <is>
          <t>Equiper agents EPI complets</t>
        </is>
      </c>
      <c r="F6" s="14" t="inlineStr">
        <is>
          <t>Chef Securite</t>
        </is>
      </c>
      <c r="G6" s="14" t="inlineStr">
        <is>
          <t>Sécurité</t>
        </is>
      </c>
      <c r="H6" s="29" t="n">
        <v>45762</v>
      </c>
      <c r="I6" s="29" t="n">
        <v>45838</v>
      </c>
      <c r="J6" s="27" t="n">
        <v>100</v>
      </c>
      <c r="K6" s="23" t="n">
        <v>500000</v>
      </c>
      <c r="L6" s="14" t="inlineStr">
        <is>
          <t>Cloturee</t>
        </is>
      </c>
    </row>
    <row r="7" ht="22" customHeight="1">
      <c r="B7" s="11" t="inlineStr">
        <is>
          <t>MC-003</t>
        </is>
      </c>
      <c r="C7" s="11" t="inlineStr">
        <is>
          <t>Greve fev.</t>
        </is>
      </c>
      <c r="D7" s="11" t="inlineStr">
        <is>
          <t>Negociation</t>
        </is>
      </c>
      <c r="E7" s="11" t="inlineStr">
        <is>
          <t>Reviser grille salariale cuisine</t>
        </is>
      </c>
      <c r="F7" s="11" t="inlineStr">
        <is>
          <t>DRH Nganou</t>
        </is>
      </c>
      <c r="G7" s="11" t="inlineStr">
        <is>
          <t>Service Client</t>
        </is>
      </c>
      <c r="H7" s="28" t="n">
        <v>45717</v>
      </c>
      <c r="I7" s="28" t="n">
        <v>45838</v>
      </c>
      <c r="J7" s="26" t="n">
        <v>100</v>
      </c>
      <c r="K7" s="22" t="n">
        <v>2400000</v>
      </c>
      <c r="L7" s="11" t="inlineStr">
        <is>
          <t>Cloturee</t>
        </is>
      </c>
    </row>
    <row r="8" ht="22" customHeight="1">
      <c r="B8" s="14" t="inlineStr">
        <is>
          <t>MC-004</t>
        </is>
      </c>
      <c r="C8" s="14" t="inlineStr">
        <is>
          <t>Reclamation REC-005</t>
        </is>
      </c>
      <c r="D8" s="14" t="inlineStr">
        <is>
          <t>Reclamation</t>
        </is>
      </c>
      <c r="E8" s="14" t="inlineStr">
        <is>
          <t>Commander EPI securite</t>
        </is>
      </c>
      <c r="F8" s="14" t="inlineStr">
        <is>
          <t>Chef Logistique</t>
        </is>
      </c>
      <c r="G8" s="14" t="inlineStr">
        <is>
          <t>Logistique &amp; Approvisionnement</t>
        </is>
      </c>
      <c r="H8" s="29" t="n">
        <v>45830</v>
      </c>
      <c r="I8" s="29" t="n">
        <v>45869</v>
      </c>
      <c r="J8" s="27" t="n">
        <v>30</v>
      </c>
      <c r="K8" s="23" t="n">
        <v>150000</v>
      </c>
      <c r="L8" s="14" t="inlineStr">
        <is>
          <t>En cours</t>
        </is>
      </c>
    </row>
    <row r="9" ht="22" customHeight="1">
      <c r="B9" s="11" t="inlineStr">
        <is>
          <t>MC-005</t>
        </is>
      </c>
      <c r="C9" s="11" t="inlineStr">
        <is>
          <t>Mediation MED-001</t>
        </is>
      </c>
      <c r="D9" s="11" t="inlineStr">
        <is>
          <t>Mediation</t>
        </is>
      </c>
      <c r="E9" s="11" t="inlineStr">
        <is>
          <t>Changer N+1 service client</t>
        </is>
      </c>
      <c r="F9" s="11" t="inlineStr">
        <is>
          <t>DRH Nganou</t>
        </is>
      </c>
      <c r="G9" s="11" t="inlineStr">
        <is>
          <t>Service Client</t>
        </is>
      </c>
      <c r="H9" s="28" t="n">
        <v>45820</v>
      </c>
      <c r="I9" s="28" t="n">
        <v>45900</v>
      </c>
      <c r="J9" s="26" t="n">
        <v>0</v>
      </c>
      <c r="K9" s="22" t="n">
        <v>0</v>
      </c>
      <c r="L9" s="11" t="inlineStr">
        <is>
          <t>En cours</t>
        </is>
      </c>
    </row>
    <row r="10" ht="22" customHeight="1">
      <c r="B10" s="17">
        <f>IF(C10="","MC-"&amp;TEXT(COUNTA($C$5:C10),"000"))</f>
        <v/>
      </c>
      <c r="C10" s="14" t="n"/>
      <c r="D10" s="14" t="n"/>
      <c r="E10" s="14" t="n"/>
      <c r="F10" s="14" t="n"/>
      <c r="G10" s="14" t="n"/>
      <c r="H10" s="29" t="n"/>
      <c r="I10" s="29" t="n"/>
      <c r="J10" s="27" t="n"/>
      <c r="K10" s="23" t="n"/>
      <c r="L10" s="14" t="n"/>
    </row>
    <row r="11" ht="22" customHeight="1">
      <c r="B11" s="18">
        <f>IF(C11="","MC-"&amp;TEXT(COUNTA($C$5:C11),"000"))</f>
        <v/>
      </c>
      <c r="C11" s="11" t="n"/>
      <c r="D11" s="11" t="n"/>
      <c r="E11" s="11" t="n"/>
      <c r="F11" s="11" t="n"/>
      <c r="G11" s="11" t="n"/>
      <c r="H11" s="28" t="n"/>
      <c r="I11" s="28" t="n"/>
      <c r="J11" s="26" t="n"/>
      <c r="K11" s="22" t="n"/>
      <c r="L11" s="11" t="n"/>
    </row>
    <row r="12" ht="22" customHeight="1">
      <c r="B12" s="17">
        <f>IF(C12="","MC-"&amp;TEXT(COUNTA($C$5:C12),"000"))</f>
        <v/>
      </c>
      <c r="C12" s="14" t="n"/>
      <c r="D12" s="14" t="n"/>
      <c r="E12" s="14" t="n"/>
      <c r="F12" s="14" t="n"/>
      <c r="G12" s="14" t="n"/>
      <c r="H12" s="29" t="n"/>
      <c r="I12" s="29" t="n"/>
      <c r="J12" s="27" t="n"/>
      <c r="K12" s="23" t="n"/>
      <c r="L12" s="14" t="n"/>
    </row>
    <row r="13" ht="22" customHeight="1">
      <c r="B13" s="18">
        <f>IF(C13="","MC-"&amp;TEXT(COUNTA($C$5:C13),"000"))</f>
        <v/>
      </c>
      <c r="C13" s="11" t="n"/>
      <c r="D13" s="11" t="n"/>
      <c r="E13" s="11" t="n"/>
      <c r="F13" s="11" t="n"/>
      <c r="G13" s="11" t="n"/>
      <c r="H13" s="28" t="n"/>
      <c r="I13" s="28" t="n"/>
      <c r="J13" s="26" t="n"/>
      <c r="K13" s="22" t="n"/>
      <c r="L13" s="11" t="n"/>
    </row>
    <row r="14" ht="22" customHeight="1">
      <c r="B14" s="17">
        <f>IF(C14="","MC-"&amp;TEXT(COUNTA($C$5:C14),"000"))</f>
        <v/>
      </c>
      <c r="C14" s="14" t="n"/>
      <c r="D14" s="14" t="n"/>
      <c r="E14" s="14" t="n"/>
      <c r="F14" s="14" t="n"/>
      <c r="G14" s="14" t="n"/>
      <c r="H14" s="29" t="n"/>
      <c r="I14" s="29" t="n"/>
      <c r="J14" s="27" t="n"/>
      <c r="K14" s="23" t="n"/>
      <c r="L14" s="14" t="n"/>
    </row>
    <row r="15" ht="22" customHeight="1">
      <c r="B15" s="18">
        <f>IF(C15="","MC-"&amp;TEXT(COUNTA($C$5:C15),"000"))</f>
        <v/>
      </c>
      <c r="C15" s="11" t="n"/>
      <c r="D15" s="11" t="n"/>
      <c r="E15" s="11" t="n"/>
      <c r="F15" s="11" t="n"/>
      <c r="G15" s="11" t="n"/>
      <c r="H15" s="28" t="n"/>
      <c r="I15" s="28" t="n"/>
      <c r="J15" s="26" t="n"/>
      <c r="K15" s="22" t="n"/>
      <c r="L15" s="11" t="n"/>
    </row>
    <row r="16" ht="22" customHeight="1">
      <c r="B16" s="17">
        <f>IF(C16="","MC-"&amp;TEXT(COUNTA($C$5:C16),"000"))</f>
        <v/>
      </c>
      <c r="C16" s="14" t="n"/>
      <c r="D16" s="14" t="n"/>
      <c r="E16" s="14" t="n"/>
      <c r="F16" s="14" t="n"/>
      <c r="G16" s="14" t="n"/>
      <c r="H16" s="29" t="n"/>
      <c r="I16" s="29" t="n"/>
      <c r="J16" s="27" t="n"/>
      <c r="K16" s="23" t="n"/>
      <c r="L16" s="14" t="n"/>
    </row>
    <row r="17" ht="22" customHeight="1">
      <c r="B17" s="18">
        <f>IF(C17="","MC-"&amp;TEXT(COUNTA($C$5:C17),"000"))</f>
        <v/>
      </c>
      <c r="C17" s="11" t="n"/>
      <c r="D17" s="11" t="n"/>
      <c r="E17" s="11" t="n"/>
      <c r="F17" s="11" t="n"/>
      <c r="G17" s="11" t="n"/>
      <c r="H17" s="28" t="n"/>
      <c r="I17" s="28" t="n"/>
      <c r="J17" s="26" t="n"/>
      <c r="K17" s="22" t="n"/>
      <c r="L17" s="11" t="n"/>
    </row>
    <row r="18" ht="22" customHeight="1">
      <c r="B18" s="17">
        <f>IF(C18="","MC-"&amp;TEXT(COUNTA($C$5:C18),"000"))</f>
        <v/>
      </c>
      <c r="C18" s="14" t="n"/>
      <c r="D18" s="14" t="n"/>
      <c r="E18" s="14" t="n"/>
      <c r="F18" s="14" t="n"/>
      <c r="G18" s="14" t="n"/>
      <c r="H18" s="29" t="n"/>
      <c r="I18" s="29" t="n"/>
      <c r="J18" s="27" t="n"/>
      <c r="K18" s="23" t="n"/>
      <c r="L18" s="14" t="n"/>
    </row>
    <row r="19" ht="22" customHeight="1">
      <c r="B19" s="18">
        <f>IF(C19="","MC-"&amp;TEXT(COUNTA($C$5:C19),"000"))</f>
        <v/>
      </c>
      <c r="C19" s="11" t="n"/>
      <c r="D19" s="11" t="n"/>
      <c r="E19" s="11" t="n"/>
      <c r="F19" s="11" t="n"/>
      <c r="G19" s="11" t="n"/>
      <c r="H19" s="28" t="n"/>
      <c r="I19" s="28" t="n"/>
      <c r="J19" s="26" t="n"/>
      <c r="K19" s="22" t="n"/>
      <c r="L19" s="11" t="n"/>
    </row>
    <row r="20" ht="22" customHeight="1">
      <c r="B20" s="17">
        <f>IF(C20="","MC-"&amp;TEXT(COUNTA($C$5:C20),"000"))</f>
        <v/>
      </c>
      <c r="C20" s="14" t="n"/>
      <c r="D20" s="14" t="n"/>
      <c r="E20" s="14" t="n"/>
      <c r="F20" s="14" t="n"/>
      <c r="G20" s="14" t="n"/>
      <c r="H20" s="29" t="n"/>
      <c r="I20" s="29" t="n"/>
      <c r="J20" s="27" t="n"/>
      <c r="K20" s="23" t="n"/>
      <c r="L20" s="14" t="n"/>
    </row>
    <row r="21" ht="22" customHeight="1">
      <c r="B21" s="18">
        <f>IF(C21="","MC-"&amp;TEXT(COUNTA($C$5:C21),"000"))</f>
        <v/>
      </c>
      <c r="C21" s="11" t="n"/>
      <c r="D21" s="11" t="n"/>
      <c r="E21" s="11" t="n"/>
      <c r="F21" s="11" t="n"/>
      <c r="G21" s="11" t="n"/>
      <c r="H21" s="28" t="n"/>
      <c r="I21" s="28" t="n"/>
      <c r="J21" s="26" t="n"/>
      <c r="K21" s="22" t="n"/>
      <c r="L21" s="11" t="n"/>
    </row>
    <row r="22" ht="22" customHeight="1">
      <c r="B22" s="17">
        <f>IF(C22="","MC-"&amp;TEXT(COUNTA($C$5:C22),"000"))</f>
        <v/>
      </c>
      <c r="C22" s="14" t="n"/>
      <c r="D22" s="14" t="n"/>
      <c r="E22" s="14" t="n"/>
      <c r="F22" s="14" t="n"/>
      <c r="G22" s="14" t="n"/>
      <c r="H22" s="29" t="n"/>
      <c r="I22" s="29" t="n"/>
      <c r="J22" s="27" t="n"/>
      <c r="K22" s="23" t="n"/>
      <c r="L22" s="14" t="n"/>
    </row>
    <row r="23" ht="22" customHeight="1">
      <c r="B23" s="18">
        <f>IF(C23="","MC-"&amp;TEXT(COUNTA($C$5:C23),"000"))</f>
        <v/>
      </c>
      <c r="C23" s="11" t="n"/>
      <c r="D23" s="11" t="n"/>
      <c r="E23" s="11" t="n"/>
      <c r="F23" s="11" t="n"/>
      <c r="G23" s="11" t="n"/>
      <c r="H23" s="28" t="n"/>
      <c r="I23" s="28" t="n"/>
      <c r="J23" s="26" t="n"/>
      <c r="K23" s="22" t="n"/>
      <c r="L23" s="11" t="n"/>
    </row>
    <row r="24" ht="22" customHeight="1">
      <c r="B24" s="17">
        <f>IF(C24="","MC-"&amp;TEXT(COUNTA($C$5:C24),"000"))</f>
        <v/>
      </c>
      <c r="C24" s="14" t="n"/>
      <c r="D24" s="14" t="n"/>
      <c r="E24" s="14" t="n"/>
      <c r="F24" s="14" t="n"/>
      <c r="G24" s="14" t="n"/>
      <c r="H24" s="29" t="n"/>
      <c r="I24" s="29" t="n"/>
      <c r="J24" s="27" t="n"/>
      <c r="K24" s="23" t="n"/>
      <c r="L24" s="14" t="n"/>
    </row>
    <row r="25" ht="22" customHeight="1">
      <c r="B25" s="18">
        <f>IF(C25="","MC-"&amp;TEXT(COUNTA($C$5:C25),"000"))</f>
        <v/>
      </c>
      <c r="C25" s="11" t="n"/>
      <c r="D25" s="11" t="n"/>
      <c r="E25" s="11" t="n"/>
      <c r="F25" s="11" t="n"/>
      <c r="G25" s="11" t="n"/>
      <c r="H25" s="28" t="n"/>
      <c r="I25" s="28" t="n"/>
      <c r="J25" s="26" t="n"/>
      <c r="K25" s="22" t="n"/>
      <c r="L25" s="11" t="n"/>
    </row>
    <row r="26" ht="22" customHeight="1">
      <c r="B26" s="17">
        <f>IF(C26="","MC-"&amp;TEXT(COUNTA($C$5:C26),"000"))</f>
        <v/>
      </c>
      <c r="C26" s="14" t="n"/>
      <c r="D26" s="14" t="n"/>
      <c r="E26" s="14" t="n"/>
      <c r="F26" s="14" t="n"/>
      <c r="G26" s="14" t="n"/>
      <c r="H26" s="29" t="n"/>
      <c r="I26" s="29" t="n"/>
      <c r="J26" s="27" t="n"/>
      <c r="K26" s="23" t="n"/>
      <c r="L26" s="14" t="n"/>
    </row>
    <row r="27" ht="22" customHeight="1">
      <c r="B27" s="18">
        <f>IF(C27="","MC-"&amp;TEXT(COUNTA($C$5:C27),"000"))</f>
        <v/>
      </c>
      <c r="C27" s="11" t="n"/>
      <c r="D27" s="11" t="n"/>
      <c r="E27" s="11" t="n"/>
      <c r="F27" s="11" t="n"/>
      <c r="G27" s="11" t="n"/>
      <c r="H27" s="28" t="n"/>
      <c r="I27" s="28" t="n"/>
      <c r="J27" s="26" t="n"/>
      <c r="K27" s="22" t="n"/>
      <c r="L27" s="11" t="n"/>
    </row>
    <row r="28" ht="22" customHeight="1">
      <c r="B28" s="17">
        <f>IF(C28="","MC-"&amp;TEXT(COUNTA($C$5:C28),"000"))</f>
        <v/>
      </c>
      <c r="C28" s="14" t="n"/>
      <c r="D28" s="14" t="n"/>
      <c r="E28" s="14" t="n"/>
      <c r="F28" s="14" t="n"/>
      <c r="G28" s="14" t="n"/>
      <c r="H28" s="29" t="n"/>
      <c r="I28" s="29" t="n"/>
      <c r="J28" s="27" t="n"/>
      <c r="K28" s="23" t="n"/>
      <c r="L28" s="14" t="n"/>
    </row>
    <row r="29" ht="22" customHeight="1">
      <c r="B29" s="18">
        <f>IF(C29="","MC-"&amp;TEXT(COUNTA($C$5:C29),"000"))</f>
        <v/>
      </c>
      <c r="C29" s="11" t="n"/>
      <c r="D29" s="11" t="n"/>
      <c r="E29" s="11" t="n"/>
      <c r="F29" s="11" t="n"/>
      <c r="G29" s="11" t="n"/>
      <c r="H29" s="28" t="n"/>
      <c r="I29" s="28" t="n"/>
      <c r="J29" s="26" t="n"/>
      <c r="K29" s="22" t="n"/>
      <c r="L29" s="11" t="n"/>
    </row>
    <row r="30" ht="22" customHeight="1">
      <c r="B30" s="17">
        <f>IF(C30="","MC-"&amp;TEXT(COUNTA($C$5:C30),"000"))</f>
        <v/>
      </c>
      <c r="C30" s="14" t="n"/>
      <c r="D30" s="14" t="n"/>
      <c r="E30" s="14" t="n"/>
      <c r="F30" s="14" t="n"/>
      <c r="G30" s="14" t="n"/>
      <c r="H30" s="29" t="n"/>
      <c r="I30" s="29" t="n"/>
      <c r="J30" s="27" t="n"/>
      <c r="K30" s="23" t="n"/>
      <c r="L30" s="14" t="n"/>
    </row>
    <row r="31" ht="22" customHeight="1">
      <c r="B31" s="18">
        <f>IF(C31="","MC-"&amp;TEXT(COUNTA($C$5:C31),"000"))</f>
        <v/>
      </c>
      <c r="C31" s="11" t="n"/>
      <c r="D31" s="11" t="n"/>
      <c r="E31" s="11" t="n"/>
      <c r="F31" s="11" t="n"/>
      <c r="G31" s="11" t="n"/>
      <c r="H31" s="28" t="n"/>
      <c r="I31" s="28" t="n"/>
      <c r="J31" s="26" t="n"/>
      <c r="K31" s="22" t="n"/>
      <c r="L31" s="11" t="n"/>
    </row>
    <row r="32" ht="22" customHeight="1">
      <c r="B32" s="17">
        <f>IF(C32="","MC-"&amp;TEXT(COUNTA($C$5:C32),"000"))</f>
        <v/>
      </c>
      <c r="C32" s="14" t="n"/>
      <c r="D32" s="14" t="n"/>
      <c r="E32" s="14" t="n"/>
      <c r="F32" s="14" t="n"/>
      <c r="G32" s="14" t="n"/>
      <c r="H32" s="29" t="n"/>
      <c r="I32" s="29" t="n"/>
      <c r="J32" s="27" t="n"/>
      <c r="K32" s="23" t="n"/>
      <c r="L32" s="14" t="n"/>
    </row>
    <row r="33" ht="22" customHeight="1">
      <c r="B33" s="18">
        <f>IF(C33="","MC-"&amp;TEXT(COUNTA($C$5:C33),"000"))</f>
        <v/>
      </c>
      <c r="C33" s="11" t="n"/>
      <c r="D33" s="11" t="n"/>
      <c r="E33" s="11" t="n"/>
      <c r="F33" s="11" t="n"/>
      <c r="G33" s="11" t="n"/>
      <c r="H33" s="28" t="n"/>
      <c r="I33" s="28" t="n"/>
      <c r="J33" s="26" t="n"/>
      <c r="K33" s="22" t="n"/>
      <c r="L33" s="11" t="n"/>
    </row>
    <row r="34" ht="22" customHeight="1">
      <c r="B34" s="17">
        <f>IF(C34="","MC-"&amp;TEXT(COUNTA($C$5:C34),"000"))</f>
        <v/>
      </c>
      <c r="C34" s="14" t="n"/>
      <c r="D34" s="14" t="n"/>
      <c r="E34" s="14" t="n"/>
      <c r="F34" s="14" t="n"/>
      <c r="G34" s="14" t="n"/>
      <c r="H34" s="29" t="n"/>
      <c r="I34" s="29" t="n"/>
      <c r="J34" s="27" t="n"/>
      <c r="K34" s="23" t="n"/>
      <c r="L34" s="14" t="n"/>
    </row>
    <row r="35" ht="22" customHeight="1">
      <c r="B35" s="18">
        <f>IF(C35="","MC-"&amp;TEXT(COUNTA($C$5:C35),"000"))</f>
        <v/>
      </c>
      <c r="C35" s="11" t="n"/>
      <c r="D35" s="11" t="n"/>
      <c r="E35" s="11" t="n"/>
      <c r="F35" s="11" t="n"/>
      <c r="G35" s="11" t="n"/>
      <c r="H35" s="28" t="n"/>
      <c r="I35" s="28" t="n"/>
      <c r="J35" s="26" t="n"/>
      <c r="K35" s="22" t="n"/>
      <c r="L35" s="11" t="n"/>
    </row>
    <row r="36" ht="22" customHeight="1">
      <c r="B36" s="17">
        <f>IF(C36="","MC-"&amp;TEXT(COUNTA($C$5:C36),"000"))</f>
        <v/>
      </c>
      <c r="C36" s="14" t="n"/>
      <c r="D36" s="14" t="n"/>
      <c r="E36" s="14" t="n"/>
      <c r="F36" s="14" t="n"/>
      <c r="G36" s="14" t="n"/>
      <c r="H36" s="29" t="n"/>
      <c r="I36" s="29" t="n"/>
      <c r="J36" s="27" t="n"/>
      <c r="K36" s="23" t="n"/>
      <c r="L36" s="14" t="n"/>
    </row>
    <row r="37" ht="22" customHeight="1">
      <c r="B37" s="18">
        <f>IF(C37="","MC-"&amp;TEXT(COUNTA($C$5:C37),"000"))</f>
        <v/>
      </c>
      <c r="C37" s="11" t="n"/>
      <c r="D37" s="11" t="n"/>
      <c r="E37" s="11" t="n"/>
      <c r="F37" s="11" t="n"/>
      <c r="G37" s="11" t="n"/>
      <c r="H37" s="28" t="n"/>
      <c r="I37" s="28" t="n"/>
      <c r="J37" s="26" t="n"/>
      <c r="K37" s="22" t="n"/>
      <c r="L37" s="11" t="n"/>
    </row>
    <row r="38" ht="22" customHeight="1">
      <c r="B38" s="17">
        <f>IF(C38="","MC-"&amp;TEXT(COUNTA($C$5:C38),"000"))</f>
        <v/>
      </c>
      <c r="C38" s="14" t="n"/>
      <c r="D38" s="14" t="n"/>
      <c r="E38" s="14" t="n"/>
      <c r="F38" s="14" t="n"/>
      <c r="G38" s="14" t="n"/>
      <c r="H38" s="29" t="n"/>
      <c r="I38" s="29" t="n"/>
      <c r="J38" s="27" t="n"/>
      <c r="K38" s="23" t="n"/>
      <c r="L38" s="14" t="n"/>
    </row>
    <row r="39" ht="22" customHeight="1">
      <c r="B39" s="18">
        <f>IF(C39="","MC-"&amp;TEXT(COUNTA($C$5:C39),"000"))</f>
        <v/>
      </c>
      <c r="C39" s="11" t="n"/>
      <c r="D39" s="11" t="n"/>
      <c r="E39" s="11" t="n"/>
      <c r="F39" s="11" t="n"/>
      <c r="G39" s="11" t="n"/>
      <c r="H39" s="28" t="n"/>
      <c r="I39" s="28" t="n"/>
      <c r="J39" s="26" t="n"/>
      <c r="K39" s="22" t="n"/>
      <c r="L39" s="11" t="n"/>
    </row>
    <row r="40" ht="22" customHeight="1">
      <c r="B40" s="17">
        <f>IF(C40="","MC-"&amp;TEXT(COUNTA($C$5:C40),"000"))</f>
        <v/>
      </c>
      <c r="C40" s="14" t="n"/>
      <c r="D40" s="14" t="n"/>
      <c r="E40" s="14" t="n"/>
      <c r="F40" s="14" t="n"/>
      <c r="G40" s="14" t="n"/>
      <c r="H40" s="29" t="n"/>
      <c r="I40" s="29" t="n"/>
      <c r="J40" s="27" t="n"/>
      <c r="K40" s="23" t="n"/>
      <c r="L40" s="14" t="n"/>
    </row>
    <row r="41" ht="22" customHeight="1">
      <c r="B41" s="18">
        <f>IF(C41="","MC-"&amp;TEXT(COUNTA($C$5:C41),"000"))</f>
        <v/>
      </c>
      <c r="C41" s="11" t="n"/>
      <c r="D41" s="11" t="n"/>
      <c r="E41" s="11" t="n"/>
      <c r="F41" s="11" t="n"/>
      <c r="G41" s="11" t="n"/>
      <c r="H41" s="28" t="n"/>
      <c r="I41" s="28" t="n"/>
      <c r="J41" s="26" t="n"/>
      <c r="K41" s="22" t="n"/>
      <c r="L41" s="11" t="n"/>
    </row>
    <row r="42" ht="22" customHeight="1">
      <c r="B42" s="17">
        <f>IF(C42="","MC-"&amp;TEXT(COUNTA($C$5:C42),"000"))</f>
        <v/>
      </c>
      <c r="C42" s="14" t="n"/>
      <c r="D42" s="14" t="n"/>
      <c r="E42" s="14" t="n"/>
      <c r="F42" s="14" t="n"/>
      <c r="G42" s="14" t="n"/>
      <c r="H42" s="29" t="n"/>
      <c r="I42" s="29" t="n"/>
      <c r="J42" s="27" t="n"/>
      <c r="K42" s="23" t="n"/>
      <c r="L42" s="14" t="n"/>
    </row>
    <row r="43" ht="22" customHeight="1">
      <c r="B43" s="18">
        <f>IF(C43="","MC-"&amp;TEXT(COUNTA($C$5:C43),"000"))</f>
        <v/>
      </c>
      <c r="C43" s="11" t="n"/>
      <c r="D43" s="11" t="n"/>
      <c r="E43" s="11" t="n"/>
      <c r="F43" s="11" t="n"/>
      <c r="G43" s="11" t="n"/>
      <c r="H43" s="28" t="n"/>
      <c r="I43" s="28" t="n"/>
      <c r="J43" s="26" t="n"/>
      <c r="K43" s="22" t="n"/>
      <c r="L43" s="11" t="n"/>
    </row>
    <row r="44" ht="22" customHeight="1">
      <c r="B44" s="17">
        <f>IF(C44="","MC-"&amp;TEXT(COUNTA($C$5:C44),"000"))</f>
        <v/>
      </c>
      <c r="C44" s="14" t="n"/>
      <c r="D44" s="14" t="n"/>
      <c r="E44" s="14" t="n"/>
      <c r="F44" s="14" t="n"/>
      <c r="G44" s="14" t="n"/>
      <c r="H44" s="29" t="n"/>
      <c r="I44" s="29" t="n"/>
      <c r="J44" s="27" t="n"/>
      <c r="K44" s="23" t="n"/>
      <c r="L44" s="14" t="n"/>
    </row>
    <row r="45" ht="22" customHeight="1">
      <c r="B45" s="18">
        <f>IF(C45="","MC-"&amp;TEXT(COUNTA($C$5:C45),"000"))</f>
        <v/>
      </c>
      <c r="C45" s="11" t="n"/>
      <c r="D45" s="11" t="n"/>
      <c r="E45" s="11" t="n"/>
      <c r="F45" s="11" t="n"/>
      <c r="G45" s="11" t="n"/>
      <c r="H45" s="28" t="n"/>
      <c r="I45" s="28" t="n"/>
      <c r="J45" s="26" t="n"/>
      <c r="K45" s="22" t="n"/>
      <c r="L45" s="11" t="n"/>
    </row>
    <row r="46" ht="22" customHeight="1">
      <c r="B46" s="17">
        <f>IF(C46="","MC-"&amp;TEXT(COUNTA($C$5:C46),"000"))</f>
        <v/>
      </c>
      <c r="C46" s="14" t="n"/>
      <c r="D46" s="14" t="n"/>
      <c r="E46" s="14" t="n"/>
      <c r="F46" s="14" t="n"/>
      <c r="G46" s="14" t="n"/>
      <c r="H46" s="29" t="n"/>
      <c r="I46" s="29" t="n"/>
      <c r="J46" s="27" t="n"/>
      <c r="K46" s="23" t="n"/>
      <c r="L46" s="14" t="n"/>
    </row>
    <row r="47" ht="22" customHeight="1">
      <c r="B47" s="18">
        <f>IF(C47="","MC-"&amp;TEXT(COUNTA($C$5:C47),"000"))</f>
        <v/>
      </c>
      <c r="C47" s="11" t="n"/>
      <c r="D47" s="11" t="n"/>
      <c r="E47" s="11" t="n"/>
      <c r="F47" s="11" t="n"/>
      <c r="G47" s="11" t="n"/>
      <c r="H47" s="28" t="n"/>
      <c r="I47" s="28" t="n"/>
      <c r="J47" s="26" t="n"/>
      <c r="K47" s="22" t="n"/>
      <c r="L47" s="11" t="n"/>
    </row>
    <row r="48" ht="22" customHeight="1">
      <c r="B48" s="17">
        <f>IF(C48="","MC-"&amp;TEXT(COUNTA($C$5:C48),"000"))</f>
        <v/>
      </c>
      <c r="C48" s="14" t="n"/>
      <c r="D48" s="14" t="n"/>
      <c r="E48" s="14" t="n"/>
      <c r="F48" s="14" t="n"/>
      <c r="G48" s="14" t="n"/>
      <c r="H48" s="29" t="n"/>
      <c r="I48" s="29" t="n"/>
      <c r="J48" s="27" t="n"/>
      <c r="K48" s="23" t="n"/>
      <c r="L48" s="14" t="n"/>
    </row>
    <row r="49" ht="22" customHeight="1">
      <c r="B49" s="18">
        <f>IF(C49="","MC-"&amp;TEXT(COUNTA($C$5:C49),"000"))</f>
        <v/>
      </c>
      <c r="C49" s="11" t="n"/>
      <c r="D49" s="11" t="n"/>
      <c r="E49" s="11" t="n"/>
      <c r="F49" s="11" t="n"/>
      <c r="G49" s="11" t="n"/>
      <c r="H49" s="28" t="n"/>
      <c r="I49" s="28" t="n"/>
      <c r="J49" s="26" t="n"/>
      <c r="K49" s="22" t="n"/>
      <c r="L49" s="11" t="n"/>
    </row>
    <row r="50" ht="22" customHeight="1">
      <c r="B50" s="17">
        <f>IF(C50="","MC-"&amp;TEXT(COUNTA($C$5:C50),"000"))</f>
        <v/>
      </c>
      <c r="C50" s="14" t="n"/>
      <c r="D50" s="14" t="n"/>
      <c r="E50" s="14" t="n"/>
      <c r="F50" s="14" t="n"/>
      <c r="G50" s="14" t="n"/>
      <c r="H50" s="29" t="n"/>
      <c r="I50" s="29" t="n"/>
      <c r="J50" s="27" t="n"/>
      <c r="K50" s="23" t="n"/>
      <c r="L50" s="14" t="n"/>
    </row>
    <row r="51" ht="22" customHeight="1">
      <c r="B51" s="18">
        <f>IF(C51="","MC-"&amp;TEXT(COUNTA($C$5:C51),"000"))</f>
        <v/>
      </c>
      <c r="C51" s="11" t="n"/>
      <c r="D51" s="11" t="n"/>
      <c r="E51" s="11" t="n"/>
      <c r="F51" s="11" t="n"/>
      <c r="G51" s="11" t="n"/>
      <c r="H51" s="28" t="n"/>
      <c r="I51" s="28" t="n"/>
      <c r="J51" s="26" t="n"/>
      <c r="K51" s="22" t="n"/>
      <c r="L51" s="11" t="n"/>
    </row>
    <row r="52" ht="22" customHeight="1">
      <c r="B52" s="17">
        <f>IF(C52="","MC-"&amp;TEXT(COUNTA($C$5:C52),"000"))</f>
        <v/>
      </c>
      <c r="C52" s="14" t="n"/>
      <c r="D52" s="14" t="n"/>
      <c r="E52" s="14" t="n"/>
      <c r="F52" s="14" t="n"/>
      <c r="G52" s="14" t="n"/>
      <c r="H52" s="29" t="n"/>
      <c r="I52" s="29" t="n"/>
      <c r="J52" s="27" t="n"/>
      <c r="K52" s="23" t="n"/>
      <c r="L52" s="14" t="n"/>
    </row>
    <row r="53" ht="22" customHeight="1">
      <c r="B53" s="18">
        <f>IF(C53="","MC-"&amp;TEXT(COUNTA($C$5:C53),"000"))</f>
        <v/>
      </c>
      <c r="C53" s="11" t="n"/>
      <c r="D53" s="11" t="n"/>
      <c r="E53" s="11" t="n"/>
      <c r="F53" s="11" t="n"/>
      <c r="G53" s="11" t="n"/>
      <c r="H53" s="28" t="n"/>
      <c r="I53" s="28" t="n"/>
      <c r="J53" s="26" t="n"/>
      <c r="K53" s="22" t="n"/>
      <c r="L53" s="11" t="n"/>
    </row>
    <row r="54" ht="22" customHeight="1">
      <c r="B54" s="17">
        <f>IF(C54="","MC-"&amp;TEXT(COUNTA($C$5:C54),"000"))</f>
        <v/>
      </c>
      <c r="C54" s="14" t="n"/>
      <c r="D54" s="14" t="n"/>
      <c r="E54" s="14" t="n"/>
      <c r="F54" s="14" t="n"/>
      <c r="G54" s="14" t="n"/>
      <c r="H54" s="29" t="n"/>
      <c r="I54" s="29" t="n"/>
      <c r="J54" s="27" t="n"/>
      <c r="K54" s="23" t="n"/>
      <c r="L54" s="14" t="n"/>
    </row>
    <row r="55" ht="22" customHeight="1">
      <c r="B55" s="18">
        <f>IF(C55="","MC-"&amp;TEXT(COUNTA($C$5:C55),"000"))</f>
        <v/>
      </c>
      <c r="C55" s="11" t="n"/>
      <c r="D55" s="11" t="n"/>
      <c r="E55" s="11" t="n"/>
      <c r="F55" s="11" t="n"/>
      <c r="G55" s="11" t="n"/>
      <c r="H55" s="28" t="n"/>
      <c r="I55" s="28" t="n"/>
      <c r="J55" s="26" t="n"/>
      <c r="K55" s="22" t="n"/>
      <c r="L55" s="11" t="n"/>
    </row>
    <row r="56" ht="22" customHeight="1">
      <c r="B56" s="17">
        <f>IF(C56="","MC-"&amp;TEXT(COUNTA($C$5:C56),"000"))</f>
        <v/>
      </c>
      <c r="C56" s="14" t="n"/>
      <c r="D56" s="14" t="n"/>
      <c r="E56" s="14" t="n"/>
      <c r="F56" s="14" t="n"/>
      <c r="G56" s="14" t="n"/>
      <c r="H56" s="29" t="n"/>
      <c r="I56" s="29" t="n"/>
      <c r="J56" s="27" t="n"/>
      <c r="K56" s="23" t="n"/>
      <c r="L56" s="14" t="n"/>
    </row>
    <row r="57" ht="22" customHeight="1">
      <c r="B57" s="18">
        <f>IF(C57="","MC-"&amp;TEXT(COUNTA($C$5:C57),"000"))</f>
        <v/>
      </c>
      <c r="C57" s="11" t="n"/>
      <c r="D57" s="11" t="n"/>
      <c r="E57" s="11" t="n"/>
      <c r="F57" s="11" t="n"/>
      <c r="G57" s="11" t="n"/>
      <c r="H57" s="28" t="n"/>
      <c r="I57" s="28" t="n"/>
      <c r="J57" s="26" t="n"/>
      <c r="K57" s="22" t="n"/>
      <c r="L57" s="11" t="n"/>
    </row>
    <row r="58" ht="22" customHeight="1">
      <c r="B58" s="17">
        <f>IF(C58="","MC-"&amp;TEXT(COUNTA($C$5:C58),"000"))</f>
        <v/>
      </c>
      <c r="C58" s="14" t="n"/>
      <c r="D58" s="14" t="n"/>
      <c r="E58" s="14" t="n"/>
      <c r="F58" s="14" t="n"/>
      <c r="G58" s="14" t="n"/>
      <c r="H58" s="29" t="n"/>
      <c r="I58" s="29" t="n"/>
      <c r="J58" s="27" t="n"/>
      <c r="K58" s="23" t="n"/>
      <c r="L58" s="14" t="n"/>
    </row>
    <row r="59" ht="22" customHeight="1">
      <c r="B59" s="18">
        <f>IF(C59="","MC-"&amp;TEXT(COUNTA($C$5:C59),"000"))</f>
        <v/>
      </c>
      <c r="C59" s="11" t="n"/>
      <c r="D59" s="11" t="n"/>
      <c r="E59" s="11" t="n"/>
      <c r="F59" s="11" t="n"/>
      <c r="G59" s="11" t="n"/>
      <c r="H59" s="28" t="n"/>
      <c r="I59" s="28" t="n"/>
      <c r="J59" s="26" t="n"/>
      <c r="K59" s="22" t="n"/>
      <c r="L59" s="11" t="n"/>
    </row>
    <row r="60" ht="22" customHeight="1">
      <c r="B60" s="17">
        <f>IF(C60="","MC-"&amp;TEXT(COUNTA($C$5:C60),"000"))</f>
        <v/>
      </c>
      <c r="C60" s="14" t="n"/>
      <c r="D60" s="14" t="n"/>
      <c r="E60" s="14" t="n"/>
      <c r="F60" s="14" t="n"/>
      <c r="G60" s="14" t="n"/>
      <c r="H60" s="29" t="n"/>
      <c r="I60" s="29" t="n"/>
      <c r="J60" s="27" t="n"/>
      <c r="K60" s="23" t="n"/>
      <c r="L60" s="14" t="n"/>
    </row>
    <row r="61" ht="22" customHeight="1">
      <c r="B61" s="18">
        <f>IF(C61="","MC-"&amp;TEXT(COUNTA($C$5:C61),"000"))</f>
        <v/>
      </c>
      <c r="C61" s="11" t="n"/>
      <c r="D61" s="11" t="n"/>
      <c r="E61" s="11" t="n"/>
      <c r="F61" s="11" t="n"/>
      <c r="G61" s="11" t="n"/>
      <c r="H61" s="28" t="n"/>
      <c r="I61" s="28" t="n"/>
      <c r="J61" s="26" t="n"/>
      <c r="K61" s="22" t="n"/>
      <c r="L61" s="11" t="n"/>
    </row>
    <row r="62" ht="22" customHeight="1">
      <c r="B62" s="17">
        <f>IF(C62="","MC-"&amp;TEXT(COUNTA($C$5:C62),"000"))</f>
        <v/>
      </c>
      <c r="C62" s="14" t="n"/>
      <c r="D62" s="14" t="n"/>
      <c r="E62" s="14" t="n"/>
      <c r="F62" s="14" t="n"/>
      <c r="G62" s="14" t="n"/>
      <c r="H62" s="29" t="n"/>
      <c r="I62" s="29" t="n"/>
      <c r="J62" s="27" t="n"/>
      <c r="K62" s="23" t="n"/>
      <c r="L62" s="14" t="n"/>
    </row>
    <row r="63" ht="22" customHeight="1">
      <c r="B63" s="18">
        <f>IF(C63="","MC-"&amp;TEXT(COUNTA($C$5:C63),"000"))</f>
        <v/>
      </c>
      <c r="C63" s="11" t="n"/>
      <c r="D63" s="11" t="n"/>
      <c r="E63" s="11" t="n"/>
      <c r="F63" s="11" t="n"/>
      <c r="G63" s="11" t="n"/>
      <c r="H63" s="28" t="n"/>
      <c r="I63" s="28" t="n"/>
      <c r="J63" s="26" t="n"/>
      <c r="K63" s="22" t="n"/>
      <c r="L63" s="11" t="n"/>
    </row>
    <row r="64" ht="22" customHeight="1">
      <c r="B64" s="17">
        <f>IF(C64="","MC-"&amp;TEXT(COUNTA($C$5:C64),"000"))</f>
        <v/>
      </c>
      <c r="C64" s="14" t="n"/>
      <c r="D64" s="14" t="n"/>
      <c r="E64" s="14" t="n"/>
      <c r="F64" s="14" t="n"/>
      <c r="G64" s="14" t="n"/>
      <c r="H64" s="29" t="n"/>
      <c r="I64" s="29" t="n"/>
      <c r="J64" s="27" t="n"/>
      <c r="K64" s="23" t="n"/>
      <c r="L64" s="14" t="n"/>
    </row>
    <row r="65" ht="22" customHeight="1">
      <c r="B65" s="18">
        <f>IF(C65="","MC-"&amp;TEXT(COUNTA($C$5:C65),"000"))</f>
        <v/>
      </c>
      <c r="C65" s="11" t="n"/>
      <c r="D65" s="11" t="n"/>
      <c r="E65" s="11" t="n"/>
      <c r="F65" s="11" t="n"/>
      <c r="G65" s="11" t="n"/>
      <c r="H65" s="28" t="n"/>
      <c r="I65" s="28" t="n"/>
      <c r="J65" s="26" t="n"/>
      <c r="K65" s="22" t="n"/>
      <c r="L65" s="11" t="n"/>
    </row>
    <row r="66" ht="22" customHeight="1">
      <c r="B66" s="17">
        <f>IF(C66="","MC-"&amp;TEXT(COUNTA($C$5:C66),"000"))</f>
        <v/>
      </c>
      <c r="C66" s="14" t="n"/>
      <c r="D66" s="14" t="n"/>
      <c r="E66" s="14" t="n"/>
      <c r="F66" s="14" t="n"/>
      <c r="G66" s="14" t="n"/>
      <c r="H66" s="29" t="n"/>
      <c r="I66" s="29" t="n"/>
      <c r="J66" s="27" t="n"/>
      <c r="K66" s="23" t="n"/>
      <c r="L66" s="14" t="n"/>
    </row>
    <row r="67" ht="22" customHeight="1">
      <c r="B67" s="18">
        <f>IF(C67="","MC-"&amp;TEXT(COUNTA($C$5:C67),"000"))</f>
        <v/>
      </c>
      <c r="C67" s="11" t="n"/>
      <c r="D67" s="11" t="n"/>
      <c r="E67" s="11" t="n"/>
      <c r="F67" s="11" t="n"/>
      <c r="G67" s="11" t="n"/>
      <c r="H67" s="28" t="n"/>
      <c r="I67" s="28" t="n"/>
      <c r="J67" s="26" t="n"/>
      <c r="K67" s="22" t="n"/>
      <c r="L67" s="11" t="n"/>
    </row>
    <row r="68" ht="22" customHeight="1">
      <c r="B68" s="17">
        <f>IF(C68="","MC-"&amp;TEXT(COUNTA($C$5:C68),"000"))</f>
        <v/>
      </c>
      <c r="C68" s="14" t="n"/>
      <c r="D68" s="14" t="n"/>
      <c r="E68" s="14" t="n"/>
      <c r="F68" s="14" t="n"/>
      <c r="G68" s="14" t="n"/>
      <c r="H68" s="29" t="n"/>
      <c r="I68" s="29" t="n"/>
      <c r="J68" s="27" t="n"/>
      <c r="K68" s="23" t="n"/>
      <c r="L68" s="14" t="n"/>
    </row>
    <row r="69" ht="22" customHeight="1">
      <c r="B69" s="18">
        <f>IF(C69="","MC-"&amp;TEXT(COUNTA($C$5:C69),"000"))</f>
        <v/>
      </c>
      <c r="C69" s="11" t="n"/>
      <c r="D69" s="11" t="n"/>
      <c r="E69" s="11" t="n"/>
      <c r="F69" s="11" t="n"/>
      <c r="G69" s="11" t="n"/>
      <c r="H69" s="28" t="n"/>
      <c r="I69" s="28" t="n"/>
      <c r="J69" s="26" t="n"/>
      <c r="K69" s="22" t="n"/>
      <c r="L69" s="11" t="n"/>
    </row>
    <row r="70" ht="22" customHeight="1">
      <c r="B70" s="17">
        <f>IF(C70="","MC-"&amp;TEXT(COUNTA($C$5:C70),"000"))</f>
        <v/>
      </c>
      <c r="C70" s="14" t="n"/>
      <c r="D70" s="14" t="n"/>
      <c r="E70" s="14" t="n"/>
      <c r="F70" s="14" t="n"/>
      <c r="G70" s="14" t="n"/>
      <c r="H70" s="29" t="n"/>
      <c r="I70" s="29" t="n"/>
      <c r="J70" s="27" t="n"/>
      <c r="K70" s="23" t="n"/>
      <c r="L70" s="14" t="n"/>
    </row>
    <row r="71" ht="22" customHeight="1">
      <c r="B71" s="18">
        <f>IF(C71="","MC-"&amp;TEXT(COUNTA($C$5:C71),"000"))</f>
        <v/>
      </c>
      <c r="C71" s="11" t="n"/>
      <c r="D71" s="11" t="n"/>
      <c r="E71" s="11" t="n"/>
      <c r="F71" s="11" t="n"/>
      <c r="G71" s="11" t="n"/>
      <c r="H71" s="28" t="n"/>
      <c r="I71" s="28" t="n"/>
      <c r="J71" s="26" t="n"/>
      <c r="K71" s="22" t="n"/>
      <c r="L71" s="11" t="n"/>
    </row>
    <row r="72" ht="22" customHeight="1">
      <c r="B72" s="17">
        <f>IF(C72="","MC-"&amp;TEXT(COUNTA($C$5:C72),"000"))</f>
        <v/>
      </c>
      <c r="C72" s="14" t="n"/>
      <c r="D72" s="14" t="n"/>
      <c r="E72" s="14" t="n"/>
      <c r="F72" s="14" t="n"/>
      <c r="G72" s="14" t="n"/>
      <c r="H72" s="29" t="n"/>
      <c r="I72" s="29" t="n"/>
      <c r="J72" s="27" t="n"/>
      <c r="K72" s="23" t="n"/>
      <c r="L72" s="14" t="n"/>
    </row>
    <row r="73" ht="22" customHeight="1">
      <c r="B73" s="18">
        <f>IF(C73="","MC-"&amp;TEXT(COUNTA($C$5:C73),"000"))</f>
        <v/>
      </c>
      <c r="C73" s="11" t="n"/>
      <c r="D73" s="11" t="n"/>
      <c r="E73" s="11" t="n"/>
      <c r="F73" s="11" t="n"/>
      <c r="G73" s="11" t="n"/>
      <c r="H73" s="28" t="n"/>
      <c r="I73" s="28" t="n"/>
      <c r="J73" s="26" t="n"/>
      <c r="K73" s="22" t="n"/>
      <c r="L73" s="11" t="n"/>
    </row>
    <row r="74" ht="22" customHeight="1">
      <c r="B74" s="17">
        <f>IF(C74="","MC-"&amp;TEXT(COUNTA($C$5:C74),"000"))</f>
        <v/>
      </c>
      <c r="C74" s="14" t="n"/>
      <c r="D74" s="14" t="n"/>
      <c r="E74" s="14" t="n"/>
      <c r="F74" s="14" t="n"/>
      <c r="G74" s="14" t="n"/>
      <c r="H74" s="29" t="n"/>
      <c r="I74" s="29" t="n"/>
      <c r="J74" s="27" t="n"/>
      <c r="K74" s="23" t="n"/>
      <c r="L74" s="14" t="n"/>
    </row>
    <row r="75" ht="22" customHeight="1">
      <c r="B75" s="18">
        <f>IF(C75="","MC-"&amp;TEXT(COUNTA($C$5:C75),"000"))</f>
        <v/>
      </c>
      <c r="C75" s="11" t="n"/>
      <c r="D75" s="11" t="n"/>
      <c r="E75" s="11" t="n"/>
      <c r="F75" s="11" t="n"/>
      <c r="G75" s="11" t="n"/>
      <c r="H75" s="28" t="n"/>
      <c r="I75" s="28" t="n"/>
      <c r="J75" s="26" t="n"/>
      <c r="K75" s="22" t="n"/>
      <c r="L75" s="11" t="n"/>
    </row>
    <row r="76" ht="22" customHeight="1">
      <c r="B76" s="17">
        <f>IF(C76="","MC-"&amp;TEXT(COUNTA($C$5:C76),"000"))</f>
        <v/>
      </c>
      <c r="C76" s="14" t="n"/>
      <c r="D76" s="14" t="n"/>
      <c r="E76" s="14" t="n"/>
      <c r="F76" s="14" t="n"/>
      <c r="G76" s="14" t="n"/>
      <c r="H76" s="29" t="n"/>
      <c r="I76" s="29" t="n"/>
      <c r="J76" s="27" t="n"/>
      <c r="K76" s="23" t="n"/>
      <c r="L76" s="14" t="n"/>
    </row>
    <row r="77" ht="22" customHeight="1">
      <c r="B77" s="18">
        <f>IF(C77="","MC-"&amp;TEXT(COUNTA($C$5:C77),"000"))</f>
        <v/>
      </c>
      <c r="C77" s="11" t="n"/>
      <c r="D77" s="11" t="n"/>
      <c r="E77" s="11" t="n"/>
      <c r="F77" s="11" t="n"/>
      <c r="G77" s="11" t="n"/>
      <c r="H77" s="28" t="n"/>
      <c r="I77" s="28" t="n"/>
      <c r="J77" s="26" t="n"/>
      <c r="K77" s="22" t="n"/>
      <c r="L77" s="11" t="n"/>
    </row>
    <row r="78" ht="22" customHeight="1">
      <c r="B78" s="17">
        <f>IF(C78="","MC-"&amp;TEXT(COUNTA($C$5:C78),"000"))</f>
        <v/>
      </c>
      <c r="C78" s="14" t="n"/>
      <c r="D78" s="14" t="n"/>
      <c r="E78" s="14" t="n"/>
      <c r="F78" s="14" t="n"/>
      <c r="G78" s="14" t="n"/>
      <c r="H78" s="29" t="n"/>
      <c r="I78" s="29" t="n"/>
      <c r="J78" s="27" t="n"/>
      <c r="K78" s="23" t="n"/>
      <c r="L78" s="14" t="n"/>
    </row>
    <row r="79" ht="22" customHeight="1">
      <c r="B79" s="18">
        <f>IF(C79="","MC-"&amp;TEXT(COUNTA($C$5:C79),"000"))</f>
        <v/>
      </c>
      <c r="C79" s="11" t="n"/>
      <c r="D79" s="11" t="n"/>
      <c r="E79" s="11" t="n"/>
      <c r="F79" s="11" t="n"/>
      <c r="G79" s="11" t="n"/>
      <c r="H79" s="28" t="n"/>
      <c r="I79" s="28" t="n"/>
      <c r="J79" s="26" t="n"/>
      <c r="K79" s="22" t="n"/>
      <c r="L79" s="11" t="n"/>
    </row>
    <row r="80" ht="22" customHeight="1">
      <c r="B80" s="17">
        <f>IF(C80="","MC-"&amp;TEXT(COUNTA($C$5:C80),"000"))</f>
        <v/>
      </c>
      <c r="C80" s="14" t="n"/>
      <c r="D80" s="14" t="n"/>
      <c r="E80" s="14" t="n"/>
      <c r="F80" s="14" t="n"/>
      <c r="G80" s="14" t="n"/>
      <c r="H80" s="29" t="n"/>
      <c r="I80" s="29" t="n"/>
      <c r="J80" s="27" t="n"/>
      <c r="K80" s="23" t="n"/>
      <c r="L80" s="14" t="n"/>
    </row>
    <row r="81" ht="22" customHeight="1">
      <c r="B81" s="18">
        <f>IF(C81="","MC-"&amp;TEXT(COUNTA($C$5:C81),"000"))</f>
        <v/>
      </c>
      <c r="C81" s="11" t="n"/>
      <c r="D81" s="11" t="n"/>
      <c r="E81" s="11" t="n"/>
      <c r="F81" s="11" t="n"/>
      <c r="G81" s="11" t="n"/>
      <c r="H81" s="28" t="n"/>
      <c r="I81" s="28" t="n"/>
      <c r="J81" s="26" t="n"/>
      <c r="K81" s="22" t="n"/>
      <c r="L81" s="11" t="n"/>
    </row>
    <row r="82" ht="22" customHeight="1">
      <c r="B82" s="17">
        <f>IF(C82="","MC-"&amp;TEXT(COUNTA($C$5:C82),"000"))</f>
        <v/>
      </c>
      <c r="C82" s="14" t="n"/>
      <c r="D82" s="14" t="n"/>
      <c r="E82" s="14" t="n"/>
      <c r="F82" s="14" t="n"/>
      <c r="G82" s="14" t="n"/>
      <c r="H82" s="29" t="n"/>
      <c r="I82" s="29" t="n"/>
      <c r="J82" s="27" t="n"/>
      <c r="K82" s="23" t="n"/>
      <c r="L82" s="14" t="n"/>
    </row>
    <row r="83" ht="22" customHeight="1">
      <c r="B83" s="18">
        <f>IF(C83="","MC-"&amp;TEXT(COUNTA($C$5:C83),"000"))</f>
        <v/>
      </c>
      <c r="C83" s="11" t="n"/>
      <c r="D83" s="11" t="n"/>
      <c r="E83" s="11" t="n"/>
      <c r="F83" s="11" t="n"/>
      <c r="G83" s="11" t="n"/>
      <c r="H83" s="28" t="n"/>
      <c r="I83" s="28" t="n"/>
      <c r="J83" s="26" t="n"/>
      <c r="K83" s="22" t="n"/>
      <c r="L83" s="11" t="n"/>
    </row>
    <row r="84" ht="22" customHeight="1">
      <c r="B84" s="17">
        <f>IF(C84="","MC-"&amp;TEXT(COUNTA($C$5:C84),"000"))</f>
        <v/>
      </c>
      <c r="C84" s="14" t="n"/>
      <c r="D84" s="14" t="n"/>
      <c r="E84" s="14" t="n"/>
      <c r="F84" s="14" t="n"/>
      <c r="G84" s="14" t="n"/>
      <c r="H84" s="29" t="n"/>
      <c r="I84" s="29" t="n"/>
      <c r="J84" s="27" t="n"/>
      <c r="K84" s="23" t="n"/>
      <c r="L84" s="14" t="n"/>
    </row>
    <row r="85" ht="22" customHeight="1">
      <c r="B85" s="18">
        <f>IF(C85="","MC-"&amp;TEXT(COUNTA($C$5:C85),"000"))</f>
        <v/>
      </c>
      <c r="C85" s="11" t="n"/>
      <c r="D85" s="11" t="n"/>
      <c r="E85" s="11" t="n"/>
      <c r="F85" s="11" t="n"/>
      <c r="G85" s="11" t="n"/>
      <c r="H85" s="28" t="n"/>
      <c r="I85" s="28" t="n"/>
      <c r="J85" s="26" t="n"/>
      <c r="K85" s="22" t="n"/>
      <c r="L85" s="11" t="n"/>
    </row>
    <row r="86" ht="22" customHeight="1">
      <c r="B86" s="17">
        <f>IF(C86="","MC-"&amp;TEXT(COUNTA($C$5:C86),"000"))</f>
        <v/>
      </c>
      <c r="C86" s="14" t="n"/>
      <c r="D86" s="14" t="n"/>
      <c r="E86" s="14" t="n"/>
      <c r="F86" s="14" t="n"/>
      <c r="G86" s="14" t="n"/>
      <c r="H86" s="29" t="n"/>
      <c r="I86" s="29" t="n"/>
      <c r="J86" s="27" t="n"/>
      <c r="K86" s="23" t="n"/>
      <c r="L86" s="14" t="n"/>
    </row>
    <row r="87" ht="22" customHeight="1">
      <c r="B87" s="18">
        <f>IF(C87="","MC-"&amp;TEXT(COUNTA($C$5:C87),"000"))</f>
        <v/>
      </c>
      <c r="C87" s="11" t="n"/>
      <c r="D87" s="11" t="n"/>
      <c r="E87" s="11" t="n"/>
      <c r="F87" s="11" t="n"/>
      <c r="G87" s="11" t="n"/>
      <c r="H87" s="28" t="n"/>
      <c r="I87" s="28" t="n"/>
      <c r="J87" s="26" t="n"/>
      <c r="K87" s="22" t="n"/>
      <c r="L87" s="11" t="n"/>
    </row>
    <row r="88" ht="22" customHeight="1">
      <c r="B88" s="17">
        <f>IF(C88="","MC-"&amp;TEXT(COUNTA($C$5:C88),"000"))</f>
        <v/>
      </c>
      <c r="C88" s="14" t="n"/>
      <c r="D88" s="14" t="n"/>
      <c r="E88" s="14" t="n"/>
      <c r="F88" s="14" t="n"/>
      <c r="G88" s="14" t="n"/>
      <c r="H88" s="29" t="n"/>
      <c r="I88" s="29" t="n"/>
      <c r="J88" s="27" t="n"/>
      <c r="K88" s="23" t="n"/>
      <c r="L88" s="14" t="n"/>
    </row>
    <row r="89" ht="22" customHeight="1">
      <c r="B89" s="18">
        <f>IF(C89="","MC-"&amp;TEXT(COUNTA($C$5:C89),"000"))</f>
        <v/>
      </c>
      <c r="C89" s="11" t="n"/>
      <c r="D89" s="11" t="n"/>
      <c r="E89" s="11" t="n"/>
      <c r="F89" s="11" t="n"/>
      <c r="G89" s="11" t="n"/>
      <c r="H89" s="28" t="n"/>
      <c r="I89" s="28" t="n"/>
      <c r="J89" s="26" t="n"/>
      <c r="K89" s="22" t="n"/>
      <c r="L89" s="11" t="n"/>
    </row>
    <row r="90" ht="22" customHeight="1">
      <c r="B90" s="17">
        <f>IF(C90="","MC-"&amp;TEXT(COUNTA($C$5:C90),"000"))</f>
        <v/>
      </c>
      <c r="C90" s="14" t="n"/>
      <c r="D90" s="14" t="n"/>
      <c r="E90" s="14" t="n"/>
      <c r="F90" s="14" t="n"/>
      <c r="G90" s="14" t="n"/>
      <c r="H90" s="29" t="n"/>
      <c r="I90" s="29" t="n"/>
      <c r="J90" s="27" t="n"/>
      <c r="K90" s="23" t="n"/>
      <c r="L90" s="14" t="n"/>
    </row>
    <row r="91" ht="22" customHeight="1">
      <c r="B91" s="18">
        <f>IF(C91="","MC-"&amp;TEXT(COUNTA($C$5:C91),"000"))</f>
        <v/>
      </c>
      <c r="C91" s="11" t="n"/>
      <c r="D91" s="11" t="n"/>
      <c r="E91" s="11" t="n"/>
      <c r="F91" s="11" t="n"/>
      <c r="G91" s="11" t="n"/>
      <c r="H91" s="28" t="n"/>
      <c r="I91" s="28" t="n"/>
      <c r="J91" s="26" t="n"/>
      <c r="K91" s="22" t="n"/>
      <c r="L91" s="11" t="n"/>
    </row>
    <row r="92" ht="22" customHeight="1">
      <c r="B92" s="17">
        <f>IF(C92="","MC-"&amp;TEXT(COUNTA($C$5:C92),"000"))</f>
        <v/>
      </c>
      <c r="C92" s="14" t="n"/>
      <c r="D92" s="14" t="n"/>
      <c r="E92" s="14" t="n"/>
      <c r="F92" s="14" t="n"/>
      <c r="G92" s="14" t="n"/>
      <c r="H92" s="29" t="n"/>
      <c r="I92" s="29" t="n"/>
      <c r="J92" s="27" t="n"/>
      <c r="K92" s="23" t="n"/>
      <c r="L92" s="14" t="n"/>
    </row>
    <row r="93" ht="22" customHeight="1">
      <c r="B93" s="18">
        <f>IF(C93="","MC-"&amp;TEXT(COUNTA($C$5:C93),"000"))</f>
        <v/>
      </c>
      <c r="C93" s="11" t="n"/>
      <c r="D93" s="11" t="n"/>
      <c r="E93" s="11" t="n"/>
      <c r="F93" s="11" t="n"/>
      <c r="G93" s="11" t="n"/>
      <c r="H93" s="28" t="n"/>
      <c r="I93" s="28" t="n"/>
      <c r="J93" s="26" t="n"/>
      <c r="K93" s="22" t="n"/>
      <c r="L93" s="11" t="n"/>
    </row>
    <row r="94" ht="22" customHeight="1">
      <c r="B94" s="17">
        <f>IF(C94="","MC-"&amp;TEXT(COUNTA($C$5:C94),"000"))</f>
        <v/>
      </c>
      <c r="C94" s="14" t="n"/>
      <c r="D94" s="14" t="n"/>
      <c r="E94" s="14" t="n"/>
      <c r="F94" s="14" t="n"/>
      <c r="G94" s="14" t="n"/>
      <c r="H94" s="29" t="n"/>
      <c r="I94" s="29" t="n"/>
      <c r="J94" s="27" t="n"/>
      <c r="K94" s="23" t="n"/>
      <c r="L94" s="14" t="n"/>
    </row>
    <row r="95" ht="22" customHeight="1">
      <c r="B95" s="18">
        <f>IF(C95="","MC-"&amp;TEXT(COUNTA($C$5:C95),"000"))</f>
        <v/>
      </c>
      <c r="C95" s="11" t="n"/>
      <c r="D95" s="11" t="n"/>
      <c r="E95" s="11" t="n"/>
      <c r="F95" s="11" t="n"/>
      <c r="G95" s="11" t="n"/>
      <c r="H95" s="28" t="n"/>
      <c r="I95" s="28" t="n"/>
      <c r="J95" s="26" t="n"/>
      <c r="K95" s="22" t="n"/>
      <c r="L95" s="11" t="n"/>
    </row>
    <row r="96" ht="22" customHeight="1">
      <c r="B96" s="17">
        <f>IF(C96="","MC-"&amp;TEXT(COUNTA($C$5:C96),"000"))</f>
        <v/>
      </c>
      <c r="C96" s="14" t="n"/>
      <c r="D96" s="14" t="n"/>
      <c r="E96" s="14" t="n"/>
      <c r="F96" s="14" t="n"/>
      <c r="G96" s="14" t="n"/>
      <c r="H96" s="29" t="n"/>
      <c r="I96" s="29" t="n"/>
      <c r="J96" s="27" t="n"/>
      <c r="K96" s="23" t="n"/>
      <c r="L96" s="14" t="n"/>
    </row>
    <row r="97" ht="22" customHeight="1">
      <c r="B97" s="18">
        <f>IF(C97="","MC-"&amp;TEXT(COUNTA($C$5:C97),"000"))</f>
        <v/>
      </c>
      <c r="C97" s="11" t="n"/>
      <c r="D97" s="11" t="n"/>
      <c r="E97" s="11" t="n"/>
      <c r="F97" s="11" t="n"/>
      <c r="G97" s="11" t="n"/>
      <c r="H97" s="28" t="n"/>
      <c r="I97" s="28" t="n"/>
      <c r="J97" s="26" t="n"/>
      <c r="K97" s="22" t="n"/>
      <c r="L97" s="11" t="n"/>
    </row>
    <row r="98" ht="22" customHeight="1">
      <c r="B98" s="17">
        <f>IF(C98="","MC-"&amp;TEXT(COUNTA($C$5:C98),"000"))</f>
        <v/>
      </c>
      <c r="C98" s="14" t="n"/>
      <c r="D98" s="14" t="n"/>
      <c r="E98" s="14" t="n"/>
      <c r="F98" s="14" t="n"/>
      <c r="G98" s="14" t="n"/>
      <c r="H98" s="29" t="n"/>
      <c r="I98" s="29" t="n"/>
      <c r="J98" s="27" t="n"/>
      <c r="K98" s="23" t="n"/>
      <c r="L98" s="14" t="n"/>
    </row>
    <row r="99" ht="22" customHeight="1">
      <c r="B99" s="18">
        <f>IF(C99="","MC-"&amp;TEXT(COUNTA($C$5:C99),"000"))</f>
        <v/>
      </c>
      <c r="C99" s="11" t="n"/>
      <c r="D99" s="11" t="n"/>
      <c r="E99" s="11" t="n"/>
      <c r="F99" s="11" t="n"/>
      <c r="G99" s="11" t="n"/>
      <c r="H99" s="28" t="n"/>
      <c r="I99" s="28" t="n"/>
      <c r="J99" s="26" t="n"/>
      <c r="K99" s="22" t="n"/>
      <c r="L99" s="11" t="n"/>
    </row>
    <row r="100" ht="22" customHeight="1">
      <c r="B100" s="17">
        <f>IF(C100="","MC-"&amp;TEXT(COUNTA($C$5:C100),"000"))</f>
        <v/>
      </c>
      <c r="C100" s="14" t="n"/>
      <c r="D100" s="14" t="n"/>
      <c r="E100" s="14" t="n"/>
      <c r="F100" s="14" t="n"/>
      <c r="G100" s="14" t="n"/>
      <c r="H100" s="29" t="n"/>
      <c r="I100" s="29" t="n"/>
      <c r="J100" s="27" t="n"/>
      <c r="K100" s="23" t="n"/>
      <c r="L100" s="14" t="n"/>
    </row>
    <row r="101" ht="22" customHeight="1">
      <c r="B101" s="18">
        <f>IF(C101="","MC-"&amp;TEXT(COUNTA($C$5:C101),"000"))</f>
        <v/>
      </c>
      <c r="C101" s="11" t="n"/>
      <c r="D101" s="11" t="n"/>
      <c r="E101" s="11" t="n"/>
      <c r="F101" s="11" t="n"/>
      <c r="G101" s="11" t="n"/>
      <c r="H101" s="28" t="n"/>
      <c r="I101" s="28" t="n"/>
      <c r="J101" s="26" t="n"/>
      <c r="K101" s="22" t="n"/>
      <c r="L101" s="11" t="n"/>
    </row>
    <row r="102" ht="22" customHeight="1">
      <c r="B102" s="17">
        <f>IF(C102="","MC-"&amp;TEXT(COUNTA($C$5:C102),"000"))</f>
        <v/>
      </c>
      <c r="C102" s="14" t="n"/>
      <c r="D102" s="14" t="n"/>
      <c r="E102" s="14" t="n"/>
      <c r="F102" s="14" t="n"/>
      <c r="G102" s="14" t="n"/>
      <c r="H102" s="29" t="n"/>
      <c r="I102" s="29" t="n"/>
      <c r="J102" s="27" t="n"/>
      <c r="K102" s="23" t="n"/>
      <c r="L102" s="14" t="n"/>
    </row>
    <row r="103" ht="22" customHeight="1">
      <c r="B103" s="18">
        <f>IF(C103="","MC-"&amp;TEXT(COUNTA($C$5:C103),"000"))</f>
        <v/>
      </c>
      <c r="C103" s="11" t="n"/>
      <c r="D103" s="11" t="n"/>
      <c r="E103" s="11" t="n"/>
      <c r="F103" s="11" t="n"/>
      <c r="G103" s="11" t="n"/>
      <c r="H103" s="28" t="n"/>
      <c r="I103" s="28" t="n"/>
      <c r="J103" s="26" t="n"/>
      <c r="K103" s="22" t="n"/>
      <c r="L103" s="11" t="n"/>
    </row>
    <row r="104" ht="22" customHeight="1">
      <c r="B104" s="17">
        <f>IF(C104="","MC-"&amp;TEXT(COUNTA($C$5:C104),"000"))</f>
        <v/>
      </c>
      <c r="C104" s="14" t="n"/>
      <c r="D104" s="14" t="n"/>
      <c r="E104" s="14" t="n"/>
      <c r="F104" s="14" t="n"/>
      <c r="G104" s="14" t="n"/>
      <c r="H104" s="29" t="n"/>
      <c r="I104" s="29" t="n"/>
      <c r="J104" s="27" t="n"/>
      <c r="K104" s="23" t="n"/>
      <c r="L104" s="14" t="n"/>
    </row>
    <row r="105" ht="22" customHeight="1">
      <c r="B105" s="18">
        <f>IF(C105="","MC-"&amp;TEXT(COUNTA($C$5:C105),"000"))</f>
        <v/>
      </c>
      <c r="C105" s="11" t="n"/>
      <c r="D105" s="11" t="n"/>
      <c r="E105" s="11" t="n"/>
      <c r="F105" s="11" t="n"/>
      <c r="G105" s="11" t="n"/>
      <c r="H105" s="28" t="n"/>
      <c r="I105" s="28" t="n"/>
      <c r="J105" s="26" t="n"/>
      <c r="K105" s="22" t="n"/>
      <c r="L105" s="11" t="n"/>
    </row>
    <row r="106" ht="22" customHeight="1">
      <c r="B106" s="17">
        <f>IF(C106="","MC-"&amp;TEXT(COUNTA($C$5:C106),"000"))</f>
        <v/>
      </c>
      <c r="C106" s="14" t="n"/>
      <c r="D106" s="14" t="n"/>
      <c r="E106" s="14" t="n"/>
      <c r="F106" s="14" t="n"/>
      <c r="G106" s="14" t="n"/>
      <c r="H106" s="29" t="n"/>
      <c r="I106" s="29" t="n"/>
      <c r="J106" s="27" t="n"/>
      <c r="K106" s="23" t="n"/>
      <c r="L106" s="14" t="n"/>
    </row>
    <row r="107" ht="22" customHeight="1">
      <c r="B107" s="18">
        <f>IF(C107="","MC-"&amp;TEXT(COUNTA($C$5:C107),"000"))</f>
        <v/>
      </c>
      <c r="C107" s="11" t="n"/>
      <c r="D107" s="11" t="n"/>
      <c r="E107" s="11" t="n"/>
      <c r="F107" s="11" t="n"/>
      <c r="G107" s="11" t="n"/>
      <c r="H107" s="28" t="n"/>
      <c r="I107" s="28" t="n"/>
      <c r="J107" s="26" t="n"/>
      <c r="K107" s="22" t="n"/>
      <c r="L107" s="11" t="n"/>
    </row>
    <row r="108" ht="22" customHeight="1">
      <c r="B108" s="17">
        <f>IF(C108="","MC-"&amp;TEXT(COUNTA($C$5:C108),"000"))</f>
        <v/>
      </c>
      <c r="C108" s="14" t="n"/>
      <c r="D108" s="14" t="n"/>
      <c r="E108" s="14" t="n"/>
      <c r="F108" s="14" t="n"/>
      <c r="G108" s="14" t="n"/>
      <c r="H108" s="29" t="n"/>
      <c r="I108" s="29" t="n"/>
      <c r="J108" s="27" t="n"/>
      <c r="K108" s="23" t="n"/>
      <c r="L108" s="14" t="n"/>
    </row>
    <row r="109" ht="22" customHeight="1">
      <c r="B109" s="18">
        <f>IF(C109="","MC-"&amp;TEXT(COUNTA($C$5:C109),"000"))</f>
        <v/>
      </c>
      <c r="C109" s="11" t="n"/>
      <c r="D109" s="11" t="n"/>
      <c r="E109" s="11" t="n"/>
      <c r="F109" s="11" t="n"/>
      <c r="G109" s="11" t="n"/>
      <c r="H109" s="28" t="n"/>
      <c r="I109" s="28" t="n"/>
      <c r="J109" s="26" t="n"/>
      <c r="K109" s="22" t="n"/>
      <c r="L109" s="11" t="n"/>
    </row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1">
        <f>SUM(K5:K104)</f>
        <v/>
      </c>
      <c r="L111" s="20" t="n"/>
    </row>
    <row r="113">
      <c r="B113" s="5" t="inlineStr">
        <is>
          <t>INDICATEURS (mis a jour automatiquement)</t>
        </is>
      </c>
    </row>
    <row r="114">
      <c r="B114" s="3" t="inlineStr">
        <is>
          <t>Mesures</t>
        </is>
      </c>
      <c r="D114" s="3" t="inlineStr">
        <is>
          <t>Cloturees</t>
        </is>
      </c>
      <c r="F114" s="3" t="inlineStr">
        <is>
          <t>En cours</t>
        </is>
      </c>
      <c r="H114" s="3" t="inlineStr">
        <is>
          <t>Cout total (FCFA)</t>
        </is>
      </c>
    </row>
    <row r="115">
      <c r="B115" s="4">
        <f>COUNTIF(B5:B104,"&lt;&gt;")</f>
        <v/>
      </c>
      <c r="D115" s="4">
        <f>COUNTIF(L5:L104,"Cloturee")</f>
        <v/>
      </c>
      <c r="F115" s="4">
        <f>COUNTIF(L5:L104,"En cours")</f>
        <v/>
      </c>
      <c r="H115" s="4">
        <f>SUM(K5:K104)</f>
        <v/>
      </c>
    </row>
  </sheetData>
  <mergeCells count="3">
    <mergeCell ref="B2:L2"/>
    <mergeCell ref="B113:L113"/>
    <mergeCell ref="B3:L3"/>
  </mergeCells>
  <conditionalFormatting sqref="L5:L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1">
      <formula>"En attente"</formula>
    </cfRule>
    <cfRule type="cellIs" priority="45" operator="equal" dxfId="1">
      <formula>"A renouveler"</formula>
    </cfRule>
    <cfRule type="cellIs" priority="46" operator="equal" dxfId="1">
      <formula>"En cours"</formula>
    </cfRule>
    <cfRule type="cellIs" priority="47" operator="equal" dxfId="1">
      <formula>"En traitement"</formula>
    </cfRule>
    <cfRule type="cellIs" priority="48" operator="equal" dxfId="1">
      <formula>"En retard"</formula>
    </cfRule>
    <cfRule type="cellIs" priority="49" operator="equal" dxfId="1">
      <formula>"Suspendu"</formula>
    </cfRule>
    <cfRule type="cellIs" priority="50" operator="equal" dxfId="1">
      <formula>"Planifie"</formula>
    </cfRule>
    <cfRule type="cellIs" priority="51" operator="equal" dxfId="1">
      <formula>"Planifiee"</formula>
    </cfRule>
    <cfRule type="cellIs" priority="52" operator="equal" dxfId="1">
      <formula>"Brouillon"</formula>
    </cfRule>
    <cfRule type="cellIs" priority="53" operator="equal" dxfId="1">
      <formula>"En attente de justification"</formula>
    </cfRule>
    <cfRule type="cellIs" priority="54" operator="equal" dxfId="1">
      <formula>"Tolere"</formula>
    </cfRule>
    <cfRule type="cellIs" priority="55" operator="equal" dxfId="1">
      <formula>"Variable"</formula>
    </cfRule>
    <cfRule type="cellIs" priority="56" operator="equal" dxfId="1">
      <formula>"En elaboration"</formula>
    </cfRule>
    <cfRule type="cellIs" priority="57" operator="equal" dxfId="1">
      <formula>"Provisionne"</formula>
    </cfRule>
    <cfRule type="cellIs" priority="58" operator="equal" dxfId="1">
      <formula>"Consomme partiel"</formula>
    </cfRule>
    <cfRule type="cellIs" priority="59" operator="equal" dxfId="1">
      <formula>"Identifie"</formula>
    </cfRule>
    <cfRule type="cellIs" priority="60" operator="equal" dxfId="1">
      <formula>"Priorise"</formula>
    </cfRule>
    <cfRule type="cellIs" priority="61" operator="equal" dxfId="1">
      <formula>"Intermediaire"</formula>
    </cfRule>
    <cfRule type="cellIs" priority="62" operator="equal" dxfId="1">
      <formula>"Non evalue"</formula>
    </cfRule>
    <cfRule type="cellIs" priority="63" operator="equal" dxfId="1">
      <formula>"En cours de realisation"</formula>
    </cfRule>
    <cfRule type="cellIs" priority="64" operator="equal" dxfId="1">
      <formula>"Non demarre"</formula>
    </cfRule>
    <cfRule type="cellIs" priority="65" operator="equal" dxfId="1">
      <formula>"En attente N+1"</formula>
    </cfRule>
    <cfRule type="cellIs" priority="66" operator="equal" dxfId="1">
      <formula>"Prolongation essai"</formula>
    </cfRule>
    <cfRule type="cellIs" priority="67" operator="equal" dxfId="1">
      <formula>"En attente validation"</formula>
    </cfRule>
    <cfRule type="cellIs" priority="68" operator="equal" dxfId="1">
      <formula>"Bon"</formula>
    </cfRule>
    <cfRule type="cellIs" priority="69" operator="equal" dxfId="1">
      <formula>"D - Moyen"</formula>
    </cfRule>
    <cfRule type="cellIs" priority="70" operator="equal" dxfId="1">
      <formula>"En cours de repres."</formula>
    </cfRule>
    <cfRule type="cellIs" priority="71" operator="equal" dxfId="1">
      <formula>"En negociation"</formula>
    </cfRule>
    <cfRule type="cellIs" priority="72" operator="equal" dxfId="1">
      <formula>"En preparation"</formula>
    </cfRule>
    <cfRule type="cellIs" priority="73" operator="equal" dxfId="1">
      <formula>"En cours d'instruction"</formula>
    </cfRule>
    <cfRule type="cellIs" priority="74" operator="equal" dxfId="1">
      <formula>"Transferee N+1"</formula>
    </cfRule>
    <cfRule type="cellIs" priority="75" operator="equal" dxfId="1">
      <formula>"En attente reponse"</formula>
    </cfRule>
    <cfRule type="cellIs" priority="76" operator="equal" dxfId="1">
      <formula>"Enquete ouverte"</formula>
    </cfRule>
    <cfRule type="cellIs" priority="77" operator="equal" dxfId="1">
      <formula>"Convocation envoyee"</formula>
    </cfRule>
    <cfRule type="cellIs" priority="78" operator="equal" dxfId="1">
      <formula>"Entretien realise"</formula>
    </cfRule>
    <cfRule type="cellIs" priority="79" operator="equal" dxfId="1">
      <formula>"Saisie"</formula>
    </cfRule>
    <cfRule type="cellIs" priority="80" operator="equal" dxfId="1">
      <formula>"En mediation"</formula>
    </cfRule>
    <cfRule type="cellIs" priority="81" operator="equal" dxfId="1">
      <formula>"En recours"</formula>
    </cfRule>
    <cfRule type="cellIs" priority="82" operator="equal" dxfId="1">
      <formula>"Reportee"</formula>
    </cfRule>
    <cfRule type="cellIs" priority="83" operator="equal" dxfId="1">
      <formula>"Signale"</formula>
    </cfRule>
    <cfRule type="cellIs" priority="84" operator="equal" dxfId="1">
      <formula>"Precontentieux"</formula>
    </cfRule>
    <cfRule type="cellIs" priority="85" operator="equal" dxfId="1">
      <formula>"En attente election"</formula>
    </cfRule>
    <cfRule type="cellIs" priority="86" operator="equal" dxfId="1">
      <formula>"Classe"</formula>
    </cfRule>
    <cfRule type="cellIs" priority="87" operator="equal" dxfId="2">
      <formula>"Expire"</formula>
    </cfRule>
    <cfRule type="cellIs" priority="88" operator="equal" dxfId="2">
      <formula>"Rejete"</formula>
    </cfRule>
    <cfRule type="cellIs" priority="89" operator="equal" dxfId="2">
      <formula>"Rejetee"</formula>
    </cfRule>
    <cfRule type="cellIs" priority="90" operator="equal" dxfId="2">
      <formula>"Resilie"</formula>
    </cfRule>
    <cfRule type="cellIs" priority="91" operator="equal" dxfId="2">
      <formula>"Annule"</formula>
    </cfRule>
    <cfRule type="cellIs" priority="92" operator="equal" dxfId="2">
      <formula>"Annulee"</formula>
    </cfRule>
    <cfRule type="cellIs" priority="93" operator="equal" dxfId="2">
      <formula>"Refuse"</formula>
    </cfRule>
    <cfRule type="cellIs" priority="94" operator="equal" dxfId="2">
      <formula>"Non justifie"</formula>
    </cfRule>
    <cfRule type="cellIs" priority="95" operator="equal" dxfId="2">
      <formula>"Non justifiee"</formula>
    </cfRule>
    <cfRule type="cellIs" priority="96" operator="equal" dxfId="2">
      <formula>"Sanctionne"</formula>
    </cfRule>
    <cfRule type="cellIs" priority="97" operator="equal" dxfId="2">
      <formula>"Inaptitude"</formula>
    </cfRule>
    <cfRule type="cellIs" priority="98" operator="equal" dxfId="2">
      <formula>"Absent sans autorisation"</formula>
    </cfRule>
    <cfRule type="cellIs" priority="99" operator="equal" dxfId="2">
      <formula>"Abandon de poste"</formula>
    </cfRule>
    <cfRule type="cellIs" priority="100" operator="equal" dxfId="2">
      <formula>"Non satisfait"</formula>
    </cfRule>
    <cfRule type="cellIs" priority="101" operator="equal" dxfId="2">
      <formula>"Reportee"</formula>
    </cfRule>
    <cfRule type="cellIs" priority="102" operator="equal" dxfId="2">
      <formula>"Depasse"</formula>
    </cfRule>
    <cfRule type="cellIs" priority="103" operator="equal" dxfId="2">
      <formula>"Non utilise"</formula>
    </cfRule>
    <cfRule type="cellIs" priority="104" operator="equal" dxfId="2">
      <formula>"Non applicable"</formula>
    </cfRule>
    <cfRule type="cellIs" priority="105" operator="equal" dxfId="2">
      <formula>"Debutant"</formula>
    </cfRule>
    <cfRule type="cellIs" priority="106" operator="equal" dxfId="2">
      <formula>"Non atteint"</formula>
    </cfRule>
    <cfRule type="cellIs" priority="107" operator="equal" dxfId="2">
      <formula>"Abandonne"</formula>
    </cfRule>
    <cfRule type="cellIs" priority="108" operator="equal" dxfId="2">
      <formula>"Rupture essai"</formula>
    </cfRule>
    <cfRule type="cellIs" priority="109" operator="equal" dxfId="2">
      <formula>"Insuffisant"</formula>
    </cfRule>
    <cfRule type="cellIs" priority="110" operator="equal" dxfId="2">
      <formula>"Moyen"</formula>
    </cfRule>
    <cfRule type="cellIs" priority="111" operator="equal" dxfId="2">
      <formula>"E - Insuffisant"</formula>
    </cfRule>
    <cfRule type="cellIs" priority="112" operator="equal" dxfId="2">
      <formula>"Dissous"</formula>
    </cfRule>
    <cfRule type="cellIs" priority="113" operator="equal" dxfId="2">
      <formula>"Denonce"</formula>
    </cfRule>
    <cfRule type="cellIs" priority="114" operator="equal" dxfId="2">
      <formula>"Echoue"</formula>
    </cfRule>
    <cfRule type="cellIs" priority="115" operator="equal" dxfId="2">
      <formula>"Echouee"</formula>
    </cfRule>
    <cfRule type="cellIs" priority="116" operator="equal" dxfId="2">
      <formula>"Revoque"</formula>
    </cfRule>
    <cfRule type="cellIs" priority="117" operator="equal" dxfId="2">
      <formula>"Demissionnaire"</formula>
    </cfRule>
    <cfRule type="cellIs" priority="118" operator="equal" dxfId="2">
      <formula>"Licenciement pour faute"</formula>
    </cfRule>
    <cfRule type="cellIs" priority="119" operator="equal" dxfId="2">
      <formula>"Licenciement pour faute grave"</formula>
    </cfRule>
    <cfRule type="cellIs" priority="120" operator="equal" dxfId="2">
      <formula>"Terminee - Echec"</formula>
    </cfRule>
    <cfRule type="cellIs" priority="121" operator="equal" dxfId="2">
      <formula>"Abandonnee"</formula>
    </cfRule>
    <cfRule type="cellIs" priority="122" operator="equal" dxfId="2">
      <formula>"Violence physique"</formula>
    </cfRule>
    <cfRule type="cellIs" priority="123" operator="equal" dxfId="2">
      <formula>"Violence verbale"</formula>
    </cfRule>
  </conditionalFormatting>
  <conditionalFormatting sqref="B10:B109">
    <cfRule type="expression" priority="124" dxfId="3">
      <formula>AND($C10="",$C9&lt;&gt;"")</formula>
    </cfRule>
  </conditionalFormatting>
  <conditionalFormatting sqref="C10:C109">
    <cfRule type="expression" priority="125" dxfId="3">
      <formula>AND($C10="",$C9&lt;&gt;"")</formula>
    </cfRule>
  </conditionalFormatting>
  <conditionalFormatting sqref="D10:D109">
    <cfRule type="expression" priority="126" dxfId="3">
      <formula>AND($C10="",$C9&lt;&gt;"")</formula>
    </cfRule>
  </conditionalFormatting>
  <conditionalFormatting sqref="E10:E109">
    <cfRule type="expression" priority="127" dxfId="3">
      <formula>AND($C10="",$C9&lt;&gt;"")</formula>
    </cfRule>
  </conditionalFormatting>
  <conditionalFormatting sqref="F10:F109">
    <cfRule type="expression" priority="128" dxfId="3">
      <formula>AND($C10="",$C9&lt;&gt;"")</formula>
    </cfRule>
  </conditionalFormatting>
  <conditionalFormatting sqref="G10:G109">
    <cfRule type="expression" priority="129" dxfId="3">
      <formula>AND($C10="",$C9&lt;&gt;"")</formula>
    </cfRule>
  </conditionalFormatting>
  <conditionalFormatting sqref="H10:H109">
    <cfRule type="expression" priority="130" dxfId="3">
      <formula>AND($C10="",$C9&lt;&gt;"")</formula>
    </cfRule>
  </conditionalFormatting>
  <conditionalFormatting sqref="I10:I109">
    <cfRule type="expression" priority="131" dxfId="3">
      <formula>AND($C10="",$C9&lt;&gt;"")</formula>
    </cfRule>
  </conditionalFormatting>
  <conditionalFormatting sqref="J10:J109">
    <cfRule type="expression" priority="132" dxfId="3">
      <formula>AND($C10="",$C9&lt;&gt;"")</formula>
    </cfRule>
  </conditionalFormatting>
  <conditionalFormatting sqref="K10:K109">
    <cfRule type="expression" priority="133" dxfId="3">
      <formula>AND($C10="",$C9&lt;&gt;"")</formula>
    </cfRule>
  </conditionalFormatting>
  <conditionalFormatting sqref="L10:L109">
    <cfRule type="expression" priority="134" dxfId="3">
      <formula>AND($C10="",$C9&lt;&gt;"")</formula>
    </cfRule>
  </conditionalFormatting>
  <dataValidations count="2">
    <dataValidation sqref="G5:G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L5:L109" showDropDown="0" showInputMessage="0" showErrorMessage="0" allowBlank="1" errorTitle="Erreur" error="Valeur invalide" promptTitle="Liste" prompt="Choisir dans la liste" type="list">
      <formula1>'_Lists'!$R$2:$R$9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2026-07-05T22:52:34Z</dcterms:created>
  <dcterms:modified xmlns:dcterms="http://purl.org/dc/terms/" xmlns:xsi="http://www.w3.org/2001/XMLSchema-instance" xsi:type="dcterms:W3CDTF">2026-07-09T15:17:48Z</dcterms:modified>
</cp:coreProperties>
</file>