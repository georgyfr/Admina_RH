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Données Employés" sheetId="1" state="hidden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Checklist Conformite Legale" sheetId="4" state="visible" r:id="rId4"/>
    <sheet xmlns:r="http://schemas.openxmlformats.org/officeDocument/2006/relationships" name="3-Calendrier Echeances Legales" sheetId="5" state="visible" r:id="rId5"/>
    <sheet xmlns:r="http://schemas.openxmlformats.org/officeDocument/2006/relationships" name="4-Suivi Contentieux" sheetId="6" state="visible" r:id="rId6"/>
    <sheet xmlns:r="http://schemas.openxmlformats.org/officeDocument/2006/relationships" name="5-Audit Interne RH" sheetId="7" state="visible" r:id="rId7"/>
    <sheet xmlns:r="http://schemas.openxmlformats.org/officeDocument/2006/relationships" name="6-Plans Action Post-Audit" sheetId="8" state="visible" r:id="rId8"/>
    <sheet xmlns:r="http://schemas.openxmlformats.org/officeDocument/2006/relationships" name="7-Gestion Assurances RH" sheetId="9" state="visible" r:id="rId9"/>
    <sheet xmlns:r="http://schemas.openxmlformats.org/officeDocument/2006/relationships" name="8-Registre Mises en Demeu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5" fontId="8" fillId="3" borderId="0" applyAlignment="1" pivotButton="0" quotePrefix="0" xfId="0">
      <alignment horizontal="center" vertical="center"/>
    </xf>
    <xf numFmtId="0" fontId="8" fillId="4" borderId="0" pivotButton="0" quotePrefix="0" xfId="0"/>
    <xf numFmtId="165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Exigences par Domaine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Bord'!C15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Bord'!$B$16:$B$21</f>
            </numRef>
          </cat>
          <val>
            <numRef>
              <f>'1-Tableau de Bord'!$C$16:$C$21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Conformite par Statut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Bord'!$H$24:$H$27</f>
            </numRef>
          </cat>
          <val>
            <numRef>
              <f>'1-Tableau de Bord'!$I$24:$I$27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22" customWidth="1" min="5" max="5"/>
    <col width="16" customWidth="1" min="6" max="6"/>
    <col width="8" customWidth="1" min="7" max="7"/>
    <col width="16" customWidth="1" min="8" max="8"/>
  </cols>
  <sheetData>
    <row r="1">
      <c r="A1" s="27" t="inlineStr">
        <is>
          <t>Matricule</t>
        </is>
      </c>
      <c r="B1" s="27" t="inlineStr">
        <is>
          <t>Nom</t>
        </is>
      </c>
      <c r="C1" s="27" t="inlineStr">
        <is>
          <t>Prénom</t>
        </is>
      </c>
      <c r="D1" s="27" t="inlineStr">
        <is>
          <t>Département</t>
        </is>
      </c>
      <c r="E1" s="27" t="inlineStr">
        <is>
          <t>Poste</t>
        </is>
      </c>
      <c r="F1" s="27" t="inlineStr">
        <is>
          <t>Salaire Brut</t>
        </is>
      </c>
      <c r="G1" s="27" t="inlineStr">
        <is>
          <t>Genre</t>
        </is>
      </c>
      <c r="H1" s="27" t="inlineStr">
        <is>
          <t>Date Embauche</t>
        </is>
      </c>
    </row>
    <row r="2">
      <c r="A2" t="inlineStr">
        <is>
          <t>EMP-001</t>
        </is>
      </c>
      <c r="B2" t="inlineStr">
        <is>
          <t>Nganou</t>
        </is>
      </c>
      <c r="C2" t="inlineStr">
        <is>
          <t>Clarisse</t>
        </is>
      </c>
      <c r="D2" t="inlineStr">
        <is>
          <t>Cuisine &amp; Restauration</t>
        </is>
      </c>
      <c r="E2" t="inlineStr">
        <is>
          <t>Chef</t>
        </is>
      </c>
      <c r="F2" t="n">
        <v>450000</v>
      </c>
      <c r="G2" t="inlineStr">
        <is>
          <t>F</t>
        </is>
      </c>
      <c r="H2" t="inlineStr">
        <is>
          <t>2020-01-15</t>
        </is>
      </c>
    </row>
    <row r="3">
      <c r="A3" t="inlineStr">
        <is>
          <t>EMP-002</t>
        </is>
      </c>
      <c r="B3" t="inlineStr">
        <is>
          <t>Tagne</t>
        </is>
      </c>
      <c r="C3" t="inlineStr">
        <is>
          <t>René</t>
        </is>
      </c>
      <c r="D3" t="inlineStr">
        <is>
          <t>Réception &amp; Front Office</t>
        </is>
      </c>
      <c r="E3" t="inlineStr">
        <is>
          <t>Réceptionniste</t>
        </is>
      </c>
      <c r="F3" t="n">
        <v>165000</v>
      </c>
      <c r="G3" t="inlineStr">
        <is>
          <t>H</t>
        </is>
      </c>
      <c r="H3" t="inlineStr">
        <is>
          <t>2019-06-01</t>
        </is>
      </c>
    </row>
    <row r="4">
      <c r="A4" t="inlineStr">
        <is>
          <t>EMP-003</t>
        </is>
      </c>
      <c r="B4" t="inlineStr">
        <is>
          <t>Fotso</t>
        </is>
      </c>
      <c r="C4" t="inlineStr">
        <is>
          <t>Camille</t>
        </is>
      </c>
      <c r="D4" t="inlineStr">
        <is>
          <t>Cuisine &amp; Restauration</t>
        </is>
      </c>
      <c r="E4" t="inlineStr">
        <is>
          <t>Cuisinier</t>
        </is>
      </c>
      <c r="F4" t="n">
        <v>180000</v>
      </c>
      <c r="G4" t="inlineStr">
        <is>
          <t>H</t>
        </is>
      </c>
      <c r="H4" t="inlineStr">
        <is>
          <t>2021-03-10</t>
        </is>
      </c>
    </row>
    <row r="5">
      <c r="A5" t="inlineStr">
        <is>
          <t>EMP-004</t>
        </is>
      </c>
      <c r="B5" t="inlineStr">
        <is>
          <t>Tchinda</t>
        </is>
      </c>
      <c r="C5" t="inlineStr">
        <is>
          <t>Arlette</t>
        </is>
      </c>
      <c r="D5" t="inlineStr">
        <is>
          <t>Service Client</t>
        </is>
      </c>
      <c r="E5" t="inlineStr">
        <is>
          <t>Assistante RH</t>
        </is>
      </c>
      <c r="F5" t="n">
        <v>200000</v>
      </c>
      <c r="G5" t="inlineStr">
        <is>
          <t>F</t>
        </is>
      </c>
      <c r="H5" t="inlineStr">
        <is>
          <t>2022-09-01</t>
        </is>
      </c>
    </row>
    <row r="6">
      <c r="A6" t="inlineStr">
        <is>
          <t>EMP-005</t>
        </is>
      </c>
      <c r="B6" t="inlineStr">
        <is>
          <t>Ngansop</t>
        </is>
      </c>
      <c r="C6" t="inlineStr">
        <is>
          <t>Sylvie</t>
        </is>
      </c>
      <c r="D6" t="inlineStr">
        <is>
          <t>Finance &amp; Comptabilité</t>
        </is>
      </c>
      <c r="E6" t="inlineStr">
        <is>
          <t>Comptable senior</t>
        </is>
      </c>
      <c r="F6" t="n">
        <v>250000</v>
      </c>
      <c r="G6" t="inlineStr">
        <is>
          <t>F</t>
        </is>
      </c>
      <c r="H6" t="inlineStr">
        <is>
          <t>2018-02-20</t>
        </is>
      </c>
    </row>
    <row r="7">
      <c r="A7" t="inlineStr">
        <is>
          <t>EMP-006</t>
        </is>
      </c>
      <c r="B7" t="inlineStr">
        <is>
          <t>Fokam</t>
        </is>
      </c>
      <c r="C7" t="inlineStr">
        <is>
          <t>Eric</t>
        </is>
      </c>
      <c r="D7" t="inlineStr">
        <is>
          <t>Réception &amp; Front Office</t>
        </is>
      </c>
      <c r="E7" t="inlineStr">
        <is>
          <t>Chef Réception</t>
        </is>
      </c>
      <c r="F7" t="n">
        <v>280000</v>
      </c>
      <c r="G7" t="inlineStr">
        <is>
          <t>H</t>
        </is>
      </c>
      <c r="H7" t="inlineStr">
        <is>
          <t>2017-08-15</t>
        </is>
      </c>
    </row>
    <row r="8">
      <c r="A8" t="inlineStr">
        <is>
          <t>EMP-007</t>
        </is>
      </c>
      <c r="B8" t="inlineStr">
        <is>
          <t>Tchouankou</t>
        </is>
      </c>
      <c r="C8" t="inlineStr">
        <is>
          <t>Paul</t>
        </is>
      </c>
      <c r="D8" t="inlineStr">
        <is>
          <t>Étage &amp; Housekeeping</t>
        </is>
      </c>
      <c r="E8" t="inlineStr">
        <is>
          <t>Chef Étage</t>
        </is>
      </c>
      <c r="F8" t="n">
        <v>230000</v>
      </c>
      <c r="G8" t="inlineStr">
        <is>
          <t>H</t>
        </is>
      </c>
      <c r="H8" t="inlineStr">
        <is>
          <t>2020-11-01</t>
        </is>
      </c>
    </row>
    <row r="9">
      <c r="A9" t="inlineStr">
        <is>
          <t>EMP-008</t>
        </is>
      </c>
      <c r="B9" t="inlineStr">
        <is>
          <t>Awa</t>
        </is>
      </c>
      <c r="C9" t="inlineStr">
        <is>
          <t>Fatou</t>
        </is>
      </c>
      <c r="D9" t="inlineStr">
        <is>
          <t>Commercial</t>
        </is>
      </c>
      <c r="E9" t="inlineStr">
        <is>
          <t>Agent Commercial</t>
        </is>
      </c>
      <c r="F9" t="n">
        <v>155000</v>
      </c>
      <c r="G9" t="inlineStr">
        <is>
          <t>F</t>
        </is>
      </c>
      <c r="H9" t="inlineStr">
        <is>
          <t>2023-01-15</t>
        </is>
      </c>
    </row>
    <row r="10">
      <c r="A10" t="inlineStr">
        <is>
          <t>EMP-009</t>
        </is>
      </c>
      <c r="B10" t="inlineStr">
        <is>
          <t>Bouba</t>
        </is>
      </c>
      <c r="C10" t="inlineStr">
        <is>
          <t>Ahmed</t>
        </is>
      </c>
      <c r="D10" t="inlineStr">
        <is>
          <t>Cuisine &amp; Restauration</t>
        </is>
      </c>
      <c r="E10" t="inlineStr">
        <is>
          <t>Sous-Chef</t>
        </is>
      </c>
      <c r="F10" t="n">
        <v>210000</v>
      </c>
      <c r="G10" t="inlineStr">
        <is>
          <t>H</t>
        </is>
      </c>
      <c r="H10" t="inlineStr">
        <is>
          <t>2019-04-01</t>
        </is>
      </c>
    </row>
    <row r="11">
      <c r="A11" t="inlineStr">
        <is>
          <t>EMP-010</t>
        </is>
      </c>
      <c r="B11" t="inlineStr">
        <is>
          <t>Kamga</t>
        </is>
      </c>
      <c r="C11" t="inlineStr">
        <is>
          <t>Patrice</t>
        </is>
      </c>
      <c r="D11" t="inlineStr">
        <is>
          <t>Sécurité</t>
        </is>
      </c>
      <c r="E11" t="inlineStr">
        <is>
          <t>Chef Sécurité</t>
        </is>
      </c>
      <c r="F11" t="n">
        <v>210000</v>
      </c>
      <c r="G11" t="inlineStr">
        <is>
          <t>H</t>
        </is>
      </c>
      <c r="H11" t="inlineStr">
        <is>
          <t>2021-07-01</t>
        </is>
      </c>
    </row>
    <row r="12">
      <c r="A12" t="inlineStr">
        <is>
          <t>EMP-011</t>
        </is>
      </c>
      <c r="B12" t="inlineStr">
        <is>
          <t>Ngo</t>
        </is>
      </c>
      <c r="C12" t="inlineStr">
        <is>
          <t>Delphine</t>
        </is>
      </c>
      <c r="D12" t="inlineStr">
        <is>
          <t>Marketing &amp; Communication</t>
        </is>
      </c>
      <c r="E12" t="inlineStr">
        <is>
          <t>Chef Marketing</t>
        </is>
      </c>
      <c r="F12" t="n">
        <v>300000</v>
      </c>
      <c r="G12" t="inlineStr">
        <is>
          <t>F</t>
        </is>
      </c>
      <c r="H12" t="inlineStr">
        <is>
          <t>2018-05-15</t>
        </is>
      </c>
    </row>
    <row r="13">
      <c r="A13" t="inlineStr">
        <is>
          <t>EMP-012</t>
        </is>
      </c>
      <c r="B13" t="inlineStr">
        <is>
          <t>Tamo</t>
        </is>
      </c>
      <c r="C13" t="inlineStr">
        <is>
          <t>Elvis</t>
        </is>
      </c>
      <c r="D13" t="inlineStr">
        <is>
          <t>Logistique &amp; Approvisionnement</t>
        </is>
      </c>
      <c r="E13" t="inlineStr">
        <is>
          <t>Chef Logistique</t>
        </is>
      </c>
      <c r="F13" t="n">
        <v>240000</v>
      </c>
      <c r="G13" t="inlineStr">
        <is>
          <t>H</t>
        </is>
      </c>
      <c r="H13" t="inlineStr">
        <is>
          <t>2022-03-01</t>
        </is>
      </c>
    </row>
    <row r="14">
      <c r="A14" t="inlineStr">
        <is>
          <t>EMP-013</t>
        </is>
      </c>
      <c r="B14" t="inlineStr">
        <is>
          <t>Foumane</t>
        </is>
      </c>
      <c r="C14" t="inlineStr">
        <is>
          <t>Pierre</t>
        </is>
      </c>
      <c r="D14" t="inlineStr">
        <is>
          <t>Maintenance</t>
        </is>
      </c>
      <c r="E14" t="inlineStr">
        <is>
          <t>Chef Entretien</t>
        </is>
      </c>
      <c r="F14" t="n">
        <v>220000</v>
      </c>
      <c r="G14" t="inlineStr">
        <is>
          <t>H</t>
        </is>
      </c>
      <c r="H14" t="inlineStr">
        <is>
          <t>2020-06-15</t>
        </is>
      </c>
    </row>
    <row r="15">
      <c r="A15" t="inlineStr">
        <is>
          <t>EMP-014</t>
        </is>
      </c>
      <c r="B15" t="inlineStr">
        <is>
          <t>Kane</t>
        </is>
      </c>
      <c r="C15" t="inlineStr">
        <is>
          <t>Adama</t>
        </is>
      </c>
      <c r="D15" t="inlineStr">
        <is>
          <t>Direction Générale</t>
        </is>
      </c>
      <c r="E15" t="inlineStr">
        <is>
          <t>DAF</t>
        </is>
      </c>
      <c r="F15" t="n">
        <v>350000</v>
      </c>
      <c r="G15" t="inlineStr">
        <is>
          <t>H</t>
        </is>
      </c>
      <c r="H15" t="inlineStr">
        <is>
          <t>2016-01-10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17 — AUDIT, CONFORMITE LEGALE &amp; CONTENTIEUX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5">
      <c r="B5" s="3" t="inlineStr">
        <is>
          <t>Exigences legales</t>
        </is>
      </c>
      <c r="E5" s="3" t="inlineStr">
        <is>
          <t>Echeances legales</t>
        </is>
      </c>
      <c r="H5" s="3" t="inlineStr">
        <is>
          <t>Dossiers contentieux</t>
        </is>
      </c>
      <c r="K5" s="3" t="inlineStr">
        <is>
          <t>Criteres audit</t>
        </is>
      </c>
    </row>
    <row r="6">
      <c r="B6" s="4">
        <f>COUNTIF('2-Checklist Conformite Legale'!B5:B104,"&lt;&gt;")</f>
        <v/>
      </c>
      <c r="E6" s="4">
        <f>COUNTIF('3-Calendrier Echeances Legales'!B5:B104,"&lt;&gt;")</f>
        <v/>
      </c>
      <c r="H6" s="4">
        <f>COUNTIF('4-Suivi Contentieux'!B5:B104,"&lt;&gt;")</f>
        <v/>
      </c>
      <c r="K6" s="4">
        <f>COUNTIF('5-Audit Interne RH'!B5:B104,"&lt;&gt;")</f>
        <v/>
      </c>
    </row>
    <row r="9">
      <c r="B9" s="3" t="inlineStr">
        <is>
          <t>Actions post-audit</t>
        </is>
      </c>
      <c r="E9" s="3" t="inlineStr">
        <is>
          <t>Assurances RH</t>
        </is>
      </c>
      <c r="H9" s="3" t="inlineStr">
        <is>
          <t>Mises en demeure</t>
        </is>
      </c>
      <c r="K9" s="3" t="inlineStr">
        <is>
          <t>Taux conformite</t>
        </is>
      </c>
    </row>
    <row r="10">
      <c r="B10" s="4">
        <f>COUNTIF('6-Plans Action Post-Audit'!B5:B104,"&lt;&gt;")</f>
        <v/>
      </c>
      <c r="E10" s="4">
        <f>COUNTIF('7-Gestion Assurances RH'!B5:B104,"&lt;&gt;")</f>
        <v/>
      </c>
      <c r="H10" s="4">
        <f>COUNTIF('8-Registre Mises en Demeure'!B5:B104,"&lt;&gt;")</f>
        <v/>
      </c>
      <c r="K10" s="5">
        <f>IFERROR(COUNTIF('2-Checklist Conformite Legale'!H5:H104,"Conforme")/COUNTIF('2-Checklist Conformite Legale'!B5:B104,"&lt;&gt;"),0)</f>
        <v/>
      </c>
    </row>
    <row r="14">
      <c r="B14" s="6" t="inlineStr">
        <is>
          <t>CONFORMITE PAR DOMAINE &amp; RISQUES AUDIT</t>
        </is>
      </c>
    </row>
    <row r="15" ht="15" customHeight="1">
      <c r="B15" s="3" t="inlineStr">
        <is>
          <t>Domaine</t>
        </is>
      </c>
      <c r="C15" s="3" t="inlineStr">
        <is>
          <t>Nb Exigences</t>
        </is>
      </c>
    </row>
    <row r="16" ht="15" customHeight="1">
      <c r="B16" s="7" t="inlineStr">
        <is>
          <t>Droit du travail</t>
        </is>
      </c>
      <c r="C16" s="8">
        <f>COUNTIF('2-Checklist Conformite Legale'!D5:D104,"*Droit du travail*")</f>
        <v/>
      </c>
    </row>
    <row r="17" ht="15" customHeight="1">
      <c r="B17" s="7" t="inlineStr">
        <is>
          <t>CNPS</t>
        </is>
      </c>
      <c r="C17" s="8">
        <f>COUNTIF('2-Checklist Conformite Legale'!D5:D104,"*CNPS*")</f>
        <v/>
      </c>
    </row>
    <row r="18" ht="15" customHeight="1">
      <c r="B18" s="7" t="inlineStr">
        <is>
          <t>Code du travail</t>
        </is>
      </c>
      <c r="C18" s="8">
        <f>COUNTIF('2-Checklist Conformite Legale'!D5:D104,"*Code du travail*")</f>
        <v/>
      </c>
    </row>
    <row r="19" ht="15" customHeight="1">
      <c r="B19" s="7" t="inlineStr">
        <is>
          <t>Reglement interieur</t>
        </is>
      </c>
      <c r="C19" s="8">
        <f>COUNTIF('2-Checklist Conformite Legale'!D5:D104,"*Reglement interieur*")</f>
        <v/>
      </c>
    </row>
    <row r="20" ht="15" customHeight="1">
      <c r="B20" s="7" t="inlineStr">
        <is>
          <t>Normes HSE</t>
        </is>
      </c>
      <c r="C20" s="8">
        <f>COUNTIF('2-Checklist Conformite Legale'!D5:D104,"*Normes HSE*")</f>
        <v/>
      </c>
    </row>
    <row r="21" ht="15" customHeight="1">
      <c r="B21" s="7" t="inlineStr">
        <is>
          <t>Legislation fiscale</t>
        </is>
      </c>
      <c r="C21" s="8">
        <f>COUNTIF('2-Checklist Conformite Legale'!D5:D104,"*Legislation fiscale*")</f>
        <v/>
      </c>
    </row>
    <row r="22" ht="15" customHeight="1"/>
    <row r="23" ht="15" customHeight="1">
      <c r="H23" s="3" t="inlineStr">
        <is>
          <t>Statut Conformite</t>
        </is>
      </c>
      <c r="I23" s="3" t="inlineStr">
        <is>
          <t>Nombre</t>
        </is>
      </c>
    </row>
    <row r="24" ht="15" customHeight="1">
      <c r="H24" s="7" t="inlineStr">
        <is>
          <t>Conforme</t>
        </is>
      </c>
      <c r="I24" s="8">
        <f>COUNTIF('2-Checklist Conformite Legale'!H5:H104,"Conforme")</f>
        <v/>
      </c>
    </row>
    <row r="25" ht="15" customHeight="1">
      <c r="H25" s="7" t="inlineStr">
        <is>
          <t>Partiellement conforme</t>
        </is>
      </c>
      <c r="I25" s="8">
        <f>COUNTIF('2-Checklist Conformite Legale'!H5:H104,"Partiellement conforme")</f>
        <v/>
      </c>
    </row>
    <row r="26" ht="15" customHeight="1">
      <c r="H26" s="7" t="inlineStr">
        <is>
          <t>Non conforme</t>
        </is>
      </c>
      <c r="I26" s="8">
        <f>COUNTIF('2-Checklist Conformite Legale'!H5:H104,"Non conforme")</f>
        <v/>
      </c>
    </row>
    <row r="27" ht="15" customHeight="1">
      <c r="H27" s="7" t="inlineStr">
        <is>
          <t>Non evalue</t>
        </is>
      </c>
      <c r="I27" s="8">
        <f>COUNTIF('2-Checklist Conformite Legale'!H5:H104,"Non evalue")</f>
        <v/>
      </c>
    </row>
  </sheetData>
  <mergeCells count="19">
    <mergeCell ref="H10:I10"/>
    <mergeCell ref="B3:L3"/>
    <mergeCell ref="K9:L9"/>
    <mergeCell ref="E5:F5"/>
    <mergeCell ref="K5:L5"/>
    <mergeCell ref="H9:I9"/>
    <mergeCell ref="H6:I6"/>
    <mergeCell ref="E10:F10"/>
    <mergeCell ref="B2:L2"/>
    <mergeCell ref="B14:L14"/>
    <mergeCell ref="E9:F9"/>
    <mergeCell ref="E6:F6"/>
    <mergeCell ref="B10:C10"/>
    <mergeCell ref="B9:C9"/>
    <mergeCell ref="B6:C6"/>
    <mergeCell ref="B5:C5"/>
    <mergeCell ref="K10:L10"/>
    <mergeCell ref="H5:I5"/>
    <mergeCell ref="K6:L6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C16">
    <cfRule type="cellIs" priority="9" operator="greaterThan" dxfId="4">
      <formula>0</formula>
    </cfRule>
  </conditionalFormatting>
  <conditionalFormatting sqref="C17">
    <cfRule type="cellIs" priority="10" operator="greaterThan" dxfId="4">
      <formula>0</formula>
    </cfRule>
  </conditionalFormatting>
  <conditionalFormatting sqref="C18">
    <cfRule type="cellIs" priority="11" operator="greaterThan" dxfId="4">
      <formula>0</formula>
    </cfRule>
  </conditionalFormatting>
  <conditionalFormatting sqref="C19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I24">
    <cfRule type="cellIs" priority="15" operator="greaterThan" dxfId="4">
      <formula>0</formula>
    </cfRule>
  </conditionalFormatting>
  <conditionalFormatting sqref="I25">
    <cfRule type="cellIs" priority="16" operator="greaterThan" dxfId="4">
      <formula>0</formula>
    </cfRule>
  </conditionalFormatting>
  <conditionalFormatting sqref="I26">
    <cfRule type="cellIs" priority="17" operator="greaterThan" dxfId="4">
      <formula>0</formula>
    </cfRule>
  </conditionalFormatting>
  <conditionalFormatting sqref="I27">
    <cfRule type="cellIs" priority="18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4"/>
  <sheetViews>
    <sheetView workbookViewId="0">
      <selection activeCell="A1" sqref="A1"/>
    </sheetView>
  </sheetViews>
  <sheetFormatPr baseColWidth="8" defaultRowHeight="15"/>
  <sheetData>
    <row r="1">
      <c r="B1" s="9" t="inlineStr">
        <is>
          <t>domaine_conformite</t>
        </is>
      </c>
      <c r="C1" s="9" t="inlineStr">
        <is>
          <t>statut_conformite</t>
        </is>
      </c>
      <c r="D1" s="9" t="inlineStr">
        <is>
          <t>type_echeance</t>
        </is>
      </c>
      <c r="E1" s="9" t="inlineStr">
        <is>
          <t>type_contentieux</t>
        </is>
      </c>
      <c r="F1" s="9" t="inlineStr">
        <is>
          <t>statut_procedure</t>
        </is>
      </c>
      <c r="G1" s="9" t="inlineStr">
        <is>
          <t>type_auditeur</t>
        </is>
      </c>
      <c r="H1" s="9" t="inlineStr">
        <is>
          <t>niveau_risque</t>
        </is>
      </c>
      <c r="I1" s="9" t="inlineStr">
        <is>
          <t>statut_action_audit</t>
        </is>
      </c>
      <c r="J1" s="9" t="inlineStr">
        <is>
          <t>type_assurance</t>
        </is>
      </c>
      <c r="K1" s="9" t="inlineStr">
        <is>
          <t>type_injonction</t>
        </is>
      </c>
      <c r="L1" s="9" t="inlineStr">
        <is>
          <t>emetteur_injonction</t>
        </is>
      </c>
      <c r="M1" s="9" t="inlineStr">
        <is>
          <t>statut_injonction</t>
        </is>
      </c>
      <c r="N1" s="9" t="inlineStr">
        <is>
          <t>priorite_action_conf</t>
        </is>
      </c>
      <c r="O1" s="9" t="inlineStr">
        <is>
          <t>poste_hotel</t>
        </is>
      </c>
      <c r="P1" s="9" t="inlineStr">
        <is>
          <t>departement</t>
        </is>
      </c>
      <c r="Q1" s="9" t="inlineStr">
        <is>
          <t>mois</t>
        </is>
      </c>
      <c r="R1" s="9" t="inlineStr">
        <is>
          <t>annee</t>
        </is>
      </c>
    </row>
    <row r="2">
      <c r="B2" s="10" t="inlineStr">
        <is>
          <t>Droit du travail</t>
        </is>
      </c>
      <c r="C2" s="10" t="inlineStr">
        <is>
          <t>Conforme</t>
        </is>
      </c>
      <c r="D2" s="10" t="inlineStr">
        <is>
          <t>Mensuelle</t>
        </is>
      </c>
      <c r="E2" s="10" t="inlineStr">
        <is>
          <t>Prud'hommes</t>
        </is>
      </c>
      <c r="F2" s="10" t="inlineStr">
        <is>
          <t>En cours d'instruction</t>
        </is>
      </c>
      <c r="G2" s="10" t="inlineStr">
        <is>
          <t>Interne DRH</t>
        </is>
      </c>
      <c r="H2" s="10" t="inlineStr">
        <is>
          <t>Critique</t>
        </is>
      </c>
      <c r="I2" s="10" t="inlineStr">
        <is>
          <t>Planifiee</t>
        </is>
      </c>
      <c r="J2" s="10" t="inlineStr">
        <is>
          <t>AT - Accidents du travail</t>
        </is>
      </c>
      <c r="K2" s="10" t="inlineStr">
        <is>
          <t>Mise en demeure</t>
        </is>
      </c>
      <c r="L2" s="10" t="inlineStr">
        <is>
          <t>Inspection du travail</t>
        </is>
      </c>
      <c r="M2" s="10" t="inlineStr">
        <is>
          <t>En cours</t>
        </is>
      </c>
      <c r="N2" s="10" t="inlineStr">
        <is>
          <t>Haute</t>
        </is>
      </c>
      <c r="O2" s="10" t="inlineStr">
        <is>
          <t>DG</t>
        </is>
      </c>
      <c r="P2" s="10" t="inlineStr">
        <is>
          <t>Direction Générale</t>
        </is>
      </c>
      <c r="Q2" s="10" t="inlineStr">
        <is>
          <t>Janvier</t>
        </is>
      </c>
      <c r="R2" s="10" t="inlineStr">
        <is>
          <t>2024</t>
        </is>
      </c>
    </row>
    <row r="3">
      <c r="B3" s="10" t="inlineStr">
        <is>
          <t>Code du travail</t>
        </is>
      </c>
      <c r="C3" s="10" t="inlineStr">
        <is>
          <t>Non conforme</t>
        </is>
      </c>
      <c r="D3" s="10" t="inlineStr">
        <is>
          <t>Trimestrielle</t>
        </is>
      </c>
      <c r="E3" s="10" t="inlineStr">
        <is>
          <t>Tribunal de grande instance</t>
        </is>
      </c>
      <c r="F3" s="10" t="inlineStr">
        <is>
          <t>En attente audience</t>
        </is>
      </c>
      <c r="G3" s="10" t="inlineStr">
        <is>
          <t>Interne DG</t>
        </is>
      </c>
      <c r="H3" s="10" t="inlineStr">
        <is>
          <t>Eleve</t>
        </is>
      </c>
      <c r="I3" s="10" t="inlineStr">
        <is>
          <t>En cours</t>
        </is>
      </c>
      <c r="J3" s="10" t="inlineStr">
        <is>
          <t>Maladie professionnelle</t>
        </is>
      </c>
      <c r="K3" s="10" t="inlineStr">
        <is>
          <t>Injonction</t>
        </is>
      </c>
      <c r="L3" s="10" t="inlineStr">
        <is>
          <t>CNPS</t>
        </is>
      </c>
      <c r="M3" s="10" t="inlineStr">
        <is>
          <t>Traitee</t>
        </is>
      </c>
      <c r="N3" s="10" t="inlineStr">
        <is>
          <t>Moyenne</t>
        </is>
      </c>
      <c r="O3" s="10" t="inlineStr">
        <is>
          <t>DRH</t>
        </is>
      </c>
      <c r="P3" s="10" t="inlineStr">
        <is>
          <t>Service Client</t>
        </is>
      </c>
      <c r="Q3" s="10" t="inlineStr">
        <is>
          <t>Fevrier</t>
        </is>
      </c>
      <c r="R3" s="10" t="inlineStr">
        <is>
          <t>2025</t>
        </is>
      </c>
    </row>
    <row r="4">
      <c r="B4" s="10" t="inlineStr">
        <is>
          <t>Convention collective</t>
        </is>
      </c>
      <c r="C4" s="10" t="inlineStr">
        <is>
          <t>Partiellement conforme</t>
        </is>
      </c>
      <c r="D4" s="10" t="inlineStr">
        <is>
          <t>Semestrielle</t>
        </is>
      </c>
      <c r="E4" s="10" t="inlineStr">
        <is>
          <t>Tribunal correctionnel</t>
        </is>
      </c>
      <c r="F4" s="10" t="inlineStr">
        <is>
          <t>En negociation</t>
        </is>
      </c>
      <c r="G4" s="10" t="inlineStr">
        <is>
          <t>Externe - Cabinet audit</t>
        </is>
      </c>
      <c r="H4" s="10" t="inlineStr">
        <is>
          <t>Moyen</t>
        </is>
      </c>
      <c r="I4" s="10" t="inlineStr">
        <is>
          <t>Terminee</t>
        </is>
      </c>
      <c r="J4" s="10" t="inlineStr">
        <is>
          <t>Responsabilite civile employeur</t>
        </is>
      </c>
      <c r="K4" s="10" t="inlineStr">
        <is>
          <t>Avertissement</t>
        </is>
      </c>
      <c r="L4" s="10" t="inlineStr">
        <is>
          <t>Tribunal</t>
        </is>
      </c>
      <c r="M4" s="10" t="inlineStr">
        <is>
          <t>En attente reponse</t>
        </is>
      </c>
      <c r="N4" s="10" t="inlineStr">
        <is>
          <t>Basse</t>
        </is>
      </c>
      <c r="O4" s="10" t="inlineStr">
        <is>
          <t>Assistante RH</t>
        </is>
      </c>
      <c r="P4" s="10" t="inlineStr">
        <is>
          <t>Finance &amp; Comptabilité</t>
        </is>
      </c>
      <c r="Q4" s="10" t="inlineStr">
        <is>
          <t>Mars</t>
        </is>
      </c>
      <c r="R4" s="10" t="inlineStr">
        <is>
          <t>2026</t>
        </is>
      </c>
    </row>
    <row r="5">
      <c r="B5" s="10" t="inlineStr">
        <is>
          <t>Reglement interieur</t>
        </is>
      </c>
      <c r="C5" s="10" t="inlineStr">
        <is>
          <t>En cours de mise en conformite</t>
        </is>
      </c>
      <c r="D5" s="10" t="inlineStr">
        <is>
          <t>Annuelle</t>
        </is>
      </c>
      <c r="E5" s="10" t="inlineStr">
        <is>
          <t>Arbitrage</t>
        </is>
      </c>
      <c r="F5" s="10" t="inlineStr">
        <is>
          <t>En mediation</t>
        </is>
      </c>
      <c r="G5" s="10" t="inlineStr">
        <is>
          <t>Externe - Inspecteur travail</t>
        </is>
      </c>
      <c r="H5" s="10" t="inlineStr">
        <is>
          <t>Faible</t>
        </is>
      </c>
      <c r="I5" s="10" t="inlineStr">
        <is>
          <t>Reportee</t>
        </is>
      </c>
      <c r="J5" s="10" t="inlineStr">
        <is>
          <t>Protection juridique</t>
        </is>
      </c>
      <c r="K5" s="10" t="inlineStr">
        <is>
          <t>Somation</t>
        </is>
      </c>
      <c r="L5" s="10" t="inlineStr">
        <is>
          <t>Ministere du travail</t>
        </is>
      </c>
      <c r="M5" s="10" t="inlineStr">
        <is>
          <t>En retard</t>
        </is>
      </c>
      <c r="O5" s="10" t="inlineStr">
        <is>
          <t>DAF</t>
        </is>
      </c>
      <c r="P5" s="10" t="inlineStr">
        <is>
          <t>Marketing &amp; Communication</t>
        </is>
      </c>
      <c r="Q5" s="10" t="inlineStr">
        <is>
          <t>Avril</t>
        </is>
      </c>
    </row>
    <row r="6">
      <c r="B6" s="10" t="inlineStr">
        <is>
          <t>Legislation sociale</t>
        </is>
      </c>
      <c r="C6" s="10" t="inlineStr">
        <is>
          <t>Non evalue</t>
        </is>
      </c>
      <c r="D6" s="10" t="inlineStr">
        <is>
          <t>Ponctuelle</t>
        </is>
      </c>
      <c r="E6" s="10" t="inlineStr">
        <is>
          <t>Mediation</t>
        </is>
      </c>
      <c r="F6" s="10" t="inlineStr">
        <is>
          <t>En conciliation</t>
        </is>
      </c>
      <c r="G6" s="10" t="inlineStr">
        <is>
          <t>Externe - Expert comptable</t>
        </is>
      </c>
      <c r="H6" s="10" t="inlineStr">
        <is>
          <t>Negligeable</t>
        </is>
      </c>
      <c r="I6" s="10" t="inlineStr">
        <is>
          <t>Annulee</t>
        </is>
      </c>
      <c r="J6" s="10" t="inlineStr">
        <is>
          <t>Deces - Invalidite</t>
        </is>
      </c>
      <c r="K6" s="10" t="inlineStr">
        <is>
          <t>Refere</t>
        </is>
      </c>
      <c r="L6" s="10" t="inlineStr">
        <is>
          <t>Organisme fiscal</t>
        </is>
      </c>
      <c r="M6" s="10" t="inlineStr">
        <is>
          <t>Contestee</t>
        </is>
      </c>
      <c r="O6" s="10" t="inlineStr">
        <is>
          <t>Comptable senior</t>
        </is>
      </c>
      <c r="P6" s="10" t="inlineStr">
        <is>
          <t>Informatique</t>
        </is>
      </c>
      <c r="Q6" s="10" t="inlineStr">
        <is>
          <t>Mai</t>
        </is>
      </c>
    </row>
    <row r="7">
      <c r="B7" s="10" t="inlineStr">
        <is>
          <t>Normes HSE</t>
        </is>
      </c>
      <c r="C7" s="10" t="inlineStr">
        <is>
          <t>En cours d'evaluation</t>
        </is>
      </c>
      <c r="D7" s="10" t="inlineStr">
        <is>
          <t>Bisannuelle</t>
        </is>
      </c>
      <c r="E7" s="10" t="inlineStr">
        <is>
          <t>Conciliation</t>
        </is>
      </c>
      <c r="F7" s="10" t="inlineStr">
        <is>
          <t>En attente jugement</t>
        </is>
      </c>
      <c r="G7" s="10" t="inlineStr">
        <is>
          <t>Externe - CNPS</t>
        </is>
      </c>
      <c r="I7" s="10" t="inlineStr">
        <is>
          <t>En attente validation</t>
        </is>
      </c>
      <c r="J7" s="10" t="inlineStr">
        <is>
          <t>Medecine du travail</t>
        </is>
      </c>
      <c r="K7" s="10" t="inlineStr">
        <is>
          <t>Ordonnance tribunal</t>
        </is>
      </c>
      <c r="L7" s="10" t="inlineStr">
        <is>
          <t>Syndicat</t>
        </is>
      </c>
      <c r="M7" s="10" t="inlineStr">
        <is>
          <t>Resolue</t>
        </is>
      </c>
      <c r="O7" s="10" t="inlineStr">
        <is>
          <t>Chef Comptable</t>
        </is>
      </c>
      <c r="P7" s="10" t="inlineStr">
        <is>
          <t>Commercial</t>
        </is>
      </c>
      <c r="Q7" s="10" t="inlineStr">
        <is>
          <t>Juin</t>
        </is>
      </c>
    </row>
    <row r="8">
      <c r="B8" s="10" t="inlineStr">
        <is>
          <t>Legislation fiscale</t>
        </is>
      </c>
      <c r="C8" s="10" t="inlineStr">
        <is>
          <t>Exempte</t>
        </is>
      </c>
      <c r="D8" s="10" t="inlineStr">
        <is>
          <t>Quinquennale</t>
        </is>
      </c>
      <c r="E8" s="10" t="inlineStr">
        <is>
          <t>Inspection travail</t>
        </is>
      </c>
      <c r="F8" s="10" t="inlineStr">
        <is>
          <t>Jugement rendu</t>
        </is>
      </c>
      <c r="G8" s="10" t="inlineStr">
        <is>
          <t>Mixte (interne + externe)</t>
        </is>
      </c>
      <c r="I8" s="10" t="inlineStr">
        <is>
          <t>Non demarree</t>
        </is>
      </c>
      <c r="J8" s="10" t="inlineStr">
        <is>
          <t>Assurance chomage</t>
        </is>
      </c>
      <c r="K8" s="10" t="inlineStr">
        <is>
          <t>Contravention</t>
        </is>
      </c>
      <c r="L8" s="10" t="inlineStr">
        <is>
          <t>Avocat partie adverse</t>
        </is>
      </c>
      <c r="M8" s="10" t="inlineStr">
        <is>
          <t>Escaladee</t>
        </is>
      </c>
      <c r="O8" s="10" t="inlineStr">
        <is>
          <t>Chef Marketing</t>
        </is>
      </c>
      <c r="P8" s="10" t="inlineStr">
        <is>
          <t>Logistique &amp; Approvisionnement</t>
        </is>
      </c>
      <c r="Q8" s="10" t="inlineStr">
        <is>
          <t>Juillet</t>
        </is>
      </c>
    </row>
    <row r="9">
      <c r="B9" s="10" t="inlineStr">
        <is>
          <t>Reglementation hoteliere</t>
        </is>
      </c>
      <c r="E9" s="10" t="inlineStr">
        <is>
          <t>Recours administratif</t>
        </is>
      </c>
      <c r="F9" s="10" t="inlineStr">
        <is>
          <t>En appel</t>
        </is>
      </c>
      <c r="J9" s="10" t="inlineStr">
        <is>
          <t>Prevoyance</t>
        </is>
      </c>
      <c r="K9" s="10" t="inlineStr">
        <is>
          <t>Procuration</t>
        </is>
      </c>
      <c r="L9" s="10" t="inlineStr">
        <is>
          <t>Medecin inspecteur</t>
        </is>
      </c>
      <c r="M9" s="10" t="inlineStr">
        <is>
          <t>Rejetee</t>
        </is>
      </c>
      <c r="O9" s="10" t="inlineStr">
        <is>
          <t>Chef de service IT</t>
        </is>
      </c>
      <c r="P9" s="10" t="inlineStr">
        <is>
          <t>Cuisine &amp; Restauration</t>
        </is>
      </c>
      <c r="Q9" s="10" t="inlineStr">
        <is>
          <t>Aout</t>
        </is>
      </c>
    </row>
    <row r="10">
      <c r="B10" s="10" t="inlineStr">
        <is>
          <t>Inspection du travail</t>
        </is>
      </c>
      <c r="F10" s="10" t="inlineStr">
        <is>
          <t>Abandonne</t>
        </is>
      </c>
      <c r="O10" s="10" t="inlineStr">
        <is>
          <t>Chef Commercial</t>
        </is>
      </c>
      <c r="P10" s="10" t="inlineStr">
        <is>
          <t>Réception &amp; Front Office</t>
        </is>
      </c>
      <c r="Q10" s="10" t="inlineStr">
        <is>
          <t>Octobre</t>
        </is>
      </c>
    </row>
    <row r="11">
      <c r="B11" s="10" t="inlineStr">
        <is>
          <t>Code penal social</t>
        </is>
      </c>
      <c r="F11" s="10" t="inlineStr">
        <is>
          <t>Reporte</t>
        </is>
      </c>
      <c r="O11" s="10" t="inlineStr">
        <is>
          <t>Agent Commercial</t>
        </is>
      </c>
      <c r="P11" s="10" t="inlineStr">
        <is>
          <t>Cuisine &amp; Restauration</t>
        </is>
      </c>
      <c r="Q11" s="10" t="inlineStr">
        <is>
          <t>Novembre</t>
        </is>
      </c>
    </row>
    <row r="12">
      <c r="B12" s="10" t="inlineStr">
        <is>
          <t>Autre</t>
        </is>
      </c>
      <c r="F12" s="10" t="inlineStr">
        <is>
          <t>En preparation</t>
        </is>
      </c>
      <c r="O12" s="10" t="inlineStr">
        <is>
          <t>Chef Logistique</t>
        </is>
      </c>
      <c r="P12" s="10" t="inlineStr">
        <is>
          <t>Maintenance</t>
        </is>
      </c>
      <c r="Q12" s="10" t="inlineStr">
        <is>
          <t>Decembre</t>
        </is>
      </c>
    </row>
    <row r="13">
      <c r="O13" s="10" t="inlineStr">
        <is>
          <t>Magasinier</t>
        </is>
      </c>
      <c r="P13" s="10" t="inlineStr">
        <is>
          <t>Sécurité</t>
        </is>
      </c>
    </row>
    <row r="14">
      <c r="O14" s="10" t="inlineStr">
        <is>
          <t>Chef Reception</t>
        </is>
      </c>
    </row>
    <row r="15">
      <c r="O15" s="10" t="inlineStr">
        <is>
          <t>Receptionniste</t>
        </is>
      </c>
    </row>
    <row r="16">
      <c r="O16" s="10" t="inlineStr">
        <is>
          <t>Concierge</t>
        </is>
      </c>
    </row>
    <row r="17">
      <c r="O17" s="10" t="inlineStr">
        <is>
          <t>Chef Cuisine</t>
        </is>
      </c>
    </row>
    <row r="18">
      <c r="O18" s="10" t="inlineStr">
        <is>
          <t>Sous-Chef</t>
        </is>
      </c>
    </row>
    <row r="19">
      <c r="O19" s="10" t="inlineStr">
        <is>
          <t>Cuisinier</t>
        </is>
      </c>
    </row>
    <row r="20">
      <c r="O20" s="10" t="inlineStr">
        <is>
          <t>Plongeur</t>
        </is>
      </c>
    </row>
    <row r="21">
      <c r="O21" s="10" t="inlineStr">
        <is>
          <t>Chef Entretien</t>
        </is>
      </c>
    </row>
    <row r="22">
      <c r="O22" s="10" t="inlineStr">
        <is>
          <t>Agent Entretien</t>
        </is>
      </c>
    </row>
    <row r="23">
      <c r="O23" s="10" t="inlineStr">
        <is>
          <t>Chef Sécurité</t>
        </is>
      </c>
    </row>
    <row r="24">
      <c r="O24" s="10" t="inlineStr">
        <is>
          <t>Agent Sécurité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22" customWidth="1" min="4" max="4"/>
    <col width="28" customWidth="1" min="5" max="5"/>
    <col width="18" customWidth="1" min="6" max="6"/>
    <col width="16" customWidth="1" min="7" max="7"/>
    <col width="22" customWidth="1" min="8" max="8"/>
    <col width="30" customWidth="1" min="9" max="9"/>
    <col width="28" customWidth="1" min="10" max="10"/>
    <col width="18" customWidth="1" min="11" max="11"/>
    <col width="14" customWidth="1" min="12" max="12"/>
  </cols>
  <sheetData>
    <row r="1" ht="15" customHeight="1"/>
    <row r="2" ht="32" customHeight="1">
      <c r="B2" s="1" t="inlineStr">
        <is>
          <t>CHECKLIST DE CONFORMITE LEGALE RH (#129)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Exigence Legale</t>
        </is>
      </c>
      <c r="D4" s="11" t="inlineStr">
        <is>
          <t>Domaine Conformite</t>
        </is>
      </c>
      <c r="E4" s="11" t="inlineStr">
        <is>
          <t>Texte de Reference</t>
        </is>
      </c>
      <c r="F4" s="11" t="inlineStr">
        <is>
          <t>Responsable</t>
        </is>
      </c>
      <c r="G4" s="11" t="inlineStr">
        <is>
          <t>Date Verification</t>
        </is>
      </c>
      <c r="H4" s="11" t="inlineStr">
        <is>
          <t>Statut Conformite</t>
        </is>
      </c>
      <c r="I4" s="11" t="inlineStr">
        <is>
          <t>Ecart Identifie</t>
        </is>
      </c>
      <c r="J4" s="11" t="inlineStr">
        <is>
          <t>Action Corrective</t>
        </is>
      </c>
      <c r="K4" s="11" t="inlineStr">
        <is>
          <t>Echeance Correction</t>
        </is>
      </c>
      <c r="L4" s="11" t="inlineStr">
        <is>
          <t>Statut</t>
        </is>
      </c>
    </row>
    <row r="5" ht="22" customHeight="1">
      <c r="B5" s="12" t="inlineStr">
        <is>
          <t>CCL-001</t>
        </is>
      </c>
      <c r="C5" s="12" t="inlineStr">
        <is>
          <t>Affichage reglement interieur</t>
        </is>
      </c>
      <c r="D5" s="12" t="inlineStr">
        <is>
          <t>Code du travail</t>
        </is>
      </c>
      <c r="E5" s="12" t="inlineStr">
        <is>
          <t>Art. L. 1311-1 Code Travail</t>
        </is>
      </c>
      <c r="F5" s="12" t="inlineStr">
        <is>
          <t>DRH</t>
        </is>
      </c>
      <c r="G5" s="25" t="n">
        <v>45787</v>
      </c>
      <c r="H5" s="12" t="inlineStr">
        <is>
          <t>Conforme</t>
        </is>
      </c>
      <c r="I5" s="12" t="inlineStr">
        <is>
          <t>Aucun</t>
        </is>
      </c>
      <c r="J5" s="12" t="inlineStr">
        <is>
          <t>Aucune requise</t>
        </is>
      </c>
      <c r="K5" s="25" t="n"/>
      <c r="L5" s="12" t="inlineStr">
        <is>
          <t>Terminee</t>
        </is>
      </c>
    </row>
    <row r="6" ht="22" customHeight="1">
      <c r="B6" s="14" t="inlineStr">
        <is>
          <t>CCL-002</t>
        </is>
      </c>
      <c r="C6" s="14" t="inlineStr">
        <is>
          <t>Declaration CNPS mensuelle</t>
        </is>
      </c>
      <c r="D6" s="14" t="inlineStr">
        <is>
          <t>CNPS</t>
        </is>
      </c>
      <c r="E6" s="14" t="inlineStr">
        <is>
          <t>Art. 12 Convention CNPS</t>
        </is>
      </c>
      <c r="F6" s="14" t="inlineStr">
        <is>
          <t>Comptable senior</t>
        </is>
      </c>
      <c r="G6" s="26" t="n">
        <v>45813</v>
      </c>
      <c r="H6" s="14" t="inlineStr">
        <is>
          <t>Conforme</t>
        </is>
      </c>
      <c r="I6" s="14" t="inlineStr">
        <is>
          <t>Aucun</t>
        </is>
      </c>
      <c r="J6" s="14" t="inlineStr">
        <is>
          <t>Aucune requise</t>
        </is>
      </c>
      <c r="K6" s="26" t="n"/>
      <c r="L6" s="14" t="inlineStr">
        <is>
          <t>Terminee</t>
        </is>
      </c>
    </row>
    <row r="7" ht="22" customHeight="1">
      <c r="B7" s="12" t="inlineStr">
        <is>
          <t>CCL-003</t>
        </is>
      </c>
      <c r="C7" s="12" t="inlineStr">
        <is>
          <t>Visite medicale embauche</t>
        </is>
      </c>
      <c r="D7" s="12" t="inlineStr">
        <is>
          <t>Droit du travail</t>
        </is>
      </c>
      <c r="E7" s="12" t="inlineStr">
        <is>
          <t>Art. L. 4624-1 Code Travail</t>
        </is>
      </c>
      <c r="F7" s="12" t="inlineStr">
        <is>
          <t>DRH</t>
        </is>
      </c>
      <c r="G7" s="25" t="n">
        <v>45797</v>
      </c>
      <c r="H7" s="12" t="inlineStr">
        <is>
          <t>Non conforme</t>
        </is>
      </c>
      <c r="I7" s="12" t="inlineStr">
        <is>
          <t>3 agents sans visite</t>
        </is>
      </c>
      <c r="J7" s="12" t="inlineStr">
        <is>
          <t>Planifier visites</t>
        </is>
      </c>
      <c r="K7" s="25" t="n">
        <v>45853</v>
      </c>
      <c r="L7" s="12" t="inlineStr">
        <is>
          <t>En cours</t>
        </is>
      </c>
    </row>
    <row r="8" ht="22" customHeight="1">
      <c r="B8" s="14" t="inlineStr">
        <is>
          <t>CCL-004</t>
        </is>
      </c>
      <c r="C8" s="14" t="inlineStr">
        <is>
          <t>Delivrance fiche de paie</t>
        </is>
      </c>
      <c r="D8" s="14" t="inlineStr">
        <is>
          <t>Code du travail</t>
        </is>
      </c>
      <c r="E8" s="14" t="inlineStr">
        <is>
          <t>Art. L. 3243-1 Code Travail</t>
        </is>
      </c>
      <c r="F8" s="14" t="inlineStr">
        <is>
          <t>DAF</t>
        </is>
      </c>
      <c r="G8" s="26" t="n">
        <v>45809</v>
      </c>
      <c r="H8" s="14" t="inlineStr">
        <is>
          <t>Conforme</t>
        </is>
      </c>
      <c r="I8" s="14" t="inlineStr">
        <is>
          <t>Aucun</t>
        </is>
      </c>
      <c r="J8" s="14" t="inlineStr">
        <is>
          <t>Aucune requise</t>
        </is>
      </c>
      <c r="K8" s="26" t="n"/>
      <c r="L8" s="14" t="inlineStr">
        <is>
          <t>Terminee</t>
        </is>
      </c>
    </row>
    <row r="9" ht="22" customHeight="1">
      <c r="B9" s="12" t="inlineStr">
        <is>
          <t>CCL-005</t>
        </is>
      </c>
      <c r="C9" s="12" t="inlineStr">
        <is>
          <t>Registre unique du personnel</t>
        </is>
      </c>
      <c r="D9" s="12" t="inlineStr">
        <is>
          <t>Droit du travail</t>
        </is>
      </c>
      <c r="E9" s="12" t="inlineStr">
        <is>
          <t>Art. L. 1221-13 Code Travail</t>
        </is>
      </c>
      <c r="F9" s="12" t="inlineStr">
        <is>
          <t>Assistante RH</t>
        </is>
      </c>
      <c r="G9" s="25" t="n">
        <v>45818</v>
      </c>
      <c r="H9" s="12" t="inlineStr">
        <is>
          <t>Partiellement conforme</t>
        </is>
      </c>
      <c r="I9" s="12" t="inlineStr">
        <is>
          <t>2 contrats manquants</t>
        </is>
      </c>
      <c r="J9" s="12" t="inlineStr">
        <is>
          <t>Completer registre</t>
        </is>
      </c>
      <c r="K9" s="25" t="n">
        <v>45839</v>
      </c>
      <c r="L9" s="12" t="inlineStr">
        <is>
          <t>En cours</t>
        </is>
      </c>
    </row>
    <row r="10" ht="22" customHeight="1">
      <c r="B10" s="16">
        <f>IF(C10="","CCL-"&amp;TEXT(COUNTA($C$5:C10),"000"))</f>
        <v/>
      </c>
      <c r="C10" s="14" t="n"/>
      <c r="D10" s="14" t="n"/>
      <c r="E10" s="14" t="n"/>
      <c r="F10" s="14" t="n"/>
      <c r="G10" s="26" t="n"/>
      <c r="H10" s="14" t="n"/>
      <c r="I10" s="14" t="n"/>
      <c r="J10" s="14" t="n"/>
      <c r="K10" s="26" t="n"/>
      <c r="L10" s="14" t="n"/>
    </row>
    <row r="11" ht="22" customHeight="1">
      <c r="B11" s="17">
        <f>IF(C11="","CCL-"&amp;TEXT(COUNTA($C$5:C11),"000"))</f>
        <v/>
      </c>
      <c r="C11" s="12" t="n"/>
      <c r="D11" s="12" t="n"/>
      <c r="E11" s="12" t="n"/>
      <c r="F11" s="12" t="n"/>
      <c r="G11" s="25" t="n"/>
      <c r="H11" s="12" t="n"/>
      <c r="I11" s="12" t="n"/>
      <c r="J11" s="12" t="n"/>
      <c r="K11" s="25" t="n"/>
      <c r="L11" s="12" t="n"/>
    </row>
    <row r="12" ht="22" customHeight="1">
      <c r="B12" s="16">
        <f>IF(C12="","CCL-"&amp;TEXT(COUNTA($C$5:C12),"000"))</f>
        <v/>
      </c>
      <c r="C12" s="14" t="n"/>
      <c r="D12" s="14" t="n"/>
      <c r="E12" s="14" t="n"/>
      <c r="F12" s="14" t="n"/>
      <c r="G12" s="26" t="n"/>
      <c r="H12" s="14" t="n"/>
      <c r="I12" s="14" t="n"/>
      <c r="J12" s="14" t="n"/>
      <c r="K12" s="26" t="n"/>
      <c r="L12" s="14" t="n"/>
    </row>
    <row r="13" ht="22" customHeight="1">
      <c r="B13" s="17">
        <f>IF(C13="","CCL-"&amp;TEXT(COUNTA($C$5:C13),"000"))</f>
        <v/>
      </c>
      <c r="C13" s="12" t="n"/>
      <c r="D13" s="12" t="n"/>
      <c r="E13" s="12" t="n"/>
      <c r="F13" s="12" t="n"/>
      <c r="G13" s="25" t="n"/>
      <c r="H13" s="12" t="n"/>
      <c r="I13" s="12" t="n"/>
      <c r="J13" s="12" t="n"/>
      <c r="K13" s="25" t="n"/>
      <c r="L13" s="12" t="n"/>
    </row>
    <row r="14" ht="22" customHeight="1">
      <c r="B14" s="16">
        <f>IF(C14="","CCL-"&amp;TEXT(COUNTA($C$5:C14),"000"))</f>
        <v/>
      </c>
      <c r="C14" s="14" t="n"/>
      <c r="D14" s="14" t="n"/>
      <c r="E14" s="14" t="n"/>
      <c r="F14" s="14" t="n"/>
      <c r="G14" s="26" t="n"/>
      <c r="H14" s="14" t="n"/>
      <c r="I14" s="14" t="n"/>
      <c r="J14" s="14" t="n"/>
      <c r="K14" s="26" t="n"/>
      <c r="L14" s="14" t="n"/>
    </row>
    <row r="15" ht="22" customHeight="1">
      <c r="B15" s="17">
        <f>IF(C15="","CCL-"&amp;TEXT(COUNTA($C$5:C15),"000"))</f>
        <v/>
      </c>
      <c r="C15" s="12" t="n"/>
      <c r="D15" s="12" t="n"/>
      <c r="E15" s="12" t="n"/>
      <c r="F15" s="12" t="n"/>
      <c r="G15" s="25" t="n"/>
      <c r="H15" s="12" t="n"/>
      <c r="I15" s="12" t="n"/>
      <c r="J15" s="12" t="n"/>
      <c r="K15" s="25" t="n"/>
      <c r="L15" s="12" t="n"/>
    </row>
    <row r="16" ht="22" customHeight="1">
      <c r="B16" s="16">
        <f>IF(C16="","CCL-"&amp;TEXT(COUNTA($C$5:C16),"000"))</f>
        <v/>
      </c>
      <c r="C16" s="14" t="n"/>
      <c r="D16" s="14" t="n"/>
      <c r="E16" s="14" t="n"/>
      <c r="F16" s="14" t="n"/>
      <c r="G16" s="26" t="n"/>
      <c r="H16" s="14" t="n"/>
      <c r="I16" s="14" t="n"/>
      <c r="J16" s="14" t="n"/>
      <c r="K16" s="26" t="n"/>
      <c r="L16" s="14" t="n"/>
    </row>
    <row r="17" ht="22" customHeight="1">
      <c r="B17" s="17">
        <f>IF(C17="","CCL-"&amp;TEXT(COUNTA($C$5:C17),"000"))</f>
        <v/>
      </c>
      <c r="C17" s="12" t="n"/>
      <c r="D17" s="12" t="n"/>
      <c r="E17" s="12" t="n"/>
      <c r="F17" s="12" t="n"/>
      <c r="G17" s="25" t="n"/>
      <c r="H17" s="12" t="n"/>
      <c r="I17" s="12" t="n"/>
      <c r="J17" s="12" t="n"/>
      <c r="K17" s="25" t="n"/>
      <c r="L17" s="12" t="n"/>
    </row>
    <row r="18" ht="22" customHeight="1">
      <c r="B18" s="16">
        <f>IF(C18="","CCL-"&amp;TEXT(COUNTA($C$5:C18),"000"))</f>
        <v/>
      </c>
      <c r="C18" s="14" t="n"/>
      <c r="D18" s="14" t="n"/>
      <c r="E18" s="14" t="n"/>
      <c r="F18" s="14" t="n"/>
      <c r="G18" s="26" t="n"/>
      <c r="H18" s="14" t="n"/>
      <c r="I18" s="14" t="n"/>
      <c r="J18" s="14" t="n"/>
      <c r="K18" s="26" t="n"/>
      <c r="L18" s="14" t="n"/>
    </row>
    <row r="19" ht="22" customHeight="1">
      <c r="B19" s="17">
        <f>IF(C19="","CCL-"&amp;TEXT(COUNTA($C$5:C19),"000"))</f>
        <v/>
      </c>
      <c r="C19" s="12" t="n"/>
      <c r="D19" s="12" t="n"/>
      <c r="E19" s="12" t="n"/>
      <c r="F19" s="12" t="n"/>
      <c r="G19" s="25" t="n"/>
      <c r="H19" s="12" t="n"/>
      <c r="I19" s="12" t="n"/>
      <c r="J19" s="12" t="n"/>
      <c r="K19" s="25" t="n"/>
      <c r="L19" s="12" t="n"/>
    </row>
    <row r="20" ht="22" customHeight="1">
      <c r="B20" s="16">
        <f>IF(C20="","CCL-"&amp;TEXT(COUNTA($C$5:C20),"000"))</f>
        <v/>
      </c>
      <c r="C20" s="14" t="n"/>
      <c r="D20" s="14" t="n"/>
      <c r="E20" s="14" t="n"/>
      <c r="F20" s="14" t="n"/>
      <c r="G20" s="26" t="n"/>
      <c r="H20" s="14" t="n"/>
      <c r="I20" s="14" t="n"/>
      <c r="J20" s="14" t="n"/>
      <c r="K20" s="26" t="n"/>
      <c r="L20" s="14" t="n"/>
    </row>
    <row r="21" ht="22" customHeight="1">
      <c r="B21" s="17">
        <f>IF(C21="","CCL-"&amp;TEXT(COUNTA($C$5:C21),"000"))</f>
        <v/>
      </c>
      <c r="C21" s="12" t="n"/>
      <c r="D21" s="12" t="n"/>
      <c r="E21" s="12" t="n"/>
      <c r="F21" s="12" t="n"/>
      <c r="G21" s="25" t="n"/>
      <c r="H21" s="12" t="n"/>
      <c r="I21" s="12" t="n"/>
      <c r="J21" s="12" t="n"/>
      <c r="K21" s="25" t="n"/>
      <c r="L21" s="12" t="n"/>
    </row>
    <row r="22" ht="22" customHeight="1">
      <c r="B22" s="16">
        <f>IF(C22="","CCL-"&amp;TEXT(COUNTA($C$5:C22),"000"))</f>
        <v/>
      </c>
      <c r="C22" s="14" t="n"/>
      <c r="D22" s="14" t="n"/>
      <c r="E22" s="14" t="n"/>
      <c r="F22" s="14" t="n"/>
      <c r="G22" s="26" t="n"/>
      <c r="H22" s="14" t="n"/>
      <c r="I22" s="14" t="n"/>
      <c r="J22" s="14" t="n"/>
      <c r="K22" s="26" t="n"/>
      <c r="L22" s="14" t="n"/>
    </row>
    <row r="23" ht="22" customHeight="1">
      <c r="B23" s="17">
        <f>IF(C23="","CCL-"&amp;TEXT(COUNTA($C$5:C23),"000"))</f>
        <v/>
      </c>
      <c r="C23" s="12" t="n"/>
      <c r="D23" s="12" t="n"/>
      <c r="E23" s="12" t="n"/>
      <c r="F23" s="12" t="n"/>
      <c r="G23" s="25" t="n"/>
      <c r="H23" s="12" t="n"/>
      <c r="I23" s="12" t="n"/>
      <c r="J23" s="12" t="n"/>
      <c r="K23" s="25" t="n"/>
      <c r="L23" s="12" t="n"/>
    </row>
    <row r="24" ht="22" customHeight="1">
      <c r="B24" s="16">
        <f>IF(C24="","CCL-"&amp;TEXT(COUNTA($C$5:C24),"000"))</f>
        <v/>
      </c>
      <c r="C24" s="14" t="n"/>
      <c r="D24" s="14" t="n"/>
      <c r="E24" s="14" t="n"/>
      <c r="F24" s="14" t="n"/>
      <c r="G24" s="26" t="n"/>
      <c r="H24" s="14" t="n"/>
      <c r="I24" s="14" t="n"/>
      <c r="J24" s="14" t="n"/>
      <c r="K24" s="26" t="n"/>
      <c r="L24" s="14" t="n"/>
    </row>
    <row r="25" ht="22" customHeight="1">
      <c r="B25" s="17">
        <f>IF(C25="","CCL-"&amp;TEXT(COUNTA($C$5:C25),"000"))</f>
        <v/>
      </c>
      <c r="C25" s="12" t="n"/>
      <c r="D25" s="12" t="n"/>
      <c r="E25" s="12" t="n"/>
      <c r="F25" s="12" t="n"/>
      <c r="G25" s="25" t="n"/>
      <c r="H25" s="12" t="n"/>
      <c r="I25" s="12" t="n"/>
      <c r="J25" s="12" t="n"/>
      <c r="K25" s="25" t="n"/>
      <c r="L25" s="12" t="n"/>
    </row>
    <row r="26" ht="22" customHeight="1">
      <c r="B26" s="16">
        <f>IF(C26="","CCL-"&amp;TEXT(COUNTA($C$5:C26),"000"))</f>
        <v/>
      </c>
      <c r="C26" s="14" t="n"/>
      <c r="D26" s="14" t="n"/>
      <c r="E26" s="14" t="n"/>
      <c r="F26" s="14" t="n"/>
      <c r="G26" s="26" t="n"/>
      <c r="H26" s="14" t="n"/>
      <c r="I26" s="14" t="n"/>
      <c r="J26" s="14" t="n"/>
      <c r="K26" s="26" t="n"/>
      <c r="L26" s="14" t="n"/>
    </row>
    <row r="27" ht="22" customHeight="1">
      <c r="B27" s="17">
        <f>IF(C27="","CCL-"&amp;TEXT(COUNTA($C$5:C27),"000"))</f>
        <v/>
      </c>
      <c r="C27" s="12" t="n"/>
      <c r="D27" s="12" t="n"/>
      <c r="E27" s="12" t="n"/>
      <c r="F27" s="12" t="n"/>
      <c r="G27" s="25" t="n"/>
      <c r="H27" s="12" t="n"/>
      <c r="I27" s="12" t="n"/>
      <c r="J27" s="12" t="n"/>
      <c r="K27" s="25" t="n"/>
      <c r="L27" s="12" t="n"/>
    </row>
    <row r="28" ht="22" customHeight="1">
      <c r="B28" s="16">
        <f>IF(C28="","CCL-"&amp;TEXT(COUNTA($C$5:C28),"000"))</f>
        <v/>
      </c>
      <c r="C28" s="14" t="n"/>
      <c r="D28" s="14" t="n"/>
      <c r="E28" s="14" t="n"/>
      <c r="F28" s="14" t="n"/>
      <c r="G28" s="26" t="n"/>
      <c r="H28" s="14" t="n"/>
      <c r="I28" s="14" t="n"/>
      <c r="J28" s="14" t="n"/>
      <c r="K28" s="26" t="n"/>
      <c r="L28" s="14" t="n"/>
    </row>
    <row r="29" ht="22" customHeight="1">
      <c r="B29" s="17">
        <f>IF(C29="","CCL-"&amp;TEXT(COUNTA($C$5:C29),"000"))</f>
        <v/>
      </c>
      <c r="C29" s="12" t="n"/>
      <c r="D29" s="12" t="n"/>
      <c r="E29" s="12" t="n"/>
      <c r="F29" s="12" t="n"/>
      <c r="G29" s="25" t="n"/>
      <c r="H29" s="12" t="n"/>
      <c r="I29" s="12" t="n"/>
      <c r="J29" s="12" t="n"/>
      <c r="K29" s="25" t="n"/>
      <c r="L29" s="12" t="n"/>
    </row>
    <row r="30" ht="22" customHeight="1">
      <c r="B30" s="16">
        <f>IF(C30="","CCL-"&amp;TEXT(COUNTA($C$5:C30),"000"))</f>
        <v/>
      </c>
      <c r="C30" s="14" t="n"/>
      <c r="D30" s="14" t="n"/>
      <c r="E30" s="14" t="n"/>
      <c r="F30" s="14" t="n"/>
      <c r="G30" s="26" t="n"/>
      <c r="H30" s="14" t="n"/>
      <c r="I30" s="14" t="n"/>
      <c r="J30" s="14" t="n"/>
      <c r="K30" s="26" t="n"/>
      <c r="L30" s="14" t="n"/>
    </row>
    <row r="31" ht="22" customHeight="1">
      <c r="B31" s="17">
        <f>IF(C31="","CCL-"&amp;TEXT(COUNTA($C$5:C31),"000"))</f>
        <v/>
      </c>
      <c r="C31" s="12" t="n"/>
      <c r="D31" s="12" t="n"/>
      <c r="E31" s="12" t="n"/>
      <c r="F31" s="12" t="n"/>
      <c r="G31" s="25" t="n"/>
      <c r="H31" s="12" t="n"/>
      <c r="I31" s="12" t="n"/>
      <c r="J31" s="12" t="n"/>
      <c r="K31" s="25" t="n"/>
      <c r="L31" s="12" t="n"/>
    </row>
    <row r="32" ht="22" customHeight="1">
      <c r="B32" s="16">
        <f>IF(C32="","CCL-"&amp;TEXT(COUNTA($C$5:C32),"000"))</f>
        <v/>
      </c>
      <c r="C32" s="14" t="n"/>
      <c r="D32" s="14" t="n"/>
      <c r="E32" s="14" t="n"/>
      <c r="F32" s="14" t="n"/>
      <c r="G32" s="26" t="n"/>
      <c r="H32" s="14" t="n"/>
      <c r="I32" s="14" t="n"/>
      <c r="J32" s="14" t="n"/>
      <c r="K32" s="26" t="n"/>
      <c r="L32" s="14" t="n"/>
    </row>
    <row r="33" ht="22" customHeight="1">
      <c r="B33" s="17">
        <f>IF(C33="","CCL-"&amp;TEXT(COUNTA($C$5:C33),"000"))</f>
        <v/>
      </c>
      <c r="C33" s="12" t="n"/>
      <c r="D33" s="12" t="n"/>
      <c r="E33" s="12" t="n"/>
      <c r="F33" s="12" t="n"/>
      <c r="G33" s="25" t="n"/>
      <c r="H33" s="12" t="n"/>
      <c r="I33" s="12" t="n"/>
      <c r="J33" s="12" t="n"/>
      <c r="K33" s="25" t="n"/>
      <c r="L33" s="12" t="n"/>
    </row>
    <row r="34" ht="22" customHeight="1">
      <c r="B34" s="16">
        <f>IF(C34="","CCL-"&amp;TEXT(COUNTA($C$5:C34),"000"))</f>
        <v/>
      </c>
      <c r="C34" s="14" t="n"/>
      <c r="D34" s="14" t="n"/>
      <c r="E34" s="14" t="n"/>
      <c r="F34" s="14" t="n"/>
      <c r="G34" s="26" t="n"/>
      <c r="H34" s="14" t="n"/>
      <c r="I34" s="14" t="n"/>
      <c r="J34" s="14" t="n"/>
      <c r="K34" s="26" t="n"/>
      <c r="L34" s="14" t="n"/>
    </row>
    <row r="35" ht="22" customHeight="1">
      <c r="B35" s="17">
        <f>IF(C35="","CCL-"&amp;TEXT(COUNTA($C$5:C35),"000"))</f>
        <v/>
      </c>
      <c r="C35" s="12" t="n"/>
      <c r="D35" s="12" t="n"/>
      <c r="E35" s="12" t="n"/>
      <c r="F35" s="12" t="n"/>
      <c r="G35" s="25" t="n"/>
      <c r="H35" s="12" t="n"/>
      <c r="I35" s="12" t="n"/>
      <c r="J35" s="12" t="n"/>
      <c r="K35" s="25" t="n"/>
      <c r="L35" s="12" t="n"/>
    </row>
    <row r="36" ht="22" customHeight="1">
      <c r="B36" s="16">
        <f>IF(C36="","CCL-"&amp;TEXT(COUNTA($C$5:C36),"000"))</f>
        <v/>
      </c>
      <c r="C36" s="14" t="n"/>
      <c r="D36" s="14" t="n"/>
      <c r="E36" s="14" t="n"/>
      <c r="F36" s="14" t="n"/>
      <c r="G36" s="26" t="n"/>
      <c r="H36" s="14" t="n"/>
      <c r="I36" s="14" t="n"/>
      <c r="J36" s="14" t="n"/>
      <c r="K36" s="26" t="n"/>
      <c r="L36" s="14" t="n"/>
    </row>
    <row r="37" ht="22" customHeight="1">
      <c r="B37" s="17">
        <f>IF(C37="","CCL-"&amp;TEXT(COUNTA($C$5:C37),"000"))</f>
        <v/>
      </c>
      <c r="C37" s="12" t="n"/>
      <c r="D37" s="12" t="n"/>
      <c r="E37" s="12" t="n"/>
      <c r="F37" s="12" t="n"/>
      <c r="G37" s="25" t="n"/>
      <c r="H37" s="12" t="n"/>
      <c r="I37" s="12" t="n"/>
      <c r="J37" s="12" t="n"/>
      <c r="K37" s="25" t="n"/>
      <c r="L37" s="12" t="n"/>
    </row>
    <row r="38" ht="22" customHeight="1">
      <c r="B38" s="16">
        <f>IF(C38="","CCL-"&amp;TEXT(COUNTA($C$5:C38),"000"))</f>
        <v/>
      </c>
      <c r="C38" s="14" t="n"/>
      <c r="D38" s="14" t="n"/>
      <c r="E38" s="14" t="n"/>
      <c r="F38" s="14" t="n"/>
      <c r="G38" s="26" t="n"/>
      <c r="H38" s="14" t="n"/>
      <c r="I38" s="14" t="n"/>
      <c r="J38" s="14" t="n"/>
      <c r="K38" s="26" t="n"/>
      <c r="L38" s="14" t="n"/>
    </row>
    <row r="39" ht="22" customHeight="1">
      <c r="B39" s="17">
        <f>IF(C39="","CCL-"&amp;TEXT(COUNTA($C$5:C39),"000"))</f>
        <v/>
      </c>
      <c r="C39" s="12" t="n"/>
      <c r="D39" s="12" t="n"/>
      <c r="E39" s="12" t="n"/>
      <c r="F39" s="12" t="n"/>
      <c r="G39" s="25" t="n"/>
      <c r="H39" s="12" t="n"/>
      <c r="I39" s="12" t="n"/>
      <c r="J39" s="12" t="n"/>
      <c r="K39" s="25" t="n"/>
      <c r="L39" s="12" t="n"/>
    </row>
    <row r="40" ht="22" customHeight="1">
      <c r="B40" s="16">
        <f>IF(C40="","CCL-"&amp;TEXT(COUNTA($C$5:C40),"000"))</f>
        <v/>
      </c>
      <c r="C40" s="14" t="n"/>
      <c r="D40" s="14" t="n"/>
      <c r="E40" s="14" t="n"/>
      <c r="F40" s="14" t="n"/>
      <c r="G40" s="26" t="n"/>
      <c r="H40" s="14" t="n"/>
      <c r="I40" s="14" t="n"/>
      <c r="J40" s="14" t="n"/>
      <c r="K40" s="26" t="n"/>
      <c r="L40" s="14" t="n"/>
    </row>
    <row r="41" ht="22" customHeight="1">
      <c r="B41" s="17">
        <f>IF(C41="","CCL-"&amp;TEXT(COUNTA($C$5:C41),"000"))</f>
        <v/>
      </c>
      <c r="C41" s="12" t="n"/>
      <c r="D41" s="12" t="n"/>
      <c r="E41" s="12" t="n"/>
      <c r="F41" s="12" t="n"/>
      <c r="G41" s="25" t="n"/>
      <c r="H41" s="12" t="n"/>
      <c r="I41" s="12" t="n"/>
      <c r="J41" s="12" t="n"/>
      <c r="K41" s="25" t="n"/>
      <c r="L41" s="12" t="n"/>
    </row>
    <row r="42" ht="22" customHeight="1">
      <c r="B42" s="16">
        <f>IF(C42="","CCL-"&amp;TEXT(COUNTA($C$5:C42),"000"))</f>
        <v/>
      </c>
      <c r="C42" s="14" t="n"/>
      <c r="D42" s="14" t="n"/>
      <c r="E42" s="14" t="n"/>
      <c r="F42" s="14" t="n"/>
      <c r="G42" s="26" t="n"/>
      <c r="H42" s="14" t="n"/>
      <c r="I42" s="14" t="n"/>
      <c r="J42" s="14" t="n"/>
      <c r="K42" s="26" t="n"/>
      <c r="L42" s="14" t="n"/>
    </row>
    <row r="43" ht="22" customHeight="1">
      <c r="B43" s="17">
        <f>IF(C43="","CCL-"&amp;TEXT(COUNTA($C$5:C43),"000"))</f>
        <v/>
      </c>
      <c r="C43" s="12" t="n"/>
      <c r="D43" s="12" t="n"/>
      <c r="E43" s="12" t="n"/>
      <c r="F43" s="12" t="n"/>
      <c r="G43" s="25" t="n"/>
      <c r="H43" s="12" t="n"/>
      <c r="I43" s="12" t="n"/>
      <c r="J43" s="12" t="n"/>
      <c r="K43" s="25" t="n"/>
      <c r="L43" s="12" t="n"/>
    </row>
    <row r="44" ht="22" customHeight="1">
      <c r="B44" s="16">
        <f>IF(C44="","CCL-"&amp;TEXT(COUNTA($C$5:C44),"000"))</f>
        <v/>
      </c>
      <c r="C44" s="14" t="n"/>
      <c r="D44" s="14" t="n"/>
      <c r="E44" s="14" t="n"/>
      <c r="F44" s="14" t="n"/>
      <c r="G44" s="26" t="n"/>
      <c r="H44" s="14" t="n"/>
      <c r="I44" s="14" t="n"/>
      <c r="J44" s="14" t="n"/>
      <c r="K44" s="26" t="n"/>
      <c r="L44" s="14" t="n"/>
    </row>
    <row r="45" ht="22" customHeight="1">
      <c r="B45" s="17">
        <f>IF(C45="","CCL-"&amp;TEXT(COUNTA($C$5:C45),"000"))</f>
        <v/>
      </c>
      <c r="C45" s="12" t="n"/>
      <c r="D45" s="12" t="n"/>
      <c r="E45" s="12" t="n"/>
      <c r="F45" s="12" t="n"/>
      <c r="G45" s="25" t="n"/>
      <c r="H45" s="12" t="n"/>
      <c r="I45" s="12" t="n"/>
      <c r="J45" s="12" t="n"/>
      <c r="K45" s="25" t="n"/>
      <c r="L45" s="12" t="n"/>
    </row>
    <row r="46" ht="22" customHeight="1">
      <c r="B46" s="16">
        <f>IF(C46="","CCL-"&amp;TEXT(COUNTA($C$5:C46),"000"))</f>
        <v/>
      </c>
      <c r="C46" s="14" t="n"/>
      <c r="D46" s="14" t="n"/>
      <c r="E46" s="14" t="n"/>
      <c r="F46" s="14" t="n"/>
      <c r="G46" s="26" t="n"/>
      <c r="H46" s="14" t="n"/>
      <c r="I46" s="14" t="n"/>
      <c r="J46" s="14" t="n"/>
      <c r="K46" s="26" t="n"/>
      <c r="L46" s="14" t="n"/>
    </row>
    <row r="47" ht="22" customHeight="1">
      <c r="B47" s="17">
        <f>IF(C47="","CCL-"&amp;TEXT(COUNTA($C$5:C47),"000"))</f>
        <v/>
      </c>
      <c r="C47" s="12" t="n"/>
      <c r="D47" s="12" t="n"/>
      <c r="E47" s="12" t="n"/>
      <c r="F47" s="12" t="n"/>
      <c r="G47" s="25" t="n"/>
      <c r="H47" s="12" t="n"/>
      <c r="I47" s="12" t="n"/>
      <c r="J47" s="12" t="n"/>
      <c r="K47" s="25" t="n"/>
      <c r="L47" s="12" t="n"/>
    </row>
    <row r="48" ht="22" customHeight="1">
      <c r="B48" s="16">
        <f>IF(C48="","CCL-"&amp;TEXT(COUNTA($C$5:C48),"000"))</f>
        <v/>
      </c>
      <c r="C48" s="14" t="n"/>
      <c r="D48" s="14" t="n"/>
      <c r="E48" s="14" t="n"/>
      <c r="F48" s="14" t="n"/>
      <c r="G48" s="26" t="n"/>
      <c r="H48" s="14" t="n"/>
      <c r="I48" s="14" t="n"/>
      <c r="J48" s="14" t="n"/>
      <c r="K48" s="26" t="n"/>
      <c r="L48" s="14" t="n"/>
    </row>
    <row r="49" ht="22" customHeight="1">
      <c r="B49" s="17">
        <f>IF(C49="","CCL-"&amp;TEXT(COUNTA($C$5:C49),"000"))</f>
        <v/>
      </c>
      <c r="C49" s="12" t="n"/>
      <c r="D49" s="12" t="n"/>
      <c r="E49" s="12" t="n"/>
      <c r="F49" s="12" t="n"/>
      <c r="G49" s="25" t="n"/>
      <c r="H49" s="12" t="n"/>
      <c r="I49" s="12" t="n"/>
      <c r="J49" s="12" t="n"/>
      <c r="K49" s="25" t="n"/>
      <c r="L49" s="12" t="n"/>
    </row>
    <row r="50" ht="22" customHeight="1">
      <c r="B50" s="16">
        <f>IF(C50="","CCL-"&amp;TEXT(COUNTA($C$5:C50),"000"))</f>
        <v/>
      </c>
      <c r="C50" s="14" t="n"/>
      <c r="D50" s="14" t="n"/>
      <c r="E50" s="14" t="n"/>
      <c r="F50" s="14" t="n"/>
      <c r="G50" s="26" t="n"/>
      <c r="H50" s="14" t="n"/>
      <c r="I50" s="14" t="n"/>
      <c r="J50" s="14" t="n"/>
      <c r="K50" s="26" t="n"/>
      <c r="L50" s="14" t="n"/>
    </row>
    <row r="51" ht="22" customHeight="1">
      <c r="B51" s="17">
        <f>IF(C51="","CCL-"&amp;TEXT(COUNTA($C$5:C51),"000"))</f>
        <v/>
      </c>
      <c r="C51" s="12" t="n"/>
      <c r="D51" s="12" t="n"/>
      <c r="E51" s="12" t="n"/>
      <c r="F51" s="12" t="n"/>
      <c r="G51" s="25" t="n"/>
      <c r="H51" s="12" t="n"/>
      <c r="I51" s="12" t="n"/>
      <c r="J51" s="12" t="n"/>
      <c r="K51" s="25" t="n"/>
      <c r="L51" s="12" t="n"/>
    </row>
    <row r="52" ht="22" customHeight="1">
      <c r="B52" s="16">
        <f>IF(C52="","CCL-"&amp;TEXT(COUNTA($C$5:C52),"000"))</f>
        <v/>
      </c>
      <c r="C52" s="14" t="n"/>
      <c r="D52" s="14" t="n"/>
      <c r="E52" s="14" t="n"/>
      <c r="F52" s="14" t="n"/>
      <c r="G52" s="26" t="n"/>
      <c r="H52" s="14" t="n"/>
      <c r="I52" s="14" t="n"/>
      <c r="J52" s="14" t="n"/>
      <c r="K52" s="26" t="n"/>
      <c r="L52" s="14" t="n"/>
    </row>
    <row r="53" ht="22" customHeight="1">
      <c r="B53" s="17">
        <f>IF(C53="","CCL-"&amp;TEXT(COUNTA($C$5:C53),"000"))</f>
        <v/>
      </c>
      <c r="C53" s="12" t="n"/>
      <c r="D53" s="12" t="n"/>
      <c r="E53" s="12" t="n"/>
      <c r="F53" s="12" t="n"/>
      <c r="G53" s="25" t="n"/>
      <c r="H53" s="12" t="n"/>
      <c r="I53" s="12" t="n"/>
      <c r="J53" s="12" t="n"/>
      <c r="K53" s="25" t="n"/>
      <c r="L53" s="12" t="n"/>
    </row>
    <row r="54" ht="22" customHeight="1">
      <c r="B54" s="16">
        <f>IF(C54="","CCL-"&amp;TEXT(COUNTA($C$5:C54),"000"))</f>
        <v/>
      </c>
      <c r="C54" s="14" t="n"/>
      <c r="D54" s="14" t="n"/>
      <c r="E54" s="14" t="n"/>
      <c r="F54" s="14" t="n"/>
      <c r="G54" s="26" t="n"/>
      <c r="H54" s="14" t="n"/>
      <c r="I54" s="14" t="n"/>
      <c r="J54" s="14" t="n"/>
      <c r="K54" s="26" t="n"/>
      <c r="L54" s="14" t="n"/>
    </row>
    <row r="55" ht="22" customHeight="1">
      <c r="B55" s="17">
        <f>IF(C55="","CCL-"&amp;TEXT(COUNTA($C$5:C55),"000"))</f>
        <v/>
      </c>
      <c r="C55" s="12" t="n"/>
      <c r="D55" s="12" t="n"/>
      <c r="E55" s="12" t="n"/>
      <c r="F55" s="12" t="n"/>
      <c r="G55" s="25" t="n"/>
      <c r="H55" s="12" t="n"/>
      <c r="I55" s="12" t="n"/>
      <c r="J55" s="12" t="n"/>
      <c r="K55" s="25" t="n"/>
      <c r="L55" s="12" t="n"/>
    </row>
    <row r="56" ht="22" customHeight="1">
      <c r="B56" s="16">
        <f>IF(C56="","CCL-"&amp;TEXT(COUNTA($C$5:C56),"000"))</f>
        <v/>
      </c>
      <c r="C56" s="14" t="n"/>
      <c r="D56" s="14" t="n"/>
      <c r="E56" s="14" t="n"/>
      <c r="F56" s="14" t="n"/>
      <c r="G56" s="26" t="n"/>
      <c r="H56" s="14" t="n"/>
      <c r="I56" s="14" t="n"/>
      <c r="J56" s="14" t="n"/>
      <c r="K56" s="26" t="n"/>
      <c r="L56" s="14" t="n"/>
    </row>
    <row r="57" ht="22" customHeight="1">
      <c r="B57" s="17">
        <f>IF(C57="","CCL-"&amp;TEXT(COUNTA($C$5:C57),"000"))</f>
        <v/>
      </c>
      <c r="C57" s="12" t="n"/>
      <c r="D57" s="12" t="n"/>
      <c r="E57" s="12" t="n"/>
      <c r="F57" s="12" t="n"/>
      <c r="G57" s="25" t="n"/>
      <c r="H57" s="12" t="n"/>
      <c r="I57" s="12" t="n"/>
      <c r="J57" s="12" t="n"/>
      <c r="K57" s="25" t="n"/>
      <c r="L57" s="12" t="n"/>
    </row>
    <row r="58" ht="22" customHeight="1">
      <c r="B58" s="16">
        <f>IF(C58="","CCL-"&amp;TEXT(COUNTA($C$5:C58),"000"))</f>
        <v/>
      </c>
      <c r="C58" s="14" t="n"/>
      <c r="D58" s="14" t="n"/>
      <c r="E58" s="14" t="n"/>
      <c r="F58" s="14" t="n"/>
      <c r="G58" s="26" t="n"/>
      <c r="H58" s="14" t="n"/>
      <c r="I58" s="14" t="n"/>
      <c r="J58" s="14" t="n"/>
      <c r="K58" s="26" t="n"/>
      <c r="L58" s="14" t="n"/>
    </row>
    <row r="59" ht="22" customHeight="1">
      <c r="B59" s="17">
        <f>IF(C59="","CCL-"&amp;TEXT(COUNTA($C$5:C59),"000"))</f>
        <v/>
      </c>
      <c r="C59" s="12" t="n"/>
      <c r="D59" s="12" t="n"/>
      <c r="E59" s="12" t="n"/>
      <c r="F59" s="12" t="n"/>
      <c r="G59" s="25" t="n"/>
      <c r="H59" s="12" t="n"/>
      <c r="I59" s="12" t="n"/>
      <c r="J59" s="12" t="n"/>
      <c r="K59" s="25" t="n"/>
      <c r="L59" s="12" t="n"/>
    </row>
    <row r="60" ht="22" customHeight="1">
      <c r="B60" s="16">
        <f>IF(C60="","CCL-"&amp;TEXT(COUNTA($C$5:C60),"000"))</f>
        <v/>
      </c>
      <c r="C60" s="14" t="n"/>
      <c r="D60" s="14" t="n"/>
      <c r="E60" s="14" t="n"/>
      <c r="F60" s="14" t="n"/>
      <c r="G60" s="26" t="n"/>
      <c r="H60" s="14" t="n"/>
      <c r="I60" s="14" t="n"/>
      <c r="J60" s="14" t="n"/>
      <c r="K60" s="26" t="n"/>
      <c r="L60" s="14" t="n"/>
    </row>
    <row r="61" ht="22" customHeight="1">
      <c r="B61" s="17">
        <f>IF(C61="","CCL-"&amp;TEXT(COUNTA($C$5:C61),"000"))</f>
        <v/>
      </c>
      <c r="C61" s="12" t="n"/>
      <c r="D61" s="12" t="n"/>
      <c r="E61" s="12" t="n"/>
      <c r="F61" s="12" t="n"/>
      <c r="G61" s="25" t="n"/>
      <c r="H61" s="12" t="n"/>
      <c r="I61" s="12" t="n"/>
      <c r="J61" s="12" t="n"/>
      <c r="K61" s="25" t="n"/>
      <c r="L61" s="12" t="n"/>
    </row>
    <row r="62" ht="22" customHeight="1">
      <c r="B62" s="16">
        <f>IF(C62="","CCL-"&amp;TEXT(COUNTA($C$5:C62),"000"))</f>
        <v/>
      </c>
      <c r="C62" s="14" t="n"/>
      <c r="D62" s="14" t="n"/>
      <c r="E62" s="14" t="n"/>
      <c r="F62" s="14" t="n"/>
      <c r="G62" s="26" t="n"/>
      <c r="H62" s="14" t="n"/>
      <c r="I62" s="14" t="n"/>
      <c r="J62" s="14" t="n"/>
      <c r="K62" s="26" t="n"/>
      <c r="L62" s="14" t="n"/>
    </row>
    <row r="63" ht="22" customHeight="1">
      <c r="B63" s="17">
        <f>IF(C63="","CCL-"&amp;TEXT(COUNTA($C$5:C63),"000"))</f>
        <v/>
      </c>
      <c r="C63" s="12" t="n"/>
      <c r="D63" s="12" t="n"/>
      <c r="E63" s="12" t="n"/>
      <c r="F63" s="12" t="n"/>
      <c r="G63" s="25" t="n"/>
      <c r="H63" s="12" t="n"/>
      <c r="I63" s="12" t="n"/>
      <c r="J63" s="12" t="n"/>
      <c r="K63" s="25" t="n"/>
      <c r="L63" s="12" t="n"/>
    </row>
    <row r="64" ht="22" customHeight="1">
      <c r="B64" s="16">
        <f>IF(C64="","CCL-"&amp;TEXT(COUNTA($C$5:C64),"000"))</f>
        <v/>
      </c>
      <c r="C64" s="14" t="n"/>
      <c r="D64" s="14" t="n"/>
      <c r="E64" s="14" t="n"/>
      <c r="F64" s="14" t="n"/>
      <c r="G64" s="26" t="n"/>
      <c r="H64" s="14" t="n"/>
      <c r="I64" s="14" t="n"/>
      <c r="J64" s="14" t="n"/>
      <c r="K64" s="26" t="n"/>
      <c r="L64" s="14" t="n"/>
    </row>
    <row r="65" ht="22" customHeight="1">
      <c r="B65" s="17">
        <f>IF(C65="","CCL-"&amp;TEXT(COUNTA($C$5:C65),"000"))</f>
        <v/>
      </c>
      <c r="C65" s="12" t="n"/>
      <c r="D65" s="12" t="n"/>
      <c r="E65" s="12" t="n"/>
      <c r="F65" s="12" t="n"/>
      <c r="G65" s="25" t="n"/>
      <c r="H65" s="12" t="n"/>
      <c r="I65" s="12" t="n"/>
      <c r="J65" s="12" t="n"/>
      <c r="K65" s="25" t="n"/>
      <c r="L65" s="12" t="n"/>
    </row>
    <row r="66" ht="22" customHeight="1">
      <c r="B66" s="16">
        <f>IF(C66="","CCL-"&amp;TEXT(COUNTA($C$5:C66),"000"))</f>
        <v/>
      </c>
      <c r="C66" s="14" t="n"/>
      <c r="D66" s="14" t="n"/>
      <c r="E66" s="14" t="n"/>
      <c r="F66" s="14" t="n"/>
      <c r="G66" s="26" t="n"/>
      <c r="H66" s="14" t="n"/>
      <c r="I66" s="14" t="n"/>
      <c r="J66" s="14" t="n"/>
      <c r="K66" s="26" t="n"/>
      <c r="L66" s="14" t="n"/>
    </row>
    <row r="67" ht="22" customHeight="1">
      <c r="B67" s="17">
        <f>IF(C67="","CCL-"&amp;TEXT(COUNTA($C$5:C67),"000"))</f>
        <v/>
      </c>
      <c r="C67" s="12" t="n"/>
      <c r="D67" s="12" t="n"/>
      <c r="E67" s="12" t="n"/>
      <c r="F67" s="12" t="n"/>
      <c r="G67" s="25" t="n"/>
      <c r="H67" s="12" t="n"/>
      <c r="I67" s="12" t="n"/>
      <c r="J67" s="12" t="n"/>
      <c r="K67" s="25" t="n"/>
      <c r="L67" s="12" t="n"/>
    </row>
    <row r="68" ht="22" customHeight="1">
      <c r="B68" s="16">
        <f>IF(C68="","CCL-"&amp;TEXT(COUNTA($C$5:C68),"000"))</f>
        <v/>
      </c>
      <c r="C68" s="14" t="n"/>
      <c r="D68" s="14" t="n"/>
      <c r="E68" s="14" t="n"/>
      <c r="F68" s="14" t="n"/>
      <c r="G68" s="26" t="n"/>
      <c r="H68" s="14" t="n"/>
      <c r="I68" s="14" t="n"/>
      <c r="J68" s="14" t="n"/>
      <c r="K68" s="26" t="n"/>
      <c r="L68" s="14" t="n"/>
    </row>
    <row r="69" ht="22" customHeight="1">
      <c r="B69" s="17">
        <f>IF(C69="","CCL-"&amp;TEXT(COUNTA($C$5:C69),"000"))</f>
        <v/>
      </c>
      <c r="C69" s="12" t="n"/>
      <c r="D69" s="12" t="n"/>
      <c r="E69" s="12" t="n"/>
      <c r="F69" s="12" t="n"/>
      <c r="G69" s="25" t="n"/>
      <c r="H69" s="12" t="n"/>
      <c r="I69" s="12" t="n"/>
      <c r="J69" s="12" t="n"/>
      <c r="K69" s="25" t="n"/>
      <c r="L69" s="12" t="n"/>
    </row>
    <row r="70" ht="22" customHeight="1">
      <c r="B70" s="16">
        <f>IF(C70="","CCL-"&amp;TEXT(COUNTA($C$5:C70),"000"))</f>
        <v/>
      </c>
      <c r="C70" s="14" t="n"/>
      <c r="D70" s="14" t="n"/>
      <c r="E70" s="14" t="n"/>
      <c r="F70" s="14" t="n"/>
      <c r="G70" s="26" t="n"/>
      <c r="H70" s="14" t="n"/>
      <c r="I70" s="14" t="n"/>
      <c r="J70" s="14" t="n"/>
      <c r="K70" s="26" t="n"/>
      <c r="L70" s="14" t="n"/>
    </row>
    <row r="71" ht="22" customHeight="1">
      <c r="B71" s="17">
        <f>IF(C71="","CCL-"&amp;TEXT(COUNTA($C$5:C71),"000"))</f>
        <v/>
      </c>
      <c r="C71" s="12" t="n"/>
      <c r="D71" s="12" t="n"/>
      <c r="E71" s="12" t="n"/>
      <c r="F71" s="12" t="n"/>
      <c r="G71" s="25" t="n"/>
      <c r="H71" s="12" t="n"/>
      <c r="I71" s="12" t="n"/>
      <c r="J71" s="12" t="n"/>
      <c r="K71" s="25" t="n"/>
      <c r="L71" s="12" t="n"/>
    </row>
    <row r="72" ht="22" customHeight="1">
      <c r="B72" s="16">
        <f>IF(C72="","CCL-"&amp;TEXT(COUNTA($C$5:C72),"000"))</f>
        <v/>
      </c>
      <c r="C72" s="14" t="n"/>
      <c r="D72" s="14" t="n"/>
      <c r="E72" s="14" t="n"/>
      <c r="F72" s="14" t="n"/>
      <c r="G72" s="26" t="n"/>
      <c r="H72" s="14" t="n"/>
      <c r="I72" s="14" t="n"/>
      <c r="J72" s="14" t="n"/>
      <c r="K72" s="26" t="n"/>
      <c r="L72" s="14" t="n"/>
    </row>
    <row r="73" ht="22" customHeight="1">
      <c r="B73" s="17">
        <f>IF(C73="","CCL-"&amp;TEXT(COUNTA($C$5:C73),"000"))</f>
        <v/>
      </c>
      <c r="C73" s="12" t="n"/>
      <c r="D73" s="12" t="n"/>
      <c r="E73" s="12" t="n"/>
      <c r="F73" s="12" t="n"/>
      <c r="G73" s="25" t="n"/>
      <c r="H73" s="12" t="n"/>
      <c r="I73" s="12" t="n"/>
      <c r="J73" s="12" t="n"/>
      <c r="K73" s="25" t="n"/>
      <c r="L73" s="12" t="n"/>
    </row>
    <row r="74" ht="22" customHeight="1">
      <c r="B74" s="16">
        <f>IF(C74="","CCL-"&amp;TEXT(COUNTA($C$5:C74),"000"))</f>
        <v/>
      </c>
      <c r="C74" s="14" t="n"/>
      <c r="D74" s="14" t="n"/>
      <c r="E74" s="14" t="n"/>
      <c r="F74" s="14" t="n"/>
      <c r="G74" s="26" t="n"/>
      <c r="H74" s="14" t="n"/>
      <c r="I74" s="14" t="n"/>
      <c r="J74" s="14" t="n"/>
      <c r="K74" s="26" t="n"/>
      <c r="L74" s="14" t="n"/>
    </row>
    <row r="75" ht="22" customHeight="1">
      <c r="B75" s="17">
        <f>IF(C75="","CCL-"&amp;TEXT(COUNTA($C$5:C75),"000"))</f>
        <v/>
      </c>
      <c r="C75" s="12" t="n"/>
      <c r="D75" s="12" t="n"/>
      <c r="E75" s="12" t="n"/>
      <c r="F75" s="12" t="n"/>
      <c r="G75" s="25" t="n"/>
      <c r="H75" s="12" t="n"/>
      <c r="I75" s="12" t="n"/>
      <c r="J75" s="12" t="n"/>
      <c r="K75" s="25" t="n"/>
      <c r="L75" s="12" t="n"/>
    </row>
    <row r="76" ht="22" customHeight="1">
      <c r="B76" s="16">
        <f>IF(C76="","CCL-"&amp;TEXT(COUNTA($C$5:C76),"000"))</f>
        <v/>
      </c>
      <c r="C76" s="14" t="n"/>
      <c r="D76" s="14" t="n"/>
      <c r="E76" s="14" t="n"/>
      <c r="F76" s="14" t="n"/>
      <c r="G76" s="26" t="n"/>
      <c r="H76" s="14" t="n"/>
      <c r="I76" s="14" t="n"/>
      <c r="J76" s="14" t="n"/>
      <c r="K76" s="26" t="n"/>
      <c r="L76" s="14" t="n"/>
    </row>
    <row r="77" ht="22" customHeight="1">
      <c r="B77" s="17">
        <f>IF(C77="","CCL-"&amp;TEXT(COUNTA($C$5:C77),"000"))</f>
        <v/>
      </c>
      <c r="C77" s="12" t="n"/>
      <c r="D77" s="12" t="n"/>
      <c r="E77" s="12" t="n"/>
      <c r="F77" s="12" t="n"/>
      <c r="G77" s="25" t="n"/>
      <c r="H77" s="12" t="n"/>
      <c r="I77" s="12" t="n"/>
      <c r="J77" s="12" t="n"/>
      <c r="K77" s="25" t="n"/>
      <c r="L77" s="12" t="n"/>
    </row>
    <row r="78" ht="22" customHeight="1">
      <c r="B78" s="16">
        <f>IF(C78="","CCL-"&amp;TEXT(COUNTA($C$5:C78),"000"))</f>
        <v/>
      </c>
      <c r="C78" s="14" t="n"/>
      <c r="D78" s="14" t="n"/>
      <c r="E78" s="14" t="n"/>
      <c r="F78" s="14" t="n"/>
      <c r="G78" s="26" t="n"/>
      <c r="H78" s="14" t="n"/>
      <c r="I78" s="14" t="n"/>
      <c r="J78" s="14" t="n"/>
      <c r="K78" s="26" t="n"/>
      <c r="L78" s="14" t="n"/>
    </row>
    <row r="79" ht="22" customHeight="1">
      <c r="B79" s="17">
        <f>IF(C79="","CCL-"&amp;TEXT(COUNTA($C$5:C79),"000"))</f>
        <v/>
      </c>
      <c r="C79" s="12" t="n"/>
      <c r="D79" s="12" t="n"/>
      <c r="E79" s="12" t="n"/>
      <c r="F79" s="12" t="n"/>
      <c r="G79" s="25" t="n"/>
      <c r="H79" s="12" t="n"/>
      <c r="I79" s="12" t="n"/>
      <c r="J79" s="12" t="n"/>
      <c r="K79" s="25" t="n"/>
      <c r="L79" s="12" t="n"/>
    </row>
    <row r="80" ht="22" customHeight="1">
      <c r="B80" s="16">
        <f>IF(C80="","CCL-"&amp;TEXT(COUNTA($C$5:C80),"000"))</f>
        <v/>
      </c>
      <c r="C80" s="14" t="n"/>
      <c r="D80" s="14" t="n"/>
      <c r="E80" s="14" t="n"/>
      <c r="F80" s="14" t="n"/>
      <c r="G80" s="26" t="n"/>
      <c r="H80" s="14" t="n"/>
      <c r="I80" s="14" t="n"/>
      <c r="J80" s="14" t="n"/>
      <c r="K80" s="26" t="n"/>
      <c r="L80" s="14" t="n"/>
    </row>
    <row r="81" ht="22" customHeight="1">
      <c r="B81" s="17">
        <f>IF(C81="","CCL-"&amp;TEXT(COUNTA($C$5:C81),"000"))</f>
        <v/>
      </c>
      <c r="C81" s="12" t="n"/>
      <c r="D81" s="12" t="n"/>
      <c r="E81" s="12" t="n"/>
      <c r="F81" s="12" t="n"/>
      <c r="G81" s="25" t="n"/>
      <c r="H81" s="12" t="n"/>
      <c r="I81" s="12" t="n"/>
      <c r="J81" s="12" t="n"/>
      <c r="K81" s="25" t="n"/>
      <c r="L81" s="12" t="n"/>
    </row>
    <row r="82" ht="22" customHeight="1">
      <c r="B82" s="16">
        <f>IF(C82="","CCL-"&amp;TEXT(COUNTA($C$5:C82),"000"))</f>
        <v/>
      </c>
      <c r="C82" s="14" t="n"/>
      <c r="D82" s="14" t="n"/>
      <c r="E82" s="14" t="n"/>
      <c r="F82" s="14" t="n"/>
      <c r="G82" s="26" t="n"/>
      <c r="H82" s="14" t="n"/>
      <c r="I82" s="14" t="n"/>
      <c r="J82" s="14" t="n"/>
      <c r="K82" s="26" t="n"/>
      <c r="L82" s="14" t="n"/>
    </row>
    <row r="83" ht="22" customHeight="1">
      <c r="B83" s="17">
        <f>IF(C83="","CCL-"&amp;TEXT(COUNTA($C$5:C83),"000"))</f>
        <v/>
      </c>
      <c r="C83" s="12" t="n"/>
      <c r="D83" s="12" t="n"/>
      <c r="E83" s="12" t="n"/>
      <c r="F83" s="12" t="n"/>
      <c r="G83" s="25" t="n"/>
      <c r="H83" s="12" t="n"/>
      <c r="I83" s="12" t="n"/>
      <c r="J83" s="12" t="n"/>
      <c r="K83" s="25" t="n"/>
      <c r="L83" s="12" t="n"/>
    </row>
    <row r="84" ht="22" customHeight="1">
      <c r="B84" s="16">
        <f>IF(C84="","CCL-"&amp;TEXT(COUNTA($C$5:C84),"000"))</f>
        <v/>
      </c>
      <c r="C84" s="14" t="n"/>
      <c r="D84" s="14" t="n"/>
      <c r="E84" s="14" t="n"/>
      <c r="F84" s="14" t="n"/>
      <c r="G84" s="26" t="n"/>
      <c r="H84" s="14" t="n"/>
      <c r="I84" s="14" t="n"/>
      <c r="J84" s="14" t="n"/>
      <c r="K84" s="26" t="n"/>
      <c r="L84" s="14" t="n"/>
    </row>
    <row r="85" ht="22" customHeight="1">
      <c r="B85" s="17">
        <f>IF(C85="","CCL-"&amp;TEXT(COUNTA($C$5:C85),"000"))</f>
        <v/>
      </c>
      <c r="C85" s="12" t="n"/>
      <c r="D85" s="12" t="n"/>
      <c r="E85" s="12" t="n"/>
      <c r="F85" s="12" t="n"/>
      <c r="G85" s="25" t="n"/>
      <c r="H85" s="12" t="n"/>
      <c r="I85" s="12" t="n"/>
      <c r="J85" s="12" t="n"/>
      <c r="K85" s="25" t="n"/>
      <c r="L85" s="12" t="n"/>
    </row>
    <row r="86" ht="22" customHeight="1">
      <c r="B86" s="16">
        <f>IF(C86="","CCL-"&amp;TEXT(COUNTA($C$5:C86),"000"))</f>
        <v/>
      </c>
      <c r="C86" s="14" t="n"/>
      <c r="D86" s="14" t="n"/>
      <c r="E86" s="14" t="n"/>
      <c r="F86" s="14" t="n"/>
      <c r="G86" s="26" t="n"/>
      <c r="H86" s="14" t="n"/>
      <c r="I86" s="14" t="n"/>
      <c r="J86" s="14" t="n"/>
      <c r="K86" s="26" t="n"/>
      <c r="L86" s="14" t="n"/>
    </row>
    <row r="87" ht="22" customHeight="1">
      <c r="B87" s="17">
        <f>IF(C87="","CCL-"&amp;TEXT(COUNTA($C$5:C87),"000"))</f>
        <v/>
      </c>
      <c r="C87" s="12" t="n"/>
      <c r="D87" s="12" t="n"/>
      <c r="E87" s="12" t="n"/>
      <c r="F87" s="12" t="n"/>
      <c r="G87" s="25" t="n"/>
      <c r="H87" s="12" t="n"/>
      <c r="I87" s="12" t="n"/>
      <c r="J87" s="12" t="n"/>
      <c r="K87" s="25" t="n"/>
      <c r="L87" s="12" t="n"/>
    </row>
    <row r="88" ht="22" customHeight="1">
      <c r="B88" s="16">
        <f>IF(C88="","CCL-"&amp;TEXT(COUNTA($C$5:C88),"000"))</f>
        <v/>
      </c>
      <c r="C88" s="14" t="n"/>
      <c r="D88" s="14" t="n"/>
      <c r="E88" s="14" t="n"/>
      <c r="F88" s="14" t="n"/>
      <c r="G88" s="26" t="n"/>
      <c r="H88" s="14" t="n"/>
      <c r="I88" s="14" t="n"/>
      <c r="J88" s="14" t="n"/>
      <c r="K88" s="26" t="n"/>
      <c r="L88" s="14" t="n"/>
    </row>
    <row r="89" ht="22" customHeight="1">
      <c r="B89" s="17">
        <f>IF(C89="","CCL-"&amp;TEXT(COUNTA($C$5:C89),"000"))</f>
        <v/>
      </c>
      <c r="C89" s="12" t="n"/>
      <c r="D89" s="12" t="n"/>
      <c r="E89" s="12" t="n"/>
      <c r="F89" s="12" t="n"/>
      <c r="G89" s="25" t="n"/>
      <c r="H89" s="12" t="n"/>
      <c r="I89" s="12" t="n"/>
      <c r="J89" s="12" t="n"/>
      <c r="K89" s="25" t="n"/>
      <c r="L89" s="12" t="n"/>
    </row>
    <row r="90" ht="22" customHeight="1">
      <c r="B90" s="16">
        <f>IF(C90="","CCL-"&amp;TEXT(COUNTA($C$5:C90),"000"))</f>
        <v/>
      </c>
      <c r="C90" s="14" t="n"/>
      <c r="D90" s="14" t="n"/>
      <c r="E90" s="14" t="n"/>
      <c r="F90" s="14" t="n"/>
      <c r="G90" s="26" t="n"/>
      <c r="H90" s="14" t="n"/>
      <c r="I90" s="14" t="n"/>
      <c r="J90" s="14" t="n"/>
      <c r="K90" s="26" t="n"/>
      <c r="L90" s="14" t="n"/>
    </row>
    <row r="91" ht="22" customHeight="1">
      <c r="B91" s="17">
        <f>IF(C91="","CCL-"&amp;TEXT(COUNTA($C$5:C91),"000"))</f>
        <v/>
      </c>
      <c r="C91" s="12" t="n"/>
      <c r="D91" s="12" t="n"/>
      <c r="E91" s="12" t="n"/>
      <c r="F91" s="12" t="n"/>
      <c r="G91" s="25" t="n"/>
      <c r="H91" s="12" t="n"/>
      <c r="I91" s="12" t="n"/>
      <c r="J91" s="12" t="n"/>
      <c r="K91" s="25" t="n"/>
      <c r="L91" s="12" t="n"/>
    </row>
    <row r="92" ht="22" customHeight="1">
      <c r="B92" s="16">
        <f>IF(C92="","CCL-"&amp;TEXT(COUNTA($C$5:C92),"000"))</f>
        <v/>
      </c>
      <c r="C92" s="14" t="n"/>
      <c r="D92" s="14" t="n"/>
      <c r="E92" s="14" t="n"/>
      <c r="F92" s="14" t="n"/>
      <c r="G92" s="26" t="n"/>
      <c r="H92" s="14" t="n"/>
      <c r="I92" s="14" t="n"/>
      <c r="J92" s="14" t="n"/>
      <c r="K92" s="26" t="n"/>
      <c r="L92" s="14" t="n"/>
    </row>
    <row r="93" ht="22" customHeight="1">
      <c r="B93" s="17">
        <f>IF(C93="","CCL-"&amp;TEXT(COUNTA($C$5:C93),"000"))</f>
        <v/>
      </c>
      <c r="C93" s="12" t="n"/>
      <c r="D93" s="12" t="n"/>
      <c r="E93" s="12" t="n"/>
      <c r="F93" s="12" t="n"/>
      <c r="G93" s="25" t="n"/>
      <c r="H93" s="12" t="n"/>
      <c r="I93" s="12" t="n"/>
      <c r="J93" s="12" t="n"/>
      <c r="K93" s="25" t="n"/>
      <c r="L93" s="12" t="n"/>
    </row>
    <row r="94" ht="22" customHeight="1">
      <c r="B94" s="16">
        <f>IF(C94="","CCL-"&amp;TEXT(COUNTA($C$5:C94),"000"))</f>
        <v/>
      </c>
      <c r="C94" s="14" t="n"/>
      <c r="D94" s="14" t="n"/>
      <c r="E94" s="14" t="n"/>
      <c r="F94" s="14" t="n"/>
      <c r="G94" s="26" t="n"/>
      <c r="H94" s="14" t="n"/>
      <c r="I94" s="14" t="n"/>
      <c r="J94" s="14" t="n"/>
      <c r="K94" s="26" t="n"/>
      <c r="L94" s="14" t="n"/>
    </row>
    <row r="95" ht="22" customHeight="1">
      <c r="B95" s="17">
        <f>IF(C95="","CCL-"&amp;TEXT(COUNTA($C$5:C95),"000"))</f>
        <v/>
      </c>
      <c r="C95" s="12" t="n"/>
      <c r="D95" s="12" t="n"/>
      <c r="E95" s="12" t="n"/>
      <c r="F95" s="12" t="n"/>
      <c r="G95" s="25" t="n"/>
      <c r="H95" s="12" t="n"/>
      <c r="I95" s="12" t="n"/>
      <c r="J95" s="12" t="n"/>
      <c r="K95" s="25" t="n"/>
      <c r="L95" s="12" t="n"/>
    </row>
    <row r="96" ht="22" customHeight="1">
      <c r="B96" s="16">
        <f>IF(C96="","CCL-"&amp;TEXT(COUNTA($C$5:C96),"000"))</f>
        <v/>
      </c>
      <c r="C96" s="14" t="n"/>
      <c r="D96" s="14" t="n"/>
      <c r="E96" s="14" t="n"/>
      <c r="F96" s="14" t="n"/>
      <c r="G96" s="26" t="n"/>
      <c r="H96" s="14" t="n"/>
      <c r="I96" s="14" t="n"/>
      <c r="J96" s="14" t="n"/>
      <c r="K96" s="26" t="n"/>
      <c r="L96" s="14" t="n"/>
    </row>
    <row r="97" ht="22" customHeight="1">
      <c r="B97" s="17">
        <f>IF(C97="","CCL-"&amp;TEXT(COUNTA($C$5:C97),"000"))</f>
        <v/>
      </c>
      <c r="C97" s="12" t="n"/>
      <c r="D97" s="12" t="n"/>
      <c r="E97" s="12" t="n"/>
      <c r="F97" s="12" t="n"/>
      <c r="G97" s="25" t="n"/>
      <c r="H97" s="12" t="n"/>
      <c r="I97" s="12" t="n"/>
      <c r="J97" s="12" t="n"/>
      <c r="K97" s="25" t="n"/>
      <c r="L97" s="12" t="n"/>
    </row>
    <row r="98" ht="22" customHeight="1">
      <c r="B98" s="16">
        <f>IF(C98="","CCL-"&amp;TEXT(COUNTA($C$5:C98),"000"))</f>
        <v/>
      </c>
      <c r="C98" s="14" t="n"/>
      <c r="D98" s="14" t="n"/>
      <c r="E98" s="14" t="n"/>
      <c r="F98" s="14" t="n"/>
      <c r="G98" s="26" t="n"/>
      <c r="H98" s="14" t="n"/>
      <c r="I98" s="14" t="n"/>
      <c r="J98" s="14" t="n"/>
      <c r="K98" s="26" t="n"/>
      <c r="L98" s="14" t="n"/>
    </row>
    <row r="99" ht="22" customHeight="1">
      <c r="B99" s="17">
        <f>IF(C99="","CCL-"&amp;TEXT(COUNTA($C$5:C99),"000"))</f>
        <v/>
      </c>
      <c r="C99" s="12" t="n"/>
      <c r="D99" s="12" t="n"/>
      <c r="E99" s="12" t="n"/>
      <c r="F99" s="12" t="n"/>
      <c r="G99" s="25" t="n"/>
      <c r="H99" s="12" t="n"/>
      <c r="I99" s="12" t="n"/>
      <c r="J99" s="12" t="n"/>
      <c r="K99" s="25" t="n"/>
      <c r="L99" s="12" t="n"/>
    </row>
    <row r="100" ht="22" customHeight="1">
      <c r="B100" s="16">
        <f>IF(C100="","CCL-"&amp;TEXT(COUNTA($C$5:C100),"000"))</f>
        <v/>
      </c>
      <c r="C100" s="14" t="n"/>
      <c r="D100" s="14" t="n"/>
      <c r="E100" s="14" t="n"/>
      <c r="F100" s="14" t="n"/>
      <c r="G100" s="26" t="n"/>
      <c r="H100" s="14" t="n"/>
      <c r="I100" s="14" t="n"/>
      <c r="J100" s="14" t="n"/>
      <c r="K100" s="26" t="n"/>
      <c r="L100" s="14" t="n"/>
    </row>
    <row r="101" ht="22" customHeight="1">
      <c r="B101" s="17">
        <f>IF(C101="","CCL-"&amp;TEXT(COUNTA($C$5:C101),"000"))</f>
        <v/>
      </c>
      <c r="C101" s="12" t="n"/>
      <c r="D101" s="12" t="n"/>
      <c r="E101" s="12" t="n"/>
      <c r="F101" s="12" t="n"/>
      <c r="G101" s="25" t="n"/>
      <c r="H101" s="12" t="n"/>
      <c r="I101" s="12" t="n"/>
      <c r="J101" s="12" t="n"/>
      <c r="K101" s="25" t="n"/>
      <c r="L101" s="12" t="n"/>
    </row>
    <row r="102" ht="22" customHeight="1">
      <c r="B102" s="16">
        <f>IF(C102="","CCL-"&amp;TEXT(COUNTA($C$5:C102),"000"))</f>
        <v/>
      </c>
      <c r="C102" s="14" t="n"/>
      <c r="D102" s="14" t="n"/>
      <c r="E102" s="14" t="n"/>
      <c r="F102" s="14" t="n"/>
      <c r="G102" s="26" t="n"/>
      <c r="H102" s="14" t="n"/>
      <c r="I102" s="14" t="n"/>
      <c r="J102" s="14" t="n"/>
      <c r="K102" s="26" t="n"/>
      <c r="L102" s="14" t="n"/>
    </row>
    <row r="103" ht="22" customHeight="1">
      <c r="B103" s="17">
        <f>IF(C103="","CCL-"&amp;TEXT(COUNTA($C$5:C103),"000"))</f>
        <v/>
      </c>
      <c r="C103" s="12" t="n"/>
      <c r="D103" s="12" t="n"/>
      <c r="E103" s="12" t="n"/>
      <c r="F103" s="12" t="n"/>
      <c r="G103" s="25" t="n"/>
      <c r="H103" s="12" t="n"/>
      <c r="I103" s="12" t="n"/>
      <c r="J103" s="12" t="n"/>
      <c r="K103" s="25" t="n"/>
      <c r="L103" s="12" t="n"/>
    </row>
    <row r="104" ht="22" customHeight="1">
      <c r="B104" s="16">
        <f>IF(C104="","CCL-"&amp;TEXT(COUNTA($C$5:C104),"000"))</f>
        <v/>
      </c>
      <c r="C104" s="14" t="n"/>
      <c r="D104" s="14" t="n"/>
      <c r="E104" s="14" t="n"/>
      <c r="F104" s="14" t="n"/>
      <c r="G104" s="26" t="n"/>
      <c r="H104" s="14" t="n"/>
      <c r="I104" s="14" t="n"/>
      <c r="J104" s="14" t="n"/>
      <c r="K104" s="26" t="n"/>
      <c r="L104" s="14" t="n"/>
    </row>
    <row r="105" ht="22" customHeight="1">
      <c r="B105" s="17">
        <f>IF(C105="","CCL-"&amp;TEXT(COUNTA($C$5:C105),"000"))</f>
        <v/>
      </c>
      <c r="C105" s="12" t="n"/>
      <c r="D105" s="12" t="n"/>
      <c r="E105" s="12" t="n"/>
      <c r="F105" s="12" t="n"/>
      <c r="G105" s="25" t="n"/>
      <c r="H105" s="12" t="n"/>
      <c r="I105" s="12" t="n"/>
      <c r="J105" s="12" t="n"/>
      <c r="K105" s="25" t="n"/>
      <c r="L105" s="12" t="n"/>
    </row>
    <row r="106" ht="22" customHeight="1">
      <c r="B106" s="16">
        <f>IF(C106="","CCL-"&amp;TEXT(COUNTA($C$5:C106),"000"))</f>
        <v/>
      </c>
      <c r="C106" s="14" t="n"/>
      <c r="D106" s="14" t="n"/>
      <c r="E106" s="14" t="n"/>
      <c r="F106" s="14" t="n"/>
      <c r="G106" s="26" t="n"/>
      <c r="H106" s="14" t="n"/>
      <c r="I106" s="14" t="n"/>
      <c r="J106" s="14" t="n"/>
      <c r="K106" s="26" t="n"/>
      <c r="L106" s="14" t="n"/>
    </row>
    <row r="107" ht="22" customHeight="1">
      <c r="B107" s="17">
        <f>IF(C107="","CCL-"&amp;TEXT(COUNTA($C$5:C107),"000"))</f>
        <v/>
      </c>
      <c r="C107" s="12" t="n"/>
      <c r="D107" s="12" t="n"/>
      <c r="E107" s="12" t="n"/>
      <c r="F107" s="12" t="n"/>
      <c r="G107" s="25" t="n"/>
      <c r="H107" s="12" t="n"/>
      <c r="I107" s="12" t="n"/>
      <c r="J107" s="12" t="n"/>
      <c r="K107" s="25" t="n"/>
      <c r="L107" s="12" t="n"/>
    </row>
    <row r="108" ht="22" customHeight="1">
      <c r="B108" s="16">
        <f>IF(C108="","CCL-"&amp;TEXT(COUNTA($C$5:C108),"000"))</f>
        <v/>
      </c>
      <c r="C108" s="14" t="n"/>
      <c r="D108" s="14" t="n"/>
      <c r="E108" s="14" t="n"/>
      <c r="F108" s="14" t="n"/>
      <c r="G108" s="26" t="n"/>
      <c r="H108" s="14" t="n"/>
      <c r="I108" s="14" t="n"/>
      <c r="J108" s="14" t="n"/>
      <c r="K108" s="26" t="n"/>
      <c r="L108" s="14" t="n"/>
    </row>
    <row r="109" ht="22" customHeight="1">
      <c r="B109" s="17">
        <f>IF(C109="","CCL-"&amp;TEXT(COUNTA($C$5:C109),"000"))</f>
        <v/>
      </c>
      <c r="C109" s="12" t="n"/>
      <c r="D109" s="12" t="n"/>
      <c r="E109" s="12" t="n"/>
      <c r="F109" s="12" t="n"/>
      <c r="G109" s="25" t="n"/>
      <c r="H109" s="12" t="n"/>
      <c r="I109" s="12" t="n"/>
      <c r="J109" s="12" t="n"/>
      <c r="K109" s="25" t="n"/>
      <c r="L109" s="12" t="n"/>
    </row>
    <row r="111">
      <c r="B111" s="6" t="inlineStr">
        <is>
          <t>INDICATEURS (mis a jour automatiquement)</t>
        </is>
      </c>
    </row>
    <row r="112">
      <c r="B112" s="3" t="inlineStr">
        <is>
          <t>Exigences suivies</t>
        </is>
      </c>
      <c r="D112" s="3" t="inlineStr">
        <is>
          <t>Conformes</t>
        </is>
      </c>
      <c r="F112" s="3" t="inlineStr">
        <is>
          <t>Non conformes</t>
        </is>
      </c>
      <c r="H112" s="3" t="inlineStr">
        <is>
          <t>Taux conformite</t>
        </is>
      </c>
    </row>
    <row r="113">
      <c r="B113" s="4">
        <f>COUNTIF(B5:B104,"&lt;&gt;")</f>
        <v/>
      </c>
      <c r="D113" s="4">
        <f>COUNTIF(H5:H104,"Conforme")</f>
        <v/>
      </c>
      <c r="F113" s="4">
        <f>COUNTIF(H5:H104,"Non conforme")+COUNTIF(H5:H104,"Partiellement conforme")</f>
        <v/>
      </c>
      <c r="H113" s="4">
        <f>IFERROR(COUNTIF(H5:H104,"Conforme")/COUNTIF(B5:B104,"&lt;&gt;"),0)</f>
        <v/>
      </c>
    </row>
  </sheetData>
  <mergeCells count="3">
    <mergeCell ref="B2:L2"/>
    <mergeCell ref="B111:L111"/>
    <mergeCell ref="B3:L3"/>
  </mergeCells>
  <conditionalFormatting sqref="L5:L109">
    <cfRule type="cellIs" priority="1" operator="equal" dxfId="0">
      <formula>"Conforme"</formula>
    </cfRule>
    <cfRule type="cellIs" priority="2" operator="equal" dxfId="0">
      <formula>"Resolu"</formula>
    </cfRule>
    <cfRule type="cellIs" priority="3" operator="equal" dxfId="0">
      <formula>"Clos"</formula>
    </cfRule>
    <cfRule type="cellIs" priority="4" operator="equal" dxfId="0">
      <formula>"Solde"</formula>
    </cfRule>
    <cfRule type="cellIs" priority="5" operator="equal" dxfId="0">
      <formula>"Pris"</formula>
    </cfRule>
    <cfRule type="cellIs" priority="6" operator="equal" dxfId="0">
      <formula>"Termine"</formula>
    </cfRule>
    <cfRule type="cellIs" priority="7" operator="equal" dxfId="0">
      <formula>"Terminee"</formula>
    </cfRule>
    <cfRule type="cellIs" priority="8" operator="equal" dxfId="0">
      <formula>"Valide"</formula>
    </cfRule>
    <cfRule type="cellIs" priority="9" operator="equal" dxfId="0">
      <formula>"Approuve"</formula>
    </cfRule>
    <cfRule type="cellIs" priority="10" operator="equal" dxfId="0">
      <formula>"Approuvee"</formula>
    </cfRule>
    <cfRule type="cellIs" priority="11" operator="equal" dxfId="0">
      <formula>"Actif"</formula>
    </cfRule>
    <cfRule type="cellIs" priority="12" operator="equal" dxfId="0">
      <formula>"En vigueur"</formula>
    </cfRule>
    <cfRule type="cellIs" priority="13" operator="equal" dxfId="0">
      <formula>"Validee"</formula>
    </cfRule>
    <cfRule type="cellIs" priority="14" operator="equal" dxfId="0">
      <formula>"Payee"</formula>
    </cfRule>
    <cfRule type="cellIs" priority="15" operator="equal" dxfId="0">
      <formula>"Traite"</formula>
    </cfRule>
    <cfRule type="cellIs" priority="16" operator="equal" dxfId="0">
      <formula>"Traitee"</formula>
    </cfRule>
    <cfRule type="cellIs" priority="17" operator="equal" dxfId="0">
      <formula>"Decision notifiee"</formula>
    </cfRule>
    <cfRule type="cellIs" priority="18" operator="equal" dxfId="0">
      <formula>"Jugement rendu"</formula>
    </cfRule>
    <cfRule type="cellIs" priority="19" operator="equal" dxfId="0">
      <formula>"Resolue"</formula>
    </cfRule>
    <cfRule type="cellIs" priority="20" operator="equal" dxfId="0">
      <formula>"Accepte"</formula>
    </cfRule>
    <cfRule type="cellIs" priority="21" operator="equal" dxfId="0">
      <formula>"Acceptee"</formula>
    </cfRule>
    <cfRule type="cellIs" priority="22" operator="equal" dxfId="0">
      <formula>"Conforme"</formula>
    </cfRule>
    <cfRule type="cellIs" priority="23" operator="equal" dxfId="0">
      <formula>"Exempte"</formula>
    </cfRule>
    <cfRule type="cellIs" priority="24" operator="equal" dxfId="0">
      <formula>"Guerie"</formula>
    </cfRule>
    <cfRule type="cellIs" priority="25" operator="equal" dxfId="0">
      <formula>"Apte"</formula>
    </cfRule>
    <cfRule type="cellIs" priority="26" operator="equal" dxfId="0">
      <formula>"Apte avec restriction"</formula>
    </cfRule>
    <cfRule type="cellIs" priority="27" operator="equal" dxfId="0">
      <formula>"Realise"</formula>
    </cfRule>
    <cfRule type="cellIs" priority="28" operator="equal" dxfId="0">
      <formula>"Realisee"</formula>
    </cfRule>
    <cfRule type="cellIs" priority="29" operator="equal" dxfId="0">
      <formula>"En stock"</formula>
    </cfRule>
    <cfRule type="cellIs" priority="30" operator="equal" dxfId="0">
      <formula>"Attribue"</formula>
    </cfRule>
    <cfRule type="cellIs" priority="31" operator="equal" dxfId="0">
      <formula>"Mesures en place"</formula>
    </cfRule>
    <cfRule type="cellIs" priority="32" operator="equal" dxfId="0">
      <formula>"Residuel acceptable"</formula>
    </cfRule>
    <cfRule type="cellIs" priority="33" operator="equal" dxfId="0">
      <formula>"Jugement rendu"</formula>
    </cfRule>
    <cfRule type="cellIs" priority="34" operator="equal" dxfId="0">
      <formula>"Abandonne"</formula>
    </cfRule>
    <cfRule type="cellIs" priority="35" operator="equal" dxfId="0">
      <formula>"Terminee - Accord"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"Partiellement conforme"</formula>
    </cfRule>
    <cfRule type="cellIs" priority="47" operator="equal" dxfId="1">
      <formula>"En cours de mise en conformite"</formula>
    </cfRule>
    <cfRule type="cellIs" priority="48" operator="equal" dxfId="1">
      <formula>"En cours d'evaluation"</formula>
    </cfRule>
    <cfRule type="cellIs" priority="49" operator="equal" dxfId="1">
      <formula>"Non evalue"</formula>
    </cfRule>
    <cfRule type="cellIs" priority="50" operator="equal" dxfId="1">
      <formula>"Non demarre"</formula>
    </cfRule>
    <cfRule type="cellIs" priority="51" operator="equal" dxfId="1">
      <formula>"En cours d'instruction"</formula>
    </cfRule>
    <cfRule type="cellIs" priority="52" operator="equal" dxfId="1">
      <formula>"En negociation"</formula>
    </cfRule>
    <cfRule type="cellIs" priority="53" operator="equal" dxfId="1">
      <formula>"En mediation"</formula>
    </cfRule>
    <cfRule type="cellIs" priority="54" operator="equal" dxfId="1">
      <formula>"En conciliation"</formula>
    </cfRule>
    <cfRule type="cellIs" priority="55" operator="equal" dxfId="1">
      <formula>"En attente audience"</formula>
    </cfRule>
    <cfRule type="cellIs" priority="56" operator="equal" dxfId="1">
      <formula>"En attente jugement"</formula>
    </cfRule>
    <cfRule type="cellIs" priority="57" operator="equal" dxfId="1">
      <formula>"En appel"</formula>
    </cfRule>
    <cfRule type="cellIs" priority="58" operator="equal" dxfId="1">
      <formula>"En preparation"</formula>
    </cfRule>
    <cfRule type="cellIs" priority="59" operator="equal" dxfId="1">
      <formula>"Reporte"</formula>
    </cfRule>
    <cfRule type="cellIs" priority="60" operator="equal" dxfId="1">
      <formula>"En attente reponse"</formula>
    </cfRule>
    <cfRule type="cellIs" priority="61" operator="equal" dxfId="1">
      <formula>"En attente validation"</formula>
    </cfRule>
    <cfRule type="cellIs" priority="62" operator="equal" dxfId="1">
      <formula>"Contestee"</formula>
    </cfRule>
    <cfRule type="cellIs" priority="63" operator="equal" dxfId="1">
      <formula>"Escaladee"</formula>
    </cfRule>
    <cfRule type="cellIs" priority="64" operator="equal" dxfId="2">
      <formula>"Non conforme"</formula>
    </cfRule>
    <cfRule type="cellIs" priority="65" operator="equal" dxfId="2">
      <formula>"Rejete"</formula>
    </cfRule>
    <cfRule type="cellIs" priority="66" operator="equal" dxfId="2">
      <formula>"Rejetee"</formula>
    </cfRule>
    <cfRule type="cellIs" priority="67" operator="equal" dxfId="2">
      <formula>"Resilie"</formula>
    </cfRule>
    <cfRule type="cellIs" priority="68" operator="equal" dxfId="2">
      <formula>"Annule"</formula>
    </cfRule>
    <cfRule type="cellIs" priority="69" operator="equal" dxfId="2">
      <formula>"Annulee"</formula>
    </cfRule>
    <cfRule type="cellIs" priority="70" operator="equal" dxfId="2">
      <formula>"Refuse"</formula>
    </cfRule>
    <cfRule type="cellIs" priority="71" operator="equal" dxfId="2">
      <formula>"Non justifie"</formula>
    </cfRule>
    <cfRule type="cellIs" priority="72" operator="equal" dxfId="2">
      <formula>"Inaptitude"</formula>
    </cfRule>
    <cfRule type="cellIs" priority="73" operator="equal" dxfId="2">
      <formula>"Non satisfait"</formula>
    </cfRule>
    <cfRule type="cellIs" priority="74" operator="equal" dxfId="2">
      <formula>"Echoue"</formula>
    </cfRule>
    <cfRule type="cellIs" priority="75" operator="equal" dxfId="2">
      <formula>"Echouee"</formula>
    </cfRule>
    <cfRule type="cellIs" priority="76" operator="equal" dxfId="2">
      <formula>"Revoque"</formula>
    </cfRule>
    <cfRule type="cellIs" priority="77" operator="equal" dxfId="2">
      <formula>"Abandonne"</formula>
    </cfRule>
    <cfRule type="cellIs" priority="78" operator="equal" dxfId="2">
      <formula>"Rejetee"</formula>
    </cfRule>
    <cfRule type="cellIs" priority="79" operator="equal" dxfId="2">
      <formula>"Non conforme"</formula>
    </cfRule>
    <cfRule type="cellIs" priority="80" operator="equal" dxfId="2">
      <formula>"Critique"</formula>
    </cfRule>
  </conditionalFormatting>
  <conditionalFormatting sqref="B10:B109">
    <cfRule type="expression" priority="81" dxfId="3">
      <formula>AND($C10="",$C9&lt;&gt;"")</formula>
    </cfRule>
  </conditionalFormatting>
  <conditionalFormatting sqref="C10:C109">
    <cfRule type="expression" priority="82" dxfId="3">
      <formula>AND($C10="",$C9&lt;&gt;"")</formula>
    </cfRule>
  </conditionalFormatting>
  <conditionalFormatting sqref="D10:D109">
    <cfRule type="expression" priority="83" dxfId="3">
      <formula>AND($C10="",$C9&lt;&gt;"")</formula>
    </cfRule>
  </conditionalFormatting>
  <conditionalFormatting sqref="E10:E109">
    <cfRule type="expression" priority="84" dxfId="3">
      <formula>AND($C10="",$C9&lt;&gt;"")</formula>
    </cfRule>
  </conditionalFormatting>
  <conditionalFormatting sqref="F10:F109">
    <cfRule type="expression" priority="85" dxfId="3">
      <formula>AND($C10="",$C9&lt;&gt;"")</formula>
    </cfRule>
  </conditionalFormatting>
  <conditionalFormatting sqref="G10:G109">
    <cfRule type="expression" priority="86" dxfId="3">
      <formula>AND($C10="",$C9&lt;&gt;"")</formula>
    </cfRule>
  </conditionalFormatting>
  <conditionalFormatting sqref="H10:H109">
    <cfRule type="expression" priority="87" dxfId="3">
      <formula>AND($C10="",$C9&lt;&gt;"")</formula>
    </cfRule>
  </conditionalFormatting>
  <conditionalFormatting sqref="I10:I109">
    <cfRule type="expression" priority="88" dxfId="3">
      <formula>AND($C10="",$C9&lt;&gt;"")</formula>
    </cfRule>
  </conditionalFormatting>
  <conditionalFormatting sqref="J10:J109">
    <cfRule type="expression" priority="89" dxfId="3">
      <formula>AND($C10="",$C9&lt;&gt;"")</formula>
    </cfRule>
  </conditionalFormatting>
  <conditionalFormatting sqref="K10:K109">
    <cfRule type="expression" priority="90" dxfId="3">
      <formula>AND($C10="",$C9&lt;&gt;"")</formula>
    </cfRule>
  </conditionalFormatting>
  <conditionalFormatting sqref="L10:L109">
    <cfRule type="expression" priority="9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'_Lists'!$B$2:$B$13</formula1>
    </dataValidation>
    <dataValidation sqref="H5:H109" showDropDown="0" showInputMessage="0" showErrorMessage="0" allowBlank="1" errorTitle="Erreur" error="Valeur invalide" promptTitle="Liste" prompt="Choisir dans la liste" type="list">
      <formula1>'_Lists'!$C$2:$C$8</formula1>
    </dataValidation>
    <dataValidation sqref="L5:L109" showDropDown="0" showInputMessage="0" showErrorMessage="0" allowBlank="1" errorTitle="Erreur" error="Valeur invalide" promptTitle="Liste" prompt="Choisir dans la liste" type="list">
      <formula1>'_Lists'!$I$2:$I$8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22" customWidth="1" min="4" max="4"/>
    <col width="16" customWidth="1" min="5" max="5"/>
    <col width="16" customWidth="1" min="6" max="6"/>
    <col width="14" customWidth="1" min="7" max="7"/>
    <col width="20" customWidth="1" min="8" max="8"/>
    <col width="22" customWidth="1" min="9" max="9"/>
    <col width="16" customWidth="1" min="10" max="10"/>
    <col width="18" customWidth="1" min="11" max="11"/>
    <col width="14" customWidth="1" min="12" max="12"/>
  </cols>
  <sheetData>
    <row r="1" ht="15" customHeight="1"/>
    <row r="2" ht="32" customHeight="1">
      <c r="B2" s="1" t="inlineStr">
        <is>
          <t>CALENDRIER DES ECHEANCES LEGALES &amp; DECLARATIVES (#130)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Obligation Legale</t>
        </is>
      </c>
      <c r="D4" s="11" t="inlineStr">
        <is>
          <t>Domaine</t>
        </is>
      </c>
      <c r="E4" s="11" t="inlineStr">
        <is>
          <t>Frequence</t>
        </is>
      </c>
      <c r="F4" s="11" t="inlineStr">
        <is>
          <t>Echeance Prochaine</t>
        </is>
      </c>
      <c r="G4" s="11" t="inlineStr">
        <is>
          <t>Jours Restants</t>
        </is>
      </c>
      <c r="H4" s="11" t="inlineStr">
        <is>
          <t>Responsable</t>
        </is>
      </c>
      <c r="I4" s="11" t="inlineStr">
        <is>
          <t>Montant Estime (FCFA)</t>
        </is>
      </c>
      <c r="J4" s="11" t="inlineStr">
        <is>
          <t>Date Declaration</t>
        </is>
      </c>
      <c r="K4" s="11" t="inlineStr">
        <is>
          <t>N° Reference</t>
        </is>
      </c>
      <c r="L4" s="11" t="inlineStr">
        <is>
          <t>Statut</t>
        </is>
      </c>
    </row>
    <row r="5" ht="22" customHeight="1">
      <c r="B5" s="12" t="inlineStr">
        <is>
          <t>CEL-001</t>
        </is>
      </c>
      <c r="C5" s="12" t="inlineStr">
        <is>
          <t>Declaration CNPS cotisations</t>
        </is>
      </c>
      <c r="D5" s="12" t="inlineStr">
        <is>
          <t>CNPS</t>
        </is>
      </c>
      <c r="E5" s="12" t="inlineStr">
        <is>
          <t>Mensuelle</t>
        </is>
      </c>
      <c r="F5" s="25" t="n">
        <v>45853</v>
      </c>
      <c r="G5" s="12" t="n"/>
      <c r="H5" s="12" t="inlineStr">
        <is>
          <t>Comptable senior</t>
        </is>
      </c>
      <c r="I5" s="18" t="n">
        <v>2850000</v>
      </c>
      <c r="J5" s="25" t="n"/>
      <c r="K5" s="12" t="inlineStr">
        <is>
          <t>CNPS-2025-06</t>
        </is>
      </c>
      <c r="L5" s="12" t="inlineStr">
        <is>
          <t>En cours</t>
        </is>
      </c>
    </row>
    <row r="6" ht="22" customHeight="1">
      <c r="B6" s="14" t="inlineStr">
        <is>
          <t>CEL-002</t>
        </is>
      </c>
      <c r="C6" s="14" t="inlineStr">
        <is>
          <t>Bulletin de paie mensuel</t>
        </is>
      </c>
      <c r="D6" s="14" t="inlineStr">
        <is>
          <t>Droit du travail</t>
        </is>
      </c>
      <c r="E6" s="14" t="inlineStr">
        <is>
          <t>Mensuelle</t>
        </is>
      </c>
      <c r="F6" s="26" t="n">
        <v>45869</v>
      </c>
      <c r="G6" s="14" t="n"/>
      <c r="H6" s="14" t="inlineStr">
        <is>
          <t>DAF</t>
        </is>
      </c>
      <c r="I6" s="19" t="n">
        <v>0</v>
      </c>
      <c r="J6" s="26" t="n"/>
      <c r="K6" s="14" t="n"/>
      <c r="L6" s="14" t="inlineStr">
        <is>
          <t>En cours</t>
        </is>
      </c>
    </row>
    <row r="7" ht="22" customHeight="1">
      <c r="B7" s="12" t="inlineStr">
        <is>
          <t>CEL-003</t>
        </is>
      </c>
      <c r="C7" s="12" t="inlineStr">
        <is>
          <t>Bilan social annuel</t>
        </is>
      </c>
      <c r="D7" s="12" t="inlineStr">
        <is>
          <t>Reglement interieur</t>
        </is>
      </c>
      <c r="E7" s="12" t="inlineStr">
        <is>
          <t>Annuelle</t>
        </is>
      </c>
      <c r="F7" s="25" t="n">
        <v>46112</v>
      </c>
      <c r="G7" s="12" t="n"/>
      <c r="H7" s="12" t="inlineStr">
        <is>
          <t>DRH</t>
        </is>
      </c>
      <c r="I7" s="18" t="n">
        <v>0</v>
      </c>
      <c r="J7" s="25" t="n"/>
      <c r="K7" s="12" t="inlineStr">
        <is>
          <t>BS-2025</t>
        </is>
      </c>
      <c r="L7" s="12" t="inlineStr">
        <is>
          <t>En cours</t>
        </is>
      </c>
    </row>
    <row r="8" ht="22" customHeight="1">
      <c r="B8" s="14" t="inlineStr">
        <is>
          <t>CEL-004</t>
        </is>
      </c>
      <c r="C8" s="14" t="inlineStr">
        <is>
          <t>Taxe apprentissage</t>
        </is>
      </c>
      <c r="D8" s="14" t="inlineStr">
        <is>
          <t>Legislation fiscale</t>
        </is>
      </c>
      <c r="E8" s="14" t="inlineStr">
        <is>
          <t>Annuelle</t>
        </is>
      </c>
      <c r="F8" s="26" t="n">
        <v>45961</v>
      </c>
      <c r="G8" s="14" t="n"/>
      <c r="H8" s="14" t="inlineStr">
        <is>
          <t>DAF</t>
        </is>
      </c>
      <c r="I8" s="19" t="n">
        <v>350000</v>
      </c>
      <c r="J8" s="26" t="n"/>
      <c r="K8" s="14" t="inlineStr">
        <is>
          <t>TAXA-2025</t>
        </is>
      </c>
      <c r="L8" s="14" t="inlineStr">
        <is>
          <t>En cours</t>
        </is>
      </c>
    </row>
    <row r="9" ht="22" customHeight="1">
      <c r="B9" s="12" t="inlineStr">
        <is>
          <t>CEL-005</t>
        </is>
      </c>
      <c r="C9" s="12" t="inlineStr">
        <is>
          <t>Visite medicale periodique</t>
        </is>
      </c>
      <c r="D9" s="12" t="inlineStr">
        <is>
          <t>Droit du travail</t>
        </is>
      </c>
      <c r="E9" s="12" t="inlineStr">
        <is>
          <t>Annuelle</t>
        </is>
      </c>
      <c r="F9" s="25" t="n">
        <v>45930</v>
      </c>
      <c r="G9" s="12" t="n"/>
      <c r="H9" s="12" t="inlineStr">
        <is>
          <t>DRH</t>
        </is>
      </c>
      <c r="I9" s="18" t="n">
        <v>180000</v>
      </c>
      <c r="J9" s="25" t="n"/>
      <c r="K9" s="12" t="inlineStr">
        <is>
          <t>VM-2025</t>
        </is>
      </c>
      <c r="L9" s="12" t="inlineStr">
        <is>
          <t>En cours</t>
        </is>
      </c>
    </row>
    <row r="10" ht="22" customHeight="1">
      <c r="B10" s="16">
        <f>IF(C10="","CEL-"&amp;TEXT(COUNTA($C$5:C10),"000"))</f>
        <v/>
      </c>
      <c r="C10" s="14" t="n"/>
      <c r="D10" s="14" t="n"/>
      <c r="E10" s="14" t="n"/>
      <c r="F10" s="26" t="n"/>
      <c r="G10" s="14">
        <f>IF(F10="","",F10-TODAY())</f>
        <v/>
      </c>
      <c r="H10" s="14" t="n"/>
      <c r="I10" s="19" t="n"/>
      <c r="J10" s="26" t="n"/>
      <c r="K10" s="14" t="n"/>
      <c r="L10" s="14" t="n"/>
    </row>
    <row r="11" ht="22" customHeight="1">
      <c r="B11" s="17">
        <f>IF(C11="","CEL-"&amp;TEXT(COUNTA($C$5:C11),"000"))</f>
        <v/>
      </c>
      <c r="C11" s="12" t="n"/>
      <c r="D11" s="12" t="n"/>
      <c r="E11" s="12" t="n"/>
      <c r="F11" s="25" t="n"/>
      <c r="G11" s="12">
        <f>IF(F11="","",F11-TODAY())</f>
        <v/>
      </c>
      <c r="H11" s="12" t="n"/>
      <c r="I11" s="18" t="n"/>
      <c r="J11" s="25" t="n"/>
      <c r="K11" s="12" t="n"/>
      <c r="L11" s="12" t="n"/>
    </row>
    <row r="12" ht="22" customHeight="1">
      <c r="B12" s="16">
        <f>IF(C12="","CEL-"&amp;TEXT(COUNTA($C$5:C12),"000"))</f>
        <v/>
      </c>
      <c r="C12" s="14" t="n"/>
      <c r="D12" s="14" t="n"/>
      <c r="E12" s="14" t="n"/>
      <c r="F12" s="26" t="n"/>
      <c r="G12" s="14">
        <f>IF(F12="","",F12-TODAY())</f>
        <v/>
      </c>
      <c r="H12" s="14" t="n"/>
      <c r="I12" s="19" t="n"/>
      <c r="J12" s="26" t="n"/>
      <c r="K12" s="14" t="n"/>
      <c r="L12" s="14" t="n"/>
    </row>
    <row r="13" ht="22" customHeight="1">
      <c r="B13" s="17">
        <f>IF(C13="","CEL-"&amp;TEXT(COUNTA($C$5:C13),"000"))</f>
        <v/>
      </c>
      <c r="C13" s="12" t="n"/>
      <c r="D13" s="12" t="n"/>
      <c r="E13" s="12" t="n"/>
      <c r="F13" s="25" t="n"/>
      <c r="G13" s="12">
        <f>IF(F13="","",F13-TODAY())</f>
        <v/>
      </c>
      <c r="H13" s="12" t="n"/>
      <c r="I13" s="18" t="n"/>
      <c r="J13" s="25" t="n"/>
      <c r="K13" s="12" t="n"/>
      <c r="L13" s="12" t="n"/>
    </row>
    <row r="14" ht="22" customHeight="1">
      <c r="B14" s="16">
        <f>IF(C14="","CEL-"&amp;TEXT(COUNTA($C$5:C14),"000"))</f>
        <v/>
      </c>
      <c r="C14" s="14" t="n"/>
      <c r="D14" s="14" t="n"/>
      <c r="E14" s="14" t="n"/>
      <c r="F14" s="26" t="n"/>
      <c r="G14" s="14">
        <f>IF(F14="","",F14-TODAY())</f>
        <v/>
      </c>
      <c r="H14" s="14" t="n"/>
      <c r="I14" s="19" t="n"/>
      <c r="J14" s="26" t="n"/>
      <c r="K14" s="14" t="n"/>
      <c r="L14" s="14" t="n"/>
    </row>
    <row r="15" ht="22" customHeight="1">
      <c r="B15" s="17">
        <f>IF(C15="","CEL-"&amp;TEXT(COUNTA($C$5:C15),"000"))</f>
        <v/>
      </c>
      <c r="C15" s="12" t="n"/>
      <c r="D15" s="12" t="n"/>
      <c r="E15" s="12" t="n"/>
      <c r="F15" s="25" t="n"/>
      <c r="G15" s="12">
        <f>IF(F15="","",F15-TODAY())</f>
        <v/>
      </c>
      <c r="H15" s="12" t="n"/>
      <c r="I15" s="18" t="n"/>
      <c r="J15" s="25" t="n"/>
      <c r="K15" s="12" t="n"/>
      <c r="L15" s="12" t="n"/>
    </row>
    <row r="16" ht="22" customHeight="1">
      <c r="B16" s="16">
        <f>IF(C16="","CEL-"&amp;TEXT(COUNTA($C$5:C16),"000"))</f>
        <v/>
      </c>
      <c r="C16" s="14" t="n"/>
      <c r="D16" s="14" t="n"/>
      <c r="E16" s="14" t="n"/>
      <c r="F16" s="26" t="n"/>
      <c r="G16" s="14">
        <f>IF(F16="","",F16-TODAY())</f>
        <v/>
      </c>
      <c r="H16" s="14" t="n"/>
      <c r="I16" s="19" t="n"/>
      <c r="J16" s="26" t="n"/>
      <c r="K16" s="14" t="n"/>
      <c r="L16" s="14" t="n"/>
    </row>
    <row r="17" ht="22" customHeight="1">
      <c r="B17" s="17">
        <f>IF(C17="","CEL-"&amp;TEXT(COUNTA($C$5:C17),"000"))</f>
        <v/>
      </c>
      <c r="C17" s="12" t="n"/>
      <c r="D17" s="12" t="n"/>
      <c r="E17" s="12" t="n"/>
      <c r="F17" s="25" t="n"/>
      <c r="G17" s="12">
        <f>IF(F17="","",F17-TODAY())</f>
        <v/>
      </c>
      <c r="H17" s="12" t="n"/>
      <c r="I17" s="18" t="n"/>
      <c r="J17" s="25" t="n"/>
      <c r="K17" s="12" t="n"/>
      <c r="L17" s="12" t="n"/>
    </row>
    <row r="18" ht="22" customHeight="1">
      <c r="B18" s="16">
        <f>IF(C18="","CEL-"&amp;TEXT(COUNTA($C$5:C18),"000"))</f>
        <v/>
      </c>
      <c r="C18" s="14" t="n"/>
      <c r="D18" s="14" t="n"/>
      <c r="E18" s="14" t="n"/>
      <c r="F18" s="26" t="n"/>
      <c r="G18" s="14">
        <f>IF(F18="","",F18-TODAY())</f>
        <v/>
      </c>
      <c r="H18" s="14" t="n"/>
      <c r="I18" s="19" t="n"/>
      <c r="J18" s="26" t="n"/>
      <c r="K18" s="14" t="n"/>
      <c r="L18" s="14" t="n"/>
    </row>
    <row r="19" ht="22" customHeight="1">
      <c r="B19" s="17">
        <f>IF(C19="","CEL-"&amp;TEXT(COUNTA($C$5:C19),"000"))</f>
        <v/>
      </c>
      <c r="C19" s="12" t="n"/>
      <c r="D19" s="12" t="n"/>
      <c r="E19" s="12" t="n"/>
      <c r="F19" s="25" t="n"/>
      <c r="G19" s="12">
        <f>IF(F19="","",F19-TODAY())</f>
        <v/>
      </c>
      <c r="H19" s="12" t="n"/>
      <c r="I19" s="18" t="n"/>
      <c r="J19" s="25" t="n"/>
      <c r="K19" s="12" t="n"/>
      <c r="L19" s="12" t="n"/>
    </row>
    <row r="20" ht="22" customHeight="1">
      <c r="B20" s="16">
        <f>IF(C20="","CEL-"&amp;TEXT(COUNTA($C$5:C20),"000"))</f>
        <v/>
      </c>
      <c r="C20" s="14" t="n"/>
      <c r="D20" s="14" t="n"/>
      <c r="E20" s="14" t="n"/>
      <c r="F20" s="26" t="n"/>
      <c r="G20" s="14">
        <f>IF(F20="","",F20-TODAY())</f>
        <v/>
      </c>
      <c r="H20" s="14" t="n"/>
      <c r="I20" s="19" t="n"/>
      <c r="J20" s="26" t="n"/>
      <c r="K20" s="14" t="n"/>
      <c r="L20" s="14" t="n"/>
    </row>
    <row r="21" ht="22" customHeight="1">
      <c r="B21" s="17">
        <f>IF(C21="","CEL-"&amp;TEXT(COUNTA($C$5:C21),"000"))</f>
        <v/>
      </c>
      <c r="C21" s="12" t="n"/>
      <c r="D21" s="12" t="n"/>
      <c r="E21" s="12" t="n"/>
      <c r="F21" s="25" t="n"/>
      <c r="G21" s="12">
        <f>IF(F21="","",F21-TODAY())</f>
        <v/>
      </c>
      <c r="H21" s="12" t="n"/>
      <c r="I21" s="18" t="n"/>
      <c r="J21" s="25" t="n"/>
      <c r="K21" s="12" t="n"/>
      <c r="L21" s="12" t="n"/>
    </row>
    <row r="22" ht="22" customHeight="1">
      <c r="B22" s="16">
        <f>IF(C22="","CEL-"&amp;TEXT(COUNTA($C$5:C22),"000"))</f>
        <v/>
      </c>
      <c r="C22" s="14" t="n"/>
      <c r="D22" s="14" t="n"/>
      <c r="E22" s="14" t="n"/>
      <c r="F22" s="26" t="n"/>
      <c r="G22" s="14">
        <f>IF(F22="","",F22-TODAY())</f>
        <v/>
      </c>
      <c r="H22" s="14" t="n"/>
      <c r="I22" s="19" t="n"/>
      <c r="J22" s="26" t="n"/>
      <c r="K22" s="14" t="n"/>
      <c r="L22" s="14" t="n"/>
    </row>
    <row r="23" ht="22" customHeight="1">
      <c r="B23" s="17">
        <f>IF(C23="","CEL-"&amp;TEXT(COUNTA($C$5:C23),"000"))</f>
        <v/>
      </c>
      <c r="C23" s="12" t="n"/>
      <c r="D23" s="12" t="n"/>
      <c r="E23" s="12" t="n"/>
      <c r="F23" s="25" t="n"/>
      <c r="G23" s="12">
        <f>IF(F23="","",F23-TODAY())</f>
        <v/>
      </c>
      <c r="H23" s="12" t="n"/>
      <c r="I23" s="18" t="n"/>
      <c r="J23" s="25" t="n"/>
      <c r="K23" s="12" t="n"/>
      <c r="L23" s="12" t="n"/>
    </row>
    <row r="24" ht="22" customHeight="1">
      <c r="B24" s="16">
        <f>IF(C24="","CEL-"&amp;TEXT(COUNTA($C$5:C24),"000"))</f>
        <v/>
      </c>
      <c r="C24" s="14" t="n"/>
      <c r="D24" s="14" t="n"/>
      <c r="E24" s="14" t="n"/>
      <c r="F24" s="26" t="n"/>
      <c r="G24" s="14">
        <f>IF(F24="","",F24-TODAY())</f>
        <v/>
      </c>
      <c r="H24" s="14" t="n"/>
      <c r="I24" s="19" t="n"/>
      <c r="J24" s="26" t="n"/>
      <c r="K24" s="14" t="n"/>
      <c r="L24" s="14" t="n"/>
    </row>
    <row r="25" ht="22" customHeight="1">
      <c r="B25" s="17">
        <f>IF(C25="","CEL-"&amp;TEXT(COUNTA($C$5:C25),"000"))</f>
        <v/>
      </c>
      <c r="C25" s="12" t="n"/>
      <c r="D25" s="12" t="n"/>
      <c r="E25" s="12" t="n"/>
      <c r="F25" s="25" t="n"/>
      <c r="G25" s="12">
        <f>IF(F25="","",F25-TODAY())</f>
        <v/>
      </c>
      <c r="H25" s="12" t="n"/>
      <c r="I25" s="18" t="n"/>
      <c r="J25" s="25" t="n"/>
      <c r="K25" s="12" t="n"/>
      <c r="L25" s="12" t="n"/>
    </row>
    <row r="26" ht="22" customHeight="1">
      <c r="B26" s="16">
        <f>IF(C26="","CEL-"&amp;TEXT(COUNTA($C$5:C26),"000"))</f>
        <v/>
      </c>
      <c r="C26" s="14" t="n"/>
      <c r="D26" s="14" t="n"/>
      <c r="E26" s="14" t="n"/>
      <c r="F26" s="26" t="n"/>
      <c r="G26" s="14">
        <f>IF(F26="","",F26-TODAY())</f>
        <v/>
      </c>
      <c r="H26" s="14" t="n"/>
      <c r="I26" s="19" t="n"/>
      <c r="J26" s="26" t="n"/>
      <c r="K26" s="14" t="n"/>
      <c r="L26" s="14" t="n"/>
    </row>
    <row r="27" ht="22" customHeight="1">
      <c r="B27" s="17">
        <f>IF(C27="","CEL-"&amp;TEXT(COUNTA($C$5:C27),"000"))</f>
        <v/>
      </c>
      <c r="C27" s="12" t="n"/>
      <c r="D27" s="12" t="n"/>
      <c r="E27" s="12" t="n"/>
      <c r="F27" s="25" t="n"/>
      <c r="G27" s="12">
        <f>IF(F27="","",F27-TODAY())</f>
        <v/>
      </c>
      <c r="H27" s="12" t="n"/>
      <c r="I27" s="18" t="n"/>
      <c r="J27" s="25" t="n"/>
      <c r="K27" s="12" t="n"/>
      <c r="L27" s="12" t="n"/>
    </row>
    <row r="28" ht="22" customHeight="1">
      <c r="B28" s="16">
        <f>IF(C28="","CEL-"&amp;TEXT(COUNTA($C$5:C28),"000"))</f>
        <v/>
      </c>
      <c r="C28" s="14" t="n"/>
      <c r="D28" s="14" t="n"/>
      <c r="E28" s="14" t="n"/>
      <c r="F28" s="26" t="n"/>
      <c r="G28" s="14">
        <f>IF(F28="","",F28-TODAY())</f>
        <v/>
      </c>
      <c r="H28" s="14" t="n"/>
      <c r="I28" s="19" t="n"/>
      <c r="J28" s="26" t="n"/>
      <c r="K28" s="14" t="n"/>
      <c r="L28" s="14" t="n"/>
    </row>
    <row r="29" ht="22" customHeight="1">
      <c r="B29" s="17">
        <f>IF(C29="","CEL-"&amp;TEXT(COUNTA($C$5:C29),"000"))</f>
        <v/>
      </c>
      <c r="C29" s="12" t="n"/>
      <c r="D29" s="12" t="n"/>
      <c r="E29" s="12" t="n"/>
      <c r="F29" s="25" t="n"/>
      <c r="G29" s="12">
        <f>IF(F29="","",F29-TODAY())</f>
        <v/>
      </c>
      <c r="H29" s="12" t="n"/>
      <c r="I29" s="18" t="n"/>
      <c r="J29" s="25" t="n"/>
      <c r="K29" s="12" t="n"/>
      <c r="L29" s="12" t="n"/>
    </row>
    <row r="30" ht="22" customHeight="1">
      <c r="B30" s="16">
        <f>IF(C30="","CEL-"&amp;TEXT(COUNTA($C$5:C30),"000"))</f>
        <v/>
      </c>
      <c r="C30" s="14" t="n"/>
      <c r="D30" s="14" t="n"/>
      <c r="E30" s="14" t="n"/>
      <c r="F30" s="26" t="n"/>
      <c r="G30" s="14">
        <f>IF(F30="","",F30-TODAY())</f>
        <v/>
      </c>
      <c r="H30" s="14" t="n"/>
      <c r="I30" s="19" t="n"/>
      <c r="J30" s="26" t="n"/>
      <c r="K30" s="14" t="n"/>
      <c r="L30" s="14" t="n"/>
    </row>
    <row r="31" ht="22" customHeight="1">
      <c r="B31" s="17">
        <f>IF(C31="","CEL-"&amp;TEXT(COUNTA($C$5:C31),"000"))</f>
        <v/>
      </c>
      <c r="C31" s="12" t="n"/>
      <c r="D31" s="12" t="n"/>
      <c r="E31" s="12" t="n"/>
      <c r="F31" s="25" t="n"/>
      <c r="G31" s="12">
        <f>IF(F31="","",F31-TODAY())</f>
        <v/>
      </c>
      <c r="H31" s="12" t="n"/>
      <c r="I31" s="18" t="n"/>
      <c r="J31" s="25" t="n"/>
      <c r="K31" s="12" t="n"/>
      <c r="L31" s="12" t="n"/>
    </row>
    <row r="32" ht="22" customHeight="1">
      <c r="B32" s="16">
        <f>IF(C32="","CEL-"&amp;TEXT(COUNTA($C$5:C32),"000"))</f>
        <v/>
      </c>
      <c r="C32" s="14" t="n"/>
      <c r="D32" s="14" t="n"/>
      <c r="E32" s="14" t="n"/>
      <c r="F32" s="26" t="n"/>
      <c r="G32" s="14">
        <f>IF(F32="","",F32-TODAY())</f>
        <v/>
      </c>
      <c r="H32" s="14" t="n"/>
      <c r="I32" s="19" t="n"/>
      <c r="J32" s="26" t="n"/>
      <c r="K32" s="14" t="n"/>
      <c r="L32" s="14" t="n"/>
    </row>
    <row r="33" ht="22" customHeight="1">
      <c r="B33" s="17">
        <f>IF(C33="","CEL-"&amp;TEXT(COUNTA($C$5:C33),"000"))</f>
        <v/>
      </c>
      <c r="C33" s="12" t="n"/>
      <c r="D33" s="12" t="n"/>
      <c r="E33" s="12" t="n"/>
      <c r="F33" s="25" t="n"/>
      <c r="G33" s="12">
        <f>IF(F33="","",F33-TODAY())</f>
        <v/>
      </c>
      <c r="H33" s="12" t="n"/>
      <c r="I33" s="18" t="n"/>
      <c r="J33" s="25" t="n"/>
      <c r="K33" s="12" t="n"/>
      <c r="L33" s="12" t="n"/>
    </row>
    <row r="34" ht="22" customHeight="1">
      <c r="B34" s="16">
        <f>IF(C34="","CEL-"&amp;TEXT(COUNTA($C$5:C34),"000"))</f>
        <v/>
      </c>
      <c r="C34" s="14" t="n"/>
      <c r="D34" s="14" t="n"/>
      <c r="E34" s="14" t="n"/>
      <c r="F34" s="26" t="n"/>
      <c r="G34" s="14">
        <f>IF(F34="","",F34-TODAY())</f>
        <v/>
      </c>
      <c r="H34" s="14" t="n"/>
      <c r="I34" s="19" t="n"/>
      <c r="J34" s="26" t="n"/>
      <c r="K34" s="14" t="n"/>
      <c r="L34" s="14" t="n"/>
    </row>
    <row r="35" ht="22" customHeight="1">
      <c r="B35" s="17">
        <f>IF(C35="","CEL-"&amp;TEXT(COUNTA($C$5:C35),"000"))</f>
        <v/>
      </c>
      <c r="C35" s="12" t="n"/>
      <c r="D35" s="12" t="n"/>
      <c r="E35" s="12" t="n"/>
      <c r="F35" s="25" t="n"/>
      <c r="G35" s="12">
        <f>IF(F35="","",F35-TODAY())</f>
        <v/>
      </c>
      <c r="H35" s="12" t="n"/>
      <c r="I35" s="18" t="n"/>
      <c r="J35" s="25" t="n"/>
      <c r="K35" s="12" t="n"/>
      <c r="L35" s="12" t="n"/>
    </row>
    <row r="36" ht="22" customHeight="1">
      <c r="B36" s="16">
        <f>IF(C36="","CEL-"&amp;TEXT(COUNTA($C$5:C36),"000"))</f>
        <v/>
      </c>
      <c r="C36" s="14" t="n"/>
      <c r="D36" s="14" t="n"/>
      <c r="E36" s="14" t="n"/>
      <c r="F36" s="26" t="n"/>
      <c r="G36" s="14">
        <f>IF(F36="","",F36-TODAY())</f>
        <v/>
      </c>
      <c r="H36" s="14" t="n"/>
      <c r="I36" s="19" t="n"/>
      <c r="J36" s="26" t="n"/>
      <c r="K36" s="14" t="n"/>
      <c r="L36" s="14" t="n"/>
    </row>
    <row r="37" ht="22" customHeight="1">
      <c r="B37" s="17">
        <f>IF(C37="","CEL-"&amp;TEXT(COUNTA($C$5:C37),"000"))</f>
        <v/>
      </c>
      <c r="C37" s="12" t="n"/>
      <c r="D37" s="12" t="n"/>
      <c r="E37" s="12" t="n"/>
      <c r="F37" s="25" t="n"/>
      <c r="G37" s="12">
        <f>IF(F37="","",F37-TODAY())</f>
        <v/>
      </c>
      <c r="H37" s="12" t="n"/>
      <c r="I37" s="18" t="n"/>
      <c r="J37" s="25" t="n"/>
      <c r="K37" s="12" t="n"/>
      <c r="L37" s="12" t="n"/>
    </row>
    <row r="38" ht="22" customHeight="1">
      <c r="B38" s="16">
        <f>IF(C38="","CEL-"&amp;TEXT(COUNTA($C$5:C38),"000"))</f>
        <v/>
      </c>
      <c r="C38" s="14" t="n"/>
      <c r="D38" s="14" t="n"/>
      <c r="E38" s="14" t="n"/>
      <c r="F38" s="26" t="n"/>
      <c r="G38" s="14">
        <f>IF(F38="","",F38-TODAY())</f>
        <v/>
      </c>
      <c r="H38" s="14" t="n"/>
      <c r="I38" s="19" t="n"/>
      <c r="J38" s="26" t="n"/>
      <c r="K38" s="14" t="n"/>
      <c r="L38" s="14" t="n"/>
    </row>
    <row r="39" ht="22" customHeight="1">
      <c r="B39" s="17">
        <f>IF(C39="","CEL-"&amp;TEXT(COUNTA($C$5:C39),"000"))</f>
        <v/>
      </c>
      <c r="C39" s="12" t="n"/>
      <c r="D39" s="12" t="n"/>
      <c r="E39" s="12" t="n"/>
      <c r="F39" s="25" t="n"/>
      <c r="G39" s="12">
        <f>IF(F39="","",F39-TODAY())</f>
        <v/>
      </c>
      <c r="H39" s="12" t="n"/>
      <c r="I39" s="18" t="n"/>
      <c r="J39" s="25" t="n"/>
      <c r="K39" s="12" t="n"/>
      <c r="L39" s="12" t="n"/>
    </row>
    <row r="40" ht="22" customHeight="1">
      <c r="B40" s="16">
        <f>IF(C40="","CEL-"&amp;TEXT(COUNTA($C$5:C40),"000"))</f>
        <v/>
      </c>
      <c r="C40" s="14" t="n"/>
      <c r="D40" s="14" t="n"/>
      <c r="E40" s="14" t="n"/>
      <c r="F40" s="26" t="n"/>
      <c r="G40" s="14">
        <f>IF(F40="","",F40-TODAY())</f>
        <v/>
      </c>
      <c r="H40" s="14" t="n"/>
      <c r="I40" s="19" t="n"/>
      <c r="J40" s="26" t="n"/>
      <c r="K40" s="14" t="n"/>
      <c r="L40" s="14" t="n"/>
    </row>
    <row r="41" ht="22" customHeight="1">
      <c r="B41" s="17">
        <f>IF(C41="","CEL-"&amp;TEXT(COUNTA($C$5:C41),"000"))</f>
        <v/>
      </c>
      <c r="C41" s="12" t="n"/>
      <c r="D41" s="12" t="n"/>
      <c r="E41" s="12" t="n"/>
      <c r="F41" s="25" t="n"/>
      <c r="G41" s="12">
        <f>IF(F41="","",F41-TODAY())</f>
        <v/>
      </c>
      <c r="H41" s="12" t="n"/>
      <c r="I41" s="18" t="n"/>
      <c r="J41" s="25" t="n"/>
      <c r="K41" s="12" t="n"/>
      <c r="L41" s="12" t="n"/>
    </row>
    <row r="42" ht="22" customHeight="1">
      <c r="B42" s="16">
        <f>IF(C42="","CEL-"&amp;TEXT(COUNTA($C$5:C42),"000"))</f>
        <v/>
      </c>
      <c r="C42" s="14" t="n"/>
      <c r="D42" s="14" t="n"/>
      <c r="E42" s="14" t="n"/>
      <c r="F42" s="26" t="n"/>
      <c r="G42" s="14">
        <f>IF(F42="","",F42-TODAY())</f>
        <v/>
      </c>
      <c r="H42" s="14" t="n"/>
      <c r="I42" s="19" t="n"/>
      <c r="J42" s="26" t="n"/>
      <c r="K42" s="14" t="n"/>
      <c r="L42" s="14" t="n"/>
    </row>
    <row r="43" ht="22" customHeight="1">
      <c r="B43" s="17">
        <f>IF(C43="","CEL-"&amp;TEXT(COUNTA($C$5:C43),"000"))</f>
        <v/>
      </c>
      <c r="C43" s="12" t="n"/>
      <c r="D43" s="12" t="n"/>
      <c r="E43" s="12" t="n"/>
      <c r="F43" s="25" t="n"/>
      <c r="G43" s="12">
        <f>IF(F43="","",F43-TODAY())</f>
        <v/>
      </c>
      <c r="H43" s="12" t="n"/>
      <c r="I43" s="18" t="n"/>
      <c r="J43" s="25" t="n"/>
      <c r="K43" s="12" t="n"/>
      <c r="L43" s="12" t="n"/>
    </row>
    <row r="44" ht="22" customHeight="1">
      <c r="B44" s="16">
        <f>IF(C44="","CEL-"&amp;TEXT(COUNTA($C$5:C44),"000"))</f>
        <v/>
      </c>
      <c r="C44" s="14" t="n"/>
      <c r="D44" s="14" t="n"/>
      <c r="E44" s="14" t="n"/>
      <c r="F44" s="26" t="n"/>
      <c r="G44" s="14">
        <f>IF(F44="","",F44-TODAY())</f>
        <v/>
      </c>
      <c r="H44" s="14" t="n"/>
      <c r="I44" s="19" t="n"/>
      <c r="J44" s="26" t="n"/>
      <c r="K44" s="14" t="n"/>
      <c r="L44" s="14" t="n"/>
    </row>
    <row r="45" ht="22" customHeight="1">
      <c r="B45" s="17">
        <f>IF(C45="","CEL-"&amp;TEXT(COUNTA($C$5:C45),"000"))</f>
        <v/>
      </c>
      <c r="C45" s="12" t="n"/>
      <c r="D45" s="12" t="n"/>
      <c r="E45" s="12" t="n"/>
      <c r="F45" s="25" t="n"/>
      <c r="G45" s="12">
        <f>IF(F45="","",F45-TODAY())</f>
        <v/>
      </c>
      <c r="H45" s="12" t="n"/>
      <c r="I45" s="18" t="n"/>
      <c r="J45" s="25" t="n"/>
      <c r="K45" s="12" t="n"/>
      <c r="L45" s="12" t="n"/>
    </row>
    <row r="46" ht="22" customHeight="1">
      <c r="B46" s="16">
        <f>IF(C46="","CEL-"&amp;TEXT(COUNTA($C$5:C46),"000"))</f>
        <v/>
      </c>
      <c r="C46" s="14" t="n"/>
      <c r="D46" s="14" t="n"/>
      <c r="E46" s="14" t="n"/>
      <c r="F46" s="26" t="n"/>
      <c r="G46" s="14">
        <f>IF(F46="","",F46-TODAY())</f>
        <v/>
      </c>
      <c r="H46" s="14" t="n"/>
      <c r="I46" s="19" t="n"/>
      <c r="J46" s="26" t="n"/>
      <c r="K46" s="14" t="n"/>
      <c r="L46" s="14" t="n"/>
    </row>
    <row r="47" ht="22" customHeight="1">
      <c r="B47" s="17">
        <f>IF(C47="","CEL-"&amp;TEXT(COUNTA($C$5:C47),"000"))</f>
        <v/>
      </c>
      <c r="C47" s="12" t="n"/>
      <c r="D47" s="12" t="n"/>
      <c r="E47" s="12" t="n"/>
      <c r="F47" s="25" t="n"/>
      <c r="G47" s="12">
        <f>IF(F47="","",F47-TODAY())</f>
        <v/>
      </c>
      <c r="H47" s="12" t="n"/>
      <c r="I47" s="18" t="n"/>
      <c r="J47" s="25" t="n"/>
      <c r="K47" s="12" t="n"/>
      <c r="L47" s="12" t="n"/>
    </row>
    <row r="48" ht="22" customHeight="1">
      <c r="B48" s="16">
        <f>IF(C48="","CEL-"&amp;TEXT(COUNTA($C$5:C48),"000"))</f>
        <v/>
      </c>
      <c r="C48" s="14" t="n"/>
      <c r="D48" s="14" t="n"/>
      <c r="E48" s="14" t="n"/>
      <c r="F48" s="26" t="n"/>
      <c r="G48" s="14">
        <f>IF(F48="","",F48-TODAY())</f>
        <v/>
      </c>
      <c r="H48" s="14" t="n"/>
      <c r="I48" s="19" t="n"/>
      <c r="J48" s="26" t="n"/>
      <c r="K48" s="14" t="n"/>
      <c r="L48" s="14" t="n"/>
    </row>
    <row r="49" ht="22" customHeight="1">
      <c r="B49" s="17">
        <f>IF(C49="","CEL-"&amp;TEXT(COUNTA($C$5:C49),"000"))</f>
        <v/>
      </c>
      <c r="C49" s="12" t="n"/>
      <c r="D49" s="12" t="n"/>
      <c r="E49" s="12" t="n"/>
      <c r="F49" s="25" t="n"/>
      <c r="G49" s="12">
        <f>IF(F49="","",F49-TODAY())</f>
        <v/>
      </c>
      <c r="H49" s="12" t="n"/>
      <c r="I49" s="18" t="n"/>
      <c r="J49" s="25" t="n"/>
      <c r="K49" s="12" t="n"/>
      <c r="L49" s="12" t="n"/>
    </row>
    <row r="50" ht="22" customHeight="1">
      <c r="B50" s="16">
        <f>IF(C50="","CEL-"&amp;TEXT(COUNTA($C$5:C50),"000"))</f>
        <v/>
      </c>
      <c r="C50" s="14" t="n"/>
      <c r="D50" s="14" t="n"/>
      <c r="E50" s="14" t="n"/>
      <c r="F50" s="26" t="n"/>
      <c r="G50" s="14">
        <f>IF(F50="","",F50-TODAY())</f>
        <v/>
      </c>
      <c r="H50" s="14" t="n"/>
      <c r="I50" s="19" t="n"/>
      <c r="J50" s="26" t="n"/>
      <c r="K50" s="14" t="n"/>
      <c r="L50" s="14" t="n"/>
    </row>
    <row r="51" ht="22" customHeight="1">
      <c r="B51" s="17">
        <f>IF(C51="","CEL-"&amp;TEXT(COUNTA($C$5:C51),"000"))</f>
        <v/>
      </c>
      <c r="C51" s="12" t="n"/>
      <c r="D51" s="12" t="n"/>
      <c r="E51" s="12" t="n"/>
      <c r="F51" s="25" t="n"/>
      <c r="G51" s="12">
        <f>IF(F51="","",F51-TODAY())</f>
        <v/>
      </c>
      <c r="H51" s="12" t="n"/>
      <c r="I51" s="18" t="n"/>
      <c r="J51" s="25" t="n"/>
      <c r="K51" s="12" t="n"/>
      <c r="L51" s="12" t="n"/>
    </row>
    <row r="52" ht="22" customHeight="1">
      <c r="B52" s="16">
        <f>IF(C52="","CEL-"&amp;TEXT(COUNTA($C$5:C52),"000"))</f>
        <v/>
      </c>
      <c r="C52" s="14" t="n"/>
      <c r="D52" s="14" t="n"/>
      <c r="E52" s="14" t="n"/>
      <c r="F52" s="26" t="n"/>
      <c r="G52" s="14">
        <f>IF(F52="","",F52-TODAY())</f>
        <v/>
      </c>
      <c r="H52" s="14" t="n"/>
      <c r="I52" s="19" t="n"/>
      <c r="J52" s="26" t="n"/>
      <c r="K52" s="14" t="n"/>
      <c r="L52" s="14" t="n"/>
    </row>
    <row r="53" ht="22" customHeight="1">
      <c r="B53" s="17">
        <f>IF(C53="","CEL-"&amp;TEXT(COUNTA($C$5:C53),"000"))</f>
        <v/>
      </c>
      <c r="C53" s="12" t="n"/>
      <c r="D53" s="12" t="n"/>
      <c r="E53" s="12" t="n"/>
      <c r="F53" s="25" t="n"/>
      <c r="G53" s="12">
        <f>IF(F53="","",F53-TODAY())</f>
        <v/>
      </c>
      <c r="H53" s="12" t="n"/>
      <c r="I53" s="18" t="n"/>
      <c r="J53" s="25" t="n"/>
      <c r="K53" s="12" t="n"/>
      <c r="L53" s="12" t="n"/>
    </row>
    <row r="54" ht="22" customHeight="1">
      <c r="B54" s="16">
        <f>IF(C54="","CEL-"&amp;TEXT(COUNTA($C$5:C54),"000"))</f>
        <v/>
      </c>
      <c r="C54" s="14" t="n"/>
      <c r="D54" s="14" t="n"/>
      <c r="E54" s="14" t="n"/>
      <c r="F54" s="26" t="n"/>
      <c r="G54" s="14">
        <f>IF(F54="","",F54-TODAY())</f>
        <v/>
      </c>
      <c r="H54" s="14" t="n"/>
      <c r="I54" s="19" t="n"/>
      <c r="J54" s="26" t="n"/>
      <c r="K54" s="14" t="n"/>
      <c r="L54" s="14" t="n"/>
    </row>
    <row r="55" ht="22" customHeight="1">
      <c r="B55" s="17">
        <f>IF(C55="","CEL-"&amp;TEXT(COUNTA($C$5:C55),"000"))</f>
        <v/>
      </c>
      <c r="C55" s="12" t="n"/>
      <c r="D55" s="12" t="n"/>
      <c r="E55" s="12" t="n"/>
      <c r="F55" s="25" t="n"/>
      <c r="G55" s="12">
        <f>IF(F55="","",F55-TODAY())</f>
        <v/>
      </c>
      <c r="H55" s="12" t="n"/>
      <c r="I55" s="18" t="n"/>
      <c r="J55" s="25" t="n"/>
      <c r="K55" s="12" t="n"/>
      <c r="L55" s="12" t="n"/>
    </row>
    <row r="56" ht="22" customHeight="1">
      <c r="B56" s="16">
        <f>IF(C56="","CEL-"&amp;TEXT(COUNTA($C$5:C56),"000"))</f>
        <v/>
      </c>
      <c r="C56" s="14" t="n"/>
      <c r="D56" s="14" t="n"/>
      <c r="E56" s="14" t="n"/>
      <c r="F56" s="26" t="n"/>
      <c r="G56" s="14">
        <f>IF(F56="","",F56-TODAY())</f>
        <v/>
      </c>
      <c r="H56" s="14" t="n"/>
      <c r="I56" s="19" t="n"/>
      <c r="J56" s="26" t="n"/>
      <c r="K56" s="14" t="n"/>
      <c r="L56" s="14" t="n"/>
    </row>
    <row r="57" ht="22" customHeight="1">
      <c r="B57" s="17">
        <f>IF(C57="","CEL-"&amp;TEXT(COUNTA($C$5:C57),"000"))</f>
        <v/>
      </c>
      <c r="C57" s="12" t="n"/>
      <c r="D57" s="12" t="n"/>
      <c r="E57" s="12" t="n"/>
      <c r="F57" s="25" t="n"/>
      <c r="G57" s="12">
        <f>IF(F57="","",F57-TODAY())</f>
        <v/>
      </c>
      <c r="H57" s="12" t="n"/>
      <c r="I57" s="18" t="n"/>
      <c r="J57" s="25" t="n"/>
      <c r="K57" s="12" t="n"/>
      <c r="L57" s="12" t="n"/>
    </row>
    <row r="58" ht="22" customHeight="1">
      <c r="B58" s="16">
        <f>IF(C58="","CEL-"&amp;TEXT(COUNTA($C$5:C58),"000"))</f>
        <v/>
      </c>
      <c r="C58" s="14" t="n"/>
      <c r="D58" s="14" t="n"/>
      <c r="E58" s="14" t="n"/>
      <c r="F58" s="26" t="n"/>
      <c r="G58" s="14">
        <f>IF(F58="","",F58-TODAY())</f>
        <v/>
      </c>
      <c r="H58" s="14" t="n"/>
      <c r="I58" s="19" t="n"/>
      <c r="J58" s="26" t="n"/>
      <c r="K58" s="14" t="n"/>
      <c r="L58" s="14" t="n"/>
    </row>
    <row r="59" ht="22" customHeight="1">
      <c r="B59" s="17">
        <f>IF(C59="","CEL-"&amp;TEXT(COUNTA($C$5:C59),"000"))</f>
        <v/>
      </c>
      <c r="C59" s="12" t="n"/>
      <c r="D59" s="12" t="n"/>
      <c r="E59" s="12" t="n"/>
      <c r="F59" s="25" t="n"/>
      <c r="G59" s="12">
        <f>IF(F59="","",F59-TODAY())</f>
        <v/>
      </c>
      <c r="H59" s="12" t="n"/>
      <c r="I59" s="18" t="n"/>
      <c r="J59" s="25" t="n"/>
      <c r="K59" s="12" t="n"/>
      <c r="L59" s="12" t="n"/>
    </row>
    <row r="60" ht="22" customHeight="1">
      <c r="B60" s="16">
        <f>IF(C60="","CEL-"&amp;TEXT(COUNTA($C$5:C60),"000"))</f>
        <v/>
      </c>
      <c r="C60" s="14" t="n"/>
      <c r="D60" s="14" t="n"/>
      <c r="E60" s="14" t="n"/>
      <c r="F60" s="26" t="n"/>
      <c r="G60" s="14">
        <f>IF(F60="","",F60-TODAY())</f>
        <v/>
      </c>
      <c r="H60" s="14" t="n"/>
      <c r="I60" s="19" t="n"/>
      <c r="J60" s="26" t="n"/>
      <c r="K60" s="14" t="n"/>
      <c r="L60" s="14" t="n"/>
    </row>
    <row r="61" ht="22" customHeight="1">
      <c r="B61" s="17">
        <f>IF(C61="","CEL-"&amp;TEXT(COUNTA($C$5:C61),"000"))</f>
        <v/>
      </c>
      <c r="C61" s="12" t="n"/>
      <c r="D61" s="12" t="n"/>
      <c r="E61" s="12" t="n"/>
      <c r="F61" s="25" t="n"/>
      <c r="G61" s="12">
        <f>IF(F61="","",F61-TODAY())</f>
        <v/>
      </c>
      <c r="H61" s="12" t="n"/>
      <c r="I61" s="18" t="n"/>
      <c r="J61" s="25" t="n"/>
      <c r="K61" s="12" t="n"/>
      <c r="L61" s="12" t="n"/>
    </row>
    <row r="62" ht="22" customHeight="1">
      <c r="B62" s="16">
        <f>IF(C62="","CEL-"&amp;TEXT(COUNTA($C$5:C62),"000"))</f>
        <v/>
      </c>
      <c r="C62" s="14" t="n"/>
      <c r="D62" s="14" t="n"/>
      <c r="E62" s="14" t="n"/>
      <c r="F62" s="26" t="n"/>
      <c r="G62" s="14">
        <f>IF(F62="","",F62-TODAY())</f>
        <v/>
      </c>
      <c r="H62" s="14" t="n"/>
      <c r="I62" s="19" t="n"/>
      <c r="J62" s="26" t="n"/>
      <c r="K62" s="14" t="n"/>
      <c r="L62" s="14" t="n"/>
    </row>
    <row r="63" ht="22" customHeight="1">
      <c r="B63" s="17">
        <f>IF(C63="","CEL-"&amp;TEXT(COUNTA($C$5:C63),"000"))</f>
        <v/>
      </c>
      <c r="C63" s="12" t="n"/>
      <c r="D63" s="12" t="n"/>
      <c r="E63" s="12" t="n"/>
      <c r="F63" s="25" t="n"/>
      <c r="G63" s="12">
        <f>IF(F63="","",F63-TODAY())</f>
        <v/>
      </c>
      <c r="H63" s="12" t="n"/>
      <c r="I63" s="18" t="n"/>
      <c r="J63" s="25" t="n"/>
      <c r="K63" s="12" t="n"/>
      <c r="L63" s="12" t="n"/>
    </row>
    <row r="64" ht="22" customHeight="1">
      <c r="B64" s="16">
        <f>IF(C64="","CEL-"&amp;TEXT(COUNTA($C$5:C64),"000"))</f>
        <v/>
      </c>
      <c r="C64" s="14" t="n"/>
      <c r="D64" s="14" t="n"/>
      <c r="E64" s="14" t="n"/>
      <c r="F64" s="26" t="n"/>
      <c r="G64" s="14">
        <f>IF(F64="","",F64-TODAY())</f>
        <v/>
      </c>
      <c r="H64" s="14" t="n"/>
      <c r="I64" s="19" t="n"/>
      <c r="J64" s="26" t="n"/>
      <c r="K64" s="14" t="n"/>
      <c r="L64" s="14" t="n"/>
    </row>
    <row r="65" ht="22" customHeight="1">
      <c r="B65" s="17">
        <f>IF(C65="","CEL-"&amp;TEXT(COUNTA($C$5:C65),"000"))</f>
        <v/>
      </c>
      <c r="C65" s="12" t="n"/>
      <c r="D65" s="12" t="n"/>
      <c r="E65" s="12" t="n"/>
      <c r="F65" s="25" t="n"/>
      <c r="G65" s="12">
        <f>IF(F65="","",F65-TODAY())</f>
        <v/>
      </c>
      <c r="H65" s="12" t="n"/>
      <c r="I65" s="18" t="n"/>
      <c r="J65" s="25" t="n"/>
      <c r="K65" s="12" t="n"/>
      <c r="L65" s="12" t="n"/>
    </row>
    <row r="66" ht="22" customHeight="1">
      <c r="B66" s="16">
        <f>IF(C66="","CEL-"&amp;TEXT(COUNTA($C$5:C66),"000"))</f>
        <v/>
      </c>
      <c r="C66" s="14" t="n"/>
      <c r="D66" s="14" t="n"/>
      <c r="E66" s="14" t="n"/>
      <c r="F66" s="26" t="n"/>
      <c r="G66" s="14">
        <f>IF(F66="","",F66-TODAY())</f>
        <v/>
      </c>
      <c r="H66" s="14" t="n"/>
      <c r="I66" s="19" t="n"/>
      <c r="J66" s="26" t="n"/>
      <c r="K66" s="14" t="n"/>
      <c r="L66" s="14" t="n"/>
    </row>
    <row r="67" ht="22" customHeight="1">
      <c r="B67" s="17">
        <f>IF(C67="","CEL-"&amp;TEXT(COUNTA($C$5:C67),"000"))</f>
        <v/>
      </c>
      <c r="C67" s="12" t="n"/>
      <c r="D67" s="12" t="n"/>
      <c r="E67" s="12" t="n"/>
      <c r="F67" s="25" t="n"/>
      <c r="G67" s="12">
        <f>IF(F67="","",F67-TODAY())</f>
        <v/>
      </c>
      <c r="H67" s="12" t="n"/>
      <c r="I67" s="18" t="n"/>
      <c r="J67" s="25" t="n"/>
      <c r="K67" s="12" t="n"/>
      <c r="L67" s="12" t="n"/>
    </row>
    <row r="68" ht="22" customHeight="1">
      <c r="B68" s="16">
        <f>IF(C68="","CEL-"&amp;TEXT(COUNTA($C$5:C68),"000"))</f>
        <v/>
      </c>
      <c r="C68" s="14" t="n"/>
      <c r="D68" s="14" t="n"/>
      <c r="E68" s="14" t="n"/>
      <c r="F68" s="26" t="n"/>
      <c r="G68" s="14">
        <f>IF(F68="","",F68-TODAY())</f>
        <v/>
      </c>
      <c r="H68" s="14" t="n"/>
      <c r="I68" s="19" t="n"/>
      <c r="J68" s="26" t="n"/>
      <c r="K68" s="14" t="n"/>
      <c r="L68" s="14" t="n"/>
    </row>
    <row r="69" ht="22" customHeight="1">
      <c r="B69" s="17">
        <f>IF(C69="","CEL-"&amp;TEXT(COUNTA($C$5:C69),"000"))</f>
        <v/>
      </c>
      <c r="C69" s="12" t="n"/>
      <c r="D69" s="12" t="n"/>
      <c r="E69" s="12" t="n"/>
      <c r="F69" s="25" t="n"/>
      <c r="G69" s="12">
        <f>IF(F69="","",F69-TODAY())</f>
        <v/>
      </c>
      <c r="H69" s="12" t="n"/>
      <c r="I69" s="18" t="n"/>
      <c r="J69" s="25" t="n"/>
      <c r="K69" s="12" t="n"/>
      <c r="L69" s="12" t="n"/>
    </row>
    <row r="70" ht="22" customHeight="1">
      <c r="B70" s="16">
        <f>IF(C70="","CEL-"&amp;TEXT(COUNTA($C$5:C70),"000"))</f>
        <v/>
      </c>
      <c r="C70" s="14" t="n"/>
      <c r="D70" s="14" t="n"/>
      <c r="E70" s="14" t="n"/>
      <c r="F70" s="26" t="n"/>
      <c r="G70" s="14">
        <f>IF(F70="","",F70-TODAY())</f>
        <v/>
      </c>
      <c r="H70" s="14" t="n"/>
      <c r="I70" s="19" t="n"/>
      <c r="J70" s="26" t="n"/>
      <c r="K70" s="14" t="n"/>
      <c r="L70" s="14" t="n"/>
    </row>
    <row r="71" ht="22" customHeight="1">
      <c r="B71" s="17">
        <f>IF(C71="","CEL-"&amp;TEXT(COUNTA($C$5:C71),"000"))</f>
        <v/>
      </c>
      <c r="C71" s="12" t="n"/>
      <c r="D71" s="12" t="n"/>
      <c r="E71" s="12" t="n"/>
      <c r="F71" s="25" t="n"/>
      <c r="G71" s="12">
        <f>IF(F71="","",F71-TODAY())</f>
        <v/>
      </c>
      <c r="H71" s="12" t="n"/>
      <c r="I71" s="18" t="n"/>
      <c r="J71" s="25" t="n"/>
      <c r="K71" s="12" t="n"/>
      <c r="L71" s="12" t="n"/>
    </row>
    <row r="72" ht="22" customHeight="1">
      <c r="B72" s="16">
        <f>IF(C72="","CEL-"&amp;TEXT(COUNTA($C$5:C72),"000"))</f>
        <v/>
      </c>
      <c r="C72" s="14" t="n"/>
      <c r="D72" s="14" t="n"/>
      <c r="E72" s="14" t="n"/>
      <c r="F72" s="26" t="n"/>
      <c r="G72" s="14">
        <f>IF(F72="","",F72-TODAY())</f>
        <v/>
      </c>
      <c r="H72" s="14" t="n"/>
      <c r="I72" s="19" t="n"/>
      <c r="J72" s="26" t="n"/>
      <c r="K72" s="14" t="n"/>
      <c r="L72" s="14" t="n"/>
    </row>
    <row r="73" ht="22" customHeight="1">
      <c r="B73" s="17">
        <f>IF(C73="","CEL-"&amp;TEXT(COUNTA($C$5:C73),"000"))</f>
        <v/>
      </c>
      <c r="C73" s="12" t="n"/>
      <c r="D73" s="12" t="n"/>
      <c r="E73" s="12" t="n"/>
      <c r="F73" s="25" t="n"/>
      <c r="G73" s="12">
        <f>IF(F73="","",F73-TODAY())</f>
        <v/>
      </c>
      <c r="H73" s="12" t="n"/>
      <c r="I73" s="18" t="n"/>
      <c r="J73" s="25" t="n"/>
      <c r="K73" s="12" t="n"/>
      <c r="L73" s="12" t="n"/>
    </row>
    <row r="74" ht="22" customHeight="1">
      <c r="B74" s="16">
        <f>IF(C74="","CEL-"&amp;TEXT(COUNTA($C$5:C74),"000"))</f>
        <v/>
      </c>
      <c r="C74" s="14" t="n"/>
      <c r="D74" s="14" t="n"/>
      <c r="E74" s="14" t="n"/>
      <c r="F74" s="26" t="n"/>
      <c r="G74" s="14">
        <f>IF(F74="","",F74-TODAY())</f>
        <v/>
      </c>
      <c r="H74" s="14" t="n"/>
      <c r="I74" s="19" t="n"/>
      <c r="J74" s="26" t="n"/>
      <c r="K74" s="14" t="n"/>
      <c r="L74" s="14" t="n"/>
    </row>
    <row r="75" ht="22" customHeight="1">
      <c r="B75" s="17">
        <f>IF(C75="","CEL-"&amp;TEXT(COUNTA($C$5:C75),"000"))</f>
        <v/>
      </c>
      <c r="C75" s="12" t="n"/>
      <c r="D75" s="12" t="n"/>
      <c r="E75" s="12" t="n"/>
      <c r="F75" s="25" t="n"/>
      <c r="G75" s="12">
        <f>IF(F75="","",F75-TODAY())</f>
        <v/>
      </c>
      <c r="H75" s="12" t="n"/>
      <c r="I75" s="18" t="n"/>
      <c r="J75" s="25" t="n"/>
      <c r="K75" s="12" t="n"/>
      <c r="L75" s="12" t="n"/>
    </row>
    <row r="76" ht="22" customHeight="1">
      <c r="B76" s="16">
        <f>IF(C76="","CEL-"&amp;TEXT(COUNTA($C$5:C76),"000"))</f>
        <v/>
      </c>
      <c r="C76" s="14" t="n"/>
      <c r="D76" s="14" t="n"/>
      <c r="E76" s="14" t="n"/>
      <c r="F76" s="26" t="n"/>
      <c r="G76" s="14">
        <f>IF(F76="","",F76-TODAY())</f>
        <v/>
      </c>
      <c r="H76" s="14" t="n"/>
      <c r="I76" s="19" t="n"/>
      <c r="J76" s="26" t="n"/>
      <c r="K76" s="14" t="n"/>
      <c r="L76" s="14" t="n"/>
    </row>
    <row r="77" ht="22" customHeight="1">
      <c r="B77" s="17">
        <f>IF(C77="","CEL-"&amp;TEXT(COUNTA($C$5:C77),"000"))</f>
        <v/>
      </c>
      <c r="C77" s="12" t="n"/>
      <c r="D77" s="12" t="n"/>
      <c r="E77" s="12" t="n"/>
      <c r="F77" s="25" t="n"/>
      <c r="G77" s="12">
        <f>IF(F77="","",F77-TODAY())</f>
        <v/>
      </c>
      <c r="H77" s="12" t="n"/>
      <c r="I77" s="18" t="n"/>
      <c r="J77" s="25" t="n"/>
      <c r="K77" s="12" t="n"/>
      <c r="L77" s="12" t="n"/>
    </row>
    <row r="78" ht="22" customHeight="1">
      <c r="B78" s="16">
        <f>IF(C78="","CEL-"&amp;TEXT(COUNTA($C$5:C78),"000"))</f>
        <v/>
      </c>
      <c r="C78" s="14" t="n"/>
      <c r="D78" s="14" t="n"/>
      <c r="E78" s="14" t="n"/>
      <c r="F78" s="26" t="n"/>
      <c r="G78" s="14">
        <f>IF(F78="","",F78-TODAY())</f>
        <v/>
      </c>
      <c r="H78" s="14" t="n"/>
      <c r="I78" s="19" t="n"/>
      <c r="J78" s="26" t="n"/>
      <c r="K78" s="14" t="n"/>
      <c r="L78" s="14" t="n"/>
    </row>
    <row r="79" ht="22" customHeight="1">
      <c r="B79" s="17">
        <f>IF(C79="","CEL-"&amp;TEXT(COUNTA($C$5:C79),"000"))</f>
        <v/>
      </c>
      <c r="C79" s="12" t="n"/>
      <c r="D79" s="12" t="n"/>
      <c r="E79" s="12" t="n"/>
      <c r="F79" s="25" t="n"/>
      <c r="G79" s="12">
        <f>IF(F79="","",F79-TODAY())</f>
        <v/>
      </c>
      <c r="H79" s="12" t="n"/>
      <c r="I79" s="18" t="n"/>
      <c r="J79" s="25" t="n"/>
      <c r="K79" s="12" t="n"/>
      <c r="L79" s="12" t="n"/>
    </row>
    <row r="80" ht="22" customHeight="1">
      <c r="B80" s="16">
        <f>IF(C80="","CEL-"&amp;TEXT(COUNTA($C$5:C80),"000"))</f>
        <v/>
      </c>
      <c r="C80" s="14" t="n"/>
      <c r="D80" s="14" t="n"/>
      <c r="E80" s="14" t="n"/>
      <c r="F80" s="26" t="n"/>
      <c r="G80" s="14">
        <f>IF(F80="","",F80-TODAY())</f>
        <v/>
      </c>
      <c r="H80" s="14" t="n"/>
      <c r="I80" s="19" t="n"/>
      <c r="J80" s="26" t="n"/>
      <c r="K80" s="14" t="n"/>
      <c r="L80" s="14" t="n"/>
    </row>
    <row r="81" ht="22" customHeight="1">
      <c r="B81" s="17">
        <f>IF(C81="","CEL-"&amp;TEXT(COUNTA($C$5:C81),"000"))</f>
        <v/>
      </c>
      <c r="C81" s="12" t="n"/>
      <c r="D81" s="12" t="n"/>
      <c r="E81" s="12" t="n"/>
      <c r="F81" s="25" t="n"/>
      <c r="G81" s="12">
        <f>IF(F81="","",F81-TODAY())</f>
        <v/>
      </c>
      <c r="H81" s="12" t="n"/>
      <c r="I81" s="18" t="n"/>
      <c r="J81" s="25" t="n"/>
      <c r="K81" s="12" t="n"/>
      <c r="L81" s="12" t="n"/>
    </row>
    <row r="82" ht="22" customHeight="1">
      <c r="B82" s="16">
        <f>IF(C82="","CEL-"&amp;TEXT(COUNTA($C$5:C82),"000"))</f>
        <v/>
      </c>
      <c r="C82" s="14" t="n"/>
      <c r="D82" s="14" t="n"/>
      <c r="E82" s="14" t="n"/>
      <c r="F82" s="26" t="n"/>
      <c r="G82" s="14">
        <f>IF(F82="","",F82-TODAY())</f>
        <v/>
      </c>
      <c r="H82" s="14" t="n"/>
      <c r="I82" s="19" t="n"/>
      <c r="J82" s="26" t="n"/>
      <c r="K82" s="14" t="n"/>
      <c r="L82" s="14" t="n"/>
    </row>
    <row r="83" ht="22" customHeight="1">
      <c r="B83" s="17">
        <f>IF(C83="","CEL-"&amp;TEXT(COUNTA($C$5:C83),"000"))</f>
        <v/>
      </c>
      <c r="C83" s="12" t="n"/>
      <c r="D83" s="12" t="n"/>
      <c r="E83" s="12" t="n"/>
      <c r="F83" s="25" t="n"/>
      <c r="G83" s="12">
        <f>IF(F83="","",F83-TODAY())</f>
        <v/>
      </c>
      <c r="H83" s="12" t="n"/>
      <c r="I83" s="18" t="n"/>
      <c r="J83" s="25" t="n"/>
      <c r="K83" s="12" t="n"/>
      <c r="L83" s="12" t="n"/>
    </row>
    <row r="84" ht="22" customHeight="1">
      <c r="B84" s="16">
        <f>IF(C84="","CEL-"&amp;TEXT(COUNTA($C$5:C84),"000"))</f>
        <v/>
      </c>
      <c r="C84" s="14" t="n"/>
      <c r="D84" s="14" t="n"/>
      <c r="E84" s="14" t="n"/>
      <c r="F84" s="26" t="n"/>
      <c r="G84" s="14">
        <f>IF(F84="","",F84-TODAY())</f>
        <v/>
      </c>
      <c r="H84" s="14" t="n"/>
      <c r="I84" s="19" t="n"/>
      <c r="J84" s="26" t="n"/>
      <c r="K84" s="14" t="n"/>
      <c r="L84" s="14" t="n"/>
    </row>
    <row r="85" ht="22" customHeight="1">
      <c r="B85" s="17">
        <f>IF(C85="","CEL-"&amp;TEXT(COUNTA($C$5:C85),"000"))</f>
        <v/>
      </c>
      <c r="C85" s="12" t="n"/>
      <c r="D85" s="12" t="n"/>
      <c r="E85" s="12" t="n"/>
      <c r="F85" s="25" t="n"/>
      <c r="G85" s="12">
        <f>IF(F85="","",F85-TODAY())</f>
        <v/>
      </c>
      <c r="H85" s="12" t="n"/>
      <c r="I85" s="18" t="n"/>
      <c r="J85" s="25" t="n"/>
      <c r="K85" s="12" t="n"/>
      <c r="L85" s="12" t="n"/>
    </row>
    <row r="86" ht="22" customHeight="1">
      <c r="B86" s="16">
        <f>IF(C86="","CEL-"&amp;TEXT(COUNTA($C$5:C86),"000"))</f>
        <v/>
      </c>
      <c r="C86" s="14" t="n"/>
      <c r="D86" s="14" t="n"/>
      <c r="E86" s="14" t="n"/>
      <c r="F86" s="26" t="n"/>
      <c r="G86" s="14">
        <f>IF(F86="","",F86-TODAY())</f>
        <v/>
      </c>
      <c r="H86" s="14" t="n"/>
      <c r="I86" s="19" t="n"/>
      <c r="J86" s="26" t="n"/>
      <c r="K86" s="14" t="n"/>
      <c r="L86" s="14" t="n"/>
    </row>
    <row r="87" ht="22" customHeight="1">
      <c r="B87" s="17">
        <f>IF(C87="","CEL-"&amp;TEXT(COUNTA($C$5:C87),"000"))</f>
        <v/>
      </c>
      <c r="C87" s="12" t="n"/>
      <c r="D87" s="12" t="n"/>
      <c r="E87" s="12" t="n"/>
      <c r="F87" s="25" t="n"/>
      <c r="G87" s="12">
        <f>IF(F87="","",F87-TODAY())</f>
        <v/>
      </c>
      <c r="H87" s="12" t="n"/>
      <c r="I87" s="18" t="n"/>
      <c r="J87" s="25" t="n"/>
      <c r="K87" s="12" t="n"/>
      <c r="L87" s="12" t="n"/>
    </row>
    <row r="88" ht="22" customHeight="1">
      <c r="B88" s="16">
        <f>IF(C88="","CEL-"&amp;TEXT(COUNTA($C$5:C88),"000"))</f>
        <v/>
      </c>
      <c r="C88" s="14" t="n"/>
      <c r="D88" s="14" t="n"/>
      <c r="E88" s="14" t="n"/>
      <c r="F88" s="26" t="n"/>
      <c r="G88" s="14">
        <f>IF(F88="","",F88-TODAY())</f>
        <v/>
      </c>
      <c r="H88" s="14" t="n"/>
      <c r="I88" s="19" t="n"/>
      <c r="J88" s="26" t="n"/>
      <c r="K88" s="14" t="n"/>
      <c r="L88" s="14" t="n"/>
    </row>
    <row r="89" ht="22" customHeight="1">
      <c r="B89" s="17">
        <f>IF(C89="","CEL-"&amp;TEXT(COUNTA($C$5:C89),"000"))</f>
        <v/>
      </c>
      <c r="C89" s="12" t="n"/>
      <c r="D89" s="12" t="n"/>
      <c r="E89" s="12" t="n"/>
      <c r="F89" s="25" t="n"/>
      <c r="G89" s="12">
        <f>IF(F89="","",F89-TODAY())</f>
        <v/>
      </c>
      <c r="H89" s="12" t="n"/>
      <c r="I89" s="18" t="n"/>
      <c r="J89" s="25" t="n"/>
      <c r="K89" s="12" t="n"/>
      <c r="L89" s="12" t="n"/>
    </row>
    <row r="90" ht="22" customHeight="1">
      <c r="B90" s="16">
        <f>IF(C90="","CEL-"&amp;TEXT(COUNTA($C$5:C90),"000"))</f>
        <v/>
      </c>
      <c r="C90" s="14" t="n"/>
      <c r="D90" s="14" t="n"/>
      <c r="E90" s="14" t="n"/>
      <c r="F90" s="26" t="n"/>
      <c r="G90" s="14">
        <f>IF(F90="","",F90-TODAY())</f>
        <v/>
      </c>
      <c r="H90" s="14" t="n"/>
      <c r="I90" s="19" t="n"/>
      <c r="J90" s="26" t="n"/>
      <c r="K90" s="14" t="n"/>
      <c r="L90" s="14" t="n"/>
    </row>
    <row r="91" ht="22" customHeight="1">
      <c r="B91" s="17">
        <f>IF(C91="","CEL-"&amp;TEXT(COUNTA($C$5:C91),"000"))</f>
        <v/>
      </c>
      <c r="C91" s="12" t="n"/>
      <c r="D91" s="12" t="n"/>
      <c r="E91" s="12" t="n"/>
      <c r="F91" s="25" t="n"/>
      <c r="G91" s="12">
        <f>IF(F91="","",F91-TODAY())</f>
        <v/>
      </c>
      <c r="H91" s="12" t="n"/>
      <c r="I91" s="18" t="n"/>
      <c r="J91" s="25" t="n"/>
      <c r="K91" s="12" t="n"/>
      <c r="L91" s="12" t="n"/>
    </row>
    <row r="92" ht="22" customHeight="1">
      <c r="B92" s="16">
        <f>IF(C92="","CEL-"&amp;TEXT(COUNTA($C$5:C92),"000"))</f>
        <v/>
      </c>
      <c r="C92" s="14" t="n"/>
      <c r="D92" s="14" t="n"/>
      <c r="E92" s="14" t="n"/>
      <c r="F92" s="26" t="n"/>
      <c r="G92" s="14">
        <f>IF(F92="","",F92-TODAY())</f>
        <v/>
      </c>
      <c r="H92" s="14" t="n"/>
      <c r="I92" s="19" t="n"/>
      <c r="J92" s="26" t="n"/>
      <c r="K92" s="14" t="n"/>
      <c r="L92" s="14" t="n"/>
    </row>
    <row r="93" ht="22" customHeight="1">
      <c r="B93" s="17">
        <f>IF(C93="","CEL-"&amp;TEXT(COUNTA($C$5:C93),"000"))</f>
        <v/>
      </c>
      <c r="C93" s="12" t="n"/>
      <c r="D93" s="12" t="n"/>
      <c r="E93" s="12" t="n"/>
      <c r="F93" s="25" t="n"/>
      <c r="G93" s="12">
        <f>IF(F93="","",F93-TODAY())</f>
        <v/>
      </c>
      <c r="H93" s="12" t="n"/>
      <c r="I93" s="18" t="n"/>
      <c r="J93" s="25" t="n"/>
      <c r="K93" s="12" t="n"/>
      <c r="L93" s="12" t="n"/>
    </row>
    <row r="94" ht="22" customHeight="1">
      <c r="B94" s="16">
        <f>IF(C94="","CEL-"&amp;TEXT(COUNTA($C$5:C94),"000"))</f>
        <v/>
      </c>
      <c r="C94" s="14" t="n"/>
      <c r="D94" s="14" t="n"/>
      <c r="E94" s="14" t="n"/>
      <c r="F94" s="26" t="n"/>
      <c r="G94" s="14">
        <f>IF(F94="","",F94-TODAY())</f>
        <v/>
      </c>
      <c r="H94" s="14" t="n"/>
      <c r="I94" s="19" t="n"/>
      <c r="J94" s="26" t="n"/>
      <c r="K94" s="14" t="n"/>
      <c r="L94" s="14" t="n"/>
    </row>
    <row r="95" ht="22" customHeight="1">
      <c r="B95" s="17">
        <f>IF(C95="","CEL-"&amp;TEXT(COUNTA($C$5:C95),"000"))</f>
        <v/>
      </c>
      <c r="C95" s="12" t="n"/>
      <c r="D95" s="12" t="n"/>
      <c r="E95" s="12" t="n"/>
      <c r="F95" s="25" t="n"/>
      <c r="G95" s="12">
        <f>IF(F95="","",F95-TODAY())</f>
        <v/>
      </c>
      <c r="H95" s="12" t="n"/>
      <c r="I95" s="18" t="n"/>
      <c r="J95" s="25" t="n"/>
      <c r="K95" s="12" t="n"/>
      <c r="L95" s="12" t="n"/>
    </row>
    <row r="96" ht="22" customHeight="1">
      <c r="B96" s="16">
        <f>IF(C96="","CEL-"&amp;TEXT(COUNTA($C$5:C96),"000"))</f>
        <v/>
      </c>
      <c r="C96" s="14" t="n"/>
      <c r="D96" s="14" t="n"/>
      <c r="E96" s="14" t="n"/>
      <c r="F96" s="26" t="n"/>
      <c r="G96" s="14">
        <f>IF(F96="","",F96-TODAY())</f>
        <v/>
      </c>
      <c r="H96" s="14" t="n"/>
      <c r="I96" s="19" t="n"/>
      <c r="J96" s="26" t="n"/>
      <c r="K96" s="14" t="n"/>
      <c r="L96" s="14" t="n"/>
    </row>
    <row r="97" ht="22" customHeight="1">
      <c r="B97" s="17">
        <f>IF(C97="","CEL-"&amp;TEXT(COUNTA($C$5:C97),"000"))</f>
        <v/>
      </c>
      <c r="C97" s="12" t="n"/>
      <c r="D97" s="12" t="n"/>
      <c r="E97" s="12" t="n"/>
      <c r="F97" s="25" t="n"/>
      <c r="G97" s="12">
        <f>IF(F97="","",F97-TODAY())</f>
        <v/>
      </c>
      <c r="H97" s="12" t="n"/>
      <c r="I97" s="18" t="n"/>
      <c r="J97" s="25" t="n"/>
      <c r="K97" s="12" t="n"/>
      <c r="L97" s="12" t="n"/>
    </row>
    <row r="98" ht="22" customHeight="1">
      <c r="B98" s="16">
        <f>IF(C98="","CEL-"&amp;TEXT(COUNTA($C$5:C98),"000"))</f>
        <v/>
      </c>
      <c r="C98" s="14" t="n"/>
      <c r="D98" s="14" t="n"/>
      <c r="E98" s="14" t="n"/>
      <c r="F98" s="26" t="n"/>
      <c r="G98" s="14">
        <f>IF(F98="","",F98-TODAY())</f>
        <v/>
      </c>
      <c r="H98" s="14" t="n"/>
      <c r="I98" s="19" t="n"/>
      <c r="J98" s="26" t="n"/>
      <c r="K98" s="14" t="n"/>
      <c r="L98" s="14" t="n"/>
    </row>
    <row r="99" ht="22" customHeight="1">
      <c r="B99" s="17">
        <f>IF(C99="","CEL-"&amp;TEXT(COUNTA($C$5:C99),"000"))</f>
        <v/>
      </c>
      <c r="C99" s="12" t="n"/>
      <c r="D99" s="12" t="n"/>
      <c r="E99" s="12" t="n"/>
      <c r="F99" s="25" t="n"/>
      <c r="G99" s="12">
        <f>IF(F99="","",F99-TODAY())</f>
        <v/>
      </c>
      <c r="H99" s="12" t="n"/>
      <c r="I99" s="18" t="n"/>
      <c r="J99" s="25" t="n"/>
      <c r="K99" s="12" t="n"/>
      <c r="L99" s="12" t="n"/>
    </row>
    <row r="100" ht="22" customHeight="1">
      <c r="B100" s="16">
        <f>IF(C100="","CEL-"&amp;TEXT(COUNTA($C$5:C100),"000"))</f>
        <v/>
      </c>
      <c r="C100" s="14" t="n"/>
      <c r="D100" s="14" t="n"/>
      <c r="E100" s="14" t="n"/>
      <c r="F100" s="26" t="n"/>
      <c r="G100" s="14">
        <f>IF(F100="","",F100-TODAY())</f>
        <v/>
      </c>
      <c r="H100" s="14" t="n"/>
      <c r="I100" s="19" t="n"/>
      <c r="J100" s="26" t="n"/>
      <c r="K100" s="14" t="n"/>
      <c r="L100" s="14" t="n"/>
    </row>
    <row r="101" ht="22" customHeight="1">
      <c r="B101" s="17">
        <f>IF(C101="","CEL-"&amp;TEXT(COUNTA($C$5:C101),"000"))</f>
        <v/>
      </c>
      <c r="C101" s="12" t="n"/>
      <c r="D101" s="12" t="n"/>
      <c r="E101" s="12" t="n"/>
      <c r="F101" s="25" t="n"/>
      <c r="G101" s="12">
        <f>IF(F101="","",F101-TODAY())</f>
        <v/>
      </c>
      <c r="H101" s="12" t="n"/>
      <c r="I101" s="18" t="n"/>
      <c r="J101" s="25" t="n"/>
      <c r="K101" s="12" t="n"/>
      <c r="L101" s="12" t="n"/>
    </row>
    <row r="102" ht="22" customHeight="1">
      <c r="B102" s="16">
        <f>IF(C102="","CEL-"&amp;TEXT(COUNTA($C$5:C102),"000"))</f>
        <v/>
      </c>
      <c r="C102" s="14" t="n"/>
      <c r="D102" s="14" t="n"/>
      <c r="E102" s="14" t="n"/>
      <c r="F102" s="26" t="n"/>
      <c r="G102" s="14">
        <f>IF(F102="","",F102-TODAY())</f>
        <v/>
      </c>
      <c r="H102" s="14" t="n"/>
      <c r="I102" s="19" t="n"/>
      <c r="J102" s="26" t="n"/>
      <c r="K102" s="14" t="n"/>
      <c r="L102" s="14" t="n"/>
    </row>
    <row r="103" ht="22" customHeight="1">
      <c r="B103" s="17">
        <f>IF(C103="","CEL-"&amp;TEXT(COUNTA($C$5:C103),"000"))</f>
        <v/>
      </c>
      <c r="C103" s="12" t="n"/>
      <c r="D103" s="12" t="n"/>
      <c r="E103" s="12" t="n"/>
      <c r="F103" s="25" t="n"/>
      <c r="G103" s="12">
        <f>IF(F103="","",F103-TODAY())</f>
        <v/>
      </c>
      <c r="H103" s="12" t="n"/>
      <c r="I103" s="18" t="n"/>
      <c r="J103" s="25" t="n"/>
      <c r="K103" s="12" t="n"/>
      <c r="L103" s="12" t="n"/>
    </row>
    <row r="104" ht="22" customHeight="1">
      <c r="B104" s="16">
        <f>IF(C104="","CEL-"&amp;TEXT(COUNTA($C$5:C104),"000"))</f>
        <v/>
      </c>
      <c r="C104" s="14" t="n"/>
      <c r="D104" s="14" t="n"/>
      <c r="E104" s="14" t="n"/>
      <c r="F104" s="26" t="n"/>
      <c r="G104" s="14">
        <f>IF(F104="","",F104-TODAY())</f>
        <v/>
      </c>
      <c r="H104" s="14" t="n"/>
      <c r="I104" s="19" t="n"/>
      <c r="J104" s="26" t="n"/>
      <c r="K104" s="14" t="n"/>
      <c r="L104" s="14" t="n"/>
    </row>
    <row r="105" ht="22" customHeight="1">
      <c r="B105" s="17">
        <f>IF(C105="","CEL-"&amp;TEXT(COUNTA($C$5:C105),"000"))</f>
        <v/>
      </c>
      <c r="C105" s="12" t="n"/>
      <c r="D105" s="12" t="n"/>
      <c r="E105" s="12" t="n"/>
      <c r="F105" s="25" t="n"/>
      <c r="G105" s="12">
        <f>IF(F105="","",F105-TODAY())</f>
        <v/>
      </c>
      <c r="H105" s="12" t="n"/>
      <c r="I105" s="18" t="n"/>
      <c r="J105" s="25" t="n"/>
      <c r="K105" s="12" t="n"/>
      <c r="L105" s="12" t="n"/>
    </row>
    <row r="106" ht="22" customHeight="1">
      <c r="B106" s="16">
        <f>IF(C106="","CEL-"&amp;TEXT(COUNTA($C$5:C106),"000"))</f>
        <v/>
      </c>
      <c r="C106" s="14" t="n"/>
      <c r="D106" s="14" t="n"/>
      <c r="E106" s="14" t="n"/>
      <c r="F106" s="26" t="n"/>
      <c r="G106" s="14">
        <f>IF(F106="","",F106-TODAY())</f>
        <v/>
      </c>
      <c r="H106" s="14" t="n"/>
      <c r="I106" s="19" t="n"/>
      <c r="J106" s="26" t="n"/>
      <c r="K106" s="14" t="n"/>
      <c r="L106" s="14" t="n"/>
    </row>
    <row r="107" ht="22" customHeight="1">
      <c r="B107" s="17">
        <f>IF(C107="","CEL-"&amp;TEXT(COUNTA($C$5:C107),"000"))</f>
        <v/>
      </c>
      <c r="C107" s="12" t="n"/>
      <c r="D107" s="12" t="n"/>
      <c r="E107" s="12" t="n"/>
      <c r="F107" s="25" t="n"/>
      <c r="G107" s="12">
        <f>IF(F107="","",F107-TODAY())</f>
        <v/>
      </c>
      <c r="H107" s="12" t="n"/>
      <c r="I107" s="18" t="n"/>
      <c r="J107" s="25" t="n"/>
      <c r="K107" s="12" t="n"/>
      <c r="L107" s="12" t="n"/>
    </row>
    <row r="108" ht="22" customHeight="1">
      <c r="B108" s="16">
        <f>IF(C108="","CEL-"&amp;TEXT(COUNTA($C$5:C108),"000"))</f>
        <v/>
      </c>
      <c r="C108" s="14" t="n"/>
      <c r="D108" s="14" t="n"/>
      <c r="E108" s="14" t="n"/>
      <c r="F108" s="26" t="n"/>
      <c r="G108" s="14">
        <f>IF(F108="","",F108-TODAY())</f>
        <v/>
      </c>
      <c r="H108" s="14" t="n"/>
      <c r="I108" s="19" t="n"/>
      <c r="J108" s="26" t="n"/>
      <c r="K108" s="14" t="n"/>
      <c r="L108" s="14" t="n"/>
    </row>
    <row r="109" ht="22" customHeight="1">
      <c r="B109" s="17">
        <f>IF(C109="","CEL-"&amp;TEXT(COUNTA($C$5:C109),"000"))</f>
        <v/>
      </c>
      <c r="C109" s="12" t="n"/>
      <c r="D109" s="12" t="n"/>
      <c r="E109" s="12" t="n"/>
      <c r="F109" s="25" t="n"/>
      <c r="G109" s="12">
        <f>IF(F109="","",F109-TODAY())</f>
        <v/>
      </c>
      <c r="H109" s="12" t="n"/>
      <c r="I109" s="18" t="n"/>
      <c r="J109" s="25" t="n"/>
      <c r="K109" s="12" t="n"/>
      <c r="L109" s="12" t="n"/>
    </row>
    <row r="111" ht="26" customHeight="1">
      <c r="B111" s="20" t="inlineStr">
        <is>
          <t>TOTAL</t>
        </is>
      </c>
      <c r="C111" s="21" t="n"/>
      <c r="D111" s="21" t="n"/>
      <c r="E111" s="21" t="n"/>
      <c r="F111" s="21" t="n"/>
      <c r="G111" s="21" t="n"/>
      <c r="H111" s="21" t="n"/>
      <c r="I111" s="22">
        <f>SUM(I5:I104)</f>
        <v/>
      </c>
      <c r="J111" s="21" t="n"/>
      <c r="K111" s="21" t="n"/>
      <c r="L111" s="21" t="n"/>
    </row>
    <row r="113">
      <c r="B113" s="6" t="inlineStr">
        <is>
          <t>INDICATEURS (mis a jour automatiquement)</t>
        </is>
      </c>
    </row>
    <row r="114">
      <c r="B114" s="3" t="inlineStr">
        <is>
          <t>Echeances suivies</t>
        </is>
      </c>
      <c r="D114" s="3" t="inlineStr">
        <is>
          <t>En retard</t>
        </is>
      </c>
      <c r="F114" s="3" t="inlineStr">
        <is>
          <t>A echeance &lt; 30j</t>
        </is>
      </c>
      <c r="H114" s="3" t="inlineStr">
        <is>
          <t>Total estime (FCFA)</t>
        </is>
      </c>
    </row>
    <row r="115">
      <c r="B115" s="4">
        <f>COUNTIF(B5:B104,"&lt;&gt;")</f>
        <v/>
      </c>
      <c r="D115" s="4">
        <f>COUNTIF(G5:G104,"&lt;"&amp;0)</f>
        <v/>
      </c>
      <c r="F115" s="4">
        <f>COUNTIF(G5:G104,"&lt;"&amp;30)-COUNTIF(G5:G104,"&lt;"&amp;0)</f>
        <v/>
      </c>
      <c r="H115" s="4">
        <f>SUM(I5:I104)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0">
      <formula>"Conforme"</formula>
    </cfRule>
    <cfRule type="cellIs" priority="2" operator="equal" dxfId="0">
      <formula>"Resolu"</formula>
    </cfRule>
    <cfRule type="cellIs" priority="3" operator="equal" dxfId="0">
      <formula>"Clos"</formula>
    </cfRule>
    <cfRule type="cellIs" priority="4" operator="equal" dxfId="0">
      <formula>"Solde"</formula>
    </cfRule>
    <cfRule type="cellIs" priority="5" operator="equal" dxfId="0">
      <formula>"Pris"</formula>
    </cfRule>
    <cfRule type="cellIs" priority="6" operator="equal" dxfId="0">
      <formula>"Termine"</formula>
    </cfRule>
    <cfRule type="cellIs" priority="7" operator="equal" dxfId="0">
      <formula>"Terminee"</formula>
    </cfRule>
    <cfRule type="cellIs" priority="8" operator="equal" dxfId="0">
      <formula>"Valide"</formula>
    </cfRule>
    <cfRule type="cellIs" priority="9" operator="equal" dxfId="0">
      <formula>"Approuve"</formula>
    </cfRule>
    <cfRule type="cellIs" priority="10" operator="equal" dxfId="0">
      <formula>"Approuvee"</formula>
    </cfRule>
    <cfRule type="cellIs" priority="11" operator="equal" dxfId="0">
      <formula>"Actif"</formula>
    </cfRule>
    <cfRule type="cellIs" priority="12" operator="equal" dxfId="0">
      <formula>"En vigueur"</formula>
    </cfRule>
    <cfRule type="cellIs" priority="13" operator="equal" dxfId="0">
      <formula>"Validee"</formula>
    </cfRule>
    <cfRule type="cellIs" priority="14" operator="equal" dxfId="0">
      <formula>"Payee"</formula>
    </cfRule>
    <cfRule type="cellIs" priority="15" operator="equal" dxfId="0">
      <formula>"Traite"</formula>
    </cfRule>
    <cfRule type="cellIs" priority="16" operator="equal" dxfId="0">
      <formula>"Traitee"</formula>
    </cfRule>
    <cfRule type="cellIs" priority="17" operator="equal" dxfId="0">
      <formula>"Decision notifiee"</formula>
    </cfRule>
    <cfRule type="cellIs" priority="18" operator="equal" dxfId="0">
      <formula>"Jugement rendu"</formula>
    </cfRule>
    <cfRule type="cellIs" priority="19" operator="equal" dxfId="0">
      <formula>"Resolue"</formula>
    </cfRule>
    <cfRule type="cellIs" priority="20" operator="equal" dxfId="0">
      <formula>"Accepte"</formula>
    </cfRule>
    <cfRule type="cellIs" priority="21" operator="equal" dxfId="0">
      <formula>"Acceptee"</formula>
    </cfRule>
    <cfRule type="cellIs" priority="22" operator="equal" dxfId="0">
      <formula>"Conforme"</formula>
    </cfRule>
    <cfRule type="cellIs" priority="23" operator="equal" dxfId="0">
      <formula>"Exempte"</formula>
    </cfRule>
    <cfRule type="cellIs" priority="24" operator="equal" dxfId="0">
      <formula>"Guerie"</formula>
    </cfRule>
    <cfRule type="cellIs" priority="25" operator="equal" dxfId="0">
      <formula>"Apte"</formula>
    </cfRule>
    <cfRule type="cellIs" priority="26" operator="equal" dxfId="0">
      <formula>"Apte avec restriction"</formula>
    </cfRule>
    <cfRule type="cellIs" priority="27" operator="equal" dxfId="0">
      <formula>"Realise"</formula>
    </cfRule>
    <cfRule type="cellIs" priority="28" operator="equal" dxfId="0">
      <formula>"Realisee"</formula>
    </cfRule>
    <cfRule type="cellIs" priority="29" operator="equal" dxfId="0">
      <formula>"En stock"</formula>
    </cfRule>
    <cfRule type="cellIs" priority="30" operator="equal" dxfId="0">
      <formula>"Attribue"</formula>
    </cfRule>
    <cfRule type="cellIs" priority="31" operator="equal" dxfId="0">
      <formula>"Mesures en place"</formula>
    </cfRule>
    <cfRule type="cellIs" priority="32" operator="equal" dxfId="0">
      <formula>"Residuel acceptable"</formula>
    </cfRule>
    <cfRule type="cellIs" priority="33" operator="equal" dxfId="0">
      <formula>"Jugement rendu"</formula>
    </cfRule>
    <cfRule type="cellIs" priority="34" operator="equal" dxfId="0">
      <formula>"Abandonne"</formula>
    </cfRule>
    <cfRule type="cellIs" priority="35" operator="equal" dxfId="0">
      <formula>"Terminee - Accord"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"Partiellement conforme"</formula>
    </cfRule>
    <cfRule type="cellIs" priority="47" operator="equal" dxfId="1">
      <formula>"En cours de mise en conformite"</formula>
    </cfRule>
    <cfRule type="cellIs" priority="48" operator="equal" dxfId="1">
      <formula>"En cours d'evaluation"</formula>
    </cfRule>
    <cfRule type="cellIs" priority="49" operator="equal" dxfId="1">
      <formula>"Non evalue"</formula>
    </cfRule>
    <cfRule type="cellIs" priority="50" operator="equal" dxfId="1">
      <formula>"Non demarre"</formula>
    </cfRule>
    <cfRule type="cellIs" priority="51" operator="equal" dxfId="1">
      <formula>"En cours d'instruction"</formula>
    </cfRule>
    <cfRule type="cellIs" priority="52" operator="equal" dxfId="1">
      <formula>"En negociation"</formula>
    </cfRule>
    <cfRule type="cellIs" priority="53" operator="equal" dxfId="1">
      <formula>"En mediation"</formula>
    </cfRule>
    <cfRule type="cellIs" priority="54" operator="equal" dxfId="1">
      <formula>"En conciliation"</formula>
    </cfRule>
    <cfRule type="cellIs" priority="55" operator="equal" dxfId="1">
      <formula>"En attente audience"</formula>
    </cfRule>
    <cfRule type="cellIs" priority="56" operator="equal" dxfId="1">
      <formula>"En attente jugement"</formula>
    </cfRule>
    <cfRule type="cellIs" priority="57" operator="equal" dxfId="1">
      <formula>"En appel"</formula>
    </cfRule>
    <cfRule type="cellIs" priority="58" operator="equal" dxfId="1">
      <formula>"En preparation"</formula>
    </cfRule>
    <cfRule type="cellIs" priority="59" operator="equal" dxfId="1">
      <formula>"Reporte"</formula>
    </cfRule>
    <cfRule type="cellIs" priority="60" operator="equal" dxfId="1">
      <formula>"En attente reponse"</formula>
    </cfRule>
    <cfRule type="cellIs" priority="61" operator="equal" dxfId="1">
      <formula>"En attente validation"</formula>
    </cfRule>
    <cfRule type="cellIs" priority="62" operator="equal" dxfId="1">
      <formula>"Contestee"</formula>
    </cfRule>
    <cfRule type="cellIs" priority="63" operator="equal" dxfId="1">
      <formula>"Escaladee"</formula>
    </cfRule>
    <cfRule type="cellIs" priority="64" operator="equal" dxfId="2">
      <formula>"Non conforme"</formula>
    </cfRule>
    <cfRule type="cellIs" priority="65" operator="equal" dxfId="2">
      <formula>"Rejete"</formula>
    </cfRule>
    <cfRule type="cellIs" priority="66" operator="equal" dxfId="2">
      <formula>"Rejetee"</formula>
    </cfRule>
    <cfRule type="cellIs" priority="67" operator="equal" dxfId="2">
      <formula>"Resilie"</formula>
    </cfRule>
    <cfRule type="cellIs" priority="68" operator="equal" dxfId="2">
      <formula>"Annule"</formula>
    </cfRule>
    <cfRule type="cellIs" priority="69" operator="equal" dxfId="2">
      <formula>"Annulee"</formula>
    </cfRule>
    <cfRule type="cellIs" priority="70" operator="equal" dxfId="2">
      <formula>"Refuse"</formula>
    </cfRule>
    <cfRule type="cellIs" priority="71" operator="equal" dxfId="2">
      <formula>"Non justifie"</formula>
    </cfRule>
    <cfRule type="cellIs" priority="72" operator="equal" dxfId="2">
      <formula>"Inaptitude"</formula>
    </cfRule>
    <cfRule type="cellIs" priority="73" operator="equal" dxfId="2">
      <formula>"Non satisfait"</formula>
    </cfRule>
    <cfRule type="cellIs" priority="74" operator="equal" dxfId="2">
      <formula>"Echoue"</formula>
    </cfRule>
    <cfRule type="cellIs" priority="75" operator="equal" dxfId="2">
      <formula>"Echouee"</formula>
    </cfRule>
    <cfRule type="cellIs" priority="76" operator="equal" dxfId="2">
      <formula>"Revoque"</formula>
    </cfRule>
    <cfRule type="cellIs" priority="77" operator="equal" dxfId="2">
      <formula>"Abandonne"</formula>
    </cfRule>
    <cfRule type="cellIs" priority="78" operator="equal" dxfId="2">
      <formula>"Rejetee"</formula>
    </cfRule>
    <cfRule type="cellIs" priority="79" operator="equal" dxfId="2">
      <formula>"Non conforme"</formula>
    </cfRule>
    <cfRule type="cellIs" priority="80" operator="equal" dxfId="2">
      <formula>"Critique"</formula>
    </cfRule>
  </conditionalFormatting>
  <conditionalFormatting sqref="B10:B109">
    <cfRule type="expression" priority="81" dxfId="3">
      <formula>AND($C10="",$C9&lt;&gt;"")</formula>
    </cfRule>
  </conditionalFormatting>
  <conditionalFormatting sqref="C10:C109">
    <cfRule type="expression" priority="82" dxfId="3">
      <formula>AND($C10="",$C9&lt;&gt;"")</formula>
    </cfRule>
  </conditionalFormatting>
  <conditionalFormatting sqref="D10:D109">
    <cfRule type="expression" priority="83" dxfId="3">
      <formula>AND($C10="",$C9&lt;&gt;"")</formula>
    </cfRule>
  </conditionalFormatting>
  <conditionalFormatting sqref="E10:E109">
    <cfRule type="expression" priority="84" dxfId="3">
      <formula>AND($C10="",$C9&lt;&gt;"")</formula>
    </cfRule>
  </conditionalFormatting>
  <conditionalFormatting sqref="F10:F109">
    <cfRule type="expression" priority="85" dxfId="3">
      <formula>AND($C10="",$C9&lt;&gt;"")</formula>
    </cfRule>
  </conditionalFormatting>
  <conditionalFormatting sqref="G10:G109">
    <cfRule type="expression" priority="86" dxfId="3">
      <formula>AND($C10="",$C9&lt;&gt;"")</formula>
    </cfRule>
  </conditionalFormatting>
  <conditionalFormatting sqref="H10:H109">
    <cfRule type="expression" priority="87" dxfId="3">
      <formula>AND($C10="",$C9&lt;&gt;"")</formula>
    </cfRule>
  </conditionalFormatting>
  <conditionalFormatting sqref="I10:I109">
    <cfRule type="expression" priority="88" dxfId="3">
      <formula>AND($C10="",$C9&lt;&gt;"")</formula>
    </cfRule>
  </conditionalFormatting>
  <conditionalFormatting sqref="J10:J109">
    <cfRule type="expression" priority="89" dxfId="3">
      <formula>AND($C10="",$C9&lt;&gt;"")</formula>
    </cfRule>
  </conditionalFormatting>
  <conditionalFormatting sqref="K10:K109">
    <cfRule type="expression" priority="90" dxfId="3">
      <formula>AND($C10="",$C9&lt;&gt;"")</formula>
    </cfRule>
  </conditionalFormatting>
  <conditionalFormatting sqref="L10:L109">
    <cfRule type="expression" priority="9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'_Lists'!$B$2:$B$13</formula1>
    </dataValidation>
    <dataValidation sqref="E5:E109" showDropDown="0" showInputMessage="0" showErrorMessage="0" allowBlank="1" errorTitle="Erreur" error="Valeur invalide" promptTitle="Liste" prompt="Choisir dans la liste" type="list">
      <formula1>'_Lists'!$D$2:$D$8</formula1>
    </dataValidation>
    <dataValidation sqref="L5:L109" showDropDown="0" showInputMessage="0" showErrorMessage="0" allowBlank="1" errorTitle="Erreur" error="Valeur invalide" promptTitle="Liste" prompt="Choisir dans la liste" type="list">
      <formula1>'_Lists'!$I$2:$I$8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8" customWidth="1" min="4" max="4"/>
    <col width="28" customWidth="1" min="5" max="5"/>
    <col width="14" customWidth="1" min="6" max="6"/>
    <col width="24" customWidth="1" min="7" max="7"/>
    <col width="18" customWidth="1" min="8" max="8"/>
    <col width="18" customWidth="1" min="9" max="9"/>
    <col width="16" customWidth="1" min="10" max="10"/>
    <col width="16" customWidth="1" min="11" max="11"/>
    <col width="22" customWidth="1" min="12" max="12"/>
  </cols>
  <sheetData>
    <row r="1" ht="15" customHeight="1"/>
    <row r="2" ht="32" customHeight="1">
      <c r="B2" s="1" t="inlineStr">
        <is>
          <t>SUIVI DES CONTENTIEUX &amp; PRUDHOMMES (#131)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Partie Adverse</t>
        </is>
      </c>
      <c r="D4" s="11" t="inlineStr">
        <is>
          <t>Motif Litige</t>
        </is>
      </c>
      <c r="E4" s="11" t="inlineStr">
        <is>
          <t>Type Contentieux</t>
        </is>
      </c>
      <c r="F4" s="11" t="inlineStr">
        <is>
          <t>Date Ouverture</t>
        </is>
      </c>
      <c r="G4" s="11" t="inlineStr">
        <is>
          <t>Avocat / Conseiller</t>
        </is>
      </c>
      <c r="H4" s="11" t="inlineStr">
        <is>
          <t>Provision (FCFA)</t>
        </is>
      </c>
      <c r="I4" s="11" t="inlineStr">
        <is>
          <t>Demande (FCFA)</t>
        </is>
      </c>
      <c r="J4" s="11" t="inlineStr">
        <is>
          <t>Derniere Audience</t>
        </is>
      </c>
      <c r="K4" s="11" t="inlineStr">
        <is>
          <t>Prochaine Audience</t>
        </is>
      </c>
      <c r="L4" s="11" t="inlineStr">
        <is>
          <t>Statut</t>
        </is>
      </c>
    </row>
    <row r="5" ht="22" customHeight="1">
      <c r="B5" s="12" t="inlineStr">
        <is>
          <t>SCN-001</t>
        </is>
      </c>
      <c r="C5" s="12" t="inlineStr">
        <is>
          <t>M. Tchouanku J.</t>
        </is>
      </c>
      <c r="D5" s="12" t="inlineStr">
        <is>
          <t>Licenciement abusef</t>
        </is>
      </c>
      <c r="E5" s="12" t="inlineStr">
        <is>
          <t>Prud'hommes</t>
        </is>
      </c>
      <c r="F5" s="25" t="n">
        <v>45550</v>
      </c>
      <c r="G5" s="12" t="inlineStr">
        <is>
          <t>Me. Nganou &amp; Associes</t>
        </is>
      </c>
      <c r="H5" s="18" t="n">
        <v>500000</v>
      </c>
      <c r="I5" s="18" t="n">
        <v>2000000</v>
      </c>
      <c r="J5" s="25" t="n">
        <v>45797</v>
      </c>
      <c r="K5" s="25" t="n">
        <v>45884</v>
      </c>
      <c r="L5" s="12" t="inlineStr">
        <is>
          <t>En attente audience</t>
        </is>
      </c>
    </row>
    <row r="6" ht="22" customHeight="1">
      <c r="B6" s="14" t="inlineStr">
        <is>
          <t>SCN-002</t>
        </is>
      </c>
      <c r="C6" s="14" t="inlineStr">
        <is>
          <t>Mme. Fotso A.</t>
        </is>
      </c>
      <c r="D6" s="14" t="inlineStr">
        <is>
          <t>Harclement moral</t>
        </is>
      </c>
      <c r="E6" s="14" t="inlineStr">
        <is>
          <t>Tribunal de grande instance</t>
        </is>
      </c>
      <c r="F6" s="26" t="n">
        <v>45667</v>
      </c>
      <c r="G6" s="14" t="inlineStr">
        <is>
          <t>Me. Mbarga</t>
        </is>
      </c>
      <c r="H6" s="19" t="n">
        <v>300000</v>
      </c>
      <c r="I6" s="19" t="n">
        <v>5000000</v>
      </c>
      <c r="J6" s="26" t="n"/>
      <c r="K6" s="26" t="n">
        <v>45858</v>
      </c>
      <c r="L6" s="14" t="inlineStr">
        <is>
          <t>En cours d'instruction</t>
        </is>
      </c>
    </row>
    <row r="7" ht="22" customHeight="1">
      <c r="B7" s="12" t="inlineStr">
        <is>
          <t>SCN-003</t>
        </is>
      </c>
      <c r="C7" s="12" t="inlineStr">
        <is>
          <t>Syndicat des travailleurs</t>
        </is>
      </c>
      <c r="D7" s="12" t="inlineStr">
        <is>
          <t>Non paiement heures sup.</t>
        </is>
      </c>
      <c r="E7" s="12" t="inlineStr">
        <is>
          <t>Inspection travail</t>
        </is>
      </c>
      <c r="F7" s="25" t="n">
        <v>45717</v>
      </c>
      <c r="G7" s="12" t="inlineStr">
        <is>
          <t>Me. Nganou &amp; Associes</t>
        </is>
      </c>
      <c r="H7" s="18" t="n">
        <v>200000</v>
      </c>
      <c r="I7" s="18" t="n">
        <v>1500000</v>
      </c>
      <c r="J7" s="25" t="n">
        <v>45818</v>
      </c>
      <c r="K7" s="25" t="n">
        <v>45910</v>
      </c>
      <c r="L7" s="12" t="inlineStr">
        <is>
          <t>En negociation</t>
        </is>
      </c>
    </row>
    <row r="8" ht="22" customHeight="1">
      <c r="B8" s="14" t="inlineStr">
        <is>
          <t>SCN-004</t>
        </is>
      </c>
      <c r="C8" s="14" t="inlineStr">
        <is>
          <t>M. Essomba P.</t>
        </is>
      </c>
      <c r="D8" s="14" t="inlineStr">
        <is>
          <t>Accident travail non declare</t>
        </is>
      </c>
      <c r="E8" s="14" t="inlineStr">
        <is>
          <t>CNPS</t>
        </is>
      </c>
      <c r="F8" s="26" t="n">
        <v>45767</v>
      </c>
      <c r="G8" s="14" t="inlineStr">
        <is>
          <t>Conseil interne DRH</t>
        </is>
      </c>
      <c r="H8" s="19" t="n">
        <v>100000</v>
      </c>
      <c r="I8" s="19" t="n">
        <v>800000</v>
      </c>
      <c r="J8" s="26" t="n">
        <v>45813</v>
      </c>
      <c r="K8" s="26" t="n"/>
      <c r="L8" s="14" t="inlineStr">
        <is>
          <t>En mediation</t>
        </is>
      </c>
    </row>
    <row r="9" ht="22" customHeight="1">
      <c r="B9" s="17">
        <f>IF(C9="","SCN-"&amp;TEXT(COUNTA($C$5:C9),"000"))</f>
        <v/>
      </c>
      <c r="C9" s="12" t="n"/>
      <c r="D9" s="12" t="n"/>
      <c r="E9" s="12" t="n"/>
      <c r="F9" s="25" t="n"/>
      <c r="G9" s="12" t="n"/>
      <c r="H9" s="18" t="n"/>
      <c r="I9" s="18" t="n"/>
      <c r="J9" s="25" t="n"/>
      <c r="K9" s="25" t="n"/>
      <c r="L9" s="12" t="n"/>
    </row>
    <row r="10" ht="22" customHeight="1">
      <c r="B10" s="16">
        <f>IF(C10="","SCN-"&amp;TEXT(COUNTA($C$5:C10),"000"))</f>
        <v/>
      </c>
      <c r="C10" s="14" t="n"/>
      <c r="D10" s="14" t="n"/>
      <c r="E10" s="14" t="n"/>
      <c r="F10" s="26" t="n"/>
      <c r="G10" s="14" t="n"/>
      <c r="H10" s="19" t="n"/>
      <c r="I10" s="19" t="n"/>
      <c r="J10" s="26" t="n"/>
      <c r="K10" s="26" t="n"/>
      <c r="L10" s="14" t="n"/>
    </row>
    <row r="11" ht="22" customHeight="1">
      <c r="B11" s="17">
        <f>IF(C11="","SCN-"&amp;TEXT(COUNTA($C$5:C11),"000"))</f>
        <v/>
      </c>
      <c r="C11" s="12" t="n"/>
      <c r="D11" s="12" t="n"/>
      <c r="E11" s="12" t="n"/>
      <c r="F11" s="25" t="n"/>
      <c r="G11" s="12" t="n"/>
      <c r="H11" s="18" t="n"/>
      <c r="I11" s="18" t="n"/>
      <c r="J11" s="25" t="n"/>
      <c r="K11" s="25" t="n"/>
      <c r="L11" s="12" t="n"/>
    </row>
    <row r="12" ht="22" customHeight="1">
      <c r="B12" s="16">
        <f>IF(C12="","SCN-"&amp;TEXT(COUNTA($C$5:C12),"000"))</f>
        <v/>
      </c>
      <c r="C12" s="14" t="n"/>
      <c r="D12" s="14" t="n"/>
      <c r="E12" s="14" t="n"/>
      <c r="F12" s="26" t="n"/>
      <c r="G12" s="14" t="n"/>
      <c r="H12" s="19" t="n"/>
      <c r="I12" s="19" t="n"/>
      <c r="J12" s="26" t="n"/>
      <c r="K12" s="26" t="n"/>
      <c r="L12" s="14" t="n"/>
    </row>
    <row r="13" ht="22" customHeight="1">
      <c r="B13" s="17">
        <f>IF(C13="","SCN-"&amp;TEXT(COUNTA($C$5:C13),"000"))</f>
        <v/>
      </c>
      <c r="C13" s="12" t="n"/>
      <c r="D13" s="12" t="n"/>
      <c r="E13" s="12" t="n"/>
      <c r="F13" s="25" t="n"/>
      <c r="G13" s="12" t="n"/>
      <c r="H13" s="18" t="n"/>
      <c r="I13" s="18" t="n"/>
      <c r="J13" s="25" t="n"/>
      <c r="K13" s="25" t="n"/>
      <c r="L13" s="12" t="n"/>
    </row>
    <row r="14" ht="22" customHeight="1">
      <c r="B14" s="16">
        <f>IF(C14="","SCN-"&amp;TEXT(COUNTA($C$5:C14),"000"))</f>
        <v/>
      </c>
      <c r="C14" s="14" t="n"/>
      <c r="D14" s="14" t="n"/>
      <c r="E14" s="14" t="n"/>
      <c r="F14" s="26" t="n"/>
      <c r="G14" s="14" t="n"/>
      <c r="H14" s="19" t="n"/>
      <c r="I14" s="19" t="n"/>
      <c r="J14" s="26" t="n"/>
      <c r="K14" s="26" t="n"/>
      <c r="L14" s="14" t="n"/>
    </row>
    <row r="15" ht="22" customHeight="1">
      <c r="B15" s="17">
        <f>IF(C15="","SCN-"&amp;TEXT(COUNTA($C$5:C15),"000"))</f>
        <v/>
      </c>
      <c r="C15" s="12" t="n"/>
      <c r="D15" s="12" t="n"/>
      <c r="E15" s="12" t="n"/>
      <c r="F15" s="25" t="n"/>
      <c r="G15" s="12" t="n"/>
      <c r="H15" s="18" t="n"/>
      <c r="I15" s="18" t="n"/>
      <c r="J15" s="25" t="n"/>
      <c r="K15" s="25" t="n"/>
      <c r="L15" s="12" t="n"/>
    </row>
    <row r="16" ht="22" customHeight="1">
      <c r="B16" s="16">
        <f>IF(C16="","SCN-"&amp;TEXT(COUNTA($C$5:C16),"000"))</f>
        <v/>
      </c>
      <c r="C16" s="14" t="n"/>
      <c r="D16" s="14" t="n"/>
      <c r="E16" s="14" t="n"/>
      <c r="F16" s="26" t="n"/>
      <c r="G16" s="14" t="n"/>
      <c r="H16" s="19" t="n"/>
      <c r="I16" s="19" t="n"/>
      <c r="J16" s="26" t="n"/>
      <c r="K16" s="26" t="n"/>
      <c r="L16" s="14" t="n"/>
    </row>
    <row r="17" ht="22" customHeight="1">
      <c r="B17" s="17">
        <f>IF(C17="","SCN-"&amp;TEXT(COUNTA($C$5:C17),"000"))</f>
        <v/>
      </c>
      <c r="C17" s="12" t="n"/>
      <c r="D17" s="12" t="n"/>
      <c r="E17" s="12" t="n"/>
      <c r="F17" s="25" t="n"/>
      <c r="G17" s="12" t="n"/>
      <c r="H17" s="18" t="n"/>
      <c r="I17" s="18" t="n"/>
      <c r="J17" s="25" t="n"/>
      <c r="K17" s="25" t="n"/>
      <c r="L17" s="12" t="n"/>
    </row>
    <row r="18" ht="22" customHeight="1">
      <c r="B18" s="16">
        <f>IF(C18="","SCN-"&amp;TEXT(COUNTA($C$5:C18),"000"))</f>
        <v/>
      </c>
      <c r="C18" s="14" t="n"/>
      <c r="D18" s="14" t="n"/>
      <c r="E18" s="14" t="n"/>
      <c r="F18" s="26" t="n"/>
      <c r="G18" s="14" t="n"/>
      <c r="H18" s="19" t="n"/>
      <c r="I18" s="19" t="n"/>
      <c r="J18" s="26" t="n"/>
      <c r="K18" s="26" t="n"/>
      <c r="L18" s="14" t="n"/>
    </row>
    <row r="19" ht="22" customHeight="1">
      <c r="B19" s="17">
        <f>IF(C19="","SCN-"&amp;TEXT(COUNTA($C$5:C19),"000"))</f>
        <v/>
      </c>
      <c r="C19" s="12" t="n"/>
      <c r="D19" s="12" t="n"/>
      <c r="E19" s="12" t="n"/>
      <c r="F19" s="25" t="n"/>
      <c r="G19" s="12" t="n"/>
      <c r="H19" s="18" t="n"/>
      <c r="I19" s="18" t="n"/>
      <c r="J19" s="25" t="n"/>
      <c r="K19" s="25" t="n"/>
      <c r="L19" s="12" t="n"/>
    </row>
    <row r="20" ht="22" customHeight="1">
      <c r="B20" s="16">
        <f>IF(C20="","SCN-"&amp;TEXT(COUNTA($C$5:C20),"000"))</f>
        <v/>
      </c>
      <c r="C20" s="14" t="n"/>
      <c r="D20" s="14" t="n"/>
      <c r="E20" s="14" t="n"/>
      <c r="F20" s="26" t="n"/>
      <c r="G20" s="14" t="n"/>
      <c r="H20" s="19" t="n"/>
      <c r="I20" s="19" t="n"/>
      <c r="J20" s="26" t="n"/>
      <c r="K20" s="26" t="n"/>
      <c r="L20" s="14" t="n"/>
    </row>
    <row r="21" ht="22" customHeight="1">
      <c r="B21" s="17">
        <f>IF(C21="","SCN-"&amp;TEXT(COUNTA($C$5:C21),"000"))</f>
        <v/>
      </c>
      <c r="C21" s="12" t="n"/>
      <c r="D21" s="12" t="n"/>
      <c r="E21" s="12" t="n"/>
      <c r="F21" s="25" t="n"/>
      <c r="G21" s="12" t="n"/>
      <c r="H21" s="18" t="n"/>
      <c r="I21" s="18" t="n"/>
      <c r="J21" s="25" t="n"/>
      <c r="K21" s="25" t="n"/>
      <c r="L21" s="12" t="n"/>
    </row>
    <row r="22" ht="22" customHeight="1">
      <c r="B22" s="16">
        <f>IF(C22="","SCN-"&amp;TEXT(COUNTA($C$5:C22),"000"))</f>
        <v/>
      </c>
      <c r="C22" s="14" t="n"/>
      <c r="D22" s="14" t="n"/>
      <c r="E22" s="14" t="n"/>
      <c r="F22" s="26" t="n"/>
      <c r="G22" s="14" t="n"/>
      <c r="H22" s="19" t="n"/>
      <c r="I22" s="19" t="n"/>
      <c r="J22" s="26" t="n"/>
      <c r="K22" s="26" t="n"/>
      <c r="L22" s="14" t="n"/>
    </row>
    <row r="23" ht="22" customHeight="1">
      <c r="B23" s="17">
        <f>IF(C23="","SCN-"&amp;TEXT(COUNTA($C$5:C23),"000"))</f>
        <v/>
      </c>
      <c r="C23" s="12" t="n"/>
      <c r="D23" s="12" t="n"/>
      <c r="E23" s="12" t="n"/>
      <c r="F23" s="25" t="n"/>
      <c r="G23" s="12" t="n"/>
      <c r="H23" s="18" t="n"/>
      <c r="I23" s="18" t="n"/>
      <c r="J23" s="25" t="n"/>
      <c r="K23" s="25" t="n"/>
      <c r="L23" s="12" t="n"/>
    </row>
    <row r="24" ht="22" customHeight="1">
      <c r="B24" s="16">
        <f>IF(C24="","SCN-"&amp;TEXT(COUNTA($C$5:C24),"000"))</f>
        <v/>
      </c>
      <c r="C24" s="14" t="n"/>
      <c r="D24" s="14" t="n"/>
      <c r="E24" s="14" t="n"/>
      <c r="F24" s="26" t="n"/>
      <c r="G24" s="14" t="n"/>
      <c r="H24" s="19" t="n"/>
      <c r="I24" s="19" t="n"/>
      <c r="J24" s="26" t="n"/>
      <c r="K24" s="26" t="n"/>
      <c r="L24" s="14" t="n"/>
    </row>
    <row r="25" ht="22" customHeight="1">
      <c r="B25" s="17">
        <f>IF(C25="","SCN-"&amp;TEXT(COUNTA($C$5:C25),"000"))</f>
        <v/>
      </c>
      <c r="C25" s="12" t="n"/>
      <c r="D25" s="12" t="n"/>
      <c r="E25" s="12" t="n"/>
      <c r="F25" s="25" t="n"/>
      <c r="G25" s="12" t="n"/>
      <c r="H25" s="18" t="n"/>
      <c r="I25" s="18" t="n"/>
      <c r="J25" s="25" t="n"/>
      <c r="K25" s="25" t="n"/>
      <c r="L25" s="12" t="n"/>
    </row>
    <row r="26" ht="22" customHeight="1">
      <c r="B26" s="16">
        <f>IF(C26="","SCN-"&amp;TEXT(COUNTA($C$5:C26),"000"))</f>
        <v/>
      </c>
      <c r="C26" s="14" t="n"/>
      <c r="D26" s="14" t="n"/>
      <c r="E26" s="14" t="n"/>
      <c r="F26" s="26" t="n"/>
      <c r="G26" s="14" t="n"/>
      <c r="H26" s="19" t="n"/>
      <c r="I26" s="19" t="n"/>
      <c r="J26" s="26" t="n"/>
      <c r="K26" s="26" t="n"/>
      <c r="L26" s="14" t="n"/>
    </row>
    <row r="27" ht="22" customHeight="1">
      <c r="B27" s="17">
        <f>IF(C27="","SCN-"&amp;TEXT(COUNTA($C$5:C27),"000"))</f>
        <v/>
      </c>
      <c r="C27" s="12" t="n"/>
      <c r="D27" s="12" t="n"/>
      <c r="E27" s="12" t="n"/>
      <c r="F27" s="25" t="n"/>
      <c r="G27" s="12" t="n"/>
      <c r="H27" s="18" t="n"/>
      <c r="I27" s="18" t="n"/>
      <c r="J27" s="25" t="n"/>
      <c r="K27" s="25" t="n"/>
      <c r="L27" s="12" t="n"/>
    </row>
    <row r="28" ht="22" customHeight="1">
      <c r="B28" s="16">
        <f>IF(C28="","SCN-"&amp;TEXT(COUNTA($C$5:C28),"000"))</f>
        <v/>
      </c>
      <c r="C28" s="14" t="n"/>
      <c r="D28" s="14" t="n"/>
      <c r="E28" s="14" t="n"/>
      <c r="F28" s="26" t="n"/>
      <c r="G28" s="14" t="n"/>
      <c r="H28" s="19" t="n"/>
      <c r="I28" s="19" t="n"/>
      <c r="J28" s="26" t="n"/>
      <c r="K28" s="26" t="n"/>
      <c r="L28" s="14" t="n"/>
    </row>
    <row r="29" ht="22" customHeight="1">
      <c r="B29" s="17">
        <f>IF(C29="","SCN-"&amp;TEXT(COUNTA($C$5:C29),"000"))</f>
        <v/>
      </c>
      <c r="C29" s="12" t="n"/>
      <c r="D29" s="12" t="n"/>
      <c r="E29" s="12" t="n"/>
      <c r="F29" s="25" t="n"/>
      <c r="G29" s="12" t="n"/>
      <c r="H29" s="18" t="n"/>
      <c r="I29" s="18" t="n"/>
      <c r="J29" s="25" t="n"/>
      <c r="K29" s="25" t="n"/>
      <c r="L29" s="12" t="n"/>
    </row>
    <row r="30" ht="22" customHeight="1">
      <c r="B30" s="16">
        <f>IF(C30="","SCN-"&amp;TEXT(COUNTA($C$5:C30),"000"))</f>
        <v/>
      </c>
      <c r="C30" s="14" t="n"/>
      <c r="D30" s="14" t="n"/>
      <c r="E30" s="14" t="n"/>
      <c r="F30" s="26" t="n"/>
      <c r="G30" s="14" t="n"/>
      <c r="H30" s="19" t="n"/>
      <c r="I30" s="19" t="n"/>
      <c r="J30" s="26" t="n"/>
      <c r="K30" s="26" t="n"/>
      <c r="L30" s="14" t="n"/>
    </row>
    <row r="31" ht="22" customHeight="1">
      <c r="B31" s="17">
        <f>IF(C31="","SCN-"&amp;TEXT(COUNTA($C$5:C31),"000"))</f>
        <v/>
      </c>
      <c r="C31" s="12" t="n"/>
      <c r="D31" s="12" t="n"/>
      <c r="E31" s="12" t="n"/>
      <c r="F31" s="25" t="n"/>
      <c r="G31" s="12" t="n"/>
      <c r="H31" s="18" t="n"/>
      <c r="I31" s="18" t="n"/>
      <c r="J31" s="25" t="n"/>
      <c r="K31" s="25" t="n"/>
      <c r="L31" s="12" t="n"/>
    </row>
    <row r="32" ht="22" customHeight="1">
      <c r="B32" s="16">
        <f>IF(C32="","SCN-"&amp;TEXT(COUNTA($C$5:C32),"000"))</f>
        <v/>
      </c>
      <c r="C32" s="14" t="n"/>
      <c r="D32" s="14" t="n"/>
      <c r="E32" s="14" t="n"/>
      <c r="F32" s="26" t="n"/>
      <c r="G32" s="14" t="n"/>
      <c r="H32" s="19" t="n"/>
      <c r="I32" s="19" t="n"/>
      <c r="J32" s="26" t="n"/>
      <c r="K32" s="26" t="n"/>
      <c r="L32" s="14" t="n"/>
    </row>
    <row r="33" ht="22" customHeight="1">
      <c r="B33" s="17">
        <f>IF(C33="","SCN-"&amp;TEXT(COUNTA($C$5:C33),"000"))</f>
        <v/>
      </c>
      <c r="C33" s="12" t="n"/>
      <c r="D33" s="12" t="n"/>
      <c r="E33" s="12" t="n"/>
      <c r="F33" s="25" t="n"/>
      <c r="G33" s="12" t="n"/>
      <c r="H33" s="18" t="n"/>
      <c r="I33" s="18" t="n"/>
      <c r="J33" s="25" t="n"/>
      <c r="K33" s="25" t="n"/>
      <c r="L33" s="12" t="n"/>
    </row>
    <row r="34" ht="22" customHeight="1">
      <c r="B34" s="16">
        <f>IF(C34="","SCN-"&amp;TEXT(COUNTA($C$5:C34),"000"))</f>
        <v/>
      </c>
      <c r="C34" s="14" t="n"/>
      <c r="D34" s="14" t="n"/>
      <c r="E34" s="14" t="n"/>
      <c r="F34" s="26" t="n"/>
      <c r="G34" s="14" t="n"/>
      <c r="H34" s="19" t="n"/>
      <c r="I34" s="19" t="n"/>
      <c r="J34" s="26" t="n"/>
      <c r="K34" s="26" t="n"/>
      <c r="L34" s="14" t="n"/>
    </row>
    <row r="35" ht="22" customHeight="1">
      <c r="B35" s="17">
        <f>IF(C35="","SCN-"&amp;TEXT(COUNTA($C$5:C35),"000"))</f>
        <v/>
      </c>
      <c r="C35" s="12" t="n"/>
      <c r="D35" s="12" t="n"/>
      <c r="E35" s="12" t="n"/>
      <c r="F35" s="25" t="n"/>
      <c r="G35" s="12" t="n"/>
      <c r="H35" s="18" t="n"/>
      <c r="I35" s="18" t="n"/>
      <c r="J35" s="25" t="n"/>
      <c r="K35" s="25" t="n"/>
      <c r="L35" s="12" t="n"/>
    </row>
    <row r="36" ht="22" customHeight="1">
      <c r="B36" s="16">
        <f>IF(C36="","SCN-"&amp;TEXT(COUNTA($C$5:C36),"000"))</f>
        <v/>
      </c>
      <c r="C36" s="14" t="n"/>
      <c r="D36" s="14" t="n"/>
      <c r="E36" s="14" t="n"/>
      <c r="F36" s="26" t="n"/>
      <c r="G36" s="14" t="n"/>
      <c r="H36" s="19" t="n"/>
      <c r="I36" s="19" t="n"/>
      <c r="J36" s="26" t="n"/>
      <c r="K36" s="26" t="n"/>
      <c r="L36" s="14" t="n"/>
    </row>
    <row r="37" ht="22" customHeight="1">
      <c r="B37" s="17">
        <f>IF(C37="","SCN-"&amp;TEXT(COUNTA($C$5:C37),"000"))</f>
        <v/>
      </c>
      <c r="C37" s="12" t="n"/>
      <c r="D37" s="12" t="n"/>
      <c r="E37" s="12" t="n"/>
      <c r="F37" s="25" t="n"/>
      <c r="G37" s="12" t="n"/>
      <c r="H37" s="18" t="n"/>
      <c r="I37" s="18" t="n"/>
      <c r="J37" s="25" t="n"/>
      <c r="K37" s="25" t="n"/>
      <c r="L37" s="12" t="n"/>
    </row>
    <row r="38" ht="22" customHeight="1">
      <c r="B38" s="16">
        <f>IF(C38="","SCN-"&amp;TEXT(COUNTA($C$5:C38),"000"))</f>
        <v/>
      </c>
      <c r="C38" s="14" t="n"/>
      <c r="D38" s="14" t="n"/>
      <c r="E38" s="14" t="n"/>
      <c r="F38" s="26" t="n"/>
      <c r="G38" s="14" t="n"/>
      <c r="H38" s="19" t="n"/>
      <c r="I38" s="19" t="n"/>
      <c r="J38" s="26" t="n"/>
      <c r="K38" s="26" t="n"/>
      <c r="L38" s="14" t="n"/>
    </row>
    <row r="39" ht="22" customHeight="1">
      <c r="B39" s="17">
        <f>IF(C39="","SCN-"&amp;TEXT(COUNTA($C$5:C39),"000"))</f>
        <v/>
      </c>
      <c r="C39" s="12" t="n"/>
      <c r="D39" s="12" t="n"/>
      <c r="E39" s="12" t="n"/>
      <c r="F39" s="25" t="n"/>
      <c r="G39" s="12" t="n"/>
      <c r="H39" s="18" t="n"/>
      <c r="I39" s="18" t="n"/>
      <c r="J39" s="25" t="n"/>
      <c r="K39" s="25" t="n"/>
      <c r="L39" s="12" t="n"/>
    </row>
    <row r="40" ht="22" customHeight="1">
      <c r="B40" s="16">
        <f>IF(C40="","SCN-"&amp;TEXT(COUNTA($C$5:C40),"000"))</f>
        <v/>
      </c>
      <c r="C40" s="14" t="n"/>
      <c r="D40" s="14" t="n"/>
      <c r="E40" s="14" t="n"/>
      <c r="F40" s="26" t="n"/>
      <c r="G40" s="14" t="n"/>
      <c r="H40" s="19" t="n"/>
      <c r="I40" s="19" t="n"/>
      <c r="J40" s="26" t="n"/>
      <c r="K40" s="26" t="n"/>
      <c r="L40" s="14" t="n"/>
    </row>
    <row r="41" ht="22" customHeight="1">
      <c r="B41" s="17">
        <f>IF(C41="","SCN-"&amp;TEXT(COUNTA($C$5:C41),"000"))</f>
        <v/>
      </c>
      <c r="C41" s="12" t="n"/>
      <c r="D41" s="12" t="n"/>
      <c r="E41" s="12" t="n"/>
      <c r="F41" s="25" t="n"/>
      <c r="G41" s="12" t="n"/>
      <c r="H41" s="18" t="n"/>
      <c r="I41" s="18" t="n"/>
      <c r="J41" s="25" t="n"/>
      <c r="K41" s="25" t="n"/>
      <c r="L41" s="12" t="n"/>
    </row>
    <row r="42" ht="22" customHeight="1">
      <c r="B42" s="16">
        <f>IF(C42="","SCN-"&amp;TEXT(COUNTA($C$5:C42),"000"))</f>
        <v/>
      </c>
      <c r="C42" s="14" t="n"/>
      <c r="D42" s="14" t="n"/>
      <c r="E42" s="14" t="n"/>
      <c r="F42" s="26" t="n"/>
      <c r="G42" s="14" t="n"/>
      <c r="H42" s="19" t="n"/>
      <c r="I42" s="19" t="n"/>
      <c r="J42" s="26" t="n"/>
      <c r="K42" s="26" t="n"/>
      <c r="L42" s="14" t="n"/>
    </row>
    <row r="43" ht="22" customHeight="1">
      <c r="B43" s="17">
        <f>IF(C43="","SCN-"&amp;TEXT(COUNTA($C$5:C43),"000"))</f>
        <v/>
      </c>
      <c r="C43" s="12" t="n"/>
      <c r="D43" s="12" t="n"/>
      <c r="E43" s="12" t="n"/>
      <c r="F43" s="25" t="n"/>
      <c r="G43" s="12" t="n"/>
      <c r="H43" s="18" t="n"/>
      <c r="I43" s="18" t="n"/>
      <c r="J43" s="25" t="n"/>
      <c r="K43" s="25" t="n"/>
      <c r="L43" s="12" t="n"/>
    </row>
    <row r="44" ht="22" customHeight="1">
      <c r="B44" s="16">
        <f>IF(C44="","SCN-"&amp;TEXT(COUNTA($C$5:C44),"000"))</f>
        <v/>
      </c>
      <c r="C44" s="14" t="n"/>
      <c r="D44" s="14" t="n"/>
      <c r="E44" s="14" t="n"/>
      <c r="F44" s="26" t="n"/>
      <c r="G44" s="14" t="n"/>
      <c r="H44" s="19" t="n"/>
      <c r="I44" s="19" t="n"/>
      <c r="J44" s="26" t="n"/>
      <c r="K44" s="26" t="n"/>
      <c r="L44" s="14" t="n"/>
    </row>
    <row r="45" ht="22" customHeight="1">
      <c r="B45" s="17">
        <f>IF(C45="","SCN-"&amp;TEXT(COUNTA($C$5:C45),"000"))</f>
        <v/>
      </c>
      <c r="C45" s="12" t="n"/>
      <c r="D45" s="12" t="n"/>
      <c r="E45" s="12" t="n"/>
      <c r="F45" s="25" t="n"/>
      <c r="G45" s="12" t="n"/>
      <c r="H45" s="18" t="n"/>
      <c r="I45" s="18" t="n"/>
      <c r="J45" s="25" t="n"/>
      <c r="K45" s="25" t="n"/>
      <c r="L45" s="12" t="n"/>
    </row>
    <row r="46" ht="22" customHeight="1">
      <c r="B46" s="16">
        <f>IF(C46="","SCN-"&amp;TEXT(COUNTA($C$5:C46),"000"))</f>
        <v/>
      </c>
      <c r="C46" s="14" t="n"/>
      <c r="D46" s="14" t="n"/>
      <c r="E46" s="14" t="n"/>
      <c r="F46" s="26" t="n"/>
      <c r="G46" s="14" t="n"/>
      <c r="H46" s="19" t="n"/>
      <c r="I46" s="19" t="n"/>
      <c r="J46" s="26" t="n"/>
      <c r="K46" s="26" t="n"/>
      <c r="L46" s="14" t="n"/>
    </row>
    <row r="47" ht="22" customHeight="1">
      <c r="B47" s="17">
        <f>IF(C47="","SCN-"&amp;TEXT(COUNTA($C$5:C47),"000"))</f>
        <v/>
      </c>
      <c r="C47" s="12" t="n"/>
      <c r="D47" s="12" t="n"/>
      <c r="E47" s="12" t="n"/>
      <c r="F47" s="25" t="n"/>
      <c r="G47" s="12" t="n"/>
      <c r="H47" s="18" t="n"/>
      <c r="I47" s="18" t="n"/>
      <c r="J47" s="25" t="n"/>
      <c r="K47" s="25" t="n"/>
      <c r="L47" s="12" t="n"/>
    </row>
    <row r="48" ht="22" customHeight="1">
      <c r="B48" s="16">
        <f>IF(C48="","SCN-"&amp;TEXT(COUNTA($C$5:C48),"000"))</f>
        <v/>
      </c>
      <c r="C48" s="14" t="n"/>
      <c r="D48" s="14" t="n"/>
      <c r="E48" s="14" t="n"/>
      <c r="F48" s="26" t="n"/>
      <c r="G48" s="14" t="n"/>
      <c r="H48" s="19" t="n"/>
      <c r="I48" s="19" t="n"/>
      <c r="J48" s="26" t="n"/>
      <c r="K48" s="26" t="n"/>
      <c r="L48" s="14" t="n"/>
    </row>
    <row r="49" ht="22" customHeight="1">
      <c r="B49" s="17">
        <f>IF(C49="","SCN-"&amp;TEXT(COUNTA($C$5:C49),"000"))</f>
        <v/>
      </c>
      <c r="C49" s="12" t="n"/>
      <c r="D49" s="12" t="n"/>
      <c r="E49" s="12" t="n"/>
      <c r="F49" s="25" t="n"/>
      <c r="G49" s="12" t="n"/>
      <c r="H49" s="18" t="n"/>
      <c r="I49" s="18" t="n"/>
      <c r="J49" s="25" t="n"/>
      <c r="K49" s="25" t="n"/>
      <c r="L49" s="12" t="n"/>
    </row>
    <row r="50" ht="22" customHeight="1">
      <c r="B50" s="16">
        <f>IF(C50="","SCN-"&amp;TEXT(COUNTA($C$5:C50),"000"))</f>
        <v/>
      </c>
      <c r="C50" s="14" t="n"/>
      <c r="D50" s="14" t="n"/>
      <c r="E50" s="14" t="n"/>
      <c r="F50" s="26" t="n"/>
      <c r="G50" s="14" t="n"/>
      <c r="H50" s="19" t="n"/>
      <c r="I50" s="19" t="n"/>
      <c r="J50" s="26" t="n"/>
      <c r="K50" s="26" t="n"/>
      <c r="L50" s="14" t="n"/>
    </row>
    <row r="51" ht="22" customHeight="1">
      <c r="B51" s="17">
        <f>IF(C51="","SCN-"&amp;TEXT(COUNTA($C$5:C51),"000"))</f>
        <v/>
      </c>
      <c r="C51" s="12" t="n"/>
      <c r="D51" s="12" t="n"/>
      <c r="E51" s="12" t="n"/>
      <c r="F51" s="25" t="n"/>
      <c r="G51" s="12" t="n"/>
      <c r="H51" s="18" t="n"/>
      <c r="I51" s="18" t="n"/>
      <c r="J51" s="25" t="n"/>
      <c r="K51" s="25" t="n"/>
      <c r="L51" s="12" t="n"/>
    </row>
    <row r="52" ht="22" customHeight="1">
      <c r="B52" s="16">
        <f>IF(C52="","SCN-"&amp;TEXT(COUNTA($C$5:C52),"000"))</f>
        <v/>
      </c>
      <c r="C52" s="14" t="n"/>
      <c r="D52" s="14" t="n"/>
      <c r="E52" s="14" t="n"/>
      <c r="F52" s="26" t="n"/>
      <c r="G52" s="14" t="n"/>
      <c r="H52" s="19" t="n"/>
      <c r="I52" s="19" t="n"/>
      <c r="J52" s="26" t="n"/>
      <c r="K52" s="26" t="n"/>
      <c r="L52" s="14" t="n"/>
    </row>
    <row r="53" ht="22" customHeight="1">
      <c r="B53" s="17">
        <f>IF(C53="","SCN-"&amp;TEXT(COUNTA($C$5:C53),"000"))</f>
        <v/>
      </c>
      <c r="C53" s="12" t="n"/>
      <c r="D53" s="12" t="n"/>
      <c r="E53" s="12" t="n"/>
      <c r="F53" s="25" t="n"/>
      <c r="G53" s="12" t="n"/>
      <c r="H53" s="18" t="n"/>
      <c r="I53" s="18" t="n"/>
      <c r="J53" s="25" t="n"/>
      <c r="K53" s="25" t="n"/>
      <c r="L53" s="12" t="n"/>
    </row>
    <row r="54" ht="22" customHeight="1">
      <c r="B54" s="16">
        <f>IF(C54="","SCN-"&amp;TEXT(COUNTA($C$5:C54),"000"))</f>
        <v/>
      </c>
      <c r="C54" s="14" t="n"/>
      <c r="D54" s="14" t="n"/>
      <c r="E54" s="14" t="n"/>
      <c r="F54" s="26" t="n"/>
      <c r="G54" s="14" t="n"/>
      <c r="H54" s="19" t="n"/>
      <c r="I54" s="19" t="n"/>
      <c r="J54" s="26" t="n"/>
      <c r="K54" s="26" t="n"/>
      <c r="L54" s="14" t="n"/>
    </row>
    <row r="55" ht="22" customHeight="1">
      <c r="B55" s="17">
        <f>IF(C55="","SCN-"&amp;TEXT(COUNTA($C$5:C55),"000"))</f>
        <v/>
      </c>
      <c r="C55" s="12" t="n"/>
      <c r="D55" s="12" t="n"/>
      <c r="E55" s="12" t="n"/>
      <c r="F55" s="25" t="n"/>
      <c r="G55" s="12" t="n"/>
      <c r="H55" s="18" t="n"/>
      <c r="I55" s="18" t="n"/>
      <c r="J55" s="25" t="n"/>
      <c r="K55" s="25" t="n"/>
      <c r="L55" s="12" t="n"/>
    </row>
    <row r="56" ht="22" customHeight="1">
      <c r="B56" s="16">
        <f>IF(C56="","SCN-"&amp;TEXT(COUNTA($C$5:C56),"000"))</f>
        <v/>
      </c>
      <c r="C56" s="14" t="n"/>
      <c r="D56" s="14" t="n"/>
      <c r="E56" s="14" t="n"/>
      <c r="F56" s="26" t="n"/>
      <c r="G56" s="14" t="n"/>
      <c r="H56" s="19" t="n"/>
      <c r="I56" s="19" t="n"/>
      <c r="J56" s="26" t="n"/>
      <c r="K56" s="26" t="n"/>
      <c r="L56" s="14" t="n"/>
    </row>
    <row r="57" ht="22" customHeight="1">
      <c r="B57" s="17">
        <f>IF(C57="","SCN-"&amp;TEXT(COUNTA($C$5:C57),"000"))</f>
        <v/>
      </c>
      <c r="C57" s="12" t="n"/>
      <c r="D57" s="12" t="n"/>
      <c r="E57" s="12" t="n"/>
      <c r="F57" s="25" t="n"/>
      <c r="G57" s="12" t="n"/>
      <c r="H57" s="18" t="n"/>
      <c r="I57" s="18" t="n"/>
      <c r="J57" s="25" t="n"/>
      <c r="K57" s="25" t="n"/>
      <c r="L57" s="12" t="n"/>
    </row>
    <row r="58" ht="22" customHeight="1">
      <c r="B58" s="16">
        <f>IF(C58="","SCN-"&amp;TEXT(COUNTA($C$5:C58),"000"))</f>
        <v/>
      </c>
      <c r="C58" s="14" t="n"/>
      <c r="D58" s="14" t="n"/>
      <c r="E58" s="14" t="n"/>
      <c r="F58" s="26" t="n"/>
      <c r="G58" s="14" t="n"/>
      <c r="H58" s="19" t="n"/>
      <c r="I58" s="19" t="n"/>
      <c r="J58" s="26" t="n"/>
      <c r="K58" s="26" t="n"/>
      <c r="L58" s="14" t="n"/>
    </row>
    <row r="59" ht="22" customHeight="1">
      <c r="B59" s="17">
        <f>IF(C59="","SCN-"&amp;TEXT(COUNTA($C$5:C59),"000"))</f>
        <v/>
      </c>
      <c r="C59" s="12" t="n"/>
      <c r="D59" s="12" t="n"/>
      <c r="E59" s="12" t="n"/>
      <c r="F59" s="25" t="n"/>
      <c r="G59" s="12" t="n"/>
      <c r="H59" s="18" t="n"/>
      <c r="I59" s="18" t="n"/>
      <c r="J59" s="25" t="n"/>
      <c r="K59" s="25" t="n"/>
      <c r="L59" s="12" t="n"/>
    </row>
    <row r="60" ht="22" customHeight="1">
      <c r="B60" s="16">
        <f>IF(C60="","SCN-"&amp;TEXT(COUNTA($C$5:C60),"000"))</f>
        <v/>
      </c>
      <c r="C60" s="14" t="n"/>
      <c r="D60" s="14" t="n"/>
      <c r="E60" s="14" t="n"/>
      <c r="F60" s="26" t="n"/>
      <c r="G60" s="14" t="n"/>
      <c r="H60" s="19" t="n"/>
      <c r="I60" s="19" t="n"/>
      <c r="J60" s="26" t="n"/>
      <c r="K60" s="26" t="n"/>
      <c r="L60" s="14" t="n"/>
    </row>
    <row r="61" ht="22" customHeight="1">
      <c r="B61" s="17">
        <f>IF(C61="","SCN-"&amp;TEXT(COUNTA($C$5:C61),"000"))</f>
        <v/>
      </c>
      <c r="C61" s="12" t="n"/>
      <c r="D61" s="12" t="n"/>
      <c r="E61" s="12" t="n"/>
      <c r="F61" s="25" t="n"/>
      <c r="G61" s="12" t="n"/>
      <c r="H61" s="18" t="n"/>
      <c r="I61" s="18" t="n"/>
      <c r="J61" s="25" t="n"/>
      <c r="K61" s="25" t="n"/>
      <c r="L61" s="12" t="n"/>
    </row>
    <row r="62" ht="22" customHeight="1">
      <c r="B62" s="16">
        <f>IF(C62="","SCN-"&amp;TEXT(COUNTA($C$5:C62),"000"))</f>
        <v/>
      </c>
      <c r="C62" s="14" t="n"/>
      <c r="D62" s="14" t="n"/>
      <c r="E62" s="14" t="n"/>
      <c r="F62" s="26" t="n"/>
      <c r="G62" s="14" t="n"/>
      <c r="H62" s="19" t="n"/>
      <c r="I62" s="19" t="n"/>
      <c r="J62" s="26" t="n"/>
      <c r="K62" s="26" t="n"/>
      <c r="L62" s="14" t="n"/>
    </row>
    <row r="63" ht="22" customHeight="1">
      <c r="B63" s="17">
        <f>IF(C63="","SCN-"&amp;TEXT(COUNTA($C$5:C63),"000"))</f>
        <v/>
      </c>
      <c r="C63" s="12" t="n"/>
      <c r="D63" s="12" t="n"/>
      <c r="E63" s="12" t="n"/>
      <c r="F63" s="25" t="n"/>
      <c r="G63" s="12" t="n"/>
      <c r="H63" s="18" t="n"/>
      <c r="I63" s="18" t="n"/>
      <c r="J63" s="25" t="n"/>
      <c r="K63" s="25" t="n"/>
      <c r="L63" s="12" t="n"/>
    </row>
    <row r="64" ht="22" customHeight="1">
      <c r="B64" s="16">
        <f>IF(C64="","SCN-"&amp;TEXT(COUNTA($C$5:C64),"000"))</f>
        <v/>
      </c>
      <c r="C64" s="14" t="n"/>
      <c r="D64" s="14" t="n"/>
      <c r="E64" s="14" t="n"/>
      <c r="F64" s="26" t="n"/>
      <c r="G64" s="14" t="n"/>
      <c r="H64" s="19" t="n"/>
      <c r="I64" s="19" t="n"/>
      <c r="J64" s="26" t="n"/>
      <c r="K64" s="26" t="n"/>
      <c r="L64" s="14" t="n"/>
    </row>
    <row r="65" ht="22" customHeight="1">
      <c r="B65" s="17">
        <f>IF(C65="","SCN-"&amp;TEXT(COUNTA($C$5:C65),"000"))</f>
        <v/>
      </c>
      <c r="C65" s="12" t="n"/>
      <c r="D65" s="12" t="n"/>
      <c r="E65" s="12" t="n"/>
      <c r="F65" s="25" t="n"/>
      <c r="G65" s="12" t="n"/>
      <c r="H65" s="18" t="n"/>
      <c r="I65" s="18" t="n"/>
      <c r="J65" s="25" t="n"/>
      <c r="K65" s="25" t="n"/>
      <c r="L65" s="12" t="n"/>
    </row>
    <row r="66" ht="22" customHeight="1">
      <c r="B66" s="16">
        <f>IF(C66="","SCN-"&amp;TEXT(COUNTA($C$5:C66),"000"))</f>
        <v/>
      </c>
      <c r="C66" s="14" t="n"/>
      <c r="D66" s="14" t="n"/>
      <c r="E66" s="14" t="n"/>
      <c r="F66" s="26" t="n"/>
      <c r="G66" s="14" t="n"/>
      <c r="H66" s="19" t="n"/>
      <c r="I66" s="19" t="n"/>
      <c r="J66" s="26" t="n"/>
      <c r="K66" s="26" t="n"/>
      <c r="L66" s="14" t="n"/>
    </row>
    <row r="67" ht="22" customHeight="1">
      <c r="B67" s="17">
        <f>IF(C67="","SCN-"&amp;TEXT(COUNTA($C$5:C67),"000"))</f>
        <v/>
      </c>
      <c r="C67" s="12" t="n"/>
      <c r="D67" s="12" t="n"/>
      <c r="E67" s="12" t="n"/>
      <c r="F67" s="25" t="n"/>
      <c r="G67" s="12" t="n"/>
      <c r="H67" s="18" t="n"/>
      <c r="I67" s="18" t="n"/>
      <c r="J67" s="25" t="n"/>
      <c r="K67" s="25" t="n"/>
      <c r="L67" s="12" t="n"/>
    </row>
    <row r="68" ht="22" customHeight="1">
      <c r="B68" s="16">
        <f>IF(C68="","SCN-"&amp;TEXT(COUNTA($C$5:C68),"000"))</f>
        <v/>
      </c>
      <c r="C68" s="14" t="n"/>
      <c r="D68" s="14" t="n"/>
      <c r="E68" s="14" t="n"/>
      <c r="F68" s="26" t="n"/>
      <c r="G68" s="14" t="n"/>
      <c r="H68" s="19" t="n"/>
      <c r="I68" s="19" t="n"/>
      <c r="J68" s="26" t="n"/>
      <c r="K68" s="26" t="n"/>
      <c r="L68" s="14" t="n"/>
    </row>
    <row r="69" ht="22" customHeight="1">
      <c r="B69" s="17">
        <f>IF(C69="","SCN-"&amp;TEXT(COUNTA($C$5:C69),"000"))</f>
        <v/>
      </c>
      <c r="C69" s="12" t="n"/>
      <c r="D69" s="12" t="n"/>
      <c r="E69" s="12" t="n"/>
      <c r="F69" s="25" t="n"/>
      <c r="G69" s="12" t="n"/>
      <c r="H69" s="18" t="n"/>
      <c r="I69" s="18" t="n"/>
      <c r="J69" s="25" t="n"/>
      <c r="K69" s="25" t="n"/>
      <c r="L69" s="12" t="n"/>
    </row>
    <row r="70" ht="22" customHeight="1">
      <c r="B70" s="16">
        <f>IF(C70="","SCN-"&amp;TEXT(COUNTA($C$5:C70),"000"))</f>
        <v/>
      </c>
      <c r="C70" s="14" t="n"/>
      <c r="D70" s="14" t="n"/>
      <c r="E70" s="14" t="n"/>
      <c r="F70" s="26" t="n"/>
      <c r="G70" s="14" t="n"/>
      <c r="H70" s="19" t="n"/>
      <c r="I70" s="19" t="n"/>
      <c r="J70" s="26" t="n"/>
      <c r="K70" s="26" t="n"/>
      <c r="L70" s="14" t="n"/>
    </row>
    <row r="71" ht="22" customHeight="1">
      <c r="B71" s="17">
        <f>IF(C71="","SCN-"&amp;TEXT(COUNTA($C$5:C71),"000"))</f>
        <v/>
      </c>
      <c r="C71" s="12" t="n"/>
      <c r="D71" s="12" t="n"/>
      <c r="E71" s="12" t="n"/>
      <c r="F71" s="25" t="n"/>
      <c r="G71" s="12" t="n"/>
      <c r="H71" s="18" t="n"/>
      <c r="I71" s="18" t="n"/>
      <c r="J71" s="25" t="n"/>
      <c r="K71" s="25" t="n"/>
      <c r="L71" s="12" t="n"/>
    </row>
    <row r="72" ht="22" customHeight="1">
      <c r="B72" s="16">
        <f>IF(C72="","SCN-"&amp;TEXT(COUNTA($C$5:C72),"000"))</f>
        <v/>
      </c>
      <c r="C72" s="14" t="n"/>
      <c r="D72" s="14" t="n"/>
      <c r="E72" s="14" t="n"/>
      <c r="F72" s="26" t="n"/>
      <c r="G72" s="14" t="n"/>
      <c r="H72" s="19" t="n"/>
      <c r="I72" s="19" t="n"/>
      <c r="J72" s="26" t="n"/>
      <c r="K72" s="26" t="n"/>
      <c r="L72" s="14" t="n"/>
    </row>
    <row r="73" ht="22" customHeight="1">
      <c r="B73" s="17">
        <f>IF(C73="","SCN-"&amp;TEXT(COUNTA($C$5:C73),"000"))</f>
        <v/>
      </c>
      <c r="C73" s="12" t="n"/>
      <c r="D73" s="12" t="n"/>
      <c r="E73" s="12" t="n"/>
      <c r="F73" s="25" t="n"/>
      <c r="G73" s="12" t="n"/>
      <c r="H73" s="18" t="n"/>
      <c r="I73" s="18" t="n"/>
      <c r="J73" s="25" t="n"/>
      <c r="K73" s="25" t="n"/>
      <c r="L73" s="12" t="n"/>
    </row>
    <row r="74" ht="22" customHeight="1">
      <c r="B74" s="16">
        <f>IF(C74="","SCN-"&amp;TEXT(COUNTA($C$5:C74),"000"))</f>
        <v/>
      </c>
      <c r="C74" s="14" t="n"/>
      <c r="D74" s="14" t="n"/>
      <c r="E74" s="14" t="n"/>
      <c r="F74" s="26" t="n"/>
      <c r="G74" s="14" t="n"/>
      <c r="H74" s="19" t="n"/>
      <c r="I74" s="19" t="n"/>
      <c r="J74" s="26" t="n"/>
      <c r="K74" s="26" t="n"/>
      <c r="L74" s="14" t="n"/>
    </row>
    <row r="75" ht="22" customHeight="1">
      <c r="B75" s="17">
        <f>IF(C75="","SCN-"&amp;TEXT(COUNTA($C$5:C75),"000"))</f>
        <v/>
      </c>
      <c r="C75" s="12" t="n"/>
      <c r="D75" s="12" t="n"/>
      <c r="E75" s="12" t="n"/>
      <c r="F75" s="25" t="n"/>
      <c r="G75" s="12" t="n"/>
      <c r="H75" s="18" t="n"/>
      <c r="I75" s="18" t="n"/>
      <c r="J75" s="25" t="n"/>
      <c r="K75" s="25" t="n"/>
      <c r="L75" s="12" t="n"/>
    </row>
    <row r="76" ht="22" customHeight="1">
      <c r="B76" s="16">
        <f>IF(C76="","SCN-"&amp;TEXT(COUNTA($C$5:C76),"000"))</f>
        <v/>
      </c>
      <c r="C76" s="14" t="n"/>
      <c r="D76" s="14" t="n"/>
      <c r="E76" s="14" t="n"/>
      <c r="F76" s="26" t="n"/>
      <c r="G76" s="14" t="n"/>
      <c r="H76" s="19" t="n"/>
      <c r="I76" s="19" t="n"/>
      <c r="J76" s="26" t="n"/>
      <c r="K76" s="26" t="n"/>
      <c r="L76" s="14" t="n"/>
    </row>
    <row r="77" ht="22" customHeight="1">
      <c r="B77" s="17">
        <f>IF(C77="","SCN-"&amp;TEXT(COUNTA($C$5:C77),"000"))</f>
        <v/>
      </c>
      <c r="C77" s="12" t="n"/>
      <c r="D77" s="12" t="n"/>
      <c r="E77" s="12" t="n"/>
      <c r="F77" s="25" t="n"/>
      <c r="G77" s="12" t="n"/>
      <c r="H77" s="18" t="n"/>
      <c r="I77" s="18" t="n"/>
      <c r="J77" s="25" t="n"/>
      <c r="K77" s="25" t="n"/>
      <c r="L77" s="12" t="n"/>
    </row>
    <row r="78" ht="22" customHeight="1">
      <c r="B78" s="16">
        <f>IF(C78="","SCN-"&amp;TEXT(COUNTA($C$5:C78),"000"))</f>
        <v/>
      </c>
      <c r="C78" s="14" t="n"/>
      <c r="D78" s="14" t="n"/>
      <c r="E78" s="14" t="n"/>
      <c r="F78" s="26" t="n"/>
      <c r="G78" s="14" t="n"/>
      <c r="H78" s="19" t="n"/>
      <c r="I78" s="19" t="n"/>
      <c r="J78" s="26" t="n"/>
      <c r="K78" s="26" t="n"/>
      <c r="L78" s="14" t="n"/>
    </row>
    <row r="79" ht="22" customHeight="1">
      <c r="B79" s="17">
        <f>IF(C79="","SCN-"&amp;TEXT(COUNTA($C$5:C79),"000"))</f>
        <v/>
      </c>
      <c r="C79" s="12" t="n"/>
      <c r="D79" s="12" t="n"/>
      <c r="E79" s="12" t="n"/>
      <c r="F79" s="25" t="n"/>
      <c r="G79" s="12" t="n"/>
      <c r="H79" s="18" t="n"/>
      <c r="I79" s="18" t="n"/>
      <c r="J79" s="25" t="n"/>
      <c r="K79" s="25" t="n"/>
      <c r="L79" s="12" t="n"/>
    </row>
    <row r="80" ht="22" customHeight="1">
      <c r="B80" s="16">
        <f>IF(C80="","SCN-"&amp;TEXT(COUNTA($C$5:C80),"000"))</f>
        <v/>
      </c>
      <c r="C80" s="14" t="n"/>
      <c r="D80" s="14" t="n"/>
      <c r="E80" s="14" t="n"/>
      <c r="F80" s="26" t="n"/>
      <c r="G80" s="14" t="n"/>
      <c r="H80" s="19" t="n"/>
      <c r="I80" s="19" t="n"/>
      <c r="J80" s="26" t="n"/>
      <c r="K80" s="26" t="n"/>
      <c r="L80" s="14" t="n"/>
    </row>
    <row r="81" ht="22" customHeight="1">
      <c r="B81" s="17">
        <f>IF(C81="","SCN-"&amp;TEXT(COUNTA($C$5:C81),"000"))</f>
        <v/>
      </c>
      <c r="C81" s="12" t="n"/>
      <c r="D81" s="12" t="n"/>
      <c r="E81" s="12" t="n"/>
      <c r="F81" s="25" t="n"/>
      <c r="G81" s="12" t="n"/>
      <c r="H81" s="18" t="n"/>
      <c r="I81" s="18" t="n"/>
      <c r="J81" s="25" t="n"/>
      <c r="K81" s="25" t="n"/>
      <c r="L81" s="12" t="n"/>
    </row>
    <row r="82" ht="22" customHeight="1">
      <c r="B82" s="16">
        <f>IF(C82="","SCN-"&amp;TEXT(COUNTA($C$5:C82),"000"))</f>
        <v/>
      </c>
      <c r="C82" s="14" t="n"/>
      <c r="D82" s="14" t="n"/>
      <c r="E82" s="14" t="n"/>
      <c r="F82" s="26" t="n"/>
      <c r="G82" s="14" t="n"/>
      <c r="H82" s="19" t="n"/>
      <c r="I82" s="19" t="n"/>
      <c r="J82" s="26" t="n"/>
      <c r="K82" s="26" t="n"/>
      <c r="L82" s="14" t="n"/>
    </row>
    <row r="83" ht="22" customHeight="1">
      <c r="B83" s="17">
        <f>IF(C83="","SCN-"&amp;TEXT(COUNTA($C$5:C83),"000"))</f>
        <v/>
      </c>
      <c r="C83" s="12" t="n"/>
      <c r="D83" s="12" t="n"/>
      <c r="E83" s="12" t="n"/>
      <c r="F83" s="25" t="n"/>
      <c r="G83" s="12" t="n"/>
      <c r="H83" s="18" t="n"/>
      <c r="I83" s="18" t="n"/>
      <c r="J83" s="25" t="n"/>
      <c r="K83" s="25" t="n"/>
      <c r="L83" s="12" t="n"/>
    </row>
    <row r="84" ht="22" customHeight="1">
      <c r="B84" s="16">
        <f>IF(C84="","SCN-"&amp;TEXT(COUNTA($C$5:C84),"000"))</f>
        <v/>
      </c>
      <c r="C84" s="14" t="n"/>
      <c r="D84" s="14" t="n"/>
      <c r="E84" s="14" t="n"/>
      <c r="F84" s="26" t="n"/>
      <c r="G84" s="14" t="n"/>
      <c r="H84" s="19" t="n"/>
      <c r="I84" s="19" t="n"/>
      <c r="J84" s="26" t="n"/>
      <c r="K84" s="26" t="n"/>
      <c r="L84" s="14" t="n"/>
    </row>
    <row r="85" ht="22" customHeight="1">
      <c r="B85" s="17">
        <f>IF(C85="","SCN-"&amp;TEXT(COUNTA($C$5:C85),"000"))</f>
        <v/>
      </c>
      <c r="C85" s="12" t="n"/>
      <c r="D85" s="12" t="n"/>
      <c r="E85" s="12" t="n"/>
      <c r="F85" s="25" t="n"/>
      <c r="G85" s="12" t="n"/>
      <c r="H85" s="18" t="n"/>
      <c r="I85" s="18" t="n"/>
      <c r="J85" s="25" t="n"/>
      <c r="K85" s="25" t="n"/>
      <c r="L85" s="12" t="n"/>
    </row>
    <row r="86" ht="22" customHeight="1">
      <c r="B86" s="16">
        <f>IF(C86="","SCN-"&amp;TEXT(COUNTA($C$5:C86),"000"))</f>
        <v/>
      </c>
      <c r="C86" s="14" t="n"/>
      <c r="D86" s="14" t="n"/>
      <c r="E86" s="14" t="n"/>
      <c r="F86" s="26" t="n"/>
      <c r="G86" s="14" t="n"/>
      <c r="H86" s="19" t="n"/>
      <c r="I86" s="19" t="n"/>
      <c r="J86" s="26" t="n"/>
      <c r="K86" s="26" t="n"/>
      <c r="L86" s="14" t="n"/>
    </row>
    <row r="87" ht="22" customHeight="1">
      <c r="B87" s="17">
        <f>IF(C87="","SCN-"&amp;TEXT(COUNTA($C$5:C87),"000"))</f>
        <v/>
      </c>
      <c r="C87" s="12" t="n"/>
      <c r="D87" s="12" t="n"/>
      <c r="E87" s="12" t="n"/>
      <c r="F87" s="25" t="n"/>
      <c r="G87" s="12" t="n"/>
      <c r="H87" s="18" t="n"/>
      <c r="I87" s="18" t="n"/>
      <c r="J87" s="25" t="n"/>
      <c r="K87" s="25" t="n"/>
      <c r="L87" s="12" t="n"/>
    </row>
    <row r="88" ht="22" customHeight="1">
      <c r="B88" s="16">
        <f>IF(C88="","SCN-"&amp;TEXT(COUNTA($C$5:C88),"000"))</f>
        <v/>
      </c>
      <c r="C88" s="14" t="n"/>
      <c r="D88" s="14" t="n"/>
      <c r="E88" s="14" t="n"/>
      <c r="F88" s="26" t="n"/>
      <c r="G88" s="14" t="n"/>
      <c r="H88" s="19" t="n"/>
      <c r="I88" s="19" t="n"/>
      <c r="J88" s="26" t="n"/>
      <c r="K88" s="26" t="n"/>
      <c r="L88" s="14" t="n"/>
    </row>
    <row r="89" ht="22" customHeight="1">
      <c r="B89" s="17">
        <f>IF(C89="","SCN-"&amp;TEXT(COUNTA($C$5:C89),"000"))</f>
        <v/>
      </c>
      <c r="C89" s="12" t="n"/>
      <c r="D89" s="12" t="n"/>
      <c r="E89" s="12" t="n"/>
      <c r="F89" s="25" t="n"/>
      <c r="G89" s="12" t="n"/>
      <c r="H89" s="18" t="n"/>
      <c r="I89" s="18" t="n"/>
      <c r="J89" s="25" t="n"/>
      <c r="K89" s="25" t="n"/>
      <c r="L89" s="12" t="n"/>
    </row>
    <row r="90" ht="22" customHeight="1">
      <c r="B90" s="16">
        <f>IF(C90="","SCN-"&amp;TEXT(COUNTA($C$5:C90),"000"))</f>
        <v/>
      </c>
      <c r="C90" s="14" t="n"/>
      <c r="D90" s="14" t="n"/>
      <c r="E90" s="14" t="n"/>
      <c r="F90" s="26" t="n"/>
      <c r="G90" s="14" t="n"/>
      <c r="H90" s="19" t="n"/>
      <c r="I90" s="19" t="n"/>
      <c r="J90" s="26" t="n"/>
      <c r="K90" s="26" t="n"/>
      <c r="L90" s="14" t="n"/>
    </row>
    <row r="91" ht="22" customHeight="1">
      <c r="B91" s="17">
        <f>IF(C91="","SCN-"&amp;TEXT(COUNTA($C$5:C91),"000"))</f>
        <v/>
      </c>
      <c r="C91" s="12" t="n"/>
      <c r="D91" s="12" t="n"/>
      <c r="E91" s="12" t="n"/>
      <c r="F91" s="25" t="n"/>
      <c r="G91" s="12" t="n"/>
      <c r="H91" s="18" t="n"/>
      <c r="I91" s="18" t="n"/>
      <c r="J91" s="25" t="n"/>
      <c r="K91" s="25" t="n"/>
      <c r="L91" s="12" t="n"/>
    </row>
    <row r="92" ht="22" customHeight="1">
      <c r="B92" s="16">
        <f>IF(C92="","SCN-"&amp;TEXT(COUNTA($C$5:C92),"000"))</f>
        <v/>
      </c>
      <c r="C92" s="14" t="n"/>
      <c r="D92" s="14" t="n"/>
      <c r="E92" s="14" t="n"/>
      <c r="F92" s="26" t="n"/>
      <c r="G92" s="14" t="n"/>
      <c r="H92" s="19" t="n"/>
      <c r="I92" s="19" t="n"/>
      <c r="J92" s="26" t="n"/>
      <c r="K92" s="26" t="n"/>
      <c r="L92" s="14" t="n"/>
    </row>
    <row r="93" ht="22" customHeight="1">
      <c r="B93" s="17">
        <f>IF(C93="","SCN-"&amp;TEXT(COUNTA($C$5:C93),"000"))</f>
        <v/>
      </c>
      <c r="C93" s="12" t="n"/>
      <c r="D93" s="12" t="n"/>
      <c r="E93" s="12" t="n"/>
      <c r="F93" s="25" t="n"/>
      <c r="G93" s="12" t="n"/>
      <c r="H93" s="18" t="n"/>
      <c r="I93" s="18" t="n"/>
      <c r="J93" s="25" t="n"/>
      <c r="K93" s="25" t="n"/>
      <c r="L93" s="12" t="n"/>
    </row>
    <row r="94" ht="22" customHeight="1">
      <c r="B94" s="16">
        <f>IF(C94="","SCN-"&amp;TEXT(COUNTA($C$5:C94),"000"))</f>
        <v/>
      </c>
      <c r="C94" s="14" t="n"/>
      <c r="D94" s="14" t="n"/>
      <c r="E94" s="14" t="n"/>
      <c r="F94" s="26" t="n"/>
      <c r="G94" s="14" t="n"/>
      <c r="H94" s="19" t="n"/>
      <c r="I94" s="19" t="n"/>
      <c r="J94" s="26" t="n"/>
      <c r="K94" s="26" t="n"/>
      <c r="L94" s="14" t="n"/>
    </row>
    <row r="95" ht="22" customHeight="1">
      <c r="B95" s="17">
        <f>IF(C95="","SCN-"&amp;TEXT(COUNTA($C$5:C95),"000"))</f>
        <v/>
      </c>
      <c r="C95" s="12" t="n"/>
      <c r="D95" s="12" t="n"/>
      <c r="E95" s="12" t="n"/>
      <c r="F95" s="25" t="n"/>
      <c r="G95" s="12" t="n"/>
      <c r="H95" s="18" t="n"/>
      <c r="I95" s="18" t="n"/>
      <c r="J95" s="25" t="n"/>
      <c r="K95" s="25" t="n"/>
      <c r="L95" s="12" t="n"/>
    </row>
    <row r="96" ht="22" customHeight="1">
      <c r="B96" s="16">
        <f>IF(C96="","SCN-"&amp;TEXT(COUNTA($C$5:C96),"000"))</f>
        <v/>
      </c>
      <c r="C96" s="14" t="n"/>
      <c r="D96" s="14" t="n"/>
      <c r="E96" s="14" t="n"/>
      <c r="F96" s="26" t="n"/>
      <c r="G96" s="14" t="n"/>
      <c r="H96" s="19" t="n"/>
      <c r="I96" s="19" t="n"/>
      <c r="J96" s="26" t="n"/>
      <c r="K96" s="26" t="n"/>
      <c r="L96" s="14" t="n"/>
    </row>
    <row r="97" ht="22" customHeight="1">
      <c r="B97" s="17">
        <f>IF(C97="","SCN-"&amp;TEXT(COUNTA($C$5:C97),"000"))</f>
        <v/>
      </c>
      <c r="C97" s="12" t="n"/>
      <c r="D97" s="12" t="n"/>
      <c r="E97" s="12" t="n"/>
      <c r="F97" s="25" t="n"/>
      <c r="G97" s="12" t="n"/>
      <c r="H97" s="18" t="n"/>
      <c r="I97" s="18" t="n"/>
      <c r="J97" s="25" t="n"/>
      <c r="K97" s="25" t="n"/>
      <c r="L97" s="12" t="n"/>
    </row>
    <row r="98" ht="22" customHeight="1">
      <c r="B98" s="16">
        <f>IF(C98="","SCN-"&amp;TEXT(COUNTA($C$5:C98),"000"))</f>
        <v/>
      </c>
      <c r="C98" s="14" t="n"/>
      <c r="D98" s="14" t="n"/>
      <c r="E98" s="14" t="n"/>
      <c r="F98" s="26" t="n"/>
      <c r="G98" s="14" t="n"/>
      <c r="H98" s="19" t="n"/>
      <c r="I98" s="19" t="n"/>
      <c r="J98" s="26" t="n"/>
      <c r="K98" s="26" t="n"/>
      <c r="L98" s="14" t="n"/>
    </row>
    <row r="99" ht="22" customHeight="1">
      <c r="B99" s="17">
        <f>IF(C99="","SCN-"&amp;TEXT(COUNTA($C$5:C99),"000"))</f>
        <v/>
      </c>
      <c r="C99" s="12" t="n"/>
      <c r="D99" s="12" t="n"/>
      <c r="E99" s="12" t="n"/>
      <c r="F99" s="25" t="n"/>
      <c r="G99" s="12" t="n"/>
      <c r="H99" s="18" t="n"/>
      <c r="I99" s="18" t="n"/>
      <c r="J99" s="25" t="n"/>
      <c r="K99" s="25" t="n"/>
      <c r="L99" s="12" t="n"/>
    </row>
    <row r="100" ht="22" customHeight="1">
      <c r="B100" s="16">
        <f>IF(C100="","SCN-"&amp;TEXT(COUNTA($C$5:C100),"000"))</f>
        <v/>
      </c>
      <c r="C100" s="14" t="n"/>
      <c r="D100" s="14" t="n"/>
      <c r="E100" s="14" t="n"/>
      <c r="F100" s="26" t="n"/>
      <c r="G100" s="14" t="n"/>
      <c r="H100" s="19" t="n"/>
      <c r="I100" s="19" t="n"/>
      <c r="J100" s="26" t="n"/>
      <c r="K100" s="26" t="n"/>
      <c r="L100" s="14" t="n"/>
    </row>
    <row r="101" ht="22" customHeight="1">
      <c r="B101" s="17">
        <f>IF(C101="","SCN-"&amp;TEXT(COUNTA($C$5:C101),"000"))</f>
        <v/>
      </c>
      <c r="C101" s="12" t="n"/>
      <c r="D101" s="12" t="n"/>
      <c r="E101" s="12" t="n"/>
      <c r="F101" s="25" t="n"/>
      <c r="G101" s="12" t="n"/>
      <c r="H101" s="18" t="n"/>
      <c r="I101" s="18" t="n"/>
      <c r="J101" s="25" t="n"/>
      <c r="K101" s="25" t="n"/>
      <c r="L101" s="12" t="n"/>
    </row>
    <row r="102" ht="22" customHeight="1">
      <c r="B102" s="16">
        <f>IF(C102="","SCN-"&amp;TEXT(COUNTA($C$5:C102),"000"))</f>
        <v/>
      </c>
      <c r="C102" s="14" t="n"/>
      <c r="D102" s="14" t="n"/>
      <c r="E102" s="14" t="n"/>
      <c r="F102" s="26" t="n"/>
      <c r="G102" s="14" t="n"/>
      <c r="H102" s="19" t="n"/>
      <c r="I102" s="19" t="n"/>
      <c r="J102" s="26" t="n"/>
      <c r="K102" s="26" t="n"/>
      <c r="L102" s="14" t="n"/>
    </row>
    <row r="103" ht="22" customHeight="1">
      <c r="B103" s="17">
        <f>IF(C103="","SCN-"&amp;TEXT(COUNTA($C$5:C103),"000"))</f>
        <v/>
      </c>
      <c r="C103" s="12" t="n"/>
      <c r="D103" s="12" t="n"/>
      <c r="E103" s="12" t="n"/>
      <c r="F103" s="25" t="n"/>
      <c r="G103" s="12" t="n"/>
      <c r="H103" s="18" t="n"/>
      <c r="I103" s="18" t="n"/>
      <c r="J103" s="25" t="n"/>
      <c r="K103" s="25" t="n"/>
      <c r="L103" s="12" t="n"/>
    </row>
    <row r="104" ht="22" customHeight="1">
      <c r="B104" s="16">
        <f>IF(C104="","SCN-"&amp;TEXT(COUNTA($C$5:C104),"000"))</f>
        <v/>
      </c>
      <c r="C104" s="14" t="n"/>
      <c r="D104" s="14" t="n"/>
      <c r="E104" s="14" t="n"/>
      <c r="F104" s="26" t="n"/>
      <c r="G104" s="14" t="n"/>
      <c r="H104" s="19" t="n"/>
      <c r="I104" s="19" t="n"/>
      <c r="J104" s="26" t="n"/>
      <c r="K104" s="26" t="n"/>
      <c r="L104" s="14" t="n"/>
    </row>
    <row r="105" ht="22" customHeight="1">
      <c r="B105" s="17">
        <f>IF(C105="","SCN-"&amp;TEXT(COUNTA($C$5:C105),"000"))</f>
        <v/>
      </c>
      <c r="C105" s="12" t="n"/>
      <c r="D105" s="12" t="n"/>
      <c r="E105" s="12" t="n"/>
      <c r="F105" s="25" t="n"/>
      <c r="G105" s="12" t="n"/>
      <c r="H105" s="18" t="n"/>
      <c r="I105" s="18" t="n"/>
      <c r="J105" s="25" t="n"/>
      <c r="K105" s="25" t="n"/>
      <c r="L105" s="12" t="n"/>
    </row>
    <row r="106" ht="22" customHeight="1">
      <c r="B106" s="16">
        <f>IF(C106="","SCN-"&amp;TEXT(COUNTA($C$5:C106),"000"))</f>
        <v/>
      </c>
      <c r="C106" s="14" t="n"/>
      <c r="D106" s="14" t="n"/>
      <c r="E106" s="14" t="n"/>
      <c r="F106" s="26" t="n"/>
      <c r="G106" s="14" t="n"/>
      <c r="H106" s="19" t="n"/>
      <c r="I106" s="19" t="n"/>
      <c r="J106" s="26" t="n"/>
      <c r="K106" s="26" t="n"/>
      <c r="L106" s="14" t="n"/>
    </row>
    <row r="107" ht="22" customHeight="1">
      <c r="B107" s="17">
        <f>IF(C107="","SCN-"&amp;TEXT(COUNTA($C$5:C107),"000"))</f>
        <v/>
      </c>
      <c r="C107" s="12" t="n"/>
      <c r="D107" s="12" t="n"/>
      <c r="E107" s="12" t="n"/>
      <c r="F107" s="25" t="n"/>
      <c r="G107" s="12" t="n"/>
      <c r="H107" s="18" t="n"/>
      <c r="I107" s="18" t="n"/>
      <c r="J107" s="25" t="n"/>
      <c r="K107" s="25" t="n"/>
      <c r="L107" s="12" t="n"/>
    </row>
    <row r="108" ht="22" customHeight="1">
      <c r="B108" s="16">
        <f>IF(C108="","SCN-"&amp;TEXT(COUNTA($C$5:C108),"000"))</f>
        <v/>
      </c>
      <c r="C108" s="14" t="n"/>
      <c r="D108" s="14" t="n"/>
      <c r="E108" s="14" t="n"/>
      <c r="F108" s="26" t="n"/>
      <c r="G108" s="14" t="n"/>
      <c r="H108" s="19" t="n"/>
      <c r="I108" s="19" t="n"/>
      <c r="J108" s="26" t="n"/>
      <c r="K108" s="26" t="n"/>
      <c r="L108" s="14" t="n"/>
    </row>
    <row r="110" ht="26" customHeight="1">
      <c r="B110" s="20" t="inlineStr">
        <is>
          <t>TOTAL</t>
        </is>
      </c>
      <c r="C110" s="21" t="n"/>
      <c r="D110" s="21" t="n"/>
      <c r="E110" s="21" t="n"/>
      <c r="F110" s="21" t="n"/>
      <c r="G110" s="21" t="n"/>
      <c r="H110" s="22">
        <f>SUM(H5:H104)</f>
        <v/>
      </c>
      <c r="I110" s="22">
        <f>SUM(I5:I104)</f>
        <v/>
      </c>
      <c r="J110" s="21" t="n"/>
      <c r="K110" s="21" t="n"/>
      <c r="L110" s="21" t="n"/>
    </row>
    <row r="112">
      <c r="B112" s="6" t="inlineStr">
        <is>
          <t>INDICATEURS (mis a jour automatiquement)</t>
        </is>
      </c>
    </row>
    <row r="113">
      <c r="B113" s="3" t="inlineStr">
        <is>
          <t>Dossiers suivis</t>
        </is>
      </c>
      <c r="D113" s="3" t="inlineStr">
        <is>
          <t>Total provisions</t>
        </is>
      </c>
      <c r="F113" s="3" t="inlineStr">
        <is>
          <t>Total demandes</t>
        </is>
      </c>
      <c r="H113" s="3" t="inlineStr">
        <is>
          <t>En cours</t>
        </is>
      </c>
    </row>
    <row r="114">
      <c r="B114" s="4">
        <f>COUNTIF(B5:B104,"&lt;&gt;")</f>
        <v/>
      </c>
      <c r="D114" s="4">
        <f>SUM(H5:H104)</f>
        <v/>
      </c>
      <c r="F114" s="4">
        <f>SUM(I5:I104)</f>
        <v/>
      </c>
      <c r="H114" s="4">
        <f>COUNTIF(L5:L104,"En cours d'instruction")+COUNTIF(L5:L104,"En negociation")+COUNTIF(L5:L104,"En mediation")+COUNTIF(L5:L104,"En attente audience")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0">
      <formula>"Conforme"</formula>
    </cfRule>
    <cfRule type="cellIs" priority="2" operator="equal" dxfId="0">
      <formula>"Resolu"</formula>
    </cfRule>
    <cfRule type="cellIs" priority="3" operator="equal" dxfId="0">
      <formula>"Clos"</formula>
    </cfRule>
    <cfRule type="cellIs" priority="4" operator="equal" dxfId="0">
      <formula>"Solde"</formula>
    </cfRule>
    <cfRule type="cellIs" priority="5" operator="equal" dxfId="0">
      <formula>"Pris"</formula>
    </cfRule>
    <cfRule type="cellIs" priority="6" operator="equal" dxfId="0">
      <formula>"Termine"</formula>
    </cfRule>
    <cfRule type="cellIs" priority="7" operator="equal" dxfId="0">
      <formula>"Terminee"</formula>
    </cfRule>
    <cfRule type="cellIs" priority="8" operator="equal" dxfId="0">
      <formula>"Valide"</formula>
    </cfRule>
    <cfRule type="cellIs" priority="9" operator="equal" dxfId="0">
      <formula>"Approuve"</formula>
    </cfRule>
    <cfRule type="cellIs" priority="10" operator="equal" dxfId="0">
      <formula>"Approuvee"</formula>
    </cfRule>
    <cfRule type="cellIs" priority="11" operator="equal" dxfId="0">
      <formula>"Actif"</formula>
    </cfRule>
    <cfRule type="cellIs" priority="12" operator="equal" dxfId="0">
      <formula>"En vigueur"</formula>
    </cfRule>
    <cfRule type="cellIs" priority="13" operator="equal" dxfId="0">
      <formula>"Validee"</formula>
    </cfRule>
    <cfRule type="cellIs" priority="14" operator="equal" dxfId="0">
      <formula>"Payee"</formula>
    </cfRule>
    <cfRule type="cellIs" priority="15" operator="equal" dxfId="0">
      <formula>"Traite"</formula>
    </cfRule>
    <cfRule type="cellIs" priority="16" operator="equal" dxfId="0">
      <formula>"Traitee"</formula>
    </cfRule>
    <cfRule type="cellIs" priority="17" operator="equal" dxfId="0">
      <formula>"Decision notifiee"</formula>
    </cfRule>
    <cfRule type="cellIs" priority="18" operator="equal" dxfId="0">
      <formula>"Jugement rendu"</formula>
    </cfRule>
    <cfRule type="cellIs" priority="19" operator="equal" dxfId="0">
      <formula>"Resolue"</formula>
    </cfRule>
    <cfRule type="cellIs" priority="20" operator="equal" dxfId="0">
      <formula>"Accepte"</formula>
    </cfRule>
    <cfRule type="cellIs" priority="21" operator="equal" dxfId="0">
      <formula>"Acceptee"</formula>
    </cfRule>
    <cfRule type="cellIs" priority="22" operator="equal" dxfId="0">
      <formula>"Conforme"</formula>
    </cfRule>
    <cfRule type="cellIs" priority="23" operator="equal" dxfId="0">
      <formula>"Exempte"</formula>
    </cfRule>
    <cfRule type="cellIs" priority="24" operator="equal" dxfId="0">
      <formula>"Guerie"</formula>
    </cfRule>
    <cfRule type="cellIs" priority="25" operator="equal" dxfId="0">
      <formula>"Apte"</formula>
    </cfRule>
    <cfRule type="cellIs" priority="26" operator="equal" dxfId="0">
      <formula>"Apte avec restriction"</formula>
    </cfRule>
    <cfRule type="cellIs" priority="27" operator="equal" dxfId="0">
      <formula>"Realise"</formula>
    </cfRule>
    <cfRule type="cellIs" priority="28" operator="equal" dxfId="0">
      <formula>"Realisee"</formula>
    </cfRule>
    <cfRule type="cellIs" priority="29" operator="equal" dxfId="0">
      <formula>"En stock"</formula>
    </cfRule>
    <cfRule type="cellIs" priority="30" operator="equal" dxfId="0">
      <formula>"Attribue"</formula>
    </cfRule>
    <cfRule type="cellIs" priority="31" operator="equal" dxfId="0">
      <formula>"Mesures en place"</formula>
    </cfRule>
    <cfRule type="cellIs" priority="32" operator="equal" dxfId="0">
      <formula>"Residuel acceptable"</formula>
    </cfRule>
    <cfRule type="cellIs" priority="33" operator="equal" dxfId="0">
      <formula>"Jugement rendu"</formula>
    </cfRule>
    <cfRule type="cellIs" priority="34" operator="equal" dxfId="0">
      <formula>"Abandonne"</formula>
    </cfRule>
    <cfRule type="cellIs" priority="35" operator="equal" dxfId="0">
      <formula>"Terminee - Accord"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"Partiellement conforme"</formula>
    </cfRule>
    <cfRule type="cellIs" priority="47" operator="equal" dxfId="1">
      <formula>"En cours de mise en conformite"</formula>
    </cfRule>
    <cfRule type="cellIs" priority="48" operator="equal" dxfId="1">
      <formula>"En cours d'evaluation"</formula>
    </cfRule>
    <cfRule type="cellIs" priority="49" operator="equal" dxfId="1">
      <formula>"Non evalue"</formula>
    </cfRule>
    <cfRule type="cellIs" priority="50" operator="equal" dxfId="1">
      <formula>"Non demarre"</formula>
    </cfRule>
    <cfRule type="cellIs" priority="51" operator="equal" dxfId="1">
      <formula>"En cours d'instruction"</formula>
    </cfRule>
    <cfRule type="cellIs" priority="52" operator="equal" dxfId="1">
      <formula>"En negociation"</formula>
    </cfRule>
    <cfRule type="cellIs" priority="53" operator="equal" dxfId="1">
      <formula>"En mediation"</formula>
    </cfRule>
    <cfRule type="cellIs" priority="54" operator="equal" dxfId="1">
      <formula>"En conciliation"</formula>
    </cfRule>
    <cfRule type="cellIs" priority="55" operator="equal" dxfId="1">
      <formula>"En attente audience"</formula>
    </cfRule>
    <cfRule type="cellIs" priority="56" operator="equal" dxfId="1">
      <formula>"En attente jugement"</formula>
    </cfRule>
    <cfRule type="cellIs" priority="57" operator="equal" dxfId="1">
      <formula>"En appel"</formula>
    </cfRule>
    <cfRule type="cellIs" priority="58" operator="equal" dxfId="1">
      <formula>"En preparation"</formula>
    </cfRule>
    <cfRule type="cellIs" priority="59" operator="equal" dxfId="1">
      <formula>"Reporte"</formula>
    </cfRule>
    <cfRule type="cellIs" priority="60" operator="equal" dxfId="1">
      <formula>"En attente reponse"</formula>
    </cfRule>
    <cfRule type="cellIs" priority="61" operator="equal" dxfId="1">
      <formula>"En attente validation"</formula>
    </cfRule>
    <cfRule type="cellIs" priority="62" operator="equal" dxfId="1">
      <formula>"Contestee"</formula>
    </cfRule>
    <cfRule type="cellIs" priority="63" operator="equal" dxfId="1">
      <formula>"Escaladee"</formula>
    </cfRule>
    <cfRule type="cellIs" priority="64" operator="equal" dxfId="2">
      <formula>"Non conforme"</formula>
    </cfRule>
    <cfRule type="cellIs" priority="65" operator="equal" dxfId="2">
      <formula>"Rejete"</formula>
    </cfRule>
    <cfRule type="cellIs" priority="66" operator="equal" dxfId="2">
      <formula>"Rejetee"</formula>
    </cfRule>
    <cfRule type="cellIs" priority="67" operator="equal" dxfId="2">
      <formula>"Resilie"</formula>
    </cfRule>
    <cfRule type="cellIs" priority="68" operator="equal" dxfId="2">
      <formula>"Annule"</formula>
    </cfRule>
    <cfRule type="cellIs" priority="69" operator="equal" dxfId="2">
      <formula>"Annulee"</formula>
    </cfRule>
    <cfRule type="cellIs" priority="70" operator="equal" dxfId="2">
      <formula>"Refuse"</formula>
    </cfRule>
    <cfRule type="cellIs" priority="71" operator="equal" dxfId="2">
      <formula>"Non justifie"</formula>
    </cfRule>
    <cfRule type="cellIs" priority="72" operator="equal" dxfId="2">
      <formula>"Inaptitude"</formula>
    </cfRule>
    <cfRule type="cellIs" priority="73" operator="equal" dxfId="2">
      <formula>"Non satisfait"</formula>
    </cfRule>
    <cfRule type="cellIs" priority="74" operator="equal" dxfId="2">
      <formula>"Echoue"</formula>
    </cfRule>
    <cfRule type="cellIs" priority="75" operator="equal" dxfId="2">
      <formula>"Echouee"</formula>
    </cfRule>
    <cfRule type="cellIs" priority="76" operator="equal" dxfId="2">
      <formula>"Revoque"</formula>
    </cfRule>
    <cfRule type="cellIs" priority="77" operator="equal" dxfId="2">
      <formula>"Abandonne"</formula>
    </cfRule>
    <cfRule type="cellIs" priority="78" operator="equal" dxfId="2">
      <formula>"Rejetee"</formula>
    </cfRule>
    <cfRule type="cellIs" priority="79" operator="equal" dxfId="2">
      <formula>"Non conforme"</formula>
    </cfRule>
    <cfRule type="cellIs" priority="80" operator="equal" dxfId="2">
      <formula>"Critique"</formula>
    </cfRule>
  </conditionalFormatting>
  <conditionalFormatting sqref="B9:B108">
    <cfRule type="expression" priority="81" dxfId="3">
      <formula>AND($C9="",$C8&lt;&gt;"")</formula>
    </cfRule>
  </conditionalFormatting>
  <conditionalFormatting sqref="C9:C108">
    <cfRule type="expression" priority="82" dxfId="3">
      <formula>AND($C9="",$C8&lt;&gt;"")</formula>
    </cfRule>
  </conditionalFormatting>
  <conditionalFormatting sqref="D9:D108">
    <cfRule type="expression" priority="83" dxfId="3">
      <formula>AND($C9="",$C8&lt;&gt;"")</formula>
    </cfRule>
  </conditionalFormatting>
  <conditionalFormatting sqref="E9:E108">
    <cfRule type="expression" priority="84" dxfId="3">
      <formula>AND($C9="",$C8&lt;&gt;"")</formula>
    </cfRule>
  </conditionalFormatting>
  <conditionalFormatting sqref="F9:F108">
    <cfRule type="expression" priority="85" dxfId="3">
      <formula>AND($C9="",$C8&lt;&gt;"")</formula>
    </cfRule>
  </conditionalFormatting>
  <conditionalFormatting sqref="G9:G108">
    <cfRule type="expression" priority="86" dxfId="3">
      <formula>AND($C9="",$C8&lt;&gt;"")</formula>
    </cfRule>
  </conditionalFormatting>
  <conditionalFormatting sqref="H9:H108">
    <cfRule type="expression" priority="87" dxfId="3">
      <formula>AND($C9="",$C8&lt;&gt;"")</formula>
    </cfRule>
  </conditionalFormatting>
  <conditionalFormatting sqref="I9:I108">
    <cfRule type="expression" priority="88" dxfId="3">
      <formula>AND($C9="",$C8&lt;&gt;"")</formula>
    </cfRule>
  </conditionalFormatting>
  <conditionalFormatting sqref="J9:J108">
    <cfRule type="expression" priority="89" dxfId="3">
      <formula>AND($C9="",$C8&lt;&gt;"")</formula>
    </cfRule>
  </conditionalFormatting>
  <conditionalFormatting sqref="K9:K108">
    <cfRule type="expression" priority="90" dxfId="3">
      <formula>AND($C9="",$C8&lt;&gt;"")</formula>
    </cfRule>
  </conditionalFormatting>
  <conditionalFormatting sqref="L9:L108">
    <cfRule type="expression" priority="91" dxfId="3">
      <formula>AND($C9="",$C8&lt;&gt;"")</formula>
    </cfRule>
  </conditionalFormatting>
  <dataValidations count="2">
    <dataValidation sqref="E5:E108" showDropDown="0" showInputMessage="0" showErrorMessage="0" allowBlank="1" errorTitle="Erreur" error="Valeur invalide" promptTitle="Liste" prompt="Choisir dans la liste" type="list">
      <formula1>'_Lists'!$E$2:$E$10</formula1>
    </dataValidation>
    <dataValidation sqref="L5:L108" showDropDown="0" showInputMessage="0" showErrorMessage="0" allowBlank="1" errorTitle="Erreur" error="Valeur invalide" promptTitle="Liste" prompt="Choisir dans la liste" type="list">
      <formula1>'_Lists'!$F$2:$F$13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30" customWidth="1" min="4" max="4"/>
    <col width="26" customWidth="1" min="5" max="5"/>
    <col width="28" customWidth="1" min="6" max="6"/>
    <col width="14" customWidth="1" min="7" max="7"/>
    <col width="12" customWidth="1" min="8" max="8"/>
    <col width="34" customWidth="1" min="9" max="9"/>
    <col width="14" customWidth="1" min="10" max="10"/>
    <col width="32" customWidth="1" min="11" max="11"/>
    <col width="14" customWidth="1" min="12" max="12"/>
  </cols>
  <sheetData>
    <row r="1" ht="15" customHeight="1"/>
    <row r="2" ht="32" customHeight="1">
      <c r="B2" s="1" t="inlineStr">
        <is>
          <t>AUDIT INTERNE RH — GRILLE D'AUDIT (#132)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Domaine Audite</t>
        </is>
      </c>
      <c r="D4" s="11" t="inlineStr">
        <is>
          <t>Critere d'Audit</t>
        </is>
      </c>
      <c r="E4" s="11" t="inlineStr">
        <is>
          <t>Reference Normative</t>
        </is>
      </c>
      <c r="F4" s="11" t="inlineStr">
        <is>
          <t>Type Auditeur</t>
        </is>
      </c>
      <c r="G4" s="11" t="inlineStr">
        <is>
          <t>Date Audit</t>
        </is>
      </c>
      <c r="H4" s="11" t="inlineStr">
        <is>
          <t>Score (1-5)</t>
        </is>
      </c>
      <c r="I4" s="11" t="inlineStr">
        <is>
          <t>Constat</t>
        </is>
      </c>
      <c r="J4" s="11" t="inlineStr">
        <is>
          <t>Risque</t>
        </is>
      </c>
      <c r="K4" s="11" t="inlineStr">
        <is>
          <t>Recommandation</t>
        </is>
      </c>
      <c r="L4" s="11" t="inlineStr">
        <is>
          <t>Statut</t>
        </is>
      </c>
    </row>
    <row r="5" ht="22" customHeight="1">
      <c r="B5" s="12" t="inlineStr">
        <is>
          <t>AIR-001</t>
        </is>
      </c>
      <c r="C5" s="12" t="inlineStr">
        <is>
          <t>Recrutement</t>
        </is>
      </c>
      <c r="D5" s="12" t="inlineStr">
        <is>
          <t>Respect delai recrutement</t>
        </is>
      </c>
      <c r="E5" s="12" t="inlineStr">
        <is>
          <t>Procedure RH Art. 3</t>
        </is>
      </c>
      <c r="F5" s="12" t="inlineStr">
        <is>
          <t>Interne DRH</t>
        </is>
      </c>
      <c r="G5" s="25" t="n">
        <v>45762</v>
      </c>
      <c r="H5" s="23" t="n">
        <v>4</v>
      </c>
      <c r="I5" s="12" t="inlineStr">
        <is>
          <t>Delai moyen 28j, conforme</t>
        </is>
      </c>
      <c r="J5" s="12" t="inlineStr">
        <is>
          <t>Faible</t>
        </is>
      </c>
      <c r="K5" s="12" t="inlineStr">
        <is>
          <t>Maintenir le processus actuel</t>
        </is>
      </c>
      <c r="L5" s="12" t="inlineStr">
        <is>
          <t>Terminee</t>
        </is>
      </c>
    </row>
    <row r="6" ht="22" customHeight="1">
      <c r="B6" s="14" t="inlineStr">
        <is>
          <t>AIR-002</t>
        </is>
      </c>
      <c r="C6" s="14" t="inlineStr">
        <is>
          <t>Paie</t>
        </is>
      </c>
      <c r="D6" s="14" t="inlineStr">
        <is>
          <t>Exactitude calcul salaire</t>
        </is>
      </c>
      <c r="E6" s="14" t="inlineStr">
        <is>
          <t>Grille salariale V2.1</t>
        </is>
      </c>
      <c r="F6" s="14" t="inlineStr">
        <is>
          <t>Externe - Expert comptable</t>
        </is>
      </c>
      <c r="G6" s="26" t="n">
        <v>45778</v>
      </c>
      <c r="H6" s="24" t="n">
        <v>2</v>
      </c>
      <c r="I6" s="14" t="inlineStr">
        <is>
          <t>3 erreurs de calcul detectees</t>
        </is>
      </c>
      <c r="J6" s="14" t="inlineStr">
        <is>
          <t>Eleve</t>
        </is>
      </c>
      <c r="K6" s="14" t="inlineStr">
        <is>
          <t>Revoir formules et controls</t>
        </is>
      </c>
      <c r="L6" s="14" t="inlineStr">
        <is>
          <t>En cours</t>
        </is>
      </c>
    </row>
    <row r="7" ht="22" customHeight="1">
      <c r="B7" s="12" t="inlineStr">
        <is>
          <t>AIR-003</t>
        </is>
      </c>
      <c r="C7" s="12" t="inlineStr">
        <is>
          <t>Formation</t>
        </is>
      </c>
      <c r="D7" s="12" t="inlineStr">
        <is>
          <t>Taux de realisation plan formation</t>
        </is>
      </c>
      <c r="E7" s="12" t="inlineStr">
        <is>
          <t>Plan formation 2025</t>
        </is>
      </c>
      <c r="F7" s="12" t="inlineStr">
        <is>
          <t>Interne DRH</t>
        </is>
      </c>
      <c r="G7" s="25" t="n">
        <v>45809</v>
      </c>
      <c r="H7" s="23" t="n">
        <v>3</v>
      </c>
      <c r="I7" s="12" t="inlineStr">
        <is>
          <t>42% de realisation a mi-année</t>
        </is>
      </c>
      <c r="J7" s="12" t="inlineStr">
        <is>
          <t>Moyen</t>
        </is>
      </c>
      <c r="K7" s="12" t="inlineStr">
        <is>
          <t>Accelerer les formations T3-T4</t>
        </is>
      </c>
      <c r="L7" s="12" t="inlineStr">
        <is>
          <t>En cours</t>
        </is>
      </c>
    </row>
    <row r="8" ht="22" customHeight="1">
      <c r="B8" s="14" t="inlineStr">
        <is>
          <t>AIR-004</t>
        </is>
      </c>
      <c r="C8" s="14" t="inlineStr">
        <is>
          <t>Sécurité travail</t>
        </is>
      </c>
      <c r="D8" s="14" t="inlineStr">
        <is>
          <t>Port EPI cuisine</t>
        </is>
      </c>
      <c r="E8" s="14" t="inlineStr">
        <is>
          <t>Norme HSE hotellerie</t>
        </is>
      </c>
      <c r="F8" s="14" t="inlineStr">
        <is>
          <t>Externe - Inspecteur travail</t>
        </is>
      </c>
      <c r="G8" s="26" t="n">
        <v>45797</v>
      </c>
      <c r="H8" s="24" t="n">
        <v>2</v>
      </c>
      <c r="I8" s="14" t="inlineStr">
        <is>
          <t>Non port systematique EPI</t>
        </is>
      </c>
      <c r="J8" s="14" t="inlineStr">
        <is>
          <t>Critique</t>
        </is>
      </c>
      <c r="K8" s="14" t="inlineStr">
        <is>
          <t>Formation obligatoire + sanction</t>
        </is>
      </c>
      <c r="L8" s="14" t="inlineStr">
        <is>
          <t>En cours</t>
        </is>
      </c>
    </row>
    <row r="9" ht="22" customHeight="1">
      <c r="B9" s="12" t="inlineStr">
        <is>
          <t>AIR-005</t>
        </is>
      </c>
      <c r="C9" s="12" t="inlineStr">
        <is>
          <t>Documentation</t>
        </is>
      </c>
      <c r="D9" s="12" t="inlineStr">
        <is>
          <t>Completude dossiers employes</t>
        </is>
      </c>
      <c r="E9" s="12" t="inlineStr">
        <is>
          <t>Procedure documentation</t>
        </is>
      </c>
      <c r="F9" s="12" t="inlineStr">
        <is>
          <t>Interne DRH</t>
        </is>
      </c>
      <c r="G9" s="25" t="n">
        <v>45818</v>
      </c>
      <c r="H9" s="23" t="n">
        <v>4</v>
      </c>
      <c r="I9" s="12" t="inlineStr">
        <is>
          <t>85% dossiers complets</t>
        </is>
      </c>
      <c r="J9" s="12" t="inlineStr">
        <is>
          <t>Moyen</t>
        </is>
      </c>
      <c r="K9" s="12" t="inlineStr">
        <is>
          <t>Rattraper les 15% manquants</t>
        </is>
      </c>
      <c r="L9" s="12" t="inlineStr">
        <is>
          <t>En cours</t>
        </is>
      </c>
    </row>
    <row r="10" ht="22" customHeight="1">
      <c r="B10" s="16">
        <f>IF(C10="","AIR-"&amp;TEXT(COUNTA($C$5:C10),"000"))</f>
        <v/>
      </c>
      <c r="C10" s="14" t="n"/>
      <c r="D10" s="14" t="n"/>
      <c r="E10" s="14" t="n"/>
      <c r="F10" s="14" t="n"/>
      <c r="G10" s="26" t="n"/>
      <c r="H10" s="24" t="n"/>
      <c r="I10" s="14" t="n"/>
      <c r="J10" s="14" t="n"/>
      <c r="K10" s="14" t="n"/>
      <c r="L10" s="14" t="n"/>
    </row>
    <row r="11" ht="22" customHeight="1">
      <c r="B11" s="17">
        <f>IF(C11="","AIR-"&amp;TEXT(COUNTA($C$5:C11),"000"))</f>
        <v/>
      </c>
      <c r="C11" s="12" t="n"/>
      <c r="D11" s="12" t="n"/>
      <c r="E11" s="12" t="n"/>
      <c r="F11" s="12" t="n"/>
      <c r="G11" s="25" t="n"/>
      <c r="H11" s="23" t="n"/>
      <c r="I11" s="12" t="n"/>
      <c r="J11" s="12" t="n"/>
      <c r="K11" s="12" t="n"/>
      <c r="L11" s="12" t="n"/>
    </row>
    <row r="12" ht="22" customHeight="1">
      <c r="B12" s="16">
        <f>IF(C12="","AIR-"&amp;TEXT(COUNTA($C$5:C12),"000"))</f>
        <v/>
      </c>
      <c r="C12" s="14" t="n"/>
      <c r="D12" s="14" t="n"/>
      <c r="E12" s="14" t="n"/>
      <c r="F12" s="14" t="n"/>
      <c r="G12" s="26" t="n"/>
      <c r="H12" s="24" t="n"/>
      <c r="I12" s="14" t="n"/>
      <c r="J12" s="14" t="n"/>
      <c r="K12" s="14" t="n"/>
      <c r="L12" s="14" t="n"/>
    </row>
    <row r="13" ht="22" customHeight="1">
      <c r="B13" s="17">
        <f>IF(C13="","AIR-"&amp;TEXT(COUNTA($C$5:C13),"000"))</f>
        <v/>
      </c>
      <c r="C13" s="12" t="n"/>
      <c r="D13" s="12" t="n"/>
      <c r="E13" s="12" t="n"/>
      <c r="F13" s="12" t="n"/>
      <c r="G13" s="25" t="n"/>
      <c r="H13" s="23" t="n"/>
      <c r="I13" s="12" t="n"/>
      <c r="J13" s="12" t="n"/>
      <c r="K13" s="12" t="n"/>
      <c r="L13" s="12" t="n"/>
    </row>
    <row r="14" ht="22" customHeight="1">
      <c r="B14" s="16">
        <f>IF(C14="","AIR-"&amp;TEXT(COUNTA($C$5:C14),"000"))</f>
        <v/>
      </c>
      <c r="C14" s="14" t="n"/>
      <c r="D14" s="14" t="n"/>
      <c r="E14" s="14" t="n"/>
      <c r="F14" s="14" t="n"/>
      <c r="G14" s="26" t="n"/>
      <c r="H14" s="24" t="n"/>
      <c r="I14" s="14" t="n"/>
      <c r="J14" s="14" t="n"/>
      <c r="K14" s="14" t="n"/>
      <c r="L14" s="14" t="n"/>
    </row>
    <row r="15" ht="22" customHeight="1">
      <c r="B15" s="17">
        <f>IF(C15="","AIR-"&amp;TEXT(COUNTA($C$5:C15),"000"))</f>
        <v/>
      </c>
      <c r="C15" s="12" t="n"/>
      <c r="D15" s="12" t="n"/>
      <c r="E15" s="12" t="n"/>
      <c r="F15" s="12" t="n"/>
      <c r="G15" s="25" t="n"/>
      <c r="H15" s="23" t="n"/>
      <c r="I15" s="12" t="n"/>
      <c r="J15" s="12" t="n"/>
      <c r="K15" s="12" t="n"/>
      <c r="L15" s="12" t="n"/>
    </row>
    <row r="16" ht="22" customHeight="1">
      <c r="B16" s="16">
        <f>IF(C16="","AIR-"&amp;TEXT(COUNTA($C$5:C16),"000"))</f>
        <v/>
      </c>
      <c r="C16" s="14" t="n"/>
      <c r="D16" s="14" t="n"/>
      <c r="E16" s="14" t="n"/>
      <c r="F16" s="14" t="n"/>
      <c r="G16" s="26" t="n"/>
      <c r="H16" s="24" t="n"/>
      <c r="I16" s="14" t="n"/>
      <c r="J16" s="14" t="n"/>
      <c r="K16" s="14" t="n"/>
      <c r="L16" s="14" t="n"/>
    </row>
    <row r="17" ht="22" customHeight="1">
      <c r="B17" s="17">
        <f>IF(C17="","AIR-"&amp;TEXT(COUNTA($C$5:C17),"000"))</f>
        <v/>
      </c>
      <c r="C17" s="12" t="n"/>
      <c r="D17" s="12" t="n"/>
      <c r="E17" s="12" t="n"/>
      <c r="F17" s="12" t="n"/>
      <c r="G17" s="25" t="n"/>
      <c r="H17" s="23" t="n"/>
      <c r="I17" s="12" t="n"/>
      <c r="J17" s="12" t="n"/>
      <c r="K17" s="12" t="n"/>
      <c r="L17" s="12" t="n"/>
    </row>
    <row r="18" ht="22" customHeight="1">
      <c r="B18" s="16">
        <f>IF(C18="","AIR-"&amp;TEXT(COUNTA($C$5:C18),"000"))</f>
        <v/>
      </c>
      <c r="C18" s="14" t="n"/>
      <c r="D18" s="14" t="n"/>
      <c r="E18" s="14" t="n"/>
      <c r="F18" s="14" t="n"/>
      <c r="G18" s="26" t="n"/>
      <c r="H18" s="24" t="n"/>
      <c r="I18" s="14" t="n"/>
      <c r="J18" s="14" t="n"/>
      <c r="K18" s="14" t="n"/>
      <c r="L18" s="14" t="n"/>
    </row>
    <row r="19" ht="22" customHeight="1">
      <c r="B19" s="17">
        <f>IF(C19="","AIR-"&amp;TEXT(COUNTA($C$5:C19),"000"))</f>
        <v/>
      </c>
      <c r="C19" s="12" t="n"/>
      <c r="D19" s="12" t="n"/>
      <c r="E19" s="12" t="n"/>
      <c r="F19" s="12" t="n"/>
      <c r="G19" s="25" t="n"/>
      <c r="H19" s="23" t="n"/>
      <c r="I19" s="12" t="n"/>
      <c r="J19" s="12" t="n"/>
      <c r="K19" s="12" t="n"/>
      <c r="L19" s="12" t="n"/>
    </row>
    <row r="20" ht="22" customHeight="1">
      <c r="B20" s="16">
        <f>IF(C20="","AIR-"&amp;TEXT(COUNTA($C$5:C20),"000"))</f>
        <v/>
      </c>
      <c r="C20" s="14" t="n"/>
      <c r="D20" s="14" t="n"/>
      <c r="E20" s="14" t="n"/>
      <c r="F20" s="14" t="n"/>
      <c r="G20" s="26" t="n"/>
      <c r="H20" s="24" t="n"/>
      <c r="I20" s="14" t="n"/>
      <c r="J20" s="14" t="n"/>
      <c r="K20" s="14" t="n"/>
      <c r="L20" s="14" t="n"/>
    </row>
    <row r="21" ht="22" customHeight="1">
      <c r="B21" s="17">
        <f>IF(C21="","AIR-"&amp;TEXT(COUNTA($C$5:C21),"000"))</f>
        <v/>
      </c>
      <c r="C21" s="12" t="n"/>
      <c r="D21" s="12" t="n"/>
      <c r="E21" s="12" t="n"/>
      <c r="F21" s="12" t="n"/>
      <c r="G21" s="25" t="n"/>
      <c r="H21" s="23" t="n"/>
      <c r="I21" s="12" t="n"/>
      <c r="J21" s="12" t="n"/>
      <c r="K21" s="12" t="n"/>
      <c r="L21" s="12" t="n"/>
    </row>
    <row r="22" ht="22" customHeight="1">
      <c r="B22" s="16">
        <f>IF(C22="","AIR-"&amp;TEXT(COUNTA($C$5:C22),"000"))</f>
        <v/>
      </c>
      <c r="C22" s="14" t="n"/>
      <c r="D22" s="14" t="n"/>
      <c r="E22" s="14" t="n"/>
      <c r="F22" s="14" t="n"/>
      <c r="G22" s="26" t="n"/>
      <c r="H22" s="24" t="n"/>
      <c r="I22" s="14" t="n"/>
      <c r="J22" s="14" t="n"/>
      <c r="K22" s="14" t="n"/>
      <c r="L22" s="14" t="n"/>
    </row>
    <row r="23" ht="22" customHeight="1">
      <c r="B23" s="17">
        <f>IF(C23="","AIR-"&amp;TEXT(COUNTA($C$5:C23),"000"))</f>
        <v/>
      </c>
      <c r="C23" s="12" t="n"/>
      <c r="D23" s="12" t="n"/>
      <c r="E23" s="12" t="n"/>
      <c r="F23" s="12" t="n"/>
      <c r="G23" s="25" t="n"/>
      <c r="H23" s="23" t="n"/>
      <c r="I23" s="12" t="n"/>
      <c r="J23" s="12" t="n"/>
      <c r="K23" s="12" t="n"/>
      <c r="L23" s="12" t="n"/>
    </row>
    <row r="24" ht="22" customHeight="1">
      <c r="B24" s="16">
        <f>IF(C24="","AIR-"&amp;TEXT(COUNTA($C$5:C24),"000"))</f>
        <v/>
      </c>
      <c r="C24" s="14" t="n"/>
      <c r="D24" s="14" t="n"/>
      <c r="E24" s="14" t="n"/>
      <c r="F24" s="14" t="n"/>
      <c r="G24" s="26" t="n"/>
      <c r="H24" s="24" t="n"/>
      <c r="I24" s="14" t="n"/>
      <c r="J24" s="14" t="n"/>
      <c r="K24" s="14" t="n"/>
      <c r="L24" s="14" t="n"/>
    </row>
    <row r="25" ht="22" customHeight="1">
      <c r="B25" s="17">
        <f>IF(C25="","AIR-"&amp;TEXT(COUNTA($C$5:C25),"000"))</f>
        <v/>
      </c>
      <c r="C25" s="12" t="n"/>
      <c r="D25" s="12" t="n"/>
      <c r="E25" s="12" t="n"/>
      <c r="F25" s="12" t="n"/>
      <c r="G25" s="25" t="n"/>
      <c r="H25" s="23" t="n"/>
      <c r="I25" s="12" t="n"/>
      <c r="J25" s="12" t="n"/>
      <c r="K25" s="12" t="n"/>
      <c r="L25" s="12" t="n"/>
    </row>
    <row r="26" ht="22" customHeight="1">
      <c r="B26" s="16">
        <f>IF(C26="","AIR-"&amp;TEXT(COUNTA($C$5:C26),"000"))</f>
        <v/>
      </c>
      <c r="C26" s="14" t="n"/>
      <c r="D26" s="14" t="n"/>
      <c r="E26" s="14" t="n"/>
      <c r="F26" s="14" t="n"/>
      <c r="G26" s="26" t="n"/>
      <c r="H26" s="24" t="n"/>
      <c r="I26" s="14" t="n"/>
      <c r="J26" s="14" t="n"/>
      <c r="K26" s="14" t="n"/>
      <c r="L26" s="14" t="n"/>
    </row>
    <row r="27" ht="22" customHeight="1">
      <c r="B27" s="17">
        <f>IF(C27="","AIR-"&amp;TEXT(COUNTA($C$5:C27),"000"))</f>
        <v/>
      </c>
      <c r="C27" s="12" t="n"/>
      <c r="D27" s="12" t="n"/>
      <c r="E27" s="12" t="n"/>
      <c r="F27" s="12" t="n"/>
      <c r="G27" s="25" t="n"/>
      <c r="H27" s="23" t="n"/>
      <c r="I27" s="12" t="n"/>
      <c r="J27" s="12" t="n"/>
      <c r="K27" s="12" t="n"/>
      <c r="L27" s="12" t="n"/>
    </row>
    <row r="28" ht="22" customHeight="1">
      <c r="B28" s="16">
        <f>IF(C28="","AIR-"&amp;TEXT(COUNTA($C$5:C28),"000"))</f>
        <v/>
      </c>
      <c r="C28" s="14" t="n"/>
      <c r="D28" s="14" t="n"/>
      <c r="E28" s="14" t="n"/>
      <c r="F28" s="14" t="n"/>
      <c r="G28" s="26" t="n"/>
      <c r="H28" s="24" t="n"/>
      <c r="I28" s="14" t="n"/>
      <c r="J28" s="14" t="n"/>
      <c r="K28" s="14" t="n"/>
      <c r="L28" s="14" t="n"/>
    </row>
    <row r="29" ht="22" customHeight="1">
      <c r="B29" s="17">
        <f>IF(C29="","AIR-"&amp;TEXT(COUNTA($C$5:C29),"000"))</f>
        <v/>
      </c>
      <c r="C29" s="12" t="n"/>
      <c r="D29" s="12" t="n"/>
      <c r="E29" s="12" t="n"/>
      <c r="F29" s="12" t="n"/>
      <c r="G29" s="25" t="n"/>
      <c r="H29" s="23" t="n"/>
      <c r="I29" s="12" t="n"/>
      <c r="J29" s="12" t="n"/>
      <c r="K29" s="12" t="n"/>
      <c r="L29" s="12" t="n"/>
    </row>
    <row r="30" ht="22" customHeight="1">
      <c r="B30" s="16">
        <f>IF(C30="","AIR-"&amp;TEXT(COUNTA($C$5:C30),"000"))</f>
        <v/>
      </c>
      <c r="C30" s="14" t="n"/>
      <c r="D30" s="14" t="n"/>
      <c r="E30" s="14" t="n"/>
      <c r="F30" s="14" t="n"/>
      <c r="G30" s="26" t="n"/>
      <c r="H30" s="24" t="n"/>
      <c r="I30" s="14" t="n"/>
      <c r="J30" s="14" t="n"/>
      <c r="K30" s="14" t="n"/>
      <c r="L30" s="14" t="n"/>
    </row>
    <row r="31" ht="22" customHeight="1">
      <c r="B31" s="17">
        <f>IF(C31="","AIR-"&amp;TEXT(COUNTA($C$5:C31),"000"))</f>
        <v/>
      </c>
      <c r="C31" s="12" t="n"/>
      <c r="D31" s="12" t="n"/>
      <c r="E31" s="12" t="n"/>
      <c r="F31" s="12" t="n"/>
      <c r="G31" s="25" t="n"/>
      <c r="H31" s="23" t="n"/>
      <c r="I31" s="12" t="n"/>
      <c r="J31" s="12" t="n"/>
      <c r="K31" s="12" t="n"/>
      <c r="L31" s="12" t="n"/>
    </row>
    <row r="32" ht="22" customHeight="1">
      <c r="B32" s="16">
        <f>IF(C32="","AIR-"&amp;TEXT(COUNTA($C$5:C32),"000"))</f>
        <v/>
      </c>
      <c r="C32" s="14" t="n"/>
      <c r="D32" s="14" t="n"/>
      <c r="E32" s="14" t="n"/>
      <c r="F32" s="14" t="n"/>
      <c r="G32" s="26" t="n"/>
      <c r="H32" s="24" t="n"/>
      <c r="I32" s="14" t="n"/>
      <c r="J32" s="14" t="n"/>
      <c r="K32" s="14" t="n"/>
      <c r="L32" s="14" t="n"/>
    </row>
    <row r="33" ht="22" customHeight="1">
      <c r="B33" s="17">
        <f>IF(C33="","AIR-"&amp;TEXT(COUNTA($C$5:C33),"000"))</f>
        <v/>
      </c>
      <c r="C33" s="12" t="n"/>
      <c r="D33" s="12" t="n"/>
      <c r="E33" s="12" t="n"/>
      <c r="F33" s="12" t="n"/>
      <c r="G33" s="25" t="n"/>
      <c r="H33" s="23" t="n"/>
      <c r="I33" s="12" t="n"/>
      <c r="J33" s="12" t="n"/>
      <c r="K33" s="12" t="n"/>
      <c r="L33" s="12" t="n"/>
    </row>
    <row r="34" ht="22" customHeight="1">
      <c r="B34" s="16">
        <f>IF(C34="","AIR-"&amp;TEXT(COUNTA($C$5:C34),"000"))</f>
        <v/>
      </c>
      <c r="C34" s="14" t="n"/>
      <c r="D34" s="14" t="n"/>
      <c r="E34" s="14" t="n"/>
      <c r="F34" s="14" t="n"/>
      <c r="G34" s="26" t="n"/>
      <c r="H34" s="24" t="n"/>
      <c r="I34" s="14" t="n"/>
      <c r="J34" s="14" t="n"/>
      <c r="K34" s="14" t="n"/>
      <c r="L34" s="14" t="n"/>
    </row>
    <row r="35" ht="22" customHeight="1">
      <c r="B35" s="17">
        <f>IF(C35="","AIR-"&amp;TEXT(COUNTA($C$5:C35),"000"))</f>
        <v/>
      </c>
      <c r="C35" s="12" t="n"/>
      <c r="D35" s="12" t="n"/>
      <c r="E35" s="12" t="n"/>
      <c r="F35" s="12" t="n"/>
      <c r="G35" s="25" t="n"/>
      <c r="H35" s="23" t="n"/>
      <c r="I35" s="12" t="n"/>
      <c r="J35" s="12" t="n"/>
      <c r="K35" s="12" t="n"/>
      <c r="L35" s="12" t="n"/>
    </row>
    <row r="36" ht="22" customHeight="1">
      <c r="B36" s="16">
        <f>IF(C36="","AIR-"&amp;TEXT(COUNTA($C$5:C36),"000"))</f>
        <v/>
      </c>
      <c r="C36" s="14" t="n"/>
      <c r="D36" s="14" t="n"/>
      <c r="E36" s="14" t="n"/>
      <c r="F36" s="14" t="n"/>
      <c r="G36" s="26" t="n"/>
      <c r="H36" s="24" t="n"/>
      <c r="I36" s="14" t="n"/>
      <c r="J36" s="14" t="n"/>
      <c r="K36" s="14" t="n"/>
      <c r="L36" s="14" t="n"/>
    </row>
    <row r="37" ht="22" customHeight="1">
      <c r="B37" s="17">
        <f>IF(C37="","AIR-"&amp;TEXT(COUNTA($C$5:C37),"000"))</f>
        <v/>
      </c>
      <c r="C37" s="12" t="n"/>
      <c r="D37" s="12" t="n"/>
      <c r="E37" s="12" t="n"/>
      <c r="F37" s="12" t="n"/>
      <c r="G37" s="25" t="n"/>
      <c r="H37" s="23" t="n"/>
      <c r="I37" s="12" t="n"/>
      <c r="J37" s="12" t="n"/>
      <c r="K37" s="12" t="n"/>
      <c r="L37" s="12" t="n"/>
    </row>
    <row r="38" ht="22" customHeight="1">
      <c r="B38" s="16">
        <f>IF(C38="","AIR-"&amp;TEXT(COUNTA($C$5:C38),"000"))</f>
        <v/>
      </c>
      <c r="C38" s="14" t="n"/>
      <c r="D38" s="14" t="n"/>
      <c r="E38" s="14" t="n"/>
      <c r="F38" s="14" t="n"/>
      <c r="G38" s="26" t="n"/>
      <c r="H38" s="24" t="n"/>
      <c r="I38" s="14" t="n"/>
      <c r="J38" s="14" t="n"/>
      <c r="K38" s="14" t="n"/>
      <c r="L38" s="14" t="n"/>
    </row>
    <row r="39" ht="22" customHeight="1">
      <c r="B39" s="17">
        <f>IF(C39="","AIR-"&amp;TEXT(COUNTA($C$5:C39),"000"))</f>
        <v/>
      </c>
      <c r="C39" s="12" t="n"/>
      <c r="D39" s="12" t="n"/>
      <c r="E39" s="12" t="n"/>
      <c r="F39" s="12" t="n"/>
      <c r="G39" s="25" t="n"/>
      <c r="H39" s="23" t="n"/>
      <c r="I39" s="12" t="n"/>
      <c r="J39" s="12" t="n"/>
      <c r="K39" s="12" t="n"/>
      <c r="L39" s="12" t="n"/>
    </row>
    <row r="40" ht="22" customHeight="1">
      <c r="B40" s="16">
        <f>IF(C40="","AIR-"&amp;TEXT(COUNTA($C$5:C40),"000"))</f>
        <v/>
      </c>
      <c r="C40" s="14" t="n"/>
      <c r="D40" s="14" t="n"/>
      <c r="E40" s="14" t="n"/>
      <c r="F40" s="14" t="n"/>
      <c r="G40" s="26" t="n"/>
      <c r="H40" s="24" t="n"/>
      <c r="I40" s="14" t="n"/>
      <c r="J40" s="14" t="n"/>
      <c r="K40" s="14" t="n"/>
      <c r="L40" s="14" t="n"/>
    </row>
    <row r="41" ht="22" customHeight="1">
      <c r="B41" s="17">
        <f>IF(C41="","AIR-"&amp;TEXT(COUNTA($C$5:C41),"000"))</f>
        <v/>
      </c>
      <c r="C41" s="12" t="n"/>
      <c r="D41" s="12" t="n"/>
      <c r="E41" s="12" t="n"/>
      <c r="F41" s="12" t="n"/>
      <c r="G41" s="25" t="n"/>
      <c r="H41" s="23" t="n"/>
      <c r="I41" s="12" t="n"/>
      <c r="J41" s="12" t="n"/>
      <c r="K41" s="12" t="n"/>
      <c r="L41" s="12" t="n"/>
    </row>
    <row r="42" ht="22" customHeight="1">
      <c r="B42" s="16">
        <f>IF(C42="","AIR-"&amp;TEXT(COUNTA($C$5:C42),"000"))</f>
        <v/>
      </c>
      <c r="C42" s="14" t="n"/>
      <c r="D42" s="14" t="n"/>
      <c r="E42" s="14" t="n"/>
      <c r="F42" s="14" t="n"/>
      <c r="G42" s="26" t="n"/>
      <c r="H42" s="24" t="n"/>
      <c r="I42" s="14" t="n"/>
      <c r="J42" s="14" t="n"/>
      <c r="K42" s="14" t="n"/>
      <c r="L42" s="14" t="n"/>
    </row>
    <row r="43" ht="22" customHeight="1">
      <c r="B43" s="17">
        <f>IF(C43="","AIR-"&amp;TEXT(COUNTA($C$5:C43),"000"))</f>
        <v/>
      </c>
      <c r="C43" s="12" t="n"/>
      <c r="D43" s="12" t="n"/>
      <c r="E43" s="12" t="n"/>
      <c r="F43" s="12" t="n"/>
      <c r="G43" s="25" t="n"/>
      <c r="H43" s="23" t="n"/>
      <c r="I43" s="12" t="n"/>
      <c r="J43" s="12" t="n"/>
      <c r="K43" s="12" t="n"/>
      <c r="L43" s="12" t="n"/>
    </row>
    <row r="44" ht="22" customHeight="1">
      <c r="B44" s="16">
        <f>IF(C44="","AIR-"&amp;TEXT(COUNTA($C$5:C44),"000"))</f>
        <v/>
      </c>
      <c r="C44" s="14" t="n"/>
      <c r="D44" s="14" t="n"/>
      <c r="E44" s="14" t="n"/>
      <c r="F44" s="14" t="n"/>
      <c r="G44" s="26" t="n"/>
      <c r="H44" s="24" t="n"/>
      <c r="I44" s="14" t="n"/>
      <c r="J44" s="14" t="n"/>
      <c r="K44" s="14" t="n"/>
      <c r="L44" s="14" t="n"/>
    </row>
    <row r="45" ht="22" customHeight="1">
      <c r="B45" s="17">
        <f>IF(C45="","AIR-"&amp;TEXT(COUNTA($C$5:C45),"000"))</f>
        <v/>
      </c>
      <c r="C45" s="12" t="n"/>
      <c r="D45" s="12" t="n"/>
      <c r="E45" s="12" t="n"/>
      <c r="F45" s="12" t="n"/>
      <c r="G45" s="25" t="n"/>
      <c r="H45" s="23" t="n"/>
      <c r="I45" s="12" t="n"/>
      <c r="J45" s="12" t="n"/>
      <c r="K45" s="12" t="n"/>
      <c r="L45" s="12" t="n"/>
    </row>
    <row r="46" ht="22" customHeight="1">
      <c r="B46" s="16">
        <f>IF(C46="","AIR-"&amp;TEXT(COUNTA($C$5:C46),"000"))</f>
        <v/>
      </c>
      <c r="C46" s="14" t="n"/>
      <c r="D46" s="14" t="n"/>
      <c r="E46" s="14" t="n"/>
      <c r="F46" s="14" t="n"/>
      <c r="G46" s="26" t="n"/>
      <c r="H46" s="24" t="n"/>
      <c r="I46" s="14" t="n"/>
      <c r="J46" s="14" t="n"/>
      <c r="K46" s="14" t="n"/>
      <c r="L46" s="14" t="n"/>
    </row>
    <row r="47" ht="22" customHeight="1">
      <c r="B47" s="17">
        <f>IF(C47="","AIR-"&amp;TEXT(COUNTA($C$5:C47),"000"))</f>
        <v/>
      </c>
      <c r="C47" s="12" t="n"/>
      <c r="D47" s="12" t="n"/>
      <c r="E47" s="12" t="n"/>
      <c r="F47" s="12" t="n"/>
      <c r="G47" s="25" t="n"/>
      <c r="H47" s="23" t="n"/>
      <c r="I47" s="12" t="n"/>
      <c r="J47" s="12" t="n"/>
      <c r="K47" s="12" t="n"/>
      <c r="L47" s="12" t="n"/>
    </row>
    <row r="48" ht="22" customHeight="1">
      <c r="B48" s="16">
        <f>IF(C48="","AIR-"&amp;TEXT(COUNTA($C$5:C48),"000"))</f>
        <v/>
      </c>
      <c r="C48" s="14" t="n"/>
      <c r="D48" s="14" t="n"/>
      <c r="E48" s="14" t="n"/>
      <c r="F48" s="14" t="n"/>
      <c r="G48" s="26" t="n"/>
      <c r="H48" s="24" t="n"/>
      <c r="I48" s="14" t="n"/>
      <c r="J48" s="14" t="n"/>
      <c r="K48" s="14" t="n"/>
      <c r="L48" s="14" t="n"/>
    </row>
    <row r="49" ht="22" customHeight="1">
      <c r="B49" s="17">
        <f>IF(C49="","AIR-"&amp;TEXT(COUNTA($C$5:C49),"000"))</f>
        <v/>
      </c>
      <c r="C49" s="12" t="n"/>
      <c r="D49" s="12" t="n"/>
      <c r="E49" s="12" t="n"/>
      <c r="F49" s="12" t="n"/>
      <c r="G49" s="25" t="n"/>
      <c r="H49" s="23" t="n"/>
      <c r="I49" s="12" t="n"/>
      <c r="J49" s="12" t="n"/>
      <c r="K49" s="12" t="n"/>
      <c r="L49" s="12" t="n"/>
    </row>
    <row r="50" ht="22" customHeight="1">
      <c r="B50" s="16">
        <f>IF(C50="","AIR-"&amp;TEXT(COUNTA($C$5:C50),"000"))</f>
        <v/>
      </c>
      <c r="C50" s="14" t="n"/>
      <c r="D50" s="14" t="n"/>
      <c r="E50" s="14" t="n"/>
      <c r="F50" s="14" t="n"/>
      <c r="G50" s="26" t="n"/>
      <c r="H50" s="24" t="n"/>
      <c r="I50" s="14" t="n"/>
      <c r="J50" s="14" t="n"/>
      <c r="K50" s="14" t="n"/>
      <c r="L50" s="14" t="n"/>
    </row>
    <row r="51" ht="22" customHeight="1">
      <c r="B51" s="17">
        <f>IF(C51="","AIR-"&amp;TEXT(COUNTA($C$5:C51),"000"))</f>
        <v/>
      </c>
      <c r="C51" s="12" t="n"/>
      <c r="D51" s="12" t="n"/>
      <c r="E51" s="12" t="n"/>
      <c r="F51" s="12" t="n"/>
      <c r="G51" s="25" t="n"/>
      <c r="H51" s="23" t="n"/>
      <c r="I51" s="12" t="n"/>
      <c r="J51" s="12" t="n"/>
      <c r="K51" s="12" t="n"/>
      <c r="L51" s="12" t="n"/>
    </row>
    <row r="52" ht="22" customHeight="1">
      <c r="B52" s="16">
        <f>IF(C52="","AIR-"&amp;TEXT(COUNTA($C$5:C52),"000"))</f>
        <v/>
      </c>
      <c r="C52" s="14" t="n"/>
      <c r="D52" s="14" t="n"/>
      <c r="E52" s="14" t="n"/>
      <c r="F52" s="14" t="n"/>
      <c r="G52" s="26" t="n"/>
      <c r="H52" s="24" t="n"/>
      <c r="I52" s="14" t="n"/>
      <c r="J52" s="14" t="n"/>
      <c r="K52" s="14" t="n"/>
      <c r="L52" s="14" t="n"/>
    </row>
    <row r="53" ht="22" customHeight="1">
      <c r="B53" s="17">
        <f>IF(C53="","AIR-"&amp;TEXT(COUNTA($C$5:C53),"000"))</f>
        <v/>
      </c>
      <c r="C53" s="12" t="n"/>
      <c r="D53" s="12" t="n"/>
      <c r="E53" s="12" t="n"/>
      <c r="F53" s="12" t="n"/>
      <c r="G53" s="25" t="n"/>
      <c r="H53" s="23" t="n"/>
      <c r="I53" s="12" t="n"/>
      <c r="J53" s="12" t="n"/>
      <c r="K53" s="12" t="n"/>
      <c r="L53" s="12" t="n"/>
    </row>
    <row r="54" ht="22" customHeight="1">
      <c r="B54" s="16">
        <f>IF(C54="","AIR-"&amp;TEXT(COUNTA($C$5:C54),"000"))</f>
        <v/>
      </c>
      <c r="C54" s="14" t="n"/>
      <c r="D54" s="14" t="n"/>
      <c r="E54" s="14" t="n"/>
      <c r="F54" s="14" t="n"/>
      <c r="G54" s="26" t="n"/>
      <c r="H54" s="24" t="n"/>
      <c r="I54" s="14" t="n"/>
      <c r="J54" s="14" t="n"/>
      <c r="K54" s="14" t="n"/>
      <c r="L54" s="14" t="n"/>
    </row>
    <row r="55" ht="22" customHeight="1">
      <c r="B55" s="17">
        <f>IF(C55="","AIR-"&amp;TEXT(COUNTA($C$5:C55),"000"))</f>
        <v/>
      </c>
      <c r="C55" s="12" t="n"/>
      <c r="D55" s="12" t="n"/>
      <c r="E55" s="12" t="n"/>
      <c r="F55" s="12" t="n"/>
      <c r="G55" s="25" t="n"/>
      <c r="H55" s="23" t="n"/>
      <c r="I55" s="12" t="n"/>
      <c r="J55" s="12" t="n"/>
      <c r="K55" s="12" t="n"/>
      <c r="L55" s="12" t="n"/>
    </row>
    <row r="56" ht="22" customHeight="1">
      <c r="B56" s="16">
        <f>IF(C56="","AIR-"&amp;TEXT(COUNTA($C$5:C56),"000"))</f>
        <v/>
      </c>
      <c r="C56" s="14" t="n"/>
      <c r="D56" s="14" t="n"/>
      <c r="E56" s="14" t="n"/>
      <c r="F56" s="14" t="n"/>
      <c r="G56" s="26" t="n"/>
      <c r="H56" s="24" t="n"/>
      <c r="I56" s="14" t="n"/>
      <c r="J56" s="14" t="n"/>
      <c r="K56" s="14" t="n"/>
      <c r="L56" s="14" t="n"/>
    </row>
    <row r="57" ht="22" customHeight="1">
      <c r="B57" s="17">
        <f>IF(C57="","AIR-"&amp;TEXT(COUNTA($C$5:C57),"000"))</f>
        <v/>
      </c>
      <c r="C57" s="12" t="n"/>
      <c r="D57" s="12" t="n"/>
      <c r="E57" s="12" t="n"/>
      <c r="F57" s="12" t="n"/>
      <c r="G57" s="25" t="n"/>
      <c r="H57" s="23" t="n"/>
      <c r="I57" s="12" t="n"/>
      <c r="J57" s="12" t="n"/>
      <c r="K57" s="12" t="n"/>
      <c r="L57" s="12" t="n"/>
    </row>
    <row r="58" ht="22" customHeight="1">
      <c r="B58" s="16">
        <f>IF(C58="","AIR-"&amp;TEXT(COUNTA($C$5:C58),"000"))</f>
        <v/>
      </c>
      <c r="C58" s="14" t="n"/>
      <c r="D58" s="14" t="n"/>
      <c r="E58" s="14" t="n"/>
      <c r="F58" s="14" t="n"/>
      <c r="G58" s="26" t="n"/>
      <c r="H58" s="24" t="n"/>
      <c r="I58" s="14" t="n"/>
      <c r="J58" s="14" t="n"/>
      <c r="K58" s="14" t="n"/>
      <c r="L58" s="14" t="n"/>
    </row>
    <row r="59" ht="22" customHeight="1">
      <c r="B59" s="17">
        <f>IF(C59="","AIR-"&amp;TEXT(COUNTA($C$5:C59),"000"))</f>
        <v/>
      </c>
      <c r="C59" s="12" t="n"/>
      <c r="D59" s="12" t="n"/>
      <c r="E59" s="12" t="n"/>
      <c r="F59" s="12" t="n"/>
      <c r="G59" s="25" t="n"/>
      <c r="H59" s="23" t="n"/>
      <c r="I59" s="12" t="n"/>
      <c r="J59" s="12" t="n"/>
      <c r="K59" s="12" t="n"/>
      <c r="L59" s="12" t="n"/>
    </row>
    <row r="60" ht="22" customHeight="1">
      <c r="B60" s="16">
        <f>IF(C60="","AIR-"&amp;TEXT(COUNTA($C$5:C60),"000"))</f>
        <v/>
      </c>
      <c r="C60" s="14" t="n"/>
      <c r="D60" s="14" t="n"/>
      <c r="E60" s="14" t="n"/>
      <c r="F60" s="14" t="n"/>
      <c r="G60" s="26" t="n"/>
      <c r="H60" s="24" t="n"/>
      <c r="I60" s="14" t="n"/>
      <c r="J60" s="14" t="n"/>
      <c r="K60" s="14" t="n"/>
      <c r="L60" s="14" t="n"/>
    </row>
    <row r="61" ht="22" customHeight="1">
      <c r="B61" s="17">
        <f>IF(C61="","AIR-"&amp;TEXT(COUNTA($C$5:C61),"000"))</f>
        <v/>
      </c>
      <c r="C61" s="12" t="n"/>
      <c r="D61" s="12" t="n"/>
      <c r="E61" s="12" t="n"/>
      <c r="F61" s="12" t="n"/>
      <c r="G61" s="25" t="n"/>
      <c r="H61" s="23" t="n"/>
      <c r="I61" s="12" t="n"/>
      <c r="J61" s="12" t="n"/>
      <c r="K61" s="12" t="n"/>
      <c r="L61" s="12" t="n"/>
    </row>
    <row r="62" ht="22" customHeight="1">
      <c r="B62" s="16">
        <f>IF(C62="","AIR-"&amp;TEXT(COUNTA($C$5:C62),"000"))</f>
        <v/>
      </c>
      <c r="C62" s="14" t="n"/>
      <c r="D62" s="14" t="n"/>
      <c r="E62" s="14" t="n"/>
      <c r="F62" s="14" t="n"/>
      <c r="G62" s="26" t="n"/>
      <c r="H62" s="24" t="n"/>
      <c r="I62" s="14" t="n"/>
      <c r="J62" s="14" t="n"/>
      <c r="K62" s="14" t="n"/>
      <c r="L62" s="14" t="n"/>
    </row>
    <row r="63" ht="22" customHeight="1">
      <c r="B63" s="17">
        <f>IF(C63="","AIR-"&amp;TEXT(COUNTA($C$5:C63),"000"))</f>
        <v/>
      </c>
      <c r="C63" s="12" t="n"/>
      <c r="D63" s="12" t="n"/>
      <c r="E63" s="12" t="n"/>
      <c r="F63" s="12" t="n"/>
      <c r="G63" s="25" t="n"/>
      <c r="H63" s="23" t="n"/>
      <c r="I63" s="12" t="n"/>
      <c r="J63" s="12" t="n"/>
      <c r="K63" s="12" t="n"/>
      <c r="L63" s="12" t="n"/>
    </row>
    <row r="64" ht="22" customHeight="1">
      <c r="B64" s="16">
        <f>IF(C64="","AIR-"&amp;TEXT(COUNTA($C$5:C64),"000"))</f>
        <v/>
      </c>
      <c r="C64" s="14" t="n"/>
      <c r="D64" s="14" t="n"/>
      <c r="E64" s="14" t="n"/>
      <c r="F64" s="14" t="n"/>
      <c r="G64" s="26" t="n"/>
      <c r="H64" s="24" t="n"/>
      <c r="I64" s="14" t="n"/>
      <c r="J64" s="14" t="n"/>
      <c r="K64" s="14" t="n"/>
      <c r="L64" s="14" t="n"/>
    </row>
    <row r="65" ht="22" customHeight="1">
      <c r="B65" s="17">
        <f>IF(C65="","AIR-"&amp;TEXT(COUNTA($C$5:C65),"000"))</f>
        <v/>
      </c>
      <c r="C65" s="12" t="n"/>
      <c r="D65" s="12" t="n"/>
      <c r="E65" s="12" t="n"/>
      <c r="F65" s="12" t="n"/>
      <c r="G65" s="25" t="n"/>
      <c r="H65" s="23" t="n"/>
      <c r="I65" s="12" t="n"/>
      <c r="J65" s="12" t="n"/>
      <c r="K65" s="12" t="n"/>
      <c r="L65" s="12" t="n"/>
    </row>
    <row r="66" ht="22" customHeight="1">
      <c r="B66" s="16">
        <f>IF(C66="","AIR-"&amp;TEXT(COUNTA($C$5:C66),"000"))</f>
        <v/>
      </c>
      <c r="C66" s="14" t="n"/>
      <c r="D66" s="14" t="n"/>
      <c r="E66" s="14" t="n"/>
      <c r="F66" s="14" t="n"/>
      <c r="G66" s="26" t="n"/>
      <c r="H66" s="24" t="n"/>
      <c r="I66" s="14" t="n"/>
      <c r="J66" s="14" t="n"/>
      <c r="K66" s="14" t="n"/>
      <c r="L66" s="14" t="n"/>
    </row>
    <row r="67" ht="22" customHeight="1">
      <c r="B67" s="17">
        <f>IF(C67="","AIR-"&amp;TEXT(COUNTA($C$5:C67),"000"))</f>
        <v/>
      </c>
      <c r="C67" s="12" t="n"/>
      <c r="D67" s="12" t="n"/>
      <c r="E67" s="12" t="n"/>
      <c r="F67" s="12" t="n"/>
      <c r="G67" s="25" t="n"/>
      <c r="H67" s="23" t="n"/>
      <c r="I67" s="12" t="n"/>
      <c r="J67" s="12" t="n"/>
      <c r="K67" s="12" t="n"/>
      <c r="L67" s="12" t="n"/>
    </row>
    <row r="68" ht="22" customHeight="1">
      <c r="B68" s="16">
        <f>IF(C68="","AIR-"&amp;TEXT(COUNTA($C$5:C68),"000"))</f>
        <v/>
      </c>
      <c r="C68" s="14" t="n"/>
      <c r="D68" s="14" t="n"/>
      <c r="E68" s="14" t="n"/>
      <c r="F68" s="14" t="n"/>
      <c r="G68" s="26" t="n"/>
      <c r="H68" s="24" t="n"/>
      <c r="I68" s="14" t="n"/>
      <c r="J68" s="14" t="n"/>
      <c r="K68" s="14" t="n"/>
      <c r="L68" s="14" t="n"/>
    </row>
    <row r="69" ht="22" customHeight="1">
      <c r="B69" s="17">
        <f>IF(C69="","AIR-"&amp;TEXT(COUNTA($C$5:C69),"000"))</f>
        <v/>
      </c>
      <c r="C69" s="12" t="n"/>
      <c r="D69" s="12" t="n"/>
      <c r="E69" s="12" t="n"/>
      <c r="F69" s="12" t="n"/>
      <c r="G69" s="25" t="n"/>
      <c r="H69" s="23" t="n"/>
      <c r="I69" s="12" t="n"/>
      <c r="J69" s="12" t="n"/>
      <c r="K69" s="12" t="n"/>
      <c r="L69" s="12" t="n"/>
    </row>
    <row r="70" ht="22" customHeight="1">
      <c r="B70" s="16">
        <f>IF(C70="","AIR-"&amp;TEXT(COUNTA($C$5:C70),"000"))</f>
        <v/>
      </c>
      <c r="C70" s="14" t="n"/>
      <c r="D70" s="14" t="n"/>
      <c r="E70" s="14" t="n"/>
      <c r="F70" s="14" t="n"/>
      <c r="G70" s="26" t="n"/>
      <c r="H70" s="24" t="n"/>
      <c r="I70" s="14" t="n"/>
      <c r="J70" s="14" t="n"/>
      <c r="K70" s="14" t="n"/>
      <c r="L70" s="14" t="n"/>
    </row>
    <row r="71" ht="22" customHeight="1">
      <c r="B71" s="17">
        <f>IF(C71="","AIR-"&amp;TEXT(COUNTA($C$5:C71),"000"))</f>
        <v/>
      </c>
      <c r="C71" s="12" t="n"/>
      <c r="D71" s="12" t="n"/>
      <c r="E71" s="12" t="n"/>
      <c r="F71" s="12" t="n"/>
      <c r="G71" s="25" t="n"/>
      <c r="H71" s="23" t="n"/>
      <c r="I71" s="12" t="n"/>
      <c r="J71" s="12" t="n"/>
      <c r="K71" s="12" t="n"/>
      <c r="L71" s="12" t="n"/>
    </row>
    <row r="72" ht="22" customHeight="1">
      <c r="B72" s="16">
        <f>IF(C72="","AIR-"&amp;TEXT(COUNTA($C$5:C72),"000"))</f>
        <v/>
      </c>
      <c r="C72" s="14" t="n"/>
      <c r="D72" s="14" t="n"/>
      <c r="E72" s="14" t="n"/>
      <c r="F72" s="14" t="n"/>
      <c r="G72" s="26" t="n"/>
      <c r="H72" s="24" t="n"/>
      <c r="I72" s="14" t="n"/>
      <c r="J72" s="14" t="n"/>
      <c r="K72" s="14" t="n"/>
      <c r="L72" s="14" t="n"/>
    </row>
    <row r="73" ht="22" customHeight="1">
      <c r="B73" s="17">
        <f>IF(C73="","AIR-"&amp;TEXT(COUNTA($C$5:C73),"000"))</f>
        <v/>
      </c>
      <c r="C73" s="12" t="n"/>
      <c r="D73" s="12" t="n"/>
      <c r="E73" s="12" t="n"/>
      <c r="F73" s="12" t="n"/>
      <c r="G73" s="25" t="n"/>
      <c r="H73" s="23" t="n"/>
      <c r="I73" s="12" t="n"/>
      <c r="J73" s="12" t="n"/>
      <c r="K73" s="12" t="n"/>
      <c r="L73" s="12" t="n"/>
    </row>
    <row r="74" ht="22" customHeight="1">
      <c r="B74" s="16">
        <f>IF(C74="","AIR-"&amp;TEXT(COUNTA($C$5:C74),"000"))</f>
        <v/>
      </c>
      <c r="C74" s="14" t="n"/>
      <c r="D74" s="14" t="n"/>
      <c r="E74" s="14" t="n"/>
      <c r="F74" s="14" t="n"/>
      <c r="G74" s="26" t="n"/>
      <c r="H74" s="24" t="n"/>
      <c r="I74" s="14" t="n"/>
      <c r="J74" s="14" t="n"/>
      <c r="K74" s="14" t="n"/>
      <c r="L74" s="14" t="n"/>
    </row>
    <row r="75" ht="22" customHeight="1">
      <c r="B75" s="17">
        <f>IF(C75="","AIR-"&amp;TEXT(COUNTA($C$5:C75),"000"))</f>
        <v/>
      </c>
      <c r="C75" s="12" t="n"/>
      <c r="D75" s="12" t="n"/>
      <c r="E75" s="12" t="n"/>
      <c r="F75" s="12" t="n"/>
      <c r="G75" s="25" t="n"/>
      <c r="H75" s="23" t="n"/>
      <c r="I75" s="12" t="n"/>
      <c r="J75" s="12" t="n"/>
      <c r="K75" s="12" t="n"/>
      <c r="L75" s="12" t="n"/>
    </row>
    <row r="76" ht="22" customHeight="1">
      <c r="B76" s="16">
        <f>IF(C76="","AIR-"&amp;TEXT(COUNTA($C$5:C76),"000"))</f>
        <v/>
      </c>
      <c r="C76" s="14" t="n"/>
      <c r="D76" s="14" t="n"/>
      <c r="E76" s="14" t="n"/>
      <c r="F76" s="14" t="n"/>
      <c r="G76" s="26" t="n"/>
      <c r="H76" s="24" t="n"/>
      <c r="I76" s="14" t="n"/>
      <c r="J76" s="14" t="n"/>
      <c r="K76" s="14" t="n"/>
      <c r="L76" s="14" t="n"/>
    </row>
    <row r="77" ht="22" customHeight="1">
      <c r="B77" s="17">
        <f>IF(C77="","AIR-"&amp;TEXT(COUNTA($C$5:C77),"000"))</f>
        <v/>
      </c>
      <c r="C77" s="12" t="n"/>
      <c r="D77" s="12" t="n"/>
      <c r="E77" s="12" t="n"/>
      <c r="F77" s="12" t="n"/>
      <c r="G77" s="25" t="n"/>
      <c r="H77" s="23" t="n"/>
      <c r="I77" s="12" t="n"/>
      <c r="J77" s="12" t="n"/>
      <c r="K77" s="12" t="n"/>
      <c r="L77" s="12" t="n"/>
    </row>
    <row r="78" ht="22" customHeight="1">
      <c r="B78" s="16">
        <f>IF(C78="","AIR-"&amp;TEXT(COUNTA($C$5:C78),"000"))</f>
        <v/>
      </c>
      <c r="C78" s="14" t="n"/>
      <c r="D78" s="14" t="n"/>
      <c r="E78" s="14" t="n"/>
      <c r="F78" s="14" t="n"/>
      <c r="G78" s="26" t="n"/>
      <c r="H78" s="24" t="n"/>
      <c r="I78" s="14" t="n"/>
      <c r="J78" s="14" t="n"/>
      <c r="K78" s="14" t="n"/>
      <c r="L78" s="14" t="n"/>
    </row>
    <row r="79" ht="22" customHeight="1">
      <c r="B79" s="17">
        <f>IF(C79="","AIR-"&amp;TEXT(COUNTA($C$5:C79),"000"))</f>
        <v/>
      </c>
      <c r="C79" s="12" t="n"/>
      <c r="D79" s="12" t="n"/>
      <c r="E79" s="12" t="n"/>
      <c r="F79" s="12" t="n"/>
      <c r="G79" s="25" t="n"/>
      <c r="H79" s="23" t="n"/>
      <c r="I79" s="12" t="n"/>
      <c r="J79" s="12" t="n"/>
      <c r="K79" s="12" t="n"/>
      <c r="L79" s="12" t="n"/>
    </row>
    <row r="80" ht="22" customHeight="1">
      <c r="B80" s="16">
        <f>IF(C80="","AIR-"&amp;TEXT(COUNTA($C$5:C80),"000"))</f>
        <v/>
      </c>
      <c r="C80" s="14" t="n"/>
      <c r="D80" s="14" t="n"/>
      <c r="E80" s="14" t="n"/>
      <c r="F80" s="14" t="n"/>
      <c r="G80" s="26" t="n"/>
      <c r="H80" s="24" t="n"/>
      <c r="I80" s="14" t="n"/>
      <c r="J80" s="14" t="n"/>
      <c r="K80" s="14" t="n"/>
      <c r="L80" s="14" t="n"/>
    </row>
    <row r="81" ht="22" customHeight="1">
      <c r="B81" s="17">
        <f>IF(C81="","AIR-"&amp;TEXT(COUNTA($C$5:C81),"000"))</f>
        <v/>
      </c>
      <c r="C81" s="12" t="n"/>
      <c r="D81" s="12" t="n"/>
      <c r="E81" s="12" t="n"/>
      <c r="F81" s="12" t="n"/>
      <c r="G81" s="25" t="n"/>
      <c r="H81" s="23" t="n"/>
      <c r="I81" s="12" t="n"/>
      <c r="J81" s="12" t="n"/>
      <c r="K81" s="12" t="n"/>
      <c r="L81" s="12" t="n"/>
    </row>
    <row r="82" ht="22" customHeight="1">
      <c r="B82" s="16">
        <f>IF(C82="","AIR-"&amp;TEXT(COUNTA($C$5:C82),"000"))</f>
        <v/>
      </c>
      <c r="C82" s="14" t="n"/>
      <c r="D82" s="14" t="n"/>
      <c r="E82" s="14" t="n"/>
      <c r="F82" s="14" t="n"/>
      <c r="G82" s="26" t="n"/>
      <c r="H82" s="24" t="n"/>
      <c r="I82" s="14" t="n"/>
      <c r="J82" s="14" t="n"/>
      <c r="K82" s="14" t="n"/>
      <c r="L82" s="14" t="n"/>
    </row>
    <row r="83" ht="22" customHeight="1">
      <c r="B83" s="17">
        <f>IF(C83="","AIR-"&amp;TEXT(COUNTA($C$5:C83),"000"))</f>
        <v/>
      </c>
      <c r="C83" s="12" t="n"/>
      <c r="D83" s="12" t="n"/>
      <c r="E83" s="12" t="n"/>
      <c r="F83" s="12" t="n"/>
      <c r="G83" s="25" t="n"/>
      <c r="H83" s="23" t="n"/>
      <c r="I83" s="12" t="n"/>
      <c r="J83" s="12" t="n"/>
      <c r="K83" s="12" t="n"/>
      <c r="L83" s="12" t="n"/>
    </row>
    <row r="84" ht="22" customHeight="1">
      <c r="B84" s="16">
        <f>IF(C84="","AIR-"&amp;TEXT(COUNTA($C$5:C84),"000"))</f>
        <v/>
      </c>
      <c r="C84" s="14" t="n"/>
      <c r="D84" s="14" t="n"/>
      <c r="E84" s="14" t="n"/>
      <c r="F84" s="14" t="n"/>
      <c r="G84" s="26" t="n"/>
      <c r="H84" s="24" t="n"/>
      <c r="I84" s="14" t="n"/>
      <c r="J84" s="14" t="n"/>
      <c r="K84" s="14" t="n"/>
      <c r="L84" s="14" t="n"/>
    </row>
    <row r="85" ht="22" customHeight="1">
      <c r="B85" s="17">
        <f>IF(C85="","AIR-"&amp;TEXT(COUNTA($C$5:C85),"000"))</f>
        <v/>
      </c>
      <c r="C85" s="12" t="n"/>
      <c r="D85" s="12" t="n"/>
      <c r="E85" s="12" t="n"/>
      <c r="F85" s="12" t="n"/>
      <c r="G85" s="25" t="n"/>
      <c r="H85" s="23" t="n"/>
      <c r="I85" s="12" t="n"/>
      <c r="J85" s="12" t="n"/>
      <c r="K85" s="12" t="n"/>
      <c r="L85" s="12" t="n"/>
    </row>
    <row r="86" ht="22" customHeight="1">
      <c r="B86" s="16">
        <f>IF(C86="","AIR-"&amp;TEXT(COUNTA($C$5:C86),"000"))</f>
        <v/>
      </c>
      <c r="C86" s="14" t="n"/>
      <c r="D86" s="14" t="n"/>
      <c r="E86" s="14" t="n"/>
      <c r="F86" s="14" t="n"/>
      <c r="G86" s="26" t="n"/>
      <c r="H86" s="24" t="n"/>
      <c r="I86" s="14" t="n"/>
      <c r="J86" s="14" t="n"/>
      <c r="K86" s="14" t="n"/>
      <c r="L86" s="14" t="n"/>
    </row>
    <row r="87" ht="22" customHeight="1">
      <c r="B87" s="17">
        <f>IF(C87="","AIR-"&amp;TEXT(COUNTA($C$5:C87),"000"))</f>
        <v/>
      </c>
      <c r="C87" s="12" t="n"/>
      <c r="D87" s="12" t="n"/>
      <c r="E87" s="12" t="n"/>
      <c r="F87" s="12" t="n"/>
      <c r="G87" s="25" t="n"/>
      <c r="H87" s="23" t="n"/>
      <c r="I87" s="12" t="n"/>
      <c r="J87" s="12" t="n"/>
      <c r="K87" s="12" t="n"/>
      <c r="L87" s="12" t="n"/>
    </row>
    <row r="88" ht="22" customHeight="1">
      <c r="B88" s="16">
        <f>IF(C88="","AIR-"&amp;TEXT(COUNTA($C$5:C88),"000"))</f>
        <v/>
      </c>
      <c r="C88" s="14" t="n"/>
      <c r="D88" s="14" t="n"/>
      <c r="E88" s="14" t="n"/>
      <c r="F88" s="14" t="n"/>
      <c r="G88" s="26" t="n"/>
      <c r="H88" s="24" t="n"/>
      <c r="I88" s="14" t="n"/>
      <c r="J88" s="14" t="n"/>
      <c r="K88" s="14" t="n"/>
      <c r="L88" s="14" t="n"/>
    </row>
    <row r="89" ht="22" customHeight="1">
      <c r="B89" s="17">
        <f>IF(C89="","AIR-"&amp;TEXT(COUNTA($C$5:C89),"000"))</f>
        <v/>
      </c>
      <c r="C89" s="12" t="n"/>
      <c r="D89" s="12" t="n"/>
      <c r="E89" s="12" t="n"/>
      <c r="F89" s="12" t="n"/>
      <c r="G89" s="25" t="n"/>
      <c r="H89" s="23" t="n"/>
      <c r="I89" s="12" t="n"/>
      <c r="J89" s="12" t="n"/>
      <c r="K89" s="12" t="n"/>
      <c r="L89" s="12" t="n"/>
    </row>
    <row r="90" ht="22" customHeight="1">
      <c r="B90" s="16">
        <f>IF(C90="","AIR-"&amp;TEXT(COUNTA($C$5:C90),"000"))</f>
        <v/>
      </c>
      <c r="C90" s="14" t="n"/>
      <c r="D90" s="14" t="n"/>
      <c r="E90" s="14" t="n"/>
      <c r="F90" s="14" t="n"/>
      <c r="G90" s="26" t="n"/>
      <c r="H90" s="24" t="n"/>
      <c r="I90" s="14" t="n"/>
      <c r="J90" s="14" t="n"/>
      <c r="K90" s="14" t="n"/>
      <c r="L90" s="14" t="n"/>
    </row>
    <row r="91" ht="22" customHeight="1">
      <c r="B91" s="17">
        <f>IF(C91="","AIR-"&amp;TEXT(COUNTA($C$5:C91),"000"))</f>
        <v/>
      </c>
      <c r="C91" s="12" t="n"/>
      <c r="D91" s="12" t="n"/>
      <c r="E91" s="12" t="n"/>
      <c r="F91" s="12" t="n"/>
      <c r="G91" s="25" t="n"/>
      <c r="H91" s="23" t="n"/>
      <c r="I91" s="12" t="n"/>
      <c r="J91" s="12" t="n"/>
      <c r="K91" s="12" t="n"/>
      <c r="L91" s="12" t="n"/>
    </row>
    <row r="92" ht="22" customHeight="1">
      <c r="B92" s="16">
        <f>IF(C92="","AIR-"&amp;TEXT(COUNTA($C$5:C92),"000"))</f>
        <v/>
      </c>
      <c r="C92" s="14" t="n"/>
      <c r="D92" s="14" t="n"/>
      <c r="E92" s="14" t="n"/>
      <c r="F92" s="14" t="n"/>
      <c r="G92" s="26" t="n"/>
      <c r="H92" s="24" t="n"/>
      <c r="I92" s="14" t="n"/>
      <c r="J92" s="14" t="n"/>
      <c r="K92" s="14" t="n"/>
      <c r="L92" s="14" t="n"/>
    </row>
    <row r="93" ht="22" customHeight="1">
      <c r="B93" s="17">
        <f>IF(C93="","AIR-"&amp;TEXT(COUNTA($C$5:C93),"000"))</f>
        <v/>
      </c>
      <c r="C93" s="12" t="n"/>
      <c r="D93" s="12" t="n"/>
      <c r="E93" s="12" t="n"/>
      <c r="F93" s="12" t="n"/>
      <c r="G93" s="25" t="n"/>
      <c r="H93" s="23" t="n"/>
      <c r="I93" s="12" t="n"/>
      <c r="J93" s="12" t="n"/>
      <c r="K93" s="12" t="n"/>
      <c r="L93" s="12" t="n"/>
    </row>
    <row r="94" ht="22" customHeight="1">
      <c r="B94" s="16">
        <f>IF(C94="","AIR-"&amp;TEXT(COUNTA($C$5:C94),"000"))</f>
        <v/>
      </c>
      <c r="C94" s="14" t="n"/>
      <c r="D94" s="14" t="n"/>
      <c r="E94" s="14" t="n"/>
      <c r="F94" s="14" t="n"/>
      <c r="G94" s="26" t="n"/>
      <c r="H94" s="24" t="n"/>
      <c r="I94" s="14" t="n"/>
      <c r="J94" s="14" t="n"/>
      <c r="K94" s="14" t="n"/>
      <c r="L94" s="14" t="n"/>
    </row>
    <row r="95" ht="22" customHeight="1">
      <c r="B95" s="17">
        <f>IF(C95="","AIR-"&amp;TEXT(COUNTA($C$5:C95),"000"))</f>
        <v/>
      </c>
      <c r="C95" s="12" t="n"/>
      <c r="D95" s="12" t="n"/>
      <c r="E95" s="12" t="n"/>
      <c r="F95" s="12" t="n"/>
      <c r="G95" s="25" t="n"/>
      <c r="H95" s="23" t="n"/>
      <c r="I95" s="12" t="n"/>
      <c r="J95" s="12" t="n"/>
      <c r="K95" s="12" t="n"/>
      <c r="L95" s="12" t="n"/>
    </row>
    <row r="96" ht="22" customHeight="1">
      <c r="B96" s="16">
        <f>IF(C96="","AIR-"&amp;TEXT(COUNTA($C$5:C96),"000"))</f>
        <v/>
      </c>
      <c r="C96" s="14" t="n"/>
      <c r="D96" s="14" t="n"/>
      <c r="E96" s="14" t="n"/>
      <c r="F96" s="14" t="n"/>
      <c r="G96" s="26" t="n"/>
      <c r="H96" s="24" t="n"/>
      <c r="I96" s="14" t="n"/>
      <c r="J96" s="14" t="n"/>
      <c r="K96" s="14" t="n"/>
      <c r="L96" s="14" t="n"/>
    </row>
    <row r="97" ht="22" customHeight="1">
      <c r="B97" s="17">
        <f>IF(C97="","AIR-"&amp;TEXT(COUNTA($C$5:C97),"000"))</f>
        <v/>
      </c>
      <c r="C97" s="12" t="n"/>
      <c r="D97" s="12" t="n"/>
      <c r="E97" s="12" t="n"/>
      <c r="F97" s="12" t="n"/>
      <c r="G97" s="25" t="n"/>
      <c r="H97" s="23" t="n"/>
      <c r="I97" s="12" t="n"/>
      <c r="J97" s="12" t="n"/>
      <c r="K97" s="12" t="n"/>
      <c r="L97" s="12" t="n"/>
    </row>
    <row r="98" ht="22" customHeight="1">
      <c r="B98" s="16">
        <f>IF(C98="","AIR-"&amp;TEXT(COUNTA($C$5:C98),"000"))</f>
        <v/>
      </c>
      <c r="C98" s="14" t="n"/>
      <c r="D98" s="14" t="n"/>
      <c r="E98" s="14" t="n"/>
      <c r="F98" s="14" t="n"/>
      <c r="G98" s="26" t="n"/>
      <c r="H98" s="24" t="n"/>
      <c r="I98" s="14" t="n"/>
      <c r="J98" s="14" t="n"/>
      <c r="K98" s="14" t="n"/>
      <c r="L98" s="14" t="n"/>
    </row>
    <row r="99" ht="22" customHeight="1">
      <c r="B99" s="17">
        <f>IF(C99="","AIR-"&amp;TEXT(COUNTA($C$5:C99),"000"))</f>
        <v/>
      </c>
      <c r="C99" s="12" t="n"/>
      <c r="D99" s="12" t="n"/>
      <c r="E99" s="12" t="n"/>
      <c r="F99" s="12" t="n"/>
      <c r="G99" s="25" t="n"/>
      <c r="H99" s="23" t="n"/>
      <c r="I99" s="12" t="n"/>
      <c r="J99" s="12" t="n"/>
      <c r="K99" s="12" t="n"/>
      <c r="L99" s="12" t="n"/>
    </row>
    <row r="100" ht="22" customHeight="1">
      <c r="B100" s="16">
        <f>IF(C100="","AIR-"&amp;TEXT(COUNTA($C$5:C100),"000"))</f>
        <v/>
      </c>
      <c r="C100" s="14" t="n"/>
      <c r="D100" s="14" t="n"/>
      <c r="E100" s="14" t="n"/>
      <c r="F100" s="14" t="n"/>
      <c r="G100" s="26" t="n"/>
      <c r="H100" s="24" t="n"/>
      <c r="I100" s="14" t="n"/>
      <c r="J100" s="14" t="n"/>
      <c r="K100" s="14" t="n"/>
      <c r="L100" s="14" t="n"/>
    </row>
    <row r="101" ht="22" customHeight="1">
      <c r="B101" s="17">
        <f>IF(C101="","AIR-"&amp;TEXT(COUNTA($C$5:C101),"000"))</f>
        <v/>
      </c>
      <c r="C101" s="12" t="n"/>
      <c r="D101" s="12" t="n"/>
      <c r="E101" s="12" t="n"/>
      <c r="F101" s="12" t="n"/>
      <c r="G101" s="25" t="n"/>
      <c r="H101" s="23" t="n"/>
      <c r="I101" s="12" t="n"/>
      <c r="J101" s="12" t="n"/>
      <c r="K101" s="12" t="n"/>
      <c r="L101" s="12" t="n"/>
    </row>
    <row r="102" ht="22" customHeight="1">
      <c r="B102" s="16">
        <f>IF(C102="","AIR-"&amp;TEXT(COUNTA($C$5:C102),"000"))</f>
        <v/>
      </c>
      <c r="C102" s="14" t="n"/>
      <c r="D102" s="14" t="n"/>
      <c r="E102" s="14" t="n"/>
      <c r="F102" s="14" t="n"/>
      <c r="G102" s="26" t="n"/>
      <c r="H102" s="24" t="n"/>
      <c r="I102" s="14" t="n"/>
      <c r="J102" s="14" t="n"/>
      <c r="K102" s="14" t="n"/>
      <c r="L102" s="14" t="n"/>
    </row>
    <row r="103" ht="22" customHeight="1">
      <c r="B103" s="17">
        <f>IF(C103="","AIR-"&amp;TEXT(COUNTA($C$5:C103),"000"))</f>
        <v/>
      </c>
      <c r="C103" s="12" t="n"/>
      <c r="D103" s="12" t="n"/>
      <c r="E103" s="12" t="n"/>
      <c r="F103" s="12" t="n"/>
      <c r="G103" s="25" t="n"/>
      <c r="H103" s="23" t="n"/>
      <c r="I103" s="12" t="n"/>
      <c r="J103" s="12" t="n"/>
      <c r="K103" s="12" t="n"/>
      <c r="L103" s="12" t="n"/>
    </row>
    <row r="104" ht="22" customHeight="1">
      <c r="B104" s="16">
        <f>IF(C104="","AIR-"&amp;TEXT(COUNTA($C$5:C104),"000"))</f>
        <v/>
      </c>
      <c r="C104" s="14" t="n"/>
      <c r="D104" s="14" t="n"/>
      <c r="E104" s="14" t="n"/>
      <c r="F104" s="14" t="n"/>
      <c r="G104" s="26" t="n"/>
      <c r="H104" s="24" t="n"/>
      <c r="I104" s="14" t="n"/>
      <c r="J104" s="14" t="n"/>
      <c r="K104" s="14" t="n"/>
      <c r="L104" s="14" t="n"/>
    </row>
    <row r="105" ht="22" customHeight="1">
      <c r="B105" s="17">
        <f>IF(C105="","AIR-"&amp;TEXT(COUNTA($C$5:C105),"000"))</f>
        <v/>
      </c>
      <c r="C105" s="12" t="n"/>
      <c r="D105" s="12" t="n"/>
      <c r="E105" s="12" t="n"/>
      <c r="F105" s="12" t="n"/>
      <c r="G105" s="25" t="n"/>
      <c r="H105" s="23" t="n"/>
      <c r="I105" s="12" t="n"/>
      <c r="J105" s="12" t="n"/>
      <c r="K105" s="12" t="n"/>
      <c r="L105" s="12" t="n"/>
    </row>
    <row r="106" ht="22" customHeight="1">
      <c r="B106" s="16">
        <f>IF(C106="","AIR-"&amp;TEXT(COUNTA($C$5:C106),"000"))</f>
        <v/>
      </c>
      <c r="C106" s="14" t="n"/>
      <c r="D106" s="14" t="n"/>
      <c r="E106" s="14" t="n"/>
      <c r="F106" s="14" t="n"/>
      <c r="G106" s="26" t="n"/>
      <c r="H106" s="24" t="n"/>
      <c r="I106" s="14" t="n"/>
      <c r="J106" s="14" t="n"/>
      <c r="K106" s="14" t="n"/>
      <c r="L106" s="14" t="n"/>
    </row>
    <row r="107" ht="22" customHeight="1">
      <c r="B107" s="17">
        <f>IF(C107="","AIR-"&amp;TEXT(COUNTA($C$5:C107),"000"))</f>
        <v/>
      </c>
      <c r="C107" s="12" t="n"/>
      <c r="D107" s="12" t="n"/>
      <c r="E107" s="12" t="n"/>
      <c r="F107" s="12" t="n"/>
      <c r="G107" s="25" t="n"/>
      <c r="H107" s="23" t="n"/>
      <c r="I107" s="12" t="n"/>
      <c r="J107" s="12" t="n"/>
      <c r="K107" s="12" t="n"/>
      <c r="L107" s="12" t="n"/>
    </row>
    <row r="108" ht="22" customHeight="1">
      <c r="B108" s="16">
        <f>IF(C108="","AIR-"&amp;TEXT(COUNTA($C$5:C108),"000"))</f>
        <v/>
      </c>
      <c r="C108" s="14" t="n"/>
      <c r="D108" s="14" t="n"/>
      <c r="E108" s="14" t="n"/>
      <c r="F108" s="14" t="n"/>
      <c r="G108" s="26" t="n"/>
      <c r="H108" s="24" t="n"/>
      <c r="I108" s="14" t="n"/>
      <c r="J108" s="14" t="n"/>
      <c r="K108" s="14" t="n"/>
      <c r="L108" s="14" t="n"/>
    </row>
    <row r="109" ht="22" customHeight="1">
      <c r="B109" s="17">
        <f>IF(C109="","AIR-"&amp;TEXT(COUNTA($C$5:C109),"000"))</f>
        <v/>
      </c>
      <c r="C109" s="12" t="n"/>
      <c r="D109" s="12" t="n"/>
      <c r="E109" s="12" t="n"/>
      <c r="F109" s="12" t="n"/>
      <c r="G109" s="25" t="n"/>
      <c r="H109" s="23" t="n"/>
      <c r="I109" s="12" t="n"/>
      <c r="J109" s="12" t="n"/>
      <c r="K109" s="12" t="n"/>
      <c r="L109" s="12" t="n"/>
    </row>
    <row r="111">
      <c r="B111" s="6" t="inlineStr">
        <is>
          <t>INDICATEURS (mis a jour automatiquement)</t>
        </is>
      </c>
    </row>
    <row r="112">
      <c r="B112" s="3" t="inlineStr">
        <is>
          <t>Criteres evalues</t>
        </is>
      </c>
      <c r="D112" s="3" t="inlineStr">
        <is>
          <t>Score moyen</t>
        </is>
      </c>
      <c r="F112" s="3" t="inlineStr">
        <is>
          <t>Risques critiques</t>
        </is>
      </c>
      <c r="H112" s="3" t="inlineStr">
        <is>
          <t>Audits termines</t>
        </is>
      </c>
    </row>
    <row r="113">
      <c r="B113" s="4">
        <f>COUNTIF(B5:B104,"&lt;&gt;")</f>
        <v/>
      </c>
      <c r="D113" s="4">
        <f>IFERROR(AVERAGE(H5:H104),0)</f>
        <v/>
      </c>
      <c r="F113" s="4">
        <f>COUNTIF(J5:J104,"Critique")</f>
        <v/>
      </c>
      <c r="H113" s="4">
        <f>COUNTIF(L5:L104,"Terminee")</f>
        <v/>
      </c>
    </row>
  </sheetData>
  <mergeCells count="3">
    <mergeCell ref="B2:L2"/>
    <mergeCell ref="B111:L111"/>
    <mergeCell ref="B3:L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L10:L109">
    <cfRule type="expression" priority="11" dxfId="3">
      <formula>AND($C10="",$C9&lt;&gt;"")</formula>
    </cfRule>
  </conditionalFormatting>
  <dataValidations count="4">
    <dataValidation sqref="C5:C109" showDropDown="0" showInputMessage="0" showErrorMessage="0" allowBlank="1" errorTitle="Erreur" error="Valeur invalide" promptTitle="Liste" prompt="Choisir dans la liste" type="list">
      <formula1>'_Lists'!$B$2:$B$13</formula1>
    </dataValidation>
    <dataValidation sqref="F5:F109" showDropDown="0" showInputMessage="0" showErrorMessage="0" allowBlank="1" errorTitle="Erreur" error="Valeur invalide" promptTitle="Liste" prompt="Choisir dans la liste" type="list">
      <formula1>'_Lists'!$G$2:$G$8</formula1>
    </dataValidation>
    <dataValidation sqref="J5:J109" showDropDown="0" showInputMessage="0" showErrorMessage="0" allowBlank="1" errorTitle="Erreur" error="Valeur invalide" promptTitle="Liste" prompt="Choisir dans la liste" type="list">
      <formula1>'_Lists'!$H$2:$H$6</formula1>
    </dataValidation>
    <dataValidation sqref="L5:L109" showDropDown="0" showInputMessage="0" showErrorMessage="0" allowBlank="1" errorTitle="Erreur" error="Valeur invalide" promptTitle="Liste" prompt="Choisir dans la liste" type="list">
      <formula1>'_Lists'!$I$2:$I$8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4" customWidth="1" min="4" max="4"/>
    <col width="40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 ht="15" customHeight="1"/>
    <row r="2" ht="32" customHeight="1">
      <c r="B2" s="1" t="inlineStr">
        <is>
          <t>SUIVI DES PLANS D'ACTION POST-AUDIT (#133)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Recommandation Audit</t>
        </is>
      </c>
      <c r="D4" s="11" t="inlineStr">
        <is>
          <t>Audit Source</t>
        </is>
      </c>
      <c r="E4" s="11" t="inlineStr">
        <is>
          <t>Action Corrective</t>
        </is>
      </c>
      <c r="F4" s="11" t="inlineStr">
        <is>
          <t>Responsable</t>
        </is>
      </c>
      <c r="G4" s="11" t="inlineStr">
        <is>
          <t>Priorite</t>
        </is>
      </c>
      <c r="H4" s="11" t="inlineStr">
        <is>
          <t>Date Debut</t>
        </is>
      </c>
      <c r="I4" s="11" t="inlineStr">
        <is>
          <t>Echeance</t>
        </is>
      </c>
      <c r="J4" s="11" t="inlineStr">
        <is>
          <t>Jours Restants</t>
        </is>
      </c>
      <c r="K4" s="11" t="inlineStr">
        <is>
          <t>Cout Estime (FCFA)</t>
        </is>
      </c>
      <c r="L4" s="11" t="inlineStr">
        <is>
          <t>Statut</t>
        </is>
      </c>
    </row>
    <row r="5" ht="22" customHeight="1">
      <c r="B5" s="12" t="inlineStr">
        <is>
          <t>PAA-001</t>
        </is>
      </c>
      <c r="C5" s="12" t="inlineStr">
        <is>
          <t>Revoir formules paie</t>
        </is>
      </c>
      <c r="D5" s="12" t="inlineStr">
        <is>
          <t>AIR-002</t>
        </is>
      </c>
      <c r="E5" s="12" t="inlineStr">
        <is>
          <t>Corriger formules et mettre en place double controle</t>
        </is>
      </c>
      <c r="F5" s="12" t="inlineStr">
        <is>
          <t>DAF</t>
        </is>
      </c>
      <c r="G5" s="12" t="inlineStr">
        <is>
          <t>Haute</t>
        </is>
      </c>
      <c r="H5" s="25" t="n">
        <v>45782</v>
      </c>
      <c r="I5" s="25" t="n">
        <v>45869</v>
      </c>
      <c r="J5" s="23" t="n"/>
      <c r="K5" s="18" t="n">
        <v>150000</v>
      </c>
      <c r="L5" s="12" t="inlineStr">
        <is>
          <t>En cours</t>
        </is>
      </c>
    </row>
    <row r="6" ht="22" customHeight="1">
      <c r="B6" s="14" t="inlineStr">
        <is>
          <t>PAA-002</t>
        </is>
      </c>
      <c r="C6" s="14" t="inlineStr">
        <is>
          <t>Formation EPI cuisine</t>
        </is>
      </c>
      <c r="D6" s="14" t="inlineStr">
        <is>
          <t>AIR-004</t>
        </is>
      </c>
      <c r="E6" s="14" t="inlineStr">
        <is>
          <t>Session formation HSE obligatoire</t>
        </is>
      </c>
      <c r="F6" s="14" t="inlineStr">
        <is>
          <t>Chef Entretien</t>
        </is>
      </c>
      <c r="G6" s="14" t="inlineStr">
        <is>
          <t>Critique</t>
        </is>
      </c>
      <c r="H6" s="26" t="n">
        <v>45809</v>
      </c>
      <c r="I6" s="26" t="n">
        <v>45853</v>
      </c>
      <c r="J6" s="24" t="n"/>
      <c r="K6" s="19" t="n">
        <v>75000</v>
      </c>
      <c r="L6" s="14" t="inlineStr">
        <is>
          <t>En cours</t>
        </is>
      </c>
    </row>
    <row r="7" ht="22" customHeight="1">
      <c r="B7" s="12" t="inlineStr">
        <is>
          <t>PAA-003</t>
        </is>
      </c>
      <c r="C7" s="12" t="inlineStr">
        <is>
          <t>Rattraper dossiers incomplets</t>
        </is>
      </c>
      <c r="D7" s="12" t="inlineStr">
        <is>
          <t>AIR-005</t>
        </is>
      </c>
      <c r="E7" s="12" t="inlineStr">
        <is>
          <t>Relancer 15% employes pour pieces manquantes</t>
        </is>
      </c>
      <c r="F7" s="12" t="inlineStr">
        <is>
          <t>Assistante RH</t>
        </is>
      </c>
      <c r="G7" s="12" t="inlineStr">
        <is>
          <t>Moyenne</t>
        </is>
      </c>
      <c r="H7" s="25" t="n">
        <v>45823</v>
      </c>
      <c r="I7" s="25" t="n">
        <v>45930</v>
      </c>
      <c r="J7" s="23" t="n"/>
      <c r="K7" s="18" t="n">
        <v>25000</v>
      </c>
      <c r="L7" s="12" t="inlineStr">
        <is>
          <t>En cours</t>
        </is>
      </c>
    </row>
    <row r="8" ht="22" customHeight="1">
      <c r="B8" s="14" t="inlineStr">
        <is>
          <t>PAA-004</t>
        </is>
      </c>
      <c r="C8" s="14" t="inlineStr">
        <is>
          <t>Accelerer formation 2025</t>
        </is>
      </c>
      <c r="D8" s="14" t="inlineStr">
        <is>
          <t>AIR-003</t>
        </is>
      </c>
      <c r="E8" s="14" t="inlineStr">
        <is>
          <t>Planifier sessions intensives T3-T4</t>
        </is>
      </c>
      <c r="F8" s="14" t="inlineStr">
        <is>
          <t>DRH</t>
        </is>
      </c>
      <c r="G8" s="14" t="inlineStr">
        <is>
          <t>Moyenne</t>
        </is>
      </c>
      <c r="H8" s="26" t="n">
        <v>45839</v>
      </c>
      <c r="I8" s="26" t="n">
        <v>46006</v>
      </c>
      <c r="J8" s="24" t="n"/>
      <c r="K8" s="19" t="n">
        <v>500000</v>
      </c>
      <c r="L8" s="14" t="inlineStr">
        <is>
          <t>Planifiee</t>
        </is>
      </c>
    </row>
    <row r="9" ht="22" customHeight="1">
      <c r="B9" s="17">
        <f>IF(C9="","PAA-"&amp;TEXT(COUNTA($C$5:C9),"000"))</f>
        <v/>
      </c>
      <c r="C9" s="12" t="n"/>
      <c r="D9" s="12" t="n"/>
      <c r="E9" s="12" t="n"/>
      <c r="F9" s="12" t="n"/>
      <c r="G9" s="12" t="n"/>
      <c r="H9" s="25" t="n"/>
      <c r="I9" s="25" t="n"/>
      <c r="J9" s="23">
        <f>IF(I9="","",I9-TODAY())</f>
        <v/>
      </c>
      <c r="K9" s="18" t="n"/>
      <c r="L9" s="12" t="n"/>
    </row>
    <row r="10" ht="22" customHeight="1">
      <c r="B10" s="16">
        <f>IF(C10="","PAA-"&amp;TEXT(COUNTA($C$5:C10),"000"))</f>
        <v/>
      </c>
      <c r="C10" s="14" t="n"/>
      <c r="D10" s="14" t="n"/>
      <c r="E10" s="14" t="n"/>
      <c r="F10" s="14" t="n"/>
      <c r="G10" s="14" t="n"/>
      <c r="H10" s="26" t="n"/>
      <c r="I10" s="26" t="n"/>
      <c r="J10" s="24">
        <f>IF(I10="","",I10-TODAY())</f>
        <v/>
      </c>
      <c r="K10" s="19" t="n"/>
      <c r="L10" s="14" t="n"/>
    </row>
    <row r="11" ht="22" customHeight="1">
      <c r="B11" s="17">
        <f>IF(C11="","PAA-"&amp;TEXT(COUNTA($C$5:C11),"000"))</f>
        <v/>
      </c>
      <c r="C11" s="12" t="n"/>
      <c r="D11" s="12" t="n"/>
      <c r="E11" s="12" t="n"/>
      <c r="F11" s="12" t="n"/>
      <c r="G11" s="12" t="n"/>
      <c r="H11" s="25" t="n"/>
      <c r="I11" s="25" t="n"/>
      <c r="J11" s="23">
        <f>IF(I11="","",I11-TODAY())</f>
        <v/>
      </c>
      <c r="K11" s="18" t="n"/>
      <c r="L11" s="12" t="n"/>
    </row>
    <row r="12" ht="22" customHeight="1">
      <c r="B12" s="16">
        <f>IF(C12="","PAA-"&amp;TEXT(COUNTA($C$5:C12),"000"))</f>
        <v/>
      </c>
      <c r="C12" s="14" t="n"/>
      <c r="D12" s="14" t="n"/>
      <c r="E12" s="14" t="n"/>
      <c r="F12" s="14" t="n"/>
      <c r="G12" s="14" t="n"/>
      <c r="H12" s="26" t="n"/>
      <c r="I12" s="26" t="n"/>
      <c r="J12" s="24">
        <f>IF(I12="","",I12-TODAY())</f>
        <v/>
      </c>
      <c r="K12" s="19" t="n"/>
      <c r="L12" s="14" t="n"/>
    </row>
    <row r="13" ht="22" customHeight="1">
      <c r="B13" s="17">
        <f>IF(C13="","PAA-"&amp;TEXT(COUNTA($C$5:C13),"000"))</f>
        <v/>
      </c>
      <c r="C13" s="12" t="n"/>
      <c r="D13" s="12" t="n"/>
      <c r="E13" s="12" t="n"/>
      <c r="F13" s="12" t="n"/>
      <c r="G13" s="12" t="n"/>
      <c r="H13" s="25" t="n"/>
      <c r="I13" s="25" t="n"/>
      <c r="J13" s="23">
        <f>IF(I13="","",I13-TODAY())</f>
        <v/>
      </c>
      <c r="K13" s="18" t="n"/>
      <c r="L13" s="12" t="n"/>
    </row>
    <row r="14" ht="22" customHeight="1">
      <c r="B14" s="16">
        <f>IF(C14="","PAA-"&amp;TEXT(COUNTA($C$5:C14),"000"))</f>
        <v/>
      </c>
      <c r="C14" s="14" t="n"/>
      <c r="D14" s="14" t="n"/>
      <c r="E14" s="14" t="n"/>
      <c r="F14" s="14" t="n"/>
      <c r="G14" s="14" t="n"/>
      <c r="H14" s="26" t="n"/>
      <c r="I14" s="26" t="n"/>
      <c r="J14" s="24">
        <f>IF(I14="","",I14-TODAY())</f>
        <v/>
      </c>
      <c r="K14" s="19" t="n"/>
      <c r="L14" s="14" t="n"/>
    </row>
    <row r="15" ht="22" customHeight="1">
      <c r="B15" s="17">
        <f>IF(C15="","PAA-"&amp;TEXT(COUNTA($C$5:C15),"000"))</f>
        <v/>
      </c>
      <c r="C15" s="12" t="n"/>
      <c r="D15" s="12" t="n"/>
      <c r="E15" s="12" t="n"/>
      <c r="F15" s="12" t="n"/>
      <c r="G15" s="12" t="n"/>
      <c r="H15" s="25" t="n"/>
      <c r="I15" s="25" t="n"/>
      <c r="J15" s="23">
        <f>IF(I15="","",I15-TODAY())</f>
        <v/>
      </c>
      <c r="K15" s="18" t="n"/>
      <c r="L15" s="12" t="n"/>
    </row>
    <row r="16" ht="22" customHeight="1">
      <c r="B16" s="16">
        <f>IF(C16="","PAA-"&amp;TEXT(COUNTA($C$5:C16),"000"))</f>
        <v/>
      </c>
      <c r="C16" s="14" t="n"/>
      <c r="D16" s="14" t="n"/>
      <c r="E16" s="14" t="n"/>
      <c r="F16" s="14" t="n"/>
      <c r="G16" s="14" t="n"/>
      <c r="H16" s="26" t="n"/>
      <c r="I16" s="26" t="n"/>
      <c r="J16" s="24">
        <f>IF(I16="","",I16-TODAY())</f>
        <v/>
      </c>
      <c r="K16" s="19" t="n"/>
      <c r="L16" s="14" t="n"/>
    </row>
    <row r="17" ht="22" customHeight="1">
      <c r="B17" s="17">
        <f>IF(C17="","PAA-"&amp;TEXT(COUNTA($C$5:C17),"000"))</f>
        <v/>
      </c>
      <c r="C17" s="12" t="n"/>
      <c r="D17" s="12" t="n"/>
      <c r="E17" s="12" t="n"/>
      <c r="F17" s="12" t="n"/>
      <c r="G17" s="12" t="n"/>
      <c r="H17" s="25" t="n"/>
      <c r="I17" s="25" t="n"/>
      <c r="J17" s="23">
        <f>IF(I17="","",I17-TODAY())</f>
        <v/>
      </c>
      <c r="K17" s="18" t="n"/>
      <c r="L17" s="12" t="n"/>
    </row>
    <row r="18" ht="22" customHeight="1">
      <c r="B18" s="16">
        <f>IF(C18="","PAA-"&amp;TEXT(COUNTA($C$5:C18),"000"))</f>
        <v/>
      </c>
      <c r="C18" s="14" t="n"/>
      <c r="D18" s="14" t="n"/>
      <c r="E18" s="14" t="n"/>
      <c r="F18" s="14" t="n"/>
      <c r="G18" s="14" t="n"/>
      <c r="H18" s="26" t="n"/>
      <c r="I18" s="26" t="n"/>
      <c r="J18" s="24">
        <f>IF(I18="","",I18-TODAY())</f>
        <v/>
      </c>
      <c r="K18" s="19" t="n"/>
      <c r="L18" s="14" t="n"/>
    </row>
    <row r="19" ht="22" customHeight="1">
      <c r="B19" s="17">
        <f>IF(C19="","PAA-"&amp;TEXT(COUNTA($C$5:C19),"000"))</f>
        <v/>
      </c>
      <c r="C19" s="12" t="n"/>
      <c r="D19" s="12" t="n"/>
      <c r="E19" s="12" t="n"/>
      <c r="F19" s="12" t="n"/>
      <c r="G19" s="12" t="n"/>
      <c r="H19" s="25" t="n"/>
      <c r="I19" s="25" t="n"/>
      <c r="J19" s="23">
        <f>IF(I19="","",I19-TODAY())</f>
        <v/>
      </c>
      <c r="K19" s="18" t="n"/>
      <c r="L19" s="12" t="n"/>
    </row>
    <row r="20" ht="22" customHeight="1">
      <c r="B20" s="16">
        <f>IF(C20="","PAA-"&amp;TEXT(COUNTA($C$5:C20),"000"))</f>
        <v/>
      </c>
      <c r="C20" s="14" t="n"/>
      <c r="D20" s="14" t="n"/>
      <c r="E20" s="14" t="n"/>
      <c r="F20" s="14" t="n"/>
      <c r="G20" s="14" t="n"/>
      <c r="H20" s="26" t="n"/>
      <c r="I20" s="26" t="n"/>
      <c r="J20" s="24">
        <f>IF(I20="","",I20-TODAY())</f>
        <v/>
      </c>
      <c r="K20" s="19" t="n"/>
      <c r="L20" s="14" t="n"/>
    </row>
    <row r="21" ht="22" customHeight="1">
      <c r="B21" s="17">
        <f>IF(C21="","PAA-"&amp;TEXT(COUNTA($C$5:C21),"000"))</f>
        <v/>
      </c>
      <c r="C21" s="12" t="n"/>
      <c r="D21" s="12" t="n"/>
      <c r="E21" s="12" t="n"/>
      <c r="F21" s="12" t="n"/>
      <c r="G21" s="12" t="n"/>
      <c r="H21" s="25" t="n"/>
      <c r="I21" s="25" t="n"/>
      <c r="J21" s="23">
        <f>IF(I21="","",I21-TODAY())</f>
        <v/>
      </c>
      <c r="K21" s="18" t="n"/>
      <c r="L21" s="12" t="n"/>
    </row>
    <row r="22" ht="22" customHeight="1">
      <c r="B22" s="16">
        <f>IF(C22="","PAA-"&amp;TEXT(COUNTA($C$5:C22),"000"))</f>
        <v/>
      </c>
      <c r="C22" s="14" t="n"/>
      <c r="D22" s="14" t="n"/>
      <c r="E22" s="14" t="n"/>
      <c r="F22" s="14" t="n"/>
      <c r="G22" s="14" t="n"/>
      <c r="H22" s="26" t="n"/>
      <c r="I22" s="26" t="n"/>
      <c r="J22" s="24">
        <f>IF(I22="","",I22-TODAY())</f>
        <v/>
      </c>
      <c r="K22" s="19" t="n"/>
      <c r="L22" s="14" t="n"/>
    </row>
    <row r="23" ht="22" customHeight="1">
      <c r="B23" s="17">
        <f>IF(C23="","PAA-"&amp;TEXT(COUNTA($C$5:C23),"000"))</f>
        <v/>
      </c>
      <c r="C23" s="12" t="n"/>
      <c r="D23" s="12" t="n"/>
      <c r="E23" s="12" t="n"/>
      <c r="F23" s="12" t="n"/>
      <c r="G23" s="12" t="n"/>
      <c r="H23" s="25" t="n"/>
      <c r="I23" s="25" t="n"/>
      <c r="J23" s="23">
        <f>IF(I23="","",I23-TODAY())</f>
        <v/>
      </c>
      <c r="K23" s="18" t="n"/>
      <c r="L23" s="12" t="n"/>
    </row>
    <row r="24" ht="22" customHeight="1">
      <c r="B24" s="16">
        <f>IF(C24="","PAA-"&amp;TEXT(COUNTA($C$5:C24),"000"))</f>
        <v/>
      </c>
      <c r="C24" s="14" t="n"/>
      <c r="D24" s="14" t="n"/>
      <c r="E24" s="14" t="n"/>
      <c r="F24" s="14" t="n"/>
      <c r="G24" s="14" t="n"/>
      <c r="H24" s="26" t="n"/>
      <c r="I24" s="26" t="n"/>
      <c r="J24" s="24">
        <f>IF(I24="","",I24-TODAY())</f>
        <v/>
      </c>
      <c r="K24" s="19" t="n"/>
      <c r="L24" s="14" t="n"/>
    </row>
    <row r="25" ht="22" customHeight="1">
      <c r="B25" s="17">
        <f>IF(C25="","PAA-"&amp;TEXT(COUNTA($C$5:C25),"000"))</f>
        <v/>
      </c>
      <c r="C25" s="12" t="n"/>
      <c r="D25" s="12" t="n"/>
      <c r="E25" s="12" t="n"/>
      <c r="F25" s="12" t="n"/>
      <c r="G25" s="12" t="n"/>
      <c r="H25" s="25" t="n"/>
      <c r="I25" s="25" t="n"/>
      <c r="J25" s="23">
        <f>IF(I25="","",I25-TODAY())</f>
        <v/>
      </c>
      <c r="K25" s="18" t="n"/>
      <c r="L25" s="12" t="n"/>
    </row>
    <row r="26" ht="22" customHeight="1">
      <c r="B26" s="16">
        <f>IF(C26="","PAA-"&amp;TEXT(COUNTA($C$5:C26),"000"))</f>
        <v/>
      </c>
      <c r="C26" s="14" t="n"/>
      <c r="D26" s="14" t="n"/>
      <c r="E26" s="14" t="n"/>
      <c r="F26" s="14" t="n"/>
      <c r="G26" s="14" t="n"/>
      <c r="H26" s="26" t="n"/>
      <c r="I26" s="26" t="n"/>
      <c r="J26" s="24">
        <f>IF(I26="","",I26-TODAY())</f>
        <v/>
      </c>
      <c r="K26" s="19" t="n"/>
      <c r="L26" s="14" t="n"/>
    </row>
    <row r="27" ht="22" customHeight="1">
      <c r="B27" s="17">
        <f>IF(C27="","PAA-"&amp;TEXT(COUNTA($C$5:C27),"000"))</f>
        <v/>
      </c>
      <c r="C27" s="12" t="n"/>
      <c r="D27" s="12" t="n"/>
      <c r="E27" s="12" t="n"/>
      <c r="F27" s="12" t="n"/>
      <c r="G27" s="12" t="n"/>
      <c r="H27" s="25" t="n"/>
      <c r="I27" s="25" t="n"/>
      <c r="J27" s="23">
        <f>IF(I27="","",I27-TODAY())</f>
        <v/>
      </c>
      <c r="K27" s="18" t="n"/>
      <c r="L27" s="12" t="n"/>
    </row>
    <row r="28" ht="22" customHeight="1">
      <c r="B28" s="16">
        <f>IF(C28="","PAA-"&amp;TEXT(COUNTA($C$5:C28),"000"))</f>
        <v/>
      </c>
      <c r="C28" s="14" t="n"/>
      <c r="D28" s="14" t="n"/>
      <c r="E28" s="14" t="n"/>
      <c r="F28" s="14" t="n"/>
      <c r="G28" s="14" t="n"/>
      <c r="H28" s="26" t="n"/>
      <c r="I28" s="26" t="n"/>
      <c r="J28" s="24">
        <f>IF(I28="","",I28-TODAY())</f>
        <v/>
      </c>
      <c r="K28" s="19" t="n"/>
      <c r="L28" s="14" t="n"/>
    </row>
    <row r="29" ht="22" customHeight="1">
      <c r="B29" s="17">
        <f>IF(C29="","PAA-"&amp;TEXT(COUNTA($C$5:C29),"000"))</f>
        <v/>
      </c>
      <c r="C29" s="12" t="n"/>
      <c r="D29" s="12" t="n"/>
      <c r="E29" s="12" t="n"/>
      <c r="F29" s="12" t="n"/>
      <c r="G29" s="12" t="n"/>
      <c r="H29" s="25" t="n"/>
      <c r="I29" s="25" t="n"/>
      <c r="J29" s="23">
        <f>IF(I29="","",I29-TODAY())</f>
        <v/>
      </c>
      <c r="K29" s="18" t="n"/>
      <c r="L29" s="12" t="n"/>
    </row>
    <row r="30" ht="22" customHeight="1">
      <c r="B30" s="16">
        <f>IF(C30="","PAA-"&amp;TEXT(COUNTA($C$5:C30),"000"))</f>
        <v/>
      </c>
      <c r="C30" s="14" t="n"/>
      <c r="D30" s="14" t="n"/>
      <c r="E30" s="14" t="n"/>
      <c r="F30" s="14" t="n"/>
      <c r="G30" s="14" t="n"/>
      <c r="H30" s="26" t="n"/>
      <c r="I30" s="26" t="n"/>
      <c r="J30" s="24">
        <f>IF(I30="","",I30-TODAY())</f>
        <v/>
      </c>
      <c r="K30" s="19" t="n"/>
      <c r="L30" s="14" t="n"/>
    </row>
    <row r="31" ht="22" customHeight="1">
      <c r="B31" s="17">
        <f>IF(C31="","PAA-"&amp;TEXT(COUNTA($C$5:C31),"000"))</f>
        <v/>
      </c>
      <c r="C31" s="12" t="n"/>
      <c r="D31" s="12" t="n"/>
      <c r="E31" s="12" t="n"/>
      <c r="F31" s="12" t="n"/>
      <c r="G31" s="12" t="n"/>
      <c r="H31" s="25" t="n"/>
      <c r="I31" s="25" t="n"/>
      <c r="J31" s="23">
        <f>IF(I31="","",I31-TODAY())</f>
        <v/>
      </c>
      <c r="K31" s="18" t="n"/>
      <c r="L31" s="12" t="n"/>
    </row>
    <row r="32" ht="22" customHeight="1">
      <c r="B32" s="16">
        <f>IF(C32="","PAA-"&amp;TEXT(COUNTA($C$5:C32),"000"))</f>
        <v/>
      </c>
      <c r="C32" s="14" t="n"/>
      <c r="D32" s="14" t="n"/>
      <c r="E32" s="14" t="n"/>
      <c r="F32" s="14" t="n"/>
      <c r="G32" s="14" t="n"/>
      <c r="H32" s="26" t="n"/>
      <c r="I32" s="26" t="n"/>
      <c r="J32" s="24">
        <f>IF(I32="","",I32-TODAY())</f>
        <v/>
      </c>
      <c r="K32" s="19" t="n"/>
      <c r="L32" s="14" t="n"/>
    </row>
    <row r="33" ht="22" customHeight="1">
      <c r="B33" s="17">
        <f>IF(C33="","PAA-"&amp;TEXT(COUNTA($C$5:C33),"000"))</f>
        <v/>
      </c>
      <c r="C33" s="12" t="n"/>
      <c r="D33" s="12" t="n"/>
      <c r="E33" s="12" t="n"/>
      <c r="F33" s="12" t="n"/>
      <c r="G33" s="12" t="n"/>
      <c r="H33" s="25" t="n"/>
      <c r="I33" s="25" t="n"/>
      <c r="J33" s="23">
        <f>IF(I33="","",I33-TODAY())</f>
        <v/>
      </c>
      <c r="K33" s="18" t="n"/>
      <c r="L33" s="12" t="n"/>
    </row>
    <row r="34" ht="22" customHeight="1">
      <c r="B34" s="16">
        <f>IF(C34="","PAA-"&amp;TEXT(COUNTA($C$5:C34),"000"))</f>
        <v/>
      </c>
      <c r="C34" s="14" t="n"/>
      <c r="D34" s="14" t="n"/>
      <c r="E34" s="14" t="n"/>
      <c r="F34" s="14" t="n"/>
      <c r="G34" s="14" t="n"/>
      <c r="H34" s="26" t="n"/>
      <c r="I34" s="26" t="n"/>
      <c r="J34" s="24">
        <f>IF(I34="","",I34-TODAY())</f>
        <v/>
      </c>
      <c r="K34" s="19" t="n"/>
      <c r="L34" s="14" t="n"/>
    </row>
    <row r="35" ht="22" customHeight="1">
      <c r="B35" s="17">
        <f>IF(C35="","PAA-"&amp;TEXT(COUNTA($C$5:C35),"000"))</f>
        <v/>
      </c>
      <c r="C35" s="12" t="n"/>
      <c r="D35" s="12" t="n"/>
      <c r="E35" s="12" t="n"/>
      <c r="F35" s="12" t="n"/>
      <c r="G35" s="12" t="n"/>
      <c r="H35" s="25" t="n"/>
      <c r="I35" s="25" t="n"/>
      <c r="J35" s="23">
        <f>IF(I35="","",I35-TODAY())</f>
        <v/>
      </c>
      <c r="K35" s="18" t="n"/>
      <c r="L35" s="12" t="n"/>
    </row>
    <row r="36" ht="22" customHeight="1">
      <c r="B36" s="16">
        <f>IF(C36="","PAA-"&amp;TEXT(COUNTA($C$5:C36),"000"))</f>
        <v/>
      </c>
      <c r="C36" s="14" t="n"/>
      <c r="D36" s="14" t="n"/>
      <c r="E36" s="14" t="n"/>
      <c r="F36" s="14" t="n"/>
      <c r="G36" s="14" t="n"/>
      <c r="H36" s="26" t="n"/>
      <c r="I36" s="26" t="n"/>
      <c r="J36" s="24">
        <f>IF(I36="","",I36-TODAY())</f>
        <v/>
      </c>
      <c r="K36" s="19" t="n"/>
      <c r="L36" s="14" t="n"/>
    </row>
    <row r="37" ht="22" customHeight="1">
      <c r="B37" s="17">
        <f>IF(C37="","PAA-"&amp;TEXT(COUNTA($C$5:C37),"000"))</f>
        <v/>
      </c>
      <c r="C37" s="12" t="n"/>
      <c r="D37" s="12" t="n"/>
      <c r="E37" s="12" t="n"/>
      <c r="F37" s="12" t="n"/>
      <c r="G37" s="12" t="n"/>
      <c r="H37" s="25" t="n"/>
      <c r="I37" s="25" t="n"/>
      <c r="J37" s="23">
        <f>IF(I37="","",I37-TODAY())</f>
        <v/>
      </c>
      <c r="K37" s="18" t="n"/>
      <c r="L37" s="12" t="n"/>
    </row>
    <row r="38" ht="22" customHeight="1">
      <c r="B38" s="16">
        <f>IF(C38="","PAA-"&amp;TEXT(COUNTA($C$5:C38),"000"))</f>
        <v/>
      </c>
      <c r="C38" s="14" t="n"/>
      <c r="D38" s="14" t="n"/>
      <c r="E38" s="14" t="n"/>
      <c r="F38" s="14" t="n"/>
      <c r="G38" s="14" t="n"/>
      <c r="H38" s="26" t="n"/>
      <c r="I38" s="26" t="n"/>
      <c r="J38" s="24">
        <f>IF(I38="","",I38-TODAY())</f>
        <v/>
      </c>
      <c r="K38" s="19" t="n"/>
      <c r="L38" s="14" t="n"/>
    </row>
    <row r="39" ht="22" customHeight="1">
      <c r="B39" s="17">
        <f>IF(C39="","PAA-"&amp;TEXT(COUNTA($C$5:C39),"000"))</f>
        <v/>
      </c>
      <c r="C39" s="12" t="n"/>
      <c r="D39" s="12" t="n"/>
      <c r="E39" s="12" t="n"/>
      <c r="F39" s="12" t="n"/>
      <c r="G39" s="12" t="n"/>
      <c r="H39" s="25" t="n"/>
      <c r="I39" s="25" t="n"/>
      <c r="J39" s="23">
        <f>IF(I39="","",I39-TODAY())</f>
        <v/>
      </c>
      <c r="K39" s="18" t="n"/>
      <c r="L39" s="12" t="n"/>
    </row>
    <row r="40" ht="22" customHeight="1">
      <c r="B40" s="16">
        <f>IF(C40="","PAA-"&amp;TEXT(COUNTA($C$5:C40),"000"))</f>
        <v/>
      </c>
      <c r="C40" s="14" t="n"/>
      <c r="D40" s="14" t="n"/>
      <c r="E40" s="14" t="n"/>
      <c r="F40" s="14" t="n"/>
      <c r="G40" s="14" t="n"/>
      <c r="H40" s="26" t="n"/>
      <c r="I40" s="26" t="n"/>
      <c r="J40" s="24">
        <f>IF(I40="","",I40-TODAY())</f>
        <v/>
      </c>
      <c r="K40" s="19" t="n"/>
      <c r="L40" s="14" t="n"/>
    </row>
    <row r="41" ht="22" customHeight="1">
      <c r="B41" s="17">
        <f>IF(C41="","PAA-"&amp;TEXT(COUNTA($C$5:C41),"000"))</f>
        <v/>
      </c>
      <c r="C41" s="12" t="n"/>
      <c r="D41" s="12" t="n"/>
      <c r="E41" s="12" t="n"/>
      <c r="F41" s="12" t="n"/>
      <c r="G41" s="12" t="n"/>
      <c r="H41" s="25" t="n"/>
      <c r="I41" s="25" t="n"/>
      <c r="J41" s="23">
        <f>IF(I41="","",I41-TODAY())</f>
        <v/>
      </c>
      <c r="K41" s="18" t="n"/>
      <c r="L41" s="12" t="n"/>
    </row>
    <row r="42" ht="22" customHeight="1">
      <c r="B42" s="16">
        <f>IF(C42="","PAA-"&amp;TEXT(COUNTA($C$5:C42),"000"))</f>
        <v/>
      </c>
      <c r="C42" s="14" t="n"/>
      <c r="D42" s="14" t="n"/>
      <c r="E42" s="14" t="n"/>
      <c r="F42" s="14" t="n"/>
      <c r="G42" s="14" t="n"/>
      <c r="H42" s="26" t="n"/>
      <c r="I42" s="26" t="n"/>
      <c r="J42" s="24">
        <f>IF(I42="","",I42-TODAY())</f>
        <v/>
      </c>
      <c r="K42" s="19" t="n"/>
      <c r="L42" s="14" t="n"/>
    </row>
    <row r="43" ht="22" customHeight="1">
      <c r="B43" s="17">
        <f>IF(C43="","PAA-"&amp;TEXT(COUNTA($C$5:C43),"000"))</f>
        <v/>
      </c>
      <c r="C43" s="12" t="n"/>
      <c r="D43" s="12" t="n"/>
      <c r="E43" s="12" t="n"/>
      <c r="F43" s="12" t="n"/>
      <c r="G43" s="12" t="n"/>
      <c r="H43" s="25" t="n"/>
      <c r="I43" s="25" t="n"/>
      <c r="J43" s="23">
        <f>IF(I43="","",I43-TODAY())</f>
        <v/>
      </c>
      <c r="K43" s="18" t="n"/>
      <c r="L43" s="12" t="n"/>
    </row>
    <row r="44" ht="22" customHeight="1">
      <c r="B44" s="16">
        <f>IF(C44="","PAA-"&amp;TEXT(COUNTA($C$5:C44),"000"))</f>
        <v/>
      </c>
      <c r="C44" s="14" t="n"/>
      <c r="D44" s="14" t="n"/>
      <c r="E44" s="14" t="n"/>
      <c r="F44" s="14" t="n"/>
      <c r="G44" s="14" t="n"/>
      <c r="H44" s="26" t="n"/>
      <c r="I44" s="26" t="n"/>
      <c r="J44" s="24">
        <f>IF(I44="","",I44-TODAY())</f>
        <v/>
      </c>
      <c r="K44" s="19" t="n"/>
      <c r="L44" s="14" t="n"/>
    </row>
    <row r="45" ht="22" customHeight="1">
      <c r="B45" s="17">
        <f>IF(C45="","PAA-"&amp;TEXT(COUNTA($C$5:C45),"000"))</f>
        <v/>
      </c>
      <c r="C45" s="12" t="n"/>
      <c r="D45" s="12" t="n"/>
      <c r="E45" s="12" t="n"/>
      <c r="F45" s="12" t="n"/>
      <c r="G45" s="12" t="n"/>
      <c r="H45" s="25" t="n"/>
      <c r="I45" s="25" t="n"/>
      <c r="J45" s="23">
        <f>IF(I45="","",I45-TODAY())</f>
        <v/>
      </c>
      <c r="K45" s="18" t="n"/>
      <c r="L45" s="12" t="n"/>
    </row>
    <row r="46" ht="22" customHeight="1">
      <c r="B46" s="16">
        <f>IF(C46="","PAA-"&amp;TEXT(COUNTA($C$5:C46),"000"))</f>
        <v/>
      </c>
      <c r="C46" s="14" t="n"/>
      <c r="D46" s="14" t="n"/>
      <c r="E46" s="14" t="n"/>
      <c r="F46" s="14" t="n"/>
      <c r="G46" s="14" t="n"/>
      <c r="H46" s="26" t="n"/>
      <c r="I46" s="26" t="n"/>
      <c r="J46" s="24">
        <f>IF(I46="","",I46-TODAY())</f>
        <v/>
      </c>
      <c r="K46" s="19" t="n"/>
      <c r="L46" s="14" t="n"/>
    </row>
    <row r="47" ht="22" customHeight="1">
      <c r="B47" s="17">
        <f>IF(C47="","PAA-"&amp;TEXT(COUNTA($C$5:C47),"000"))</f>
        <v/>
      </c>
      <c r="C47" s="12" t="n"/>
      <c r="D47" s="12" t="n"/>
      <c r="E47" s="12" t="n"/>
      <c r="F47" s="12" t="n"/>
      <c r="G47" s="12" t="n"/>
      <c r="H47" s="25" t="n"/>
      <c r="I47" s="25" t="n"/>
      <c r="J47" s="23">
        <f>IF(I47="","",I47-TODAY())</f>
        <v/>
      </c>
      <c r="K47" s="18" t="n"/>
      <c r="L47" s="12" t="n"/>
    </row>
    <row r="48" ht="22" customHeight="1">
      <c r="B48" s="16">
        <f>IF(C48="","PAA-"&amp;TEXT(COUNTA($C$5:C48),"000"))</f>
        <v/>
      </c>
      <c r="C48" s="14" t="n"/>
      <c r="D48" s="14" t="n"/>
      <c r="E48" s="14" t="n"/>
      <c r="F48" s="14" t="n"/>
      <c r="G48" s="14" t="n"/>
      <c r="H48" s="26" t="n"/>
      <c r="I48" s="26" t="n"/>
      <c r="J48" s="24">
        <f>IF(I48="","",I48-TODAY())</f>
        <v/>
      </c>
      <c r="K48" s="19" t="n"/>
      <c r="L48" s="14" t="n"/>
    </row>
    <row r="49" ht="22" customHeight="1">
      <c r="B49" s="17">
        <f>IF(C49="","PAA-"&amp;TEXT(COUNTA($C$5:C49),"000"))</f>
        <v/>
      </c>
      <c r="C49" s="12" t="n"/>
      <c r="D49" s="12" t="n"/>
      <c r="E49" s="12" t="n"/>
      <c r="F49" s="12" t="n"/>
      <c r="G49" s="12" t="n"/>
      <c r="H49" s="25" t="n"/>
      <c r="I49" s="25" t="n"/>
      <c r="J49" s="23">
        <f>IF(I49="","",I49-TODAY())</f>
        <v/>
      </c>
      <c r="K49" s="18" t="n"/>
      <c r="L49" s="12" t="n"/>
    </row>
    <row r="50" ht="22" customHeight="1">
      <c r="B50" s="16">
        <f>IF(C50="","PAA-"&amp;TEXT(COUNTA($C$5:C50),"000"))</f>
        <v/>
      </c>
      <c r="C50" s="14" t="n"/>
      <c r="D50" s="14" t="n"/>
      <c r="E50" s="14" t="n"/>
      <c r="F50" s="14" t="n"/>
      <c r="G50" s="14" t="n"/>
      <c r="H50" s="26" t="n"/>
      <c r="I50" s="26" t="n"/>
      <c r="J50" s="24">
        <f>IF(I50="","",I50-TODAY())</f>
        <v/>
      </c>
      <c r="K50" s="19" t="n"/>
      <c r="L50" s="14" t="n"/>
    </row>
    <row r="51" ht="22" customHeight="1">
      <c r="B51" s="17">
        <f>IF(C51="","PAA-"&amp;TEXT(COUNTA($C$5:C51),"000"))</f>
        <v/>
      </c>
      <c r="C51" s="12" t="n"/>
      <c r="D51" s="12" t="n"/>
      <c r="E51" s="12" t="n"/>
      <c r="F51" s="12" t="n"/>
      <c r="G51" s="12" t="n"/>
      <c r="H51" s="25" t="n"/>
      <c r="I51" s="25" t="n"/>
      <c r="J51" s="23">
        <f>IF(I51="","",I51-TODAY())</f>
        <v/>
      </c>
      <c r="K51" s="18" t="n"/>
      <c r="L51" s="12" t="n"/>
    </row>
    <row r="52" ht="22" customHeight="1">
      <c r="B52" s="16">
        <f>IF(C52="","PAA-"&amp;TEXT(COUNTA($C$5:C52),"000"))</f>
        <v/>
      </c>
      <c r="C52" s="14" t="n"/>
      <c r="D52" s="14" t="n"/>
      <c r="E52" s="14" t="n"/>
      <c r="F52" s="14" t="n"/>
      <c r="G52" s="14" t="n"/>
      <c r="H52" s="26" t="n"/>
      <c r="I52" s="26" t="n"/>
      <c r="J52" s="24">
        <f>IF(I52="","",I52-TODAY())</f>
        <v/>
      </c>
      <c r="K52" s="19" t="n"/>
      <c r="L52" s="14" t="n"/>
    </row>
    <row r="53" ht="22" customHeight="1">
      <c r="B53" s="17">
        <f>IF(C53="","PAA-"&amp;TEXT(COUNTA($C$5:C53),"000"))</f>
        <v/>
      </c>
      <c r="C53" s="12" t="n"/>
      <c r="D53" s="12" t="n"/>
      <c r="E53" s="12" t="n"/>
      <c r="F53" s="12" t="n"/>
      <c r="G53" s="12" t="n"/>
      <c r="H53" s="25" t="n"/>
      <c r="I53" s="25" t="n"/>
      <c r="J53" s="23">
        <f>IF(I53="","",I53-TODAY())</f>
        <v/>
      </c>
      <c r="K53" s="18" t="n"/>
      <c r="L53" s="12" t="n"/>
    </row>
    <row r="54" ht="22" customHeight="1">
      <c r="B54" s="16">
        <f>IF(C54="","PAA-"&amp;TEXT(COUNTA($C$5:C54),"000"))</f>
        <v/>
      </c>
      <c r="C54" s="14" t="n"/>
      <c r="D54" s="14" t="n"/>
      <c r="E54" s="14" t="n"/>
      <c r="F54" s="14" t="n"/>
      <c r="G54" s="14" t="n"/>
      <c r="H54" s="26" t="n"/>
      <c r="I54" s="26" t="n"/>
      <c r="J54" s="24">
        <f>IF(I54="","",I54-TODAY())</f>
        <v/>
      </c>
      <c r="K54" s="19" t="n"/>
      <c r="L54" s="14" t="n"/>
    </row>
    <row r="55" ht="22" customHeight="1">
      <c r="B55" s="17">
        <f>IF(C55="","PAA-"&amp;TEXT(COUNTA($C$5:C55),"000"))</f>
        <v/>
      </c>
      <c r="C55" s="12" t="n"/>
      <c r="D55" s="12" t="n"/>
      <c r="E55" s="12" t="n"/>
      <c r="F55" s="12" t="n"/>
      <c r="G55" s="12" t="n"/>
      <c r="H55" s="25" t="n"/>
      <c r="I55" s="25" t="n"/>
      <c r="J55" s="23">
        <f>IF(I55="","",I55-TODAY())</f>
        <v/>
      </c>
      <c r="K55" s="18" t="n"/>
      <c r="L55" s="12" t="n"/>
    </row>
    <row r="56" ht="22" customHeight="1">
      <c r="B56" s="16">
        <f>IF(C56="","PAA-"&amp;TEXT(COUNTA($C$5:C56),"000"))</f>
        <v/>
      </c>
      <c r="C56" s="14" t="n"/>
      <c r="D56" s="14" t="n"/>
      <c r="E56" s="14" t="n"/>
      <c r="F56" s="14" t="n"/>
      <c r="G56" s="14" t="n"/>
      <c r="H56" s="26" t="n"/>
      <c r="I56" s="26" t="n"/>
      <c r="J56" s="24">
        <f>IF(I56="","",I56-TODAY())</f>
        <v/>
      </c>
      <c r="K56" s="19" t="n"/>
      <c r="L56" s="14" t="n"/>
    </row>
    <row r="57" ht="22" customHeight="1">
      <c r="B57" s="17">
        <f>IF(C57="","PAA-"&amp;TEXT(COUNTA($C$5:C57),"000"))</f>
        <v/>
      </c>
      <c r="C57" s="12" t="n"/>
      <c r="D57" s="12" t="n"/>
      <c r="E57" s="12" t="n"/>
      <c r="F57" s="12" t="n"/>
      <c r="G57" s="12" t="n"/>
      <c r="H57" s="25" t="n"/>
      <c r="I57" s="25" t="n"/>
      <c r="J57" s="23">
        <f>IF(I57="","",I57-TODAY())</f>
        <v/>
      </c>
      <c r="K57" s="18" t="n"/>
      <c r="L57" s="12" t="n"/>
    </row>
    <row r="58" ht="22" customHeight="1">
      <c r="B58" s="16">
        <f>IF(C58="","PAA-"&amp;TEXT(COUNTA($C$5:C58),"000"))</f>
        <v/>
      </c>
      <c r="C58" s="14" t="n"/>
      <c r="D58" s="14" t="n"/>
      <c r="E58" s="14" t="n"/>
      <c r="F58" s="14" t="n"/>
      <c r="G58" s="14" t="n"/>
      <c r="H58" s="26" t="n"/>
      <c r="I58" s="26" t="n"/>
      <c r="J58" s="24">
        <f>IF(I58="","",I58-TODAY())</f>
        <v/>
      </c>
      <c r="K58" s="19" t="n"/>
      <c r="L58" s="14" t="n"/>
    </row>
    <row r="59" ht="22" customHeight="1">
      <c r="B59" s="17">
        <f>IF(C59="","PAA-"&amp;TEXT(COUNTA($C$5:C59),"000"))</f>
        <v/>
      </c>
      <c r="C59" s="12" t="n"/>
      <c r="D59" s="12" t="n"/>
      <c r="E59" s="12" t="n"/>
      <c r="F59" s="12" t="n"/>
      <c r="G59" s="12" t="n"/>
      <c r="H59" s="25" t="n"/>
      <c r="I59" s="25" t="n"/>
      <c r="J59" s="23">
        <f>IF(I59="","",I59-TODAY())</f>
        <v/>
      </c>
      <c r="K59" s="18" t="n"/>
      <c r="L59" s="12" t="n"/>
    </row>
    <row r="60" ht="22" customHeight="1">
      <c r="B60" s="16">
        <f>IF(C60="","PAA-"&amp;TEXT(COUNTA($C$5:C60),"000"))</f>
        <v/>
      </c>
      <c r="C60" s="14" t="n"/>
      <c r="D60" s="14" t="n"/>
      <c r="E60" s="14" t="n"/>
      <c r="F60" s="14" t="n"/>
      <c r="G60" s="14" t="n"/>
      <c r="H60" s="26" t="n"/>
      <c r="I60" s="26" t="n"/>
      <c r="J60" s="24">
        <f>IF(I60="","",I60-TODAY())</f>
        <v/>
      </c>
      <c r="K60" s="19" t="n"/>
      <c r="L60" s="14" t="n"/>
    </row>
    <row r="61" ht="22" customHeight="1">
      <c r="B61" s="17">
        <f>IF(C61="","PAA-"&amp;TEXT(COUNTA($C$5:C61),"000"))</f>
        <v/>
      </c>
      <c r="C61" s="12" t="n"/>
      <c r="D61" s="12" t="n"/>
      <c r="E61" s="12" t="n"/>
      <c r="F61" s="12" t="n"/>
      <c r="G61" s="12" t="n"/>
      <c r="H61" s="25" t="n"/>
      <c r="I61" s="25" t="n"/>
      <c r="J61" s="23">
        <f>IF(I61="","",I61-TODAY())</f>
        <v/>
      </c>
      <c r="K61" s="18" t="n"/>
      <c r="L61" s="12" t="n"/>
    </row>
    <row r="62" ht="22" customHeight="1">
      <c r="B62" s="16">
        <f>IF(C62="","PAA-"&amp;TEXT(COUNTA($C$5:C62),"000"))</f>
        <v/>
      </c>
      <c r="C62" s="14" t="n"/>
      <c r="D62" s="14" t="n"/>
      <c r="E62" s="14" t="n"/>
      <c r="F62" s="14" t="n"/>
      <c r="G62" s="14" t="n"/>
      <c r="H62" s="26" t="n"/>
      <c r="I62" s="26" t="n"/>
      <c r="J62" s="24">
        <f>IF(I62="","",I62-TODAY())</f>
        <v/>
      </c>
      <c r="K62" s="19" t="n"/>
      <c r="L62" s="14" t="n"/>
    </row>
    <row r="63" ht="22" customHeight="1">
      <c r="B63" s="17">
        <f>IF(C63="","PAA-"&amp;TEXT(COUNTA($C$5:C63),"000"))</f>
        <v/>
      </c>
      <c r="C63" s="12" t="n"/>
      <c r="D63" s="12" t="n"/>
      <c r="E63" s="12" t="n"/>
      <c r="F63" s="12" t="n"/>
      <c r="G63" s="12" t="n"/>
      <c r="H63" s="25" t="n"/>
      <c r="I63" s="25" t="n"/>
      <c r="J63" s="23">
        <f>IF(I63="","",I63-TODAY())</f>
        <v/>
      </c>
      <c r="K63" s="18" t="n"/>
      <c r="L63" s="12" t="n"/>
    </row>
    <row r="64" ht="22" customHeight="1">
      <c r="B64" s="16">
        <f>IF(C64="","PAA-"&amp;TEXT(COUNTA($C$5:C64),"000"))</f>
        <v/>
      </c>
      <c r="C64" s="14" t="n"/>
      <c r="D64" s="14" t="n"/>
      <c r="E64" s="14" t="n"/>
      <c r="F64" s="14" t="n"/>
      <c r="G64" s="14" t="n"/>
      <c r="H64" s="26" t="n"/>
      <c r="I64" s="26" t="n"/>
      <c r="J64" s="24">
        <f>IF(I64="","",I64-TODAY())</f>
        <v/>
      </c>
      <c r="K64" s="19" t="n"/>
      <c r="L64" s="14" t="n"/>
    </row>
    <row r="65" ht="22" customHeight="1">
      <c r="B65" s="17">
        <f>IF(C65="","PAA-"&amp;TEXT(COUNTA($C$5:C65),"000"))</f>
        <v/>
      </c>
      <c r="C65" s="12" t="n"/>
      <c r="D65" s="12" t="n"/>
      <c r="E65" s="12" t="n"/>
      <c r="F65" s="12" t="n"/>
      <c r="G65" s="12" t="n"/>
      <c r="H65" s="25" t="n"/>
      <c r="I65" s="25" t="n"/>
      <c r="J65" s="23">
        <f>IF(I65="","",I65-TODAY())</f>
        <v/>
      </c>
      <c r="K65" s="18" t="n"/>
      <c r="L65" s="12" t="n"/>
    </row>
    <row r="66" ht="22" customHeight="1">
      <c r="B66" s="16">
        <f>IF(C66="","PAA-"&amp;TEXT(COUNTA($C$5:C66),"000"))</f>
        <v/>
      </c>
      <c r="C66" s="14" t="n"/>
      <c r="D66" s="14" t="n"/>
      <c r="E66" s="14" t="n"/>
      <c r="F66" s="14" t="n"/>
      <c r="G66" s="14" t="n"/>
      <c r="H66" s="26" t="n"/>
      <c r="I66" s="26" t="n"/>
      <c r="J66" s="24">
        <f>IF(I66="","",I66-TODAY())</f>
        <v/>
      </c>
      <c r="K66" s="19" t="n"/>
      <c r="L66" s="14" t="n"/>
    </row>
    <row r="67" ht="22" customHeight="1">
      <c r="B67" s="17">
        <f>IF(C67="","PAA-"&amp;TEXT(COUNTA($C$5:C67),"000"))</f>
        <v/>
      </c>
      <c r="C67" s="12" t="n"/>
      <c r="D67" s="12" t="n"/>
      <c r="E67" s="12" t="n"/>
      <c r="F67" s="12" t="n"/>
      <c r="G67" s="12" t="n"/>
      <c r="H67" s="25" t="n"/>
      <c r="I67" s="25" t="n"/>
      <c r="J67" s="23">
        <f>IF(I67="","",I67-TODAY())</f>
        <v/>
      </c>
      <c r="K67" s="18" t="n"/>
      <c r="L67" s="12" t="n"/>
    </row>
    <row r="68" ht="22" customHeight="1">
      <c r="B68" s="16">
        <f>IF(C68="","PAA-"&amp;TEXT(COUNTA($C$5:C68),"000"))</f>
        <v/>
      </c>
      <c r="C68" s="14" t="n"/>
      <c r="D68" s="14" t="n"/>
      <c r="E68" s="14" t="n"/>
      <c r="F68" s="14" t="n"/>
      <c r="G68" s="14" t="n"/>
      <c r="H68" s="26" t="n"/>
      <c r="I68" s="26" t="n"/>
      <c r="J68" s="24">
        <f>IF(I68="","",I68-TODAY())</f>
        <v/>
      </c>
      <c r="K68" s="19" t="n"/>
      <c r="L68" s="14" t="n"/>
    </row>
    <row r="69" ht="22" customHeight="1">
      <c r="B69" s="17">
        <f>IF(C69="","PAA-"&amp;TEXT(COUNTA($C$5:C69),"000"))</f>
        <v/>
      </c>
      <c r="C69" s="12" t="n"/>
      <c r="D69" s="12" t="n"/>
      <c r="E69" s="12" t="n"/>
      <c r="F69" s="12" t="n"/>
      <c r="G69" s="12" t="n"/>
      <c r="H69" s="25" t="n"/>
      <c r="I69" s="25" t="n"/>
      <c r="J69" s="23">
        <f>IF(I69="","",I69-TODAY())</f>
        <v/>
      </c>
      <c r="K69" s="18" t="n"/>
      <c r="L69" s="12" t="n"/>
    </row>
    <row r="70" ht="22" customHeight="1">
      <c r="B70" s="16">
        <f>IF(C70="","PAA-"&amp;TEXT(COUNTA($C$5:C70),"000"))</f>
        <v/>
      </c>
      <c r="C70" s="14" t="n"/>
      <c r="D70" s="14" t="n"/>
      <c r="E70" s="14" t="n"/>
      <c r="F70" s="14" t="n"/>
      <c r="G70" s="14" t="n"/>
      <c r="H70" s="26" t="n"/>
      <c r="I70" s="26" t="n"/>
      <c r="J70" s="24">
        <f>IF(I70="","",I70-TODAY())</f>
        <v/>
      </c>
      <c r="K70" s="19" t="n"/>
      <c r="L70" s="14" t="n"/>
    </row>
    <row r="71" ht="22" customHeight="1">
      <c r="B71" s="17">
        <f>IF(C71="","PAA-"&amp;TEXT(COUNTA($C$5:C71),"000"))</f>
        <v/>
      </c>
      <c r="C71" s="12" t="n"/>
      <c r="D71" s="12" t="n"/>
      <c r="E71" s="12" t="n"/>
      <c r="F71" s="12" t="n"/>
      <c r="G71" s="12" t="n"/>
      <c r="H71" s="25" t="n"/>
      <c r="I71" s="25" t="n"/>
      <c r="J71" s="23">
        <f>IF(I71="","",I71-TODAY())</f>
        <v/>
      </c>
      <c r="K71" s="18" t="n"/>
      <c r="L71" s="12" t="n"/>
    </row>
    <row r="72" ht="22" customHeight="1">
      <c r="B72" s="16">
        <f>IF(C72="","PAA-"&amp;TEXT(COUNTA($C$5:C72),"000"))</f>
        <v/>
      </c>
      <c r="C72" s="14" t="n"/>
      <c r="D72" s="14" t="n"/>
      <c r="E72" s="14" t="n"/>
      <c r="F72" s="14" t="n"/>
      <c r="G72" s="14" t="n"/>
      <c r="H72" s="26" t="n"/>
      <c r="I72" s="26" t="n"/>
      <c r="J72" s="24">
        <f>IF(I72="","",I72-TODAY())</f>
        <v/>
      </c>
      <c r="K72" s="19" t="n"/>
      <c r="L72" s="14" t="n"/>
    </row>
    <row r="73" ht="22" customHeight="1">
      <c r="B73" s="17">
        <f>IF(C73="","PAA-"&amp;TEXT(COUNTA($C$5:C73),"000"))</f>
        <v/>
      </c>
      <c r="C73" s="12" t="n"/>
      <c r="D73" s="12" t="n"/>
      <c r="E73" s="12" t="n"/>
      <c r="F73" s="12" t="n"/>
      <c r="G73" s="12" t="n"/>
      <c r="H73" s="25" t="n"/>
      <c r="I73" s="25" t="n"/>
      <c r="J73" s="23">
        <f>IF(I73="","",I73-TODAY())</f>
        <v/>
      </c>
      <c r="K73" s="18" t="n"/>
      <c r="L73" s="12" t="n"/>
    </row>
    <row r="74" ht="22" customHeight="1">
      <c r="B74" s="16">
        <f>IF(C74="","PAA-"&amp;TEXT(COUNTA($C$5:C74),"000"))</f>
        <v/>
      </c>
      <c r="C74" s="14" t="n"/>
      <c r="D74" s="14" t="n"/>
      <c r="E74" s="14" t="n"/>
      <c r="F74" s="14" t="n"/>
      <c r="G74" s="14" t="n"/>
      <c r="H74" s="26" t="n"/>
      <c r="I74" s="26" t="n"/>
      <c r="J74" s="24">
        <f>IF(I74="","",I74-TODAY())</f>
        <v/>
      </c>
      <c r="K74" s="19" t="n"/>
      <c r="L74" s="14" t="n"/>
    </row>
    <row r="75" ht="22" customHeight="1">
      <c r="B75" s="17">
        <f>IF(C75="","PAA-"&amp;TEXT(COUNTA($C$5:C75),"000"))</f>
        <v/>
      </c>
      <c r="C75" s="12" t="n"/>
      <c r="D75" s="12" t="n"/>
      <c r="E75" s="12" t="n"/>
      <c r="F75" s="12" t="n"/>
      <c r="G75" s="12" t="n"/>
      <c r="H75" s="25" t="n"/>
      <c r="I75" s="25" t="n"/>
      <c r="J75" s="23">
        <f>IF(I75="","",I75-TODAY())</f>
        <v/>
      </c>
      <c r="K75" s="18" t="n"/>
      <c r="L75" s="12" t="n"/>
    </row>
    <row r="76" ht="22" customHeight="1">
      <c r="B76" s="16">
        <f>IF(C76="","PAA-"&amp;TEXT(COUNTA($C$5:C76),"000"))</f>
        <v/>
      </c>
      <c r="C76" s="14" t="n"/>
      <c r="D76" s="14" t="n"/>
      <c r="E76" s="14" t="n"/>
      <c r="F76" s="14" t="n"/>
      <c r="G76" s="14" t="n"/>
      <c r="H76" s="26" t="n"/>
      <c r="I76" s="26" t="n"/>
      <c r="J76" s="24">
        <f>IF(I76="","",I76-TODAY())</f>
        <v/>
      </c>
      <c r="K76" s="19" t="n"/>
      <c r="L76" s="14" t="n"/>
    </row>
    <row r="77" ht="22" customHeight="1">
      <c r="B77" s="17">
        <f>IF(C77="","PAA-"&amp;TEXT(COUNTA($C$5:C77),"000"))</f>
        <v/>
      </c>
      <c r="C77" s="12" t="n"/>
      <c r="D77" s="12" t="n"/>
      <c r="E77" s="12" t="n"/>
      <c r="F77" s="12" t="n"/>
      <c r="G77" s="12" t="n"/>
      <c r="H77" s="25" t="n"/>
      <c r="I77" s="25" t="n"/>
      <c r="J77" s="23">
        <f>IF(I77="","",I77-TODAY())</f>
        <v/>
      </c>
      <c r="K77" s="18" t="n"/>
      <c r="L77" s="12" t="n"/>
    </row>
    <row r="78" ht="22" customHeight="1">
      <c r="B78" s="16">
        <f>IF(C78="","PAA-"&amp;TEXT(COUNTA($C$5:C78),"000"))</f>
        <v/>
      </c>
      <c r="C78" s="14" t="n"/>
      <c r="D78" s="14" t="n"/>
      <c r="E78" s="14" t="n"/>
      <c r="F78" s="14" t="n"/>
      <c r="G78" s="14" t="n"/>
      <c r="H78" s="26" t="n"/>
      <c r="I78" s="26" t="n"/>
      <c r="J78" s="24">
        <f>IF(I78="","",I78-TODAY())</f>
        <v/>
      </c>
      <c r="K78" s="19" t="n"/>
      <c r="L78" s="14" t="n"/>
    </row>
    <row r="79" ht="22" customHeight="1">
      <c r="B79" s="17">
        <f>IF(C79="","PAA-"&amp;TEXT(COUNTA($C$5:C79),"000"))</f>
        <v/>
      </c>
      <c r="C79" s="12" t="n"/>
      <c r="D79" s="12" t="n"/>
      <c r="E79" s="12" t="n"/>
      <c r="F79" s="12" t="n"/>
      <c r="G79" s="12" t="n"/>
      <c r="H79" s="25" t="n"/>
      <c r="I79" s="25" t="n"/>
      <c r="J79" s="23">
        <f>IF(I79="","",I79-TODAY())</f>
        <v/>
      </c>
      <c r="K79" s="18" t="n"/>
      <c r="L79" s="12" t="n"/>
    </row>
    <row r="80" ht="22" customHeight="1">
      <c r="B80" s="16">
        <f>IF(C80="","PAA-"&amp;TEXT(COUNTA($C$5:C80),"000"))</f>
        <v/>
      </c>
      <c r="C80" s="14" t="n"/>
      <c r="D80" s="14" t="n"/>
      <c r="E80" s="14" t="n"/>
      <c r="F80" s="14" t="n"/>
      <c r="G80" s="14" t="n"/>
      <c r="H80" s="26" t="n"/>
      <c r="I80" s="26" t="n"/>
      <c r="J80" s="24">
        <f>IF(I80="","",I80-TODAY())</f>
        <v/>
      </c>
      <c r="K80" s="19" t="n"/>
      <c r="L80" s="14" t="n"/>
    </row>
    <row r="81" ht="22" customHeight="1">
      <c r="B81" s="17">
        <f>IF(C81="","PAA-"&amp;TEXT(COUNTA($C$5:C81),"000"))</f>
        <v/>
      </c>
      <c r="C81" s="12" t="n"/>
      <c r="D81" s="12" t="n"/>
      <c r="E81" s="12" t="n"/>
      <c r="F81" s="12" t="n"/>
      <c r="G81" s="12" t="n"/>
      <c r="H81" s="25" t="n"/>
      <c r="I81" s="25" t="n"/>
      <c r="J81" s="23">
        <f>IF(I81="","",I81-TODAY())</f>
        <v/>
      </c>
      <c r="K81" s="18" t="n"/>
      <c r="L81" s="12" t="n"/>
    </row>
    <row r="82" ht="22" customHeight="1">
      <c r="B82" s="16">
        <f>IF(C82="","PAA-"&amp;TEXT(COUNTA($C$5:C82),"000"))</f>
        <v/>
      </c>
      <c r="C82" s="14" t="n"/>
      <c r="D82" s="14" t="n"/>
      <c r="E82" s="14" t="n"/>
      <c r="F82" s="14" t="n"/>
      <c r="G82" s="14" t="n"/>
      <c r="H82" s="26" t="n"/>
      <c r="I82" s="26" t="n"/>
      <c r="J82" s="24">
        <f>IF(I82="","",I82-TODAY())</f>
        <v/>
      </c>
      <c r="K82" s="19" t="n"/>
      <c r="L82" s="14" t="n"/>
    </row>
    <row r="83" ht="22" customHeight="1">
      <c r="B83" s="17">
        <f>IF(C83="","PAA-"&amp;TEXT(COUNTA($C$5:C83),"000"))</f>
        <v/>
      </c>
      <c r="C83" s="12" t="n"/>
      <c r="D83" s="12" t="n"/>
      <c r="E83" s="12" t="n"/>
      <c r="F83" s="12" t="n"/>
      <c r="G83" s="12" t="n"/>
      <c r="H83" s="25" t="n"/>
      <c r="I83" s="25" t="n"/>
      <c r="J83" s="23">
        <f>IF(I83="","",I83-TODAY())</f>
        <v/>
      </c>
      <c r="K83" s="18" t="n"/>
      <c r="L83" s="12" t="n"/>
    </row>
    <row r="84" ht="22" customHeight="1">
      <c r="B84" s="16">
        <f>IF(C84="","PAA-"&amp;TEXT(COUNTA($C$5:C84),"000"))</f>
        <v/>
      </c>
      <c r="C84" s="14" t="n"/>
      <c r="D84" s="14" t="n"/>
      <c r="E84" s="14" t="n"/>
      <c r="F84" s="14" t="n"/>
      <c r="G84" s="14" t="n"/>
      <c r="H84" s="26" t="n"/>
      <c r="I84" s="26" t="n"/>
      <c r="J84" s="24">
        <f>IF(I84="","",I84-TODAY())</f>
        <v/>
      </c>
      <c r="K84" s="19" t="n"/>
      <c r="L84" s="14" t="n"/>
    </row>
    <row r="85" ht="22" customHeight="1">
      <c r="B85" s="17">
        <f>IF(C85="","PAA-"&amp;TEXT(COUNTA($C$5:C85),"000"))</f>
        <v/>
      </c>
      <c r="C85" s="12" t="n"/>
      <c r="D85" s="12" t="n"/>
      <c r="E85" s="12" t="n"/>
      <c r="F85" s="12" t="n"/>
      <c r="G85" s="12" t="n"/>
      <c r="H85" s="25" t="n"/>
      <c r="I85" s="25" t="n"/>
      <c r="J85" s="23">
        <f>IF(I85="","",I85-TODAY())</f>
        <v/>
      </c>
      <c r="K85" s="18" t="n"/>
      <c r="L85" s="12" t="n"/>
    </row>
    <row r="86" ht="22" customHeight="1">
      <c r="B86" s="16">
        <f>IF(C86="","PAA-"&amp;TEXT(COUNTA($C$5:C86),"000"))</f>
        <v/>
      </c>
      <c r="C86" s="14" t="n"/>
      <c r="D86" s="14" t="n"/>
      <c r="E86" s="14" t="n"/>
      <c r="F86" s="14" t="n"/>
      <c r="G86" s="14" t="n"/>
      <c r="H86" s="26" t="n"/>
      <c r="I86" s="26" t="n"/>
      <c r="J86" s="24">
        <f>IF(I86="","",I86-TODAY())</f>
        <v/>
      </c>
      <c r="K86" s="19" t="n"/>
      <c r="L86" s="14" t="n"/>
    </row>
    <row r="87" ht="22" customHeight="1">
      <c r="B87" s="17">
        <f>IF(C87="","PAA-"&amp;TEXT(COUNTA($C$5:C87),"000"))</f>
        <v/>
      </c>
      <c r="C87" s="12" t="n"/>
      <c r="D87" s="12" t="n"/>
      <c r="E87" s="12" t="n"/>
      <c r="F87" s="12" t="n"/>
      <c r="G87" s="12" t="n"/>
      <c r="H87" s="25" t="n"/>
      <c r="I87" s="25" t="n"/>
      <c r="J87" s="23">
        <f>IF(I87="","",I87-TODAY())</f>
        <v/>
      </c>
      <c r="K87" s="18" t="n"/>
      <c r="L87" s="12" t="n"/>
    </row>
    <row r="88" ht="22" customHeight="1">
      <c r="B88" s="16">
        <f>IF(C88="","PAA-"&amp;TEXT(COUNTA($C$5:C88),"000"))</f>
        <v/>
      </c>
      <c r="C88" s="14" t="n"/>
      <c r="D88" s="14" t="n"/>
      <c r="E88" s="14" t="n"/>
      <c r="F88" s="14" t="n"/>
      <c r="G88" s="14" t="n"/>
      <c r="H88" s="26" t="n"/>
      <c r="I88" s="26" t="n"/>
      <c r="J88" s="24">
        <f>IF(I88="","",I88-TODAY())</f>
        <v/>
      </c>
      <c r="K88" s="19" t="n"/>
      <c r="L88" s="14" t="n"/>
    </row>
    <row r="89" ht="22" customHeight="1">
      <c r="B89" s="17">
        <f>IF(C89="","PAA-"&amp;TEXT(COUNTA($C$5:C89),"000"))</f>
        <v/>
      </c>
      <c r="C89" s="12" t="n"/>
      <c r="D89" s="12" t="n"/>
      <c r="E89" s="12" t="n"/>
      <c r="F89" s="12" t="n"/>
      <c r="G89" s="12" t="n"/>
      <c r="H89" s="25" t="n"/>
      <c r="I89" s="25" t="n"/>
      <c r="J89" s="23">
        <f>IF(I89="","",I89-TODAY())</f>
        <v/>
      </c>
      <c r="K89" s="18" t="n"/>
      <c r="L89" s="12" t="n"/>
    </row>
    <row r="90" ht="22" customHeight="1">
      <c r="B90" s="16">
        <f>IF(C90="","PAA-"&amp;TEXT(COUNTA($C$5:C90),"000"))</f>
        <v/>
      </c>
      <c r="C90" s="14" t="n"/>
      <c r="D90" s="14" t="n"/>
      <c r="E90" s="14" t="n"/>
      <c r="F90" s="14" t="n"/>
      <c r="G90" s="14" t="n"/>
      <c r="H90" s="26" t="n"/>
      <c r="I90" s="26" t="n"/>
      <c r="J90" s="24">
        <f>IF(I90="","",I90-TODAY())</f>
        <v/>
      </c>
      <c r="K90" s="19" t="n"/>
      <c r="L90" s="14" t="n"/>
    </row>
    <row r="91" ht="22" customHeight="1">
      <c r="B91" s="17">
        <f>IF(C91="","PAA-"&amp;TEXT(COUNTA($C$5:C91),"000"))</f>
        <v/>
      </c>
      <c r="C91" s="12" t="n"/>
      <c r="D91" s="12" t="n"/>
      <c r="E91" s="12" t="n"/>
      <c r="F91" s="12" t="n"/>
      <c r="G91" s="12" t="n"/>
      <c r="H91" s="25" t="n"/>
      <c r="I91" s="25" t="n"/>
      <c r="J91" s="23">
        <f>IF(I91="","",I91-TODAY())</f>
        <v/>
      </c>
      <c r="K91" s="18" t="n"/>
      <c r="L91" s="12" t="n"/>
    </row>
    <row r="92" ht="22" customHeight="1">
      <c r="B92" s="16">
        <f>IF(C92="","PAA-"&amp;TEXT(COUNTA($C$5:C92),"000"))</f>
        <v/>
      </c>
      <c r="C92" s="14" t="n"/>
      <c r="D92" s="14" t="n"/>
      <c r="E92" s="14" t="n"/>
      <c r="F92" s="14" t="n"/>
      <c r="G92" s="14" t="n"/>
      <c r="H92" s="26" t="n"/>
      <c r="I92" s="26" t="n"/>
      <c r="J92" s="24">
        <f>IF(I92="","",I92-TODAY())</f>
        <v/>
      </c>
      <c r="K92" s="19" t="n"/>
      <c r="L92" s="14" t="n"/>
    </row>
    <row r="93" ht="22" customHeight="1">
      <c r="B93" s="17">
        <f>IF(C93="","PAA-"&amp;TEXT(COUNTA($C$5:C93),"000"))</f>
        <v/>
      </c>
      <c r="C93" s="12" t="n"/>
      <c r="D93" s="12" t="n"/>
      <c r="E93" s="12" t="n"/>
      <c r="F93" s="12" t="n"/>
      <c r="G93" s="12" t="n"/>
      <c r="H93" s="25" t="n"/>
      <c r="I93" s="25" t="n"/>
      <c r="J93" s="23">
        <f>IF(I93="","",I93-TODAY())</f>
        <v/>
      </c>
      <c r="K93" s="18" t="n"/>
      <c r="L93" s="12" t="n"/>
    </row>
    <row r="94" ht="22" customHeight="1">
      <c r="B94" s="16">
        <f>IF(C94="","PAA-"&amp;TEXT(COUNTA($C$5:C94),"000"))</f>
        <v/>
      </c>
      <c r="C94" s="14" t="n"/>
      <c r="D94" s="14" t="n"/>
      <c r="E94" s="14" t="n"/>
      <c r="F94" s="14" t="n"/>
      <c r="G94" s="14" t="n"/>
      <c r="H94" s="26" t="n"/>
      <c r="I94" s="26" t="n"/>
      <c r="J94" s="24">
        <f>IF(I94="","",I94-TODAY())</f>
        <v/>
      </c>
      <c r="K94" s="19" t="n"/>
      <c r="L94" s="14" t="n"/>
    </row>
    <row r="95" ht="22" customHeight="1">
      <c r="B95" s="17">
        <f>IF(C95="","PAA-"&amp;TEXT(COUNTA($C$5:C95),"000"))</f>
        <v/>
      </c>
      <c r="C95" s="12" t="n"/>
      <c r="D95" s="12" t="n"/>
      <c r="E95" s="12" t="n"/>
      <c r="F95" s="12" t="n"/>
      <c r="G95" s="12" t="n"/>
      <c r="H95" s="25" t="n"/>
      <c r="I95" s="25" t="n"/>
      <c r="J95" s="23">
        <f>IF(I95="","",I95-TODAY())</f>
        <v/>
      </c>
      <c r="K95" s="18" t="n"/>
      <c r="L95" s="12" t="n"/>
    </row>
    <row r="96" ht="22" customHeight="1">
      <c r="B96" s="16">
        <f>IF(C96="","PAA-"&amp;TEXT(COUNTA($C$5:C96),"000"))</f>
        <v/>
      </c>
      <c r="C96" s="14" t="n"/>
      <c r="D96" s="14" t="n"/>
      <c r="E96" s="14" t="n"/>
      <c r="F96" s="14" t="n"/>
      <c r="G96" s="14" t="n"/>
      <c r="H96" s="26" t="n"/>
      <c r="I96" s="26" t="n"/>
      <c r="J96" s="24">
        <f>IF(I96="","",I96-TODAY())</f>
        <v/>
      </c>
      <c r="K96" s="19" t="n"/>
      <c r="L96" s="14" t="n"/>
    </row>
    <row r="97" ht="22" customHeight="1">
      <c r="B97" s="17">
        <f>IF(C97="","PAA-"&amp;TEXT(COUNTA($C$5:C97),"000"))</f>
        <v/>
      </c>
      <c r="C97" s="12" t="n"/>
      <c r="D97" s="12" t="n"/>
      <c r="E97" s="12" t="n"/>
      <c r="F97" s="12" t="n"/>
      <c r="G97" s="12" t="n"/>
      <c r="H97" s="25" t="n"/>
      <c r="I97" s="25" t="n"/>
      <c r="J97" s="23">
        <f>IF(I97="","",I97-TODAY())</f>
        <v/>
      </c>
      <c r="K97" s="18" t="n"/>
      <c r="L97" s="12" t="n"/>
    </row>
    <row r="98" ht="22" customHeight="1">
      <c r="B98" s="16">
        <f>IF(C98="","PAA-"&amp;TEXT(COUNTA($C$5:C98),"000"))</f>
        <v/>
      </c>
      <c r="C98" s="14" t="n"/>
      <c r="D98" s="14" t="n"/>
      <c r="E98" s="14" t="n"/>
      <c r="F98" s="14" t="n"/>
      <c r="G98" s="14" t="n"/>
      <c r="H98" s="26" t="n"/>
      <c r="I98" s="26" t="n"/>
      <c r="J98" s="24">
        <f>IF(I98="","",I98-TODAY())</f>
        <v/>
      </c>
      <c r="K98" s="19" t="n"/>
      <c r="L98" s="14" t="n"/>
    </row>
    <row r="99" ht="22" customHeight="1">
      <c r="B99" s="17">
        <f>IF(C99="","PAA-"&amp;TEXT(COUNTA($C$5:C99),"000"))</f>
        <v/>
      </c>
      <c r="C99" s="12" t="n"/>
      <c r="D99" s="12" t="n"/>
      <c r="E99" s="12" t="n"/>
      <c r="F99" s="12" t="n"/>
      <c r="G99" s="12" t="n"/>
      <c r="H99" s="25" t="n"/>
      <c r="I99" s="25" t="n"/>
      <c r="J99" s="23">
        <f>IF(I99="","",I99-TODAY())</f>
        <v/>
      </c>
      <c r="K99" s="18" t="n"/>
      <c r="L99" s="12" t="n"/>
    </row>
    <row r="100" ht="22" customHeight="1">
      <c r="B100" s="16">
        <f>IF(C100="","PAA-"&amp;TEXT(COUNTA($C$5:C100),"000"))</f>
        <v/>
      </c>
      <c r="C100" s="14" t="n"/>
      <c r="D100" s="14" t="n"/>
      <c r="E100" s="14" t="n"/>
      <c r="F100" s="14" t="n"/>
      <c r="G100" s="14" t="n"/>
      <c r="H100" s="26" t="n"/>
      <c r="I100" s="26" t="n"/>
      <c r="J100" s="24">
        <f>IF(I100="","",I100-TODAY())</f>
        <v/>
      </c>
      <c r="K100" s="19" t="n"/>
      <c r="L100" s="14" t="n"/>
    </row>
    <row r="101" ht="22" customHeight="1">
      <c r="B101" s="17">
        <f>IF(C101="","PAA-"&amp;TEXT(COUNTA($C$5:C101),"000"))</f>
        <v/>
      </c>
      <c r="C101" s="12" t="n"/>
      <c r="D101" s="12" t="n"/>
      <c r="E101" s="12" t="n"/>
      <c r="F101" s="12" t="n"/>
      <c r="G101" s="12" t="n"/>
      <c r="H101" s="25" t="n"/>
      <c r="I101" s="25" t="n"/>
      <c r="J101" s="23">
        <f>IF(I101="","",I101-TODAY())</f>
        <v/>
      </c>
      <c r="K101" s="18" t="n"/>
      <c r="L101" s="12" t="n"/>
    </row>
    <row r="102" ht="22" customHeight="1">
      <c r="B102" s="16">
        <f>IF(C102="","PAA-"&amp;TEXT(COUNTA($C$5:C102),"000"))</f>
        <v/>
      </c>
      <c r="C102" s="14" t="n"/>
      <c r="D102" s="14" t="n"/>
      <c r="E102" s="14" t="n"/>
      <c r="F102" s="14" t="n"/>
      <c r="G102" s="14" t="n"/>
      <c r="H102" s="26" t="n"/>
      <c r="I102" s="26" t="n"/>
      <c r="J102" s="24">
        <f>IF(I102="","",I102-TODAY())</f>
        <v/>
      </c>
      <c r="K102" s="19" t="n"/>
      <c r="L102" s="14" t="n"/>
    </row>
    <row r="103" ht="22" customHeight="1">
      <c r="B103" s="17">
        <f>IF(C103="","PAA-"&amp;TEXT(COUNTA($C$5:C103),"000"))</f>
        <v/>
      </c>
      <c r="C103" s="12" t="n"/>
      <c r="D103" s="12" t="n"/>
      <c r="E103" s="12" t="n"/>
      <c r="F103" s="12" t="n"/>
      <c r="G103" s="12" t="n"/>
      <c r="H103" s="25" t="n"/>
      <c r="I103" s="25" t="n"/>
      <c r="J103" s="23">
        <f>IF(I103="","",I103-TODAY())</f>
        <v/>
      </c>
      <c r="K103" s="18" t="n"/>
      <c r="L103" s="12" t="n"/>
    </row>
    <row r="104" ht="22" customHeight="1">
      <c r="B104" s="16">
        <f>IF(C104="","PAA-"&amp;TEXT(COUNTA($C$5:C104),"000"))</f>
        <v/>
      </c>
      <c r="C104" s="14" t="n"/>
      <c r="D104" s="14" t="n"/>
      <c r="E104" s="14" t="n"/>
      <c r="F104" s="14" t="n"/>
      <c r="G104" s="14" t="n"/>
      <c r="H104" s="26" t="n"/>
      <c r="I104" s="26" t="n"/>
      <c r="J104" s="24">
        <f>IF(I104="","",I104-TODAY())</f>
        <v/>
      </c>
      <c r="K104" s="19" t="n"/>
      <c r="L104" s="14" t="n"/>
    </row>
    <row r="105" ht="22" customHeight="1">
      <c r="B105" s="17">
        <f>IF(C105="","PAA-"&amp;TEXT(COUNTA($C$5:C105),"000"))</f>
        <v/>
      </c>
      <c r="C105" s="12" t="n"/>
      <c r="D105" s="12" t="n"/>
      <c r="E105" s="12" t="n"/>
      <c r="F105" s="12" t="n"/>
      <c r="G105" s="12" t="n"/>
      <c r="H105" s="25" t="n"/>
      <c r="I105" s="25" t="n"/>
      <c r="J105" s="23">
        <f>IF(I105="","",I105-TODAY())</f>
        <v/>
      </c>
      <c r="K105" s="18" t="n"/>
      <c r="L105" s="12" t="n"/>
    </row>
    <row r="106" ht="22" customHeight="1">
      <c r="B106" s="16">
        <f>IF(C106="","PAA-"&amp;TEXT(COUNTA($C$5:C106),"000"))</f>
        <v/>
      </c>
      <c r="C106" s="14" t="n"/>
      <c r="D106" s="14" t="n"/>
      <c r="E106" s="14" t="n"/>
      <c r="F106" s="14" t="n"/>
      <c r="G106" s="14" t="n"/>
      <c r="H106" s="26" t="n"/>
      <c r="I106" s="26" t="n"/>
      <c r="J106" s="24">
        <f>IF(I106="","",I106-TODAY())</f>
        <v/>
      </c>
      <c r="K106" s="19" t="n"/>
      <c r="L106" s="14" t="n"/>
    </row>
    <row r="107" ht="22" customHeight="1">
      <c r="B107" s="17">
        <f>IF(C107="","PAA-"&amp;TEXT(COUNTA($C$5:C107),"000"))</f>
        <v/>
      </c>
      <c r="C107" s="12" t="n"/>
      <c r="D107" s="12" t="n"/>
      <c r="E107" s="12" t="n"/>
      <c r="F107" s="12" t="n"/>
      <c r="G107" s="12" t="n"/>
      <c r="H107" s="25" t="n"/>
      <c r="I107" s="25" t="n"/>
      <c r="J107" s="23">
        <f>IF(I107="","",I107-TODAY())</f>
        <v/>
      </c>
      <c r="K107" s="18" t="n"/>
      <c r="L107" s="12" t="n"/>
    </row>
    <row r="108" ht="22" customHeight="1">
      <c r="B108" s="16">
        <f>IF(C108="","PAA-"&amp;TEXT(COUNTA($C$5:C108),"000"))</f>
        <v/>
      </c>
      <c r="C108" s="14" t="n"/>
      <c r="D108" s="14" t="n"/>
      <c r="E108" s="14" t="n"/>
      <c r="F108" s="14" t="n"/>
      <c r="G108" s="14" t="n"/>
      <c r="H108" s="26" t="n"/>
      <c r="I108" s="26" t="n"/>
      <c r="J108" s="24">
        <f>IF(I108="","",I108-TODAY())</f>
        <v/>
      </c>
      <c r="K108" s="19" t="n"/>
      <c r="L108" s="14" t="n"/>
    </row>
    <row r="110" ht="26" customHeight="1">
      <c r="B110" s="20" t="inlineStr">
        <is>
          <t>TOTAL</t>
        </is>
      </c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2">
        <f>SUM(K5:K104)</f>
        <v/>
      </c>
      <c r="L110" s="21" t="n"/>
    </row>
    <row r="112">
      <c r="B112" s="6" t="inlineStr">
        <is>
          <t>INDICATEURS (mis a jour automatiquement)</t>
        </is>
      </c>
    </row>
    <row r="113">
      <c r="B113" s="3" t="inlineStr">
        <is>
          <t>Actions suivies</t>
        </is>
      </c>
      <c r="D113" s="3" t="inlineStr">
        <is>
          <t>En cours</t>
        </is>
      </c>
      <c r="F113" s="3" t="inlineStr">
        <is>
          <t>En retard</t>
        </is>
      </c>
      <c r="H113" s="3" t="inlineStr">
        <is>
          <t>Budget total</t>
        </is>
      </c>
    </row>
    <row r="114">
      <c r="B114" s="4">
        <f>COUNTIF(B5:B104,"&lt;&gt;")</f>
        <v/>
      </c>
      <c r="D114" s="4">
        <f>COUNTIF(L5:L104,"En cours")</f>
        <v/>
      </c>
      <c r="F114" s="4">
        <f>COUNTIF(J5:J104,"&lt;"&amp;0)</f>
        <v/>
      </c>
      <c r="H114" s="4">
        <f>SUM(K5:K104)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0">
      <formula>"Conforme"</formula>
    </cfRule>
    <cfRule type="cellIs" priority="2" operator="equal" dxfId="0">
      <formula>"Resolu"</formula>
    </cfRule>
    <cfRule type="cellIs" priority="3" operator="equal" dxfId="0">
      <formula>"Clos"</formula>
    </cfRule>
    <cfRule type="cellIs" priority="4" operator="equal" dxfId="0">
      <formula>"Solde"</formula>
    </cfRule>
    <cfRule type="cellIs" priority="5" operator="equal" dxfId="0">
      <formula>"Pris"</formula>
    </cfRule>
    <cfRule type="cellIs" priority="6" operator="equal" dxfId="0">
      <formula>"Termine"</formula>
    </cfRule>
    <cfRule type="cellIs" priority="7" operator="equal" dxfId="0">
      <formula>"Terminee"</formula>
    </cfRule>
    <cfRule type="cellIs" priority="8" operator="equal" dxfId="0">
      <formula>"Valide"</formula>
    </cfRule>
    <cfRule type="cellIs" priority="9" operator="equal" dxfId="0">
      <formula>"Approuve"</formula>
    </cfRule>
    <cfRule type="cellIs" priority="10" operator="equal" dxfId="0">
      <formula>"Approuvee"</formula>
    </cfRule>
    <cfRule type="cellIs" priority="11" operator="equal" dxfId="0">
      <formula>"Actif"</formula>
    </cfRule>
    <cfRule type="cellIs" priority="12" operator="equal" dxfId="0">
      <formula>"En vigueur"</formula>
    </cfRule>
    <cfRule type="cellIs" priority="13" operator="equal" dxfId="0">
      <formula>"Validee"</formula>
    </cfRule>
    <cfRule type="cellIs" priority="14" operator="equal" dxfId="0">
      <formula>"Payee"</formula>
    </cfRule>
    <cfRule type="cellIs" priority="15" operator="equal" dxfId="0">
      <formula>"Traite"</formula>
    </cfRule>
    <cfRule type="cellIs" priority="16" operator="equal" dxfId="0">
      <formula>"Traitee"</formula>
    </cfRule>
    <cfRule type="cellIs" priority="17" operator="equal" dxfId="0">
      <formula>"Decision notifiee"</formula>
    </cfRule>
    <cfRule type="cellIs" priority="18" operator="equal" dxfId="0">
      <formula>"Jugement rendu"</formula>
    </cfRule>
    <cfRule type="cellIs" priority="19" operator="equal" dxfId="0">
      <formula>"Resolue"</formula>
    </cfRule>
    <cfRule type="cellIs" priority="20" operator="equal" dxfId="0">
      <formula>"Accepte"</formula>
    </cfRule>
    <cfRule type="cellIs" priority="21" operator="equal" dxfId="0">
      <formula>"Acceptee"</formula>
    </cfRule>
    <cfRule type="cellIs" priority="22" operator="equal" dxfId="0">
      <formula>"Conforme"</formula>
    </cfRule>
    <cfRule type="cellIs" priority="23" operator="equal" dxfId="0">
      <formula>"Exempte"</formula>
    </cfRule>
    <cfRule type="cellIs" priority="24" operator="equal" dxfId="0">
      <formula>"Guerie"</formula>
    </cfRule>
    <cfRule type="cellIs" priority="25" operator="equal" dxfId="0">
      <formula>"Apte"</formula>
    </cfRule>
    <cfRule type="cellIs" priority="26" operator="equal" dxfId="0">
      <formula>"Apte avec restriction"</formula>
    </cfRule>
    <cfRule type="cellIs" priority="27" operator="equal" dxfId="0">
      <formula>"Realise"</formula>
    </cfRule>
    <cfRule type="cellIs" priority="28" operator="equal" dxfId="0">
      <formula>"Realisee"</formula>
    </cfRule>
    <cfRule type="cellIs" priority="29" operator="equal" dxfId="0">
      <formula>"En stock"</formula>
    </cfRule>
    <cfRule type="cellIs" priority="30" operator="equal" dxfId="0">
      <formula>"Attribue"</formula>
    </cfRule>
    <cfRule type="cellIs" priority="31" operator="equal" dxfId="0">
      <formula>"Mesures en place"</formula>
    </cfRule>
    <cfRule type="cellIs" priority="32" operator="equal" dxfId="0">
      <formula>"Residuel acceptable"</formula>
    </cfRule>
    <cfRule type="cellIs" priority="33" operator="equal" dxfId="0">
      <formula>"Jugement rendu"</formula>
    </cfRule>
    <cfRule type="cellIs" priority="34" operator="equal" dxfId="0">
      <formula>"Abandonne"</formula>
    </cfRule>
    <cfRule type="cellIs" priority="35" operator="equal" dxfId="0">
      <formula>"Terminee - Accord"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"Partiellement conforme"</formula>
    </cfRule>
    <cfRule type="cellIs" priority="47" operator="equal" dxfId="1">
      <formula>"En cours de mise en conformite"</formula>
    </cfRule>
    <cfRule type="cellIs" priority="48" operator="equal" dxfId="1">
      <formula>"En cours d'evaluation"</formula>
    </cfRule>
    <cfRule type="cellIs" priority="49" operator="equal" dxfId="1">
      <formula>"Non evalue"</formula>
    </cfRule>
    <cfRule type="cellIs" priority="50" operator="equal" dxfId="1">
      <formula>"Non demarre"</formula>
    </cfRule>
    <cfRule type="cellIs" priority="51" operator="equal" dxfId="1">
      <formula>"En cours d'instruction"</formula>
    </cfRule>
    <cfRule type="cellIs" priority="52" operator="equal" dxfId="1">
      <formula>"En negociation"</formula>
    </cfRule>
    <cfRule type="cellIs" priority="53" operator="equal" dxfId="1">
      <formula>"En mediation"</formula>
    </cfRule>
    <cfRule type="cellIs" priority="54" operator="equal" dxfId="1">
      <formula>"En conciliation"</formula>
    </cfRule>
    <cfRule type="cellIs" priority="55" operator="equal" dxfId="1">
      <formula>"En attente audience"</formula>
    </cfRule>
    <cfRule type="cellIs" priority="56" operator="equal" dxfId="1">
      <formula>"En attente jugement"</formula>
    </cfRule>
    <cfRule type="cellIs" priority="57" operator="equal" dxfId="1">
      <formula>"En appel"</formula>
    </cfRule>
    <cfRule type="cellIs" priority="58" operator="equal" dxfId="1">
      <formula>"En preparation"</formula>
    </cfRule>
    <cfRule type="cellIs" priority="59" operator="equal" dxfId="1">
      <formula>"Reporte"</formula>
    </cfRule>
    <cfRule type="cellIs" priority="60" operator="equal" dxfId="1">
      <formula>"En attente reponse"</formula>
    </cfRule>
    <cfRule type="cellIs" priority="61" operator="equal" dxfId="1">
      <formula>"En attente validation"</formula>
    </cfRule>
    <cfRule type="cellIs" priority="62" operator="equal" dxfId="1">
      <formula>"Contestee"</formula>
    </cfRule>
    <cfRule type="cellIs" priority="63" operator="equal" dxfId="1">
      <formula>"Escaladee"</formula>
    </cfRule>
    <cfRule type="cellIs" priority="64" operator="equal" dxfId="2">
      <formula>"Non conforme"</formula>
    </cfRule>
    <cfRule type="cellIs" priority="65" operator="equal" dxfId="2">
      <formula>"Rejete"</formula>
    </cfRule>
    <cfRule type="cellIs" priority="66" operator="equal" dxfId="2">
      <formula>"Rejetee"</formula>
    </cfRule>
    <cfRule type="cellIs" priority="67" operator="equal" dxfId="2">
      <formula>"Resilie"</formula>
    </cfRule>
    <cfRule type="cellIs" priority="68" operator="equal" dxfId="2">
      <formula>"Annule"</formula>
    </cfRule>
    <cfRule type="cellIs" priority="69" operator="equal" dxfId="2">
      <formula>"Annulee"</formula>
    </cfRule>
    <cfRule type="cellIs" priority="70" operator="equal" dxfId="2">
      <formula>"Refuse"</formula>
    </cfRule>
    <cfRule type="cellIs" priority="71" operator="equal" dxfId="2">
      <formula>"Non justifie"</formula>
    </cfRule>
    <cfRule type="cellIs" priority="72" operator="equal" dxfId="2">
      <formula>"Inaptitude"</formula>
    </cfRule>
    <cfRule type="cellIs" priority="73" operator="equal" dxfId="2">
      <formula>"Non satisfait"</formula>
    </cfRule>
    <cfRule type="cellIs" priority="74" operator="equal" dxfId="2">
      <formula>"Echoue"</formula>
    </cfRule>
    <cfRule type="cellIs" priority="75" operator="equal" dxfId="2">
      <formula>"Echouee"</formula>
    </cfRule>
    <cfRule type="cellIs" priority="76" operator="equal" dxfId="2">
      <formula>"Revoque"</formula>
    </cfRule>
    <cfRule type="cellIs" priority="77" operator="equal" dxfId="2">
      <formula>"Abandonne"</formula>
    </cfRule>
    <cfRule type="cellIs" priority="78" operator="equal" dxfId="2">
      <formula>"Rejetee"</formula>
    </cfRule>
    <cfRule type="cellIs" priority="79" operator="equal" dxfId="2">
      <formula>"Non conforme"</formula>
    </cfRule>
    <cfRule type="cellIs" priority="80" operator="equal" dxfId="2">
      <formula>"Critique"</formula>
    </cfRule>
  </conditionalFormatting>
  <conditionalFormatting sqref="B9:B108">
    <cfRule type="expression" priority="81" dxfId="3">
      <formula>AND($C9="",$C8&lt;&gt;"")</formula>
    </cfRule>
  </conditionalFormatting>
  <conditionalFormatting sqref="C9:C108">
    <cfRule type="expression" priority="82" dxfId="3">
      <formula>AND($C9="",$C8&lt;&gt;"")</formula>
    </cfRule>
  </conditionalFormatting>
  <conditionalFormatting sqref="D9:D108">
    <cfRule type="expression" priority="83" dxfId="3">
      <formula>AND($C9="",$C8&lt;&gt;"")</formula>
    </cfRule>
  </conditionalFormatting>
  <conditionalFormatting sqref="E9:E108">
    <cfRule type="expression" priority="84" dxfId="3">
      <formula>AND($C9="",$C8&lt;&gt;"")</formula>
    </cfRule>
  </conditionalFormatting>
  <conditionalFormatting sqref="F9:F108">
    <cfRule type="expression" priority="85" dxfId="3">
      <formula>AND($C9="",$C8&lt;&gt;"")</formula>
    </cfRule>
  </conditionalFormatting>
  <conditionalFormatting sqref="G9:G108">
    <cfRule type="expression" priority="86" dxfId="3">
      <formula>AND($C9="",$C8&lt;&gt;"")</formula>
    </cfRule>
  </conditionalFormatting>
  <conditionalFormatting sqref="H9:H108">
    <cfRule type="expression" priority="87" dxfId="3">
      <formula>AND($C9="",$C8&lt;&gt;"")</formula>
    </cfRule>
  </conditionalFormatting>
  <conditionalFormatting sqref="I9:I108">
    <cfRule type="expression" priority="88" dxfId="3">
      <formula>AND($C9="",$C8&lt;&gt;"")</formula>
    </cfRule>
  </conditionalFormatting>
  <conditionalFormatting sqref="J9:J108">
    <cfRule type="expression" priority="89" dxfId="3">
      <formula>AND($C9="",$C8&lt;&gt;"")</formula>
    </cfRule>
  </conditionalFormatting>
  <conditionalFormatting sqref="K9:K108">
    <cfRule type="expression" priority="90" dxfId="3">
      <formula>AND($C9="",$C8&lt;&gt;"")</formula>
    </cfRule>
  </conditionalFormatting>
  <conditionalFormatting sqref="L9:L108">
    <cfRule type="expression" priority="91" dxfId="3">
      <formula>AND($C9="",$C8&lt;&gt;"")</formula>
    </cfRule>
  </conditionalFormatting>
  <dataValidations count="2">
    <dataValidation sqref="G5:G108" showDropDown="0" showInputMessage="0" showErrorMessage="0" allowBlank="1" errorTitle="Erreur" error="Valeur invalide" promptTitle="Liste" prompt="Choisir dans la liste" type="list">
      <formula1>'_Lists'!$H$2:$H$6</formula1>
    </dataValidation>
    <dataValidation sqref="L5:L108" showDropDown="0" showInputMessage="0" showErrorMessage="0" allowBlank="1" errorTitle="Erreur" error="Valeur invalide" promptTitle="Liste" prompt="Choisir dans la liste" type="list">
      <formula1>'_Lists'!$I$2:$I$8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2" customWidth="1" min="4" max="4"/>
    <col width="18" customWidth="1" min="5" max="5"/>
    <col width="18" customWidth="1" min="6" max="6"/>
    <col width="18" customWidth="1" min="7" max="7"/>
    <col width="22" customWidth="1" min="8" max="8"/>
    <col width="16" customWidth="1" min="9" max="9"/>
    <col width="18" customWidth="1" min="10" max="10"/>
    <col width="16" customWidth="1" min="11" max="11"/>
    <col width="14" customWidth="1" min="12" max="12"/>
  </cols>
  <sheetData>
    <row r="1" ht="15" customHeight="1"/>
    <row r="2" ht="32" customHeight="1">
      <c r="B2" s="1" t="inlineStr">
        <is>
          <t>GESTION DES ASSURANCES RH (#134)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Type Assurance</t>
        </is>
      </c>
      <c r="D4" s="11" t="inlineStr">
        <is>
          <t>Compagnie Assureur</t>
        </is>
      </c>
      <c r="E4" s="11" t="inlineStr">
        <is>
          <t>N° Police</t>
        </is>
      </c>
      <c r="F4" s="11" t="inlineStr">
        <is>
          <t>Date Debut Couverture</t>
        </is>
      </c>
      <c r="G4" s="11" t="inlineStr">
        <is>
          <t>Date Fin Couverture</t>
        </is>
      </c>
      <c r="H4" s="11" t="inlineStr">
        <is>
          <t>Prime Annuelle (FCFA)</t>
        </is>
      </c>
      <c r="I4" s="11" t="inlineStr">
        <is>
          <t>Effectif Couvert</t>
        </is>
      </c>
      <c r="J4" s="11" t="inlineStr">
        <is>
          <t>Cout par Employe</t>
        </is>
      </c>
      <c r="K4" s="11" t="inlineStr">
        <is>
          <t>Dernier Pmt</t>
        </is>
      </c>
      <c r="L4" s="11" t="inlineStr">
        <is>
          <t>Statut</t>
        </is>
      </c>
    </row>
    <row r="5" ht="22" customHeight="1">
      <c r="B5" s="12" t="inlineStr">
        <is>
          <t>GAR-001</t>
        </is>
      </c>
      <c r="C5" s="12" t="inlineStr">
        <is>
          <t>AT - Accidents du travail</t>
        </is>
      </c>
      <c r="D5" s="12" t="inlineStr">
        <is>
          <t>ACTIVA Assurances</t>
        </is>
      </c>
      <c r="E5" s="12" t="inlineStr">
        <is>
          <t>POL-AT-2024-001</t>
        </is>
      </c>
      <c r="F5" s="25" t="n">
        <v>45474</v>
      </c>
      <c r="G5" s="25" t="n">
        <v>45838</v>
      </c>
      <c r="H5" s="18" t="n">
        <v>1200000</v>
      </c>
      <c r="I5" s="23" t="n">
        <v>89</v>
      </c>
      <c r="J5" s="18" t="n"/>
      <c r="K5" s="25" t="n">
        <v>45672</v>
      </c>
      <c r="L5" s="12" t="inlineStr">
        <is>
          <t>En cours</t>
        </is>
      </c>
    </row>
    <row r="6" ht="22" customHeight="1">
      <c r="B6" s="14" t="inlineStr">
        <is>
          <t>GAR-002</t>
        </is>
      </c>
      <c r="C6" s="14" t="inlineStr">
        <is>
          <t>Responsabilite civile employeur</t>
        </is>
      </c>
      <c r="D6" s="14" t="inlineStr">
        <is>
          <t>AXA Cameroon</t>
        </is>
      </c>
      <c r="E6" s="14" t="inlineStr">
        <is>
          <t>POL-RCE-2025-001</t>
        </is>
      </c>
      <c r="F6" s="26" t="n">
        <v>45658</v>
      </c>
      <c r="G6" s="26" t="n">
        <v>46022</v>
      </c>
      <c r="H6" s="19" t="n">
        <v>850000</v>
      </c>
      <c r="I6" s="24" t="n">
        <v>89</v>
      </c>
      <c r="J6" s="19" t="n"/>
      <c r="K6" s="26" t="n">
        <v>45677</v>
      </c>
      <c r="L6" s="14" t="inlineStr">
        <is>
          <t>En cours</t>
        </is>
      </c>
    </row>
    <row r="7" ht="22" customHeight="1">
      <c r="B7" s="12" t="inlineStr">
        <is>
          <t>GAR-003</t>
        </is>
      </c>
      <c r="C7" s="12" t="inlineStr">
        <is>
          <t>Protection juridique</t>
        </is>
      </c>
      <c r="D7" s="12" t="inlineStr">
        <is>
          <t>SAAR Assurances</t>
        </is>
      </c>
      <c r="E7" s="12" t="inlineStr">
        <is>
          <t>POL-PJ-2025-001</t>
        </is>
      </c>
      <c r="F7" s="25" t="n">
        <v>45658</v>
      </c>
      <c r="G7" s="25" t="n">
        <v>46022</v>
      </c>
      <c r="H7" s="18" t="n">
        <v>350000</v>
      </c>
      <c r="I7" s="23" t="n">
        <v>89</v>
      </c>
      <c r="J7" s="18" t="n"/>
      <c r="K7" s="25" t="n">
        <v>45689</v>
      </c>
      <c r="L7" s="12" t="inlineStr">
        <is>
          <t>En cours</t>
        </is>
      </c>
    </row>
    <row r="8" ht="22" customHeight="1">
      <c r="B8" s="14" t="inlineStr">
        <is>
          <t>GAR-004</t>
        </is>
      </c>
      <c r="C8" s="14" t="inlineStr">
        <is>
          <t>Medecine du travail</t>
        </is>
      </c>
      <c r="D8" s="14" t="inlineStr">
        <is>
          <t>CNPS</t>
        </is>
      </c>
      <c r="E8" s="14" t="inlineStr">
        <is>
          <t>MED-TRAV-2025</t>
        </is>
      </c>
      <c r="F8" s="26" t="n">
        <v>45658</v>
      </c>
      <c r="G8" s="26" t="n">
        <v>46022</v>
      </c>
      <c r="H8" s="19" t="n">
        <v>250000</v>
      </c>
      <c r="I8" s="24" t="n">
        <v>89</v>
      </c>
      <c r="J8" s="19" t="n"/>
      <c r="K8" s="26" t="n">
        <v>45717</v>
      </c>
      <c r="L8" s="14" t="inlineStr">
        <is>
          <t>En cours</t>
        </is>
      </c>
    </row>
    <row r="9" ht="22" customHeight="1">
      <c r="B9" s="12" t="inlineStr">
        <is>
          <t>GAR-005</t>
        </is>
      </c>
      <c r="C9" s="12" t="inlineStr">
        <is>
          <t>Prevoyance deces/invalidite</t>
        </is>
      </c>
      <c r="D9" s="12" t="inlineStr">
        <is>
          <t>CNPS</t>
        </is>
      </c>
      <c r="E9" s="12" t="inlineStr">
        <is>
          <t>PREV-2025</t>
        </is>
      </c>
      <c r="F9" s="25" t="n">
        <v>45658</v>
      </c>
      <c r="G9" s="25" t="n">
        <v>46022</v>
      </c>
      <c r="H9" s="18" t="n">
        <v>0</v>
      </c>
      <c r="I9" s="23" t="n">
        <v>89</v>
      </c>
      <c r="J9" s="18" t="n"/>
      <c r="K9" s="25" t="n"/>
      <c r="L9" s="12" t="inlineStr">
        <is>
          <t>En cours</t>
        </is>
      </c>
    </row>
    <row r="10" ht="22" customHeight="1">
      <c r="B10" s="16">
        <f>IF(C10="","GAR-"&amp;TEXT(COUNTA($C$5:C10),"000"))</f>
        <v/>
      </c>
      <c r="C10" s="14" t="n"/>
      <c r="D10" s="14" t="n"/>
      <c r="E10" s="14" t="n"/>
      <c r="F10" s="26" t="n"/>
      <c r="G10" s="26" t="n"/>
      <c r="H10" s="19" t="n"/>
      <c r="I10" s="24" t="n"/>
      <c r="J10" s="19">
        <f>IF(OR(H10="",I10=""),"",H10/I10)</f>
        <v/>
      </c>
      <c r="K10" s="26" t="n"/>
      <c r="L10" s="14" t="n"/>
    </row>
    <row r="11" ht="22" customHeight="1">
      <c r="B11" s="17">
        <f>IF(C11="","GAR-"&amp;TEXT(COUNTA($C$5:C11),"000"))</f>
        <v/>
      </c>
      <c r="C11" s="12" t="n"/>
      <c r="D11" s="12" t="n"/>
      <c r="E11" s="12" t="n"/>
      <c r="F11" s="25" t="n"/>
      <c r="G11" s="25" t="n"/>
      <c r="H11" s="18" t="n"/>
      <c r="I11" s="23" t="n"/>
      <c r="J11" s="18">
        <f>IF(OR(H11="",I11=""),"",H11/I11)</f>
        <v/>
      </c>
      <c r="K11" s="25" t="n"/>
      <c r="L11" s="12" t="n"/>
    </row>
    <row r="12" ht="22" customHeight="1">
      <c r="B12" s="16">
        <f>IF(C12="","GAR-"&amp;TEXT(COUNTA($C$5:C12),"000"))</f>
        <v/>
      </c>
      <c r="C12" s="14" t="n"/>
      <c r="D12" s="14" t="n"/>
      <c r="E12" s="14" t="n"/>
      <c r="F12" s="26" t="n"/>
      <c r="G12" s="26" t="n"/>
      <c r="H12" s="19" t="n"/>
      <c r="I12" s="24" t="n"/>
      <c r="J12" s="19">
        <f>IF(OR(H12="",I12=""),"",H12/I12)</f>
        <v/>
      </c>
      <c r="K12" s="26" t="n"/>
      <c r="L12" s="14" t="n"/>
    </row>
    <row r="13" ht="22" customHeight="1">
      <c r="B13" s="17">
        <f>IF(C13="","GAR-"&amp;TEXT(COUNTA($C$5:C13),"000"))</f>
        <v/>
      </c>
      <c r="C13" s="12" t="n"/>
      <c r="D13" s="12" t="n"/>
      <c r="E13" s="12" t="n"/>
      <c r="F13" s="25" t="n"/>
      <c r="G13" s="25" t="n"/>
      <c r="H13" s="18" t="n"/>
      <c r="I13" s="23" t="n"/>
      <c r="J13" s="18">
        <f>IF(OR(H13="",I13=""),"",H13/I13)</f>
        <v/>
      </c>
      <c r="K13" s="25" t="n"/>
      <c r="L13" s="12" t="n"/>
    </row>
    <row r="14" ht="22" customHeight="1">
      <c r="B14" s="16">
        <f>IF(C14="","GAR-"&amp;TEXT(COUNTA($C$5:C14),"000"))</f>
        <v/>
      </c>
      <c r="C14" s="14" t="n"/>
      <c r="D14" s="14" t="n"/>
      <c r="E14" s="14" t="n"/>
      <c r="F14" s="26" t="n"/>
      <c r="G14" s="26" t="n"/>
      <c r="H14" s="19" t="n"/>
      <c r="I14" s="24" t="n"/>
      <c r="J14" s="19">
        <f>IF(OR(H14="",I14=""),"",H14/I14)</f>
        <v/>
      </c>
      <c r="K14" s="26" t="n"/>
      <c r="L14" s="14" t="n"/>
    </row>
    <row r="15" ht="22" customHeight="1">
      <c r="B15" s="17">
        <f>IF(C15="","GAR-"&amp;TEXT(COUNTA($C$5:C15),"000"))</f>
        <v/>
      </c>
      <c r="C15" s="12" t="n"/>
      <c r="D15" s="12" t="n"/>
      <c r="E15" s="12" t="n"/>
      <c r="F15" s="25" t="n"/>
      <c r="G15" s="25" t="n"/>
      <c r="H15" s="18" t="n"/>
      <c r="I15" s="23" t="n"/>
      <c r="J15" s="18">
        <f>IF(OR(H15="",I15=""),"",H15/I15)</f>
        <v/>
      </c>
      <c r="K15" s="25" t="n"/>
      <c r="L15" s="12" t="n"/>
    </row>
    <row r="16" ht="22" customHeight="1">
      <c r="B16" s="16">
        <f>IF(C16="","GAR-"&amp;TEXT(COUNTA($C$5:C16),"000"))</f>
        <v/>
      </c>
      <c r="C16" s="14" t="n"/>
      <c r="D16" s="14" t="n"/>
      <c r="E16" s="14" t="n"/>
      <c r="F16" s="26" t="n"/>
      <c r="G16" s="26" t="n"/>
      <c r="H16" s="19" t="n"/>
      <c r="I16" s="24" t="n"/>
      <c r="J16" s="19">
        <f>IF(OR(H16="",I16=""),"",H16/I16)</f>
        <v/>
      </c>
      <c r="K16" s="26" t="n"/>
      <c r="L16" s="14" t="n"/>
    </row>
    <row r="17" ht="22" customHeight="1">
      <c r="B17" s="17">
        <f>IF(C17="","GAR-"&amp;TEXT(COUNTA($C$5:C17),"000"))</f>
        <v/>
      </c>
      <c r="C17" s="12" t="n"/>
      <c r="D17" s="12" t="n"/>
      <c r="E17" s="12" t="n"/>
      <c r="F17" s="25" t="n"/>
      <c r="G17" s="25" t="n"/>
      <c r="H17" s="18" t="n"/>
      <c r="I17" s="23" t="n"/>
      <c r="J17" s="18">
        <f>IF(OR(H17="",I17=""),"",H17/I17)</f>
        <v/>
      </c>
      <c r="K17" s="25" t="n"/>
      <c r="L17" s="12" t="n"/>
    </row>
    <row r="18" ht="22" customHeight="1">
      <c r="B18" s="16">
        <f>IF(C18="","GAR-"&amp;TEXT(COUNTA($C$5:C18),"000"))</f>
        <v/>
      </c>
      <c r="C18" s="14" t="n"/>
      <c r="D18" s="14" t="n"/>
      <c r="E18" s="14" t="n"/>
      <c r="F18" s="26" t="n"/>
      <c r="G18" s="26" t="n"/>
      <c r="H18" s="19" t="n"/>
      <c r="I18" s="24" t="n"/>
      <c r="J18" s="19">
        <f>IF(OR(H18="",I18=""),"",H18/I18)</f>
        <v/>
      </c>
      <c r="K18" s="26" t="n"/>
      <c r="L18" s="14" t="n"/>
    </row>
    <row r="19" ht="22" customHeight="1">
      <c r="B19" s="17">
        <f>IF(C19="","GAR-"&amp;TEXT(COUNTA($C$5:C19),"000"))</f>
        <v/>
      </c>
      <c r="C19" s="12" t="n"/>
      <c r="D19" s="12" t="n"/>
      <c r="E19" s="12" t="n"/>
      <c r="F19" s="25" t="n"/>
      <c r="G19" s="25" t="n"/>
      <c r="H19" s="18" t="n"/>
      <c r="I19" s="23" t="n"/>
      <c r="J19" s="18">
        <f>IF(OR(H19="",I19=""),"",H19/I19)</f>
        <v/>
      </c>
      <c r="K19" s="25" t="n"/>
      <c r="L19" s="12" t="n"/>
    </row>
    <row r="20" ht="22" customHeight="1">
      <c r="B20" s="16">
        <f>IF(C20="","GAR-"&amp;TEXT(COUNTA($C$5:C20),"000"))</f>
        <v/>
      </c>
      <c r="C20" s="14" t="n"/>
      <c r="D20" s="14" t="n"/>
      <c r="E20" s="14" t="n"/>
      <c r="F20" s="26" t="n"/>
      <c r="G20" s="26" t="n"/>
      <c r="H20" s="19" t="n"/>
      <c r="I20" s="24" t="n"/>
      <c r="J20" s="19">
        <f>IF(OR(H20="",I20=""),"",H20/I20)</f>
        <v/>
      </c>
      <c r="K20" s="26" t="n"/>
      <c r="L20" s="14" t="n"/>
    </row>
    <row r="21" ht="22" customHeight="1">
      <c r="B21" s="17">
        <f>IF(C21="","GAR-"&amp;TEXT(COUNTA($C$5:C21),"000"))</f>
        <v/>
      </c>
      <c r="C21" s="12" t="n"/>
      <c r="D21" s="12" t="n"/>
      <c r="E21" s="12" t="n"/>
      <c r="F21" s="25" t="n"/>
      <c r="G21" s="25" t="n"/>
      <c r="H21" s="18" t="n"/>
      <c r="I21" s="23" t="n"/>
      <c r="J21" s="18">
        <f>IF(OR(H21="",I21=""),"",H21/I21)</f>
        <v/>
      </c>
      <c r="K21" s="25" t="n"/>
      <c r="L21" s="12" t="n"/>
    </row>
    <row r="22" ht="22" customHeight="1">
      <c r="B22" s="16">
        <f>IF(C22="","GAR-"&amp;TEXT(COUNTA($C$5:C22),"000"))</f>
        <v/>
      </c>
      <c r="C22" s="14" t="n"/>
      <c r="D22" s="14" t="n"/>
      <c r="E22" s="14" t="n"/>
      <c r="F22" s="26" t="n"/>
      <c r="G22" s="26" t="n"/>
      <c r="H22" s="19" t="n"/>
      <c r="I22" s="24" t="n"/>
      <c r="J22" s="19">
        <f>IF(OR(H22="",I22=""),"",H22/I22)</f>
        <v/>
      </c>
      <c r="K22" s="26" t="n"/>
      <c r="L22" s="14" t="n"/>
    </row>
    <row r="23" ht="22" customHeight="1">
      <c r="B23" s="17">
        <f>IF(C23="","GAR-"&amp;TEXT(COUNTA($C$5:C23),"000"))</f>
        <v/>
      </c>
      <c r="C23" s="12" t="n"/>
      <c r="D23" s="12" t="n"/>
      <c r="E23" s="12" t="n"/>
      <c r="F23" s="25" t="n"/>
      <c r="G23" s="25" t="n"/>
      <c r="H23" s="18" t="n"/>
      <c r="I23" s="23" t="n"/>
      <c r="J23" s="18">
        <f>IF(OR(H23="",I23=""),"",H23/I23)</f>
        <v/>
      </c>
      <c r="K23" s="25" t="n"/>
      <c r="L23" s="12" t="n"/>
    </row>
    <row r="24" ht="22" customHeight="1">
      <c r="B24" s="16">
        <f>IF(C24="","GAR-"&amp;TEXT(COUNTA($C$5:C24),"000"))</f>
        <v/>
      </c>
      <c r="C24" s="14" t="n"/>
      <c r="D24" s="14" t="n"/>
      <c r="E24" s="14" t="n"/>
      <c r="F24" s="26" t="n"/>
      <c r="G24" s="26" t="n"/>
      <c r="H24" s="19" t="n"/>
      <c r="I24" s="24" t="n"/>
      <c r="J24" s="19">
        <f>IF(OR(H24="",I24=""),"",H24/I24)</f>
        <v/>
      </c>
      <c r="K24" s="26" t="n"/>
      <c r="L24" s="14" t="n"/>
    </row>
    <row r="25" ht="22" customHeight="1">
      <c r="B25" s="17">
        <f>IF(C25="","GAR-"&amp;TEXT(COUNTA($C$5:C25),"000"))</f>
        <v/>
      </c>
      <c r="C25" s="12" t="n"/>
      <c r="D25" s="12" t="n"/>
      <c r="E25" s="12" t="n"/>
      <c r="F25" s="25" t="n"/>
      <c r="G25" s="25" t="n"/>
      <c r="H25" s="18" t="n"/>
      <c r="I25" s="23" t="n"/>
      <c r="J25" s="18">
        <f>IF(OR(H25="",I25=""),"",H25/I25)</f>
        <v/>
      </c>
      <c r="K25" s="25" t="n"/>
      <c r="L25" s="12" t="n"/>
    </row>
    <row r="26" ht="22" customHeight="1">
      <c r="B26" s="16">
        <f>IF(C26="","GAR-"&amp;TEXT(COUNTA($C$5:C26),"000"))</f>
        <v/>
      </c>
      <c r="C26" s="14" t="n"/>
      <c r="D26" s="14" t="n"/>
      <c r="E26" s="14" t="n"/>
      <c r="F26" s="26" t="n"/>
      <c r="G26" s="26" t="n"/>
      <c r="H26" s="19" t="n"/>
      <c r="I26" s="24" t="n"/>
      <c r="J26" s="19">
        <f>IF(OR(H26="",I26=""),"",H26/I26)</f>
        <v/>
      </c>
      <c r="K26" s="26" t="n"/>
      <c r="L26" s="14" t="n"/>
    </row>
    <row r="27" ht="22" customHeight="1">
      <c r="B27" s="17">
        <f>IF(C27="","GAR-"&amp;TEXT(COUNTA($C$5:C27),"000"))</f>
        <v/>
      </c>
      <c r="C27" s="12" t="n"/>
      <c r="D27" s="12" t="n"/>
      <c r="E27" s="12" t="n"/>
      <c r="F27" s="25" t="n"/>
      <c r="G27" s="25" t="n"/>
      <c r="H27" s="18" t="n"/>
      <c r="I27" s="23" t="n"/>
      <c r="J27" s="18">
        <f>IF(OR(H27="",I27=""),"",H27/I27)</f>
        <v/>
      </c>
      <c r="K27" s="25" t="n"/>
      <c r="L27" s="12" t="n"/>
    </row>
    <row r="28" ht="22" customHeight="1">
      <c r="B28" s="16">
        <f>IF(C28="","GAR-"&amp;TEXT(COUNTA($C$5:C28),"000"))</f>
        <v/>
      </c>
      <c r="C28" s="14" t="n"/>
      <c r="D28" s="14" t="n"/>
      <c r="E28" s="14" t="n"/>
      <c r="F28" s="26" t="n"/>
      <c r="G28" s="26" t="n"/>
      <c r="H28" s="19" t="n"/>
      <c r="I28" s="24" t="n"/>
      <c r="J28" s="19">
        <f>IF(OR(H28="",I28=""),"",H28/I28)</f>
        <v/>
      </c>
      <c r="K28" s="26" t="n"/>
      <c r="L28" s="14" t="n"/>
    </row>
    <row r="29" ht="22" customHeight="1">
      <c r="B29" s="17">
        <f>IF(C29="","GAR-"&amp;TEXT(COUNTA($C$5:C29),"000"))</f>
        <v/>
      </c>
      <c r="C29" s="12" t="n"/>
      <c r="D29" s="12" t="n"/>
      <c r="E29" s="12" t="n"/>
      <c r="F29" s="25" t="n"/>
      <c r="G29" s="25" t="n"/>
      <c r="H29" s="18" t="n"/>
      <c r="I29" s="23" t="n"/>
      <c r="J29" s="18">
        <f>IF(OR(H29="",I29=""),"",H29/I29)</f>
        <v/>
      </c>
      <c r="K29" s="25" t="n"/>
      <c r="L29" s="12" t="n"/>
    </row>
    <row r="30" ht="22" customHeight="1">
      <c r="B30" s="16">
        <f>IF(C30="","GAR-"&amp;TEXT(COUNTA($C$5:C30),"000"))</f>
        <v/>
      </c>
      <c r="C30" s="14" t="n"/>
      <c r="D30" s="14" t="n"/>
      <c r="E30" s="14" t="n"/>
      <c r="F30" s="26" t="n"/>
      <c r="G30" s="26" t="n"/>
      <c r="H30" s="19" t="n"/>
      <c r="I30" s="24" t="n"/>
      <c r="J30" s="19">
        <f>IF(OR(H30="",I30=""),"",H30/I30)</f>
        <v/>
      </c>
      <c r="K30" s="26" t="n"/>
      <c r="L30" s="14" t="n"/>
    </row>
    <row r="31" ht="22" customHeight="1">
      <c r="B31" s="17">
        <f>IF(C31="","GAR-"&amp;TEXT(COUNTA($C$5:C31),"000"))</f>
        <v/>
      </c>
      <c r="C31" s="12" t="n"/>
      <c r="D31" s="12" t="n"/>
      <c r="E31" s="12" t="n"/>
      <c r="F31" s="25" t="n"/>
      <c r="G31" s="25" t="n"/>
      <c r="H31" s="18" t="n"/>
      <c r="I31" s="23" t="n"/>
      <c r="J31" s="18">
        <f>IF(OR(H31="",I31=""),"",H31/I31)</f>
        <v/>
      </c>
      <c r="K31" s="25" t="n"/>
      <c r="L31" s="12" t="n"/>
    </row>
    <row r="32" ht="22" customHeight="1">
      <c r="B32" s="16">
        <f>IF(C32="","GAR-"&amp;TEXT(COUNTA($C$5:C32),"000"))</f>
        <v/>
      </c>
      <c r="C32" s="14" t="n"/>
      <c r="D32" s="14" t="n"/>
      <c r="E32" s="14" t="n"/>
      <c r="F32" s="26" t="n"/>
      <c r="G32" s="26" t="n"/>
      <c r="H32" s="19" t="n"/>
      <c r="I32" s="24" t="n"/>
      <c r="J32" s="19">
        <f>IF(OR(H32="",I32=""),"",H32/I32)</f>
        <v/>
      </c>
      <c r="K32" s="26" t="n"/>
      <c r="L32" s="14" t="n"/>
    </row>
    <row r="33" ht="22" customHeight="1">
      <c r="B33" s="17">
        <f>IF(C33="","GAR-"&amp;TEXT(COUNTA($C$5:C33),"000"))</f>
        <v/>
      </c>
      <c r="C33" s="12" t="n"/>
      <c r="D33" s="12" t="n"/>
      <c r="E33" s="12" t="n"/>
      <c r="F33" s="25" t="n"/>
      <c r="G33" s="25" t="n"/>
      <c r="H33" s="18" t="n"/>
      <c r="I33" s="23" t="n"/>
      <c r="J33" s="18">
        <f>IF(OR(H33="",I33=""),"",H33/I33)</f>
        <v/>
      </c>
      <c r="K33" s="25" t="n"/>
      <c r="L33" s="12" t="n"/>
    </row>
    <row r="34" ht="22" customHeight="1">
      <c r="B34" s="16">
        <f>IF(C34="","GAR-"&amp;TEXT(COUNTA($C$5:C34),"000"))</f>
        <v/>
      </c>
      <c r="C34" s="14" t="n"/>
      <c r="D34" s="14" t="n"/>
      <c r="E34" s="14" t="n"/>
      <c r="F34" s="26" t="n"/>
      <c r="G34" s="26" t="n"/>
      <c r="H34" s="19" t="n"/>
      <c r="I34" s="24" t="n"/>
      <c r="J34" s="19">
        <f>IF(OR(H34="",I34=""),"",H34/I34)</f>
        <v/>
      </c>
      <c r="K34" s="26" t="n"/>
      <c r="L34" s="14" t="n"/>
    </row>
    <row r="35" ht="22" customHeight="1">
      <c r="B35" s="17">
        <f>IF(C35="","GAR-"&amp;TEXT(COUNTA($C$5:C35),"000"))</f>
        <v/>
      </c>
      <c r="C35" s="12" t="n"/>
      <c r="D35" s="12" t="n"/>
      <c r="E35" s="12" t="n"/>
      <c r="F35" s="25" t="n"/>
      <c r="G35" s="25" t="n"/>
      <c r="H35" s="18" t="n"/>
      <c r="I35" s="23" t="n"/>
      <c r="J35" s="18">
        <f>IF(OR(H35="",I35=""),"",H35/I35)</f>
        <v/>
      </c>
      <c r="K35" s="25" t="n"/>
      <c r="L35" s="12" t="n"/>
    </row>
    <row r="36" ht="22" customHeight="1">
      <c r="B36" s="16">
        <f>IF(C36="","GAR-"&amp;TEXT(COUNTA($C$5:C36),"000"))</f>
        <v/>
      </c>
      <c r="C36" s="14" t="n"/>
      <c r="D36" s="14" t="n"/>
      <c r="E36" s="14" t="n"/>
      <c r="F36" s="26" t="n"/>
      <c r="G36" s="26" t="n"/>
      <c r="H36" s="19" t="n"/>
      <c r="I36" s="24" t="n"/>
      <c r="J36" s="19">
        <f>IF(OR(H36="",I36=""),"",H36/I36)</f>
        <v/>
      </c>
      <c r="K36" s="26" t="n"/>
      <c r="L36" s="14" t="n"/>
    </row>
    <row r="37" ht="22" customHeight="1">
      <c r="B37" s="17">
        <f>IF(C37="","GAR-"&amp;TEXT(COUNTA($C$5:C37),"000"))</f>
        <v/>
      </c>
      <c r="C37" s="12" t="n"/>
      <c r="D37" s="12" t="n"/>
      <c r="E37" s="12" t="n"/>
      <c r="F37" s="25" t="n"/>
      <c r="G37" s="25" t="n"/>
      <c r="H37" s="18" t="n"/>
      <c r="I37" s="23" t="n"/>
      <c r="J37" s="18">
        <f>IF(OR(H37="",I37=""),"",H37/I37)</f>
        <v/>
      </c>
      <c r="K37" s="25" t="n"/>
      <c r="L37" s="12" t="n"/>
    </row>
    <row r="38" ht="22" customHeight="1">
      <c r="B38" s="16">
        <f>IF(C38="","GAR-"&amp;TEXT(COUNTA($C$5:C38),"000"))</f>
        <v/>
      </c>
      <c r="C38" s="14" t="n"/>
      <c r="D38" s="14" t="n"/>
      <c r="E38" s="14" t="n"/>
      <c r="F38" s="26" t="n"/>
      <c r="G38" s="26" t="n"/>
      <c r="H38" s="19" t="n"/>
      <c r="I38" s="24" t="n"/>
      <c r="J38" s="19">
        <f>IF(OR(H38="",I38=""),"",H38/I38)</f>
        <v/>
      </c>
      <c r="K38" s="26" t="n"/>
      <c r="L38" s="14" t="n"/>
    </row>
    <row r="39" ht="22" customHeight="1">
      <c r="B39" s="17">
        <f>IF(C39="","GAR-"&amp;TEXT(COUNTA($C$5:C39),"000"))</f>
        <v/>
      </c>
      <c r="C39" s="12" t="n"/>
      <c r="D39" s="12" t="n"/>
      <c r="E39" s="12" t="n"/>
      <c r="F39" s="25" t="n"/>
      <c r="G39" s="25" t="n"/>
      <c r="H39" s="18" t="n"/>
      <c r="I39" s="23" t="n"/>
      <c r="J39" s="18">
        <f>IF(OR(H39="",I39=""),"",H39/I39)</f>
        <v/>
      </c>
      <c r="K39" s="25" t="n"/>
      <c r="L39" s="12" t="n"/>
    </row>
    <row r="40" ht="22" customHeight="1">
      <c r="B40" s="16">
        <f>IF(C40="","GAR-"&amp;TEXT(COUNTA($C$5:C40),"000"))</f>
        <v/>
      </c>
      <c r="C40" s="14" t="n"/>
      <c r="D40" s="14" t="n"/>
      <c r="E40" s="14" t="n"/>
      <c r="F40" s="26" t="n"/>
      <c r="G40" s="26" t="n"/>
      <c r="H40" s="19" t="n"/>
      <c r="I40" s="24" t="n"/>
      <c r="J40" s="19">
        <f>IF(OR(H40="",I40=""),"",H40/I40)</f>
        <v/>
      </c>
      <c r="K40" s="26" t="n"/>
      <c r="L40" s="14" t="n"/>
    </row>
    <row r="41" ht="22" customHeight="1">
      <c r="B41" s="17">
        <f>IF(C41="","GAR-"&amp;TEXT(COUNTA($C$5:C41),"000"))</f>
        <v/>
      </c>
      <c r="C41" s="12" t="n"/>
      <c r="D41" s="12" t="n"/>
      <c r="E41" s="12" t="n"/>
      <c r="F41" s="25" t="n"/>
      <c r="G41" s="25" t="n"/>
      <c r="H41" s="18" t="n"/>
      <c r="I41" s="23" t="n"/>
      <c r="J41" s="18">
        <f>IF(OR(H41="",I41=""),"",H41/I41)</f>
        <v/>
      </c>
      <c r="K41" s="25" t="n"/>
      <c r="L41" s="12" t="n"/>
    </row>
    <row r="42" ht="22" customHeight="1">
      <c r="B42" s="16">
        <f>IF(C42="","GAR-"&amp;TEXT(COUNTA($C$5:C42),"000"))</f>
        <v/>
      </c>
      <c r="C42" s="14" t="n"/>
      <c r="D42" s="14" t="n"/>
      <c r="E42" s="14" t="n"/>
      <c r="F42" s="26" t="n"/>
      <c r="G42" s="26" t="n"/>
      <c r="H42" s="19" t="n"/>
      <c r="I42" s="24" t="n"/>
      <c r="J42" s="19">
        <f>IF(OR(H42="",I42=""),"",H42/I42)</f>
        <v/>
      </c>
      <c r="K42" s="26" t="n"/>
      <c r="L42" s="14" t="n"/>
    </row>
    <row r="43" ht="22" customHeight="1">
      <c r="B43" s="17">
        <f>IF(C43="","GAR-"&amp;TEXT(COUNTA($C$5:C43),"000"))</f>
        <v/>
      </c>
      <c r="C43" s="12" t="n"/>
      <c r="D43" s="12" t="n"/>
      <c r="E43" s="12" t="n"/>
      <c r="F43" s="25" t="n"/>
      <c r="G43" s="25" t="n"/>
      <c r="H43" s="18" t="n"/>
      <c r="I43" s="23" t="n"/>
      <c r="J43" s="18">
        <f>IF(OR(H43="",I43=""),"",H43/I43)</f>
        <v/>
      </c>
      <c r="K43" s="25" t="n"/>
      <c r="L43" s="12" t="n"/>
    </row>
    <row r="44" ht="22" customHeight="1">
      <c r="B44" s="16">
        <f>IF(C44="","GAR-"&amp;TEXT(COUNTA($C$5:C44),"000"))</f>
        <v/>
      </c>
      <c r="C44" s="14" t="n"/>
      <c r="D44" s="14" t="n"/>
      <c r="E44" s="14" t="n"/>
      <c r="F44" s="26" t="n"/>
      <c r="G44" s="26" t="n"/>
      <c r="H44" s="19" t="n"/>
      <c r="I44" s="24" t="n"/>
      <c r="J44" s="19">
        <f>IF(OR(H44="",I44=""),"",H44/I44)</f>
        <v/>
      </c>
      <c r="K44" s="26" t="n"/>
      <c r="L44" s="14" t="n"/>
    </row>
    <row r="45" ht="22" customHeight="1">
      <c r="B45" s="17">
        <f>IF(C45="","GAR-"&amp;TEXT(COUNTA($C$5:C45),"000"))</f>
        <v/>
      </c>
      <c r="C45" s="12" t="n"/>
      <c r="D45" s="12" t="n"/>
      <c r="E45" s="12" t="n"/>
      <c r="F45" s="25" t="n"/>
      <c r="G45" s="25" t="n"/>
      <c r="H45" s="18" t="n"/>
      <c r="I45" s="23" t="n"/>
      <c r="J45" s="18">
        <f>IF(OR(H45="",I45=""),"",H45/I45)</f>
        <v/>
      </c>
      <c r="K45" s="25" t="n"/>
      <c r="L45" s="12" t="n"/>
    </row>
    <row r="46" ht="22" customHeight="1">
      <c r="B46" s="16">
        <f>IF(C46="","GAR-"&amp;TEXT(COUNTA($C$5:C46),"000"))</f>
        <v/>
      </c>
      <c r="C46" s="14" t="n"/>
      <c r="D46" s="14" t="n"/>
      <c r="E46" s="14" t="n"/>
      <c r="F46" s="26" t="n"/>
      <c r="G46" s="26" t="n"/>
      <c r="H46" s="19" t="n"/>
      <c r="I46" s="24" t="n"/>
      <c r="J46" s="19">
        <f>IF(OR(H46="",I46=""),"",H46/I46)</f>
        <v/>
      </c>
      <c r="K46" s="26" t="n"/>
      <c r="L46" s="14" t="n"/>
    </row>
    <row r="47" ht="22" customHeight="1">
      <c r="B47" s="17">
        <f>IF(C47="","GAR-"&amp;TEXT(COUNTA($C$5:C47),"000"))</f>
        <v/>
      </c>
      <c r="C47" s="12" t="n"/>
      <c r="D47" s="12" t="n"/>
      <c r="E47" s="12" t="n"/>
      <c r="F47" s="25" t="n"/>
      <c r="G47" s="25" t="n"/>
      <c r="H47" s="18" t="n"/>
      <c r="I47" s="23" t="n"/>
      <c r="J47" s="18">
        <f>IF(OR(H47="",I47=""),"",H47/I47)</f>
        <v/>
      </c>
      <c r="K47" s="25" t="n"/>
      <c r="L47" s="12" t="n"/>
    </row>
    <row r="48" ht="22" customHeight="1">
      <c r="B48" s="16">
        <f>IF(C48="","GAR-"&amp;TEXT(COUNTA($C$5:C48),"000"))</f>
        <v/>
      </c>
      <c r="C48" s="14" t="n"/>
      <c r="D48" s="14" t="n"/>
      <c r="E48" s="14" t="n"/>
      <c r="F48" s="26" t="n"/>
      <c r="G48" s="26" t="n"/>
      <c r="H48" s="19" t="n"/>
      <c r="I48" s="24" t="n"/>
      <c r="J48" s="19">
        <f>IF(OR(H48="",I48=""),"",H48/I48)</f>
        <v/>
      </c>
      <c r="K48" s="26" t="n"/>
      <c r="L48" s="14" t="n"/>
    </row>
    <row r="49" ht="22" customHeight="1">
      <c r="B49" s="17">
        <f>IF(C49="","GAR-"&amp;TEXT(COUNTA($C$5:C49),"000"))</f>
        <v/>
      </c>
      <c r="C49" s="12" t="n"/>
      <c r="D49" s="12" t="n"/>
      <c r="E49" s="12" t="n"/>
      <c r="F49" s="25" t="n"/>
      <c r="G49" s="25" t="n"/>
      <c r="H49" s="18" t="n"/>
      <c r="I49" s="23" t="n"/>
      <c r="J49" s="18">
        <f>IF(OR(H49="",I49=""),"",H49/I49)</f>
        <v/>
      </c>
      <c r="K49" s="25" t="n"/>
      <c r="L49" s="12" t="n"/>
    </row>
    <row r="50" ht="22" customHeight="1">
      <c r="B50" s="16">
        <f>IF(C50="","GAR-"&amp;TEXT(COUNTA($C$5:C50),"000"))</f>
        <v/>
      </c>
      <c r="C50" s="14" t="n"/>
      <c r="D50" s="14" t="n"/>
      <c r="E50" s="14" t="n"/>
      <c r="F50" s="26" t="n"/>
      <c r="G50" s="26" t="n"/>
      <c r="H50" s="19" t="n"/>
      <c r="I50" s="24" t="n"/>
      <c r="J50" s="19">
        <f>IF(OR(H50="",I50=""),"",H50/I50)</f>
        <v/>
      </c>
      <c r="K50" s="26" t="n"/>
      <c r="L50" s="14" t="n"/>
    </row>
    <row r="51" ht="22" customHeight="1">
      <c r="B51" s="17">
        <f>IF(C51="","GAR-"&amp;TEXT(COUNTA($C$5:C51),"000"))</f>
        <v/>
      </c>
      <c r="C51" s="12" t="n"/>
      <c r="D51" s="12" t="n"/>
      <c r="E51" s="12" t="n"/>
      <c r="F51" s="25" t="n"/>
      <c r="G51" s="25" t="n"/>
      <c r="H51" s="18" t="n"/>
      <c r="I51" s="23" t="n"/>
      <c r="J51" s="18">
        <f>IF(OR(H51="",I51=""),"",H51/I51)</f>
        <v/>
      </c>
      <c r="K51" s="25" t="n"/>
      <c r="L51" s="12" t="n"/>
    </row>
    <row r="52" ht="22" customHeight="1">
      <c r="B52" s="16">
        <f>IF(C52="","GAR-"&amp;TEXT(COUNTA($C$5:C52),"000"))</f>
        <v/>
      </c>
      <c r="C52" s="14" t="n"/>
      <c r="D52" s="14" t="n"/>
      <c r="E52" s="14" t="n"/>
      <c r="F52" s="26" t="n"/>
      <c r="G52" s="26" t="n"/>
      <c r="H52" s="19" t="n"/>
      <c r="I52" s="24" t="n"/>
      <c r="J52" s="19">
        <f>IF(OR(H52="",I52=""),"",H52/I52)</f>
        <v/>
      </c>
      <c r="K52" s="26" t="n"/>
      <c r="L52" s="14" t="n"/>
    </row>
    <row r="53" ht="22" customHeight="1">
      <c r="B53" s="17">
        <f>IF(C53="","GAR-"&amp;TEXT(COUNTA($C$5:C53),"000"))</f>
        <v/>
      </c>
      <c r="C53" s="12" t="n"/>
      <c r="D53" s="12" t="n"/>
      <c r="E53" s="12" t="n"/>
      <c r="F53" s="25" t="n"/>
      <c r="G53" s="25" t="n"/>
      <c r="H53" s="18" t="n"/>
      <c r="I53" s="23" t="n"/>
      <c r="J53" s="18">
        <f>IF(OR(H53="",I53=""),"",H53/I53)</f>
        <v/>
      </c>
      <c r="K53" s="25" t="n"/>
      <c r="L53" s="12" t="n"/>
    </row>
    <row r="54" ht="22" customHeight="1">
      <c r="B54" s="16">
        <f>IF(C54="","GAR-"&amp;TEXT(COUNTA($C$5:C54),"000"))</f>
        <v/>
      </c>
      <c r="C54" s="14" t="n"/>
      <c r="D54" s="14" t="n"/>
      <c r="E54" s="14" t="n"/>
      <c r="F54" s="26" t="n"/>
      <c r="G54" s="26" t="n"/>
      <c r="H54" s="19" t="n"/>
      <c r="I54" s="24" t="n"/>
      <c r="J54" s="19">
        <f>IF(OR(H54="",I54=""),"",H54/I54)</f>
        <v/>
      </c>
      <c r="K54" s="26" t="n"/>
      <c r="L54" s="14" t="n"/>
    </row>
    <row r="55" ht="22" customHeight="1">
      <c r="B55" s="17">
        <f>IF(C55="","GAR-"&amp;TEXT(COUNTA($C$5:C55),"000"))</f>
        <v/>
      </c>
      <c r="C55" s="12" t="n"/>
      <c r="D55" s="12" t="n"/>
      <c r="E55" s="12" t="n"/>
      <c r="F55" s="25" t="n"/>
      <c r="G55" s="25" t="n"/>
      <c r="H55" s="18" t="n"/>
      <c r="I55" s="23" t="n"/>
      <c r="J55" s="18">
        <f>IF(OR(H55="",I55=""),"",H55/I55)</f>
        <v/>
      </c>
      <c r="K55" s="25" t="n"/>
      <c r="L55" s="12" t="n"/>
    </row>
    <row r="56" ht="22" customHeight="1">
      <c r="B56" s="16">
        <f>IF(C56="","GAR-"&amp;TEXT(COUNTA($C$5:C56),"000"))</f>
        <v/>
      </c>
      <c r="C56" s="14" t="n"/>
      <c r="D56" s="14" t="n"/>
      <c r="E56" s="14" t="n"/>
      <c r="F56" s="26" t="n"/>
      <c r="G56" s="26" t="n"/>
      <c r="H56" s="19" t="n"/>
      <c r="I56" s="24" t="n"/>
      <c r="J56" s="19">
        <f>IF(OR(H56="",I56=""),"",H56/I56)</f>
        <v/>
      </c>
      <c r="K56" s="26" t="n"/>
      <c r="L56" s="14" t="n"/>
    </row>
    <row r="57" ht="22" customHeight="1">
      <c r="B57" s="17">
        <f>IF(C57="","GAR-"&amp;TEXT(COUNTA($C$5:C57),"000"))</f>
        <v/>
      </c>
      <c r="C57" s="12" t="n"/>
      <c r="D57" s="12" t="n"/>
      <c r="E57" s="12" t="n"/>
      <c r="F57" s="25" t="n"/>
      <c r="G57" s="25" t="n"/>
      <c r="H57" s="18" t="n"/>
      <c r="I57" s="23" t="n"/>
      <c r="J57" s="18">
        <f>IF(OR(H57="",I57=""),"",H57/I57)</f>
        <v/>
      </c>
      <c r="K57" s="25" t="n"/>
      <c r="L57" s="12" t="n"/>
    </row>
    <row r="58" ht="22" customHeight="1">
      <c r="B58" s="16">
        <f>IF(C58="","GAR-"&amp;TEXT(COUNTA($C$5:C58),"000"))</f>
        <v/>
      </c>
      <c r="C58" s="14" t="n"/>
      <c r="D58" s="14" t="n"/>
      <c r="E58" s="14" t="n"/>
      <c r="F58" s="26" t="n"/>
      <c r="G58" s="26" t="n"/>
      <c r="H58" s="19" t="n"/>
      <c r="I58" s="24" t="n"/>
      <c r="J58" s="19">
        <f>IF(OR(H58="",I58=""),"",H58/I58)</f>
        <v/>
      </c>
      <c r="K58" s="26" t="n"/>
      <c r="L58" s="14" t="n"/>
    </row>
    <row r="59" ht="22" customHeight="1">
      <c r="B59" s="17">
        <f>IF(C59="","GAR-"&amp;TEXT(COUNTA($C$5:C59),"000"))</f>
        <v/>
      </c>
      <c r="C59" s="12" t="n"/>
      <c r="D59" s="12" t="n"/>
      <c r="E59" s="12" t="n"/>
      <c r="F59" s="25" t="n"/>
      <c r="G59" s="25" t="n"/>
      <c r="H59" s="18" t="n"/>
      <c r="I59" s="23" t="n"/>
      <c r="J59" s="18">
        <f>IF(OR(H59="",I59=""),"",H59/I59)</f>
        <v/>
      </c>
      <c r="K59" s="25" t="n"/>
      <c r="L59" s="12" t="n"/>
    </row>
    <row r="60" ht="22" customHeight="1">
      <c r="B60" s="16">
        <f>IF(C60="","GAR-"&amp;TEXT(COUNTA($C$5:C60),"000"))</f>
        <v/>
      </c>
      <c r="C60" s="14" t="n"/>
      <c r="D60" s="14" t="n"/>
      <c r="E60" s="14" t="n"/>
      <c r="F60" s="26" t="n"/>
      <c r="G60" s="26" t="n"/>
      <c r="H60" s="19" t="n"/>
      <c r="I60" s="24" t="n"/>
      <c r="J60" s="19">
        <f>IF(OR(H60="",I60=""),"",H60/I60)</f>
        <v/>
      </c>
      <c r="K60" s="26" t="n"/>
      <c r="L60" s="14" t="n"/>
    </row>
    <row r="61" ht="22" customHeight="1">
      <c r="B61" s="17">
        <f>IF(C61="","GAR-"&amp;TEXT(COUNTA($C$5:C61),"000"))</f>
        <v/>
      </c>
      <c r="C61" s="12" t="n"/>
      <c r="D61" s="12" t="n"/>
      <c r="E61" s="12" t="n"/>
      <c r="F61" s="25" t="n"/>
      <c r="G61" s="25" t="n"/>
      <c r="H61" s="18" t="n"/>
      <c r="I61" s="23" t="n"/>
      <c r="J61" s="18">
        <f>IF(OR(H61="",I61=""),"",H61/I61)</f>
        <v/>
      </c>
      <c r="K61" s="25" t="n"/>
      <c r="L61" s="12" t="n"/>
    </row>
    <row r="62" ht="22" customHeight="1">
      <c r="B62" s="16">
        <f>IF(C62="","GAR-"&amp;TEXT(COUNTA($C$5:C62),"000"))</f>
        <v/>
      </c>
      <c r="C62" s="14" t="n"/>
      <c r="D62" s="14" t="n"/>
      <c r="E62" s="14" t="n"/>
      <c r="F62" s="26" t="n"/>
      <c r="G62" s="26" t="n"/>
      <c r="H62" s="19" t="n"/>
      <c r="I62" s="24" t="n"/>
      <c r="J62" s="19">
        <f>IF(OR(H62="",I62=""),"",H62/I62)</f>
        <v/>
      </c>
      <c r="K62" s="26" t="n"/>
      <c r="L62" s="14" t="n"/>
    </row>
    <row r="63" ht="22" customHeight="1">
      <c r="B63" s="17">
        <f>IF(C63="","GAR-"&amp;TEXT(COUNTA($C$5:C63),"000"))</f>
        <v/>
      </c>
      <c r="C63" s="12" t="n"/>
      <c r="D63" s="12" t="n"/>
      <c r="E63" s="12" t="n"/>
      <c r="F63" s="25" t="n"/>
      <c r="G63" s="25" t="n"/>
      <c r="H63" s="18" t="n"/>
      <c r="I63" s="23" t="n"/>
      <c r="J63" s="18">
        <f>IF(OR(H63="",I63=""),"",H63/I63)</f>
        <v/>
      </c>
      <c r="K63" s="25" t="n"/>
      <c r="L63" s="12" t="n"/>
    </row>
    <row r="64" ht="22" customHeight="1">
      <c r="B64" s="16">
        <f>IF(C64="","GAR-"&amp;TEXT(COUNTA($C$5:C64),"000"))</f>
        <v/>
      </c>
      <c r="C64" s="14" t="n"/>
      <c r="D64" s="14" t="n"/>
      <c r="E64" s="14" t="n"/>
      <c r="F64" s="26" t="n"/>
      <c r="G64" s="26" t="n"/>
      <c r="H64" s="19" t="n"/>
      <c r="I64" s="24" t="n"/>
      <c r="J64" s="19">
        <f>IF(OR(H64="",I64=""),"",H64/I64)</f>
        <v/>
      </c>
      <c r="K64" s="26" t="n"/>
      <c r="L64" s="14" t="n"/>
    </row>
    <row r="65" ht="22" customHeight="1">
      <c r="B65" s="17">
        <f>IF(C65="","GAR-"&amp;TEXT(COUNTA($C$5:C65),"000"))</f>
        <v/>
      </c>
      <c r="C65" s="12" t="n"/>
      <c r="D65" s="12" t="n"/>
      <c r="E65" s="12" t="n"/>
      <c r="F65" s="25" t="n"/>
      <c r="G65" s="25" t="n"/>
      <c r="H65" s="18" t="n"/>
      <c r="I65" s="23" t="n"/>
      <c r="J65" s="18">
        <f>IF(OR(H65="",I65=""),"",H65/I65)</f>
        <v/>
      </c>
      <c r="K65" s="25" t="n"/>
      <c r="L65" s="12" t="n"/>
    </row>
    <row r="66" ht="22" customHeight="1">
      <c r="B66" s="16">
        <f>IF(C66="","GAR-"&amp;TEXT(COUNTA($C$5:C66),"000"))</f>
        <v/>
      </c>
      <c r="C66" s="14" t="n"/>
      <c r="D66" s="14" t="n"/>
      <c r="E66" s="14" t="n"/>
      <c r="F66" s="26" t="n"/>
      <c r="G66" s="26" t="n"/>
      <c r="H66" s="19" t="n"/>
      <c r="I66" s="24" t="n"/>
      <c r="J66" s="19">
        <f>IF(OR(H66="",I66=""),"",H66/I66)</f>
        <v/>
      </c>
      <c r="K66" s="26" t="n"/>
      <c r="L66" s="14" t="n"/>
    </row>
    <row r="67" ht="22" customHeight="1">
      <c r="B67" s="17">
        <f>IF(C67="","GAR-"&amp;TEXT(COUNTA($C$5:C67),"000"))</f>
        <v/>
      </c>
      <c r="C67" s="12" t="n"/>
      <c r="D67" s="12" t="n"/>
      <c r="E67" s="12" t="n"/>
      <c r="F67" s="25" t="n"/>
      <c r="G67" s="25" t="n"/>
      <c r="H67" s="18" t="n"/>
      <c r="I67" s="23" t="n"/>
      <c r="J67" s="18">
        <f>IF(OR(H67="",I67=""),"",H67/I67)</f>
        <v/>
      </c>
      <c r="K67" s="25" t="n"/>
      <c r="L67" s="12" t="n"/>
    </row>
    <row r="68" ht="22" customHeight="1">
      <c r="B68" s="16">
        <f>IF(C68="","GAR-"&amp;TEXT(COUNTA($C$5:C68),"000"))</f>
        <v/>
      </c>
      <c r="C68" s="14" t="n"/>
      <c r="D68" s="14" t="n"/>
      <c r="E68" s="14" t="n"/>
      <c r="F68" s="26" t="n"/>
      <c r="G68" s="26" t="n"/>
      <c r="H68" s="19" t="n"/>
      <c r="I68" s="24" t="n"/>
      <c r="J68" s="19">
        <f>IF(OR(H68="",I68=""),"",H68/I68)</f>
        <v/>
      </c>
      <c r="K68" s="26" t="n"/>
      <c r="L68" s="14" t="n"/>
    </row>
    <row r="69" ht="22" customHeight="1">
      <c r="B69" s="17">
        <f>IF(C69="","GAR-"&amp;TEXT(COUNTA($C$5:C69),"000"))</f>
        <v/>
      </c>
      <c r="C69" s="12" t="n"/>
      <c r="D69" s="12" t="n"/>
      <c r="E69" s="12" t="n"/>
      <c r="F69" s="25" t="n"/>
      <c r="G69" s="25" t="n"/>
      <c r="H69" s="18" t="n"/>
      <c r="I69" s="23" t="n"/>
      <c r="J69" s="18">
        <f>IF(OR(H69="",I69=""),"",H69/I69)</f>
        <v/>
      </c>
      <c r="K69" s="25" t="n"/>
      <c r="L69" s="12" t="n"/>
    </row>
    <row r="70" ht="22" customHeight="1">
      <c r="B70" s="16">
        <f>IF(C70="","GAR-"&amp;TEXT(COUNTA($C$5:C70),"000"))</f>
        <v/>
      </c>
      <c r="C70" s="14" t="n"/>
      <c r="D70" s="14" t="n"/>
      <c r="E70" s="14" t="n"/>
      <c r="F70" s="26" t="n"/>
      <c r="G70" s="26" t="n"/>
      <c r="H70" s="19" t="n"/>
      <c r="I70" s="24" t="n"/>
      <c r="J70" s="19">
        <f>IF(OR(H70="",I70=""),"",H70/I70)</f>
        <v/>
      </c>
      <c r="K70" s="26" t="n"/>
      <c r="L70" s="14" t="n"/>
    </row>
    <row r="71" ht="22" customHeight="1">
      <c r="B71" s="17">
        <f>IF(C71="","GAR-"&amp;TEXT(COUNTA($C$5:C71),"000"))</f>
        <v/>
      </c>
      <c r="C71" s="12" t="n"/>
      <c r="D71" s="12" t="n"/>
      <c r="E71" s="12" t="n"/>
      <c r="F71" s="25" t="n"/>
      <c r="G71" s="25" t="n"/>
      <c r="H71" s="18" t="n"/>
      <c r="I71" s="23" t="n"/>
      <c r="J71" s="18">
        <f>IF(OR(H71="",I71=""),"",H71/I71)</f>
        <v/>
      </c>
      <c r="K71" s="25" t="n"/>
      <c r="L71" s="12" t="n"/>
    </row>
    <row r="72" ht="22" customHeight="1">
      <c r="B72" s="16">
        <f>IF(C72="","GAR-"&amp;TEXT(COUNTA($C$5:C72),"000"))</f>
        <v/>
      </c>
      <c r="C72" s="14" t="n"/>
      <c r="D72" s="14" t="n"/>
      <c r="E72" s="14" t="n"/>
      <c r="F72" s="26" t="n"/>
      <c r="G72" s="26" t="n"/>
      <c r="H72" s="19" t="n"/>
      <c r="I72" s="24" t="n"/>
      <c r="J72" s="19">
        <f>IF(OR(H72="",I72=""),"",H72/I72)</f>
        <v/>
      </c>
      <c r="K72" s="26" t="n"/>
      <c r="L72" s="14" t="n"/>
    </row>
    <row r="73" ht="22" customHeight="1">
      <c r="B73" s="17">
        <f>IF(C73="","GAR-"&amp;TEXT(COUNTA($C$5:C73),"000"))</f>
        <v/>
      </c>
      <c r="C73" s="12" t="n"/>
      <c r="D73" s="12" t="n"/>
      <c r="E73" s="12" t="n"/>
      <c r="F73" s="25" t="n"/>
      <c r="G73" s="25" t="n"/>
      <c r="H73" s="18" t="n"/>
      <c r="I73" s="23" t="n"/>
      <c r="J73" s="18">
        <f>IF(OR(H73="",I73=""),"",H73/I73)</f>
        <v/>
      </c>
      <c r="K73" s="25" t="n"/>
      <c r="L73" s="12" t="n"/>
    </row>
    <row r="74" ht="22" customHeight="1">
      <c r="B74" s="16">
        <f>IF(C74="","GAR-"&amp;TEXT(COUNTA($C$5:C74),"000"))</f>
        <v/>
      </c>
      <c r="C74" s="14" t="n"/>
      <c r="D74" s="14" t="n"/>
      <c r="E74" s="14" t="n"/>
      <c r="F74" s="26" t="n"/>
      <c r="G74" s="26" t="n"/>
      <c r="H74" s="19" t="n"/>
      <c r="I74" s="24" t="n"/>
      <c r="J74" s="19">
        <f>IF(OR(H74="",I74=""),"",H74/I74)</f>
        <v/>
      </c>
      <c r="K74" s="26" t="n"/>
      <c r="L74" s="14" t="n"/>
    </row>
    <row r="75" ht="22" customHeight="1">
      <c r="B75" s="17">
        <f>IF(C75="","GAR-"&amp;TEXT(COUNTA($C$5:C75),"000"))</f>
        <v/>
      </c>
      <c r="C75" s="12" t="n"/>
      <c r="D75" s="12" t="n"/>
      <c r="E75" s="12" t="n"/>
      <c r="F75" s="25" t="n"/>
      <c r="G75" s="25" t="n"/>
      <c r="H75" s="18" t="n"/>
      <c r="I75" s="23" t="n"/>
      <c r="J75" s="18">
        <f>IF(OR(H75="",I75=""),"",H75/I75)</f>
        <v/>
      </c>
      <c r="K75" s="25" t="n"/>
      <c r="L75" s="12" t="n"/>
    </row>
    <row r="76" ht="22" customHeight="1">
      <c r="B76" s="16">
        <f>IF(C76="","GAR-"&amp;TEXT(COUNTA($C$5:C76),"000"))</f>
        <v/>
      </c>
      <c r="C76" s="14" t="n"/>
      <c r="D76" s="14" t="n"/>
      <c r="E76" s="14" t="n"/>
      <c r="F76" s="26" t="n"/>
      <c r="G76" s="26" t="n"/>
      <c r="H76" s="19" t="n"/>
      <c r="I76" s="24" t="n"/>
      <c r="J76" s="19">
        <f>IF(OR(H76="",I76=""),"",H76/I76)</f>
        <v/>
      </c>
      <c r="K76" s="26" t="n"/>
      <c r="L76" s="14" t="n"/>
    </row>
    <row r="77" ht="22" customHeight="1">
      <c r="B77" s="17">
        <f>IF(C77="","GAR-"&amp;TEXT(COUNTA($C$5:C77),"000"))</f>
        <v/>
      </c>
      <c r="C77" s="12" t="n"/>
      <c r="D77" s="12" t="n"/>
      <c r="E77" s="12" t="n"/>
      <c r="F77" s="25" t="n"/>
      <c r="G77" s="25" t="n"/>
      <c r="H77" s="18" t="n"/>
      <c r="I77" s="23" t="n"/>
      <c r="J77" s="18">
        <f>IF(OR(H77="",I77=""),"",H77/I77)</f>
        <v/>
      </c>
      <c r="K77" s="25" t="n"/>
      <c r="L77" s="12" t="n"/>
    </row>
    <row r="78" ht="22" customHeight="1">
      <c r="B78" s="16">
        <f>IF(C78="","GAR-"&amp;TEXT(COUNTA($C$5:C78),"000"))</f>
        <v/>
      </c>
      <c r="C78" s="14" t="n"/>
      <c r="D78" s="14" t="n"/>
      <c r="E78" s="14" t="n"/>
      <c r="F78" s="26" t="n"/>
      <c r="G78" s="26" t="n"/>
      <c r="H78" s="19" t="n"/>
      <c r="I78" s="24" t="n"/>
      <c r="J78" s="19">
        <f>IF(OR(H78="",I78=""),"",H78/I78)</f>
        <v/>
      </c>
      <c r="K78" s="26" t="n"/>
      <c r="L78" s="14" t="n"/>
    </row>
    <row r="79" ht="22" customHeight="1">
      <c r="B79" s="17">
        <f>IF(C79="","GAR-"&amp;TEXT(COUNTA($C$5:C79),"000"))</f>
        <v/>
      </c>
      <c r="C79" s="12" t="n"/>
      <c r="D79" s="12" t="n"/>
      <c r="E79" s="12" t="n"/>
      <c r="F79" s="25" t="n"/>
      <c r="G79" s="25" t="n"/>
      <c r="H79" s="18" t="n"/>
      <c r="I79" s="23" t="n"/>
      <c r="J79" s="18">
        <f>IF(OR(H79="",I79=""),"",H79/I79)</f>
        <v/>
      </c>
      <c r="K79" s="25" t="n"/>
      <c r="L79" s="12" t="n"/>
    </row>
    <row r="80" ht="22" customHeight="1">
      <c r="B80" s="16">
        <f>IF(C80="","GAR-"&amp;TEXT(COUNTA($C$5:C80),"000"))</f>
        <v/>
      </c>
      <c r="C80" s="14" t="n"/>
      <c r="D80" s="14" t="n"/>
      <c r="E80" s="14" t="n"/>
      <c r="F80" s="26" t="n"/>
      <c r="G80" s="26" t="n"/>
      <c r="H80" s="19" t="n"/>
      <c r="I80" s="24" t="n"/>
      <c r="J80" s="19">
        <f>IF(OR(H80="",I80=""),"",H80/I80)</f>
        <v/>
      </c>
      <c r="K80" s="26" t="n"/>
      <c r="L80" s="14" t="n"/>
    </row>
    <row r="81" ht="22" customHeight="1">
      <c r="B81" s="17">
        <f>IF(C81="","GAR-"&amp;TEXT(COUNTA($C$5:C81),"000"))</f>
        <v/>
      </c>
      <c r="C81" s="12" t="n"/>
      <c r="D81" s="12" t="n"/>
      <c r="E81" s="12" t="n"/>
      <c r="F81" s="25" t="n"/>
      <c r="G81" s="25" t="n"/>
      <c r="H81" s="18" t="n"/>
      <c r="I81" s="23" t="n"/>
      <c r="J81" s="18">
        <f>IF(OR(H81="",I81=""),"",H81/I81)</f>
        <v/>
      </c>
      <c r="K81" s="25" t="n"/>
      <c r="L81" s="12" t="n"/>
    </row>
    <row r="82" ht="22" customHeight="1">
      <c r="B82" s="16">
        <f>IF(C82="","GAR-"&amp;TEXT(COUNTA($C$5:C82),"000"))</f>
        <v/>
      </c>
      <c r="C82" s="14" t="n"/>
      <c r="D82" s="14" t="n"/>
      <c r="E82" s="14" t="n"/>
      <c r="F82" s="26" t="n"/>
      <c r="G82" s="26" t="n"/>
      <c r="H82" s="19" t="n"/>
      <c r="I82" s="24" t="n"/>
      <c r="J82" s="19">
        <f>IF(OR(H82="",I82=""),"",H82/I82)</f>
        <v/>
      </c>
      <c r="K82" s="26" t="n"/>
      <c r="L82" s="14" t="n"/>
    </row>
    <row r="83" ht="22" customHeight="1">
      <c r="B83" s="17">
        <f>IF(C83="","GAR-"&amp;TEXT(COUNTA($C$5:C83),"000"))</f>
        <v/>
      </c>
      <c r="C83" s="12" t="n"/>
      <c r="D83" s="12" t="n"/>
      <c r="E83" s="12" t="n"/>
      <c r="F83" s="25" t="n"/>
      <c r="G83" s="25" t="n"/>
      <c r="H83" s="18" t="n"/>
      <c r="I83" s="23" t="n"/>
      <c r="J83" s="18">
        <f>IF(OR(H83="",I83=""),"",H83/I83)</f>
        <v/>
      </c>
      <c r="K83" s="25" t="n"/>
      <c r="L83" s="12" t="n"/>
    </row>
    <row r="84" ht="22" customHeight="1">
      <c r="B84" s="16">
        <f>IF(C84="","GAR-"&amp;TEXT(COUNTA($C$5:C84),"000"))</f>
        <v/>
      </c>
      <c r="C84" s="14" t="n"/>
      <c r="D84" s="14" t="n"/>
      <c r="E84" s="14" t="n"/>
      <c r="F84" s="26" t="n"/>
      <c r="G84" s="26" t="n"/>
      <c r="H84" s="19" t="n"/>
      <c r="I84" s="24" t="n"/>
      <c r="J84" s="19">
        <f>IF(OR(H84="",I84=""),"",H84/I84)</f>
        <v/>
      </c>
      <c r="K84" s="26" t="n"/>
      <c r="L84" s="14" t="n"/>
    </row>
    <row r="85" ht="22" customHeight="1">
      <c r="B85" s="17">
        <f>IF(C85="","GAR-"&amp;TEXT(COUNTA($C$5:C85),"000"))</f>
        <v/>
      </c>
      <c r="C85" s="12" t="n"/>
      <c r="D85" s="12" t="n"/>
      <c r="E85" s="12" t="n"/>
      <c r="F85" s="25" t="n"/>
      <c r="G85" s="25" t="n"/>
      <c r="H85" s="18" t="n"/>
      <c r="I85" s="23" t="n"/>
      <c r="J85" s="18">
        <f>IF(OR(H85="",I85=""),"",H85/I85)</f>
        <v/>
      </c>
      <c r="K85" s="25" t="n"/>
      <c r="L85" s="12" t="n"/>
    </row>
    <row r="86" ht="22" customHeight="1">
      <c r="B86" s="16">
        <f>IF(C86="","GAR-"&amp;TEXT(COUNTA($C$5:C86),"000"))</f>
        <v/>
      </c>
      <c r="C86" s="14" t="n"/>
      <c r="D86" s="14" t="n"/>
      <c r="E86" s="14" t="n"/>
      <c r="F86" s="26" t="n"/>
      <c r="G86" s="26" t="n"/>
      <c r="H86" s="19" t="n"/>
      <c r="I86" s="24" t="n"/>
      <c r="J86" s="19">
        <f>IF(OR(H86="",I86=""),"",H86/I86)</f>
        <v/>
      </c>
      <c r="K86" s="26" t="n"/>
      <c r="L86" s="14" t="n"/>
    </row>
    <row r="87" ht="22" customHeight="1">
      <c r="B87" s="17">
        <f>IF(C87="","GAR-"&amp;TEXT(COUNTA($C$5:C87),"000"))</f>
        <v/>
      </c>
      <c r="C87" s="12" t="n"/>
      <c r="D87" s="12" t="n"/>
      <c r="E87" s="12" t="n"/>
      <c r="F87" s="25" t="n"/>
      <c r="G87" s="25" t="n"/>
      <c r="H87" s="18" t="n"/>
      <c r="I87" s="23" t="n"/>
      <c r="J87" s="18">
        <f>IF(OR(H87="",I87=""),"",H87/I87)</f>
        <v/>
      </c>
      <c r="K87" s="25" t="n"/>
      <c r="L87" s="12" t="n"/>
    </row>
    <row r="88" ht="22" customHeight="1">
      <c r="B88" s="16">
        <f>IF(C88="","GAR-"&amp;TEXT(COUNTA($C$5:C88),"000"))</f>
        <v/>
      </c>
      <c r="C88" s="14" t="n"/>
      <c r="D88" s="14" t="n"/>
      <c r="E88" s="14" t="n"/>
      <c r="F88" s="26" t="n"/>
      <c r="G88" s="26" t="n"/>
      <c r="H88" s="19" t="n"/>
      <c r="I88" s="24" t="n"/>
      <c r="J88" s="19">
        <f>IF(OR(H88="",I88=""),"",H88/I88)</f>
        <v/>
      </c>
      <c r="K88" s="26" t="n"/>
      <c r="L88" s="14" t="n"/>
    </row>
    <row r="89" ht="22" customHeight="1">
      <c r="B89" s="17">
        <f>IF(C89="","GAR-"&amp;TEXT(COUNTA($C$5:C89),"000"))</f>
        <v/>
      </c>
      <c r="C89" s="12" t="n"/>
      <c r="D89" s="12" t="n"/>
      <c r="E89" s="12" t="n"/>
      <c r="F89" s="25" t="n"/>
      <c r="G89" s="25" t="n"/>
      <c r="H89" s="18" t="n"/>
      <c r="I89" s="23" t="n"/>
      <c r="J89" s="18">
        <f>IF(OR(H89="",I89=""),"",H89/I89)</f>
        <v/>
      </c>
      <c r="K89" s="25" t="n"/>
      <c r="L89" s="12" t="n"/>
    </row>
    <row r="90" ht="22" customHeight="1">
      <c r="B90" s="16">
        <f>IF(C90="","GAR-"&amp;TEXT(COUNTA($C$5:C90),"000"))</f>
        <v/>
      </c>
      <c r="C90" s="14" t="n"/>
      <c r="D90" s="14" t="n"/>
      <c r="E90" s="14" t="n"/>
      <c r="F90" s="26" t="n"/>
      <c r="G90" s="26" t="n"/>
      <c r="H90" s="19" t="n"/>
      <c r="I90" s="24" t="n"/>
      <c r="J90" s="19">
        <f>IF(OR(H90="",I90=""),"",H90/I90)</f>
        <v/>
      </c>
      <c r="K90" s="26" t="n"/>
      <c r="L90" s="14" t="n"/>
    </row>
    <row r="91" ht="22" customHeight="1">
      <c r="B91" s="17">
        <f>IF(C91="","GAR-"&amp;TEXT(COUNTA($C$5:C91),"000"))</f>
        <v/>
      </c>
      <c r="C91" s="12" t="n"/>
      <c r="D91" s="12" t="n"/>
      <c r="E91" s="12" t="n"/>
      <c r="F91" s="25" t="n"/>
      <c r="G91" s="25" t="n"/>
      <c r="H91" s="18" t="n"/>
      <c r="I91" s="23" t="n"/>
      <c r="J91" s="18">
        <f>IF(OR(H91="",I91=""),"",H91/I91)</f>
        <v/>
      </c>
      <c r="K91" s="25" t="n"/>
      <c r="L91" s="12" t="n"/>
    </row>
    <row r="92" ht="22" customHeight="1">
      <c r="B92" s="16">
        <f>IF(C92="","GAR-"&amp;TEXT(COUNTA($C$5:C92),"000"))</f>
        <v/>
      </c>
      <c r="C92" s="14" t="n"/>
      <c r="D92" s="14" t="n"/>
      <c r="E92" s="14" t="n"/>
      <c r="F92" s="26" t="n"/>
      <c r="G92" s="26" t="n"/>
      <c r="H92" s="19" t="n"/>
      <c r="I92" s="24" t="n"/>
      <c r="J92" s="19">
        <f>IF(OR(H92="",I92=""),"",H92/I92)</f>
        <v/>
      </c>
      <c r="K92" s="26" t="n"/>
      <c r="L92" s="14" t="n"/>
    </row>
    <row r="93" ht="22" customHeight="1">
      <c r="B93" s="17">
        <f>IF(C93="","GAR-"&amp;TEXT(COUNTA($C$5:C93),"000"))</f>
        <v/>
      </c>
      <c r="C93" s="12" t="n"/>
      <c r="D93" s="12" t="n"/>
      <c r="E93" s="12" t="n"/>
      <c r="F93" s="25" t="n"/>
      <c r="G93" s="25" t="n"/>
      <c r="H93" s="18" t="n"/>
      <c r="I93" s="23" t="n"/>
      <c r="J93" s="18">
        <f>IF(OR(H93="",I93=""),"",H93/I93)</f>
        <v/>
      </c>
      <c r="K93" s="25" t="n"/>
      <c r="L93" s="12" t="n"/>
    </row>
    <row r="94" ht="22" customHeight="1">
      <c r="B94" s="16">
        <f>IF(C94="","GAR-"&amp;TEXT(COUNTA($C$5:C94),"000"))</f>
        <v/>
      </c>
      <c r="C94" s="14" t="n"/>
      <c r="D94" s="14" t="n"/>
      <c r="E94" s="14" t="n"/>
      <c r="F94" s="26" t="n"/>
      <c r="G94" s="26" t="n"/>
      <c r="H94" s="19" t="n"/>
      <c r="I94" s="24" t="n"/>
      <c r="J94" s="19">
        <f>IF(OR(H94="",I94=""),"",H94/I94)</f>
        <v/>
      </c>
      <c r="K94" s="26" t="n"/>
      <c r="L94" s="14" t="n"/>
    </row>
    <row r="95" ht="22" customHeight="1">
      <c r="B95" s="17">
        <f>IF(C95="","GAR-"&amp;TEXT(COUNTA($C$5:C95),"000"))</f>
        <v/>
      </c>
      <c r="C95" s="12" t="n"/>
      <c r="D95" s="12" t="n"/>
      <c r="E95" s="12" t="n"/>
      <c r="F95" s="25" t="n"/>
      <c r="G95" s="25" t="n"/>
      <c r="H95" s="18" t="n"/>
      <c r="I95" s="23" t="n"/>
      <c r="J95" s="18">
        <f>IF(OR(H95="",I95=""),"",H95/I95)</f>
        <v/>
      </c>
      <c r="K95" s="25" t="n"/>
      <c r="L95" s="12" t="n"/>
    </row>
    <row r="96" ht="22" customHeight="1">
      <c r="B96" s="16">
        <f>IF(C96="","GAR-"&amp;TEXT(COUNTA($C$5:C96),"000"))</f>
        <v/>
      </c>
      <c r="C96" s="14" t="n"/>
      <c r="D96" s="14" t="n"/>
      <c r="E96" s="14" t="n"/>
      <c r="F96" s="26" t="n"/>
      <c r="G96" s="26" t="n"/>
      <c r="H96" s="19" t="n"/>
      <c r="I96" s="24" t="n"/>
      <c r="J96" s="19">
        <f>IF(OR(H96="",I96=""),"",H96/I96)</f>
        <v/>
      </c>
      <c r="K96" s="26" t="n"/>
      <c r="L96" s="14" t="n"/>
    </row>
    <row r="97" ht="22" customHeight="1">
      <c r="B97" s="17">
        <f>IF(C97="","GAR-"&amp;TEXT(COUNTA($C$5:C97),"000"))</f>
        <v/>
      </c>
      <c r="C97" s="12" t="n"/>
      <c r="D97" s="12" t="n"/>
      <c r="E97" s="12" t="n"/>
      <c r="F97" s="25" t="n"/>
      <c r="G97" s="25" t="n"/>
      <c r="H97" s="18" t="n"/>
      <c r="I97" s="23" t="n"/>
      <c r="J97" s="18">
        <f>IF(OR(H97="",I97=""),"",H97/I97)</f>
        <v/>
      </c>
      <c r="K97" s="25" t="n"/>
      <c r="L97" s="12" t="n"/>
    </row>
    <row r="98" ht="22" customHeight="1">
      <c r="B98" s="16">
        <f>IF(C98="","GAR-"&amp;TEXT(COUNTA($C$5:C98),"000"))</f>
        <v/>
      </c>
      <c r="C98" s="14" t="n"/>
      <c r="D98" s="14" t="n"/>
      <c r="E98" s="14" t="n"/>
      <c r="F98" s="26" t="n"/>
      <c r="G98" s="26" t="n"/>
      <c r="H98" s="19" t="n"/>
      <c r="I98" s="24" t="n"/>
      <c r="J98" s="19">
        <f>IF(OR(H98="",I98=""),"",H98/I98)</f>
        <v/>
      </c>
      <c r="K98" s="26" t="n"/>
      <c r="L98" s="14" t="n"/>
    </row>
    <row r="99" ht="22" customHeight="1">
      <c r="B99" s="17">
        <f>IF(C99="","GAR-"&amp;TEXT(COUNTA($C$5:C99),"000"))</f>
        <v/>
      </c>
      <c r="C99" s="12" t="n"/>
      <c r="D99" s="12" t="n"/>
      <c r="E99" s="12" t="n"/>
      <c r="F99" s="25" t="n"/>
      <c r="G99" s="25" t="n"/>
      <c r="H99" s="18" t="n"/>
      <c r="I99" s="23" t="n"/>
      <c r="J99" s="18">
        <f>IF(OR(H99="",I99=""),"",H99/I99)</f>
        <v/>
      </c>
      <c r="K99" s="25" t="n"/>
      <c r="L99" s="12" t="n"/>
    </row>
    <row r="100" ht="22" customHeight="1">
      <c r="B100" s="16">
        <f>IF(C100="","GAR-"&amp;TEXT(COUNTA($C$5:C100),"000"))</f>
        <v/>
      </c>
      <c r="C100" s="14" t="n"/>
      <c r="D100" s="14" t="n"/>
      <c r="E100" s="14" t="n"/>
      <c r="F100" s="26" t="n"/>
      <c r="G100" s="26" t="n"/>
      <c r="H100" s="19" t="n"/>
      <c r="I100" s="24" t="n"/>
      <c r="J100" s="19">
        <f>IF(OR(H100="",I100=""),"",H100/I100)</f>
        <v/>
      </c>
      <c r="K100" s="26" t="n"/>
      <c r="L100" s="14" t="n"/>
    </row>
    <row r="101" ht="22" customHeight="1">
      <c r="B101" s="17">
        <f>IF(C101="","GAR-"&amp;TEXT(COUNTA($C$5:C101),"000"))</f>
        <v/>
      </c>
      <c r="C101" s="12" t="n"/>
      <c r="D101" s="12" t="n"/>
      <c r="E101" s="12" t="n"/>
      <c r="F101" s="25" t="n"/>
      <c r="G101" s="25" t="n"/>
      <c r="H101" s="18" t="n"/>
      <c r="I101" s="23" t="n"/>
      <c r="J101" s="18">
        <f>IF(OR(H101="",I101=""),"",H101/I101)</f>
        <v/>
      </c>
      <c r="K101" s="25" t="n"/>
      <c r="L101" s="12" t="n"/>
    </row>
    <row r="102" ht="22" customHeight="1">
      <c r="B102" s="16">
        <f>IF(C102="","GAR-"&amp;TEXT(COUNTA($C$5:C102),"000"))</f>
        <v/>
      </c>
      <c r="C102" s="14" t="n"/>
      <c r="D102" s="14" t="n"/>
      <c r="E102" s="14" t="n"/>
      <c r="F102" s="26" t="n"/>
      <c r="G102" s="26" t="n"/>
      <c r="H102" s="19" t="n"/>
      <c r="I102" s="24" t="n"/>
      <c r="J102" s="19">
        <f>IF(OR(H102="",I102=""),"",H102/I102)</f>
        <v/>
      </c>
      <c r="K102" s="26" t="n"/>
      <c r="L102" s="14" t="n"/>
    </row>
    <row r="103" ht="22" customHeight="1">
      <c r="B103" s="17">
        <f>IF(C103="","GAR-"&amp;TEXT(COUNTA($C$5:C103),"000"))</f>
        <v/>
      </c>
      <c r="C103" s="12" t="n"/>
      <c r="D103" s="12" t="n"/>
      <c r="E103" s="12" t="n"/>
      <c r="F103" s="25" t="n"/>
      <c r="G103" s="25" t="n"/>
      <c r="H103" s="18" t="n"/>
      <c r="I103" s="23" t="n"/>
      <c r="J103" s="18">
        <f>IF(OR(H103="",I103=""),"",H103/I103)</f>
        <v/>
      </c>
      <c r="K103" s="25" t="n"/>
      <c r="L103" s="12" t="n"/>
    </row>
    <row r="104" ht="22" customHeight="1">
      <c r="B104" s="16">
        <f>IF(C104="","GAR-"&amp;TEXT(COUNTA($C$5:C104),"000"))</f>
        <v/>
      </c>
      <c r="C104" s="14" t="n"/>
      <c r="D104" s="14" t="n"/>
      <c r="E104" s="14" t="n"/>
      <c r="F104" s="26" t="n"/>
      <c r="G104" s="26" t="n"/>
      <c r="H104" s="19" t="n"/>
      <c r="I104" s="24" t="n"/>
      <c r="J104" s="19">
        <f>IF(OR(H104="",I104=""),"",H104/I104)</f>
        <v/>
      </c>
      <c r="K104" s="26" t="n"/>
      <c r="L104" s="14" t="n"/>
    </row>
    <row r="105" ht="22" customHeight="1">
      <c r="B105" s="17">
        <f>IF(C105="","GAR-"&amp;TEXT(COUNTA($C$5:C105),"000"))</f>
        <v/>
      </c>
      <c r="C105" s="12" t="n"/>
      <c r="D105" s="12" t="n"/>
      <c r="E105" s="12" t="n"/>
      <c r="F105" s="25" t="n"/>
      <c r="G105" s="25" t="n"/>
      <c r="H105" s="18" t="n"/>
      <c r="I105" s="23" t="n"/>
      <c r="J105" s="18">
        <f>IF(OR(H105="",I105=""),"",H105/I105)</f>
        <v/>
      </c>
      <c r="K105" s="25" t="n"/>
      <c r="L105" s="12" t="n"/>
    </row>
    <row r="106" ht="22" customHeight="1">
      <c r="B106" s="16">
        <f>IF(C106="","GAR-"&amp;TEXT(COUNTA($C$5:C106),"000"))</f>
        <v/>
      </c>
      <c r="C106" s="14" t="n"/>
      <c r="D106" s="14" t="n"/>
      <c r="E106" s="14" t="n"/>
      <c r="F106" s="26" t="n"/>
      <c r="G106" s="26" t="n"/>
      <c r="H106" s="19" t="n"/>
      <c r="I106" s="24" t="n"/>
      <c r="J106" s="19">
        <f>IF(OR(H106="",I106=""),"",H106/I106)</f>
        <v/>
      </c>
      <c r="K106" s="26" t="n"/>
      <c r="L106" s="14" t="n"/>
    </row>
    <row r="107" ht="22" customHeight="1">
      <c r="B107" s="17">
        <f>IF(C107="","GAR-"&amp;TEXT(COUNTA($C$5:C107),"000"))</f>
        <v/>
      </c>
      <c r="C107" s="12" t="n"/>
      <c r="D107" s="12" t="n"/>
      <c r="E107" s="12" t="n"/>
      <c r="F107" s="25" t="n"/>
      <c r="G107" s="25" t="n"/>
      <c r="H107" s="18" t="n"/>
      <c r="I107" s="23" t="n"/>
      <c r="J107" s="18">
        <f>IF(OR(H107="",I107=""),"",H107/I107)</f>
        <v/>
      </c>
      <c r="K107" s="25" t="n"/>
      <c r="L107" s="12" t="n"/>
    </row>
    <row r="108" ht="22" customHeight="1">
      <c r="B108" s="16">
        <f>IF(C108="","GAR-"&amp;TEXT(COUNTA($C$5:C108),"000"))</f>
        <v/>
      </c>
      <c r="C108" s="14" t="n"/>
      <c r="D108" s="14" t="n"/>
      <c r="E108" s="14" t="n"/>
      <c r="F108" s="26" t="n"/>
      <c r="G108" s="26" t="n"/>
      <c r="H108" s="19" t="n"/>
      <c r="I108" s="24" t="n"/>
      <c r="J108" s="19">
        <f>IF(OR(H108="",I108=""),"",H108/I108)</f>
        <v/>
      </c>
      <c r="K108" s="26" t="n"/>
      <c r="L108" s="14" t="n"/>
    </row>
    <row r="109" ht="22" customHeight="1">
      <c r="B109" s="17">
        <f>IF(C109="","GAR-"&amp;TEXT(COUNTA($C$5:C109),"000"))</f>
        <v/>
      </c>
      <c r="C109" s="12" t="n"/>
      <c r="D109" s="12" t="n"/>
      <c r="E109" s="12" t="n"/>
      <c r="F109" s="25" t="n"/>
      <c r="G109" s="25" t="n"/>
      <c r="H109" s="18" t="n"/>
      <c r="I109" s="23" t="n"/>
      <c r="J109" s="18">
        <f>IF(OR(H109="",I109=""),"",H109/I109)</f>
        <v/>
      </c>
      <c r="K109" s="25" t="n"/>
      <c r="L109" s="12" t="n"/>
    </row>
    <row r="111" ht="26" customHeight="1">
      <c r="B111" s="20" t="inlineStr">
        <is>
          <t>TOTAL</t>
        </is>
      </c>
      <c r="C111" s="21" t="n"/>
      <c r="D111" s="21" t="n"/>
      <c r="E111" s="21" t="n"/>
      <c r="F111" s="21" t="n"/>
      <c r="G111" s="21" t="n"/>
      <c r="H111" s="22">
        <f>SUM(H5:H104)</f>
        <v/>
      </c>
      <c r="I111" s="21" t="n"/>
      <c r="J111" s="21" t="n"/>
      <c r="K111" s="21" t="n"/>
      <c r="L111" s="21" t="n"/>
    </row>
    <row r="113">
      <c r="B113" s="6" t="inlineStr">
        <is>
          <t>INDICATEURS (mis a jour automatiquement)</t>
        </is>
      </c>
    </row>
    <row r="114">
      <c r="B114" s="3" t="inlineStr">
        <is>
          <t>Assurances suivies</t>
        </is>
      </c>
      <c r="D114" s="3" t="inlineStr">
        <is>
          <t>Prime totale</t>
        </is>
      </c>
      <c r="F114" s="3" t="inlineStr">
        <is>
          <t>A renouveler &lt; 90j</t>
        </is>
      </c>
    </row>
    <row r="115">
      <c r="B115" s="4">
        <f>COUNTIF(B5:B104,"&lt;&gt;")</f>
        <v/>
      </c>
      <c r="D115" s="4">
        <f>SUM(H5:H104)</f>
        <v/>
      </c>
      <c r="F115" s="4">
        <f>COUNTIF(G5:G104,"&lt;"&amp;TODAY()+90)-COUNTIF(G5:G104,"&lt;"&amp;TODAY())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0">
      <formula>"Conforme"</formula>
    </cfRule>
    <cfRule type="cellIs" priority="2" operator="equal" dxfId="0">
      <formula>"Resolu"</formula>
    </cfRule>
    <cfRule type="cellIs" priority="3" operator="equal" dxfId="0">
      <formula>"Clos"</formula>
    </cfRule>
    <cfRule type="cellIs" priority="4" operator="equal" dxfId="0">
      <formula>"Solde"</formula>
    </cfRule>
    <cfRule type="cellIs" priority="5" operator="equal" dxfId="0">
      <formula>"Pris"</formula>
    </cfRule>
    <cfRule type="cellIs" priority="6" operator="equal" dxfId="0">
      <formula>"Termine"</formula>
    </cfRule>
    <cfRule type="cellIs" priority="7" operator="equal" dxfId="0">
      <formula>"Terminee"</formula>
    </cfRule>
    <cfRule type="cellIs" priority="8" operator="equal" dxfId="0">
      <formula>"Valide"</formula>
    </cfRule>
    <cfRule type="cellIs" priority="9" operator="equal" dxfId="0">
      <formula>"Approuve"</formula>
    </cfRule>
    <cfRule type="cellIs" priority="10" operator="equal" dxfId="0">
      <formula>"Approuvee"</formula>
    </cfRule>
    <cfRule type="cellIs" priority="11" operator="equal" dxfId="0">
      <formula>"Actif"</formula>
    </cfRule>
    <cfRule type="cellIs" priority="12" operator="equal" dxfId="0">
      <formula>"En vigueur"</formula>
    </cfRule>
    <cfRule type="cellIs" priority="13" operator="equal" dxfId="0">
      <formula>"Validee"</formula>
    </cfRule>
    <cfRule type="cellIs" priority="14" operator="equal" dxfId="0">
      <formula>"Payee"</formula>
    </cfRule>
    <cfRule type="cellIs" priority="15" operator="equal" dxfId="0">
      <formula>"Traite"</formula>
    </cfRule>
    <cfRule type="cellIs" priority="16" operator="equal" dxfId="0">
      <formula>"Traitee"</formula>
    </cfRule>
    <cfRule type="cellIs" priority="17" operator="equal" dxfId="0">
      <formula>"Decision notifiee"</formula>
    </cfRule>
    <cfRule type="cellIs" priority="18" operator="equal" dxfId="0">
      <formula>"Jugement rendu"</formula>
    </cfRule>
    <cfRule type="cellIs" priority="19" operator="equal" dxfId="0">
      <formula>"Resolue"</formula>
    </cfRule>
    <cfRule type="cellIs" priority="20" operator="equal" dxfId="0">
      <formula>"Accepte"</formula>
    </cfRule>
    <cfRule type="cellIs" priority="21" operator="equal" dxfId="0">
      <formula>"Acceptee"</formula>
    </cfRule>
    <cfRule type="cellIs" priority="22" operator="equal" dxfId="0">
      <formula>"Conforme"</formula>
    </cfRule>
    <cfRule type="cellIs" priority="23" operator="equal" dxfId="0">
      <formula>"Exempte"</formula>
    </cfRule>
    <cfRule type="cellIs" priority="24" operator="equal" dxfId="0">
      <formula>"Guerie"</formula>
    </cfRule>
    <cfRule type="cellIs" priority="25" operator="equal" dxfId="0">
      <formula>"Apte"</formula>
    </cfRule>
    <cfRule type="cellIs" priority="26" operator="equal" dxfId="0">
      <formula>"Apte avec restriction"</formula>
    </cfRule>
    <cfRule type="cellIs" priority="27" operator="equal" dxfId="0">
      <formula>"Realise"</formula>
    </cfRule>
    <cfRule type="cellIs" priority="28" operator="equal" dxfId="0">
      <formula>"Realisee"</formula>
    </cfRule>
    <cfRule type="cellIs" priority="29" operator="equal" dxfId="0">
      <formula>"En stock"</formula>
    </cfRule>
    <cfRule type="cellIs" priority="30" operator="equal" dxfId="0">
      <formula>"Attribue"</formula>
    </cfRule>
    <cfRule type="cellIs" priority="31" operator="equal" dxfId="0">
      <formula>"Mesures en place"</formula>
    </cfRule>
    <cfRule type="cellIs" priority="32" operator="equal" dxfId="0">
      <formula>"Residuel acceptable"</formula>
    </cfRule>
    <cfRule type="cellIs" priority="33" operator="equal" dxfId="0">
      <formula>"Jugement rendu"</formula>
    </cfRule>
    <cfRule type="cellIs" priority="34" operator="equal" dxfId="0">
      <formula>"Abandonne"</formula>
    </cfRule>
    <cfRule type="cellIs" priority="35" operator="equal" dxfId="0">
      <formula>"Terminee - Accord"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"Partiellement conforme"</formula>
    </cfRule>
    <cfRule type="cellIs" priority="47" operator="equal" dxfId="1">
      <formula>"En cours de mise en conformite"</formula>
    </cfRule>
    <cfRule type="cellIs" priority="48" operator="equal" dxfId="1">
      <formula>"En cours d'evaluation"</formula>
    </cfRule>
    <cfRule type="cellIs" priority="49" operator="equal" dxfId="1">
      <formula>"Non evalue"</formula>
    </cfRule>
    <cfRule type="cellIs" priority="50" operator="equal" dxfId="1">
      <formula>"Non demarre"</formula>
    </cfRule>
    <cfRule type="cellIs" priority="51" operator="equal" dxfId="1">
      <formula>"En cours d'instruction"</formula>
    </cfRule>
    <cfRule type="cellIs" priority="52" operator="equal" dxfId="1">
      <formula>"En negociation"</formula>
    </cfRule>
    <cfRule type="cellIs" priority="53" operator="equal" dxfId="1">
      <formula>"En mediation"</formula>
    </cfRule>
    <cfRule type="cellIs" priority="54" operator="equal" dxfId="1">
      <formula>"En conciliation"</formula>
    </cfRule>
    <cfRule type="cellIs" priority="55" operator="equal" dxfId="1">
      <formula>"En attente audience"</formula>
    </cfRule>
    <cfRule type="cellIs" priority="56" operator="equal" dxfId="1">
      <formula>"En attente jugement"</formula>
    </cfRule>
    <cfRule type="cellIs" priority="57" operator="equal" dxfId="1">
      <formula>"En appel"</formula>
    </cfRule>
    <cfRule type="cellIs" priority="58" operator="equal" dxfId="1">
      <formula>"En preparation"</formula>
    </cfRule>
    <cfRule type="cellIs" priority="59" operator="equal" dxfId="1">
      <formula>"Reporte"</formula>
    </cfRule>
    <cfRule type="cellIs" priority="60" operator="equal" dxfId="1">
      <formula>"En attente reponse"</formula>
    </cfRule>
    <cfRule type="cellIs" priority="61" operator="equal" dxfId="1">
      <formula>"En attente validation"</formula>
    </cfRule>
    <cfRule type="cellIs" priority="62" operator="equal" dxfId="1">
      <formula>"Contestee"</formula>
    </cfRule>
    <cfRule type="cellIs" priority="63" operator="equal" dxfId="1">
      <formula>"Escaladee"</formula>
    </cfRule>
    <cfRule type="cellIs" priority="64" operator="equal" dxfId="2">
      <formula>"Non conforme"</formula>
    </cfRule>
    <cfRule type="cellIs" priority="65" operator="equal" dxfId="2">
      <formula>"Rejete"</formula>
    </cfRule>
    <cfRule type="cellIs" priority="66" operator="equal" dxfId="2">
      <formula>"Rejetee"</formula>
    </cfRule>
    <cfRule type="cellIs" priority="67" operator="equal" dxfId="2">
      <formula>"Resilie"</formula>
    </cfRule>
    <cfRule type="cellIs" priority="68" operator="equal" dxfId="2">
      <formula>"Annule"</formula>
    </cfRule>
    <cfRule type="cellIs" priority="69" operator="equal" dxfId="2">
      <formula>"Annulee"</formula>
    </cfRule>
    <cfRule type="cellIs" priority="70" operator="equal" dxfId="2">
      <formula>"Refuse"</formula>
    </cfRule>
    <cfRule type="cellIs" priority="71" operator="equal" dxfId="2">
      <formula>"Non justifie"</formula>
    </cfRule>
    <cfRule type="cellIs" priority="72" operator="equal" dxfId="2">
      <formula>"Inaptitude"</formula>
    </cfRule>
    <cfRule type="cellIs" priority="73" operator="equal" dxfId="2">
      <formula>"Non satisfait"</formula>
    </cfRule>
    <cfRule type="cellIs" priority="74" operator="equal" dxfId="2">
      <formula>"Echoue"</formula>
    </cfRule>
    <cfRule type="cellIs" priority="75" operator="equal" dxfId="2">
      <formula>"Echouee"</formula>
    </cfRule>
    <cfRule type="cellIs" priority="76" operator="equal" dxfId="2">
      <formula>"Revoque"</formula>
    </cfRule>
    <cfRule type="cellIs" priority="77" operator="equal" dxfId="2">
      <formula>"Abandonne"</formula>
    </cfRule>
    <cfRule type="cellIs" priority="78" operator="equal" dxfId="2">
      <formula>"Rejetee"</formula>
    </cfRule>
    <cfRule type="cellIs" priority="79" operator="equal" dxfId="2">
      <formula>"Non conforme"</formula>
    </cfRule>
    <cfRule type="cellIs" priority="80" operator="equal" dxfId="2">
      <formula>"Critique"</formula>
    </cfRule>
  </conditionalFormatting>
  <conditionalFormatting sqref="B10:B109">
    <cfRule type="expression" priority="81" dxfId="3">
      <formula>AND($C10="",$C9&lt;&gt;"")</formula>
    </cfRule>
  </conditionalFormatting>
  <conditionalFormatting sqref="C10:C109">
    <cfRule type="expression" priority="82" dxfId="3">
      <formula>AND($C10="",$C9&lt;&gt;"")</formula>
    </cfRule>
  </conditionalFormatting>
  <conditionalFormatting sqref="D10:D109">
    <cfRule type="expression" priority="83" dxfId="3">
      <formula>AND($C10="",$C9&lt;&gt;"")</formula>
    </cfRule>
  </conditionalFormatting>
  <conditionalFormatting sqref="E10:E109">
    <cfRule type="expression" priority="84" dxfId="3">
      <formula>AND($C10="",$C9&lt;&gt;"")</formula>
    </cfRule>
  </conditionalFormatting>
  <conditionalFormatting sqref="F10:F109">
    <cfRule type="expression" priority="85" dxfId="3">
      <formula>AND($C10="",$C9&lt;&gt;"")</formula>
    </cfRule>
  </conditionalFormatting>
  <conditionalFormatting sqref="G10:G109">
    <cfRule type="expression" priority="86" dxfId="3">
      <formula>AND($C10="",$C9&lt;&gt;"")</formula>
    </cfRule>
  </conditionalFormatting>
  <conditionalFormatting sqref="H10:H109">
    <cfRule type="expression" priority="87" dxfId="3">
      <formula>AND($C10="",$C9&lt;&gt;"")</formula>
    </cfRule>
  </conditionalFormatting>
  <conditionalFormatting sqref="I10:I109">
    <cfRule type="expression" priority="88" dxfId="3">
      <formula>AND($C10="",$C9&lt;&gt;"")</formula>
    </cfRule>
  </conditionalFormatting>
  <conditionalFormatting sqref="J10:J109">
    <cfRule type="expression" priority="89" dxfId="3">
      <formula>AND($C10="",$C9&lt;&gt;"")</formula>
    </cfRule>
  </conditionalFormatting>
  <conditionalFormatting sqref="K10:K109">
    <cfRule type="expression" priority="90" dxfId="3">
      <formula>AND($C10="",$C9&lt;&gt;"")</formula>
    </cfRule>
  </conditionalFormatting>
  <conditionalFormatting sqref="L10:L109">
    <cfRule type="expression" priority="91" dxfId="3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'_Lists'!$J$2:$J$10</formula1>
    </dataValidation>
    <dataValidation sqref="L5:L109" showDropDown="0" showInputMessage="0" showErrorMessage="0" allowBlank="1" errorTitle="Erreur" error="Valeur invalide" promptTitle="Liste" prompt="Choisir dans la liste" type="list">
      <formula1>'_Lists'!$I$2:$I$8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4" customWidth="1" min="4" max="4"/>
    <col width="40" customWidth="1" min="5" max="5"/>
    <col width="16" customWidth="1" min="6" max="6"/>
    <col width="20" customWidth="1" min="7" max="7"/>
    <col width="18" customWidth="1" min="8" max="8"/>
    <col width="22" customWidth="1" min="9" max="9"/>
    <col width="16" customWidth="1" min="10" max="10"/>
    <col width="36" customWidth="1" min="11" max="11"/>
    <col width="14" customWidth="1" min="12" max="12"/>
  </cols>
  <sheetData>
    <row r="1" ht="15" customHeight="1"/>
    <row r="2" ht="32" customHeight="1">
      <c r="B2" s="1" t="inlineStr">
        <is>
          <t>REGISTRE DES MISES EN DEMEURE &amp; INJONCTIONS (#135)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Type Injonction</t>
        </is>
      </c>
      <c r="D4" s="11" t="inlineStr">
        <is>
          <t>Emetteur</t>
        </is>
      </c>
      <c r="E4" s="11" t="inlineStr">
        <is>
          <t>Objet</t>
        </is>
      </c>
      <c r="F4" s="11" t="inlineStr">
        <is>
          <t>Date Reception</t>
        </is>
      </c>
      <c r="G4" s="11" t="inlineStr">
        <is>
          <t>Delai Reponse (jours)</t>
        </is>
      </c>
      <c r="H4" s="11" t="inlineStr">
        <is>
          <t>Date Limite Reponse</t>
        </is>
      </c>
      <c r="I4" s="11" t="inlineStr">
        <is>
          <t>Responsable Traitement</t>
        </is>
      </c>
      <c r="J4" s="11" t="inlineStr">
        <is>
          <t>Reponse Envoyee</t>
        </is>
      </c>
      <c r="K4" s="11" t="inlineStr">
        <is>
          <t>Suite Donnee</t>
        </is>
      </c>
      <c r="L4" s="11" t="inlineStr">
        <is>
          <t>Statut</t>
        </is>
      </c>
    </row>
    <row r="5" ht="22" customHeight="1">
      <c r="B5" s="12" t="inlineStr">
        <is>
          <t>MED-001</t>
        </is>
      </c>
      <c r="C5" s="12" t="inlineStr">
        <is>
          <t>Mise en demeure</t>
        </is>
      </c>
      <c r="D5" s="12" t="inlineStr">
        <is>
          <t>Inspection du travail</t>
        </is>
      </c>
      <c r="E5" s="12" t="inlineStr">
        <is>
          <t>Non declaration accident travail M. Essomba</t>
        </is>
      </c>
      <c r="F5" s="25" t="n">
        <v>45772</v>
      </c>
      <c r="G5" s="23" t="n">
        <v>15</v>
      </c>
      <c r="H5" s="25" t="n"/>
      <c r="I5" s="12" t="inlineStr">
        <is>
          <t>DRH</t>
        </is>
      </c>
      <c r="J5" s="12" t="inlineStr">
        <is>
          <t>Oui</t>
        </is>
      </c>
      <c r="K5" s="12" t="inlineStr">
        <is>
          <t>Declaration retroactive effectuee</t>
        </is>
      </c>
      <c r="L5" s="12" t="inlineStr">
        <is>
          <t>Traitee</t>
        </is>
      </c>
    </row>
    <row r="6" ht="22" customHeight="1">
      <c r="B6" s="14" t="inlineStr">
        <is>
          <t>MED-002</t>
        </is>
      </c>
      <c r="C6" s="14" t="inlineStr">
        <is>
          <t>Avertissement</t>
        </is>
      </c>
      <c r="D6" s="14" t="inlineStr">
        <is>
          <t>CNPS</t>
        </is>
      </c>
      <c r="E6" s="14" t="inlineStr">
        <is>
          <t>Retard paiement cotisations Mars 2025</t>
        </is>
      </c>
      <c r="F6" s="26" t="n">
        <v>45787</v>
      </c>
      <c r="G6" s="24" t="n">
        <v>10</v>
      </c>
      <c r="H6" s="26" t="n"/>
      <c r="I6" s="14" t="inlineStr">
        <is>
          <t>DAF</t>
        </is>
      </c>
      <c r="J6" s="14" t="inlineStr">
        <is>
          <t>Oui</t>
        </is>
      </c>
      <c r="K6" s="14" t="inlineStr">
        <is>
          <t>Paiement regularise + penalites</t>
        </is>
      </c>
      <c r="L6" s="14" t="inlineStr">
        <is>
          <t>Traitee</t>
        </is>
      </c>
    </row>
    <row r="7" ht="22" customHeight="1">
      <c r="B7" s="12" t="inlineStr">
        <is>
          <t>MED-003</t>
        </is>
      </c>
      <c r="C7" s="12" t="inlineStr">
        <is>
          <t>Somation</t>
        </is>
      </c>
      <c r="D7" s="12" t="inlineStr">
        <is>
          <t>Syndicat des travailleurs</t>
        </is>
      </c>
      <c r="E7" s="12" t="inlineStr">
        <is>
          <t>Non respect heures supplementaires cuisine</t>
        </is>
      </c>
      <c r="F7" s="25" t="n">
        <v>45805</v>
      </c>
      <c r="G7" s="23" t="n">
        <v>20</v>
      </c>
      <c r="H7" s="25" t="n"/>
      <c r="I7" s="12" t="inlineStr">
        <is>
          <t>DRH + DG</t>
        </is>
      </c>
      <c r="J7" s="12" t="inlineStr">
        <is>
          <t>Oui</t>
        </is>
      </c>
      <c r="K7" s="12" t="inlineStr">
        <is>
          <t>Reunion negociation planifiee</t>
        </is>
      </c>
      <c r="L7" s="12" t="inlineStr">
        <is>
          <t>En negociation</t>
        </is>
      </c>
    </row>
    <row r="8" ht="22" customHeight="1">
      <c r="B8" s="14" t="inlineStr">
        <is>
          <t>MED-004</t>
        </is>
      </c>
      <c r="C8" s="14" t="inlineStr">
        <is>
          <t>Mise en demeure</t>
        </is>
      </c>
      <c r="D8" s="14" t="inlineStr">
        <is>
          <t>Medecin inspecteur</t>
        </is>
      </c>
      <c r="E8" s="14" t="inlineStr">
        <is>
          <t>Absence visite medicale pour 3 agents</t>
        </is>
      </c>
      <c r="F8" s="26" t="n">
        <v>45813</v>
      </c>
      <c r="G8" s="24" t="n">
        <v>15</v>
      </c>
      <c r="H8" s="26" t="n"/>
      <c r="I8" s="14" t="inlineStr">
        <is>
          <t>DRH</t>
        </is>
      </c>
      <c r="J8" s="14" t="inlineStr">
        <is>
          <t>Non</t>
        </is>
      </c>
      <c r="K8" s="14" t="n"/>
      <c r="L8" s="14" t="inlineStr">
        <is>
          <t>En retard</t>
        </is>
      </c>
    </row>
    <row r="9" ht="22" customHeight="1">
      <c r="B9" s="17">
        <f>IF(C9="","MED-"&amp;TEXT(COUNTA($C$5:C9),"000"))</f>
        <v/>
      </c>
      <c r="C9" s="12" t="n"/>
      <c r="D9" s="12" t="n"/>
      <c r="E9" s="12" t="n"/>
      <c r="F9" s="25" t="n"/>
      <c r="G9" s="23" t="n"/>
      <c r="H9" s="25">
        <f>IF(F9="","",F9+G9)</f>
        <v/>
      </c>
      <c r="I9" s="12" t="n"/>
      <c r="J9" s="12" t="n"/>
      <c r="K9" s="12" t="n"/>
      <c r="L9" s="12" t="n"/>
    </row>
    <row r="10" ht="22" customHeight="1">
      <c r="B10" s="16">
        <f>IF(C10="","MED-"&amp;TEXT(COUNTA($C$5:C10),"000"))</f>
        <v/>
      </c>
      <c r="C10" s="14" t="n"/>
      <c r="D10" s="14" t="n"/>
      <c r="E10" s="14" t="n"/>
      <c r="F10" s="26" t="n"/>
      <c r="G10" s="24" t="n"/>
      <c r="H10" s="26">
        <f>IF(F10="","",F10+G10)</f>
        <v/>
      </c>
      <c r="I10" s="14" t="n"/>
      <c r="J10" s="14" t="n"/>
      <c r="K10" s="14" t="n"/>
      <c r="L10" s="14" t="n"/>
    </row>
    <row r="11" ht="22" customHeight="1">
      <c r="B11" s="17">
        <f>IF(C11="","MED-"&amp;TEXT(COUNTA($C$5:C11),"000"))</f>
        <v/>
      </c>
      <c r="C11" s="12" t="n"/>
      <c r="D11" s="12" t="n"/>
      <c r="E11" s="12" t="n"/>
      <c r="F11" s="25" t="n"/>
      <c r="G11" s="23" t="n"/>
      <c r="H11" s="25">
        <f>IF(F11="","",F11+G11)</f>
        <v/>
      </c>
      <c r="I11" s="12" t="n"/>
      <c r="J11" s="12" t="n"/>
      <c r="K11" s="12" t="n"/>
      <c r="L11" s="12" t="n"/>
    </row>
    <row r="12" ht="22" customHeight="1">
      <c r="B12" s="16">
        <f>IF(C12="","MED-"&amp;TEXT(COUNTA($C$5:C12),"000"))</f>
        <v/>
      </c>
      <c r="C12" s="14" t="n"/>
      <c r="D12" s="14" t="n"/>
      <c r="E12" s="14" t="n"/>
      <c r="F12" s="26" t="n"/>
      <c r="G12" s="24" t="n"/>
      <c r="H12" s="26">
        <f>IF(F12="","",F12+G12)</f>
        <v/>
      </c>
      <c r="I12" s="14" t="n"/>
      <c r="J12" s="14" t="n"/>
      <c r="K12" s="14" t="n"/>
      <c r="L12" s="14" t="n"/>
    </row>
    <row r="13" ht="22" customHeight="1">
      <c r="B13" s="17">
        <f>IF(C13="","MED-"&amp;TEXT(COUNTA($C$5:C13),"000"))</f>
        <v/>
      </c>
      <c r="C13" s="12" t="n"/>
      <c r="D13" s="12" t="n"/>
      <c r="E13" s="12" t="n"/>
      <c r="F13" s="25" t="n"/>
      <c r="G13" s="23" t="n"/>
      <c r="H13" s="25">
        <f>IF(F13="","",F13+G13)</f>
        <v/>
      </c>
      <c r="I13" s="12" t="n"/>
      <c r="J13" s="12" t="n"/>
      <c r="K13" s="12" t="n"/>
      <c r="L13" s="12" t="n"/>
    </row>
    <row r="14" ht="22" customHeight="1">
      <c r="B14" s="16">
        <f>IF(C14="","MED-"&amp;TEXT(COUNTA($C$5:C14),"000"))</f>
        <v/>
      </c>
      <c r="C14" s="14" t="n"/>
      <c r="D14" s="14" t="n"/>
      <c r="E14" s="14" t="n"/>
      <c r="F14" s="26" t="n"/>
      <c r="G14" s="24" t="n"/>
      <c r="H14" s="26">
        <f>IF(F14="","",F14+G14)</f>
        <v/>
      </c>
      <c r="I14" s="14" t="n"/>
      <c r="J14" s="14" t="n"/>
      <c r="K14" s="14" t="n"/>
      <c r="L14" s="14" t="n"/>
    </row>
    <row r="15" ht="22" customHeight="1">
      <c r="B15" s="17">
        <f>IF(C15="","MED-"&amp;TEXT(COUNTA($C$5:C15),"000"))</f>
        <v/>
      </c>
      <c r="C15" s="12" t="n"/>
      <c r="D15" s="12" t="n"/>
      <c r="E15" s="12" t="n"/>
      <c r="F15" s="25" t="n"/>
      <c r="G15" s="23" t="n"/>
      <c r="H15" s="25">
        <f>IF(F15="","",F15+G15)</f>
        <v/>
      </c>
      <c r="I15" s="12" t="n"/>
      <c r="J15" s="12" t="n"/>
      <c r="K15" s="12" t="n"/>
      <c r="L15" s="12" t="n"/>
    </row>
    <row r="16" ht="22" customHeight="1">
      <c r="B16" s="16">
        <f>IF(C16="","MED-"&amp;TEXT(COUNTA($C$5:C16),"000"))</f>
        <v/>
      </c>
      <c r="C16" s="14" t="n"/>
      <c r="D16" s="14" t="n"/>
      <c r="E16" s="14" t="n"/>
      <c r="F16" s="26" t="n"/>
      <c r="G16" s="24" t="n"/>
      <c r="H16" s="26">
        <f>IF(F16="","",F16+G16)</f>
        <v/>
      </c>
      <c r="I16" s="14" t="n"/>
      <c r="J16" s="14" t="n"/>
      <c r="K16" s="14" t="n"/>
      <c r="L16" s="14" t="n"/>
    </row>
    <row r="17" ht="22" customHeight="1">
      <c r="B17" s="17">
        <f>IF(C17="","MED-"&amp;TEXT(COUNTA($C$5:C17),"000"))</f>
        <v/>
      </c>
      <c r="C17" s="12" t="n"/>
      <c r="D17" s="12" t="n"/>
      <c r="E17" s="12" t="n"/>
      <c r="F17" s="25" t="n"/>
      <c r="G17" s="23" t="n"/>
      <c r="H17" s="25">
        <f>IF(F17="","",F17+G17)</f>
        <v/>
      </c>
      <c r="I17" s="12" t="n"/>
      <c r="J17" s="12" t="n"/>
      <c r="K17" s="12" t="n"/>
      <c r="L17" s="12" t="n"/>
    </row>
    <row r="18" ht="22" customHeight="1">
      <c r="B18" s="16">
        <f>IF(C18="","MED-"&amp;TEXT(COUNTA($C$5:C18),"000"))</f>
        <v/>
      </c>
      <c r="C18" s="14" t="n"/>
      <c r="D18" s="14" t="n"/>
      <c r="E18" s="14" t="n"/>
      <c r="F18" s="26" t="n"/>
      <c r="G18" s="24" t="n"/>
      <c r="H18" s="26">
        <f>IF(F18="","",F18+G18)</f>
        <v/>
      </c>
      <c r="I18" s="14" t="n"/>
      <c r="J18" s="14" t="n"/>
      <c r="K18" s="14" t="n"/>
      <c r="L18" s="14" t="n"/>
    </row>
    <row r="19" ht="22" customHeight="1">
      <c r="B19" s="17">
        <f>IF(C19="","MED-"&amp;TEXT(COUNTA($C$5:C19),"000"))</f>
        <v/>
      </c>
      <c r="C19" s="12" t="n"/>
      <c r="D19" s="12" t="n"/>
      <c r="E19" s="12" t="n"/>
      <c r="F19" s="25" t="n"/>
      <c r="G19" s="23" t="n"/>
      <c r="H19" s="25">
        <f>IF(F19="","",F19+G19)</f>
        <v/>
      </c>
      <c r="I19" s="12" t="n"/>
      <c r="J19" s="12" t="n"/>
      <c r="K19" s="12" t="n"/>
      <c r="L19" s="12" t="n"/>
    </row>
    <row r="20" ht="22" customHeight="1">
      <c r="B20" s="16">
        <f>IF(C20="","MED-"&amp;TEXT(COUNTA($C$5:C20),"000"))</f>
        <v/>
      </c>
      <c r="C20" s="14" t="n"/>
      <c r="D20" s="14" t="n"/>
      <c r="E20" s="14" t="n"/>
      <c r="F20" s="26" t="n"/>
      <c r="G20" s="24" t="n"/>
      <c r="H20" s="26">
        <f>IF(F20="","",F20+G20)</f>
        <v/>
      </c>
      <c r="I20" s="14" t="n"/>
      <c r="J20" s="14" t="n"/>
      <c r="K20" s="14" t="n"/>
      <c r="L20" s="14" t="n"/>
    </row>
    <row r="21" ht="22" customHeight="1">
      <c r="B21" s="17">
        <f>IF(C21="","MED-"&amp;TEXT(COUNTA($C$5:C21),"000"))</f>
        <v/>
      </c>
      <c r="C21" s="12" t="n"/>
      <c r="D21" s="12" t="n"/>
      <c r="E21" s="12" t="n"/>
      <c r="F21" s="25" t="n"/>
      <c r="G21" s="23" t="n"/>
      <c r="H21" s="25">
        <f>IF(F21="","",F21+G21)</f>
        <v/>
      </c>
      <c r="I21" s="12" t="n"/>
      <c r="J21" s="12" t="n"/>
      <c r="K21" s="12" t="n"/>
      <c r="L21" s="12" t="n"/>
    </row>
    <row r="22" ht="22" customHeight="1">
      <c r="B22" s="16">
        <f>IF(C22="","MED-"&amp;TEXT(COUNTA($C$5:C22),"000"))</f>
        <v/>
      </c>
      <c r="C22" s="14" t="n"/>
      <c r="D22" s="14" t="n"/>
      <c r="E22" s="14" t="n"/>
      <c r="F22" s="26" t="n"/>
      <c r="G22" s="24" t="n"/>
      <c r="H22" s="26">
        <f>IF(F22="","",F22+G22)</f>
        <v/>
      </c>
      <c r="I22" s="14" t="n"/>
      <c r="J22" s="14" t="n"/>
      <c r="K22" s="14" t="n"/>
      <c r="L22" s="14" t="n"/>
    </row>
    <row r="23" ht="22" customHeight="1">
      <c r="B23" s="17">
        <f>IF(C23="","MED-"&amp;TEXT(COUNTA($C$5:C23),"000"))</f>
        <v/>
      </c>
      <c r="C23" s="12" t="n"/>
      <c r="D23" s="12" t="n"/>
      <c r="E23" s="12" t="n"/>
      <c r="F23" s="25" t="n"/>
      <c r="G23" s="23" t="n"/>
      <c r="H23" s="25">
        <f>IF(F23="","",F23+G23)</f>
        <v/>
      </c>
      <c r="I23" s="12" t="n"/>
      <c r="J23" s="12" t="n"/>
      <c r="K23" s="12" t="n"/>
      <c r="L23" s="12" t="n"/>
    </row>
    <row r="24" ht="22" customHeight="1">
      <c r="B24" s="16">
        <f>IF(C24="","MED-"&amp;TEXT(COUNTA($C$5:C24),"000"))</f>
        <v/>
      </c>
      <c r="C24" s="14" t="n"/>
      <c r="D24" s="14" t="n"/>
      <c r="E24" s="14" t="n"/>
      <c r="F24" s="26" t="n"/>
      <c r="G24" s="24" t="n"/>
      <c r="H24" s="26">
        <f>IF(F24="","",F24+G24)</f>
        <v/>
      </c>
      <c r="I24" s="14" t="n"/>
      <c r="J24" s="14" t="n"/>
      <c r="K24" s="14" t="n"/>
      <c r="L24" s="14" t="n"/>
    </row>
    <row r="25" ht="22" customHeight="1">
      <c r="B25" s="17">
        <f>IF(C25="","MED-"&amp;TEXT(COUNTA($C$5:C25),"000"))</f>
        <v/>
      </c>
      <c r="C25" s="12" t="n"/>
      <c r="D25" s="12" t="n"/>
      <c r="E25" s="12" t="n"/>
      <c r="F25" s="25" t="n"/>
      <c r="G25" s="23" t="n"/>
      <c r="H25" s="25">
        <f>IF(F25="","",F25+G25)</f>
        <v/>
      </c>
      <c r="I25" s="12" t="n"/>
      <c r="J25" s="12" t="n"/>
      <c r="K25" s="12" t="n"/>
      <c r="L25" s="12" t="n"/>
    </row>
    <row r="26" ht="22" customHeight="1">
      <c r="B26" s="16">
        <f>IF(C26="","MED-"&amp;TEXT(COUNTA($C$5:C26),"000"))</f>
        <v/>
      </c>
      <c r="C26" s="14" t="n"/>
      <c r="D26" s="14" t="n"/>
      <c r="E26" s="14" t="n"/>
      <c r="F26" s="26" t="n"/>
      <c r="G26" s="24" t="n"/>
      <c r="H26" s="26">
        <f>IF(F26="","",F26+G26)</f>
        <v/>
      </c>
      <c r="I26" s="14" t="n"/>
      <c r="J26" s="14" t="n"/>
      <c r="K26" s="14" t="n"/>
      <c r="L26" s="14" t="n"/>
    </row>
    <row r="27" ht="22" customHeight="1">
      <c r="B27" s="17">
        <f>IF(C27="","MED-"&amp;TEXT(COUNTA($C$5:C27),"000"))</f>
        <v/>
      </c>
      <c r="C27" s="12" t="n"/>
      <c r="D27" s="12" t="n"/>
      <c r="E27" s="12" t="n"/>
      <c r="F27" s="25" t="n"/>
      <c r="G27" s="23" t="n"/>
      <c r="H27" s="25">
        <f>IF(F27="","",F27+G27)</f>
        <v/>
      </c>
      <c r="I27" s="12" t="n"/>
      <c r="J27" s="12" t="n"/>
      <c r="K27" s="12" t="n"/>
      <c r="L27" s="12" t="n"/>
    </row>
    <row r="28" ht="22" customHeight="1">
      <c r="B28" s="16">
        <f>IF(C28="","MED-"&amp;TEXT(COUNTA($C$5:C28),"000"))</f>
        <v/>
      </c>
      <c r="C28" s="14" t="n"/>
      <c r="D28" s="14" t="n"/>
      <c r="E28" s="14" t="n"/>
      <c r="F28" s="26" t="n"/>
      <c r="G28" s="24" t="n"/>
      <c r="H28" s="26">
        <f>IF(F28="","",F28+G28)</f>
        <v/>
      </c>
      <c r="I28" s="14" t="n"/>
      <c r="J28" s="14" t="n"/>
      <c r="K28" s="14" t="n"/>
      <c r="L28" s="14" t="n"/>
    </row>
    <row r="29" ht="22" customHeight="1">
      <c r="B29" s="17">
        <f>IF(C29="","MED-"&amp;TEXT(COUNTA($C$5:C29),"000"))</f>
        <v/>
      </c>
      <c r="C29" s="12" t="n"/>
      <c r="D29" s="12" t="n"/>
      <c r="E29" s="12" t="n"/>
      <c r="F29" s="25" t="n"/>
      <c r="G29" s="23" t="n"/>
      <c r="H29" s="25">
        <f>IF(F29="","",F29+G29)</f>
        <v/>
      </c>
      <c r="I29" s="12" t="n"/>
      <c r="J29" s="12" t="n"/>
      <c r="K29" s="12" t="n"/>
      <c r="L29" s="12" t="n"/>
    </row>
    <row r="30" ht="22" customHeight="1">
      <c r="B30" s="16">
        <f>IF(C30="","MED-"&amp;TEXT(COUNTA($C$5:C30),"000"))</f>
        <v/>
      </c>
      <c r="C30" s="14" t="n"/>
      <c r="D30" s="14" t="n"/>
      <c r="E30" s="14" t="n"/>
      <c r="F30" s="26" t="n"/>
      <c r="G30" s="24" t="n"/>
      <c r="H30" s="26">
        <f>IF(F30="","",F30+G30)</f>
        <v/>
      </c>
      <c r="I30" s="14" t="n"/>
      <c r="J30" s="14" t="n"/>
      <c r="K30" s="14" t="n"/>
      <c r="L30" s="14" t="n"/>
    </row>
    <row r="31" ht="22" customHeight="1">
      <c r="B31" s="17">
        <f>IF(C31="","MED-"&amp;TEXT(COUNTA($C$5:C31),"000"))</f>
        <v/>
      </c>
      <c r="C31" s="12" t="n"/>
      <c r="D31" s="12" t="n"/>
      <c r="E31" s="12" t="n"/>
      <c r="F31" s="25" t="n"/>
      <c r="G31" s="23" t="n"/>
      <c r="H31" s="25">
        <f>IF(F31="","",F31+G31)</f>
        <v/>
      </c>
      <c r="I31" s="12" t="n"/>
      <c r="J31" s="12" t="n"/>
      <c r="K31" s="12" t="n"/>
      <c r="L31" s="12" t="n"/>
    </row>
    <row r="32" ht="22" customHeight="1">
      <c r="B32" s="16">
        <f>IF(C32="","MED-"&amp;TEXT(COUNTA($C$5:C32),"000"))</f>
        <v/>
      </c>
      <c r="C32" s="14" t="n"/>
      <c r="D32" s="14" t="n"/>
      <c r="E32" s="14" t="n"/>
      <c r="F32" s="26" t="n"/>
      <c r="G32" s="24" t="n"/>
      <c r="H32" s="26">
        <f>IF(F32="","",F32+G32)</f>
        <v/>
      </c>
      <c r="I32" s="14" t="n"/>
      <c r="J32" s="14" t="n"/>
      <c r="K32" s="14" t="n"/>
      <c r="L32" s="14" t="n"/>
    </row>
    <row r="33" ht="22" customHeight="1">
      <c r="B33" s="17">
        <f>IF(C33="","MED-"&amp;TEXT(COUNTA($C$5:C33),"000"))</f>
        <v/>
      </c>
      <c r="C33" s="12" t="n"/>
      <c r="D33" s="12" t="n"/>
      <c r="E33" s="12" t="n"/>
      <c r="F33" s="25" t="n"/>
      <c r="G33" s="23" t="n"/>
      <c r="H33" s="25">
        <f>IF(F33="","",F33+G33)</f>
        <v/>
      </c>
      <c r="I33" s="12" t="n"/>
      <c r="J33" s="12" t="n"/>
      <c r="K33" s="12" t="n"/>
      <c r="L33" s="12" t="n"/>
    </row>
    <row r="34" ht="22" customHeight="1">
      <c r="B34" s="16">
        <f>IF(C34="","MED-"&amp;TEXT(COUNTA($C$5:C34),"000"))</f>
        <v/>
      </c>
      <c r="C34" s="14" t="n"/>
      <c r="D34" s="14" t="n"/>
      <c r="E34" s="14" t="n"/>
      <c r="F34" s="26" t="n"/>
      <c r="G34" s="24" t="n"/>
      <c r="H34" s="26">
        <f>IF(F34="","",F34+G34)</f>
        <v/>
      </c>
      <c r="I34" s="14" t="n"/>
      <c r="J34" s="14" t="n"/>
      <c r="K34" s="14" t="n"/>
      <c r="L34" s="14" t="n"/>
    </row>
    <row r="35" ht="22" customHeight="1">
      <c r="B35" s="17">
        <f>IF(C35="","MED-"&amp;TEXT(COUNTA($C$5:C35),"000"))</f>
        <v/>
      </c>
      <c r="C35" s="12" t="n"/>
      <c r="D35" s="12" t="n"/>
      <c r="E35" s="12" t="n"/>
      <c r="F35" s="25" t="n"/>
      <c r="G35" s="23" t="n"/>
      <c r="H35" s="25">
        <f>IF(F35="","",F35+G35)</f>
        <v/>
      </c>
      <c r="I35" s="12" t="n"/>
      <c r="J35" s="12" t="n"/>
      <c r="K35" s="12" t="n"/>
      <c r="L35" s="12" t="n"/>
    </row>
    <row r="36" ht="22" customHeight="1">
      <c r="B36" s="16">
        <f>IF(C36="","MED-"&amp;TEXT(COUNTA($C$5:C36),"000"))</f>
        <v/>
      </c>
      <c r="C36" s="14" t="n"/>
      <c r="D36" s="14" t="n"/>
      <c r="E36" s="14" t="n"/>
      <c r="F36" s="26" t="n"/>
      <c r="G36" s="24" t="n"/>
      <c r="H36" s="26">
        <f>IF(F36="","",F36+G36)</f>
        <v/>
      </c>
      <c r="I36" s="14" t="n"/>
      <c r="J36" s="14" t="n"/>
      <c r="K36" s="14" t="n"/>
      <c r="L36" s="14" t="n"/>
    </row>
    <row r="37" ht="22" customHeight="1">
      <c r="B37" s="17">
        <f>IF(C37="","MED-"&amp;TEXT(COUNTA($C$5:C37),"000"))</f>
        <v/>
      </c>
      <c r="C37" s="12" t="n"/>
      <c r="D37" s="12" t="n"/>
      <c r="E37" s="12" t="n"/>
      <c r="F37" s="25" t="n"/>
      <c r="G37" s="23" t="n"/>
      <c r="H37" s="25">
        <f>IF(F37="","",F37+G37)</f>
        <v/>
      </c>
      <c r="I37" s="12" t="n"/>
      <c r="J37" s="12" t="n"/>
      <c r="K37" s="12" t="n"/>
      <c r="L37" s="12" t="n"/>
    </row>
    <row r="38" ht="22" customHeight="1">
      <c r="B38" s="16">
        <f>IF(C38="","MED-"&amp;TEXT(COUNTA($C$5:C38),"000"))</f>
        <v/>
      </c>
      <c r="C38" s="14" t="n"/>
      <c r="D38" s="14" t="n"/>
      <c r="E38" s="14" t="n"/>
      <c r="F38" s="26" t="n"/>
      <c r="G38" s="24" t="n"/>
      <c r="H38" s="26">
        <f>IF(F38="","",F38+G38)</f>
        <v/>
      </c>
      <c r="I38" s="14" t="n"/>
      <c r="J38" s="14" t="n"/>
      <c r="K38" s="14" t="n"/>
      <c r="L38" s="14" t="n"/>
    </row>
    <row r="39" ht="22" customHeight="1">
      <c r="B39" s="17">
        <f>IF(C39="","MED-"&amp;TEXT(COUNTA($C$5:C39),"000"))</f>
        <v/>
      </c>
      <c r="C39" s="12" t="n"/>
      <c r="D39" s="12" t="n"/>
      <c r="E39" s="12" t="n"/>
      <c r="F39" s="25" t="n"/>
      <c r="G39" s="23" t="n"/>
      <c r="H39" s="25">
        <f>IF(F39="","",F39+G39)</f>
        <v/>
      </c>
      <c r="I39" s="12" t="n"/>
      <c r="J39" s="12" t="n"/>
      <c r="K39" s="12" t="n"/>
      <c r="L39" s="12" t="n"/>
    </row>
    <row r="40" ht="22" customHeight="1">
      <c r="B40" s="16">
        <f>IF(C40="","MED-"&amp;TEXT(COUNTA($C$5:C40),"000"))</f>
        <v/>
      </c>
      <c r="C40" s="14" t="n"/>
      <c r="D40" s="14" t="n"/>
      <c r="E40" s="14" t="n"/>
      <c r="F40" s="26" t="n"/>
      <c r="G40" s="24" t="n"/>
      <c r="H40" s="26">
        <f>IF(F40="","",F40+G40)</f>
        <v/>
      </c>
      <c r="I40" s="14" t="n"/>
      <c r="J40" s="14" t="n"/>
      <c r="K40" s="14" t="n"/>
      <c r="L40" s="14" t="n"/>
    </row>
    <row r="41" ht="22" customHeight="1">
      <c r="B41" s="17">
        <f>IF(C41="","MED-"&amp;TEXT(COUNTA($C$5:C41),"000"))</f>
        <v/>
      </c>
      <c r="C41" s="12" t="n"/>
      <c r="D41" s="12" t="n"/>
      <c r="E41" s="12" t="n"/>
      <c r="F41" s="25" t="n"/>
      <c r="G41" s="23" t="n"/>
      <c r="H41" s="25">
        <f>IF(F41="","",F41+G41)</f>
        <v/>
      </c>
      <c r="I41" s="12" t="n"/>
      <c r="J41" s="12" t="n"/>
      <c r="K41" s="12" t="n"/>
      <c r="L41" s="12" t="n"/>
    </row>
    <row r="42" ht="22" customHeight="1">
      <c r="B42" s="16">
        <f>IF(C42="","MED-"&amp;TEXT(COUNTA($C$5:C42),"000"))</f>
        <v/>
      </c>
      <c r="C42" s="14" t="n"/>
      <c r="D42" s="14" t="n"/>
      <c r="E42" s="14" t="n"/>
      <c r="F42" s="26" t="n"/>
      <c r="G42" s="24" t="n"/>
      <c r="H42" s="26">
        <f>IF(F42="","",F42+G42)</f>
        <v/>
      </c>
      <c r="I42" s="14" t="n"/>
      <c r="J42" s="14" t="n"/>
      <c r="K42" s="14" t="n"/>
      <c r="L42" s="14" t="n"/>
    </row>
    <row r="43" ht="22" customHeight="1">
      <c r="B43" s="17">
        <f>IF(C43="","MED-"&amp;TEXT(COUNTA($C$5:C43),"000"))</f>
        <v/>
      </c>
      <c r="C43" s="12" t="n"/>
      <c r="D43" s="12" t="n"/>
      <c r="E43" s="12" t="n"/>
      <c r="F43" s="25" t="n"/>
      <c r="G43" s="23" t="n"/>
      <c r="H43" s="25">
        <f>IF(F43="","",F43+G43)</f>
        <v/>
      </c>
      <c r="I43" s="12" t="n"/>
      <c r="J43" s="12" t="n"/>
      <c r="K43" s="12" t="n"/>
      <c r="L43" s="12" t="n"/>
    </row>
    <row r="44" ht="22" customHeight="1">
      <c r="B44" s="16">
        <f>IF(C44="","MED-"&amp;TEXT(COUNTA($C$5:C44),"000"))</f>
        <v/>
      </c>
      <c r="C44" s="14" t="n"/>
      <c r="D44" s="14" t="n"/>
      <c r="E44" s="14" t="n"/>
      <c r="F44" s="26" t="n"/>
      <c r="G44" s="24" t="n"/>
      <c r="H44" s="26">
        <f>IF(F44="","",F44+G44)</f>
        <v/>
      </c>
      <c r="I44" s="14" t="n"/>
      <c r="J44" s="14" t="n"/>
      <c r="K44" s="14" t="n"/>
      <c r="L44" s="14" t="n"/>
    </row>
    <row r="45" ht="22" customHeight="1">
      <c r="B45" s="17">
        <f>IF(C45="","MED-"&amp;TEXT(COUNTA($C$5:C45),"000"))</f>
        <v/>
      </c>
      <c r="C45" s="12" t="n"/>
      <c r="D45" s="12" t="n"/>
      <c r="E45" s="12" t="n"/>
      <c r="F45" s="25" t="n"/>
      <c r="G45" s="23" t="n"/>
      <c r="H45" s="25">
        <f>IF(F45="","",F45+G45)</f>
        <v/>
      </c>
      <c r="I45" s="12" t="n"/>
      <c r="J45" s="12" t="n"/>
      <c r="K45" s="12" t="n"/>
      <c r="L45" s="12" t="n"/>
    </row>
    <row r="46" ht="22" customHeight="1">
      <c r="B46" s="16">
        <f>IF(C46="","MED-"&amp;TEXT(COUNTA($C$5:C46),"000"))</f>
        <v/>
      </c>
      <c r="C46" s="14" t="n"/>
      <c r="D46" s="14" t="n"/>
      <c r="E46" s="14" t="n"/>
      <c r="F46" s="26" t="n"/>
      <c r="G46" s="24" t="n"/>
      <c r="H46" s="26">
        <f>IF(F46="","",F46+G46)</f>
        <v/>
      </c>
      <c r="I46" s="14" t="n"/>
      <c r="J46" s="14" t="n"/>
      <c r="K46" s="14" t="n"/>
      <c r="L46" s="14" t="n"/>
    </row>
    <row r="47" ht="22" customHeight="1">
      <c r="B47" s="17">
        <f>IF(C47="","MED-"&amp;TEXT(COUNTA($C$5:C47),"000"))</f>
        <v/>
      </c>
      <c r="C47" s="12" t="n"/>
      <c r="D47" s="12" t="n"/>
      <c r="E47" s="12" t="n"/>
      <c r="F47" s="25" t="n"/>
      <c r="G47" s="23" t="n"/>
      <c r="H47" s="25">
        <f>IF(F47="","",F47+G47)</f>
        <v/>
      </c>
      <c r="I47" s="12" t="n"/>
      <c r="J47" s="12" t="n"/>
      <c r="K47" s="12" t="n"/>
      <c r="L47" s="12" t="n"/>
    </row>
    <row r="48" ht="22" customHeight="1">
      <c r="B48" s="16">
        <f>IF(C48="","MED-"&amp;TEXT(COUNTA($C$5:C48),"000"))</f>
        <v/>
      </c>
      <c r="C48" s="14" t="n"/>
      <c r="D48" s="14" t="n"/>
      <c r="E48" s="14" t="n"/>
      <c r="F48" s="26" t="n"/>
      <c r="G48" s="24" t="n"/>
      <c r="H48" s="26">
        <f>IF(F48="","",F48+G48)</f>
        <v/>
      </c>
      <c r="I48" s="14" t="n"/>
      <c r="J48" s="14" t="n"/>
      <c r="K48" s="14" t="n"/>
      <c r="L48" s="14" t="n"/>
    </row>
    <row r="49" ht="22" customHeight="1">
      <c r="B49" s="17">
        <f>IF(C49="","MED-"&amp;TEXT(COUNTA($C$5:C49),"000"))</f>
        <v/>
      </c>
      <c r="C49" s="12" t="n"/>
      <c r="D49" s="12" t="n"/>
      <c r="E49" s="12" t="n"/>
      <c r="F49" s="25" t="n"/>
      <c r="G49" s="23" t="n"/>
      <c r="H49" s="25">
        <f>IF(F49="","",F49+G49)</f>
        <v/>
      </c>
      <c r="I49" s="12" t="n"/>
      <c r="J49" s="12" t="n"/>
      <c r="K49" s="12" t="n"/>
      <c r="L49" s="12" t="n"/>
    </row>
    <row r="50" ht="22" customHeight="1">
      <c r="B50" s="16">
        <f>IF(C50="","MED-"&amp;TEXT(COUNTA($C$5:C50),"000"))</f>
        <v/>
      </c>
      <c r="C50" s="14" t="n"/>
      <c r="D50" s="14" t="n"/>
      <c r="E50" s="14" t="n"/>
      <c r="F50" s="26" t="n"/>
      <c r="G50" s="24" t="n"/>
      <c r="H50" s="26">
        <f>IF(F50="","",F50+G50)</f>
        <v/>
      </c>
      <c r="I50" s="14" t="n"/>
      <c r="J50" s="14" t="n"/>
      <c r="K50" s="14" t="n"/>
      <c r="L50" s="14" t="n"/>
    </row>
    <row r="51" ht="22" customHeight="1">
      <c r="B51" s="17">
        <f>IF(C51="","MED-"&amp;TEXT(COUNTA($C$5:C51),"000"))</f>
        <v/>
      </c>
      <c r="C51" s="12" t="n"/>
      <c r="D51" s="12" t="n"/>
      <c r="E51" s="12" t="n"/>
      <c r="F51" s="25" t="n"/>
      <c r="G51" s="23" t="n"/>
      <c r="H51" s="25">
        <f>IF(F51="","",F51+G51)</f>
        <v/>
      </c>
      <c r="I51" s="12" t="n"/>
      <c r="J51" s="12" t="n"/>
      <c r="K51" s="12" t="n"/>
      <c r="L51" s="12" t="n"/>
    </row>
    <row r="52" ht="22" customHeight="1">
      <c r="B52" s="16">
        <f>IF(C52="","MED-"&amp;TEXT(COUNTA($C$5:C52),"000"))</f>
        <v/>
      </c>
      <c r="C52" s="14" t="n"/>
      <c r="D52" s="14" t="n"/>
      <c r="E52" s="14" t="n"/>
      <c r="F52" s="26" t="n"/>
      <c r="G52" s="24" t="n"/>
      <c r="H52" s="26">
        <f>IF(F52="","",F52+G52)</f>
        <v/>
      </c>
      <c r="I52" s="14" t="n"/>
      <c r="J52" s="14" t="n"/>
      <c r="K52" s="14" t="n"/>
      <c r="L52" s="14" t="n"/>
    </row>
    <row r="53" ht="22" customHeight="1">
      <c r="B53" s="17">
        <f>IF(C53="","MED-"&amp;TEXT(COUNTA($C$5:C53),"000"))</f>
        <v/>
      </c>
      <c r="C53" s="12" t="n"/>
      <c r="D53" s="12" t="n"/>
      <c r="E53" s="12" t="n"/>
      <c r="F53" s="25" t="n"/>
      <c r="G53" s="23" t="n"/>
      <c r="H53" s="25">
        <f>IF(F53="","",F53+G53)</f>
        <v/>
      </c>
      <c r="I53" s="12" t="n"/>
      <c r="J53" s="12" t="n"/>
      <c r="K53" s="12" t="n"/>
      <c r="L53" s="12" t="n"/>
    </row>
    <row r="54" ht="22" customHeight="1">
      <c r="B54" s="16">
        <f>IF(C54="","MED-"&amp;TEXT(COUNTA($C$5:C54),"000"))</f>
        <v/>
      </c>
      <c r="C54" s="14" t="n"/>
      <c r="D54" s="14" t="n"/>
      <c r="E54" s="14" t="n"/>
      <c r="F54" s="26" t="n"/>
      <c r="G54" s="24" t="n"/>
      <c r="H54" s="26">
        <f>IF(F54="","",F54+G54)</f>
        <v/>
      </c>
      <c r="I54" s="14" t="n"/>
      <c r="J54" s="14" t="n"/>
      <c r="K54" s="14" t="n"/>
      <c r="L54" s="14" t="n"/>
    </row>
    <row r="55" ht="22" customHeight="1">
      <c r="B55" s="17">
        <f>IF(C55="","MED-"&amp;TEXT(COUNTA($C$5:C55),"000"))</f>
        <v/>
      </c>
      <c r="C55" s="12" t="n"/>
      <c r="D55" s="12" t="n"/>
      <c r="E55" s="12" t="n"/>
      <c r="F55" s="25" t="n"/>
      <c r="G55" s="23" t="n"/>
      <c r="H55" s="25">
        <f>IF(F55="","",F55+G55)</f>
        <v/>
      </c>
      <c r="I55" s="12" t="n"/>
      <c r="J55" s="12" t="n"/>
      <c r="K55" s="12" t="n"/>
      <c r="L55" s="12" t="n"/>
    </row>
    <row r="56" ht="22" customHeight="1">
      <c r="B56" s="16">
        <f>IF(C56="","MED-"&amp;TEXT(COUNTA($C$5:C56),"000"))</f>
        <v/>
      </c>
      <c r="C56" s="14" t="n"/>
      <c r="D56" s="14" t="n"/>
      <c r="E56" s="14" t="n"/>
      <c r="F56" s="26" t="n"/>
      <c r="G56" s="24" t="n"/>
      <c r="H56" s="26">
        <f>IF(F56="","",F56+G56)</f>
        <v/>
      </c>
      <c r="I56" s="14" t="n"/>
      <c r="J56" s="14" t="n"/>
      <c r="K56" s="14" t="n"/>
      <c r="L56" s="14" t="n"/>
    </row>
    <row r="57" ht="22" customHeight="1">
      <c r="B57" s="17">
        <f>IF(C57="","MED-"&amp;TEXT(COUNTA($C$5:C57),"000"))</f>
        <v/>
      </c>
      <c r="C57" s="12" t="n"/>
      <c r="D57" s="12" t="n"/>
      <c r="E57" s="12" t="n"/>
      <c r="F57" s="25" t="n"/>
      <c r="G57" s="23" t="n"/>
      <c r="H57" s="25">
        <f>IF(F57="","",F57+G57)</f>
        <v/>
      </c>
      <c r="I57" s="12" t="n"/>
      <c r="J57" s="12" t="n"/>
      <c r="K57" s="12" t="n"/>
      <c r="L57" s="12" t="n"/>
    </row>
    <row r="58" ht="22" customHeight="1">
      <c r="B58" s="16">
        <f>IF(C58="","MED-"&amp;TEXT(COUNTA($C$5:C58),"000"))</f>
        <v/>
      </c>
      <c r="C58" s="14" t="n"/>
      <c r="D58" s="14" t="n"/>
      <c r="E58" s="14" t="n"/>
      <c r="F58" s="26" t="n"/>
      <c r="G58" s="24" t="n"/>
      <c r="H58" s="26">
        <f>IF(F58="","",F58+G58)</f>
        <v/>
      </c>
      <c r="I58" s="14" t="n"/>
      <c r="J58" s="14" t="n"/>
      <c r="K58" s="14" t="n"/>
      <c r="L58" s="14" t="n"/>
    </row>
    <row r="59" ht="22" customHeight="1">
      <c r="B59" s="17">
        <f>IF(C59="","MED-"&amp;TEXT(COUNTA($C$5:C59),"000"))</f>
        <v/>
      </c>
      <c r="C59" s="12" t="n"/>
      <c r="D59" s="12" t="n"/>
      <c r="E59" s="12" t="n"/>
      <c r="F59" s="25" t="n"/>
      <c r="G59" s="23" t="n"/>
      <c r="H59" s="25">
        <f>IF(F59="","",F59+G59)</f>
        <v/>
      </c>
      <c r="I59" s="12" t="n"/>
      <c r="J59" s="12" t="n"/>
      <c r="K59" s="12" t="n"/>
      <c r="L59" s="12" t="n"/>
    </row>
    <row r="60" ht="22" customHeight="1">
      <c r="B60" s="16">
        <f>IF(C60="","MED-"&amp;TEXT(COUNTA($C$5:C60),"000"))</f>
        <v/>
      </c>
      <c r="C60" s="14" t="n"/>
      <c r="D60" s="14" t="n"/>
      <c r="E60" s="14" t="n"/>
      <c r="F60" s="26" t="n"/>
      <c r="G60" s="24" t="n"/>
      <c r="H60" s="26">
        <f>IF(F60="","",F60+G60)</f>
        <v/>
      </c>
      <c r="I60" s="14" t="n"/>
      <c r="J60" s="14" t="n"/>
      <c r="K60" s="14" t="n"/>
      <c r="L60" s="14" t="n"/>
    </row>
    <row r="61" ht="22" customHeight="1">
      <c r="B61" s="17">
        <f>IF(C61="","MED-"&amp;TEXT(COUNTA($C$5:C61),"000"))</f>
        <v/>
      </c>
      <c r="C61" s="12" t="n"/>
      <c r="D61" s="12" t="n"/>
      <c r="E61" s="12" t="n"/>
      <c r="F61" s="25" t="n"/>
      <c r="G61" s="23" t="n"/>
      <c r="H61" s="25">
        <f>IF(F61="","",F61+G61)</f>
        <v/>
      </c>
      <c r="I61" s="12" t="n"/>
      <c r="J61" s="12" t="n"/>
      <c r="K61" s="12" t="n"/>
      <c r="L61" s="12" t="n"/>
    </row>
    <row r="62" ht="22" customHeight="1">
      <c r="B62" s="16">
        <f>IF(C62="","MED-"&amp;TEXT(COUNTA($C$5:C62),"000"))</f>
        <v/>
      </c>
      <c r="C62" s="14" t="n"/>
      <c r="D62" s="14" t="n"/>
      <c r="E62" s="14" t="n"/>
      <c r="F62" s="26" t="n"/>
      <c r="G62" s="24" t="n"/>
      <c r="H62" s="26">
        <f>IF(F62="","",F62+G62)</f>
        <v/>
      </c>
      <c r="I62" s="14" t="n"/>
      <c r="J62" s="14" t="n"/>
      <c r="K62" s="14" t="n"/>
      <c r="L62" s="14" t="n"/>
    </row>
    <row r="63" ht="22" customHeight="1">
      <c r="B63" s="17">
        <f>IF(C63="","MED-"&amp;TEXT(COUNTA($C$5:C63),"000"))</f>
        <v/>
      </c>
      <c r="C63" s="12" t="n"/>
      <c r="D63" s="12" t="n"/>
      <c r="E63" s="12" t="n"/>
      <c r="F63" s="25" t="n"/>
      <c r="G63" s="23" t="n"/>
      <c r="H63" s="25">
        <f>IF(F63="","",F63+G63)</f>
        <v/>
      </c>
      <c r="I63" s="12" t="n"/>
      <c r="J63" s="12" t="n"/>
      <c r="K63" s="12" t="n"/>
      <c r="L63" s="12" t="n"/>
    </row>
    <row r="64" ht="22" customHeight="1">
      <c r="B64" s="16">
        <f>IF(C64="","MED-"&amp;TEXT(COUNTA($C$5:C64),"000"))</f>
        <v/>
      </c>
      <c r="C64" s="14" t="n"/>
      <c r="D64" s="14" t="n"/>
      <c r="E64" s="14" t="n"/>
      <c r="F64" s="26" t="n"/>
      <c r="G64" s="24" t="n"/>
      <c r="H64" s="26">
        <f>IF(F64="","",F64+G64)</f>
        <v/>
      </c>
      <c r="I64" s="14" t="n"/>
      <c r="J64" s="14" t="n"/>
      <c r="K64" s="14" t="n"/>
      <c r="L64" s="14" t="n"/>
    </row>
    <row r="65" ht="22" customHeight="1">
      <c r="B65" s="17">
        <f>IF(C65="","MED-"&amp;TEXT(COUNTA($C$5:C65),"000"))</f>
        <v/>
      </c>
      <c r="C65" s="12" t="n"/>
      <c r="D65" s="12" t="n"/>
      <c r="E65" s="12" t="n"/>
      <c r="F65" s="25" t="n"/>
      <c r="G65" s="23" t="n"/>
      <c r="H65" s="25">
        <f>IF(F65="","",F65+G65)</f>
        <v/>
      </c>
      <c r="I65" s="12" t="n"/>
      <c r="J65" s="12" t="n"/>
      <c r="K65" s="12" t="n"/>
      <c r="L65" s="12" t="n"/>
    </row>
    <row r="66" ht="22" customHeight="1">
      <c r="B66" s="16">
        <f>IF(C66="","MED-"&amp;TEXT(COUNTA($C$5:C66),"000"))</f>
        <v/>
      </c>
      <c r="C66" s="14" t="n"/>
      <c r="D66" s="14" t="n"/>
      <c r="E66" s="14" t="n"/>
      <c r="F66" s="26" t="n"/>
      <c r="G66" s="24" t="n"/>
      <c r="H66" s="26">
        <f>IF(F66="","",F66+G66)</f>
        <v/>
      </c>
      <c r="I66" s="14" t="n"/>
      <c r="J66" s="14" t="n"/>
      <c r="K66" s="14" t="n"/>
      <c r="L66" s="14" t="n"/>
    </row>
    <row r="67" ht="22" customHeight="1">
      <c r="B67" s="17">
        <f>IF(C67="","MED-"&amp;TEXT(COUNTA($C$5:C67),"000"))</f>
        <v/>
      </c>
      <c r="C67" s="12" t="n"/>
      <c r="D67" s="12" t="n"/>
      <c r="E67" s="12" t="n"/>
      <c r="F67" s="25" t="n"/>
      <c r="G67" s="23" t="n"/>
      <c r="H67" s="25">
        <f>IF(F67="","",F67+G67)</f>
        <v/>
      </c>
      <c r="I67" s="12" t="n"/>
      <c r="J67" s="12" t="n"/>
      <c r="K67" s="12" t="n"/>
      <c r="L67" s="12" t="n"/>
    </row>
    <row r="68" ht="22" customHeight="1">
      <c r="B68" s="16">
        <f>IF(C68="","MED-"&amp;TEXT(COUNTA($C$5:C68),"000"))</f>
        <v/>
      </c>
      <c r="C68" s="14" t="n"/>
      <c r="D68" s="14" t="n"/>
      <c r="E68" s="14" t="n"/>
      <c r="F68" s="26" t="n"/>
      <c r="G68" s="24" t="n"/>
      <c r="H68" s="26">
        <f>IF(F68="","",F68+G68)</f>
        <v/>
      </c>
      <c r="I68" s="14" t="n"/>
      <c r="J68" s="14" t="n"/>
      <c r="K68" s="14" t="n"/>
      <c r="L68" s="14" t="n"/>
    </row>
    <row r="69" ht="22" customHeight="1">
      <c r="B69" s="17">
        <f>IF(C69="","MED-"&amp;TEXT(COUNTA($C$5:C69),"000"))</f>
        <v/>
      </c>
      <c r="C69" s="12" t="n"/>
      <c r="D69" s="12" t="n"/>
      <c r="E69" s="12" t="n"/>
      <c r="F69" s="25" t="n"/>
      <c r="G69" s="23" t="n"/>
      <c r="H69" s="25">
        <f>IF(F69="","",F69+G69)</f>
        <v/>
      </c>
      <c r="I69" s="12" t="n"/>
      <c r="J69" s="12" t="n"/>
      <c r="K69" s="12" t="n"/>
      <c r="L69" s="12" t="n"/>
    </row>
    <row r="70" ht="22" customHeight="1">
      <c r="B70" s="16">
        <f>IF(C70="","MED-"&amp;TEXT(COUNTA($C$5:C70),"000"))</f>
        <v/>
      </c>
      <c r="C70" s="14" t="n"/>
      <c r="D70" s="14" t="n"/>
      <c r="E70" s="14" t="n"/>
      <c r="F70" s="26" t="n"/>
      <c r="G70" s="24" t="n"/>
      <c r="H70" s="26">
        <f>IF(F70="","",F70+G70)</f>
        <v/>
      </c>
      <c r="I70" s="14" t="n"/>
      <c r="J70" s="14" t="n"/>
      <c r="K70" s="14" t="n"/>
      <c r="L70" s="14" t="n"/>
    </row>
    <row r="71" ht="22" customHeight="1">
      <c r="B71" s="17">
        <f>IF(C71="","MED-"&amp;TEXT(COUNTA($C$5:C71),"000"))</f>
        <v/>
      </c>
      <c r="C71" s="12" t="n"/>
      <c r="D71" s="12" t="n"/>
      <c r="E71" s="12" t="n"/>
      <c r="F71" s="25" t="n"/>
      <c r="G71" s="23" t="n"/>
      <c r="H71" s="25">
        <f>IF(F71="","",F71+G71)</f>
        <v/>
      </c>
      <c r="I71" s="12" t="n"/>
      <c r="J71" s="12" t="n"/>
      <c r="K71" s="12" t="n"/>
      <c r="L71" s="12" t="n"/>
    </row>
    <row r="72" ht="22" customHeight="1">
      <c r="B72" s="16">
        <f>IF(C72="","MED-"&amp;TEXT(COUNTA($C$5:C72),"000"))</f>
        <v/>
      </c>
      <c r="C72" s="14" t="n"/>
      <c r="D72" s="14" t="n"/>
      <c r="E72" s="14" t="n"/>
      <c r="F72" s="26" t="n"/>
      <c r="G72" s="24" t="n"/>
      <c r="H72" s="26">
        <f>IF(F72="","",F72+G72)</f>
        <v/>
      </c>
      <c r="I72" s="14" t="n"/>
      <c r="J72" s="14" t="n"/>
      <c r="K72" s="14" t="n"/>
      <c r="L72" s="14" t="n"/>
    </row>
    <row r="73" ht="22" customHeight="1">
      <c r="B73" s="17">
        <f>IF(C73="","MED-"&amp;TEXT(COUNTA($C$5:C73),"000"))</f>
        <v/>
      </c>
      <c r="C73" s="12" t="n"/>
      <c r="D73" s="12" t="n"/>
      <c r="E73" s="12" t="n"/>
      <c r="F73" s="25" t="n"/>
      <c r="G73" s="23" t="n"/>
      <c r="H73" s="25">
        <f>IF(F73="","",F73+G73)</f>
        <v/>
      </c>
      <c r="I73" s="12" t="n"/>
      <c r="J73" s="12" t="n"/>
      <c r="K73" s="12" t="n"/>
      <c r="L73" s="12" t="n"/>
    </row>
    <row r="74" ht="22" customHeight="1">
      <c r="B74" s="16">
        <f>IF(C74="","MED-"&amp;TEXT(COUNTA($C$5:C74),"000"))</f>
        <v/>
      </c>
      <c r="C74" s="14" t="n"/>
      <c r="D74" s="14" t="n"/>
      <c r="E74" s="14" t="n"/>
      <c r="F74" s="26" t="n"/>
      <c r="G74" s="24" t="n"/>
      <c r="H74" s="26">
        <f>IF(F74="","",F74+G74)</f>
        <v/>
      </c>
      <c r="I74" s="14" t="n"/>
      <c r="J74" s="14" t="n"/>
      <c r="K74" s="14" t="n"/>
      <c r="L74" s="14" t="n"/>
    </row>
    <row r="75" ht="22" customHeight="1">
      <c r="B75" s="17">
        <f>IF(C75="","MED-"&amp;TEXT(COUNTA($C$5:C75),"000"))</f>
        <v/>
      </c>
      <c r="C75" s="12" t="n"/>
      <c r="D75" s="12" t="n"/>
      <c r="E75" s="12" t="n"/>
      <c r="F75" s="25" t="n"/>
      <c r="G75" s="23" t="n"/>
      <c r="H75" s="25">
        <f>IF(F75="","",F75+G75)</f>
        <v/>
      </c>
      <c r="I75" s="12" t="n"/>
      <c r="J75" s="12" t="n"/>
      <c r="K75" s="12" t="n"/>
      <c r="L75" s="12" t="n"/>
    </row>
    <row r="76" ht="22" customHeight="1">
      <c r="B76" s="16">
        <f>IF(C76="","MED-"&amp;TEXT(COUNTA($C$5:C76),"000"))</f>
        <v/>
      </c>
      <c r="C76" s="14" t="n"/>
      <c r="D76" s="14" t="n"/>
      <c r="E76" s="14" t="n"/>
      <c r="F76" s="26" t="n"/>
      <c r="G76" s="24" t="n"/>
      <c r="H76" s="26">
        <f>IF(F76="","",F76+G76)</f>
        <v/>
      </c>
      <c r="I76" s="14" t="n"/>
      <c r="J76" s="14" t="n"/>
      <c r="K76" s="14" t="n"/>
      <c r="L76" s="14" t="n"/>
    </row>
    <row r="77" ht="22" customHeight="1">
      <c r="B77" s="17">
        <f>IF(C77="","MED-"&amp;TEXT(COUNTA($C$5:C77),"000"))</f>
        <v/>
      </c>
      <c r="C77" s="12" t="n"/>
      <c r="D77" s="12" t="n"/>
      <c r="E77" s="12" t="n"/>
      <c r="F77" s="25" t="n"/>
      <c r="G77" s="23" t="n"/>
      <c r="H77" s="25">
        <f>IF(F77="","",F77+G77)</f>
        <v/>
      </c>
      <c r="I77" s="12" t="n"/>
      <c r="J77" s="12" t="n"/>
      <c r="K77" s="12" t="n"/>
      <c r="L77" s="12" t="n"/>
    </row>
    <row r="78" ht="22" customHeight="1">
      <c r="B78" s="16">
        <f>IF(C78="","MED-"&amp;TEXT(COUNTA($C$5:C78),"000"))</f>
        <v/>
      </c>
      <c r="C78" s="14" t="n"/>
      <c r="D78" s="14" t="n"/>
      <c r="E78" s="14" t="n"/>
      <c r="F78" s="26" t="n"/>
      <c r="G78" s="24" t="n"/>
      <c r="H78" s="26">
        <f>IF(F78="","",F78+G78)</f>
        <v/>
      </c>
      <c r="I78" s="14" t="n"/>
      <c r="J78" s="14" t="n"/>
      <c r="K78" s="14" t="n"/>
      <c r="L78" s="14" t="n"/>
    </row>
    <row r="79" ht="22" customHeight="1">
      <c r="B79" s="17">
        <f>IF(C79="","MED-"&amp;TEXT(COUNTA($C$5:C79),"000"))</f>
        <v/>
      </c>
      <c r="C79" s="12" t="n"/>
      <c r="D79" s="12" t="n"/>
      <c r="E79" s="12" t="n"/>
      <c r="F79" s="25" t="n"/>
      <c r="G79" s="23" t="n"/>
      <c r="H79" s="25">
        <f>IF(F79="","",F79+G79)</f>
        <v/>
      </c>
      <c r="I79" s="12" t="n"/>
      <c r="J79" s="12" t="n"/>
      <c r="K79" s="12" t="n"/>
      <c r="L79" s="12" t="n"/>
    </row>
    <row r="80" ht="22" customHeight="1">
      <c r="B80" s="16">
        <f>IF(C80="","MED-"&amp;TEXT(COUNTA($C$5:C80),"000"))</f>
        <v/>
      </c>
      <c r="C80" s="14" t="n"/>
      <c r="D80" s="14" t="n"/>
      <c r="E80" s="14" t="n"/>
      <c r="F80" s="26" t="n"/>
      <c r="G80" s="24" t="n"/>
      <c r="H80" s="26">
        <f>IF(F80="","",F80+G80)</f>
        <v/>
      </c>
      <c r="I80" s="14" t="n"/>
      <c r="J80" s="14" t="n"/>
      <c r="K80" s="14" t="n"/>
      <c r="L80" s="14" t="n"/>
    </row>
    <row r="81" ht="22" customHeight="1">
      <c r="B81" s="17">
        <f>IF(C81="","MED-"&amp;TEXT(COUNTA($C$5:C81),"000"))</f>
        <v/>
      </c>
      <c r="C81" s="12" t="n"/>
      <c r="D81" s="12" t="n"/>
      <c r="E81" s="12" t="n"/>
      <c r="F81" s="25" t="n"/>
      <c r="G81" s="23" t="n"/>
      <c r="H81" s="25">
        <f>IF(F81="","",F81+G81)</f>
        <v/>
      </c>
      <c r="I81" s="12" t="n"/>
      <c r="J81" s="12" t="n"/>
      <c r="K81" s="12" t="n"/>
      <c r="L81" s="12" t="n"/>
    </row>
    <row r="82" ht="22" customHeight="1">
      <c r="B82" s="16">
        <f>IF(C82="","MED-"&amp;TEXT(COUNTA($C$5:C82),"000"))</f>
        <v/>
      </c>
      <c r="C82" s="14" t="n"/>
      <c r="D82" s="14" t="n"/>
      <c r="E82" s="14" t="n"/>
      <c r="F82" s="26" t="n"/>
      <c r="G82" s="24" t="n"/>
      <c r="H82" s="26">
        <f>IF(F82="","",F82+G82)</f>
        <v/>
      </c>
      <c r="I82" s="14" t="n"/>
      <c r="J82" s="14" t="n"/>
      <c r="K82" s="14" t="n"/>
      <c r="L82" s="14" t="n"/>
    </row>
    <row r="83" ht="22" customHeight="1">
      <c r="B83" s="17">
        <f>IF(C83="","MED-"&amp;TEXT(COUNTA($C$5:C83),"000"))</f>
        <v/>
      </c>
      <c r="C83" s="12" t="n"/>
      <c r="D83" s="12" t="n"/>
      <c r="E83" s="12" t="n"/>
      <c r="F83" s="25" t="n"/>
      <c r="G83" s="23" t="n"/>
      <c r="H83" s="25">
        <f>IF(F83="","",F83+G83)</f>
        <v/>
      </c>
      <c r="I83" s="12" t="n"/>
      <c r="J83" s="12" t="n"/>
      <c r="K83" s="12" t="n"/>
      <c r="L83" s="12" t="n"/>
    </row>
    <row r="84" ht="22" customHeight="1">
      <c r="B84" s="16">
        <f>IF(C84="","MED-"&amp;TEXT(COUNTA($C$5:C84),"000"))</f>
        <v/>
      </c>
      <c r="C84" s="14" t="n"/>
      <c r="D84" s="14" t="n"/>
      <c r="E84" s="14" t="n"/>
      <c r="F84" s="26" t="n"/>
      <c r="G84" s="24" t="n"/>
      <c r="H84" s="26">
        <f>IF(F84="","",F84+G84)</f>
        <v/>
      </c>
      <c r="I84" s="14" t="n"/>
      <c r="J84" s="14" t="n"/>
      <c r="K84" s="14" t="n"/>
      <c r="L84" s="14" t="n"/>
    </row>
    <row r="85" ht="22" customHeight="1">
      <c r="B85" s="17">
        <f>IF(C85="","MED-"&amp;TEXT(COUNTA($C$5:C85),"000"))</f>
        <v/>
      </c>
      <c r="C85" s="12" t="n"/>
      <c r="D85" s="12" t="n"/>
      <c r="E85" s="12" t="n"/>
      <c r="F85" s="25" t="n"/>
      <c r="G85" s="23" t="n"/>
      <c r="H85" s="25">
        <f>IF(F85="","",F85+G85)</f>
        <v/>
      </c>
      <c r="I85" s="12" t="n"/>
      <c r="J85" s="12" t="n"/>
      <c r="K85" s="12" t="n"/>
      <c r="L85" s="12" t="n"/>
    </row>
    <row r="86" ht="22" customHeight="1">
      <c r="B86" s="16">
        <f>IF(C86="","MED-"&amp;TEXT(COUNTA($C$5:C86),"000"))</f>
        <v/>
      </c>
      <c r="C86" s="14" t="n"/>
      <c r="D86" s="14" t="n"/>
      <c r="E86" s="14" t="n"/>
      <c r="F86" s="26" t="n"/>
      <c r="G86" s="24" t="n"/>
      <c r="H86" s="26">
        <f>IF(F86="","",F86+G86)</f>
        <v/>
      </c>
      <c r="I86" s="14" t="n"/>
      <c r="J86" s="14" t="n"/>
      <c r="K86" s="14" t="n"/>
      <c r="L86" s="14" t="n"/>
    </row>
    <row r="87" ht="22" customHeight="1">
      <c r="B87" s="17">
        <f>IF(C87="","MED-"&amp;TEXT(COUNTA($C$5:C87),"000"))</f>
        <v/>
      </c>
      <c r="C87" s="12" t="n"/>
      <c r="D87" s="12" t="n"/>
      <c r="E87" s="12" t="n"/>
      <c r="F87" s="25" t="n"/>
      <c r="G87" s="23" t="n"/>
      <c r="H87" s="25">
        <f>IF(F87="","",F87+G87)</f>
        <v/>
      </c>
      <c r="I87" s="12" t="n"/>
      <c r="J87" s="12" t="n"/>
      <c r="K87" s="12" t="n"/>
      <c r="L87" s="12" t="n"/>
    </row>
    <row r="88" ht="22" customHeight="1">
      <c r="B88" s="16">
        <f>IF(C88="","MED-"&amp;TEXT(COUNTA($C$5:C88),"000"))</f>
        <v/>
      </c>
      <c r="C88" s="14" t="n"/>
      <c r="D88" s="14" t="n"/>
      <c r="E88" s="14" t="n"/>
      <c r="F88" s="26" t="n"/>
      <c r="G88" s="24" t="n"/>
      <c r="H88" s="26">
        <f>IF(F88="","",F88+G88)</f>
        <v/>
      </c>
      <c r="I88" s="14" t="n"/>
      <c r="J88" s="14" t="n"/>
      <c r="K88" s="14" t="n"/>
      <c r="L88" s="14" t="n"/>
    </row>
    <row r="89" ht="22" customHeight="1">
      <c r="B89" s="17">
        <f>IF(C89="","MED-"&amp;TEXT(COUNTA($C$5:C89),"000"))</f>
        <v/>
      </c>
      <c r="C89" s="12" t="n"/>
      <c r="D89" s="12" t="n"/>
      <c r="E89" s="12" t="n"/>
      <c r="F89" s="25" t="n"/>
      <c r="G89" s="23" t="n"/>
      <c r="H89" s="25">
        <f>IF(F89="","",F89+G89)</f>
        <v/>
      </c>
      <c r="I89" s="12" t="n"/>
      <c r="J89" s="12" t="n"/>
      <c r="K89" s="12" t="n"/>
      <c r="L89" s="12" t="n"/>
    </row>
    <row r="90" ht="22" customHeight="1">
      <c r="B90" s="16">
        <f>IF(C90="","MED-"&amp;TEXT(COUNTA($C$5:C90),"000"))</f>
        <v/>
      </c>
      <c r="C90" s="14" t="n"/>
      <c r="D90" s="14" t="n"/>
      <c r="E90" s="14" t="n"/>
      <c r="F90" s="26" t="n"/>
      <c r="G90" s="24" t="n"/>
      <c r="H90" s="26">
        <f>IF(F90="","",F90+G90)</f>
        <v/>
      </c>
      <c r="I90" s="14" t="n"/>
      <c r="J90" s="14" t="n"/>
      <c r="K90" s="14" t="n"/>
      <c r="L90" s="14" t="n"/>
    </row>
    <row r="91" ht="22" customHeight="1">
      <c r="B91" s="17">
        <f>IF(C91="","MED-"&amp;TEXT(COUNTA($C$5:C91),"000"))</f>
        <v/>
      </c>
      <c r="C91" s="12" t="n"/>
      <c r="D91" s="12" t="n"/>
      <c r="E91" s="12" t="n"/>
      <c r="F91" s="25" t="n"/>
      <c r="G91" s="23" t="n"/>
      <c r="H91" s="25">
        <f>IF(F91="","",F91+G91)</f>
        <v/>
      </c>
      <c r="I91" s="12" t="n"/>
      <c r="J91" s="12" t="n"/>
      <c r="K91" s="12" t="n"/>
      <c r="L91" s="12" t="n"/>
    </row>
    <row r="92" ht="22" customHeight="1">
      <c r="B92" s="16">
        <f>IF(C92="","MED-"&amp;TEXT(COUNTA($C$5:C92),"000"))</f>
        <v/>
      </c>
      <c r="C92" s="14" t="n"/>
      <c r="D92" s="14" t="n"/>
      <c r="E92" s="14" t="n"/>
      <c r="F92" s="26" t="n"/>
      <c r="G92" s="24" t="n"/>
      <c r="H92" s="26">
        <f>IF(F92="","",F92+G92)</f>
        <v/>
      </c>
      <c r="I92" s="14" t="n"/>
      <c r="J92" s="14" t="n"/>
      <c r="K92" s="14" t="n"/>
      <c r="L92" s="14" t="n"/>
    </row>
    <row r="93" ht="22" customHeight="1">
      <c r="B93" s="17">
        <f>IF(C93="","MED-"&amp;TEXT(COUNTA($C$5:C93),"000"))</f>
        <v/>
      </c>
      <c r="C93" s="12" t="n"/>
      <c r="D93" s="12" t="n"/>
      <c r="E93" s="12" t="n"/>
      <c r="F93" s="25" t="n"/>
      <c r="G93" s="23" t="n"/>
      <c r="H93" s="25">
        <f>IF(F93="","",F93+G93)</f>
        <v/>
      </c>
      <c r="I93" s="12" t="n"/>
      <c r="J93" s="12" t="n"/>
      <c r="K93" s="12" t="n"/>
      <c r="L93" s="12" t="n"/>
    </row>
    <row r="94" ht="22" customHeight="1">
      <c r="B94" s="16">
        <f>IF(C94="","MED-"&amp;TEXT(COUNTA($C$5:C94),"000"))</f>
        <v/>
      </c>
      <c r="C94" s="14" t="n"/>
      <c r="D94" s="14" t="n"/>
      <c r="E94" s="14" t="n"/>
      <c r="F94" s="26" t="n"/>
      <c r="G94" s="24" t="n"/>
      <c r="H94" s="26">
        <f>IF(F94="","",F94+G94)</f>
        <v/>
      </c>
      <c r="I94" s="14" t="n"/>
      <c r="J94" s="14" t="n"/>
      <c r="K94" s="14" t="n"/>
      <c r="L94" s="14" t="n"/>
    </row>
    <row r="95" ht="22" customHeight="1">
      <c r="B95" s="17">
        <f>IF(C95="","MED-"&amp;TEXT(COUNTA($C$5:C95),"000"))</f>
        <v/>
      </c>
      <c r="C95" s="12" t="n"/>
      <c r="D95" s="12" t="n"/>
      <c r="E95" s="12" t="n"/>
      <c r="F95" s="25" t="n"/>
      <c r="G95" s="23" t="n"/>
      <c r="H95" s="25">
        <f>IF(F95="","",F95+G95)</f>
        <v/>
      </c>
      <c r="I95" s="12" t="n"/>
      <c r="J95" s="12" t="n"/>
      <c r="K95" s="12" t="n"/>
      <c r="L95" s="12" t="n"/>
    </row>
    <row r="96" ht="22" customHeight="1">
      <c r="B96" s="16">
        <f>IF(C96="","MED-"&amp;TEXT(COUNTA($C$5:C96),"000"))</f>
        <v/>
      </c>
      <c r="C96" s="14" t="n"/>
      <c r="D96" s="14" t="n"/>
      <c r="E96" s="14" t="n"/>
      <c r="F96" s="26" t="n"/>
      <c r="G96" s="24" t="n"/>
      <c r="H96" s="26">
        <f>IF(F96="","",F96+G96)</f>
        <v/>
      </c>
      <c r="I96" s="14" t="n"/>
      <c r="J96" s="14" t="n"/>
      <c r="K96" s="14" t="n"/>
      <c r="L96" s="14" t="n"/>
    </row>
    <row r="97" ht="22" customHeight="1">
      <c r="B97" s="17">
        <f>IF(C97="","MED-"&amp;TEXT(COUNTA($C$5:C97),"000"))</f>
        <v/>
      </c>
      <c r="C97" s="12" t="n"/>
      <c r="D97" s="12" t="n"/>
      <c r="E97" s="12" t="n"/>
      <c r="F97" s="25" t="n"/>
      <c r="G97" s="23" t="n"/>
      <c r="H97" s="25">
        <f>IF(F97="","",F97+G97)</f>
        <v/>
      </c>
      <c r="I97" s="12" t="n"/>
      <c r="J97" s="12" t="n"/>
      <c r="K97" s="12" t="n"/>
      <c r="L97" s="12" t="n"/>
    </row>
    <row r="98" ht="22" customHeight="1">
      <c r="B98" s="16">
        <f>IF(C98="","MED-"&amp;TEXT(COUNTA($C$5:C98),"000"))</f>
        <v/>
      </c>
      <c r="C98" s="14" t="n"/>
      <c r="D98" s="14" t="n"/>
      <c r="E98" s="14" t="n"/>
      <c r="F98" s="26" t="n"/>
      <c r="G98" s="24" t="n"/>
      <c r="H98" s="26">
        <f>IF(F98="","",F98+G98)</f>
        <v/>
      </c>
      <c r="I98" s="14" t="n"/>
      <c r="J98" s="14" t="n"/>
      <c r="K98" s="14" t="n"/>
      <c r="L98" s="14" t="n"/>
    </row>
    <row r="99" ht="22" customHeight="1">
      <c r="B99" s="17">
        <f>IF(C99="","MED-"&amp;TEXT(COUNTA($C$5:C99),"000"))</f>
        <v/>
      </c>
      <c r="C99" s="12" t="n"/>
      <c r="D99" s="12" t="n"/>
      <c r="E99" s="12" t="n"/>
      <c r="F99" s="25" t="n"/>
      <c r="G99" s="23" t="n"/>
      <c r="H99" s="25">
        <f>IF(F99="","",F99+G99)</f>
        <v/>
      </c>
      <c r="I99" s="12" t="n"/>
      <c r="J99" s="12" t="n"/>
      <c r="K99" s="12" t="n"/>
      <c r="L99" s="12" t="n"/>
    </row>
    <row r="100" ht="22" customHeight="1">
      <c r="B100" s="16">
        <f>IF(C100="","MED-"&amp;TEXT(COUNTA($C$5:C100),"000"))</f>
        <v/>
      </c>
      <c r="C100" s="14" t="n"/>
      <c r="D100" s="14" t="n"/>
      <c r="E100" s="14" t="n"/>
      <c r="F100" s="26" t="n"/>
      <c r="G100" s="24" t="n"/>
      <c r="H100" s="26">
        <f>IF(F100="","",F100+G100)</f>
        <v/>
      </c>
      <c r="I100" s="14" t="n"/>
      <c r="J100" s="14" t="n"/>
      <c r="K100" s="14" t="n"/>
      <c r="L100" s="14" t="n"/>
    </row>
    <row r="101" ht="22" customHeight="1">
      <c r="B101" s="17">
        <f>IF(C101="","MED-"&amp;TEXT(COUNTA($C$5:C101),"000"))</f>
        <v/>
      </c>
      <c r="C101" s="12" t="n"/>
      <c r="D101" s="12" t="n"/>
      <c r="E101" s="12" t="n"/>
      <c r="F101" s="25" t="n"/>
      <c r="G101" s="23" t="n"/>
      <c r="H101" s="25">
        <f>IF(F101="","",F101+G101)</f>
        <v/>
      </c>
      <c r="I101" s="12" t="n"/>
      <c r="J101" s="12" t="n"/>
      <c r="K101" s="12" t="n"/>
      <c r="L101" s="12" t="n"/>
    </row>
    <row r="102" ht="22" customHeight="1">
      <c r="B102" s="16">
        <f>IF(C102="","MED-"&amp;TEXT(COUNTA($C$5:C102),"000"))</f>
        <v/>
      </c>
      <c r="C102" s="14" t="n"/>
      <c r="D102" s="14" t="n"/>
      <c r="E102" s="14" t="n"/>
      <c r="F102" s="26" t="n"/>
      <c r="G102" s="24" t="n"/>
      <c r="H102" s="26">
        <f>IF(F102="","",F102+G102)</f>
        <v/>
      </c>
      <c r="I102" s="14" t="n"/>
      <c r="J102" s="14" t="n"/>
      <c r="K102" s="14" t="n"/>
      <c r="L102" s="14" t="n"/>
    </row>
    <row r="103" ht="22" customHeight="1">
      <c r="B103" s="17">
        <f>IF(C103="","MED-"&amp;TEXT(COUNTA($C$5:C103),"000"))</f>
        <v/>
      </c>
      <c r="C103" s="12" t="n"/>
      <c r="D103" s="12" t="n"/>
      <c r="E103" s="12" t="n"/>
      <c r="F103" s="25" t="n"/>
      <c r="G103" s="23" t="n"/>
      <c r="H103" s="25">
        <f>IF(F103="","",F103+G103)</f>
        <v/>
      </c>
      <c r="I103" s="12" t="n"/>
      <c r="J103" s="12" t="n"/>
      <c r="K103" s="12" t="n"/>
      <c r="L103" s="12" t="n"/>
    </row>
    <row r="104" ht="22" customHeight="1">
      <c r="B104" s="16">
        <f>IF(C104="","MED-"&amp;TEXT(COUNTA($C$5:C104),"000"))</f>
        <v/>
      </c>
      <c r="C104" s="14" t="n"/>
      <c r="D104" s="14" t="n"/>
      <c r="E104" s="14" t="n"/>
      <c r="F104" s="26" t="n"/>
      <c r="G104" s="24" t="n"/>
      <c r="H104" s="26">
        <f>IF(F104="","",F104+G104)</f>
        <v/>
      </c>
      <c r="I104" s="14" t="n"/>
      <c r="J104" s="14" t="n"/>
      <c r="K104" s="14" t="n"/>
      <c r="L104" s="14" t="n"/>
    </row>
    <row r="105" ht="22" customHeight="1">
      <c r="B105" s="17">
        <f>IF(C105="","MED-"&amp;TEXT(COUNTA($C$5:C105),"000"))</f>
        <v/>
      </c>
      <c r="C105" s="12" t="n"/>
      <c r="D105" s="12" t="n"/>
      <c r="E105" s="12" t="n"/>
      <c r="F105" s="25" t="n"/>
      <c r="G105" s="23" t="n"/>
      <c r="H105" s="25">
        <f>IF(F105="","",F105+G105)</f>
        <v/>
      </c>
      <c r="I105" s="12" t="n"/>
      <c r="J105" s="12" t="n"/>
      <c r="K105" s="12" t="n"/>
      <c r="L105" s="12" t="n"/>
    </row>
    <row r="106" ht="22" customHeight="1">
      <c r="B106" s="16">
        <f>IF(C106="","MED-"&amp;TEXT(COUNTA($C$5:C106),"000"))</f>
        <v/>
      </c>
      <c r="C106" s="14" t="n"/>
      <c r="D106" s="14" t="n"/>
      <c r="E106" s="14" t="n"/>
      <c r="F106" s="26" t="n"/>
      <c r="G106" s="24" t="n"/>
      <c r="H106" s="26">
        <f>IF(F106="","",F106+G106)</f>
        <v/>
      </c>
      <c r="I106" s="14" t="n"/>
      <c r="J106" s="14" t="n"/>
      <c r="K106" s="14" t="n"/>
      <c r="L106" s="14" t="n"/>
    </row>
    <row r="107" ht="22" customHeight="1">
      <c r="B107" s="17">
        <f>IF(C107="","MED-"&amp;TEXT(COUNTA($C$5:C107),"000"))</f>
        <v/>
      </c>
      <c r="C107" s="12" t="n"/>
      <c r="D107" s="12" t="n"/>
      <c r="E107" s="12" t="n"/>
      <c r="F107" s="25" t="n"/>
      <c r="G107" s="23" t="n"/>
      <c r="H107" s="25">
        <f>IF(F107="","",F107+G107)</f>
        <v/>
      </c>
      <c r="I107" s="12" t="n"/>
      <c r="J107" s="12" t="n"/>
      <c r="K107" s="12" t="n"/>
      <c r="L107" s="12" t="n"/>
    </row>
    <row r="108" ht="22" customHeight="1">
      <c r="B108" s="16">
        <f>IF(C108="","MED-"&amp;TEXT(COUNTA($C$5:C108),"000"))</f>
        <v/>
      </c>
      <c r="C108" s="14" t="n"/>
      <c r="D108" s="14" t="n"/>
      <c r="E108" s="14" t="n"/>
      <c r="F108" s="26" t="n"/>
      <c r="G108" s="24" t="n"/>
      <c r="H108" s="26">
        <f>IF(F108="","",F108+G108)</f>
        <v/>
      </c>
      <c r="I108" s="14" t="n"/>
      <c r="J108" s="14" t="n"/>
      <c r="K108" s="14" t="n"/>
      <c r="L108" s="14" t="n"/>
    </row>
    <row r="110">
      <c r="B110" s="6" t="inlineStr">
        <is>
          <t>INDICATEURS (mis a jour automatiquement)</t>
        </is>
      </c>
    </row>
    <row r="111">
      <c r="B111" s="3" t="inlineStr">
        <is>
          <t>Injonctions recues</t>
        </is>
      </c>
      <c r="D111" s="3" t="inlineStr">
        <is>
          <t>Traitees</t>
        </is>
      </c>
      <c r="F111" s="3" t="inlineStr">
        <is>
          <t>En retard</t>
        </is>
      </c>
      <c r="H111" s="3" t="inlineStr">
        <is>
          <t>Taux traitement</t>
        </is>
      </c>
    </row>
    <row r="112">
      <c r="B112" s="4">
        <f>COUNTIF(B5:B104,"&lt;&gt;")</f>
        <v/>
      </c>
      <c r="D112" s="4">
        <f>COUNTIF(L5:L104,"Traitee")</f>
        <v/>
      </c>
      <c r="F112" s="4">
        <f>COUNTIF(L5:L104,"En retard")</f>
        <v/>
      </c>
      <c r="H112" s="4">
        <f>IFERROR(COUNTIF(L5:L104,"Traitee")/COUNTIF(B5:B104,"&lt;&gt;"),0)</f>
        <v/>
      </c>
    </row>
  </sheetData>
  <mergeCells count="3">
    <mergeCell ref="B2:L2"/>
    <mergeCell ref="B110:L110"/>
    <mergeCell ref="B3:L3"/>
  </mergeCells>
  <conditionalFormatting sqref="L5:L108">
    <cfRule type="cellIs" priority="1" operator="equal" dxfId="0">
      <formula>"Conforme"</formula>
    </cfRule>
    <cfRule type="cellIs" priority="2" operator="equal" dxfId="0">
      <formula>"Resolu"</formula>
    </cfRule>
    <cfRule type="cellIs" priority="3" operator="equal" dxfId="0">
      <formula>"Clos"</formula>
    </cfRule>
    <cfRule type="cellIs" priority="4" operator="equal" dxfId="0">
      <formula>"Solde"</formula>
    </cfRule>
    <cfRule type="cellIs" priority="5" operator="equal" dxfId="0">
      <formula>"Pris"</formula>
    </cfRule>
    <cfRule type="cellIs" priority="6" operator="equal" dxfId="0">
      <formula>"Termine"</formula>
    </cfRule>
    <cfRule type="cellIs" priority="7" operator="equal" dxfId="0">
      <formula>"Terminee"</formula>
    </cfRule>
    <cfRule type="cellIs" priority="8" operator="equal" dxfId="0">
      <formula>"Valide"</formula>
    </cfRule>
    <cfRule type="cellIs" priority="9" operator="equal" dxfId="0">
      <formula>"Approuve"</formula>
    </cfRule>
    <cfRule type="cellIs" priority="10" operator="equal" dxfId="0">
      <formula>"Approuvee"</formula>
    </cfRule>
    <cfRule type="cellIs" priority="11" operator="equal" dxfId="0">
      <formula>"Actif"</formula>
    </cfRule>
    <cfRule type="cellIs" priority="12" operator="equal" dxfId="0">
      <formula>"En vigueur"</formula>
    </cfRule>
    <cfRule type="cellIs" priority="13" operator="equal" dxfId="0">
      <formula>"Validee"</formula>
    </cfRule>
    <cfRule type="cellIs" priority="14" operator="equal" dxfId="0">
      <formula>"Payee"</formula>
    </cfRule>
    <cfRule type="cellIs" priority="15" operator="equal" dxfId="0">
      <formula>"Traite"</formula>
    </cfRule>
    <cfRule type="cellIs" priority="16" operator="equal" dxfId="0">
      <formula>"Traitee"</formula>
    </cfRule>
    <cfRule type="cellIs" priority="17" operator="equal" dxfId="0">
      <formula>"Decision notifiee"</formula>
    </cfRule>
    <cfRule type="cellIs" priority="18" operator="equal" dxfId="0">
      <formula>"Jugement rendu"</formula>
    </cfRule>
    <cfRule type="cellIs" priority="19" operator="equal" dxfId="0">
      <formula>"Resolue"</formula>
    </cfRule>
    <cfRule type="cellIs" priority="20" operator="equal" dxfId="0">
      <formula>"Accepte"</formula>
    </cfRule>
    <cfRule type="cellIs" priority="21" operator="equal" dxfId="0">
      <formula>"Acceptee"</formula>
    </cfRule>
    <cfRule type="cellIs" priority="22" operator="equal" dxfId="0">
      <formula>"Conforme"</formula>
    </cfRule>
    <cfRule type="cellIs" priority="23" operator="equal" dxfId="0">
      <formula>"Exempte"</formula>
    </cfRule>
    <cfRule type="cellIs" priority="24" operator="equal" dxfId="0">
      <formula>"Guerie"</formula>
    </cfRule>
    <cfRule type="cellIs" priority="25" operator="equal" dxfId="0">
      <formula>"Apte"</formula>
    </cfRule>
    <cfRule type="cellIs" priority="26" operator="equal" dxfId="0">
      <formula>"Apte avec restriction"</formula>
    </cfRule>
    <cfRule type="cellIs" priority="27" operator="equal" dxfId="0">
      <formula>"Realise"</formula>
    </cfRule>
    <cfRule type="cellIs" priority="28" operator="equal" dxfId="0">
      <formula>"Realisee"</formula>
    </cfRule>
    <cfRule type="cellIs" priority="29" operator="equal" dxfId="0">
      <formula>"En stock"</formula>
    </cfRule>
    <cfRule type="cellIs" priority="30" operator="equal" dxfId="0">
      <formula>"Attribue"</formula>
    </cfRule>
    <cfRule type="cellIs" priority="31" operator="equal" dxfId="0">
      <formula>"Mesures en place"</formula>
    </cfRule>
    <cfRule type="cellIs" priority="32" operator="equal" dxfId="0">
      <formula>"Residuel acceptable"</formula>
    </cfRule>
    <cfRule type="cellIs" priority="33" operator="equal" dxfId="0">
      <formula>"Jugement rendu"</formula>
    </cfRule>
    <cfRule type="cellIs" priority="34" operator="equal" dxfId="0">
      <formula>"Abandonne"</formula>
    </cfRule>
    <cfRule type="cellIs" priority="35" operator="equal" dxfId="0">
      <formula>"Terminee - Accord"</formula>
    </cfRule>
    <cfRule type="cellIs" priority="36" operator="equal" dxfId="1">
      <formula>"En attente"</formula>
    </cfRule>
    <cfRule type="cellIs" priority="37" operator="equal" dxfId="1">
      <formula>"A renouveler"</formula>
    </cfRule>
    <cfRule type="cellIs" priority="38" operator="equal" dxfId="1">
      <formula>"En cours"</formula>
    </cfRule>
    <cfRule type="cellIs" priority="39" operator="equal" dxfId="1">
      <formula>"En traitement"</formula>
    </cfRule>
    <cfRule type="cellIs" priority="40" operator="equal" dxfId="1">
      <formula>"En retard"</formula>
    </cfRule>
    <cfRule type="cellIs" priority="41" operator="equal" dxfId="1">
      <formula>"Suspendu"</formula>
    </cfRule>
    <cfRule type="cellIs" priority="42" operator="equal" dxfId="1">
      <formula>"Planifie"</formula>
    </cfRule>
    <cfRule type="cellIs" priority="43" operator="equal" dxfId="1">
      <formula>"Planifiee"</formula>
    </cfRule>
    <cfRule type="cellIs" priority="44" operator="equal" dxfId="1">
      <formula>"Brouillon"</formula>
    </cfRule>
    <cfRule type="cellIs" priority="45" operator="equal" dxfId="1">
      <formula>"En attente de justification"</formula>
    </cfRule>
    <cfRule type="cellIs" priority="46" operator="equal" dxfId="1">
      <formula>"Partiellement conforme"</formula>
    </cfRule>
    <cfRule type="cellIs" priority="47" operator="equal" dxfId="1">
      <formula>"En cours de mise en conformite"</formula>
    </cfRule>
    <cfRule type="cellIs" priority="48" operator="equal" dxfId="1">
      <formula>"En cours d'evaluation"</formula>
    </cfRule>
    <cfRule type="cellIs" priority="49" operator="equal" dxfId="1">
      <formula>"Non evalue"</formula>
    </cfRule>
    <cfRule type="cellIs" priority="50" operator="equal" dxfId="1">
      <formula>"Non demarre"</formula>
    </cfRule>
    <cfRule type="cellIs" priority="51" operator="equal" dxfId="1">
      <formula>"En cours d'instruction"</formula>
    </cfRule>
    <cfRule type="cellIs" priority="52" operator="equal" dxfId="1">
      <formula>"En negociation"</formula>
    </cfRule>
    <cfRule type="cellIs" priority="53" operator="equal" dxfId="1">
      <formula>"En mediation"</formula>
    </cfRule>
    <cfRule type="cellIs" priority="54" operator="equal" dxfId="1">
      <formula>"En conciliation"</formula>
    </cfRule>
    <cfRule type="cellIs" priority="55" operator="equal" dxfId="1">
      <formula>"En attente audience"</formula>
    </cfRule>
    <cfRule type="cellIs" priority="56" operator="equal" dxfId="1">
      <formula>"En attente jugement"</formula>
    </cfRule>
    <cfRule type="cellIs" priority="57" operator="equal" dxfId="1">
      <formula>"En appel"</formula>
    </cfRule>
    <cfRule type="cellIs" priority="58" operator="equal" dxfId="1">
      <formula>"En preparation"</formula>
    </cfRule>
    <cfRule type="cellIs" priority="59" operator="equal" dxfId="1">
      <formula>"Reporte"</formula>
    </cfRule>
    <cfRule type="cellIs" priority="60" operator="equal" dxfId="1">
      <formula>"En attente reponse"</formula>
    </cfRule>
    <cfRule type="cellIs" priority="61" operator="equal" dxfId="1">
      <formula>"En attente validation"</formula>
    </cfRule>
    <cfRule type="cellIs" priority="62" operator="equal" dxfId="1">
      <formula>"Contestee"</formula>
    </cfRule>
    <cfRule type="cellIs" priority="63" operator="equal" dxfId="1">
      <formula>"Escaladee"</formula>
    </cfRule>
    <cfRule type="cellIs" priority="64" operator="equal" dxfId="2">
      <formula>"Non conforme"</formula>
    </cfRule>
    <cfRule type="cellIs" priority="65" operator="equal" dxfId="2">
      <formula>"Rejete"</formula>
    </cfRule>
    <cfRule type="cellIs" priority="66" operator="equal" dxfId="2">
      <formula>"Rejetee"</formula>
    </cfRule>
    <cfRule type="cellIs" priority="67" operator="equal" dxfId="2">
      <formula>"Resilie"</formula>
    </cfRule>
    <cfRule type="cellIs" priority="68" operator="equal" dxfId="2">
      <formula>"Annule"</formula>
    </cfRule>
    <cfRule type="cellIs" priority="69" operator="equal" dxfId="2">
      <formula>"Annulee"</formula>
    </cfRule>
    <cfRule type="cellIs" priority="70" operator="equal" dxfId="2">
      <formula>"Refuse"</formula>
    </cfRule>
    <cfRule type="cellIs" priority="71" operator="equal" dxfId="2">
      <formula>"Non justifie"</formula>
    </cfRule>
    <cfRule type="cellIs" priority="72" operator="equal" dxfId="2">
      <formula>"Inaptitude"</formula>
    </cfRule>
    <cfRule type="cellIs" priority="73" operator="equal" dxfId="2">
      <formula>"Non satisfait"</formula>
    </cfRule>
    <cfRule type="cellIs" priority="74" operator="equal" dxfId="2">
      <formula>"Echoue"</formula>
    </cfRule>
    <cfRule type="cellIs" priority="75" operator="equal" dxfId="2">
      <formula>"Echouee"</formula>
    </cfRule>
    <cfRule type="cellIs" priority="76" operator="equal" dxfId="2">
      <formula>"Revoque"</formula>
    </cfRule>
    <cfRule type="cellIs" priority="77" operator="equal" dxfId="2">
      <formula>"Abandonne"</formula>
    </cfRule>
    <cfRule type="cellIs" priority="78" operator="equal" dxfId="2">
      <formula>"Rejetee"</formula>
    </cfRule>
    <cfRule type="cellIs" priority="79" operator="equal" dxfId="2">
      <formula>"Non conforme"</formula>
    </cfRule>
    <cfRule type="cellIs" priority="80" operator="equal" dxfId="2">
      <formula>"Critique"</formula>
    </cfRule>
  </conditionalFormatting>
  <conditionalFormatting sqref="B9:B108">
    <cfRule type="expression" priority="81" dxfId="3">
      <formula>AND($C9="",$C8&lt;&gt;"")</formula>
    </cfRule>
  </conditionalFormatting>
  <conditionalFormatting sqref="C9:C108">
    <cfRule type="expression" priority="82" dxfId="3">
      <formula>AND($C9="",$C8&lt;&gt;"")</formula>
    </cfRule>
  </conditionalFormatting>
  <conditionalFormatting sqref="D9:D108">
    <cfRule type="expression" priority="83" dxfId="3">
      <formula>AND($C9="",$C8&lt;&gt;"")</formula>
    </cfRule>
  </conditionalFormatting>
  <conditionalFormatting sqref="E9:E108">
    <cfRule type="expression" priority="84" dxfId="3">
      <formula>AND($C9="",$C8&lt;&gt;"")</formula>
    </cfRule>
  </conditionalFormatting>
  <conditionalFormatting sqref="F9:F108">
    <cfRule type="expression" priority="85" dxfId="3">
      <formula>AND($C9="",$C8&lt;&gt;"")</formula>
    </cfRule>
  </conditionalFormatting>
  <conditionalFormatting sqref="G9:G108">
    <cfRule type="expression" priority="86" dxfId="3">
      <formula>AND($C9="",$C8&lt;&gt;"")</formula>
    </cfRule>
  </conditionalFormatting>
  <conditionalFormatting sqref="H9:H108">
    <cfRule type="expression" priority="87" dxfId="3">
      <formula>AND($C9="",$C8&lt;&gt;"")</formula>
    </cfRule>
  </conditionalFormatting>
  <conditionalFormatting sqref="I9:I108">
    <cfRule type="expression" priority="88" dxfId="3">
      <formula>AND($C9="",$C8&lt;&gt;"")</formula>
    </cfRule>
  </conditionalFormatting>
  <conditionalFormatting sqref="J9:J108">
    <cfRule type="expression" priority="89" dxfId="3">
      <formula>AND($C9="",$C8&lt;&gt;"")</formula>
    </cfRule>
  </conditionalFormatting>
  <conditionalFormatting sqref="K9:K108">
    <cfRule type="expression" priority="90" dxfId="3">
      <formula>AND($C9="",$C8&lt;&gt;"")</formula>
    </cfRule>
  </conditionalFormatting>
  <conditionalFormatting sqref="L9:L108">
    <cfRule type="expression" priority="91" dxfId="3">
      <formula>AND($C9="",$C8&lt;&gt;"")</formula>
    </cfRule>
  </conditionalFormatting>
  <dataValidations count="3">
    <dataValidation sqref="C5:C108" showDropDown="0" showInputMessage="0" showErrorMessage="0" allowBlank="1" errorTitle="Erreur" error="Valeur invalide" promptTitle="Liste" prompt="Choisir dans la liste" type="list">
      <formula1>'_Lists'!$K$2:$K$10</formula1>
    </dataValidation>
    <dataValidation sqref="D5:D108" showDropDown="0" showInputMessage="0" showErrorMessage="0" allowBlank="1" errorTitle="Erreur" error="Valeur invalide" promptTitle="Liste" prompt="Choisir dans la liste" type="list">
      <formula1>'_Lists'!$L$2:$L$10</formula1>
    </dataValidation>
    <dataValidation sqref="L5:L108" showDropDown="0" showInputMessage="0" showErrorMessage="0" allowBlank="1" errorTitle="Erreur" error="Valeur invalide" promptTitle="Liste" prompt="Choisir dans la liste" type="list">
      <formula1>'_Lists'!$M$2:$M$9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2026-07-07T08:36:11Z</dcterms:created>
  <dcterms:modified xmlns:dcterms="http://purl.org/dc/terms/" xmlns:xsi="http://www.w3.org/2001/XMLSchema-instance" xsi:type="dcterms:W3CDTF">2026-07-09T18:59:58Z</dcterms:modified>
</cp:coreProperties>
</file>