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Données Employés" sheetId="1" state="hidden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Politique RSE Hotel" sheetId="4" state="visible" r:id="rId4"/>
    <sheet xmlns:r="http://schemas.openxmlformats.org/officeDocument/2006/relationships" name="3-Actions Environnementales" sheetId="5" state="visible" r:id="rId5"/>
    <sheet xmlns:r="http://schemas.openxmlformats.org/officeDocument/2006/relationships" name="4-Diversite &amp; Inclusion" sheetId="6" state="visible" r:id="rId6"/>
    <sheet xmlns:r="http://schemas.openxmlformats.org/officeDocument/2006/relationships" name="5-Handicap &amp; Amenag. Poste" sheetId="7" state="visible" r:id="rId7"/>
    <sheet xmlns:r="http://schemas.openxmlformats.org/officeDocument/2006/relationships" name="6-Bien-Etre au Travail" sheetId="8" state="visible" r:id="rId8"/>
    <sheet xmlns:r="http://schemas.openxmlformats.org/officeDocument/2006/relationships" name="7-Actions Sociales &amp; Solid." sheetId="9" state="visible" r:id="rId9"/>
    <sheet xmlns:r="http://schemas.openxmlformats.org/officeDocument/2006/relationships" name="8-Formation RSE" sheetId="10" state="visible" r:id="rId10"/>
    <sheet xmlns:r="http://schemas.openxmlformats.org/officeDocument/2006/relationships" name="9-Bilan Carbone RH" sheetId="11" state="visible" r:id="rId11"/>
    <sheet xmlns:r="http://schemas.openxmlformats.org/officeDocument/2006/relationships" name="10-Partenariats Communaute" sheetId="12" state="visible" r:id="rId12"/>
    <sheet xmlns:r="http://schemas.openxmlformats.org/officeDocument/2006/relationships" name="11-Indicateurs RSE" sheetId="13" state="visible" r:id="rId13"/>
    <sheet xmlns:r="http://schemas.openxmlformats.org/officeDocument/2006/relationships" name="12-Suivi Actions RSE" sheetId="14" state="visible" r:id="rId14"/>
    <sheet xmlns:r="http://schemas.openxmlformats.org/officeDocument/2006/relationships" name="13-Analyse Diversite" sheetId="15" state="visible" r:id="rId15"/>
    <sheet xmlns:r="http://schemas.openxmlformats.org/officeDocument/2006/relationships" name="14-Suivi Bien-Etre" sheetId="16" state="visible" r:id="rId16"/>
    <sheet xmlns:r="http://schemas.openxmlformats.org/officeDocument/2006/relationships" name="15-Hist. Actions Sociales" sheetId="17" state="visible" r:id="rId17"/>
    <sheet xmlns:r="http://schemas.openxmlformats.org/officeDocument/2006/relationships" name="16-Calendrier RSE" sheetId="18" state="visible" r:id="rId18"/>
    <sheet xmlns:r="http://schemas.openxmlformats.org/officeDocument/2006/relationships" name="17-Matrice Part. Prenantes" sheetId="19" state="visible" r:id="rId19"/>
    <sheet xmlns:r="http://schemas.openxmlformats.org/officeDocument/2006/relationships" name="18-Suivi Formation RSE" sheetId="20" state="visible" r:id="rId20"/>
    <sheet xmlns:r="http://schemas.openxmlformats.org/officeDocument/2006/relationships" name="19-Analyse Indic. RS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DD/MM/YYYY"/>
    <numFmt numFmtId="166" formatCode="0.0%"/>
    <numFmt numFmtId="167" formatCode="0.000"/>
    <numFmt numFmtId="168" formatCode="#,##0.000"/>
    <numFmt numFmtId="169" formatCode="0.0"/>
    <numFmt numFmtId="170" formatCode="+0.0;-0.0;0"/>
    <numFmt numFmtId="171" formatCode="+0.00;-0.00;0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5" fontId="8" fillId="3" borderId="0" applyAlignment="1" pivotButton="0" quotePrefix="0" xfId="0">
      <alignment horizontal="center" vertical="center"/>
    </xf>
    <xf numFmtId="0" fontId="8" fillId="4" borderId="0" pivotButton="0" quotePrefix="0" xfId="0"/>
    <xf numFmtId="165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" fontId="8" fillId="3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right" vertical="center"/>
    </xf>
    <xf numFmtId="168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168" fontId="8" fillId="4" borderId="0" applyAlignment="1" pivotButton="0" quotePrefix="0" xfId="0">
      <alignment horizontal="right" vertical="center"/>
    </xf>
    <xf numFmtId="169" fontId="8" fillId="3" borderId="0" applyAlignment="1" pivotButton="0" quotePrefix="0" xfId="0">
      <alignment horizontal="right" vertical="center"/>
    </xf>
    <xf numFmtId="170" fontId="8" fillId="3" borderId="0" applyAlignment="1" pivotButton="0" quotePrefix="0" xfId="0">
      <alignment horizontal="right" vertical="center"/>
    </xf>
    <xf numFmtId="169" fontId="8" fillId="4" borderId="0" applyAlignment="1" pivotButton="0" quotePrefix="0" xfId="0">
      <alignment horizontal="right" vertical="center"/>
    </xf>
    <xf numFmtId="170" fontId="8" fillId="4" borderId="0" applyAlignment="1" pivotButton="0" quotePrefix="0" xfId="0">
      <alignment horizontal="right" vertical="center"/>
    </xf>
    <xf numFmtId="9" fontId="8" fillId="3" borderId="0" applyAlignment="1" pivotButton="0" quotePrefix="0" xfId="0">
      <alignment horizontal="right" vertical="center"/>
    </xf>
    <xf numFmtId="9" fontId="8" fillId="4" borderId="0" applyAlignment="1" pivotButton="0" quotePrefix="0" xfId="0">
      <alignment horizontal="right" vertical="center"/>
    </xf>
    <xf numFmtId="2" fontId="8" fillId="3" borderId="0" applyAlignment="1" pivotButton="0" quotePrefix="0" xfId="0">
      <alignment horizontal="right" vertical="center"/>
    </xf>
    <xf numFmtId="171" fontId="8" fillId="3" borderId="0" applyAlignment="1" pivotButton="0" quotePrefix="0" xfId="0">
      <alignment horizontal="right" vertical="center"/>
    </xf>
    <xf numFmtId="2" fontId="8" fillId="4" borderId="0" applyAlignment="1" pivotButton="0" quotePrefix="0" xfId="0">
      <alignment horizontal="right" vertical="center"/>
    </xf>
    <xf numFmtId="171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right" vertical="center"/>
    </xf>
    <xf numFmtId="168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168" fontId="8" fillId="4" borderId="0" applyAlignment="1" pivotButton="0" quotePrefix="0" xfId="0">
      <alignment horizontal="right" vertical="center"/>
    </xf>
    <xf numFmtId="169" fontId="8" fillId="3" borderId="0" applyAlignment="1" pivotButton="0" quotePrefix="0" xfId="0">
      <alignment horizontal="right" vertical="center"/>
    </xf>
    <xf numFmtId="170" fontId="8" fillId="3" borderId="0" applyAlignment="1" pivotButton="0" quotePrefix="0" xfId="0">
      <alignment horizontal="right" vertical="center"/>
    </xf>
    <xf numFmtId="169" fontId="8" fillId="4" borderId="0" applyAlignment="1" pivotButton="0" quotePrefix="0" xfId="0">
      <alignment horizontal="right" vertical="center"/>
    </xf>
    <xf numFmtId="170" fontId="8" fillId="4" borderId="0" applyAlignment="1" pivotButton="0" quotePrefix="0" xfId="0">
      <alignment horizontal="right" vertical="center"/>
    </xf>
    <xf numFmtId="171" fontId="8" fillId="3" borderId="0" applyAlignment="1" pivotButton="0" quotePrefix="0" xfId="0">
      <alignment horizontal="right" vertical="center"/>
    </xf>
    <xf numFmtId="171" fontId="8" fillId="4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Actions RSE par Axe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Bord'!$B$20:$B$26</f>
            </numRef>
          </cat>
          <val>
            <numRef>
              <f>'1-Tableau de Bord'!$C$20:$C$26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Partenariats par Statut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Bord'!$H$29:$H$33</f>
            </numRef>
          </cat>
          <val>
            <numRef>
              <f>'1-Tableau de Bord'!$I$29:$I$33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22" customWidth="1" min="5" max="5"/>
    <col width="16" customWidth="1" min="6" max="6"/>
    <col width="8" customWidth="1" min="7" max="7"/>
    <col width="16" customWidth="1" min="8" max="8"/>
  </cols>
  <sheetData>
    <row r="1">
      <c r="A1" s="55" t="inlineStr">
        <is>
          <t>Matricule</t>
        </is>
      </c>
      <c r="B1" s="55" t="inlineStr">
        <is>
          <t>Nom</t>
        </is>
      </c>
      <c r="C1" s="55" t="inlineStr">
        <is>
          <t>Prénom</t>
        </is>
      </c>
      <c r="D1" s="55" t="inlineStr">
        <is>
          <t>Département</t>
        </is>
      </c>
      <c r="E1" s="55" t="inlineStr">
        <is>
          <t>Poste</t>
        </is>
      </c>
      <c r="F1" s="55" t="inlineStr">
        <is>
          <t>Salaire Brut</t>
        </is>
      </c>
      <c r="G1" s="55" t="inlineStr">
        <is>
          <t>Genre</t>
        </is>
      </c>
      <c r="H1" s="55" t="inlineStr">
        <is>
          <t>Date Embauche</t>
        </is>
      </c>
    </row>
    <row r="2">
      <c r="A2" t="inlineStr">
        <is>
          <t>EMP-001</t>
        </is>
      </c>
      <c r="B2" t="inlineStr">
        <is>
          <t>Nganou</t>
        </is>
      </c>
      <c r="C2" t="inlineStr">
        <is>
          <t>Clarisse</t>
        </is>
      </c>
      <c r="D2" t="inlineStr">
        <is>
          <t>Cuisine &amp; Restauration</t>
        </is>
      </c>
      <c r="E2" t="inlineStr">
        <is>
          <t>Chef</t>
        </is>
      </c>
      <c r="F2" t="n">
        <v>450000</v>
      </c>
      <c r="G2" t="inlineStr">
        <is>
          <t>F</t>
        </is>
      </c>
      <c r="H2" t="inlineStr">
        <is>
          <t>2020-01-15</t>
        </is>
      </c>
    </row>
    <row r="3">
      <c r="A3" t="inlineStr">
        <is>
          <t>EMP-002</t>
        </is>
      </c>
      <c r="B3" t="inlineStr">
        <is>
          <t>Tagne</t>
        </is>
      </c>
      <c r="C3" t="inlineStr">
        <is>
          <t>René</t>
        </is>
      </c>
      <c r="D3" t="inlineStr">
        <is>
          <t>Réception &amp; Front Office</t>
        </is>
      </c>
      <c r="E3" t="inlineStr">
        <is>
          <t>Réceptionniste</t>
        </is>
      </c>
      <c r="F3" t="n">
        <v>165000</v>
      </c>
      <c r="G3" t="inlineStr">
        <is>
          <t>H</t>
        </is>
      </c>
      <c r="H3" t="inlineStr">
        <is>
          <t>2019-06-01</t>
        </is>
      </c>
    </row>
    <row r="4">
      <c r="A4" t="inlineStr">
        <is>
          <t>EMP-003</t>
        </is>
      </c>
      <c r="B4" t="inlineStr">
        <is>
          <t>Fotso</t>
        </is>
      </c>
      <c r="C4" t="inlineStr">
        <is>
          <t>Camille</t>
        </is>
      </c>
      <c r="D4" t="inlineStr">
        <is>
          <t>Cuisine &amp; Restauration</t>
        </is>
      </c>
      <c r="E4" t="inlineStr">
        <is>
          <t>Cuisinier</t>
        </is>
      </c>
      <c r="F4" t="n">
        <v>180000</v>
      </c>
      <c r="G4" t="inlineStr">
        <is>
          <t>H</t>
        </is>
      </c>
      <c r="H4" t="inlineStr">
        <is>
          <t>2021-03-10</t>
        </is>
      </c>
    </row>
    <row r="5">
      <c r="A5" t="inlineStr">
        <is>
          <t>EMP-004</t>
        </is>
      </c>
      <c r="B5" t="inlineStr">
        <is>
          <t>Tchinda</t>
        </is>
      </c>
      <c r="C5" t="inlineStr">
        <is>
          <t>Arlette</t>
        </is>
      </c>
      <c r="D5" t="inlineStr">
        <is>
          <t>Service Client</t>
        </is>
      </c>
      <c r="E5" t="inlineStr">
        <is>
          <t>Assistante RH</t>
        </is>
      </c>
      <c r="F5" t="n">
        <v>200000</v>
      </c>
      <c r="G5" t="inlineStr">
        <is>
          <t>F</t>
        </is>
      </c>
      <c r="H5" t="inlineStr">
        <is>
          <t>2022-09-01</t>
        </is>
      </c>
    </row>
    <row r="6">
      <c r="A6" t="inlineStr">
        <is>
          <t>EMP-005</t>
        </is>
      </c>
      <c r="B6" t="inlineStr">
        <is>
          <t>Ngansop</t>
        </is>
      </c>
      <c r="C6" t="inlineStr">
        <is>
          <t>Sylvie</t>
        </is>
      </c>
      <c r="D6" t="inlineStr">
        <is>
          <t>Finance &amp; Comptabilité</t>
        </is>
      </c>
      <c r="E6" t="inlineStr">
        <is>
          <t>Comptable senior</t>
        </is>
      </c>
      <c r="F6" t="n">
        <v>250000</v>
      </c>
      <c r="G6" t="inlineStr">
        <is>
          <t>F</t>
        </is>
      </c>
      <c r="H6" t="inlineStr">
        <is>
          <t>2018-02-20</t>
        </is>
      </c>
    </row>
    <row r="7">
      <c r="A7" t="inlineStr">
        <is>
          <t>EMP-006</t>
        </is>
      </c>
      <c r="B7" t="inlineStr">
        <is>
          <t>Fokam</t>
        </is>
      </c>
      <c r="C7" t="inlineStr">
        <is>
          <t>Eric</t>
        </is>
      </c>
      <c r="D7" t="inlineStr">
        <is>
          <t>Réception &amp; Front Office</t>
        </is>
      </c>
      <c r="E7" t="inlineStr">
        <is>
          <t>Chef Réception</t>
        </is>
      </c>
      <c r="F7" t="n">
        <v>280000</v>
      </c>
      <c r="G7" t="inlineStr">
        <is>
          <t>H</t>
        </is>
      </c>
      <c r="H7" t="inlineStr">
        <is>
          <t>2017-08-15</t>
        </is>
      </c>
    </row>
    <row r="8">
      <c r="A8" t="inlineStr">
        <is>
          <t>EMP-007</t>
        </is>
      </c>
      <c r="B8" t="inlineStr">
        <is>
          <t>Tchouankou</t>
        </is>
      </c>
      <c r="C8" t="inlineStr">
        <is>
          <t>Paul</t>
        </is>
      </c>
      <c r="D8" t="inlineStr">
        <is>
          <t>Étage &amp; Housekeeping</t>
        </is>
      </c>
      <c r="E8" t="inlineStr">
        <is>
          <t>Chef Étage</t>
        </is>
      </c>
      <c r="F8" t="n">
        <v>230000</v>
      </c>
      <c r="G8" t="inlineStr">
        <is>
          <t>H</t>
        </is>
      </c>
      <c r="H8" t="inlineStr">
        <is>
          <t>2020-11-01</t>
        </is>
      </c>
    </row>
    <row r="9">
      <c r="A9" t="inlineStr">
        <is>
          <t>EMP-008</t>
        </is>
      </c>
      <c r="B9" t="inlineStr">
        <is>
          <t>Awa</t>
        </is>
      </c>
      <c r="C9" t="inlineStr">
        <is>
          <t>Fatou</t>
        </is>
      </c>
      <c r="D9" t="inlineStr">
        <is>
          <t>Commercial</t>
        </is>
      </c>
      <c r="E9" t="inlineStr">
        <is>
          <t>Agent Commercial</t>
        </is>
      </c>
      <c r="F9" t="n">
        <v>155000</v>
      </c>
      <c r="G9" t="inlineStr">
        <is>
          <t>F</t>
        </is>
      </c>
      <c r="H9" t="inlineStr">
        <is>
          <t>2023-01-15</t>
        </is>
      </c>
    </row>
    <row r="10">
      <c r="A10" t="inlineStr">
        <is>
          <t>EMP-009</t>
        </is>
      </c>
      <c r="B10" t="inlineStr">
        <is>
          <t>Bouba</t>
        </is>
      </c>
      <c r="C10" t="inlineStr">
        <is>
          <t>Ahmed</t>
        </is>
      </c>
      <c r="D10" t="inlineStr">
        <is>
          <t>Cuisine &amp; Restauration</t>
        </is>
      </c>
      <c r="E10" t="inlineStr">
        <is>
          <t>Sous-Chef</t>
        </is>
      </c>
      <c r="F10" t="n">
        <v>210000</v>
      </c>
      <c r="G10" t="inlineStr">
        <is>
          <t>H</t>
        </is>
      </c>
      <c r="H10" t="inlineStr">
        <is>
          <t>2019-04-01</t>
        </is>
      </c>
    </row>
    <row r="11">
      <c r="A11" t="inlineStr">
        <is>
          <t>EMP-010</t>
        </is>
      </c>
      <c r="B11" t="inlineStr">
        <is>
          <t>Kamga</t>
        </is>
      </c>
      <c r="C11" t="inlineStr">
        <is>
          <t>Patrice</t>
        </is>
      </c>
      <c r="D11" t="inlineStr">
        <is>
          <t>Sécurité</t>
        </is>
      </c>
      <c r="E11" t="inlineStr">
        <is>
          <t>Chef Sécurité</t>
        </is>
      </c>
      <c r="F11" t="n">
        <v>210000</v>
      </c>
      <c r="G11" t="inlineStr">
        <is>
          <t>H</t>
        </is>
      </c>
      <c r="H11" t="inlineStr">
        <is>
          <t>2021-07-01</t>
        </is>
      </c>
    </row>
    <row r="12">
      <c r="A12" t="inlineStr">
        <is>
          <t>EMP-011</t>
        </is>
      </c>
      <c r="B12" t="inlineStr">
        <is>
          <t>Ngo</t>
        </is>
      </c>
      <c r="C12" t="inlineStr">
        <is>
          <t>Delphine</t>
        </is>
      </c>
      <c r="D12" t="inlineStr">
        <is>
          <t>Marketing &amp; Communication</t>
        </is>
      </c>
      <c r="E12" t="inlineStr">
        <is>
          <t>Chef Marketing</t>
        </is>
      </c>
      <c r="F12" t="n">
        <v>300000</v>
      </c>
      <c r="G12" t="inlineStr">
        <is>
          <t>F</t>
        </is>
      </c>
      <c r="H12" t="inlineStr">
        <is>
          <t>2018-05-15</t>
        </is>
      </c>
    </row>
    <row r="13">
      <c r="A13" t="inlineStr">
        <is>
          <t>EMP-012</t>
        </is>
      </c>
      <c r="B13" t="inlineStr">
        <is>
          <t>Tamo</t>
        </is>
      </c>
      <c r="C13" t="inlineStr">
        <is>
          <t>Elvis</t>
        </is>
      </c>
      <c r="D13" t="inlineStr">
        <is>
          <t>Logistique &amp; Approvisionnement</t>
        </is>
      </c>
      <c r="E13" t="inlineStr">
        <is>
          <t>Chef Logistique</t>
        </is>
      </c>
      <c r="F13" t="n">
        <v>240000</v>
      </c>
      <c r="G13" t="inlineStr">
        <is>
          <t>H</t>
        </is>
      </c>
      <c r="H13" t="inlineStr">
        <is>
          <t>2022-03-01</t>
        </is>
      </c>
    </row>
    <row r="14">
      <c r="A14" t="inlineStr">
        <is>
          <t>EMP-013</t>
        </is>
      </c>
      <c r="B14" t="inlineStr">
        <is>
          <t>Foumane</t>
        </is>
      </c>
      <c r="C14" t="inlineStr">
        <is>
          <t>Pierre</t>
        </is>
      </c>
      <c r="D14" t="inlineStr">
        <is>
          <t>Maintenance</t>
        </is>
      </c>
      <c r="E14" t="inlineStr">
        <is>
          <t>Chef Entretien</t>
        </is>
      </c>
      <c r="F14" t="n">
        <v>220000</v>
      </c>
      <c r="G14" t="inlineStr">
        <is>
          <t>H</t>
        </is>
      </c>
      <c r="H14" t="inlineStr">
        <is>
          <t>2020-06-15</t>
        </is>
      </c>
    </row>
    <row r="15">
      <c r="A15" t="inlineStr">
        <is>
          <t>EMP-014</t>
        </is>
      </c>
      <c r="B15" t="inlineStr">
        <is>
          <t>Kane</t>
        </is>
      </c>
      <c r="C15" t="inlineStr">
        <is>
          <t>Adama</t>
        </is>
      </c>
      <c r="D15" t="inlineStr">
        <is>
          <t>Direction Générale</t>
        </is>
      </c>
      <c r="E15" t="inlineStr">
        <is>
          <t>DAF</t>
        </is>
      </c>
      <c r="F15" t="n">
        <v>350000</v>
      </c>
      <c r="G15" t="inlineStr">
        <is>
          <t>H</t>
        </is>
      </c>
      <c r="H15" t="inlineStr">
        <is>
          <t>2016-01-10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3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18 — RSE &amp; DEVELOPPEMENT DURABLE RH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5">
      <c r="B5" s="3" t="inlineStr">
        <is>
          <t>Politiques RSE</t>
        </is>
      </c>
      <c r="E5" s="3" t="inlineStr">
        <is>
          <t>Actions environnementales</t>
        </is>
      </c>
      <c r="H5" s="3" t="inlineStr">
        <is>
          <t>Initiatives diversite</t>
        </is>
      </c>
      <c r="K5" s="3" t="inlineStr">
        <is>
          <t>Amenagements handicap</t>
        </is>
      </c>
    </row>
    <row r="6">
      <c r="B6" s="4">
        <f>COUNTIF('2-Politique RSE Hotel'!B5:B104,"&lt;&gt;")</f>
        <v/>
      </c>
      <c r="E6" s="4">
        <f>COUNTIF('3-Actions Environnementales'!B5:B104,"&lt;&gt;")</f>
        <v/>
      </c>
      <c r="H6" s="4">
        <f>COUNTIF('4-Diversite &amp; Inclusion'!B5:B104,"&lt;&gt;")</f>
        <v/>
      </c>
      <c r="K6" s="4">
        <f>COUNTIF('5-Handicap &amp; Amenag. Poste'!B5:B104,"&lt;&gt;")</f>
        <v/>
      </c>
    </row>
    <row r="9">
      <c r="B9" s="3" t="inlineStr">
        <is>
          <t>Initiatives bien-etre</t>
        </is>
      </c>
      <c r="E9" s="3" t="inlineStr">
        <is>
          <t>Actions sociales</t>
        </is>
      </c>
      <c r="H9" s="3" t="inlineStr">
        <is>
          <t>Formations RSE</t>
        </is>
      </c>
      <c r="K9" s="3" t="inlineStr">
        <is>
          <t>Sources CO2</t>
        </is>
      </c>
    </row>
    <row r="10">
      <c r="B10" s="4">
        <f>COUNTIF('6-Bien-Etre au Travail'!B5:B104,"&lt;&gt;")</f>
        <v/>
      </c>
      <c r="E10" s="4">
        <f>COUNTIF('7-Actions Sociales &amp; Solid.'!B5:B104,"&lt;&gt;")</f>
        <v/>
      </c>
      <c r="H10" s="4">
        <f>COUNTIF('8-Formation RSE'!B5:B104,"&lt;&gt;")</f>
        <v/>
      </c>
      <c r="K10" s="4">
        <f>COUNTIF('9-Bilan Carbone RH'!B5:B104,"&lt;&gt;")</f>
        <v/>
      </c>
    </row>
    <row r="13">
      <c r="B13" s="3" t="inlineStr">
        <is>
          <t>Partenariats actifs</t>
        </is>
      </c>
      <c r="E13" s="3" t="inlineStr">
        <is>
          <t>Indicateurs RSE</t>
        </is>
      </c>
      <c r="H13" s="3" t="inlineStr">
        <is>
          <t>Emissions totales (tCO2)</t>
        </is>
      </c>
      <c r="K13" s="3" t="inlineStr">
        <is>
          <t>Budget enviro. (FCFA)</t>
        </is>
      </c>
    </row>
    <row r="14">
      <c r="B14" s="4">
        <f>COUNTIF('10-Partenariats Communaute'!B5:B104,"&lt;&gt;")</f>
        <v/>
      </c>
      <c r="E14" s="4">
        <f>COUNTIF('11-Indicateurs RSE'!B5:B104,"&lt;&gt;")</f>
        <v/>
      </c>
      <c r="H14" s="5">
        <f>IFERROR(SUM('9-Bilan Carbone RH'!K5:K104),0)</f>
        <v/>
      </c>
      <c r="K14" s="4">
        <f>IFERROR(SUM('3-Actions Environnementales'!J5:J104),0)</f>
        <v/>
      </c>
    </row>
    <row r="18">
      <c r="B18" s="6" t="inlineStr">
        <is>
          <t>ACTIONS RSE PAR AXE &amp; PARTENARIATS PAR STATUT</t>
        </is>
      </c>
    </row>
    <row r="19" ht="15" customHeight="1">
      <c r="B19" s="3" t="inlineStr">
        <is>
          <t>Axe RSE</t>
        </is>
      </c>
      <c r="C19" s="3" t="inlineStr">
        <is>
          <t>Nombre</t>
        </is>
      </c>
    </row>
    <row r="20" ht="15" customHeight="1">
      <c r="B20" s="7" t="inlineStr">
        <is>
          <t>Environnement</t>
        </is>
      </c>
      <c r="C20" s="8">
        <f>COUNTIF('12-Suivi Actions RSE'!D5:D104,"Environnement")</f>
        <v/>
      </c>
    </row>
    <row r="21" ht="15" customHeight="1">
      <c r="B21" s="7" t="inlineStr">
        <is>
          <t>Social</t>
        </is>
      </c>
      <c r="C21" s="8">
        <f>COUNTIF('12-Suivi Actions RSE'!D5:D104,"Social")</f>
        <v/>
      </c>
    </row>
    <row r="22" ht="15" customHeight="1">
      <c r="B22" s="7" t="inlineStr">
        <is>
          <t>Diversite &amp; Inclusion</t>
        </is>
      </c>
      <c r="C22" s="8">
        <f>COUNTIF('12-Suivi Actions RSE'!D5:D104,"Diversite &amp; Inclusion")</f>
        <v/>
      </c>
    </row>
    <row r="23" ht="15" customHeight="1">
      <c r="B23" s="7" t="inlineStr">
        <is>
          <t>Bien-etre</t>
        </is>
      </c>
      <c r="C23" s="8">
        <f>COUNTIF('12-Suivi Actions RSE'!D5:D104,"Bien-etre")</f>
        <v/>
      </c>
    </row>
    <row r="24" ht="15" customHeight="1">
      <c r="B24" s="7" t="inlineStr">
        <is>
          <t>Communaute</t>
        </is>
      </c>
      <c r="C24" s="8">
        <f>COUNTIF('12-Suivi Actions RSE'!D5:D104,"Communaute")</f>
        <v/>
      </c>
    </row>
    <row r="25" ht="15" customHeight="1">
      <c r="B25" s="7" t="inlineStr">
        <is>
          <t>Formation</t>
        </is>
      </c>
      <c r="C25" s="8">
        <f>COUNTIF('12-Suivi Actions RSE'!D5:D104,"Formation")</f>
        <v/>
      </c>
    </row>
    <row r="26" ht="15" customHeight="1">
      <c r="B26" s="7" t="inlineStr">
        <is>
          <t>Governance</t>
        </is>
      </c>
      <c r="C26" s="8">
        <f>COUNTIF('12-Suivi Actions RSE'!D5:D104,"Governance")</f>
        <v/>
      </c>
    </row>
    <row r="27" ht="15" customHeight="1"/>
    <row r="28" ht="15" customHeight="1">
      <c r="H28" s="3" t="inlineStr">
        <is>
          <t>Statut Partenariat</t>
        </is>
      </c>
      <c r="I28" s="3" t="inlineStr">
        <is>
          <t>Nombre</t>
        </is>
      </c>
    </row>
    <row r="29" ht="15" customHeight="1">
      <c r="H29" s="7" t="inlineStr">
        <is>
          <t>Actif</t>
        </is>
      </c>
      <c r="I29" s="8">
        <f>COUNTIF('10-Partenariats Communaute'!K5:K104,"Actif")</f>
        <v/>
      </c>
    </row>
    <row r="30" ht="15" customHeight="1">
      <c r="H30" s="7" t="inlineStr">
        <is>
          <t>En negotation</t>
        </is>
      </c>
      <c r="I30" s="8">
        <f>COUNTIF('10-Partenariats Communaute'!K5:K104,"En negotation")</f>
        <v/>
      </c>
    </row>
    <row r="31" ht="15" customHeight="1">
      <c r="H31" s="7" t="inlineStr">
        <is>
          <t>En pause</t>
        </is>
      </c>
      <c r="I31" s="8">
        <f>COUNTIF('10-Partenariats Communaute'!K5:K104,"En pause")</f>
        <v/>
      </c>
    </row>
    <row r="32" ht="15" customHeight="1">
      <c r="H32" s="7" t="inlineStr">
        <is>
          <t>Termine</t>
        </is>
      </c>
      <c r="I32" s="8">
        <f>COUNTIF('10-Partenariats Communaute'!K5:K104,"Termine")</f>
        <v/>
      </c>
    </row>
    <row r="33" ht="15" customHeight="1">
      <c r="H33" s="7" t="inlineStr">
        <is>
          <t>Non renouvele</t>
        </is>
      </c>
      <c r="I33" s="8">
        <f>COUNTIF('10-Partenariats Communaute'!K5:K104,"Non renouvele")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C20">
    <cfRule type="cellIs" priority="13" operator="greaterThan" dxfId="4">
      <formula>0</formula>
    </cfRule>
  </conditionalFormatting>
  <conditionalFormatting sqref="C21">
    <cfRule type="cellIs" priority="14" operator="greaterThan" dxfId="4">
      <formula>0</formula>
    </cfRule>
  </conditionalFormatting>
  <conditionalFormatting sqref="C22">
    <cfRule type="cellIs" priority="15" operator="greaterThan" dxfId="4">
      <formula>0</formula>
    </cfRule>
  </conditionalFormatting>
  <conditionalFormatting sqref="C23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C25">
    <cfRule type="cellIs" priority="18" operator="greaterThan" dxfId="4">
      <formula>0</formula>
    </cfRule>
  </conditionalFormatting>
  <conditionalFormatting sqref="C26">
    <cfRule type="cellIs" priority="19" operator="greaterThan" dxfId="4">
      <formula>0</formula>
    </cfRule>
  </conditionalFormatting>
  <conditionalFormatting sqref="I29">
    <cfRule type="cellIs" priority="20" operator="greaterThan" dxfId="4">
      <formula>0</formula>
    </cfRule>
  </conditionalFormatting>
  <conditionalFormatting sqref="I30">
    <cfRule type="cellIs" priority="21" operator="greaterThan" dxfId="4">
      <formula>0</formula>
    </cfRule>
  </conditionalFormatting>
  <conditionalFormatting sqref="I31">
    <cfRule type="cellIs" priority="22" operator="greaterThan" dxfId="4">
      <formula>0</formula>
    </cfRule>
  </conditionalFormatting>
  <conditionalFormatting sqref="I32">
    <cfRule type="cellIs" priority="23" operator="greaterThan" dxfId="4">
      <formula>0</formula>
    </cfRule>
  </conditionalFormatting>
  <conditionalFormatting sqref="I33">
    <cfRule type="cellIs" priority="24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U28"/>
  <sheetViews>
    <sheetView workbookViewId="0">
      <selection activeCell="A1" sqref="A1"/>
    </sheetView>
  </sheetViews>
  <sheetFormatPr baseColWidth="8" defaultRowHeight="15"/>
  <sheetData>
    <row r="1">
      <c r="B1" s="9" t="inlineStr">
        <is>
          <t>departement</t>
        </is>
      </c>
      <c r="C1" s="9" t="inlineStr">
        <is>
          <t>poste_hotel</t>
        </is>
      </c>
      <c r="D1" s="9" t="inlineStr">
        <is>
          <t>axe_rse</t>
        </is>
      </c>
      <c r="E1" s="9" t="inlineStr">
        <is>
          <t>type_action_rse</t>
        </is>
      </c>
      <c r="F1" s="9" t="inlineStr">
        <is>
          <t>statut_action_rse</t>
        </is>
      </c>
      <c r="G1" s="9" t="inlineStr">
        <is>
          <t>type_handicap</t>
        </is>
      </c>
      <c r="H1" s="9" t="inlineStr">
        <is>
          <t>niveau_amenagement</t>
        </is>
      </c>
      <c r="I1" s="9" t="inlineStr">
        <is>
          <t>type_bien_etre</t>
        </is>
      </c>
      <c r="J1" s="9" t="inlineStr">
        <is>
          <t>statut_bien_etre</t>
        </is>
      </c>
      <c r="K1" s="9" t="inlineStr">
        <is>
          <t>type_formation_rse</t>
        </is>
      </c>
      <c r="L1" s="9" t="inlineStr">
        <is>
          <t>statut_formation</t>
        </is>
      </c>
      <c r="M1" s="9" t="inlineStr">
        <is>
          <t>type_partenariat</t>
        </is>
      </c>
      <c r="N1" s="9" t="inlineStr">
        <is>
          <t>statut_partenariat</t>
        </is>
      </c>
      <c r="O1" s="9" t="inlineStr">
        <is>
          <t>periode_ods</t>
        </is>
      </c>
      <c r="P1" s="9" t="inlineStr">
        <is>
          <t>statut_indicateur_rse</t>
        </is>
      </c>
      <c r="Q1" s="9" t="inlineStr">
        <is>
          <t>echelle_satisfaction</t>
        </is>
      </c>
      <c r="R1" s="9" t="inlineStr">
        <is>
          <t>statut_action</t>
        </is>
      </c>
      <c r="S1" s="9" t="inlineStr">
        <is>
          <t>source_financement_rse</t>
        </is>
      </c>
      <c r="T1" t="inlineStr">
        <is>
          <t>annee</t>
        </is>
      </c>
      <c r="U1" t="inlineStr">
        <is>
          <t>mois_annee</t>
        </is>
      </c>
    </row>
    <row r="2">
      <c r="B2" s="10" t="inlineStr">
        <is>
          <t>Direction Générale</t>
        </is>
      </c>
      <c r="C2" s="10" t="inlineStr">
        <is>
          <t>DG</t>
        </is>
      </c>
      <c r="D2" s="10" t="inlineStr">
        <is>
          <t>Environnement</t>
        </is>
      </c>
      <c r="E2" s="10" t="inlineStr">
        <is>
          <t>Reduction dechets</t>
        </is>
      </c>
      <c r="F2" s="10" t="inlineStr">
        <is>
          <t>Planifiee</t>
        </is>
      </c>
      <c r="G2" s="10" t="inlineStr">
        <is>
          <t>Moteur</t>
        </is>
      </c>
      <c r="H2" s="10" t="inlineStr">
        <is>
          <t>Aucun amenagement</t>
        </is>
      </c>
      <c r="I2" s="10" t="inlineStr">
        <is>
          <t>Santé physique</t>
        </is>
      </c>
      <c r="J2" s="10" t="inlineStr">
        <is>
          <t>En cours</t>
        </is>
      </c>
      <c r="K2" s="10" t="inlineStr">
        <is>
          <t>Eco-gestes</t>
        </is>
      </c>
      <c r="L2" s="10" t="inlineStr">
        <is>
          <t>Planifiee</t>
        </is>
      </c>
      <c r="M2" s="10" t="inlineStr">
        <is>
          <t>Ecole / Universite</t>
        </is>
      </c>
      <c r="N2" s="10" t="inlineStr">
        <is>
          <t>En negotation</t>
        </is>
      </c>
      <c r="O2" s="10" t="inlineStr">
        <is>
          <t>Mensuelle</t>
        </is>
      </c>
      <c r="P2" s="10" t="inlineStr">
        <is>
          <t>En cours</t>
        </is>
      </c>
      <c r="Q2" s="10" t="inlineStr">
        <is>
          <t>Tres insatisfait</t>
        </is>
      </c>
      <c r="R2" s="10" t="inlineStr">
        <is>
          <t>Planifiee</t>
        </is>
      </c>
      <c r="S2" s="10" t="inlineStr">
        <is>
          <t>Budget hotel</t>
        </is>
      </c>
      <c r="T2" t="inlineStr">
        <is>
          <t>2020</t>
        </is>
      </c>
      <c r="U2" t="inlineStr">
        <is>
          <t>Janvier 2025</t>
        </is>
      </c>
    </row>
    <row r="3">
      <c r="B3" s="10" t="inlineStr">
        <is>
          <t>Service Client</t>
        </is>
      </c>
      <c r="C3" s="10" t="inlineStr">
        <is>
          <t>DRH</t>
        </is>
      </c>
      <c r="D3" s="10" t="inlineStr">
        <is>
          <t>Social</t>
        </is>
      </c>
      <c r="E3" s="10" t="inlineStr">
        <is>
          <t>Economie energie</t>
        </is>
      </c>
      <c r="F3" s="10" t="inlineStr">
        <is>
          <t>En cours</t>
        </is>
      </c>
      <c r="G3" s="10" t="inlineStr">
        <is>
          <t>Visuel</t>
        </is>
      </c>
      <c r="H3" s="10" t="inlineStr">
        <is>
          <t>Amenagement leger</t>
        </is>
      </c>
      <c r="I3" s="10" t="inlineStr">
        <is>
          <t>Santé mentale</t>
        </is>
      </c>
      <c r="J3" s="10" t="inlineStr">
        <is>
          <t>Planifie</t>
        </is>
      </c>
      <c r="K3" s="10" t="inlineStr">
        <is>
          <t>Tri selectif</t>
        </is>
      </c>
      <c r="L3" s="10" t="inlineStr">
        <is>
          <t>En cours</t>
        </is>
      </c>
      <c r="M3" s="10" t="inlineStr">
        <is>
          <t>ONG locale</t>
        </is>
      </c>
      <c r="N3" s="10" t="inlineStr">
        <is>
          <t>Actif</t>
        </is>
      </c>
      <c r="O3" s="10" t="inlineStr">
        <is>
          <t>Trimestrielle</t>
        </is>
      </c>
      <c r="P3" s="10" t="inlineStr">
        <is>
          <t>Atteint</t>
        </is>
      </c>
      <c r="Q3" s="10" t="inlineStr">
        <is>
          <t>Insatisfait</t>
        </is>
      </c>
      <c r="R3" s="10" t="inlineStr">
        <is>
          <t>En cours</t>
        </is>
      </c>
      <c r="S3" s="10" t="inlineStr">
        <is>
          <t>Subvention</t>
        </is>
      </c>
      <c r="T3" t="inlineStr">
        <is>
          <t>2021</t>
        </is>
      </c>
      <c r="U3" t="inlineStr">
        <is>
          <t>Fevrier 2025</t>
        </is>
      </c>
    </row>
    <row r="4">
      <c r="B4" s="10" t="inlineStr">
        <is>
          <t>Finance &amp; Comptabilité</t>
        </is>
      </c>
      <c r="C4" s="10" t="inlineStr">
        <is>
          <t>Assistante RH</t>
        </is>
      </c>
      <c r="D4" s="10" t="inlineStr">
        <is>
          <t>Governance</t>
        </is>
      </c>
      <c r="E4" s="10" t="inlineStr">
        <is>
          <t>Economie eau</t>
        </is>
      </c>
      <c r="F4" s="10" t="inlineStr">
        <is>
          <t>Terminee</t>
        </is>
      </c>
      <c r="G4" s="10" t="inlineStr">
        <is>
          <t>Auditif</t>
        </is>
      </c>
      <c r="H4" s="10" t="inlineStr">
        <is>
          <t>Amenagement modere</t>
        </is>
      </c>
      <c r="I4" s="10" t="inlineStr">
        <is>
          <t>Activite sportive</t>
        </is>
      </c>
      <c r="J4" s="10" t="inlineStr">
        <is>
          <t>Termine</t>
        </is>
      </c>
      <c r="K4" s="10" t="inlineStr">
        <is>
          <t>Economie d'energie</t>
        </is>
      </c>
      <c r="L4" s="10" t="inlineStr">
        <is>
          <t>Terminee</t>
        </is>
      </c>
      <c r="M4" s="10" t="inlineStr">
        <is>
          <t>Association</t>
        </is>
      </c>
      <c r="N4" s="10" t="inlineStr">
        <is>
          <t>En pause</t>
        </is>
      </c>
      <c r="O4" s="10" t="inlineStr">
        <is>
          <t>Semestrielle</t>
        </is>
      </c>
      <c r="P4" s="10" t="inlineStr">
        <is>
          <t>Non atteint</t>
        </is>
      </c>
      <c r="Q4" s="10" t="inlineStr">
        <is>
          <t>Neutre</t>
        </is>
      </c>
      <c r="R4" s="10" t="inlineStr">
        <is>
          <t>Terminee</t>
        </is>
      </c>
      <c r="S4" s="10" t="inlineStr">
        <is>
          <t>Partenariat</t>
        </is>
      </c>
      <c r="T4" t="inlineStr">
        <is>
          <t>2022</t>
        </is>
      </c>
      <c r="U4" t="inlineStr">
        <is>
          <t>Mars 2025</t>
        </is>
      </c>
    </row>
    <row r="5">
      <c r="B5" s="10" t="inlineStr">
        <is>
          <t>Marketing &amp; Communication</t>
        </is>
      </c>
      <c r="C5" s="10" t="inlineStr">
        <is>
          <t>DAF</t>
        </is>
      </c>
      <c r="D5" s="10" t="inlineStr">
        <is>
          <t>Diversite &amp; Inclusion</t>
        </is>
      </c>
      <c r="E5" s="10" t="inlineStr">
        <is>
          <t>Tri selectif</t>
        </is>
      </c>
      <c r="F5" s="10" t="inlineStr">
        <is>
          <t>Reportee</t>
        </is>
      </c>
      <c r="G5" s="10" t="inlineStr">
        <is>
          <t>Mental</t>
        </is>
      </c>
      <c r="H5" s="10" t="inlineStr">
        <is>
          <t>Amenagement important</t>
        </is>
      </c>
      <c r="I5" s="10" t="inlineStr">
        <is>
          <t>Alimentation saine</t>
        </is>
      </c>
      <c r="J5" s="10" t="inlineStr">
        <is>
          <t>Recurrent</t>
        </is>
      </c>
      <c r="K5" s="10" t="inlineStr">
        <is>
          <t>Sensibilisation RSE</t>
        </is>
      </c>
      <c r="L5" s="10" t="inlineStr">
        <is>
          <t>Reportee</t>
        </is>
      </c>
      <c r="M5" s="10" t="inlineStr">
        <is>
          <t>Collectivite locale</t>
        </is>
      </c>
      <c r="N5" s="10" t="inlineStr">
        <is>
          <t>Termine</t>
        </is>
      </c>
      <c r="O5" s="10" t="inlineStr">
        <is>
          <t>Annuelle</t>
        </is>
      </c>
      <c r="P5" s="10" t="inlineStr">
        <is>
          <t>En amelioration</t>
        </is>
      </c>
      <c r="Q5" s="10" t="inlineStr">
        <is>
          <t>Satisfait</t>
        </is>
      </c>
      <c r="R5" s="10" t="inlineStr">
        <is>
          <t>Reportee</t>
        </is>
      </c>
      <c r="S5" s="10" t="inlineStr">
        <is>
          <t>Fondation</t>
        </is>
      </c>
      <c r="T5" t="inlineStr">
        <is>
          <t>2023</t>
        </is>
      </c>
      <c r="U5" t="inlineStr">
        <is>
          <t>Avril 2025</t>
        </is>
      </c>
    </row>
    <row r="6">
      <c r="B6" s="10" t="inlineStr">
        <is>
          <t>Maintenance</t>
        </is>
      </c>
      <c r="C6" s="10" t="inlineStr">
        <is>
          <t>Comptable senior</t>
        </is>
      </c>
      <c r="D6" s="10" t="inlineStr">
        <is>
          <t>Bien-etre</t>
        </is>
      </c>
      <c r="E6" s="10" t="inlineStr">
        <is>
          <t>Mobilite durable</t>
        </is>
      </c>
      <c r="F6" s="10" t="inlineStr">
        <is>
          <t>Annulee</t>
        </is>
      </c>
      <c r="G6" s="10" t="inlineStr">
        <is>
          <t>Maladie chronique</t>
        </is>
      </c>
      <c r="H6" s="10" t="inlineStr">
        <is>
          <t>Amenagement complet</t>
        </is>
      </c>
      <c r="I6" s="10" t="inlineStr">
        <is>
          <t>Gestion du stress</t>
        </is>
      </c>
      <c r="J6" s="10" t="inlineStr">
        <is>
          <t>Suspendu</t>
        </is>
      </c>
      <c r="K6" s="10" t="inlineStr">
        <is>
          <t>Diversite &amp; inclusion</t>
        </is>
      </c>
      <c r="L6" s="10" t="inlineStr">
        <is>
          <t>Annulee</t>
        </is>
      </c>
      <c r="M6" s="10" t="inlineStr">
        <is>
          <t>Fournisseur local</t>
        </is>
      </c>
      <c r="N6" s="10" t="inlineStr">
        <is>
          <t>Non renouvele</t>
        </is>
      </c>
      <c r="O6" s="10" t="inlineStr">
        <is>
          <t>Ponctuelle</t>
        </is>
      </c>
      <c r="P6" s="10" t="inlineStr">
        <is>
          <t>Non mesure</t>
        </is>
      </c>
      <c r="Q6" s="10" t="inlineStr">
        <is>
          <t>Tres satisfait</t>
        </is>
      </c>
      <c r="R6" s="10" t="inlineStr">
        <is>
          <t>Annulee</t>
        </is>
      </c>
      <c r="S6" s="10" t="inlineStr">
        <is>
          <t>Bénévolat</t>
        </is>
      </c>
      <c r="T6" t="inlineStr">
        <is>
          <t>2024</t>
        </is>
      </c>
      <c r="U6" t="inlineStr">
        <is>
          <t>Mai 2025</t>
        </is>
      </c>
    </row>
    <row r="7">
      <c r="B7" s="10" t="inlineStr">
        <is>
          <t>Commercial</t>
        </is>
      </c>
      <c r="C7" s="10" t="inlineStr">
        <is>
          <t>Chef Comptable</t>
        </is>
      </c>
      <c r="D7" s="10" t="inlineStr">
        <is>
          <t>Communaute</t>
        </is>
      </c>
      <c r="E7" s="10" t="inlineStr">
        <is>
          <t>Sensibilisation</t>
        </is>
      </c>
      <c r="F7" s="10" t="inlineStr">
        <is>
          <t>En evaluation</t>
        </is>
      </c>
      <c r="G7" s="10" t="inlineStr">
        <is>
          <t>Autre</t>
        </is>
      </c>
      <c r="I7" s="10" t="inlineStr">
        <is>
          <t>Mediation</t>
        </is>
      </c>
      <c r="J7" s="10" t="inlineStr">
        <is>
          <t>Annule</t>
        </is>
      </c>
      <c r="K7" s="10" t="inlineStr">
        <is>
          <t>Gestion du stress</t>
        </is>
      </c>
      <c r="M7" s="10" t="inlineStr">
        <is>
          <t>Autre hotel</t>
        </is>
      </c>
      <c r="S7" s="10" t="inlineStr">
        <is>
          <t>Autre</t>
        </is>
      </c>
      <c r="T7" t="inlineStr">
        <is>
          <t>2025</t>
        </is>
      </c>
      <c r="U7" t="inlineStr">
        <is>
          <t>Juin 2025</t>
        </is>
      </c>
    </row>
    <row r="8">
      <c r="B8" s="10" t="inlineStr">
        <is>
          <t>Logistique &amp; Approvisionnement</t>
        </is>
      </c>
      <c r="C8" s="10" t="inlineStr">
        <is>
          <t>Chef Marketing</t>
        </is>
      </c>
      <c r="D8" s="10" t="inlineStr">
        <is>
          <t>Formation &amp; Developpement</t>
        </is>
      </c>
      <c r="E8" s="10" t="inlineStr">
        <is>
          <t>Partenariat local</t>
        </is>
      </c>
      <c r="F8" s="10" t="inlineStr">
        <is>
          <t>En amelioration</t>
        </is>
      </c>
      <c r="I8" s="10" t="inlineStr">
        <is>
          <t>Conseiller bien-etre</t>
        </is>
      </c>
      <c r="K8" s="10" t="inlineStr">
        <is>
          <t>Premiers secours</t>
        </is>
      </c>
      <c r="M8" s="10" t="inlineStr">
        <is>
          <t>Chambre de metier</t>
        </is>
      </c>
      <c r="T8" t="inlineStr">
        <is>
          <t>2026</t>
        </is>
      </c>
      <c r="U8" t="inlineStr">
        <is>
          <t>Juillet 2025</t>
        </is>
      </c>
    </row>
    <row r="9">
      <c r="B9" s="10" t="inlineStr">
        <is>
          <t>Cuisine &amp; Restauration</t>
        </is>
      </c>
      <c r="C9" s="10" t="inlineStr">
        <is>
          <t>Chef de service IT</t>
        </is>
      </c>
      <c r="D9" s="10" t="inlineStr">
        <is>
          <t>Ethique</t>
        </is>
      </c>
      <c r="E9" s="10" t="inlineStr">
        <is>
          <t>Action sociale</t>
        </is>
      </c>
      <c r="I9" s="10" t="inlineStr">
        <is>
          <t>Amenagement horaires</t>
        </is>
      </c>
      <c r="K9" s="10" t="inlineStr">
        <is>
          <t>Sécurité au travail</t>
        </is>
      </c>
      <c r="M9" s="10" t="inlineStr">
        <is>
          <t>Organisme de formation</t>
        </is>
      </c>
      <c r="T9" t="inlineStr">
        <is>
          <t>2027</t>
        </is>
      </c>
      <c r="U9" t="inlineStr">
        <is>
          <t>Aout 2025</t>
        </is>
      </c>
    </row>
    <row r="10">
      <c r="B10" s="10" t="inlineStr">
        <is>
          <t>Réception &amp; Front Office</t>
        </is>
      </c>
      <c r="C10" s="10" t="inlineStr">
        <is>
          <t>Technicien IT</t>
        </is>
      </c>
      <c r="E10" s="10" t="inlineStr">
        <is>
          <t>Formation RSE</t>
        </is>
      </c>
      <c r="I10" s="10" t="inlineStr">
        <is>
          <t>Teletravail</t>
        </is>
      </c>
      <c r="K10" s="10" t="inlineStr">
        <is>
          <t>Ethique professionnelle</t>
        </is>
      </c>
      <c r="M10" s="10" t="inlineStr">
        <is>
          <t>Autre</t>
        </is>
      </c>
      <c r="U10" t="inlineStr">
        <is>
          <t>Septembre 2025</t>
        </is>
      </c>
    </row>
    <row r="11">
      <c r="B11" s="10" t="inlineStr">
        <is>
          <t>Sécurité</t>
        </is>
      </c>
      <c r="C11" s="10" t="inlineStr">
        <is>
          <t>Chef Commercial</t>
        </is>
      </c>
      <c r="E11" s="10" t="inlineStr">
        <is>
          <t>Amenagement espace</t>
        </is>
      </c>
      <c r="I11" s="10" t="inlineStr">
        <is>
          <t>Espace detente</t>
        </is>
      </c>
      <c r="K11" s="10" t="inlineStr">
        <is>
          <t>Developpement durable</t>
        </is>
      </c>
      <c r="U11" t="inlineStr">
        <is>
          <t>Octobre 2025</t>
        </is>
      </c>
    </row>
    <row r="12">
      <c r="B12" s="10" t="inlineStr">
        <is>
          <t>Étage &amp; Housekeeping</t>
        </is>
      </c>
      <c r="C12" s="10" t="inlineStr">
        <is>
          <t>Agent Commercial</t>
        </is>
      </c>
      <c r="E12" s="10" t="inlineStr">
        <is>
          <t>Santé &amp; Sécurité</t>
        </is>
      </c>
      <c r="I12" s="10" t="inlineStr">
        <is>
          <t>Formation sensibilisation</t>
        </is>
      </c>
      <c r="K12" s="10" t="inlineStr">
        <is>
          <t>Autre</t>
        </is>
      </c>
      <c r="U12" t="inlineStr">
        <is>
          <t>Novembre 2025</t>
        </is>
      </c>
    </row>
    <row r="13">
      <c r="B13" s="10" t="n"/>
      <c r="C13" s="10" t="inlineStr">
        <is>
          <t>Chef Logistique</t>
        </is>
      </c>
      <c r="E13" s="10" t="inlineStr">
        <is>
          <t>Diversite recrutement</t>
        </is>
      </c>
      <c r="I13" s="10" t="inlineStr">
        <is>
          <t>Autre</t>
        </is>
      </c>
      <c r="U13" t="inlineStr">
        <is>
          <t>Decembre 2025</t>
        </is>
      </c>
    </row>
    <row r="14">
      <c r="B14" s="10" t="n"/>
      <c r="C14" s="10" t="inlineStr">
        <is>
          <t>Agent Logistique</t>
        </is>
      </c>
      <c r="E14" s="10" t="inlineStr">
        <is>
          <t>Inclusion handicap</t>
        </is>
      </c>
      <c r="U14" t="inlineStr">
        <is>
          <t>Janvier 2026</t>
        </is>
      </c>
    </row>
    <row r="15">
      <c r="C15" s="10" t="inlineStr">
        <is>
          <t>Chef Production</t>
        </is>
      </c>
      <c r="E15" s="10" t="inlineStr">
        <is>
          <t>Equilibre vie pro/perso</t>
        </is>
      </c>
      <c r="U15" t="inlineStr">
        <is>
          <t>Fevrier 2026</t>
        </is>
      </c>
    </row>
    <row r="16">
      <c r="C16" s="10" t="inlineStr">
        <is>
          <t>Responsable Service Client</t>
        </is>
      </c>
      <c r="E16" s="10" t="inlineStr">
        <is>
          <t>Autre</t>
        </is>
      </c>
      <c r="U16" t="inlineStr">
        <is>
          <t>Mars 2026</t>
        </is>
      </c>
    </row>
    <row r="17">
      <c r="C17" s="10" t="inlineStr">
        <is>
          <t>Conseiller Client</t>
        </is>
      </c>
      <c r="U17" t="inlineStr">
        <is>
          <t>Avril 2026</t>
        </is>
      </c>
    </row>
    <row r="18">
      <c r="C18" s="10" t="inlineStr">
        <is>
          <t>Chef Reception</t>
        </is>
      </c>
      <c r="U18" t="inlineStr">
        <is>
          <t>Mai 2026</t>
        </is>
      </c>
    </row>
    <row r="19">
      <c r="C19" s="10" t="inlineStr">
        <is>
          <t>Receptionniste</t>
        </is>
      </c>
      <c r="U19" t="inlineStr">
        <is>
          <t>Juin 2026</t>
        </is>
      </c>
    </row>
    <row r="20">
      <c r="C20" s="10" t="inlineStr">
        <is>
          <t>Chef Cuisine</t>
        </is>
      </c>
    </row>
    <row r="21">
      <c r="C21" s="10" t="inlineStr">
        <is>
          <t>Cuisinier</t>
        </is>
      </c>
    </row>
    <row r="22">
      <c r="C22" s="10" t="inlineStr">
        <is>
          <t>Plongeur</t>
        </is>
      </c>
    </row>
    <row r="23">
      <c r="C23" s="10" t="inlineStr">
        <is>
          <t>Chef Entretien</t>
        </is>
      </c>
    </row>
    <row r="24">
      <c r="C24" s="10" t="inlineStr">
        <is>
          <t>Technicien Maintenance</t>
        </is>
      </c>
    </row>
    <row r="25">
      <c r="C25" s="10" t="inlineStr">
        <is>
          <t>Agent Sécurité</t>
        </is>
      </c>
    </row>
    <row r="26">
      <c r="C26" s="10" t="inlineStr">
        <is>
          <t>Stagiaire RH</t>
        </is>
      </c>
    </row>
    <row r="27">
      <c r="C27" s="10" t="inlineStr">
        <is>
          <t>Stagiaire</t>
        </is>
      </c>
    </row>
    <row r="28">
      <c r="C28" s="10" t="inlineStr">
        <is>
          <t>Autre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4" customWidth="1" min="4" max="4"/>
    <col width="38" customWidth="1" min="5" max="5"/>
    <col width="28" customWidth="1" min="6" max="6"/>
    <col width="18" customWidth="1" min="7" max="7"/>
    <col width="14" customWidth="1" min="8" max="8"/>
    <col width="14" customWidth="1" min="9" max="9"/>
    <col width="18" customWidth="1" min="10" max="10"/>
    <col width="32" customWidth="1" min="11" max="11"/>
  </cols>
  <sheetData>
    <row r="1" ht="15" customHeight="1"/>
    <row r="2" ht="32" customHeight="1">
      <c r="B2" s="1" t="inlineStr">
        <is>
          <t>POLITIQUE RSE HOTEL (#147)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Engagement / Politique</t>
        </is>
      </c>
      <c r="D4" s="11" t="inlineStr">
        <is>
          <t>Axe RSE</t>
        </is>
      </c>
      <c r="E4" s="11" t="inlineStr">
        <is>
          <t>Description</t>
        </is>
      </c>
      <c r="F4" s="11" t="inlineStr">
        <is>
          <t>Objectif Mesurable</t>
        </is>
      </c>
      <c r="G4" s="11" t="inlineStr">
        <is>
          <t>Responsable</t>
        </is>
      </c>
      <c r="H4" s="11" t="inlineStr">
        <is>
          <t>Date Adoption</t>
        </is>
      </c>
      <c r="I4" s="11" t="inlineStr">
        <is>
          <t>Date Revision</t>
        </is>
      </c>
      <c r="J4" s="11" t="inlineStr">
        <is>
          <t>Statut</t>
        </is>
      </c>
      <c r="K4" s="11" t="inlineStr">
        <is>
          <t>Observations</t>
        </is>
      </c>
    </row>
    <row r="5" ht="22" customHeight="1">
      <c r="B5" s="12" t="inlineStr">
        <is>
          <t>RSE-001</t>
        </is>
      </c>
      <c r="C5" s="12" t="inlineStr">
        <is>
          <t>Charte environnement hotel</t>
        </is>
      </c>
      <c r="D5" s="12" t="inlineStr">
        <is>
          <t>Environnement</t>
        </is>
      </c>
      <c r="E5" s="12" t="inlineStr">
        <is>
          <t>Reduction de 20% de la consommation d'eau d'ici 2026</t>
        </is>
      </c>
      <c r="F5" s="12" t="inlineStr">
        <is>
          <t>Conso. eau -20% vs 2024</t>
        </is>
      </c>
      <c r="G5" s="12" t="inlineStr">
        <is>
          <t>DG</t>
        </is>
      </c>
      <c r="H5" s="41" t="n">
        <v>45306</v>
      </c>
      <c r="I5" s="41" t="n">
        <v>46037</v>
      </c>
      <c r="J5" s="12" t="inlineStr">
        <is>
          <t>En vigueur</t>
        </is>
      </c>
      <c r="K5" s="12" t="inlineStr">
        <is>
          <t>Capteurs eau installes salle de bain</t>
        </is>
      </c>
    </row>
    <row r="6" ht="22" customHeight="1">
      <c r="B6" s="14" t="inlineStr">
        <is>
          <t>RSE-002</t>
        </is>
      </c>
      <c r="C6" s="14" t="inlineStr">
        <is>
          <t>Politique diversite et inclusion</t>
        </is>
      </c>
      <c r="D6" s="14" t="inlineStr">
        <is>
          <t>Diversite &amp; Inclusion</t>
        </is>
      </c>
      <c r="E6" s="14" t="inlineStr">
        <is>
          <t>Atteindre 40% de femmes cadres d'ici 2027</t>
        </is>
      </c>
      <c r="F6" s="14" t="inlineStr">
        <is>
          <t>40% femmes cadres</t>
        </is>
      </c>
      <c r="G6" s="14" t="inlineStr">
        <is>
          <t>DRH</t>
        </is>
      </c>
      <c r="H6" s="42" t="n">
        <v>45444</v>
      </c>
      <c r="I6" s="42" t="n">
        <v>46539</v>
      </c>
      <c r="J6" s="14" t="inlineStr">
        <is>
          <t>En vigueur</t>
        </is>
      </c>
      <c r="K6" s="14" t="inlineStr">
        <is>
          <t>Programme mentorat femmes en place</t>
        </is>
      </c>
    </row>
    <row r="7" ht="22" customHeight="1">
      <c r="B7" s="12" t="inlineStr">
        <is>
          <t>RSE-003</t>
        </is>
      </c>
      <c r="C7" s="12" t="inlineStr">
        <is>
          <t>Politique bien-etre employes</t>
        </is>
      </c>
      <c r="D7" s="12" t="inlineStr">
        <is>
          <t>Bien-etre</t>
        </is>
      </c>
      <c r="E7" s="12" t="inlineStr">
        <is>
          <t>Score bien-etre &gt;= 4.0/5 dans enquetes annuelles</t>
        </is>
      </c>
      <c r="F7" s="12" t="inlineStr">
        <is>
          <t>Score &gt;= 4.0/5</t>
        </is>
      </c>
      <c r="G7" s="12" t="inlineStr">
        <is>
          <t>DRH</t>
        </is>
      </c>
      <c r="H7" s="41" t="n">
        <v>45352</v>
      </c>
      <c r="I7" s="41" t="n">
        <v>46022</v>
      </c>
      <c r="J7" s="12" t="inlineStr">
        <is>
          <t>En vigueur</t>
        </is>
      </c>
      <c r="K7" s="12" t="inlineStr">
        <is>
          <t>Enquete Q1 2025 planifiee</t>
        </is>
      </c>
    </row>
    <row r="8" ht="22" customHeight="1">
      <c r="B8" s="16">
        <f>IF(C8="","RSE-"&amp;TEXT(COUNTA($C$5:C8),"000"))</f>
        <v/>
      </c>
      <c r="C8" s="14" t="n"/>
      <c r="D8" s="14" t="n"/>
      <c r="E8" s="14" t="n"/>
      <c r="F8" s="14" t="n"/>
      <c r="G8" s="14" t="n"/>
      <c r="H8" s="42" t="n"/>
      <c r="I8" s="42" t="n"/>
      <c r="J8" s="14" t="n"/>
      <c r="K8" s="14" t="n"/>
    </row>
    <row r="9" ht="22" customHeight="1">
      <c r="B9" s="17">
        <f>IF(C9="","RSE-"&amp;TEXT(COUNTA($C$5:C9),"000"))</f>
        <v/>
      </c>
      <c r="C9" s="12" t="n"/>
      <c r="D9" s="12" t="n"/>
      <c r="E9" s="12" t="n"/>
      <c r="F9" s="12" t="n"/>
      <c r="G9" s="12" t="n"/>
      <c r="H9" s="41" t="n"/>
      <c r="I9" s="41" t="n"/>
      <c r="J9" s="12" t="n"/>
      <c r="K9" s="12" t="n"/>
    </row>
    <row r="10" ht="22" customHeight="1">
      <c r="B10" s="16">
        <f>IF(C10="","RSE-"&amp;TEXT(COUNTA($C$5:C10),"000"))</f>
        <v/>
      </c>
      <c r="C10" s="14" t="n"/>
      <c r="D10" s="14" t="n"/>
      <c r="E10" s="14" t="n"/>
      <c r="F10" s="14" t="n"/>
      <c r="G10" s="14" t="n"/>
      <c r="H10" s="42" t="n"/>
      <c r="I10" s="42" t="n"/>
      <c r="J10" s="14" t="n"/>
      <c r="K10" s="14" t="n"/>
    </row>
    <row r="11" ht="22" customHeight="1">
      <c r="B11" s="17">
        <f>IF(C11="","RSE-"&amp;TEXT(COUNTA($C$5:C11),"000"))</f>
        <v/>
      </c>
      <c r="C11" s="12" t="n"/>
      <c r="D11" s="12" t="n"/>
      <c r="E11" s="12" t="n"/>
      <c r="F11" s="12" t="n"/>
      <c r="G11" s="12" t="n"/>
      <c r="H11" s="41" t="n"/>
      <c r="I11" s="41" t="n"/>
      <c r="J11" s="12" t="n"/>
      <c r="K11" s="12" t="n"/>
    </row>
    <row r="12" ht="22" customHeight="1">
      <c r="B12" s="16">
        <f>IF(C12="","RSE-"&amp;TEXT(COUNTA($C$5:C12),"000"))</f>
        <v/>
      </c>
      <c r="C12" s="14" t="n"/>
      <c r="D12" s="14" t="n"/>
      <c r="E12" s="14" t="n"/>
      <c r="F12" s="14" t="n"/>
      <c r="G12" s="14" t="n"/>
      <c r="H12" s="42" t="n"/>
      <c r="I12" s="42" t="n"/>
      <c r="J12" s="14" t="n"/>
      <c r="K12" s="14" t="n"/>
    </row>
    <row r="13" ht="22" customHeight="1">
      <c r="B13" s="17">
        <f>IF(C13="","RSE-"&amp;TEXT(COUNTA($C$5:C13),"000"))</f>
        <v/>
      </c>
      <c r="C13" s="12" t="n"/>
      <c r="D13" s="12" t="n"/>
      <c r="E13" s="12" t="n"/>
      <c r="F13" s="12" t="n"/>
      <c r="G13" s="12" t="n"/>
      <c r="H13" s="41" t="n"/>
      <c r="I13" s="41" t="n"/>
      <c r="J13" s="12" t="n"/>
      <c r="K13" s="12" t="n"/>
    </row>
    <row r="14" ht="22" customHeight="1">
      <c r="B14" s="16">
        <f>IF(C14="","RSE-"&amp;TEXT(COUNTA($C$5:C14),"000"))</f>
        <v/>
      </c>
      <c r="C14" s="14" t="n"/>
      <c r="D14" s="14" t="n"/>
      <c r="E14" s="14" t="n"/>
      <c r="F14" s="14" t="n"/>
      <c r="G14" s="14" t="n"/>
      <c r="H14" s="42" t="n"/>
      <c r="I14" s="42" t="n"/>
      <c r="J14" s="14" t="n"/>
      <c r="K14" s="14" t="n"/>
    </row>
    <row r="15" ht="22" customHeight="1">
      <c r="B15" s="17">
        <f>IF(C15="","RSE-"&amp;TEXT(COUNTA($C$5:C15),"000"))</f>
        <v/>
      </c>
      <c r="C15" s="12" t="n"/>
      <c r="D15" s="12" t="n"/>
      <c r="E15" s="12" t="n"/>
      <c r="F15" s="12" t="n"/>
      <c r="G15" s="12" t="n"/>
      <c r="H15" s="41" t="n"/>
      <c r="I15" s="41" t="n"/>
      <c r="J15" s="12" t="n"/>
      <c r="K15" s="12" t="n"/>
    </row>
    <row r="16" ht="22" customHeight="1">
      <c r="B16" s="16">
        <f>IF(C16="","RSE-"&amp;TEXT(COUNTA($C$5:C16),"000"))</f>
        <v/>
      </c>
      <c r="C16" s="14" t="n"/>
      <c r="D16" s="14" t="n"/>
      <c r="E16" s="14" t="n"/>
      <c r="F16" s="14" t="n"/>
      <c r="G16" s="14" t="n"/>
      <c r="H16" s="42" t="n"/>
      <c r="I16" s="42" t="n"/>
      <c r="J16" s="14" t="n"/>
      <c r="K16" s="14" t="n"/>
    </row>
    <row r="17" ht="22" customHeight="1">
      <c r="B17" s="17">
        <f>IF(C17="","RSE-"&amp;TEXT(COUNTA($C$5:C17),"000"))</f>
        <v/>
      </c>
      <c r="C17" s="12" t="n"/>
      <c r="D17" s="12" t="n"/>
      <c r="E17" s="12" t="n"/>
      <c r="F17" s="12" t="n"/>
      <c r="G17" s="12" t="n"/>
      <c r="H17" s="41" t="n"/>
      <c r="I17" s="41" t="n"/>
      <c r="J17" s="12" t="n"/>
      <c r="K17" s="12" t="n"/>
    </row>
    <row r="18" ht="22" customHeight="1">
      <c r="B18" s="16">
        <f>IF(C18="","RSE-"&amp;TEXT(COUNTA($C$5:C18),"000"))</f>
        <v/>
      </c>
      <c r="C18" s="14" t="n"/>
      <c r="D18" s="14" t="n"/>
      <c r="E18" s="14" t="n"/>
      <c r="F18" s="14" t="n"/>
      <c r="G18" s="14" t="n"/>
      <c r="H18" s="42" t="n"/>
      <c r="I18" s="42" t="n"/>
      <c r="J18" s="14" t="n"/>
      <c r="K18" s="14" t="n"/>
    </row>
    <row r="19" ht="22" customHeight="1">
      <c r="B19" s="17">
        <f>IF(C19="","RSE-"&amp;TEXT(COUNTA($C$5:C19),"000"))</f>
        <v/>
      </c>
      <c r="C19" s="12" t="n"/>
      <c r="D19" s="12" t="n"/>
      <c r="E19" s="12" t="n"/>
      <c r="F19" s="12" t="n"/>
      <c r="G19" s="12" t="n"/>
      <c r="H19" s="41" t="n"/>
      <c r="I19" s="41" t="n"/>
      <c r="J19" s="12" t="n"/>
      <c r="K19" s="12" t="n"/>
    </row>
    <row r="20" ht="22" customHeight="1">
      <c r="B20" s="16">
        <f>IF(C20="","RSE-"&amp;TEXT(COUNTA($C$5:C20),"000"))</f>
        <v/>
      </c>
      <c r="C20" s="14" t="n"/>
      <c r="D20" s="14" t="n"/>
      <c r="E20" s="14" t="n"/>
      <c r="F20" s="14" t="n"/>
      <c r="G20" s="14" t="n"/>
      <c r="H20" s="42" t="n"/>
      <c r="I20" s="42" t="n"/>
      <c r="J20" s="14" t="n"/>
      <c r="K20" s="14" t="n"/>
    </row>
    <row r="21" ht="22" customHeight="1">
      <c r="B21" s="17">
        <f>IF(C21="","RSE-"&amp;TEXT(COUNTA($C$5:C21),"000"))</f>
        <v/>
      </c>
      <c r="C21" s="12" t="n"/>
      <c r="D21" s="12" t="n"/>
      <c r="E21" s="12" t="n"/>
      <c r="F21" s="12" t="n"/>
      <c r="G21" s="12" t="n"/>
      <c r="H21" s="41" t="n"/>
      <c r="I21" s="41" t="n"/>
      <c r="J21" s="12" t="n"/>
      <c r="K21" s="12" t="n"/>
    </row>
    <row r="22" ht="22" customHeight="1">
      <c r="B22" s="16">
        <f>IF(C22="","RSE-"&amp;TEXT(COUNTA($C$5:C22),"000"))</f>
        <v/>
      </c>
      <c r="C22" s="14" t="n"/>
      <c r="D22" s="14" t="n"/>
      <c r="E22" s="14" t="n"/>
      <c r="F22" s="14" t="n"/>
      <c r="G22" s="14" t="n"/>
      <c r="H22" s="42" t="n"/>
      <c r="I22" s="42" t="n"/>
      <c r="J22" s="14" t="n"/>
      <c r="K22" s="14" t="n"/>
    </row>
    <row r="23" ht="22" customHeight="1">
      <c r="B23" s="17">
        <f>IF(C23="","RSE-"&amp;TEXT(COUNTA($C$5:C23),"000"))</f>
        <v/>
      </c>
      <c r="C23" s="12" t="n"/>
      <c r="D23" s="12" t="n"/>
      <c r="E23" s="12" t="n"/>
      <c r="F23" s="12" t="n"/>
      <c r="G23" s="12" t="n"/>
      <c r="H23" s="41" t="n"/>
      <c r="I23" s="41" t="n"/>
      <c r="J23" s="12" t="n"/>
      <c r="K23" s="12" t="n"/>
    </row>
    <row r="24" ht="22" customHeight="1">
      <c r="B24" s="16">
        <f>IF(C24="","RSE-"&amp;TEXT(COUNTA($C$5:C24),"000"))</f>
        <v/>
      </c>
      <c r="C24" s="14" t="n"/>
      <c r="D24" s="14" t="n"/>
      <c r="E24" s="14" t="n"/>
      <c r="F24" s="14" t="n"/>
      <c r="G24" s="14" t="n"/>
      <c r="H24" s="42" t="n"/>
      <c r="I24" s="42" t="n"/>
      <c r="J24" s="14" t="n"/>
      <c r="K24" s="14" t="n"/>
    </row>
    <row r="25" ht="22" customHeight="1">
      <c r="B25" s="17">
        <f>IF(C25="","RSE-"&amp;TEXT(COUNTA($C$5:C25),"000"))</f>
        <v/>
      </c>
      <c r="C25" s="12" t="n"/>
      <c r="D25" s="12" t="n"/>
      <c r="E25" s="12" t="n"/>
      <c r="F25" s="12" t="n"/>
      <c r="G25" s="12" t="n"/>
      <c r="H25" s="41" t="n"/>
      <c r="I25" s="41" t="n"/>
      <c r="J25" s="12" t="n"/>
      <c r="K25" s="12" t="n"/>
    </row>
    <row r="26" ht="22" customHeight="1">
      <c r="B26" s="16">
        <f>IF(C26="","RSE-"&amp;TEXT(COUNTA($C$5:C26),"000"))</f>
        <v/>
      </c>
      <c r="C26" s="14" t="n"/>
      <c r="D26" s="14" t="n"/>
      <c r="E26" s="14" t="n"/>
      <c r="F26" s="14" t="n"/>
      <c r="G26" s="14" t="n"/>
      <c r="H26" s="42" t="n"/>
      <c r="I26" s="42" t="n"/>
      <c r="J26" s="14" t="n"/>
      <c r="K26" s="14" t="n"/>
    </row>
    <row r="27" ht="22" customHeight="1">
      <c r="B27" s="17">
        <f>IF(C27="","RSE-"&amp;TEXT(COUNTA($C$5:C27),"000"))</f>
        <v/>
      </c>
      <c r="C27" s="12" t="n"/>
      <c r="D27" s="12" t="n"/>
      <c r="E27" s="12" t="n"/>
      <c r="F27" s="12" t="n"/>
      <c r="G27" s="12" t="n"/>
      <c r="H27" s="41" t="n"/>
      <c r="I27" s="41" t="n"/>
      <c r="J27" s="12" t="n"/>
      <c r="K27" s="12" t="n"/>
    </row>
    <row r="28" ht="22" customHeight="1">
      <c r="B28" s="16">
        <f>IF(C28="","RSE-"&amp;TEXT(COUNTA($C$5:C28),"000"))</f>
        <v/>
      </c>
      <c r="C28" s="14" t="n"/>
      <c r="D28" s="14" t="n"/>
      <c r="E28" s="14" t="n"/>
      <c r="F28" s="14" t="n"/>
      <c r="G28" s="14" t="n"/>
      <c r="H28" s="42" t="n"/>
      <c r="I28" s="42" t="n"/>
      <c r="J28" s="14" t="n"/>
      <c r="K28" s="14" t="n"/>
    </row>
    <row r="29" ht="22" customHeight="1">
      <c r="B29" s="17">
        <f>IF(C29="","RSE-"&amp;TEXT(COUNTA($C$5:C29),"000"))</f>
        <v/>
      </c>
      <c r="C29" s="12" t="n"/>
      <c r="D29" s="12" t="n"/>
      <c r="E29" s="12" t="n"/>
      <c r="F29" s="12" t="n"/>
      <c r="G29" s="12" t="n"/>
      <c r="H29" s="41" t="n"/>
      <c r="I29" s="41" t="n"/>
      <c r="J29" s="12" t="n"/>
      <c r="K29" s="12" t="n"/>
    </row>
    <row r="30" ht="22" customHeight="1">
      <c r="B30" s="16">
        <f>IF(C30="","RSE-"&amp;TEXT(COUNTA($C$5:C30),"000"))</f>
        <v/>
      </c>
      <c r="C30" s="14" t="n"/>
      <c r="D30" s="14" t="n"/>
      <c r="E30" s="14" t="n"/>
      <c r="F30" s="14" t="n"/>
      <c r="G30" s="14" t="n"/>
      <c r="H30" s="42" t="n"/>
      <c r="I30" s="42" t="n"/>
      <c r="J30" s="14" t="n"/>
      <c r="K30" s="14" t="n"/>
    </row>
    <row r="31" ht="22" customHeight="1">
      <c r="B31" s="17">
        <f>IF(C31="","RSE-"&amp;TEXT(COUNTA($C$5:C31),"000"))</f>
        <v/>
      </c>
      <c r="C31" s="12" t="n"/>
      <c r="D31" s="12" t="n"/>
      <c r="E31" s="12" t="n"/>
      <c r="F31" s="12" t="n"/>
      <c r="G31" s="12" t="n"/>
      <c r="H31" s="41" t="n"/>
      <c r="I31" s="41" t="n"/>
      <c r="J31" s="12" t="n"/>
      <c r="K31" s="12" t="n"/>
    </row>
    <row r="32" ht="22" customHeight="1">
      <c r="B32" s="16">
        <f>IF(C32="","RSE-"&amp;TEXT(COUNTA($C$5:C32),"000"))</f>
        <v/>
      </c>
      <c r="C32" s="14" t="n"/>
      <c r="D32" s="14" t="n"/>
      <c r="E32" s="14" t="n"/>
      <c r="F32" s="14" t="n"/>
      <c r="G32" s="14" t="n"/>
      <c r="H32" s="42" t="n"/>
      <c r="I32" s="42" t="n"/>
      <c r="J32" s="14" t="n"/>
      <c r="K32" s="14" t="n"/>
    </row>
    <row r="33" ht="22" customHeight="1">
      <c r="B33" s="17">
        <f>IF(C33="","RSE-"&amp;TEXT(COUNTA($C$5:C33),"000"))</f>
        <v/>
      </c>
      <c r="C33" s="12" t="n"/>
      <c r="D33" s="12" t="n"/>
      <c r="E33" s="12" t="n"/>
      <c r="F33" s="12" t="n"/>
      <c r="G33" s="12" t="n"/>
      <c r="H33" s="41" t="n"/>
      <c r="I33" s="41" t="n"/>
      <c r="J33" s="12" t="n"/>
      <c r="K33" s="12" t="n"/>
    </row>
    <row r="34" ht="22" customHeight="1">
      <c r="B34" s="16">
        <f>IF(C34="","RSE-"&amp;TEXT(COUNTA($C$5:C34),"000"))</f>
        <v/>
      </c>
      <c r="C34" s="14" t="n"/>
      <c r="D34" s="14" t="n"/>
      <c r="E34" s="14" t="n"/>
      <c r="F34" s="14" t="n"/>
      <c r="G34" s="14" t="n"/>
      <c r="H34" s="42" t="n"/>
      <c r="I34" s="42" t="n"/>
      <c r="J34" s="14" t="n"/>
      <c r="K34" s="14" t="n"/>
    </row>
    <row r="35" ht="22" customHeight="1">
      <c r="B35" s="17">
        <f>IF(C35="","RSE-"&amp;TEXT(COUNTA($C$5:C35),"000"))</f>
        <v/>
      </c>
      <c r="C35" s="12" t="n"/>
      <c r="D35" s="12" t="n"/>
      <c r="E35" s="12" t="n"/>
      <c r="F35" s="12" t="n"/>
      <c r="G35" s="12" t="n"/>
      <c r="H35" s="41" t="n"/>
      <c r="I35" s="41" t="n"/>
      <c r="J35" s="12" t="n"/>
      <c r="K35" s="12" t="n"/>
    </row>
    <row r="36" ht="22" customHeight="1">
      <c r="B36" s="16">
        <f>IF(C36="","RSE-"&amp;TEXT(COUNTA($C$5:C36),"000"))</f>
        <v/>
      </c>
      <c r="C36" s="14" t="n"/>
      <c r="D36" s="14" t="n"/>
      <c r="E36" s="14" t="n"/>
      <c r="F36" s="14" t="n"/>
      <c r="G36" s="14" t="n"/>
      <c r="H36" s="42" t="n"/>
      <c r="I36" s="42" t="n"/>
      <c r="J36" s="14" t="n"/>
      <c r="K36" s="14" t="n"/>
    </row>
    <row r="37" ht="22" customHeight="1">
      <c r="B37" s="17">
        <f>IF(C37="","RSE-"&amp;TEXT(COUNTA($C$5:C37),"000"))</f>
        <v/>
      </c>
      <c r="C37" s="12" t="n"/>
      <c r="D37" s="12" t="n"/>
      <c r="E37" s="12" t="n"/>
      <c r="F37" s="12" t="n"/>
      <c r="G37" s="12" t="n"/>
      <c r="H37" s="41" t="n"/>
      <c r="I37" s="41" t="n"/>
      <c r="J37" s="12" t="n"/>
      <c r="K37" s="12" t="n"/>
    </row>
    <row r="38" ht="22" customHeight="1">
      <c r="B38" s="16">
        <f>IF(C38="","RSE-"&amp;TEXT(COUNTA($C$5:C38),"000"))</f>
        <v/>
      </c>
      <c r="C38" s="14" t="n"/>
      <c r="D38" s="14" t="n"/>
      <c r="E38" s="14" t="n"/>
      <c r="F38" s="14" t="n"/>
      <c r="G38" s="14" t="n"/>
      <c r="H38" s="42" t="n"/>
      <c r="I38" s="42" t="n"/>
      <c r="J38" s="14" t="n"/>
      <c r="K38" s="14" t="n"/>
    </row>
    <row r="39" ht="22" customHeight="1">
      <c r="B39" s="17">
        <f>IF(C39="","RSE-"&amp;TEXT(COUNTA($C$5:C39),"000"))</f>
        <v/>
      </c>
      <c r="C39" s="12" t="n"/>
      <c r="D39" s="12" t="n"/>
      <c r="E39" s="12" t="n"/>
      <c r="F39" s="12" t="n"/>
      <c r="G39" s="12" t="n"/>
      <c r="H39" s="41" t="n"/>
      <c r="I39" s="41" t="n"/>
      <c r="J39" s="12" t="n"/>
      <c r="K39" s="12" t="n"/>
    </row>
    <row r="40" ht="22" customHeight="1">
      <c r="B40" s="16">
        <f>IF(C40="","RSE-"&amp;TEXT(COUNTA($C$5:C40),"000"))</f>
        <v/>
      </c>
      <c r="C40" s="14" t="n"/>
      <c r="D40" s="14" t="n"/>
      <c r="E40" s="14" t="n"/>
      <c r="F40" s="14" t="n"/>
      <c r="G40" s="14" t="n"/>
      <c r="H40" s="42" t="n"/>
      <c r="I40" s="42" t="n"/>
      <c r="J40" s="14" t="n"/>
      <c r="K40" s="14" t="n"/>
    </row>
    <row r="41" ht="22" customHeight="1">
      <c r="B41" s="17">
        <f>IF(C41="","RSE-"&amp;TEXT(COUNTA($C$5:C41),"000"))</f>
        <v/>
      </c>
      <c r="C41" s="12" t="n"/>
      <c r="D41" s="12" t="n"/>
      <c r="E41" s="12" t="n"/>
      <c r="F41" s="12" t="n"/>
      <c r="G41" s="12" t="n"/>
      <c r="H41" s="41" t="n"/>
      <c r="I41" s="41" t="n"/>
      <c r="J41" s="12" t="n"/>
      <c r="K41" s="12" t="n"/>
    </row>
    <row r="42" ht="22" customHeight="1">
      <c r="B42" s="16">
        <f>IF(C42="","RSE-"&amp;TEXT(COUNTA($C$5:C42),"000"))</f>
        <v/>
      </c>
      <c r="C42" s="14" t="n"/>
      <c r="D42" s="14" t="n"/>
      <c r="E42" s="14" t="n"/>
      <c r="F42" s="14" t="n"/>
      <c r="G42" s="14" t="n"/>
      <c r="H42" s="42" t="n"/>
      <c r="I42" s="42" t="n"/>
      <c r="J42" s="14" t="n"/>
      <c r="K42" s="14" t="n"/>
    </row>
    <row r="43" ht="22" customHeight="1">
      <c r="B43" s="17">
        <f>IF(C43="","RSE-"&amp;TEXT(COUNTA($C$5:C43),"000"))</f>
        <v/>
      </c>
      <c r="C43" s="12" t="n"/>
      <c r="D43" s="12" t="n"/>
      <c r="E43" s="12" t="n"/>
      <c r="F43" s="12" t="n"/>
      <c r="G43" s="12" t="n"/>
      <c r="H43" s="41" t="n"/>
      <c r="I43" s="41" t="n"/>
      <c r="J43" s="12" t="n"/>
      <c r="K43" s="12" t="n"/>
    </row>
    <row r="44" ht="22" customHeight="1">
      <c r="B44" s="16">
        <f>IF(C44="","RSE-"&amp;TEXT(COUNTA($C$5:C44),"000"))</f>
        <v/>
      </c>
      <c r="C44" s="14" t="n"/>
      <c r="D44" s="14" t="n"/>
      <c r="E44" s="14" t="n"/>
      <c r="F44" s="14" t="n"/>
      <c r="G44" s="14" t="n"/>
      <c r="H44" s="42" t="n"/>
      <c r="I44" s="42" t="n"/>
      <c r="J44" s="14" t="n"/>
      <c r="K44" s="14" t="n"/>
    </row>
    <row r="45" ht="22" customHeight="1">
      <c r="B45" s="17">
        <f>IF(C45="","RSE-"&amp;TEXT(COUNTA($C$5:C45),"000"))</f>
        <v/>
      </c>
      <c r="C45" s="12" t="n"/>
      <c r="D45" s="12" t="n"/>
      <c r="E45" s="12" t="n"/>
      <c r="F45" s="12" t="n"/>
      <c r="G45" s="12" t="n"/>
      <c r="H45" s="41" t="n"/>
      <c r="I45" s="41" t="n"/>
      <c r="J45" s="12" t="n"/>
      <c r="K45" s="12" t="n"/>
    </row>
    <row r="46" ht="22" customHeight="1">
      <c r="B46" s="16">
        <f>IF(C46="","RSE-"&amp;TEXT(COUNTA($C$5:C46),"000"))</f>
        <v/>
      </c>
      <c r="C46" s="14" t="n"/>
      <c r="D46" s="14" t="n"/>
      <c r="E46" s="14" t="n"/>
      <c r="F46" s="14" t="n"/>
      <c r="G46" s="14" t="n"/>
      <c r="H46" s="42" t="n"/>
      <c r="I46" s="42" t="n"/>
      <c r="J46" s="14" t="n"/>
      <c r="K46" s="14" t="n"/>
    </row>
    <row r="47" ht="22" customHeight="1">
      <c r="B47" s="17">
        <f>IF(C47="","RSE-"&amp;TEXT(COUNTA($C$5:C47),"000"))</f>
        <v/>
      </c>
      <c r="C47" s="12" t="n"/>
      <c r="D47" s="12" t="n"/>
      <c r="E47" s="12" t="n"/>
      <c r="F47" s="12" t="n"/>
      <c r="G47" s="12" t="n"/>
      <c r="H47" s="41" t="n"/>
      <c r="I47" s="41" t="n"/>
      <c r="J47" s="12" t="n"/>
      <c r="K47" s="12" t="n"/>
    </row>
    <row r="48" ht="22" customHeight="1">
      <c r="B48" s="16">
        <f>IF(C48="","RSE-"&amp;TEXT(COUNTA($C$5:C48),"000"))</f>
        <v/>
      </c>
      <c r="C48" s="14" t="n"/>
      <c r="D48" s="14" t="n"/>
      <c r="E48" s="14" t="n"/>
      <c r="F48" s="14" t="n"/>
      <c r="G48" s="14" t="n"/>
      <c r="H48" s="42" t="n"/>
      <c r="I48" s="42" t="n"/>
      <c r="J48" s="14" t="n"/>
      <c r="K48" s="14" t="n"/>
    </row>
    <row r="49" ht="22" customHeight="1">
      <c r="B49" s="17">
        <f>IF(C49="","RSE-"&amp;TEXT(COUNTA($C$5:C49),"000"))</f>
        <v/>
      </c>
      <c r="C49" s="12" t="n"/>
      <c r="D49" s="12" t="n"/>
      <c r="E49" s="12" t="n"/>
      <c r="F49" s="12" t="n"/>
      <c r="G49" s="12" t="n"/>
      <c r="H49" s="41" t="n"/>
      <c r="I49" s="41" t="n"/>
      <c r="J49" s="12" t="n"/>
      <c r="K49" s="12" t="n"/>
    </row>
    <row r="50" ht="22" customHeight="1">
      <c r="B50" s="16">
        <f>IF(C50="","RSE-"&amp;TEXT(COUNTA($C$5:C50),"000"))</f>
        <v/>
      </c>
      <c r="C50" s="14" t="n"/>
      <c r="D50" s="14" t="n"/>
      <c r="E50" s="14" t="n"/>
      <c r="F50" s="14" t="n"/>
      <c r="G50" s="14" t="n"/>
      <c r="H50" s="42" t="n"/>
      <c r="I50" s="42" t="n"/>
      <c r="J50" s="14" t="n"/>
      <c r="K50" s="14" t="n"/>
    </row>
    <row r="51" ht="22" customHeight="1">
      <c r="B51" s="17">
        <f>IF(C51="","RSE-"&amp;TEXT(COUNTA($C$5:C51),"000"))</f>
        <v/>
      </c>
      <c r="C51" s="12" t="n"/>
      <c r="D51" s="12" t="n"/>
      <c r="E51" s="12" t="n"/>
      <c r="F51" s="12" t="n"/>
      <c r="G51" s="12" t="n"/>
      <c r="H51" s="41" t="n"/>
      <c r="I51" s="41" t="n"/>
      <c r="J51" s="12" t="n"/>
      <c r="K51" s="12" t="n"/>
    </row>
    <row r="52" ht="22" customHeight="1">
      <c r="B52" s="16">
        <f>IF(C52="","RSE-"&amp;TEXT(COUNTA($C$5:C52),"000"))</f>
        <v/>
      </c>
      <c r="C52" s="14" t="n"/>
      <c r="D52" s="14" t="n"/>
      <c r="E52" s="14" t="n"/>
      <c r="F52" s="14" t="n"/>
      <c r="G52" s="14" t="n"/>
      <c r="H52" s="42" t="n"/>
      <c r="I52" s="42" t="n"/>
      <c r="J52" s="14" t="n"/>
      <c r="K52" s="14" t="n"/>
    </row>
    <row r="53" ht="22" customHeight="1">
      <c r="B53" s="17">
        <f>IF(C53="","RSE-"&amp;TEXT(COUNTA($C$5:C53),"000"))</f>
        <v/>
      </c>
      <c r="C53" s="12" t="n"/>
      <c r="D53" s="12" t="n"/>
      <c r="E53" s="12" t="n"/>
      <c r="F53" s="12" t="n"/>
      <c r="G53" s="12" t="n"/>
      <c r="H53" s="41" t="n"/>
      <c r="I53" s="41" t="n"/>
      <c r="J53" s="12" t="n"/>
      <c r="K53" s="12" t="n"/>
    </row>
    <row r="54" ht="22" customHeight="1">
      <c r="B54" s="16">
        <f>IF(C54="","RSE-"&amp;TEXT(COUNTA($C$5:C54),"000"))</f>
        <v/>
      </c>
      <c r="C54" s="14" t="n"/>
      <c r="D54" s="14" t="n"/>
      <c r="E54" s="14" t="n"/>
      <c r="F54" s="14" t="n"/>
      <c r="G54" s="14" t="n"/>
      <c r="H54" s="42" t="n"/>
      <c r="I54" s="42" t="n"/>
      <c r="J54" s="14" t="n"/>
      <c r="K54" s="14" t="n"/>
    </row>
    <row r="55" ht="22" customHeight="1">
      <c r="B55" s="17">
        <f>IF(C55="","RSE-"&amp;TEXT(COUNTA($C$5:C55),"000"))</f>
        <v/>
      </c>
      <c r="C55" s="12" t="n"/>
      <c r="D55" s="12" t="n"/>
      <c r="E55" s="12" t="n"/>
      <c r="F55" s="12" t="n"/>
      <c r="G55" s="12" t="n"/>
      <c r="H55" s="41" t="n"/>
      <c r="I55" s="41" t="n"/>
      <c r="J55" s="12" t="n"/>
      <c r="K55" s="12" t="n"/>
    </row>
    <row r="56" ht="22" customHeight="1">
      <c r="B56" s="16">
        <f>IF(C56="","RSE-"&amp;TEXT(COUNTA($C$5:C56),"000"))</f>
        <v/>
      </c>
      <c r="C56" s="14" t="n"/>
      <c r="D56" s="14" t="n"/>
      <c r="E56" s="14" t="n"/>
      <c r="F56" s="14" t="n"/>
      <c r="G56" s="14" t="n"/>
      <c r="H56" s="42" t="n"/>
      <c r="I56" s="42" t="n"/>
      <c r="J56" s="14" t="n"/>
      <c r="K56" s="14" t="n"/>
    </row>
    <row r="57" ht="22" customHeight="1">
      <c r="B57" s="17">
        <f>IF(C57="","RSE-"&amp;TEXT(COUNTA($C$5:C57),"000"))</f>
        <v/>
      </c>
      <c r="C57" s="12" t="n"/>
      <c r="D57" s="12" t="n"/>
      <c r="E57" s="12" t="n"/>
      <c r="F57" s="12" t="n"/>
      <c r="G57" s="12" t="n"/>
      <c r="H57" s="41" t="n"/>
      <c r="I57" s="41" t="n"/>
      <c r="J57" s="12" t="n"/>
      <c r="K57" s="12" t="n"/>
    </row>
    <row r="58" ht="22" customHeight="1">
      <c r="B58" s="16">
        <f>IF(C58="","RSE-"&amp;TEXT(COUNTA($C$5:C58),"000"))</f>
        <v/>
      </c>
      <c r="C58" s="14" t="n"/>
      <c r="D58" s="14" t="n"/>
      <c r="E58" s="14" t="n"/>
      <c r="F58" s="14" t="n"/>
      <c r="G58" s="14" t="n"/>
      <c r="H58" s="42" t="n"/>
      <c r="I58" s="42" t="n"/>
      <c r="J58" s="14" t="n"/>
      <c r="K58" s="14" t="n"/>
    </row>
    <row r="59" ht="22" customHeight="1">
      <c r="B59" s="17">
        <f>IF(C59="","RSE-"&amp;TEXT(COUNTA($C$5:C59),"000"))</f>
        <v/>
      </c>
      <c r="C59" s="12" t="n"/>
      <c r="D59" s="12" t="n"/>
      <c r="E59" s="12" t="n"/>
      <c r="F59" s="12" t="n"/>
      <c r="G59" s="12" t="n"/>
      <c r="H59" s="41" t="n"/>
      <c r="I59" s="41" t="n"/>
      <c r="J59" s="12" t="n"/>
      <c r="K59" s="12" t="n"/>
    </row>
    <row r="60" ht="22" customHeight="1">
      <c r="B60" s="16">
        <f>IF(C60="","RSE-"&amp;TEXT(COUNTA($C$5:C60),"000"))</f>
        <v/>
      </c>
      <c r="C60" s="14" t="n"/>
      <c r="D60" s="14" t="n"/>
      <c r="E60" s="14" t="n"/>
      <c r="F60" s="14" t="n"/>
      <c r="G60" s="14" t="n"/>
      <c r="H60" s="42" t="n"/>
      <c r="I60" s="42" t="n"/>
      <c r="J60" s="14" t="n"/>
      <c r="K60" s="14" t="n"/>
    </row>
    <row r="61" ht="22" customHeight="1">
      <c r="B61" s="17">
        <f>IF(C61="","RSE-"&amp;TEXT(COUNTA($C$5:C61),"000"))</f>
        <v/>
      </c>
      <c r="C61" s="12" t="n"/>
      <c r="D61" s="12" t="n"/>
      <c r="E61" s="12" t="n"/>
      <c r="F61" s="12" t="n"/>
      <c r="G61" s="12" t="n"/>
      <c r="H61" s="41" t="n"/>
      <c r="I61" s="41" t="n"/>
      <c r="J61" s="12" t="n"/>
      <c r="K61" s="12" t="n"/>
    </row>
    <row r="62" ht="22" customHeight="1">
      <c r="B62" s="16">
        <f>IF(C62="","RSE-"&amp;TEXT(COUNTA($C$5:C62),"000"))</f>
        <v/>
      </c>
      <c r="C62" s="14" t="n"/>
      <c r="D62" s="14" t="n"/>
      <c r="E62" s="14" t="n"/>
      <c r="F62" s="14" t="n"/>
      <c r="G62" s="14" t="n"/>
      <c r="H62" s="42" t="n"/>
      <c r="I62" s="42" t="n"/>
      <c r="J62" s="14" t="n"/>
      <c r="K62" s="14" t="n"/>
    </row>
    <row r="63" ht="22" customHeight="1">
      <c r="B63" s="17">
        <f>IF(C63="","RSE-"&amp;TEXT(COUNTA($C$5:C63),"000"))</f>
        <v/>
      </c>
      <c r="C63" s="12" t="n"/>
      <c r="D63" s="12" t="n"/>
      <c r="E63" s="12" t="n"/>
      <c r="F63" s="12" t="n"/>
      <c r="G63" s="12" t="n"/>
      <c r="H63" s="41" t="n"/>
      <c r="I63" s="41" t="n"/>
      <c r="J63" s="12" t="n"/>
      <c r="K63" s="12" t="n"/>
    </row>
    <row r="64" ht="22" customHeight="1">
      <c r="B64" s="16">
        <f>IF(C64="","RSE-"&amp;TEXT(COUNTA($C$5:C64),"000"))</f>
        <v/>
      </c>
      <c r="C64" s="14" t="n"/>
      <c r="D64" s="14" t="n"/>
      <c r="E64" s="14" t="n"/>
      <c r="F64" s="14" t="n"/>
      <c r="G64" s="14" t="n"/>
      <c r="H64" s="42" t="n"/>
      <c r="I64" s="42" t="n"/>
      <c r="J64" s="14" t="n"/>
      <c r="K64" s="14" t="n"/>
    </row>
    <row r="65" ht="22" customHeight="1">
      <c r="B65" s="17">
        <f>IF(C65="","RSE-"&amp;TEXT(COUNTA($C$5:C65),"000"))</f>
        <v/>
      </c>
      <c r="C65" s="12" t="n"/>
      <c r="D65" s="12" t="n"/>
      <c r="E65" s="12" t="n"/>
      <c r="F65" s="12" t="n"/>
      <c r="G65" s="12" t="n"/>
      <c r="H65" s="41" t="n"/>
      <c r="I65" s="41" t="n"/>
      <c r="J65" s="12" t="n"/>
      <c r="K65" s="12" t="n"/>
    </row>
    <row r="66" ht="22" customHeight="1">
      <c r="B66" s="16">
        <f>IF(C66="","RSE-"&amp;TEXT(COUNTA($C$5:C66),"000"))</f>
        <v/>
      </c>
      <c r="C66" s="14" t="n"/>
      <c r="D66" s="14" t="n"/>
      <c r="E66" s="14" t="n"/>
      <c r="F66" s="14" t="n"/>
      <c r="G66" s="14" t="n"/>
      <c r="H66" s="42" t="n"/>
      <c r="I66" s="42" t="n"/>
      <c r="J66" s="14" t="n"/>
      <c r="K66" s="14" t="n"/>
    </row>
    <row r="67" ht="22" customHeight="1">
      <c r="B67" s="17">
        <f>IF(C67="","RSE-"&amp;TEXT(COUNTA($C$5:C67),"000"))</f>
        <v/>
      </c>
      <c r="C67" s="12" t="n"/>
      <c r="D67" s="12" t="n"/>
      <c r="E67" s="12" t="n"/>
      <c r="F67" s="12" t="n"/>
      <c r="G67" s="12" t="n"/>
      <c r="H67" s="41" t="n"/>
      <c r="I67" s="41" t="n"/>
      <c r="J67" s="12" t="n"/>
      <c r="K67" s="12" t="n"/>
    </row>
    <row r="68" ht="22" customHeight="1">
      <c r="B68" s="16">
        <f>IF(C68="","RSE-"&amp;TEXT(COUNTA($C$5:C68),"000"))</f>
        <v/>
      </c>
      <c r="C68" s="14" t="n"/>
      <c r="D68" s="14" t="n"/>
      <c r="E68" s="14" t="n"/>
      <c r="F68" s="14" t="n"/>
      <c r="G68" s="14" t="n"/>
      <c r="H68" s="42" t="n"/>
      <c r="I68" s="42" t="n"/>
      <c r="J68" s="14" t="n"/>
      <c r="K68" s="14" t="n"/>
    </row>
    <row r="69" ht="22" customHeight="1">
      <c r="B69" s="17">
        <f>IF(C69="","RSE-"&amp;TEXT(COUNTA($C$5:C69),"000"))</f>
        <v/>
      </c>
      <c r="C69" s="12" t="n"/>
      <c r="D69" s="12" t="n"/>
      <c r="E69" s="12" t="n"/>
      <c r="F69" s="12" t="n"/>
      <c r="G69" s="12" t="n"/>
      <c r="H69" s="41" t="n"/>
      <c r="I69" s="41" t="n"/>
      <c r="J69" s="12" t="n"/>
      <c r="K69" s="12" t="n"/>
    </row>
    <row r="70" ht="22" customHeight="1">
      <c r="B70" s="16">
        <f>IF(C70="","RSE-"&amp;TEXT(COUNTA($C$5:C70),"000"))</f>
        <v/>
      </c>
      <c r="C70" s="14" t="n"/>
      <c r="D70" s="14" t="n"/>
      <c r="E70" s="14" t="n"/>
      <c r="F70" s="14" t="n"/>
      <c r="G70" s="14" t="n"/>
      <c r="H70" s="42" t="n"/>
      <c r="I70" s="42" t="n"/>
      <c r="J70" s="14" t="n"/>
      <c r="K70" s="14" t="n"/>
    </row>
    <row r="71" ht="22" customHeight="1">
      <c r="B71" s="17">
        <f>IF(C71="","RSE-"&amp;TEXT(COUNTA($C$5:C71),"000"))</f>
        <v/>
      </c>
      <c r="C71" s="12" t="n"/>
      <c r="D71" s="12" t="n"/>
      <c r="E71" s="12" t="n"/>
      <c r="F71" s="12" t="n"/>
      <c r="G71" s="12" t="n"/>
      <c r="H71" s="41" t="n"/>
      <c r="I71" s="41" t="n"/>
      <c r="J71" s="12" t="n"/>
      <c r="K71" s="12" t="n"/>
    </row>
    <row r="72" ht="22" customHeight="1">
      <c r="B72" s="16">
        <f>IF(C72="","RSE-"&amp;TEXT(COUNTA($C$5:C72),"000"))</f>
        <v/>
      </c>
      <c r="C72" s="14" t="n"/>
      <c r="D72" s="14" t="n"/>
      <c r="E72" s="14" t="n"/>
      <c r="F72" s="14" t="n"/>
      <c r="G72" s="14" t="n"/>
      <c r="H72" s="42" t="n"/>
      <c r="I72" s="42" t="n"/>
      <c r="J72" s="14" t="n"/>
      <c r="K72" s="14" t="n"/>
    </row>
    <row r="73" ht="22" customHeight="1">
      <c r="B73" s="17">
        <f>IF(C73="","RSE-"&amp;TEXT(COUNTA($C$5:C73),"000"))</f>
        <v/>
      </c>
      <c r="C73" s="12" t="n"/>
      <c r="D73" s="12" t="n"/>
      <c r="E73" s="12" t="n"/>
      <c r="F73" s="12" t="n"/>
      <c r="G73" s="12" t="n"/>
      <c r="H73" s="41" t="n"/>
      <c r="I73" s="41" t="n"/>
      <c r="J73" s="12" t="n"/>
      <c r="K73" s="12" t="n"/>
    </row>
    <row r="74" ht="22" customHeight="1">
      <c r="B74" s="16">
        <f>IF(C74="","RSE-"&amp;TEXT(COUNTA($C$5:C74),"000"))</f>
        <v/>
      </c>
      <c r="C74" s="14" t="n"/>
      <c r="D74" s="14" t="n"/>
      <c r="E74" s="14" t="n"/>
      <c r="F74" s="14" t="n"/>
      <c r="G74" s="14" t="n"/>
      <c r="H74" s="42" t="n"/>
      <c r="I74" s="42" t="n"/>
      <c r="J74" s="14" t="n"/>
      <c r="K74" s="14" t="n"/>
    </row>
    <row r="75" ht="22" customHeight="1">
      <c r="B75" s="17">
        <f>IF(C75="","RSE-"&amp;TEXT(COUNTA($C$5:C75),"000"))</f>
        <v/>
      </c>
      <c r="C75" s="12" t="n"/>
      <c r="D75" s="12" t="n"/>
      <c r="E75" s="12" t="n"/>
      <c r="F75" s="12" t="n"/>
      <c r="G75" s="12" t="n"/>
      <c r="H75" s="41" t="n"/>
      <c r="I75" s="41" t="n"/>
      <c r="J75" s="12" t="n"/>
      <c r="K75" s="12" t="n"/>
    </row>
    <row r="76" ht="22" customHeight="1">
      <c r="B76" s="16">
        <f>IF(C76="","RSE-"&amp;TEXT(COUNTA($C$5:C76),"000"))</f>
        <v/>
      </c>
      <c r="C76" s="14" t="n"/>
      <c r="D76" s="14" t="n"/>
      <c r="E76" s="14" t="n"/>
      <c r="F76" s="14" t="n"/>
      <c r="G76" s="14" t="n"/>
      <c r="H76" s="42" t="n"/>
      <c r="I76" s="42" t="n"/>
      <c r="J76" s="14" t="n"/>
      <c r="K76" s="14" t="n"/>
    </row>
    <row r="77" ht="22" customHeight="1">
      <c r="B77" s="17">
        <f>IF(C77="","RSE-"&amp;TEXT(COUNTA($C$5:C77),"000"))</f>
        <v/>
      </c>
      <c r="C77" s="12" t="n"/>
      <c r="D77" s="12" t="n"/>
      <c r="E77" s="12" t="n"/>
      <c r="F77" s="12" t="n"/>
      <c r="G77" s="12" t="n"/>
      <c r="H77" s="41" t="n"/>
      <c r="I77" s="41" t="n"/>
      <c r="J77" s="12" t="n"/>
      <c r="K77" s="12" t="n"/>
    </row>
    <row r="78" ht="22" customHeight="1">
      <c r="B78" s="16">
        <f>IF(C78="","RSE-"&amp;TEXT(COUNTA($C$5:C78),"000"))</f>
        <v/>
      </c>
      <c r="C78" s="14" t="n"/>
      <c r="D78" s="14" t="n"/>
      <c r="E78" s="14" t="n"/>
      <c r="F78" s="14" t="n"/>
      <c r="G78" s="14" t="n"/>
      <c r="H78" s="42" t="n"/>
      <c r="I78" s="42" t="n"/>
      <c r="J78" s="14" t="n"/>
      <c r="K78" s="14" t="n"/>
    </row>
    <row r="79" ht="22" customHeight="1">
      <c r="B79" s="17">
        <f>IF(C79="","RSE-"&amp;TEXT(COUNTA($C$5:C79),"000"))</f>
        <v/>
      </c>
      <c r="C79" s="12" t="n"/>
      <c r="D79" s="12" t="n"/>
      <c r="E79" s="12" t="n"/>
      <c r="F79" s="12" t="n"/>
      <c r="G79" s="12" t="n"/>
      <c r="H79" s="41" t="n"/>
      <c r="I79" s="41" t="n"/>
      <c r="J79" s="12" t="n"/>
      <c r="K79" s="12" t="n"/>
    </row>
    <row r="80" ht="22" customHeight="1">
      <c r="B80" s="16">
        <f>IF(C80="","RSE-"&amp;TEXT(COUNTA($C$5:C80),"000"))</f>
        <v/>
      </c>
      <c r="C80" s="14" t="n"/>
      <c r="D80" s="14" t="n"/>
      <c r="E80" s="14" t="n"/>
      <c r="F80" s="14" t="n"/>
      <c r="G80" s="14" t="n"/>
      <c r="H80" s="42" t="n"/>
      <c r="I80" s="42" t="n"/>
      <c r="J80" s="14" t="n"/>
      <c r="K80" s="14" t="n"/>
    </row>
    <row r="81" ht="22" customHeight="1">
      <c r="B81" s="17">
        <f>IF(C81="","RSE-"&amp;TEXT(COUNTA($C$5:C81),"000"))</f>
        <v/>
      </c>
      <c r="C81" s="12" t="n"/>
      <c r="D81" s="12" t="n"/>
      <c r="E81" s="12" t="n"/>
      <c r="F81" s="12" t="n"/>
      <c r="G81" s="12" t="n"/>
      <c r="H81" s="41" t="n"/>
      <c r="I81" s="41" t="n"/>
      <c r="J81" s="12" t="n"/>
      <c r="K81" s="12" t="n"/>
    </row>
    <row r="82" ht="22" customHeight="1">
      <c r="B82" s="16">
        <f>IF(C82="","RSE-"&amp;TEXT(COUNTA($C$5:C82),"000"))</f>
        <v/>
      </c>
      <c r="C82" s="14" t="n"/>
      <c r="D82" s="14" t="n"/>
      <c r="E82" s="14" t="n"/>
      <c r="F82" s="14" t="n"/>
      <c r="G82" s="14" t="n"/>
      <c r="H82" s="42" t="n"/>
      <c r="I82" s="42" t="n"/>
      <c r="J82" s="14" t="n"/>
      <c r="K82" s="14" t="n"/>
    </row>
    <row r="83" ht="22" customHeight="1">
      <c r="B83" s="17">
        <f>IF(C83="","RSE-"&amp;TEXT(COUNTA($C$5:C83),"000"))</f>
        <v/>
      </c>
      <c r="C83" s="12" t="n"/>
      <c r="D83" s="12" t="n"/>
      <c r="E83" s="12" t="n"/>
      <c r="F83" s="12" t="n"/>
      <c r="G83" s="12" t="n"/>
      <c r="H83" s="41" t="n"/>
      <c r="I83" s="41" t="n"/>
      <c r="J83" s="12" t="n"/>
      <c r="K83" s="12" t="n"/>
    </row>
    <row r="84" ht="22" customHeight="1">
      <c r="B84" s="16">
        <f>IF(C84="","RSE-"&amp;TEXT(COUNTA($C$5:C84),"000"))</f>
        <v/>
      </c>
      <c r="C84" s="14" t="n"/>
      <c r="D84" s="14" t="n"/>
      <c r="E84" s="14" t="n"/>
      <c r="F84" s="14" t="n"/>
      <c r="G84" s="14" t="n"/>
      <c r="H84" s="42" t="n"/>
      <c r="I84" s="42" t="n"/>
      <c r="J84" s="14" t="n"/>
      <c r="K84" s="14" t="n"/>
    </row>
    <row r="85" ht="22" customHeight="1">
      <c r="B85" s="17">
        <f>IF(C85="","RSE-"&amp;TEXT(COUNTA($C$5:C85),"000"))</f>
        <v/>
      </c>
      <c r="C85" s="12" t="n"/>
      <c r="D85" s="12" t="n"/>
      <c r="E85" s="12" t="n"/>
      <c r="F85" s="12" t="n"/>
      <c r="G85" s="12" t="n"/>
      <c r="H85" s="41" t="n"/>
      <c r="I85" s="41" t="n"/>
      <c r="J85" s="12" t="n"/>
      <c r="K85" s="12" t="n"/>
    </row>
    <row r="86" ht="22" customHeight="1">
      <c r="B86" s="16">
        <f>IF(C86="","RSE-"&amp;TEXT(COUNTA($C$5:C86),"000"))</f>
        <v/>
      </c>
      <c r="C86" s="14" t="n"/>
      <c r="D86" s="14" t="n"/>
      <c r="E86" s="14" t="n"/>
      <c r="F86" s="14" t="n"/>
      <c r="G86" s="14" t="n"/>
      <c r="H86" s="42" t="n"/>
      <c r="I86" s="42" t="n"/>
      <c r="J86" s="14" t="n"/>
      <c r="K86" s="14" t="n"/>
    </row>
    <row r="87" ht="22" customHeight="1">
      <c r="B87" s="17">
        <f>IF(C87="","RSE-"&amp;TEXT(COUNTA($C$5:C87),"000"))</f>
        <v/>
      </c>
      <c r="C87" s="12" t="n"/>
      <c r="D87" s="12" t="n"/>
      <c r="E87" s="12" t="n"/>
      <c r="F87" s="12" t="n"/>
      <c r="G87" s="12" t="n"/>
      <c r="H87" s="41" t="n"/>
      <c r="I87" s="41" t="n"/>
      <c r="J87" s="12" t="n"/>
      <c r="K87" s="12" t="n"/>
    </row>
    <row r="88" ht="22" customHeight="1">
      <c r="B88" s="16">
        <f>IF(C88="","RSE-"&amp;TEXT(COUNTA($C$5:C88),"000"))</f>
        <v/>
      </c>
      <c r="C88" s="14" t="n"/>
      <c r="D88" s="14" t="n"/>
      <c r="E88" s="14" t="n"/>
      <c r="F88" s="14" t="n"/>
      <c r="G88" s="14" t="n"/>
      <c r="H88" s="42" t="n"/>
      <c r="I88" s="42" t="n"/>
      <c r="J88" s="14" t="n"/>
      <c r="K88" s="14" t="n"/>
    </row>
    <row r="89" ht="22" customHeight="1">
      <c r="B89" s="17">
        <f>IF(C89="","RSE-"&amp;TEXT(COUNTA($C$5:C89),"000"))</f>
        <v/>
      </c>
      <c r="C89" s="12" t="n"/>
      <c r="D89" s="12" t="n"/>
      <c r="E89" s="12" t="n"/>
      <c r="F89" s="12" t="n"/>
      <c r="G89" s="12" t="n"/>
      <c r="H89" s="41" t="n"/>
      <c r="I89" s="41" t="n"/>
      <c r="J89" s="12" t="n"/>
      <c r="K89" s="12" t="n"/>
    </row>
    <row r="90" ht="22" customHeight="1">
      <c r="B90" s="16">
        <f>IF(C90="","RSE-"&amp;TEXT(COUNTA($C$5:C90),"000"))</f>
        <v/>
      </c>
      <c r="C90" s="14" t="n"/>
      <c r="D90" s="14" t="n"/>
      <c r="E90" s="14" t="n"/>
      <c r="F90" s="14" t="n"/>
      <c r="G90" s="14" t="n"/>
      <c r="H90" s="42" t="n"/>
      <c r="I90" s="42" t="n"/>
      <c r="J90" s="14" t="n"/>
      <c r="K90" s="14" t="n"/>
    </row>
    <row r="91" ht="22" customHeight="1">
      <c r="B91" s="17">
        <f>IF(C91="","RSE-"&amp;TEXT(COUNTA($C$5:C91),"000"))</f>
        <v/>
      </c>
      <c r="C91" s="12" t="n"/>
      <c r="D91" s="12" t="n"/>
      <c r="E91" s="12" t="n"/>
      <c r="F91" s="12" t="n"/>
      <c r="G91" s="12" t="n"/>
      <c r="H91" s="41" t="n"/>
      <c r="I91" s="41" t="n"/>
      <c r="J91" s="12" t="n"/>
      <c r="K91" s="12" t="n"/>
    </row>
    <row r="92" ht="22" customHeight="1">
      <c r="B92" s="16">
        <f>IF(C92="","RSE-"&amp;TEXT(COUNTA($C$5:C92),"000"))</f>
        <v/>
      </c>
      <c r="C92" s="14" t="n"/>
      <c r="D92" s="14" t="n"/>
      <c r="E92" s="14" t="n"/>
      <c r="F92" s="14" t="n"/>
      <c r="G92" s="14" t="n"/>
      <c r="H92" s="42" t="n"/>
      <c r="I92" s="42" t="n"/>
      <c r="J92" s="14" t="n"/>
      <c r="K92" s="14" t="n"/>
    </row>
    <row r="93" ht="22" customHeight="1">
      <c r="B93" s="17">
        <f>IF(C93="","RSE-"&amp;TEXT(COUNTA($C$5:C93),"000"))</f>
        <v/>
      </c>
      <c r="C93" s="12" t="n"/>
      <c r="D93" s="12" t="n"/>
      <c r="E93" s="12" t="n"/>
      <c r="F93" s="12" t="n"/>
      <c r="G93" s="12" t="n"/>
      <c r="H93" s="41" t="n"/>
      <c r="I93" s="41" t="n"/>
      <c r="J93" s="12" t="n"/>
      <c r="K93" s="12" t="n"/>
    </row>
    <row r="94" ht="22" customHeight="1">
      <c r="B94" s="16">
        <f>IF(C94="","RSE-"&amp;TEXT(COUNTA($C$5:C94),"000"))</f>
        <v/>
      </c>
      <c r="C94" s="14" t="n"/>
      <c r="D94" s="14" t="n"/>
      <c r="E94" s="14" t="n"/>
      <c r="F94" s="14" t="n"/>
      <c r="G94" s="14" t="n"/>
      <c r="H94" s="42" t="n"/>
      <c r="I94" s="42" t="n"/>
      <c r="J94" s="14" t="n"/>
      <c r="K94" s="14" t="n"/>
    </row>
    <row r="95" ht="22" customHeight="1">
      <c r="B95" s="17">
        <f>IF(C95="","RSE-"&amp;TEXT(COUNTA($C$5:C95),"000"))</f>
        <v/>
      </c>
      <c r="C95" s="12" t="n"/>
      <c r="D95" s="12" t="n"/>
      <c r="E95" s="12" t="n"/>
      <c r="F95" s="12" t="n"/>
      <c r="G95" s="12" t="n"/>
      <c r="H95" s="41" t="n"/>
      <c r="I95" s="41" t="n"/>
      <c r="J95" s="12" t="n"/>
      <c r="K95" s="12" t="n"/>
    </row>
    <row r="96" ht="22" customHeight="1">
      <c r="B96" s="16">
        <f>IF(C96="","RSE-"&amp;TEXT(COUNTA($C$5:C96),"000"))</f>
        <v/>
      </c>
      <c r="C96" s="14" t="n"/>
      <c r="D96" s="14" t="n"/>
      <c r="E96" s="14" t="n"/>
      <c r="F96" s="14" t="n"/>
      <c r="G96" s="14" t="n"/>
      <c r="H96" s="42" t="n"/>
      <c r="I96" s="42" t="n"/>
      <c r="J96" s="14" t="n"/>
      <c r="K96" s="14" t="n"/>
    </row>
    <row r="97" ht="22" customHeight="1">
      <c r="B97" s="17">
        <f>IF(C97="","RSE-"&amp;TEXT(COUNTA($C$5:C97),"000"))</f>
        <v/>
      </c>
      <c r="C97" s="12" t="n"/>
      <c r="D97" s="12" t="n"/>
      <c r="E97" s="12" t="n"/>
      <c r="F97" s="12" t="n"/>
      <c r="G97" s="12" t="n"/>
      <c r="H97" s="41" t="n"/>
      <c r="I97" s="41" t="n"/>
      <c r="J97" s="12" t="n"/>
      <c r="K97" s="12" t="n"/>
    </row>
    <row r="98" ht="22" customHeight="1">
      <c r="B98" s="16">
        <f>IF(C98="","RSE-"&amp;TEXT(COUNTA($C$5:C98),"000"))</f>
        <v/>
      </c>
      <c r="C98" s="14" t="n"/>
      <c r="D98" s="14" t="n"/>
      <c r="E98" s="14" t="n"/>
      <c r="F98" s="14" t="n"/>
      <c r="G98" s="14" t="n"/>
      <c r="H98" s="42" t="n"/>
      <c r="I98" s="42" t="n"/>
      <c r="J98" s="14" t="n"/>
      <c r="K98" s="14" t="n"/>
    </row>
    <row r="99" ht="22" customHeight="1">
      <c r="B99" s="17">
        <f>IF(C99="","RSE-"&amp;TEXT(COUNTA($C$5:C99),"000"))</f>
        <v/>
      </c>
      <c r="C99" s="12" t="n"/>
      <c r="D99" s="12" t="n"/>
      <c r="E99" s="12" t="n"/>
      <c r="F99" s="12" t="n"/>
      <c r="G99" s="12" t="n"/>
      <c r="H99" s="41" t="n"/>
      <c r="I99" s="41" t="n"/>
      <c r="J99" s="12" t="n"/>
      <c r="K99" s="12" t="n"/>
    </row>
    <row r="100" ht="22" customHeight="1">
      <c r="B100" s="16">
        <f>IF(C100="","RSE-"&amp;TEXT(COUNTA($C$5:C100),"000"))</f>
        <v/>
      </c>
      <c r="C100" s="14" t="n"/>
      <c r="D100" s="14" t="n"/>
      <c r="E100" s="14" t="n"/>
      <c r="F100" s="14" t="n"/>
      <c r="G100" s="14" t="n"/>
      <c r="H100" s="42" t="n"/>
      <c r="I100" s="42" t="n"/>
      <c r="J100" s="14" t="n"/>
      <c r="K100" s="14" t="n"/>
    </row>
    <row r="101" ht="22" customHeight="1">
      <c r="B101" s="17">
        <f>IF(C101="","RSE-"&amp;TEXT(COUNTA($C$5:C101),"000"))</f>
        <v/>
      </c>
      <c r="C101" s="12" t="n"/>
      <c r="D101" s="12" t="n"/>
      <c r="E101" s="12" t="n"/>
      <c r="F101" s="12" t="n"/>
      <c r="G101" s="12" t="n"/>
      <c r="H101" s="41" t="n"/>
      <c r="I101" s="41" t="n"/>
      <c r="J101" s="12" t="n"/>
      <c r="K101" s="12" t="n"/>
    </row>
    <row r="102" ht="22" customHeight="1">
      <c r="B102" s="16">
        <f>IF(C102="","RSE-"&amp;TEXT(COUNTA($C$5:C102),"000"))</f>
        <v/>
      </c>
      <c r="C102" s="14" t="n"/>
      <c r="D102" s="14" t="n"/>
      <c r="E102" s="14" t="n"/>
      <c r="F102" s="14" t="n"/>
      <c r="G102" s="14" t="n"/>
      <c r="H102" s="42" t="n"/>
      <c r="I102" s="42" t="n"/>
      <c r="J102" s="14" t="n"/>
      <c r="K102" s="14" t="n"/>
    </row>
    <row r="103" ht="22" customHeight="1">
      <c r="B103" s="17">
        <f>IF(C103="","RSE-"&amp;TEXT(COUNTA($C$5:C103),"000"))</f>
        <v/>
      </c>
      <c r="C103" s="12" t="n"/>
      <c r="D103" s="12" t="n"/>
      <c r="E103" s="12" t="n"/>
      <c r="F103" s="12" t="n"/>
      <c r="G103" s="12" t="n"/>
      <c r="H103" s="41" t="n"/>
      <c r="I103" s="41" t="n"/>
      <c r="J103" s="12" t="n"/>
      <c r="K103" s="12" t="n"/>
    </row>
    <row r="104" ht="22" customHeight="1">
      <c r="B104" s="16">
        <f>IF(C104="","RSE-"&amp;TEXT(COUNTA($C$5:C104),"000"))</f>
        <v/>
      </c>
      <c r="C104" s="14" t="n"/>
      <c r="D104" s="14" t="n"/>
      <c r="E104" s="14" t="n"/>
      <c r="F104" s="14" t="n"/>
      <c r="G104" s="14" t="n"/>
      <c r="H104" s="42" t="n"/>
      <c r="I104" s="42" t="n"/>
      <c r="J104" s="14" t="n"/>
      <c r="K104" s="14" t="n"/>
    </row>
    <row r="105" ht="22" customHeight="1">
      <c r="B105" s="17">
        <f>IF(C105="","RSE-"&amp;TEXT(COUNTA($C$5:C105),"000"))</f>
        <v/>
      </c>
      <c r="C105" s="12" t="n"/>
      <c r="D105" s="12" t="n"/>
      <c r="E105" s="12" t="n"/>
      <c r="F105" s="12" t="n"/>
      <c r="G105" s="12" t="n"/>
      <c r="H105" s="41" t="n"/>
      <c r="I105" s="41" t="n"/>
      <c r="J105" s="12" t="n"/>
      <c r="K105" s="12" t="n"/>
    </row>
    <row r="106" ht="22" customHeight="1">
      <c r="B106" s="16">
        <f>IF(C106="","RSE-"&amp;TEXT(COUNTA($C$5:C106),"000"))</f>
        <v/>
      </c>
      <c r="C106" s="14" t="n"/>
      <c r="D106" s="14" t="n"/>
      <c r="E106" s="14" t="n"/>
      <c r="F106" s="14" t="n"/>
      <c r="G106" s="14" t="n"/>
      <c r="H106" s="42" t="n"/>
      <c r="I106" s="42" t="n"/>
      <c r="J106" s="14" t="n"/>
      <c r="K106" s="14" t="n"/>
    </row>
    <row r="107" ht="22" customHeight="1">
      <c r="B107" s="17">
        <f>IF(C107="","RSE-"&amp;TEXT(COUNTA($C$5:C107),"000"))</f>
        <v/>
      </c>
      <c r="C107" s="12" t="n"/>
      <c r="D107" s="12" t="n"/>
      <c r="E107" s="12" t="n"/>
      <c r="F107" s="12" t="n"/>
      <c r="G107" s="12" t="n"/>
      <c r="H107" s="41" t="n"/>
      <c r="I107" s="41" t="n"/>
      <c r="J107" s="12" t="n"/>
      <c r="K107" s="12" t="n"/>
    </row>
    <row r="109">
      <c r="B109" s="6" t="inlineStr">
        <is>
          <t>INDICATEURS (mis a jour automatiquement)</t>
        </is>
      </c>
    </row>
    <row r="110">
      <c r="B110" s="3" t="inlineStr">
        <is>
          <t>Engagements RSE</t>
        </is>
      </c>
      <c r="D110" s="3" t="inlineStr">
        <is>
          <t>En vigueur</t>
        </is>
      </c>
      <c r="F110" s="3" t="inlineStr">
        <is>
          <t>En amelioration</t>
        </is>
      </c>
    </row>
    <row r="111">
      <c r="B111" s="4">
        <f>COUNTIF(B5:B104,"&lt;&gt;")</f>
        <v/>
      </c>
      <c r="D111" s="4">
        <f>COUNTIF(J5:J104,"En vigueur")</f>
        <v/>
      </c>
      <c r="F111" s="4">
        <f>COUNTIF(J5:J104,"En amelioration")</f>
        <v/>
      </c>
    </row>
  </sheetData>
  <mergeCells count="3">
    <mergeCell ref="B109:K109"/>
    <mergeCell ref="B3:K3"/>
    <mergeCell ref="B2:K2"/>
  </mergeCells>
  <conditionalFormatting sqref="J5:J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8:B107">
    <cfRule type="expression" priority="238" dxfId="3">
      <formula>AND($C8="",$C7&lt;&gt;"")</formula>
    </cfRule>
  </conditionalFormatting>
  <conditionalFormatting sqref="C8:C107">
    <cfRule type="expression" priority="239" dxfId="3">
      <formula>AND($C8="",$C7&lt;&gt;"")</formula>
    </cfRule>
  </conditionalFormatting>
  <conditionalFormatting sqref="D8:D107">
    <cfRule type="expression" priority="240" dxfId="3">
      <formula>AND($C8="",$C7&lt;&gt;"")</formula>
    </cfRule>
  </conditionalFormatting>
  <conditionalFormatting sqref="E8:E107">
    <cfRule type="expression" priority="241" dxfId="3">
      <formula>AND($C8="",$C7&lt;&gt;"")</formula>
    </cfRule>
  </conditionalFormatting>
  <conditionalFormatting sqref="F8:F107">
    <cfRule type="expression" priority="242" dxfId="3">
      <formula>AND($C8="",$C7&lt;&gt;"")</formula>
    </cfRule>
  </conditionalFormatting>
  <conditionalFormatting sqref="G8:G107">
    <cfRule type="expression" priority="243" dxfId="3">
      <formula>AND($C8="",$C7&lt;&gt;"")</formula>
    </cfRule>
  </conditionalFormatting>
  <conditionalFormatting sqref="H8:H107">
    <cfRule type="expression" priority="244" dxfId="3">
      <formula>AND($C8="",$C7&lt;&gt;"")</formula>
    </cfRule>
  </conditionalFormatting>
  <conditionalFormatting sqref="I8:I107">
    <cfRule type="expression" priority="245" dxfId="3">
      <formula>AND($C8="",$C7&lt;&gt;"")</formula>
    </cfRule>
  </conditionalFormatting>
  <conditionalFormatting sqref="J8:J107">
    <cfRule type="expression" priority="246" dxfId="3">
      <formula>AND($C8="",$C7&lt;&gt;"")</formula>
    </cfRule>
  </conditionalFormatting>
  <conditionalFormatting sqref="K8:K107">
    <cfRule type="expression" priority="247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'_Lists'!$D$2:$D$9</formula1>
    </dataValidation>
    <dataValidation sqref="J5:J107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2" customWidth="1" min="4" max="4"/>
    <col width="26" customWidth="1" min="5" max="5"/>
    <col width="40" customWidth="1" min="6" max="6"/>
    <col width="14" customWidth="1" min="7" max="7"/>
    <col width="14" customWidth="1" min="8" max="8"/>
    <col width="18" customWidth="1" min="9" max="9"/>
    <col width="18" customWidth="1" min="10" max="10"/>
    <col width="26" customWidth="1" min="11" max="11"/>
    <col width="18" customWidth="1" min="12" max="12"/>
  </cols>
  <sheetData>
    <row r="1" ht="15" customHeight="1"/>
    <row r="2" ht="32" customHeight="1">
      <c r="B2" s="1" t="inlineStr">
        <is>
          <t>ACTIONS ENVIRONNEMENTALES RH (#148)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Action Environnementale</t>
        </is>
      </c>
      <c r="D4" s="11" t="inlineStr">
        <is>
          <t>Type Action</t>
        </is>
      </c>
      <c r="E4" s="11" t="inlineStr">
        <is>
          <t>Departement Concerne</t>
        </is>
      </c>
      <c r="F4" s="11" t="inlineStr">
        <is>
          <t>Description</t>
        </is>
      </c>
      <c r="G4" s="11" t="inlineStr">
        <is>
          <t>Date Debut</t>
        </is>
      </c>
      <c r="H4" s="11" t="inlineStr">
        <is>
          <t>Date Fin</t>
        </is>
      </c>
      <c r="I4" s="11" t="inlineStr">
        <is>
          <t>Responsable</t>
        </is>
      </c>
      <c r="J4" s="11" t="inlineStr">
        <is>
          <t>Budget (FCFA)</t>
        </is>
      </c>
      <c r="K4" s="11" t="inlineStr">
        <is>
          <t>Economies Estimees (FCFA/an)</t>
        </is>
      </c>
      <c r="L4" s="11" t="inlineStr">
        <is>
          <t>Statut</t>
        </is>
      </c>
    </row>
    <row r="5" ht="22" customHeight="1">
      <c r="B5" s="12" t="inlineStr">
        <is>
          <t>ENV-001</t>
        </is>
      </c>
      <c r="C5" s="12" t="inlineStr">
        <is>
          <t>Installation eclairage LED</t>
        </is>
      </c>
      <c r="D5" s="12" t="inlineStr">
        <is>
          <t>Economie energie</t>
        </is>
      </c>
      <c r="E5" s="12" t="inlineStr">
        <is>
          <t>Maintenance</t>
        </is>
      </c>
      <c r="F5" s="12" t="inlineStr">
        <is>
          <t>Remplacement ampoules par LED dans toutes les chambres</t>
        </is>
      </c>
      <c r="G5" s="41" t="n">
        <v>45667</v>
      </c>
      <c r="H5" s="41" t="n">
        <v>45747</v>
      </c>
      <c r="I5" s="12" t="inlineStr">
        <is>
          <t>Chef Entretien</t>
        </is>
      </c>
      <c r="J5" s="18" t="n">
        <v>2500000</v>
      </c>
      <c r="K5" s="18" t="n">
        <v>800000</v>
      </c>
      <c r="L5" s="12" t="inlineStr">
        <is>
          <t>En cours</t>
        </is>
      </c>
    </row>
    <row r="6" ht="22" customHeight="1">
      <c r="B6" s="14" t="inlineStr">
        <is>
          <t>ENV-002</t>
        </is>
      </c>
      <c r="C6" s="14" t="inlineStr">
        <is>
          <t>Tri selectif dechets cuisine</t>
        </is>
      </c>
      <c r="D6" s="14" t="inlineStr">
        <is>
          <t>Tri selectif</t>
        </is>
      </c>
      <c r="E6" s="14" t="inlineStr">
        <is>
          <t>Cuisine &amp; Restauration</t>
        </is>
      </c>
      <c r="F6" s="14" t="inlineStr">
        <is>
          <t>Mise en place bacs de tri dans la cuisine et restau</t>
        </is>
      </c>
      <c r="G6" s="42" t="n">
        <v>45689</v>
      </c>
      <c r="H6" s="42" t="n">
        <v>45716</v>
      </c>
      <c r="I6" s="14" t="inlineStr">
        <is>
          <t>Chef Cuisine</t>
        </is>
      </c>
      <c r="J6" s="19" t="n">
        <v>150000</v>
      </c>
      <c r="K6" s="19" t="n">
        <v>200000</v>
      </c>
      <c r="L6" s="14" t="inlineStr">
        <is>
          <t>Terminee</t>
        </is>
      </c>
    </row>
    <row r="7" ht="22" customHeight="1">
      <c r="B7" s="12" t="inlineStr">
        <is>
          <t>ENV-003</t>
        </is>
      </c>
      <c r="C7" s="12" t="inlineStr">
        <is>
          <t>Reduction gaspillage alimentaire</t>
        </is>
      </c>
      <c r="D7" s="12" t="inlineStr">
        <is>
          <t>Reduction dechets</t>
        </is>
      </c>
      <c r="E7" s="12" t="inlineStr">
        <is>
          <t>Cuisine &amp; Restauration</t>
        </is>
      </c>
      <c r="F7" s="12" t="inlineStr">
        <is>
          <t>Programme de gestion des portions et dons alimentaires</t>
        </is>
      </c>
      <c r="G7" s="41" t="n">
        <v>45717</v>
      </c>
      <c r="H7" s="41" t="n">
        <v>46022</v>
      </c>
      <c r="I7" s="12" t="inlineStr">
        <is>
          <t>Chef Cuisine</t>
        </is>
      </c>
      <c r="J7" s="18" t="n">
        <v>300000</v>
      </c>
      <c r="K7" s="18" t="n">
        <v>600000</v>
      </c>
      <c r="L7" s="12" t="inlineStr">
        <is>
          <t>Planifiee</t>
        </is>
      </c>
    </row>
    <row r="8" ht="22" customHeight="1">
      <c r="B8" s="16">
        <f>IF(C8="","ENV-"&amp;TEXT(COUNTA($C$5:C8),"000"))</f>
        <v/>
      </c>
      <c r="C8" s="14" t="n"/>
      <c r="D8" s="14" t="n"/>
      <c r="E8" s="14" t="n"/>
      <c r="F8" s="14" t="n"/>
      <c r="G8" s="42" t="n"/>
      <c r="H8" s="42" t="n"/>
      <c r="I8" s="14" t="n"/>
      <c r="J8" s="19" t="n"/>
      <c r="K8" s="19" t="n"/>
      <c r="L8" s="14" t="n"/>
    </row>
    <row r="9" ht="22" customHeight="1">
      <c r="B9" s="17">
        <f>IF(C9="","ENV-"&amp;TEXT(COUNTA($C$5:C9),"000"))</f>
        <v/>
      </c>
      <c r="C9" s="12" t="n"/>
      <c r="D9" s="12" t="n"/>
      <c r="E9" s="12" t="n"/>
      <c r="F9" s="12" t="n"/>
      <c r="G9" s="41" t="n"/>
      <c r="H9" s="41" t="n"/>
      <c r="I9" s="12" t="n"/>
      <c r="J9" s="18" t="n"/>
      <c r="K9" s="18" t="n"/>
      <c r="L9" s="12" t="n"/>
    </row>
    <row r="10" ht="22" customHeight="1">
      <c r="B10" s="16">
        <f>IF(C10="","ENV-"&amp;TEXT(COUNTA($C$5:C10),"000"))</f>
        <v/>
      </c>
      <c r="C10" s="14" t="n"/>
      <c r="D10" s="14" t="n"/>
      <c r="E10" s="14" t="n"/>
      <c r="F10" s="14" t="n"/>
      <c r="G10" s="42" t="n"/>
      <c r="H10" s="42" t="n"/>
      <c r="I10" s="14" t="n"/>
      <c r="J10" s="19" t="n"/>
      <c r="K10" s="19" t="n"/>
      <c r="L10" s="14" t="n"/>
    </row>
    <row r="11" ht="22" customHeight="1">
      <c r="B11" s="17">
        <f>IF(C11="","ENV-"&amp;TEXT(COUNTA($C$5:C11),"000"))</f>
        <v/>
      </c>
      <c r="C11" s="12" t="n"/>
      <c r="D11" s="12" t="n"/>
      <c r="E11" s="12" t="n"/>
      <c r="F11" s="12" t="n"/>
      <c r="G11" s="41" t="n"/>
      <c r="H11" s="41" t="n"/>
      <c r="I11" s="12" t="n"/>
      <c r="J11" s="18" t="n"/>
      <c r="K11" s="18" t="n"/>
      <c r="L11" s="12" t="n"/>
    </row>
    <row r="12" ht="22" customHeight="1">
      <c r="B12" s="16">
        <f>IF(C12="","ENV-"&amp;TEXT(COUNTA($C$5:C12),"000"))</f>
        <v/>
      </c>
      <c r="C12" s="14" t="n"/>
      <c r="D12" s="14" t="n"/>
      <c r="E12" s="14" t="n"/>
      <c r="F12" s="14" t="n"/>
      <c r="G12" s="42" t="n"/>
      <c r="H12" s="42" t="n"/>
      <c r="I12" s="14" t="n"/>
      <c r="J12" s="19" t="n"/>
      <c r="K12" s="19" t="n"/>
      <c r="L12" s="14" t="n"/>
    </row>
    <row r="13" ht="22" customHeight="1">
      <c r="B13" s="17">
        <f>IF(C13="","ENV-"&amp;TEXT(COUNTA($C$5:C13),"000"))</f>
        <v/>
      </c>
      <c r="C13" s="12" t="n"/>
      <c r="D13" s="12" t="n"/>
      <c r="E13" s="12" t="n"/>
      <c r="F13" s="12" t="n"/>
      <c r="G13" s="41" t="n"/>
      <c r="H13" s="41" t="n"/>
      <c r="I13" s="12" t="n"/>
      <c r="J13" s="18" t="n"/>
      <c r="K13" s="18" t="n"/>
      <c r="L13" s="12" t="n"/>
    </row>
    <row r="14" ht="22" customHeight="1">
      <c r="B14" s="16">
        <f>IF(C14="","ENV-"&amp;TEXT(COUNTA($C$5:C14),"000"))</f>
        <v/>
      </c>
      <c r="C14" s="14" t="n"/>
      <c r="D14" s="14" t="n"/>
      <c r="E14" s="14" t="n"/>
      <c r="F14" s="14" t="n"/>
      <c r="G14" s="42" t="n"/>
      <c r="H14" s="42" t="n"/>
      <c r="I14" s="14" t="n"/>
      <c r="J14" s="19" t="n"/>
      <c r="K14" s="19" t="n"/>
      <c r="L14" s="14" t="n"/>
    </row>
    <row r="15" ht="22" customHeight="1">
      <c r="B15" s="17">
        <f>IF(C15="","ENV-"&amp;TEXT(COUNTA($C$5:C15),"000"))</f>
        <v/>
      </c>
      <c r="C15" s="12" t="n"/>
      <c r="D15" s="12" t="n"/>
      <c r="E15" s="12" t="n"/>
      <c r="F15" s="12" t="n"/>
      <c r="G15" s="41" t="n"/>
      <c r="H15" s="41" t="n"/>
      <c r="I15" s="12" t="n"/>
      <c r="J15" s="18" t="n"/>
      <c r="K15" s="18" t="n"/>
      <c r="L15" s="12" t="n"/>
    </row>
    <row r="16" ht="22" customHeight="1">
      <c r="B16" s="16">
        <f>IF(C16="","ENV-"&amp;TEXT(COUNTA($C$5:C16),"000"))</f>
        <v/>
      </c>
      <c r="C16" s="14" t="n"/>
      <c r="D16" s="14" t="n"/>
      <c r="E16" s="14" t="n"/>
      <c r="F16" s="14" t="n"/>
      <c r="G16" s="42" t="n"/>
      <c r="H16" s="42" t="n"/>
      <c r="I16" s="14" t="n"/>
      <c r="J16" s="19" t="n"/>
      <c r="K16" s="19" t="n"/>
      <c r="L16" s="14" t="n"/>
    </row>
    <row r="17" ht="22" customHeight="1">
      <c r="B17" s="17">
        <f>IF(C17="","ENV-"&amp;TEXT(COUNTA($C$5:C17),"000"))</f>
        <v/>
      </c>
      <c r="C17" s="12" t="n"/>
      <c r="D17" s="12" t="n"/>
      <c r="E17" s="12" t="n"/>
      <c r="F17" s="12" t="n"/>
      <c r="G17" s="41" t="n"/>
      <c r="H17" s="41" t="n"/>
      <c r="I17" s="12" t="n"/>
      <c r="J17" s="18" t="n"/>
      <c r="K17" s="18" t="n"/>
      <c r="L17" s="12" t="n"/>
    </row>
    <row r="18" ht="22" customHeight="1">
      <c r="B18" s="16">
        <f>IF(C18="","ENV-"&amp;TEXT(COUNTA($C$5:C18),"000"))</f>
        <v/>
      </c>
      <c r="C18" s="14" t="n"/>
      <c r="D18" s="14" t="n"/>
      <c r="E18" s="14" t="n"/>
      <c r="F18" s="14" t="n"/>
      <c r="G18" s="42" t="n"/>
      <c r="H18" s="42" t="n"/>
      <c r="I18" s="14" t="n"/>
      <c r="J18" s="19" t="n"/>
      <c r="K18" s="19" t="n"/>
      <c r="L18" s="14" t="n"/>
    </row>
    <row r="19" ht="22" customHeight="1">
      <c r="B19" s="17">
        <f>IF(C19="","ENV-"&amp;TEXT(COUNTA($C$5:C19),"000"))</f>
        <v/>
      </c>
      <c r="C19" s="12" t="n"/>
      <c r="D19" s="12" t="n"/>
      <c r="E19" s="12" t="n"/>
      <c r="F19" s="12" t="n"/>
      <c r="G19" s="41" t="n"/>
      <c r="H19" s="41" t="n"/>
      <c r="I19" s="12" t="n"/>
      <c r="J19" s="18" t="n"/>
      <c r="K19" s="18" t="n"/>
      <c r="L19" s="12" t="n"/>
    </row>
    <row r="20" ht="22" customHeight="1">
      <c r="B20" s="16">
        <f>IF(C20="","ENV-"&amp;TEXT(COUNTA($C$5:C20),"000"))</f>
        <v/>
      </c>
      <c r="C20" s="14" t="n"/>
      <c r="D20" s="14" t="n"/>
      <c r="E20" s="14" t="n"/>
      <c r="F20" s="14" t="n"/>
      <c r="G20" s="42" t="n"/>
      <c r="H20" s="42" t="n"/>
      <c r="I20" s="14" t="n"/>
      <c r="J20" s="19" t="n"/>
      <c r="K20" s="19" t="n"/>
      <c r="L20" s="14" t="n"/>
    </row>
    <row r="21" ht="22" customHeight="1">
      <c r="B21" s="17">
        <f>IF(C21="","ENV-"&amp;TEXT(COUNTA($C$5:C21),"000"))</f>
        <v/>
      </c>
      <c r="C21" s="12" t="n"/>
      <c r="D21" s="12" t="n"/>
      <c r="E21" s="12" t="n"/>
      <c r="F21" s="12" t="n"/>
      <c r="G21" s="41" t="n"/>
      <c r="H21" s="41" t="n"/>
      <c r="I21" s="12" t="n"/>
      <c r="J21" s="18" t="n"/>
      <c r="K21" s="18" t="n"/>
      <c r="L21" s="12" t="n"/>
    </row>
    <row r="22" ht="22" customHeight="1">
      <c r="B22" s="16">
        <f>IF(C22="","ENV-"&amp;TEXT(COUNTA($C$5:C22),"000"))</f>
        <v/>
      </c>
      <c r="C22" s="14" t="n"/>
      <c r="D22" s="14" t="n"/>
      <c r="E22" s="14" t="n"/>
      <c r="F22" s="14" t="n"/>
      <c r="G22" s="42" t="n"/>
      <c r="H22" s="42" t="n"/>
      <c r="I22" s="14" t="n"/>
      <c r="J22" s="19" t="n"/>
      <c r="K22" s="19" t="n"/>
      <c r="L22" s="14" t="n"/>
    </row>
    <row r="23" ht="22" customHeight="1">
      <c r="B23" s="17">
        <f>IF(C23="","ENV-"&amp;TEXT(COUNTA($C$5:C23),"000"))</f>
        <v/>
      </c>
      <c r="C23" s="12" t="n"/>
      <c r="D23" s="12" t="n"/>
      <c r="E23" s="12" t="n"/>
      <c r="F23" s="12" t="n"/>
      <c r="G23" s="41" t="n"/>
      <c r="H23" s="41" t="n"/>
      <c r="I23" s="12" t="n"/>
      <c r="J23" s="18" t="n"/>
      <c r="K23" s="18" t="n"/>
      <c r="L23" s="12" t="n"/>
    </row>
    <row r="24" ht="22" customHeight="1">
      <c r="B24" s="16">
        <f>IF(C24="","ENV-"&amp;TEXT(COUNTA($C$5:C24),"000"))</f>
        <v/>
      </c>
      <c r="C24" s="14" t="n"/>
      <c r="D24" s="14" t="n"/>
      <c r="E24" s="14" t="n"/>
      <c r="F24" s="14" t="n"/>
      <c r="G24" s="42" t="n"/>
      <c r="H24" s="42" t="n"/>
      <c r="I24" s="14" t="n"/>
      <c r="J24" s="19" t="n"/>
      <c r="K24" s="19" t="n"/>
      <c r="L24" s="14" t="n"/>
    </row>
    <row r="25" ht="22" customHeight="1">
      <c r="B25" s="17">
        <f>IF(C25="","ENV-"&amp;TEXT(COUNTA($C$5:C25),"000"))</f>
        <v/>
      </c>
      <c r="C25" s="12" t="n"/>
      <c r="D25" s="12" t="n"/>
      <c r="E25" s="12" t="n"/>
      <c r="F25" s="12" t="n"/>
      <c r="G25" s="41" t="n"/>
      <c r="H25" s="41" t="n"/>
      <c r="I25" s="12" t="n"/>
      <c r="J25" s="18" t="n"/>
      <c r="K25" s="18" t="n"/>
      <c r="L25" s="12" t="n"/>
    </row>
    <row r="26" ht="22" customHeight="1">
      <c r="B26" s="16">
        <f>IF(C26="","ENV-"&amp;TEXT(COUNTA($C$5:C26),"000"))</f>
        <v/>
      </c>
      <c r="C26" s="14" t="n"/>
      <c r="D26" s="14" t="n"/>
      <c r="E26" s="14" t="n"/>
      <c r="F26" s="14" t="n"/>
      <c r="G26" s="42" t="n"/>
      <c r="H26" s="42" t="n"/>
      <c r="I26" s="14" t="n"/>
      <c r="J26" s="19" t="n"/>
      <c r="K26" s="19" t="n"/>
      <c r="L26" s="14" t="n"/>
    </row>
    <row r="27" ht="22" customHeight="1">
      <c r="B27" s="17">
        <f>IF(C27="","ENV-"&amp;TEXT(COUNTA($C$5:C27),"000"))</f>
        <v/>
      </c>
      <c r="C27" s="12" t="n"/>
      <c r="D27" s="12" t="n"/>
      <c r="E27" s="12" t="n"/>
      <c r="F27" s="12" t="n"/>
      <c r="G27" s="41" t="n"/>
      <c r="H27" s="41" t="n"/>
      <c r="I27" s="12" t="n"/>
      <c r="J27" s="18" t="n"/>
      <c r="K27" s="18" t="n"/>
      <c r="L27" s="12" t="n"/>
    </row>
    <row r="28" ht="22" customHeight="1">
      <c r="B28" s="16">
        <f>IF(C28="","ENV-"&amp;TEXT(COUNTA($C$5:C28),"000"))</f>
        <v/>
      </c>
      <c r="C28" s="14" t="n"/>
      <c r="D28" s="14" t="n"/>
      <c r="E28" s="14" t="n"/>
      <c r="F28" s="14" t="n"/>
      <c r="G28" s="42" t="n"/>
      <c r="H28" s="42" t="n"/>
      <c r="I28" s="14" t="n"/>
      <c r="J28" s="19" t="n"/>
      <c r="K28" s="19" t="n"/>
      <c r="L28" s="14" t="n"/>
    </row>
    <row r="29" ht="22" customHeight="1">
      <c r="B29" s="17">
        <f>IF(C29="","ENV-"&amp;TEXT(COUNTA($C$5:C29),"000"))</f>
        <v/>
      </c>
      <c r="C29" s="12" t="n"/>
      <c r="D29" s="12" t="n"/>
      <c r="E29" s="12" t="n"/>
      <c r="F29" s="12" t="n"/>
      <c r="G29" s="41" t="n"/>
      <c r="H29" s="41" t="n"/>
      <c r="I29" s="12" t="n"/>
      <c r="J29" s="18" t="n"/>
      <c r="K29" s="18" t="n"/>
      <c r="L29" s="12" t="n"/>
    </row>
    <row r="30" ht="22" customHeight="1">
      <c r="B30" s="16">
        <f>IF(C30="","ENV-"&amp;TEXT(COUNTA($C$5:C30),"000"))</f>
        <v/>
      </c>
      <c r="C30" s="14" t="n"/>
      <c r="D30" s="14" t="n"/>
      <c r="E30" s="14" t="n"/>
      <c r="F30" s="14" t="n"/>
      <c r="G30" s="42" t="n"/>
      <c r="H30" s="42" t="n"/>
      <c r="I30" s="14" t="n"/>
      <c r="J30" s="19" t="n"/>
      <c r="K30" s="19" t="n"/>
      <c r="L30" s="14" t="n"/>
    </row>
    <row r="31" ht="22" customHeight="1">
      <c r="B31" s="17">
        <f>IF(C31="","ENV-"&amp;TEXT(COUNTA($C$5:C31),"000"))</f>
        <v/>
      </c>
      <c r="C31" s="12" t="n"/>
      <c r="D31" s="12" t="n"/>
      <c r="E31" s="12" t="n"/>
      <c r="F31" s="12" t="n"/>
      <c r="G31" s="41" t="n"/>
      <c r="H31" s="41" t="n"/>
      <c r="I31" s="12" t="n"/>
      <c r="J31" s="18" t="n"/>
      <c r="K31" s="18" t="n"/>
      <c r="L31" s="12" t="n"/>
    </row>
    <row r="32" ht="22" customHeight="1">
      <c r="B32" s="16">
        <f>IF(C32="","ENV-"&amp;TEXT(COUNTA($C$5:C32),"000"))</f>
        <v/>
      </c>
      <c r="C32" s="14" t="n"/>
      <c r="D32" s="14" t="n"/>
      <c r="E32" s="14" t="n"/>
      <c r="F32" s="14" t="n"/>
      <c r="G32" s="42" t="n"/>
      <c r="H32" s="42" t="n"/>
      <c r="I32" s="14" t="n"/>
      <c r="J32" s="19" t="n"/>
      <c r="K32" s="19" t="n"/>
      <c r="L32" s="14" t="n"/>
    </row>
    <row r="33" ht="22" customHeight="1">
      <c r="B33" s="17">
        <f>IF(C33="","ENV-"&amp;TEXT(COUNTA($C$5:C33),"000"))</f>
        <v/>
      </c>
      <c r="C33" s="12" t="n"/>
      <c r="D33" s="12" t="n"/>
      <c r="E33" s="12" t="n"/>
      <c r="F33" s="12" t="n"/>
      <c r="G33" s="41" t="n"/>
      <c r="H33" s="41" t="n"/>
      <c r="I33" s="12" t="n"/>
      <c r="J33" s="18" t="n"/>
      <c r="K33" s="18" t="n"/>
      <c r="L33" s="12" t="n"/>
    </row>
    <row r="34" ht="22" customHeight="1">
      <c r="B34" s="16">
        <f>IF(C34="","ENV-"&amp;TEXT(COUNTA($C$5:C34),"000"))</f>
        <v/>
      </c>
      <c r="C34" s="14" t="n"/>
      <c r="D34" s="14" t="n"/>
      <c r="E34" s="14" t="n"/>
      <c r="F34" s="14" t="n"/>
      <c r="G34" s="42" t="n"/>
      <c r="H34" s="42" t="n"/>
      <c r="I34" s="14" t="n"/>
      <c r="J34" s="19" t="n"/>
      <c r="K34" s="19" t="n"/>
      <c r="L34" s="14" t="n"/>
    </row>
    <row r="35" ht="22" customHeight="1">
      <c r="B35" s="17">
        <f>IF(C35="","ENV-"&amp;TEXT(COUNTA($C$5:C35),"000"))</f>
        <v/>
      </c>
      <c r="C35" s="12" t="n"/>
      <c r="D35" s="12" t="n"/>
      <c r="E35" s="12" t="n"/>
      <c r="F35" s="12" t="n"/>
      <c r="G35" s="41" t="n"/>
      <c r="H35" s="41" t="n"/>
      <c r="I35" s="12" t="n"/>
      <c r="J35" s="18" t="n"/>
      <c r="K35" s="18" t="n"/>
      <c r="L35" s="12" t="n"/>
    </row>
    <row r="36" ht="22" customHeight="1">
      <c r="B36" s="16">
        <f>IF(C36="","ENV-"&amp;TEXT(COUNTA($C$5:C36),"000"))</f>
        <v/>
      </c>
      <c r="C36" s="14" t="n"/>
      <c r="D36" s="14" t="n"/>
      <c r="E36" s="14" t="n"/>
      <c r="F36" s="14" t="n"/>
      <c r="G36" s="42" t="n"/>
      <c r="H36" s="42" t="n"/>
      <c r="I36" s="14" t="n"/>
      <c r="J36" s="19" t="n"/>
      <c r="K36" s="19" t="n"/>
      <c r="L36" s="14" t="n"/>
    </row>
    <row r="37" ht="22" customHeight="1">
      <c r="B37" s="17">
        <f>IF(C37="","ENV-"&amp;TEXT(COUNTA($C$5:C37),"000"))</f>
        <v/>
      </c>
      <c r="C37" s="12" t="n"/>
      <c r="D37" s="12" t="n"/>
      <c r="E37" s="12" t="n"/>
      <c r="F37" s="12" t="n"/>
      <c r="G37" s="41" t="n"/>
      <c r="H37" s="41" t="n"/>
      <c r="I37" s="12" t="n"/>
      <c r="J37" s="18" t="n"/>
      <c r="K37" s="18" t="n"/>
      <c r="L37" s="12" t="n"/>
    </row>
    <row r="38" ht="22" customHeight="1">
      <c r="B38" s="16">
        <f>IF(C38="","ENV-"&amp;TEXT(COUNTA($C$5:C38),"000"))</f>
        <v/>
      </c>
      <c r="C38" s="14" t="n"/>
      <c r="D38" s="14" t="n"/>
      <c r="E38" s="14" t="n"/>
      <c r="F38" s="14" t="n"/>
      <c r="G38" s="42" t="n"/>
      <c r="H38" s="42" t="n"/>
      <c r="I38" s="14" t="n"/>
      <c r="J38" s="19" t="n"/>
      <c r="K38" s="19" t="n"/>
      <c r="L38" s="14" t="n"/>
    </row>
    <row r="39" ht="22" customHeight="1">
      <c r="B39" s="17">
        <f>IF(C39="","ENV-"&amp;TEXT(COUNTA($C$5:C39),"000"))</f>
        <v/>
      </c>
      <c r="C39" s="12" t="n"/>
      <c r="D39" s="12" t="n"/>
      <c r="E39" s="12" t="n"/>
      <c r="F39" s="12" t="n"/>
      <c r="G39" s="41" t="n"/>
      <c r="H39" s="41" t="n"/>
      <c r="I39" s="12" t="n"/>
      <c r="J39" s="18" t="n"/>
      <c r="K39" s="18" t="n"/>
      <c r="L39" s="12" t="n"/>
    </row>
    <row r="40" ht="22" customHeight="1">
      <c r="B40" s="16">
        <f>IF(C40="","ENV-"&amp;TEXT(COUNTA($C$5:C40),"000"))</f>
        <v/>
      </c>
      <c r="C40" s="14" t="n"/>
      <c r="D40" s="14" t="n"/>
      <c r="E40" s="14" t="n"/>
      <c r="F40" s="14" t="n"/>
      <c r="G40" s="42" t="n"/>
      <c r="H40" s="42" t="n"/>
      <c r="I40" s="14" t="n"/>
      <c r="J40" s="19" t="n"/>
      <c r="K40" s="19" t="n"/>
      <c r="L40" s="14" t="n"/>
    </row>
    <row r="41" ht="22" customHeight="1">
      <c r="B41" s="17">
        <f>IF(C41="","ENV-"&amp;TEXT(COUNTA($C$5:C41),"000"))</f>
        <v/>
      </c>
      <c r="C41" s="12" t="n"/>
      <c r="D41" s="12" t="n"/>
      <c r="E41" s="12" t="n"/>
      <c r="F41" s="12" t="n"/>
      <c r="G41" s="41" t="n"/>
      <c r="H41" s="41" t="n"/>
      <c r="I41" s="12" t="n"/>
      <c r="J41" s="18" t="n"/>
      <c r="K41" s="18" t="n"/>
      <c r="L41" s="12" t="n"/>
    </row>
    <row r="42" ht="22" customHeight="1">
      <c r="B42" s="16">
        <f>IF(C42="","ENV-"&amp;TEXT(COUNTA($C$5:C42),"000"))</f>
        <v/>
      </c>
      <c r="C42" s="14" t="n"/>
      <c r="D42" s="14" t="n"/>
      <c r="E42" s="14" t="n"/>
      <c r="F42" s="14" t="n"/>
      <c r="G42" s="42" t="n"/>
      <c r="H42" s="42" t="n"/>
      <c r="I42" s="14" t="n"/>
      <c r="J42" s="19" t="n"/>
      <c r="K42" s="19" t="n"/>
      <c r="L42" s="14" t="n"/>
    </row>
    <row r="43" ht="22" customHeight="1">
      <c r="B43" s="17">
        <f>IF(C43="","ENV-"&amp;TEXT(COUNTA($C$5:C43),"000"))</f>
        <v/>
      </c>
      <c r="C43" s="12" t="n"/>
      <c r="D43" s="12" t="n"/>
      <c r="E43" s="12" t="n"/>
      <c r="F43" s="12" t="n"/>
      <c r="G43" s="41" t="n"/>
      <c r="H43" s="41" t="n"/>
      <c r="I43" s="12" t="n"/>
      <c r="J43" s="18" t="n"/>
      <c r="K43" s="18" t="n"/>
      <c r="L43" s="12" t="n"/>
    </row>
    <row r="44" ht="22" customHeight="1">
      <c r="B44" s="16">
        <f>IF(C44="","ENV-"&amp;TEXT(COUNTA($C$5:C44),"000"))</f>
        <v/>
      </c>
      <c r="C44" s="14" t="n"/>
      <c r="D44" s="14" t="n"/>
      <c r="E44" s="14" t="n"/>
      <c r="F44" s="14" t="n"/>
      <c r="G44" s="42" t="n"/>
      <c r="H44" s="42" t="n"/>
      <c r="I44" s="14" t="n"/>
      <c r="J44" s="19" t="n"/>
      <c r="K44" s="19" t="n"/>
      <c r="L44" s="14" t="n"/>
    </row>
    <row r="45" ht="22" customHeight="1">
      <c r="B45" s="17">
        <f>IF(C45="","ENV-"&amp;TEXT(COUNTA($C$5:C45),"000"))</f>
        <v/>
      </c>
      <c r="C45" s="12" t="n"/>
      <c r="D45" s="12" t="n"/>
      <c r="E45" s="12" t="n"/>
      <c r="F45" s="12" t="n"/>
      <c r="G45" s="41" t="n"/>
      <c r="H45" s="41" t="n"/>
      <c r="I45" s="12" t="n"/>
      <c r="J45" s="18" t="n"/>
      <c r="K45" s="18" t="n"/>
      <c r="L45" s="12" t="n"/>
    </row>
    <row r="46" ht="22" customHeight="1">
      <c r="B46" s="16">
        <f>IF(C46="","ENV-"&amp;TEXT(COUNTA($C$5:C46),"000"))</f>
        <v/>
      </c>
      <c r="C46" s="14" t="n"/>
      <c r="D46" s="14" t="n"/>
      <c r="E46" s="14" t="n"/>
      <c r="F46" s="14" t="n"/>
      <c r="G46" s="42" t="n"/>
      <c r="H46" s="42" t="n"/>
      <c r="I46" s="14" t="n"/>
      <c r="J46" s="19" t="n"/>
      <c r="K46" s="19" t="n"/>
      <c r="L46" s="14" t="n"/>
    </row>
    <row r="47" ht="22" customHeight="1">
      <c r="B47" s="17">
        <f>IF(C47="","ENV-"&amp;TEXT(COUNTA($C$5:C47),"000"))</f>
        <v/>
      </c>
      <c r="C47" s="12" t="n"/>
      <c r="D47" s="12" t="n"/>
      <c r="E47" s="12" t="n"/>
      <c r="F47" s="12" t="n"/>
      <c r="G47" s="41" t="n"/>
      <c r="H47" s="41" t="n"/>
      <c r="I47" s="12" t="n"/>
      <c r="J47" s="18" t="n"/>
      <c r="K47" s="18" t="n"/>
      <c r="L47" s="12" t="n"/>
    </row>
    <row r="48" ht="22" customHeight="1">
      <c r="B48" s="16">
        <f>IF(C48="","ENV-"&amp;TEXT(COUNTA($C$5:C48),"000"))</f>
        <v/>
      </c>
      <c r="C48" s="14" t="n"/>
      <c r="D48" s="14" t="n"/>
      <c r="E48" s="14" t="n"/>
      <c r="F48" s="14" t="n"/>
      <c r="G48" s="42" t="n"/>
      <c r="H48" s="42" t="n"/>
      <c r="I48" s="14" t="n"/>
      <c r="J48" s="19" t="n"/>
      <c r="K48" s="19" t="n"/>
      <c r="L48" s="14" t="n"/>
    </row>
    <row r="49" ht="22" customHeight="1">
      <c r="B49" s="17">
        <f>IF(C49="","ENV-"&amp;TEXT(COUNTA($C$5:C49),"000"))</f>
        <v/>
      </c>
      <c r="C49" s="12" t="n"/>
      <c r="D49" s="12" t="n"/>
      <c r="E49" s="12" t="n"/>
      <c r="F49" s="12" t="n"/>
      <c r="G49" s="41" t="n"/>
      <c r="H49" s="41" t="n"/>
      <c r="I49" s="12" t="n"/>
      <c r="J49" s="18" t="n"/>
      <c r="K49" s="18" t="n"/>
      <c r="L49" s="12" t="n"/>
    </row>
    <row r="50" ht="22" customHeight="1">
      <c r="B50" s="16">
        <f>IF(C50="","ENV-"&amp;TEXT(COUNTA($C$5:C50),"000"))</f>
        <v/>
      </c>
      <c r="C50" s="14" t="n"/>
      <c r="D50" s="14" t="n"/>
      <c r="E50" s="14" t="n"/>
      <c r="F50" s="14" t="n"/>
      <c r="G50" s="42" t="n"/>
      <c r="H50" s="42" t="n"/>
      <c r="I50" s="14" t="n"/>
      <c r="J50" s="19" t="n"/>
      <c r="K50" s="19" t="n"/>
      <c r="L50" s="14" t="n"/>
    </row>
    <row r="51" ht="22" customHeight="1">
      <c r="B51" s="17">
        <f>IF(C51="","ENV-"&amp;TEXT(COUNTA($C$5:C51),"000"))</f>
        <v/>
      </c>
      <c r="C51" s="12" t="n"/>
      <c r="D51" s="12" t="n"/>
      <c r="E51" s="12" t="n"/>
      <c r="F51" s="12" t="n"/>
      <c r="G51" s="41" t="n"/>
      <c r="H51" s="41" t="n"/>
      <c r="I51" s="12" t="n"/>
      <c r="J51" s="18" t="n"/>
      <c r="K51" s="18" t="n"/>
      <c r="L51" s="12" t="n"/>
    </row>
    <row r="52" ht="22" customHeight="1">
      <c r="B52" s="16">
        <f>IF(C52="","ENV-"&amp;TEXT(COUNTA($C$5:C52),"000"))</f>
        <v/>
      </c>
      <c r="C52" s="14" t="n"/>
      <c r="D52" s="14" t="n"/>
      <c r="E52" s="14" t="n"/>
      <c r="F52" s="14" t="n"/>
      <c r="G52" s="42" t="n"/>
      <c r="H52" s="42" t="n"/>
      <c r="I52" s="14" t="n"/>
      <c r="J52" s="19" t="n"/>
      <c r="K52" s="19" t="n"/>
      <c r="L52" s="14" t="n"/>
    </row>
    <row r="53" ht="22" customHeight="1">
      <c r="B53" s="17">
        <f>IF(C53="","ENV-"&amp;TEXT(COUNTA($C$5:C53),"000"))</f>
        <v/>
      </c>
      <c r="C53" s="12" t="n"/>
      <c r="D53" s="12" t="n"/>
      <c r="E53" s="12" t="n"/>
      <c r="F53" s="12" t="n"/>
      <c r="G53" s="41" t="n"/>
      <c r="H53" s="41" t="n"/>
      <c r="I53" s="12" t="n"/>
      <c r="J53" s="18" t="n"/>
      <c r="K53" s="18" t="n"/>
      <c r="L53" s="12" t="n"/>
    </row>
    <row r="54" ht="22" customHeight="1">
      <c r="B54" s="16">
        <f>IF(C54="","ENV-"&amp;TEXT(COUNTA($C$5:C54),"000"))</f>
        <v/>
      </c>
      <c r="C54" s="14" t="n"/>
      <c r="D54" s="14" t="n"/>
      <c r="E54" s="14" t="n"/>
      <c r="F54" s="14" t="n"/>
      <c r="G54" s="42" t="n"/>
      <c r="H54" s="42" t="n"/>
      <c r="I54" s="14" t="n"/>
      <c r="J54" s="19" t="n"/>
      <c r="K54" s="19" t="n"/>
      <c r="L54" s="14" t="n"/>
    </row>
    <row r="55" ht="22" customHeight="1">
      <c r="B55" s="17">
        <f>IF(C55="","ENV-"&amp;TEXT(COUNTA($C$5:C55),"000"))</f>
        <v/>
      </c>
      <c r="C55" s="12" t="n"/>
      <c r="D55" s="12" t="n"/>
      <c r="E55" s="12" t="n"/>
      <c r="F55" s="12" t="n"/>
      <c r="G55" s="41" t="n"/>
      <c r="H55" s="41" t="n"/>
      <c r="I55" s="12" t="n"/>
      <c r="J55" s="18" t="n"/>
      <c r="K55" s="18" t="n"/>
      <c r="L55" s="12" t="n"/>
    </row>
    <row r="56" ht="22" customHeight="1">
      <c r="B56" s="16">
        <f>IF(C56="","ENV-"&amp;TEXT(COUNTA($C$5:C56),"000"))</f>
        <v/>
      </c>
      <c r="C56" s="14" t="n"/>
      <c r="D56" s="14" t="n"/>
      <c r="E56" s="14" t="n"/>
      <c r="F56" s="14" t="n"/>
      <c r="G56" s="42" t="n"/>
      <c r="H56" s="42" t="n"/>
      <c r="I56" s="14" t="n"/>
      <c r="J56" s="19" t="n"/>
      <c r="K56" s="19" t="n"/>
      <c r="L56" s="14" t="n"/>
    </row>
    <row r="57" ht="22" customHeight="1">
      <c r="B57" s="17">
        <f>IF(C57="","ENV-"&amp;TEXT(COUNTA($C$5:C57),"000"))</f>
        <v/>
      </c>
      <c r="C57" s="12" t="n"/>
      <c r="D57" s="12" t="n"/>
      <c r="E57" s="12" t="n"/>
      <c r="F57" s="12" t="n"/>
      <c r="G57" s="41" t="n"/>
      <c r="H57" s="41" t="n"/>
      <c r="I57" s="12" t="n"/>
      <c r="J57" s="18" t="n"/>
      <c r="K57" s="18" t="n"/>
      <c r="L57" s="12" t="n"/>
    </row>
    <row r="58" ht="22" customHeight="1">
      <c r="B58" s="16">
        <f>IF(C58="","ENV-"&amp;TEXT(COUNTA($C$5:C58),"000"))</f>
        <v/>
      </c>
      <c r="C58" s="14" t="n"/>
      <c r="D58" s="14" t="n"/>
      <c r="E58" s="14" t="n"/>
      <c r="F58" s="14" t="n"/>
      <c r="G58" s="42" t="n"/>
      <c r="H58" s="42" t="n"/>
      <c r="I58" s="14" t="n"/>
      <c r="J58" s="19" t="n"/>
      <c r="K58" s="19" t="n"/>
      <c r="L58" s="14" t="n"/>
    </row>
    <row r="59" ht="22" customHeight="1">
      <c r="B59" s="17">
        <f>IF(C59="","ENV-"&amp;TEXT(COUNTA($C$5:C59),"000"))</f>
        <v/>
      </c>
      <c r="C59" s="12" t="n"/>
      <c r="D59" s="12" t="n"/>
      <c r="E59" s="12" t="n"/>
      <c r="F59" s="12" t="n"/>
      <c r="G59" s="41" t="n"/>
      <c r="H59" s="41" t="n"/>
      <c r="I59" s="12" t="n"/>
      <c r="J59" s="18" t="n"/>
      <c r="K59" s="18" t="n"/>
      <c r="L59" s="12" t="n"/>
    </row>
    <row r="60" ht="22" customHeight="1">
      <c r="B60" s="16">
        <f>IF(C60="","ENV-"&amp;TEXT(COUNTA($C$5:C60),"000"))</f>
        <v/>
      </c>
      <c r="C60" s="14" t="n"/>
      <c r="D60" s="14" t="n"/>
      <c r="E60" s="14" t="n"/>
      <c r="F60" s="14" t="n"/>
      <c r="G60" s="42" t="n"/>
      <c r="H60" s="42" t="n"/>
      <c r="I60" s="14" t="n"/>
      <c r="J60" s="19" t="n"/>
      <c r="K60" s="19" t="n"/>
      <c r="L60" s="14" t="n"/>
    </row>
    <row r="61" ht="22" customHeight="1">
      <c r="B61" s="17">
        <f>IF(C61="","ENV-"&amp;TEXT(COUNTA($C$5:C61),"000"))</f>
        <v/>
      </c>
      <c r="C61" s="12" t="n"/>
      <c r="D61" s="12" t="n"/>
      <c r="E61" s="12" t="n"/>
      <c r="F61" s="12" t="n"/>
      <c r="G61" s="41" t="n"/>
      <c r="H61" s="41" t="n"/>
      <c r="I61" s="12" t="n"/>
      <c r="J61" s="18" t="n"/>
      <c r="K61" s="18" t="n"/>
      <c r="L61" s="12" t="n"/>
    </row>
    <row r="62" ht="22" customHeight="1">
      <c r="B62" s="16">
        <f>IF(C62="","ENV-"&amp;TEXT(COUNTA($C$5:C62),"000"))</f>
        <v/>
      </c>
      <c r="C62" s="14" t="n"/>
      <c r="D62" s="14" t="n"/>
      <c r="E62" s="14" t="n"/>
      <c r="F62" s="14" t="n"/>
      <c r="G62" s="42" t="n"/>
      <c r="H62" s="42" t="n"/>
      <c r="I62" s="14" t="n"/>
      <c r="J62" s="19" t="n"/>
      <c r="K62" s="19" t="n"/>
      <c r="L62" s="14" t="n"/>
    </row>
    <row r="63" ht="22" customHeight="1">
      <c r="B63" s="17">
        <f>IF(C63="","ENV-"&amp;TEXT(COUNTA($C$5:C63),"000"))</f>
        <v/>
      </c>
      <c r="C63" s="12" t="n"/>
      <c r="D63" s="12" t="n"/>
      <c r="E63" s="12" t="n"/>
      <c r="F63" s="12" t="n"/>
      <c r="G63" s="41" t="n"/>
      <c r="H63" s="41" t="n"/>
      <c r="I63" s="12" t="n"/>
      <c r="J63" s="18" t="n"/>
      <c r="K63" s="18" t="n"/>
      <c r="L63" s="12" t="n"/>
    </row>
    <row r="64" ht="22" customHeight="1">
      <c r="B64" s="16">
        <f>IF(C64="","ENV-"&amp;TEXT(COUNTA($C$5:C64),"000"))</f>
        <v/>
      </c>
      <c r="C64" s="14" t="n"/>
      <c r="D64" s="14" t="n"/>
      <c r="E64" s="14" t="n"/>
      <c r="F64" s="14" t="n"/>
      <c r="G64" s="42" t="n"/>
      <c r="H64" s="42" t="n"/>
      <c r="I64" s="14" t="n"/>
      <c r="J64" s="19" t="n"/>
      <c r="K64" s="19" t="n"/>
      <c r="L64" s="14" t="n"/>
    </row>
    <row r="65" ht="22" customHeight="1">
      <c r="B65" s="17">
        <f>IF(C65="","ENV-"&amp;TEXT(COUNTA($C$5:C65),"000"))</f>
        <v/>
      </c>
      <c r="C65" s="12" t="n"/>
      <c r="D65" s="12" t="n"/>
      <c r="E65" s="12" t="n"/>
      <c r="F65" s="12" t="n"/>
      <c r="G65" s="41" t="n"/>
      <c r="H65" s="41" t="n"/>
      <c r="I65" s="12" t="n"/>
      <c r="J65" s="18" t="n"/>
      <c r="K65" s="18" t="n"/>
      <c r="L65" s="12" t="n"/>
    </row>
    <row r="66" ht="22" customHeight="1">
      <c r="B66" s="16">
        <f>IF(C66="","ENV-"&amp;TEXT(COUNTA($C$5:C66),"000"))</f>
        <v/>
      </c>
      <c r="C66" s="14" t="n"/>
      <c r="D66" s="14" t="n"/>
      <c r="E66" s="14" t="n"/>
      <c r="F66" s="14" t="n"/>
      <c r="G66" s="42" t="n"/>
      <c r="H66" s="42" t="n"/>
      <c r="I66" s="14" t="n"/>
      <c r="J66" s="19" t="n"/>
      <c r="K66" s="19" t="n"/>
      <c r="L66" s="14" t="n"/>
    </row>
    <row r="67" ht="22" customHeight="1">
      <c r="B67" s="17">
        <f>IF(C67="","ENV-"&amp;TEXT(COUNTA($C$5:C67),"000"))</f>
        <v/>
      </c>
      <c r="C67" s="12" t="n"/>
      <c r="D67" s="12" t="n"/>
      <c r="E67" s="12" t="n"/>
      <c r="F67" s="12" t="n"/>
      <c r="G67" s="41" t="n"/>
      <c r="H67" s="41" t="n"/>
      <c r="I67" s="12" t="n"/>
      <c r="J67" s="18" t="n"/>
      <c r="K67" s="18" t="n"/>
      <c r="L67" s="12" t="n"/>
    </row>
    <row r="68" ht="22" customHeight="1">
      <c r="B68" s="16">
        <f>IF(C68="","ENV-"&amp;TEXT(COUNTA($C$5:C68),"000"))</f>
        <v/>
      </c>
      <c r="C68" s="14" t="n"/>
      <c r="D68" s="14" t="n"/>
      <c r="E68" s="14" t="n"/>
      <c r="F68" s="14" t="n"/>
      <c r="G68" s="42" t="n"/>
      <c r="H68" s="42" t="n"/>
      <c r="I68" s="14" t="n"/>
      <c r="J68" s="19" t="n"/>
      <c r="K68" s="19" t="n"/>
      <c r="L68" s="14" t="n"/>
    </row>
    <row r="69" ht="22" customHeight="1">
      <c r="B69" s="17">
        <f>IF(C69="","ENV-"&amp;TEXT(COUNTA($C$5:C69),"000"))</f>
        <v/>
      </c>
      <c r="C69" s="12" t="n"/>
      <c r="D69" s="12" t="n"/>
      <c r="E69" s="12" t="n"/>
      <c r="F69" s="12" t="n"/>
      <c r="G69" s="41" t="n"/>
      <c r="H69" s="41" t="n"/>
      <c r="I69" s="12" t="n"/>
      <c r="J69" s="18" t="n"/>
      <c r="K69" s="18" t="n"/>
      <c r="L69" s="12" t="n"/>
    </row>
    <row r="70" ht="22" customHeight="1">
      <c r="B70" s="16">
        <f>IF(C70="","ENV-"&amp;TEXT(COUNTA($C$5:C70),"000"))</f>
        <v/>
      </c>
      <c r="C70" s="14" t="n"/>
      <c r="D70" s="14" t="n"/>
      <c r="E70" s="14" t="n"/>
      <c r="F70" s="14" t="n"/>
      <c r="G70" s="42" t="n"/>
      <c r="H70" s="42" t="n"/>
      <c r="I70" s="14" t="n"/>
      <c r="J70" s="19" t="n"/>
      <c r="K70" s="19" t="n"/>
      <c r="L70" s="14" t="n"/>
    </row>
    <row r="71" ht="22" customHeight="1">
      <c r="B71" s="17">
        <f>IF(C71="","ENV-"&amp;TEXT(COUNTA($C$5:C71),"000"))</f>
        <v/>
      </c>
      <c r="C71" s="12" t="n"/>
      <c r="D71" s="12" t="n"/>
      <c r="E71" s="12" t="n"/>
      <c r="F71" s="12" t="n"/>
      <c r="G71" s="41" t="n"/>
      <c r="H71" s="41" t="n"/>
      <c r="I71" s="12" t="n"/>
      <c r="J71" s="18" t="n"/>
      <c r="K71" s="18" t="n"/>
      <c r="L71" s="12" t="n"/>
    </row>
    <row r="72" ht="22" customHeight="1">
      <c r="B72" s="16">
        <f>IF(C72="","ENV-"&amp;TEXT(COUNTA($C$5:C72),"000"))</f>
        <v/>
      </c>
      <c r="C72" s="14" t="n"/>
      <c r="D72" s="14" t="n"/>
      <c r="E72" s="14" t="n"/>
      <c r="F72" s="14" t="n"/>
      <c r="G72" s="42" t="n"/>
      <c r="H72" s="42" t="n"/>
      <c r="I72" s="14" t="n"/>
      <c r="J72" s="19" t="n"/>
      <c r="K72" s="19" t="n"/>
      <c r="L72" s="14" t="n"/>
    </row>
    <row r="73" ht="22" customHeight="1">
      <c r="B73" s="17">
        <f>IF(C73="","ENV-"&amp;TEXT(COUNTA($C$5:C73),"000"))</f>
        <v/>
      </c>
      <c r="C73" s="12" t="n"/>
      <c r="D73" s="12" t="n"/>
      <c r="E73" s="12" t="n"/>
      <c r="F73" s="12" t="n"/>
      <c r="G73" s="41" t="n"/>
      <c r="H73" s="41" t="n"/>
      <c r="I73" s="12" t="n"/>
      <c r="J73" s="18" t="n"/>
      <c r="K73" s="18" t="n"/>
      <c r="L73" s="12" t="n"/>
    </row>
    <row r="74" ht="22" customHeight="1">
      <c r="B74" s="16">
        <f>IF(C74="","ENV-"&amp;TEXT(COUNTA($C$5:C74),"000"))</f>
        <v/>
      </c>
      <c r="C74" s="14" t="n"/>
      <c r="D74" s="14" t="n"/>
      <c r="E74" s="14" t="n"/>
      <c r="F74" s="14" t="n"/>
      <c r="G74" s="42" t="n"/>
      <c r="H74" s="42" t="n"/>
      <c r="I74" s="14" t="n"/>
      <c r="J74" s="19" t="n"/>
      <c r="K74" s="19" t="n"/>
      <c r="L74" s="14" t="n"/>
    </row>
    <row r="75" ht="22" customHeight="1">
      <c r="B75" s="17">
        <f>IF(C75="","ENV-"&amp;TEXT(COUNTA($C$5:C75),"000"))</f>
        <v/>
      </c>
      <c r="C75" s="12" t="n"/>
      <c r="D75" s="12" t="n"/>
      <c r="E75" s="12" t="n"/>
      <c r="F75" s="12" t="n"/>
      <c r="G75" s="41" t="n"/>
      <c r="H75" s="41" t="n"/>
      <c r="I75" s="12" t="n"/>
      <c r="J75" s="18" t="n"/>
      <c r="K75" s="18" t="n"/>
      <c r="L75" s="12" t="n"/>
    </row>
    <row r="76" ht="22" customHeight="1">
      <c r="B76" s="16">
        <f>IF(C76="","ENV-"&amp;TEXT(COUNTA($C$5:C76),"000"))</f>
        <v/>
      </c>
      <c r="C76" s="14" t="n"/>
      <c r="D76" s="14" t="n"/>
      <c r="E76" s="14" t="n"/>
      <c r="F76" s="14" t="n"/>
      <c r="G76" s="42" t="n"/>
      <c r="H76" s="42" t="n"/>
      <c r="I76" s="14" t="n"/>
      <c r="J76" s="19" t="n"/>
      <c r="K76" s="19" t="n"/>
      <c r="L76" s="14" t="n"/>
    </row>
    <row r="77" ht="22" customHeight="1">
      <c r="B77" s="17">
        <f>IF(C77="","ENV-"&amp;TEXT(COUNTA($C$5:C77),"000"))</f>
        <v/>
      </c>
      <c r="C77" s="12" t="n"/>
      <c r="D77" s="12" t="n"/>
      <c r="E77" s="12" t="n"/>
      <c r="F77" s="12" t="n"/>
      <c r="G77" s="41" t="n"/>
      <c r="H77" s="41" t="n"/>
      <c r="I77" s="12" t="n"/>
      <c r="J77" s="18" t="n"/>
      <c r="K77" s="18" t="n"/>
      <c r="L77" s="12" t="n"/>
    </row>
    <row r="78" ht="22" customHeight="1">
      <c r="B78" s="16">
        <f>IF(C78="","ENV-"&amp;TEXT(COUNTA($C$5:C78),"000"))</f>
        <v/>
      </c>
      <c r="C78" s="14" t="n"/>
      <c r="D78" s="14" t="n"/>
      <c r="E78" s="14" t="n"/>
      <c r="F78" s="14" t="n"/>
      <c r="G78" s="42" t="n"/>
      <c r="H78" s="42" t="n"/>
      <c r="I78" s="14" t="n"/>
      <c r="J78" s="19" t="n"/>
      <c r="K78" s="19" t="n"/>
      <c r="L78" s="14" t="n"/>
    </row>
    <row r="79" ht="22" customHeight="1">
      <c r="B79" s="17">
        <f>IF(C79="","ENV-"&amp;TEXT(COUNTA($C$5:C79),"000"))</f>
        <v/>
      </c>
      <c r="C79" s="12" t="n"/>
      <c r="D79" s="12" t="n"/>
      <c r="E79" s="12" t="n"/>
      <c r="F79" s="12" t="n"/>
      <c r="G79" s="41" t="n"/>
      <c r="H79" s="41" t="n"/>
      <c r="I79" s="12" t="n"/>
      <c r="J79" s="18" t="n"/>
      <c r="K79" s="18" t="n"/>
      <c r="L79" s="12" t="n"/>
    </row>
    <row r="80" ht="22" customHeight="1">
      <c r="B80" s="16">
        <f>IF(C80="","ENV-"&amp;TEXT(COUNTA($C$5:C80),"000"))</f>
        <v/>
      </c>
      <c r="C80" s="14" t="n"/>
      <c r="D80" s="14" t="n"/>
      <c r="E80" s="14" t="n"/>
      <c r="F80" s="14" t="n"/>
      <c r="G80" s="42" t="n"/>
      <c r="H80" s="42" t="n"/>
      <c r="I80" s="14" t="n"/>
      <c r="J80" s="19" t="n"/>
      <c r="K80" s="19" t="n"/>
      <c r="L80" s="14" t="n"/>
    </row>
    <row r="81" ht="22" customHeight="1">
      <c r="B81" s="17">
        <f>IF(C81="","ENV-"&amp;TEXT(COUNTA($C$5:C81),"000"))</f>
        <v/>
      </c>
      <c r="C81" s="12" t="n"/>
      <c r="D81" s="12" t="n"/>
      <c r="E81" s="12" t="n"/>
      <c r="F81" s="12" t="n"/>
      <c r="G81" s="41" t="n"/>
      <c r="H81" s="41" t="n"/>
      <c r="I81" s="12" t="n"/>
      <c r="J81" s="18" t="n"/>
      <c r="K81" s="18" t="n"/>
      <c r="L81" s="12" t="n"/>
    </row>
    <row r="82" ht="22" customHeight="1">
      <c r="B82" s="16">
        <f>IF(C82="","ENV-"&amp;TEXT(COUNTA($C$5:C82),"000"))</f>
        <v/>
      </c>
      <c r="C82" s="14" t="n"/>
      <c r="D82" s="14" t="n"/>
      <c r="E82" s="14" t="n"/>
      <c r="F82" s="14" t="n"/>
      <c r="G82" s="42" t="n"/>
      <c r="H82" s="42" t="n"/>
      <c r="I82" s="14" t="n"/>
      <c r="J82" s="19" t="n"/>
      <c r="K82" s="19" t="n"/>
      <c r="L82" s="14" t="n"/>
    </row>
    <row r="83" ht="22" customHeight="1">
      <c r="B83" s="17">
        <f>IF(C83="","ENV-"&amp;TEXT(COUNTA($C$5:C83),"000"))</f>
        <v/>
      </c>
      <c r="C83" s="12" t="n"/>
      <c r="D83" s="12" t="n"/>
      <c r="E83" s="12" t="n"/>
      <c r="F83" s="12" t="n"/>
      <c r="G83" s="41" t="n"/>
      <c r="H83" s="41" t="n"/>
      <c r="I83" s="12" t="n"/>
      <c r="J83" s="18" t="n"/>
      <c r="K83" s="18" t="n"/>
      <c r="L83" s="12" t="n"/>
    </row>
    <row r="84" ht="22" customHeight="1">
      <c r="B84" s="16">
        <f>IF(C84="","ENV-"&amp;TEXT(COUNTA($C$5:C84),"000"))</f>
        <v/>
      </c>
      <c r="C84" s="14" t="n"/>
      <c r="D84" s="14" t="n"/>
      <c r="E84" s="14" t="n"/>
      <c r="F84" s="14" t="n"/>
      <c r="G84" s="42" t="n"/>
      <c r="H84" s="42" t="n"/>
      <c r="I84" s="14" t="n"/>
      <c r="J84" s="19" t="n"/>
      <c r="K84" s="19" t="n"/>
      <c r="L84" s="14" t="n"/>
    </row>
    <row r="85" ht="22" customHeight="1">
      <c r="B85" s="17">
        <f>IF(C85="","ENV-"&amp;TEXT(COUNTA($C$5:C85),"000"))</f>
        <v/>
      </c>
      <c r="C85" s="12" t="n"/>
      <c r="D85" s="12" t="n"/>
      <c r="E85" s="12" t="n"/>
      <c r="F85" s="12" t="n"/>
      <c r="G85" s="41" t="n"/>
      <c r="H85" s="41" t="n"/>
      <c r="I85" s="12" t="n"/>
      <c r="J85" s="18" t="n"/>
      <c r="K85" s="18" t="n"/>
      <c r="L85" s="12" t="n"/>
    </row>
    <row r="86" ht="22" customHeight="1">
      <c r="B86" s="16">
        <f>IF(C86="","ENV-"&amp;TEXT(COUNTA($C$5:C86),"000"))</f>
        <v/>
      </c>
      <c r="C86" s="14" t="n"/>
      <c r="D86" s="14" t="n"/>
      <c r="E86" s="14" t="n"/>
      <c r="F86" s="14" t="n"/>
      <c r="G86" s="42" t="n"/>
      <c r="H86" s="42" t="n"/>
      <c r="I86" s="14" t="n"/>
      <c r="J86" s="19" t="n"/>
      <c r="K86" s="19" t="n"/>
      <c r="L86" s="14" t="n"/>
    </row>
    <row r="87" ht="22" customHeight="1">
      <c r="B87" s="17">
        <f>IF(C87="","ENV-"&amp;TEXT(COUNTA($C$5:C87),"000"))</f>
        <v/>
      </c>
      <c r="C87" s="12" t="n"/>
      <c r="D87" s="12" t="n"/>
      <c r="E87" s="12" t="n"/>
      <c r="F87" s="12" t="n"/>
      <c r="G87" s="41" t="n"/>
      <c r="H87" s="41" t="n"/>
      <c r="I87" s="12" t="n"/>
      <c r="J87" s="18" t="n"/>
      <c r="K87" s="18" t="n"/>
      <c r="L87" s="12" t="n"/>
    </row>
    <row r="88" ht="22" customHeight="1">
      <c r="B88" s="16">
        <f>IF(C88="","ENV-"&amp;TEXT(COUNTA($C$5:C88),"000"))</f>
        <v/>
      </c>
      <c r="C88" s="14" t="n"/>
      <c r="D88" s="14" t="n"/>
      <c r="E88" s="14" t="n"/>
      <c r="F88" s="14" t="n"/>
      <c r="G88" s="42" t="n"/>
      <c r="H88" s="42" t="n"/>
      <c r="I88" s="14" t="n"/>
      <c r="J88" s="19" t="n"/>
      <c r="K88" s="19" t="n"/>
      <c r="L88" s="14" t="n"/>
    </row>
    <row r="89" ht="22" customHeight="1">
      <c r="B89" s="17">
        <f>IF(C89="","ENV-"&amp;TEXT(COUNTA($C$5:C89),"000"))</f>
        <v/>
      </c>
      <c r="C89" s="12" t="n"/>
      <c r="D89" s="12" t="n"/>
      <c r="E89" s="12" t="n"/>
      <c r="F89" s="12" t="n"/>
      <c r="G89" s="41" t="n"/>
      <c r="H89" s="41" t="n"/>
      <c r="I89" s="12" t="n"/>
      <c r="J89" s="18" t="n"/>
      <c r="K89" s="18" t="n"/>
      <c r="L89" s="12" t="n"/>
    </row>
    <row r="90" ht="22" customHeight="1">
      <c r="B90" s="16">
        <f>IF(C90="","ENV-"&amp;TEXT(COUNTA($C$5:C90),"000"))</f>
        <v/>
      </c>
      <c r="C90" s="14" t="n"/>
      <c r="D90" s="14" t="n"/>
      <c r="E90" s="14" t="n"/>
      <c r="F90" s="14" t="n"/>
      <c r="G90" s="42" t="n"/>
      <c r="H90" s="42" t="n"/>
      <c r="I90" s="14" t="n"/>
      <c r="J90" s="19" t="n"/>
      <c r="K90" s="19" t="n"/>
      <c r="L90" s="14" t="n"/>
    </row>
    <row r="91" ht="22" customHeight="1">
      <c r="B91" s="17">
        <f>IF(C91="","ENV-"&amp;TEXT(COUNTA($C$5:C91),"000"))</f>
        <v/>
      </c>
      <c r="C91" s="12" t="n"/>
      <c r="D91" s="12" t="n"/>
      <c r="E91" s="12" t="n"/>
      <c r="F91" s="12" t="n"/>
      <c r="G91" s="41" t="n"/>
      <c r="H91" s="41" t="n"/>
      <c r="I91" s="12" t="n"/>
      <c r="J91" s="18" t="n"/>
      <c r="K91" s="18" t="n"/>
      <c r="L91" s="12" t="n"/>
    </row>
    <row r="92" ht="22" customHeight="1">
      <c r="B92" s="16">
        <f>IF(C92="","ENV-"&amp;TEXT(COUNTA($C$5:C92),"000"))</f>
        <v/>
      </c>
      <c r="C92" s="14" t="n"/>
      <c r="D92" s="14" t="n"/>
      <c r="E92" s="14" t="n"/>
      <c r="F92" s="14" t="n"/>
      <c r="G92" s="42" t="n"/>
      <c r="H92" s="42" t="n"/>
      <c r="I92" s="14" t="n"/>
      <c r="J92" s="19" t="n"/>
      <c r="K92" s="19" t="n"/>
      <c r="L92" s="14" t="n"/>
    </row>
    <row r="93" ht="22" customHeight="1">
      <c r="B93" s="17">
        <f>IF(C93="","ENV-"&amp;TEXT(COUNTA($C$5:C93),"000"))</f>
        <v/>
      </c>
      <c r="C93" s="12" t="n"/>
      <c r="D93" s="12" t="n"/>
      <c r="E93" s="12" t="n"/>
      <c r="F93" s="12" t="n"/>
      <c r="G93" s="41" t="n"/>
      <c r="H93" s="41" t="n"/>
      <c r="I93" s="12" t="n"/>
      <c r="J93" s="18" t="n"/>
      <c r="K93" s="18" t="n"/>
      <c r="L93" s="12" t="n"/>
    </row>
    <row r="94" ht="22" customHeight="1">
      <c r="B94" s="16">
        <f>IF(C94="","ENV-"&amp;TEXT(COUNTA($C$5:C94),"000"))</f>
        <v/>
      </c>
      <c r="C94" s="14" t="n"/>
      <c r="D94" s="14" t="n"/>
      <c r="E94" s="14" t="n"/>
      <c r="F94" s="14" t="n"/>
      <c r="G94" s="42" t="n"/>
      <c r="H94" s="42" t="n"/>
      <c r="I94" s="14" t="n"/>
      <c r="J94" s="19" t="n"/>
      <c r="K94" s="19" t="n"/>
      <c r="L94" s="14" t="n"/>
    </row>
    <row r="95" ht="22" customHeight="1">
      <c r="B95" s="17">
        <f>IF(C95="","ENV-"&amp;TEXT(COUNTA($C$5:C95),"000"))</f>
        <v/>
      </c>
      <c r="C95" s="12" t="n"/>
      <c r="D95" s="12" t="n"/>
      <c r="E95" s="12" t="n"/>
      <c r="F95" s="12" t="n"/>
      <c r="G95" s="41" t="n"/>
      <c r="H95" s="41" t="n"/>
      <c r="I95" s="12" t="n"/>
      <c r="J95" s="18" t="n"/>
      <c r="K95" s="18" t="n"/>
      <c r="L95" s="12" t="n"/>
    </row>
    <row r="96" ht="22" customHeight="1">
      <c r="B96" s="16">
        <f>IF(C96="","ENV-"&amp;TEXT(COUNTA($C$5:C96),"000"))</f>
        <v/>
      </c>
      <c r="C96" s="14" t="n"/>
      <c r="D96" s="14" t="n"/>
      <c r="E96" s="14" t="n"/>
      <c r="F96" s="14" t="n"/>
      <c r="G96" s="42" t="n"/>
      <c r="H96" s="42" t="n"/>
      <c r="I96" s="14" t="n"/>
      <c r="J96" s="19" t="n"/>
      <c r="K96" s="19" t="n"/>
      <c r="L96" s="14" t="n"/>
    </row>
    <row r="97" ht="22" customHeight="1">
      <c r="B97" s="17">
        <f>IF(C97="","ENV-"&amp;TEXT(COUNTA($C$5:C97),"000"))</f>
        <v/>
      </c>
      <c r="C97" s="12" t="n"/>
      <c r="D97" s="12" t="n"/>
      <c r="E97" s="12" t="n"/>
      <c r="F97" s="12" t="n"/>
      <c r="G97" s="41" t="n"/>
      <c r="H97" s="41" t="n"/>
      <c r="I97" s="12" t="n"/>
      <c r="J97" s="18" t="n"/>
      <c r="K97" s="18" t="n"/>
      <c r="L97" s="12" t="n"/>
    </row>
    <row r="98" ht="22" customHeight="1">
      <c r="B98" s="16">
        <f>IF(C98="","ENV-"&amp;TEXT(COUNTA($C$5:C98),"000"))</f>
        <v/>
      </c>
      <c r="C98" s="14" t="n"/>
      <c r="D98" s="14" t="n"/>
      <c r="E98" s="14" t="n"/>
      <c r="F98" s="14" t="n"/>
      <c r="G98" s="42" t="n"/>
      <c r="H98" s="42" t="n"/>
      <c r="I98" s="14" t="n"/>
      <c r="J98" s="19" t="n"/>
      <c r="K98" s="19" t="n"/>
      <c r="L98" s="14" t="n"/>
    </row>
    <row r="99" ht="22" customHeight="1">
      <c r="B99" s="17">
        <f>IF(C99="","ENV-"&amp;TEXT(COUNTA($C$5:C99),"000"))</f>
        <v/>
      </c>
      <c r="C99" s="12" t="n"/>
      <c r="D99" s="12" t="n"/>
      <c r="E99" s="12" t="n"/>
      <c r="F99" s="12" t="n"/>
      <c r="G99" s="41" t="n"/>
      <c r="H99" s="41" t="n"/>
      <c r="I99" s="12" t="n"/>
      <c r="J99" s="18" t="n"/>
      <c r="K99" s="18" t="n"/>
      <c r="L99" s="12" t="n"/>
    </row>
    <row r="100" ht="22" customHeight="1">
      <c r="B100" s="16">
        <f>IF(C100="","ENV-"&amp;TEXT(COUNTA($C$5:C100),"000"))</f>
        <v/>
      </c>
      <c r="C100" s="14" t="n"/>
      <c r="D100" s="14" t="n"/>
      <c r="E100" s="14" t="n"/>
      <c r="F100" s="14" t="n"/>
      <c r="G100" s="42" t="n"/>
      <c r="H100" s="42" t="n"/>
      <c r="I100" s="14" t="n"/>
      <c r="J100" s="19" t="n"/>
      <c r="K100" s="19" t="n"/>
      <c r="L100" s="14" t="n"/>
    </row>
    <row r="101" ht="22" customHeight="1">
      <c r="B101" s="17">
        <f>IF(C101="","ENV-"&amp;TEXT(COUNTA($C$5:C101),"000"))</f>
        <v/>
      </c>
      <c r="C101" s="12" t="n"/>
      <c r="D101" s="12" t="n"/>
      <c r="E101" s="12" t="n"/>
      <c r="F101" s="12" t="n"/>
      <c r="G101" s="41" t="n"/>
      <c r="H101" s="41" t="n"/>
      <c r="I101" s="12" t="n"/>
      <c r="J101" s="18" t="n"/>
      <c r="K101" s="18" t="n"/>
      <c r="L101" s="12" t="n"/>
    </row>
    <row r="102" ht="22" customHeight="1">
      <c r="B102" s="16">
        <f>IF(C102="","ENV-"&amp;TEXT(COUNTA($C$5:C102),"000"))</f>
        <v/>
      </c>
      <c r="C102" s="14" t="n"/>
      <c r="D102" s="14" t="n"/>
      <c r="E102" s="14" t="n"/>
      <c r="F102" s="14" t="n"/>
      <c r="G102" s="42" t="n"/>
      <c r="H102" s="42" t="n"/>
      <c r="I102" s="14" t="n"/>
      <c r="J102" s="19" t="n"/>
      <c r="K102" s="19" t="n"/>
      <c r="L102" s="14" t="n"/>
    </row>
    <row r="103" ht="22" customHeight="1">
      <c r="B103" s="17">
        <f>IF(C103="","ENV-"&amp;TEXT(COUNTA($C$5:C103),"000"))</f>
        <v/>
      </c>
      <c r="C103" s="12" t="n"/>
      <c r="D103" s="12" t="n"/>
      <c r="E103" s="12" t="n"/>
      <c r="F103" s="12" t="n"/>
      <c r="G103" s="41" t="n"/>
      <c r="H103" s="41" t="n"/>
      <c r="I103" s="12" t="n"/>
      <c r="J103" s="18" t="n"/>
      <c r="K103" s="18" t="n"/>
      <c r="L103" s="12" t="n"/>
    </row>
    <row r="104" ht="22" customHeight="1">
      <c r="B104" s="16">
        <f>IF(C104="","ENV-"&amp;TEXT(COUNTA($C$5:C104),"000"))</f>
        <v/>
      </c>
      <c r="C104" s="14" t="n"/>
      <c r="D104" s="14" t="n"/>
      <c r="E104" s="14" t="n"/>
      <c r="F104" s="14" t="n"/>
      <c r="G104" s="42" t="n"/>
      <c r="H104" s="42" t="n"/>
      <c r="I104" s="14" t="n"/>
      <c r="J104" s="19" t="n"/>
      <c r="K104" s="19" t="n"/>
      <c r="L104" s="14" t="n"/>
    </row>
    <row r="105" ht="22" customHeight="1">
      <c r="B105" s="17">
        <f>IF(C105="","ENV-"&amp;TEXT(COUNTA($C$5:C105),"000"))</f>
        <v/>
      </c>
      <c r="C105" s="12" t="n"/>
      <c r="D105" s="12" t="n"/>
      <c r="E105" s="12" t="n"/>
      <c r="F105" s="12" t="n"/>
      <c r="G105" s="41" t="n"/>
      <c r="H105" s="41" t="n"/>
      <c r="I105" s="12" t="n"/>
      <c r="J105" s="18" t="n"/>
      <c r="K105" s="18" t="n"/>
      <c r="L105" s="12" t="n"/>
    </row>
    <row r="106" ht="22" customHeight="1">
      <c r="B106" s="16">
        <f>IF(C106="","ENV-"&amp;TEXT(COUNTA($C$5:C106),"000"))</f>
        <v/>
      </c>
      <c r="C106" s="14" t="n"/>
      <c r="D106" s="14" t="n"/>
      <c r="E106" s="14" t="n"/>
      <c r="F106" s="14" t="n"/>
      <c r="G106" s="42" t="n"/>
      <c r="H106" s="42" t="n"/>
      <c r="I106" s="14" t="n"/>
      <c r="J106" s="19" t="n"/>
      <c r="K106" s="19" t="n"/>
      <c r="L106" s="14" t="n"/>
    </row>
    <row r="107" ht="22" customHeight="1">
      <c r="B107" s="17">
        <f>IF(C107="","ENV-"&amp;TEXT(COUNTA($C$5:C107),"000"))</f>
        <v/>
      </c>
      <c r="C107" s="12" t="n"/>
      <c r="D107" s="12" t="n"/>
      <c r="E107" s="12" t="n"/>
      <c r="F107" s="12" t="n"/>
      <c r="G107" s="41" t="n"/>
      <c r="H107" s="41" t="n"/>
      <c r="I107" s="12" t="n"/>
      <c r="J107" s="18" t="n"/>
      <c r="K107" s="18" t="n"/>
      <c r="L107" s="12" t="n"/>
    </row>
    <row r="109">
      <c r="B109" s="6" t="inlineStr">
        <is>
          <t>INDICATEURS (mis a jour automatiquement)</t>
        </is>
      </c>
    </row>
    <row r="110">
      <c r="B110" s="3" t="inlineStr">
        <is>
          <t>Actions environnementales</t>
        </is>
      </c>
      <c r="D110" s="3" t="inlineStr">
        <is>
          <t>Budget total (FCFA)</t>
        </is>
      </c>
      <c r="F110" s="3" t="inlineStr">
        <is>
          <t>Economies estimees/an</t>
        </is>
      </c>
    </row>
    <row r="111">
      <c r="B111" s="4">
        <f>COUNTIF(B5:B104,"&lt;&gt;")</f>
        <v/>
      </c>
      <c r="D111" s="4">
        <f>SUM(J5:J104)</f>
        <v/>
      </c>
      <c r="F111" s="4">
        <f>SUM(K5:K104)</f>
        <v/>
      </c>
    </row>
  </sheetData>
  <mergeCells count="3">
    <mergeCell ref="B2:L2"/>
    <mergeCell ref="B109:L109"/>
    <mergeCell ref="B3:L3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8:B107">
    <cfRule type="expression" priority="238" dxfId="3">
      <formula>AND($C8="",$C7&lt;&gt;"")</formula>
    </cfRule>
  </conditionalFormatting>
  <conditionalFormatting sqref="C8:C107">
    <cfRule type="expression" priority="239" dxfId="3">
      <formula>AND($C8="",$C7&lt;&gt;"")</formula>
    </cfRule>
  </conditionalFormatting>
  <conditionalFormatting sqref="D8:D107">
    <cfRule type="expression" priority="240" dxfId="3">
      <formula>AND($C8="",$C7&lt;&gt;"")</formula>
    </cfRule>
  </conditionalFormatting>
  <conditionalFormatting sqref="E8:E107">
    <cfRule type="expression" priority="241" dxfId="3">
      <formula>AND($C8="",$C7&lt;&gt;"")</formula>
    </cfRule>
  </conditionalFormatting>
  <conditionalFormatting sqref="F8:F107">
    <cfRule type="expression" priority="242" dxfId="3">
      <formula>AND($C8="",$C7&lt;&gt;"")</formula>
    </cfRule>
  </conditionalFormatting>
  <conditionalFormatting sqref="G8:G107">
    <cfRule type="expression" priority="243" dxfId="3">
      <formula>AND($C8="",$C7&lt;&gt;"")</formula>
    </cfRule>
  </conditionalFormatting>
  <conditionalFormatting sqref="H8:H107">
    <cfRule type="expression" priority="244" dxfId="3">
      <formula>AND($C8="",$C7&lt;&gt;"")</formula>
    </cfRule>
  </conditionalFormatting>
  <conditionalFormatting sqref="I8:I107">
    <cfRule type="expression" priority="245" dxfId="3">
      <formula>AND($C8="",$C7&lt;&gt;"")</formula>
    </cfRule>
  </conditionalFormatting>
  <conditionalFormatting sqref="J8:J107">
    <cfRule type="expression" priority="246" dxfId="3">
      <formula>AND($C8="",$C7&lt;&gt;"")</formula>
    </cfRule>
  </conditionalFormatting>
  <conditionalFormatting sqref="K8:K107">
    <cfRule type="expression" priority="247" dxfId="3">
      <formula>AND($C8="",$C7&lt;&gt;"")</formula>
    </cfRule>
  </conditionalFormatting>
  <conditionalFormatting sqref="L8:L107">
    <cfRule type="expression" priority="248" dxfId="3">
      <formula>AND($C8="",$C7&lt;&gt;"")</formula>
    </cfRule>
  </conditionalFormatting>
  <dataValidations count="3">
    <dataValidation sqref="D5:D107" showDropDown="0" showInputMessage="0" showErrorMessage="0" allowBlank="1" errorTitle="Erreur" error="Valeur invalide" promptTitle="Liste" prompt="Choisir dans la liste" type="list">
      <formula1>'_Lists'!$E$2:$E$16</formula1>
    </dataValidation>
    <dataValidation sqref="E5:E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7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4" customWidth="1" min="4" max="4"/>
    <col width="22" customWidth="1" min="5" max="5"/>
    <col width="36" customWidth="1" min="6" max="6"/>
    <col width="16" customWidth="1" min="7" max="7"/>
    <col width="14" customWidth="1" min="8" max="8"/>
    <col width="20" customWidth="1" min="9" max="9"/>
    <col width="24" customWidth="1" min="10" max="10"/>
    <col width="16" customWidth="1" min="11" max="11"/>
    <col width="34" customWidth="1" min="12" max="12"/>
  </cols>
  <sheetData>
    <row r="1" ht="15" customHeight="1"/>
    <row r="2" ht="32" customHeight="1">
      <c r="B2" s="1" t="inlineStr">
        <is>
          <t>DIVERSITE &amp; INCLUSION (#149)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Initiative Diversite</t>
        </is>
      </c>
      <c r="D4" s="11" t="inlineStr">
        <is>
          <t>Type Action</t>
        </is>
      </c>
      <c r="E4" s="11" t="inlineStr">
        <is>
          <t>Groupe Cible</t>
        </is>
      </c>
      <c r="F4" s="11" t="inlineStr">
        <is>
          <t>Objectif</t>
        </is>
      </c>
      <c r="G4" s="11" t="inlineStr">
        <is>
          <t>Responsable</t>
        </is>
      </c>
      <c r="H4" s="11" t="inlineStr">
        <is>
          <t>Date Lancement</t>
        </is>
      </c>
      <c r="I4" s="11" t="inlineStr">
        <is>
          <t>Nb Beneficiaires</t>
        </is>
      </c>
      <c r="J4" s="11" t="inlineStr">
        <is>
          <t>Resultat Observe</t>
        </is>
      </c>
      <c r="K4" s="11" t="inlineStr">
        <is>
          <t>Statut</t>
        </is>
      </c>
      <c r="L4" s="11" t="inlineStr">
        <is>
          <t>Observations</t>
        </is>
      </c>
    </row>
    <row r="5" ht="22" customHeight="1">
      <c r="B5" s="12" t="inlineStr">
        <is>
          <t>DIV-001</t>
        </is>
      </c>
      <c r="C5" s="12" t="inlineStr">
        <is>
          <t>Recrutement equitable</t>
        </is>
      </c>
      <c r="D5" s="12" t="inlineStr">
        <is>
          <t>Diversite recrutement</t>
        </is>
      </c>
      <c r="E5" s="12" t="inlineStr">
        <is>
          <t>Femmes, Minorites</t>
        </is>
      </c>
      <c r="F5" s="12" t="inlineStr">
        <is>
          <t>50% femmes parmi les candidats retenus</t>
        </is>
      </c>
      <c r="G5" s="12" t="inlineStr">
        <is>
          <t>DRH</t>
        </is>
      </c>
      <c r="H5" s="41" t="n">
        <v>45658</v>
      </c>
      <c r="I5" s="18" t="n">
        <v>8</v>
      </c>
      <c r="J5" s="12" t="inlineStr">
        <is>
          <t>42% femmes</t>
        </is>
      </c>
      <c r="K5" s="12" t="inlineStr">
        <is>
          <t>En cours</t>
        </is>
      </c>
      <c r="L5" s="12" t="inlineStr">
        <is>
          <t>En hausse vs 2024 (35%)</t>
        </is>
      </c>
    </row>
    <row r="6" ht="22" customHeight="1">
      <c r="B6" s="14" t="inlineStr">
        <is>
          <t>DIV-002</t>
        </is>
      </c>
      <c r="C6" s="14" t="inlineStr">
        <is>
          <t>Mentorat femmes cadres</t>
        </is>
      </c>
      <c r="D6" s="14" t="inlineStr">
        <is>
          <t>Diversite recrutement</t>
        </is>
      </c>
      <c r="E6" s="14" t="inlineStr">
        <is>
          <t>Femmes cadres</t>
        </is>
      </c>
      <c r="F6" s="14" t="inlineStr">
        <is>
          <t>Promouvoir 5 femmes cadres en 2025</t>
        </is>
      </c>
      <c r="G6" s="14" t="inlineStr">
        <is>
          <t>DRH</t>
        </is>
      </c>
      <c r="H6" s="42" t="n">
        <v>45689</v>
      </c>
      <c r="I6" s="19" t="n">
        <v>12</v>
      </c>
      <c r="J6" s="14" t="inlineStr">
        <is>
          <t>2 promotions T1</t>
        </is>
      </c>
      <c r="K6" s="14" t="inlineStr">
        <is>
          <t>En cours</t>
        </is>
      </c>
      <c r="L6" s="14" t="inlineStr">
        <is>
          <t>Programme en bonne voie</t>
        </is>
      </c>
    </row>
    <row r="7" ht="22" customHeight="1">
      <c r="B7" s="12" t="inlineStr">
        <is>
          <t>DIV-003</t>
        </is>
      </c>
      <c r="C7" s="12" t="inlineStr">
        <is>
          <t>Sensibilisation culturelle</t>
        </is>
      </c>
      <c r="D7" s="12" t="inlineStr">
        <is>
          <t>Sensibilisation</t>
        </is>
      </c>
      <c r="E7" s="12" t="inlineStr">
        <is>
          <t>Tous les employes</t>
        </is>
      </c>
      <c r="F7" s="12" t="inlineStr">
        <is>
          <t>100% employes formes d'ici dec 2025</t>
        </is>
      </c>
      <c r="G7" s="12" t="inlineStr">
        <is>
          <t>DRH</t>
        </is>
      </c>
      <c r="H7" s="41" t="n">
        <v>45717</v>
      </c>
      <c r="I7" s="18" t="n">
        <v>45</v>
      </c>
      <c r="J7" s="12" t="inlineStr">
        <is>
          <t>45 formes T1</t>
        </is>
      </c>
      <c r="K7" s="12" t="inlineStr">
        <is>
          <t>En cours</t>
        </is>
      </c>
      <c r="L7" s="12" t="inlineStr">
        <is>
          <t>Formation par module de 2h</t>
        </is>
      </c>
    </row>
    <row r="8" ht="22" customHeight="1">
      <c r="B8" s="16">
        <f>IF(C8="","DIV-"&amp;TEXT(COUNTA($C$5:C8),"000"))</f>
        <v/>
      </c>
      <c r="C8" s="14" t="n"/>
      <c r="D8" s="14" t="n"/>
      <c r="E8" s="14" t="n"/>
      <c r="F8" s="14" t="n"/>
      <c r="G8" s="14" t="n"/>
      <c r="H8" s="42" t="n"/>
      <c r="I8" s="19" t="n"/>
      <c r="J8" s="14" t="n"/>
      <c r="K8" s="14" t="n"/>
      <c r="L8" s="14" t="n"/>
    </row>
    <row r="9" ht="22" customHeight="1">
      <c r="B9" s="17">
        <f>IF(C9="","DIV-"&amp;TEXT(COUNTA($C$5:C9),"000"))</f>
        <v/>
      </c>
      <c r="C9" s="12" t="n"/>
      <c r="D9" s="12" t="n"/>
      <c r="E9" s="12" t="n"/>
      <c r="F9" s="12" t="n"/>
      <c r="G9" s="12" t="n"/>
      <c r="H9" s="41" t="n"/>
      <c r="I9" s="18" t="n"/>
      <c r="J9" s="12" t="n"/>
      <c r="K9" s="12" t="n"/>
      <c r="L9" s="12" t="n"/>
    </row>
    <row r="10" ht="22" customHeight="1">
      <c r="B10" s="16">
        <f>IF(C10="","DIV-"&amp;TEXT(COUNTA($C$5:C10),"000"))</f>
        <v/>
      </c>
      <c r="C10" s="14" t="n"/>
      <c r="D10" s="14" t="n"/>
      <c r="E10" s="14" t="n"/>
      <c r="F10" s="14" t="n"/>
      <c r="G10" s="14" t="n"/>
      <c r="H10" s="42" t="n"/>
      <c r="I10" s="19" t="n"/>
      <c r="J10" s="14" t="n"/>
      <c r="K10" s="14" t="n"/>
      <c r="L10" s="14" t="n"/>
    </row>
    <row r="11" ht="22" customHeight="1">
      <c r="B11" s="17">
        <f>IF(C11="","DIV-"&amp;TEXT(COUNTA($C$5:C11),"000"))</f>
        <v/>
      </c>
      <c r="C11" s="12" t="n"/>
      <c r="D11" s="12" t="n"/>
      <c r="E11" s="12" t="n"/>
      <c r="F11" s="12" t="n"/>
      <c r="G11" s="12" t="n"/>
      <c r="H11" s="41" t="n"/>
      <c r="I11" s="18" t="n"/>
      <c r="J11" s="12" t="n"/>
      <c r="K11" s="12" t="n"/>
      <c r="L11" s="12" t="n"/>
    </row>
    <row r="12" ht="22" customHeight="1">
      <c r="B12" s="16">
        <f>IF(C12="","DIV-"&amp;TEXT(COUNTA($C$5:C12),"000"))</f>
        <v/>
      </c>
      <c r="C12" s="14" t="n"/>
      <c r="D12" s="14" t="n"/>
      <c r="E12" s="14" t="n"/>
      <c r="F12" s="14" t="n"/>
      <c r="G12" s="14" t="n"/>
      <c r="H12" s="42" t="n"/>
      <c r="I12" s="19" t="n"/>
      <c r="J12" s="14" t="n"/>
      <c r="K12" s="14" t="n"/>
      <c r="L12" s="14" t="n"/>
    </row>
    <row r="13" ht="22" customHeight="1">
      <c r="B13" s="17">
        <f>IF(C13="","DIV-"&amp;TEXT(COUNTA($C$5:C13),"000"))</f>
        <v/>
      </c>
      <c r="C13" s="12" t="n"/>
      <c r="D13" s="12" t="n"/>
      <c r="E13" s="12" t="n"/>
      <c r="F13" s="12" t="n"/>
      <c r="G13" s="12" t="n"/>
      <c r="H13" s="41" t="n"/>
      <c r="I13" s="18" t="n"/>
      <c r="J13" s="12" t="n"/>
      <c r="K13" s="12" t="n"/>
      <c r="L13" s="12" t="n"/>
    </row>
    <row r="14" ht="22" customHeight="1">
      <c r="B14" s="16">
        <f>IF(C14="","DIV-"&amp;TEXT(COUNTA($C$5:C14),"000"))</f>
        <v/>
      </c>
      <c r="C14" s="14" t="n"/>
      <c r="D14" s="14" t="n"/>
      <c r="E14" s="14" t="n"/>
      <c r="F14" s="14" t="n"/>
      <c r="G14" s="14" t="n"/>
      <c r="H14" s="42" t="n"/>
      <c r="I14" s="19" t="n"/>
      <c r="J14" s="14" t="n"/>
      <c r="K14" s="14" t="n"/>
      <c r="L14" s="14" t="n"/>
    </row>
    <row r="15" ht="22" customHeight="1">
      <c r="B15" s="17">
        <f>IF(C15="","DIV-"&amp;TEXT(COUNTA($C$5:C15),"000"))</f>
        <v/>
      </c>
      <c r="C15" s="12" t="n"/>
      <c r="D15" s="12" t="n"/>
      <c r="E15" s="12" t="n"/>
      <c r="F15" s="12" t="n"/>
      <c r="G15" s="12" t="n"/>
      <c r="H15" s="41" t="n"/>
      <c r="I15" s="18" t="n"/>
      <c r="J15" s="12" t="n"/>
      <c r="K15" s="12" t="n"/>
      <c r="L15" s="12" t="n"/>
    </row>
    <row r="16" ht="22" customHeight="1">
      <c r="B16" s="16">
        <f>IF(C16="","DIV-"&amp;TEXT(COUNTA($C$5:C16),"000"))</f>
        <v/>
      </c>
      <c r="C16" s="14" t="n"/>
      <c r="D16" s="14" t="n"/>
      <c r="E16" s="14" t="n"/>
      <c r="F16" s="14" t="n"/>
      <c r="G16" s="14" t="n"/>
      <c r="H16" s="42" t="n"/>
      <c r="I16" s="19" t="n"/>
      <c r="J16" s="14" t="n"/>
      <c r="K16" s="14" t="n"/>
      <c r="L16" s="14" t="n"/>
    </row>
    <row r="17" ht="22" customHeight="1">
      <c r="B17" s="17">
        <f>IF(C17="","DIV-"&amp;TEXT(COUNTA($C$5:C17),"000"))</f>
        <v/>
      </c>
      <c r="C17" s="12" t="n"/>
      <c r="D17" s="12" t="n"/>
      <c r="E17" s="12" t="n"/>
      <c r="F17" s="12" t="n"/>
      <c r="G17" s="12" t="n"/>
      <c r="H17" s="41" t="n"/>
      <c r="I17" s="18" t="n"/>
      <c r="J17" s="12" t="n"/>
      <c r="K17" s="12" t="n"/>
      <c r="L17" s="12" t="n"/>
    </row>
    <row r="18" ht="22" customHeight="1">
      <c r="B18" s="16">
        <f>IF(C18="","DIV-"&amp;TEXT(COUNTA($C$5:C18),"000"))</f>
        <v/>
      </c>
      <c r="C18" s="14" t="n"/>
      <c r="D18" s="14" t="n"/>
      <c r="E18" s="14" t="n"/>
      <c r="F18" s="14" t="n"/>
      <c r="G18" s="14" t="n"/>
      <c r="H18" s="42" t="n"/>
      <c r="I18" s="19" t="n"/>
      <c r="J18" s="14" t="n"/>
      <c r="K18" s="14" t="n"/>
      <c r="L18" s="14" t="n"/>
    </row>
    <row r="19" ht="22" customHeight="1">
      <c r="B19" s="17">
        <f>IF(C19="","DIV-"&amp;TEXT(COUNTA($C$5:C19),"000"))</f>
        <v/>
      </c>
      <c r="C19" s="12" t="n"/>
      <c r="D19" s="12" t="n"/>
      <c r="E19" s="12" t="n"/>
      <c r="F19" s="12" t="n"/>
      <c r="G19" s="12" t="n"/>
      <c r="H19" s="41" t="n"/>
      <c r="I19" s="18" t="n"/>
      <c r="J19" s="12" t="n"/>
      <c r="K19" s="12" t="n"/>
      <c r="L19" s="12" t="n"/>
    </row>
    <row r="20" ht="22" customHeight="1">
      <c r="B20" s="16">
        <f>IF(C20="","DIV-"&amp;TEXT(COUNTA($C$5:C20),"000"))</f>
        <v/>
      </c>
      <c r="C20" s="14" t="n"/>
      <c r="D20" s="14" t="n"/>
      <c r="E20" s="14" t="n"/>
      <c r="F20" s="14" t="n"/>
      <c r="G20" s="14" t="n"/>
      <c r="H20" s="42" t="n"/>
      <c r="I20" s="19" t="n"/>
      <c r="J20" s="14" t="n"/>
      <c r="K20" s="14" t="n"/>
      <c r="L20" s="14" t="n"/>
    </row>
    <row r="21" ht="22" customHeight="1">
      <c r="B21" s="17">
        <f>IF(C21="","DIV-"&amp;TEXT(COUNTA($C$5:C21),"000"))</f>
        <v/>
      </c>
      <c r="C21" s="12" t="n"/>
      <c r="D21" s="12" t="n"/>
      <c r="E21" s="12" t="n"/>
      <c r="F21" s="12" t="n"/>
      <c r="G21" s="12" t="n"/>
      <c r="H21" s="41" t="n"/>
      <c r="I21" s="18" t="n"/>
      <c r="J21" s="12" t="n"/>
      <c r="K21" s="12" t="n"/>
      <c r="L21" s="12" t="n"/>
    </row>
    <row r="22" ht="22" customHeight="1">
      <c r="B22" s="16">
        <f>IF(C22="","DIV-"&amp;TEXT(COUNTA($C$5:C22),"000"))</f>
        <v/>
      </c>
      <c r="C22" s="14" t="n"/>
      <c r="D22" s="14" t="n"/>
      <c r="E22" s="14" t="n"/>
      <c r="F22" s="14" t="n"/>
      <c r="G22" s="14" t="n"/>
      <c r="H22" s="42" t="n"/>
      <c r="I22" s="19" t="n"/>
      <c r="J22" s="14" t="n"/>
      <c r="K22" s="14" t="n"/>
      <c r="L22" s="14" t="n"/>
    </row>
    <row r="23" ht="22" customHeight="1">
      <c r="B23" s="17">
        <f>IF(C23="","DIV-"&amp;TEXT(COUNTA($C$5:C23),"000"))</f>
        <v/>
      </c>
      <c r="C23" s="12" t="n"/>
      <c r="D23" s="12" t="n"/>
      <c r="E23" s="12" t="n"/>
      <c r="F23" s="12" t="n"/>
      <c r="G23" s="12" t="n"/>
      <c r="H23" s="41" t="n"/>
      <c r="I23" s="18" t="n"/>
      <c r="J23" s="12" t="n"/>
      <c r="K23" s="12" t="n"/>
      <c r="L23" s="12" t="n"/>
    </row>
    <row r="24" ht="22" customHeight="1">
      <c r="B24" s="16">
        <f>IF(C24="","DIV-"&amp;TEXT(COUNTA($C$5:C24),"000"))</f>
        <v/>
      </c>
      <c r="C24" s="14" t="n"/>
      <c r="D24" s="14" t="n"/>
      <c r="E24" s="14" t="n"/>
      <c r="F24" s="14" t="n"/>
      <c r="G24" s="14" t="n"/>
      <c r="H24" s="42" t="n"/>
      <c r="I24" s="19" t="n"/>
      <c r="J24" s="14" t="n"/>
      <c r="K24" s="14" t="n"/>
      <c r="L24" s="14" t="n"/>
    </row>
    <row r="25" ht="22" customHeight="1">
      <c r="B25" s="17">
        <f>IF(C25="","DIV-"&amp;TEXT(COUNTA($C$5:C25),"000"))</f>
        <v/>
      </c>
      <c r="C25" s="12" t="n"/>
      <c r="D25" s="12" t="n"/>
      <c r="E25" s="12" t="n"/>
      <c r="F25" s="12" t="n"/>
      <c r="G25" s="12" t="n"/>
      <c r="H25" s="41" t="n"/>
      <c r="I25" s="18" t="n"/>
      <c r="J25" s="12" t="n"/>
      <c r="K25" s="12" t="n"/>
      <c r="L25" s="12" t="n"/>
    </row>
    <row r="26" ht="22" customHeight="1">
      <c r="B26" s="16">
        <f>IF(C26="","DIV-"&amp;TEXT(COUNTA($C$5:C26),"000"))</f>
        <v/>
      </c>
      <c r="C26" s="14" t="n"/>
      <c r="D26" s="14" t="n"/>
      <c r="E26" s="14" t="n"/>
      <c r="F26" s="14" t="n"/>
      <c r="G26" s="14" t="n"/>
      <c r="H26" s="42" t="n"/>
      <c r="I26" s="19" t="n"/>
      <c r="J26" s="14" t="n"/>
      <c r="K26" s="14" t="n"/>
      <c r="L26" s="14" t="n"/>
    </row>
    <row r="27" ht="22" customHeight="1">
      <c r="B27" s="17">
        <f>IF(C27="","DIV-"&amp;TEXT(COUNTA($C$5:C27),"000"))</f>
        <v/>
      </c>
      <c r="C27" s="12" t="n"/>
      <c r="D27" s="12" t="n"/>
      <c r="E27" s="12" t="n"/>
      <c r="F27" s="12" t="n"/>
      <c r="G27" s="12" t="n"/>
      <c r="H27" s="41" t="n"/>
      <c r="I27" s="18" t="n"/>
      <c r="J27" s="12" t="n"/>
      <c r="K27" s="12" t="n"/>
      <c r="L27" s="12" t="n"/>
    </row>
    <row r="28" ht="22" customHeight="1">
      <c r="B28" s="16">
        <f>IF(C28="","DIV-"&amp;TEXT(COUNTA($C$5:C28),"000"))</f>
        <v/>
      </c>
      <c r="C28" s="14" t="n"/>
      <c r="D28" s="14" t="n"/>
      <c r="E28" s="14" t="n"/>
      <c r="F28" s="14" t="n"/>
      <c r="G28" s="14" t="n"/>
      <c r="H28" s="42" t="n"/>
      <c r="I28" s="19" t="n"/>
      <c r="J28" s="14" t="n"/>
      <c r="K28" s="14" t="n"/>
      <c r="L28" s="14" t="n"/>
    </row>
    <row r="29" ht="22" customHeight="1">
      <c r="B29" s="17">
        <f>IF(C29="","DIV-"&amp;TEXT(COUNTA($C$5:C29),"000"))</f>
        <v/>
      </c>
      <c r="C29" s="12" t="n"/>
      <c r="D29" s="12" t="n"/>
      <c r="E29" s="12" t="n"/>
      <c r="F29" s="12" t="n"/>
      <c r="G29" s="12" t="n"/>
      <c r="H29" s="41" t="n"/>
      <c r="I29" s="18" t="n"/>
      <c r="J29" s="12" t="n"/>
      <c r="K29" s="12" t="n"/>
      <c r="L29" s="12" t="n"/>
    </row>
    <row r="30" ht="22" customHeight="1">
      <c r="B30" s="16">
        <f>IF(C30="","DIV-"&amp;TEXT(COUNTA($C$5:C30),"000"))</f>
        <v/>
      </c>
      <c r="C30" s="14" t="n"/>
      <c r="D30" s="14" t="n"/>
      <c r="E30" s="14" t="n"/>
      <c r="F30" s="14" t="n"/>
      <c r="G30" s="14" t="n"/>
      <c r="H30" s="42" t="n"/>
      <c r="I30" s="19" t="n"/>
      <c r="J30" s="14" t="n"/>
      <c r="K30" s="14" t="n"/>
      <c r="L30" s="14" t="n"/>
    </row>
    <row r="31" ht="22" customHeight="1">
      <c r="B31" s="17">
        <f>IF(C31="","DIV-"&amp;TEXT(COUNTA($C$5:C31),"000"))</f>
        <v/>
      </c>
      <c r="C31" s="12" t="n"/>
      <c r="D31" s="12" t="n"/>
      <c r="E31" s="12" t="n"/>
      <c r="F31" s="12" t="n"/>
      <c r="G31" s="12" t="n"/>
      <c r="H31" s="41" t="n"/>
      <c r="I31" s="18" t="n"/>
      <c r="J31" s="12" t="n"/>
      <c r="K31" s="12" t="n"/>
      <c r="L31" s="12" t="n"/>
    </row>
    <row r="32" ht="22" customHeight="1">
      <c r="B32" s="16">
        <f>IF(C32="","DIV-"&amp;TEXT(COUNTA($C$5:C32),"000"))</f>
        <v/>
      </c>
      <c r="C32" s="14" t="n"/>
      <c r="D32" s="14" t="n"/>
      <c r="E32" s="14" t="n"/>
      <c r="F32" s="14" t="n"/>
      <c r="G32" s="14" t="n"/>
      <c r="H32" s="42" t="n"/>
      <c r="I32" s="19" t="n"/>
      <c r="J32" s="14" t="n"/>
      <c r="K32" s="14" t="n"/>
      <c r="L32" s="14" t="n"/>
    </row>
    <row r="33" ht="22" customHeight="1">
      <c r="B33" s="17">
        <f>IF(C33="","DIV-"&amp;TEXT(COUNTA($C$5:C33),"000"))</f>
        <v/>
      </c>
      <c r="C33" s="12" t="n"/>
      <c r="D33" s="12" t="n"/>
      <c r="E33" s="12" t="n"/>
      <c r="F33" s="12" t="n"/>
      <c r="G33" s="12" t="n"/>
      <c r="H33" s="41" t="n"/>
      <c r="I33" s="18" t="n"/>
      <c r="J33" s="12" t="n"/>
      <c r="K33" s="12" t="n"/>
      <c r="L33" s="12" t="n"/>
    </row>
    <row r="34" ht="22" customHeight="1">
      <c r="B34" s="16">
        <f>IF(C34="","DIV-"&amp;TEXT(COUNTA($C$5:C34),"000"))</f>
        <v/>
      </c>
      <c r="C34" s="14" t="n"/>
      <c r="D34" s="14" t="n"/>
      <c r="E34" s="14" t="n"/>
      <c r="F34" s="14" t="n"/>
      <c r="G34" s="14" t="n"/>
      <c r="H34" s="42" t="n"/>
      <c r="I34" s="19" t="n"/>
      <c r="J34" s="14" t="n"/>
      <c r="K34" s="14" t="n"/>
      <c r="L34" s="14" t="n"/>
    </row>
    <row r="35" ht="22" customHeight="1">
      <c r="B35" s="17">
        <f>IF(C35="","DIV-"&amp;TEXT(COUNTA($C$5:C35),"000"))</f>
        <v/>
      </c>
      <c r="C35" s="12" t="n"/>
      <c r="D35" s="12" t="n"/>
      <c r="E35" s="12" t="n"/>
      <c r="F35" s="12" t="n"/>
      <c r="G35" s="12" t="n"/>
      <c r="H35" s="41" t="n"/>
      <c r="I35" s="18" t="n"/>
      <c r="J35" s="12" t="n"/>
      <c r="K35" s="12" t="n"/>
      <c r="L35" s="12" t="n"/>
    </row>
    <row r="36" ht="22" customHeight="1">
      <c r="B36" s="16">
        <f>IF(C36="","DIV-"&amp;TEXT(COUNTA($C$5:C36),"000"))</f>
        <v/>
      </c>
      <c r="C36" s="14" t="n"/>
      <c r="D36" s="14" t="n"/>
      <c r="E36" s="14" t="n"/>
      <c r="F36" s="14" t="n"/>
      <c r="G36" s="14" t="n"/>
      <c r="H36" s="42" t="n"/>
      <c r="I36" s="19" t="n"/>
      <c r="J36" s="14" t="n"/>
      <c r="K36" s="14" t="n"/>
      <c r="L36" s="14" t="n"/>
    </row>
    <row r="37" ht="22" customHeight="1">
      <c r="B37" s="17">
        <f>IF(C37="","DIV-"&amp;TEXT(COUNTA($C$5:C37),"000"))</f>
        <v/>
      </c>
      <c r="C37" s="12" t="n"/>
      <c r="D37" s="12" t="n"/>
      <c r="E37" s="12" t="n"/>
      <c r="F37" s="12" t="n"/>
      <c r="G37" s="12" t="n"/>
      <c r="H37" s="41" t="n"/>
      <c r="I37" s="18" t="n"/>
      <c r="J37" s="12" t="n"/>
      <c r="K37" s="12" t="n"/>
      <c r="L37" s="12" t="n"/>
    </row>
    <row r="38" ht="22" customHeight="1">
      <c r="B38" s="16">
        <f>IF(C38="","DIV-"&amp;TEXT(COUNTA($C$5:C38),"000"))</f>
        <v/>
      </c>
      <c r="C38" s="14" t="n"/>
      <c r="D38" s="14" t="n"/>
      <c r="E38" s="14" t="n"/>
      <c r="F38" s="14" t="n"/>
      <c r="G38" s="14" t="n"/>
      <c r="H38" s="42" t="n"/>
      <c r="I38" s="19" t="n"/>
      <c r="J38" s="14" t="n"/>
      <c r="K38" s="14" t="n"/>
      <c r="L38" s="14" t="n"/>
    </row>
    <row r="39" ht="22" customHeight="1">
      <c r="B39" s="17">
        <f>IF(C39="","DIV-"&amp;TEXT(COUNTA($C$5:C39),"000"))</f>
        <v/>
      </c>
      <c r="C39" s="12" t="n"/>
      <c r="D39" s="12" t="n"/>
      <c r="E39" s="12" t="n"/>
      <c r="F39" s="12" t="n"/>
      <c r="G39" s="12" t="n"/>
      <c r="H39" s="41" t="n"/>
      <c r="I39" s="18" t="n"/>
      <c r="J39" s="12" t="n"/>
      <c r="K39" s="12" t="n"/>
      <c r="L39" s="12" t="n"/>
    </row>
    <row r="40" ht="22" customHeight="1">
      <c r="B40" s="16">
        <f>IF(C40="","DIV-"&amp;TEXT(COUNTA($C$5:C40),"000"))</f>
        <v/>
      </c>
      <c r="C40" s="14" t="n"/>
      <c r="D40" s="14" t="n"/>
      <c r="E40" s="14" t="n"/>
      <c r="F40" s="14" t="n"/>
      <c r="G40" s="14" t="n"/>
      <c r="H40" s="42" t="n"/>
      <c r="I40" s="19" t="n"/>
      <c r="J40" s="14" t="n"/>
      <c r="K40" s="14" t="n"/>
      <c r="L40" s="14" t="n"/>
    </row>
    <row r="41" ht="22" customHeight="1">
      <c r="B41" s="17">
        <f>IF(C41="","DIV-"&amp;TEXT(COUNTA($C$5:C41),"000"))</f>
        <v/>
      </c>
      <c r="C41" s="12" t="n"/>
      <c r="D41" s="12" t="n"/>
      <c r="E41" s="12" t="n"/>
      <c r="F41" s="12" t="n"/>
      <c r="G41" s="12" t="n"/>
      <c r="H41" s="41" t="n"/>
      <c r="I41" s="18" t="n"/>
      <c r="J41" s="12" t="n"/>
      <c r="K41" s="12" t="n"/>
      <c r="L41" s="12" t="n"/>
    </row>
    <row r="42" ht="22" customHeight="1">
      <c r="B42" s="16">
        <f>IF(C42="","DIV-"&amp;TEXT(COUNTA($C$5:C42),"000"))</f>
        <v/>
      </c>
      <c r="C42" s="14" t="n"/>
      <c r="D42" s="14" t="n"/>
      <c r="E42" s="14" t="n"/>
      <c r="F42" s="14" t="n"/>
      <c r="G42" s="14" t="n"/>
      <c r="H42" s="42" t="n"/>
      <c r="I42" s="19" t="n"/>
      <c r="J42" s="14" t="n"/>
      <c r="K42" s="14" t="n"/>
      <c r="L42" s="14" t="n"/>
    </row>
    <row r="43" ht="22" customHeight="1">
      <c r="B43" s="17">
        <f>IF(C43="","DIV-"&amp;TEXT(COUNTA($C$5:C43),"000"))</f>
        <v/>
      </c>
      <c r="C43" s="12" t="n"/>
      <c r="D43" s="12" t="n"/>
      <c r="E43" s="12" t="n"/>
      <c r="F43" s="12" t="n"/>
      <c r="G43" s="12" t="n"/>
      <c r="H43" s="41" t="n"/>
      <c r="I43" s="18" t="n"/>
      <c r="J43" s="12" t="n"/>
      <c r="K43" s="12" t="n"/>
      <c r="L43" s="12" t="n"/>
    </row>
    <row r="44" ht="22" customHeight="1">
      <c r="B44" s="16">
        <f>IF(C44="","DIV-"&amp;TEXT(COUNTA($C$5:C44),"000"))</f>
        <v/>
      </c>
      <c r="C44" s="14" t="n"/>
      <c r="D44" s="14" t="n"/>
      <c r="E44" s="14" t="n"/>
      <c r="F44" s="14" t="n"/>
      <c r="G44" s="14" t="n"/>
      <c r="H44" s="42" t="n"/>
      <c r="I44" s="19" t="n"/>
      <c r="J44" s="14" t="n"/>
      <c r="K44" s="14" t="n"/>
      <c r="L44" s="14" t="n"/>
    </row>
    <row r="45" ht="22" customHeight="1">
      <c r="B45" s="17">
        <f>IF(C45="","DIV-"&amp;TEXT(COUNTA($C$5:C45),"000"))</f>
        <v/>
      </c>
      <c r="C45" s="12" t="n"/>
      <c r="D45" s="12" t="n"/>
      <c r="E45" s="12" t="n"/>
      <c r="F45" s="12" t="n"/>
      <c r="G45" s="12" t="n"/>
      <c r="H45" s="41" t="n"/>
      <c r="I45" s="18" t="n"/>
      <c r="J45" s="12" t="n"/>
      <c r="K45" s="12" t="n"/>
      <c r="L45" s="12" t="n"/>
    </row>
    <row r="46" ht="22" customHeight="1">
      <c r="B46" s="16">
        <f>IF(C46="","DIV-"&amp;TEXT(COUNTA($C$5:C46),"000"))</f>
        <v/>
      </c>
      <c r="C46" s="14" t="n"/>
      <c r="D46" s="14" t="n"/>
      <c r="E46" s="14" t="n"/>
      <c r="F46" s="14" t="n"/>
      <c r="G46" s="14" t="n"/>
      <c r="H46" s="42" t="n"/>
      <c r="I46" s="19" t="n"/>
      <c r="J46" s="14" t="n"/>
      <c r="K46" s="14" t="n"/>
      <c r="L46" s="14" t="n"/>
    </row>
    <row r="47" ht="22" customHeight="1">
      <c r="B47" s="17">
        <f>IF(C47="","DIV-"&amp;TEXT(COUNTA($C$5:C47),"000"))</f>
        <v/>
      </c>
      <c r="C47" s="12" t="n"/>
      <c r="D47" s="12" t="n"/>
      <c r="E47" s="12" t="n"/>
      <c r="F47" s="12" t="n"/>
      <c r="G47" s="12" t="n"/>
      <c r="H47" s="41" t="n"/>
      <c r="I47" s="18" t="n"/>
      <c r="J47" s="12" t="n"/>
      <c r="K47" s="12" t="n"/>
      <c r="L47" s="12" t="n"/>
    </row>
    <row r="48" ht="22" customHeight="1">
      <c r="B48" s="16">
        <f>IF(C48="","DIV-"&amp;TEXT(COUNTA($C$5:C48),"000"))</f>
        <v/>
      </c>
      <c r="C48" s="14" t="n"/>
      <c r="D48" s="14" t="n"/>
      <c r="E48" s="14" t="n"/>
      <c r="F48" s="14" t="n"/>
      <c r="G48" s="14" t="n"/>
      <c r="H48" s="42" t="n"/>
      <c r="I48" s="19" t="n"/>
      <c r="J48" s="14" t="n"/>
      <c r="K48" s="14" t="n"/>
      <c r="L48" s="14" t="n"/>
    </row>
    <row r="49" ht="22" customHeight="1">
      <c r="B49" s="17">
        <f>IF(C49="","DIV-"&amp;TEXT(COUNTA($C$5:C49),"000"))</f>
        <v/>
      </c>
      <c r="C49" s="12" t="n"/>
      <c r="D49" s="12" t="n"/>
      <c r="E49" s="12" t="n"/>
      <c r="F49" s="12" t="n"/>
      <c r="G49" s="12" t="n"/>
      <c r="H49" s="41" t="n"/>
      <c r="I49" s="18" t="n"/>
      <c r="J49" s="12" t="n"/>
      <c r="K49" s="12" t="n"/>
      <c r="L49" s="12" t="n"/>
    </row>
    <row r="50" ht="22" customHeight="1">
      <c r="B50" s="16">
        <f>IF(C50="","DIV-"&amp;TEXT(COUNTA($C$5:C50),"000"))</f>
        <v/>
      </c>
      <c r="C50" s="14" t="n"/>
      <c r="D50" s="14" t="n"/>
      <c r="E50" s="14" t="n"/>
      <c r="F50" s="14" t="n"/>
      <c r="G50" s="14" t="n"/>
      <c r="H50" s="42" t="n"/>
      <c r="I50" s="19" t="n"/>
      <c r="J50" s="14" t="n"/>
      <c r="K50" s="14" t="n"/>
      <c r="L50" s="14" t="n"/>
    </row>
    <row r="51" ht="22" customHeight="1">
      <c r="B51" s="17">
        <f>IF(C51="","DIV-"&amp;TEXT(COUNTA($C$5:C51),"000"))</f>
        <v/>
      </c>
      <c r="C51" s="12" t="n"/>
      <c r="D51" s="12" t="n"/>
      <c r="E51" s="12" t="n"/>
      <c r="F51" s="12" t="n"/>
      <c r="G51" s="12" t="n"/>
      <c r="H51" s="41" t="n"/>
      <c r="I51" s="18" t="n"/>
      <c r="J51" s="12" t="n"/>
      <c r="K51" s="12" t="n"/>
      <c r="L51" s="12" t="n"/>
    </row>
    <row r="52" ht="22" customHeight="1">
      <c r="B52" s="16">
        <f>IF(C52="","DIV-"&amp;TEXT(COUNTA($C$5:C52),"000"))</f>
        <v/>
      </c>
      <c r="C52" s="14" t="n"/>
      <c r="D52" s="14" t="n"/>
      <c r="E52" s="14" t="n"/>
      <c r="F52" s="14" t="n"/>
      <c r="G52" s="14" t="n"/>
      <c r="H52" s="42" t="n"/>
      <c r="I52" s="19" t="n"/>
      <c r="J52" s="14" t="n"/>
      <c r="K52" s="14" t="n"/>
      <c r="L52" s="14" t="n"/>
    </row>
    <row r="53" ht="22" customHeight="1">
      <c r="B53" s="17">
        <f>IF(C53="","DIV-"&amp;TEXT(COUNTA($C$5:C53),"000"))</f>
        <v/>
      </c>
      <c r="C53" s="12" t="n"/>
      <c r="D53" s="12" t="n"/>
      <c r="E53" s="12" t="n"/>
      <c r="F53" s="12" t="n"/>
      <c r="G53" s="12" t="n"/>
      <c r="H53" s="41" t="n"/>
      <c r="I53" s="18" t="n"/>
      <c r="J53" s="12" t="n"/>
      <c r="K53" s="12" t="n"/>
      <c r="L53" s="12" t="n"/>
    </row>
    <row r="54" ht="22" customHeight="1">
      <c r="B54" s="16">
        <f>IF(C54="","DIV-"&amp;TEXT(COUNTA($C$5:C54),"000"))</f>
        <v/>
      </c>
      <c r="C54" s="14" t="n"/>
      <c r="D54" s="14" t="n"/>
      <c r="E54" s="14" t="n"/>
      <c r="F54" s="14" t="n"/>
      <c r="G54" s="14" t="n"/>
      <c r="H54" s="42" t="n"/>
      <c r="I54" s="19" t="n"/>
      <c r="J54" s="14" t="n"/>
      <c r="K54" s="14" t="n"/>
      <c r="L54" s="14" t="n"/>
    </row>
    <row r="55" ht="22" customHeight="1">
      <c r="B55" s="17">
        <f>IF(C55="","DIV-"&amp;TEXT(COUNTA($C$5:C55),"000"))</f>
        <v/>
      </c>
      <c r="C55" s="12" t="n"/>
      <c r="D55" s="12" t="n"/>
      <c r="E55" s="12" t="n"/>
      <c r="F55" s="12" t="n"/>
      <c r="G55" s="12" t="n"/>
      <c r="H55" s="41" t="n"/>
      <c r="I55" s="18" t="n"/>
      <c r="J55" s="12" t="n"/>
      <c r="K55" s="12" t="n"/>
      <c r="L55" s="12" t="n"/>
    </row>
    <row r="56" ht="22" customHeight="1">
      <c r="B56" s="16">
        <f>IF(C56="","DIV-"&amp;TEXT(COUNTA($C$5:C56),"000"))</f>
        <v/>
      </c>
      <c r="C56" s="14" t="n"/>
      <c r="D56" s="14" t="n"/>
      <c r="E56" s="14" t="n"/>
      <c r="F56" s="14" t="n"/>
      <c r="G56" s="14" t="n"/>
      <c r="H56" s="42" t="n"/>
      <c r="I56" s="19" t="n"/>
      <c r="J56" s="14" t="n"/>
      <c r="K56" s="14" t="n"/>
      <c r="L56" s="14" t="n"/>
    </row>
    <row r="57" ht="22" customHeight="1">
      <c r="B57" s="17">
        <f>IF(C57="","DIV-"&amp;TEXT(COUNTA($C$5:C57),"000"))</f>
        <v/>
      </c>
      <c r="C57" s="12" t="n"/>
      <c r="D57" s="12" t="n"/>
      <c r="E57" s="12" t="n"/>
      <c r="F57" s="12" t="n"/>
      <c r="G57" s="12" t="n"/>
      <c r="H57" s="41" t="n"/>
      <c r="I57" s="18" t="n"/>
      <c r="J57" s="12" t="n"/>
      <c r="K57" s="12" t="n"/>
      <c r="L57" s="12" t="n"/>
    </row>
    <row r="58" ht="22" customHeight="1">
      <c r="B58" s="16">
        <f>IF(C58="","DIV-"&amp;TEXT(COUNTA($C$5:C58),"000"))</f>
        <v/>
      </c>
      <c r="C58" s="14" t="n"/>
      <c r="D58" s="14" t="n"/>
      <c r="E58" s="14" t="n"/>
      <c r="F58" s="14" t="n"/>
      <c r="G58" s="14" t="n"/>
      <c r="H58" s="42" t="n"/>
      <c r="I58" s="19" t="n"/>
      <c r="J58" s="14" t="n"/>
      <c r="K58" s="14" t="n"/>
      <c r="L58" s="14" t="n"/>
    </row>
    <row r="59" ht="22" customHeight="1">
      <c r="B59" s="17">
        <f>IF(C59="","DIV-"&amp;TEXT(COUNTA($C$5:C59),"000"))</f>
        <v/>
      </c>
      <c r="C59" s="12" t="n"/>
      <c r="D59" s="12" t="n"/>
      <c r="E59" s="12" t="n"/>
      <c r="F59" s="12" t="n"/>
      <c r="G59" s="12" t="n"/>
      <c r="H59" s="41" t="n"/>
      <c r="I59" s="18" t="n"/>
      <c r="J59" s="12" t="n"/>
      <c r="K59" s="12" t="n"/>
      <c r="L59" s="12" t="n"/>
    </row>
    <row r="60" ht="22" customHeight="1">
      <c r="B60" s="16">
        <f>IF(C60="","DIV-"&amp;TEXT(COUNTA($C$5:C60),"000"))</f>
        <v/>
      </c>
      <c r="C60" s="14" t="n"/>
      <c r="D60" s="14" t="n"/>
      <c r="E60" s="14" t="n"/>
      <c r="F60" s="14" t="n"/>
      <c r="G60" s="14" t="n"/>
      <c r="H60" s="42" t="n"/>
      <c r="I60" s="19" t="n"/>
      <c r="J60" s="14" t="n"/>
      <c r="K60" s="14" t="n"/>
      <c r="L60" s="14" t="n"/>
    </row>
    <row r="61" ht="22" customHeight="1">
      <c r="B61" s="17">
        <f>IF(C61="","DIV-"&amp;TEXT(COUNTA($C$5:C61),"000"))</f>
        <v/>
      </c>
      <c r="C61" s="12" t="n"/>
      <c r="D61" s="12" t="n"/>
      <c r="E61" s="12" t="n"/>
      <c r="F61" s="12" t="n"/>
      <c r="G61" s="12" t="n"/>
      <c r="H61" s="41" t="n"/>
      <c r="I61" s="18" t="n"/>
      <c r="J61" s="12" t="n"/>
      <c r="K61" s="12" t="n"/>
      <c r="L61" s="12" t="n"/>
    </row>
    <row r="62" ht="22" customHeight="1">
      <c r="B62" s="16">
        <f>IF(C62="","DIV-"&amp;TEXT(COUNTA($C$5:C62),"000"))</f>
        <v/>
      </c>
      <c r="C62" s="14" t="n"/>
      <c r="D62" s="14" t="n"/>
      <c r="E62" s="14" t="n"/>
      <c r="F62" s="14" t="n"/>
      <c r="G62" s="14" t="n"/>
      <c r="H62" s="42" t="n"/>
      <c r="I62" s="19" t="n"/>
      <c r="J62" s="14" t="n"/>
      <c r="K62" s="14" t="n"/>
      <c r="L62" s="14" t="n"/>
    </row>
    <row r="63" ht="22" customHeight="1">
      <c r="B63" s="17">
        <f>IF(C63="","DIV-"&amp;TEXT(COUNTA($C$5:C63),"000"))</f>
        <v/>
      </c>
      <c r="C63" s="12" t="n"/>
      <c r="D63" s="12" t="n"/>
      <c r="E63" s="12" t="n"/>
      <c r="F63" s="12" t="n"/>
      <c r="G63" s="12" t="n"/>
      <c r="H63" s="41" t="n"/>
      <c r="I63" s="18" t="n"/>
      <c r="J63" s="12" t="n"/>
      <c r="K63" s="12" t="n"/>
      <c r="L63" s="12" t="n"/>
    </row>
    <row r="64" ht="22" customHeight="1">
      <c r="B64" s="16">
        <f>IF(C64="","DIV-"&amp;TEXT(COUNTA($C$5:C64),"000"))</f>
        <v/>
      </c>
      <c r="C64" s="14" t="n"/>
      <c r="D64" s="14" t="n"/>
      <c r="E64" s="14" t="n"/>
      <c r="F64" s="14" t="n"/>
      <c r="G64" s="14" t="n"/>
      <c r="H64" s="42" t="n"/>
      <c r="I64" s="19" t="n"/>
      <c r="J64" s="14" t="n"/>
      <c r="K64" s="14" t="n"/>
      <c r="L64" s="14" t="n"/>
    </row>
    <row r="65" ht="22" customHeight="1">
      <c r="B65" s="17">
        <f>IF(C65="","DIV-"&amp;TEXT(COUNTA($C$5:C65),"000"))</f>
        <v/>
      </c>
      <c r="C65" s="12" t="n"/>
      <c r="D65" s="12" t="n"/>
      <c r="E65" s="12" t="n"/>
      <c r="F65" s="12" t="n"/>
      <c r="G65" s="12" t="n"/>
      <c r="H65" s="41" t="n"/>
      <c r="I65" s="18" t="n"/>
      <c r="J65" s="12" t="n"/>
      <c r="K65" s="12" t="n"/>
      <c r="L65" s="12" t="n"/>
    </row>
    <row r="66" ht="22" customHeight="1">
      <c r="B66" s="16">
        <f>IF(C66="","DIV-"&amp;TEXT(COUNTA($C$5:C66),"000"))</f>
        <v/>
      </c>
      <c r="C66" s="14" t="n"/>
      <c r="D66" s="14" t="n"/>
      <c r="E66" s="14" t="n"/>
      <c r="F66" s="14" t="n"/>
      <c r="G66" s="14" t="n"/>
      <c r="H66" s="42" t="n"/>
      <c r="I66" s="19" t="n"/>
      <c r="J66" s="14" t="n"/>
      <c r="K66" s="14" t="n"/>
      <c r="L66" s="14" t="n"/>
    </row>
    <row r="67" ht="22" customHeight="1">
      <c r="B67" s="17">
        <f>IF(C67="","DIV-"&amp;TEXT(COUNTA($C$5:C67),"000"))</f>
        <v/>
      </c>
      <c r="C67" s="12" t="n"/>
      <c r="D67" s="12" t="n"/>
      <c r="E67" s="12" t="n"/>
      <c r="F67" s="12" t="n"/>
      <c r="G67" s="12" t="n"/>
      <c r="H67" s="41" t="n"/>
      <c r="I67" s="18" t="n"/>
      <c r="J67" s="12" t="n"/>
      <c r="K67" s="12" t="n"/>
      <c r="L67" s="12" t="n"/>
    </row>
    <row r="68" ht="22" customHeight="1">
      <c r="B68" s="16">
        <f>IF(C68="","DIV-"&amp;TEXT(COUNTA($C$5:C68),"000"))</f>
        <v/>
      </c>
      <c r="C68" s="14" t="n"/>
      <c r="D68" s="14" t="n"/>
      <c r="E68" s="14" t="n"/>
      <c r="F68" s="14" t="n"/>
      <c r="G68" s="14" t="n"/>
      <c r="H68" s="42" t="n"/>
      <c r="I68" s="19" t="n"/>
      <c r="J68" s="14" t="n"/>
      <c r="K68" s="14" t="n"/>
      <c r="L68" s="14" t="n"/>
    </row>
    <row r="69" ht="22" customHeight="1">
      <c r="B69" s="17">
        <f>IF(C69="","DIV-"&amp;TEXT(COUNTA($C$5:C69),"000"))</f>
        <v/>
      </c>
      <c r="C69" s="12" t="n"/>
      <c r="D69" s="12" t="n"/>
      <c r="E69" s="12" t="n"/>
      <c r="F69" s="12" t="n"/>
      <c r="G69" s="12" t="n"/>
      <c r="H69" s="41" t="n"/>
      <c r="I69" s="18" t="n"/>
      <c r="J69" s="12" t="n"/>
      <c r="K69" s="12" t="n"/>
      <c r="L69" s="12" t="n"/>
    </row>
    <row r="70" ht="22" customHeight="1">
      <c r="B70" s="16">
        <f>IF(C70="","DIV-"&amp;TEXT(COUNTA($C$5:C70),"000"))</f>
        <v/>
      </c>
      <c r="C70" s="14" t="n"/>
      <c r="D70" s="14" t="n"/>
      <c r="E70" s="14" t="n"/>
      <c r="F70" s="14" t="n"/>
      <c r="G70" s="14" t="n"/>
      <c r="H70" s="42" t="n"/>
      <c r="I70" s="19" t="n"/>
      <c r="J70" s="14" t="n"/>
      <c r="K70" s="14" t="n"/>
      <c r="L70" s="14" t="n"/>
    </row>
    <row r="71" ht="22" customHeight="1">
      <c r="B71" s="17">
        <f>IF(C71="","DIV-"&amp;TEXT(COUNTA($C$5:C71),"000"))</f>
        <v/>
      </c>
      <c r="C71" s="12" t="n"/>
      <c r="D71" s="12" t="n"/>
      <c r="E71" s="12" t="n"/>
      <c r="F71" s="12" t="n"/>
      <c r="G71" s="12" t="n"/>
      <c r="H71" s="41" t="n"/>
      <c r="I71" s="18" t="n"/>
      <c r="J71" s="12" t="n"/>
      <c r="K71" s="12" t="n"/>
      <c r="L71" s="12" t="n"/>
    </row>
    <row r="72" ht="22" customHeight="1">
      <c r="B72" s="16">
        <f>IF(C72="","DIV-"&amp;TEXT(COUNTA($C$5:C72),"000"))</f>
        <v/>
      </c>
      <c r="C72" s="14" t="n"/>
      <c r="D72" s="14" t="n"/>
      <c r="E72" s="14" t="n"/>
      <c r="F72" s="14" t="n"/>
      <c r="G72" s="14" t="n"/>
      <c r="H72" s="42" t="n"/>
      <c r="I72" s="19" t="n"/>
      <c r="J72" s="14" t="n"/>
      <c r="K72" s="14" t="n"/>
      <c r="L72" s="14" t="n"/>
    </row>
    <row r="73" ht="22" customHeight="1">
      <c r="B73" s="17">
        <f>IF(C73="","DIV-"&amp;TEXT(COUNTA($C$5:C73),"000"))</f>
        <v/>
      </c>
      <c r="C73" s="12" t="n"/>
      <c r="D73" s="12" t="n"/>
      <c r="E73" s="12" t="n"/>
      <c r="F73" s="12" t="n"/>
      <c r="G73" s="12" t="n"/>
      <c r="H73" s="41" t="n"/>
      <c r="I73" s="18" t="n"/>
      <c r="J73" s="12" t="n"/>
      <c r="K73" s="12" t="n"/>
      <c r="L73" s="12" t="n"/>
    </row>
    <row r="74" ht="22" customHeight="1">
      <c r="B74" s="16">
        <f>IF(C74="","DIV-"&amp;TEXT(COUNTA($C$5:C74),"000"))</f>
        <v/>
      </c>
      <c r="C74" s="14" t="n"/>
      <c r="D74" s="14" t="n"/>
      <c r="E74" s="14" t="n"/>
      <c r="F74" s="14" t="n"/>
      <c r="G74" s="14" t="n"/>
      <c r="H74" s="42" t="n"/>
      <c r="I74" s="19" t="n"/>
      <c r="J74" s="14" t="n"/>
      <c r="K74" s="14" t="n"/>
      <c r="L74" s="14" t="n"/>
    </row>
    <row r="75" ht="22" customHeight="1">
      <c r="B75" s="17">
        <f>IF(C75="","DIV-"&amp;TEXT(COUNTA($C$5:C75),"000"))</f>
        <v/>
      </c>
      <c r="C75" s="12" t="n"/>
      <c r="D75" s="12" t="n"/>
      <c r="E75" s="12" t="n"/>
      <c r="F75" s="12" t="n"/>
      <c r="G75" s="12" t="n"/>
      <c r="H75" s="41" t="n"/>
      <c r="I75" s="18" t="n"/>
      <c r="J75" s="12" t="n"/>
      <c r="K75" s="12" t="n"/>
      <c r="L75" s="12" t="n"/>
    </row>
    <row r="76" ht="22" customHeight="1">
      <c r="B76" s="16">
        <f>IF(C76="","DIV-"&amp;TEXT(COUNTA($C$5:C76),"000"))</f>
        <v/>
      </c>
      <c r="C76" s="14" t="n"/>
      <c r="D76" s="14" t="n"/>
      <c r="E76" s="14" t="n"/>
      <c r="F76" s="14" t="n"/>
      <c r="G76" s="14" t="n"/>
      <c r="H76" s="42" t="n"/>
      <c r="I76" s="19" t="n"/>
      <c r="J76" s="14" t="n"/>
      <c r="K76" s="14" t="n"/>
      <c r="L76" s="14" t="n"/>
    </row>
    <row r="77" ht="22" customHeight="1">
      <c r="B77" s="17">
        <f>IF(C77="","DIV-"&amp;TEXT(COUNTA($C$5:C77),"000"))</f>
        <v/>
      </c>
      <c r="C77" s="12" t="n"/>
      <c r="D77" s="12" t="n"/>
      <c r="E77" s="12" t="n"/>
      <c r="F77" s="12" t="n"/>
      <c r="G77" s="12" t="n"/>
      <c r="H77" s="41" t="n"/>
      <c r="I77" s="18" t="n"/>
      <c r="J77" s="12" t="n"/>
      <c r="K77" s="12" t="n"/>
      <c r="L77" s="12" t="n"/>
    </row>
    <row r="78" ht="22" customHeight="1">
      <c r="B78" s="16">
        <f>IF(C78="","DIV-"&amp;TEXT(COUNTA($C$5:C78),"000"))</f>
        <v/>
      </c>
      <c r="C78" s="14" t="n"/>
      <c r="D78" s="14" t="n"/>
      <c r="E78" s="14" t="n"/>
      <c r="F78" s="14" t="n"/>
      <c r="G78" s="14" t="n"/>
      <c r="H78" s="42" t="n"/>
      <c r="I78" s="19" t="n"/>
      <c r="J78" s="14" t="n"/>
      <c r="K78" s="14" t="n"/>
      <c r="L78" s="14" t="n"/>
    </row>
    <row r="79" ht="22" customHeight="1">
      <c r="B79" s="17">
        <f>IF(C79="","DIV-"&amp;TEXT(COUNTA($C$5:C79),"000"))</f>
        <v/>
      </c>
      <c r="C79" s="12" t="n"/>
      <c r="D79" s="12" t="n"/>
      <c r="E79" s="12" t="n"/>
      <c r="F79" s="12" t="n"/>
      <c r="G79" s="12" t="n"/>
      <c r="H79" s="41" t="n"/>
      <c r="I79" s="18" t="n"/>
      <c r="J79" s="12" t="n"/>
      <c r="K79" s="12" t="n"/>
      <c r="L79" s="12" t="n"/>
    </row>
    <row r="80" ht="22" customHeight="1">
      <c r="B80" s="16">
        <f>IF(C80="","DIV-"&amp;TEXT(COUNTA($C$5:C80),"000"))</f>
        <v/>
      </c>
      <c r="C80" s="14" t="n"/>
      <c r="D80" s="14" t="n"/>
      <c r="E80" s="14" t="n"/>
      <c r="F80" s="14" t="n"/>
      <c r="G80" s="14" t="n"/>
      <c r="H80" s="42" t="n"/>
      <c r="I80" s="19" t="n"/>
      <c r="J80" s="14" t="n"/>
      <c r="K80" s="14" t="n"/>
      <c r="L80" s="14" t="n"/>
    </row>
    <row r="81" ht="22" customHeight="1">
      <c r="B81" s="17">
        <f>IF(C81="","DIV-"&amp;TEXT(COUNTA($C$5:C81),"000"))</f>
        <v/>
      </c>
      <c r="C81" s="12" t="n"/>
      <c r="D81" s="12" t="n"/>
      <c r="E81" s="12" t="n"/>
      <c r="F81" s="12" t="n"/>
      <c r="G81" s="12" t="n"/>
      <c r="H81" s="41" t="n"/>
      <c r="I81" s="18" t="n"/>
      <c r="J81" s="12" t="n"/>
      <c r="K81" s="12" t="n"/>
      <c r="L81" s="12" t="n"/>
    </row>
    <row r="82" ht="22" customHeight="1">
      <c r="B82" s="16">
        <f>IF(C82="","DIV-"&amp;TEXT(COUNTA($C$5:C82),"000"))</f>
        <v/>
      </c>
      <c r="C82" s="14" t="n"/>
      <c r="D82" s="14" t="n"/>
      <c r="E82" s="14" t="n"/>
      <c r="F82" s="14" t="n"/>
      <c r="G82" s="14" t="n"/>
      <c r="H82" s="42" t="n"/>
      <c r="I82" s="19" t="n"/>
      <c r="J82" s="14" t="n"/>
      <c r="K82" s="14" t="n"/>
      <c r="L82" s="14" t="n"/>
    </row>
    <row r="83" ht="22" customHeight="1">
      <c r="B83" s="17">
        <f>IF(C83="","DIV-"&amp;TEXT(COUNTA($C$5:C83),"000"))</f>
        <v/>
      </c>
      <c r="C83" s="12" t="n"/>
      <c r="D83" s="12" t="n"/>
      <c r="E83" s="12" t="n"/>
      <c r="F83" s="12" t="n"/>
      <c r="G83" s="12" t="n"/>
      <c r="H83" s="41" t="n"/>
      <c r="I83" s="18" t="n"/>
      <c r="J83" s="12" t="n"/>
      <c r="K83" s="12" t="n"/>
      <c r="L83" s="12" t="n"/>
    </row>
    <row r="84" ht="22" customHeight="1">
      <c r="B84" s="16">
        <f>IF(C84="","DIV-"&amp;TEXT(COUNTA($C$5:C84),"000"))</f>
        <v/>
      </c>
      <c r="C84" s="14" t="n"/>
      <c r="D84" s="14" t="n"/>
      <c r="E84" s="14" t="n"/>
      <c r="F84" s="14" t="n"/>
      <c r="G84" s="14" t="n"/>
      <c r="H84" s="42" t="n"/>
      <c r="I84" s="19" t="n"/>
      <c r="J84" s="14" t="n"/>
      <c r="K84" s="14" t="n"/>
      <c r="L84" s="14" t="n"/>
    </row>
    <row r="85" ht="22" customHeight="1">
      <c r="B85" s="17">
        <f>IF(C85="","DIV-"&amp;TEXT(COUNTA($C$5:C85),"000"))</f>
        <v/>
      </c>
      <c r="C85" s="12" t="n"/>
      <c r="D85" s="12" t="n"/>
      <c r="E85" s="12" t="n"/>
      <c r="F85" s="12" t="n"/>
      <c r="G85" s="12" t="n"/>
      <c r="H85" s="41" t="n"/>
      <c r="I85" s="18" t="n"/>
      <c r="J85" s="12" t="n"/>
      <c r="K85" s="12" t="n"/>
      <c r="L85" s="12" t="n"/>
    </row>
    <row r="86" ht="22" customHeight="1">
      <c r="B86" s="16">
        <f>IF(C86="","DIV-"&amp;TEXT(COUNTA($C$5:C86),"000"))</f>
        <v/>
      </c>
      <c r="C86" s="14" t="n"/>
      <c r="D86" s="14" t="n"/>
      <c r="E86" s="14" t="n"/>
      <c r="F86" s="14" t="n"/>
      <c r="G86" s="14" t="n"/>
      <c r="H86" s="42" t="n"/>
      <c r="I86" s="19" t="n"/>
      <c r="J86" s="14" t="n"/>
      <c r="K86" s="14" t="n"/>
      <c r="L86" s="14" t="n"/>
    </row>
    <row r="87" ht="22" customHeight="1">
      <c r="B87" s="17">
        <f>IF(C87="","DIV-"&amp;TEXT(COUNTA($C$5:C87),"000"))</f>
        <v/>
      </c>
      <c r="C87" s="12" t="n"/>
      <c r="D87" s="12" t="n"/>
      <c r="E87" s="12" t="n"/>
      <c r="F87" s="12" t="n"/>
      <c r="G87" s="12" t="n"/>
      <c r="H87" s="41" t="n"/>
      <c r="I87" s="18" t="n"/>
      <c r="J87" s="12" t="n"/>
      <c r="K87" s="12" t="n"/>
      <c r="L87" s="12" t="n"/>
    </row>
    <row r="88" ht="22" customHeight="1">
      <c r="B88" s="16">
        <f>IF(C88="","DIV-"&amp;TEXT(COUNTA($C$5:C88),"000"))</f>
        <v/>
      </c>
      <c r="C88" s="14" t="n"/>
      <c r="D88" s="14" t="n"/>
      <c r="E88" s="14" t="n"/>
      <c r="F88" s="14" t="n"/>
      <c r="G88" s="14" t="n"/>
      <c r="H88" s="42" t="n"/>
      <c r="I88" s="19" t="n"/>
      <c r="J88" s="14" t="n"/>
      <c r="K88" s="14" t="n"/>
      <c r="L88" s="14" t="n"/>
    </row>
    <row r="89" ht="22" customHeight="1">
      <c r="B89" s="17">
        <f>IF(C89="","DIV-"&amp;TEXT(COUNTA($C$5:C89),"000"))</f>
        <v/>
      </c>
      <c r="C89" s="12" t="n"/>
      <c r="D89" s="12" t="n"/>
      <c r="E89" s="12" t="n"/>
      <c r="F89" s="12" t="n"/>
      <c r="G89" s="12" t="n"/>
      <c r="H89" s="41" t="n"/>
      <c r="I89" s="18" t="n"/>
      <c r="J89" s="12" t="n"/>
      <c r="K89" s="12" t="n"/>
      <c r="L89" s="12" t="n"/>
    </row>
    <row r="90" ht="22" customHeight="1">
      <c r="B90" s="16">
        <f>IF(C90="","DIV-"&amp;TEXT(COUNTA($C$5:C90),"000"))</f>
        <v/>
      </c>
      <c r="C90" s="14" t="n"/>
      <c r="D90" s="14" t="n"/>
      <c r="E90" s="14" t="n"/>
      <c r="F90" s="14" t="n"/>
      <c r="G90" s="14" t="n"/>
      <c r="H90" s="42" t="n"/>
      <c r="I90" s="19" t="n"/>
      <c r="J90" s="14" t="n"/>
      <c r="K90" s="14" t="n"/>
      <c r="L90" s="14" t="n"/>
    </row>
    <row r="91" ht="22" customHeight="1">
      <c r="B91" s="17">
        <f>IF(C91="","DIV-"&amp;TEXT(COUNTA($C$5:C91),"000"))</f>
        <v/>
      </c>
      <c r="C91" s="12" t="n"/>
      <c r="D91" s="12" t="n"/>
      <c r="E91" s="12" t="n"/>
      <c r="F91" s="12" t="n"/>
      <c r="G91" s="12" t="n"/>
      <c r="H91" s="41" t="n"/>
      <c r="I91" s="18" t="n"/>
      <c r="J91" s="12" t="n"/>
      <c r="K91" s="12" t="n"/>
      <c r="L91" s="12" t="n"/>
    </row>
    <row r="92" ht="22" customHeight="1">
      <c r="B92" s="16">
        <f>IF(C92="","DIV-"&amp;TEXT(COUNTA($C$5:C92),"000"))</f>
        <v/>
      </c>
      <c r="C92" s="14" t="n"/>
      <c r="D92" s="14" t="n"/>
      <c r="E92" s="14" t="n"/>
      <c r="F92" s="14" t="n"/>
      <c r="G92" s="14" t="n"/>
      <c r="H92" s="42" t="n"/>
      <c r="I92" s="19" t="n"/>
      <c r="J92" s="14" t="n"/>
      <c r="K92" s="14" t="n"/>
      <c r="L92" s="14" t="n"/>
    </row>
    <row r="93" ht="22" customHeight="1">
      <c r="B93" s="17">
        <f>IF(C93="","DIV-"&amp;TEXT(COUNTA($C$5:C93),"000"))</f>
        <v/>
      </c>
      <c r="C93" s="12" t="n"/>
      <c r="D93" s="12" t="n"/>
      <c r="E93" s="12" t="n"/>
      <c r="F93" s="12" t="n"/>
      <c r="G93" s="12" t="n"/>
      <c r="H93" s="41" t="n"/>
      <c r="I93" s="18" t="n"/>
      <c r="J93" s="12" t="n"/>
      <c r="K93" s="12" t="n"/>
      <c r="L93" s="12" t="n"/>
    </row>
    <row r="94" ht="22" customHeight="1">
      <c r="B94" s="16">
        <f>IF(C94="","DIV-"&amp;TEXT(COUNTA($C$5:C94),"000"))</f>
        <v/>
      </c>
      <c r="C94" s="14" t="n"/>
      <c r="D94" s="14" t="n"/>
      <c r="E94" s="14" t="n"/>
      <c r="F94" s="14" t="n"/>
      <c r="G94" s="14" t="n"/>
      <c r="H94" s="42" t="n"/>
      <c r="I94" s="19" t="n"/>
      <c r="J94" s="14" t="n"/>
      <c r="K94" s="14" t="n"/>
      <c r="L94" s="14" t="n"/>
    </row>
    <row r="95" ht="22" customHeight="1">
      <c r="B95" s="17">
        <f>IF(C95="","DIV-"&amp;TEXT(COUNTA($C$5:C95),"000"))</f>
        <v/>
      </c>
      <c r="C95" s="12" t="n"/>
      <c r="D95" s="12" t="n"/>
      <c r="E95" s="12" t="n"/>
      <c r="F95" s="12" t="n"/>
      <c r="G95" s="12" t="n"/>
      <c r="H95" s="41" t="n"/>
      <c r="I95" s="18" t="n"/>
      <c r="J95" s="12" t="n"/>
      <c r="K95" s="12" t="n"/>
      <c r="L95" s="12" t="n"/>
    </row>
    <row r="96" ht="22" customHeight="1">
      <c r="B96" s="16">
        <f>IF(C96="","DIV-"&amp;TEXT(COUNTA($C$5:C96),"000"))</f>
        <v/>
      </c>
      <c r="C96" s="14" t="n"/>
      <c r="D96" s="14" t="n"/>
      <c r="E96" s="14" t="n"/>
      <c r="F96" s="14" t="n"/>
      <c r="G96" s="14" t="n"/>
      <c r="H96" s="42" t="n"/>
      <c r="I96" s="19" t="n"/>
      <c r="J96" s="14" t="n"/>
      <c r="K96" s="14" t="n"/>
      <c r="L96" s="14" t="n"/>
    </row>
    <row r="97" ht="22" customHeight="1">
      <c r="B97" s="17">
        <f>IF(C97="","DIV-"&amp;TEXT(COUNTA($C$5:C97),"000"))</f>
        <v/>
      </c>
      <c r="C97" s="12" t="n"/>
      <c r="D97" s="12" t="n"/>
      <c r="E97" s="12" t="n"/>
      <c r="F97" s="12" t="n"/>
      <c r="G97" s="12" t="n"/>
      <c r="H97" s="41" t="n"/>
      <c r="I97" s="18" t="n"/>
      <c r="J97" s="12" t="n"/>
      <c r="K97" s="12" t="n"/>
      <c r="L97" s="12" t="n"/>
    </row>
    <row r="98" ht="22" customHeight="1">
      <c r="B98" s="16">
        <f>IF(C98="","DIV-"&amp;TEXT(COUNTA($C$5:C98),"000"))</f>
        <v/>
      </c>
      <c r="C98" s="14" t="n"/>
      <c r="D98" s="14" t="n"/>
      <c r="E98" s="14" t="n"/>
      <c r="F98" s="14" t="n"/>
      <c r="G98" s="14" t="n"/>
      <c r="H98" s="42" t="n"/>
      <c r="I98" s="19" t="n"/>
      <c r="J98" s="14" t="n"/>
      <c r="K98" s="14" t="n"/>
      <c r="L98" s="14" t="n"/>
    </row>
    <row r="99" ht="22" customHeight="1">
      <c r="B99" s="17">
        <f>IF(C99="","DIV-"&amp;TEXT(COUNTA($C$5:C99),"000"))</f>
        <v/>
      </c>
      <c r="C99" s="12" t="n"/>
      <c r="D99" s="12" t="n"/>
      <c r="E99" s="12" t="n"/>
      <c r="F99" s="12" t="n"/>
      <c r="G99" s="12" t="n"/>
      <c r="H99" s="41" t="n"/>
      <c r="I99" s="18" t="n"/>
      <c r="J99" s="12" t="n"/>
      <c r="K99" s="12" t="n"/>
      <c r="L99" s="12" t="n"/>
    </row>
    <row r="100" ht="22" customHeight="1">
      <c r="B100" s="16">
        <f>IF(C100="","DIV-"&amp;TEXT(COUNTA($C$5:C100),"000"))</f>
        <v/>
      </c>
      <c r="C100" s="14" t="n"/>
      <c r="D100" s="14" t="n"/>
      <c r="E100" s="14" t="n"/>
      <c r="F100" s="14" t="n"/>
      <c r="G100" s="14" t="n"/>
      <c r="H100" s="42" t="n"/>
      <c r="I100" s="19" t="n"/>
      <c r="J100" s="14" t="n"/>
      <c r="K100" s="14" t="n"/>
      <c r="L100" s="14" t="n"/>
    </row>
    <row r="101" ht="22" customHeight="1">
      <c r="B101" s="17">
        <f>IF(C101="","DIV-"&amp;TEXT(COUNTA($C$5:C101),"000"))</f>
        <v/>
      </c>
      <c r="C101" s="12" t="n"/>
      <c r="D101" s="12" t="n"/>
      <c r="E101" s="12" t="n"/>
      <c r="F101" s="12" t="n"/>
      <c r="G101" s="12" t="n"/>
      <c r="H101" s="41" t="n"/>
      <c r="I101" s="18" t="n"/>
      <c r="J101" s="12" t="n"/>
      <c r="K101" s="12" t="n"/>
      <c r="L101" s="12" t="n"/>
    </row>
    <row r="102" ht="22" customHeight="1">
      <c r="B102" s="16">
        <f>IF(C102="","DIV-"&amp;TEXT(COUNTA($C$5:C102),"000"))</f>
        <v/>
      </c>
      <c r="C102" s="14" t="n"/>
      <c r="D102" s="14" t="n"/>
      <c r="E102" s="14" t="n"/>
      <c r="F102" s="14" t="n"/>
      <c r="G102" s="14" t="n"/>
      <c r="H102" s="42" t="n"/>
      <c r="I102" s="19" t="n"/>
      <c r="J102" s="14" t="n"/>
      <c r="K102" s="14" t="n"/>
      <c r="L102" s="14" t="n"/>
    </row>
    <row r="103" ht="22" customHeight="1">
      <c r="B103" s="17">
        <f>IF(C103="","DIV-"&amp;TEXT(COUNTA($C$5:C103),"000"))</f>
        <v/>
      </c>
      <c r="C103" s="12" t="n"/>
      <c r="D103" s="12" t="n"/>
      <c r="E103" s="12" t="n"/>
      <c r="F103" s="12" t="n"/>
      <c r="G103" s="12" t="n"/>
      <c r="H103" s="41" t="n"/>
      <c r="I103" s="18" t="n"/>
      <c r="J103" s="12" t="n"/>
      <c r="K103" s="12" t="n"/>
      <c r="L103" s="12" t="n"/>
    </row>
    <row r="104" ht="22" customHeight="1">
      <c r="B104" s="16">
        <f>IF(C104="","DIV-"&amp;TEXT(COUNTA($C$5:C104),"000"))</f>
        <v/>
      </c>
      <c r="C104" s="14" t="n"/>
      <c r="D104" s="14" t="n"/>
      <c r="E104" s="14" t="n"/>
      <c r="F104" s="14" t="n"/>
      <c r="G104" s="14" t="n"/>
      <c r="H104" s="42" t="n"/>
      <c r="I104" s="19" t="n"/>
      <c r="J104" s="14" t="n"/>
      <c r="K104" s="14" t="n"/>
      <c r="L104" s="14" t="n"/>
    </row>
    <row r="105" ht="22" customHeight="1">
      <c r="B105" s="17">
        <f>IF(C105="","DIV-"&amp;TEXT(COUNTA($C$5:C105),"000"))</f>
        <v/>
      </c>
      <c r="C105" s="12" t="n"/>
      <c r="D105" s="12" t="n"/>
      <c r="E105" s="12" t="n"/>
      <c r="F105" s="12" t="n"/>
      <c r="G105" s="12" t="n"/>
      <c r="H105" s="41" t="n"/>
      <c r="I105" s="18" t="n"/>
      <c r="J105" s="12" t="n"/>
      <c r="K105" s="12" t="n"/>
      <c r="L105" s="12" t="n"/>
    </row>
    <row r="106" ht="22" customHeight="1">
      <c r="B106" s="16">
        <f>IF(C106="","DIV-"&amp;TEXT(COUNTA($C$5:C106),"000"))</f>
        <v/>
      </c>
      <c r="C106" s="14" t="n"/>
      <c r="D106" s="14" t="n"/>
      <c r="E106" s="14" t="n"/>
      <c r="F106" s="14" t="n"/>
      <c r="G106" s="14" t="n"/>
      <c r="H106" s="42" t="n"/>
      <c r="I106" s="19" t="n"/>
      <c r="J106" s="14" t="n"/>
      <c r="K106" s="14" t="n"/>
      <c r="L106" s="14" t="n"/>
    </row>
    <row r="107" ht="22" customHeight="1">
      <c r="B107" s="17">
        <f>IF(C107="","DIV-"&amp;TEXT(COUNTA($C$5:C107),"000"))</f>
        <v/>
      </c>
      <c r="C107" s="12" t="n"/>
      <c r="D107" s="12" t="n"/>
      <c r="E107" s="12" t="n"/>
      <c r="F107" s="12" t="n"/>
      <c r="G107" s="12" t="n"/>
      <c r="H107" s="41" t="n"/>
      <c r="I107" s="18" t="n"/>
      <c r="J107" s="12" t="n"/>
      <c r="K107" s="12" t="n"/>
      <c r="L107" s="12" t="n"/>
    </row>
    <row r="109">
      <c r="B109" s="6" t="inlineStr">
        <is>
          <t>INDICATEURS (mis a jour automatiquement)</t>
        </is>
      </c>
    </row>
    <row r="110">
      <c r="B110" s="3" t="inlineStr">
        <is>
          <t>Initiatives diversite</t>
        </is>
      </c>
      <c r="D110" s="3" t="inlineStr">
        <is>
          <t>Total beneficiaires</t>
        </is>
      </c>
      <c r="F110" s="3" t="inlineStr">
        <is>
          <t>En cours</t>
        </is>
      </c>
    </row>
    <row r="111">
      <c r="B111" s="4">
        <f>COUNTIF(B5:B104,"&lt;&gt;")</f>
        <v/>
      </c>
      <c r="D111" s="4">
        <f>SUM(I5:I104)</f>
        <v/>
      </c>
      <c r="F111" s="4">
        <f>COUNTIF(K5:K104,"En cours")</f>
        <v/>
      </c>
    </row>
  </sheetData>
  <mergeCells count="3">
    <mergeCell ref="B2:L2"/>
    <mergeCell ref="B109:L109"/>
    <mergeCell ref="B3:L3"/>
  </mergeCells>
  <conditionalFormatting sqref="K5:K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8:B107">
    <cfRule type="expression" priority="238" dxfId="3">
      <formula>AND($C8="",$C7&lt;&gt;"")</formula>
    </cfRule>
  </conditionalFormatting>
  <conditionalFormatting sqref="C8:C107">
    <cfRule type="expression" priority="239" dxfId="3">
      <formula>AND($C8="",$C7&lt;&gt;"")</formula>
    </cfRule>
  </conditionalFormatting>
  <conditionalFormatting sqref="D8:D107">
    <cfRule type="expression" priority="240" dxfId="3">
      <formula>AND($C8="",$C7&lt;&gt;"")</formula>
    </cfRule>
  </conditionalFormatting>
  <conditionalFormatting sqref="E8:E107">
    <cfRule type="expression" priority="241" dxfId="3">
      <formula>AND($C8="",$C7&lt;&gt;"")</formula>
    </cfRule>
  </conditionalFormatting>
  <conditionalFormatting sqref="F8:F107">
    <cfRule type="expression" priority="242" dxfId="3">
      <formula>AND($C8="",$C7&lt;&gt;"")</formula>
    </cfRule>
  </conditionalFormatting>
  <conditionalFormatting sqref="G8:G107">
    <cfRule type="expression" priority="243" dxfId="3">
      <formula>AND($C8="",$C7&lt;&gt;"")</formula>
    </cfRule>
  </conditionalFormatting>
  <conditionalFormatting sqref="H8:H107">
    <cfRule type="expression" priority="244" dxfId="3">
      <formula>AND($C8="",$C7&lt;&gt;"")</formula>
    </cfRule>
  </conditionalFormatting>
  <conditionalFormatting sqref="I8:I107">
    <cfRule type="expression" priority="245" dxfId="3">
      <formula>AND($C8="",$C7&lt;&gt;"")</formula>
    </cfRule>
  </conditionalFormatting>
  <conditionalFormatting sqref="J8:J107">
    <cfRule type="expression" priority="246" dxfId="3">
      <formula>AND($C8="",$C7&lt;&gt;"")</formula>
    </cfRule>
  </conditionalFormatting>
  <conditionalFormatting sqref="K8:K107">
    <cfRule type="expression" priority="247" dxfId="3">
      <formula>AND($C8="",$C7&lt;&gt;"")</formula>
    </cfRule>
  </conditionalFormatting>
  <conditionalFormatting sqref="L8:L107">
    <cfRule type="expression" priority="248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'_Lists'!$E$2:$E$16</formula1>
    </dataValidation>
    <dataValidation sqref="K5:K107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0" customWidth="1" min="4" max="4"/>
    <col width="26" customWidth="1" min="5" max="5"/>
    <col width="18" customWidth="1" min="6" max="6"/>
    <col width="22" customWidth="1" min="7" max="7"/>
    <col width="40" customWidth="1" min="8" max="8"/>
    <col width="14" customWidth="1" min="9" max="9"/>
    <col width="20" customWidth="1" min="10" max="10"/>
    <col width="14" customWidth="1" min="11" max="11"/>
    <col width="16" customWidth="1" min="12" max="12"/>
    <col width="30" customWidth="1" min="13" max="13"/>
  </cols>
  <sheetData>
    <row r="1" ht="15" customHeight="1"/>
    <row r="2" ht="32" customHeight="1">
      <c r="B2" s="1" t="inlineStr">
        <is>
          <t>HANDICAP &amp; AMENAGEMENT POSTE (#150)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Nom Employe</t>
        </is>
      </c>
      <c r="D4" s="11" t="inlineStr">
        <is>
          <t>Poste</t>
        </is>
      </c>
      <c r="E4" s="11" t="inlineStr">
        <is>
          <t>Departement</t>
        </is>
      </c>
      <c r="F4" s="11" t="inlineStr">
        <is>
          <t>Type Handicap</t>
        </is>
      </c>
      <c r="G4" s="11" t="inlineStr">
        <is>
          <t>Niveau Amenagement</t>
        </is>
      </c>
      <c r="H4" s="11" t="inlineStr">
        <is>
          <t>Description Amenagement</t>
        </is>
      </c>
      <c r="I4" s="11" t="inlineStr">
        <is>
          <t>Date Demande</t>
        </is>
      </c>
      <c r="J4" s="11" t="inlineStr">
        <is>
          <t>Date Mise en Place</t>
        </is>
      </c>
      <c r="K4" s="11" t="inlineStr">
        <is>
          <t>Cout (FCFA)</t>
        </is>
      </c>
      <c r="L4" s="11" t="inlineStr">
        <is>
          <t>Statut</t>
        </is>
      </c>
      <c r="M4" s="11" t="inlineStr">
        <is>
          <t>Observations</t>
        </is>
      </c>
    </row>
    <row r="5" ht="22" customHeight="1">
      <c r="B5" s="12" t="inlineStr">
        <is>
          <t>HAN-001</t>
        </is>
      </c>
      <c r="C5" s="12" t="inlineStr">
        <is>
          <t>Eyenga</t>
        </is>
      </c>
      <c r="D5" s="12" t="inlineStr">
        <is>
          <t>Standardiste</t>
        </is>
      </c>
      <c r="E5" s="12" t="inlineStr">
        <is>
          <t>Réception &amp; Front Office</t>
        </is>
      </c>
      <c r="F5" s="12" t="inlineStr">
        <is>
          <t>Auditif</t>
        </is>
      </c>
      <c r="G5" s="12" t="inlineStr">
        <is>
          <t>Amenagement leger</t>
        </is>
      </c>
      <c r="H5" s="12" t="inlineStr">
        <is>
          <t>Amplificateur telephonique et signal visuel sonnerie</t>
        </is>
      </c>
      <c r="I5" s="41" t="n">
        <v>45672</v>
      </c>
      <c r="J5" s="41" t="n">
        <v>45698</v>
      </c>
      <c r="K5" s="18" t="n">
        <v>85000</v>
      </c>
      <c r="L5" s="12" t="inlineStr">
        <is>
          <t>En cours</t>
        </is>
      </c>
      <c r="M5" s="12" t="inlineStr">
        <is>
          <t>Equipement commande</t>
        </is>
      </c>
    </row>
    <row r="6" ht="22" customHeight="1">
      <c r="B6" s="14" t="inlineStr">
        <is>
          <t>HAN-002</t>
        </is>
      </c>
      <c r="C6" s="14" t="inlineStr">
        <is>
          <t>Ngo Mbeleck</t>
        </is>
      </c>
      <c r="D6" s="14" t="inlineStr">
        <is>
          <t>Agent d'accueil</t>
        </is>
      </c>
      <c r="E6" s="14" t="inlineStr">
        <is>
          <t>Réception &amp; Front Office</t>
        </is>
      </c>
      <c r="F6" s="14" t="inlineStr">
        <is>
          <t>Moteur</t>
        </is>
      </c>
      <c r="G6" s="14" t="inlineStr">
        <is>
          <t>Amenagement modere</t>
        </is>
      </c>
      <c r="H6" s="14" t="inlineStr">
        <is>
          <t>Rampe d'acces et chaise ergonomique</t>
        </is>
      </c>
      <c r="I6" s="42" t="n">
        <v>45597</v>
      </c>
      <c r="J6" s="42" t="n">
        <v>45677</v>
      </c>
      <c r="K6" s="19" t="n">
        <v>350000</v>
      </c>
      <c r="L6" s="14" t="inlineStr">
        <is>
          <t>Terminee</t>
        </is>
      </c>
      <c r="M6" s="14" t="inlineStr">
        <is>
          <t>Rampe installee par entretien</t>
        </is>
      </c>
    </row>
    <row r="7" ht="22" customHeight="1">
      <c r="B7" s="12" t="inlineStr">
        <is>
          <t>HAN-003</t>
        </is>
      </c>
      <c r="C7" s="12" t="inlineStr">
        <is>
          <t>Tchouankou</t>
        </is>
      </c>
      <c r="D7" s="12" t="inlineStr">
        <is>
          <t>Plongeur</t>
        </is>
      </c>
      <c r="E7" s="12" t="inlineStr">
        <is>
          <t>Cuisine &amp; Restauration</t>
        </is>
      </c>
      <c r="F7" s="12" t="inlineStr">
        <is>
          <t>Moteur</t>
        </is>
      </c>
      <c r="G7" s="12" t="inlineStr">
        <is>
          <t>Amenagement leger</t>
        </is>
      </c>
      <c r="H7" s="12" t="inlineStr">
        <is>
          <t>Tapis antifatigue et chaussures de securite orthopediques</t>
        </is>
      </c>
      <c r="I7" s="41" t="n">
        <v>45689</v>
      </c>
      <c r="J7" s="41" t="n"/>
      <c r="K7" s="18" t="n">
        <v>45000</v>
      </c>
      <c r="L7" s="12" t="inlineStr">
        <is>
          <t>En cours</t>
        </is>
      </c>
      <c r="M7" s="12" t="inlineStr">
        <is>
          <t>En attente fournisseur</t>
        </is>
      </c>
    </row>
    <row r="8" ht="22" customHeight="1">
      <c r="B8" s="16">
        <f>IF(C8="","HAN-"&amp;TEXT(COUNTA($C$5:C8),"000"))</f>
        <v/>
      </c>
      <c r="C8" s="14" t="n"/>
      <c r="D8" s="14" t="n"/>
      <c r="E8" s="14" t="n"/>
      <c r="F8" s="14" t="n"/>
      <c r="G8" s="14" t="n"/>
      <c r="H8" s="14" t="n"/>
      <c r="I8" s="42" t="n"/>
      <c r="J8" s="42" t="n"/>
      <c r="K8" s="19" t="n"/>
      <c r="L8" s="14" t="n"/>
      <c r="M8" s="14" t="n"/>
    </row>
    <row r="9" ht="22" customHeight="1">
      <c r="B9" s="17">
        <f>IF(C9="","HAN-"&amp;TEXT(COUNTA($C$5:C9),"000"))</f>
        <v/>
      </c>
      <c r="C9" s="12" t="n"/>
      <c r="D9" s="12" t="n"/>
      <c r="E9" s="12" t="n"/>
      <c r="F9" s="12" t="n"/>
      <c r="G9" s="12" t="n"/>
      <c r="H9" s="12" t="n"/>
      <c r="I9" s="41" t="n"/>
      <c r="J9" s="41" t="n"/>
      <c r="K9" s="18" t="n"/>
      <c r="L9" s="12" t="n"/>
      <c r="M9" s="12" t="n"/>
    </row>
    <row r="10" ht="22" customHeight="1">
      <c r="B10" s="16">
        <f>IF(C10="","HAN-"&amp;TEXT(COUNTA($C$5:C10),"000"))</f>
        <v/>
      </c>
      <c r="C10" s="14" t="n"/>
      <c r="D10" s="14" t="n"/>
      <c r="E10" s="14" t="n"/>
      <c r="F10" s="14" t="n"/>
      <c r="G10" s="14" t="n"/>
      <c r="H10" s="14" t="n"/>
      <c r="I10" s="42" t="n"/>
      <c r="J10" s="42" t="n"/>
      <c r="K10" s="19" t="n"/>
      <c r="L10" s="14" t="n"/>
      <c r="M10" s="14" t="n"/>
    </row>
    <row r="11" ht="22" customHeight="1">
      <c r="B11" s="17">
        <f>IF(C11="","HAN-"&amp;TEXT(COUNTA($C$5:C11),"000"))</f>
        <v/>
      </c>
      <c r="C11" s="12" t="n"/>
      <c r="D11" s="12" t="n"/>
      <c r="E11" s="12" t="n"/>
      <c r="F11" s="12" t="n"/>
      <c r="G11" s="12" t="n"/>
      <c r="H11" s="12" t="n"/>
      <c r="I11" s="41" t="n"/>
      <c r="J11" s="41" t="n"/>
      <c r="K11" s="18" t="n"/>
      <c r="L11" s="12" t="n"/>
      <c r="M11" s="12" t="n"/>
    </row>
    <row r="12" ht="22" customHeight="1">
      <c r="B12" s="16">
        <f>IF(C12="","HAN-"&amp;TEXT(COUNTA($C$5:C12),"000"))</f>
        <v/>
      </c>
      <c r="C12" s="14" t="n"/>
      <c r="D12" s="14" t="n"/>
      <c r="E12" s="14" t="n"/>
      <c r="F12" s="14" t="n"/>
      <c r="G12" s="14" t="n"/>
      <c r="H12" s="14" t="n"/>
      <c r="I12" s="42" t="n"/>
      <c r="J12" s="42" t="n"/>
      <c r="K12" s="19" t="n"/>
      <c r="L12" s="14" t="n"/>
      <c r="M12" s="14" t="n"/>
    </row>
    <row r="13" ht="22" customHeight="1">
      <c r="B13" s="17">
        <f>IF(C13="","HAN-"&amp;TEXT(COUNTA($C$5:C13),"000"))</f>
        <v/>
      </c>
      <c r="C13" s="12" t="n"/>
      <c r="D13" s="12" t="n"/>
      <c r="E13" s="12" t="n"/>
      <c r="F13" s="12" t="n"/>
      <c r="G13" s="12" t="n"/>
      <c r="H13" s="12" t="n"/>
      <c r="I13" s="41" t="n"/>
      <c r="J13" s="41" t="n"/>
      <c r="K13" s="18" t="n"/>
      <c r="L13" s="12" t="n"/>
      <c r="M13" s="12" t="n"/>
    </row>
    <row r="14" ht="22" customHeight="1">
      <c r="B14" s="16">
        <f>IF(C14="","HAN-"&amp;TEXT(COUNTA($C$5:C14),"000"))</f>
        <v/>
      </c>
      <c r="C14" s="14" t="n"/>
      <c r="D14" s="14" t="n"/>
      <c r="E14" s="14" t="n"/>
      <c r="F14" s="14" t="n"/>
      <c r="G14" s="14" t="n"/>
      <c r="H14" s="14" t="n"/>
      <c r="I14" s="42" t="n"/>
      <c r="J14" s="42" t="n"/>
      <c r="K14" s="19" t="n"/>
      <c r="L14" s="14" t="n"/>
      <c r="M14" s="14" t="n"/>
    </row>
    <row r="15" ht="22" customHeight="1">
      <c r="B15" s="17">
        <f>IF(C15="","HAN-"&amp;TEXT(COUNTA($C$5:C15),"000"))</f>
        <v/>
      </c>
      <c r="C15" s="12" t="n"/>
      <c r="D15" s="12" t="n"/>
      <c r="E15" s="12" t="n"/>
      <c r="F15" s="12" t="n"/>
      <c r="G15" s="12" t="n"/>
      <c r="H15" s="12" t="n"/>
      <c r="I15" s="41" t="n"/>
      <c r="J15" s="41" t="n"/>
      <c r="K15" s="18" t="n"/>
      <c r="L15" s="12" t="n"/>
      <c r="M15" s="12" t="n"/>
    </row>
    <row r="16" ht="22" customHeight="1">
      <c r="B16" s="16">
        <f>IF(C16="","HAN-"&amp;TEXT(COUNTA($C$5:C16),"000"))</f>
        <v/>
      </c>
      <c r="C16" s="14" t="n"/>
      <c r="D16" s="14" t="n"/>
      <c r="E16" s="14" t="n"/>
      <c r="F16" s="14" t="n"/>
      <c r="G16" s="14" t="n"/>
      <c r="H16" s="14" t="n"/>
      <c r="I16" s="42" t="n"/>
      <c r="J16" s="42" t="n"/>
      <c r="K16" s="19" t="n"/>
      <c r="L16" s="14" t="n"/>
      <c r="M16" s="14" t="n"/>
    </row>
    <row r="17" ht="22" customHeight="1">
      <c r="B17" s="17">
        <f>IF(C17="","HAN-"&amp;TEXT(COUNTA($C$5:C17),"000"))</f>
        <v/>
      </c>
      <c r="C17" s="12" t="n"/>
      <c r="D17" s="12" t="n"/>
      <c r="E17" s="12" t="n"/>
      <c r="F17" s="12" t="n"/>
      <c r="G17" s="12" t="n"/>
      <c r="H17" s="12" t="n"/>
      <c r="I17" s="41" t="n"/>
      <c r="J17" s="41" t="n"/>
      <c r="K17" s="18" t="n"/>
      <c r="L17" s="12" t="n"/>
      <c r="M17" s="12" t="n"/>
    </row>
    <row r="18" ht="22" customHeight="1">
      <c r="B18" s="16">
        <f>IF(C18="","HAN-"&amp;TEXT(COUNTA($C$5:C18),"000"))</f>
        <v/>
      </c>
      <c r="C18" s="14" t="n"/>
      <c r="D18" s="14" t="n"/>
      <c r="E18" s="14" t="n"/>
      <c r="F18" s="14" t="n"/>
      <c r="G18" s="14" t="n"/>
      <c r="H18" s="14" t="n"/>
      <c r="I18" s="42" t="n"/>
      <c r="J18" s="42" t="n"/>
      <c r="K18" s="19" t="n"/>
      <c r="L18" s="14" t="n"/>
      <c r="M18" s="14" t="n"/>
    </row>
    <row r="19" ht="22" customHeight="1">
      <c r="B19" s="17">
        <f>IF(C19="","HAN-"&amp;TEXT(COUNTA($C$5:C19),"000"))</f>
        <v/>
      </c>
      <c r="C19" s="12" t="n"/>
      <c r="D19" s="12" t="n"/>
      <c r="E19" s="12" t="n"/>
      <c r="F19" s="12" t="n"/>
      <c r="G19" s="12" t="n"/>
      <c r="H19" s="12" t="n"/>
      <c r="I19" s="41" t="n"/>
      <c r="J19" s="41" t="n"/>
      <c r="K19" s="18" t="n"/>
      <c r="L19" s="12" t="n"/>
      <c r="M19" s="12" t="n"/>
    </row>
    <row r="20" ht="22" customHeight="1">
      <c r="B20" s="16">
        <f>IF(C20="","HAN-"&amp;TEXT(COUNTA($C$5:C20),"000"))</f>
        <v/>
      </c>
      <c r="C20" s="14" t="n"/>
      <c r="D20" s="14" t="n"/>
      <c r="E20" s="14" t="n"/>
      <c r="F20" s="14" t="n"/>
      <c r="G20" s="14" t="n"/>
      <c r="H20" s="14" t="n"/>
      <c r="I20" s="42" t="n"/>
      <c r="J20" s="42" t="n"/>
      <c r="K20" s="19" t="n"/>
      <c r="L20" s="14" t="n"/>
      <c r="M20" s="14" t="n"/>
    </row>
    <row r="21" ht="22" customHeight="1">
      <c r="B21" s="17">
        <f>IF(C21="","HAN-"&amp;TEXT(COUNTA($C$5:C21),"000"))</f>
        <v/>
      </c>
      <c r="C21" s="12" t="n"/>
      <c r="D21" s="12" t="n"/>
      <c r="E21" s="12" t="n"/>
      <c r="F21" s="12" t="n"/>
      <c r="G21" s="12" t="n"/>
      <c r="H21" s="12" t="n"/>
      <c r="I21" s="41" t="n"/>
      <c r="J21" s="41" t="n"/>
      <c r="K21" s="18" t="n"/>
      <c r="L21" s="12" t="n"/>
      <c r="M21" s="12" t="n"/>
    </row>
    <row r="22" ht="22" customHeight="1">
      <c r="B22" s="16">
        <f>IF(C22="","HAN-"&amp;TEXT(COUNTA($C$5:C22),"000"))</f>
        <v/>
      </c>
      <c r="C22" s="14" t="n"/>
      <c r="D22" s="14" t="n"/>
      <c r="E22" s="14" t="n"/>
      <c r="F22" s="14" t="n"/>
      <c r="G22" s="14" t="n"/>
      <c r="H22" s="14" t="n"/>
      <c r="I22" s="42" t="n"/>
      <c r="J22" s="42" t="n"/>
      <c r="K22" s="19" t="n"/>
      <c r="L22" s="14" t="n"/>
      <c r="M22" s="14" t="n"/>
    </row>
    <row r="23" ht="22" customHeight="1">
      <c r="B23" s="17">
        <f>IF(C23="","HAN-"&amp;TEXT(COUNTA($C$5:C23),"000"))</f>
        <v/>
      </c>
      <c r="C23" s="12" t="n"/>
      <c r="D23" s="12" t="n"/>
      <c r="E23" s="12" t="n"/>
      <c r="F23" s="12" t="n"/>
      <c r="G23" s="12" t="n"/>
      <c r="H23" s="12" t="n"/>
      <c r="I23" s="41" t="n"/>
      <c r="J23" s="41" t="n"/>
      <c r="K23" s="18" t="n"/>
      <c r="L23" s="12" t="n"/>
      <c r="M23" s="12" t="n"/>
    </row>
    <row r="24" ht="22" customHeight="1">
      <c r="B24" s="16">
        <f>IF(C24="","HAN-"&amp;TEXT(COUNTA($C$5:C24),"000"))</f>
        <v/>
      </c>
      <c r="C24" s="14" t="n"/>
      <c r="D24" s="14" t="n"/>
      <c r="E24" s="14" t="n"/>
      <c r="F24" s="14" t="n"/>
      <c r="G24" s="14" t="n"/>
      <c r="H24" s="14" t="n"/>
      <c r="I24" s="42" t="n"/>
      <c r="J24" s="42" t="n"/>
      <c r="K24" s="19" t="n"/>
      <c r="L24" s="14" t="n"/>
      <c r="M24" s="14" t="n"/>
    </row>
    <row r="25" ht="22" customHeight="1">
      <c r="B25" s="17">
        <f>IF(C25="","HAN-"&amp;TEXT(COUNTA($C$5:C25),"000"))</f>
        <v/>
      </c>
      <c r="C25" s="12" t="n"/>
      <c r="D25" s="12" t="n"/>
      <c r="E25" s="12" t="n"/>
      <c r="F25" s="12" t="n"/>
      <c r="G25" s="12" t="n"/>
      <c r="H25" s="12" t="n"/>
      <c r="I25" s="41" t="n"/>
      <c r="J25" s="41" t="n"/>
      <c r="K25" s="18" t="n"/>
      <c r="L25" s="12" t="n"/>
      <c r="M25" s="12" t="n"/>
    </row>
    <row r="26" ht="22" customHeight="1">
      <c r="B26" s="16">
        <f>IF(C26="","HAN-"&amp;TEXT(COUNTA($C$5:C26),"000"))</f>
        <v/>
      </c>
      <c r="C26" s="14" t="n"/>
      <c r="D26" s="14" t="n"/>
      <c r="E26" s="14" t="n"/>
      <c r="F26" s="14" t="n"/>
      <c r="G26" s="14" t="n"/>
      <c r="H26" s="14" t="n"/>
      <c r="I26" s="42" t="n"/>
      <c r="J26" s="42" t="n"/>
      <c r="K26" s="19" t="n"/>
      <c r="L26" s="14" t="n"/>
      <c r="M26" s="14" t="n"/>
    </row>
    <row r="27" ht="22" customHeight="1">
      <c r="B27" s="17">
        <f>IF(C27="","HAN-"&amp;TEXT(COUNTA($C$5:C27),"000"))</f>
        <v/>
      </c>
      <c r="C27" s="12" t="n"/>
      <c r="D27" s="12" t="n"/>
      <c r="E27" s="12" t="n"/>
      <c r="F27" s="12" t="n"/>
      <c r="G27" s="12" t="n"/>
      <c r="H27" s="12" t="n"/>
      <c r="I27" s="41" t="n"/>
      <c r="J27" s="41" t="n"/>
      <c r="K27" s="18" t="n"/>
      <c r="L27" s="12" t="n"/>
      <c r="M27" s="12" t="n"/>
    </row>
    <row r="28" ht="22" customHeight="1">
      <c r="B28" s="16">
        <f>IF(C28="","HAN-"&amp;TEXT(COUNTA($C$5:C28),"000"))</f>
        <v/>
      </c>
      <c r="C28" s="14" t="n"/>
      <c r="D28" s="14" t="n"/>
      <c r="E28" s="14" t="n"/>
      <c r="F28" s="14" t="n"/>
      <c r="G28" s="14" t="n"/>
      <c r="H28" s="14" t="n"/>
      <c r="I28" s="42" t="n"/>
      <c r="J28" s="42" t="n"/>
      <c r="K28" s="19" t="n"/>
      <c r="L28" s="14" t="n"/>
      <c r="M28" s="14" t="n"/>
    </row>
    <row r="29" ht="22" customHeight="1">
      <c r="B29" s="17">
        <f>IF(C29="","HAN-"&amp;TEXT(COUNTA($C$5:C29),"000"))</f>
        <v/>
      </c>
      <c r="C29" s="12" t="n"/>
      <c r="D29" s="12" t="n"/>
      <c r="E29" s="12" t="n"/>
      <c r="F29" s="12" t="n"/>
      <c r="G29" s="12" t="n"/>
      <c r="H29" s="12" t="n"/>
      <c r="I29" s="41" t="n"/>
      <c r="J29" s="41" t="n"/>
      <c r="K29" s="18" t="n"/>
      <c r="L29" s="12" t="n"/>
      <c r="M29" s="12" t="n"/>
    </row>
    <row r="30" ht="22" customHeight="1">
      <c r="B30" s="16">
        <f>IF(C30="","HAN-"&amp;TEXT(COUNTA($C$5:C30),"000"))</f>
        <v/>
      </c>
      <c r="C30" s="14" t="n"/>
      <c r="D30" s="14" t="n"/>
      <c r="E30" s="14" t="n"/>
      <c r="F30" s="14" t="n"/>
      <c r="G30" s="14" t="n"/>
      <c r="H30" s="14" t="n"/>
      <c r="I30" s="42" t="n"/>
      <c r="J30" s="42" t="n"/>
      <c r="K30" s="19" t="n"/>
      <c r="L30" s="14" t="n"/>
      <c r="M30" s="14" t="n"/>
    </row>
    <row r="31" ht="22" customHeight="1">
      <c r="B31" s="17">
        <f>IF(C31="","HAN-"&amp;TEXT(COUNTA($C$5:C31),"000"))</f>
        <v/>
      </c>
      <c r="C31" s="12" t="n"/>
      <c r="D31" s="12" t="n"/>
      <c r="E31" s="12" t="n"/>
      <c r="F31" s="12" t="n"/>
      <c r="G31" s="12" t="n"/>
      <c r="H31" s="12" t="n"/>
      <c r="I31" s="41" t="n"/>
      <c r="J31" s="41" t="n"/>
      <c r="K31" s="18" t="n"/>
      <c r="L31" s="12" t="n"/>
      <c r="M31" s="12" t="n"/>
    </row>
    <row r="32" ht="22" customHeight="1">
      <c r="B32" s="16">
        <f>IF(C32="","HAN-"&amp;TEXT(COUNTA($C$5:C32),"000"))</f>
        <v/>
      </c>
      <c r="C32" s="14" t="n"/>
      <c r="D32" s="14" t="n"/>
      <c r="E32" s="14" t="n"/>
      <c r="F32" s="14" t="n"/>
      <c r="G32" s="14" t="n"/>
      <c r="H32" s="14" t="n"/>
      <c r="I32" s="42" t="n"/>
      <c r="J32" s="42" t="n"/>
      <c r="K32" s="19" t="n"/>
      <c r="L32" s="14" t="n"/>
      <c r="M32" s="14" t="n"/>
    </row>
    <row r="33" ht="22" customHeight="1">
      <c r="B33" s="17">
        <f>IF(C33="","HAN-"&amp;TEXT(COUNTA($C$5:C33),"000"))</f>
        <v/>
      </c>
      <c r="C33" s="12" t="n"/>
      <c r="D33" s="12" t="n"/>
      <c r="E33" s="12" t="n"/>
      <c r="F33" s="12" t="n"/>
      <c r="G33" s="12" t="n"/>
      <c r="H33" s="12" t="n"/>
      <c r="I33" s="41" t="n"/>
      <c r="J33" s="41" t="n"/>
      <c r="K33" s="18" t="n"/>
      <c r="L33" s="12" t="n"/>
      <c r="M33" s="12" t="n"/>
    </row>
    <row r="34" ht="22" customHeight="1">
      <c r="B34" s="16">
        <f>IF(C34="","HAN-"&amp;TEXT(COUNTA($C$5:C34),"000"))</f>
        <v/>
      </c>
      <c r="C34" s="14" t="n"/>
      <c r="D34" s="14" t="n"/>
      <c r="E34" s="14" t="n"/>
      <c r="F34" s="14" t="n"/>
      <c r="G34" s="14" t="n"/>
      <c r="H34" s="14" t="n"/>
      <c r="I34" s="42" t="n"/>
      <c r="J34" s="42" t="n"/>
      <c r="K34" s="19" t="n"/>
      <c r="L34" s="14" t="n"/>
      <c r="M34" s="14" t="n"/>
    </row>
    <row r="35" ht="22" customHeight="1">
      <c r="B35" s="17">
        <f>IF(C35="","HAN-"&amp;TEXT(COUNTA($C$5:C35),"000"))</f>
        <v/>
      </c>
      <c r="C35" s="12" t="n"/>
      <c r="D35" s="12" t="n"/>
      <c r="E35" s="12" t="n"/>
      <c r="F35" s="12" t="n"/>
      <c r="G35" s="12" t="n"/>
      <c r="H35" s="12" t="n"/>
      <c r="I35" s="41" t="n"/>
      <c r="J35" s="41" t="n"/>
      <c r="K35" s="18" t="n"/>
      <c r="L35" s="12" t="n"/>
      <c r="M35" s="12" t="n"/>
    </row>
    <row r="36" ht="22" customHeight="1">
      <c r="B36" s="16">
        <f>IF(C36="","HAN-"&amp;TEXT(COUNTA($C$5:C36),"000"))</f>
        <v/>
      </c>
      <c r="C36" s="14" t="n"/>
      <c r="D36" s="14" t="n"/>
      <c r="E36" s="14" t="n"/>
      <c r="F36" s="14" t="n"/>
      <c r="G36" s="14" t="n"/>
      <c r="H36" s="14" t="n"/>
      <c r="I36" s="42" t="n"/>
      <c r="J36" s="42" t="n"/>
      <c r="K36" s="19" t="n"/>
      <c r="L36" s="14" t="n"/>
      <c r="M36" s="14" t="n"/>
    </row>
    <row r="37" ht="22" customHeight="1">
      <c r="B37" s="17">
        <f>IF(C37="","HAN-"&amp;TEXT(COUNTA($C$5:C37),"000"))</f>
        <v/>
      </c>
      <c r="C37" s="12" t="n"/>
      <c r="D37" s="12" t="n"/>
      <c r="E37" s="12" t="n"/>
      <c r="F37" s="12" t="n"/>
      <c r="G37" s="12" t="n"/>
      <c r="H37" s="12" t="n"/>
      <c r="I37" s="41" t="n"/>
      <c r="J37" s="41" t="n"/>
      <c r="K37" s="18" t="n"/>
      <c r="L37" s="12" t="n"/>
      <c r="M37" s="12" t="n"/>
    </row>
    <row r="38" ht="22" customHeight="1">
      <c r="B38" s="16">
        <f>IF(C38="","HAN-"&amp;TEXT(COUNTA($C$5:C38),"000"))</f>
        <v/>
      </c>
      <c r="C38" s="14" t="n"/>
      <c r="D38" s="14" t="n"/>
      <c r="E38" s="14" t="n"/>
      <c r="F38" s="14" t="n"/>
      <c r="G38" s="14" t="n"/>
      <c r="H38" s="14" t="n"/>
      <c r="I38" s="42" t="n"/>
      <c r="J38" s="42" t="n"/>
      <c r="K38" s="19" t="n"/>
      <c r="L38" s="14" t="n"/>
      <c r="M38" s="14" t="n"/>
    </row>
    <row r="39" ht="22" customHeight="1">
      <c r="B39" s="17">
        <f>IF(C39="","HAN-"&amp;TEXT(COUNTA($C$5:C39),"000"))</f>
        <v/>
      </c>
      <c r="C39" s="12" t="n"/>
      <c r="D39" s="12" t="n"/>
      <c r="E39" s="12" t="n"/>
      <c r="F39" s="12" t="n"/>
      <c r="G39" s="12" t="n"/>
      <c r="H39" s="12" t="n"/>
      <c r="I39" s="41" t="n"/>
      <c r="J39" s="41" t="n"/>
      <c r="K39" s="18" t="n"/>
      <c r="L39" s="12" t="n"/>
      <c r="M39" s="12" t="n"/>
    </row>
    <row r="40" ht="22" customHeight="1">
      <c r="B40" s="16">
        <f>IF(C40="","HAN-"&amp;TEXT(COUNTA($C$5:C40),"000"))</f>
        <v/>
      </c>
      <c r="C40" s="14" t="n"/>
      <c r="D40" s="14" t="n"/>
      <c r="E40" s="14" t="n"/>
      <c r="F40" s="14" t="n"/>
      <c r="G40" s="14" t="n"/>
      <c r="H40" s="14" t="n"/>
      <c r="I40" s="42" t="n"/>
      <c r="J40" s="42" t="n"/>
      <c r="K40" s="19" t="n"/>
      <c r="L40" s="14" t="n"/>
      <c r="M40" s="14" t="n"/>
    </row>
    <row r="41" ht="22" customHeight="1">
      <c r="B41" s="17">
        <f>IF(C41="","HAN-"&amp;TEXT(COUNTA($C$5:C41),"000"))</f>
        <v/>
      </c>
      <c r="C41" s="12" t="n"/>
      <c r="D41" s="12" t="n"/>
      <c r="E41" s="12" t="n"/>
      <c r="F41" s="12" t="n"/>
      <c r="G41" s="12" t="n"/>
      <c r="H41" s="12" t="n"/>
      <c r="I41" s="41" t="n"/>
      <c r="J41" s="41" t="n"/>
      <c r="K41" s="18" t="n"/>
      <c r="L41" s="12" t="n"/>
      <c r="M41" s="12" t="n"/>
    </row>
    <row r="42" ht="22" customHeight="1">
      <c r="B42" s="16">
        <f>IF(C42="","HAN-"&amp;TEXT(COUNTA($C$5:C42),"000"))</f>
        <v/>
      </c>
      <c r="C42" s="14" t="n"/>
      <c r="D42" s="14" t="n"/>
      <c r="E42" s="14" t="n"/>
      <c r="F42" s="14" t="n"/>
      <c r="G42" s="14" t="n"/>
      <c r="H42" s="14" t="n"/>
      <c r="I42" s="42" t="n"/>
      <c r="J42" s="42" t="n"/>
      <c r="K42" s="19" t="n"/>
      <c r="L42" s="14" t="n"/>
      <c r="M42" s="14" t="n"/>
    </row>
    <row r="43" ht="22" customHeight="1">
      <c r="B43" s="17">
        <f>IF(C43="","HAN-"&amp;TEXT(COUNTA($C$5:C43),"000"))</f>
        <v/>
      </c>
      <c r="C43" s="12" t="n"/>
      <c r="D43" s="12" t="n"/>
      <c r="E43" s="12" t="n"/>
      <c r="F43" s="12" t="n"/>
      <c r="G43" s="12" t="n"/>
      <c r="H43" s="12" t="n"/>
      <c r="I43" s="41" t="n"/>
      <c r="J43" s="41" t="n"/>
      <c r="K43" s="18" t="n"/>
      <c r="L43" s="12" t="n"/>
      <c r="M43" s="12" t="n"/>
    </row>
    <row r="44" ht="22" customHeight="1">
      <c r="B44" s="16">
        <f>IF(C44="","HAN-"&amp;TEXT(COUNTA($C$5:C44),"000"))</f>
        <v/>
      </c>
      <c r="C44" s="14" t="n"/>
      <c r="D44" s="14" t="n"/>
      <c r="E44" s="14" t="n"/>
      <c r="F44" s="14" t="n"/>
      <c r="G44" s="14" t="n"/>
      <c r="H44" s="14" t="n"/>
      <c r="I44" s="42" t="n"/>
      <c r="J44" s="42" t="n"/>
      <c r="K44" s="19" t="n"/>
      <c r="L44" s="14" t="n"/>
      <c r="M44" s="14" t="n"/>
    </row>
    <row r="45" ht="22" customHeight="1">
      <c r="B45" s="17">
        <f>IF(C45="","HAN-"&amp;TEXT(COUNTA($C$5:C45),"000"))</f>
        <v/>
      </c>
      <c r="C45" s="12" t="n"/>
      <c r="D45" s="12" t="n"/>
      <c r="E45" s="12" t="n"/>
      <c r="F45" s="12" t="n"/>
      <c r="G45" s="12" t="n"/>
      <c r="H45" s="12" t="n"/>
      <c r="I45" s="41" t="n"/>
      <c r="J45" s="41" t="n"/>
      <c r="K45" s="18" t="n"/>
      <c r="L45" s="12" t="n"/>
      <c r="M45" s="12" t="n"/>
    </row>
    <row r="46" ht="22" customHeight="1">
      <c r="B46" s="16">
        <f>IF(C46="","HAN-"&amp;TEXT(COUNTA($C$5:C46),"000"))</f>
        <v/>
      </c>
      <c r="C46" s="14" t="n"/>
      <c r="D46" s="14" t="n"/>
      <c r="E46" s="14" t="n"/>
      <c r="F46" s="14" t="n"/>
      <c r="G46" s="14" t="n"/>
      <c r="H46" s="14" t="n"/>
      <c r="I46" s="42" t="n"/>
      <c r="J46" s="42" t="n"/>
      <c r="K46" s="19" t="n"/>
      <c r="L46" s="14" t="n"/>
      <c r="M46" s="14" t="n"/>
    </row>
    <row r="47" ht="22" customHeight="1">
      <c r="B47" s="17">
        <f>IF(C47="","HAN-"&amp;TEXT(COUNTA($C$5:C47),"000"))</f>
        <v/>
      </c>
      <c r="C47" s="12" t="n"/>
      <c r="D47" s="12" t="n"/>
      <c r="E47" s="12" t="n"/>
      <c r="F47" s="12" t="n"/>
      <c r="G47" s="12" t="n"/>
      <c r="H47" s="12" t="n"/>
      <c r="I47" s="41" t="n"/>
      <c r="J47" s="41" t="n"/>
      <c r="K47" s="18" t="n"/>
      <c r="L47" s="12" t="n"/>
      <c r="M47" s="12" t="n"/>
    </row>
    <row r="48" ht="22" customHeight="1">
      <c r="B48" s="16">
        <f>IF(C48="","HAN-"&amp;TEXT(COUNTA($C$5:C48),"000"))</f>
        <v/>
      </c>
      <c r="C48" s="14" t="n"/>
      <c r="D48" s="14" t="n"/>
      <c r="E48" s="14" t="n"/>
      <c r="F48" s="14" t="n"/>
      <c r="G48" s="14" t="n"/>
      <c r="H48" s="14" t="n"/>
      <c r="I48" s="42" t="n"/>
      <c r="J48" s="42" t="n"/>
      <c r="K48" s="19" t="n"/>
      <c r="L48" s="14" t="n"/>
      <c r="M48" s="14" t="n"/>
    </row>
    <row r="49" ht="22" customHeight="1">
      <c r="B49" s="17">
        <f>IF(C49="","HAN-"&amp;TEXT(COUNTA($C$5:C49),"000"))</f>
        <v/>
      </c>
      <c r="C49" s="12" t="n"/>
      <c r="D49" s="12" t="n"/>
      <c r="E49" s="12" t="n"/>
      <c r="F49" s="12" t="n"/>
      <c r="G49" s="12" t="n"/>
      <c r="H49" s="12" t="n"/>
      <c r="I49" s="41" t="n"/>
      <c r="J49" s="41" t="n"/>
      <c r="K49" s="18" t="n"/>
      <c r="L49" s="12" t="n"/>
      <c r="M49" s="12" t="n"/>
    </row>
    <row r="50" ht="22" customHeight="1">
      <c r="B50" s="16">
        <f>IF(C50="","HAN-"&amp;TEXT(COUNTA($C$5:C50),"000"))</f>
        <v/>
      </c>
      <c r="C50" s="14" t="n"/>
      <c r="D50" s="14" t="n"/>
      <c r="E50" s="14" t="n"/>
      <c r="F50" s="14" t="n"/>
      <c r="G50" s="14" t="n"/>
      <c r="H50" s="14" t="n"/>
      <c r="I50" s="42" t="n"/>
      <c r="J50" s="42" t="n"/>
      <c r="K50" s="19" t="n"/>
      <c r="L50" s="14" t="n"/>
      <c r="M50" s="14" t="n"/>
    </row>
    <row r="51" ht="22" customHeight="1">
      <c r="B51" s="17">
        <f>IF(C51="","HAN-"&amp;TEXT(COUNTA($C$5:C51),"000"))</f>
        <v/>
      </c>
      <c r="C51" s="12" t="n"/>
      <c r="D51" s="12" t="n"/>
      <c r="E51" s="12" t="n"/>
      <c r="F51" s="12" t="n"/>
      <c r="G51" s="12" t="n"/>
      <c r="H51" s="12" t="n"/>
      <c r="I51" s="41" t="n"/>
      <c r="J51" s="41" t="n"/>
      <c r="K51" s="18" t="n"/>
      <c r="L51" s="12" t="n"/>
      <c r="M51" s="12" t="n"/>
    </row>
    <row r="52" ht="22" customHeight="1">
      <c r="B52" s="16">
        <f>IF(C52="","HAN-"&amp;TEXT(COUNTA($C$5:C52),"000"))</f>
        <v/>
      </c>
      <c r="C52" s="14" t="n"/>
      <c r="D52" s="14" t="n"/>
      <c r="E52" s="14" t="n"/>
      <c r="F52" s="14" t="n"/>
      <c r="G52" s="14" t="n"/>
      <c r="H52" s="14" t="n"/>
      <c r="I52" s="42" t="n"/>
      <c r="J52" s="42" t="n"/>
      <c r="K52" s="19" t="n"/>
      <c r="L52" s="14" t="n"/>
      <c r="M52" s="14" t="n"/>
    </row>
    <row r="53" ht="22" customHeight="1">
      <c r="B53" s="17">
        <f>IF(C53="","HAN-"&amp;TEXT(COUNTA($C$5:C53),"000"))</f>
        <v/>
      </c>
      <c r="C53" s="12" t="n"/>
      <c r="D53" s="12" t="n"/>
      <c r="E53" s="12" t="n"/>
      <c r="F53" s="12" t="n"/>
      <c r="G53" s="12" t="n"/>
      <c r="H53" s="12" t="n"/>
      <c r="I53" s="41" t="n"/>
      <c r="J53" s="41" t="n"/>
      <c r="K53" s="18" t="n"/>
      <c r="L53" s="12" t="n"/>
      <c r="M53" s="12" t="n"/>
    </row>
    <row r="54" ht="22" customHeight="1">
      <c r="B54" s="16">
        <f>IF(C54="","HAN-"&amp;TEXT(COUNTA($C$5:C54),"000"))</f>
        <v/>
      </c>
      <c r="C54" s="14" t="n"/>
      <c r="D54" s="14" t="n"/>
      <c r="E54" s="14" t="n"/>
      <c r="F54" s="14" t="n"/>
      <c r="G54" s="14" t="n"/>
      <c r="H54" s="14" t="n"/>
      <c r="I54" s="42" t="n"/>
      <c r="J54" s="42" t="n"/>
      <c r="K54" s="19" t="n"/>
      <c r="L54" s="14" t="n"/>
      <c r="M54" s="14" t="n"/>
    </row>
    <row r="55" ht="22" customHeight="1">
      <c r="B55" s="17">
        <f>IF(C55="","HAN-"&amp;TEXT(COUNTA($C$5:C55),"000"))</f>
        <v/>
      </c>
      <c r="C55" s="12" t="n"/>
      <c r="D55" s="12" t="n"/>
      <c r="E55" s="12" t="n"/>
      <c r="F55" s="12" t="n"/>
      <c r="G55" s="12" t="n"/>
      <c r="H55" s="12" t="n"/>
      <c r="I55" s="41" t="n"/>
      <c r="J55" s="41" t="n"/>
      <c r="K55" s="18" t="n"/>
      <c r="L55" s="12" t="n"/>
      <c r="M55" s="12" t="n"/>
    </row>
    <row r="56" ht="22" customHeight="1">
      <c r="B56" s="16">
        <f>IF(C56="","HAN-"&amp;TEXT(COUNTA($C$5:C56),"000"))</f>
        <v/>
      </c>
      <c r="C56" s="14" t="n"/>
      <c r="D56" s="14" t="n"/>
      <c r="E56" s="14" t="n"/>
      <c r="F56" s="14" t="n"/>
      <c r="G56" s="14" t="n"/>
      <c r="H56" s="14" t="n"/>
      <c r="I56" s="42" t="n"/>
      <c r="J56" s="42" t="n"/>
      <c r="K56" s="19" t="n"/>
      <c r="L56" s="14" t="n"/>
      <c r="M56" s="14" t="n"/>
    </row>
    <row r="57" ht="22" customHeight="1">
      <c r="B57" s="17">
        <f>IF(C57="","HAN-"&amp;TEXT(COUNTA($C$5:C57),"000"))</f>
        <v/>
      </c>
      <c r="C57" s="12" t="n"/>
      <c r="D57" s="12" t="n"/>
      <c r="E57" s="12" t="n"/>
      <c r="F57" s="12" t="n"/>
      <c r="G57" s="12" t="n"/>
      <c r="H57" s="12" t="n"/>
      <c r="I57" s="41" t="n"/>
      <c r="J57" s="41" t="n"/>
      <c r="K57" s="18" t="n"/>
      <c r="L57" s="12" t="n"/>
      <c r="M57" s="12" t="n"/>
    </row>
    <row r="58" ht="22" customHeight="1">
      <c r="B58" s="16">
        <f>IF(C58="","HAN-"&amp;TEXT(COUNTA($C$5:C58),"000"))</f>
        <v/>
      </c>
      <c r="C58" s="14" t="n"/>
      <c r="D58" s="14" t="n"/>
      <c r="E58" s="14" t="n"/>
      <c r="F58" s="14" t="n"/>
      <c r="G58" s="14" t="n"/>
      <c r="H58" s="14" t="n"/>
      <c r="I58" s="42" t="n"/>
      <c r="J58" s="42" t="n"/>
      <c r="K58" s="19" t="n"/>
      <c r="L58" s="14" t="n"/>
      <c r="M58" s="14" t="n"/>
    </row>
    <row r="59" ht="22" customHeight="1">
      <c r="B59" s="17">
        <f>IF(C59="","HAN-"&amp;TEXT(COUNTA($C$5:C59),"000"))</f>
        <v/>
      </c>
      <c r="C59" s="12" t="n"/>
      <c r="D59" s="12" t="n"/>
      <c r="E59" s="12" t="n"/>
      <c r="F59" s="12" t="n"/>
      <c r="G59" s="12" t="n"/>
      <c r="H59" s="12" t="n"/>
      <c r="I59" s="41" t="n"/>
      <c r="J59" s="41" t="n"/>
      <c r="K59" s="18" t="n"/>
      <c r="L59" s="12" t="n"/>
      <c r="M59" s="12" t="n"/>
    </row>
    <row r="60" ht="22" customHeight="1">
      <c r="B60" s="16">
        <f>IF(C60="","HAN-"&amp;TEXT(COUNTA($C$5:C60),"000"))</f>
        <v/>
      </c>
      <c r="C60" s="14" t="n"/>
      <c r="D60" s="14" t="n"/>
      <c r="E60" s="14" t="n"/>
      <c r="F60" s="14" t="n"/>
      <c r="G60" s="14" t="n"/>
      <c r="H60" s="14" t="n"/>
      <c r="I60" s="42" t="n"/>
      <c r="J60" s="42" t="n"/>
      <c r="K60" s="19" t="n"/>
      <c r="L60" s="14" t="n"/>
      <c r="M60" s="14" t="n"/>
    </row>
    <row r="61" ht="22" customHeight="1">
      <c r="B61" s="17">
        <f>IF(C61="","HAN-"&amp;TEXT(COUNTA($C$5:C61),"000"))</f>
        <v/>
      </c>
      <c r="C61" s="12" t="n"/>
      <c r="D61" s="12" t="n"/>
      <c r="E61" s="12" t="n"/>
      <c r="F61" s="12" t="n"/>
      <c r="G61" s="12" t="n"/>
      <c r="H61" s="12" t="n"/>
      <c r="I61" s="41" t="n"/>
      <c r="J61" s="41" t="n"/>
      <c r="K61" s="18" t="n"/>
      <c r="L61" s="12" t="n"/>
      <c r="M61" s="12" t="n"/>
    </row>
    <row r="62" ht="22" customHeight="1">
      <c r="B62" s="16">
        <f>IF(C62="","HAN-"&amp;TEXT(COUNTA($C$5:C62),"000"))</f>
        <v/>
      </c>
      <c r="C62" s="14" t="n"/>
      <c r="D62" s="14" t="n"/>
      <c r="E62" s="14" t="n"/>
      <c r="F62" s="14" t="n"/>
      <c r="G62" s="14" t="n"/>
      <c r="H62" s="14" t="n"/>
      <c r="I62" s="42" t="n"/>
      <c r="J62" s="42" t="n"/>
      <c r="K62" s="19" t="n"/>
      <c r="L62" s="14" t="n"/>
      <c r="M62" s="14" t="n"/>
    </row>
    <row r="63" ht="22" customHeight="1">
      <c r="B63" s="17">
        <f>IF(C63="","HAN-"&amp;TEXT(COUNTA($C$5:C63),"000"))</f>
        <v/>
      </c>
      <c r="C63" s="12" t="n"/>
      <c r="D63" s="12" t="n"/>
      <c r="E63" s="12" t="n"/>
      <c r="F63" s="12" t="n"/>
      <c r="G63" s="12" t="n"/>
      <c r="H63" s="12" t="n"/>
      <c r="I63" s="41" t="n"/>
      <c r="J63" s="41" t="n"/>
      <c r="K63" s="18" t="n"/>
      <c r="L63" s="12" t="n"/>
      <c r="M63" s="12" t="n"/>
    </row>
    <row r="64" ht="22" customHeight="1">
      <c r="B64" s="16">
        <f>IF(C64="","HAN-"&amp;TEXT(COUNTA($C$5:C64),"000"))</f>
        <v/>
      </c>
      <c r="C64" s="14" t="n"/>
      <c r="D64" s="14" t="n"/>
      <c r="E64" s="14" t="n"/>
      <c r="F64" s="14" t="n"/>
      <c r="G64" s="14" t="n"/>
      <c r="H64" s="14" t="n"/>
      <c r="I64" s="42" t="n"/>
      <c r="J64" s="42" t="n"/>
      <c r="K64" s="19" t="n"/>
      <c r="L64" s="14" t="n"/>
      <c r="M64" s="14" t="n"/>
    </row>
    <row r="65" ht="22" customHeight="1">
      <c r="B65" s="17">
        <f>IF(C65="","HAN-"&amp;TEXT(COUNTA($C$5:C65),"000"))</f>
        <v/>
      </c>
      <c r="C65" s="12" t="n"/>
      <c r="D65" s="12" t="n"/>
      <c r="E65" s="12" t="n"/>
      <c r="F65" s="12" t="n"/>
      <c r="G65" s="12" t="n"/>
      <c r="H65" s="12" t="n"/>
      <c r="I65" s="41" t="n"/>
      <c r="J65" s="41" t="n"/>
      <c r="K65" s="18" t="n"/>
      <c r="L65" s="12" t="n"/>
      <c r="M65" s="12" t="n"/>
    </row>
    <row r="66" ht="22" customHeight="1">
      <c r="B66" s="16">
        <f>IF(C66="","HAN-"&amp;TEXT(COUNTA($C$5:C66),"000"))</f>
        <v/>
      </c>
      <c r="C66" s="14" t="n"/>
      <c r="D66" s="14" t="n"/>
      <c r="E66" s="14" t="n"/>
      <c r="F66" s="14" t="n"/>
      <c r="G66" s="14" t="n"/>
      <c r="H66" s="14" t="n"/>
      <c r="I66" s="42" t="n"/>
      <c r="J66" s="42" t="n"/>
      <c r="K66" s="19" t="n"/>
      <c r="L66" s="14" t="n"/>
      <c r="M66" s="14" t="n"/>
    </row>
    <row r="67" ht="22" customHeight="1">
      <c r="B67" s="17">
        <f>IF(C67="","HAN-"&amp;TEXT(COUNTA($C$5:C67),"000"))</f>
        <v/>
      </c>
      <c r="C67" s="12" t="n"/>
      <c r="D67" s="12" t="n"/>
      <c r="E67" s="12" t="n"/>
      <c r="F67" s="12" t="n"/>
      <c r="G67" s="12" t="n"/>
      <c r="H67" s="12" t="n"/>
      <c r="I67" s="41" t="n"/>
      <c r="J67" s="41" t="n"/>
      <c r="K67" s="18" t="n"/>
      <c r="L67" s="12" t="n"/>
      <c r="M67" s="12" t="n"/>
    </row>
    <row r="68" ht="22" customHeight="1">
      <c r="B68" s="16">
        <f>IF(C68="","HAN-"&amp;TEXT(COUNTA($C$5:C68),"000"))</f>
        <v/>
      </c>
      <c r="C68" s="14" t="n"/>
      <c r="D68" s="14" t="n"/>
      <c r="E68" s="14" t="n"/>
      <c r="F68" s="14" t="n"/>
      <c r="G68" s="14" t="n"/>
      <c r="H68" s="14" t="n"/>
      <c r="I68" s="42" t="n"/>
      <c r="J68" s="42" t="n"/>
      <c r="K68" s="19" t="n"/>
      <c r="L68" s="14" t="n"/>
      <c r="M68" s="14" t="n"/>
    </row>
    <row r="69" ht="22" customHeight="1">
      <c r="B69" s="17">
        <f>IF(C69="","HAN-"&amp;TEXT(COUNTA($C$5:C69),"000"))</f>
        <v/>
      </c>
      <c r="C69" s="12" t="n"/>
      <c r="D69" s="12" t="n"/>
      <c r="E69" s="12" t="n"/>
      <c r="F69" s="12" t="n"/>
      <c r="G69" s="12" t="n"/>
      <c r="H69" s="12" t="n"/>
      <c r="I69" s="41" t="n"/>
      <c r="J69" s="41" t="n"/>
      <c r="K69" s="18" t="n"/>
      <c r="L69" s="12" t="n"/>
      <c r="M69" s="12" t="n"/>
    </row>
    <row r="70" ht="22" customHeight="1">
      <c r="B70" s="16">
        <f>IF(C70="","HAN-"&amp;TEXT(COUNTA($C$5:C70),"000"))</f>
        <v/>
      </c>
      <c r="C70" s="14" t="n"/>
      <c r="D70" s="14" t="n"/>
      <c r="E70" s="14" t="n"/>
      <c r="F70" s="14" t="n"/>
      <c r="G70" s="14" t="n"/>
      <c r="H70" s="14" t="n"/>
      <c r="I70" s="42" t="n"/>
      <c r="J70" s="42" t="n"/>
      <c r="K70" s="19" t="n"/>
      <c r="L70" s="14" t="n"/>
      <c r="M70" s="14" t="n"/>
    </row>
    <row r="71" ht="22" customHeight="1">
      <c r="B71" s="17">
        <f>IF(C71="","HAN-"&amp;TEXT(COUNTA($C$5:C71),"000"))</f>
        <v/>
      </c>
      <c r="C71" s="12" t="n"/>
      <c r="D71" s="12" t="n"/>
      <c r="E71" s="12" t="n"/>
      <c r="F71" s="12" t="n"/>
      <c r="G71" s="12" t="n"/>
      <c r="H71" s="12" t="n"/>
      <c r="I71" s="41" t="n"/>
      <c r="J71" s="41" t="n"/>
      <c r="K71" s="18" t="n"/>
      <c r="L71" s="12" t="n"/>
      <c r="M71" s="12" t="n"/>
    </row>
    <row r="72" ht="22" customHeight="1">
      <c r="B72" s="16">
        <f>IF(C72="","HAN-"&amp;TEXT(COUNTA($C$5:C72),"000"))</f>
        <v/>
      </c>
      <c r="C72" s="14" t="n"/>
      <c r="D72" s="14" t="n"/>
      <c r="E72" s="14" t="n"/>
      <c r="F72" s="14" t="n"/>
      <c r="G72" s="14" t="n"/>
      <c r="H72" s="14" t="n"/>
      <c r="I72" s="42" t="n"/>
      <c r="J72" s="42" t="n"/>
      <c r="K72" s="19" t="n"/>
      <c r="L72" s="14" t="n"/>
      <c r="M72" s="14" t="n"/>
    </row>
    <row r="73" ht="22" customHeight="1">
      <c r="B73" s="17">
        <f>IF(C73="","HAN-"&amp;TEXT(COUNTA($C$5:C73),"000"))</f>
        <v/>
      </c>
      <c r="C73" s="12" t="n"/>
      <c r="D73" s="12" t="n"/>
      <c r="E73" s="12" t="n"/>
      <c r="F73" s="12" t="n"/>
      <c r="G73" s="12" t="n"/>
      <c r="H73" s="12" t="n"/>
      <c r="I73" s="41" t="n"/>
      <c r="J73" s="41" t="n"/>
      <c r="K73" s="18" t="n"/>
      <c r="L73" s="12" t="n"/>
      <c r="M73" s="12" t="n"/>
    </row>
    <row r="74" ht="22" customHeight="1">
      <c r="B74" s="16">
        <f>IF(C74="","HAN-"&amp;TEXT(COUNTA($C$5:C74),"000"))</f>
        <v/>
      </c>
      <c r="C74" s="14" t="n"/>
      <c r="D74" s="14" t="n"/>
      <c r="E74" s="14" t="n"/>
      <c r="F74" s="14" t="n"/>
      <c r="G74" s="14" t="n"/>
      <c r="H74" s="14" t="n"/>
      <c r="I74" s="42" t="n"/>
      <c r="J74" s="42" t="n"/>
      <c r="K74" s="19" t="n"/>
      <c r="L74" s="14" t="n"/>
      <c r="M74" s="14" t="n"/>
    </row>
    <row r="75" ht="22" customHeight="1">
      <c r="B75" s="17">
        <f>IF(C75="","HAN-"&amp;TEXT(COUNTA($C$5:C75),"000"))</f>
        <v/>
      </c>
      <c r="C75" s="12" t="n"/>
      <c r="D75" s="12" t="n"/>
      <c r="E75" s="12" t="n"/>
      <c r="F75" s="12" t="n"/>
      <c r="G75" s="12" t="n"/>
      <c r="H75" s="12" t="n"/>
      <c r="I75" s="41" t="n"/>
      <c r="J75" s="41" t="n"/>
      <c r="K75" s="18" t="n"/>
      <c r="L75" s="12" t="n"/>
      <c r="M75" s="12" t="n"/>
    </row>
    <row r="76" ht="22" customHeight="1">
      <c r="B76" s="16">
        <f>IF(C76="","HAN-"&amp;TEXT(COUNTA($C$5:C76),"000"))</f>
        <v/>
      </c>
      <c r="C76" s="14" t="n"/>
      <c r="D76" s="14" t="n"/>
      <c r="E76" s="14" t="n"/>
      <c r="F76" s="14" t="n"/>
      <c r="G76" s="14" t="n"/>
      <c r="H76" s="14" t="n"/>
      <c r="I76" s="42" t="n"/>
      <c r="J76" s="42" t="n"/>
      <c r="K76" s="19" t="n"/>
      <c r="L76" s="14" t="n"/>
      <c r="M76" s="14" t="n"/>
    </row>
    <row r="77" ht="22" customHeight="1">
      <c r="B77" s="17">
        <f>IF(C77="","HAN-"&amp;TEXT(COUNTA($C$5:C77),"000"))</f>
        <v/>
      </c>
      <c r="C77" s="12" t="n"/>
      <c r="D77" s="12" t="n"/>
      <c r="E77" s="12" t="n"/>
      <c r="F77" s="12" t="n"/>
      <c r="G77" s="12" t="n"/>
      <c r="H77" s="12" t="n"/>
      <c r="I77" s="41" t="n"/>
      <c r="J77" s="41" t="n"/>
      <c r="K77" s="18" t="n"/>
      <c r="L77" s="12" t="n"/>
      <c r="M77" s="12" t="n"/>
    </row>
    <row r="78" ht="22" customHeight="1">
      <c r="B78" s="16">
        <f>IF(C78="","HAN-"&amp;TEXT(COUNTA($C$5:C78),"000"))</f>
        <v/>
      </c>
      <c r="C78" s="14" t="n"/>
      <c r="D78" s="14" t="n"/>
      <c r="E78" s="14" t="n"/>
      <c r="F78" s="14" t="n"/>
      <c r="G78" s="14" t="n"/>
      <c r="H78" s="14" t="n"/>
      <c r="I78" s="42" t="n"/>
      <c r="J78" s="42" t="n"/>
      <c r="K78" s="19" t="n"/>
      <c r="L78" s="14" t="n"/>
      <c r="M78" s="14" t="n"/>
    </row>
    <row r="79" ht="22" customHeight="1">
      <c r="B79" s="17">
        <f>IF(C79="","HAN-"&amp;TEXT(COUNTA($C$5:C79),"000"))</f>
        <v/>
      </c>
      <c r="C79" s="12" t="n"/>
      <c r="D79" s="12" t="n"/>
      <c r="E79" s="12" t="n"/>
      <c r="F79" s="12" t="n"/>
      <c r="G79" s="12" t="n"/>
      <c r="H79" s="12" t="n"/>
      <c r="I79" s="41" t="n"/>
      <c r="J79" s="41" t="n"/>
      <c r="K79" s="18" t="n"/>
      <c r="L79" s="12" t="n"/>
      <c r="M79" s="12" t="n"/>
    </row>
    <row r="80" ht="22" customHeight="1">
      <c r="B80" s="16">
        <f>IF(C80="","HAN-"&amp;TEXT(COUNTA($C$5:C80),"000"))</f>
        <v/>
      </c>
      <c r="C80" s="14" t="n"/>
      <c r="D80" s="14" t="n"/>
      <c r="E80" s="14" t="n"/>
      <c r="F80" s="14" t="n"/>
      <c r="G80" s="14" t="n"/>
      <c r="H80" s="14" t="n"/>
      <c r="I80" s="42" t="n"/>
      <c r="J80" s="42" t="n"/>
      <c r="K80" s="19" t="n"/>
      <c r="L80" s="14" t="n"/>
      <c r="M80" s="14" t="n"/>
    </row>
    <row r="81" ht="22" customHeight="1">
      <c r="B81" s="17">
        <f>IF(C81="","HAN-"&amp;TEXT(COUNTA($C$5:C81),"000"))</f>
        <v/>
      </c>
      <c r="C81" s="12" t="n"/>
      <c r="D81" s="12" t="n"/>
      <c r="E81" s="12" t="n"/>
      <c r="F81" s="12" t="n"/>
      <c r="G81" s="12" t="n"/>
      <c r="H81" s="12" t="n"/>
      <c r="I81" s="41" t="n"/>
      <c r="J81" s="41" t="n"/>
      <c r="K81" s="18" t="n"/>
      <c r="L81" s="12" t="n"/>
      <c r="M81" s="12" t="n"/>
    </row>
    <row r="82" ht="22" customHeight="1">
      <c r="B82" s="16">
        <f>IF(C82="","HAN-"&amp;TEXT(COUNTA($C$5:C82),"000"))</f>
        <v/>
      </c>
      <c r="C82" s="14" t="n"/>
      <c r="D82" s="14" t="n"/>
      <c r="E82" s="14" t="n"/>
      <c r="F82" s="14" t="n"/>
      <c r="G82" s="14" t="n"/>
      <c r="H82" s="14" t="n"/>
      <c r="I82" s="42" t="n"/>
      <c r="J82" s="42" t="n"/>
      <c r="K82" s="19" t="n"/>
      <c r="L82" s="14" t="n"/>
      <c r="M82" s="14" t="n"/>
    </row>
    <row r="83" ht="22" customHeight="1">
      <c r="B83" s="17">
        <f>IF(C83="","HAN-"&amp;TEXT(COUNTA($C$5:C83),"000"))</f>
        <v/>
      </c>
      <c r="C83" s="12" t="n"/>
      <c r="D83" s="12" t="n"/>
      <c r="E83" s="12" t="n"/>
      <c r="F83" s="12" t="n"/>
      <c r="G83" s="12" t="n"/>
      <c r="H83" s="12" t="n"/>
      <c r="I83" s="41" t="n"/>
      <c r="J83" s="41" t="n"/>
      <c r="K83" s="18" t="n"/>
      <c r="L83" s="12" t="n"/>
      <c r="M83" s="12" t="n"/>
    </row>
    <row r="84" ht="22" customHeight="1">
      <c r="B84" s="16">
        <f>IF(C84="","HAN-"&amp;TEXT(COUNTA($C$5:C84),"000"))</f>
        <v/>
      </c>
      <c r="C84" s="14" t="n"/>
      <c r="D84" s="14" t="n"/>
      <c r="E84" s="14" t="n"/>
      <c r="F84" s="14" t="n"/>
      <c r="G84" s="14" t="n"/>
      <c r="H84" s="14" t="n"/>
      <c r="I84" s="42" t="n"/>
      <c r="J84" s="42" t="n"/>
      <c r="K84" s="19" t="n"/>
      <c r="L84" s="14" t="n"/>
      <c r="M84" s="14" t="n"/>
    </row>
    <row r="85" ht="22" customHeight="1">
      <c r="B85" s="17">
        <f>IF(C85="","HAN-"&amp;TEXT(COUNTA($C$5:C85),"000"))</f>
        <v/>
      </c>
      <c r="C85" s="12" t="n"/>
      <c r="D85" s="12" t="n"/>
      <c r="E85" s="12" t="n"/>
      <c r="F85" s="12" t="n"/>
      <c r="G85" s="12" t="n"/>
      <c r="H85" s="12" t="n"/>
      <c r="I85" s="41" t="n"/>
      <c r="J85" s="41" t="n"/>
      <c r="K85" s="18" t="n"/>
      <c r="L85" s="12" t="n"/>
      <c r="M85" s="12" t="n"/>
    </row>
    <row r="86" ht="22" customHeight="1">
      <c r="B86" s="16">
        <f>IF(C86="","HAN-"&amp;TEXT(COUNTA($C$5:C86),"000"))</f>
        <v/>
      </c>
      <c r="C86" s="14" t="n"/>
      <c r="D86" s="14" t="n"/>
      <c r="E86" s="14" t="n"/>
      <c r="F86" s="14" t="n"/>
      <c r="G86" s="14" t="n"/>
      <c r="H86" s="14" t="n"/>
      <c r="I86" s="42" t="n"/>
      <c r="J86" s="42" t="n"/>
      <c r="K86" s="19" t="n"/>
      <c r="L86" s="14" t="n"/>
      <c r="M86" s="14" t="n"/>
    </row>
    <row r="87" ht="22" customHeight="1">
      <c r="B87" s="17">
        <f>IF(C87="","HAN-"&amp;TEXT(COUNTA($C$5:C87),"000"))</f>
        <v/>
      </c>
      <c r="C87" s="12" t="n"/>
      <c r="D87" s="12" t="n"/>
      <c r="E87" s="12" t="n"/>
      <c r="F87" s="12" t="n"/>
      <c r="G87" s="12" t="n"/>
      <c r="H87" s="12" t="n"/>
      <c r="I87" s="41" t="n"/>
      <c r="J87" s="41" t="n"/>
      <c r="K87" s="18" t="n"/>
      <c r="L87" s="12" t="n"/>
      <c r="M87" s="12" t="n"/>
    </row>
    <row r="88" ht="22" customHeight="1">
      <c r="B88" s="16">
        <f>IF(C88="","HAN-"&amp;TEXT(COUNTA($C$5:C88),"000"))</f>
        <v/>
      </c>
      <c r="C88" s="14" t="n"/>
      <c r="D88" s="14" t="n"/>
      <c r="E88" s="14" t="n"/>
      <c r="F88" s="14" t="n"/>
      <c r="G88" s="14" t="n"/>
      <c r="H88" s="14" t="n"/>
      <c r="I88" s="42" t="n"/>
      <c r="J88" s="42" t="n"/>
      <c r="K88" s="19" t="n"/>
      <c r="L88" s="14" t="n"/>
      <c r="M88" s="14" t="n"/>
    </row>
    <row r="89" ht="22" customHeight="1">
      <c r="B89" s="17">
        <f>IF(C89="","HAN-"&amp;TEXT(COUNTA($C$5:C89),"000"))</f>
        <v/>
      </c>
      <c r="C89" s="12" t="n"/>
      <c r="D89" s="12" t="n"/>
      <c r="E89" s="12" t="n"/>
      <c r="F89" s="12" t="n"/>
      <c r="G89" s="12" t="n"/>
      <c r="H89" s="12" t="n"/>
      <c r="I89" s="41" t="n"/>
      <c r="J89" s="41" t="n"/>
      <c r="K89" s="18" t="n"/>
      <c r="L89" s="12" t="n"/>
      <c r="M89" s="12" t="n"/>
    </row>
    <row r="90" ht="22" customHeight="1">
      <c r="B90" s="16">
        <f>IF(C90="","HAN-"&amp;TEXT(COUNTA($C$5:C90),"000"))</f>
        <v/>
      </c>
      <c r="C90" s="14" t="n"/>
      <c r="D90" s="14" t="n"/>
      <c r="E90" s="14" t="n"/>
      <c r="F90" s="14" t="n"/>
      <c r="G90" s="14" t="n"/>
      <c r="H90" s="14" t="n"/>
      <c r="I90" s="42" t="n"/>
      <c r="J90" s="42" t="n"/>
      <c r="K90" s="19" t="n"/>
      <c r="L90" s="14" t="n"/>
      <c r="M90" s="14" t="n"/>
    </row>
    <row r="91" ht="22" customHeight="1">
      <c r="B91" s="17">
        <f>IF(C91="","HAN-"&amp;TEXT(COUNTA($C$5:C91),"000"))</f>
        <v/>
      </c>
      <c r="C91" s="12" t="n"/>
      <c r="D91" s="12" t="n"/>
      <c r="E91" s="12" t="n"/>
      <c r="F91" s="12" t="n"/>
      <c r="G91" s="12" t="n"/>
      <c r="H91" s="12" t="n"/>
      <c r="I91" s="41" t="n"/>
      <c r="J91" s="41" t="n"/>
      <c r="K91" s="18" t="n"/>
      <c r="L91" s="12" t="n"/>
      <c r="M91" s="12" t="n"/>
    </row>
    <row r="92" ht="22" customHeight="1">
      <c r="B92" s="16">
        <f>IF(C92="","HAN-"&amp;TEXT(COUNTA($C$5:C92),"000"))</f>
        <v/>
      </c>
      <c r="C92" s="14" t="n"/>
      <c r="D92" s="14" t="n"/>
      <c r="E92" s="14" t="n"/>
      <c r="F92" s="14" t="n"/>
      <c r="G92" s="14" t="n"/>
      <c r="H92" s="14" t="n"/>
      <c r="I92" s="42" t="n"/>
      <c r="J92" s="42" t="n"/>
      <c r="K92" s="19" t="n"/>
      <c r="L92" s="14" t="n"/>
      <c r="M92" s="14" t="n"/>
    </row>
    <row r="93" ht="22" customHeight="1">
      <c r="B93" s="17">
        <f>IF(C93="","HAN-"&amp;TEXT(COUNTA($C$5:C93),"000"))</f>
        <v/>
      </c>
      <c r="C93" s="12" t="n"/>
      <c r="D93" s="12" t="n"/>
      <c r="E93" s="12" t="n"/>
      <c r="F93" s="12" t="n"/>
      <c r="G93" s="12" t="n"/>
      <c r="H93" s="12" t="n"/>
      <c r="I93" s="41" t="n"/>
      <c r="J93" s="41" t="n"/>
      <c r="K93" s="18" t="n"/>
      <c r="L93" s="12" t="n"/>
      <c r="M93" s="12" t="n"/>
    </row>
    <row r="94" ht="22" customHeight="1">
      <c r="B94" s="16">
        <f>IF(C94="","HAN-"&amp;TEXT(COUNTA($C$5:C94),"000"))</f>
        <v/>
      </c>
      <c r="C94" s="14" t="n"/>
      <c r="D94" s="14" t="n"/>
      <c r="E94" s="14" t="n"/>
      <c r="F94" s="14" t="n"/>
      <c r="G94" s="14" t="n"/>
      <c r="H94" s="14" t="n"/>
      <c r="I94" s="42" t="n"/>
      <c r="J94" s="42" t="n"/>
      <c r="K94" s="19" t="n"/>
      <c r="L94" s="14" t="n"/>
      <c r="M94" s="14" t="n"/>
    </row>
    <row r="95" ht="22" customHeight="1">
      <c r="B95" s="17">
        <f>IF(C95="","HAN-"&amp;TEXT(COUNTA($C$5:C95),"000"))</f>
        <v/>
      </c>
      <c r="C95" s="12" t="n"/>
      <c r="D95" s="12" t="n"/>
      <c r="E95" s="12" t="n"/>
      <c r="F95" s="12" t="n"/>
      <c r="G95" s="12" t="n"/>
      <c r="H95" s="12" t="n"/>
      <c r="I95" s="41" t="n"/>
      <c r="J95" s="41" t="n"/>
      <c r="K95" s="18" t="n"/>
      <c r="L95" s="12" t="n"/>
      <c r="M95" s="12" t="n"/>
    </row>
    <row r="96" ht="22" customHeight="1">
      <c r="B96" s="16">
        <f>IF(C96="","HAN-"&amp;TEXT(COUNTA($C$5:C96),"000"))</f>
        <v/>
      </c>
      <c r="C96" s="14" t="n"/>
      <c r="D96" s="14" t="n"/>
      <c r="E96" s="14" t="n"/>
      <c r="F96" s="14" t="n"/>
      <c r="G96" s="14" t="n"/>
      <c r="H96" s="14" t="n"/>
      <c r="I96" s="42" t="n"/>
      <c r="J96" s="42" t="n"/>
      <c r="K96" s="19" t="n"/>
      <c r="L96" s="14" t="n"/>
      <c r="M96" s="14" t="n"/>
    </row>
    <row r="97" ht="22" customHeight="1">
      <c r="B97" s="17">
        <f>IF(C97="","HAN-"&amp;TEXT(COUNTA($C$5:C97),"000"))</f>
        <v/>
      </c>
      <c r="C97" s="12" t="n"/>
      <c r="D97" s="12" t="n"/>
      <c r="E97" s="12" t="n"/>
      <c r="F97" s="12" t="n"/>
      <c r="G97" s="12" t="n"/>
      <c r="H97" s="12" t="n"/>
      <c r="I97" s="41" t="n"/>
      <c r="J97" s="41" t="n"/>
      <c r="K97" s="18" t="n"/>
      <c r="L97" s="12" t="n"/>
      <c r="M97" s="12" t="n"/>
    </row>
    <row r="98" ht="22" customHeight="1">
      <c r="B98" s="16">
        <f>IF(C98="","HAN-"&amp;TEXT(COUNTA($C$5:C98),"000"))</f>
        <v/>
      </c>
      <c r="C98" s="14" t="n"/>
      <c r="D98" s="14" t="n"/>
      <c r="E98" s="14" t="n"/>
      <c r="F98" s="14" t="n"/>
      <c r="G98" s="14" t="n"/>
      <c r="H98" s="14" t="n"/>
      <c r="I98" s="42" t="n"/>
      <c r="J98" s="42" t="n"/>
      <c r="K98" s="19" t="n"/>
      <c r="L98" s="14" t="n"/>
      <c r="M98" s="14" t="n"/>
    </row>
    <row r="99" ht="22" customHeight="1">
      <c r="B99" s="17">
        <f>IF(C99="","HAN-"&amp;TEXT(COUNTA($C$5:C99),"000"))</f>
        <v/>
      </c>
      <c r="C99" s="12" t="n"/>
      <c r="D99" s="12" t="n"/>
      <c r="E99" s="12" t="n"/>
      <c r="F99" s="12" t="n"/>
      <c r="G99" s="12" t="n"/>
      <c r="H99" s="12" t="n"/>
      <c r="I99" s="41" t="n"/>
      <c r="J99" s="41" t="n"/>
      <c r="K99" s="18" t="n"/>
      <c r="L99" s="12" t="n"/>
      <c r="M99" s="12" t="n"/>
    </row>
    <row r="100" ht="22" customHeight="1">
      <c r="B100" s="16">
        <f>IF(C100="","HAN-"&amp;TEXT(COUNTA($C$5:C100),"000"))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42" t="n"/>
      <c r="J100" s="42" t="n"/>
      <c r="K100" s="19" t="n"/>
      <c r="L100" s="14" t="n"/>
      <c r="M100" s="14" t="n"/>
    </row>
    <row r="101" ht="22" customHeight="1">
      <c r="B101" s="17">
        <f>IF(C101="","HAN-"&amp;TEXT(COUNTA($C$5:C101),"000"))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41" t="n"/>
      <c r="J101" s="41" t="n"/>
      <c r="K101" s="18" t="n"/>
      <c r="L101" s="12" t="n"/>
      <c r="M101" s="12" t="n"/>
    </row>
    <row r="102" ht="22" customHeight="1">
      <c r="B102" s="16">
        <f>IF(C102="","HAN-"&amp;TEXT(COUNTA($C$5:C102),"000"))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42" t="n"/>
      <c r="J102" s="42" t="n"/>
      <c r="K102" s="19" t="n"/>
      <c r="L102" s="14" t="n"/>
      <c r="M102" s="14" t="n"/>
    </row>
    <row r="103" ht="22" customHeight="1">
      <c r="B103" s="17">
        <f>IF(C103="","HAN-"&amp;TEXT(COUNTA($C$5:C103),"000"))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41" t="n"/>
      <c r="J103" s="41" t="n"/>
      <c r="K103" s="18" t="n"/>
      <c r="L103" s="12" t="n"/>
      <c r="M103" s="12" t="n"/>
    </row>
    <row r="104" ht="22" customHeight="1">
      <c r="B104" s="16">
        <f>IF(C104="","HAN-"&amp;TEXT(COUNTA($C$5:C104),"000"))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42" t="n"/>
      <c r="J104" s="42" t="n"/>
      <c r="K104" s="19" t="n"/>
      <c r="L104" s="14" t="n"/>
      <c r="M104" s="14" t="n"/>
    </row>
    <row r="105" ht="22" customHeight="1">
      <c r="B105" s="17">
        <f>IF(C105="","HAN-"&amp;TEXT(COUNTA($C$5:C105),"000"))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41" t="n"/>
      <c r="J105" s="41" t="n"/>
      <c r="K105" s="18" t="n"/>
      <c r="L105" s="12" t="n"/>
      <c r="M105" s="12" t="n"/>
    </row>
    <row r="106" ht="22" customHeight="1">
      <c r="B106" s="16">
        <f>IF(C106="","HAN-"&amp;TEXT(COUNTA($C$5:C106),"000"))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42" t="n"/>
      <c r="J106" s="42" t="n"/>
      <c r="K106" s="19" t="n"/>
      <c r="L106" s="14" t="n"/>
      <c r="M106" s="14" t="n"/>
    </row>
    <row r="107" ht="22" customHeight="1">
      <c r="B107" s="17">
        <f>IF(C107="","HAN-"&amp;TEXT(COUNTA($C$5:C107),"000"))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41" t="n"/>
      <c r="J107" s="41" t="n"/>
      <c r="K107" s="18" t="n"/>
      <c r="L107" s="12" t="n"/>
      <c r="M107" s="12" t="n"/>
    </row>
    <row r="109">
      <c r="B109" s="6" t="inlineStr">
        <is>
          <t>INDICATEURS (mis a jour automatiquement)</t>
        </is>
      </c>
    </row>
    <row r="110">
      <c r="B110" s="3" t="inlineStr">
        <is>
          <t>Dossiers handicap</t>
        </is>
      </c>
      <c r="D110" s="3" t="inlineStr">
        <is>
          <t>Amenagements realises</t>
        </is>
      </c>
      <c r="F110" s="3" t="inlineStr">
        <is>
          <t>Cout total (FCFA)</t>
        </is>
      </c>
    </row>
    <row r="111">
      <c r="B111" s="4">
        <f>COUNTIF(B5:B104,"&lt;&gt;")</f>
        <v/>
      </c>
      <c r="D111" s="4">
        <f>COUNTIF(L5:L104,"Terminee")</f>
        <v/>
      </c>
      <c r="F111" s="4">
        <f>SUM(K5:K104)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8:B107">
    <cfRule type="expression" priority="238" dxfId="3">
      <formula>AND($C8="",$C7&lt;&gt;"")</formula>
    </cfRule>
  </conditionalFormatting>
  <conditionalFormatting sqref="C8:C107">
    <cfRule type="expression" priority="239" dxfId="3">
      <formula>AND($C8="",$C7&lt;&gt;"")</formula>
    </cfRule>
  </conditionalFormatting>
  <conditionalFormatting sqref="D8:D107">
    <cfRule type="expression" priority="240" dxfId="3">
      <formula>AND($C8="",$C7&lt;&gt;"")</formula>
    </cfRule>
  </conditionalFormatting>
  <conditionalFormatting sqref="E8:E107">
    <cfRule type="expression" priority="241" dxfId="3">
      <formula>AND($C8="",$C7&lt;&gt;"")</formula>
    </cfRule>
  </conditionalFormatting>
  <conditionalFormatting sqref="F8:F107">
    <cfRule type="expression" priority="242" dxfId="3">
      <formula>AND($C8="",$C7&lt;&gt;"")</formula>
    </cfRule>
  </conditionalFormatting>
  <conditionalFormatting sqref="G8:G107">
    <cfRule type="expression" priority="243" dxfId="3">
      <formula>AND($C8="",$C7&lt;&gt;"")</formula>
    </cfRule>
  </conditionalFormatting>
  <conditionalFormatting sqref="H8:H107">
    <cfRule type="expression" priority="244" dxfId="3">
      <formula>AND($C8="",$C7&lt;&gt;"")</formula>
    </cfRule>
  </conditionalFormatting>
  <conditionalFormatting sqref="I8:I107">
    <cfRule type="expression" priority="245" dxfId="3">
      <formula>AND($C8="",$C7&lt;&gt;"")</formula>
    </cfRule>
  </conditionalFormatting>
  <conditionalFormatting sqref="J8:J107">
    <cfRule type="expression" priority="246" dxfId="3">
      <formula>AND($C8="",$C7&lt;&gt;"")</formula>
    </cfRule>
  </conditionalFormatting>
  <conditionalFormatting sqref="K8:K107">
    <cfRule type="expression" priority="247" dxfId="3">
      <formula>AND($C8="",$C7&lt;&gt;"")</formula>
    </cfRule>
  </conditionalFormatting>
  <conditionalFormatting sqref="L8:L107">
    <cfRule type="expression" priority="248" dxfId="3">
      <formula>AND($C8="",$C7&lt;&gt;"")</formula>
    </cfRule>
  </conditionalFormatting>
  <conditionalFormatting sqref="M8:M107">
    <cfRule type="expression" priority="249" dxfId="3">
      <formula>AND($C8="",$C7&lt;&gt;"")</formula>
    </cfRule>
  </conditionalFormatting>
  <dataValidations count="5">
    <dataValidation sqref="D5:D107" showDropDown="0" showInputMessage="0" showErrorMessage="0" allowBlank="1" errorTitle="Erreur" error="Valeur invalide" promptTitle="Liste" prompt="Choisir dans la liste" type="list">
      <formula1>'_Lists'!$C$2:$C$28</formula1>
    </dataValidation>
    <dataValidation sqref="E5:E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7" showDropDown="0" showInputMessage="0" showErrorMessage="0" allowBlank="1" errorTitle="Erreur" error="Valeur invalide" promptTitle="Liste" prompt="Choisir dans la liste" type="list">
      <formula1>'_Lists'!$G$2:$G$7</formula1>
    </dataValidation>
    <dataValidation sqref="G5:G107" showDropDown="0" showInputMessage="0" showErrorMessage="0" allowBlank="1" errorTitle="Erreur" error="Valeur invalide" promptTitle="Liste" prompt="Choisir dans la liste" type="list">
      <formula1>'_Lists'!$H$2:$H$6</formula1>
    </dataValidation>
    <dataValidation sqref="L5:L107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0" customWidth="1" min="4" max="4"/>
    <col width="22" customWidth="1" min="5" max="5"/>
    <col width="16" customWidth="1" min="6" max="6"/>
    <col width="20" customWidth="1" min="7" max="7"/>
    <col width="20" customWidth="1" min="8" max="8"/>
    <col width="22" customWidth="1" min="9" max="9"/>
    <col width="18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BIEN-ETRE AU TRAVAIL (#151)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Initiative Bien-Etre</t>
        </is>
      </c>
      <c r="D4" s="11" t="inlineStr">
        <is>
          <t>Type</t>
        </is>
      </c>
      <c r="E4" s="11" t="inlineStr">
        <is>
          <t>Public Cible</t>
        </is>
      </c>
      <c r="F4" s="11" t="inlineStr">
        <is>
          <t>Frequence</t>
        </is>
      </c>
      <c r="G4" s="11" t="inlineStr">
        <is>
          <t>Lieu</t>
        </is>
      </c>
      <c r="H4" s="11" t="inlineStr">
        <is>
          <t>Date Prochaine Session</t>
        </is>
      </c>
      <c r="I4" s="11" t="inlineStr">
        <is>
          <t>Intervenant</t>
        </is>
      </c>
      <c r="J4" s="11" t="inlineStr">
        <is>
          <t>Nb Participants</t>
        </is>
      </c>
      <c r="K4" s="11" t="inlineStr">
        <is>
          <t>Budget (FCFA)</t>
        </is>
      </c>
      <c r="L4" s="11" t="inlineStr">
        <is>
          <t>Statut</t>
        </is>
      </c>
    </row>
    <row r="5" ht="22" customHeight="1">
      <c r="B5" s="12" t="inlineStr">
        <is>
          <t>BET-001</t>
        </is>
      </c>
      <c r="C5" s="12" t="inlineStr">
        <is>
          <t>Yoga hebdomadaire</t>
        </is>
      </c>
      <c r="D5" s="12" t="inlineStr">
        <is>
          <t>Activite sportive</t>
        </is>
      </c>
      <c r="E5" s="12" t="inlineStr">
        <is>
          <t>Tous les employes</t>
        </is>
      </c>
      <c r="F5" s="12" t="inlineStr">
        <is>
          <t>Hebdomadaire</t>
        </is>
      </c>
      <c r="G5" s="12" t="inlineStr">
        <is>
          <t>Salle polyvalente</t>
        </is>
      </c>
      <c r="H5" s="41" t="n">
        <v>45721</v>
      </c>
      <c r="I5" s="12" t="inlineStr">
        <is>
          <t>M. Fotso (coach)</t>
        </is>
      </c>
      <c r="J5" s="18" t="n">
        <v>25</v>
      </c>
      <c r="K5" s="18" t="n">
        <v>150000</v>
      </c>
      <c r="L5" s="12" t="inlineStr">
        <is>
          <t>Recurrent</t>
        </is>
      </c>
    </row>
    <row r="6" ht="22" customHeight="1">
      <c r="B6" s="14" t="inlineStr">
        <is>
          <t>BET-002</t>
        </is>
      </c>
      <c r="C6" s="14" t="inlineStr">
        <is>
          <t>Consultation psychologique</t>
        </is>
      </c>
      <c r="D6" s="14" t="inlineStr">
        <is>
          <t>Santé mentale</t>
        </is>
      </c>
      <c r="E6" s="14" t="inlineStr">
        <is>
          <t>Tous les employes</t>
        </is>
      </c>
      <c r="F6" s="14" t="inlineStr">
        <is>
          <t>Mensuelle</t>
        </is>
      </c>
      <c r="G6" s="14" t="inlineStr">
        <is>
          <t>Cabinet medical</t>
        </is>
      </c>
      <c r="H6" s="42" t="n">
        <v>45728</v>
      </c>
      <c r="I6" s="14" t="inlineStr">
        <is>
          <t>Dr. Ngassa</t>
        </is>
      </c>
      <c r="J6" s="19" t="n">
        <v>10</v>
      </c>
      <c r="K6" s="19" t="n">
        <v>200000</v>
      </c>
      <c r="L6" s="14" t="inlineStr">
        <is>
          <t>Recurrent</t>
        </is>
      </c>
    </row>
    <row r="7" ht="22" customHeight="1">
      <c r="B7" s="12" t="inlineStr">
        <is>
          <t>BET-003</t>
        </is>
      </c>
      <c r="C7" s="12" t="inlineStr">
        <is>
          <t>Atelier gestion du stress</t>
        </is>
      </c>
      <c r="D7" s="12" t="inlineStr">
        <is>
          <t>Gestion du stress</t>
        </is>
      </c>
      <c r="E7" s="12" t="inlineStr">
        <is>
          <t>Cadres et managers</t>
        </is>
      </c>
      <c r="F7" s="12" t="inlineStr">
        <is>
          <t>Trimestrielle</t>
        </is>
      </c>
      <c r="G7" s="12" t="inlineStr">
        <is>
          <t>Salle formation</t>
        </is>
      </c>
      <c r="H7" s="41" t="n">
        <v>45762</v>
      </c>
      <c r="I7" s="12" t="inlineStr">
        <is>
          <t>Mme. Manga (psy)</t>
        </is>
      </c>
      <c r="J7" s="18" t="n">
        <v>20</v>
      </c>
      <c r="K7" s="18" t="n">
        <v>100000</v>
      </c>
      <c r="L7" s="12" t="inlineStr">
        <is>
          <t>Planifie</t>
        </is>
      </c>
    </row>
    <row r="8" ht="22" customHeight="1">
      <c r="B8" s="14" t="inlineStr">
        <is>
          <t>BET-004</t>
        </is>
      </c>
      <c r="C8" s="14" t="inlineStr">
        <is>
          <t>Semaine alimentation saine</t>
        </is>
      </c>
      <c r="D8" s="14" t="inlineStr">
        <is>
          <t>Alimentation saine</t>
        </is>
      </c>
      <c r="E8" s="14" t="inlineStr">
        <is>
          <t>Tous les employes</t>
        </is>
      </c>
      <c r="F8" s="14" t="inlineStr">
        <is>
          <t>Ponctuelle</t>
        </is>
      </c>
      <c r="G8" s="14" t="inlineStr">
        <is>
          <t>Cuisine + Restaurant</t>
        </is>
      </c>
      <c r="H8" s="42" t="n">
        <v>45789</v>
      </c>
      <c r="I8" s="14" t="inlineStr">
        <is>
          <t>Chef Cuisine + Dieteticien</t>
        </is>
      </c>
      <c r="J8" s="19" t="n">
        <v>150</v>
      </c>
      <c r="K8" s="19" t="n">
        <v>500000</v>
      </c>
      <c r="L8" s="14" t="inlineStr">
        <is>
          <t>Planifie</t>
        </is>
      </c>
    </row>
    <row r="9" ht="22" customHeight="1">
      <c r="B9" s="17">
        <f>IF(C9="","BET-"&amp;TEXT(COUNTA($C$5:C9),"000"))</f>
        <v/>
      </c>
      <c r="C9" s="12" t="n"/>
      <c r="D9" s="12" t="n"/>
      <c r="E9" s="12" t="n"/>
      <c r="F9" s="12" t="n"/>
      <c r="G9" s="12" t="n"/>
      <c r="H9" s="41" t="n"/>
      <c r="I9" s="12" t="n"/>
      <c r="J9" s="18" t="n"/>
      <c r="K9" s="18" t="n"/>
      <c r="L9" s="12" t="n"/>
    </row>
    <row r="10" ht="22" customHeight="1">
      <c r="B10" s="16">
        <f>IF(C10="","BET-"&amp;TEXT(COUNTA($C$5:C10),"000"))</f>
        <v/>
      </c>
      <c r="C10" s="14" t="n"/>
      <c r="D10" s="14" t="n"/>
      <c r="E10" s="14" t="n"/>
      <c r="F10" s="14" t="n"/>
      <c r="G10" s="14" t="n"/>
      <c r="H10" s="42" t="n"/>
      <c r="I10" s="14" t="n"/>
      <c r="J10" s="19" t="n"/>
      <c r="K10" s="19" t="n"/>
      <c r="L10" s="14" t="n"/>
    </row>
    <row r="11" ht="22" customHeight="1">
      <c r="B11" s="17">
        <f>IF(C11="","BET-"&amp;TEXT(COUNTA($C$5:C11),"000"))</f>
        <v/>
      </c>
      <c r="C11" s="12" t="n"/>
      <c r="D11" s="12" t="n"/>
      <c r="E11" s="12" t="n"/>
      <c r="F11" s="12" t="n"/>
      <c r="G11" s="12" t="n"/>
      <c r="H11" s="41" t="n"/>
      <c r="I11" s="12" t="n"/>
      <c r="J11" s="18" t="n"/>
      <c r="K11" s="18" t="n"/>
      <c r="L11" s="12" t="n"/>
    </row>
    <row r="12" ht="22" customHeight="1">
      <c r="B12" s="16">
        <f>IF(C12="","BET-"&amp;TEXT(COUNTA($C$5:C12),"000"))</f>
        <v/>
      </c>
      <c r="C12" s="14" t="n"/>
      <c r="D12" s="14" t="n"/>
      <c r="E12" s="14" t="n"/>
      <c r="F12" s="14" t="n"/>
      <c r="G12" s="14" t="n"/>
      <c r="H12" s="42" t="n"/>
      <c r="I12" s="14" t="n"/>
      <c r="J12" s="19" t="n"/>
      <c r="K12" s="19" t="n"/>
      <c r="L12" s="14" t="n"/>
    </row>
    <row r="13" ht="22" customHeight="1">
      <c r="B13" s="17">
        <f>IF(C13="","BET-"&amp;TEXT(COUNTA($C$5:C13),"000"))</f>
        <v/>
      </c>
      <c r="C13" s="12" t="n"/>
      <c r="D13" s="12" t="n"/>
      <c r="E13" s="12" t="n"/>
      <c r="F13" s="12" t="n"/>
      <c r="G13" s="12" t="n"/>
      <c r="H13" s="41" t="n"/>
      <c r="I13" s="12" t="n"/>
      <c r="J13" s="18" t="n"/>
      <c r="K13" s="18" t="n"/>
      <c r="L13" s="12" t="n"/>
    </row>
    <row r="14" ht="22" customHeight="1">
      <c r="B14" s="16">
        <f>IF(C14="","BET-"&amp;TEXT(COUNTA($C$5:C14),"000"))</f>
        <v/>
      </c>
      <c r="C14" s="14" t="n"/>
      <c r="D14" s="14" t="n"/>
      <c r="E14" s="14" t="n"/>
      <c r="F14" s="14" t="n"/>
      <c r="G14" s="14" t="n"/>
      <c r="H14" s="42" t="n"/>
      <c r="I14" s="14" t="n"/>
      <c r="J14" s="19" t="n"/>
      <c r="K14" s="19" t="n"/>
      <c r="L14" s="14" t="n"/>
    </row>
    <row r="15" ht="22" customHeight="1">
      <c r="B15" s="17">
        <f>IF(C15="","BET-"&amp;TEXT(COUNTA($C$5:C15),"000"))</f>
        <v/>
      </c>
      <c r="C15" s="12" t="n"/>
      <c r="D15" s="12" t="n"/>
      <c r="E15" s="12" t="n"/>
      <c r="F15" s="12" t="n"/>
      <c r="G15" s="12" t="n"/>
      <c r="H15" s="41" t="n"/>
      <c r="I15" s="12" t="n"/>
      <c r="J15" s="18" t="n"/>
      <c r="K15" s="18" t="n"/>
      <c r="L15" s="12" t="n"/>
    </row>
    <row r="16" ht="22" customHeight="1">
      <c r="B16" s="16">
        <f>IF(C16="","BET-"&amp;TEXT(COUNTA($C$5:C16),"000"))</f>
        <v/>
      </c>
      <c r="C16" s="14" t="n"/>
      <c r="D16" s="14" t="n"/>
      <c r="E16" s="14" t="n"/>
      <c r="F16" s="14" t="n"/>
      <c r="G16" s="14" t="n"/>
      <c r="H16" s="42" t="n"/>
      <c r="I16" s="14" t="n"/>
      <c r="J16" s="19" t="n"/>
      <c r="K16" s="19" t="n"/>
      <c r="L16" s="14" t="n"/>
    </row>
    <row r="17" ht="22" customHeight="1">
      <c r="B17" s="17">
        <f>IF(C17="","BET-"&amp;TEXT(COUNTA($C$5:C17),"000"))</f>
        <v/>
      </c>
      <c r="C17" s="12" t="n"/>
      <c r="D17" s="12" t="n"/>
      <c r="E17" s="12" t="n"/>
      <c r="F17" s="12" t="n"/>
      <c r="G17" s="12" t="n"/>
      <c r="H17" s="41" t="n"/>
      <c r="I17" s="12" t="n"/>
      <c r="J17" s="18" t="n"/>
      <c r="K17" s="18" t="n"/>
      <c r="L17" s="12" t="n"/>
    </row>
    <row r="18" ht="22" customHeight="1">
      <c r="B18" s="16">
        <f>IF(C18="","BET-"&amp;TEXT(COUNTA($C$5:C18),"000"))</f>
        <v/>
      </c>
      <c r="C18" s="14" t="n"/>
      <c r="D18" s="14" t="n"/>
      <c r="E18" s="14" t="n"/>
      <c r="F18" s="14" t="n"/>
      <c r="G18" s="14" t="n"/>
      <c r="H18" s="42" t="n"/>
      <c r="I18" s="14" t="n"/>
      <c r="J18" s="19" t="n"/>
      <c r="K18" s="19" t="n"/>
      <c r="L18" s="14" t="n"/>
    </row>
    <row r="19" ht="22" customHeight="1">
      <c r="B19" s="17">
        <f>IF(C19="","BET-"&amp;TEXT(COUNTA($C$5:C19),"000"))</f>
        <v/>
      </c>
      <c r="C19" s="12" t="n"/>
      <c r="D19" s="12" t="n"/>
      <c r="E19" s="12" t="n"/>
      <c r="F19" s="12" t="n"/>
      <c r="G19" s="12" t="n"/>
      <c r="H19" s="41" t="n"/>
      <c r="I19" s="12" t="n"/>
      <c r="J19" s="18" t="n"/>
      <c r="K19" s="18" t="n"/>
      <c r="L19" s="12" t="n"/>
    </row>
    <row r="20" ht="22" customHeight="1">
      <c r="B20" s="16">
        <f>IF(C20="","BET-"&amp;TEXT(COUNTA($C$5:C20),"000"))</f>
        <v/>
      </c>
      <c r="C20" s="14" t="n"/>
      <c r="D20" s="14" t="n"/>
      <c r="E20" s="14" t="n"/>
      <c r="F20" s="14" t="n"/>
      <c r="G20" s="14" t="n"/>
      <c r="H20" s="42" t="n"/>
      <c r="I20" s="14" t="n"/>
      <c r="J20" s="19" t="n"/>
      <c r="K20" s="19" t="n"/>
      <c r="L20" s="14" t="n"/>
    </row>
    <row r="21" ht="22" customHeight="1">
      <c r="B21" s="17">
        <f>IF(C21="","BET-"&amp;TEXT(COUNTA($C$5:C21),"000"))</f>
        <v/>
      </c>
      <c r="C21" s="12" t="n"/>
      <c r="D21" s="12" t="n"/>
      <c r="E21" s="12" t="n"/>
      <c r="F21" s="12" t="n"/>
      <c r="G21" s="12" t="n"/>
      <c r="H21" s="41" t="n"/>
      <c r="I21" s="12" t="n"/>
      <c r="J21" s="18" t="n"/>
      <c r="K21" s="18" t="n"/>
      <c r="L21" s="12" t="n"/>
    </row>
    <row r="22" ht="22" customHeight="1">
      <c r="B22" s="16">
        <f>IF(C22="","BET-"&amp;TEXT(COUNTA($C$5:C22),"000"))</f>
        <v/>
      </c>
      <c r="C22" s="14" t="n"/>
      <c r="D22" s="14" t="n"/>
      <c r="E22" s="14" t="n"/>
      <c r="F22" s="14" t="n"/>
      <c r="G22" s="14" t="n"/>
      <c r="H22" s="42" t="n"/>
      <c r="I22" s="14" t="n"/>
      <c r="J22" s="19" t="n"/>
      <c r="K22" s="19" t="n"/>
      <c r="L22" s="14" t="n"/>
    </row>
    <row r="23" ht="22" customHeight="1">
      <c r="B23" s="17">
        <f>IF(C23="","BET-"&amp;TEXT(COUNTA($C$5:C23),"000"))</f>
        <v/>
      </c>
      <c r="C23" s="12" t="n"/>
      <c r="D23" s="12" t="n"/>
      <c r="E23" s="12" t="n"/>
      <c r="F23" s="12" t="n"/>
      <c r="G23" s="12" t="n"/>
      <c r="H23" s="41" t="n"/>
      <c r="I23" s="12" t="n"/>
      <c r="J23" s="18" t="n"/>
      <c r="K23" s="18" t="n"/>
      <c r="L23" s="12" t="n"/>
    </row>
    <row r="24" ht="22" customHeight="1">
      <c r="B24" s="16">
        <f>IF(C24="","BET-"&amp;TEXT(COUNTA($C$5:C24),"000"))</f>
        <v/>
      </c>
      <c r="C24" s="14" t="n"/>
      <c r="D24" s="14" t="n"/>
      <c r="E24" s="14" t="n"/>
      <c r="F24" s="14" t="n"/>
      <c r="G24" s="14" t="n"/>
      <c r="H24" s="42" t="n"/>
      <c r="I24" s="14" t="n"/>
      <c r="J24" s="19" t="n"/>
      <c r="K24" s="19" t="n"/>
      <c r="L24" s="14" t="n"/>
    </row>
    <row r="25" ht="22" customHeight="1">
      <c r="B25" s="17">
        <f>IF(C25="","BET-"&amp;TEXT(COUNTA($C$5:C25),"000"))</f>
        <v/>
      </c>
      <c r="C25" s="12" t="n"/>
      <c r="D25" s="12" t="n"/>
      <c r="E25" s="12" t="n"/>
      <c r="F25" s="12" t="n"/>
      <c r="G25" s="12" t="n"/>
      <c r="H25" s="41" t="n"/>
      <c r="I25" s="12" t="n"/>
      <c r="J25" s="18" t="n"/>
      <c r="K25" s="18" t="n"/>
      <c r="L25" s="12" t="n"/>
    </row>
    <row r="26" ht="22" customHeight="1">
      <c r="B26" s="16">
        <f>IF(C26="","BET-"&amp;TEXT(COUNTA($C$5:C26),"000"))</f>
        <v/>
      </c>
      <c r="C26" s="14" t="n"/>
      <c r="D26" s="14" t="n"/>
      <c r="E26" s="14" t="n"/>
      <c r="F26" s="14" t="n"/>
      <c r="G26" s="14" t="n"/>
      <c r="H26" s="42" t="n"/>
      <c r="I26" s="14" t="n"/>
      <c r="J26" s="19" t="n"/>
      <c r="K26" s="19" t="n"/>
      <c r="L26" s="14" t="n"/>
    </row>
    <row r="27" ht="22" customHeight="1">
      <c r="B27" s="17">
        <f>IF(C27="","BET-"&amp;TEXT(COUNTA($C$5:C27),"000"))</f>
        <v/>
      </c>
      <c r="C27" s="12" t="n"/>
      <c r="D27" s="12" t="n"/>
      <c r="E27" s="12" t="n"/>
      <c r="F27" s="12" t="n"/>
      <c r="G27" s="12" t="n"/>
      <c r="H27" s="41" t="n"/>
      <c r="I27" s="12" t="n"/>
      <c r="J27" s="18" t="n"/>
      <c r="K27" s="18" t="n"/>
      <c r="L27" s="12" t="n"/>
    </row>
    <row r="28" ht="22" customHeight="1">
      <c r="B28" s="16">
        <f>IF(C28="","BET-"&amp;TEXT(COUNTA($C$5:C28),"000"))</f>
        <v/>
      </c>
      <c r="C28" s="14" t="n"/>
      <c r="D28" s="14" t="n"/>
      <c r="E28" s="14" t="n"/>
      <c r="F28" s="14" t="n"/>
      <c r="G28" s="14" t="n"/>
      <c r="H28" s="42" t="n"/>
      <c r="I28" s="14" t="n"/>
      <c r="J28" s="19" t="n"/>
      <c r="K28" s="19" t="n"/>
      <c r="L28" s="14" t="n"/>
    </row>
    <row r="29" ht="22" customHeight="1">
      <c r="B29" s="17">
        <f>IF(C29="","BET-"&amp;TEXT(COUNTA($C$5:C29),"000"))</f>
        <v/>
      </c>
      <c r="C29" s="12" t="n"/>
      <c r="D29" s="12" t="n"/>
      <c r="E29" s="12" t="n"/>
      <c r="F29" s="12" t="n"/>
      <c r="G29" s="12" t="n"/>
      <c r="H29" s="41" t="n"/>
      <c r="I29" s="12" t="n"/>
      <c r="J29" s="18" t="n"/>
      <c r="K29" s="18" t="n"/>
      <c r="L29" s="12" t="n"/>
    </row>
    <row r="30" ht="22" customHeight="1">
      <c r="B30" s="16">
        <f>IF(C30="","BET-"&amp;TEXT(COUNTA($C$5:C30),"000"))</f>
        <v/>
      </c>
      <c r="C30" s="14" t="n"/>
      <c r="D30" s="14" t="n"/>
      <c r="E30" s="14" t="n"/>
      <c r="F30" s="14" t="n"/>
      <c r="G30" s="14" t="n"/>
      <c r="H30" s="42" t="n"/>
      <c r="I30" s="14" t="n"/>
      <c r="J30" s="19" t="n"/>
      <c r="K30" s="19" t="n"/>
      <c r="L30" s="14" t="n"/>
    </row>
    <row r="31" ht="22" customHeight="1">
      <c r="B31" s="17">
        <f>IF(C31="","BET-"&amp;TEXT(COUNTA($C$5:C31),"000"))</f>
        <v/>
      </c>
      <c r="C31" s="12" t="n"/>
      <c r="D31" s="12" t="n"/>
      <c r="E31" s="12" t="n"/>
      <c r="F31" s="12" t="n"/>
      <c r="G31" s="12" t="n"/>
      <c r="H31" s="41" t="n"/>
      <c r="I31" s="12" t="n"/>
      <c r="J31" s="18" t="n"/>
      <c r="K31" s="18" t="n"/>
      <c r="L31" s="12" t="n"/>
    </row>
    <row r="32" ht="22" customHeight="1">
      <c r="B32" s="16">
        <f>IF(C32="","BET-"&amp;TEXT(COUNTA($C$5:C32),"000"))</f>
        <v/>
      </c>
      <c r="C32" s="14" t="n"/>
      <c r="D32" s="14" t="n"/>
      <c r="E32" s="14" t="n"/>
      <c r="F32" s="14" t="n"/>
      <c r="G32" s="14" t="n"/>
      <c r="H32" s="42" t="n"/>
      <c r="I32" s="14" t="n"/>
      <c r="J32" s="19" t="n"/>
      <c r="K32" s="19" t="n"/>
      <c r="L32" s="14" t="n"/>
    </row>
    <row r="33" ht="22" customHeight="1">
      <c r="B33" s="17">
        <f>IF(C33="","BET-"&amp;TEXT(COUNTA($C$5:C33),"000"))</f>
        <v/>
      </c>
      <c r="C33" s="12" t="n"/>
      <c r="D33" s="12" t="n"/>
      <c r="E33" s="12" t="n"/>
      <c r="F33" s="12" t="n"/>
      <c r="G33" s="12" t="n"/>
      <c r="H33" s="41" t="n"/>
      <c r="I33" s="12" t="n"/>
      <c r="J33" s="18" t="n"/>
      <c r="K33" s="18" t="n"/>
      <c r="L33" s="12" t="n"/>
    </row>
    <row r="34" ht="22" customHeight="1">
      <c r="B34" s="16">
        <f>IF(C34="","BET-"&amp;TEXT(COUNTA($C$5:C34),"000"))</f>
        <v/>
      </c>
      <c r="C34" s="14" t="n"/>
      <c r="D34" s="14" t="n"/>
      <c r="E34" s="14" t="n"/>
      <c r="F34" s="14" t="n"/>
      <c r="G34" s="14" t="n"/>
      <c r="H34" s="42" t="n"/>
      <c r="I34" s="14" t="n"/>
      <c r="J34" s="19" t="n"/>
      <c r="K34" s="19" t="n"/>
      <c r="L34" s="14" t="n"/>
    </row>
    <row r="35" ht="22" customHeight="1">
      <c r="B35" s="17">
        <f>IF(C35="","BET-"&amp;TEXT(COUNTA($C$5:C35),"000"))</f>
        <v/>
      </c>
      <c r="C35" s="12" t="n"/>
      <c r="D35" s="12" t="n"/>
      <c r="E35" s="12" t="n"/>
      <c r="F35" s="12" t="n"/>
      <c r="G35" s="12" t="n"/>
      <c r="H35" s="41" t="n"/>
      <c r="I35" s="12" t="n"/>
      <c r="J35" s="18" t="n"/>
      <c r="K35" s="18" t="n"/>
      <c r="L35" s="12" t="n"/>
    </row>
    <row r="36" ht="22" customHeight="1">
      <c r="B36" s="16">
        <f>IF(C36="","BET-"&amp;TEXT(COUNTA($C$5:C36),"000"))</f>
        <v/>
      </c>
      <c r="C36" s="14" t="n"/>
      <c r="D36" s="14" t="n"/>
      <c r="E36" s="14" t="n"/>
      <c r="F36" s="14" t="n"/>
      <c r="G36" s="14" t="n"/>
      <c r="H36" s="42" t="n"/>
      <c r="I36" s="14" t="n"/>
      <c r="J36" s="19" t="n"/>
      <c r="K36" s="19" t="n"/>
      <c r="L36" s="14" t="n"/>
    </row>
    <row r="37" ht="22" customHeight="1">
      <c r="B37" s="17">
        <f>IF(C37="","BET-"&amp;TEXT(COUNTA($C$5:C37),"000"))</f>
        <v/>
      </c>
      <c r="C37" s="12" t="n"/>
      <c r="D37" s="12" t="n"/>
      <c r="E37" s="12" t="n"/>
      <c r="F37" s="12" t="n"/>
      <c r="G37" s="12" t="n"/>
      <c r="H37" s="41" t="n"/>
      <c r="I37" s="12" t="n"/>
      <c r="J37" s="18" t="n"/>
      <c r="K37" s="18" t="n"/>
      <c r="L37" s="12" t="n"/>
    </row>
    <row r="38" ht="22" customHeight="1">
      <c r="B38" s="16">
        <f>IF(C38="","BET-"&amp;TEXT(COUNTA($C$5:C38),"000"))</f>
        <v/>
      </c>
      <c r="C38" s="14" t="n"/>
      <c r="D38" s="14" t="n"/>
      <c r="E38" s="14" t="n"/>
      <c r="F38" s="14" t="n"/>
      <c r="G38" s="14" t="n"/>
      <c r="H38" s="42" t="n"/>
      <c r="I38" s="14" t="n"/>
      <c r="J38" s="19" t="n"/>
      <c r="K38" s="19" t="n"/>
      <c r="L38" s="14" t="n"/>
    </row>
    <row r="39" ht="22" customHeight="1">
      <c r="B39" s="17">
        <f>IF(C39="","BET-"&amp;TEXT(COUNTA($C$5:C39),"000"))</f>
        <v/>
      </c>
      <c r="C39" s="12" t="n"/>
      <c r="D39" s="12" t="n"/>
      <c r="E39" s="12" t="n"/>
      <c r="F39" s="12" t="n"/>
      <c r="G39" s="12" t="n"/>
      <c r="H39" s="41" t="n"/>
      <c r="I39" s="12" t="n"/>
      <c r="J39" s="18" t="n"/>
      <c r="K39" s="18" t="n"/>
      <c r="L39" s="12" t="n"/>
    </row>
    <row r="40" ht="22" customHeight="1">
      <c r="B40" s="16">
        <f>IF(C40="","BET-"&amp;TEXT(COUNTA($C$5:C40),"000"))</f>
        <v/>
      </c>
      <c r="C40" s="14" t="n"/>
      <c r="D40" s="14" t="n"/>
      <c r="E40" s="14" t="n"/>
      <c r="F40" s="14" t="n"/>
      <c r="G40" s="14" t="n"/>
      <c r="H40" s="42" t="n"/>
      <c r="I40" s="14" t="n"/>
      <c r="J40" s="19" t="n"/>
      <c r="K40" s="19" t="n"/>
      <c r="L40" s="14" t="n"/>
    </row>
    <row r="41" ht="22" customHeight="1">
      <c r="B41" s="17">
        <f>IF(C41="","BET-"&amp;TEXT(COUNTA($C$5:C41),"000"))</f>
        <v/>
      </c>
      <c r="C41" s="12" t="n"/>
      <c r="D41" s="12" t="n"/>
      <c r="E41" s="12" t="n"/>
      <c r="F41" s="12" t="n"/>
      <c r="G41" s="12" t="n"/>
      <c r="H41" s="41" t="n"/>
      <c r="I41" s="12" t="n"/>
      <c r="J41" s="18" t="n"/>
      <c r="K41" s="18" t="n"/>
      <c r="L41" s="12" t="n"/>
    </row>
    <row r="42" ht="22" customHeight="1">
      <c r="B42" s="16">
        <f>IF(C42="","BET-"&amp;TEXT(COUNTA($C$5:C42),"000"))</f>
        <v/>
      </c>
      <c r="C42" s="14" t="n"/>
      <c r="D42" s="14" t="n"/>
      <c r="E42" s="14" t="n"/>
      <c r="F42" s="14" t="n"/>
      <c r="G42" s="14" t="n"/>
      <c r="H42" s="42" t="n"/>
      <c r="I42" s="14" t="n"/>
      <c r="J42" s="19" t="n"/>
      <c r="K42" s="19" t="n"/>
      <c r="L42" s="14" t="n"/>
    </row>
    <row r="43" ht="22" customHeight="1">
      <c r="B43" s="17">
        <f>IF(C43="","BET-"&amp;TEXT(COUNTA($C$5:C43),"000"))</f>
        <v/>
      </c>
      <c r="C43" s="12" t="n"/>
      <c r="D43" s="12" t="n"/>
      <c r="E43" s="12" t="n"/>
      <c r="F43" s="12" t="n"/>
      <c r="G43" s="12" t="n"/>
      <c r="H43" s="41" t="n"/>
      <c r="I43" s="12" t="n"/>
      <c r="J43" s="18" t="n"/>
      <c r="K43" s="18" t="n"/>
      <c r="L43" s="12" t="n"/>
    </row>
    <row r="44" ht="22" customHeight="1">
      <c r="B44" s="16">
        <f>IF(C44="","BET-"&amp;TEXT(COUNTA($C$5:C44),"000"))</f>
        <v/>
      </c>
      <c r="C44" s="14" t="n"/>
      <c r="D44" s="14" t="n"/>
      <c r="E44" s="14" t="n"/>
      <c r="F44" s="14" t="n"/>
      <c r="G44" s="14" t="n"/>
      <c r="H44" s="42" t="n"/>
      <c r="I44" s="14" t="n"/>
      <c r="J44" s="19" t="n"/>
      <c r="K44" s="19" t="n"/>
      <c r="L44" s="14" t="n"/>
    </row>
    <row r="45" ht="22" customHeight="1">
      <c r="B45" s="17">
        <f>IF(C45="","BET-"&amp;TEXT(COUNTA($C$5:C45),"000"))</f>
        <v/>
      </c>
      <c r="C45" s="12" t="n"/>
      <c r="D45" s="12" t="n"/>
      <c r="E45" s="12" t="n"/>
      <c r="F45" s="12" t="n"/>
      <c r="G45" s="12" t="n"/>
      <c r="H45" s="41" t="n"/>
      <c r="I45" s="12" t="n"/>
      <c r="J45" s="18" t="n"/>
      <c r="K45" s="18" t="n"/>
      <c r="L45" s="12" t="n"/>
    </row>
    <row r="46" ht="22" customHeight="1">
      <c r="B46" s="16">
        <f>IF(C46="","BET-"&amp;TEXT(COUNTA($C$5:C46),"000"))</f>
        <v/>
      </c>
      <c r="C46" s="14" t="n"/>
      <c r="D46" s="14" t="n"/>
      <c r="E46" s="14" t="n"/>
      <c r="F46" s="14" t="n"/>
      <c r="G46" s="14" t="n"/>
      <c r="H46" s="42" t="n"/>
      <c r="I46" s="14" t="n"/>
      <c r="J46" s="19" t="n"/>
      <c r="K46" s="19" t="n"/>
      <c r="L46" s="14" t="n"/>
    </row>
    <row r="47" ht="22" customHeight="1">
      <c r="B47" s="17">
        <f>IF(C47="","BET-"&amp;TEXT(COUNTA($C$5:C47),"000"))</f>
        <v/>
      </c>
      <c r="C47" s="12" t="n"/>
      <c r="D47" s="12" t="n"/>
      <c r="E47" s="12" t="n"/>
      <c r="F47" s="12" t="n"/>
      <c r="G47" s="12" t="n"/>
      <c r="H47" s="41" t="n"/>
      <c r="I47" s="12" t="n"/>
      <c r="J47" s="18" t="n"/>
      <c r="K47" s="18" t="n"/>
      <c r="L47" s="12" t="n"/>
    </row>
    <row r="48" ht="22" customHeight="1">
      <c r="B48" s="16">
        <f>IF(C48="","BET-"&amp;TEXT(COUNTA($C$5:C48),"000"))</f>
        <v/>
      </c>
      <c r="C48" s="14" t="n"/>
      <c r="D48" s="14" t="n"/>
      <c r="E48" s="14" t="n"/>
      <c r="F48" s="14" t="n"/>
      <c r="G48" s="14" t="n"/>
      <c r="H48" s="42" t="n"/>
      <c r="I48" s="14" t="n"/>
      <c r="J48" s="19" t="n"/>
      <c r="K48" s="19" t="n"/>
      <c r="L48" s="14" t="n"/>
    </row>
    <row r="49" ht="22" customHeight="1">
      <c r="B49" s="17">
        <f>IF(C49="","BET-"&amp;TEXT(COUNTA($C$5:C49),"000"))</f>
        <v/>
      </c>
      <c r="C49" s="12" t="n"/>
      <c r="D49" s="12" t="n"/>
      <c r="E49" s="12" t="n"/>
      <c r="F49" s="12" t="n"/>
      <c r="G49" s="12" t="n"/>
      <c r="H49" s="41" t="n"/>
      <c r="I49" s="12" t="n"/>
      <c r="J49" s="18" t="n"/>
      <c r="K49" s="18" t="n"/>
      <c r="L49" s="12" t="n"/>
    </row>
    <row r="50" ht="22" customHeight="1">
      <c r="B50" s="16">
        <f>IF(C50="","BET-"&amp;TEXT(COUNTA($C$5:C50),"000"))</f>
        <v/>
      </c>
      <c r="C50" s="14" t="n"/>
      <c r="D50" s="14" t="n"/>
      <c r="E50" s="14" t="n"/>
      <c r="F50" s="14" t="n"/>
      <c r="G50" s="14" t="n"/>
      <c r="H50" s="42" t="n"/>
      <c r="I50" s="14" t="n"/>
      <c r="J50" s="19" t="n"/>
      <c r="K50" s="19" t="n"/>
      <c r="L50" s="14" t="n"/>
    </row>
    <row r="51" ht="22" customHeight="1">
      <c r="B51" s="17">
        <f>IF(C51="","BET-"&amp;TEXT(COUNTA($C$5:C51),"000"))</f>
        <v/>
      </c>
      <c r="C51" s="12" t="n"/>
      <c r="D51" s="12" t="n"/>
      <c r="E51" s="12" t="n"/>
      <c r="F51" s="12" t="n"/>
      <c r="G51" s="12" t="n"/>
      <c r="H51" s="41" t="n"/>
      <c r="I51" s="12" t="n"/>
      <c r="J51" s="18" t="n"/>
      <c r="K51" s="18" t="n"/>
      <c r="L51" s="12" t="n"/>
    </row>
    <row r="52" ht="22" customHeight="1">
      <c r="B52" s="16">
        <f>IF(C52="","BET-"&amp;TEXT(COUNTA($C$5:C52),"000"))</f>
        <v/>
      </c>
      <c r="C52" s="14" t="n"/>
      <c r="D52" s="14" t="n"/>
      <c r="E52" s="14" t="n"/>
      <c r="F52" s="14" t="n"/>
      <c r="G52" s="14" t="n"/>
      <c r="H52" s="42" t="n"/>
      <c r="I52" s="14" t="n"/>
      <c r="J52" s="19" t="n"/>
      <c r="K52" s="19" t="n"/>
      <c r="L52" s="14" t="n"/>
    </row>
    <row r="53" ht="22" customHeight="1">
      <c r="B53" s="17">
        <f>IF(C53="","BET-"&amp;TEXT(COUNTA($C$5:C53),"000"))</f>
        <v/>
      </c>
      <c r="C53" s="12" t="n"/>
      <c r="D53" s="12" t="n"/>
      <c r="E53" s="12" t="n"/>
      <c r="F53" s="12" t="n"/>
      <c r="G53" s="12" t="n"/>
      <c r="H53" s="41" t="n"/>
      <c r="I53" s="12" t="n"/>
      <c r="J53" s="18" t="n"/>
      <c r="K53" s="18" t="n"/>
      <c r="L53" s="12" t="n"/>
    </row>
    <row r="54" ht="22" customHeight="1">
      <c r="B54" s="16">
        <f>IF(C54="","BET-"&amp;TEXT(COUNTA($C$5:C54),"000"))</f>
        <v/>
      </c>
      <c r="C54" s="14" t="n"/>
      <c r="D54" s="14" t="n"/>
      <c r="E54" s="14" t="n"/>
      <c r="F54" s="14" t="n"/>
      <c r="G54" s="14" t="n"/>
      <c r="H54" s="42" t="n"/>
      <c r="I54" s="14" t="n"/>
      <c r="J54" s="19" t="n"/>
      <c r="K54" s="19" t="n"/>
      <c r="L54" s="14" t="n"/>
    </row>
    <row r="55" ht="22" customHeight="1">
      <c r="B55" s="17">
        <f>IF(C55="","BET-"&amp;TEXT(COUNTA($C$5:C55),"000"))</f>
        <v/>
      </c>
      <c r="C55" s="12" t="n"/>
      <c r="D55" s="12" t="n"/>
      <c r="E55" s="12" t="n"/>
      <c r="F55" s="12" t="n"/>
      <c r="G55" s="12" t="n"/>
      <c r="H55" s="41" t="n"/>
      <c r="I55" s="12" t="n"/>
      <c r="J55" s="18" t="n"/>
      <c r="K55" s="18" t="n"/>
      <c r="L55" s="12" t="n"/>
    </row>
    <row r="56" ht="22" customHeight="1">
      <c r="B56" s="16">
        <f>IF(C56="","BET-"&amp;TEXT(COUNTA($C$5:C56),"000"))</f>
        <v/>
      </c>
      <c r="C56" s="14" t="n"/>
      <c r="D56" s="14" t="n"/>
      <c r="E56" s="14" t="n"/>
      <c r="F56" s="14" t="n"/>
      <c r="G56" s="14" t="n"/>
      <c r="H56" s="42" t="n"/>
      <c r="I56" s="14" t="n"/>
      <c r="J56" s="19" t="n"/>
      <c r="K56" s="19" t="n"/>
      <c r="L56" s="14" t="n"/>
    </row>
    <row r="57" ht="22" customHeight="1">
      <c r="B57" s="17">
        <f>IF(C57="","BET-"&amp;TEXT(COUNTA($C$5:C57),"000"))</f>
        <v/>
      </c>
      <c r="C57" s="12" t="n"/>
      <c r="D57" s="12" t="n"/>
      <c r="E57" s="12" t="n"/>
      <c r="F57" s="12" t="n"/>
      <c r="G57" s="12" t="n"/>
      <c r="H57" s="41" t="n"/>
      <c r="I57" s="12" t="n"/>
      <c r="J57" s="18" t="n"/>
      <c r="K57" s="18" t="n"/>
      <c r="L57" s="12" t="n"/>
    </row>
    <row r="58" ht="22" customHeight="1">
      <c r="B58" s="16">
        <f>IF(C58="","BET-"&amp;TEXT(COUNTA($C$5:C58),"000"))</f>
        <v/>
      </c>
      <c r="C58" s="14" t="n"/>
      <c r="D58" s="14" t="n"/>
      <c r="E58" s="14" t="n"/>
      <c r="F58" s="14" t="n"/>
      <c r="G58" s="14" t="n"/>
      <c r="H58" s="42" t="n"/>
      <c r="I58" s="14" t="n"/>
      <c r="J58" s="19" t="n"/>
      <c r="K58" s="19" t="n"/>
      <c r="L58" s="14" t="n"/>
    </row>
    <row r="59" ht="22" customHeight="1">
      <c r="B59" s="17">
        <f>IF(C59="","BET-"&amp;TEXT(COUNTA($C$5:C59),"000"))</f>
        <v/>
      </c>
      <c r="C59" s="12" t="n"/>
      <c r="D59" s="12" t="n"/>
      <c r="E59" s="12" t="n"/>
      <c r="F59" s="12" t="n"/>
      <c r="G59" s="12" t="n"/>
      <c r="H59" s="41" t="n"/>
      <c r="I59" s="12" t="n"/>
      <c r="J59" s="18" t="n"/>
      <c r="K59" s="18" t="n"/>
      <c r="L59" s="12" t="n"/>
    </row>
    <row r="60" ht="22" customHeight="1">
      <c r="B60" s="16">
        <f>IF(C60="","BET-"&amp;TEXT(COUNTA($C$5:C60),"000"))</f>
        <v/>
      </c>
      <c r="C60" s="14" t="n"/>
      <c r="D60" s="14" t="n"/>
      <c r="E60" s="14" t="n"/>
      <c r="F60" s="14" t="n"/>
      <c r="G60" s="14" t="n"/>
      <c r="H60" s="42" t="n"/>
      <c r="I60" s="14" t="n"/>
      <c r="J60" s="19" t="n"/>
      <c r="K60" s="19" t="n"/>
      <c r="L60" s="14" t="n"/>
    </row>
    <row r="61" ht="22" customHeight="1">
      <c r="B61" s="17">
        <f>IF(C61="","BET-"&amp;TEXT(COUNTA($C$5:C61),"000"))</f>
        <v/>
      </c>
      <c r="C61" s="12" t="n"/>
      <c r="D61" s="12" t="n"/>
      <c r="E61" s="12" t="n"/>
      <c r="F61" s="12" t="n"/>
      <c r="G61" s="12" t="n"/>
      <c r="H61" s="41" t="n"/>
      <c r="I61" s="12" t="n"/>
      <c r="J61" s="18" t="n"/>
      <c r="K61" s="18" t="n"/>
      <c r="L61" s="12" t="n"/>
    </row>
    <row r="62" ht="22" customHeight="1">
      <c r="B62" s="16">
        <f>IF(C62="","BET-"&amp;TEXT(COUNTA($C$5:C62),"000"))</f>
        <v/>
      </c>
      <c r="C62" s="14" t="n"/>
      <c r="D62" s="14" t="n"/>
      <c r="E62" s="14" t="n"/>
      <c r="F62" s="14" t="n"/>
      <c r="G62" s="14" t="n"/>
      <c r="H62" s="42" t="n"/>
      <c r="I62" s="14" t="n"/>
      <c r="J62" s="19" t="n"/>
      <c r="K62" s="19" t="n"/>
      <c r="L62" s="14" t="n"/>
    </row>
    <row r="63" ht="22" customHeight="1">
      <c r="B63" s="17">
        <f>IF(C63="","BET-"&amp;TEXT(COUNTA($C$5:C63),"000"))</f>
        <v/>
      </c>
      <c r="C63" s="12" t="n"/>
      <c r="D63" s="12" t="n"/>
      <c r="E63" s="12" t="n"/>
      <c r="F63" s="12" t="n"/>
      <c r="G63" s="12" t="n"/>
      <c r="H63" s="41" t="n"/>
      <c r="I63" s="12" t="n"/>
      <c r="J63" s="18" t="n"/>
      <c r="K63" s="18" t="n"/>
      <c r="L63" s="12" t="n"/>
    </row>
    <row r="64" ht="22" customHeight="1">
      <c r="B64" s="16">
        <f>IF(C64="","BET-"&amp;TEXT(COUNTA($C$5:C64),"000"))</f>
        <v/>
      </c>
      <c r="C64" s="14" t="n"/>
      <c r="D64" s="14" t="n"/>
      <c r="E64" s="14" t="n"/>
      <c r="F64" s="14" t="n"/>
      <c r="G64" s="14" t="n"/>
      <c r="H64" s="42" t="n"/>
      <c r="I64" s="14" t="n"/>
      <c r="J64" s="19" t="n"/>
      <c r="K64" s="19" t="n"/>
      <c r="L64" s="14" t="n"/>
    </row>
    <row r="65" ht="22" customHeight="1">
      <c r="B65" s="17">
        <f>IF(C65="","BET-"&amp;TEXT(COUNTA($C$5:C65),"000"))</f>
        <v/>
      </c>
      <c r="C65" s="12" t="n"/>
      <c r="D65" s="12" t="n"/>
      <c r="E65" s="12" t="n"/>
      <c r="F65" s="12" t="n"/>
      <c r="G65" s="12" t="n"/>
      <c r="H65" s="41" t="n"/>
      <c r="I65" s="12" t="n"/>
      <c r="J65" s="18" t="n"/>
      <c r="K65" s="18" t="n"/>
      <c r="L65" s="12" t="n"/>
    </row>
    <row r="66" ht="22" customHeight="1">
      <c r="B66" s="16">
        <f>IF(C66="","BET-"&amp;TEXT(COUNTA($C$5:C66),"000"))</f>
        <v/>
      </c>
      <c r="C66" s="14" t="n"/>
      <c r="D66" s="14" t="n"/>
      <c r="E66" s="14" t="n"/>
      <c r="F66" s="14" t="n"/>
      <c r="G66" s="14" t="n"/>
      <c r="H66" s="42" t="n"/>
      <c r="I66" s="14" t="n"/>
      <c r="J66" s="19" t="n"/>
      <c r="K66" s="19" t="n"/>
      <c r="L66" s="14" t="n"/>
    </row>
    <row r="67" ht="22" customHeight="1">
      <c r="B67" s="17">
        <f>IF(C67="","BET-"&amp;TEXT(COUNTA($C$5:C67),"000"))</f>
        <v/>
      </c>
      <c r="C67" s="12" t="n"/>
      <c r="D67" s="12" t="n"/>
      <c r="E67" s="12" t="n"/>
      <c r="F67" s="12" t="n"/>
      <c r="G67" s="12" t="n"/>
      <c r="H67" s="41" t="n"/>
      <c r="I67" s="12" t="n"/>
      <c r="J67" s="18" t="n"/>
      <c r="K67" s="18" t="n"/>
      <c r="L67" s="12" t="n"/>
    </row>
    <row r="68" ht="22" customHeight="1">
      <c r="B68" s="16">
        <f>IF(C68="","BET-"&amp;TEXT(COUNTA($C$5:C68),"000"))</f>
        <v/>
      </c>
      <c r="C68" s="14" t="n"/>
      <c r="D68" s="14" t="n"/>
      <c r="E68" s="14" t="n"/>
      <c r="F68" s="14" t="n"/>
      <c r="G68" s="14" t="n"/>
      <c r="H68" s="42" t="n"/>
      <c r="I68" s="14" t="n"/>
      <c r="J68" s="19" t="n"/>
      <c r="K68" s="19" t="n"/>
      <c r="L68" s="14" t="n"/>
    </row>
    <row r="69" ht="22" customHeight="1">
      <c r="B69" s="17">
        <f>IF(C69="","BET-"&amp;TEXT(COUNTA($C$5:C69),"000"))</f>
        <v/>
      </c>
      <c r="C69" s="12" t="n"/>
      <c r="D69" s="12" t="n"/>
      <c r="E69" s="12" t="n"/>
      <c r="F69" s="12" t="n"/>
      <c r="G69" s="12" t="n"/>
      <c r="H69" s="41" t="n"/>
      <c r="I69" s="12" t="n"/>
      <c r="J69" s="18" t="n"/>
      <c r="K69" s="18" t="n"/>
      <c r="L69" s="12" t="n"/>
    </row>
    <row r="70" ht="22" customHeight="1">
      <c r="B70" s="16">
        <f>IF(C70="","BET-"&amp;TEXT(COUNTA($C$5:C70),"000"))</f>
        <v/>
      </c>
      <c r="C70" s="14" t="n"/>
      <c r="D70" s="14" t="n"/>
      <c r="E70" s="14" t="n"/>
      <c r="F70" s="14" t="n"/>
      <c r="G70" s="14" t="n"/>
      <c r="H70" s="42" t="n"/>
      <c r="I70" s="14" t="n"/>
      <c r="J70" s="19" t="n"/>
      <c r="K70" s="19" t="n"/>
      <c r="L70" s="14" t="n"/>
    </row>
    <row r="71" ht="22" customHeight="1">
      <c r="B71" s="17">
        <f>IF(C71="","BET-"&amp;TEXT(COUNTA($C$5:C71),"000"))</f>
        <v/>
      </c>
      <c r="C71" s="12" t="n"/>
      <c r="D71" s="12" t="n"/>
      <c r="E71" s="12" t="n"/>
      <c r="F71" s="12" t="n"/>
      <c r="G71" s="12" t="n"/>
      <c r="H71" s="41" t="n"/>
      <c r="I71" s="12" t="n"/>
      <c r="J71" s="18" t="n"/>
      <c r="K71" s="18" t="n"/>
      <c r="L71" s="12" t="n"/>
    </row>
    <row r="72" ht="22" customHeight="1">
      <c r="B72" s="16">
        <f>IF(C72="","BET-"&amp;TEXT(COUNTA($C$5:C72),"000"))</f>
        <v/>
      </c>
      <c r="C72" s="14" t="n"/>
      <c r="D72" s="14" t="n"/>
      <c r="E72" s="14" t="n"/>
      <c r="F72" s="14" t="n"/>
      <c r="G72" s="14" t="n"/>
      <c r="H72" s="42" t="n"/>
      <c r="I72" s="14" t="n"/>
      <c r="J72" s="19" t="n"/>
      <c r="K72" s="19" t="n"/>
      <c r="L72" s="14" t="n"/>
    </row>
    <row r="73" ht="22" customHeight="1">
      <c r="B73" s="17">
        <f>IF(C73="","BET-"&amp;TEXT(COUNTA($C$5:C73),"000"))</f>
        <v/>
      </c>
      <c r="C73" s="12" t="n"/>
      <c r="D73" s="12" t="n"/>
      <c r="E73" s="12" t="n"/>
      <c r="F73" s="12" t="n"/>
      <c r="G73" s="12" t="n"/>
      <c r="H73" s="41" t="n"/>
      <c r="I73" s="12" t="n"/>
      <c r="J73" s="18" t="n"/>
      <c r="K73" s="18" t="n"/>
      <c r="L73" s="12" t="n"/>
    </row>
    <row r="74" ht="22" customHeight="1">
      <c r="B74" s="16">
        <f>IF(C74="","BET-"&amp;TEXT(COUNTA($C$5:C74),"000"))</f>
        <v/>
      </c>
      <c r="C74" s="14" t="n"/>
      <c r="D74" s="14" t="n"/>
      <c r="E74" s="14" t="n"/>
      <c r="F74" s="14" t="n"/>
      <c r="G74" s="14" t="n"/>
      <c r="H74" s="42" t="n"/>
      <c r="I74" s="14" t="n"/>
      <c r="J74" s="19" t="n"/>
      <c r="K74" s="19" t="n"/>
      <c r="L74" s="14" t="n"/>
    </row>
    <row r="75" ht="22" customHeight="1">
      <c r="B75" s="17">
        <f>IF(C75="","BET-"&amp;TEXT(COUNTA($C$5:C75),"000"))</f>
        <v/>
      </c>
      <c r="C75" s="12" t="n"/>
      <c r="D75" s="12" t="n"/>
      <c r="E75" s="12" t="n"/>
      <c r="F75" s="12" t="n"/>
      <c r="G75" s="12" t="n"/>
      <c r="H75" s="41" t="n"/>
      <c r="I75" s="12" t="n"/>
      <c r="J75" s="18" t="n"/>
      <c r="K75" s="18" t="n"/>
      <c r="L75" s="12" t="n"/>
    </row>
    <row r="76" ht="22" customHeight="1">
      <c r="B76" s="16">
        <f>IF(C76="","BET-"&amp;TEXT(COUNTA($C$5:C76),"000"))</f>
        <v/>
      </c>
      <c r="C76" s="14" t="n"/>
      <c r="D76" s="14" t="n"/>
      <c r="E76" s="14" t="n"/>
      <c r="F76" s="14" t="n"/>
      <c r="G76" s="14" t="n"/>
      <c r="H76" s="42" t="n"/>
      <c r="I76" s="14" t="n"/>
      <c r="J76" s="19" t="n"/>
      <c r="K76" s="19" t="n"/>
      <c r="L76" s="14" t="n"/>
    </row>
    <row r="77" ht="22" customHeight="1">
      <c r="B77" s="17">
        <f>IF(C77="","BET-"&amp;TEXT(COUNTA($C$5:C77),"000"))</f>
        <v/>
      </c>
      <c r="C77" s="12" t="n"/>
      <c r="D77" s="12" t="n"/>
      <c r="E77" s="12" t="n"/>
      <c r="F77" s="12" t="n"/>
      <c r="G77" s="12" t="n"/>
      <c r="H77" s="41" t="n"/>
      <c r="I77" s="12" t="n"/>
      <c r="J77" s="18" t="n"/>
      <c r="K77" s="18" t="n"/>
      <c r="L77" s="12" t="n"/>
    </row>
    <row r="78" ht="22" customHeight="1">
      <c r="B78" s="16">
        <f>IF(C78="","BET-"&amp;TEXT(COUNTA($C$5:C78),"000"))</f>
        <v/>
      </c>
      <c r="C78" s="14" t="n"/>
      <c r="D78" s="14" t="n"/>
      <c r="E78" s="14" t="n"/>
      <c r="F78" s="14" t="n"/>
      <c r="G78" s="14" t="n"/>
      <c r="H78" s="42" t="n"/>
      <c r="I78" s="14" t="n"/>
      <c r="J78" s="19" t="n"/>
      <c r="K78" s="19" t="n"/>
      <c r="L78" s="14" t="n"/>
    </row>
    <row r="79" ht="22" customHeight="1">
      <c r="B79" s="17">
        <f>IF(C79="","BET-"&amp;TEXT(COUNTA($C$5:C79),"000"))</f>
        <v/>
      </c>
      <c r="C79" s="12" t="n"/>
      <c r="D79" s="12" t="n"/>
      <c r="E79" s="12" t="n"/>
      <c r="F79" s="12" t="n"/>
      <c r="G79" s="12" t="n"/>
      <c r="H79" s="41" t="n"/>
      <c r="I79" s="12" t="n"/>
      <c r="J79" s="18" t="n"/>
      <c r="K79" s="18" t="n"/>
      <c r="L79" s="12" t="n"/>
    </row>
    <row r="80" ht="22" customHeight="1">
      <c r="B80" s="16">
        <f>IF(C80="","BET-"&amp;TEXT(COUNTA($C$5:C80),"000"))</f>
        <v/>
      </c>
      <c r="C80" s="14" t="n"/>
      <c r="D80" s="14" t="n"/>
      <c r="E80" s="14" t="n"/>
      <c r="F80" s="14" t="n"/>
      <c r="G80" s="14" t="n"/>
      <c r="H80" s="42" t="n"/>
      <c r="I80" s="14" t="n"/>
      <c r="J80" s="19" t="n"/>
      <c r="K80" s="19" t="n"/>
      <c r="L80" s="14" t="n"/>
    </row>
    <row r="81" ht="22" customHeight="1">
      <c r="B81" s="17">
        <f>IF(C81="","BET-"&amp;TEXT(COUNTA($C$5:C81),"000"))</f>
        <v/>
      </c>
      <c r="C81" s="12" t="n"/>
      <c r="D81" s="12" t="n"/>
      <c r="E81" s="12" t="n"/>
      <c r="F81" s="12" t="n"/>
      <c r="G81" s="12" t="n"/>
      <c r="H81" s="41" t="n"/>
      <c r="I81" s="12" t="n"/>
      <c r="J81" s="18" t="n"/>
      <c r="K81" s="18" t="n"/>
      <c r="L81" s="12" t="n"/>
    </row>
    <row r="82" ht="22" customHeight="1">
      <c r="B82" s="16">
        <f>IF(C82="","BET-"&amp;TEXT(COUNTA($C$5:C82),"000"))</f>
        <v/>
      </c>
      <c r="C82" s="14" t="n"/>
      <c r="D82" s="14" t="n"/>
      <c r="E82" s="14" t="n"/>
      <c r="F82" s="14" t="n"/>
      <c r="G82" s="14" t="n"/>
      <c r="H82" s="42" t="n"/>
      <c r="I82" s="14" t="n"/>
      <c r="J82" s="19" t="n"/>
      <c r="K82" s="19" t="n"/>
      <c r="L82" s="14" t="n"/>
    </row>
    <row r="83" ht="22" customHeight="1">
      <c r="B83" s="17">
        <f>IF(C83="","BET-"&amp;TEXT(COUNTA($C$5:C83),"000"))</f>
        <v/>
      </c>
      <c r="C83" s="12" t="n"/>
      <c r="D83" s="12" t="n"/>
      <c r="E83" s="12" t="n"/>
      <c r="F83" s="12" t="n"/>
      <c r="G83" s="12" t="n"/>
      <c r="H83" s="41" t="n"/>
      <c r="I83" s="12" t="n"/>
      <c r="J83" s="18" t="n"/>
      <c r="K83" s="18" t="n"/>
      <c r="L83" s="12" t="n"/>
    </row>
    <row r="84" ht="22" customHeight="1">
      <c r="B84" s="16">
        <f>IF(C84="","BET-"&amp;TEXT(COUNTA($C$5:C84),"000"))</f>
        <v/>
      </c>
      <c r="C84" s="14" t="n"/>
      <c r="D84" s="14" t="n"/>
      <c r="E84" s="14" t="n"/>
      <c r="F84" s="14" t="n"/>
      <c r="G84" s="14" t="n"/>
      <c r="H84" s="42" t="n"/>
      <c r="I84" s="14" t="n"/>
      <c r="J84" s="19" t="n"/>
      <c r="K84" s="19" t="n"/>
      <c r="L84" s="14" t="n"/>
    </row>
    <row r="85" ht="22" customHeight="1">
      <c r="B85" s="17">
        <f>IF(C85="","BET-"&amp;TEXT(COUNTA($C$5:C85),"000"))</f>
        <v/>
      </c>
      <c r="C85" s="12" t="n"/>
      <c r="D85" s="12" t="n"/>
      <c r="E85" s="12" t="n"/>
      <c r="F85" s="12" t="n"/>
      <c r="G85" s="12" t="n"/>
      <c r="H85" s="41" t="n"/>
      <c r="I85" s="12" t="n"/>
      <c r="J85" s="18" t="n"/>
      <c r="K85" s="18" t="n"/>
      <c r="L85" s="12" t="n"/>
    </row>
    <row r="86" ht="22" customHeight="1">
      <c r="B86" s="16">
        <f>IF(C86="","BET-"&amp;TEXT(COUNTA($C$5:C86),"000"))</f>
        <v/>
      </c>
      <c r="C86" s="14" t="n"/>
      <c r="D86" s="14" t="n"/>
      <c r="E86" s="14" t="n"/>
      <c r="F86" s="14" t="n"/>
      <c r="G86" s="14" t="n"/>
      <c r="H86" s="42" t="n"/>
      <c r="I86" s="14" t="n"/>
      <c r="J86" s="19" t="n"/>
      <c r="K86" s="19" t="n"/>
      <c r="L86" s="14" t="n"/>
    </row>
    <row r="87" ht="22" customHeight="1">
      <c r="B87" s="17">
        <f>IF(C87="","BET-"&amp;TEXT(COUNTA($C$5:C87),"000"))</f>
        <v/>
      </c>
      <c r="C87" s="12" t="n"/>
      <c r="D87" s="12" t="n"/>
      <c r="E87" s="12" t="n"/>
      <c r="F87" s="12" t="n"/>
      <c r="G87" s="12" t="n"/>
      <c r="H87" s="41" t="n"/>
      <c r="I87" s="12" t="n"/>
      <c r="J87" s="18" t="n"/>
      <c r="K87" s="18" t="n"/>
      <c r="L87" s="12" t="n"/>
    </row>
    <row r="88" ht="22" customHeight="1">
      <c r="B88" s="16">
        <f>IF(C88="","BET-"&amp;TEXT(COUNTA($C$5:C88),"000"))</f>
        <v/>
      </c>
      <c r="C88" s="14" t="n"/>
      <c r="D88" s="14" t="n"/>
      <c r="E88" s="14" t="n"/>
      <c r="F88" s="14" t="n"/>
      <c r="G88" s="14" t="n"/>
      <c r="H88" s="42" t="n"/>
      <c r="I88" s="14" t="n"/>
      <c r="J88" s="19" t="n"/>
      <c r="K88" s="19" t="n"/>
      <c r="L88" s="14" t="n"/>
    </row>
    <row r="89" ht="22" customHeight="1">
      <c r="B89" s="17">
        <f>IF(C89="","BET-"&amp;TEXT(COUNTA($C$5:C89),"000"))</f>
        <v/>
      </c>
      <c r="C89" s="12" t="n"/>
      <c r="D89" s="12" t="n"/>
      <c r="E89" s="12" t="n"/>
      <c r="F89" s="12" t="n"/>
      <c r="G89" s="12" t="n"/>
      <c r="H89" s="41" t="n"/>
      <c r="I89" s="12" t="n"/>
      <c r="J89" s="18" t="n"/>
      <c r="K89" s="18" t="n"/>
      <c r="L89" s="12" t="n"/>
    </row>
    <row r="90" ht="22" customHeight="1">
      <c r="B90" s="16">
        <f>IF(C90="","BET-"&amp;TEXT(COUNTA($C$5:C90),"000"))</f>
        <v/>
      </c>
      <c r="C90" s="14" t="n"/>
      <c r="D90" s="14" t="n"/>
      <c r="E90" s="14" t="n"/>
      <c r="F90" s="14" t="n"/>
      <c r="G90" s="14" t="n"/>
      <c r="H90" s="42" t="n"/>
      <c r="I90" s="14" t="n"/>
      <c r="J90" s="19" t="n"/>
      <c r="K90" s="19" t="n"/>
      <c r="L90" s="14" t="n"/>
    </row>
    <row r="91" ht="22" customHeight="1">
      <c r="B91" s="17">
        <f>IF(C91="","BET-"&amp;TEXT(COUNTA($C$5:C91),"000"))</f>
        <v/>
      </c>
      <c r="C91" s="12" t="n"/>
      <c r="D91" s="12" t="n"/>
      <c r="E91" s="12" t="n"/>
      <c r="F91" s="12" t="n"/>
      <c r="G91" s="12" t="n"/>
      <c r="H91" s="41" t="n"/>
      <c r="I91" s="12" t="n"/>
      <c r="J91" s="18" t="n"/>
      <c r="K91" s="18" t="n"/>
      <c r="L91" s="12" t="n"/>
    </row>
    <row r="92" ht="22" customHeight="1">
      <c r="B92" s="16">
        <f>IF(C92="","BET-"&amp;TEXT(COUNTA($C$5:C92),"000"))</f>
        <v/>
      </c>
      <c r="C92" s="14" t="n"/>
      <c r="D92" s="14" t="n"/>
      <c r="E92" s="14" t="n"/>
      <c r="F92" s="14" t="n"/>
      <c r="G92" s="14" t="n"/>
      <c r="H92" s="42" t="n"/>
      <c r="I92" s="14" t="n"/>
      <c r="J92" s="19" t="n"/>
      <c r="K92" s="19" t="n"/>
      <c r="L92" s="14" t="n"/>
    </row>
    <row r="93" ht="22" customHeight="1">
      <c r="B93" s="17">
        <f>IF(C93="","BET-"&amp;TEXT(COUNTA($C$5:C93),"000"))</f>
        <v/>
      </c>
      <c r="C93" s="12" t="n"/>
      <c r="D93" s="12" t="n"/>
      <c r="E93" s="12" t="n"/>
      <c r="F93" s="12" t="n"/>
      <c r="G93" s="12" t="n"/>
      <c r="H93" s="41" t="n"/>
      <c r="I93" s="12" t="n"/>
      <c r="J93" s="18" t="n"/>
      <c r="K93" s="18" t="n"/>
      <c r="L93" s="12" t="n"/>
    </row>
    <row r="94" ht="22" customHeight="1">
      <c r="B94" s="16">
        <f>IF(C94="","BET-"&amp;TEXT(COUNTA($C$5:C94),"000"))</f>
        <v/>
      </c>
      <c r="C94" s="14" t="n"/>
      <c r="D94" s="14" t="n"/>
      <c r="E94" s="14" t="n"/>
      <c r="F94" s="14" t="n"/>
      <c r="G94" s="14" t="n"/>
      <c r="H94" s="42" t="n"/>
      <c r="I94" s="14" t="n"/>
      <c r="J94" s="19" t="n"/>
      <c r="K94" s="19" t="n"/>
      <c r="L94" s="14" t="n"/>
    </row>
    <row r="95" ht="22" customHeight="1">
      <c r="B95" s="17">
        <f>IF(C95="","BET-"&amp;TEXT(COUNTA($C$5:C95),"000"))</f>
        <v/>
      </c>
      <c r="C95" s="12" t="n"/>
      <c r="D95" s="12" t="n"/>
      <c r="E95" s="12" t="n"/>
      <c r="F95" s="12" t="n"/>
      <c r="G95" s="12" t="n"/>
      <c r="H95" s="41" t="n"/>
      <c r="I95" s="12" t="n"/>
      <c r="J95" s="18" t="n"/>
      <c r="K95" s="18" t="n"/>
      <c r="L95" s="12" t="n"/>
    </row>
    <row r="96" ht="22" customHeight="1">
      <c r="B96" s="16">
        <f>IF(C96="","BET-"&amp;TEXT(COUNTA($C$5:C96),"000"))</f>
        <v/>
      </c>
      <c r="C96" s="14" t="n"/>
      <c r="D96" s="14" t="n"/>
      <c r="E96" s="14" t="n"/>
      <c r="F96" s="14" t="n"/>
      <c r="G96" s="14" t="n"/>
      <c r="H96" s="42" t="n"/>
      <c r="I96" s="14" t="n"/>
      <c r="J96" s="19" t="n"/>
      <c r="K96" s="19" t="n"/>
      <c r="L96" s="14" t="n"/>
    </row>
    <row r="97" ht="22" customHeight="1">
      <c r="B97" s="17">
        <f>IF(C97="","BET-"&amp;TEXT(COUNTA($C$5:C97),"000"))</f>
        <v/>
      </c>
      <c r="C97" s="12" t="n"/>
      <c r="D97" s="12" t="n"/>
      <c r="E97" s="12" t="n"/>
      <c r="F97" s="12" t="n"/>
      <c r="G97" s="12" t="n"/>
      <c r="H97" s="41" t="n"/>
      <c r="I97" s="12" t="n"/>
      <c r="J97" s="18" t="n"/>
      <c r="K97" s="18" t="n"/>
      <c r="L97" s="12" t="n"/>
    </row>
    <row r="98" ht="22" customHeight="1">
      <c r="B98" s="16">
        <f>IF(C98="","BET-"&amp;TEXT(COUNTA($C$5:C98),"000"))</f>
        <v/>
      </c>
      <c r="C98" s="14" t="n"/>
      <c r="D98" s="14" t="n"/>
      <c r="E98" s="14" t="n"/>
      <c r="F98" s="14" t="n"/>
      <c r="G98" s="14" t="n"/>
      <c r="H98" s="42" t="n"/>
      <c r="I98" s="14" t="n"/>
      <c r="J98" s="19" t="n"/>
      <c r="K98" s="19" t="n"/>
      <c r="L98" s="14" t="n"/>
    </row>
    <row r="99" ht="22" customHeight="1">
      <c r="B99" s="17">
        <f>IF(C99="","BET-"&amp;TEXT(COUNTA($C$5:C99),"000"))</f>
        <v/>
      </c>
      <c r="C99" s="12" t="n"/>
      <c r="D99" s="12" t="n"/>
      <c r="E99" s="12" t="n"/>
      <c r="F99" s="12" t="n"/>
      <c r="G99" s="12" t="n"/>
      <c r="H99" s="41" t="n"/>
      <c r="I99" s="12" t="n"/>
      <c r="J99" s="18" t="n"/>
      <c r="K99" s="18" t="n"/>
      <c r="L99" s="12" t="n"/>
    </row>
    <row r="100" ht="22" customHeight="1">
      <c r="B100" s="16">
        <f>IF(C100="","BET-"&amp;TEXT(COUNTA($C$5:C100),"000"))</f>
        <v/>
      </c>
      <c r="C100" s="14" t="n"/>
      <c r="D100" s="14" t="n"/>
      <c r="E100" s="14" t="n"/>
      <c r="F100" s="14" t="n"/>
      <c r="G100" s="14" t="n"/>
      <c r="H100" s="42" t="n"/>
      <c r="I100" s="14" t="n"/>
      <c r="J100" s="19" t="n"/>
      <c r="K100" s="19" t="n"/>
      <c r="L100" s="14" t="n"/>
    </row>
    <row r="101" ht="22" customHeight="1">
      <c r="B101" s="17">
        <f>IF(C101="","BET-"&amp;TEXT(COUNTA($C$5:C101),"000"))</f>
        <v/>
      </c>
      <c r="C101" s="12" t="n"/>
      <c r="D101" s="12" t="n"/>
      <c r="E101" s="12" t="n"/>
      <c r="F101" s="12" t="n"/>
      <c r="G101" s="12" t="n"/>
      <c r="H101" s="41" t="n"/>
      <c r="I101" s="12" t="n"/>
      <c r="J101" s="18" t="n"/>
      <c r="K101" s="18" t="n"/>
      <c r="L101" s="12" t="n"/>
    </row>
    <row r="102" ht="22" customHeight="1">
      <c r="B102" s="16">
        <f>IF(C102="","BET-"&amp;TEXT(COUNTA($C$5:C102),"000"))</f>
        <v/>
      </c>
      <c r="C102" s="14" t="n"/>
      <c r="D102" s="14" t="n"/>
      <c r="E102" s="14" t="n"/>
      <c r="F102" s="14" t="n"/>
      <c r="G102" s="14" t="n"/>
      <c r="H102" s="42" t="n"/>
      <c r="I102" s="14" t="n"/>
      <c r="J102" s="19" t="n"/>
      <c r="K102" s="19" t="n"/>
      <c r="L102" s="14" t="n"/>
    </row>
    <row r="103" ht="22" customHeight="1">
      <c r="B103" s="17">
        <f>IF(C103="","BET-"&amp;TEXT(COUNTA($C$5:C103),"000"))</f>
        <v/>
      </c>
      <c r="C103" s="12" t="n"/>
      <c r="D103" s="12" t="n"/>
      <c r="E103" s="12" t="n"/>
      <c r="F103" s="12" t="n"/>
      <c r="G103" s="12" t="n"/>
      <c r="H103" s="41" t="n"/>
      <c r="I103" s="12" t="n"/>
      <c r="J103" s="18" t="n"/>
      <c r="K103" s="18" t="n"/>
      <c r="L103" s="12" t="n"/>
    </row>
    <row r="104" ht="22" customHeight="1">
      <c r="B104" s="16">
        <f>IF(C104="","BET-"&amp;TEXT(COUNTA($C$5:C104),"000"))</f>
        <v/>
      </c>
      <c r="C104" s="14" t="n"/>
      <c r="D104" s="14" t="n"/>
      <c r="E104" s="14" t="n"/>
      <c r="F104" s="14" t="n"/>
      <c r="G104" s="14" t="n"/>
      <c r="H104" s="42" t="n"/>
      <c r="I104" s="14" t="n"/>
      <c r="J104" s="19" t="n"/>
      <c r="K104" s="19" t="n"/>
      <c r="L104" s="14" t="n"/>
    </row>
    <row r="105" ht="22" customHeight="1">
      <c r="B105" s="17">
        <f>IF(C105="","BET-"&amp;TEXT(COUNTA($C$5:C105),"000"))</f>
        <v/>
      </c>
      <c r="C105" s="12" t="n"/>
      <c r="D105" s="12" t="n"/>
      <c r="E105" s="12" t="n"/>
      <c r="F105" s="12" t="n"/>
      <c r="G105" s="12" t="n"/>
      <c r="H105" s="41" t="n"/>
      <c r="I105" s="12" t="n"/>
      <c r="J105" s="18" t="n"/>
      <c r="K105" s="18" t="n"/>
      <c r="L105" s="12" t="n"/>
    </row>
    <row r="106" ht="22" customHeight="1">
      <c r="B106" s="16">
        <f>IF(C106="","BET-"&amp;TEXT(COUNTA($C$5:C106),"000"))</f>
        <v/>
      </c>
      <c r="C106" s="14" t="n"/>
      <c r="D106" s="14" t="n"/>
      <c r="E106" s="14" t="n"/>
      <c r="F106" s="14" t="n"/>
      <c r="G106" s="14" t="n"/>
      <c r="H106" s="42" t="n"/>
      <c r="I106" s="14" t="n"/>
      <c r="J106" s="19" t="n"/>
      <c r="K106" s="19" t="n"/>
      <c r="L106" s="14" t="n"/>
    </row>
    <row r="107" ht="22" customHeight="1">
      <c r="B107" s="17">
        <f>IF(C107="","BET-"&amp;TEXT(COUNTA($C$5:C107),"000"))</f>
        <v/>
      </c>
      <c r="C107" s="12" t="n"/>
      <c r="D107" s="12" t="n"/>
      <c r="E107" s="12" t="n"/>
      <c r="F107" s="12" t="n"/>
      <c r="G107" s="12" t="n"/>
      <c r="H107" s="41" t="n"/>
      <c r="I107" s="12" t="n"/>
      <c r="J107" s="18" t="n"/>
      <c r="K107" s="18" t="n"/>
      <c r="L107" s="12" t="n"/>
    </row>
    <row r="108" ht="22" customHeight="1">
      <c r="B108" s="16">
        <f>IF(C108="","BET-"&amp;TEXT(COUNTA($C$5:C108),"000"))</f>
        <v/>
      </c>
      <c r="C108" s="14" t="n"/>
      <c r="D108" s="14" t="n"/>
      <c r="E108" s="14" t="n"/>
      <c r="F108" s="14" t="n"/>
      <c r="G108" s="14" t="n"/>
      <c r="H108" s="42" t="n"/>
      <c r="I108" s="14" t="n"/>
      <c r="J108" s="19" t="n"/>
      <c r="K108" s="19" t="n"/>
      <c r="L108" s="14" t="n"/>
    </row>
    <row r="110">
      <c r="B110" s="6" t="inlineStr">
        <is>
          <t>INDICATEURS (mis a jour automatiquement)</t>
        </is>
      </c>
    </row>
    <row r="111">
      <c r="B111" s="3" t="inlineStr">
        <is>
          <t>Initiatives bien-etre</t>
        </is>
      </c>
      <c r="D111" s="3" t="inlineStr">
        <is>
          <t>Budget total (FCFA)</t>
        </is>
      </c>
      <c r="F111" s="3" t="inlineStr">
        <is>
          <t>Sessions recurrentes</t>
        </is>
      </c>
    </row>
    <row r="112">
      <c r="B112" s="4">
        <f>COUNTIF(B5:B104,"&lt;&gt;")</f>
        <v/>
      </c>
      <c r="D112" s="4">
        <f>SUM(K5:K104)</f>
        <v/>
      </c>
      <c r="F112" s="4">
        <f>COUNTIF(L5:L104,"Recurrent")</f>
        <v/>
      </c>
    </row>
  </sheetData>
  <mergeCells count="3">
    <mergeCell ref="B2:L2"/>
    <mergeCell ref="B110:L110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9:B108">
    <cfRule type="expression" priority="238" dxfId="3">
      <formula>AND($C9="",$C8&lt;&gt;"")</formula>
    </cfRule>
  </conditionalFormatting>
  <conditionalFormatting sqref="C9:C108">
    <cfRule type="expression" priority="239" dxfId="3">
      <formula>AND($C9="",$C8&lt;&gt;"")</formula>
    </cfRule>
  </conditionalFormatting>
  <conditionalFormatting sqref="D9:D108">
    <cfRule type="expression" priority="240" dxfId="3">
      <formula>AND($C9="",$C8&lt;&gt;"")</formula>
    </cfRule>
  </conditionalFormatting>
  <conditionalFormatting sqref="E9:E108">
    <cfRule type="expression" priority="241" dxfId="3">
      <formula>AND($C9="",$C8&lt;&gt;"")</formula>
    </cfRule>
  </conditionalFormatting>
  <conditionalFormatting sqref="F9:F108">
    <cfRule type="expression" priority="242" dxfId="3">
      <formula>AND($C9="",$C8&lt;&gt;"")</formula>
    </cfRule>
  </conditionalFormatting>
  <conditionalFormatting sqref="G9:G108">
    <cfRule type="expression" priority="243" dxfId="3">
      <formula>AND($C9="",$C8&lt;&gt;"")</formula>
    </cfRule>
  </conditionalFormatting>
  <conditionalFormatting sqref="H9:H108">
    <cfRule type="expression" priority="244" dxfId="3">
      <formula>AND($C9="",$C8&lt;&gt;"")</formula>
    </cfRule>
  </conditionalFormatting>
  <conditionalFormatting sqref="I9:I108">
    <cfRule type="expression" priority="245" dxfId="3">
      <formula>AND($C9="",$C8&lt;&gt;"")</formula>
    </cfRule>
  </conditionalFormatting>
  <conditionalFormatting sqref="J9:J108">
    <cfRule type="expression" priority="246" dxfId="3">
      <formula>AND($C9="",$C8&lt;&gt;"")</formula>
    </cfRule>
  </conditionalFormatting>
  <conditionalFormatting sqref="K9:K108">
    <cfRule type="expression" priority="247" dxfId="3">
      <formula>AND($C9="",$C8&lt;&gt;"")</formula>
    </cfRule>
  </conditionalFormatting>
  <conditionalFormatting sqref="L9:L108">
    <cfRule type="expression" priority="248" dxfId="3">
      <formula>AND($C9="",$C8&lt;&gt;"")</formula>
    </cfRule>
  </conditionalFormatting>
  <dataValidations count="2">
    <dataValidation sqref="D5:D108" showDropDown="0" showInputMessage="0" showErrorMessage="0" allowBlank="1" errorTitle="Erreur" error="Valeur invalide" promptTitle="Liste" prompt="Choisir dans la liste" type="list">
      <formula1>'_Lists'!$I$2:$I$13</formula1>
    </dataValidation>
    <dataValidation sqref="L5:L108" showDropDown="0" showInputMessage="0" showErrorMessage="0" allowBlank="1" errorTitle="Erreur" error="Valeur invalide" promptTitle="Liste" prompt="Choisir dans la liste" type="list">
      <formula1>'_Lists'!$J$2:$J$7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18" customWidth="1" min="4" max="4"/>
    <col width="22" customWidth="1" min="5" max="5"/>
    <col width="42" customWidth="1" min="6" max="6"/>
    <col width="20" customWidth="1" min="7" max="7"/>
    <col width="16" customWidth="1" min="8" max="8"/>
    <col width="22" customWidth="1" min="9" max="9"/>
    <col width="16" customWidth="1" min="10" max="10"/>
    <col width="24" customWidth="1" min="11" max="11"/>
    <col width="16" customWidth="1" min="12" max="12"/>
  </cols>
  <sheetData>
    <row r="1" ht="15" customHeight="1"/>
    <row r="2" ht="32" customHeight="1">
      <c r="B2" s="1" t="inlineStr">
        <is>
          <t>ACTIONS SOCIALES &amp; SOLIDARITE (#152)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Action Sociale</t>
        </is>
      </c>
      <c r="D4" s="11" t="inlineStr">
        <is>
          <t>Type</t>
        </is>
      </c>
      <c r="E4" s="11" t="inlineStr">
        <is>
          <t>Beneficiaires</t>
        </is>
      </c>
      <c r="F4" s="11" t="inlineStr">
        <is>
          <t>Description</t>
        </is>
      </c>
      <c r="G4" s="11" t="inlineStr">
        <is>
          <t>Source Financement</t>
        </is>
      </c>
      <c r="H4" s="11" t="inlineStr">
        <is>
          <t>Budget (FCFA)</t>
        </is>
      </c>
      <c r="I4" s="11" t="inlineStr">
        <is>
          <t>Montant Deploye (FCFA)</t>
        </is>
      </c>
      <c r="J4" s="11" t="inlineStr">
        <is>
          <t>Date Realisation</t>
        </is>
      </c>
      <c r="K4" s="11" t="inlineStr">
        <is>
          <t>Nb Beneficiaires Directs</t>
        </is>
      </c>
      <c r="L4" s="11" t="inlineStr">
        <is>
          <t>Statut</t>
        </is>
      </c>
    </row>
    <row r="5" ht="22" customHeight="1">
      <c r="B5" s="12" t="inlineStr">
        <is>
          <t>SOC-001</t>
        </is>
      </c>
      <c r="C5" s="12" t="inlineStr">
        <is>
          <t>Dons fournitures scolaires</t>
        </is>
      </c>
      <c r="D5" s="12" t="inlineStr">
        <is>
          <t>Action sociale</t>
        </is>
      </c>
      <c r="E5" s="12" t="inlineStr">
        <is>
          <t>Enfants employes</t>
        </is>
      </c>
      <c r="F5" s="12" t="inlineStr">
        <is>
          <t>Distribution kits scolaires aux enfants du personnel</t>
        </is>
      </c>
      <c r="G5" s="12" t="inlineStr">
        <is>
          <t>Budget hotel</t>
        </is>
      </c>
      <c r="H5" s="18" t="n">
        <v>500000</v>
      </c>
      <c r="I5" s="18" t="n">
        <v>450000</v>
      </c>
      <c r="J5" s="41" t="n">
        <v>45677</v>
      </c>
      <c r="K5" s="18" t="n">
        <v>65</v>
      </c>
      <c r="L5" s="12" t="inlineStr">
        <is>
          <t>Terminee</t>
        </is>
      </c>
    </row>
    <row r="6" ht="22" customHeight="1">
      <c r="B6" s="14" t="inlineStr">
        <is>
          <t>SOC-002</t>
        </is>
      </c>
      <c r="C6" s="14" t="inlineStr">
        <is>
          <t>Journée sante employes</t>
        </is>
      </c>
      <c r="D6" s="14" t="inlineStr">
        <is>
          <t>Action sociale</t>
        </is>
      </c>
      <c r="E6" s="14" t="inlineStr">
        <is>
          <t>Employes et familles</t>
        </is>
      </c>
      <c r="F6" s="14" t="inlineStr">
        <is>
          <t>Consultations medicales gratuites et depistage</t>
        </is>
      </c>
      <c r="G6" s="14" t="inlineStr">
        <is>
          <t>Budget hotel</t>
        </is>
      </c>
      <c r="H6" s="19" t="n">
        <v>750000</v>
      </c>
      <c r="I6" s="19" t="n">
        <v>720000</v>
      </c>
      <c r="J6" s="42" t="n">
        <v>45703</v>
      </c>
      <c r="K6" s="19" t="n">
        <v>180</v>
      </c>
      <c r="L6" s="14" t="inlineStr">
        <is>
          <t>Terminee</t>
        </is>
      </c>
    </row>
    <row r="7" ht="22" customHeight="1">
      <c r="B7" s="12" t="inlineStr">
        <is>
          <t>SOC-003</t>
        </is>
      </c>
      <c r="C7" s="12" t="inlineStr">
        <is>
          <t>Soutien orphelinat local</t>
        </is>
      </c>
      <c r="D7" s="12" t="inlineStr">
        <is>
          <t>Action sociale</t>
        </is>
      </c>
      <c r="E7" s="12" t="inlineStr">
        <is>
          <t>Orphelinat Kribi</t>
        </is>
      </c>
      <c r="F7" s="12" t="inlineStr">
        <is>
          <t>Dons alimentaires et vestimentaires mensuels</t>
        </is>
      </c>
      <c r="G7" s="12" t="inlineStr">
        <is>
          <t>Budget hotel</t>
        </is>
      </c>
      <c r="H7" s="18" t="n">
        <v>300000</v>
      </c>
      <c r="I7" s="18" t="n">
        <v>150000</v>
      </c>
      <c r="J7" s="41" t="n">
        <v>45716</v>
      </c>
      <c r="K7" s="18" t="n">
        <v>40</v>
      </c>
      <c r="L7" s="12" t="inlineStr">
        <is>
          <t>En cours</t>
        </is>
      </c>
    </row>
    <row r="8" ht="22" customHeight="1">
      <c r="B8" s="14" t="inlineStr">
        <is>
          <t>SOC-004</t>
        </is>
      </c>
      <c r="C8" s="14" t="inlineStr">
        <is>
          <t>Bourse etude meritante</t>
        </is>
      </c>
      <c r="D8" s="14" t="inlineStr">
        <is>
          <t>Action sociale</t>
        </is>
      </c>
      <c r="E8" s="14" t="inlineStr">
        <is>
          <t>Enfants employes</t>
        </is>
      </c>
      <c r="F8" s="14" t="inlineStr">
        <is>
          <t>Bourse pour 3 meilleurs eleves du personnel</t>
        </is>
      </c>
      <c r="G8" s="14" t="inlineStr">
        <is>
          <t>Fondation</t>
        </is>
      </c>
      <c r="H8" s="19" t="n">
        <v>900000</v>
      </c>
      <c r="I8" s="19" t="n">
        <v>0</v>
      </c>
      <c r="J8" s="42" t="n"/>
      <c r="K8" s="19" t="n">
        <v>3</v>
      </c>
      <c r="L8" s="14" t="inlineStr">
        <is>
          <t>Planifiee</t>
        </is>
      </c>
    </row>
    <row r="9" ht="22" customHeight="1">
      <c r="B9" s="17">
        <f>IF(C9="","SOC-"&amp;TEXT(COUNTA($C$5:C9),"000"))</f>
        <v/>
      </c>
      <c r="C9" s="12" t="n"/>
      <c r="D9" s="12" t="n"/>
      <c r="E9" s="12" t="n"/>
      <c r="F9" s="12" t="n"/>
      <c r="G9" s="12" t="n"/>
      <c r="H9" s="18" t="n"/>
      <c r="I9" s="18">
        <f>IF(H9="","",I9/H9)</f>
        <v/>
      </c>
      <c r="J9" s="41" t="n"/>
      <c r="K9" s="18" t="n"/>
      <c r="L9" s="12" t="n"/>
    </row>
    <row r="10" ht="22" customHeight="1">
      <c r="B10" s="16">
        <f>IF(C10="","SOC-"&amp;TEXT(COUNTA($C$5:C10),"000"))</f>
        <v/>
      </c>
      <c r="C10" s="14" t="n"/>
      <c r="D10" s="14" t="n"/>
      <c r="E10" s="14" t="n"/>
      <c r="F10" s="14" t="n"/>
      <c r="G10" s="14" t="n"/>
      <c r="H10" s="19" t="n"/>
      <c r="I10" s="19">
        <f>IF(H10="","",I10/H10)</f>
        <v/>
      </c>
      <c r="J10" s="42" t="n"/>
      <c r="K10" s="19" t="n"/>
      <c r="L10" s="14" t="n"/>
    </row>
    <row r="11" ht="22" customHeight="1">
      <c r="B11" s="17">
        <f>IF(C11="","SOC-"&amp;TEXT(COUNTA($C$5:C11),"000"))</f>
        <v/>
      </c>
      <c r="C11" s="12" t="n"/>
      <c r="D11" s="12" t="n"/>
      <c r="E11" s="12" t="n"/>
      <c r="F11" s="12" t="n"/>
      <c r="G11" s="12" t="n"/>
      <c r="H11" s="18" t="n"/>
      <c r="I11" s="18">
        <f>IF(H11="","",I11/H11)</f>
        <v/>
      </c>
      <c r="J11" s="41" t="n"/>
      <c r="K11" s="18" t="n"/>
      <c r="L11" s="12" t="n"/>
    </row>
    <row r="12" ht="22" customHeight="1">
      <c r="B12" s="16">
        <f>IF(C12="","SOC-"&amp;TEXT(COUNTA($C$5:C12),"000"))</f>
        <v/>
      </c>
      <c r="C12" s="14" t="n"/>
      <c r="D12" s="14" t="n"/>
      <c r="E12" s="14" t="n"/>
      <c r="F12" s="14" t="n"/>
      <c r="G12" s="14" t="n"/>
      <c r="H12" s="19" t="n"/>
      <c r="I12" s="19">
        <f>IF(H12="","",I12/H12)</f>
        <v/>
      </c>
      <c r="J12" s="42" t="n"/>
      <c r="K12" s="19" t="n"/>
      <c r="L12" s="14" t="n"/>
    </row>
    <row r="13" ht="22" customHeight="1">
      <c r="B13" s="17">
        <f>IF(C13="","SOC-"&amp;TEXT(COUNTA($C$5:C13),"000"))</f>
        <v/>
      </c>
      <c r="C13" s="12" t="n"/>
      <c r="D13" s="12" t="n"/>
      <c r="E13" s="12" t="n"/>
      <c r="F13" s="12" t="n"/>
      <c r="G13" s="12" t="n"/>
      <c r="H13" s="18" t="n"/>
      <c r="I13" s="18">
        <f>IF(H13="","",I13/H13)</f>
        <v/>
      </c>
      <c r="J13" s="41" t="n"/>
      <c r="K13" s="18" t="n"/>
      <c r="L13" s="12" t="n"/>
    </row>
    <row r="14" ht="22" customHeight="1">
      <c r="B14" s="16">
        <f>IF(C14="","SOC-"&amp;TEXT(COUNTA($C$5:C14),"000"))</f>
        <v/>
      </c>
      <c r="C14" s="14" t="n"/>
      <c r="D14" s="14" t="n"/>
      <c r="E14" s="14" t="n"/>
      <c r="F14" s="14" t="n"/>
      <c r="G14" s="14" t="n"/>
      <c r="H14" s="19" t="n"/>
      <c r="I14" s="19">
        <f>IF(H14="","",I14/H14)</f>
        <v/>
      </c>
      <c r="J14" s="42" t="n"/>
      <c r="K14" s="19" t="n"/>
      <c r="L14" s="14" t="n"/>
    </row>
    <row r="15" ht="22" customHeight="1">
      <c r="B15" s="17">
        <f>IF(C15="","SOC-"&amp;TEXT(COUNTA($C$5:C15),"000"))</f>
        <v/>
      </c>
      <c r="C15" s="12" t="n"/>
      <c r="D15" s="12" t="n"/>
      <c r="E15" s="12" t="n"/>
      <c r="F15" s="12" t="n"/>
      <c r="G15" s="12" t="n"/>
      <c r="H15" s="18" t="n"/>
      <c r="I15" s="18">
        <f>IF(H15="","",I15/H15)</f>
        <v/>
      </c>
      <c r="J15" s="41" t="n"/>
      <c r="K15" s="18" t="n"/>
      <c r="L15" s="12" t="n"/>
    </row>
    <row r="16" ht="22" customHeight="1">
      <c r="B16" s="16">
        <f>IF(C16="","SOC-"&amp;TEXT(COUNTA($C$5:C16),"000"))</f>
        <v/>
      </c>
      <c r="C16" s="14" t="n"/>
      <c r="D16" s="14" t="n"/>
      <c r="E16" s="14" t="n"/>
      <c r="F16" s="14" t="n"/>
      <c r="G16" s="14" t="n"/>
      <c r="H16" s="19" t="n"/>
      <c r="I16" s="19">
        <f>IF(H16="","",I16/H16)</f>
        <v/>
      </c>
      <c r="J16" s="42" t="n"/>
      <c r="K16" s="19" t="n"/>
      <c r="L16" s="14" t="n"/>
    </row>
    <row r="17" ht="22" customHeight="1">
      <c r="B17" s="17">
        <f>IF(C17="","SOC-"&amp;TEXT(COUNTA($C$5:C17),"000"))</f>
        <v/>
      </c>
      <c r="C17" s="12" t="n"/>
      <c r="D17" s="12" t="n"/>
      <c r="E17" s="12" t="n"/>
      <c r="F17" s="12" t="n"/>
      <c r="G17" s="12" t="n"/>
      <c r="H17" s="18" t="n"/>
      <c r="I17" s="18">
        <f>IF(H17="","",I17/H17)</f>
        <v/>
      </c>
      <c r="J17" s="41" t="n"/>
      <c r="K17" s="18" t="n"/>
      <c r="L17" s="12" t="n"/>
    </row>
    <row r="18" ht="22" customHeight="1">
      <c r="B18" s="16">
        <f>IF(C18="","SOC-"&amp;TEXT(COUNTA($C$5:C18),"000"))</f>
        <v/>
      </c>
      <c r="C18" s="14" t="n"/>
      <c r="D18" s="14" t="n"/>
      <c r="E18" s="14" t="n"/>
      <c r="F18" s="14" t="n"/>
      <c r="G18" s="14" t="n"/>
      <c r="H18" s="19" t="n"/>
      <c r="I18" s="19">
        <f>IF(H18="","",I18/H18)</f>
        <v/>
      </c>
      <c r="J18" s="42" t="n"/>
      <c r="K18" s="19" t="n"/>
      <c r="L18" s="14" t="n"/>
    </row>
    <row r="19" ht="22" customHeight="1">
      <c r="B19" s="17">
        <f>IF(C19="","SOC-"&amp;TEXT(COUNTA($C$5:C19),"000"))</f>
        <v/>
      </c>
      <c r="C19" s="12" t="n"/>
      <c r="D19" s="12" t="n"/>
      <c r="E19" s="12" t="n"/>
      <c r="F19" s="12" t="n"/>
      <c r="G19" s="12" t="n"/>
      <c r="H19" s="18" t="n"/>
      <c r="I19" s="18">
        <f>IF(H19="","",I19/H19)</f>
        <v/>
      </c>
      <c r="J19" s="41" t="n"/>
      <c r="K19" s="18" t="n"/>
      <c r="L19" s="12" t="n"/>
    </row>
    <row r="20" ht="22" customHeight="1">
      <c r="B20" s="16">
        <f>IF(C20="","SOC-"&amp;TEXT(COUNTA($C$5:C20),"000"))</f>
        <v/>
      </c>
      <c r="C20" s="14" t="n"/>
      <c r="D20" s="14" t="n"/>
      <c r="E20" s="14" t="n"/>
      <c r="F20" s="14" t="n"/>
      <c r="G20" s="14" t="n"/>
      <c r="H20" s="19" t="n"/>
      <c r="I20" s="19">
        <f>IF(H20="","",I20/H20)</f>
        <v/>
      </c>
      <c r="J20" s="42" t="n"/>
      <c r="K20" s="19" t="n"/>
      <c r="L20" s="14" t="n"/>
    </row>
    <row r="21" ht="22" customHeight="1">
      <c r="B21" s="17">
        <f>IF(C21="","SOC-"&amp;TEXT(COUNTA($C$5:C21),"000"))</f>
        <v/>
      </c>
      <c r="C21" s="12" t="n"/>
      <c r="D21" s="12" t="n"/>
      <c r="E21" s="12" t="n"/>
      <c r="F21" s="12" t="n"/>
      <c r="G21" s="12" t="n"/>
      <c r="H21" s="18" t="n"/>
      <c r="I21" s="18">
        <f>IF(H21="","",I21/H21)</f>
        <v/>
      </c>
      <c r="J21" s="41" t="n"/>
      <c r="K21" s="18" t="n"/>
      <c r="L21" s="12" t="n"/>
    </row>
    <row r="22" ht="22" customHeight="1">
      <c r="B22" s="16">
        <f>IF(C22="","SOC-"&amp;TEXT(COUNTA($C$5:C22),"000"))</f>
        <v/>
      </c>
      <c r="C22" s="14" t="n"/>
      <c r="D22" s="14" t="n"/>
      <c r="E22" s="14" t="n"/>
      <c r="F22" s="14" t="n"/>
      <c r="G22" s="14" t="n"/>
      <c r="H22" s="19" t="n"/>
      <c r="I22" s="19">
        <f>IF(H22="","",I22/H22)</f>
        <v/>
      </c>
      <c r="J22" s="42" t="n"/>
      <c r="K22" s="19" t="n"/>
      <c r="L22" s="14" t="n"/>
    </row>
    <row r="23" ht="22" customHeight="1">
      <c r="B23" s="17">
        <f>IF(C23="","SOC-"&amp;TEXT(COUNTA($C$5:C23),"000"))</f>
        <v/>
      </c>
      <c r="C23" s="12" t="n"/>
      <c r="D23" s="12" t="n"/>
      <c r="E23" s="12" t="n"/>
      <c r="F23" s="12" t="n"/>
      <c r="G23" s="12" t="n"/>
      <c r="H23" s="18" t="n"/>
      <c r="I23" s="18">
        <f>IF(H23="","",I23/H23)</f>
        <v/>
      </c>
      <c r="J23" s="41" t="n"/>
      <c r="K23" s="18" t="n"/>
      <c r="L23" s="12" t="n"/>
    </row>
    <row r="24" ht="22" customHeight="1">
      <c r="B24" s="16">
        <f>IF(C24="","SOC-"&amp;TEXT(COUNTA($C$5:C24),"000"))</f>
        <v/>
      </c>
      <c r="C24" s="14" t="n"/>
      <c r="D24" s="14" t="n"/>
      <c r="E24" s="14" t="n"/>
      <c r="F24" s="14" t="n"/>
      <c r="G24" s="14" t="n"/>
      <c r="H24" s="19" t="n"/>
      <c r="I24" s="19">
        <f>IF(H24="","",I24/H24)</f>
        <v/>
      </c>
      <c r="J24" s="42" t="n"/>
      <c r="K24" s="19" t="n"/>
      <c r="L24" s="14" t="n"/>
    </row>
    <row r="25" ht="22" customHeight="1">
      <c r="B25" s="17">
        <f>IF(C25="","SOC-"&amp;TEXT(COUNTA($C$5:C25),"000"))</f>
        <v/>
      </c>
      <c r="C25" s="12" t="n"/>
      <c r="D25" s="12" t="n"/>
      <c r="E25" s="12" t="n"/>
      <c r="F25" s="12" t="n"/>
      <c r="G25" s="12" t="n"/>
      <c r="H25" s="18" t="n"/>
      <c r="I25" s="18">
        <f>IF(H25="","",I25/H25)</f>
        <v/>
      </c>
      <c r="J25" s="41" t="n"/>
      <c r="K25" s="18" t="n"/>
      <c r="L25" s="12" t="n"/>
    </row>
    <row r="26" ht="22" customHeight="1">
      <c r="B26" s="16">
        <f>IF(C26="","SOC-"&amp;TEXT(COUNTA($C$5:C26),"000"))</f>
        <v/>
      </c>
      <c r="C26" s="14" t="n"/>
      <c r="D26" s="14" t="n"/>
      <c r="E26" s="14" t="n"/>
      <c r="F26" s="14" t="n"/>
      <c r="G26" s="14" t="n"/>
      <c r="H26" s="19" t="n"/>
      <c r="I26" s="19">
        <f>IF(H26="","",I26/H26)</f>
        <v/>
      </c>
      <c r="J26" s="42" t="n"/>
      <c r="K26" s="19" t="n"/>
      <c r="L26" s="14" t="n"/>
    </row>
    <row r="27" ht="22" customHeight="1">
      <c r="B27" s="17">
        <f>IF(C27="","SOC-"&amp;TEXT(COUNTA($C$5:C27),"000"))</f>
        <v/>
      </c>
      <c r="C27" s="12" t="n"/>
      <c r="D27" s="12" t="n"/>
      <c r="E27" s="12" t="n"/>
      <c r="F27" s="12" t="n"/>
      <c r="G27" s="12" t="n"/>
      <c r="H27" s="18" t="n"/>
      <c r="I27" s="18">
        <f>IF(H27="","",I27/H27)</f>
        <v/>
      </c>
      <c r="J27" s="41" t="n"/>
      <c r="K27" s="18" t="n"/>
      <c r="L27" s="12" t="n"/>
    </row>
    <row r="28" ht="22" customHeight="1">
      <c r="B28" s="16">
        <f>IF(C28="","SOC-"&amp;TEXT(COUNTA($C$5:C28),"000"))</f>
        <v/>
      </c>
      <c r="C28" s="14" t="n"/>
      <c r="D28" s="14" t="n"/>
      <c r="E28" s="14" t="n"/>
      <c r="F28" s="14" t="n"/>
      <c r="G28" s="14" t="n"/>
      <c r="H28" s="19" t="n"/>
      <c r="I28" s="19">
        <f>IF(H28="","",I28/H28)</f>
        <v/>
      </c>
      <c r="J28" s="42" t="n"/>
      <c r="K28" s="19" t="n"/>
      <c r="L28" s="14" t="n"/>
    </row>
    <row r="29" ht="22" customHeight="1">
      <c r="B29" s="17">
        <f>IF(C29="","SOC-"&amp;TEXT(COUNTA($C$5:C29),"000"))</f>
        <v/>
      </c>
      <c r="C29" s="12" t="n"/>
      <c r="D29" s="12" t="n"/>
      <c r="E29" s="12" t="n"/>
      <c r="F29" s="12" t="n"/>
      <c r="G29" s="12" t="n"/>
      <c r="H29" s="18" t="n"/>
      <c r="I29" s="18">
        <f>IF(H29="","",I29/H29)</f>
        <v/>
      </c>
      <c r="J29" s="41" t="n"/>
      <c r="K29" s="18" t="n"/>
      <c r="L29" s="12" t="n"/>
    </row>
    <row r="30" ht="22" customHeight="1">
      <c r="B30" s="16">
        <f>IF(C30="","SOC-"&amp;TEXT(COUNTA($C$5:C30),"000"))</f>
        <v/>
      </c>
      <c r="C30" s="14" t="n"/>
      <c r="D30" s="14" t="n"/>
      <c r="E30" s="14" t="n"/>
      <c r="F30" s="14" t="n"/>
      <c r="G30" s="14" t="n"/>
      <c r="H30" s="19" t="n"/>
      <c r="I30" s="19">
        <f>IF(H30="","",I30/H30)</f>
        <v/>
      </c>
      <c r="J30" s="42" t="n"/>
      <c r="K30" s="19" t="n"/>
      <c r="L30" s="14" t="n"/>
    </row>
    <row r="31" ht="22" customHeight="1">
      <c r="B31" s="17">
        <f>IF(C31="","SOC-"&amp;TEXT(COUNTA($C$5:C31),"000"))</f>
        <v/>
      </c>
      <c r="C31" s="12" t="n"/>
      <c r="D31" s="12" t="n"/>
      <c r="E31" s="12" t="n"/>
      <c r="F31" s="12" t="n"/>
      <c r="G31" s="12" t="n"/>
      <c r="H31" s="18" t="n"/>
      <c r="I31" s="18">
        <f>IF(H31="","",I31/H31)</f>
        <v/>
      </c>
      <c r="J31" s="41" t="n"/>
      <c r="K31" s="18" t="n"/>
      <c r="L31" s="12" t="n"/>
    </row>
    <row r="32" ht="22" customHeight="1">
      <c r="B32" s="16">
        <f>IF(C32="","SOC-"&amp;TEXT(COUNTA($C$5:C32),"000"))</f>
        <v/>
      </c>
      <c r="C32" s="14" t="n"/>
      <c r="D32" s="14" t="n"/>
      <c r="E32" s="14" t="n"/>
      <c r="F32" s="14" t="n"/>
      <c r="G32" s="14" t="n"/>
      <c r="H32" s="19" t="n"/>
      <c r="I32" s="19">
        <f>IF(H32="","",I32/H32)</f>
        <v/>
      </c>
      <c r="J32" s="42" t="n"/>
      <c r="K32" s="19" t="n"/>
      <c r="L32" s="14" t="n"/>
    </row>
    <row r="33" ht="22" customHeight="1">
      <c r="B33" s="17">
        <f>IF(C33="","SOC-"&amp;TEXT(COUNTA($C$5:C33),"000"))</f>
        <v/>
      </c>
      <c r="C33" s="12" t="n"/>
      <c r="D33" s="12" t="n"/>
      <c r="E33" s="12" t="n"/>
      <c r="F33" s="12" t="n"/>
      <c r="G33" s="12" t="n"/>
      <c r="H33" s="18" t="n"/>
      <c r="I33" s="18">
        <f>IF(H33="","",I33/H33)</f>
        <v/>
      </c>
      <c r="J33" s="41" t="n"/>
      <c r="K33" s="18" t="n"/>
      <c r="L33" s="12" t="n"/>
    </row>
    <row r="34" ht="22" customHeight="1">
      <c r="B34" s="16">
        <f>IF(C34="","SOC-"&amp;TEXT(COUNTA($C$5:C34),"000"))</f>
        <v/>
      </c>
      <c r="C34" s="14" t="n"/>
      <c r="D34" s="14" t="n"/>
      <c r="E34" s="14" t="n"/>
      <c r="F34" s="14" t="n"/>
      <c r="G34" s="14" t="n"/>
      <c r="H34" s="19" t="n"/>
      <c r="I34" s="19">
        <f>IF(H34="","",I34/H34)</f>
        <v/>
      </c>
      <c r="J34" s="42" t="n"/>
      <c r="K34" s="19" t="n"/>
      <c r="L34" s="14" t="n"/>
    </row>
    <row r="35" ht="22" customHeight="1">
      <c r="B35" s="17">
        <f>IF(C35="","SOC-"&amp;TEXT(COUNTA($C$5:C35),"000"))</f>
        <v/>
      </c>
      <c r="C35" s="12" t="n"/>
      <c r="D35" s="12" t="n"/>
      <c r="E35" s="12" t="n"/>
      <c r="F35" s="12" t="n"/>
      <c r="G35" s="12" t="n"/>
      <c r="H35" s="18" t="n"/>
      <c r="I35" s="18">
        <f>IF(H35="","",I35/H35)</f>
        <v/>
      </c>
      <c r="J35" s="41" t="n"/>
      <c r="K35" s="18" t="n"/>
      <c r="L35" s="12" t="n"/>
    </row>
    <row r="36" ht="22" customHeight="1">
      <c r="B36" s="16">
        <f>IF(C36="","SOC-"&amp;TEXT(COUNTA($C$5:C36),"000"))</f>
        <v/>
      </c>
      <c r="C36" s="14" t="n"/>
      <c r="D36" s="14" t="n"/>
      <c r="E36" s="14" t="n"/>
      <c r="F36" s="14" t="n"/>
      <c r="G36" s="14" t="n"/>
      <c r="H36" s="19" t="n"/>
      <c r="I36" s="19">
        <f>IF(H36="","",I36/H36)</f>
        <v/>
      </c>
      <c r="J36" s="42" t="n"/>
      <c r="K36" s="19" t="n"/>
      <c r="L36" s="14" t="n"/>
    </row>
    <row r="37" ht="22" customHeight="1">
      <c r="B37" s="17">
        <f>IF(C37="","SOC-"&amp;TEXT(COUNTA($C$5:C37),"000"))</f>
        <v/>
      </c>
      <c r="C37" s="12" t="n"/>
      <c r="D37" s="12" t="n"/>
      <c r="E37" s="12" t="n"/>
      <c r="F37" s="12" t="n"/>
      <c r="G37" s="12" t="n"/>
      <c r="H37" s="18" t="n"/>
      <c r="I37" s="18">
        <f>IF(H37="","",I37/H37)</f>
        <v/>
      </c>
      <c r="J37" s="41" t="n"/>
      <c r="K37" s="18" t="n"/>
      <c r="L37" s="12" t="n"/>
    </row>
    <row r="38" ht="22" customHeight="1">
      <c r="B38" s="16">
        <f>IF(C38="","SOC-"&amp;TEXT(COUNTA($C$5:C38),"000"))</f>
        <v/>
      </c>
      <c r="C38" s="14" t="n"/>
      <c r="D38" s="14" t="n"/>
      <c r="E38" s="14" t="n"/>
      <c r="F38" s="14" t="n"/>
      <c r="G38" s="14" t="n"/>
      <c r="H38" s="19" t="n"/>
      <c r="I38" s="19">
        <f>IF(H38="","",I38/H38)</f>
        <v/>
      </c>
      <c r="J38" s="42" t="n"/>
      <c r="K38" s="19" t="n"/>
      <c r="L38" s="14" t="n"/>
    </row>
    <row r="39" ht="22" customHeight="1">
      <c r="B39" s="17">
        <f>IF(C39="","SOC-"&amp;TEXT(COUNTA($C$5:C39),"000"))</f>
        <v/>
      </c>
      <c r="C39" s="12" t="n"/>
      <c r="D39" s="12" t="n"/>
      <c r="E39" s="12" t="n"/>
      <c r="F39" s="12" t="n"/>
      <c r="G39" s="12" t="n"/>
      <c r="H39" s="18" t="n"/>
      <c r="I39" s="18">
        <f>IF(H39="","",I39/H39)</f>
        <v/>
      </c>
      <c r="J39" s="41" t="n"/>
      <c r="K39" s="18" t="n"/>
      <c r="L39" s="12" t="n"/>
    </row>
    <row r="40" ht="22" customHeight="1">
      <c r="B40" s="16">
        <f>IF(C40="","SOC-"&amp;TEXT(COUNTA($C$5:C40),"000"))</f>
        <v/>
      </c>
      <c r="C40" s="14" t="n"/>
      <c r="D40" s="14" t="n"/>
      <c r="E40" s="14" t="n"/>
      <c r="F40" s="14" t="n"/>
      <c r="G40" s="14" t="n"/>
      <c r="H40" s="19" t="n"/>
      <c r="I40" s="19">
        <f>IF(H40="","",I40/H40)</f>
        <v/>
      </c>
      <c r="J40" s="42" t="n"/>
      <c r="K40" s="19" t="n"/>
      <c r="L40" s="14" t="n"/>
    </row>
    <row r="41" ht="22" customHeight="1">
      <c r="B41" s="17">
        <f>IF(C41="","SOC-"&amp;TEXT(COUNTA($C$5:C41),"000"))</f>
        <v/>
      </c>
      <c r="C41" s="12" t="n"/>
      <c r="D41" s="12" t="n"/>
      <c r="E41" s="12" t="n"/>
      <c r="F41" s="12" t="n"/>
      <c r="G41" s="12" t="n"/>
      <c r="H41" s="18" t="n"/>
      <c r="I41" s="18">
        <f>IF(H41="","",I41/H41)</f>
        <v/>
      </c>
      <c r="J41" s="41" t="n"/>
      <c r="K41" s="18" t="n"/>
      <c r="L41" s="12" t="n"/>
    </row>
    <row r="42" ht="22" customHeight="1">
      <c r="B42" s="16">
        <f>IF(C42="","SOC-"&amp;TEXT(COUNTA($C$5:C42),"000"))</f>
        <v/>
      </c>
      <c r="C42" s="14" t="n"/>
      <c r="D42" s="14" t="n"/>
      <c r="E42" s="14" t="n"/>
      <c r="F42" s="14" t="n"/>
      <c r="G42" s="14" t="n"/>
      <c r="H42" s="19" t="n"/>
      <c r="I42" s="19">
        <f>IF(H42="","",I42/H42)</f>
        <v/>
      </c>
      <c r="J42" s="42" t="n"/>
      <c r="K42" s="19" t="n"/>
      <c r="L42" s="14" t="n"/>
    </row>
    <row r="43" ht="22" customHeight="1">
      <c r="B43" s="17">
        <f>IF(C43="","SOC-"&amp;TEXT(COUNTA($C$5:C43),"000"))</f>
        <v/>
      </c>
      <c r="C43" s="12" t="n"/>
      <c r="D43" s="12" t="n"/>
      <c r="E43" s="12" t="n"/>
      <c r="F43" s="12" t="n"/>
      <c r="G43" s="12" t="n"/>
      <c r="H43" s="18" t="n"/>
      <c r="I43" s="18">
        <f>IF(H43="","",I43/H43)</f>
        <v/>
      </c>
      <c r="J43" s="41" t="n"/>
      <c r="K43" s="18" t="n"/>
      <c r="L43" s="12" t="n"/>
    </row>
    <row r="44" ht="22" customHeight="1">
      <c r="B44" s="16">
        <f>IF(C44="","SOC-"&amp;TEXT(COUNTA($C$5:C44),"000"))</f>
        <v/>
      </c>
      <c r="C44" s="14" t="n"/>
      <c r="D44" s="14" t="n"/>
      <c r="E44" s="14" t="n"/>
      <c r="F44" s="14" t="n"/>
      <c r="G44" s="14" t="n"/>
      <c r="H44" s="19" t="n"/>
      <c r="I44" s="19">
        <f>IF(H44="","",I44/H44)</f>
        <v/>
      </c>
      <c r="J44" s="42" t="n"/>
      <c r="K44" s="19" t="n"/>
      <c r="L44" s="14" t="n"/>
    </row>
    <row r="45" ht="22" customHeight="1">
      <c r="B45" s="17">
        <f>IF(C45="","SOC-"&amp;TEXT(COUNTA($C$5:C45),"000"))</f>
        <v/>
      </c>
      <c r="C45" s="12" t="n"/>
      <c r="D45" s="12" t="n"/>
      <c r="E45" s="12" t="n"/>
      <c r="F45" s="12" t="n"/>
      <c r="G45" s="12" t="n"/>
      <c r="H45" s="18" t="n"/>
      <c r="I45" s="18">
        <f>IF(H45="","",I45/H45)</f>
        <v/>
      </c>
      <c r="J45" s="41" t="n"/>
      <c r="K45" s="18" t="n"/>
      <c r="L45" s="12" t="n"/>
    </row>
    <row r="46" ht="22" customHeight="1">
      <c r="B46" s="16">
        <f>IF(C46="","SOC-"&amp;TEXT(COUNTA($C$5:C46),"000"))</f>
        <v/>
      </c>
      <c r="C46" s="14" t="n"/>
      <c r="D46" s="14" t="n"/>
      <c r="E46" s="14" t="n"/>
      <c r="F46" s="14" t="n"/>
      <c r="G46" s="14" t="n"/>
      <c r="H46" s="19" t="n"/>
      <c r="I46" s="19">
        <f>IF(H46="","",I46/H46)</f>
        <v/>
      </c>
      <c r="J46" s="42" t="n"/>
      <c r="K46" s="19" t="n"/>
      <c r="L46" s="14" t="n"/>
    </row>
    <row r="47" ht="22" customHeight="1">
      <c r="B47" s="17">
        <f>IF(C47="","SOC-"&amp;TEXT(COUNTA($C$5:C47),"000"))</f>
        <v/>
      </c>
      <c r="C47" s="12" t="n"/>
      <c r="D47" s="12" t="n"/>
      <c r="E47" s="12" t="n"/>
      <c r="F47" s="12" t="n"/>
      <c r="G47" s="12" t="n"/>
      <c r="H47" s="18" t="n"/>
      <c r="I47" s="18">
        <f>IF(H47="","",I47/H47)</f>
        <v/>
      </c>
      <c r="J47" s="41" t="n"/>
      <c r="K47" s="18" t="n"/>
      <c r="L47" s="12" t="n"/>
    </row>
    <row r="48" ht="22" customHeight="1">
      <c r="B48" s="16">
        <f>IF(C48="","SOC-"&amp;TEXT(COUNTA($C$5:C48),"000"))</f>
        <v/>
      </c>
      <c r="C48" s="14" t="n"/>
      <c r="D48" s="14" t="n"/>
      <c r="E48" s="14" t="n"/>
      <c r="F48" s="14" t="n"/>
      <c r="G48" s="14" t="n"/>
      <c r="H48" s="19" t="n"/>
      <c r="I48" s="19">
        <f>IF(H48="","",I48/H48)</f>
        <v/>
      </c>
      <c r="J48" s="42" t="n"/>
      <c r="K48" s="19" t="n"/>
      <c r="L48" s="14" t="n"/>
    </row>
    <row r="49" ht="22" customHeight="1">
      <c r="B49" s="17">
        <f>IF(C49="","SOC-"&amp;TEXT(COUNTA($C$5:C49),"000"))</f>
        <v/>
      </c>
      <c r="C49" s="12" t="n"/>
      <c r="D49" s="12" t="n"/>
      <c r="E49" s="12" t="n"/>
      <c r="F49" s="12" t="n"/>
      <c r="G49" s="12" t="n"/>
      <c r="H49" s="18" t="n"/>
      <c r="I49" s="18">
        <f>IF(H49="","",I49/H49)</f>
        <v/>
      </c>
      <c r="J49" s="41" t="n"/>
      <c r="K49" s="18" t="n"/>
      <c r="L49" s="12" t="n"/>
    </row>
    <row r="50" ht="22" customHeight="1">
      <c r="B50" s="16">
        <f>IF(C50="","SOC-"&amp;TEXT(COUNTA($C$5:C50),"000"))</f>
        <v/>
      </c>
      <c r="C50" s="14" t="n"/>
      <c r="D50" s="14" t="n"/>
      <c r="E50" s="14" t="n"/>
      <c r="F50" s="14" t="n"/>
      <c r="G50" s="14" t="n"/>
      <c r="H50" s="19" t="n"/>
      <c r="I50" s="19">
        <f>IF(H50="","",I50/H50)</f>
        <v/>
      </c>
      <c r="J50" s="42" t="n"/>
      <c r="K50" s="19" t="n"/>
      <c r="L50" s="14" t="n"/>
    </row>
    <row r="51" ht="22" customHeight="1">
      <c r="B51" s="17">
        <f>IF(C51="","SOC-"&amp;TEXT(COUNTA($C$5:C51),"000"))</f>
        <v/>
      </c>
      <c r="C51" s="12" t="n"/>
      <c r="D51" s="12" t="n"/>
      <c r="E51" s="12" t="n"/>
      <c r="F51" s="12" t="n"/>
      <c r="G51" s="12" t="n"/>
      <c r="H51" s="18" t="n"/>
      <c r="I51" s="18">
        <f>IF(H51="","",I51/H51)</f>
        <v/>
      </c>
      <c r="J51" s="41" t="n"/>
      <c r="K51" s="18" t="n"/>
      <c r="L51" s="12" t="n"/>
    </row>
    <row r="52" ht="22" customHeight="1">
      <c r="B52" s="16">
        <f>IF(C52="","SOC-"&amp;TEXT(COUNTA($C$5:C52),"000"))</f>
        <v/>
      </c>
      <c r="C52" s="14" t="n"/>
      <c r="D52" s="14" t="n"/>
      <c r="E52" s="14" t="n"/>
      <c r="F52" s="14" t="n"/>
      <c r="G52" s="14" t="n"/>
      <c r="H52" s="19" t="n"/>
      <c r="I52" s="19">
        <f>IF(H52="","",I52/H52)</f>
        <v/>
      </c>
      <c r="J52" s="42" t="n"/>
      <c r="K52" s="19" t="n"/>
      <c r="L52" s="14" t="n"/>
    </row>
    <row r="53" ht="22" customHeight="1">
      <c r="B53" s="17">
        <f>IF(C53="","SOC-"&amp;TEXT(COUNTA($C$5:C53),"000"))</f>
        <v/>
      </c>
      <c r="C53" s="12" t="n"/>
      <c r="D53" s="12" t="n"/>
      <c r="E53" s="12" t="n"/>
      <c r="F53" s="12" t="n"/>
      <c r="G53" s="12" t="n"/>
      <c r="H53" s="18" t="n"/>
      <c r="I53" s="18">
        <f>IF(H53="","",I53/H53)</f>
        <v/>
      </c>
      <c r="J53" s="41" t="n"/>
      <c r="K53" s="18" t="n"/>
      <c r="L53" s="12" t="n"/>
    </row>
    <row r="54" ht="22" customHeight="1">
      <c r="B54" s="16">
        <f>IF(C54="","SOC-"&amp;TEXT(COUNTA($C$5:C54),"000"))</f>
        <v/>
      </c>
      <c r="C54" s="14" t="n"/>
      <c r="D54" s="14" t="n"/>
      <c r="E54" s="14" t="n"/>
      <c r="F54" s="14" t="n"/>
      <c r="G54" s="14" t="n"/>
      <c r="H54" s="19" t="n"/>
      <c r="I54" s="19">
        <f>IF(H54="","",I54/H54)</f>
        <v/>
      </c>
      <c r="J54" s="42" t="n"/>
      <c r="K54" s="19" t="n"/>
      <c r="L54" s="14" t="n"/>
    </row>
    <row r="55" ht="22" customHeight="1">
      <c r="B55" s="17">
        <f>IF(C55="","SOC-"&amp;TEXT(COUNTA($C$5:C55),"000"))</f>
        <v/>
      </c>
      <c r="C55" s="12" t="n"/>
      <c r="D55" s="12" t="n"/>
      <c r="E55" s="12" t="n"/>
      <c r="F55" s="12" t="n"/>
      <c r="G55" s="12" t="n"/>
      <c r="H55" s="18" t="n"/>
      <c r="I55" s="18">
        <f>IF(H55="","",I55/H55)</f>
        <v/>
      </c>
      <c r="J55" s="41" t="n"/>
      <c r="K55" s="18" t="n"/>
      <c r="L55" s="12" t="n"/>
    </row>
    <row r="56" ht="22" customHeight="1">
      <c r="B56" s="16">
        <f>IF(C56="","SOC-"&amp;TEXT(COUNTA($C$5:C56),"000"))</f>
        <v/>
      </c>
      <c r="C56" s="14" t="n"/>
      <c r="D56" s="14" t="n"/>
      <c r="E56" s="14" t="n"/>
      <c r="F56" s="14" t="n"/>
      <c r="G56" s="14" t="n"/>
      <c r="H56" s="19" t="n"/>
      <c r="I56" s="19">
        <f>IF(H56="","",I56/H56)</f>
        <v/>
      </c>
      <c r="J56" s="42" t="n"/>
      <c r="K56" s="19" t="n"/>
      <c r="L56" s="14" t="n"/>
    </row>
    <row r="57" ht="22" customHeight="1">
      <c r="B57" s="17">
        <f>IF(C57="","SOC-"&amp;TEXT(COUNTA($C$5:C57),"000"))</f>
        <v/>
      </c>
      <c r="C57" s="12" t="n"/>
      <c r="D57" s="12" t="n"/>
      <c r="E57" s="12" t="n"/>
      <c r="F57" s="12" t="n"/>
      <c r="G57" s="12" t="n"/>
      <c r="H57" s="18" t="n"/>
      <c r="I57" s="18">
        <f>IF(H57="","",I57/H57)</f>
        <v/>
      </c>
      <c r="J57" s="41" t="n"/>
      <c r="K57" s="18" t="n"/>
      <c r="L57" s="12" t="n"/>
    </row>
    <row r="58" ht="22" customHeight="1">
      <c r="B58" s="16">
        <f>IF(C58="","SOC-"&amp;TEXT(COUNTA($C$5:C58),"000"))</f>
        <v/>
      </c>
      <c r="C58" s="14" t="n"/>
      <c r="D58" s="14" t="n"/>
      <c r="E58" s="14" t="n"/>
      <c r="F58" s="14" t="n"/>
      <c r="G58" s="14" t="n"/>
      <c r="H58" s="19" t="n"/>
      <c r="I58" s="19">
        <f>IF(H58="","",I58/H58)</f>
        <v/>
      </c>
      <c r="J58" s="42" t="n"/>
      <c r="K58" s="19" t="n"/>
      <c r="L58" s="14" t="n"/>
    </row>
    <row r="59" ht="22" customHeight="1">
      <c r="B59" s="17">
        <f>IF(C59="","SOC-"&amp;TEXT(COUNTA($C$5:C59),"000"))</f>
        <v/>
      </c>
      <c r="C59" s="12" t="n"/>
      <c r="D59" s="12" t="n"/>
      <c r="E59" s="12" t="n"/>
      <c r="F59" s="12" t="n"/>
      <c r="G59" s="12" t="n"/>
      <c r="H59" s="18" t="n"/>
      <c r="I59" s="18">
        <f>IF(H59="","",I59/H59)</f>
        <v/>
      </c>
      <c r="J59" s="41" t="n"/>
      <c r="K59" s="18" t="n"/>
      <c r="L59" s="12" t="n"/>
    </row>
    <row r="60" ht="22" customHeight="1">
      <c r="B60" s="16">
        <f>IF(C60="","SOC-"&amp;TEXT(COUNTA($C$5:C60),"000"))</f>
        <v/>
      </c>
      <c r="C60" s="14" t="n"/>
      <c r="D60" s="14" t="n"/>
      <c r="E60" s="14" t="n"/>
      <c r="F60" s="14" t="n"/>
      <c r="G60" s="14" t="n"/>
      <c r="H60" s="19" t="n"/>
      <c r="I60" s="19">
        <f>IF(H60="","",I60/H60)</f>
        <v/>
      </c>
      <c r="J60" s="42" t="n"/>
      <c r="K60" s="19" t="n"/>
      <c r="L60" s="14" t="n"/>
    </row>
    <row r="61" ht="22" customHeight="1">
      <c r="B61" s="17">
        <f>IF(C61="","SOC-"&amp;TEXT(COUNTA($C$5:C61),"000"))</f>
        <v/>
      </c>
      <c r="C61" s="12" t="n"/>
      <c r="D61" s="12" t="n"/>
      <c r="E61" s="12" t="n"/>
      <c r="F61" s="12" t="n"/>
      <c r="G61" s="12" t="n"/>
      <c r="H61" s="18" t="n"/>
      <c r="I61" s="18">
        <f>IF(H61="","",I61/H61)</f>
        <v/>
      </c>
      <c r="J61" s="41" t="n"/>
      <c r="K61" s="18" t="n"/>
      <c r="L61" s="12" t="n"/>
    </row>
    <row r="62" ht="22" customHeight="1">
      <c r="B62" s="16">
        <f>IF(C62="","SOC-"&amp;TEXT(COUNTA($C$5:C62),"000"))</f>
        <v/>
      </c>
      <c r="C62" s="14" t="n"/>
      <c r="D62" s="14" t="n"/>
      <c r="E62" s="14" t="n"/>
      <c r="F62" s="14" t="n"/>
      <c r="G62" s="14" t="n"/>
      <c r="H62" s="19" t="n"/>
      <c r="I62" s="19">
        <f>IF(H62="","",I62/H62)</f>
        <v/>
      </c>
      <c r="J62" s="42" t="n"/>
      <c r="K62" s="19" t="n"/>
      <c r="L62" s="14" t="n"/>
    </row>
    <row r="63" ht="22" customHeight="1">
      <c r="B63" s="17">
        <f>IF(C63="","SOC-"&amp;TEXT(COUNTA($C$5:C63),"000"))</f>
        <v/>
      </c>
      <c r="C63" s="12" t="n"/>
      <c r="D63" s="12" t="n"/>
      <c r="E63" s="12" t="n"/>
      <c r="F63" s="12" t="n"/>
      <c r="G63" s="12" t="n"/>
      <c r="H63" s="18" t="n"/>
      <c r="I63" s="18">
        <f>IF(H63="","",I63/H63)</f>
        <v/>
      </c>
      <c r="J63" s="41" t="n"/>
      <c r="K63" s="18" t="n"/>
      <c r="L63" s="12" t="n"/>
    </row>
    <row r="64" ht="22" customHeight="1">
      <c r="B64" s="16">
        <f>IF(C64="","SOC-"&amp;TEXT(COUNTA($C$5:C64),"000"))</f>
        <v/>
      </c>
      <c r="C64" s="14" t="n"/>
      <c r="D64" s="14" t="n"/>
      <c r="E64" s="14" t="n"/>
      <c r="F64" s="14" t="n"/>
      <c r="G64" s="14" t="n"/>
      <c r="H64" s="19" t="n"/>
      <c r="I64" s="19">
        <f>IF(H64="","",I64/H64)</f>
        <v/>
      </c>
      <c r="J64" s="42" t="n"/>
      <c r="K64" s="19" t="n"/>
      <c r="L64" s="14" t="n"/>
    </row>
    <row r="65" ht="22" customHeight="1">
      <c r="B65" s="17">
        <f>IF(C65="","SOC-"&amp;TEXT(COUNTA($C$5:C65),"000"))</f>
        <v/>
      </c>
      <c r="C65" s="12" t="n"/>
      <c r="D65" s="12" t="n"/>
      <c r="E65" s="12" t="n"/>
      <c r="F65" s="12" t="n"/>
      <c r="G65" s="12" t="n"/>
      <c r="H65" s="18" t="n"/>
      <c r="I65" s="18">
        <f>IF(H65="","",I65/H65)</f>
        <v/>
      </c>
      <c r="J65" s="41" t="n"/>
      <c r="K65" s="18" t="n"/>
      <c r="L65" s="12" t="n"/>
    </row>
    <row r="66" ht="22" customHeight="1">
      <c r="B66" s="16">
        <f>IF(C66="","SOC-"&amp;TEXT(COUNTA($C$5:C66),"000"))</f>
        <v/>
      </c>
      <c r="C66" s="14" t="n"/>
      <c r="D66" s="14" t="n"/>
      <c r="E66" s="14" t="n"/>
      <c r="F66" s="14" t="n"/>
      <c r="G66" s="14" t="n"/>
      <c r="H66" s="19" t="n"/>
      <c r="I66" s="19">
        <f>IF(H66="","",I66/H66)</f>
        <v/>
      </c>
      <c r="J66" s="42" t="n"/>
      <c r="K66" s="19" t="n"/>
      <c r="L66" s="14" t="n"/>
    </row>
    <row r="67" ht="22" customHeight="1">
      <c r="B67" s="17">
        <f>IF(C67="","SOC-"&amp;TEXT(COUNTA($C$5:C67),"000"))</f>
        <v/>
      </c>
      <c r="C67" s="12" t="n"/>
      <c r="D67" s="12" t="n"/>
      <c r="E67" s="12" t="n"/>
      <c r="F67" s="12" t="n"/>
      <c r="G67" s="12" t="n"/>
      <c r="H67" s="18" t="n"/>
      <c r="I67" s="18">
        <f>IF(H67="","",I67/H67)</f>
        <v/>
      </c>
      <c r="J67" s="41" t="n"/>
      <c r="K67" s="18" t="n"/>
      <c r="L67" s="12" t="n"/>
    </row>
    <row r="68" ht="22" customHeight="1">
      <c r="B68" s="16">
        <f>IF(C68="","SOC-"&amp;TEXT(COUNTA($C$5:C68),"000"))</f>
        <v/>
      </c>
      <c r="C68" s="14" t="n"/>
      <c r="D68" s="14" t="n"/>
      <c r="E68" s="14" t="n"/>
      <c r="F68" s="14" t="n"/>
      <c r="G68" s="14" t="n"/>
      <c r="H68" s="19" t="n"/>
      <c r="I68" s="19">
        <f>IF(H68="","",I68/H68)</f>
        <v/>
      </c>
      <c r="J68" s="42" t="n"/>
      <c r="K68" s="19" t="n"/>
      <c r="L68" s="14" t="n"/>
    </row>
    <row r="69" ht="22" customHeight="1">
      <c r="B69" s="17">
        <f>IF(C69="","SOC-"&amp;TEXT(COUNTA($C$5:C69),"000"))</f>
        <v/>
      </c>
      <c r="C69" s="12" t="n"/>
      <c r="D69" s="12" t="n"/>
      <c r="E69" s="12" t="n"/>
      <c r="F69" s="12" t="n"/>
      <c r="G69" s="12" t="n"/>
      <c r="H69" s="18" t="n"/>
      <c r="I69" s="18">
        <f>IF(H69="","",I69/H69)</f>
        <v/>
      </c>
      <c r="J69" s="41" t="n"/>
      <c r="K69" s="18" t="n"/>
      <c r="L69" s="12" t="n"/>
    </row>
    <row r="70" ht="22" customHeight="1">
      <c r="B70" s="16">
        <f>IF(C70="","SOC-"&amp;TEXT(COUNTA($C$5:C70),"000"))</f>
        <v/>
      </c>
      <c r="C70" s="14" t="n"/>
      <c r="D70" s="14" t="n"/>
      <c r="E70" s="14" t="n"/>
      <c r="F70" s="14" t="n"/>
      <c r="G70" s="14" t="n"/>
      <c r="H70" s="19" t="n"/>
      <c r="I70" s="19">
        <f>IF(H70="","",I70/H70)</f>
        <v/>
      </c>
      <c r="J70" s="42" t="n"/>
      <c r="K70" s="19" t="n"/>
      <c r="L70" s="14" t="n"/>
    </row>
    <row r="71" ht="22" customHeight="1">
      <c r="B71" s="17">
        <f>IF(C71="","SOC-"&amp;TEXT(COUNTA($C$5:C71),"000"))</f>
        <v/>
      </c>
      <c r="C71" s="12" t="n"/>
      <c r="D71" s="12" t="n"/>
      <c r="E71" s="12" t="n"/>
      <c r="F71" s="12" t="n"/>
      <c r="G71" s="12" t="n"/>
      <c r="H71" s="18" t="n"/>
      <c r="I71" s="18">
        <f>IF(H71="","",I71/H71)</f>
        <v/>
      </c>
      <c r="J71" s="41" t="n"/>
      <c r="K71" s="18" t="n"/>
      <c r="L71" s="12" t="n"/>
    </row>
    <row r="72" ht="22" customHeight="1">
      <c r="B72" s="16">
        <f>IF(C72="","SOC-"&amp;TEXT(COUNTA($C$5:C72),"000"))</f>
        <v/>
      </c>
      <c r="C72" s="14" t="n"/>
      <c r="D72" s="14" t="n"/>
      <c r="E72" s="14" t="n"/>
      <c r="F72" s="14" t="n"/>
      <c r="G72" s="14" t="n"/>
      <c r="H72" s="19" t="n"/>
      <c r="I72" s="19">
        <f>IF(H72="","",I72/H72)</f>
        <v/>
      </c>
      <c r="J72" s="42" t="n"/>
      <c r="K72" s="19" t="n"/>
      <c r="L72" s="14" t="n"/>
    </row>
    <row r="73" ht="22" customHeight="1">
      <c r="B73" s="17">
        <f>IF(C73="","SOC-"&amp;TEXT(COUNTA($C$5:C73),"000"))</f>
        <v/>
      </c>
      <c r="C73" s="12" t="n"/>
      <c r="D73" s="12" t="n"/>
      <c r="E73" s="12" t="n"/>
      <c r="F73" s="12" t="n"/>
      <c r="G73" s="12" t="n"/>
      <c r="H73" s="18" t="n"/>
      <c r="I73" s="18">
        <f>IF(H73="","",I73/H73)</f>
        <v/>
      </c>
      <c r="J73" s="41" t="n"/>
      <c r="K73" s="18" t="n"/>
      <c r="L73" s="12" t="n"/>
    </row>
    <row r="74" ht="22" customHeight="1">
      <c r="B74" s="16">
        <f>IF(C74="","SOC-"&amp;TEXT(COUNTA($C$5:C74),"000"))</f>
        <v/>
      </c>
      <c r="C74" s="14" t="n"/>
      <c r="D74" s="14" t="n"/>
      <c r="E74" s="14" t="n"/>
      <c r="F74" s="14" t="n"/>
      <c r="G74" s="14" t="n"/>
      <c r="H74" s="19" t="n"/>
      <c r="I74" s="19">
        <f>IF(H74="","",I74/H74)</f>
        <v/>
      </c>
      <c r="J74" s="42" t="n"/>
      <c r="K74" s="19" t="n"/>
      <c r="L74" s="14" t="n"/>
    </row>
    <row r="75" ht="22" customHeight="1">
      <c r="B75" s="17">
        <f>IF(C75="","SOC-"&amp;TEXT(COUNTA($C$5:C75),"000"))</f>
        <v/>
      </c>
      <c r="C75" s="12" t="n"/>
      <c r="D75" s="12" t="n"/>
      <c r="E75" s="12" t="n"/>
      <c r="F75" s="12" t="n"/>
      <c r="G75" s="12" t="n"/>
      <c r="H75" s="18" t="n"/>
      <c r="I75" s="18">
        <f>IF(H75="","",I75/H75)</f>
        <v/>
      </c>
      <c r="J75" s="41" t="n"/>
      <c r="K75" s="18" t="n"/>
      <c r="L75" s="12" t="n"/>
    </row>
    <row r="76" ht="22" customHeight="1">
      <c r="B76" s="16">
        <f>IF(C76="","SOC-"&amp;TEXT(COUNTA($C$5:C76),"000"))</f>
        <v/>
      </c>
      <c r="C76" s="14" t="n"/>
      <c r="D76" s="14" t="n"/>
      <c r="E76" s="14" t="n"/>
      <c r="F76" s="14" t="n"/>
      <c r="G76" s="14" t="n"/>
      <c r="H76" s="19" t="n"/>
      <c r="I76" s="19">
        <f>IF(H76="","",I76/H76)</f>
        <v/>
      </c>
      <c r="J76" s="42" t="n"/>
      <c r="K76" s="19" t="n"/>
      <c r="L76" s="14" t="n"/>
    </row>
    <row r="77" ht="22" customHeight="1">
      <c r="B77" s="17">
        <f>IF(C77="","SOC-"&amp;TEXT(COUNTA($C$5:C77),"000"))</f>
        <v/>
      </c>
      <c r="C77" s="12" t="n"/>
      <c r="D77" s="12" t="n"/>
      <c r="E77" s="12" t="n"/>
      <c r="F77" s="12" t="n"/>
      <c r="G77" s="12" t="n"/>
      <c r="H77" s="18" t="n"/>
      <c r="I77" s="18">
        <f>IF(H77="","",I77/H77)</f>
        <v/>
      </c>
      <c r="J77" s="41" t="n"/>
      <c r="K77" s="18" t="n"/>
      <c r="L77" s="12" t="n"/>
    </row>
    <row r="78" ht="22" customHeight="1">
      <c r="B78" s="16">
        <f>IF(C78="","SOC-"&amp;TEXT(COUNTA($C$5:C78),"000"))</f>
        <v/>
      </c>
      <c r="C78" s="14" t="n"/>
      <c r="D78" s="14" t="n"/>
      <c r="E78" s="14" t="n"/>
      <c r="F78" s="14" t="n"/>
      <c r="G78" s="14" t="n"/>
      <c r="H78" s="19" t="n"/>
      <c r="I78" s="19">
        <f>IF(H78="","",I78/H78)</f>
        <v/>
      </c>
      <c r="J78" s="42" t="n"/>
      <c r="K78" s="19" t="n"/>
      <c r="L78" s="14" t="n"/>
    </row>
    <row r="79" ht="22" customHeight="1">
      <c r="B79" s="17">
        <f>IF(C79="","SOC-"&amp;TEXT(COUNTA($C$5:C79),"000"))</f>
        <v/>
      </c>
      <c r="C79" s="12" t="n"/>
      <c r="D79" s="12" t="n"/>
      <c r="E79" s="12" t="n"/>
      <c r="F79" s="12" t="n"/>
      <c r="G79" s="12" t="n"/>
      <c r="H79" s="18" t="n"/>
      <c r="I79" s="18">
        <f>IF(H79="","",I79/H79)</f>
        <v/>
      </c>
      <c r="J79" s="41" t="n"/>
      <c r="K79" s="18" t="n"/>
      <c r="L79" s="12" t="n"/>
    </row>
    <row r="80" ht="22" customHeight="1">
      <c r="B80" s="16">
        <f>IF(C80="","SOC-"&amp;TEXT(COUNTA($C$5:C80),"000"))</f>
        <v/>
      </c>
      <c r="C80" s="14" t="n"/>
      <c r="D80" s="14" t="n"/>
      <c r="E80" s="14" t="n"/>
      <c r="F80" s="14" t="n"/>
      <c r="G80" s="14" t="n"/>
      <c r="H80" s="19" t="n"/>
      <c r="I80" s="19">
        <f>IF(H80="","",I80/H80)</f>
        <v/>
      </c>
      <c r="J80" s="42" t="n"/>
      <c r="K80" s="19" t="n"/>
      <c r="L80" s="14" t="n"/>
    </row>
    <row r="81" ht="22" customHeight="1">
      <c r="B81" s="17">
        <f>IF(C81="","SOC-"&amp;TEXT(COUNTA($C$5:C81),"000"))</f>
        <v/>
      </c>
      <c r="C81" s="12" t="n"/>
      <c r="D81" s="12" t="n"/>
      <c r="E81" s="12" t="n"/>
      <c r="F81" s="12" t="n"/>
      <c r="G81" s="12" t="n"/>
      <c r="H81" s="18" t="n"/>
      <c r="I81" s="18">
        <f>IF(H81="","",I81/H81)</f>
        <v/>
      </c>
      <c r="J81" s="41" t="n"/>
      <c r="K81" s="18" t="n"/>
      <c r="L81" s="12" t="n"/>
    </row>
    <row r="82" ht="22" customHeight="1">
      <c r="B82" s="16">
        <f>IF(C82="","SOC-"&amp;TEXT(COUNTA($C$5:C82),"000"))</f>
        <v/>
      </c>
      <c r="C82" s="14" t="n"/>
      <c r="D82" s="14" t="n"/>
      <c r="E82" s="14" t="n"/>
      <c r="F82" s="14" t="n"/>
      <c r="G82" s="14" t="n"/>
      <c r="H82" s="19" t="n"/>
      <c r="I82" s="19">
        <f>IF(H82="","",I82/H82)</f>
        <v/>
      </c>
      <c r="J82" s="42" t="n"/>
      <c r="K82" s="19" t="n"/>
      <c r="L82" s="14" t="n"/>
    </row>
    <row r="83" ht="22" customHeight="1">
      <c r="B83" s="17">
        <f>IF(C83="","SOC-"&amp;TEXT(COUNTA($C$5:C83),"000"))</f>
        <v/>
      </c>
      <c r="C83" s="12" t="n"/>
      <c r="D83" s="12" t="n"/>
      <c r="E83" s="12" t="n"/>
      <c r="F83" s="12" t="n"/>
      <c r="G83" s="12" t="n"/>
      <c r="H83" s="18" t="n"/>
      <c r="I83" s="18">
        <f>IF(H83="","",I83/H83)</f>
        <v/>
      </c>
      <c r="J83" s="41" t="n"/>
      <c r="K83" s="18" t="n"/>
      <c r="L83" s="12" t="n"/>
    </row>
    <row r="84" ht="22" customHeight="1">
      <c r="B84" s="16">
        <f>IF(C84="","SOC-"&amp;TEXT(COUNTA($C$5:C84),"000"))</f>
        <v/>
      </c>
      <c r="C84" s="14" t="n"/>
      <c r="D84" s="14" t="n"/>
      <c r="E84" s="14" t="n"/>
      <c r="F84" s="14" t="n"/>
      <c r="G84" s="14" t="n"/>
      <c r="H84" s="19" t="n"/>
      <c r="I84" s="19">
        <f>IF(H84="","",I84/H84)</f>
        <v/>
      </c>
      <c r="J84" s="42" t="n"/>
      <c r="K84" s="19" t="n"/>
      <c r="L84" s="14" t="n"/>
    </row>
    <row r="85" ht="22" customHeight="1">
      <c r="B85" s="17">
        <f>IF(C85="","SOC-"&amp;TEXT(COUNTA($C$5:C85),"000"))</f>
        <v/>
      </c>
      <c r="C85" s="12" t="n"/>
      <c r="D85" s="12" t="n"/>
      <c r="E85" s="12" t="n"/>
      <c r="F85" s="12" t="n"/>
      <c r="G85" s="12" t="n"/>
      <c r="H85" s="18" t="n"/>
      <c r="I85" s="18">
        <f>IF(H85="","",I85/H85)</f>
        <v/>
      </c>
      <c r="J85" s="41" t="n"/>
      <c r="K85" s="18" t="n"/>
      <c r="L85" s="12" t="n"/>
    </row>
    <row r="86" ht="22" customHeight="1">
      <c r="B86" s="16">
        <f>IF(C86="","SOC-"&amp;TEXT(COUNTA($C$5:C86),"000"))</f>
        <v/>
      </c>
      <c r="C86" s="14" t="n"/>
      <c r="D86" s="14" t="n"/>
      <c r="E86" s="14" t="n"/>
      <c r="F86" s="14" t="n"/>
      <c r="G86" s="14" t="n"/>
      <c r="H86" s="19" t="n"/>
      <c r="I86" s="19">
        <f>IF(H86="","",I86/H86)</f>
        <v/>
      </c>
      <c r="J86" s="42" t="n"/>
      <c r="K86" s="19" t="n"/>
      <c r="L86" s="14" t="n"/>
    </row>
    <row r="87" ht="22" customHeight="1">
      <c r="B87" s="17">
        <f>IF(C87="","SOC-"&amp;TEXT(COUNTA($C$5:C87),"000"))</f>
        <v/>
      </c>
      <c r="C87" s="12" t="n"/>
      <c r="D87" s="12" t="n"/>
      <c r="E87" s="12" t="n"/>
      <c r="F87" s="12" t="n"/>
      <c r="G87" s="12" t="n"/>
      <c r="H87" s="18" t="n"/>
      <c r="I87" s="18">
        <f>IF(H87="","",I87/H87)</f>
        <v/>
      </c>
      <c r="J87" s="41" t="n"/>
      <c r="K87" s="18" t="n"/>
      <c r="L87" s="12" t="n"/>
    </row>
    <row r="88" ht="22" customHeight="1">
      <c r="B88" s="16">
        <f>IF(C88="","SOC-"&amp;TEXT(COUNTA($C$5:C88),"000"))</f>
        <v/>
      </c>
      <c r="C88" s="14" t="n"/>
      <c r="D88" s="14" t="n"/>
      <c r="E88" s="14" t="n"/>
      <c r="F88" s="14" t="n"/>
      <c r="G88" s="14" t="n"/>
      <c r="H88" s="19" t="n"/>
      <c r="I88" s="19">
        <f>IF(H88="","",I88/H88)</f>
        <v/>
      </c>
      <c r="J88" s="42" t="n"/>
      <c r="K88" s="19" t="n"/>
      <c r="L88" s="14" t="n"/>
    </row>
    <row r="89" ht="22" customHeight="1">
      <c r="B89" s="17">
        <f>IF(C89="","SOC-"&amp;TEXT(COUNTA($C$5:C89),"000"))</f>
        <v/>
      </c>
      <c r="C89" s="12" t="n"/>
      <c r="D89" s="12" t="n"/>
      <c r="E89" s="12" t="n"/>
      <c r="F89" s="12" t="n"/>
      <c r="G89" s="12" t="n"/>
      <c r="H89" s="18" t="n"/>
      <c r="I89" s="18">
        <f>IF(H89="","",I89/H89)</f>
        <v/>
      </c>
      <c r="J89" s="41" t="n"/>
      <c r="K89" s="18" t="n"/>
      <c r="L89" s="12" t="n"/>
    </row>
    <row r="90" ht="22" customHeight="1">
      <c r="B90" s="16">
        <f>IF(C90="","SOC-"&amp;TEXT(COUNTA($C$5:C90),"000"))</f>
        <v/>
      </c>
      <c r="C90" s="14" t="n"/>
      <c r="D90" s="14" t="n"/>
      <c r="E90" s="14" t="n"/>
      <c r="F90" s="14" t="n"/>
      <c r="G90" s="14" t="n"/>
      <c r="H90" s="19" t="n"/>
      <c r="I90" s="19">
        <f>IF(H90="","",I90/H90)</f>
        <v/>
      </c>
      <c r="J90" s="42" t="n"/>
      <c r="K90" s="19" t="n"/>
      <c r="L90" s="14" t="n"/>
    </row>
    <row r="91" ht="22" customHeight="1">
      <c r="B91" s="17">
        <f>IF(C91="","SOC-"&amp;TEXT(COUNTA($C$5:C91),"000"))</f>
        <v/>
      </c>
      <c r="C91" s="12" t="n"/>
      <c r="D91" s="12" t="n"/>
      <c r="E91" s="12" t="n"/>
      <c r="F91" s="12" t="n"/>
      <c r="G91" s="12" t="n"/>
      <c r="H91" s="18" t="n"/>
      <c r="I91" s="18">
        <f>IF(H91="","",I91/H91)</f>
        <v/>
      </c>
      <c r="J91" s="41" t="n"/>
      <c r="K91" s="18" t="n"/>
      <c r="L91" s="12" t="n"/>
    </row>
    <row r="92" ht="22" customHeight="1">
      <c r="B92" s="16">
        <f>IF(C92="","SOC-"&amp;TEXT(COUNTA($C$5:C92),"000"))</f>
        <v/>
      </c>
      <c r="C92" s="14" t="n"/>
      <c r="D92" s="14" t="n"/>
      <c r="E92" s="14" t="n"/>
      <c r="F92" s="14" t="n"/>
      <c r="G92" s="14" t="n"/>
      <c r="H92" s="19" t="n"/>
      <c r="I92" s="19">
        <f>IF(H92="","",I92/H92)</f>
        <v/>
      </c>
      <c r="J92" s="42" t="n"/>
      <c r="K92" s="19" t="n"/>
      <c r="L92" s="14" t="n"/>
    </row>
    <row r="93" ht="22" customHeight="1">
      <c r="B93" s="17">
        <f>IF(C93="","SOC-"&amp;TEXT(COUNTA($C$5:C93),"000"))</f>
        <v/>
      </c>
      <c r="C93" s="12" t="n"/>
      <c r="D93" s="12" t="n"/>
      <c r="E93" s="12" t="n"/>
      <c r="F93" s="12" t="n"/>
      <c r="G93" s="12" t="n"/>
      <c r="H93" s="18" t="n"/>
      <c r="I93" s="18">
        <f>IF(H93="","",I93/H93)</f>
        <v/>
      </c>
      <c r="J93" s="41" t="n"/>
      <c r="K93" s="18" t="n"/>
      <c r="L93" s="12" t="n"/>
    </row>
    <row r="94" ht="22" customHeight="1">
      <c r="B94" s="16">
        <f>IF(C94="","SOC-"&amp;TEXT(COUNTA($C$5:C94),"000"))</f>
        <v/>
      </c>
      <c r="C94" s="14" t="n"/>
      <c r="D94" s="14" t="n"/>
      <c r="E94" s="14" t="n"/>
      <c r="F94" s="14" t="n"/>
      <c r="G94" s="14" t="n"/>
      <c r="H94" s="19" t="n"/>
      <c r="I94" s="19">
        <f>IF(H94="","",I94/H94)</f>
        <v/>
      </c>
      <c r="J94" s="42" t="n"/>
      <c r="K94" s="19" t="n"/>
      <c r="L94" s="14" t="n"/>
    </row>
    <row r="95" ht="22" customHeight="1">
      <c r="B95" s="17">
        <f>IF(C95="","SOC-"&amp;TEXT(COUNTA($C$5:C95),"000"))</f>
        <v/>
      </c>
      <c r="C95" s="12" t="n"/>
      <c r="D95" s="12" t="n"/>
      <c r="E95" s="12" t="n"/>
      <c r="F95" s="12" t="n"/>
      <c r="G95" s="12" t="n"/>
      <c r="H95" s="18" t="n"/>
      <c r="I95" s="18">
        <f>IF(H95="","",I95/H95)</f>
        <v/>
      </c>
      <c r="J95" s="41" t="n"/>
      <c r="K95" s="18" t="n"/>
      <c r="L95" s="12" t="n"/>
    </row>
    <row r="96" ht="22" customHeight="1">
      <c r="B96" s="16">
        <f>IF(C96="","SOC-"&amp;TEXT(COUNTA($C$5:C96),"000"))</f>
        <v/>
      </c>
      <c r="C96" s="14" t="n"/>
      <c r="D96" s="14" t="n"/>
      <c r="E96" s="14" t="n"/>
      <c r="F96" s="14" t="n"/>
      <c r="G96" s="14" t="n"/>
      <c r="H96" s="19" t="n"/>
      <c r="I96" s="19">
        <f>IF(H96="","",I96/H96)</f>
        <v/>
      </c>
      <c r="J96" s="42" t="n"/>
      <c r="K96" s="19" t="n"/>
      <c r="L96" s="14" t="n"/>
    </row>
    <row r="97" ht="22" customHeight="1">
      <c r="B97" s="17">
        <f>IF(C97="","SOC-"&amp;TEXT(COUNTA($C$5:C97),"000"))</f>
        <v/>
      </c>
      <c r="C97" s="12" t="n"/>
      <c r="D97" s="12" t="n"/>
      <c r="E97" s="12" t="n"/>
      <c r="F97" s="12" t="n"/>
      <c r="G97" s="12" t="n"/>
      <c r="H97" s="18" t="n"/>
      <c r="I97" s="18">
        <f>IF(H97="","",I97/H97)</f>
        <v/>
      </c>
      <c r="J97" s="41" t="n"/>
      <c r="K97" s="18" t="n"/>
      <c r="L97" s="12" t="n"/>
    </row>
    <row r="98" ht="22" customHeight="1">
      <c r="B98" s="16">
        <f>IF(C98="","SOC-"&amp;TEXT(COUNTA($C$5:C98),"000"))</f>
        <v/>
      </c>
      <c r="C98" s="14" t="n"/>
      <c r="D98" s="14" t="n"/>
      <c r="E98" s="14" t="n"/>
      <c r="F98" s="14" t="n"/>
      <c r="G98" s="14" t="n"/>
      <c r="H98" s="19" t="n"/>
      <c r="I98" s="19">
        <f>IF(H98="","",I98/H98)</f>
        <v/>
      </c>
      <c r="J98" s="42" t="n"/>
      <c r="K98" s="19" t="n"/>
      <c r="L98" s="14" t="n"/>
    </row>
    <row r="99" ht="22" customHeight="1">
      <c r="B99" s="17">
        <f>IF(C99="","SOC-"&amp;TEXT(COUNTA($C$5:C99),"000"))</f>
        <v/>
      </c>
      <c r="C99" s="12" t="n"/>
      <c r="D99" s="12" t="n"/>
      <c r="E99" s="12" t="n"/>
      <c r="F99" s="12" t="n"/>
      <c r="G99" s="12" t="n"/>
      <c r="H99" s="18" t="n"/>
      <c r="I99" s="18">
        <f>IF(H99="","",I99/H99)</f>
        <v/>
      </c>
      <c r="J99" s="41" t="n"/>
      <c r="K99" s="18" t="n"/>
      <c r="L99" s="12" t="n"/>
    </row>
    <row r="100" ht="22" customHeight="1">
      <c r="B100" s="16">
        <f>IF(C100="","SOC-"&amp;TEXT(COUNTA($C$5:C100),"000"))</f>
        <v/>
      </c>
      <c r="C100" s="14" t="n"/>
      <c r="D100" s="14" t="n"/>
      <c r="E100" s="14" t="n"/>
      <c r="F100" s="14" t="n"/>
      <c r="G100" s="14" t="n"/>
      <c r="H100" s="19" t="n"/>
      <c r="I100" s="19">
        <f>IF(H100="","",I100/H100)</f>
        <v/>
      </c>
      <c r="J100" s="42" t="n"/>
      <c r="K100" s="19" t="n"/>
      <c r="L100" s="14" t="n"/>
    </row>
    <row r="101" ht="22" customHeight="1">
      <c r="B101" s="17">
        <f>IF(C101="","SOC-"&amp;TEXT(COUNTA($C$5:C101),"000"))</f>
        <v/>
      </c>
      <c r="C101" s="12" t="n"/>
      <c r="D101" s="12" t="n"/>
      <c r="E101" s="12" t="n"/>
      <c r="F101" s="12" t="n"/>
      <c r="G101" s="12" t="n"/>
      <c r="H101" s="18" t="n"/>
      <c r="I101" s="18">
        <f>IF(H101="","",I101/H101)</f>
        <v/>
      </c>
      <c r="J101" s="41" t="n"/>
      <c r="K101" s="18" t="n"/>
      <c r="L101" s="12" t="n"/>
    </row>
    <row r="102" ht="22" customHeight="1">
      <c r="B102" s="16">
        <f>IF(C102="","SOC-"&amp;TEXT(COUNTA($C$5:C102),"000"))</f>
        <v/>
      </c>
      <c r="C102" s="14" t="n"/>
      <c r="D102" s="14" t="n"/>
      <c r="E102" s="14" t="n"/>
      <c r="F102" s="14" t="n"/>
      <c r="G102" s="14" t="n"/>
      <c r="H102" s="19" t="n"/>
      <c r="I102" s="19">
        <f>IF(H102="","",I102/H102)</f>
        <v/>
      </c>
      <c r="J102" s="42" t="n"/>
      <c r="K102" s="19" t="n"/>
      <c r="L102" s="14" t="n"/>
    </row>
    <row r="103" ht="22" customHeight="1">
      <c r="B103" s="17">
        <f>IF(C103="","SOC-"&amp;TEXT(COUNTA($C$5:C103),"000"))</f>
        <v/>
      </c>
      <c r="C103" s="12" t="n"/>
      <c r="D103" s="12" t="n"/>
      <c r="E103" s="12" t="n"/>
      <c r="F103" s="12" t="n"/>
      <c r="G103" s="12" t="n"/>
      <c r="H103" s="18" t="n"/>
      <c r="I103" s="18">
        <f>IF(H103="","",I103/H103)</f>
        <v/>
      </c>
      <c r="J103" s="41" t="n"/>
      <c r="K103" s="18" t="n"/>
      <c r="L103" s="12" t="n"/>
    </row>
    <row r="104" ht="22" customHeight="1">
      <c r="B104" s="16">
        <f>IF(C104="","SOC-"&amp;TEXT(COUNTA($C$5:C104),"000"))</f>
        <v/>
      </c>
      <c r="C104" s="14" t="n"/>
      <c r="D104" s="14" t="n"/>
      <c r="E104" s="14" t="n"/>
      <c r="F104" s="14" t="n"/>
      <c r="G104" s="14" t="n"/>
      <c r="H104" s="19" t="n"/>
      <c r="I104" s="19">
        <f>IF(H104="","",I104/H104)</f>
        <v/>
      </c>
      <c r="J104" s="42" t="n"/>
      <c r="K104" s="19" t="n"/>
      <c r="L104" s="14" t="n"/>
    </row>
    <row r="105" ht="22" customHeight="1">
      <c r="B105" s="17">
        <f>IF(C105="","SOC-"&amp;TEXT(COUNTA($C$5:C105),"000"))</f>
        <v/>
      </c>
      <c r="C105" s="12" t="n"/>
      <c r="D105" s="12" t="n"/>
      <c r="E105" s="12" t="n"/>
      <c r="F105" s="12" t="n"/>
      <c r="G105" s="12" t="n"/>
      <c r="H105" s="18" t="n"/>
      <c r="I105" s="18">
        <f>IF(H105="","",I105/H105)</f>
        <v/>
      </c>
      <c r="J105" s="41" t="n"/>
      <c r="K105" s="18" t="n"/>
      <c r="L105" s="12" t="n"/>
    </row>
    <row r="106" ht="22" customHeight="1">
      <c r="B106" s="16">
        <f>IF(C106="","SOC-"&amp;TEXT(COUNTA($C$5:C106),"000"))</f>
        <v/>
      </c>
      <c r="C106" s="14" t="n"/>
      <c r="D106" s="14" t="n"/>
      <c r="E106" s="14" t="n"/>
      <c r="F106" s="14" t="n"/>
      <c r="G106" s="14" t="n"/>
      <c r="H106" s="19" t="n"/>
      <c r="I106" s="19">
        <f>IF(H106="","",I106/H106)</f>
        <v/>
      </c>
      <c r="J106" s="42" t="n"/>
      <c r="K106" s="19" t="n"/>
      <c r="L106" s="14" t="n"/>
    </row>
    <row r="107" ht="22" customHeight="1">
      <c r="B107" s="17">
        <f>IF(C107="","SOC-"&amp;TEXT(COUNTA($C$5:C107),"000"))</f>
        <v/>
      </c>
      <c r="C107" s="12" t="n"/>
      <c r="D107" s="12" t="n"/>
      <c r="E107" s="12" t="n"/>
      <c r="F107" s="12" t="n"/>
      <c r="G107" s="12" t="n"/>
      <c r="H107" s="18" t="n"/>
      <c r="I107" s="18">
        <f>IF(H107="","",I107/H107)</f>
        <v/>
      </c>
      <c r="J107" s="41" t="n"/>
      <c r="K107" s="18" t="n"/>
      <c r="L107" s="12" t="n"/>
    </row>
    <row r="108" ht="22" customHeight="1">
      <c r="B108" s="16">
        <f>IF(C108="","SOC-"&amp;TEXT(COUNTA($C$5:C108),"000"))</f>
        <v/>
      </c>
      <c r="C108" s="14" t="n"/>
      <c r="D108" s="14" t="n"/>
      <c r="E108" s="14" t="n"/>
      <c r="F108" s="14" t="n"/>
      <c r="G108" s="14" t="n"/>
      <c r="H108" s="19" t="n"/>
      <c r="I108" s="19">
        <f>IF(H108="","",I108/H108)</f>
        <v/>
      </c>
      <c r="J108" s="42" t="n"/>
      <c r="K108" s="19" t="n"/>
      <c r="L108" s="14" t="n"/>
    </row>
    <row r="110" ht="26" customHeight="1">
      <c r="B110" s="20" t="inlineStr">
        <is>
          <t>TOTAL</t>
        </is>
      </c>
      <c r="C110" s="21" t="n"/>
      <c r="D110" s="21" t="n"/>
      <c r="E110" s="21" t="n"/>
      <c r="F110" s="21" t="n"/>
      <c r="G110" s="21" t="n"/>
      <c r="H110" s="22">
        <f>SUM(H5:H104)</f>
        <v/>
      </c>
      <c r="I110" s="22">
        <f>SUM(I5:I104)</f>
        <v/>
      </c>
      <c r="J110" s="21" t="n"/>
      <c r="K110" s="22">
        <f>SUM(K5:K104)</f>
        <v/>
      </c>
      <c r="L110" s="21" t="n"/>
    </row>
    <row r="112">
      <c r="B112" s="6" t="inlineStr">
        <is>
          <t>INDICATEURS (mis a jour automatiquement)</t>
        </is>
      </c>
    </row>
    <row r="113">
      <c r="B113" s="3" t="inlineStr">
        <is>
          <t>Actions sociales</t>
        </is>
      </c>
      <c r="D113" s="3" t="inlineStr">
        <is>
          <t>Budget total (FCFA)</t>
        </is>
      </c>
      <c r="F113" s="3" t="inlineStr">
        <is>
          <t>Beneficiaires totaux</t>
        </is>
      </c>
    </row>
    <row r="114">
      <c r="B114" s="4">
        <f>COUNTIF(B5:B104,"&lt;&gt;")</f>
        <v/>
      </c>
      <c r="D114" s="4">
        <f>SUM(H5:H104)</f>
        <v/>
      </c>
      <c r="F114" s="4">
        <f>SUM(K5:K104)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9:B108">
    <cfRule type="expression" priority="238" dxfId="3">
      <formula>AND($C9="",$C8&lt;&gt;"")</formula>
    </cfRule>
  </conditionalFormatting>
  <conditionalFormatting sqref="C9:C108">
    <cfRule type="expression" priority="239" dxfId="3">
      <formula>AND($C9="",$C8&lt;&gt;"")</formula>
    </cfRule>
  </conditionalFormatting>
  <conditionalFormatting sqref="D9:D108">
    <cfRule type="expression" priority="240" dxfId="3">
      <formula>AND($C9="",$C8&lt;&gt;"")</formula>
    </cfRule>
  </conditionalFormatting>
  <conditionalFormatting sqref="E9:E108">
    <cfRule type="expression" priority="241" dxfId="3">
      <formula>AND($C9="",$C8&lt;&gt;"")</formula>
    </cfRule>
  </conditionalFormatting>
  <conditionalFormatting sqref="F9:F108">
    <cfRule type="expression" priority="242" dxfId="3">
      <formula>AND($C9="",$C8&lt;&gt;"")</formula>
    </cfRule>
  </conditionalFormatting>
  <conditionalFormatting sqref="G9:G108">
    <cfRule type="expression" priority="243" dxfId="3">
      <formula>AND($C9="",$C8&lt;&gt;"")</formula>
    </cfRule>
  </conditionalFormatting>
  <conditionalFormatting sqref="H9:H108">
    <cfRule type="expression" priority="244" dxfId="3">
      <formula>AND($C9="",$C8&lt;&gt;"")</formula>
    </cfRule>
  </conditionalFormatting>
  <conditionalFormatting sqref="I9:I108">
    <cfRule type="expression" priority="245" dxfId="3">
      <formula>AND($C9="",$C8&lt;&gt;"")</formula>
    </cfRule>
  </conditionalFormatting>
  <conditionalFormatting sqref="J9:J108">
    <cfRule type="expression" priority="246" dxfId="3">
      <formula>AND($C9="",$C8&lt;&gt;"")</formula>
    </cfRule>
  </conditionalFormatting>
  <conditionalFormatting sqref="K9:K108">
    <cfRule type="expression" priority="247" dxfId="3">
      <formula>AND($C9="",$C8&lt;&gt;"")</formula>
    </cfRule>
  </conditionalFormatting>
  <conditionalFormatting sqref="L9:L108">
    <cfRule type="expression" priority="248" dxfId="3">
      <formula>AND($C9="",$C8&lt;&gt;"")</formula>
    </cfRule>
  </conditionalFormatting>
  <dataValidations count="3">
    <dataValidation sqref="D5:D108" showDropDown="0" showInputMessage="0" showErrorMessage="0" allowBlank="1" errorTitle="Erreur" error="Valeur invalide" promptTitle="Liste" prompt="Choisir dans la liste" type="list">
      <formula1>'_Lists'!$E$2:$E$16</formula1>
    </dataValidation>
    <dataValidation sqref="G5:G108" showDropDown="0" showInputMessage="0" showErrorMessage="0" allowBlank="1" errorTitle="Erreur" error="Valeur invalide" promptTitle="Liste" prompt="Choisir dans la liste" type="list">
      <formula1>'_Lists'!$S$2:$S$7</formula1>
    </dataValidation>
    <dataValidation sqref="L5:L108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4" customWidth="1" min="4" max="4"/>
    <col width="22" customWidth="1" min="5" max="5"/>
    <col width="22" customWidth="1" min="6" max="6"/>
    <col width="16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6" customWidth="1" min="13" max="13"/>
  </cols>
  <sheetData>
    <row r="1" ht="15" customHeight="1"/>
    <row r="2" ht="32" customHeight="1">
      <c r="B2" s="1" t="inlineStr">
        <is>
          <t>FORMATION RSE &amp; ECO-GESTES (#153)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Formation</t>
        </is>
      </c>
      <c r="D4" s="11" t="inlineStr">
        <is>
          <t>Type Formation</t>
        </is>
      </c>
      <c r="E4" s="11" t="inlineStr">
        <is>
          <t>Public Cible</t>
        </is>
      </c>
      <c r="F4" s="11" t="inlineStr">
        <is>
          <t>Formateur</t>
        </is>
      </c>
      <c r="G4" s="11" t="inlineStr">
        <is>
          <t>Date Formation</t>
        </is>
      </c>
      <c r="H4" s="11" t="inlineStr">
        <is>
          <t>Duree (heures)</t>
        </is>
      </c>
      <c r="I4" s="11" t="inlineStr">
        <is>
          <t>Nb Participants</t>
        </is>
      </c>
      <c r="J4" s="11" t="inlineStr">
        <is>
          <t>Nb Certifies</t>
        </is>
      </c>
      <c r="K4" s="11" t="inlineStr">
        <is>
          <t>Taux Reussite (%)</t>
        </is>
      </c>
      <c r="L4" s="11" t="inlineStr">
        <is>
          <t>Cout (FCFA)</t>
        </is>
      </c>
      <c r="M4" s="11" t="inlineStr">
        <is>
          <t>Statut</t>
        </is>
      </c>
    </row>
    <row r="5" ht="22" customHeight="1">
      <c r="B5" s="12" t="inlineStr">
        <is>
          <t>FOR-001</t>
        </is>
      </c>
      <c r="C5" s="12" t="inlineStr">
        <is>
          <t>Eco-gestes au quotidien</t>
        </is>
      </c>
      <c r="D5" s="12" t="inlineStr">
        <is>
          <t>Eco-gestes</t>
        </is>
      </c>
      <c r="E5" s="12" t="inlineStr">
        <is>
          <t>Tous les employes</t>
        </is>
      </c>
      <c r="F5" s="12" t="inlineStr">
        <is>
          <t>Consultant RSE</t>
        </is>
      </c>
      <c r="G5" s="41" t="n">
        <v>45677</v>
      </c>
      <c r="H5" s="23" t="n">
        <v>3</v>
      </c>
      <c r="I5" s="18" t="n">
        <v>120</v>
      </c>
      <c r="J5" s="18" t="n">
        <v>118</v>
      </c>
      <c r="K5" s="43" t="n"/>
      <c r="L5" s="18" t="n">
        <v>200000</v>
      </c>
      <c r="M5" s="12" t="inlineStr">
        <is>
          <t>Terminee</t>
        </is>
      </c>
    </row>
    <row r="6" ht="22" customHeight="1">
      <c r="B6" s="14" t="inlineStr">
        <is>
          <t>FOR-002</t>
        </is>
      </c>
      <c r="C6" s="14" t="inlineStr">
        <is>
          <t>Tri selectif avance</t>
        </is>
      </c>
      <c r="D6" s="14" t="inlineStr">
        <is>
          <t>Tri selectif</t>
        </is>
      </c>
      <c r="E6" s="14" t="inlineStr">
        <is>
          <t>Cuisine &amp; Entretien</t>
        </is>
      </c>
      <c r="F6" s="14" t="inlineStr">
        <is>
          <t>ONG environnement</t>
        </is>
      </c>
      <c r="G6" s="42" t="n">
        <v>45703</v>
      </c>
      <c r="H6" s="25" t="n">
        <v>2</v>
      </c>
      <c r="I6" s="19" t="n">
        <v>35</v>
      </c>
      <c r="J6" s="19" t="n">
        <v>35</v>
      </c>
      <c r="K6" s="44" t="n"/>
      <c r="L6" s="19" t="n">
        <v>75000</v>
      </c>
      <c r="M6" s="14" t="inlineStr">
        <is>
          <t>Terminee</t>
        </is>
      </c>
    </row>
    <row r="7" ht="22" customHeight="1">
      <c r="B7" s="12" t="inlineStr">
        <is>
          <t>FOR-003</t>
        </is>
      </c>
      <c r="C7" s="12" t="inlineStr">
        <is>
          <t>Sensibilisation diversite</t>
        </is>
      </c>
      <c r="D7" s="12" t="inlineStr">
        <is>
          <t>Diversite &amp; inclusion</t>
        </is>
      </c>
      <c r="E7" s="12" t="inlineStr">
        <is>
          <t>Cadres et managers</t>
        </is>
      </c>
      <c r="F7" s="12" t="inlineStr">
        <is>
          <t>DRH</t>
        </is>
      </c>
      <c r="G7" s="41" t="n">
        <v>45726</v>
      </c>
      <c r="H7" s="23" t="n">
        <v>4</v>
      </c>
      <c r="I7" s="18" t="n">
        <v>25</v>
      </c>
      <c r="J7" s="18" t="n">
        <v>0</v>
      </c>
      <c r="K7" s="43" t="n"/>
      <c r="L7" s="18" t="n">
        <v>100000</v>
      </c>
      <c r="M7" s="12" t="inlineStr">
        <is>
          <t>Planifiee</t>
        </is>
      </c>
    </row>
    <row r="8" ht="22" customHeight="1">
      <c r="B8" s="14" t="inlineStr">
        <is>
          <t>FOR-004</t>
        </is>
      </c>
      <c r="C8" s="14" t="inlineStr">
        <is>
          <t>Premiers secours</t>
        </is>
      </c>
      <c r="D8" s="14" t="inlineStr">
        <is>
          <t>Premiers secours</t>
        </is>
      </c>
      <c r="E8" s="14" t="inlineStr">
        <is>
          <t>Equipes de securite</t>
        </is>
      </c>
      <c r="F8" s="14" t="inlineStr">
        <is>
          <t>Croix-Rouge</t>
        </is>
      </c>
      <c r="G8" s="42" t="n">
        <v>45752</v>
      </c>
      <c r="H8" s="25" t="n">
        <v>8</v>
      </c>
      <c r="I8" s="19" t="n">
        <v>15</v>
      </c>
      <c r="J8" s="19" t="n">
        <v>0</v>
      </c>
      <c r="K8" s="44" t="n"/>
      <c r="L8" s="19" t="n">
        <v>300000</v>
      </c>
      <c r="M8" s="14" t="inlineStr">
        <is>
          <t>Planifiee</t>
        </is>
      </c>
    </row>
    <row r="9" ht="22" customHeight="1">
      <c r="B9" s="17">
        <f>IF(C9="","FOR-"&amp;TEXT(COUNTA($C$5:C9),"000"))</f>
        <v/>
      </c>
      <c r="C9" s="12" t="n"/>
      <c r="D9" s="12" t="n"/>
      <c r="E9" s="12" t="n"/>
      <c r="F9" s="12" t="n"/>
      <c r="G9" s="41" t="n"/>
      <c r="H9" s="23" t="n"/>
      <c r="I9" s="18" t="n"/>
      <c r="J9" s="18" t="n"/>
      <c r="K9" s="43">
        <f>IF(OR(I9="",J9=""),"",J9/I9)</f>
        <v/>
      </c>
      <c r="L9" s="18" t="n"/>
      <c r="M9" s="12" t="n"/>
    </row>
    <row r="10" ht="22" customHeight="1">
      <c r="B10" s="16">
        <f>IF(C10="","FOR-"&amp;TEXT(COUNTA($C$5:C10),"000"))</f>
        <v/>
      </c>
      <c r="C10" s="14" t="n"/>
      <c r="D10" s="14" t="n"/>
      <c r="E10" s="14" t="n"/>
      <c r="F10" s="14" t="n"/>
      <c r="G10" s="42" t="n"/>
      <c r="H10" s="25" t="n"/>
      <c r="I10" s="19" t="n"/>
      <c r="J10" s="19" t="n"/>
      <c r="K10" s="44">
        <f>IF(OR(I10="",J10=""),"",J10/I10)</f>
        <v/>
      </c>
      <c r="L10" s="19" t="n"/>
      <c r="M10" s="14" t="n"/>
    </row>
    <row r="11" ht="22" customHeight="1">
      <c r="B11" s="17">
        <f>IF(C11="","FOR-"&amp;TEXT(COUNTA($C$5:C11),"000"))</f>
        <v/>
      </c>
      <c r="C11" s="12" t="n"/>
      <c r="D11" s="12" t="n"/>
      <c r="E11" s="12" t="n"/>
      <c r="F11" s="12" t="n"/>
      <c r="G11" s="41" t="n"/>
      <c r="H11" s="23" t="n"/>
      <c r="I11" s="18" t="n"/>
      <c r="J11" s="18" t="n"/>
      <c r="K11" s="43">
        <f>IF(OR(I11="",J11=""),"",J11/I11)</f>
        <v/>
      </c>
      <c r="L11" s="18" t="n"/>
      <c r="M11" s="12" t="n"/>
    </row>
    <row r="12" ht="22" customHeight="1">
      <c r="B12" s="16">
        <f>IF(C12="","FOR-"&amp;TEXT(COUNTA($C$5:C12),"000"))</f>
        <v/>
      </c>
      <c r="C12" s="14" t="n"/>
      <c r="D12" s="14" t="n"/>
      <c r="E12" s="14" t="n"/>
      <c r="F12" s="14" t="n"/>
      <c r="G12" s="42" t="n"/>
      <c r="H12" s="25" t="n"/>
      <c r="I12" s="19" t="n"/>
      <c r="J12" s="19" t="n"/>
      <c r="K12" s="44">
        <f>IF(OR(I12="",J12=""),"",J12/I12)</f>
        <v/>
      </c>
      <c r="L12" s="19" t="n"/>
      <c r="M12" s="14" t="n"/>
    </row>
    <row r="13" ht="22" customHeight="1">
      <c r="B13" s="17">
        <f>IF(C13="","FOR-"&amp;TEXT(COUNTA($C$5:C13),"000"))</f>
        <v/>
      </c>
      <c r="C13" s="12" t="n"/>
      <c r="D13" s="12" t="n"/>
      <c r="E13" s="12" t="n"/>
      <c r="F13" s="12" t="n"/>
      <c r="G13" s="41" t="n"/>
      <c r="H13" s="23" t="n"/>
      <c r="I13" s="18" t="n"/>
      <c r="J13" s="18" t="n"/>
      <c r="K13" s="43">
        <f>IF(OR(I13="",J13=""),"",J13/I13)</f>
        <v/>
      </c>
      <c r="L13" s="18" t="n"/>
      <c r="M13" s="12" t="n"/>
    </row>
    <row r="14" ht="22" customHeight="1">
      <c r="B14" s="16">
        <f>IF(C14="","FOR-"&amp;TEXT(COUNTA($C$5:C14),"000"))</f>
        <v/>
      </c>
      <c r="C14" s="14" t="n"/>
      <c r="D14" s="14" t="n"/>
      <c r="E14" s="14" t="n"/>
      <c r="F14" s="14" t="n"/>
      <c r="G14" s="42" t="n"/>
      <c r="H14" s="25" t="n"/>
      <c r="I14" s="19" t="n"/>
      <c r="J14" s="19" t="n"/>
      <c r="K14" s="44">
        <f>IF(OR(I14="",J14=""),"",J14/I14)</f>
        <v/>
      </c>
      <c r="L14" s="19" t="n"/>
      <c r="M14" s="14" t="n"/>
    </row>
    <row r="15" ht="22" customHeight="1">
      <c r="B15" s="17">
        <f>IF(C15="","FOR-"&amp;TEXT(COUNTA($C$5:C15),"000"))</f>
        <v/>
      </c>
      <c r="C15" s="12" t="n"/>
      <c r="D15" s="12" t="n"/>
      <c r="E15" s="12" t="n"/>
      <c r="F15" s="12" t="n"/>
      <c r="G15" s="41" t="n"/>
      <c r="H15" s="23" t="n"/>
      <c r="I15" s="18" t="n"/>
      <c r="J15" s="18" t="n"/>
      <c r="K15" s="43">
        <f>IF(OR(I15="",J15=""),"",J15/I15)</f>
        <v/>
      </c>
      <c r="L15" s="18" t="n"/>
      <c r="M15" s="12" t="n"/>
    </row>
    <row r="16" ht="22" customHeight="1">
      <c r="B16" s="16">
        <f>IF(C16="","FOR-"&amp;TEXT(COUNTA($C$5:C16),"000"))</f>
        <v/>
      </c>
      <c r="C16" s="14" t="n"/>
      <c r="D16" s="14" t="n"/>
      <c r="E16" s="14" t="n"/>
      <c r="F16" s="14" t="n"/>
      <c r="G16" s="42" t="n"/>
      <c r="H16" s="25" t="n"/>
      <c r="I16" s="19" t="n"/>
      <c r="J16" s="19" t="n"/>
      <c r="K16" s="44">
        <f>IF(OR(I16="",J16=""),"",J16/I16)</f>
        <v/>
      </c>
      <c r="L16" s="19" t="n"/>
      <c r="M16" s="14" t="n"/>
    </row>
    <row r="17" ht="22" customHeight="1">
      <c r="B17" s="17">
        <f>IF(C17="","FOR-"&amp;TEXT(COUNTA($C$5:C17),"000"))</f>
        <v/>
      </c>
      <c r="C17" s="12" t="n"/>
      <c r="D17" s="12" t="n"/>
      <c r="E17" s="12" t="n"/>
      <c r="F17" s="12" t="n"/>
      <c r="G17" s="41" t="n"/>
      <c r="H17" s="23" t="n"/>
      <c r="I17" s="18" t="n"/>
      <c r="J17" s="18" t="n"/>
      <c r="K17" s="43">
        <f>IF(OR(I17="",J17=""),"",J17/I17)</f>
        <v/>
      </c>
      <c r="L17" s="18" t="n"/>
      <c r="M17" s="12" t="n"/>
    </row>
    <row r="18" ht="22" customHeight="1">
      <c r="B18" s="16">
        <f>IF(C18="","FOR-"&amp;TEXT(COUNTA($C$5:C18),"000"))</f>
        <v/>
      </c>
      <c r="C18" s="14" t="n"/>
      <c r="D18" s="14" t="n"/>
      <c r="E18" s="14" t="n"/>
      <c r="F18" s="14" t="n"/>
      <c r="G18" s="42" t="n"/>
      <c r="H18" s="25" t="n"/>
      <c r="I18" s="19" t="n"/>
      <c r="J18" s="19" t="n"/>
      <c r="K18" s="44">
        <f>IF(OR(I18="",J18=""),"",J18/I18)</f>
        <v/>
      </c>
      <c r="L18" s="19" t="n"/>
      <c r="M18" s="14" t="n"/>
    </row>
    <row r="19" ht="22" customHeight="1">
      <c r="B19" s="17">
        <f>IF(C19="","FOR-"&amp;TEXT(COUNTA($C$5:C19),"000"))</f>
        <v/>
      </c>
      <c r="C19" s="12" t="n"/>
      <c r="D19" s="12" t="n"/>
      <c r="E19" s="12" t="n"/>
      <c r="F19" s="12" t="n"/>
      <c r="G19" s="41" t="n"/>
      <c r="H19" s="23" t="n"/>
      <c r="I19" s="18" t="n"/>
      <c r="J19" s="18" t="n"/>
      <c r="K19" s="43">
        <f>IF(OR(I19="",J19=""),"",J19/I19)</f>
        <v/>
      </c>
      <c r="L19" s="18" t="n"/>
      <c r="M19" s="12" t="n"/>
    </row>
    <row r="20" ht="22" customHeight="1">
      <c r="B20" s="16">
        <f>IF(C20="","FOR-"&amp;TEXT(COUNTA($C$5:C20),"000"))</f>
        <v/>
      </c>
      <c r="C20" s="14" t="n"/>
      <c r="D20" s="14" t="n"/>
      <c r="E20" s="14" t="n"/>
      <c r="F20" s="14" t="n"/>
      <c r="G20" s="42" t="n"/>
      <c r="H20" s="25" t="n"/>
      <c r="I20" s="19" t="n"/>
      <c r="J20" s="19" t="n"/>
      <c r="K20" s="44">
        <f>IF(OR(I20="",J20=""),"",J20/I20)</f>
        <v/>
      </c>
      <c r="L20" s="19" t="n"/>
      <c r="M20" s="14" t="n"/>
    </row>
    <row r="21" ht="22" customHeight="1">
      <c r="B21" s="17">
        <f>IF(C21="","FOR-"&amp;TEXT(COUNTA($C$5:C21),"000"))</f>
        <v/>
      </c>
      <c r="C21" s="12" t="n"/>
      <c r="D21" s="12" t="n"/>
      <c r="E21" s="12" t="n"/>
      <c r="F21" s="12" t="n"/>
      <c r="G21" s="41" t="n"/>
      <c r="H21" s="23" t="n"/>
      <c r="I21" s="18" t="n"/>
      <c r="J21" s="18" t="n"/>
      <c r="K21" s="43">
        <f>IF(OR(I21="",J21=""),"",J21/I21)</f>
        <v/>
      </c>
      <c r="L21" s="18" t="n"/>
      <c r="M21" s="12" t="n"/>
    </row>
    <row r="22" ht="22" customHeight="1">
      <c r="B22" s="16">
        <f>IF(C22="","FOR-"&amp;TEXT(COUNTA($C$5:C22),"000"))</f>
        <v/>
      </c>
      <c r="C22" s="14" t="n"/>
      <c r="D22" s="14" t="n"/>
      <c r="E22" s="14" t="n"/>
      <c r="F22" s="14" t="n"/>
      <c r="G22" s="42" t="n"/>
      <c r="H22" s="25" t="n"/>
      <c r="I22" s="19" t="n"/>
      <c r="J22" s="19" t="n"/>
      <c r="K22" s="44">
        <f>IF(OR(I22="",J22=""),"",J22/I22)</f>
        <v/>
      </c>
      <c r="L22" s="19" t="n"/>
      <c r="M22" s="14" t="n"/>
    </row>
    <row r="23" ht="22" customHeight="1">
      <c r="B23" s="17">
        <f>IF(C23="","FOR-"&amp;TEXT(COUNTA($C$5:C23),"000"))</f>
        <v/>
      </c>
      <c r="C23" s="12" t="n"/>
      <c r="D23" s="12" t="n"/>
      <c r="E23" s="12" t="n"/>
      <c r="F23" s="12" t="n"/>
      <c r="G23" s="41" t="n"/>
      <c r="H23" s="23" t="n"/>
      <c r="I23" s="18" t="n"/>
      <c r="J23" s="18" t="n"/>
      <c r="K23" s="43">
        <f>IF(OR(I23="",J23=""),"",J23/I23)</f>
        <v/>
      </c>
      <c r="L23" s="18" t="n"/>
      <c r="M23" s="12" t="n"/>
    </row>
    <row r="24" ht="22" customHeight="1">
      <c r="B24" s="16">
        <f>IF(C24="","FOR-"&amp;TEXT(COUNTA($C$5:C24),"000"))</f>
        <v/>
      </c>
      <c r="C24" s="14" t="n"/>
      <c r="D24" s="14" t="n"/>
      <c r="E24" s="14" t="n"/>
      <c r="F24" s="14" t="n"/>
      <c r="G24" s="42" t="n"/>
      <c r="H24" s="25" t="n"/>
      <c r="I24" s="19" t="n"/>
      <c r="J24" s="19" t="n"/>
      <c r="K24" s="44">
        <f>IF(OR(I24="",J24=""),"",J24/I24)</f>
        <v/>
      </c>
      <c r="L24" s="19" t="n"/>
      <c r="M24" s="14" t="n"/>
    </row>
    <row r="25" ht="22" customHeight="1">
      <c r="B25" s="17">
        <f>IF(C25="","FOR-"&amp;TEXT(COUNTA($C$5:C25),"000"))</f>
        <v/>
      </c>
      <c r="C25" s="12" t="n"/>
      <c r="D25" s="12" t="n"/>
      <c r="E25" s="12" t="n"/>
      <c r="F25" s="12" t="n"/>
      <c r="G25" s="41" t="n"/>
      <c r="H25" s="23" t="n"/>
      <c r="I25" s="18" t="n"/>
      <c r="J25" s="18" t="n"/>
      <c r="K25" s="43">
        <f>IF(OR(I25="",J25=""),"",J25/I25)</f>
        <v/>
      </c>
      <c r="L25" s="18" t="n"/>
      <c r="M25" s="12" t="n"/>
    </row>
    <row r="26" ht="22" customHeight="1">
      <c r="B26" s="16">
        <f>IF(C26="","FOR-"&amp;TEXT(COUNTA($C$5:C26),"000"))</f>
        <v/>
      </c>
      <c r="C26" s="14" t="n"/>
      <c r="D26" s="14" t="n"/>
      <c r="E26" s="14" t="n"/>
      <c r="F26" s="14" t="n"/>
      <c r="G26" s="42" t="n"/>
      <c r="H26" s="25" t="n"/>
      <c r="I26" s="19" t="n"/>
      <c r="J26" s="19" t="n"/>
      <c r="K26" s="44">
        <f>IF(OR(I26="",J26=""),"",J26/I26)</f>
        <v/>
      </c>
      <c r="L26" s="19" t="n"/>
      <c r="M26" s="14" t="n"/>
    </row>
    <row r="27" ht="22" customHeight="1">
      <c r="B27" s="17">
        <f>IF(C27="","FOR-"&amp;TEXT(COUNTA($C$5:C27),"000"))</f>
        <v/>
      </c>
      <c r="C27" s="12" t="n"/>
      <c r="D27" s="12" t="n"/>
      <c r="E27" s="12" t="n"/>
      <c r="F27" s="12" t="n"/>
      <c r="G27" s="41" t="n"/>
      <c r="H27" s="23" t="n"/>
      <c r="I27" s="18" t="n"/>
      <c r="J27" s="18" t="n"/>
      <c r="K27" s="43">
        <f>IF(OR(I27="",J27=""),"",J27/I27)</f>
        <v/>
      </c>
      <c r="L27" s="18" t="n"/>
      <c r="M27" s="12" t="n"/>
    </row>
    <row r="28" ht="22" customHeight="1">
      <c r="B28" s="16">
        <f>IF(C28="","FOR-"&amp;TEXT(COUNTA($C$5:C28),"000"))</f>
        <v/>
      </c>
      <c r="C28" s="14" t="n"/>
      <c r="D28" s="14" t="n"/>
      <c r="E28" s="14" t="n"/>
      <c r="F28" s="14" t="n"/>
      <c r="G28" s="42" t="n"/>
      <c r="H28" s="25" t="n"/>
      <c r="I28" s="19" t="n"/>
      <c r="J28" s="19" t="n"/>
      <c r="K28" s="44">
        <f>IF(OR(I28="",J28=""),"",J28/I28)</f>
        <v/>
      </c>
      <c r="L28" s="19" t="n"/>
      <c r="M28" s="14" t="n"/>
    </row>
    <row r="29" ht="22" customHeight="1">
      <c r="B29" s="17">
        <f>IF(C29="","FOR-"&amp;TEXT(COUNTA($C$5:C29),"000"))</f>
        <v/>
      </c>
      <c r="C29" s="12" t="n"/>
      <c r="D29" s="12" t="n"/>
      <c r="E29" s="12" t="n"/>
      <c r="F29" s="12" t="n"/>
      <c r="G29" s="41" t="n"/>
      <c r="H29" s="23" t="n"/>
      <c r="I29" s="18" t="n"/>
      <c r="J29" s="18" t="n"/>
      <c r="K29" s="43">
        <f>IF(OR(I29="",J29=""),"",J29/I29)</f>
        <v/>
      </c>
      <c r="L29" s="18" t="n"/>
      <c r="M29" s="12" t="n"/>
    </row>
    <row r="30" ht="22" customHeight="1">
      <c r="B30" s="16">
        <f>IF(C30="","FOR-"&amp;TEXT(COUNTA($C$5:C30),"000"))</f>
        <v/>
      </c>
      <c r="C30" s="14" t="n"/>
      <c r="D30" s="14" t="n"/>
      <c r="E30" s="14" t="n"/>
      <c r="F30" s="14" t="n"/>
      <c r="G30" s="42" t="n"/>
      <c r="H30" s="25" t="n"/>
      <c r="I30" s="19" t="n"/>
      <c r="J30" s="19" t="n"/>
      <c r="K30" s="44">
        <f>IF(OR(I30="",J30=""),"",J30/I30)</f>
        <v/>
      </c>
      <c r="L30" s="19" t="n"/>
      <c r="M30" s="14" t="n"/>
    </row>
    <row r="31" ht="22" customHeight="1">
      <c r="B31" s="17">
        <f>IF(C31="","FOR-"&amp;TEXT(COUNTA($C$5:C31),"000"))</f>
        <v/>
      </c>
      <c r="C31" s="12" t="n"/>
      <c r="D31" s="12" t="n"/>
      <c r="E31" s="12" t="n"/>
      <c r="F31" s="12" t="n"/>
      <c r="G31" s="41" t="n"/>
      <c r="H31" s="23" t="n"/>
      <c r="I31" s="18" t="n"/>
      <c r="J31" s="18" t="n"/>
      <c r="K31" s="43">
        <f>IF(OR(I31="",J31=""),"",J31/I31)</f>
        <v/>
      </c>
      <c r="L31" s="18" t="n"/>
      <c r="M31" s="12" t="n"/>
    </row>
    <row r="32" ht="22" customHeight="1">
      <c r="B32" s="16">
        <f>IF(C32="","FOR-"&amp;TEXT(COUNTA($C$5:C32),"000"))</f>
        <v/>
      </c>
      <c r="C32" s="14" t="n"/>
      <c r="D32" s="14" t="n"/>
      <c r="E32" s="14" t="n"/>
      <c r="F32" s="14" t="n"/>
      <c r="G32" s="42" t="n"/>
      <c r="H32" s="25" t="n"/>
      <c r="I32" s="19" t="n"/>
      <c r="J32" s="19" t="n"/>
      <c r="K32" s="44">
        <f>IF(OR(I32="",J32=""),"",J32/I32)</f>
        <v/>
      </c>
      <c r="L32" s="19" t="n"/>
      <c r="M32" s="14" t="n"/>
    </row>
    <row r="33" ht="22" customHeight="1">
      <c r="B33" s="17">
        <f>IF(C33="","FOR-"&amp;TEXT(COUNTA($C$5:C33),"000"))</f>
        <v/>
      </c>
      <c r="C33" s="12" t="n"/>
      <c r="D33" s="12" t="n"/>
      <c r="E33" s="12" t="n"/>
      <c r="F33" s="12" t="n"/>
      <c r="G33" s="41" t="n"/>
      <c r="H33" s="23" t="n"/>
      <c r="I33" s="18" t="n"/>
      <c r="J33" s="18" t="n"/>
      <c r="K33" s="43">
        <f>IF(OR(I33="",J33=""),"",J33/I33)</f>
        <v/>
      </c>
      <c r="L33" s="18" t="n"/>
      <c r="M33" s="12" t="n"/>
    </row>
    <row r="34" ht="22" customHeight="1">
      <c r="B34" s="16">
        <f>IF(C34="","FOR-"&amp;TEXT(COUNTA($C$5:C34),"000"))</f>
        <v/>
      </c>
      <c r="C34" s="14" t="n"/>
      <c r="D34" s="14" t="n"/>
      <c r="E34" s="14" t="n"/>
      <c r="F34" s="14" t="n"/>
      <c r="G34" s="42" t="n"/>
      <c r="H34" s="25" t="n"/>
      <c r="I34" s="19" t="n"/>
      <c r="J34" s="19" t="n"/>
      <c r="K34" s="44">
        <f>IF(OR(I34="",J34=""),"",J34/I34)</f>
        <v/>
      </c>
      <c r="L34" s="19" t="n"/>
      <c r="M34" s="14" t="n"/>
    </row>
    <row r="35" ht="22" customHeight="1">
      <c r="B35" s="17">
        <f>IF(C35="","FOR-"&amp;TEXT(COUNTA($C$5:C35),"000"))</f>
        <v/>
      </c>
      <c r="C35" s="12" t="n"/>
      <c r="D35" s="12" t="n"/>
      <c r="E35" s="12" t="n"/>
      <c r="F35" s="12" t="n"/>
      <c r="G35" s="41" t="n"/>
      <c r="H35" s="23" t="n"/>
      <c r="I35" s="18" t="n"/>
      <c r="J35" s="18" t="n"/>
      <c r="K35" s="43">
        <f>IF(OR(I35="",J35=""),"",J35/I35)</f>
        <v/>
      </c>
      <c r="L35" s="18" t="n"/>
      <c r="M35" s="12" t="n"/>
    </row>
    <row r="36" ht="22" customHeight="1">
      <c r="B36" s="16">
        <f>IF(C36="","FOR-"&amp;TEXT(COUNTA($C$5:C36),"000"))</f>
        <v/>
      </c>
      <c r="C36" s="14" t="n"/>
      <c r="D36" s="14" t="n"/>
      <c r="E36" s="14" t="n"/>
      <c r="F36" s="14" t="n"/>
      <c r="G36" s="42" t="n"/>
      <c r="H36" s="25" t="n"/>
      <c r="I36" s="19" t="n"/>
      <c r="J36" s="19" t="n"/>
      <c r="K36" s="44">
        <f>IF(OR(I36="",J36=""),"",J36/I36)</f>
        <v/>
      </c>
      <c r="L36" s="19" t="n"/>
      <c r="M36" s="14" t="n"/>
    </row>
    <row r="37" ht="22" customHeight="1">
      <c r="B37" s="17">
        <f>IF(C37="","FOR-"&amp;TEXT(COUNTA($C$5:C37),"000"))</f>
        <v/>
      </c>
      <c r="C37" s="12" t="n"/>
      <c r="D37" s="12" t="n"/>
      <c r="E37" s="12" t="n"/>
      <c r="F37" s="12" t="n"/>
      <c r="G37" s="41" t="n"/>
      <c r="H37" s="23" t="n"/>
      <c r="I37" s="18" t="n"/>
      <c r="J37" s="18" t="n"/>
      <c r="K37" s="43">
        <f>IF(OR(I37="",J37=""),"",J37/I37)</f>
        <v/>
      </c>
      <c r="L37" s="18" t="n"/>
      <c r="M37" s="12" t="n"/>
    </row>
    <row r="38" ht="22" customHeight="1">
      <c r="B38" s="16">
        <f>IF(C38="","FOR-"&amp;TEXT(COUNTA($C$5:C38),"000"))</f>
        <v/>
      </c>
      <c r="C38" s="14" t="n"/>
      <c r="D38" s="14" t="n"/>
      <c r="E38" s="14" t="n"/>
      <c r="F38" s="14" t="n"/>
      <c r="G38" s="42" t="n"/>
      <c r="H38" s="25" t="n"/>
      <c r="I38" s="19" t="n"/>
      <c r="J38" s="19" t="n"/>
      <c r="K38" s="44">
        <f>IF(OR(I38="",J38=""),"",J38/I38)</f>
        <v/>
      </c>
      <c r="L38" s="19" t="n"/>
      <c r="M38" s="14" t="n"/>
    </row>
    <row r="39" ht="22" customHeight="1">
      <c r="B39" s="17">
        <f>IF(C39="","FOR-"&amp;TEXT(COUNTA($C$5:C39),"000"))</f>
        <v/>
      </c>
      <c r="C39" s="12" t="n"/>
      <c r="D39" s="12" t="n"/>
      <c r="E39" s="12" t="n"/>
      <c r="F39" s="12" t="n"/>
      <c r="G39" s="41" t="n"/>
      <c r="H39" s="23" t="n"/>
      <c r="I39" s="18" t="n"/>
      <c r="J39" s="18" t="n"/>
      <c r="K39" s="43">
        <f>IF(OR(I39="",J39=""),"",J39/I39)</f>
        <v/>
      </c>
      <c r="L39" s="18" t="n"/>
      <c r="M39" s="12" t="n"/>
    </row>
    <row r="40" ht="22" customHeight="1">
      <c r="B40" s="16">
        <f>IF(C40="","FOR-"&amp;TEXT(COUNTA($C$5:C40),"000"))</f>
        <v/>
      </c>
      <c r="C40" s="14" t="n"/>
      <c r="D40" s="14" t="n"/>
      <c r="E40" s="14" t="n"/>
      <c r="F40" s="14" t="n"/>
      <c r="G40" s="42" t="n"/>
      <c r="H40" s="25" t="n"/>
      <c r="I40" s="19" t="n"/>
      <c r="J40" s="19" t="n"/>
      <c r="K40" s="44">
        <f>IF(OR(I40="",J40=""),"",J40/I40)</f>
        <v/>
      </c>
      <c r="L40" s="19" t="n"/>
      <c r="M40" s="14" t="n"/>
    </row>
    <row r="41" ht="22" customHeight="1">
      <c r="B41" s="17">
        <f>IF(C41="","FOR-"&amp;TEXT(COUNTA($C$5:C41),"000"))</f>
        <v/>
      </c>
      <c r="C41" s="12" t="n"/>
      <c r="D41" s="12" t="n"/>
      <c r="E41" s="12" t="n"/>
      <c r="F41" s="12" t="n"/>
      <c r="G41" s="41" t="n"/>
      <c r="H41" s="23" t="n"/>
      <c r="I41" s="18" t="n"/>
      <c r="J41" s="18" t="n"/>
      <c r="K41" s="43">
        <f>IF(OR(I41="",J41=""),"",J41/I41)</f>
        <v/>
      </c>
      <c r="L41" s="18" t="n"/>
      <c r="M41" s="12" t="n"/>
    </row>
    <row r="42" ht="22" customHeight="1">
      <c r="B42" s="16">
        <f>IF(C42="","FOR-"&amp;TEXT(COUNTA($C$5:C42),"000"))</f>
        <v/>
      </c>
      <c r="C42" s="14" t="n"/>
      <c r="D42" s="14" t="n"/>
      <c r="E42" s="14" t="n"/>
      <c r="F42" s="14" t="n"/>
      <c r="G42" s="42" t="n"/>
      <c r="H42" s="25" t="n"/>
      <c r="I42" s="19" t="n"/>
      <c r="J42" s="19" t="n"/>
      <c r="K42" s="44">
        <f>IF(OR(I42="",J42=""),"",J42/I42)</f>
        <v/>
      </c>
      <c r="L42" s="19" t="n"/>
      <c r="M42" s="14" t="n"/>
    </row>
    <row r="43" ht="22" customHeight="1">
      <c r="B43" s="17">
        <f>IF(C43="","FOR-"&amp;TEXT(COUNTA($C$5:C43),"000"))</f>
        <v/>
      </c>
      <c r="C43" s="12" t="n"/>
      <c r="D43" s="12" t="n"/>
      <c r="E43" s="12" t="n"/>
      <c r="F43" s="12" t="n"/>
      <c r="G43" s="41" t="n"/>
      <c r="H43" s="23" t="n"/>
      <c r="I43" s="18" t="n"/>
      <c r="J43" s="18" t="n"/>
      <c r="K43" s="43">
        <f>IF(OR(I43="",J43=""),"",J43/I43)</f>
        <v/>
      </c>
      <c r="L43" s="18" t="n"/>
      <c r="M43" s="12" t="n"/>
    </row>
    <row r="44" ht="22" customHeight="1">
      <c r="B44" s="16">
        <f>IF(C44="","FOR-"&amp;TEXT(COUNTA($C$5:C44),"000"))</f>
        <v/>
      </c>
      <c r="C44" s="14" t="n"/>
      <c r="D44" s="14" t="n"/>
      <c r="E44" s="14" t="n"/>
      <c r="F44" s="14" t="n"/>
      <c r="G44" s="42" t="n"/>
      <c r="H44" s="25" t="n"/>
      <c r="I44" s="19" t="n"/>
      <c r="J44" s="19" t="n"/>
      <c r="K44" s="44">
        <f>IF(OR(I44="",J44=""),"",J44/I44)</f>
        <v/>
      </c>
      <c r="L44" s="19" t="n"/>
      <c r="M44" s="14" t="n"/>
    </row>
    <row r="45" ht="22" customHeight="1">
      <c r="B45" s="17">
        <f>IF(C45="","FOR-"&amp;TEXT(COUNTA($C$5:C45),"000"))</f>
        <v/>
      </c>
      <c r="C45" s="12" t="n"/>
      <c r="D45" s="12" t="n"/>
      <c r="E45" s="12" t="n"/>
      <c r="F45" s="12" t="n"/>
      <c r="G45" s="41" t="n"/>
      <c r="H45" s="23" t="n"/>
      <c r="I45" s="18" t="n"/>
      <c r="J45" s="18" t="n"/>
      <c r="K45" s="43">
        <f>IF(OR(I45="",J45=""),"",J45/I45)</f>
        <v/>
      </c>
      <c r="L45" s="18" t="n"/>
      <c r="M45" s="12" t="n"/>
    </row>
    <row r="46" ht="22" customHeight="1">
      <c r="B46" s="16">
        <f>IF(C46="","FOR-"&amp;TEXT(COUNTA($C$5:C46),"000"))</f>
        <v/>
      </c>
      <c r="C46" s="14" t="n"/>
      <c r="D46" s="14" t="n"/>
      <c r="E46" s="14" t="n"/>
      <c r="F46" s="14" t="n"/>
      <c r="G46" s="42" t="n"/>
      <c r="H46" s="25" t="n"/>
      <c r="I46" s="19" t="n"/>
      <c r="J46" s="19" t="n"/>
      <c r="K46" s="44">
        <f>IF(OR(I46="",J46=""),"",J46/I46)</f>
        <v/>
      </c>
      <c r="L46" s="19" t="n"/>
      <c r="M46" s="14" t="n"/>
    </row>
    <row r="47" ht="22" customHeight="1">
      <c r="B47" s="17">
        <f>IF(C47="","FOR-"&amp;TEXT(COUNTA($C$5:C47),"000"))</f>
        <v/>
      </c>
      <c r="C47" s="12" t="n"/>
      <c r="D47" s="12" t="n"/>
      <c r="E47" s="12" t="n"/>
      <c r="F47" s="12" t="n"/>
      <c r="G47" s="41" t="n"/>
      <c r="H47" s="23" t="n"/>
      <c r="I47" s="18" t="n"/>
      <c r="J47" s="18" t="n"/>
      <c r="K47" s="43">
        <f>IF(OR(I47="",J47=""),"",J47/I47)</f>
        <v/>
      </c>
      <c r="L47" s="18" t="n"/>
      <c r="M47" s="12" t="n"/>
    </row>
    <row r="48" ht="22" customHeight="1">
      <c r="B48" s="16">
        <f>IF(C48="","FOR-"&amp;TEXT(COUNTA($C$5:C48),"000"))</f>
        <v/>
      </c>
      <c r="C48" s="14" t="n"/>
      <c r="D48" s="14" t="n"/>
      <c r="E48" s="14" t="n"/>
      <c r="F48" s="14" t="n"/>
      <c r="G48" s="42" t="n"/>
      <c r="H48" s="25" t="n"/>
      <c r="I48" s="19" t="n"/>
      <c r="J48" s="19" t="n"/>
      <c r="K48" s="44">
        <f>IF(OR(I48="",J48=""),"",J48/I48)</f>
        <v/>
      </c>
      <c r="L48" s="19" t="n"/>
      <c r="M48" s="14" t="n"/>
    </row>
    <row r="49" ht="22" customHeight="1">
      <c r="B49" s="17">
        <f>IF(C49="","FOR-"&amp;TEXT(COUNTA($C$5:C49),"000"))</f>
        <v/>
      </c>
      <c r="C49" s="12" t="n"/>
      <c r="D49" s="12" t="n"/>
      <c r="E49" s="12" t="n"/>
      <c r="F49" s="12" t="n"/>
      <c r="G49" s="41" t="n"/>
      <c r="H49" s="23" t="n"/>
      <c r="I49" s="18" t="n"/>
      <c r="J49" s="18" t="n"/>
      <c r="K49" s="43">
        <f>IF(OR(I49="",J49=""),"",J49/I49)</f>
        <v/>
      </c>
      <c r="L49" s="18" t="n"/>
      <c r="M49" s="12" t="n"/>
    </row>
    <row r="50" ht="22" customHeight="1">
      <c r="B50" s="16">
        <f>IF(C50="","FOR-"&amp;TEXT(COUNTA($C$5:C50),"000"))</f>
        <v/>
      </c>
      <c r="C50" s="14" t="n"/>
      <c r="D50" s="14" t="n"/>
      <c r="E50" s="14" t="n"/>
      <c r="F50" s="14" t="n"/>
      <c r="G50" s="42" t="n"/>
      <c r="H50" s="25" t="n"/>
      <c r="I50" s="19" t="n"/>
      <c r="J50" s="19" t="n"/>
      <c r="K50" s="44">
        <f>IF(OR(I50="",J50=""),"",J50/I50)</f>
        <v/>
      </c>
      <c r="L50" s="19" t="n"/>
      <c r="M50" s="14" t="n"/>
    </row>
    <row r="51" ht="22" customHeight="1">
      <c r="B51" s="17">
        <f>IF(C51="","FOR-"&amp;TEXT(COUNTA($C$5:C51),"000"))</f>
        <v/>
      </c>
      <c r="C51" s="12" t="n"/>
      <c r="D51" s="12" t="n"/>
      <c r="E51" s="12" t="n"/>
      <c r="F51" s="12" t="n"/>
      <c r="G51" s="41" t="n"/>
      <c r="H51" s="23" t="n"/>
      <c r="I51" s="18" t="n"/>
      <c r="J51" s="18" t="n"/>
      <c r="K51" s="43">
        <f>IF(OR(I51="",J51=""),"",J51/I51)</f>
        <v/>
      </c>
      <c r="L51" s="18" t="n"/>
      <c r="M51" s="12" t="n"/>
    </row>
    <row r="52" ht="22" customHeight="1">
      <c r="B52" s="16">
        <f>IF(C52="","FOR-"&amp;TEXT(COUNTA($C$5:C52),"000"))</f>
        <v/>
      </c>
      <c r="C52" s="14" t="n"/>
      <c r="D52" s="14" t="n"/>
      <c r="E52" s="14" t="n"/>
      <c r="F52" s="14" t="n"/>
      <c r="G52" s="42" t="n"/>
      <c r="H52" s="25" t="n"/>
      <c r="I52" s="19" t="n"/>
      <c r="J52" s="19" t="n"/>
      <c r="K52" s="44">
        <f>IF(OR(I52="",J52=""),"",J52/I52)</f>
        <v/>
      </c>
      <c r="L52" s="19" t="n"/>
      <c r="M52" s="14" t="n"/>
    </row>
    <row r="53" ht="22" customHeight="1">
      <c r="B53" s="17">
        <f>IF(C53="","FOR-"&amp;TEXT(COUNTA($C$5:C53),"000"))</f>
        <v/>
      </c>
      <c r="C53" s="12" t="n"/>
      <c r="D53" s="12" t="n"/>
      <c r="E53" s="12" t="n"/>
      <c r="F53" s="12" t="n"/>
      <c r="G53" s="41" t="n"/>
      <c r="H53" s="23" t="n"/>
      <c r="I53" s="18" t="n"/>
      <c r="J53" s="18" t="n"/>
      <c r="K53" s="43">
        <f>IF(OR(I53="",J53=""),"",J53/I53)</f>
        <v/>
      </c>
      <c r="L53" s="18" t="n"/>
      <c r="M53" s="12" t="n"/>
    </row>
    <row r="54" ht="22" customHeight="1">
      <c r="B54" s="16">
        <f>IF(C54="","FOR-"&amp;TEXT(COUNTA($C$5:C54),"000"))</f>
        <v/>
      </c>
      <c r="C54" s="14" t="n"/>
      <c r="D54" s="14" t="n"/>
      <c r="E54" s="14" t="n"/>
      <c r="F54" s="14" t="n"/>
      <c r="G54" s="42" t="n"/>
      <c r="H54" s="25" t="n"/>
      <c r="I54" s="19" t="n"/>
      <c r="J54" s="19" t="n"/>
      <c r="K54" s="44">
        <f>IF(OR(I54="",J54=""),"",J54/I54)</f>
        <v/>
      </c>
      <c r="L54" s="19" t="n"/>
      <c r="M54" s="14" t="n"/>
    </row>
    <row r="55" ht="22" customHeight="1">
      <c r="B55" s="17">
        <f>IF(C55="","FOR-"&amp;TEXT(COUNTA($C$5:C55),"000"))</f>
        <v/>
      </c>
      <c r="C55" s="12" t="n"/>
      <c r="D55" s="12" t="n"/>
      <c r="E55" s="12" t="n"/>
      <c r="F55" s="12" t="n"/>
      <c r="G55" s="41" t="n"/>
      <c r="H55" s="23" t="n"/>
      <c r="I55" s="18" t="n"/>
      <c r="J55" s="18" t="n"/>
      <c r="K55" s="43">
        <f>IF(OR(I55="",J55=""),"",J55/I55)</f>
        <v/>
      </c>
      <c r="L55" s="18" t="n"/>
      <c r="M55" s="12" t="n"/>
    </row>
    <row r="56" ht="22" customHeight="1">
      <c r="B56" s="16">
        <f>IF(C56="","FOR-"&amp;TEXT(COUNTA($C$5:C56),"000"))</f>
        <v/>
      </c>
      <c r="C56" s="14" t="n"/>
      <c r="D56" s="14" t="n"/>
      <c r="E56" s="14" t="n"/>
      <c r="F56" s="14" t="n"/>
      <c r="G56" s="42" t="n"/>
      <c r="H56" s="25" t="n"/>
      <c r="I56" s="19" t="n"/>
      <c r="J56" s="19" t="n"/>
      <c r="K56" s="44">
        <f>IF(OR(I56="",J56=""),"",J56/I56)</f>
        <v/>
      </c>
      <c r="L56" s="19" t="n"/>
      <c r="M56" s="14" t="n"/>
    </row>
    <row r="57" ht="22" customHeight="1">
      <c r="B57" s="17">
        <f>IF(C57="","FOR-"&amp;TEXT(COUNTA($C$5:C57),"000"))</f>
        <v/>
      </c>
      <c r="C57" s="12" t="n"/>
      <c r="D57" s="12" t="n"/>
      <c r="E57" s="12" t="n"/>
      <c r="F57" s="12" t="n"/>
      <c r="G57" s="41" t="n"/>
      <c r="H57" s="23" t="n"/>
      <c r="I57" s="18" t="n"/>
      <c r="J57" s="18" t="n"/>
      <c r="K57" s="43">
        <f>IF(OR(I57="",J57=""),"",J57/I57)</f>
        <v/>
      </c>
      <c r="L57" s="18" t="n"/>
      <c r="M57" s="12" t="n"/>
    </row>
    <row r="58" ht="22" customHeight="1">
      <c r="B58" s="16">
        <f>IF(C58="","FOR-"&amp;TEXT(COUNTA($C$5:C58),"000"))</f>
        <v/>
      </c>
      <c r="C58" s="14" t="n"/>
      <c r="D58" s="14" t="n"/>
      <c r="E58" s="14" t="n"/>
      <c r="F58" s="14" t="n"/>
      <c r="G58" s="42" t="n"/>
      <c r="H58" s="25" t="n"/>
      <c r="I58" s="19" t="n"/>
      <c r="J58" s="19" t="n"/>
      <c r="K58" s="44">
        <f>IF(OR(I58="",J58=""),"",J58/I58)</f>
        <v/>
      </c>
      <c r="L58" s="19" t="n"/>
      <c r="M58" s="14" t="n"/>
    </row>
    <row r="59" ht="22" customHeight="1">
      <c r="B59" s="17">
        <f>IF(C59="","FOR-"&amp;TEXT(COUNTA($C$5:C59),"000"))</f>
        <v/>
      </c>
      <c r="C59" s="12" t="n"/>
      <c r="D59" s="12" t="n"/>
      <c r="E59" s="12" t="n"/>
      <c r="F59" s="12" t="n"/>
      <c r="G59" s="41" t="n"/>
      <c r="H59" s="23" t="n"/>
      <c r="I59" s="18" t="n"/>
      <c r="J59" s="18" t="n"/>
      <c r="K59" s="43">
        <f>IF(OR(I59="",J59=""),"",J59/I59)</f>
        <v/>
      </c>
      <c r="L59" s="18" t="n"/>
      <c r="M59" s="12" t="n"/>
    </row>
    <row r="60" ht="22" customHeight="1">
      <c r="B60" s="16">
        <f>IF(C60="","FOR-"&amp;TEXT(COUNTA($C$5:C60),"000"))</f>
        <v/>
      </c>
      <c r="C60" s="14" t="n"/>
      <c r="D60" s="14" t="n"/>
      <c r="E60" s="14" t="n"/>
      <c r="F60" s="14" t="n"/>
      <c r="G60" s="42" t="n"/>
      <c r="H60" s="25" t="n"/>
      <c r="I60" s="19" t="n"/>
      <c r="J60" s="19" t="n"/>
      <c r="K60" s="44">
        <f>IF(OR(I60="",J60=""),"",J60/I60)</f>
        <v/>
      </c>
      <c r="L60" s="19" t="n"/>
      <c r="M60" s="14" t="n"/>
    </row>
    <row r="61" ht="22" customHeight="1">
      <c r="B61" s="17">
        <f>IF(C61="","FOR-"&amp;TEXT(COUNTA($C$5:C61),"000"))</f>
        <v/>
      </c>
      <c r="C61" s="12" t="n"/>
      <c r="D61" s="12" t="n"/>
      <c r="E61" s="12" t="n"/>
      <c r="F61" s="12" t="n"/>
      <c r="G61" s="41" t="n"/>
      <c r="H61" s="23" t="n"/>
      <c r="I61" s="18" t="n"/>
      <c r="J61" s="18" t="n"/>
      <c r="K61" s="43">
        <f>IF(OR(I61="",J61=""),"",J61/I61)</f>
        <v/>
      </c>
      <c r="L61" s="18" t="n"/>
      <c r="M61" s="12" t="n"/>
    </row>
    <row r="62" ht="22" customHeight="1">
      <c r="B62" s="16">
        <f>IF(C62="","FOR-"&amp;TEXT(COUNTA($C$5:C62),"000"))</f>
        <v/>
      </c>
      <c r="C62" s="14" t="n"/>
      <c r="D62" s="14" t="n"/>
      <c r="E62" s="14" t="n"/>
      <c r="F62" s="14" t="n"/>
      <c r="G62" s="42" t="n"/>
      <c r="H62" s="25" t="n"/>
      <c r="I62" s="19" t="n"/>
      <c r="J62" s="19" t="n"/>
      <c r="K62" s="44">
        <f>IF(OR(I62="",J62=""),"",J62/I62)</f>
        <v/>
      </c>
      <c r="L62" s="19" t="n"/>
      <c r="M62" s="14" t="n"/>
    </row>
    <row r="63" ht="22" customHeight="1">
      <c r="B63" s="17">
        <f>IF(C63="","FOR-"&amp;TEXT(COUNTA($C$5:C63),"000"))</f>
        <v/>
      </c>
      <c r="C63" s="12" t="n"/>
      <c r="D63" s="12" t="n"/>
      <c r="E63" s="12" t="n"/>
      <c r="F63" s="12" t="n"/>
      <c r="G63" s="41" t="n"/>
      <c r="H63" s="23" t="n"/>
      <c r="I63" s="18" t="n"/>
      <c r="J63" s="18" t="n"/>
      <c r="K63" s="43">
        <f>IF(OR(I63="",J63=""),"",J63/I63)</f>
        <v/>
      </c>
      <c r="L63" s="18" t="n"/>
      <c r="M63" s="12" t="n"/>
    </row>
    <row r="64" ht="22" customHeight="1">
      <c r="B64" s="16">
        <f>IF(C64="","FOR-"&amp;TEXT(COUNTA($C$5:C64),"000"))</f>
        <v/>
      </c>
      <c r="C64" s="14" t="n"/>
      <c r="D64" s="14" t="n"/>
      <c r="E64" s="14" t="n"/>
      <c r="F64" s="14" t="n"/>
      <c r="G64" s="42" t="n"/>
      <c r="H64" s="25" t="n"/>
      <c r="I64" s="19" t="n"/>
      <c r="J64" s="19" t="n"/>
      <c r="K64" s="44">
        <f>IF(OR(I64="",J64=""),"",J64/I64)</f>
        <v/>
      </c>
      <c r="L64" s="19" t="n"/>
      <c r="M64" s="14" t="n"/>
    </row>
    <row r="65" ht="22" customHeight="1">
      <c r="B65" s="17">
        <f>IF(C65="","FOR-"&amp;TEXT(COUNTA($C$5:C65),"000"))</f>
        <v/>
      </c>
      <c r="C65" s="12" t="n"/>
      <c r="D65" s="12" t="n"/>
      <c r="E65" s="12" t="n"/>
      <c r="F65" s="12" t="n"/>
      <c r="G65" s="41" t="n"/>
      <c r="H65" s="23" t="n"/>
      <c r="I65" s="18" t="n"/>
      <c r="J65" s="18" t="n"/>
      <c r="K65" s="43">
        <f>IF(OR(I65="",J65=""),"",J65/I65)</f>
        <v/>
      </c>
      <c r="L65" s="18" t="n"/>
      <c r="M65" s="12" t="n"/>
    </row>
    <row r="66" ht="22" customHeight="1">
      <c r="B66" s="16">
        <f>IF(C66="","FOR-"&amp;TEXT(COUNTA($C$5:C66),"000"))</f>
        <v/>
      </c>
      <c r="C66" s="14" t="n"/>
      <c r="D66" s="14" t="n"/>
      <c r="E66" s="14" t="n"/>
      <c r="F66" s="14" t="n"/>
      <c r="G66" s="42" t="n"/>
      <c r="H66" s="25" t="n"/>
      <c r="I66" s="19" t="n"/>
      <c r="J66" s="19" t="n"/>
      <c r="K66" s="44">
        <f>IF(OR(I66="",J66=""),"",J66/I66)</f>
        <v/>
      </c>
      <c r="L66" s="19" t="n"/>
      <c r="M66" s="14" t="n"/>
    </row>
    <row r="67" ht="22" customHeight="1">
      <c r="B67" s="17">
        <f>IF(C67="","FOR-"&amp;TEXT(COUNTA($C$5:C67),"000"))</f>
        <v/>
      </c>
      <c r="C67" s="12" t="n"/>
      <c r="D67" s="12" t="n"/>
      <c r="E67" s="12" t="n"/>
      <c r="F67" s="12" t="n"/>
      <c r="G67" s="41" t="n"/>
      <c r="H67" s="23" t="n"/>
      <c r="I67" s="18" t="n"/>
      <c r="J67" s="18" t="n"/>
      <c r="K67" s="43">
        <f>IF(OR(I67="",J67=""),"",J67/I67)</f>
        <v/>
      </c>
      <c r="L67" s="18" t="n"/>
      <c r="M67" s="12" t="n"/>
    </row>
    <row r="68" ht="22" customHeight="1">
      <c r="B68" s="16">
        <f>IF(C68="","FOR-"&amp;TEXT(COUNTA($C$5:C68),"000"))</f>
        <v/>
      </c>
      <c r="C68" s="14" t="n"/>
      <c r="D68" s="14" t="n"/>
      <c r="E68" s="14" t="n"/>
      <c r="F68" s="14" t="n"/>
      <c r="G68" s="42" t="n"/>
      <c r="H68" s="25" t="n"/>
      <c r="I68" s="19" t="n"/>
      <c r="J68" s="19" t="n"/>
      <c r="K68" s="44">
        <f>IF(OR(I68="",J68=""),"",J68/I68)</f>
        <v/>
      </c>
      <c r="L68" s="19" t="n"/>
      <c r="M68" s="14" t="n"/>
    </row>
    <row r="69" ht="22" customHeight="1">
      <c r="B69" s="17">
        <f>IF(C69="","FOR-"&amp;TEXT(COUNTA($C$5:C69),"000"))</f>
        <v/>
      </c>
      <c r="C69" s="12" t="n"/>
      <c r="D69" s="12" t="n"/>
      <c r="E69" s="12" t="n"/>
      <c r="F69" s="12" t="n"/>
      <c r="G69" s="41" t="n"/>
      <c r="H69" s="23" t="n"/>
      <c r="I69" s="18" t="n"/>
      <c r="J69" s="18" t="n"/>
      <c r="K69" s="43">
        <f>IF(OR(I69="",J69=""),"",J69/I69)</f>
        <v/>
      </c>
      <c r="L69" s="18" t="n"/>
      <c r="M69" s="12" t="n"/>
    </row>
    <row r="70" ht="22" customHeight="1">
      <c r="B70" s="16">
        <f>IF(C70="","FOR-"&amp;TEXT(COUNTA($C$5:C70),"000"))</f>
        <v/>
      </c>
      <c r="C70" s="14" t="n"/>
      <c r="D70" s="14" t="n"/>
      <c r="E70" s="14" t="n"/>
      <c r="F70" s="14" t="n"/>
      <c r="G70" s="42" t="n"/>
      <c r="H70" s="25" t="n"/>
      <c r="I70" s="19" t="n"/>
      <c r="J70" s="19" t="n"/>
      <c r="K70" s="44">
        <f>IF(OR(I70="",J70=""),"",J70/I70)</f>
        <v/>
      </c>
      <c r="L70" s="19" t="n"/>
      <c r="M70" s="14" t="n"/>
    </row>
    <row r="71" ht="22" customHeight="1">
      <c r="B71" s="17">
        <f>IF(C71="","FOR-"&amp;TEXT(COUNTA($C$5:C71),"000"))</f>
        <v/>
      </c>
      <c r="C71" s="12" t="n"/>
      <c r="D71" s="12" t="n"/>
      <c r="E71" s="12" t="n"/>
      <c r="F71" s="12" t="n"/>
      <c r="G71" s="41" t="n"/>
      <c r="H71" s="23" t="n"/>
      <c r="I71" s="18" t="n"/>
      <c r="J71" s="18" t="n"/>
      <c r="K71" s="43">
        <f>IF(OR(I71="",J71=""),"",J71/I71)</f>
        <v/>
      </c>
      <c r="L71" s="18" t="n"/>
      <c r="M71" s="12" t="n"/>
    </row>
    <row r="72" ht="22" customHeight="1">
      <c r="B72" s="16">
        <f>IF(C72="","FOR-"&amp;TEXT(COUNTA($C$5:C72),"000"))</f>
        <v/>
      </c>
      <c r="C72" s="14" t="n"/>
      <c r="D72" s="14" t="n"/>
      <c r="E72" s="14" t="n"/>
      <c r="F72" s="14" t="n"/>
      <c r="G72" s="42" t="n"/>
      <c r="H72" s="25" t="n"/>
      <c r="I72" s="19" t="n"/>
      <c r="J72" s="19" t="n"/>
      <c r="K72" s="44">
        <f>IF(OR(I72="",J72=""),"",J72/I72)</f>
        <v/>
      </c>
      <c r="L72" s="19" t="n"/>
      <c r="M72" s="14" t="n"/>
    </row>
    <row r="73" ht="22" customHeight="1">
      <c r="B73" s="17">
        <f>IF(C73="","FOR-"&amp;TEXT(COUNTA($C$5:C73),"000"))</f>
        <v/>
      </c>
      <c r="C73" s="12" t="n"/>
      <c r="D73" s="12" t="n"/>
      <c r="E73" s="12" t="n"/>
      <c r="F73" s="12" t="n"/>
      <c r="G73" s="41" t="n"/>
      <c r="H73" s="23" t="n"/>
      <c r="I73" s="18" t="n"/>
      <c r="J73" s="18" t="n"/>
      <c r="K73" s="43">
        <f>IF(OR(I73="",J73=""),"",J73/I73)</f>
        <v/>
      </c>
      <c r="L73" s="18" t="n"/>
      <c r="M73" s="12" t="n"/>
    </row>
    <row r="74" ht="22" customHeight="1">
      <c r="B74" s="16">
        <f>IF(C74="","FOR-"&amp;TEXT(COUNTA($C$5:C74),"000"))</f>
        <v/>
      </c>
      <c r="C74" s="14" t="n"/>
      <c r="D74" s="14" t="n"/>
      <c r="E74" s="14" t="n"/>
      <c r="F74" s="14" t="n"/>
      <c r="G74" s="42" t="n"/>
      <c r="H74" s="25" t="n"/>
      <c r="I74" s="19" t="n"/>
      <c r="J74" s="19" t="n"/>
      <c r="K74" s="44">
        <f>IF(OR(I74="",J74=""),"",J74/I74)</f>
        <v/>
      </c>
      <c r="L74" s="19" t="n"/>
      <c r="M74" s="14" t="n"/>
    </row>
    <row r="75" ht="22" customHeight="1">
      <c r="B75" s="17">
        <f>IF(C75="","FOR-"&amp;TEXT(COUNTA($C$5:C75),"000"))</f>
        <v/>
      </c>
      <c r="C75" s="12" t="n"/>
      <c r="D75" s="12" t="n"/>
      <c r="E75" s="12" t="n"/>
      <c r="F75" s="12" t="n"/>
      <c r="G75" s="41" t="n"/>
      <c r="H75" s="23" t="n"/>
      <c r="I75" s="18" t="n"/>
      <c r="J75" s="18" t="n"/>
      <c r="K75" s="43">
        <f>IF(OR(I75="",J75=""),"",J75/I75)</f>
        <v/>
      </c>
      <c r="L75" s="18" t="n"/>
      <c r="M75" s="12" t="n"/>
    </row>
    <row r="76" ht="22" customHeight="1">
      <c r="B76" s="16">
        <f>IF(C76="","FOR-"&amp;TEXT(COUNTA($C$5:C76),"000"))</f>
        <v/>
      </c>
      <c r="C76" s="14" t="n"/>
      <c r="D76" s="14" t="n"/>
      <c r="E76" s="14" t="n"/>
      <c r="F76" s="14" t="n"/>
      <c r="G76" s="42" t="n"/>
      <c r="H76" s="25" t="n"/>
      <c r="I76" s="19" t="n"/>
      <c r="J76" s="19" t="n"/>
      <c r="K76" s="44">
        <f>IF(OR(I76="",J76=""),"",J76/I76)</f>
        <v/>
      </c>
      <c r="L76" s="19" t="n"/>
      <c r="M76" s="14" t="n"/>
    </row>
    <row r="77" ht="22" customHeight="1">
      <c r="B77" s="17">
        <f>IF(C77="","FOR-"&amp;TEXT(COUNTA($C$5:C77),"000"))</f>
        <v/>
      </c>
      <c r="C77" s="12" t="n"/>
      <c r="D77" s="12" t="n"/>
      <c r="E77" s="12" t="n"/>
      <c r="F77" s="12" t="n"/>
      <c r="G77" s="41" t="n"/>
      <c r="H77" s="23" t="n"/>
      <c r="I77" s="18" t="n"/>
      <c r="J77" s="18" t="n"/>
      <c r="K77" s="43">
        <f>IF(OR(I77="",J77=""),"",J77/I77)</f>
        <v/>
      </c>
      <c r="L77" s="18" t="n"/>
      <c r="M77" s="12" t="n"/>
    </row>
    <row r="78" ht="22" customHeight="1">
      <c r="B78" s="16">
        <f>IF(C78="","FOR-"&amp;TEXT(COUNTA($C$5:C78),"000"))</f>
        <v/>
      </c>
      <c r="C78" s="14" t="n"/>
      <c r="D78" s="14" t="n"/>
      <c r="E78" s="14" t="n"/>
      <c r="F78" s="14" t="n"/>
      <c r="G78" s="42" t="n"/>
      <c r="H78" s="25" t="n"/>
      <c r="I78" s="19" t="n"/>
      <c r="J78" s="19" t="n"/>
      <c r="K78" s="44">
        <f>IF(OR(I78="",J78=""),"",J78/I78)</f>
        <v/>
      </c>
      <c r="L78" s="19" t="n"/>
      <c r="M78" s="14" t="n"/>
    </row>
    <row r="79" ht="22" customHeight="1">
      <c r="B79" s="17">
        <f>IF(C79="","FOR-"&amp;TEXT(COUNTA($C$5:C79),"000"))</f>
        <v/>
      </c>
      <c r="C79" s="12" t="n"/>
      <c r="D79" s="12" t="n"/>
      <c r="E79" s="12" t="n"/>
      <c r="F79" s="12" t="n"/>
      <c r="G79" s="41" t="n"/>
      <c r="H79" s="23" t="n"/>
      <c r="I79" s="18" t="n"/>
      <c r="J79" s="18" t="n"/>
      <c r="K79" s="43">
        <f>IF(OR(I79="",J79=""),"",J79/I79)</f>
        <v/>
      </c>
      <c r="L79" s="18" t="n"/>
      <c r="M79" s="12" t="n"/>
    </row>
    <row r="80" ht="22" customHeight="1">
      <c r="B80" s="16">
        <f>IF(C80="","FOR-"&amp;TEXT(COUNTA($C$5:C80),"000"))</f>
        <v/>
      </c>
      <c r="C80" s="14" t="n"/>
      <c r="D80" s="14" t="n"/>
      <c r="E80" s="14" t="n"/>
      <c r="F80" s="14" t="n"/>
      <c r="G80" s="42" t="n"/>
      <c r="H80" s="25" t="n"/>
      <c r="I80" s="19" t="n"/>
      <c r="J80" s="19" t="n"/>
      <c r="K80" s="44">
        <f>IF(OR(I80="",J80=""),"",J80/I80)</f>
        <v/>
      </c>
      <c r="L80" s="19" t="n"/>
      <c r="M80" s="14" t="n"/>
    </row>
    <row r="81" ht="22" customHeight="1">
      <c r="B81" s="17">
        <f>IF(C81="","FOR-"&amp;TEXT(COUNTA($C$5:C81),"000"))</f>
        <v/>
      </c>
      <c r="C81" s="12" t="n"/>
      <c r="D81" s="12" t="n"/>
      <c r="E81" s="12" t="n"/>
      <c r="F81" s="12" t="n"/>
      <c r="G81" s="41" t="n"/>
      <c r="H81" s="23" t="n"/>
      <c r="I81" s="18" t="n"/>
      <c r="J81" s="18" t="n"/>
      <c r="K81" s="43">
        <f>IF(OR(I81="",J81=""),"",J81/I81)</f>
        <v/>
      </c>
      <c r="L81" s="18" t="n"/>
      <c r="M81" s="12" t="n"/>
    </row>
    <row r="82" ht="22" customHeight="1">
      <c r="B82" s="16">
        <f>IF(C82="","FOR-"&amp;TEXT(COUNTA($C$5:C82),"000"))</f>
        <v/>
      </c>
      <c r="C82" s="14" t="n"/>
      <c r="D82" s="14" t="n"/>
      <c r="E82" s="14" t="n"/>
      <c r="F82" s="14" t="n"/>
      <c r="G82" s="42" t="n"/>
      <c r="H82" s="25" t="n"/>
      <c r="I82" s="19" t="n"/>
      <c r="J82" s="19" t="n"/>
      <c r="K82" s="44">
        <f>IF(OR(I82="",J82=""),"",J82/I82)</f>
        <v/>
      </c>
      <c r="L82" s="19" t="n"/>
      <c r="M82" s="14" t="n"/>
    </row>
    <row r="83" ht="22" customHeight="1">
      <c r="B83" s="17">
        <f>IF(C83="","FOR-"&amp;TEXT(COUNTA($C$5:C83),"000"))</f>
        <v/>
      </c>
      <c r="C83" s="12" t="n"/>
      <c r="D83" s="12" t="n"/>
      <c r="E83" s="12" t="n"/>
      <c r="F83" s="12" t="n"/>
      <c r="G83" s="41" t="n"/>
      <c r="H83" s="23" t="n"/>
      <c r="I83" s="18" t="n"/>
      <c r="J83" s="18" t="n"/>
      <c r="K83" s="43">
        <f>IF(OR(I83="",J83=""),"",J83/I83)</f>
        <v/>
      </c>
      <c r="L83" s="18" t="n"/>
      <c r="M83" s="12" t="n"/>
    </row>
    <row r="84" ht="22" customHeight="1">
      <c r="B84" s="16">
        <f>IF(C84="","FOR-"&amp;TEXT(COUNTA($C$5:C84),"000"))</f>
        <v/>
      </c>
      <c r="C84" s="14" t="n"/>
      <c r="D84" s="14" t="n"/>
      <c r="E84" s="14" t="n"/>
      <c r="F84" s="14" t="n"/>
      <c r="G84" s="42" t="n"/>
      <c r="H84" s="25" t="n"/>
      <c r="I84" s="19" t="n"/>
      <c r="J84" s="19" t="n"/>
      <c r="K84" s="44">
        <f>IF(OR(I84="",J84=""),"",J84/I84)</f>
        <v/>
      </c>
      <c r="L84" s="19" t="n"/>
      <c r="M84" s="14" t="n"/>
    </row>
    <row r="85" ht="22" customHeight="1">
      <c r="B85" s="17">
        <f>IF(C85="","FOR-"&amp;TEXT(COUNTA($C$5:C85),"000"))</f>
        <v/>
      </c>
      <c r="C85" s="12" t="n"/>
      <c r="D85" s="12" t="n"/>
      <c r="E85" s="12" t="n"/>
      <c r="F85" s="12" t="n"/>
      <c r="G85" s="41" t="n"/>
      <c r="H85" s="23" t="n"/>
      <c r="I85" s="18" t="n"/>
      <c r="J85" s="18" t="n"/>
      <c r="K85" s="43">
        <f>IF(OR(I85="",J85=""),"",J85/I85)</f>
        <v/>
      </c>
      <c r="L85" s="18" t="n"/>
      <c r="M85" s="12" t="n"/>
    </row>
    <row r="86" ht="22" customHeight="1">
      <c r="B86" s="16">
        <f>IF(C86="","FOR-"&amp;TEXT(COUNTA($C$5:C86),"000"))</f>
        <v/>
      </c>
      <c r="C86" s="14" t="n"/>
      <c r="D86" s="14" t="n"/>
      <c r="E86" s="14" t="n"/>
      <c r="F86" s="14" t="n"/>
      <c r="G86" s="42" t="n"/>
      <c r="H86" s="25" t="n"/>
      <c r="I86" s="19" t="n"/>
      <c r="J86" s="19" t="n"/>
      <c r="K86" s="44">
        <f>IF(OR(I86="",J86=""),"",J86/I86)</f>
        <v/>
      </c>
      <c r="L86" s="19" t="n"/>
      <c r="M86" s="14" t="n"/>
    </row>
    <row r="87" ht="22" customHeight="1">
      <c r="B87" s="17">
        <f>IF(C87="","FOR-"&amp;TEXT(COUNTA($C$5:C87),"000"))</f>
        <v/>
      </c>
      <c r="C87" s="12" t="n"/>
      <c r="D87" s="12" t="n"/>
      <c r="E87" s="12" t="n"/>
      <c r="F87" s="12" t="n"/>
      <c r="G87" s="41" t="n"/>
      <c r="H87" s="23" t="n"/>
      <c r="I87" s="18" t="n"/>
      <c r="J87" s="18" t="n"/>
      <c r="K87" s="43">
        <f>IF(OR(I87="",J87=""),"",J87/I87)</f>
        <v/>
      </c>
      <c r="L87" s="18" t="n"/>
      <c r="M87" s="12" t="n"/>
    </row>
    <row r="88" ht="22" customHeight="1">
      <c r="B88" s="16">
        <f>IF(C88="","FOR-"&amp;TEXT(COUNTA($C$5:C88),"000"))</f>
        <v/>
      </c>
      <c r="C88" s="14" t="n"/>
      <c r="D88" s="14" t="n"/>
      <c r="E88" s="14" t="n"/>
      <c r="F88" s="14" t="n"/>
      <c r="G88" s="42" t="n"/>
      <c r="H88" s="25" t="n"/>
      <c r="I88" s="19" t="n"/>
      <c r="J88" s="19" t="n"/>
      <c r="K88" s="44">
        <f>IF(OR(I88="",J88=""),"",J88/I88)</f>
        <v/>
      </c>
      <c r="L88" s="19" t="n"/>
      <c r="M88" s="14" t="n"/>
    </row>
    <row r="89" ht="22" customHeight="1">
      <c r="B89" s="17">
        <f>IF(C89="","FOR-"&amp;TEXT(COUNTA($C$5:C89),"000"))</f>
        <v/>
      </c>
      <c r="C89" s="12" t="n"/>
      <c r="D89" s="12" t="n"/>
      <c r="E89" s="12" t="n"/>
      <c r="F89" s="12" t="n"/>
      <c r="G89" s="41" t="n"/>
      <c r="H89" s="23" t="n"/>
      <c r="I89" s="18" t="n"/>
      <c r="J89" s="18" t="n"/>
      <c r="K89" s="43">
        <f>IF(OR(I89="",J89=""),"",J89/I89)</f>
        <v/>
      </c>
      <c r="L89" s="18" t="n"/>
      <c r="M89" s="12" t="n"/>
    </row>
    <row r="90" ht="22" customHeight="1">
      <c r="B90" s="16">
        <f>IF(C90="","FOR-"&amp;TEXT(COUNTA($C$5:C90),"000"))</f>
        <v/>
      </c>
      <c r="C90" s="14" t="n"/>
      <c r="D90" s="14" t="n"/>
      <c r="E90" s="14" t="n"/>
      <c r="F90" s="14" t="n"/>
      <c r="G90" s="42" t="n"/>
      <c r="H90" s="25" t="n"/>
      <c r="I90" s="19" t="n"/>
      <c r="J90" s="19" t="n"/>
      <c r="K90" s="44">
        <f>IF(OR(I90="",J90=""),"",J90/I90)</f>
        <v/>
      </c>
      <c r="L90" s="19" t="n"/>
      <c r="M90" s="14" t="n"/>
    </row>
    <row r="91" ht="22" customHeight="1">
      <c r="B91" s="17">
        <f>IF(C91="","FOR-"&amp;TEXT(COUNTA($C$5:C91),"000"))</f>
        <v/>
      </c>
      <c r="C91" s="12" t="n"/>
      <c r="D91" s="12" t="n"/>
      <c r="E91" s="12" t="n"/>
      <c r="F91" s="12" t="n"/>
      <c r="G91" s="41" t="n"/>
      <c r="H91" s="23" t="n"/>
      <c r="I91" s="18" t="n"/>
      <c r="J91" s="18" t="n"/>
      <c r="K91" s="43">
        <f>IF(OR(I91="",J91=""),"",J91/I91)</f>
        <v/>
      </c>
      <c r="L91" s="18" t="n"/>
      <c r="M91" s="12" t="n"/>
    </row>
    <row r="92" ht="22" customHeight="1">
      <c r="B92" s="16">
        <f>IF(C92="","FOR-"&amp;TEXT(COUNTA($C$5:C92),"000"))</f>
        <v/>
      </c>
      <c r="C92" s="14" t="n"/>
      <c r="D92" s="14" t="n"/>
      <c r="E92" s="14" t="n"/>
      <c r="F92" s="14" t="n"/>
      <c r="G92" s="42" t="n"/>
      <c r="H92" s="25" t="n"/>
      <c r="I92" s="19" t="n"/>
      <c r="J92" s="19" t="n"/>
      <c r="K92" s="44">
        <f>IF(OR(I92="",J92=""),"",J92/I92)</f>
        <v/>
      </c>
      <c r="L92" s="19" t="n"/>
      <c r="M92" s="14" t="n"/>
    </row>
    <row r="93" ht="22" customHeight="1">
      <c r="B93" s="17">
        <f>IF(C93="","FOR-"&amp;TEXT(COUNTA($C$5:C93),"000"))</f>
        <v/>
      </c>
      <c r="C93" s="12" t="n"/>
      <c r="D93" s="12" t="n"/>
      <c r="E93" s="12" t="n"/>
      <c r="F93" s="12" t="n"/>
      <c r="G93" s="41" t="n"/>
      <c r="H93" s="23" t="n"/>
      <c r="I93" s="18" t="n"/>
      <c r="J93" s="18" t="n"/>
      <c r="K93" s="43">
        <f>IF(OR(I93="",J93=""),"",J93/I93)</f>
        <v/>
      </c>
      <c r="L93" s="18" t="n"/>
      <c r="M93" s="12" t="n"/>
    </row>
    <row r="94" ht="22" customHeight="1">
      <c r="B94" s="16">
        <f>IF(C94="","FOR-"&amp;TEXT(COUNTA($C$5:C94),"000"))</f>
        <v/>
      </c>
      <c r="C94" s="14" t="n"/>
      <c r="D94" s="14" t="n"/>
      <c r="E94" s="14" t="n"/>
      <c r="F94" s="14" t="n"/>
      <c r="G94" s="42" t="n"/>
      <c r="H94" s="25" t="n"/>
      <c r="I94" s="19" t="n"/>
      <c r="J94" s="19" t="n"/>
      <c r="K94" s="44">
        <f>IF(OR(I94="",J94=""),"",J94/I94)</f>
        <v/>
      </c>
      <c r="L94" s="19" t="n"/>
      <c r="M94" s="14" t="n"/>
    </row>
    <row r="95" ht="22" customHeight="1">
      <c r="B95" s="17">
        <f>IF(C95="","FOR-"&amp;TEXT(COUNTA($C$5:C95),"000"))</f>
        <v/>
      </c>
      <c r="C95" s="12" t="n"/>
      <c r="D95" s="12" t="n"/>
      <c r="E95" s="12" t="n"/>
      <c r="F95" s="12" t="n"/>
      <c r="G95" s="41" t="n"/>
      <c r="H95" s="23" t="n"/>
      <c r="I95" s="18" t="n"/>
      <c r="J95" s="18" t="n"/>
      <c r="K95" s="43">
        <f>IF(OR(I95="",J95=""),"",J95/I95)</f>
        <v/>
      </c>
      <c r="L95" s="18" t="n"/>
      <c r="M95" s="12" t="n"/>
    </row>
    <row r="96" ht="22" customHeight="1">
      <c r="B96" s="16">
        <f>IF(C96="","FOR-"&amp;TEXT(COUNTA($C$5:C96),"000"))</f>
        <v/>
      </c>
      <c r="C96" s="14" t="n"/>
      <c r="D96" s="14" t="n"/>
      <c r="E96" s="14" t="n"/>
      <c r="F96" s="14" t="n"/>
      <c r="G96" s="42" t="n"/>
      <c r="H96" s="25" t="n"/>
      <c r="I96" s="19" t="n"/>
      <c r="J96" s="19" t="n"/>
      <c r="K96" s="44">
        <f>IF(OR(I96="",J96=""),"",J96/I96)</f>
        <v/>
      </c>
      <c r="L96" s="19" t="n"/>
      <c r="M96" s="14" t="n"/>
    </row>
    <row r="97" ht="22" customHeight="1">
      <c r="B97" s="17">
        <f>IF(C97="","FOR-"&amp;TEXT(COUNTA($C$5:C97),"000"))</f>
        <v/>
      </c>
      <c r="C97" s="12" t="n"/>
      <c r="D97" s="12" t="n"/>
      <c r="E97" s="12" t="n"/>
      <c r="F97" s="12" t="n"/>
      <c r="G97" s="41" t="n"/>
      <c r="H97" s="23" t="n"/>
      <c r="I97" s="18" t="n"/>
      <c r="J97" s="18" t="n"/>
      <c r="K97" s="43">
        <f>IF(OR(I97="",J97=""),"",J97/I97)</f>
        <v/>
      </c>
      <c r="L97" s="18" t="n"/>
      <c r="M97" s="12" t="n"/>
    </row>
    <row r="98" ht="22" customHeight="1">
      <c r="B98" s="16">
        <f>IF(C98="","FOR-"&amp;TEXT(COUNTA($C$5:C98),"000"))</f>
        <v/>
      </c>
      <c r="C98" s="14" t="n"/>
      <c r="D98" s="14" t="n"/>
      <c r="E98" s="14" t="n"/>
      <c r="F98" s="14" t="n"/>
      <c r="G98" s="42" t="n"/>
      <c r="H98" s="25" t="n"/>
      <c r="I98" s="19" t="n"/>
      <c r="J98" s="19" t="n"/>
      <c r="K98" s="44">
        <f>IF(OR(I98="",J98=""),"",J98/I98)</f>
        <v/>
      </c>
      <c r="L98" s="19" t="n"/>
      <c r="M98" s="14" t="n"/>
    </row>
    <row r="99" ht="22" customHeight="1">
      <c r="B99" s="17">
        <f>IF(C99="","FOR-"&amp;TEXT(COUNTA($C$5:C99),"000"))</f>
        <v/>
      </c>
      <c r="C99" s="12" t="n"/>
      <c r="D99" s="12" t="n"/>
      <c r="E99" s="12" t="n"/>
      <c r="F99" s="12" t="n"/>
      <c r="G99" s="41" t="n"/>
      <c r="H99" s="23" t="n"/>
      <c r="I99" s="18" t="n"/>
      <c r="J99" s="18" t="n"/>
      <c r="K99" s="43">
        <f>IF(OR(I99="",J99=""),"",J99/I99)</f>
        <v/>
      </c>
      <c r="L99" s="18" t="n"/>
      <c r="M99" s="12" t="n"/>
    </row>
    <row r="100" ht="22" customHeight="1">
      <c r="B100" s="16">
        <f>IF(C100="","FOR-"&amp;TEXT(COUNTA($C$5:C100),"000"))</f>
        <v/>
      </c>
      <c r="C100" s="14" t="n"/>
      <c r="D100" s="14" t="n"/>
      <c r="E100" s="14" t="n"/>
      <c r="F100" s="14" t="n"/>
      <c r="G100" s="42" t="n"/>
      <c r="H100" s="25" t="n"/>
      <c r="I100" s="19" t="n"/>
      <c r="J100" s="19" t="n"/>
      <c r="K100" s="44">
        <f>IF(OR(I100="",J100=""),"",J100/I100)</f>
        <v/>
      </c>
      <c r="L100" s="19" t="n"/>
      <c r="M100" s="14" t="n"/>
    </row>
    <row r="101" ht="22" customHeight="1">
      <c r="B101" s="17">
        <f>IF(C101="","FOR-"&amp;TEXT(COUNTA($C$5:C101),"000"))</f>
        <v/>
      </c>
      <c r="C101" s="12" t="n"/>
      <c r="D101" s="12" t="n"/>
      <c r="E101" s="12" t="n"/>
      <c r="F101" s="12" t="n"/>
      <c r="G101" s="41" t="n"/>
      <c r="H101" s="23" t="n"/>
      <c r="I101" s="18" t="n"/>
      <c r="J101" s="18" t="n"/>
      <c r="K101" s="43">
        <f>IF(OR(I101="",J101=""),"",J101/I101)</f>
        <v/>
      </c>
      <c r="L101" s="18" t="n"/>
      <c r="M101" s="12" t="n"/>
    </row>
    <row r="102" ht="22" customHeight="1">
      <c r="B102" s="16">
        <f>IF(C102="","FOR-"&amp;TEXT(COUNTA($C$5:C102),"000"))</f>
        <v/>
      </c>
      <c r="C102" s="14" t="n"/>
      <c r="D102" s="14" t="n"/>
      <c r="E102" s="14" t="n"/>
      <c r="F102" s="14" t="n"/>
      <c r="G102" s="42" t="n"/>
      <c r="H102" s="25" t="n"/>
      <c r="I102" s="19" t="n"/>
      <c r="J102" s="19" t="n"/>
      <c r="K102" s="44">
        <f>IF(OR(I102="",J102=""),"",J102/I102)</f>
        <v/>
      </c>
      <c r="L102" s="19" t="n"/>
      <c r="M102" s="14" t="n"/>
    </row>
    <row r="103" ht="22" customHeight="1">
      <c r="B103" s="17">
        <f>IF(C103="","FOR-"&amp;TEXT(COUNTA($C$5:C103),"000"))</f>
        <v/>
      </c>
      <c r="C103" s="12" t="n"/>
      <c r="D103" s="12" t="n"/>
      <c r="E103" s="12" t="n"/>
      <c r="F103" s="12" t="n"/>
      <c r="G103" s="41" t="n"/>
      <c r="H103" s="23" t="n"/>
      <c r="I103" s="18" t="n"/>
      <c r="J103" s="18" t="n"/>
      <c r="K103" s="43">
        <f>IF(OR(I103="",J103=""),"",J103/I103)</f>
        <v/>
      </c>
      <c r="L103" s="18" t="n"/>
      <c r="M103" s="12" t="n"/>
    </row>
    <row r="104" ht="22" customHeight="1">
      <c r="B104" s="16">
        <f>IF(C104="","FOR-"&amp;TEXT(COUNTA($C$5:C104),"000"))</f>
        <v/>
      </c>
      <c r="C104" s="14" t="n"/>
      <c r="D104" s="14" t="n"/>
      <c r="E104" s="14" t="n"/>
      <c r="F104" s="14" t="n"/>
      <c r="G104" s="42" t="n"/>
      <c r="H104" s="25" t="n"/>
      <c r="I104" s="19" t="n"/>
      <c r="J104" s="19" t="n"/>
      <c r="K104" s="44">
        <f>IF(OR(I104="",J104=""),"",J104/I104)</f>
        <v/>
      </c>
      <c r="L104" s="19" t="n"/>
      <c r="M104" s="14" t="n"/>
    </row>
    <row r="105" ht="22" customHeight="1">
      <c r="B105" s="17">
        <f>IF(C105="","FOR-"&amp;TEXT(COUNTA($C$5:C105),"000"))</f>
        <v/>
      </c>
      <c r="C105" s="12" t="n"/>
      <c r="D105" s="12" t="n"/>
      <c r="E105" s="12" t="n"/>
      <c r="F105" s="12" t="n"/>
      <c r="G105" s="41" t="n"/>
      <c r="H105" s="23" t="n"/>
      <c r="I105" s="18" t="n"/>
      <c r="J105" s="18" t="n"/>
      <c r="K105" s="43">
        <f>IF(OR(I105="",J105=""),"",J105/I105)</f>
        <v/>
      </c>
      <c r="L105" s="18" t="n"/>
      <c r="M105" s="12" t="n"/>
    </row>
    <row r="106" ht="22" customHeight="1">
      <c r="B106" s="16">
        <f>IF(C106="","FOR-"&amp;TEXT(COUNTA($C$5:C106),"000"))</f>
        <v/>
      </c>
      <c r="C106" s="14" t="n"/>
      <c r="D106" s="14" t="n"/>
      <c r="E106" s="14" t="n"/>
      <c r="F106" s="14" t="n"/>
      <c r="G106" s="42" t="n"/>
      <c r="H106" s="25" t="n"/>
      <c r="I106" s="19" t="n"/>
      <c r="J106" s="19" t="n"/>
      <c r="K106" s="44">
        <f>IF(OR(I106="",J106=""),"",J106/I106)</f>
        <v/>
      </c>
      <c r="L106" s="19" t="n"/>
      <c r="M106" s="14" t="n"/>
    </row>
    <row r="107" ht="22" customHeight="1">
      <c r="B107" s="17">
        <f>IF(C107="","FOR-"&amp;TEXT(COUNTA($C$5:C107),"000"))</f>
        <v/>
      </c>
      <c r="C107" s="12" t="n"/>
      <c r="D107" s="12" t="n"/>
      <c r="E107" s="12" t="n"/>
      <c r="F107" s="12" t="n"/>
      <c r="G107" s="41" t="n"/>
      <c r="H107" s="23" t="n"/>
      <c r="I107" s="18" t="n"/>
      <c r="J107" s="18" t="n"/>
      <c r="K107" s="43">
        <f>IF(OR(I107="",J107=""),"",J107/I107)</f>
        <v/>
      </c>
      <c r="L107" s="18" t="n"/>
      <c r="M107" s="12" t="n"/>
    </row>
    <row r="108" ht="22" customHeight="1">
      <c r="B108" s="16">
        <f>IF(C108="","FOR-"&amp;TEXT(COUNTA($C$5:C108),"000"))</f>
        <v/>
      </c>
      <c r="C108" s="14" t="n"/>
      <c r="D108" s="14" t="n"/>
      <c r="E108" s="14" t="n"/>
      <c r="F108" s="14" t="n"/>
      <c r="G108" s="42" t="n"/>
      <c r="H108" s="25" t="n"/>
      <c r="I108" s="19" t="n"/>
      <c r="J108" s="19" t="n"/>
      <c r="K108" s="44">
        <f>IF(OR(I108="",J108=""),"",J108/I108)</f>
        <v/>
      </c>
      <c r="L108" s="19" t="n"/>
      <c r="M108" s="14" t="n"/>
    </row>
    <row r="110">
      <c r="B110" s="6" t="inlineStr">
        <is>
          <t>INDICATEURS (mis a jour automatiquement)</t>
        </is>
      </c>
    </row>
    <row r="111">
      <c r="B111" s="3" t="inlineStr">
        <is>
          <t>Formations RSE</t>
        </is>
      </c>
      <c r="D111" s="3" t="inlineStr">
        <is>
          <t>Participants totaux</t>
        </is>
      </c>
      <c r="F111" s="3" t="inlineStr">
        <is>
          <t>Cout total (FCFA)</t>
        </is>
      </c>
    </row>
    <row r="112">
      <c r="B112" s="4">
        <f>COUNTIF(B5:B104,"&lt;&gt;")</f>
        <v/>
      </c>
      <c r="D112" s="4">
        <f>SUM(I5:I104)</f>
        <v/>
      </c>
      <c r="F112" s="4">
        <f>SUM(L5:L104)</f>
        <v/>
      </c>
    </row>
  </sheetData>
  <mergeCells count="3">
    <mergeCell ref="B3:M3"/>
    <mergeCell ref="B2:M2"/>
    <mergeCell ref="B110:M110"/>
  </mergeCells>
  <conditionalFormatting sqref="M5:M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9:B108">
    <cfRule type="expression" priority="238" dxfId="3">
      <formula>AND($C9="",$C8&lt;&gt;"")</formula>
    </cfRule>
  </conditionalFormatting>
  <conditionalFormatting sqref="C9:C108">
    <cfRule type="expression" priority="239" dxfId="3">
      <formula>AND($C9="",$C8&lt;&gt;"")</formula>
    </cfRule>
  </conditionalFormatting>
  <conditionalFormatting sqref="D9:D108">
    <cfRule type="expression" priority="240" dxfId="3">
      <formula>AND($C9="",$C8&lt;&gt;"")</formula>
    </cfRule>
  </conditionalFormatting>
  <conditionalFormatting sqref="E9:E108">
    <cfRule type="expression" priority="241" dxfId="3">
      <formula>AND($C9="",$C8&lt;&gt;"")</formula>
    </cfRule>
  </conditionalFormatting>
  <conditionalFormatting sqref="F9:F108">
    <cfRule type="expression" priority="242" dxfId="3">
      <formula>AND($C9="",$C8&lt;&gt;"")</formula>
    </cfRule>
  </conditionalFormatting>
  <conditionalFormatting sqref="G9:G108">
    <cfRule type="expression" priority="243" dxfId="3">
      <formula>AND($C9="",$C8&lt;&gt;"")</formula>
    </cfRule>
  </conditionalFormatting>
  <conditionalFormatting sqref="H9:H108">
    <cfRule type="expression" priority="244" dxfId="3">
      <formula>AND($C9="",$C8&lt;&gt;"")</formula>
    </cfRule>
  </conditionalFormatting>
  <conditionalFormatting sqref="I9:I108">
    <cfRule type="expression" priority="245" dxfId="3">
      <formula>AND($C9="",$C8&lt;&gt;"")</formula>
    </cfRule>
  </conditionalFormatting>
  <conditionalFormatting sqref="J9:J108">
    <cfRule type="expression" priority="246" dxfId="3">
      <formula>AND($C9="",$C8&lt;&gt;"")</formula>
    </cfRule>
  </conditionalFormatting>
  <conditionalFormatting sqref="K9:K108">
    <cfRule type="expression" priority="247" dxfId="3">
      <formula>AND($C9="",$C8&lt;&gt;"")</formula>
    </cfRule>
  </conditionalFormatting>
  <conditionalFormatting sqref="L9:L108">
    <cfRule type="expression" priority="248" dxfId="3">
      <formula>AND($C9="",$C8&lt;&gt;"")</formula>
    </cfRule>
  </conditionalFormatting>
  <conditionalFormatting sqref="M9:M108">
    <cfRule type="expression" priority="249" dxfId="3">
      <formula>AND($C9="",$C8&lt;&gt;"")</formula>
    </cfRule>
  </conditionalFormatting>
  <dataValidations count="2">
    <dataValidation sqref="D5:D108" showDropDown="0" showInputMessage="0" showErrorMessage="0" allowBlank="1" errorTitle="Erreur" error="Valeur invalide" promptTitle="Liste" prompt="Choisir dans la liste" type="list">
      <formula1>'_Lists'!$K$2:$K$12</formula1>
    </dataValidation>
    <dataValidation sqref="M5:M108" showDropDown="0" showInputMessage="0" showErrorMessage="0" allowBlank="1" errorTitle="Erreur" error="Valeur invalide" promptTitle="Liste" prompt="Choisir dans la liste" type="list">
      <formula1>'_Lists'!$L$2:$L$6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30" customWidth="1" min="5" max="5"/>
    <col width="16" customWidth="1" min="6" max="6"/>
    <col width="20" customWidth="1" min="7" max="7"/>
    <col width="20" customWidth="1" min="8" max="8"/>
    <col width="16" customWidth="1" min="9" max="9"/>
    <col width="20" customWidth="1" min="10" max="10"/>
    <col width="22" customWidth="1" min="11" max="11"/>
    <col width="16" customWidth="1" min="12" max="12"/>
  </cols>
  <sheetData>
    <row r="1" ht="15" customHeight="1"/>
    <row r="2" ht="32" customHeight="1">
      <c r="B2" s="1" t="inlineStr">
        <is>
          <t>BILAN CARBONE RH (#154)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Source Emission</t>
        </is>
      </c>
      <c r="D4" s="11" t="inlineStr">
        <is>
          <t>Categorie</t>
        </is>
      </c>
      <c r="E4" s="11" t="inlineStr">
        <is>
          <t>Poste Comptable</t>
        </is>
      </c>
      <c r="F4" s="11" t="inlineStr">
        <is>
          <t>Unite Mesure</t>
        </is>
      </c>
      <c r="G4" s="11" t="inlineStr">
        <is>
          <t>Consommation 2024</t>
        </is>
      </c>
      <c r="H4" s="11" t="inlineStr">
        <is>
          <t>Consommation 2025</t>
        </is>
      </c>
      <c r="I4" s="11" t="inlineStr">
        <is>
          <t>Evolution (%)</t>
        </is>
      </c>
      <c r="J4" s="11" t="inlineStr">
        <is>
          <t>Facteur Emission</t>
        </is>
      </c>
      <c r="K4" s="11" t="inlineStr">
        <is>
          <t>Emissions CO2 (tonnes)</t>
        </is>
      </c>
      <c r="L4" s="11" t="inlineStr">
        <is>
          <t>Statut</t>
        </is>
      </c>
    </row>
    <row r="5" ht="22" customHeight="1">
      <c r="B5" s="12" t="inlineStr">
        <is>
          <t>CAR-001</t>
        </is>
      </c>
      <c r="C5" s="12" t="inlineStr">
        <is>
          <t>Electricite hotel</t>
        </is>
      </c>
      <c r="D5" s="12" t="inlineStr">
        <is>
          <t>Energie</t>
        </is>
      </c>
      <c r="E5" s="12" t="inlineStr">
        <is>
          <t>Chauffage, eclairage, CVC</t>
        </is>
      </c>
      <c r="F5" s="12" t="inlineStr">
        <is>
          <t>kWh</t>
        </is>
      </c>
      <c r="G5" s="18" t="n">
        <v>480000</v>
      </c>
      <c r="H5" s="18" t="n">
        <v>456000</v>
      </c>
      <c r="I5" s="43" t="n"/>
      <c r="J5" s="45" t="n">
        <v>0.075</v>
      </c>
      <c r="K5" s="46" t="n"/>
      <c r="L5" s="12" t="inlineStr">
        <is>
          <t>En cours</t>
        </is>
      </c>
    </row>
    <row r="6" ht="22" customHeight="1">
      <c r="B6" s="14" t="inlineStr">
        <is>
          <t>CAR-002</t>
        </is>
      </c>
      <c r="C6" s="14" t="inlineStr">
        <is>
          <t>Dechets menagers</t>
        </is>
      </c>
      <c r="D6" s="14" t="inlineStr">
        <is>
          <t>Dechets</t>
        </is>
      </c>
      <c r="E6" s="14" t="inlineStr">
        <is>
          <t>Dechets non recycles</t>
        </is>
      </c>
      <c r="F6" s="14" t="inlineStr">
        <is>
          <t>kg</t>
        </is>
      </c>
      <c r="G6" s="19" t="n">
        <v>24000</v>
      </c>
      <c r="H6" s="19" t="n">
        <v>21000</v>
      </c>
      <c r="I6" s="44" t="n"/>
      <c r="J6" s="47" t="n">
        <v>0.5</v>
      </c>
      <c r="K6" s="48" t="n"/>
      <c r="L6" s="14" t="inlineStr">
        <is>
          <t>En cours</t>
        </is>
      </c>
    </row>
    <row r="7" ht="22" customHeight="1">
      <c r="B7" s="12" t="inlineStr">
        <is>
          <t>CAR-003</t>
        </is>
      </c>
      <c r="C7" s="12" t="inlineStr">
        <is>
          <t>Deplacements employes</t>
        </is>
      </c>
      <c r="D7" s="12" t="inlineStr">
        <is>
          <t>Transport</t>
        </is>
      </c>
      <c r="E7" s="12" t="inlineStr">
        <is>
          <t>Trajets domicile-travail</t>
        </is>
      </c>
      <c r="F7" s="12" t="inlineStr">
        <is>
          <t>km</t>
        </is>
      </c>
      <c r="G7" s="18" t="n">
        <v>360000</v>
      </c>
      <c r="H7" s="18" t="n">
        <v>340000</v>
      </c>
      <c r="I7" s="43" t="n"/>
      <c r="J7" s="45" t="n">
        <v>0.21</v>
      </c>
      <c r="K7" s="46" t="n"/>
      <c r="L7" s="12" t="inlineStr">
        <is>
          <t>En cours</t>
        </is>
      </c>
    </row>
    <row r="8" ht="22" customHeight="1">
      <c r="B8" s="14" t="inlineStr">
        <is>
          <t>CAR-004</t>
        </is>
      </c>
      <c r="C8" s="14" t="inlineStr">
        <is>
          <t>Consommation eau</t>
        </is>
      </c>
      <c r="D8" s="14" t="inlineStr">
        <is>
          <t>Eau</t>
        </is>
      </c>
      <c r="E8" s="14" t="inlineStr">
        <is>
          <t>Eau potable et processus</t>
        </is>
      </c>
      <c r="F8" s="14" t="inlineStr">
        <is>
          <t>m3</t>
        </is>
      </c>
      <c r="G8" s="19" t="n">
        <v>12000</v>
      </c>
      <c r="H8" s="19" t="n">
        <v>10800</v>
      </c>
      <c r="I8" s="44" t="n"/>
      <c r="J8" s="47" t="n">
        <v>0.0003</v>
      </c>
      <c r="K8" s="48" t="n"/>
      <c r="L8" s="14" t="inlineStr">
        <is>
          <t>En cours</t>
        </is>
      </c>
    </row>
    <row r="9" ht="22" customHeight="1">
      <c r="B9" s="12" t="inlineStr">
        <is>
          <t>CAR-005</t>
        </is>
      </c>
      <c r="C9" s="12" t="inlineStr">
        <is>
          <t>Carburant vehicules</t>
        </is>
      </c>
      <c r="D9" s="12" t="inlineStr">
        <is>
          <t>Transport</t>
        </is>
      </c>
      <c r="E9" s="12" t="inlineStr">
        <is>
          <t>Vehicules service hotel</t>
        </is>
      </c>
      <c r="F9" s="12" t="inlineStr">
        <is>
          <t>litres</t>
        </is>
      </c>
      <c r="G9" s="18" t="n">
        <v>15000</v>
      </c>
      <c r="H9" s="18" t="n">
        <v>14200</v>
      </c>
      <c r="I9" s="43" t="n"/>
      <c r="J9" s="45" t="n">
        <v>2.3</v>
      </c>
      <c r="K9" s="46" t="n"/>
      <c r="L9" s="12" t="inlineStr">
        <is>
          <t>En cours</t>
        </is>
      </c>
    </row>
    <row r="10" ht="22" customHeight="1">
      <c r="B10" s="16">
        <f>IF(C10="","CAR-"&amp;TEXT(COUNTA($C$5:C10),"000"))</f>
        <v/>
      </c>
      <c r="C10" s="14" t="n"/>
      <c r="D10" s="14" t="n"/>
      <c r="E10" s="14" t="n"/>
      <c r="F10" s="14" t="n"/>
      <c r="G10" s="19" t="n"/>
      <c r="H10" s="19" t="n"/>
      <c r="I10" s="44">
        <f>IF(G10="","",(H10-G10)/G10)</f>
        <v/>
      </c>
      <c r="J10" s="47" t="n"/>
      <c r="K10" s="48">
        <f>IF(OR(H10="",J10=""),"",H10*J10/1000)</f>
        <v/>
      </c>
      <c r="L10" s="14" t="n"/>
    </row>
    <row r="11" ht="22" customHeight="1">
      <c r="B11" s="17">
        <f>IF(C11="","CAR-"&amp;TEXT(COUNTA($C$5:C11),"000"))</f>
        <v/>
      </c>
      <c r="C11" s="12" t="n"/>
      <c r="D11" s="12" t="n"/>
      <c r="E11" s="12" t="n"/>
      <c r="F11" s="12" t="n"/>
      <c r="G11" s="18" t="n"/>
      <c r="H11" s="18" t="n"/>
      <c r="I11" s="43">
        <f>IF(G11="","",(H11-G11)/G11)</f>
        <v/>
      </c>
      <c r="J11" s="45" t="n"/>
      <c r="K11" s="46">
        <f>IF(OR(H11="",J11=""),"",H11*J11/1000)</f>
        <v/>
      </c>
      <c r="L11" s="12" t="n"/>
    </row>
    <row r="12" ht="22" customHeight="1">
      <c r="B12" s="16">
        <f>IF(C12="","CAR-"&amp;TEXT(COUNTA($C$5:C12),"000"))</f>
        <v/>
      </c>
      <c r="C12" s="14" t="n"/>
      <c r="D12" s="14" t="n"/>
      <c r="E12" s="14" t="n"/>
      <c r="F12" s="14" t="n"/>
      <c r="G12" s="19" t="n"/>
      <c r="H12" s="19" t="n"/>
      <c r="I12" s="44">
        <f>IF(G12="","",(H12-G12)/G12)</f>
        <v/>
      </c>
      <c r="J12" s="47" t="n"/>
      <c r="K12" s="48">
        <f>IF(OR(H12="",J12=""),"",H12*J12/1000)</f>
        <v/>
      </c>
      <c r="L12" s="14" t="n"/>
    </row>
    <row r="13" ht="22" customHeight="1">
      <c r="B13" s="17">
        <f>IF(C13="","CAR-"&amp;TEXT(COUNTA($C$5:C13),"000"))</f>
        <v/>
      </c>
      <c r="C13" s="12" t="n"/>
      <c r="D13" s="12" t="n"/>
      <c r="E13" s="12" t="n"/>
      <c r="F13" s="12" t="n"/>
      <c r="G13" s="18" t="n"/>
      <c r="H13" s="18" t="n"/>
      <c r="I13" s="43">
        <f>IF(G13="","",(H13-G13)/G13)</f>
        <v/>
      </c>
      <c r="J13" s="45" t="n"/>
      <c r="K13" s="46">
        <f>IF(OR(H13="",J13=""),"",H13*J13/1000)</f>
        <v/>
      </c>
      <c r="L13" s="12" t="n"/>
    </row>
    <row r="14" ht="22" customHeight="1">
      <c r="B14" s="16">
        <f>IF(C14="","CAR-"&amp;TEXT(COUNTA($C$5:C14),"000"))</f>
        <v/>
      </c>
      <c r="C14" s="14" t="n"/>
      <c r="D14" s="14" t="n"/>
      <c r="E14" s="14" t="n"/>
      <c r="F14" s="14" t="n"/>
      <c r="G14" s="19" t="n"/>
      <c r="H14" s="19" t="n"/>
      <c r="I14" s="44">
        <f>IF(G14="","",(H14-G14)/G14)</f>
        <v/>
      </c>
      <c r="J14" s="47" t="n"/>
      <c r="K14" s="48">
        <f>IF(OR(H14="",J14=""),"",H14*J14/1000)</f>
        <v/>
      </c>
      <c r="L14" s="14" t="n"/>
    </row>
    <row r="15" ht="22" customHeight="1">
      <c r="B15" s="17">
        <f>IF(C15="","CAR-"&amp;TEXT(COUNTA($C$5:C15),"000"))</f>
        <v/>
      </c>
      <c r="C15" s="12" t="n"/>
      <c r="D15" s="12" t="n"/>
      <c r="E15" s="12" t="n"/>
      <c r="F15" s="12" t="n"/>
      <c r="G15" s="18" t="n"/>
      <c r="H15" s="18" t="n"/>
      <c r="I15" s="43">
        <f>IF(G15="","",(H15-G15)/G15)</f>
        <v/>
      </c>
      <c r="J15" s="45" t="n"/>
      <c r="K15" s="46">
        <f>IF(OR(H15="",J15=""),"",H15*J15/1000)</f>
        <v/>
      </c>
      <c r="L15" s="12" t="n"/>
    </row>
    <row r="16" ht="22" customHeight="1">
      <c r="B16" s="16">
        <f>IF(C16="","CAR-"&amp;TEXT(COUNTA($C$5:C16),"000"))</f>
        <v/>
      </c>
      <c r="C16" s="14" t="n"/>
      <c r="D16" s="14" t="n"/>
      <c r="E16" s="14" t="n"/>
      <c r="F16" s="14" t="n"/>
      <c r="G16" s="19" t="n"/>
      <c r="H16" s="19" t="n"/>
      <c r="I16" s="44">
        <f>IF(G16="","",(H16-G16)/G16)</f>
        <v/>
      </c>
      <c r="J16" s="47" t="n"/>
      <c r="K16" s="48">
        <f>IF(OR(H16="",J16=""),"",H16*J16/1000)</f>
        <v/>
      </c>
      <c r="L16" s="14" t="n"/>
    </row>
    <row r="17" ht="22" customHeight="1">
      <c r="B17" s="17">
        <f>IF(C17="","CAR-"&amp;TEXT(COUNTA($C$5:C17),"000"))</f>
        <v/>
      </c>
      <c r="C17" s="12" t="n"/>
      <c r="D17" s="12" t="n"/>
      <c r="E17" s="12" t="n"/>
      <c r="F17" s="12" t="n"/>
      <c r="G17" s="18" t="n"/>
      <c r="H17" s="18" t="n"/>
      <c r="I17" s="43">
        <f>IF(G17="","",(H17-G17)/G17)</f>
        <v/>
      </c>
      <c r="J17" s="45" t="n"/>
      <c r="K17" s="46">
        <f>IF(OR(H17="",J17=""),"",H17*J17/1000)</f>
        <v/>
      </c>
      <c r="L17" s="12" t="n"/>
    </row>
    <row r="18" ht="22" customHeight="1">
      <c r="B18" s="16">
        <f>IF(C18="","CAR-"&amp;TEXT(COUNTA($C$5:C18),"000"))</f>
        <v/>
      </c>
      <c r="C18" s="14" t="n"/>
      <c r="D18" s="14" t="n"/>
      <c r="E18" s="14" t="n"/>
      <c r="F18" s="14" t="n"/>
      <c r="G18" s="19" t="n"/>
      <c r="H18" s="19" t="n"/>
      <c r="I18" s="44">
        <f>IF(G18="","",(H18-G18)/G18)</f>
        <v/>
      </c>
      <c r="J18" s="47" t="n"/>
      <c r="K18" s="48">
        <f>IF(OR(H18="",J18=""),"",H18*J18/1000)</f>
        <v/>
      </c>
      <c r="L18" s="14" t="n"/>
    </row>
    <row r="19" ht="22" customHeight="1">
      <c r="B19" s="17">
        <f>IF(C19="","CAR-"&amp;TEXT(COUNTA($C$5:C19),"000"))</f>
        <v/>
      </c>
      <c r="C19" s="12" t="n"/>
      <c r="D19" s="12" t="n"/>
      <c r="E19" s="12" t="n"/>
      <c r="F19" s="12" t="n"/>
      <c r="G19" s="18" t="n"/>
      <c r="H19" s="18" t="n"/>
      <c r="I19" s="43">
        <f>IF(G19="","",(H19-G19)/G19)</f>
        <v/>
      </c>
      <c r="J19" s="45" t="n"/>
      <c r="K19" s="46">
        <f>IF(OR(H19="",J19=""),"",H19*J19/1000)</f>
        <v/>
      </c>
      <c r="L19" s="12" t="n"/>
    </row>
    <row r="20" ht="22" customHeight="1">
      <c r="B20" s="16">
        <f>IF(C20="","CAR-"&amp;TEXT(COUNTA($C$5:C20),"000"))</f>
        <v/>
      </c>
      <c r="C20" s="14" t="n"/>
      <c r="D20" s="14" t="n"/>
      <c r="E20" s="14" t="n"/>
      <c r="F20" s="14" t="n"/>
      <c r="G20" s="19" t="n"/>
      <c r="H20" s="19" t="n"/>
      <c r="I20" s="44">
        <f>IF(G20="","",(H20-G20)/G20)</f>
        <v/>
      </c>
      <c r="J20" s="47" t="n"/>
      <c r="K20" s="48">
        <f>IF(OR(H20="",J20=""),"",H20*J20/1000)</f>
        <v/>
      </c>
      <c r="L20" s="14" t="n"/>
    </row>
    <row r="21" ht="22" customHeight="1">
      <c r="B21" s="17">
        <f>IF(C21="","CAR-"&amp;TEXT(COUNTA($C$5:C21),"000"))</f>
        <v/>
      </c>
      <c r="C21" s="12" t="n"/>
      <c r="D21" s="12" t="n"/>
      <c r="E21" s="12" t="n"/>
      <c r="F21" s="12" t="n"/>
      <c r="G21" s="18" t="n"/>
      <c r="H21" s="18" t="n"/>
      <c r="I21" s="43">
        <f>IF(G21="","",(H21-G21)/G21)</f>
        <v/>
      </c>
      <c r="J21" s="45" t="n"/>
      <c r="K21" s="46">
        <f>IF(OR(H21="",J21=""),"",H21*J21/1000)</f>
        <v/>
      </c>
      <c r="L21" s="12" t="n"/>
    </row>
    <row r="22" ht="22" customHeight="1">
      <c r="B22" s="16">
        <f>IF(C22="","CAR-"&amp;TEXT(COUNTA($C$5:C22),"000"))</f>
        <v/>
      </c>
      <c r="C22" s="14" t="n"/>
      <c r="D22" s="14" t="n"/>
      <c r="E22" s="14" t="n"/>
      <c r="F22" s="14" t="n"/>
      <c r="G22" s="19" t="n"/>
      <c r="H22" s="19" t="n"/>
      <c r="I22" s="44">
        <f>IF(G22="","",(H22-G22)/G22)</f>
        <v/>
      </c>
      <c r="J22" s="47" t="n"/>
      <c r="K22" s="48">
        <f>IF(OR(H22="",J22=""),"",H22*J22/1000)</f>
        <v/>
      </c>
      <c r="L22" s="14" t="n"/>
    </row>
    <row r="23" ht="22" customHeight="1">
      <c r="B23" s="17">
        <f>IF(C23="","CAR-"&amp;TEXT(COUNTA($C$5:C23),"000"))</f>
        <v/>
      </c>
      <c r="C23" s="12" t="n"/>
      <c r="D23" s="12" t="n"/>
      <c r="E23" s="12" t="n"/>
      <c r="F23" s="12" t="n"/>
      <c r="G23" s="18" t="n"/>
      <c r="H23" s="18" t="n"/>
      <c r="I23" s="43">
        <f>IF(G23="","",(H23-G23)/G23)</f>
        <v/>
      </c>
      <c r="J23" s="45" t="n"/>
      <c r="K23" s="46">
        <f>IF(OR(H23="",J23=""),"",H23*J23/1000)</f>
        <v/>
      </c>
      <c r="L23" s="12" t="n"/>
    </row>
    <row r="24" ht="22" customHeight="1">
      <c r="B24" s="16">
        <f>IF(C24="","CAR-"&amp;TEXT(COUNTA($C$5:C24),"000"))</f>
        <v/>
      </c>
      <c r="C24" s="14" t="n"/>
      <c r="D24" s="14" t="n"/>
      <c r="E24" s="14" t="n"/>
      <c r="F24" s="14" t="n"/>
      <c r="G24" s="19" t="n"/>
      <c r="H24" s="19" t="n"/>
      <c r="I24" s="44">
        <f>IF(G24="","",(H24-G24)/G24)</f>
        <v/>
      </c>
      <c r="J24" s="47" t="n"/>
      <c r="K24" s="48">
        <f>IF(OR(H24="",J24=""),"",H24*J24/1000)</f>
        <v/>
      </c>
      <c r="L24" s="14" t="n"/>
    </row>
    <row r="25" ht="22" customHeight="1">
      <c r="B25" s="17">
        <f>IF(C25="","CAR-"&amp;TEXT(COUNTA($C$5:C25),"000"))</f>
        <v/>
      </c>
      <c r="C25" s="12" t="n"/>
      <c r="D25" s="12" t="n"/>
      <c r="E25" s="12" t="n"/>
      <c r="F25" s="12" t="n"/>
      <c r="G25" s="18" t="n"/>
      <c r="H25" s="18" t="n"/>
      <c r="I25" s="43">
        <f>IF(G25="","",(H25-G25)/G25)</f>
        <v/>
      </c>
      <c r="J25" s="45" t="n"/>
      <c r="K25" s="46">
        <f>IF(OR(H25="",J25=""),"",H25*J25/1000)</f>
        <v/>
      </c>
      <c r="L25" s="12" t="n"/>
    </row>
    <row r="26" ht="22" customHeight="1">
      <c r="B26" s="16">
        <f>IF(C26="","CAR-"&amp;TEXT(COUNTA($C$5:C26),"000"))</f>
        <v/>
      </c>
      <c r="C26" s="14" t="n"/>
      <c r="D26" s="14" t="n"/>
      <c r="E26" s="14" t="n"/>
      <c r="F26" s="14" t="n"/>
      <c r="G26" s="19" t="n"/>
      <c r="H26" s="19" t="n"/>
      <c r="I26" s="44">
        <f>IF(G26="","",(H26-G26)/G26)</f>
        <v/>
      </c>
      <c r="J26" s="47" t="n"/>
      <c r="K26" s="48">
        <f>IF(OR(H26="",J26=""),"",H26*J26/1000)</f>
        <v/>
      </c>
      <c r="L26" s="14" t="n"/>
    </row>
    <row r="27" ht="22" customHeight="1">
      <c r="B27" s="17">
        <f>IF(C27="","CAR-"&amp;TEXT(COUNTA($C$5:C27),"000"))</f>
        <v/>
      </c>
      <c r="C27" s="12" t="n"/>
      <c r="D27" s="12" t="n"/>
      <c r="E27" s="12" t="n"/>
      <c r="F27" s="12" t="n"/>
      <c r="G27" s="18" t="n"/>
      <c r="H27" s="18" t="n"/>
      <c r="I27" s="43">
        <f>IF(G27="","",(H27-G27)/G27)</f>
        <v/>
      </c>
      <c r="J27" s="45" t="n"/>
      <c r="K27" s="46">
        <f>IF(OR(H27="",J27=""),"",H27*J27/1000)</f>
        <v/>
      </c>
      <c r="L27" s="12" t="n"/>
    </row>
    <row r="28" ht="22" customHeight="1">
      <c r="B28" s="16">
        <f>IF(C28="","CAR-"&amp;TEXT(COUNTA($C$5:C28),"000"))</f>
        <v/>
      </c>
      <c r="C28" s="14" t="n"/>
      <c r="D28" s="14" t="n"/>
      <c r="E28" s="14" t="n"/>
      <c r="F28" s="14" t="n"/>
      <c r="G28" s="19" t="n"/>
      <c r="H28" s="19" t="n"/>
      <c r="I28" s="44">
        <f>IF(G28="","",(H28-G28)/G28)</f>
        <v/>
      </c>
      <c r="J28" s="47" t="n"/>
      <c r="K28" s="48">
        <f>IF(OR(H28="",J28=""),"",H28*J28/1000)</f>
        <v/>
      </c>
      <c r="L28" s="14" t="n"/>
    </row>
    <row r="29" ht="22" customHeight="1">
      <c r="B29" s="17">
        <f>IF(C29="","CAR-"&amp;TEXT(COUNTA($C$5:C29),"000"))</f>
        <v/>
      </c>
      <c r="C29" s="12" t="n"/>
      <c r="D29" s="12" t="n"/>
      <c r="E29" s="12" t="n"/>
      <c r="F29" s="12" t="n"/>
      <c r="G29" s="18" t="n"/>
      <c r="H29" s="18" t="n"/>
      <c r="I29" s="43">
        <f>IF(G29="","",(H29-G29)/G29)</f>
        <v/>
      </c>
      <c r="J29" s="45" t="n"/>
      <c r="K29" s="46">
        <f>IF(OR(H29="",J29=""),"",H29*J29/1000)</f>
        <v/>
      </c>
      <c r="L29" s="12" t="n"/>
    </row>
    <row r="30" ht="22" customHeight="1">
      <c r="B30" s="16">
        <f>IF(C30="","CAR-"&amp;TEXT(COUNTA($C$5:C30),"000"))</f>
        <v/>
      </c>
      <c r="C30" s="14" t="n"/>
      <c r="D30" s="14" t="n"/>
      <c r="E30" s="14" t="n"/>
      <c r="F30" s="14" t="n"/>
      <c r="G30" s="19" t="n"/>
      <c r="H30" s="19" t="n"/>
      <c r="I30" s="44">
        <f>IF(G30="","",(H30-G30)/G30)</f>
        <v/>
      </c>
      <c r="J30" s="47" t="n"/>
      <c r="K30" s="48">
        <f>IF(OR(H30="",J30=""),"",H30*J30/1000)</f>
        <v/>
      </c>
      <c r="L30" s="14" t="n"/>
    </row>
    <row r="31" ht="22" customHeight="1">
      <c r="B31" s="17">
        <f>IF(C31="","CAR-"&amp;TEXT(COUNTA($C$5:C31),"000"))</f>
        <v/>
      </c>
      <c r="C31" s="12" t="n"/>
      <c r="D31" s="12" t="n"/>
      <c r="E31" s="12" t="n"/>
      <c r="F31" s="12" t="n"/>
      <c r="G31" s="18" t="n"/>
      <c r="H31" s="18" t="n"/>
      <c r="I31" s="43">
        <f>IF(G31="","",(H31-G31)/G31)</f>
        <v/>
      </c>
      <c r="J31" s="45" t="n"/>
      <c r="K31" s="46">
        <f>IF(OR(H31="",J31=""),"",H31*J31/1000)</f>
        <v/>
      </c>
      <c r="L31" s="12" t="n"/>
    </row>
    <row r="32" ht="22" customHeight="1">
      <c r="B32" s="16">
        <f>IF(C32="","CAR-"&amp;TEXT(COUNTA($C$5:C32),"000"))</f>
        <v/>
      </c>
      <c r="C32" s="14" t="n"/>
      <c r="D32" s="14" t="n"/>
      <c r="E32" s="14" t="n"/>
      <c r="F32" s="14" t="n"/>
      <c r="G32" s="19" t="n"/>
      <c r="H32" s="19" t="n"/>
      <c r="I32" s="44">
        <f>IF(G32="","",(H32-G32)/G32)</f>
        <v/>
      </c>
      <c r="J32" s="47" t="n"/>
      <c r="K32" s="48">
        <f>IF(OR(H32="",J32=""),"",H32*J32/1000)</f>
        <v/>
      </c>
      <c r="L32" s="14" t="n"/>
    </row>
    <row r="33" ht="22" customHeight="1">
      <c r="B33" s="17">
        <f>IF(C33="","CAR-"&amp;TEXT(COUNTA($C$5:C33),"000"))</f>
        <v/>
      </c>
      <c r="C33" s="12" t="n"/>
      <c r="D33" s="12" t="n"/>
      <c r="E33" s="12" t="n"/>
      <c r="F33" s="12" t="n"/>
      <c r="G33" s="18" t="n"/>
      <c r="H33" s="18" t="n"/>
      <c r="I33" s="43">
        <f>IF(G33="","",(H33-G33)/G33)</f>
        <v/>
      </c>
      <c r="J33" s="45" t="n"/>
      <c r="K33" s="46">
        <f>IF(OR(H33="",J33=""),"",H33*J33/1000)</f>
        <v/>
      </c>
      <c r="L33" s="12" t="n"/>
    </row>
    <row r="34" ht="22" customHeight="1">
      <c r="B34" s="16">
        <f>IF(C34="","CAR-"&amp;TEXT(COUNTA($C$5:C34),"000"))</f>
        <v/>
      </c>
      <c r="C34" s="14" t="n"/>
      <c r="D34" s="14" t="n"/>
      <c r="E34" s="14" t="n"/>
      <c r="F34" s="14" t="n"/>
      <c r="G34" s="19" t="n"/>
      <c r="H34" s="19" t="n"/>
      <c r="I34" s="44">
        <f>IF(G34="","",(H34-G34)/G34)</f>
        <v/>
      </c>
      <c r="J34" s="47" t="n"/>
      <c r="K34" s="48">
        <f>IF(OR(H34="",J34=""),"",H34*J34/1000)</f>
        <v/>
      </c>
      <c r="L34" s="14" t="n"/>
    </row>
    <row r="35" ht="22" customHeight="1">
      <c r="B35" s="17">
        <f>IF(C35="","CAR-"&amp;TEXT(COUNTA($C$5:C35),"000"))</f>
        <v/>
      </c>
      <c r="C35" s="12" t="n"/>
      <c r="D35" s="12" t="n"/>
      <c r="E35" s="12" t="n"/>
      <c r="F35" s="12" t="n"/>
      <c r="G35" s="18" t="n"/>
      <c r="H35" s="18" t="n"/>
      <c r="I35" s="43">
        <f>IF(G35="","",(H35-G35)/G35)</f>
        <v/>
      </c>
      <c r="J35" s="45" t="n"/>
      <c r="K35" s="46">
        <f>IF(OR(H35="",J35=""),"",H35*J35/1000)</f>
        <v/>
      </c>
      <c r="L35" s="12" t="n"/>
    </row>
    <row r="36" ht="22" customHeight="1">
      <c r="B36" s="16">
        <f>IF(C36="","CAR-"&amp;TEXT(COUNTA($C$5:C36),"000"))</f>
        <v/>
      </c>
      <c r="C36" s="14" t="n"/>
      <c r="D36" s="14" t="n"/>
      <c r="E36" s="14" t="n"/>
      <c r="F36" s="14" t="n"/>
      <c r="G36" s="19" t="n"/>
      <c r="H36" s="19" t="n"/>
      <c r="I36" s="44">
        <f>IF(G36="","",(H36-G36)/G36)</f>
        <v/>
      </c>
      <c r="J36" s="47" t="n"/>
      <c r="K36" s="48">
        <f>IF(OR(H36="",J36=""),"",H36*J36/1000)</f>
        <v/>
      </c>
      <c r="L36" s="14" t="n"/>
    </row>
    <row r="37" ht="22" customHeight="1">
      <c r="B37" s="17">
        <f>IF(C37="","CAR-"&amp;TEXT(COUNTA($C$5:C37),"000"))</f>
        <v/>
      </c>
      <c r="C37" s="12" t="n"/>
      <c r="D37" s="12" t="n"/>
      <c r="E37" s="12" t="n"/>
      <c r="F37" s="12" t="n"/>
      <c r="G37" s="18" t="n"/>
      <c r="H37" s="18" t="n"/>
      <c r="I37" s="43">
        <f>IF(G37="","",(H37-G37)/G37)</f>
        <v/>
      </c>
      <c r="J37" s="45" t="n"/>
      <c r="K37" s="46">
        <f>IF(OR(H37="",J37=""),"",H37*J37/1000)</f>
        <v/>
      </c>
      <c r="L37" s="12" t="n"/>
    </row>
    <row r="38" ht="22" customHeight="1">
      <c r="B38" s="16">
        <f>IF(C38="","CAR-"&amp;TEXT(COUNTA($C$5:C38),"000"))</f>
        <v/>
      </c>
      <c r="C38" s="14" t="n"/>
      <c r="D38" s="14" t="n"/>
      <c r="E38" s="14" t="n"/>
      <c r="F38" s="14" t="n"/>
      <c r="G38" s="19" t="n"/>
      <c r="H38" s="19" t="n"/>
      <c r="I38" s="44">
        <f>IF(G38="","",(H38-G38)/G38)</f>
        <v/>
      </c>
      <c r="J38" s="47" t="n"/>
      <c r="K38" s="48">
        <f>IF(OR(H38="",J38=""),"",H38*J38/1000)</f>
        <v/>
      </c>
      <c r="L38" s="14" t="n"/>
    </row>
    <row r="39" ht="22" customHeight="1">
      <c r="B39" s="17">
        <f>IF(C39="","CAR-"&amp;TEXT(COUNTA($C$5:C39),"000"))</f>
        <v/>
      </c>
      <c r="C39" s="12" t="n"/>
      <c r="D39" s="12" t="n"/>
      <c r="E39" s="12" t="n"/>
      <c r="F39" s="12" t="n"/>
      <c r="G39" s="18" t="n"/>
      <c r="H39" s="18" t="n"/>
      <c r="I39" s="43">
        <f>IF(G39="","",(H39-G39)/G39)</f>
        <v/>
      </c>
      <c r="J39" s="45" t="n"/>
      <c r="K39" s="46">
        <f>IF(OR(H39="",J39=""),"",H39*J39/1000)</f>
        <v/>
      </c>
      <c r="L39" s="12" t="n"/>
    </row>
    <row r="40" ht="22" customHeight="1">
      <c r="B40" s="16">
        <f>IF(C40="","CAR-"&amp;TEXT(COUNTA($C$5:C40),"000"))</f>
        <v/>
      </c>
      <c r="C40" s="14" t="n"/>
      <c r="D40" s="14" t="n"/>
      <c r="E40" s="14" t="n"/>
      <c r="F40" s="14" t="n"/>
      <c r="G40" s="19" t="n"/>
      <c r="H40" s="19" t="n"/>
      <c r="I40" s="44">
        <f>IF(G40="","",(H40-G40)/G40)</f>
        <v/>
      </c>
      <c r="J40" s="47" t="n"/>
      <c r="K40" s="48">
        <f>IF(OR(H40="",J40=""),"",H40*J40/1000)</f>
        <v/>
      </c>
      <c r="L40" s="14" t="n"/>
    </row>
    <row r="41" ht="22" customHeight="1">
      <c r="B41" s="17">
        <f>IF(C41="","CAR-"&amp;TEXT(COUNTA($C$5:C41),"000"))</f>
        <v/>
      </c>
      <c r="C41" s="12" t="n"/>
      <c r="D41" s="12" t="n"/>
      <c r="E41" s="12" t="n"/>
      <c r="F41" s="12" t="n"/>
      <c r="G41" s="18" t="n"/>
      <c r="H41" s="18" t="n"/>
      <c r="I41" s="43">
        <f>IF(G41="","",(H41-G41)/G41)</f>
        <v/>
      </c>
      <c r="J41" s="45" t="n"/>
      <c r="K41" s="46">
        <f>IF(OR(H41="",J41=""),"",H41*J41/1000)</f>
        <v/>
      </c>
      <c r="L41" s="12" t="n"/>
    </row>
    <row r="42" ht="22" customHeight="1">
      <c r="B42" s="16">
        <f>IF(C42="","CAR-"&amp;TEXT(COUNTA($C$5:C42),"000"))</f>
        <v/>
      </c>
      <c r="C42" s="14" t="n"/>
      <c r="D42" s="14" t="n"/>
      <c r="E42" s="14" t="n"/>
      <c r="F42" s="14" t="n"/>
      <c r="G42" s="19" t="n"/>
      <c r="H42" s="19" t="n"/>
      <c r="I42" s="44">
        <f>IF(G42="","",(H42-G42)/G42)</f>
        <v/>
      </c>
      <c r="J42" s="47" t="n"/>
      <c r="K42" s="48">
        <f>IF(OR(H42="",J42=""),"",H42*J42/1000)</f>
        <v/>
      </c>
      <c r="L42" s="14" t="n"/>
    </row>
    <row r="43" ht="22" customHeight="1">
      <c r="B43" s="17">
        <f>IF(C43="","CAR-"&amp;TEXT(COUNTA($C$5:C43),"000"))</f>
        <v/>
      </c>
      <c r="C43" s="12" t="n"/>
      <c r="D43" s="12" t="n"/>
      <c r="E43" s="12" t="n"/>
      <c r="F43" s="12" t="n"/>
      <c r="G43" s="18" t="n"/>
      <c r="H43" s="18" t="n"/>
      <c r="I43" s="43">
        <f>IF(G43="","",(H43-G43)/G43)</f>
        <v/>
      </c>
      <c r="J43" s="45" t="n"/>
      <c r="K43" s="46">
        <f>IF(OR(H43="",J43=""),"",H43*J43/1000)</f>
        <v/>
      </c>
      <c r="L43" s="12" t="n"/>
    </row>
    <row r="44" ht="22" customHeight="1">
      <c r="B44" s="16">
        <f>IF(C44="","CAR-"&amp;TEXT(COUNTA($C$5:C44),"000"))</f>
        <v/>
      </c>
      <c r="C44" s="14" t="n"/>
      <c r="D44" s="14" t="n"/>
      <c r="E44" s="14" t="n"/>
      <c r="F44" s="14" t="n"/>
      <c r="G44" s="19" t="n"/>
      <c r="H44" s="19" t="n"/>
      <c r="I44" s="44">
        <f>IF(G44="","",(H44-G44)/G44)</f>
        <v/>
      </c>
      <c r="J44" s="47" t="n"/>
      <c r="K44" s="48">
        <f>IF(OR(H44="",J44=""),"",H44*J44/1000)</f>
        <v/>
      </c>
      <c r="L44" s="14" t="n"/>
    </row>
    <row r="45" ht="22" customHeight="1">
      <c r="B45" s="17">
        <f>IF(C45="","CAR-"&amp;TEXT(COUNTA($C$5:C45),"000"))</f>
        <v/>
      </c>
      <c r="C45" s="12" t="n"/>
      <c r="D45" s="12" t="n"/>
      <c r="E45" s="12" t="n"/>
      <c r="F45" s="12" t="n"/>
      <c r="G45" s="18" t="n"/>
      <c r="H45" s="18" t="n"/>
      <c r="I45" s="43">
        <f>IF(G45="","",(H45-G45)/G45)</f>
        <v/>
      </c>
      <c r="J45" s="45" t="n"/>
      <c r="K45" s="46">
        <f>IF(OR(H45="",J45=""),"",H45*J45/1000)</f>
        <v/>
      </c>
      <c r="L45" s="12" t="n"/>
    </row>
    <row r="46" ht="22" customHeight="1">
      <c r="B46" s="16">
        <f>IF(C46="","CAR-"&amp;TEXT(COUNTA($C$5:C46),"000"))</f>
        <v/>
      </c>
      <c r="C46" s="14" t="n"/>
      <c r="D46" s="14" t="n"/>
      <c r="E46" s="14" t="n"/>
      <c r="F46" s="14" t="n"/>
      <c r="G46" s="19" t="n"/>
      <c r="H46" s="19" t="n"/>
      <c r="I46" s="44">
        <f>IF(G46="","",(H46-G46)/G46)</f>
        <v/>
      </c>
      <c r="J46" s="47" t="n"/>
      <c r="K46" s="48">
        <f>IF(OR(H46="",J46=""),"",H46*J46/1000)</f>
        <v/>
      </c>
      <c r="L46" s="14" t="n"/>
    </row>
    <row r="47" ht="22" customHeight="1">
      <c r="B47" s="17">
        <f>IF(C47="","CAR-"&amp;TEXT(COUNTA($C$5:C47),"000"))</f>
        <v/>
      </c>
      <c r="C47" s="12" t="n"/>
      <c r="D47" s="12" t="n"/>
      <c r="E47" s="12" t="n"/>
      <c r="F47" s="12" t="n"/>
      <c r="G47" s="18" t="n"/>
      <c r="H47" s="18" t="n"/>
      <c r="I47" s="43">
        <f>IF(G47="","",(H47-G47)/G47)</f>
        <v/>
      </c>
      <c r="J47" s="45" t="n"/>
      <c r="K47" s="46">
        <f>IF(OR(H47="",J47=""),"",H47*J47/1000)</f>
        <v/>
      </c>
      <c r="L47" s="12" t="n"/>
    </row>
    <row r="48" ht="22" customHeight="1">
      <c r="B48" s="16">
        <f>IF(C48="","CAR-"&amp;TEXT(COUNTA($C$5:C48),"000"))</f>
        <v/>
      </c>
      <c r="C48" s="14" t="n"/>
      <c r="D48" s="14" t="n"/>
      <c r="E48" s="14" t="n"/>
      <c r="F48" s="14" t="n"/>
      <c r="G48" s="19" t="n"/>
      <c r="H48" s="19" t="n"/>
      <c r="I48" s="44">
        <f>IF(G48="","",(H48-G48)/G48)</f>
        <v/>
      </c>
      <c r="J48" s="47" t="n"/>
      <c r="K48" s="48">
        <f>IF(OR(H48="",J48=""),"",H48*J48/1000)</f>
        <v/>
      </c>
      <c r="L48" s="14" t="n"/>
    </row>
    <row r="49" ht="22" customHeight="1">
      <c r="B49" s="17">
        <f>IF(C49="","CAR-"&amp;TEXT(COUNTA($C$5:C49),"000"))</f>
        <v/>
      </c>
      <c r="C49" s="12" t="n"/>
      <c r="D49" s="12" t="n"/>
      <c r="E49" s="12" t="n"/>
      <c r="F49" s="12" t="n"/>
      <c r="G49" s="18" t="n"/>
      <c r="H49" s="18" t="n"/>
      <c r="I49" s="43">
        <f>IF(G49="","",(H49-G49)/G49)</f>
        <v/>
      </c>
      <c r="J49" s="45" t="n"/>
      <c r="K49" s="46">
        <f>IF(OR(H49="",J49=""),"",H49*J49/1000)</f>
        <v/>
      </c>
      <c r="L49" s="12" t="n"/>
    </row>
    <row r="50" ht="22" customHeight="1">
      <c r="B50" s="16">
        <f>IF(C50="","CAR-"&amp;TEXT(COUNTA($C$5:C50),"000"))</f>
        <v/>
      </c>
      <c r="C50" s="14" t="n"/>
      <c r="D50" s="14" t="n"/>
      <c r="E50" s="14" t="n"/>
      <c r="F50" s="14" t="n"/>
      <c r="G50" s="19" t="n"/>
      <c r="H50" s="19" t="n"/>
      <c r="I50" s="44">
        <f>IF(G50="","",(H50-G50)/G50)</f>
        <v/>
      </c>
      <c r="J50" s="47" t="n"/>
      <c r="K50" s="48">
        <f>IF(OR(H50="",J50=""),"",H50*J50/1000)</f>
        <v/>
      </c>
      <c r="L50" s="14" t="n"/>
    </row>
    <row r="51" ht="22" customHeight="1">
      <c r="B51" s="17">
        <f>IF(C51="","CAR-"&amp;TEXT(COUNTA($C$5:C51),"000"))</f>
        <v/>
      </c>
      <c r="C51" s="12" t="n"/>
      <c r="D51" s="12" t="n"/>
      <c r="E51" s="12" t="n"/>
      <c r="F51" s="12" t="n"/>
      <c r="G51" s="18" t="n"/>
      <c r="H51" s="18" t="n"/>
      <c r="I51" s="43">
        <f>IF(G51="","",(H51-G51)/G51)</f>
        <v/>
      </c>
      <c r="J51" s="45" t="n"/>
      <c r="K51" s="46">
        <f>IF(OR(H51="",J51=""),"",H51*J51/1000)</f>
        <v/>
      </c>
      <c r="L51" s="12" t="n"/>
    </row>
    <row r="52" ht="22" customHeight="1">
      <c r="B52" s="16">
        <f>IF(C52="","CAR-"&amp;TEXT(COUNTA($C$5:C52),"000"))</f>
        <v/>
      </c>
      <c r="C52" s="14" t="n"/>
      <c r="D52" s="14" t="n"/>
      <c r="E52" s="14" t="n"/>
      <c r="F52" s="14" t="n"/>
      <c r="G52" s="19" t="n"/>
      <c r="H52" s="19" t="n"/>
      <c r="I52" s="44">
        <f>IF(G52="","",(H52-G52)/G52)</f>
        <v/>
      </c>
      <c r="J52" s="47" t="n"/>
      <c r="K52" s="48">
        <f>IF(OR(H52="",J52=""),"",H52*J52/1000)</f>
        <v/>
      </c>
      <c r="L52" s="14" t="n"/>
    </row>
    <row r="53" ht="22" customHeight="1">
      <c r="B53" s="17">
        <f>IF(C53="","CAR-"&amp;TEXT(COUNTA($C$5:C53),"000"))</f>
        <v/>
      </c>
      <c r="C53" s="12" t="n"/>
      <c r="D53" s="12" t="n"/>
      <c r="E53" s="12" t="n"/>
      <c r="F53" s="12" t="n"/>
      <c r="G53" s="18" t="n"/>
      <c r="H53" s="18" t="n"/>
      <c r="I53" s="43">
        <f>IF(G53="","",(H53-G53)/G53)</f>
        <v/>
      </c>
      <c r="J53" s="45" t="n"/>
      <c r="K53" s="46">
        <f>IF(OR(H53="",J53=""),"",H53*J53/1000)</f>
        <v/>
      </c>
      <c r="L53" s="12" t="n"/>
    </row>
    <row r="54" ht="22" customHeight="1">
      <c r="B54" s="16">
        <f>IF(C54="","CAR-"&amp;TEXT(COUNTA($C$5:C54),"000"))</f>
        <v/>
      </c>
      <c r="C54" s="14" t="n"/>
      <c r="D54" s="14" t="n"/>
      <c r="E54" s="14" t="n"/>
      <c r="F54" s="14" t="n"/>
      <c r="G54" s="19" t="n"/>
      <c r="H54" s="19" t="n"/>
      <c r="I54" s="44">
        <f>IF(G54="","",(H54-G54)/G54)</f>
        <v/>
      </c>
      <c r="J54" s="47" t="n"/>
      <c r="K54" s="48">
        <f>IF(OR(H54="",J54=""),"",H54*J54/1000)</f>
        <v/>
      </c>
      <c r="L54" s="14" t="n"/>
    </row>
    <row r="55" ht="22" customHeight="1">
      <c r="B55" s="17">
        <f>IF(C55="","CAR-"&amp;TEXT(COUNTA($C$5:C55),"000"))</f>
        <v/>
      </c>
      <c r="C55" s="12" t="n"/>
      <c r="D55" s="12" t="n"/>
      <c r="E55" s="12" t="n"/>
      <c r="F55" s="12" t="n"/>
      <c r="G55" s="18" t="n"/>
      <c r="H55" s="18" t="n"/>
      <c r="I55" s="43">
        <f>IF(G55="","",(H55-G55)/G55)</f>
        <v/>
      </c>
      <c r="J55" s="45" t="n"/>
      <c r="K55" s="46">
        <f>IF(OR(H55="",J55=""),"",H55*J55/1000)</f>
        <v/>
      </c>
      <c r="L55" s="12" t="n"/>
    </row>
    <row r="56" ht="22" customHeight="1">
      <c r="B56" s="16">
        <f>IF(C56="","CAR-"&amp;TEXT(COUNTA($C$5:C56),"000"))</f>
        <v/>
      </c>
      <c r="C56" s="14" t="n"/>
      <c r="D56" s="14" t="n"/>
      <c r="E56" s="14" t="n"/>
      <c r="F56" s="14" t="n"/>
      <c r="G56" s="19" t="n"/>
      <c r="H56" s="19" t="n"/>
      <c r="I56" s="44">
        <f>IF(G56="","",(H56-G56)/G56)</f>
        <v/>
      </c>
      <c r="J56" s="47" t="n"/>
      <c r="K56" s="48">
        <f>IF(OR(H56="",J56=""),"",H56*J56/1000)</f>
        <v/>
      </c>
      <c r="L56" s="14" t="n"/>
    </row>
    <row r="57" ht="22" customHeight="1">
      <c r="B57" s="17">
        <f>IF(C57="","CAR-"&amp;TEXT(COUNTA($C$5:C57),"000"))</f>
        <v/>
      </c>
      <c r="C57" s="12" t="n"/>
      <c r="D57" s="12" t="n"/>
      <c r="E57" s="12" t="n"/>
      <c r="F57" s="12" t="n"/>
      <c r="G57" s="18" t="n"/>
      <c r="H57" s="18" t="n"/>
      <c r="I57" s="43">
        <f>IF(G57="","",(H57-G57)/G57)</f>
        <v/>
      </c>
      <c r="J57" s="45" t="n"/>
      <c r="K57" s="46">
        <f>IF(OR(H57="",J57=""),"",H57*J57/1000)</f>
        <v/>
      </c>
      <c r="L57" s="12" t="n"/>
    </row>
    <row r="58" ht="22" customHeight="1">
      <c r="B58" s="16">
        <f>IF(C58="","CAR-"&amp;TEXT(COUNTA($C$5:C58),"000"))</f>
        <v/>
      </c>
      <c r="C58" s="14" t="n"/>
      <c r="D58" s="14" t="n"/>
      <c r="E58" s="14" t="n"/>
      <c r="F58" s="14" t="n"/>
      <c r="G58" s="19" t="n"/>
      <c r="H58" s="19" t="n"/>
      <c r="I58" s="44">
        <f>IF(G58="","",(H58-G58)/G58)</f>
        <v/>
      </c>
      <c r="J58" s="47" t="n"/>
      <c r="K58" s="48">
        <f>IF(OR(H58="",J58=""),"",H58*J58/1000)</f>
        <v/>
      </c>
      <c r="L58" s="14" t="n"/>
    </row>
    <row r="59" ht="22" customHeight="1">
      <c r="B59" s="17">
        <f>IF(C59="","CAR-"&amp;TEXT(COUNTA($C$5:C59),"000"))</f>
        <v/>
      </c>
      <c r="C59" s="12" t="n"/>
      <c r="D59" s="12" t="n"/>
      <c r="E59" s="12" t="n"/>
      <c r="F59" s="12" t="n"/>
      <c r="G59" s="18" t="n"/>
      <c r="H59" s="18" t="n"/>
      <c r="I59" s="43">
        <f>IF(G59="","",(H59-G59)/G59)</f>
        <v/>
      </c>
      <c r="J59" s="45" t="n"/>
      <c r="K59" s="46">
        <f>IF(OR(H59="",J59=""),"",H59*J59/1000)</f>
        <v/>
      </c>
      <c r="L59" s="12" t="n"/>
    </row>
    <row r="60" ht="22" customHeight="1">
      <c r="B60" s="16">
        <f>IF(C60="","CAR-"&amp;TEXT(COUNTA($C$5:C60),"000"))</f>
        <v/>
      </c>
      <c r="C60" s="14" t="n"/>
      <c r="D60" s="14" t="n"/>
      <c r="E60" s="14" t="n"/>
      <c r="F60" s="14" t="n"/>
      <c r="G60" s="19" t="n"/>
      <c r="H60" s="19" t="n"/>
      <c r="I60" s="44">
        <f>IF(G60="","",(H60-G60)/G60)</f>
        <v/>
      </c>
      <c r="J60" s="47" t="n"/>
      <c r="K60" s="48">
        <f>IF(OR(H60="",J60=""),"",H60*J60/1000)</f>
        <v/>
      </c>
      <c r="L60" s="14" t="n"/>
    </row>
    <row r="61" ht="22" customHeight="1">
      <c r="B61" s="17">
        <f>IF(C61="","CAR-"&amp;TEXT(COUNTA($C$5:C61),"000"))</f>
        <v/>
      </c>
      <c r="C61" s="12" t="n"/>
      <c r="D61" s="12" t="n"/>
      <c r="E61" s="12" t="n"/>
      <c r="F61" s="12" t="n"/>
      <c r="G61" s="18" t="n"/>
      <c r="H61" s="18" t="n"/>
      <c r="I61" s="43">
        <f>IF(G61="","",(H61-G61)/G61)</f>
        <v/>
      </c>
      <c r="J61" s="45" t="n"/>
      <c r="K61" s="46">
        <f>IF(OR(H61="",J61=""),"",H61*J61/1000)</f>
        <v/>
      </c>
      <c r="L61" s="12" t="n"/>
    </row>
    <row r="62" ht="22" customHeight="1">
      <c r="B62" s="16">
        <f>IF(C62="","CAR-"&amp;TEXT(COUNTA($C$5:C62),"000"))</f>
        <v/>
      </c>
      <c r="C62" s="14" t="n"/>
      <c r="D62" s="14" t="n"/>
      <c r="E62" s="14" t="n"/>
      <c r="F62" s="14" t="n"/>
      <c r="G62" s="19" t="n"/>
      <c r="H62" s="19" t="n"/>
      <c r="I62" s="44">
        <f>IF(G62="","",(H62-G62)/G62)</f>
        <v/>
      </c>
      <c r="J62" s="47" t="n"/>
      <c r="K62" s="48">
        <f>IF(OR(H62="",J62=""),"",H62*J62/1000)</f>
        <v/>
      </c>
      <c r="L62" s="14" t="n"/>
    </row>
    <row r="63" ht="22" customHeight="1">
      <c r="B63" s="17">
        <f>IF(C63="","CAR-"&amp;TEXT(COUNTA($C$5:C63),"000"))</f>
        <v/>
      </c>
      <c r="C63" s="12" t="n"/>
      <c r="D63" s="12" t="n"/>
      <c r="E63" s="12" t="n"/>
      <c r="F63" s="12" t="n"/>
      <c r="G63" s="18" t="n"/>
      <c r="H63" s="18" t="n"/>
      <c r="I63" s="43">
        <f>IF(G63="","",(H63-G63)/G63)</f>
        <v/>
      </c>
      <c r="J63" s="45" t="n"/>
      <c r="K63" s="46">
        <f>IF(OR(H63="",J63=""),"",H63*J63/1000)</f>
        <v/>
      </c>
      <c r="L63" s="12" t="n"/>
    </row>
    <row r="64" ht="22" customHeight="1">
      <c r="B64" s="16">
        <f>IF(C64="","CAR-"&amp;TEXT(COUNTA($C$5:C64),"000"))</f>
        <v/>
      </c>
      <c r="C64" s="14" t="n"/>
      <c r="D64" s="14" t="n"/>
      <c r="E64" s="14" t="n"/>
      <c r="F64" s="14" t="n"/>
      <c r="G64" s="19" t="n"/>
      <c r="H64" s="19" t="n"/>
      <c r="I64" s="44">
        <f>IF(G64="","",(H64-G64)/G64)</f>
        <v/>
      </c>
      <c r="J64" s="47" t="n"/>
      <c r="K64" s="48">
        <f>IF(OR(H64="",J64=""),"",H64*J64/1000)</f>
        <v/>
      </c>
      <c r="L64" s="14" t="n"/>
    </row>
    <row r="65" ht="22" customHeight="1">
      <c r="B65" s="17">
        <f>IF(C65="","CAR-"&amp;TEXT(COUNTA($C$5:C65),"000"))</f>
        <v/>
      </c>
      <c r="C65" s="12" t="n"/>
      <c r="D65" s="12" t="n"/>
      <c r="E65" s="12" t="n"/>
      <c r="F65" s="12" t="n"/>
      <c r="G65" s="18" t="n"/>
      <c r="H65" s="18" t="n"/>
      <c r="I65" s="43">
        <f>IF(G65="","",(H65-G65)/G65)</f>
        <v/>
      </c>
      <c r="J65" s="45" t="n"/>
      <c r="K65" s="46">
        <f>IF(OR(H65="",J65=""),"",H65*J65/1000)</f>
        <v/>
      </c>
      <c r="L65" s="12" t="n"/>
    </row>
    <row r="66" ht="22" customHeight="1">
      <c r="B66" s="16">
        <f>IF(C66="","CAR-"&amp;TEXT(COUNTA($C$5:C66),"000"))</f>
        <v/>
      </c>
      <c r="C66" s="14" t="n"/>
      <c r="D66" s="14" t="n"/>
      <c r="E66" s="14" t="n"/>
      <c r="F66" s="14" t="n"/>
      <c r="G66" s="19" t="n"/>
      <c r="H66" s="19" t="n"/>
      <c r="I66" s="44">
        <f>IF(G66="","",(H66-G66)/G66)</f>
        <v/>
      </c>
      <c r="J66" s="47" t="n"/>
      <c r="K66" s="48">
        <f>IF(OR(H66="",J66=""),"",H66*J66/1000)</f>
        <v/>
      </c>
      <c r="L66" s="14" t="n"/>
    </row>
    <row r="67" ht="22" customHeight="1">
      <c r="B67" s="17">
        <f>IF(C67="","CAR-"&amp;TEXT(COUNTA($C$5:C67),"000"))</f>
        <v/>
      </c>
      <c r="C67" s="12" t="n"/>
      <c r="D67" s="12" t="n"/>
      <c r="E67" s="12" t="n"/>
      <c r="F67" s="12" t="n"/>
      <c r="G67" s="18" t="n"/>
      <c r="H67" s="18" t="n"/>
      <c r="I67" s="43">
        <f>IF(G67="","",(H67-G67)/G67)</f>
        <v/>
      </c>
      <c r="J67" s="45" t="n"/>
      <c r="K67" s="46">
        <f>IF(OR(H67="",J67=""),"",H67*J67/1000)</f>
        <v/>
      </c>
      <c r="L67" s="12" t="n"/>
    </row>
    <row r="68" ht="22" customHeight="1">
      <c r="B68" s="16">
        <f>IF(C68="","CAR-"&amp;TEXT(COUNTA($C$5:C68),"000"))</f>
        <v/>
      </c>
      <c r="C68" s="14" t="n"/>
      <c r="D68" s="14" t="n"/>
      <c r="E68" s="14" t="n"/>
      <c r="F68" s="14" t="n"/>
      <c r="G68" s="19" t="n"/>
      <c r="H68" s="19" t="n"/>
      <c r="I68" s="44">
        <f>IF(G68="","",(H68-G68)/G68)</f>
        <v/>
      </c>
      <c r="J68" s="47" t="n"/>
      <c r="K68" s="48">
        <f>IF(OR(H68="",J68=""),"",H68*J68/1000)</f>
        <v/>
      </c>
      <c r="L68" s="14" t="n"/>
    </row>
    <row r="69" ht="22" customHeight="1">
      <c r="B69" s="17">
        <f>IF(C69="","CAR-"&amp;TEXT(COUNTA($C$5:C69),"000"))</f>
        <v/>
      </c>
      <c r="C69" s="12" t="n"/>
      <c r="D69" s="12" t="n"/>
      <c r="E69" s="12" t="n"/>
      <c r="F69" s="12" t="n"/>
      <c r="G69" s="18" t="n"/>
      <c r="H69" s="18" t="n"/>
      <c r="I69" s="43">
        <f>IF(G69="","",(H69-G69)/G69)</f>
        <v/>
      </c>
      <c r="J69" s="45" t="n"/>
      <c r="K69" s="46">
        <f>IF(OR(H69="",J69=""),"",H69*J69/1000)</f>
        <v/>
      </c>
      <c r="L69" s="12" t="n"/>
    </row>
    <row r="70" ht="22" customHeight="1">
      <c r="B70" s="16">
        <f>IF(C70="","CAR-"&amp;TEXT(COUNTA($C$5:C70),"000"))</f>
        <v/>
      </c>
      <c r="C70" s="14" t="n"/>
      <c r="D70" s="14" t="n"/>
      <c r="E70" s="14" t="n"/>
      <c r="F70" s="14" t="n"/>
      <c r="G70" s="19" t="n"/>
      <c r="H70" s="19" t="n"/>
      <c r="I70" s="44">
        <f>IF(G70="","",(H70-G70)/G70)</f>
        <v/>
      </c>
      <c r="J70" s="47" t="n"/>
      <c r="K70" s="48">
        <f>IF(OR(H70="",J70=""),"",H70*J70/1000)</f>
        <v/>
      </c>
      <c r="L70" s="14" t="n"/>
    </row>
    <row r="71" ht="22" customHeight="1">
      <c r="B71" s="17">
        <f>IF(C71="","CAR-"&amp;TEXT(COUNTA($C$5:C71),"000"))</f>
        <v/>
      </c>
      <c r="C71" s="12" t="n"/>
      <c r="D71" s="12" t="n"/>
      <c r="E71" s="12" t="n"/>
      <c r="F71" s="12" t="n"/>
      <c r="G71" s="18" t="n"/>
      <c r="H71" s="18" t="n"/>
      <c r="I71" s="43">
        <f>IF(G71="","",(H71-G71)/G71)</f>
        <v/>
      </c>
      <c r="J71" s="45" t="n"/>
      <c r="K71" s="46">
        <f>IF(OR(H71="",J71=""),"",H71*J71/1000)</f>
        <v/>
      </c>
      <c r="L71" s="12" t="n"/>
    </row>
    <row r="72" ht="22" customHeight="1">
      <c r="B72" s="16">
        <f>IF(C72="","CAR-"&amp;TEXT(COUNTA($C$5:C72),"000"))</f>
        <v/>
      </c>
      <c r="C72" s="14" t="n"/>
      <c r="D72" s="14" t="n"/>
      <c r="E72" s="14" t="n"/>
      <c r="F72" s="14" t="n"/>
      <c r="G72" s="19" t="n"/>
      <c r="H72" s="19" t="n"/>
      <c r="I72" s="44">
        <f>IF(G72="","",(H72-G72)/G72)</f>
        <v/>
      </c>
      <c r="J72" s="47" t="n"/>
      <c r="K72" s="48">
        <f>IF(OR(H72="",J72=""),"",H72*J72/1000)</f>
        <v/>
      </c>
      <c r="L72" s="14" t="n"/>
    </row>
    <row r="73" ht="22" customHeight="1">
      <c r="B73" s="17">
        <f>IF(C73="","CAR-"&amp;TEXT(COUNTA($C$5:C73),"000"))</f>
        <v/>
      </c>
      <c r="C73" s="12" t="n"/>
      <c r="D73" s="12" t="n"/>
      <c r="E73" s="12" t="n"/>
      <c r="F73" s="12" t="n"/>
      <c r="G73" s="18" t="n"/>
      <c r="H73" s="18" t="n"/>
      <c r="I73" s="43">
        <f>IF(G73="","",(H73-G73)/G73)</f>
        <v/>
      </c>
      <c r="J73" s="45" t="n"/>
      <c r="K73" s="46">
        <f>IF(OR(H73="",J73=""),"",H73*J73/1000)</f>
        <v/>
      </c>
      <c r="L73" s="12" t="n"/>
    </row>
    <row r="74" ht="22" customHeight="1">
      <c r="B74" s="16">
        <f>IF(C74="","CAR-"&amp;TEXT(COUNTA($C$5:C74),"000"))</f>
        <v/>
      </c>
      <c r="C74" s="14" t="n"/>
      <c r="D74" s="14" t="n"/>
      <c r="E74" s="14" t="n"/>
      <c r="F74" s="14" t="n"/>
      <c r="G74" s="19" t="n"/>
      <c r="H74" s="19" t="n"/>
      <c r="I74" s="44">
        <f>IF(G74="","",(H74-G74)/G74)</f>
        <v/>
      </c>
      <c r="J74" s="47" t="n"/>
      <c r="K74" s="48">
        <f>IF(OR(H74="",J74=""),"",H74*J74/1000)</f>
        <v/>
      </c>
      <c r="L74" s="14" t="n"/>
    </row>
    <row r="75" ht="22" customHeight="1">
      <c r="B75" s="17">
        <f>IF(C75="","CAR-"&amp;TEXT(COUNTA($C$5:C75),"000"))</f>
        <v/>
      </c>
      <c r="C75" s="12" t="n"/>
      <c r="D75" s="12" t="n"/>
      <c r="E75" s="12" t="n"/>
      <c r="F75" s="12" t="n"/>
      <c r="G75" s="18" t="n"/>
      <c r="H75" s="18" t="n"/>
      <c r="I75" s="43">
        <f>IF(G75="","",(H75-G75)/G75)</f>
        <v/>
      </c>
      <c r="J75" s="45" t="n"/>
      <c r="K75" s="46">
        <f>IF(OR(H75="",J75=""),"",H75*J75/1000)</f>
        <v/>
      </c>
      <c r="L75" s="12" t="n"/>
    </row>
    <row r="76" ht="22" customHeight="1">
      <c r="B76" s="16">
        <f>IF(C76="","CAR-"&amp;TEXT(COUNTA($C$5:C76),"000"))</f>
        <v/>
      </c>
      <c r="C76" s="14" t="n"/>
      <c r="D76" s="14" t="n"/>
      <c r="E76" s="14" t="n"/>
      <c r="F76" s="14" t="n"/>
      <c r="G76" s="19" t="n"/>
      <c r="H76" s="19" t="n"/>
      <c r="I76" s="44">
        <f>IF(G76="","",(H76-G76)/G76)</f>
        <v/>
      </c>
      <c r="J76" s="47" t="n"/>
      <c r="K76" s="48">
        <f>IF(OR(H76="",J76=""),"",H76*J76/1000)</f>
        <v/>
      </c>
      <c r="L76" s="14" t="n"/>
    </row>
    <row r="77" ht="22" customHeight="1">
      <c r="B77" s="17">
        <f>IF(C77="","CAR-"&amp;TEXT(COUNTA($C$5:C77),"000"))</f>
        <v/>
      </c>
      <c r="C77" s="12" t="n"/>
      <c r="D77" s="12" t="n"/>
      <c r="E77" s="12" t="n"/>
      <c r="F77" s="12" t="n"/>
      <c r="G77" s="18" t="n"/>
      <c r="H77" s="18" t="n"/>
      <c r="I77" s="43">
        <f>IF(G77="","",(H77-G77)/G77)</f>
        <v/>
      </c>
      <c r="J77" s="45" t="n"/>
      <c r="K77" s="46">
        <f>IF(OR(H77="",J77=""),"",H77*J77/1000)</f>
        <v/>
      </c>
      <c r="L77" s="12" t="n"/>
    </row>
    <row r="78" ht="22" customHeight="1">
      <c r="B78" s="16">
        <f>IF(C78="","CAR-"&amp;TEXT(COUNTA($C$5:C78),"000"))</f>
        <v/>
      </c>
      <c r="C78" s="14" t="n"/>
      <c r="D78" s="14" t="n"/>
      <c r="E78" s="14" t="n"/>
      <c r="F78" s="14" t="n"/>
      <c r="G78" s="19" t="n"/>
      <c r="H78" s="19" t="n"/>
      <c r="I78" s="44">
        <f>IF(G78="","",(H78-G78)/G78)</f>
        <v/>
      </c>
      <c r="J78" s="47" t="n"/>
      <c r="K78" s="48">
        <f>IF(OR(H78="",J78=""),"",H78*J78/1000)</f>
        <v/>
      </c>
      <c r="L78" s="14" t="n"/>
    </row>
    <row r="79" ht="22" customHeight="1">
      <c r="B79" s="17">
        <f>IF(C79="","CAR-"&amp;TEXT(COUNTA($C$5:C79),"000"))</f>
        <v/>
      </c>
      <c r="C79" s="12" t="n"/>
      <c r="D79" s="12" t="n"/>
      <c r="E79" s="12" t="n"/>
      <c r="F79" s="12" t="n"/>
      <c r="G79" s="18" t="n"/>
      <c r="H79" s="18" t="n"/>
      <c r="I79" s="43">
        <f>IF(G79="","",(H79-G79)/G79)</f>
        <v/>
      </c>
      <c r="J79" s="45" t="n"/>
      <c r="K79" s="46">
        <f>IF(OR(H79="",J79=""),"",H79*J79/1000)</f>
        <v/>
      </c>
      <c r="L79" s="12" t="n"/>
    </row>
    <row r="80" ht="22" customHeight="1">
      <c r="B80" s="16">
        <f>IF(C80="","CAR-"&amp;TEXT(COUNTA($C$5:C80),"000"))</f>
        <v/>
      </c>
      <c r="C80" s="14" t="n"/>
      <c r="D80" s="14" t="n"/>
      <c r="E80" s="14" t="n"/>
      <c r="F80" s="14" t="n"/>
      <c r="G80" s="19" t="n"/>
      <c r="H80" s="19" t="n"/>
      <c r="I80" s="44">
        <f>IF(G80="","",(H80-G80)/G80)</f>
        <v/>
      </c>
      <c r="J80" s="47" t="n"/>
      <c r="K80" s="48">
        <f>IF(OR(H80="",J80=""),"",H80*J80/1000)</f>
        <v/>
      </c>
      <c r="L80" s="14" t="n"/>
    </row>
    <row r="81" ht="22" customHeight="1">
      <c r="B81" s="17">
        <f>IF(C81="","CAR-"&amp;TEXT(COUNTA($C$5:C81),"000"))</f>
        <v/>
      </c>
      <c r="C81" s="12" t="n"/>
      <c r="D81" s="12" t="n"/>
      <c r="E81" s="12" t="n"/>
      <c r="F81" s="12" t="n"/>
      <c r="G81" s="18" t="n"/>
      <c r="H81" s="18" t="n"/>
      <c r="I81" s="43">
        <f>IF(G81="","",(H81-G81)/G81)</f>
        <v/>
      </c>
      <c r="J81" s="45" t="n"/>
      <c r="K81" s="46">
        <f>IF(OR(H81="",J81=""),"",H81*J81/1000)</f>
        <v/>
      </c>
      <c r="L81" s="12" t="n"/>
    </row>
    <row r="82" ht="22" customHeight="1">
      <c r="B82" s="16">
        <f>IF(C82="","CAR-"&amp;TEXT(COUNTA($C$5:C82),"000"))</f>
        <v/>
      </c>
      <c r="C82" s="14" t="n"/>
      <c r="D82" s="14" t="n"/>
      <c r="E82" s="14" t="n"/>
      <c r="F82" s="14" t="n"/>
      <c r="G82" s="19" t="n"/>
      <c r="H82" s="19" t="n"/>
      <c r="I82" s="44">
        <f>IF(G82="","",(H82-G82)/G82)</f>
        <v/>
      </c>
      <c r="J82" s="47" t="n"/>
      <c r="K82" s="48">
        <f>IF(OR(H82="",J82=""),"",H82*J82/1000)</f>
        <v/>
      </c>
      <c r="L82" s="14" t="n"/>
    </row>
    <row r="83" ht="22" customHeight="1">
      <c r="B83" s="17">
        <f>IF(C83="","CAR-"&amp;TEXT(COUNTA($C$5:C83),"000"))</f>
        <v/>
      </c>
      <c r="C83" s="12" t="n"/>
      <c r="D83" s="12" t="n"/>
      <c r="E83" s="12" t="n"/>
      <c r="F83" s="12" t="n"/>
      <c r="G83" s="18" t="n"/>
      <c r="H83" s="18" t="n"/>
      <c r="I83" s="43">
        <f>IF(G83="","",(H83-G83)/G83)</f>
        <v/>
      </c>
      <c r="J83" s="45" t="n"/>
      <c r="K83" s="46">
        <f>IF(OR(H83="",J83=""),"",H83*J83/1000)</f>
        <v/>
      </c>
      <c r="L83" s="12" t="n"/>
    </row>
    <row r="84" ht="22" customHeight="1">
      <c r="B84" s="16">
        <f>IF(C84="","CAR-"&amp;TEXT(COUNTA($C$5:C84),"000"))</f>
        <v/>
      </c>
      <c r="C84" s="14" t="n"/>
      <c r="D84" s="14" t="n"/>
      <c r="E84" s="14" t="n"/>
      <c r="F84" s="14" t="n"/>
      <c r="G84" s="19" t="n"/>
      <c r="H84" s="19" t="n"/>
      <c r="I84" s="44">
        <f>IF(G84="","",(H84-G84)/G84)</f>
        <v/>
      </c>
      <c r="J84" s="47" t="n"/>
      <c r="K84" s="48">
        <f>IF(OR(H84="",J84=""),"",H84*J84/1000)</f>
        <v/>
      </c>
      <c r="L84" s="14" t="n"/>
    </row>
    <row r="85" ht="22" customHeight="1">
      <c r="B85" s="17">
        <f>IF(C85="","CAR-"&amp;TEXT(COUNTA($C$5:C85),"000"))</f>
        <v/>
      </c>
      <c r="C85" s="12" t="n"/>
      <c r="D85" s="12" t="n"/>
      <c r="E85" s="12" t="n"/>
      <c r="F85" s="12" t="n"/>
      <c r="G85" s="18" t="n"/>
      <c r="H85" s="18" t="n"/>
      <c r="I85" s="43">
        <f>IF(G85="","",(H85-G85)/G85)</f>
        <v/>
      </c>
      <c r="J85" s="45" t="n"/>
      <c r="K85" s="46">
        <f>IF(OR(H85="",J85=""),"",H85*J85/1000)</f>
        <v/>
      </c>
      <c r="L85" s="12" t="n"/>
    </row>
    <row r="86" ht="22" customHeight="1">
      <c r="B86" s="16">
        <f>IF(C86="","CAR-"&amp;TEXT(COUNTA($C$5:C86),"000"))</f>
        <v/>
      </c>
      <c r="C86" s="14" t="n"/>
      <c r="D86" s="14" t="n"/>
      <c r="E86" s="14" t="n"/>
      <c r="F86" s="14" t="n"/>
      <c r="G86" s="19" t="n"/>
      <c r="H86" s="19" t="n"/>
      <c r="I86" s="44">
        <f>IF(G86="","",(H86-G86)/G86)</f>
        <v/>
      </c>
      <c r="J86" s="47" t="n"/>
      <c r="K86" s="48">
        <f>IF(OR(H86="",J86=""),"",H86*J86/1000)</f>
        <v/>
      </c>
      <c r="L86" s="14" t="n"/>
    </row>
    <row r="87" ht="22" customHeight="1">
      <c r="B87" s="17">
        <f>IF(C87="","CAR-"&amp;TEXT(COUNTA($C$5:C87),"000"))</f>
        <v/>
      </c>
      <c r="C87" s="12" t="n"/>
      <c r="D87" s="12" t="n"/>
      <c r="E87" s="12" t="n"/>
      <c r="F87" s="12" t="n"/>
      <c r="G87" s="18" t="n"/>
      <c r="H87" s="18" t="n"/>
      <c r="I87" s="43">
        <f>IF(G87="","",(H87-G87)/G87)</f>
        <v/>
      </c>
      <c r="J87" s="45" t="n"/>
      <c r="K87" s="46">
        <f>IF(OR(H87="",J87=""),"",H87*J87/1000)</f>
        <v/>
      </c>
      <c r="L87" s="12" t="n"/>
    </row>
    <row r="88" ht="22" customHeight="1">
      <c r="B88" s="16">
        <f>IF(C88="","CAR-"&amp;TEXT(COUNTA($C$5:C88),"000"))</f>
        <v/>
      </c>
      <c r="C88" s="14" t="n"/>
      <c r="D88" s="14" t="n"/>
      <c r="E88" s="14" t="n"/>
      <c r="F88" s="14" t="n"/>
      <c r="G88" s="19" t="n"/>
      <c r="H88" s="19" t="n"/>
      <c r="I88" s="44">
        <f>IF(G88="","",(H88-G88)/G88)</f>
        <v/>
      </c>
      <c r="J88" s="47" t="n"/>
      <c r="K88" s="48">
        <f>IF(OR(H88="",J88=""),"",H88*J88/1000)</f>
        <v/>
      </c>
      <c r="L88" s="14" t="n"/>
    </row>
    <row r="89" ht="22" customHeight="1">
      <c r="B89" s="17">
        <f>IF(C89="","CAR-"&amp;TEXT(COUNTA($C$5:C89),"000"))</f>
        <v/>
      </c>
      <c r="C89" s="12" t="n"/>
      <c r="D89" s="12" t="n"/>
      <c r="E89" s="12" t="n"/>
      <c r="F89" s="12" t="n"/>
      <c r="G89" s="18" t="n"/>
      <c r="H89" s="18" t="n"/>
      <c r="I89" s="43">
        <f>IF(G89="","",(H89-G89)/G89)</f>
        <v/>
      </c>
      <c r="J89" s="45" t="n"/>
      <c r="K89" s="46">
        <f>IF(OR(H89="",J89=""),"",H89*J89/1000)</f>
        <v/>
      </c>
      <c r="L89" s="12" t="n"/>
    </row>
    <row r="90" ht="22" customHeight="1">
      <c r="B90" s="16">
        <f>IF(C90="","CAR-"&amp;TEXT(COUNTA($C$5:C90),"000"))</f>
        <v/>
      </c>
      <c r="C90" s="14" t="n"/>
      <c r="D90" s="14" t="n"/>
      <c r="E90" s="14" t="n"/>
      <c r="F90" s="14" t="n"/>
      <c r="G90" s="19" t="n"/>
      <c r="H90" s="19" t="n"/>
      <c r="I90" s="44">
        <f>IF(G90="","",(H90-G90)/G90)</f>
        <v/>
      </c>
      <c r="J90" s="47" t="n"/>
      <c r="K90" s="48">
        <f>IF(OR(H90="",J90=""),"",H90*J90/1000)</f>
        <v/>
      </c>
      <c r="L90" s="14" t="n"/>
    </row>
    <row r="91" ht="22" customHeight="1">
      <c r="B91" s="17">
        <f>IF(C91="","CAR-"&amp;TEXT(COUNTA($C$5:C91),"000"))</f>
        <v/>
      </c>
      <c r="C91" s="12" t="n"/>
      <c r="D91" s="12" t="n"/>
      <c r="E91" s="12" t="n"/>
      <c r="F91" s="12" t="n"/>
      <c r="G91" s="18" t="n"/>
      <c r="H91" s="18" t="n"/>
      <c r="I91" s="43">
        <f>IF(G91="","",(H91-G91)/G91)</f>
        <v/>
      </c>
      <c r="J91" s="45" t="n"/>
      <c r="K91" s="46">
        <f>IF(OR(H91="",J91=""),"",H91*J91/1000)</f>
        <v/>
      </c>
      <c r="L91" s="12" t="n"/>
    </row>
    <row r="92" ht="22" customHeight="1">
      <c r="B92" s="16">
        <f>IF(C92="","CAR-"&amp;TEXT(COUNTA($C$5:C92),"000"))</f>
        <v/>
      </c>
      <c r="C92" s="14" t="n"/>
      <c r="D92" s="14" t="n"/>
      <c r="E92" s="14" t="n"/>
      <c r="F92" s="14" t="n"/>
      <c r="G92" s="19" t="n"/>
      <c r="H92" s="19" t="n"/>
      <c r="I92" s="44">
        <f>IF(G92="","",(H92-G92)/G92)</f>
        <v/>
      </c>
      <c r="J92" s="47" t="n"/>
      <c r="K92" s="48">
        <f>IF(OR(H92="",J92=""),"",H92*J92/1000)</f>
        <v/>
      </c>
      <c r="L92" s="14" t="n"/>
    </row>
    <row r="93" ht="22" customHeight="1">
      <c r="B93" s="17">
        <f>IF(C93="","CAR-"&amp;TEXT(COUNTA($C$5:C93),"000"))</f>
        <v/>
      </c>
      <c r="C93" s="12" t="n"/>
      <c r="D93" s="12" t="n"/>
      <c r="E93" s="12" t="n"/>
      <c r="F93" s="12" t="n"/>
      <c r="G93" s="18" t="n"/>
      <c r="H93" s="18" t="n"/>
      <c r="I93" s="43">
        <f>IF(G93="","",(H93-G93)/G93)</f>
        <v/>
      </c>
      <c r="J93" s="45" t="n"/>
      <c r="K93" s="46">
        <f>IF(OR(H93="",J93=""),"",H93*J93/1000)</f>
        <v/>
      </c>
      <c r="L93" s="12" t="n"/>
    </row>
    <row r="94" ht="22" customHeight="1">
      <c r="B94" s="16">
        <f>IF(C94="","CAR-"&amp;TEXT(COUNTA($C$5:C94),"000"))</f>
        <v/>
      </c>
      <c r="C94" s="14" t="n"/>
      <c r="D94" s="14" t="n"/>
      <c r="E94" s="14" t="n"/>
      <c r="F94" s="14" t="n"/>
      <c r="G94" s="19" t="n"/>
      <c r="H94" s="19" t="n"/>
      <c r="I94" s="44">
        <f>IF(G94="","",(H94-G94)/G94)</f>
        <v/>
      </c>
      <c r="J94" s="47" t="n"/>
      <c r="K94" s="48">
        <f>IF(OR(H94="",J94=""),"",H94*J94/1000)</f>
        <v/>
      </c>
      <c r="L94" s="14" t="n"/>
    </row>
    <row r="95" ht="22" customHeight="1">
      <c r="B95" s="17">
        <f>IF(C95="","CAR-"&amp;TEXT(COUNTA($C$5:C95),"000"))</f>
        <v/>
      </c>
      <c r="C95" s="12" t="n"/>
      <c r="D95" s="12" t="n"/>
      <c r="E95" s="12" t="n"/>
      <c r="F95" s="12" t="n"/>
      <c r="G95" s="18" t="n"/>
      <c r="H95" s="18" t="n"/>
      <c r="I95" s="43">
        <f>IF(G95="","",(H95-G95)/G95)</f>
        <v/>
      </c>
      <c r="J95" s="45" t="n"/>
      <c r="K95" s="46">
        <f>IF(OR(H95="",J95=""),"",H95*J95/1000)</f>
        <v/>
      </c>
      <c r="L95" s="12" t="n"/>
    </row>
    <row r="96" ht="22" customHeight="1">
      <c r="B96" s="16">
        <f>IF(C96="","CAR-"&amp;TEXT(COUNTA($C$5:C96),"000"))</f>
        <v/>
      </c>
      <c r="C96" s="14" t="n"/>
      <c r="D96" s="14" t="n"/>
      <c r="E96" s="14" t="n"/>
      <c r="F96" s="14" t="n"/>
      <c r="G96" s="19" t="n"/>
      <c r="H96" s="19" t="n"/>
      <c r="I96" s="44">
        <f>IF(G96="","",(H96-G96)/G96)</f>
        <v/>
      </c>
      <c r="J96" s="47" t="n"/>
      <c r="K96" s="48">
        <f>IF(OR(H96="",J96=""),"",H96*J96/1000)</f>
        <v/>
      </c>
      <c r="L96" s="14" t="n"/>
    </row>
    <row r="97" ht="22" customHeight="1">
      <c r="B97" s="17">
        <f>IF(C97="","CAR-"&amp;TEXT(COUNTA($C$5:C97),"000"))</f>
        <v/>
      </c>
      <c r="C97" s="12" t="n"/>
      <c r="D97" s="12" t="n"/>
      <c r="E97" s="12" t="n"/>
      <c r="F97" s="12" t="n"/>
      <c r="G97" s="18" t="n"/>
      <c r="H97" s="18" t="n"/>
      <c r="I97" s="43">
        <f>IF(G97="","",(H97-G97)/G97)</f>
        <v/>
      </c>
      <c r="J97" s="45" t="n"/>
      <c r="K97" s="46">
        <f>IF(OR(H97="",J97=""),"",H97*J97/1000)</f>
        <v/>
      </c>
      <c r="L97" s="12" t="n"/>
    </row>
    <row r="98" ht="22" customHeight="1">
      <c r="B98" s="16">
        <f>IF(C98="","CAR-"&amp;TEXT(COUNTA($C$5:C98),"000"))</f>
        <v/>
      </c>
      <c r="C98" s="14" t="n"/>
      <c r="D98" s="14" t="n"/>
      <c r="E98" s="14" t="n"/>
      <c r="F98" s="14" t="n"/>
      <c r="G98" s="19" t="n"/>
      <c r="H98" s="19" t="n"/>
      <c r="I98" s="44">
        <f>IF(G98="","",(H98-G98)/G98)</f>
        <v/>
      </c>
      <c r="J98" s="47" t="n"/>
      <c r="K98" s="48">
        <f>IF(OR(H98="",J98=""),"",H98*J98/1000)</f>
        <v/>
      </c>
      <c r="L98" s="14" t="n"/>
    </row>
    <row r="99" ht="22" customHeight="1">
      <c r="B99" s="17">
        <f>IF(C99="","CAR-"&amp;TEXT(COUNTA($C$5:C99),"000"))</f>
        <v/>
      </c>
      <c r="C99" s="12" t="n"/>
      <c r="D99" s="12" t="n"/>
      <c r="E99" s="12" t="n"/>
      <c r="F99" s="12" t="n"/>
      <c r="G99" s="18" t="n"/>
      <c r="H99" s="18" t="n"/>
      <c r="I99" s="43">
        <f>IF(G99="","",(H99-G99)/G99)</f>
        <v/>
      </c>
      <c r="J99" s="45" t="n"/>
      <c r="K99" s="46">
        <f>IF(OR(H99="",J99=""),"",H99*J99/1000)</f>
        <v/>
      </c>
      <c r="L99" s="12" t="n"/>
    </row>
    <row r="100" ht="22" customHeight="1">
      <c r="B100" s="16">
        <f>IF(C100="","CAR-"&amp;TEXT(COUNTA($C$5:C100),"000"))</f>
        <v/>
      </c>
      <c r="C100" s="14" t="n"/>
      <c r="D100" s="14" t="n"/>
      <c r="E100" s="14" t="n"/>
      <c r="F100" s="14" t="n"/>
      <c r="G100" s="19" t="n"/>
      <c r="H100" s="19" t="n"/>
      <c r="I100" s="44">
        <f>IF(G100="","",(H100-G100)/G100)</f>
        <v/>
      </c>
      <c r="J100" s="47" t="n"/>
      <c r="K100" s="48">
        <f>IF(OR(H100="",J100=""),"",H100*J100/1000)</f>
        <v/>
      </c>
      <c r="L100" s="14" t="n"/>
    </row>
    <row r="101" ht="22" customHeight="1">
      <c r="B101" s="17">
        <f>IF(C101="","CAR-"&amp;TEXT(COUNTA($C$5:C101),"000"))</f>
        <v/>
      </c>
      <c r="C101" s="12" t="n"/>
      <c r="D101" s="12" t="n"/>
      <c r="E101" s="12" t="n"/>
      <c r="F101" s="12" t="n"/>
      <c r="G101" s="18" t="n"/>
      <c r="H101" s="18" t="n"/>
      <c r="I101" s="43">
        <f>IF(G101="","",(H101-G101)/G101)</f>
        <v/>
      </c>
      <c r="J101" s="45" t="n"/>
      <c r="K101" s="46">
        <f>IF(OR(H101="",J101=""),"",H101*J101/1000)</f>
        <v/>
      </c>
      <c r="L101" s="12" t="n"/>
    </row>
    <row r="102" ht="22" customHeight="1">
      <c r="B102" s="16">
        <f>IF(C102="","CAR-"&amp;TEXT(COUNTA($C$5:C102),"000"))</f>
        <v/>
      </c>
      <c r="C102" s="14" t="n"/>
      <c r="D102" s="14" t="n"/>
      <c r="E102" s="14" t="n"/>
      <c r="F102" s="14" t="n"/>
      <c r="G102" s="19" t="n"/>
      <c r="H102" s="19" t="n"/>
      <c r="I102" s="44">
        <f>IF(G102="","",(H102-G102)/G102)</f>
        <v/>
      </c>
      <c r="J102" s="47" t="n"/>
      <c r="K102" s="48">
        <f>IF(OR(H102="",J102=""),"",H102*J102/1000)</f>
        <v/>
      </c>
      <c r="L102" s="14" t="n"/>
    </row>
    <row r="103" ht="22" customHeight="1">
      <c r="B103" s="17">
        <f>IF(C103="","CAR-"&amp;TEXT(COUNTA($C$5:C103),"000"))</f>
        <v/>
      </c>
      <c r="C103" s="12" t="n"/>
      <c r="D103" s="12" t="n"/>
      <c r="E103" s="12" t="n"/>
      <c r="F103" s="12" t="n"/>
      <c r="G103" s="18" t="n"/>
      <c r="H103" s="18" t="n"/>
      <c r="I103" s="43">
        <f>IF(G103="","",(H103-G103)/G103)</f>
        <v/>
      </c>
      <c r="J103" s="45" t="n"/>
      <c r="K103" s="46">
        <f>IF(OR(H103="",J103=""),"",H103*J103/1000)</f>
        <v/>
      </c>
      <c r="L103" s="12" t="n"/>
    </row>
    <row r="104" ht="22" customHeight="1">
      <c r="B104" s="16">
        <f>IF(C104="","CAR-"&amp;TEXT(COUNTA($C$5:C104),"000"))</f>
        <v/>
      </c>
      <c r="C104" s="14" t="n"/>
      <c r="D104" s="14" t="n"/>
      <c r="E104" s="14" t="n"/>
      <c r="F104" s="14" t="n"/>
      <c r="G104" s="19" t="n"/>
      <c r="H104" s="19" t="n"/>
      <c r="I104" s="44">
        <f>IF(G104="","",(H104-G104)/G104)</f>
        <v/>
      </c>
      <c r="J104" s="47" t="n"/>
      <c r="K104" s="48">
        <f>IF(OR(H104="",J104=""),"",H104*J104/1000)</f>
        <v/>
      </c>
      <c r="L104" s="14" t="n"/>
    </row>
    <row r="105" ht="22" customHeight="1">
      <c r="B105" s="17">
        <f>IF(C105="","CAR-"&amp;TEXT(COUNTA($C$5:C105),"000"))</f>
        <v/>
      </c>
      <c r="C105" s="12" t="n"/>
      <c r="D105" s="12" t="n"/>
      <c r="E105" s="12" t="n"/>
      <c r="F105" s="12" t="n"/>
      <c r="G105" s="18" t="n"/>
      <c r="H105" s="18" t="n"/>
      <c r="I105" s="43">
        <f>IF(G105="","",(H105-G105)/G105)</f>
        <v/>
      </c>
      <c r="J105" s="45" t="n"/>
      <c r="K105" s="46">
        <f>IF(OR(H105="",J105=""),"",H105*J105/1000)</f>
        <v/>
      </c>
      <c r="L105" s="12" t="n"/>
    </row>
    <row r="106" ht="22" customHeight="1">
      <c r="B106" s="16">
        <f>IF(C106="","CAR-"&amp;TEXT(COUNTA($C$5:C106),"000"))</f>
        <v/>
      </c>
      <c r="C106" s="14" t="n"/>
      <c r="D106" s="14" t="n"/>
      <c r="E106" s="14" t="n"/>
      <c r="F106" s="14" t="n"/>
      <c r="G106" s="19" t="n"/>
      <c r="H106" s="19" t="n"/>
      <c r="I106" s="44">
        <f>IF(G106="","",(H106-G106)/G106)</f>
        <v/>
      </c>
      <c r="J106" s="47" t="n"/>
      <c r="K106" s="48">
        <f>IF(OR(H106="",J106=""),"",H106*J106/1000)</f>
        <v/>
      </c>
      <c r="L106" s="14" t="n"/>
    </row>
    <row r="107" ht="22" customHeight="1">
      <c r="B107" s="17">
        <f>IF(C107="","CAR-"&amp;TEXT(COUNTA($C$5:C107),"000"))</f>
        <v/>
      </c>
      <c r="C107" s="12" t="n"/>
      <c r="D107" s="12" t="n"/>
      <c r="E107" s="12" t="n"/>
      <c r="F107" s="12" t="n"/>
      <c r="G107" s="18" t="n"/>
      <c r="H107" s="18" t="n"/>
      <c r="I107" s="43">
        <f>IF(G107="","",(H107-G107)/G107)</f>
        <v/>
      </c>
      <c r="J107" s="45" t="n"/>
      <c r="K107" s="46">
        <f>IF(OR(H107="",J107=""),"",H107*J107/1000)</f>
        <v/>
      </c>
      <c r="L107" s="12" t="n"/>
    </row>
    <row r="108" ht="22" customHeight="1">
      <c r="B108" s="16">
        <f>IF(C108="","CAR-"&amp;TEXT(COUNTA($C$5:C108),"000"))</f>
        <v/>
      </c>
      <c r="C108" s="14" t="n"/>
      <c r="D108" s="14" t="n"/>
      <c r="E108" s="14" t="n"/>
      <c r="F108" s="14" t="n"/>
      <c r="G108" s="19" t="n"/>
      <c r="H108" s="19" t="n"/>
      <c r="I108" s="44">
        <f>IF(G108="","",(H108-G108)/G108)</f>
        <v/>
      </c>
      <c r="J108" s="47" t="n"/>
      <c r="K108" s="48">
        <f>IF(OR(H108="",J108=""),"",H108*J108/1000)</f>
        <v/>
      </c>
      <c r="L108" s="14" t="n"/>
    </row>
    <row r="109" ht="22" customHeight="1">
      <c r="B109" s="17">
        <f>IF(C109="","CAR-"&amp;TEXT(COUNTA($C$5:C109),"000"))</f>
        <v/>
      </c>
      <c r="C109" s="12" t="n"/>
      <c r="D109" s="12" t="n"/>
      <c r="E109" s="12" t="n"/>
      <c r="F109" s="12" t="n"/>
      <c r="G109" s="18" t="n"/>
      <c r="H109" s="18" t="n"/>
      <c r="I109" s="43">
        <f>IF(G109="","",(H109-G109)/G109)</f>
        <v/>
      </c>
      <c r="J109" s="45" t="n"/>
      <c r="K109" s="46">
        <f>IF(OR(H109="",J109=""),"",H109*J109/1000)</f>
        <v/>
      </c>
      <c r="L109" s="12" t="n"/>
    </row>
    <row r="111">
      <c r="B111" s="6" t="inlineStr">
        <is>
          <t>INDICATEURS (mis a jour automatiquement)</t>
        </is>
      </c>
    </row>
    <row r="112">
      <c r="B112" s="3" t="inlineStr">
        <is>
          <t>Sources suivies</t>
        </is>
      </c>
      <c r="D112" s="3" t="inlineStr">
        <is>
          <t>Total emissions (tCO2)</t>
        </is>
      </c>
      <c r="F112" s="3" t="inlineStr">
        <is>
          <t>Evolution moyenne</t>
        </is>
      </c>
    </row>
    <row r="113">
      <c r="B113" s="4">
        <f>COUNTIF(B5:B104,"&lt;&gt;")</f>
        <v/>
      </c>
      <c r="D113" s="4">
        <f>SUM(K5:K104)</f>
        <v/>
      </c>
      <c r="F113" s="4">
        <f>IFERROR(AVERAGE(I5:I104),0)</f>
        <v/>
      </c>
    </row>
  </sheetData>
  <mergeCells count="3">
    <mergeCell ref="B2:L2"/>
    <mergeCell ref="B111:L111"/>
    <mergeCell ref="B3:L3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conditionalFormatting sqref="L10:L109">
    <cfRule type="expression" priority="11" dxfId="3">
      <formula>AND($C10="",$C9&lt;&gt;"")</formula>
    </cfRule>
  </conditionalFormatting>
  <dataValidations count="1">
    <dataValidation sqref="L5:L109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2" customWidth="1" min="4" max="4"/>
    <col width="36" customWidth="1" min="5" max="5"/>
    <col width="24" customWidth="1" min="6" max="6"/>
    <col width="14" customWidth="1" min="7" max="7"/>
    <col width="14" customWidth="1" min="8" max="8"/>
    <col width="22" customWidth="1" min="9" max="9"/>
    <col width="22" customWidth="1" min="10" max="10"/>
    <col width="16" customWidth="1" min="11" max="11"/>
    <col width="34" customWidth="1" min="12" max="12"/>
  </cols>
  <sheetData>
    <row r="1" ht="15" customHeight="1"/>
    <row r="2" ht="32" customHeight="1">
      <c r="B2" s="1" t="inlineStr">
        <is>
          <t>PARTENARIATS COMMUNAUTE (#155)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Partenaire</t>
        </is>
      </c>
      <c r="D4" s="11" t="inlineStr">
        <is>
          <t>Type Partenariat</t>
        </is>
      </c>
      <c r="E4" s="11" t="inlineStr">
        <is>
          <t>Objet</t>
        </is>
      </c>
      <c r="F4" s="11" t="inlineStr">
        <is>
          <t>Contact Partenaire</t>
        </is>
      </c>
      <c r="G4" s="11" t="inlineStr">
        <is>
          <t>Date Debut</t>
        </is>
      </c>
      <c r="H4" s="11" t="inlineStr">
        <is>
          <t>Date Fin</t>
        </is>
      </c>
      <c r="I4" s="11" t="inlineStr">
        <is>
          <t>Valeur Echangee (FCFA)</t>
        </is>
      </c>
      <c r="J4" s="11" t="inlineStr">
        <is>
          <t>Nb Employes Implicites</t>
        </is>
      </c>
      <c r="K4" s="11" t="inlineStr">
        <is>
          <t>Statut</t>
        </is>
      </c>
      <c r="L4" s="11" t="inlineStr">
        <is>
          <t>Observations</t>
        </is>
      </c>
    </row>
    <row r="5" ht="22" customHeight="1">
      <c r="B5" s="12" t="inlineStr">
        <is>
          <t>PAR-001</t>
        </is>
      </c>
      <c r="C5" s="12" t="inlineStr">
        <is>
          <t>Universite de Douala</t>
        </is>
      </c>
      <c r="D5" s="12" t="inlineStr">
        <is>
          <t>Ecole / Universite</t>
        </is>
      </c>
      <c r="E5" s="12" t="inlineStr">
        <is>
          <t>Stages et recrutement jeunes diplomes</t>
        </is>
      </c>
      <c r="F5" s="12" t="inlineStr">
        <is>
          <t>M. Ntone (resp. stage)</t>
        </is>
      </c>
      <c r="G5" s="41" t="n">
        <v>45536</v>
      </c>
      <c r="H5" s="41" t="n">
        <v>45900</v>
      </c>
      <c r="I5" s="18" t="n">
        <v>0</v>
      </c>
      <c r="J5" s="18" t="n">
        <v>8</v>
      </c>
      <c r="K5" s="12" t="inlineStr">
        <is>
          <t>Actif</t>
        </is>
      </c>
      <c r="L5" s="12" t="inlineStr">
        <is>
          <t>Convention renouvelable annuellement</t>
        </is>
      </c>
    </row>
    <row r="6" ht="22" customHeight="1">
      <c r="B6" s="14" t="inlineStr">
        <is>
          <t>PAR-002</t>
        </is>
      </c>
      <c r="C6" s="14" t="inlineStr">
        <is>
          <t>ONG Vert du Cameroun</t>
        </is>
      </c>
      <c r="D6" s="14" t="inlineStr">
        <is>
          <t>ONG locale</t>
        </is>
      </c>
      <c r="E6" s="14" t="inlineStr">
        <is>
          <t>Sensibilisation environnementale et eco-gestes</t>
        </is>
      </c>
      <c r="F6" s="14" t="inlineStr">
        <is>
          <t>Mme. Eyenga (coordinateur)</t>
        </is>
      </c>
      <c r="G6" s="42" t="n">
        <v>45658</v>
      </c>
      <c r="H6" s="42" t="n">
        <v>46022</v>
      </c>
      <c r="I6" s="19" t="n">
        <v>500000</v>
      </c>
      <c r="J6" s="19" t="n">
        <v>120</v>
      </c>
      <c r="K6" s="14" t="inlineStr">
        <is>
          <t>Actif</t>
        </is>
      </c>
      <c r="L6" s="14" t="inlineStr">
        <is>
          <t>Formation gratuite pour 120 employes</t>
        </is>
      </c>
    </row>
    <row r="7" ht="22" customHeight="1">
      <c r="B7" s="12" t="inlineStr">
        <is>
          <t>PAR-003</t>
        </is>
      </c>
      <c r="C7" s="12" t="inlineStr">
        <is>
          <t>Croix-Rouge camerounaise</t>
        </is>
      </c>
      <c r="D7" s="12" t="inlineStr">
        <is>
          <t>Association</t>
        </is>
      </c>
      <c r="E7" s="12" t="inlineStr">
        <is>
          <t>Formation premiers secours</t>
        </is>
      </c>
      <c r="F7" s="12" t="inlineStr">
        <is>
          <t>Dr. Kamga</t>
        </is>
      </c>
      <c r="G7" s="41" t="n">
        <v>45689</v>
      </c>
      <c r="H7" s="41" t="n">
        <v>46053</v>
      </c>
      <c r="I7" s="18" t="n">
        <v>300000</v>
      </c>
      <c r="J7" s="18" t="n">
        <v>15</v>
      </c>
      <c r="K7" s="12" t="inlineStr">
        <is>
          <t>Actif</t>
        </is>
      </c>
      <c r="L7" s="12" t="inlineStr">
        <is>
          <t>2 sessions par an prevues</t>
        </is>
      </c>
    </row>
    <row r="8" ht="22" customHeight="1">
      <c r="B8" s="16">
        <f>IF(C8="","PAR-"&amp;TEXT(COUNTA($C$5:C8),"000"))</f>
        <v/>
      </c>
      <c r="C8" s="14" t="n"/>
      <c r="D8" s="14" t="n"/>
      <c r="E8" s="14" t="n"/>
      <c r="F8" s="14" t="n"/>
      <c r="G8" s="42" t="n"/>
      <c r="H8" s="42" t="n"/>
      <c r="I8" s="19" t="n"/>
      <c r="J8" s="19" t="n"/>
      <c r="K8" s="14" t="n"/>
      <c r="L8" s="14" t="n"/>
    </row>
    <row r="9" ht="22" customHeight="1">
      <c r="B9" s="17">
        <f>IF(C9="","PAR-"&amp;TEXT(COUNTA($C$5:C9),"000"))</f>
        <v/>
      </c>
      <c r="C9" s="12" t="n"/>
      <c r="D9" s="12" t="n"/>
      <c r="E9" s="12" t="n"/>
      <c r="F9" s="12" t="n"/>
      <c r="G9" s="41" t="n"/>
      <c r="H9" s="41" t="n"/>
      <c r="I9" s="18" t="n"/>
      <c r="J9" s="18" t="n"/>
      <c r="K9" s="12" t="n"/>
      <c r="L9" s="12" t="n"/>
    </row>
    <row r="10" ht="22" customHeight="1">
      <c r="B10" s="16">
        <f>IF(C10="","PAR-"&amp;TEXT(COUNTA($C$5:C10),"000"))</f>
        <v/>
      </c>
      <c r="C10" s="14" t="n"/>
      <c r="D10" s="14" t="n"/>
      <c r="E10" s="14" t="n"/>
      <c r="F10" s="14" t="n"/>
      <c r="G10" s="42" t="n"/>
      <c r="H10" s="42" t="n"/>
      <c r="I10" s="19" t="n"/>
      <c r="J10" s="19" t="n"/>
      <c r="K10" s="14" t="n"/>
      <c r="L10" s="14" t="n"/>
    </row>
    <row r="11" ht="22" customHeight="1">
      <c r="B11" s="17">
        <f>IF(C11="","PAR-"&amp;TEXT(COUNTA($C$5:C11),"000"))</f>
        <v/>
      </c>
      <c r="C11" s="12" t="n"/>
      <c r="D11" s="12" t="n"/>
      <c r="E11" s="12" t="n"/>
      <c r="F11" s="12" t="n"/>
      <c r="G11" s="41" t="n"/>
      <c r="H11" s="41" t="n"/>
      <c r="I11" s="18" t="n"/>
      <c r="J11" s="18" t="n"/>
      <c r="K11" s="12" t="n"/>
      <c r="L11" s="12" t="n"/>
    </row>
    <row r="12" ht="22" customHeight="1">
      <c r="B12" s="16">
        <f>IF(C12="","PAR-"&amp;TEXT(COUNTA($C$5:C12),"000"))</f>
        <v/>
      </c>
      <c r="C12" s="14" t="n"/>
      <c r="D12" s="14" t="n"/>
      <c r="E12" s="14" t="n"/>
      <c r="F12" s="14" t="n"/>
      <c r="G12" s="42" t="n"/>
      <c r="H12" s="42" t="n"/>
      <c r="I12" s="19" t="n"/>
      <c r="J12" s="19" t="n"/>
      <c r="K12" s="14" t="n"/>
      <c r="L12" s="14" t="n"/>
    </row>
    <row r="13" ht="22" customHeight="1">
      <c r="B13" s="17">
        <f>IF(C13="","PAR-"&amp;TEXT(COUNTA($C$5:C13),"000"))</f>
        <v/>
      </c>
      <c r="C13" s="12" t="n"/>
      <c r="D13" s="12" t="n"/>
      <c r="E13" s="12" t="n"/>
      <c r="F13" s="12" t="n"/>
      <c r="G13" s="41" t="n"/>
      <c r="H13" s="41" t="n"/>
      <c r="I13" s="18" t="n"/>
      <c r="J13" s="18" t="n"/>
      <c r="K13" s="12" t="n"/>
      <c r="L13" s="12" t="n"/>
    </row>
    <row r="14" ht="22" customHeight="1">
      <c r="B14" s="16">
        <f>IF(C14="","PAR-"&amp;TEXT(COUNTA($C$5:C14),"000"))</f>
        <v/>
      </c>
      <c r="C14" s="14" t="n"/>
      <c r="D14" s="14" t="n"/>
      <c r="E14" s="14" t="n"/>
      <c r="F14" s="14" t="n"/>
      <c r="G14" s="42" t="n"/>
      <c r="H14" s="42" t="n"/>
      <c r="I14" s="19" t="n"/>
      <c r="J14" s="19" t="n"/>
      <c r="K14" s="14" t="n"/>
      <c r="L14" s="14" t="n"/>
    </row>
    <row r="15" ht="22" customHeight="1">
      <c r="B15" s="17">
        <f>IF(C15="","PAR-"&amp;TEXT(COUNTA($C$5:C15),"000"))</f>
        <v/>
      </c>
      <c r="C15" s="12" t="n"/>
      <c r="D15" s="12" t="n"/>
      <c r="E15" s="12" t="n"/>
      <c r="F15" s="12" t="n"/>
      <c r="G15" s="41" t="n"/>
      <c r="H15" s="41" t="n"/>
      <c r="I15" s="18" t="n"/>
      <c r="J15" s="18" t="n"/>
      <c r="K15" s="12" t="n"/>
      <c r="L15" s="12" t="n"/>
    </row>
    <row r="16" ht="22" customHeight="1">
      <c r="B16" s="16">
        <f>IF(C16="","PAR-"&amp;TEXT(COUNTA($C$5:C16),"000"))</f>
        <v/>
      </c>
      <c r="C16" s="14" t="n"/>
      <c r="D16" s="14" t="n"/>
      <c r="E16" s="14" t="n"/>
      <c r="F16" s="14" t="n"/>
      <c r="G16" s="42" t="n"/>
      <c r="H16" s="42" t="n"/>
      <c r="I16" s="19" t="n"/>
      <c r="J16" s="19" t="n"/>
      <c r="K16" s="14" t="n"/>
      <c r="L16" s="14" t="n"/>
    </row>
    <row r="17" ht="22" customHeight="1">
      <c r="B17" s="17">
        <f>IF(C17="","PAR-"&amp;TEXT(COUNTA($C$5:C17),"000"))</f>
        <v/>
      </c>
      <c r="C17" s="12" t="n"/>
      <c r="D17" s="12" t="n"/>
      <c r="E17" s="12" t="n"/>
      <c r="F17" s="12" t="n"/>
      <c r="G17" s="41" t="n"/>
      <c r="H17" s="41" t="n"/>
      <c r="I17" s="18" t="n"/>
      <c r="J17" s="18" t="n"/>
      <c r="K17" s="12" t="n"/>
      <c r="L17" s="12" t="n"/>
    </row>
    <row r="18" ht="22" customHeight="1">
      <c r="B18" s="16">
        <f>IF(C18="","PAR-"&amp;TEXT(COUNTA($C$5:C18),"000"))</f>
        <v/>
      </c>
      <c r="C18" s="14" t="n"/>
      <c r="D18" s="14" t="n"/>
      <c r="E18" s="14" t="n"/>
      <c r="F18" s="14" t="n"/>
      <c r="G18" s="42" t="n"/>
      <c r="H18" s="42" t="n"/>
      <c r="I18" s="19" t="n"/>
      <c r="J18" s="19" t="n"/>
      <c r="K18" s="14" t="n"/>
      <c r="L18" s="14" t="n"/>
    </row>
    <row r="19" ht="22" customHeight="1">
      <c r="B19" s="17">
        <f>IF(C19="","PAR-"&amp;TEXT(COUNTA($C$5:C19),"000"))</f>
        <v/>
      </c>
      <c r="C19" s="12" t="n"/>
      <c r="D19" s="12" t="n"/>
      <c r="E19" s="12" t="n"/>
      <c r="F19" s="12" t="n"/>
      <c r="G19" s="41" t="n"/>
      <c r="H19" s="41" t="n"/>
      <c r="I19" s="18" t="n"/>
      <c r="J19" s="18" t="n"/>
      <c r="K19" s="12" t="n"/>
      <c r="L19" s="12" t="n"/>
    </row>
    <row r="20" ht="22" customHeight="1">
      <c r="B20" s="16">
        <f>IF(C20="","PAR-"&amp;TEXT(COUNTA($C$5:C20),"000"))</f>
        <v/>
      </c>
      <c r="C20" s="14" t="n"/>
      <c r="D20" s="14" t="n"/>
      <c r="E20" s="14" t="n"/>
      <c r="F20" s="14" t="n"/>
      <c r="G20" s="42" t="n"/>
      <c r="H20" s="42" t="n"/>
      <c r="I20" s="19" t="n"/>
      <c r="J20" s="19" t="n"/>
      <c r="K20" s="14" t="n"/>
      <c r="L20" s="14" t="n"/>
    </row>
    <row r="21" ht="22" customHeight="1">
      <c r="B21" s="17">
        <f>IF(C21="","PAR-"&amp;TEXT(COUNTA($C$5:C21),"000"))</f>
        <v/>
      </c>
      <c r="C21" s="12" t="n"/>
      <c r="D21" s="12" t="n"/>
      <c r="E21" s="12" t="n"/>
      <c r="F21" s="12" t="n"/>
      <c r="G21" s="41" t="n"/>
      <c r="H21" s="41" t="n"/>
      <c r="I21" s="18" t="n"/>
      <c r="J21" s="18" t="n"/>
      <c r="K21" s="12" t="n"/>
      <c r="L21" s="12" t="n"/>
    </row>
    <row r="22" ht="22" customHeight="1">
      <c r="B22" s="16">
        <f>IF(C22="","PAR-"&amp;TEXT(COUNTA($C$5:C22),"000"))</f>
        <v/>
      </c>
      <c r="C22" s="14" t="n"/>
      <c r="D22" s="14" t="n"/>
      <c r="E22" s="14" t="n"/>
      <c r="F22" s="14" t="n"/>
      <c r="G22" s="42" t="n"/>
      <c r="H22" s="42" t="n"/>
      <c r="I22" s="19" t="n"/>
      <c r="J22" s="19" t="n"/>
      <c r="K22" s="14" t="n"/>
      <c r="L22" s="14" t="n"/>
    </row>
    <row r="23" ht="22" customHeight="1">
      <c r="B23" s="17">
        <f>IF(C23="","PAR-"&amp;TEXT(COUNTA($C$5:C23),"000"))</f>
        <v/>
      </c>
      <c r="C23" s="12" t="n"/>
      <c r="D23" s="12" t="n"/>
      <c r="E23" s="12" t="n"/>
      <c r="F23" s="12" t="n"/>
      <c r="G23" s="41" t="n"/>
      <c r="H23" s="41" t="n"/>
      <c r="I23" s="18" t="n"/>
      <c r="J23" s="18" t="n"/>
      <c r="K23" s="12" t="n"/>
      <c r="L23" s="12" t="n"/>
    </row>
    <row r="24" ht="22" customHeight="1">
      <c r="B24" s="16">
        <f>IF(C24="","PAR-"&amp;TEXT(COUNTA($C$5:C24),"000"))</f>
        <v/>
      </c>
      <c r="C24" s="14" t="n"/>
      <c r="D24" s="14" t="n"/>
      <c r="E24" s="14" t="n"/>
      <c r="F24" s="14" t="n"/>
      <c r="G24" s="42" t="n"/>
      <c r="H24" s="42" t="n"/>
      <c r="I24" s="19" t="n"/>
      <c r="J24" s="19" t="n"/>
      <c r="K24" s="14" t="n"/>
      <c r="L24" s="14" t="n"/>
    </row>
    <row r="25" ht="22" customHeight="1">
      <c r="B25" s="17">
        <f>IF(C25="","PAR-"&amp;TEXT(COUNTA($C$5:C25),"000"))</f>
        <v/>
      </c>
      <c r="C25" s="12" t="n"/>
      <c r="D25" s="12" t="n"/>
      <c r="E25" s="12" t="n"/>
      <c r="F25" s="12" t="n"/>
      <c r="G25" s="41" t="n"/>
      <c r="H25" s="41" t="n"/>
      <c r="I25" s="18" t="n"/>
      <c r="J25" s="18" t="n"/>
      <c r="K25" s="12" t="n"/>
      <c r="L25" s="12" t="n"/>
    </row>
    <row r="26" ht="22" customHeight="1">
      <c r="B26" s="16">
        <f>IF(C26="","PAR-"&amp;TEXT(COUNTA($C$5:C26),"000"))</f>
        <v/>
      </c>
      <c r="C26" s="14" t="n"/>
      <c r="D26" s="14" t="n"/>
      <c r="E26" s="14" t="n"/>
      <c r="F26" s="14" t="n"/>
      <c r="G26" s="42" t="n"/>
      <c r="H26" s="42" t="n"/>
      <c r="I26" s="19" t="n"/>
      <c r="J26" s="19" t="n"/>
      <c r="K26" s="14" t="n"/>
      <c r="L26" s="14" t="n"/>
    </row>
    <row r="27" ht="22" customHeight="1">
      <c r="B27" s="17">
        <f>IF(C27="","PAR-"&amp;TEXT(COUNTA($C$5:C27),"000"))</f>
        <v/>
      </c>
      <c r="C27" s="12" t="n"/>
      <c r="D27" s="12" t="n"/>
      <c r="E27" s="12" t="n"/>
      <c r="F27" s="12" t="n"/>
      <c r="G27" s="41" t="n"/>
      <c r="H27" s="41" t="n"/>
      <c r="I27" s="18" t="n"/>
      <c r="J27" s="18" t="n"/>
      <c r="K27" s="12" t="n"/>
      <c r="L27" s="12" t="n"/>
    </row>
    <row r="28" ht="22" customHeight="1">
      <c r="B28" s="16">
        <f>IF(C28="","PAR-"&amp;TEXT(COUNTA($C$5:C28),"000"))</f>
        <v/>
      </c>
      <c r="C28" s="14" t="n"/>
      <c r="D28" s="14" t="n"/>
      <c r="E28" s="14" t="n"/>
      <c r="F28" s="14" t="n"/>
      <c r="G28" s="42" t="n"/>
      <c r="H28" s="42" t="n"/>
      <c r="I28" s="19" t="n"/>
      <c r="J28" s="19" t="n"/>
      <c r="K28" s="14" t="n"/>
      <c r="L28" s="14" t="n"/>
    </row>
    <row r="29" ht="22" customHeight="1">
      <c r="B29" s="17">
        <f>IF(C29="","PAR-"&amp;TEXT(COUNTA($C$5:C29),"000"))</f>
        <v/>
      </c>
      <c r="C29" s="12" t="n"/>
      <c r="D29" s="12" t="n"/>
      <c r="E29" s="12" t="n"/>
      <c r="F29" s="12" t="n"/>
      <c r="G29" s="41" t="n"/>
      <c r="H29" s="41" t="n"/>
      <c r="I29" s="18" t="n"/>
      <c r="J29" s="18" t="n"/>
      <c r="K29" s="12" t="n"/>
      <c r="L29" s="12" t="n"/>
    </row>
    <row r="30" ht="22" customHeight="1">
      <c r="B30" s="16">
        <f>IF(C30="","PAR-"&amp;TEXT(COUNTA($C$5:C30),"000"))</f>
        <v/>
      </c>
      <c r="C30" s="14" t="n"/>
      <c r="D30" s="14" t="n"/>
      <c r="E30" s="14" t="n"/>
      <c r="F30" s="14" t="n"/>
      <c r="G30" s="42" t="n"/>
      <c r="H30" s="42" t="n"/>
      <c r="I30" s="19" t="n"/>
      <c r="J30" s="19" t="n"/>
      <c r="K30" s="14" t="n"/>
      <c r="L30" s="14" t="n"/>
    </row>
    <row r="31" ht="22" customHeight="1">
      <c r="B31" s="17">
        <f>IF(C31="","PAR-"&amp;TEXT(COUNTA($C$5:C31),"000"))</f>
        <v/>
      </c>
      <c r="C31" s="12" t="n"/>
      <c r="D31" s="12" t="n"/>
      <c r="E31" s="12" t="n"/>
      <c r="F31" s="12" t="n"/>
      <c r="G31" s="41" t="n"/>
      <c r="H31" s="41" t="n"/>
      <c r="I31" s="18" t="n"/>
      <c r="J31" s="18" t="n"/>
      <c r="K31" s="12" t="n"/>
      <c r="L31" s="12" t="n"/>
    </row>
    <row r="32" ht="22" customHeight="1">
      <c r="B32" s="16">
        <f>IF(C32="","PAR-"&amp;TEXT(COUNTA($C$5:C32),"000"))</f>
        <v/>
      </c>
      <c r="C32" s="14" t="n"/>
      <c r="D32" s="14" t="n"/>
      <c r="E32" s="14" t="n"/>
      <c r="F32" s="14" t="n"/>
      <c r="G32" s="42" t="n"/>
      <c r="H32" s="42" t="n"/>
      <c r="I32" s="19" t="n"/>
      <c r="J32" s="19" t="n"/>
      <c r="K32" s="14" t="n"/>
      <c r="L32" s="14" t="n"/>
    </row>
    <row r="33" ht="22" customHeight="1">
      <c r="B33" s="17">
        <f>IF(C33="","PAR-"&amp;TEXT(COUNTA($C$5:C33),"000"))</f>
        <v/>
      </c>
      <c r="C33" s="12" t="n"/>
      <c r="D33" s="12" t="n"/>
      <c r="E33" s="12" t="n"/>
      <c r="F33" s="12" t="n"/>
      <c r="G33" s="41" t="n"/>
      <c r="H33" s="41" t="n"/>
      <c r="I33" s="18" t="n"/>
      <c r="J33" s="18" t="n"/>
      <c r="K33" s="12" t="n"/>
      <c r="L33" s="12" t="n"/>
    </row>
    <row r="34" ht="22" customHeight="1">
      <c r="B34" s="16">
        <f>IF(C34="","PAR-"&amp;TEXT(COUNTA($C$5:C34),"000"))</f>
        <v/>
      </c>
      <c r="C34" s="14" t="n"/>
      <c r="D34" s="14" t="n"/>
      <c r="E34" s="14" t="n"/>
      <c r="F34" s="14" t="n"/>
      <c r="G34" s="42" t="n"/>
      <c r="H34" s="42" t="n"/>
      <c r="I34" s="19" t="n"/>
      <c r="J34" s="19" t="n"/>
      <c r="K34" s="14" t="n"/>
      <c r="L34" s="14" t="n"/>
    </row>
    <row r="35" ht="22" customHeight="1">
      <c r="B35" s="17">
        <f>IF(C35="","PAR-"&amp;TEXT(COUNTA($C$5:C35),"000"))</f>
        <v/>
      </c>
      <c r="C35" s="12" t="n"/>
      <c r="D35" s="12" t="n"/>
      <c r="E35" s="12" t="n"/>
      <c r="F35" s="12" t="n"/>
      <c r="G35" s="41" t="n"/>
      <c r="H35" s="41" t="n"/>
      <c r="I35" s="18" t="n"/>
      <c r="J35" s="18" t="n"/>
      <c r="K35" s="12" t="n"/>
      <c r="L35" s="12" t="n"/>
    </row>
    <row r="36" ht="22" customHeight="1">
      <c r="B36" s="16">
        <f>IF(C36="","PAR-"&amp;TEXT(COUNTA($C$5:C36),"000"))</f>
        <v/>
      </c>
      <c r="C36" s="14" t="n"/>
      <c r="D36" s="14" t="n"/>
      <c r="E36" s="14" t="n"/>
      <c r="F36" s="14" t="n"/>
      <c r="G36" s="42" t="n"/>
      <c r="H36" s="42" t="n"/>
      <c r="I36" s="19" t="n"/>
      <c r="J36" s="19" t="n"/>
      <c r="K36" s="14" t="n"/>
      <c r="L36" s="14" t="n"/>
    </row>
    <row r="37" ht="22" customHeight="1">
      <c r="B37" s="17">
        <f>IF(C37="","PAR-"&amp;TEXT(COUNTA($C$5:C37),"000"))</f>
        <v/>
      </c>
      <c r="C37" s="12" t="n"/>
      <c r="D37" s="12" t="n"/>
      <c r="E37" s="12" t="n"/>
      <c r="F37" s="12" t="n"/>
      <c r="G37" s="41" t="n"/>
      <c r="H37" s="41" t="n"/>
      <c r="I37" s="18" t="n"/>
      <c r="J37" s="18" t="n"/>
      <c r="K37" s="12" t="n"/>
      <c r="L37" s="12" t="n"/>
    </row>
    <row r="38" ht="22" customHeight="1">
      <c r="B38" s="16">
        <f>IF(C38="","PAR-"&amp;TEXT(COUNTA($C$5:C38),"000"))</f>
        <v/>
      </c>
      <c r="C38" s="14" t="n"/>
      <c r="D38" s="14" t="n"/>
      <c r="E38" s="14" t="n"/>
      <c r="F38" s="14" t="n"/>
      <c r="G38" s="42" t="n"/>
      <c r="H38" s="42" t="n"/>
      <c r="I38" s="19" t="n"/>
      <c r="J38" s="19" t="n"/>
      <c r="K38" s="14" t="n"/>
      <c r="L38" s="14" t="n"/>
    </row>
    <row r="39" ht="22" customHeight="1">
      <c r="B39" s="17">
        <f>IF(C39="","PAR-"&amp;TEXT(COUNTA($C$5:C39),"000"))</f>
        <v/>
      </c>
      <c r="C39" s="12" t="n"/>
      <c r="D39" s="12" t="n"/>
      <c r="E39" s="12" t="n"/>
      <c r="F39" s="12" t="n"/>
      <c r="G39" s="41" t="n"/>
      <c r="H39" s="41" t="n"/>
      <c r="I39" s="18" t="n"/>
      <c r="J39" s="18" t="n"/>
      <c r="K39" s="12" t="n"/>
      <c r="L39" s="12" t="n"/>
    </row>
    <row r="40" ht="22" customHeight="1">
      <c r="B40" s="16">
        <f>IF(C40="","PAR-"&amp;TEXT(COUNTA($C$5:C40),"000"))</f>
        <v/>
      </c>
      <c r="C40" s="14" t="n"/>
      <c r="D40" s="14" t="n"/>
      <c r="E40" s="14" t="n"/>
      <c r="F40" s="14" t="n"/>
      <c r="G40" s="42" t="n"/>
      <c r="H40" s="42" t="n"/>
      <c r="I40" s="19" t="n"/>
      <c r="J40" s="19" t="n"/>
      <c r="K40" s="14" t="n"/>
      <c r="L40" s="14" t="n"/>
    </row>
    <row r="41" ht="22" customHeight="1">
      <c r="B41" s="17">
        <f>IF(C41="","PAR-"&amp;TEXT(COUNTA($C$5:C41),"000"))</f>
        <v/>
      </c>
      <c r="C41" s="12" t="n"/>
      <c r="D41" s="12" t="n"/>
      <c r="E41" s="12" t="n"/>
      <c r="F41" s="12" t="n"/>
      <c r="G41" s="41" t="n"/>
      <c r="H41" s="41" t="n"/>
      <c r="I41" s="18" t="n"/>
      <c r="J41" s="18" t="n"/>
      <c r="K41" s="12" t="n"/>
      <c r="L41" s="12" t="n"/>
    </row>
    <row r="42" ht="22" customHeight="1">
      <c r="B42" s="16">
        <f>IF(C42="","PAR-"&amp;TEXT(COUNTA($C$5:C42),"000"))</f>
        <v/>
      </c>
      <c r="C42" s="14" t="n"/>
      <c r="D42" s="14" t="n"/>
      <c r="E42" s="14" t="n"/>
      <c r="F42" s="14" t="n"/>
      <c r="G42" s="42" t="n"/>
      <c r="H42" s="42" t="n"/>
      <c r="I42" s="19" t="n"/>
      <c r="J42" s="19" t="n"/>
      <c r="K42" s="14" t="n"/>
      <c r="L42" s="14" t="n"/>
    </row>
    <row r="43" ht="22" customHeight="1">
      <c r="B43" s="17">
        <f>IF(C43="","PAR-"&amp;TEXT(COUNTA($C$5:C43),"000"))</f>
        <v/>
      </c>
      <c r="C43" s="12" t="n"/>
      <c r="D43" s="12" t="n"/>
      <c r="E43" s="12" t="n"/>
      <c r="F43" s="12" t="n"/>
      <c r="G43" s="41" t="n"/>
      <c r="H43" s="41" t="n"/>
      <c r="I43" s="18" t="n"/>
      <c r="J43" s="18" t="n"/>
      <c r="K43" s="12" t="n"/>
      <c r="L43" s="12" t="n"/>
    </row>
    <row r="44" ht="22" customHeight="1">
      <c r="B44" s="16">
        <f>IF(C44="","PAR-"&amp;TEXT(COUNTA($C$5:C44),"000"))</f>
        <v/>
      </c>
      <c r="C44" s="14" t="n"/>
      <c r="D44" s="14" t="n"/>
      <c r="E44" s="14" t="n"/>
      <c r="F44" s="14" t="n"/>
      <c r="G44" s="42" t="n"/>
      <c r="H44" s="42" t="n"/>
      <c r="I44" s="19" t="n"/>
      <c r="J44" s="19" t="n"/>
      <c r="K44" s="14" t="n"/>
      <c r="L44" s="14" t="n"/>
    </row>
    <row r="45" ht="22" customHeight="1">
      <c r="B45" s="17">
        <f>IF(C45="","PAR-"&amp;TEXT(COUNTA($C$5:C45),"000"))</f>
        <v/>
      </c>
      <c r="C45" s="12" t="n"/>
      <c r="D45" s="12" t="n"/>
      <c r="E45" s="12" t="n"/>
      <c r="F45" s="12" t="n"/>
      <c r="G45" s="41" t="n"/>
      <c r="H45" s="41" t="n"/>
      <c r="I45" s="18" t="n"/>
      <c r="J45" s="18" t="n"/>
      <c r="K45" s="12" t="n"/>
      <c r="L45" s="12" t="n"/>
    </row>
    <row r="46" ht="22" customHeight="1">
      <c r="B46" s="16">
        <f>IF(C46="","PAR-"&amp;TEXT(COUNTA($C$5:C46),"000"))</f>
        <v/>
      </c>
      <c r="C46" s="14" t="n"/>
      <c r="D46" s="14" t="n"/>
      <c r="E46" s="14" t="n"/>
      <c r="F46" s="14" t="n"/>
      <c r="G46" s="42" t="n"/>
      <c r="H46" s="42" t="n"/>
      <c r="I46" s="19" t="n"/>
      <c r="J46" s="19" t="n"/>
      <c r="K46" s="14" t="n"/>
      <c r="L46" s="14" t="n"/>
    </row>
    <row r="47" ht="22" customHeight="1">
      <c r="B47" s="17">
        <f>IF(C47="","PAR-"&amp;TEXT(COUNTA($C$5:C47),"000"))</f>
        <v/>
      </c>
      <c r="C47" s="12" t="n"/>
      <c r="D47" s="12" t="n"/>
      <c r="E47" s="12" t="n"/>
      <c r="F47" s="12" t="n"/>
      <c r="G47" s="41" t="n"/>
      <c r="H47" s="41" t="n"/>
      <c r="I47" s="18" t="n"/>
      <c r="J47" s="18" t="n"/>
      <c r="K47" s="12" t="n"/>
      <c r="L47" s="12" t="n"/>
    </row>
    <row r="48" ht="22" customHeight="1">
      <c r="B48" s="16">
        <f>IF(C48="","PAR-"&amp;TEXT(COUNTA($C$5:C48),"000"))</f>
        <v/>
      </c>
      <c r="C48" s="14" t="n"/>
      <c r="D48" s="14" t="n"/>
      <c r="E48" s="14" t="n"/>
      <c r="F48" s="14" t="n"/>
      <c r="G48" s="42" t="n"/>
      <c r="H48" s="42" t="n"/>
      <c r="I48" s="19" t="n"/>
      <c r="J48" s="19" t="n"/>
      <c r="K48" s="14" t="n"/>
      <c r="L48" s="14" t="n"/>
    </row>
    <row r="49" ht="22" customHeight="1">
      <c r="B49" s="17">
        <f>IF(C49="","PAR-"&amp;TEXT(COUNTA($C$5:C49),"000"))</f>
        <v/>
      </c>
      <c r="C49" s="12" t="n"/>
      <c r="D49" s="12" t="n"/>
      <c r="E49" s="12" t="n"/>
      <c r="F49" s="12" t="n"/>
      <c r="G49" s="41" t="n"/>
      <c r="H49" s="41" t="n"/>
      <c r="I49" s="18" t="n"/>
      <c r="J49" s="18" t="n"/>
      <c r="K49" s="12" t="n"/>
      <c r="L49" s="12" t="n"/>
    </row>
    <row r="50" ht="22" customHeight="1">
      <c r="B50" s="16">
        <f>IF(C50="","PAR-"&amp;TEXT(COUNTA($C$5:C50),"000"))</f>
        <v/>
      </c>
      <c r="C50" s="14" t="n"/>
      <c r="D50" s="14" t="n"/>
      <c r="E50" s="14" t="n"/>
      <c r="F50" s="14" t="n"/>
      <c r="G50" s="42" t="n"/>
      <c r="H50" s="42" t="n"/>
      <c r="I50" s="19" t="n"/>
      <c r="J50" s="19" t="n"/>
      <c r="K50" s="14" t="n"/>
      <c r="L50" s="14" t="n"/>
    </row>
    <row r="51" ht="22" customHeight="1">
      <c r="B51" s="17">
        <f>IF(C51="","PAR-"&amp;TEXT(COUNTA($C$5:C51),"000"))</f>
        <v/>
      </c>
      <c r="C51" s="12" t="n"/>
      <c r="D51" s="12" t="n"/>
      <c r="E51" s="12" t="n"/>
      <c r="F51" s="12" t="n"/>
      <c r="G51" s="41" t="n"/>
      <c r="H51" s="41" t="n"/>
      <c r="I51" s="18" t="n"/>
      <c r="J51" s="18" t="n"/>
      <c r="K51" s="12" t="n"/>
      <c r="L51" s="12" t="n"/>
    </row>
    <row r="52" ht="22" customHeight="1">
      <c r="B52" s="16">
        <f>IF(C52="","PAR-"&amp;TEXT(COUNTA($C$5:C52),"000"))</f>
        <v/>
      </c>
      <c r="C52" s="14" t="n"/>
      <c r="D52" s="14" t="n"/>
      <c r="E52" s="14" t="n"/>
      <c r="F52" s="14" t="n"/>
      <c r="G52" s="42" t="n"/>
      <c r="H52" s="42" t="n"/>
      <c r="I52" s="19" t="n"/>
      <c r="J52" s="19" t="n"/>
      <c r="K52" s="14" t="n"/>
      <c r="L52" s="14" t="n"/>
    </row>
    <row r="53" ht="22" customHeight="1">
      <c r="B53" s="17">
        <f>IF(C53="","PAR-"&amp;TEXT(COUNTA($C$5:C53),"000"))</f>
        <v/>
      </c>
      <c r="C53" s="12" t="n"/>
      <c r="D53" s="12" t="n"/>
      <c r="E53" s="12" t="n"/>
      <c r="F53" s="12" t="n"/>
      <c r="G53" s="41" t="n"/>
      <c r="H53" s="41" t="n"/>
      <c r="I53" s="18" t="n"/>
      <c r="J53" s="18" t="n"/>
      <c r="K53" s="12" t="n"/>
      <c r="L53" s="12" t="n"/>
    </row>
    <row r="54" ht="22" customHeight="1">
      <c r="B54" s="16">
        <f>IF(C54="","PAR-"&amp;TEXT(COUNTA($C$5:C54),"000"))</f>
        <v/>
      </c>
      <c r="C54" s="14" t="n"/>
      <c r="D54" s="14" t="n"/>
      <c r="E54" s="14" t="n"/>
      <c r="F54" s="14" t="n"/>
      <c r="G54" s="42" t="n"/>
      <c r="H54" s="42" t="n"/>
      <c r="I54" s="19" t="n"/>
      <c r="J54" s="19" t="n"/>
      <c r="K54" s="14" t="n"/>
      <c r="L54" s="14" t="n"/>
    </row>
    <row r="55" ht="22" customHeight="1">
      <c r="B55" s="17">
        <f>IF(C55="","PAR-"&amp;TEXT(COUNTA($C$5:C55),"000"))</f>
        <v/>
      </c>
      <c r="C55" s="12" t="n"/>
      <c r="D55" s="12" t="n"/>
      <c r="E55" s="12" t="n"/>
      <c r="F55" s="12" t="n"/>
      <c r="G55" s="41" t="n"/>
      <c r="H55" s="41" t="n"/>
      <c r="I55" s="18" t="n"/>
      <c r="J55" s="18" t="n"/>
      <c r="K55" s="12" t="n"/>
      <c r="L55" s="12" t="n"/>
    </row>
    <row r="56" ht="22" customHeight="1">
      <c r="B56" s="16">
        <f>IF(C56="","PAR-"&amp;TEXT(COUNTA($C$5:C56),"000"))</f>
        <v/>
      </c>
      <c r="C56" s="14" t="n"/>
      <c r="D56" s="14" t="n"/>
      <c r="E56" s="14" t="n"/>
      <c r="F56" s="14" t="n"/>
      <c r="G56" s="42" t="n"/>
      <c r="H56" s="42" t="n"/>
      <c r="I56" s="19" t="n"/>
      <c r="J56" s="19" t="n"/>
      <c r="K56" s="14" t="n"/>
      <c r="L56" s="14" t="n"/>
    </row>
    <row r="57" ht="22" customHeight="1">
      <c r="B57" s="17">
        <f>IF(C57="","PAR-"&amp;TEXT(COUNTA($C$5:C57),"000"))</f>
        <v/>
      </c>
      <c r="C57" s="12" t="n"/>
      <c r="D57" s="12" t="n"/>
      <c r="E57" s="12" t="n"/>
      <c r="F57" s="12" t="n"/>
      <c r="G57" s="41" t="n"/>
      <c r="H57" s="41" t="n"/>
      <c r="I57" s="18" t="n"/>
      <c r="J57" s="18" t="n"/>
      <c r="K57" s="12" t="n"/>
      <c r="L57" s="12" t="n"/>
    </row>
    <row r="58" ht="22" customHeight="1">
      <c r="B58" s="16">
        <f>IF(C58="","PAR-"&amp;TEXT(COUNTA($C$5:C58),"000"))</f>
        <v/>
      </c>
      <c r="C58" s="14" t="n"/>
      <c r="D58" s="14" t="n"/>
      <c r="E58" s="14" t="n"/>
      <c r="F58" s="14" t="n"/>
      <c r="G58" s="42" t="n"/>
      <c r="H58" s="42" t="n"/>
      <c r="I58" s="19" t="n"/>
      <c r="J58" s="19" t="n"/>
      <c r="K58" s="14" t="n"/>
      <c r="L58" s="14" t="n"/>
    </row>
    <row r="59" ht="22" customHeight="1">
      <c r="B59" s="17">
        <f>IF(C59="","PAR-"&amp;TEXT(COUNTA($C$5:C59),"000"))</f>
        <v/>
      </c>
      <c r="C59" s="12" t="n"/>
      <c r="D59" s="12" t="n"/>
      <c r="E59" s="12" t="n"/>
      <c r="F59" s="12" t="n"/>
      <c r="G59" s="41" t="n"/>
      <c r="H59" s="41" t="n"/>
      <c r="I59" s="18" t="n"/>
      <c r="J59" s="18" t="n"/>
      <c r="K59" s="12" t="n"/>
      <c r="L59" s="12" t="n"/>
    </row>
    <row r="60" ht="22" customHeight="1">
      <c r="B60" s="16">
        <f>IF(C60="","PAR-"&amp;TEXT(COUNTA($C$5:C60),"000"))</f>
        <v/>
      </c>
      <c r="C60" s="14" t="n"/>
      <c r="D60" s="14" t="n"/>
      <c r="E60" s="14" t="n"/>
      <c r="F60" s="14" t="n"/>
      <c r="G60" s="42" t="n"/>
      <c r="H60" s="42" t="n"/>
      <c r="I60" s="19" t="n"/>
      <c r="J60" s="19" t="n"/>
      <c r="K60" s="14" t="n"/>
      <c r="L60" s="14" t="n"/>
    </row>
    <row r="61" ht="22" customHeight="1">
      <c r="B61" s="17">
        <f>IF(C61="","PAR-"&amp;TEXT(COUNTA($C$5:C61),"000"))</f>
        <v/>
      </c>
      <c r="C61" s="12" t="n"/>
      <c r="D61" s="12" t="n"/>
      <c r="E61" s="12" t="n"/>
      <c r="F61" s="12" t="n"/>
      <c r="G61" s="41" t="n"/>
      <c r="H61" s="41" t="n"/>
      <c r="I61" s="18" t="n"/>
      <c r="J61" s="18" t="n"/>
      <c r="K61" s="12" t="n"/>
      <c r="L61" s="12" t="n"/>
    </row>
    <row r="62" ht="22" customHeight="1">
      <c r="B62" s="16">
        <f>IF(C62="","PAR-"&amp;TEXT(COUNTA($C$5:C62),"000"))</f>
        <v/>
      </c>
      <c r="C62" s="14" t="n"/>
      <c r="D62" s="14" t="n"/>
      <c r="E62" s="14" t="n"/>
      <c r="F62" s="14" t="n"/>
      <c r="G62" s="42" t="n"/>
      <c r="H62" s="42" t="n"/>
      <c r="I62" s="19" t="n"/>
      <c r="J62" s="19" t="n"/>
      <c r="K62" s="14" t="n"/>
      <c r="L62" s="14" t="n"/>
    </row>
    <row r="63" ht="22" customHeight="1">
      <c r="B63" s="17">
        <f>IF(C63="","PAR-"&amp;TEXT(COUNTA($C$5:C63),"000"))</f>
        <v/>
      </c>
      <c r="C63" s="12" t="n"/>
      <c r="D63" s="12" t="n"/>
      <c r="E63" s="12" t="n"/>
      <c r="F63" s="12" t="n"/>
      <c r="G63" s="41" t="n"/>
      <c r="H63" s="41" t="n"/>
      <c r="I63" s="18" t="n"/>
      <c r="J63" s="18" t="n"/>
      <c r="K63" s="12" t="n"/>
      <c r="L63" s="12" t="n"/>
    </row>
    <row r="64" ht="22" customHeight="1">
      <c r="B64" s="16">
        <f>IF(C64="","PAR-"&amp;TEXT(COUNTA($C$5:C64),"000"))</f>
        <v/>
      </c>
      <c r="C64" s="14" t="n"/>
      <c r="D64" s="14" t="n"/>
      <c r="E64" s="14" t="n"/>
      <c r="F64" s="14" t="n"/>
      <c r="G64" s="42" t="n"/>
      <c r="H64" s="42" t="n"/>
      <c r="I64" s="19" t="n"/>
      <c r="J64" s="19" t="n"/>
      <c r="K64" s="14" t="n"/>
      <c r="L64" s="14" t="n"/>
    </row>
    <row r="65" ht="22" customHeight="1">
      <c r="B65" s="17">
        <f>IF(C65="","PAR-"&amp;TEXT(COUNTA($C$5:C65),"000"))</f>
        <v/>
      </c>
      <c r="C65" s="12" t="n"/>
      <c r="D65" s="12" t="n"/>
      <c r="E65" s="12" t="n"/>
      <c r="F65" s="12" t="n"/>
      <c r="G65" s="41" t="n"/>
      <c r="H65" s="41" t="n"/>
      <c r="I65" s="18" t="n"/>
      <c r="J65" s="18" t="n"/>
      <c r="K65" s="12" t="n"/>
      <c r="L65" s="12" t="n"/>
    </row>
    <row r="66" ht="22" customHeight="1">
      <c r="B66" s="16">
        <f>IF(C66="","PAR-"&amp;TEXT(COUNTA($C$5:C66),"000"))</f>
        <v/>
      </c>
      <c r="C66" s="14" t="n"/>
      <c r="D66" s="14" t="n"/>
      <c r="E66" s="14" t="n"/>
      <c r="F66" s="14" t="n"/>
      <c r="G66" s="42" t="n"/>
      <c r="H66" s="42" t="n"/>
      <c r="I66" s="19" t="n"/>
      <c r="J66" s="19" t="n"/>
      <c r="K66" s="14" t="n"/>
      <c r="L66" s="14" t="n"/>
    </row>
    <row r="67" ht="22" customHeight="1">
      <c r="B67" s="17">
        <f>IF(C67="","PAR-"&amp;TEXT(COUNTA($C$5:C67),"000"))</f>
        <v/>
      </c>
      <c r="C67" s="12" t="n"/>
      <c r="D67" s="12" t="n"/>
      <c r="E67" s="12" t="n"/>
      <c r="F67" s="12" t="n"/>
      <c r="G67" s="41" t="n"/>
      <c r="H67" s="41" t="n"/>
      <c r="I67" s="18" t="n"/>
      <c r="J67" s="18" t="n"/>
      <c r="K67" s="12" t="n"/>
      <c r="L67" s="12" t="n"/>
    </row>
    <row r="68" ht="22" customHeight="1">
      <c r="B68" s="16">
        <f>IF(C68="","PAR-"&amp;TEXT(COUNTA($C$5:C68),"000"))</f>
        <v/>
      </c>
      <c r="C68" s="14" t="n"/>
      <c r="D68" s="14" t="n"/>
      <c r="E68" s="14" t="n"/>
      <c r="F68" s="14" t="n"/>
      <c r="G68" s="42" t="n"/>
      <c r="H68" s="42" t="n"/>
      <c r="I68" s="19" t="n"/>
      <c r="J68" s="19" t="n"/>
      <c r="K68" s="14" t="n"/>
      <c r="L68" s="14" t="n"/>
    </row>
    <row r="69" ht="22" customHeight="1">
      <c r="B69" s="17">
        <f>IF(C69="","PAR-"&amp;TEXT(COUNTA($C$5:C69),"000"))</f>
        <v/>
      </c>
      <c r="C69" s="12" t="n"/>
      <c r="D69" s="12" t="n"/>
      <c r="E69" s="12" t="n"/>
      <c r="F69" s="12" t="n"/>
      <c r="G69" s="41" t="n"/>
      <c r="H69" s="41" t="n"/>
      <c r="I69" s="18" t="n"/>
      <c r="J69" s="18" t="n"/>
      <c r="K69" s="12" t="n"/>
      <c r="L69" s="12" t="n"/>
    </row>
    <row r="70" ht="22" customHeight="1">
      <c r="B70" s="16">
        <f>IF(C70="","PAR-"&amp;TEXT(COUNTA($C$5:C70),"000"))</f>
        <v/>
      </c>
      <c r="C70" s="14" t="n"/>
      <c r="D70" s="14" t="n"/>
      <c r="E70" s="14" t="n"/>
      <c r="F70" s="14" t="n"/>
      <c r="G70" s="42" t="n"/>
      <c r="H70" s="42" t="n"/>
      <c r="I70" s="19" t="n"/>
      <c r="J70" s="19" t="n"/>
      <c r="K70" s="14" t="n"/>
      <c r="L70" s="14" t="n"/>
    </row>
    <row r="71" ht="22" customHeight="1">
      <c r="B71" s="17">
        <f>IF(C71="","PAR-"&amp;TEXT(COUNTA($C$5:C71),"000"))</f>
        <v/>
      </c>
      <c r="C71" s="12" t="n"/>
      <c r="D71" s="12" t="n"/>
      <c r="E71" s="12" t="n"/>
      <c r="F71" s="12" t="n"/>
      <c r="G71" s="41" t="n"/>
      <c r="H71" s="41" t="n"/>
      <c r="I71" s="18" t="n"/>
      <c r="J71" s="18" t="n"/>
      <c r="K71" s="12" t="n"/>
      <c r="L71" s="12" t="n"/>
    </row>
    <row r="72" ht="22" customHeight="1">
      <c r="B72" s="16">
        <f>IF(C72="","PAR-"&amp;TEXT(COUNTA($C$5:C72),"000"))</f>
        <v/>
      </c>
      <c r="C72" s="14" t="n"/>
      <c r="D72" s="14" t="n"/>
      <c r="E72" s="14" t="n"/>
      <c r="F72" s="14" t="n"/>
      <c r="G72" s="42" t="n"/>
      <c r="H72" s="42" t="n"/>
      <c r="I72" s="19" t="n"/>
      <c r="J72" s="19" t="n"/>
      <c r="K72" s="14" t="n"/>
      <c r="L72" s="14" t="n"/>
    </row>
    <row r="73" ht="22" customHeight="1">
      <c r="B73" s="17">
        <f>IF(C73="","PAR-"&amp;TEXT(COUNTA($C$5:C73),"000"))</f>
        <v/>
      </c>
      <c r="C73" s="12" t="n"/>
      <c r="D73" s="12" t="n"/>
      <c r="E73" s="12" t="n"/>
      <c r="F73" s="12" t="n"/>
      <c r="G73" s="41" t="n"/>
      <c r="H73" s="41" t="n"/>
      <c r="I73" s="18" t="n"/>
      <c r="J73" s="18" t="n"/>
      <c r="K73" s="12" t="n"/>
      <c r="L73" s="12" t="n"/>
    </row>
    <row r="74" ht="22" customHeight="1">
      <c r="B74" s="16">
        <f>IF(C74="","PAR-"&amp;TEXT(COUNTA($C$5:C74),"000"))</f>
        <v/>
      </c>
      <c r="C74" s="14" t="n"/>
      <c r="D74" s="14" t="n"/>
      <c r="E74" s="14" t="n"/>
      <c r="F74" s="14" t="n"/>
      <c r="G74" s="42" t="n"/>
      <c r="H74" s="42" t="n"/>
      <c r="I74" s="19" t="n"/>
      <c r="J74" s="19" t="n"/>
      <c r="K74" s="14" t="n"/>
      <c r="L74" s="14" t="n"/>
    </row>
    <row r="75" ht="22" customHeight="1">
      <c r="B75" s="17">
        <f>IF(C75="","PAR-"&amp;TEXT(COUNTA($C$5:C75),"000"))</f>
        <v/>
      </c>
      <c r="C75" s="12" t="n"/>
      <c r="D75" s="12" t="n"/>
      <c r="E75" s="12" t="n"/>
      <c r="F75" s="12" t="n"/>
      <c r="G75" s="41" t="n"/>
      <c r="H75" s="41" t="n"/>
      <c r="I75" s="18" t="n"/>
      <c r="J75" s="18" t="n"/>
      <c r="K75" s="12" t="n"/>
      <c r="L75" s="12" t="n"/>
    </row>
    <row r="76" ht="22" customHeight="1">
      <c r="B76" s="16">
        <f>IF(C76="","PAR-"&amp;TEXT(COUNTA($C$5:C76),"000"))</f>
        <v/>
      </c>
      <c r="C76" s="14" t="n"/>
      <c r="D76" s="14" t="n"/>
      <c r="E76" s="14" t="n"/>
      <c r="F76" s="14" t="n"/>
      <c r="G76" s="42" t="n"/>
      <c r="H76" s="42" t="n"/>
      <c r="I76" s="19" t="n"/>
      <c r="J76" s="19" t="n"/>
      <c r="K76" s="14" t="n"/>
      <c r="L76" s="14" t="n"/>
    </row>
    <row r="77" ht="22" customHeight="1">
      <c r="B77" s="17">
        <f>IF(C77="","PAR-"&amp;TEXT(COUNTA($C$5:C77),"000"))</f>
        <v/>
      </c>
      <c r="C77" s="12" t="n"/>
      <c r="D77" s="12" t="n"/>
      <c r="E77" s="12" t="n"/>
      <c r="F77" s="12" t="n"/>
      <c r="G77" s="41" t="n"/>
      <c r="H77" s="41" t="n"/>
      <c r="I77" s="18" t="n"/>
      <c r="J77" s="18" t="n"/>
      <c r="K77" s="12" t="n"/>
      <c r="L77" s="12" t="n"/>
    </row>
    <row r="78" ht="22" customHeight="1">
      <c r="B78" s="16">
        <f>IF(C78="","PAR-"&amp;TEXT(COUNTA($C$5:C78),"000"))</f>
        <v/>
      </c>
      <c r="C78" s="14" t="n"/>
      <c r="D78" s="14" t="n"/>
      <c r="E78" s="14" t="n"/>
      <c r="F78" s="14" t="n"/>
      <c r="G78" s="42" t="n"/>
      <c r="H78" s="42" t="n"/>
      <c r="I78" s="19" t="n"/>
      <c r="J78" s="19" t="n"/>
      <c r="K78" s="14" t="n"/>
      <c r="L78" s="14" t="n"/>
    </row>
    <row r="79" ht="22" customHeight="1">
      <c r="B79" s="17">
        <f>IF(C79="","PAR-"&amp;TEXT(COUNTA($C$5:C79),"000"))</f>
        <v/>
      </c>
      <c r="C79" s="12" t="n"/>
      <c r="D79" s="12" t="n"/>
      <c r="E79" s="12" t="n"/>
      <c r="F79" s="12" t="n"/>
      <c r="G79" s="41" t="n"/>
      <c r="H79" s="41" t="n"/>
      <c r="I79" s="18" t="n"/>
      <c r="J79" s="18" t="n"/>
      <c r="K79" s="12" t="n"/>
      <c r="L79" s="12" t="n"/>
    </row>
    <row r="80" ht="22" customHeight="1">
      <c r="B80" s="16">
        <f>IF(C80="","PAR-"&amp;TEXT(COUNTA($C$5:C80),"000"))</f>
        <v/>
      </c>
      <c r="C80" s="14" t="n"/>
      <c r="D80" s="14" t="n"/>
      <c r="E80" s="14" t="n"/>
      <c r="F80" s="14" t="n"/>
      <c r="G80" s="42" t="n"/>
      <c r="H80" s="42" t="n"/>
      <c r="I80" s="19" t="n"/>
      <c r="J80" s="19" t="n"/>
      <c r="K80" s="14" t="n"/>
      <c r="L80" s="14" t="n"/>
    </row>
    <row r="81" ht="22" customHeight="1">
      <c r="B81" s="17">
        <f>IF(C81="","PAR-"&amp;TEXT(COUNTA($C$5:C81),"000"))</f>
        <v/>
      </c>
      <c r="C81" s="12" t="n"/>
      <c r="D81" s="12" t="n"/>
      <c r="E81" s="12" t="n"/>
      <c r="F81" s="12" t="n"/>
      <c r="G81" s="41" t="n"/>
      <c r="H81" s="41" t="n"/>
      <c r="I81" s="18" t="n"/>
      <c r="J81" s="18" t="n"/>
      <c r="K81" s="12" t="n"/>
      <c r="L81" s="12" t="n"/>
    </row>
    <row r="82" ht="22" customHeight="1">
      <c r="B82" s="16">
        <f>IF(C82="","PAR-"&amp;TEXT(COUNTA($C$5:C82),"000"))</f>
        <v/>
      </c>
      <c r="C82" s="14" t="n"/>
      <c r="D82" s="14" t="n"/>
      <c r="E82" s="14" t="n"/>
      <c r="F82" s="14" t="n"/>
      <c r="G82" s="42" t="n"/>
      <c r="H82" s="42" t="n"/>
      <c r="I82" s="19" t="n"/>
      <c r="J82" s="19" t="n"/>
      <c r="K82" s="14" t="n"/>
      <c r="L82" s="14" t="n"/>
    </row>
    <row r="83" ht="22" customHeight="1">
      <c r="B83" s="17">
        <f>IF(C83="","PAR-"&amp;TEXT(COUNTA($C$5:C83),"000"))</f>
        <v/>
      </c>
      <c r="C83" s="12" t="n"/>
      <c r="D83" s="12" t="n"/>
      <c r="E83" s="12" t="n"/>
      <c r="F83" s="12" t="n"/>
      <c r="G83" s="41" t="n"/>
      <c r="H83" s="41" t="n"/>
      <c r="I83" s="18" t="n"/>
      <c r="J83" s="18" t="n"/>
      <c r="K83" s="12" t="n"/>
      <c r="L83" s="12" t="n"/>
    </row>
    <row r="84" ht="22" customHeight="1">
      <c r="B84" s="16">
        <f>IF(C84="","PAR-"&amp;TEXT(COUNTA($C$5:C84),"000"))</f>
        <v/>
      </c>
      <c r="C84" s="14" t="n"/>
      <c r="D84" s="14" t="n"/>
      <c r="E84" s="14" t="n"/>
      <c r="F84" s="14" t="n"/>
      <c r="G84" s="42" t="n"/>
      <c r="H84" s="42" t="n"/>
      <c r="I84" s="19" t="n"/>
      <c r="J84" s="19" t="n"/>
      <c r="K84" s="14" t="n"/>
      <c r="L84" s="14" t="n"/>
    </row>
    <row r="85" ht="22" customHeight="1">
      <c r="B85" s="17">
        <f>IF(C85="","PAR-"&amp;TEXT(COUNTA($C$5:C85),"000"))</f>
        <v/>
      </c>
      <c r="C85" s="12" t="n"/>
      <c r="D85" s="12" t="n"/>
      <c r="E85" s="12" t="n"/>
      <c r="F85" s="12" t="n"/>
      <c r="G85" s="41" t="n"/>
      <c r="H85" s="41" t="n"/>
      <c r="I85" s="18" t="n"/>
      <c r="J85" s="18" t="n"/>
      <c r="K85" s="12" t="n"/>
      <c r="L85" s="12" t="n"/>
    </row>
    <row r="86" ht="22" customHeight="1">
      <c r="B86" s="16">
        <f>IF(C86="","PAR-"&amp;TEXT(COUNTA($C$5:C86),"000"))</f>
        <v/>
      </c>
      <c r="C86" s="14" t="n"/>
      <c r="D86" s="14" t="n"/>
      <c r="E86" s="14" t="n"/>
      <c r="F86" s="14" t="n"/>
      <c r="G86" s="42" t="n"/>
      <c r="H86" s="42" t="n"/>
      <c r="I86" s="19" t="n"/>
      <c r="J86" s="19" t="n"/>
      <c r="K86" s="14" t="n"/>
      <c r="L86" s="14" t="n"/>
    </row>
    <row r="87" ht="22" customHeight="1">
      <c r="B87" s="17">
        <f>IF(C87="","PAR-"&amp;TEXT(COUNTA($C$5:C87),"000"))</f>
        <v/>
      </c>
      <c r="C87" s="12" t="n"/>
      <c r="D87" s="12" t="n"/>
      <c r="E87" s="12" t="n"/>
      <c r="F87" s="12" t="n"/>
      <c r="G87" s="41" t="n"/>
      <c r="H87" s="41" t="n"/>
      <c r="I87" s="18" t="n"/>
      <c r="J87" s="18" t="n"/>
      <c r="K87" s="12" t="n"/>
      <c r="L87" s="12" t="n"/>
    </row>
    <row r="88" ht="22" customHeight="1">
      <c r="B88" s="16">
        <f>IF(C88="","PAR-"&amp;TEXT(COUNTA($C$5:C88),"000"))</f>
        <v/>
      </c>
      <c r="C88" s="14" t="n"/>
      <c r="D88" s="14" t="n"/>
      <c r="E88" s="14" t="n"/>
      <c r="F88" s="14" t="n"/>
      <c r="G88" s="42" t="n"/>
      <c r="H88" s="42" t="n"/>
      <c r="I88" s="19" t="n"/>
      <c r="J88" s="19" t="n"/>
      <c r="K88" s="14" t="n"/>
      <c r="L88" s="14" t="n"/>
    </row>
    <row r="89" ht="22" customHeight="1">
      <c r="B89" s="17">
        <f>IF(C89="","PAR-"&amp;TEXT(COUNTA($C$5:C89),"000"))</f>
        <v/>
      </c>
      <c r="C89" s="12" t="n"/>
      <c r="D89" s="12" t="n"/>
      <c r="E89" s="12" t="n"/>
      <c r="F89" s="12" t="n"/>
      <c r="G89" s="41" t="n"/>
      <c r="H89" s="41" t="n"/>
      <c r="I89" s="18" t="n"/>
      <c r="J89" s="18" t="n"/>
      <c r="K89" s="12" t="n"/>
      <c r="L89" s="12" t="n"/>
    </row>
    <row r="90" ht="22" customHeight="1">
      <c r="B90" s="16">
        <f>IF(C90="","PAR-"&amp;TEXT(COUNTA($C$5:C90),"000"))</f>
        <v/>
      </c>
      <c r="C90" s="14" t="n"/>
      <c r="D90" s="14" t="n"/>
      <c r="E90" s="14" t="n"/>
      <c r="F90" s="14" t="n"/>
      <c r="G90" s="42" t="n"/>
      <c r="H90" s="42" t="n"/>
      <c r="I90" s="19" t="n"/>
      <c r="J90" s="19" t="n"/>
      <c r="K90" s="14" t="n"/>
      <c r="L90" s="14" t="n"/>
    </row>
    <row r="91" ht="22" customHeight="1">
      <c r="B91" s="17">
        <f>IF(C91="","PAR-"&amp;TEXT(COUNTA($C$5:C91),"000"))</f>
        <v/>
      </c>
      <c r="C91" s="12" t="n"/>
      <c r="D91" s="12" t="n"/>
      <c r="E91" s="12" t="n"/>
      <c r="F91" s="12" t="n"/>
      <c r="G91" s="41" t="n"/>
      <c r="H91" s="41" t="n"/>
      <c r="I91" s="18" t="n"/>
      <c r="J91" s="18" t="n"/>
      <c r="K91" s="12" t="n"/>
      <c r="L91" s="12" t="n"/>
    </row>
    <row r="92" ht="22" customHeight="1">
      <c r="B92" s="16">
        <f>IF(C92="","PAR-"&amp;TEXT(COUNTA($C$5:C92),"000"))</f>
        <v/>
      </c>
      <c r="C92" s="14" t="n"/>
      <c r="D92" s="14" t="n"/>
      <c r="E92" s="14" t="n"/>
      <c r="F92" s="14" t="n"/>
      <c r="G92" s="42" t="n"/>
      <c r="H92" s="42" t="n"/>
      <c r="I92" s="19" t="n"/>
      <c r="J92" s="19" t="n"/>
      <c r="K92" s="14" t="n"/>
      <c r="L92" s="14" t="n"/>
    </row>
    <row r="93" ht="22" customHeight="1">
      <c r="B93" s="17">
        <f>IF(C93="","PAR-"&amp;TEXT(COUNTA($C$5:C93),"000"))</f>
        <v/>
      </c>
      <c r="C93" s="12" t="n"/>
      <c r="D93" s="12" t="n"/>
      <c r="E93" s="12" t="n"/>
      <c r="F93" s="12" t="n"/>
      <c r="G93" s="41" t="n"/>
      <c r="H93" s="41" t="n"/>
      <c r="I93" s="18" t="n"/>
      <c r="J93" s="18" t="n"/>
      <c r="K93" s="12" t="n"/>
      <c r="L93" s="12" t="n"/>
    </row>
    <row r="94" ht="22" customHeight="1">
      <c r="B94" s="16">
        <f>IF(C94="","PAR-"&amp;TEXT(COUNTA($C$5:C94),"000"))</f>
        <v/>
      </c>
      <c r="C94" s="14" t="n"/>
      <c r="D94" s="14" t="n"/>
      <c r="E94" s="14" t="n"/>
      <c r="F94" s="14" t="n"/>
      <c r="G94" s="42" t="n"/>
      <c r="H94" s="42" t="n"/>
      <c r="I94" s="19" t="n"/>
      <c r="J94" s="19" t="n"/>
      <c r="K94" s="14" t="n"/>
      <c r="L94" s="14" t="n"/>
    </row>
    <row r="95" ht="22" customHeight="1">
      <c r="B95" s="17">
        <f>IF(C95="","PAR-"&amp;TEXT(COUNTA($C$5:C95),"000"))</f>
        <v/>
      </c>
      <c r="C95" s="12" t="n"/>
      <c r="D95" s="12" t="n"/>
      <c r="E95" s="12" t="n"/>
      <c r="F95" s="12" t="n"/>
      <c r="G95" s="41" t="n"/>
      <c r="H95" s="41" t="n"/>
      <c r="I95" s="18" t="n"/>
      <c r="J95" s="18" t="n"/>
      <c r="K95" s="12" t="n"/>
      <c r="L95" s="12" t="n"/>
    </row>
    <row r="96" ht="22" customHeight="1">
      <c r="B96" s="16">
        <f>IF(C96="","PAR-"&amp;TEXT(COUNTA($C$5:C96),"000"))</f>
        <v/>
      </c>
      <c r="C96" s="14" t="n"/>
      <c r="D96" s="14" t="n"/>
      <c r="E96" s="14" t="n"/>
      <c r="F96" s="14" t="n"/>
      <c r="G96" s="42" t="n"/>
      <c r="H96" s="42" t="n"/>
      <c r="I96" s="19" t="n"/>
      <c r="J96" s="19" t="n"/>
      <c r="K96" s="14" t="n"/>
      <c r="L96" s="14" t="n"/>
    </row>
    <row r="97" ht="22" customHeight="1">
      <c r="B97" s="17">
        <f>IF(C97="","PAR-"&amp;TEXT(COUNTA($C$5:C97),"000"))</f>
        <v/>
      </c>
      <c r="C97" s="12" t="n"/>
      <c r="D97" s="12" t="n"/>
      <c r="E97" s="12" t="n"/>
      <c r="F97" s="12" t="n"/>
      <c r="G97" s="41" t="n"/>
      <c r="H97" s="41" t="n"/>
      <c r="I97" s="18" t="n"/>
      <c r="J97" s="18" t="n"/>
      <c r="K97" s="12" t="n"/>
      <c r="L97" s="12" t="n"/>
    </row>
    <row r="98" ht="22" customHeight="1">
      <c r="B98" s="16">
        <f>IF(C98="","PAR-"&amp;TEXT(COUNTA($C$5:C98),"000"))</f>
        <v/>
      </c>
      <c r="C98" s="14" t="n"/>
      <c r="D98" s="14" t="n"/>
      <c r="E98" s="14" t="n"/>
      <c r="F98" s="14" t="n"/>
      <c r="G98" s="42" t="n"/>
      <c r="H98" s="42" t="n"/>
      <c r="I98" s="19" t="n"/>
      <c r="J98" s="19" t="n"/>
      <c r="K98" s="14" t="n"/>
      <c r="L98" s="14" t="n"/>
    </row>
    <row r="99" ht="22" customHeight="1">
      <c r="B99" s="17">
        <f>IF(C99="","PAR-"&amp;TEXT(COUNTA($C$5:C99),"000"))</f>
        <v/>
      </c>
      <c r="C99" s="12" t="n"/>
      <c r="D99" s="12" t="n"/>
      <c r="E99" s="12" t="n"/>
      <c r="F99" s="12" t="n"/>
      <c r="G99" s="41" t="n"/>
      <c r="H99" s="41" t="n"/>
      <c r="I99" s="18" t="n"/>
      <c r="J99" s="18" t="n"/>
      <c r="K99" s="12" t="n"/>
      <c r="L99" s="12" t="n"/>
    </row>
    <row r="100" ht="22" customHeight="1">
      <c r="B100" s="16">
        <f>IF(C100="","PAR-"&amp;TEXT(COUNTA($C$5:C100),"000"))</f>
        <v/>
      </c>
      <c r="C100" s="14" t="n"/>
      <c r="D100" s="14" t="n"/>
      <c r="E100" s="14" t="n"/>
      <c r="F100" s="14" t="n"/>
      <c r="G100" s="42" t="n"/>
      <c r="H100" s="42" t="n"/>
      <c r="I100" s="19" t="n"/>
      <c r="J100" s="19" t="n"/>
      <c r="K100" s="14" t="n"/>
      <c r="L100" s="14" t="n"/>
    </row>
    <row r="101" ht="22" customHeight="1">
      <c r="B101" s="17">
        <f>IF(C101="","PAR-"&amp;TEXT(COUNTA($C$5:C101),"000"))</f>
        <v/>
      </c>
      <c r="C101" s="12" t="n"/>
      <c r="D101" s="12" t="n"/>
      <c r="E101" s="12" t="n"/>
      <c r="F101" s="12" t="n"/>
      <c r="G101" s="41" t="n"/>
      <c r="H101" s="41" t="n"/>
      <c r="I101" s="18" t="n"/>
      <c r="J101" s="18" t="n"/>
      <c r="K101" s="12" t="n"/>
      <c r="L101" s="12" t="n"/>
    </row>
    <row r="102" ht="22" customHeight="1">
      <c r="B102" s="16">
        <f>IF(C102="","PAR-"&amp;TEXT(COUNTA($C$5:C102),"000"))</f>
        <v/>
      </c>
      <c r="C102" s="14" t="n"/>
      <c r="D102" s="14" t="n"/>
      <c r="E102" s="14" t="n"/>
      <c r="F102" s="14" t="n"/>
      <c r="G102" s="42" t="n"/>
      <c r="H102" s="42" t="n"/>
      <c r="I102" s="19" t="n"/>
      <c r="J102" s="19" t="n"/>
      <c r="K102" s="14" t="n"/>
      <c r="L102" s="14" t="n"/>
    </row>
    <row r="103" ht="22" customHeight="1">
      <c r="B103" s="17">
        <f>IF(C103="","PAR-"&amp;TEXT(COUNTA($C$5:C103),"000"))</f>
        <v/>
      </c>
      <c r="C103" s="12" t="n"/>
      <c r="D103" s="12" t="n"/>
      <c r="E103" s="12" t="n"/>
      <c r="F103" s="12" t="n"/>
      <c r="G103" s="41" t="n"/>
      <c r="H103" s="41" t="n"/>
      <c r="I103" s="18" t="n"/>
      <c r="J103" s="18" t="n"/>
      <c r="K103" s="12" t="n"/>
      <c r="L103" s="12" t="n"/>
    </row>
    <row r="104" ht="22" customHeight="1">
      <c r="B104" s="16">
        <f>IF(C104="","PAR-"&amp;TEXT(COUNTA($C$5:C104),"000"))</f>
        <v/>
      </c>
      <c r="C104" s="14" t="n"/>
      <c r="D104" s="14" t="n"/>
      <c r="E104" s="14" t="n"/>
      <c r="F104" s="14" t="n"/>
      <c r="G104" s="42" t="n"/>
      <c r="H104" s="42" t="n"/>
      <c r="I104" s="19" t="n"/>
      <c r="J104" s="19" t="n"/>
      <c r="K104" s="14" t="n"/>
      <c r="L104" s="14" t="n"/>
    </row>
    <row r="105" ht="22" customHeight="1">
      <c r="B105" s="17">
        <f>IF(C105="","PAR-"&amp;TEXT(COUNTA($C$5:C105),"000"))</f>
        <v/>
      </c>
      <c r="C105" s="12" t="n"/>
      <c r="D105" s="12" t="n"/>
      <c r="E105" s="12" t="n"/>
      <c r="F105" s="12" t="n"/>
      <c r="G105" s="41" t="n"/>
      <c r="H105" s="41" t="n"/>
      <c r="I105" s="18" t="n"/>
      <c r="J105" s="18" t="n"/>
      <c r="K105" s="12" t="n"/>
      <c r="L105" s="12" t="n"/>
    </row>
    <row r="106" ht="22" customHeight="1">
      <c r="B106" s="16">
        <f>IF(C106="","PAR-"&amp;TEXT(COUNTA($C$5:C106),"000"))</f>
        <v/>
      </c>
      <c r="C106" s="14" t="n"/>
      <c r="D106" s="14" t="n"/>
      <c r="E106" s="14" t="n"/>
      <c r="F106" s="14" t="n"/>
      <c r="G106" s="42" t="n"/>
      <c r="H106" s="42" t="n"/>
      <c r="I106" s="19" t="n"/>
      <c r="J106" s="19" t="n"/>
      <c r="K106" s="14" t="n"/>
      <c r="L106" s="14" t="n"/>
    </row>
    <row r="107" ht="22" customHeight="1">
      <c r="B107" s="17">
        <f>IF(C107="","PAR-"&amp;TEXT(COUNTA($C$5:C107),"000"))</f>
        <v/>
      </c>
      <c r="C107" s="12" t="n"/>
      <c r="D107" s="12" t="n"/>
      <c r="E107" s="12" t="n"/>
      <c r="F107" s="12" t="n"/>
      <c r="G107" s="41" t="n"/>
      <c r="H107" s="41" t="n"/>
      <c r="I107" s="18" t="n"/>
      <c r="J107" s="18" t="n"/>
      <c r="K107" s="12" t="n"/>
      <c r="L107" s="12" t="n"/>
    </row>
    <row r="109">
      <c r="B109" s="6" t="inlineStr">
        <is>
          <t>INDICATEURS (mis a jour automatiquement)</t>
        </is>
      </c>
    </row>
    <row r="110">
      <c r="B110" s="3" t="inlineStr">
        <is>
          <t>Partenariats</t>
        </is>
      </c>
      <c r="D110" s="3" t="inlineStr">
        <is>
          <t>Partenaires actifs</t>
        </is>
      </c>
      <c r="F110" s="3" t="inlineStr">
        <is>
          <t>Employes implicites</t>
        </is>
      </c>
    </row>
    <row r="111">
      <c r="B111" s="4">
        <f>COUNTIF(B5:B104,"&lt;&gt;")</f>
        <v/>
      </c>
      <c r="D111" s="4">
        <f>COUNTIF(K5:K104,"Actif")</f>
        <v/>
      </c>
      <c r="F111" s="4">
        <f>SUM(J5:J104)</f>
        <v/>
      </c>
    </row>
  </sheetData>
  <mergeCells count="3">
    <mergeCell ref="B2:L2"/>
    <mergeCell ref="B109:L109"/>
    <mergeCell ref="B3:L3"/>
  </mergeCells>
  <conditionalFormatting sqref="K5:K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8:B107">
    <cfRule type="expression" priority="238" dxfId="3">
      <formula>AND($C8="",$C7&lt;&gt;"")</formula>
    </cfRule>
  </conditionalFormatting>
  <conditionalFormatting sqref="C8:C107">
    <cfRule type="expression" priority="239" dxfId="3">
      <formula>AND($C8="",$C7&lt;&gt;"")</formula>
    </cfRule>
  </conditionalFormatting>
  <conditionalFormatting sqref="D8:D107">
    <cfRule type="expression" priority="240" dxfId="3">
      <formula>AND($C8="",$C7&lt;&gt;"")</formula>
    </cfRule>
  </conditionalFormatting>
  <conditionalFormatting sqref="E8:E107">
    <cfRule type="expression" priority="241" dxfId="3">
      <formula>AND($C8="",$C7&lt;&gt;"")</formula>
    </cfRule>
  </conditionalFormatting>
  <conditionalFormatting sqref="F8:F107">
    <cfRule type="expression" priority="242" dxfId="3">
      <formula>AND($C8="",$C7&lt;&gt;"")</formula>
    </cfRule>
  </conditionalFormatting>
  <conditionalFormatting sqref="G8:G107">
    <cfRule type="expression" priority="243" dxfId="3">
      <formula>AND($C8="",$C7&lt;&gt;"")</formula>
    </cfRule>
  </conditionalFormatting>
  <conditionalFormatting sqref="H8:H107">
    <cfRule type="expression" priority="244" dxfId="3">
      <formula>AND($C8="",$C7&lt;&gt;"")</formula>
    </cfRule>
  </conditionalFormatting>
  <conditionalFormatting sqref="I8:I107">
    <cfRule type="expression" priority="245" dxfId="3">
      <formula>AND($C8="",$C7&lt;&gt;"")</formula>
    </cfRule>
  </conditionalFormatting>
  <conditionalFormatting sqref="J8:J107">
    <cfRule type="expression" priority="246" dxfId="3">
      <formula>AND($C8="",$C7&lt;&gt;"")</formula>
    </cfRule>
  </conditionalFormatting>
  <conditionalFormatting sqref="K8:K107">
    <cfRule type="expression" priority="247" dxfId="3">
      <formula>AND($C8="",$C7&lt;&gt;"")</formula>
    </cfRule>
  </conditionalFormatting>
  <conditionalFormatting sqref="L8:L107">
    <cfRule type="expression" priority="248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'_Lists'!$M$2:$M$10</formula1>
    </dataValidation>
    <dataValidation sqref="K5:K107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M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22" customWidth="1" min="4" max="4"/>
    <col width="16" customWidth="1" min="5" max="5"/>
    <col width="16" customWidth="1" min="6" max="6"/>
    <col width="10" customWidth="1" min="7" max="7"/>
    <col width="12" customWidth="1" min="8" max="8"/>
    <col width="14" customWidth="1" min="9" max="9"/>
    <col width="18" customWidth="1" min="10" max="10"/>
    <col width="18" customWidth="1" min="11" max="11"/>
    <col width="14" customWidth="1" min="12" max="12"/>
    <col width="20" customWidth="1" min="13" max="13"/>
  </cols>
  <sheetData>
    <row r="1" ht="15" customHeight="1"/>
    <row r="2" ht="32" customHeight="1">
      <c r="B2" s="1" t="inlineStr">
        <is>
          <t>INDICATEURS RSE (#156)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Indicateur</t>
        </is>
      </c>
      <c r="D4" s="11" t="inlineStr">
        <is>
          <t>Axe RSE</t>
        </is>
      </c>
      <c r="E4" s="11" t="inlineStr">
        <is>
          <t>Objectif / Cible</t>
        </is>
      </c>
      <c r="F4" s="11" t="inlineStr">
        <is>
          <t>Valeur Actuelle</t>
        </is>
      </c>
      <c r="G4" s="11" t="inlineStr">
        <is>
          <t>Unite</t>
        </is>
      </c>
      <c r="H4" s="11" t="inlineStr">
        <is>
          <t>Ecart</t>
        </is>
      </c>
      <c r="I4" s="11" t="inlineStr">
        <is>
          <t>Tendance</t>
        </is>
      </c>
      <c r="J4" s="11" t="inlineStr">
        <is>
          <t>Frequence Mesure</t>
        </is>
      </c>
      <c r="K4" s="11" t="inlineStr">
        <is>
          <t>Responsable</t>
        </is>
      </c>
      <c r="L4" s="11" t="inlineStr">
        <is>
          <t>Date Mesure</t>
        </is>
      </c>
      <c r="M4" s="11" t="inlineStr">
        <is>
          <t>Statut</t>
        </is>
      </c>
    </row>
    <row r="5" ht="22" customHeight="1">
      <c r="B5" s="12" t="inlineStr">
        <is>
          <t>IRD-001</t>
        </is>
      </c>
      <c r="C5" s="12" t="inlineStr">
        <is>
          <t>Taux reduction dechets</t>
        </is>
      </c>
      <c r="D5" s="12" t="inlineStr">
        <is>
          <t>Environnement</t>
        </is>
      </c>
      <c r="E5" s="43" t="inlineStr">
        <is>
          <t>Reduction 15%</t>
        </is>
      </c>
      <c r="F5" s="49" t="n">
        <v>-0.12</v>
      </c>
      <c r="G5" s="12" t="inlineStr">
        <is>
          <t>%</t>
        </is>
      </c>
      <c r="H5" s="50" t="n"/>
      <c r="I5" s="12" t="inlineStr">
        <is>
          <t>En hausse</t>
        </is>
      </c>
      <c r="J5" s="12" t="inlineStr">
        <is>
          <t>Trimestrielle</t>
        </is>
      </c>
      <c r="K5" s="12" t="inlineStr">
        <is>
          <t>Chef Logistique</t>
        </is>
      </c>
      <c r="L5" s="41" t="n">
        <v>45747</v>
      </c>
      <c r="M5" s="12" t="inlineStr">
        <is>
          <t>En amelioration</t>
        </is>
      </c>
    </row>
    <row r="6" ht="22" customHeight="1">
      <c r="B6" s="14" t="inlineStr">
        <is>
          <t>IRD-002</t>
        </is>
      </c>
      <c r="C6" s="14" t="inlineStr">
        <is>
          <t>Part femmes cadres</t>
        </is>
      </c>
      <c r="D6" s="14" t="inlineStr">
        <is>
          <t>Diversite &amp; Inclusion</t>
        </is>
      </c>
      <c r="E6" s="44" t="inlineStr">
        <is>
          <t>&gt;= 40%</t>
        </is>
      </c>
      <c r="F6" s="51" t="n">
        <v>0.38</v>
      </c>
      <c r="G6" s="14" t="inlineStr">
        <is>
          <t>%</t>
        </is>
      </c>
      <c r="H6" s="52" t="n"/>
      <c r="I6" s="14" t="inlineStr">
        <is>
          <t>En hausse</t>
        </is>
      </c>
      <c r="J6" s="14" t="inlineStr">
        <is>
          <t>Semestrielle</t>
        </is>
      </c>
      <c r="K6" s="14" t="inlineStr">
        <is>
          <t>DRH</t>
        </is>
      </c>
      <c r="L6" s="42" t="n">
        <v>45838</v>
      </c>
      <c r="M6" s="14" t="inlineStr">
        <is>
          <t>En amelioration</t>
        </is>
      </c>
    </row>
    <row r="7" ht="22" customHeight="1">
      <c r="B7" s="12" t="inlineStr">
        <is>
          <t>IRD-003</t>
        </is>
      </c>
      <c r="C7" s="12" t="inlineStr">
        <is>
          <t>Score bien-etre employes</t>
        </is>
      </c>
      <c r="D7" s="12" t="inlineStr">
        <is>
          <t>Bien-etre</t>
        </is>
      </c>
      <c r="E7" s="43" t="inlineStr">
        <is>
          <t>&gt;= 4.0/5</t>
        </is>
      </c>
      <c r="F7" s="49" t="n">
        <v>3.8</v>
      </c>
      <c r="G7" s="12" t="inlineStr">
        <is>
          <t>/5</t>
        </is>
      </c>
      <c r="H7" s="50" t="n"/>
      <c r="I7" s="12" t="inlineStr">
        <is>
          <t>En hausse</t>
        </is>
      </c>
      <c r="J7" s="12" t="inlineStr">
        <is>
          <t>Annuelle</t>
        </is>
      </c>
      <c r="K7" s="12" t="inlineStr">
        <is>
          <t>DRH</t>
        </is>
      </c>
      <c r="L7" s="41" t="n">
        <v>45688</v>
      </c>
      <c r="M7" s="12" t="inlineStr">
        <is>
          <t>En amelioration</t>
        </is>
      </c>
    </row>
    <row r="8" ht="22" customHeight="1">
      <c r="B8" s="14" t="inlineStr">
        <is>
          <t>IRD-004</t>
        </is>
      </c>
      <c r="C8" s="14" t="inlineStr">
        <is>
          <t>Heures formation RSE / employe</t>
        </is>
      </c>
      <c r="D8" s="14" t="inlineStr">
        <is>
          <t>Formation</t>
        </is>
      </c>
      <c r="E8" s="44" t="inlineStr">
        <is>
          <t>&gt;= 8h/an</t>
        </is>
      </c>
      <c r="F8" s="51" t="n">
        <v>5.2</v>
      </c>
      <c r="G8" s="14" t="inlineStr">
        <is>
          <t>heures</t>
        </is>
      </c>
      <c r="H8" s="52" t="n"/>
      <c r="I8" s="14" t="inlineStr">
        <is>
          <t>En hausse</t>
        </is>
      </c>
      <c r="J8" s="14" t="inlineStr">
        <is>
          <t>Annuelle</t>
        </is>
      </c>
      <c r="K8" s="14" t="inlineStr">
        <is>
          <t>DRH</t>
        </is>
      </c>
      <c r="L8" s="42" t="n">
        <v>45688</v>
      </c>
      <c r="M8" s="14" t="inlineStr">
        <is>
          <t>En amelioration</t>
        </is>
      </c>
    </row>
    <row r="9" ht="22" customHeight="1">
      <c r="B9" s="12" t="inlineStr">
        <is>
          <t>IRD-005</t>
        </is>
      </c>
      <c r="C9" s="12" t="inlineStr">
        <is>
          <t>Nb actions sociales / an</t>
        </is>
      </c>
      <c r="D9" s="12" t="inlineStr">
        <is>
          <t>Communaute</t>
        </is>
      </c>
      <c r="E9" s="43" t="inlineStr">
        <is>
          <t>&gt;= 10</t>
        </is>
      </c>
      <c r="F9" s="49" t="n">
        <v>7</v>
      </c>
      <c r="G9" s="12" t="inlineStr">
        <is>
          <t>actions</t>
        </is>
      </c>
      <c r="H9" s="50" t="n"/>
      <c r="I9" s="12" t="inlineStr">
        <is>
          <t>En hausse</t>
        </is>
      </c>
      <c r="J9" s="12" t="inlineStr">
        <is>
          <t>Annuelle</t>
        </is>
      </c>
      <c r="K9" s="12" t="inlineStr">
        <is>
          <t>DRH</t>
        </is>
      </c>
      <c r="L9" s="41" t="n">
        <v>46022</v>
      </c>
      <c r="M9" s="12" t="inlineStr">
        <is>
          <t>En cours</t>
        </is>
      </c>
    </row>
    <row r="10" ht="22" customHeight="1">
      <c r="B10" s="16">
        <f>IF(C10="","IRD-"&amp;TEXT(COUNTA($C$5:C10),"000"))</f>
        <v/>
      </c>
      <c r="C10" s="14" t="n"/>
      <c r="D10" s="14" t="n"/>
      <c r="E10" s="44" t="n"/>
      <c r="F10" s="51" t="n"/>
      <c r="G10" s="14" t="n"/>
      <c r="H10" s="52">
        <f>IF(OR(E10="",F10=""),"",F10-E10)</f>
        <v/>
      </c>
      <c r="I10" s="14" t="n"/>
      <c r="J10" s="14" t="n"/>
      <c r="K10" s="14" t="n"/>
      <c r="L10" s="42" t="n"/>
      <c r="M10" s="14" t="n"/>
    </row>
    <row r="11" ht="22" customHeight="1">
      <c r="B11" s="17">
        <f>IF(C11="","IRD-"&amp;TEXT(COUNTA($C$5:C11),"000"))</f>
        <v/>
      </c>
      <c r="C11" s="12" t="n"/>
      <c r="D11" s="12" t="n"/>
      <c r="E11" s="43" t="n"/>
      <c r="F11" s="49" t="n"/>
      <c r="G11" s="12" t="n"/>
      <c r="H11" s="50">
        <f>IF(OR(E11="",F11=""),"",F11-E11)</f>
        <v/>
      </c>
      <c r="I11" s="12" t="n"/>
      <c r="J11" s="12" t="n"/>
      <c r="K11" s="12" t="n"/>
      <c r="L11" s="41" t="n"/>
      <c r="M11" s="12" t="n"/>
    </row>
    <row r="12" ht="22" customHeight="1">
      <c r="B12" s="16">
        <f>IF(C12="","IRD-"&amp;TEXT(COUNTA($C$5:C12),"000"))</f>
        <v/>
      </c>
      <c r="C12" s="14" t="n"/>
      <c r="D12" s="14" t="n"/>
      <c r="E12" s="44" t="n"/>
      <c r="F12" s="51" t="n"/>
      <c r="G12" s="14" t="n"/>
      <c r="H12" s="52">
        <f>IF(OR(E12="",F12=""),"",F12-E12)</f>
        <v/>
      </c>
      <c r="I12" s="14" t="n"/>
      <c r="J12" s="14" t="n"/>
      <c r="K12" s="14" t="n"/>
      <c r="L12" s="42" t="n"/>
      <c r="M12" s="14" t="n"/>
    </row>
    <row r="13" ht="22" customHeight="1">
      <c r="B13" s="17">
        <f>IF(C13="","IRD-"&amp;TEXT(COUNTA($C$5:C13),"000"))</f>
        <v/>
      </c>
      <c r="C13" s="12" t="n"/>
      <c r="D13" s="12" t="n"/>
      <c r="E13" s="43" t="n"/>
      <c r="F13" s="49" t="n"/>
      <c r="G13" s="12" t="n"/>
      <c r="H13" s="50">
        <f>IF(OR(E13="",F13=""),"",F13-E13)</f>
        <v/>
      </c>
      <c r="I13" s="12" t="n"/>
      <c r="J13" s="12" t="n"/>
      <c r="K13" s="12" t="n"/>
      <c r="L13" s="41" t="n"/>
      <c r="M13" s="12" t="n"/>
    </row>
    <row r="14" ht="22" customHeight="1">
      <c r="B14" s="16">
        <f>IF(C14="","IRD-"&amp;TEXT(COUNTA($C$5:C14),"000"))</f>
        <v/>
      </c>
      <c r="C14" s="14" t="n"/>
      <c r="D14" s="14" t="n"/>
      <c r="E14" s="44" t="n"/>
      <c r="F14" s="51" t="n"/>
      <c r="G14" s="14" t="n"/>
      <c r="H14" s="52">
        <f>IF(OR(E14="",F14=""),"",F14-E14)</f>
        <v/>
      </c>
      <c r="I14" s="14" t="n"/>
      <c r="J14" s="14" t="n"/>
      <c r="K14" s="14" t="n"/>
      <c r="L14" s="42" t="n"/>
      <c r="M14" s="14" t="n"/>
    </row>
    <row r="15" ht="22" customHeight="1">
      <c r="B15" s="17">
        <f>IF(C15="","IRD-"&amp;TEXT(COUNTA($C$5:C15),"000"))</f>
        <v/>
      </c>
      <c r="C15" s="12" t="n"/>
      <c r="D15" s="12" t="n"/>
      <c r="E15" s="43" t="n"/>
      <c r="F15" s="49" t="n"/>
      <c r="G15" s="12" t="n"/>
      <c r="H15" s="50">
        <f>IF(OR(E15="",F15=""),"",F15-E15)</f>
        <v/>
      </c>
      <c r="I15" s="12" t="n"/>
      <c r="J15" s="12" t="n"/>
      <c r="K15" s="12" t="n"/>
      <c r="L15" s="41" t="n"/>
      <c r="M15" s="12" t="n"/>
    </row>
    <row r="16" ht="22" customHeight="1">
      <c r="B16" s="16">
        <f>IF(C16="","IRD-"&amp;TEXT(COUNTA($C$5:C16),"000"))</f>
        <v/>
      </c>
      <c r="C16" s="14" t="n"/>
      <c r="D16" s="14" t="n"/>
      <c r="E16" s="44" t="n"/>
      <c r="F16" s="51" t="n"/>
      <c r="G16" s="14" t="n"/>
      <c r="H16" s="52">
        <f>IF(OR(E16="",F16=""),"",F16-E16)</f>
        <v/>
      </c>
      <c r="I16" s="14" t="n"/>
      <c r="J16" s="14" t="n"/>
      <c r="K16" s="14" t="n"/>
      <c r="L16" s="42" t="n"/>
      <c r="M16" s="14" t="n"/>
    </row>
    <row r="17" ht="22" customHeight="1">
      <c r="B17" s="17">
        <f>IF(C17="","IRD-"&amp;TEXT(COUNTA($C$5:C17),"000"))</f>
        <v/>
      </c>
      <c r="C17" s="12" t="n"/>
      <c r="D17" s="12" t="n"/>
      <c r="E17" s="43" t="n"/>
      <c r="F17" s="49" t="n"/>
      <c r="G17" s="12" t="n"/>
      <c r="H17" s="50">
        <f>IF(OR(E17="",F17=""),"",F17-E17)</f>
        <v/>
      </c>
      <c r="I17" s="12" t="n"/>
      <c r="J17" s="12" t="n"/>
      <c r="K17" s="12" t="n"/>
      <c r="L17" s="41" t="n"/>
      <c r="M17" s="12" t="n"/>
    </row>
    <row r="18" ht="22" customHeight="1">
      <c r="B18" s="16">
        <f>IF(C18="","IRD-"&amp;TEXT(COUNTA($C$5:C18),"000"))</f>
        <v/>
      </c>
      <c r="C18" s="14" t="n"/>
      <c r="D18" s="14" t="n"/>
      <c r="E18" s="44" t="n"/>
      <c r="F18" s="51" t="n"/>
      <c r="G18" s="14" t="n"/>
      <c r="H18" s="52">
        <f>IF(OR(E18="",F18=""),"",F18-E18)</f>
        <v/>
      </c>
      <c r="I18" s="14" t="n"/>
      <c r="J18" s="14" t="n"/>
      <c r="K18" s="14" t="n"/>
      <c r="L18" s="42" t="n"/>
      <c r="M18" s="14" t="n"/>
    </row>
    <row r="19" ht="22" customHeight="1">
      <c r="B19" s="17">
        <f>IF(C19="","IRD-"&amp;TEXT(COUNTA($C$5:C19),"000"))</f>
        <v/>
      </c>
      <c r="C19" s="12" t="n"/>
      <c r="D19" s="12" t="n"/>
      <c r="E19" s="43" t="n"/>
      <c r="F19" s="49" t="n"/>
      <c r="G19" s="12" t="n"/>
      <c r="H19" s="50">
        <f>IF(OR(E19="",F19=""),"",F19-E19)</f>
        <v/>
      </c>
      <c r="I19" s="12" t="n"/>
      <c r="J19" s="12" t="n"/>
      <c r="K19" s="12" t="n"/>
      <c r="L19" s="41" t="n"/>
      <c r="M19" s="12" t="n"/>
    </row>
    <row r="20" ht="22" customHeight="1">
      <c r="B20" s="16">
        <f>IF(C20="","IRD-"&amp;TEXT(COUNTA($C$5:C20),"000"))</f>
        <v/>
      </c>
      <c r="C20" s="14" t="n"/>
      <c r="D20" s="14" t="n"/>
      <c r="E20" s="44" t="n"/>
      <c r="F20" s="51" t="n"/>
      <c r="G20" s="14" t="n"/>
      <c r="H20" s="52">
        <f>IF(OR(E20="",F20=""),"",F20-E20)</f>
        <v/>
      </c>
      <c r="I20" s="14" t="n"/>
      <c r="J20" s="14" t="n"/>
      <c r="K20" s="14" t="n"/>
      <c r="L20" s="42" t="n"/>
      <c r="M20" s="14" t="n"/>
    </row>
    <row r="21" ht="22" customHeight="1">
      <c r="B21" s="17">
        <f>IF(C21="","IRD-"&amp;TEXT(COUNTA($C$5:C21),"000"))</f>
        <v/>
      </c>
      <c r="C21" s="12" t="n"/>
      <c r="D21" s="12" t="n"/>
      <c r="E21" s="43" t="n"/>
      <c r="F21" s="49" t="n"/>
      <c r="G21" s="12" t="n"/>
      <c r="H21" s="50">
        <f>IF(OR(E21="",F21=""),"",F21-E21)</f>
        <v/>
      </c>
      <c r="I21" s="12" t="n"/>
      <c r="J21" s="12" t="n"/>
      <c r="K21" s="12" t="n"/>
      <c r="L21" s="41" t="n"/>
      <c r="M21" s="12" t="n"/>
    </row>
    <row r="22" ht="22" customHeight="1">
      <c r="B22" s="16">
        <f>IF(C22="","IRD-"&amp;TEXT(COUNTA($C$5:C22),"000"))</f>
        <v/>
      </c>
      <c r="C22" s="14" t="n"/>
      <c r="D22" s="14" t="n"/>
      <c r="E22" s="44" t="n"/>
      <c r="F22" s="51" t="n"/>
      <c r="G22" s="14" t="n"/>
      <c r="H22" s="52">
        <f>IF(OR(E22="",F22=""),"",F22-E22)</f>
        <v/>
      </c>
      <c r="I22" s="14" t="n"/>
      <c r="J22" s="14" t="n"/>
      <c r="K22" s="14" t="n"/>
      <c r="L22" s="42" t="n"/>
      <c r="M22" s="14" t="n"/>
    </row>
    <row r="23" ht="22" customHeight="1">
      <c r="B23" s="17">
        <f>IF(C23="","IRD-"&amp;TEXT(COUNTA($C$5:C23),"000"))</f>
        <v/>
      </c>
      <c r="C23" s="12" t="n"/>
      <c r="D23" s="12" t="n"/>
      <c r="E23" s="43" t="n"/>
      <c r="F23" s="49" t="n"/>
      <c r="G23" s="12" t="n"/>
      <c r="H23" s="50">
        <f>IF(OR(E23="",F23=""),"",F23-E23)</f>
        <v/>
      </c>
      <c r="I23" s="12" t="n"/>
      <c r="J23" s="12" t="n"/>
      <c r="K23" s="12" t="n"/>
      <c r="L23" s="41" t="n"/>
      <c r="M23" s="12" t="n"/>
    </row>
    <row r="24" ht="22" customHeight="1">
      <c r="B24" s="16">
        <f>IF(C24="","IRD-"&amp;TEXT(COUNTA($C$5:C24),"000"))</f>
        <v/>
      </c>
      <c r="C24" s="14" t="n"/>
      <c r="D24" s="14" t="n"/>
      <c r="E24" s="44" t="n"/>
      <c r="F24" s="51" t="n"/>
      <c r="G24" s="14" t="n"/>
      <c r="H24" s="52">
        <f>IF(OR(E24="",F24=""),"",F24-E24)</f>
        <v/>
      </c>
      <c r="I24" s="14" t="n"/>
      <c r="J24" s="14" t="n"/>
      <c r="K24" s="14" t="n"/>
      <c r="L24" s="42" t="n"/>
      <c r="M24" s="14" t="n"/>
    </row>
    <row r="25" ht="22" customHeight="1">
      <c r="B25" s="17">
        <f>IF(C25="","IRD-"&amp;TEXT(COUNTA($C$5:C25),"000"))</f>
        <v/>
      </c>
      <c r="C25" s="12" t="n"/>
      <c r="D25" s="12" t="n"/>
      <c r="E25" s="43" t="n"/>
      <c r="F25" s="49" t="n"/>
      <c r="G25" s="12" t="n"/>
      <c r="H25" s="50">
        <f>IF(OR(E25="",F25=""),"",F25-E25)</f>
        <v/>
      </c>
      <c r="I25" s="12" t="n"/>
      <c r="J25" s="12" t="n"/>
      <c r="K25" s="12" t="n"/>
      <c r="L25" s="41" t="n"/>
      <c r="M25" s="12" t="n"/>
    </row>
    <row r="26" ht="22" customHeight="1">
      <c r="B26" s="16">
        <f>IF(C26="","IRD-"&amp;TEXT(COUNTA($C$5:C26),"000"))</f>
        <v/>
      </c>
      <c r="C26" s="14" t="n"/>
      <c r="D26" s="14" t="n"/>
      <c r="E26" s="44" t="n"/>
      <c r="F26" s="51" t="n"/>
      <c r="G26" s="14" t="n"/>
      <c r="H26" s="52">
        <f>IF(OR(E26="",F26=""),"",F26-E26)</f>
        <v/>
      </c>
      <c r="I26" s="14" t="n"/>
      <c r="J26" s="14" t="n"/>
      <c r="K26" s="14" t="n"/>
      <c r="L26" s="42" t="n"/>
      <c r="M26" s="14" t="n"/>
    </row>
    <row r="27" ht="22" customHeight="1">
      <c r="B27" s="17">
        <f>IF(C27="","IRD-"&amp;TEXT(COUNTA($C$5:C27),"000"))</f>
        <v/>
      </c>
      <c r="C27" s="12" t="n"/>
      <c r="D27" s="12" t="n"/>
      <c r="E27" s="43" t="n"/>
      <c r="F27" s="49" t="n"/>
      <c r="G27" s="12" t="n"/>
      <c r="H27" s="50">
        <f>IF(OR(E27="",F27=""),"",F27-E27)</f>
        <v/>
      </c>
      <c r="I27" s="12" t="n"/>
      <c r="J27" s="12" t="n"/>
      <c r="K27" s="12" t="n"/>
      <c r="L27" s="41" t="n"/>
      <c r="M27" s="12" t="n"/>
    </row>
    <row r="28" ht="22" customHeight="1">
      <c r="B28" s="16">
        <f>IF(C28="","IRD-"&amp;TEXT(COUNTA($C$5:C28),"000"))</f>
        <v/>
      </c>
      <c r="C28" s="14" t="n"/>
      <c r="D28" s="14" t="n"/>
      <c r="E28" s="44" t="n"/>
      <c r="F28" s="51" t="n"/>
      <c r="G28" s="14" t="n"/>
      <c r="H28" s="52">
        <f>IF(OR(E28="",F28=""),"",F28-E28)</f>
        <v/>
      </c>
      <c r="I28" s="14" t="n"/>
      <c r="J28" s="14" t="n"/>
      <c r="K28" s="14" t="n"/>
      <c r="L28" s="42" t="n"/>
      <c r="M28" s="14" t="n"/>
    </row>
    <row r="29" ht="22" customHeight="1">
      <c r="B29" s="17">
        <f>IF(C29="","IRD-"&amp;TEXT(COUNTA($C$5:C29),"000"))</f>
        <v/>
      </c>
      <c r="C29" s="12" t="n"/>
      <c r="D29" s="12" t="n"/>
      <c r="E29" s="43" t="n"/>
      <c r="F29" s="49" t="n"/>
      <c r="G29" s="12" t="n"/>
      <c r="H29" s="50">
        <f>IF(OR(E29="",F29=""),"",F29-E29)</f>
        <v/>
      </c>
      <c r="I29" s="12" t="n"/>
      <c r="J29" s="12" t="n"/>
      <c r="K29" s="12" t="n"/>
      <c r="L29" s="41" t="n"/>
      <c r="M29" s="12" t="n"/>
    </row>
    <row r="30" ht="22" customHeight="1">
      <c r="B30" s="16">
        <f>IF(C30="","IRD-"&amp;TEXT(COUNTA($C$5:C30),"000"))</f>
        <v/>
      </c>
      <c r="C30" s="14" t="n"/>
      <c r="D30" s="14" t="n"/>
      <c r="E30" s="44" t="n"/>
      <c r="F30" s="51" t="n"/>
      <c r="G30" s="14" t="n"/>
      <c r="H30" s="52">
        <f>IF(OR(E30="",F30=""),"",F30-E30)</f>
        <v/>
      </c>
      <c r="I30" s="14" t="n"/>
      <c r="J30" s="14" t="n"/>
      <c r="K30" s="14" t="n"/>
      <c r="L30" s="42" t="n"/>
      <c r="M30" s="14" t="n"/>
    </row>
    <row r="31" ht="22" customHeight="1">
      <c r="B31" s="17">
        <f>IF(C31="","IRD-"&amp;TEXT(COUNTA($C$5:C31),"000"))</f>
        <v/>
      </c>
      <c r="C31" s="12" t="n"/>
      <c r="D31" s="12" t="n"/>
      <c r="E31" s="43" t="n"/>
      <c r="F31" s="49" t="n"/>
      <c r="G31" s="12" t="n"/>
      <c r="H31" s="50">
        <f>IF(OR(E31="",F31=""),"",F31-E31)</f>
        <v/>
      </c>
      <c r="I31" s="12" t="n"/>
      <c r="J31" s="12" t="n"/>
      <c r="K31" s="12" t="n"/>
      <c r="L31" s="41" t="n"/>
      <c r="M31" s="12" t="n"/>
    </row>
    <row r="32" ht="22" customHeight="1">
      <c r="B32" s="16">
        <f>IF(C32="","IRD-"&amp;TEXT(COUNTA($C$5:C32),"000"))</f>
        <v/>
      </c>
      <c r="C32" s="14" t="n"/>
      <c r="D32" s="14" t="n"/>
      <c r="E32" s="44" t="n"/>
      <c r="F32" s="51" t="n"/>
      <c r="G32" s="14" t="n"/>
      <c r="H32" s="52">
        <f>IF(OR(E32="",F32=""),"",F32-E32)</f>
        <v/>
      </c>
      <c r="I32" s="14" t="n"/>
      <c r="J32" s="14" t="n"/>
      <c r="K32" s="14" t="n"/>
      <c r="L32" s="42" t="n"/>
      <c r="M32" s="14" t="n"/>
    </row>
    <row r="33" ht="22" customHeight="1">
      <c r="B33" s="17">
        <f>IF(C33="","IRD-"&amp;TEXT(COUNTA($C$5:C33),"000"))</f>
        <v/>
      </c>
      <c r="C33" s="12" t="n"/>
      <c r="D33" s="12" t="n"/>
      <c r="E33" s="43" t="n"/>
      <c r="F33" s="49" t="n"/>
      <c r="G33" s="12" t="n"/>
      <c r="H33" s="50">
        <f>IF(OR(E33="",F33=""),"",F33-E33)</f>
        <v/>
      </c>
      <c r="I33" s="12" t="n"/>
      <c r="J33" s="12" t="n"/>
      <c r="K33" s="12" t="n"/>
      <c r="L33" s="41" t="n"/>
      <c r="M33" s="12" t="n"/>
    </row>
    <row r="34" ht="22" customHeight="1">
      <c r="B34" s="16">
        <f>IF(C34="","IRD-"&amp;TEXT(COUNTA($C$5:C34),"000"))</f>
        <v/>
      </c>
      <c r="C34" s="14" t="n"/>
      <c r="D34" s="14" t="n"/>
      <c r="E34" s="44" t="n"/>
      <c r="F34" s="51" t="n"/>
      <c r="G34" s="14" t="n"/>
      <c r="H34" s="52">
        <f>IF(OR(E34="",F34=""),"",F34-E34)</f>
        <v/>
      </c>
      <c r="I34" s="14" t="n"/>
      <c r="J34" s="14" t="n"/>
      <c r="K34" s="14" t="n"/>
      <c r="L34" s="42" t="n"/>
      <c r="M34" s="14" t="n"/>
    </row>
    <row r="35" ht="22" customHeight="1">
      <c r="B35" s="17">
        <f>IF(C35="","IRD-"&amp;TEXT(COUNTA($C$5:C35),"000"))</f>
        <v/>
      </c>
      <c r="C35" s="12" t="n"/>
      <c r="D35" s="12" t="n"/>
      <c r="E35" s="43" t="n"/>
      <c r="F35" s="49" t="n"/>
      <c r="G35" s="12" t="n"/>
      <c r="H35" s="50">
        <f>IF(OR(E35="",F35=""),"",F35-E35)</f>
        <v/>
      </c>
      <c r="I35" s="12" t="n"/>
      <c r="J35" s="12" t="n"/>
      <c r="K35" s="12" t="n"/>
      <c r="L35" s="41" t="n"/>
      <c r="M35" s="12" t="n"/>
    </row>
    <row r="36" ht="22" customHeight="1">
      <c r="B36" s="16">
        <f>IF(C36="","IRD-"&amp;TEXT(COUNTA($C$5:C36),"000"))</f>
        <v/>
      </c>
      <c r="C36" s="14" t="n"/>
      <c r="D36" s="14" t="n"/>
      <c r="E36" s="44" t="n"/>
      <c r="F36" s="51" t="n"/>
      <c r="G36" s="14" t="n"/>
      <c r="H36" s="52">
        <f>IF(OR(E36="",F36=""),"",F36-E36)</f>
        <v/>
      </c>
      <c r="I36" s="14" t="n"/>
      <c r="J36" s="14" t="n"/>
      <c r="K36" s="14" t="n"/>
      <c r="L36" s="42" t="n"/>
      <c r="M36" s="14" t="n"/>
    </row>
    <row r="37" ht="22" customHeight="1">
      <c r="B37" s="17">
        <f>IF(C37="","IRD-"&amp;TEXT(COUNTA($C$5:C37),"000"))</f>
        <v/>
      </c>
      <c r="C37" s="12" t="n"/>
      <c r="D37" s="12" t="n"/>
      <c r="E37" s="43" t="n"/>
      <c r="F37" s="49" t="n"/>
      <c r="G37" s="12" t="n"/>
      <c r="H37" s="50">
        <f>IF(OR(E37="",F37=""),"",F37-E37)</f>
        <v/>
      </c>
      <c r="I37" s="12" t="n"/>
      <c r="J37" s="12" t="n"/>
      <c r="K37" s="12" t="n"/>
      <c r="L37" s="41" t="n"/>
      <c r="M37" s="12" t="n"/>
    </row>
    <row r="38" ht="22" customHeight="1">
      <c r="B38" s="16">
        <f>IF(C38="","IRD-"&amp;TEXT(COUNTA($C$5:C38),"000"))</f>
        <v/>
      </c>
      <c r="C38" s="14" t="n"/>
      <c r="D38" s="14" t="n"/>
      <c r="E38" s="44" t="n"/>
      <c r="F38" s="51" t="n"/>
      <c r="G38" s="14" t="n"/>
      <c r="H38" s="52">
        <f>IF(OR(E38="",F38=""),"",F38-E38)</f>
        <v/>
      </c>
      <c r="I38" s="14" t="n"/>
      <c r="J38" s="14" t="n"/>
      <c r="K38" s="14" t="n"/>
      <c r="L38" s="42" t="n"/>
      <c r="M38" s="14" t="n"/>
    </row>
    <row r="39" ht="22" customHeight="1">
      <c r="B39" s="17">
        <f>IF(C39="","IRD-"&amp;TEXT(COUNTA($C$5:C39),"000"))</f>
        <v/>
      </c>
      <c r="C39" s="12" t="n"/>
      <c r="D39" s="12" t="n"/>
      <c r="E39" s="43" t="n"/>
      <c r="F39" s="49" t="n"/>
      <c r="G39" s="12" t="n"/>
      <c r="H39" s="50">
        <f>IF(OR(E39="",F39=""),"",F39-E39)</f>
        <v/>
      </c>
      <c r="I39" s="12" t="n"/>
      <c r="J39" s="12" t="n"/>
      <c r="K39" s="12" t="n"/>
      <c r="L39" s="41" t="n"/>
      <c r="M39" s="12" t="n"/>
    </row>
    <row r="40" ht="22" customHeight="1">
      <c r="B40" s="16">
        <f>IF(C40="","IRD-"&amp;TEXT(COUNTA($C$5:C40),"000"))</f>
        <v/>
      </c>
      <c r="C40" s="14" t="n"/>
      <c r="D40" s="14" t="n"/>
      <c r="E40" s="44" t="n"/>
      <c r="F40" s="51" t="n"/>
      <c r="G40" s="14" t="n"/>
      <c r="H40" s="52">
        <f>IF(OR(E40="",F40=""),"",F40-E40)</f>
        <v/>
      </c>
      <c r="I40" s="14" t="n"/>
      <c r="J40" s="14" t="n"/>
      <c r="K40" s="14" t="n"/>
      <c r="L40" s="42" t="n"/>
      <c r="M40" s="14" t="n"/>
    </row>
    <row r="41" ht="22" customHeight="1">
      <c r="B41" s="17">
        <f>IF(C41="","IRD-"&amp;TEXT(COUNTA($C$5:C41),"000"))</f>
        <v/>
      </c>
      <c r="C41" s="12" t="n"/>
      <c r="D41" s="12" t="n"/>
      <c r="E41" s="43" t="n"/>
      <c r="F41" s="49" t="n"/>
      <c r="G41" s="12" t="n"/>
      <c r="H41" s="50">
        <f>IF(OR(E41="",F41=""),"",F41-E41)</f>
        <v/>
      </c>
      <c r="I41" s="12" t="n"/>
      <c r="J41" s="12" t="n"/>
      <c r="K41" s="12" t="n"/>
      <c r="L41" s="41" t="n"/>
      <c r="M41" s="12" t="n"/>
    </row>
    <row r="42" ht="22" customHeight="1">
      <c r="B42" s="16">
        <f>IF(C42="","IRD-"&amp;TEXT(COUNTA($C$5:C42),"000"))</f>
        <v/>
      </c>
      <c r="C42" s="14" t="n"/>
      <c r="D42" s="14" t="n"/>
      <c r="E42" s="44" t="n"/>
      <c r="F42" s="51" t="n"/>
      <c r="G42" s="14" t="n"/>
      <c r="H42" s="52">
        <f>IF(OR(E42="",F42=""),"",F42-E42)</f>
        <v/>
      </c>
      <c r="I42" s="14" t="n"/>
      <c r="J42" s="14" t="n"/>
      <c r="K42" s="14" t="n"/>
      <c r="L42" s="42" t="n"/>
      <c r="M42" s="14" t="n"/>
    </row>
    <row r="43" ht="22" customHeight="1">
      <c r="B43" s="17">
        <f>IF(C43="","IRD-"&amp;TEXT(COUNTA($C$5:C43),"000"))</f>
        <v/>
      </c>
      <c r="C43" s="12" t="n"/>
      <c r="D43" s="12" t="n"/>
      <c r="E43" s="43" t="n"/>
      <c r="F43" s="49" t="n"/>
      <c r="G43" s="12" t="n"/>
      <c r="H43" s="50">
        <f>IF(OR(E43="",F43=""),"",F43-E43)</f>
        <v/>
      </c>
      <c r="I43" s="12" t="n"/>
      <c r="J43" s="12" t="n"/>
      <c r="K43" s="12" t="n"/>
      <c r="L43" s="41" t="n"/>
      <c r="M43" s="12" t="n"/>
    </row>
    <row r="44" ht="22" customHeight="1">
      <c r="B44" s="16">
        <f>IF(C44="","IRD-"&amp;TEXT(COUNTA($C$5:C44),"000"))</f>
        <v/>
      </c>
      <c r="C44" s="14" t="n"/>
      <c r="D44" s="14" t="n"/>
      <c r="E44" s="44" t="n"/>
      <c r="F44" s="51" t="n"/>
      <c r="G44" s="14" t="n"/>
      <c r="H44" s="52">
        <f>IF(OR(E44="",F44=""),"",F44-E44)</f>
        <v/>
      </c>
      <c r="I44" s="14" t="n"/>
      <c r="J44" s="14" t="n"/>
      <c r="K44" s="14" t="n"/>
      <c r="L44" s="42" t="n"/>
      <c r="M44" s="14" t="n"/>
    </row>
    <row r="45" ht="22" customHeight="1">
      <c r="B45" s="17">
        <f>IF(C45="","IRD-"&amp;TEXT(COUNTA($C$5:C45),"000"))</f>
        <v/>
      </c>
      <c r="C45" s="12" t="n"/>
      <c r="D45" s="12" t="n"/>
      <c r="E45" s="43" t="n"/>
      <c r="F45" s="49" t="n"/>
      <c r="G45" s="12" t="n"/>
      <c r="H45" s="50">
        <f>IF(OR(E45="",F45=""),"",F45-E45)</f>
        <v/>
      </c>
      <c r="I45" s="12" t="n"/>
      <c r="J45" s="12" t="n"/>
      <c r="K45" s="12" t="n"/>
      <c r="L45" s="41" t="n"/>
      <c r="M45" s="12" t="n"/>
    </row>
    <row r="46" ht="22" customHeight="1">
      <c r="B46" s="16">
        <f>IF(C46="","IRD-"&amp;TEXT(COUNTA($C$5:C46),"000"))</f>
        <v/>
      </c>
      <c r="C46" s="14" t="n"/>
      <c r="D46" s="14" t="n"/>
      <c r="E46" s="44" t="n"/>
      <c r="F46" s="51" t="n"/>
      <c r="G46" s="14" t="n"/>
      <c r="H46" s="52">
        <f>IF(OR(E46="",F46=""),"",F46-E46)</f>
        <v/>
      </c>
      <c r="I46" s="14" t="n"/>
      <c r="J46" s="14" t="n"/>
      <c r="K46" s="14" t="n"/>
      <c r="L46" s="42" t="n"/>
      <c r="M46" s="14" t="n"/>
    </row>
    <row r="47" ht="22" customHeight="1">
      <c r="B47" s="17">
        <f>IF(C47="","IRD-"&amp;TEXT(COUNTA($C$5:C47),"000"))</f>
        <v/>
      </c>
      <c r="C47" s="12" t="n"/>
      <c r="D47" s="12" t="n"/>
      <c r="E47" s="43" t="n"/>
      <c r="F47" s="49" t="n"/>
      <c r="G47" s="12" t="n"/>
      <c r="H47" s="50">
        <f>IF(OR(E47="",F47=""),"",F47-E47)</f>
        <v/>
      </c>
      <c r="I47" s="12" t="n"/>
      <c r="J47" s="12" t="n"/>
      <c r="K47" s="12" t="n"/>
      <c r="L47" s="41" t="n"/>
      <c r="M47" s="12" t="n"/>
    </row>
    <row r="48" ht="22" customHeight="1">
      <c r="B48" s="16">
        <f>IF(C48="","IRD-"&amp;TEXT(COUNTA($C$5:C48),"000"))</f>
        <v/>
      </c>
      <c r="C48" s="14" t="n"/>
      <c r="D48" s="14" t="n"/>
      <c r="E48" s="44" t="n"/>
      <c r="F48" s="51" t="n"/>
      <c r="G48" s="14" t="n"/>
      <c r="H48" s="52">
        <f>IF(OR(E48="",F48=""),"",F48-E48)</f>
        <v/>
      </c>
      <c r="I48" s="14" t="n"/>
      <c r="J48" s="14" t="n"/>
      <c r="K48" s="14" t="n"/>
      <c r="L48" s="42" t="n"/>
      <c r="M48" s="14" t="n"/>
    </row>
    <row r="49" ht="22" customHeight="1">
      <c r="B49" s="17">
        <f>IF(C49="","IRD-"&amp;TEXT(COUNTA($C$5:C49),"000"))</f>
        <v/>
      </c>
      <c r="C49" s="12" t="n"/>
      <c r="D49" s="12" t="n"/>
      <c r="E49" s="43" t="n"/>
      <c r="F49" s="49" t="n"/>
      <c r="G49" s="12" t="n"/>
      <c r="H49" s="50">
        <f>IF(OR(E49="",F49=""),"",F49-E49)</f>
        <v/>
      </c>
      <c r="I49" s="12" t="n"/>
      <c r="J49" s="12" t="n"/>
      <c r="K49" s="12" t="n"/>
      <c r="L49" s="41" t="n"/>
      <c r="M49" s="12" t="n"/>
    </row>
    <row r="50" ht="22" customHeight="1">
      <c r="B50" s="16">
        <f>IF(C50="","IRD-"&amp;TEXT(COUNTA($C$5:C50),"000"))</f>
        <v/>
      </c>
      <c r="C50" s="14" t="n"/>
      <c r="D50" s="14" t="n"/>
      <c r="E50" s="44" t="n"/>
      <c r="F50" s="51" t="n"/>
      <c r="G50" s="14" t="n"/>
      <c r="H50" s="52">
        <f>IF(OR(E50="",F50=""),"",F50-E50)</f>
        <v/>
      </c>
      <c r="I50" s="14" t="n"/>
      <c r="J50" s="14" t="n"/>
      <c r="K50" s="14" t="n"/>
      <c r="L50" s="42" t="n"/>
      <c r="M50" s="14" t="n"/>
    </row>
    <row r="51" ht="22" customHeight="1">
      <c r="B51" s="17">
        <f>IF(C51="","IRD-"&amp;TEXT(COUNTA($C$5:C51),"000"))</f>
        <v/>
      </c>
      <c r="C51" s="12" t="n"/>
      <c r="D51" s="12" t="n"/>
      <c r="E51" s="43" t="n"/>
      <c r="F51" s="49" t="n"/>
      <c r="G51" s="12" t="n"/>
      <c r="H51" s="50">
        <f>IF(OR(E51="",F51=""),"",F51-E51)</f>
        <v/>
      </c>
      <c r="I51" s="12" t="n"/>
      <c r="J51" s="12" t="n"/>
      <c r="K51" s="12" t="n"/>
      <c r="L51" s="41" t="n"/>
      <c r="M51" s="12" t="n"/>
    </row>
    <row r="52" ht="22" customHeight="1">
      <c r="B52" s="16">
        <f>IF(C52="","IRD-"&amp;TEXT(COUNTA($C$5:C52),"000"))</f>
        <v/>
      </c>
      <c r="C52" s="14" t="n"/>
      <c r="D52" s="14" t="n"/>
      <c r="E52" s="44" t="n"/>
      <c r="F52" s="51" t="n"/>
      <c r="G52" s="14" t="n"/>
      <c r="H52" s="52">
        <f>IF(OR(E52="",F52=""),"",F52-E52)</f>
        <v/>
      </c>
      <c r="I52" s="14" t="n"/>
      <c r="J52" s="14" t="n"/>
      <c r="K52" s="14" t="n"/>
      <c r="L52" s="42" t="n"/>
      <c r="M52" s="14" t="n"/>
    </row>
    <row r="53" ht="22" customHeight="1">
      <c r="B53" s="17">
        <f>IF(C53="","IRD-"&amp;TEXT(COUNTA($C$5:C53),"000"))</f>
        <v/>
      </c>
      <c r="C53" s="12" t="n"/>
      <c r="D53" s="12" t="n"/>
      <c r="E53" s="43" t="n"/>
      <c r="F53" s="49" t="n"/>
      <c r="G53" s="12" t="n"/>
      <c r="H53" s="50">
        <f>IF(OR(E53="",F53=""),"",F53-E53)</f>
        <v/>
      </c>
      <c r="I53" s="12" t="n"/>
      <c r="J53" s="12" t="n"/>
      <c r="K53" s="12" t="n"/>
      <c r="L53" s="41" t="n"/>
      <c r="M53" s="12" t="n"/>
    </row>
    <row r="54" ht="22" customHeight="1">
      <c r="B54" s="16">
        <f>IF(C54="","IRD-"&amp;TEXT(COUNTA($C$5:C54),"000"))</f>
        <v/>
      </c>
      <c r="C54" s="14" t="n"/>
      <c r="D54" s="14" t="n"/>
      <c r="E54" s="44" t="n"/>
      <c r="F54" s="51" t="n"/>
      <c r="G54" s="14" t="n"/>
      <c r="H54" s="52">
        <f>IF(OR(E54="",F54=""),"",F54-E54)</f>
        <v/>
      </c>
      <c r="I54" s="14" t="n"/>
      <c r="J54" s="14" t="n"/>
      <c r="K54" s="14" t="n"/>
      <c r="L54" s="42" t="n"/>
      <c r="M54" s="14" t="n"/>
    </row>
    <row r="55" ht="22" customHeight="1">
      <c r="B55" s="17">
        <f>IF(C55="","IRD-"&amp;TEXT(COUNTA($C$5:C55),"000"))</f>
        <v/>
      </c>
      <c r="C55" s="12" t="n"/>
      <c r="D55" s="12" t="n"/>
      <c r="E55" s="43" t="n"/>
      <c r="F55" s="49" t="n"/>
      <c r="G55" s="12" t="n"/>
      <c r="H55" s="50">
        <f>IF(OR(E55="",F55=""),"",F55-E55)</f>
        <v/>
      </c>
      <c r="I55" s="12" t="n"/>
      <c r="J55" s="12" t="n"/>
      <c r="K55" s="12" t="n"/>
      <c r="L55" s="41" t="n"/>
      <c r="M55" s="12" t="n"/>
    </row>
    <row r="56" ht="22" customHeight="1">
      <c r="B56" s="16">
        <f>IF(C56="","IRD-"&amp;TEXT(COUNTA($C$5:C56),"000"))</f>
        <v/>
      </c>
      <c r="C56" s="14" t="n"/>
      <c r="D56" s="14" t="n"/>
      <c r="E56" s="44" t="n"/>
      <c r="F56" s="51" t="n"/>
      <c r="G56" s="14" t="n"/>
      <c r="H56" s="52">
        <f>IF(OR(E56="",F56=""),"",F56-E56)</f>
        <v/>
      </c>
      <c r="I56" s="14" t="n"/>
      <c r="J56" s="14" t="n"/>
      <c r="K56" s="14" t="n"/>
      <c r="L56" s="42" t="n"/>
      <c r="M56" s="14" t="n"/>
    </row>
    <row r="57" ht="22" customHeight="1">
      <c r="B57" s="17">
        <f>IF(C57="","IRD-"&amp;TEXT(COUNTA($C$5:C57),"000"))</f>
        <v/>
      </c>
      <c r="C57" s="12" t="n"/>
      <c r="D57" s="12" t="n"/>
      <c r="E57" s="43" t="n"/>
      <c r="F57" s="49" t="n"/>
      <c r="G57" s="12" t="n"/>
      <c r="H57" s="50">
        <f>IF(OR(E57="",F57=""),"",F57-E57)</f>
        <v/>
      </c>
      <c r="I57" s="12" t="n"/>
      <c r="J57" s="12" t="n"/>
      <c r="K57" s="12" t="n"/>
      <c r="L57" s="41" t="n"/>
      <c r="M57" s="12" t="n"/>
    </row>
    <row r="58" ht="22" customHeight="1">
      <c r="B58" s="16">
        <f>IF(C58="","IRD-"&amp;TEXT(COUNTA($C$5:C58),"000"))</f>
        <v/>
      </c>
      <c r="C58" s="14" t="n"/>
      <c r="D58" s="14" t="n"/>
      <c r="E58" s="44" t="n"/>
      <c r="F58" s="51" t="n"/>
      <c r="G58" s="14" t="n"/>
      <c r="H58" s="52">
        <f>IF(OR(E58="",F58=""),"",F58-E58)</f>
        <v/>
      </c>
      <c r="I58" s="14" t="n"/>
      <c r="J58" s="14" t="n"/>
      <c r="K58" s="14" t="n"/>
      <c r="L58" s="42" t="n"/>
      <c r="M58" s="14" t="n"/>
    </row>
    <row r="59" ht="22" customHeight="1">
      <c r="B59" s="17">
        <f>IF(C59="","IRD-"&amp;TEXT(COUNTA($C$5:C59),"000"))</f>
        <v/>
      </c>
      <c r="C59" s="12" t="n"/>
      <c r="D59" s="12" t="n"/>
      <c r="E59" s="43" t="n"/>
      <c r="F59" s="49" t="n"/>
      <c r="G59" s="12" t="n"/>
      <c r="H59" s="50">
        <f>IF(OR(E59="",F59=""),"",F59-E59)</f>
        <v/>
      </c>
      <c r="I59" s="12" t="n"/>
      <c r="J59" s="12" t="n"/>
      <c r="K59" s="12" t="n"/>
      <c r="L59" s="41" t="n"/>
      <c r="M59" s="12" t="n"/>
    </row>
    <row r="60" ht="22" customHeight="1">
      <c r="B60" s="16">
        <f>IF(C60="","IRD-"&amp;TEXT(COUNTA($C$5:C60),"000"))</f>
        <v/>
      </c>
      <c r="C60" s="14" t="n"/>
      <c r="D60" s="14" t="n"/>
      <c r="E60" s="44" t="n"/>
      <c r="F60" s="51" t="n"/>
      <c r="G60" s="14" t="n"/>
      <c r="H60" s="52">
        <f>IF(OR(E60="",F60=""),"",F60-E60)</f>
        <v/>
      </c>
      <c r="I60" s="14" t="n"/>
      <c r="J60" s="14" t="n"/>
      <c r="K60" s="14" t="n"/>
      <c r="L60" s="42" t="n"/>
      <c r="M60" s="14" t="n"/>
    </row>
    <row r="61" ht="22" customHeight="1">
      <c r="B61" s="17">
        <f>IF(C61="","IRD-"&amp;TEXT(COUNTA($C$5:C61),"000"))</f>
        <v/>
      </c>
      <c r="C61" s="12" t="n"/>
      <c r="D61" s="12" t="n"/>
      <c r="E61" s="43" t="n"/>
      <c r="F61" s="49" t="n"/>
      <c r="G61" s="12" t="n"/>
      <c r="H61" s="50">
        <f>IF(OR(E61="",F61=""),"",F61-E61)</f>
        <v/>
      </c>
      <c r="I61" s="12" t="n"/>
      <c r="J61" s="12" t="n"/>
      <c r="K61" s="12" t="n"/>
      <c r="L61" s="41" t="n"/>
      <c r="M61" s="12" t="n"/>
    </row>
    <row r="62" ht="22" customHeight="1">
      <c r="B62" s="16">
        <f>IF(C62="","IRD-"&amp;TEXT(COUNTA($C$5:C62),"000"))</f>
        <v/>
      </c>
      <c r="C62" s="14" t="n"/>
      <c r="D62" s="14" t="n"/>
      <c r="E62" s="44" t="n"/>
      <c r="F62" s="51" t="n"/>
      <c r="G62" s="14" t="n"/>
      <c r="H62" s="52">
        <f>IF(OR(E62="",F62=""),"",F62-E62)</f>
        <v/>
      </c>
      <c r="I62" s="14" t="n"/>
      <c r="J62" s="14" t="n"/>
      <c r="K62" s="14" t="n"/>
      <c r="L62" s="42" t="n"/>
      <c r="M62" s="14" t="n"/>
    </row>
    <row r="63" ht="22" customHeight="1">
      <c r="B63" s="17">
        <f>IF(C63="","IRD-"&amp;TEXT(COUNTA($C$5:C63),"000"))</f>
        <v/>
      </c>
      <c r="C63" s="12" t="n"/>
      <c r="D63" s="12" t="n"/>
      <c r="E63" s="43" t="n"/>
      <c r="F63" s="49" t="n"/>
      <c r="G63" s="12" t="n"/>
      <c r="H63" s="50">
        <f>IF(OR(E63="",F63=""),"",F63-E63)</f>
        <v/>
      </c>
      <c r="I63" s="12" t="n"/>
      <c r="J63" s="12" t="n"/>
      <c r="K63" s="12" t="n"/>
      <c r="L63" s="41" t="n"/>
      <c r="M63" s="12" t="n"/>
    </row>
    <row r="64" ht="22" customHeight="1">
      <c r="B64" s="16">
        <f>IF(C64="","IRD-"&amp;TEXT(COUNTA($C$5:C64),"000"))</f>
        <v/>
      </c>
      <c r="C64" s="14" t="n"/>
      <c r="D64" s="14" t="n"/>
      <c r="E64" s="44" t="n"/>
      <c r="F64" s="51" t="n"/>
      <c r="G64" s="14" t="n"/>
      <c r="H64" s="52">
        <f>IF(OR(E64="",F64=""),"",F64-E64)</f>
        <v/>
      </c>
      <c r="I64" s="14" t="n"/>
      <c r="J64" s="14" t="n"/>
      <c r="K64" s="14" t="n"/>
      <c r="L64" s="42" t="n"/>
      <c r="M64" s="14" t="n"/>
    </row>
    <row r="65" ht="22" customHeight="1">
      <c r="B65" s="17">
        <f>IF(C65="","IRD-"&amp;TEXT(COUNTA($C$5:C65),"000"))</f>
        <v/>
      </c>
      <c r="C65" s="12" t="n"/>
      <c r="D65" s="12" t="n"/>
      <c r="E65" s="43" t="n"/>
      <c r="F65" s="49" t="n"/>
      <c r="G65" s="12" t="n"/>
      <c r="H65" s="50">
        <f>IF(OR(E65="",F65=""),"",F65-E65)</f>
        <v/>
      </c>
      <c r="I65" s="12" t="n"/>
      <c r="J65" s="12" t="n"/>
      <c r="K65" s="12" t="n"/>
      <c r="L65" s="41" t="n"/>
      <c r="M65" s="12" t="n"/>
    </row>
    <row r="66" ht="22" customHeight="1">
      <c r="B66" s="16">
        <f>IF(C66="","IRD-"&amp;TEXT(COUNTA($C$5:C66),"000"))</f>
        <v/>
      </c>
      <c r="C66" s="14" t="n"/>
      <c r="D66" s="14" t="n"/>
      <c r="E66" s="44" t="n"/>
      <c r="F66" s="51" t="n"/>
      <c r="G66" s="14" t="n"/>
      <c r="H66" s="52">
        <f>IF(OR(E66="",F66=""),"",F66-E66)</f>
        <v/>
      </c>
      <c r="I66" s="14" t="n"/>
      <c r="J66" s="14" t="n"/>
      <c r="K66" s="14" t="n"/>
      <c r="L66" s="42" t="n"/>
      <c r="M66" s="14" t="n"/>
    </row>
    <row r="67" ht="22" customHeight="1">
      <c r="B67" s="17">
        <f>IF(C67="","IRD-"&amp;TEXT(COUNTA($C$5:C67),"000"))</f>
        <v/>
      </c>
      <c r="C67" s="12" t="n"/>
      <c r="D67" s="12" t="n"/>
      <c r="E67" s="43" t="n"/>
      <c r="F67" s="49" t="n"/>
      <c r="G67" s="12" t="n"/>
      <c r="H67" s="50">
        <f>IF(OR(E67="",F67=""),"",F67-E67)</f>
        <v/>
      </c>
      <c r="I67" s="12" t="n"/>
      <c r="J67" s="12" t="n"/>
      <c r="K67" s="12" t="n"/>
      <c r="L67" s="41" t="n"/>
      <c r="M67" s="12" t="n"/>
    </row>
    <row r="68" ht="22" customHeight="1">
      <c r="B68" s="16">
        <f>IF(C68="","IRD-"&amp;TEXT(COUNTA($C$5:C68),"000"))</f>
        <v/>
      </c>
      <c r="C68" s="14" t="n"/>
      <c r="D68" s="14" t="n"/>
      <c r="E68" s="44" t="n"/>
      <c r="F68" s="51" t="n"/>
      <c r="G68" s="14" t="n"/>
      <c r="H68" s="52">
        <f>IF(OR(E68="",F68=""),"",F68-E68)</f>
        <v/>
      </c>
      <c r="I68" s="14" t="n"/>
      <c r="J68" s="14" t="n"/>
      <c r="K68" s="14" t="n"/>
      <c r="L68" s="42" t="n"/>
      <c r="M68" s="14" t="n"/>
    </row>
    <row r="69" ht="22" customHeight="1">
      <c r="B69" s="17">
        <f>IF(C69="","IRD-"&amp;TEXT(COUNTA($C$5:C69),"000"))</f>
        <v/>
      </c>
      <c r="C69" s="12" t="n"/>
      <c r="D69" s="12" t="n"/>
      <c r="E69" s="43" t="n"/>
      <c r="F69" s="49" t="n"/>
      <c r="G69" s="12" t="n"/>
      <c r="H69" s="50">
        <f>IF(OR(E69="",F69=""),"",F69-E69)</f>
        <v/>
      </c>
      <c r="I69" s="12" t="n"/>
      <c r="J69" s="12" t="n"/>
      <c r="K69" s="12" t="n"/>
      <c r="L69" s="41" t="n"/>
      <c r="M69" s="12" t="n"/>
    </row>
    <row r="70" ht="22" customHeight="1">
      <c r="B70" s="16">
        <f>IF(C70="","IRD-"&amp;TEXT(COUNTA($C$5:C70),"000"))</f>
        <v/>
      </c>
      <c r="C70" s="14" t="n"/>
      <c r="D70" s="14" t="n"/>
      <c r="E70" s="44" t="n"/>
      <c r="F70" s="51" t="n"/>
      <c r="G70" s="14" t="n"/>
      <c r="H70" s="52">
        <f>IF(OR(E70="",F70=""),"",F70-E70)</f>
        <v/>
      </c>
      <c r="I70" s="14" t="n"/>
      <c r="J70" s="14" t="n"/>
      <c r="K70" s="14" t="n"/>
      <c r="L70" s="42" t="n"/>
      <c r="M70" s="14" t="n"/>
    </row>
    <row r="71" ht="22" customHeight="1">
      <c r="B71" s="17">
        <f>IF(C71="","IRD-"&amp;TEXT(COUNTA($C$5:C71),"000"))</f>
        <v/>
      </c>
      <c r="C71" s="12" t="n"/>
      <c r="D71" s="12" t="n"/>
      <c r="E71" s="43" t="n"/>
      <c r="F71" s="49" t="n"/>
      <c r="G71" s="12" t="n"/>
      <c r="H71" s="50">
        <f>IF(OR(E71="",F71=""),"",F71-E71)</f>
        <v/>
      </c>
      <c r="I71" s="12" t="n"/>
      <c r="J71" s="12" t="n"/>
      <c r="K71" s="12" t="n"/>
      <c r="L71" s="41" t="n"/>
      <c r="M71" s="12" t="n"/>
    </row>
    <row r="72" ht="22" customHeight="1">
      <c r="B72" s="16">
        <f>IF(C72="","IRD-"&amp;TEXT(COUNTA($C$5:C72),"000"))</f>
        <v/>
      </c>
      <c r="C72" s="14" t="n"/>
      <c r="D72" s="14" t="n"/>
      <c r="E72" s="44" t="n"/>
      <c r="F72" s="51" t="n"/>
      <c r="G72" s="14" t="n"/>
      <c r="H72" s="52">
        <f>IF(OR(E72="",F72=""),"",F72-E72)</f>
        <v/>
      </c>
      <c r="I72" s="14" t="n"/>
      <c r="J72" s="14" t="n"/>
      <c r="K72" s="14" t="n"/>
      <c r="L72" s="42" t="n"/>
      <c r="M72" s="14" t="n"/>
    </row>
    <row r="73" ht="22" customHeight="1">
      <c r="B73" s="17">
        <f>IF(C73="","IRD-"&amp;TEXT(COUNTA($C$5:C73),"000"))</f>
        <v/>
      </c>
      <c r="C73" s="12" t="n"/>
      <c r="D73" s="12" t="n"/>
      <c r="E73" s="43" t="n"/>
      <c r="F73" s="49" t="n"/>
      <c r="G73" s="12" t="n"/>
      <c r="H73" s="50">
        <f>IF(OR(E73="",F73=""),"",F73-E73)</f>
        <v/>
      </c>
      <c r="I73" s="12" t="n"/>
      <c r="J73" s="12" t="n"/>
      <c r="K73" s="12" t="n"/>
      <c r="L73" s="41" t="n"/>
      <c r="M73" s="12" t="n"/>
    </row>
    <row r="74" ht="22" customHeight="1">
      <c r="B74" s="16">
        <f>IF(C74="","IRD-"&amp;TEXT(COUNTA($C$5:C74),"000"))</f>
        <v/>
      </c>
      <c r="C74" s="14" t="n"/>
      <c r="D74" s="14" t="n"/>
      <c r="E74" s="44" t="n"/>
      <c r="F74" s="51" t="n"/>
      <c r="G74" s="14" t="n"/>
      <c r="H74" s="52">
        <f>IF(OR(E74="",F74=""),"",F74-E74)</f>
        <v/>
      </c>
      <c r="I74" s="14" t="n"/>
      <c r="J74" s="14" t="n"/>
      <c r="K74" s="14" t="n"/>
      <c r="L74" s="42" t="n"/>
      <c r="M74" s="14" t="n"/>
    </row>
    <row r="75" ht="22" customHeight="1">
      <c r="B75" s="17">
        <f>IF(C75="","IRD-"&amp;TEXT(COUNTA($C$5:C75),"000"))</f>
        <v/>
      </c>
      <c r="C75" s="12" t="n"/>
      <c r="D75" s="12" t="n"/>
      <c r="E75" s="43" t="n"/>
      <c r="F75" s="49" t="n"/>
      <c r="G75" s="12" t="n"/>
      <c r="H75" s="50">
        <f>IF(OR(E75="",F75=""),"",F75-E75)</f>
        <v/>
      </c>
      <c r="I75" s="12" t="n"/>
      <c r="J75" s="12" t="n"/>
      <c r="K75" s="12" t="n"/>
      <c r="L75" s="41" t="n"/>
      <c r="M75" s="12" t="n"/>
    </row>
    <row r="76" ht="22" customHeight="1">
      <c r="B76" s="16">
        <f>IF(C76="","IRD-"&amp;TEXT(COUNTA($C$5:C76),"000"))</f>
        <v/>
      </c>
      <c r="C76" s="14" t="n"/>
      <c r="D76" s="14" t="n"/>
      <c r="E76" s="44" t="n"/>
      <c r="F76" s="51" t="n"/>
      <c r="G76" s="14" t="n"/>
      <c r="H76" s="52">
        <f>IF(OR(E76="",F76=""),"",F76-E76)</f>
        <v/>
      </c>
      <c r="I76" s="14" t="n"/>
      <c r="J76" s="14" t="n"/>
      <c r="K76" s="14" t="n"/>
      <c r="L76" s="42" t="n"/>
      <c r="M76" s="14" t="n"/>
    </row>
    <row r="77" ht="22" customHeight="1">
      <c r="B77" s="17">
        <f>IF(C77="","IRD-"&amp;TEXT(COUNTA($C$5:C77),"000"))</f>
        <v/>
      </c>
      <c r="C77" s="12" t="n"/>
      <c r="D77" s="12" t="n"/>
      <c r="E77" s="43" t="n"/>
      <c r="F77" s="49" t="n"/>
      <c r="G77" s="12" t="n"/>
      <c r="H77" s="50">
        <f>IF(OR(E77="",F77=""),"",F77-E77)</f>
        <v/>
      </c>
      <c r="I77" s="12" t="n"/>
      <c r="J77" s="12" t="n"/>
      <c r="K77" s="12" t="n"/>
      <c r="L77" s="41" t="n"/>
      <c r="M77" s="12" t="n"/>
    </row>
    <row r="78" ht="22" customHeight="1">
      <c r="B78" s="16">
        <f>IF(C78="","IRD-"&amp;TEXT(COUNTA($C$5:C78),"000"))</f>
        <v/>
      </c>
      <c r="C78" s="14" t="n"/>
      <c r="D78" s="14" t="n"/>
      <c r="E78" s="44" t="n"/>
      <c r="F78" s="51" t="n"/>
      <c r="G78" s="14" t="n"/>
      <c r="H78" s="52">
        <f>IF(OR(E78="",F78=""),"",F78-E78)</f>
        <v/>
      </c>
      <c r="I78" s="14" t="n"/>
      <c r="J78" s="14" t="n"/>
      <c r="K78" s="14" t="n"/>
      <c r="L78" s="42" t="n"/>
      <c r="M78" s="14" t="n"/>
    </row>
    <row r="79" ht="22" customHeight="1">
      <c r="B79" s="17">
        <f>IF(C79="","IRD-"&amp;TEXT(COUNTA($C$5:C79),"000"))</f>
        <v/>
      </c>
      <c r="C79" s="12" t="n"/>
      <c r="D79" s="12" t="n"/>
      <c r="E79" s="43" t="n"/>
      <c r="F79" s="49" t="n"/>
      <c r="G79" s="12" t="n"/>
      <c r="H79" s="50">
        <f>IF(OR(E79="",F79=""),"",F79-E79)</f>
        <v/>
      </c>
      <c r="I79" s="12" t="n"/>
      <c r="J79" s="12" t="n"/>
      <c r="K79" s="12" t="n"/>
      <c r="L79" s="41" t="n"/>
      <c r="M79" s="12" t="n"/>
    </row>
    <row r="80" ht="22" customHeight="1">
      <c r="B80" s="16">
        <f>IF(C80="","IRD-"&amp;TEXT(COUNTA($C$5:C80),"000"))</f>
        <v/>
      </c>
      <c r="C80" s="14" t="n"/>
      <c r="D80" s="14" t="n"/>
      <c r="E80" s="44" t="n"/>
      <c r="F80" s="51" t="n"/>
      <c r="G80" s="14" t="n"/>
      <c r="H80" s="52">
        <f>IF(OR(E80="",F80=""),"",F80-E80)</f>
        <v/>
      </c>
      <c r="I80" s="14" t="n"/>
      <c r="J80" s="14" t="n"/>
      <c r="K80" s="14" t="n"/>
      <c r="L80" s="42" t="n"/>
      <c r="M80" s="14" t="n"/>
    </row>
    <row r="81" ht="22" customHeight="1">
      <c r="B81" s="17">
        <f>IF(C81="","IRD-"&amp;TEXT(COUNTA($C$5:C81),"000"))</f>
        <v/>
      </c>
      <c r="C81" s="12" t="n"/>
      <c r="D81" s="12" t="n"/>
      <c r="E81" s="43" t="n"/>
      <c r="F81" s="49" t="n"/>
      <c r="G81" s="12" t="n"/>
      <c r="H81" s="50">
        <f>IF(OR(E81="",F81=""),"",F81-E81)</f>
        <v/>
      </c>
      <c r="I81" s="12" t="n"/>
      <c r="J81" s="12" t="n"/>
      <c r="K81" s="12" t="n"/>
      <c r="L81" s="41" t="n"/>
      <c r="M81" s="12" t="n"/>
    </row>
    <row r="82" ht="22" customHeight="1">
      <c r="B82" s="16">
        <f>IF(C82="","IRD-"&amp;TEXT(COUNTA($C$5:C82),"000"))</f>
        <v/>
      </c>
      <c r="C82" s="14" t="n"/>
      <c r="D82" s="14" t="n"/>
      <c r="E82" s="44" t="n"/>
      <c r="F82" s="51" t="n"/>
      <c r="G82" s="14" t="n"/>
      <c r="H82" s="52">
        <f>IF(OR(E82="",F82=""),"",F82-E82)</f>
        <v/>
      </c>
      <c r="I82" s="14" t="n"/>
      <c r="J82" s="14" t="n"/>
      <c r="K82" s="14" t="n"/>
      <c r="L82" s="42" t="n"/>
      <c r="M82" s="14" t="n"/>
    </row>
    <row r="83" ht="22" customHeight="1">
      <c r="B83" s="17">
        <f>IF(C83="","IRD-"&amp;TEXT(COUNTA($C$5:C83),"000"))</f>
        <v/>
      </c>
      <c r="C83" s="12" t="n"/>
      <c r="D83" s="12" t="n"/>
      <c r="E83" s="43" t="n"/>
      <c r="F83" s="49" t="n"/>
      <c r="G83" s="12" t="n"/>
      <c r="H83" s="50">
        <f>IF(OR(E83="",F83=""),"",F83-E83)</f>
        <v/>
      </c>
      <c r="I83" s="12" t="n"/>
      <c r="J83" s="12" t="n"/>
      <c r="K83" s="12" t="n"/>
      <c r="L83" s="41" t="n"/>
      <c r="M83" s="12" t="n"/>
    </row>
    <row r="84" ht="22" customHeight="1">
      <c r="B84" s="16">
        <f>IF(C84="","IRD-"&amp;TEXT(COUNTA($C$5:C84),"000"))</f>
        <v/>
      </c>
      <c r="C84" s="14" t="n"/>
      <c r="D84" s="14" t="n"/>
      <c r="E84" s="44" t="n"/>
      <c r="F84" s="51" t="n"/>
      <c r="G84" s="14" t="n"/>
      <c r="H84" s="52">
        <f>IF(OR(E84="",F84=""),"",F84-E84)</f>
        <v/>
      </c>
      <c r="I84" s="14" t="n"/>
      <c r="J84" s="14" t="n"/>
      <c r="K84" s="14" t="n"/>
      <c r="L84" s="42" t="n"/>
      <c r="M84" s="14" t="n"/>
    </row>
    <row r="85" ht="22" customHeight="1">
      <c r="B85" s="17">
        <f>IF(C85="","IRD-"&amp;TEXT(COUNTA($C$5:C85),"000"))</f>
        <v/>
      </c>
      <c r="C85" s="12" t="n"/>
      <c r="D85" s="12" t="n"/>
      <c r="E85" s="43" t="n"/>
      <c r="F85" s="49" t="n"/>
      <c r="G85" s="12" t="n"/>
      <c r="H85" s="50">
        <f>IF(OR(E85="",F85=""),"",F85-E85)</f>
        <v/>
      </c>
      <c r="I85" s="12" t="n"/>
      <c r="J85" s="12" t="n"/>
      <c r="K85" s="12" t="n"/>
      <c r="L85" s="41" t="n"/>
      <c r="M85" s="12" t="n"/>
    </row>
    <row r="86" ht="22" customHeight="1">
      <c r="B86" s="16">
        <f>IF(C86="","IRD-"&amp;TEXT(COUNTA($C$5:C86),"000"))</f>
        <v/>
      </c>
      <c r="C86" s="14" t="n"/>
      <c r="D86" s="14" t="n"/>
      <c r="E86" s="44" t="n"/>
      <c r="F86" s="51" t="n"/>
      <c r="G86" s="14" t="n"/>
      <c r="H86" s="52">
        <f>IF(OR(E86="",F86=""),"",F86-E86)</f>
        <v/>
      </c>
      <c r="I86" s="14" t="n"/>
      <c r="J86" s="14" t="n"/>
      <c r="K86" s="14" t="n"/>
      <c r="L86" s="42" t="n"/>
      <c r="M86" s="14" t="n"/>
    </row>
    <row r="87" ht="22" customHeight="1">
      <c r="B87" s="17">
        <f>IF(C87="","IRD-"&amp;TEXT(COUNTA($C$5:C87),"000"))</f>
        <v/>
      </c>
      <c r="C87" s="12" t="n"/>
      <c r="D87" s="12" t="n"/>
      <c r="E87" s="43" t="n"/>
      <c r="F87" s="49" t="n"/>
      <c r="G87" s="12" t="n"/>
      <c r="H87" s="50">
        <f>IF(OR(E87="",F87=""),"",F87-E87)</f>
        <v/>
      </c>
      <c r="I87" s="12" t="n"/>
      <c r="J87" s="12" t="n"/>
      <c r="K87" s="12" t="n"/>
      <c r="L87" s="41" t="n"/>
      <c r="M87" s="12" t="n"/>
    </row>
    <row r="88" ht="22" customHeight="1">
      <c r="B88" s="16">
        <f>IF(C88="","IRD-"&amp;TEXT(COUNTA($C$5:C88),"000"))</f>
        <v/>
      </c>
      <c r="C88" s="14" t="n"/>
      <c r="D88" s="14" t="n"/>
      <c r="E88" s="44" t="n"/>
      <c r="F88" s="51" t="n"/>
      <c r="G88" s="14" t="n"/>
      <c r="H88" s="52">
        <f>IF(OR(E88="",F88=""),"",F88-E88)</f>
        <v/>
      </c>
      <c r="I88" s="14" t="n"/>
      <c r="J88" s="14" t="n"/>
      <c r="K88" s="14" t="n"/>
      <c r="L88" s="42" t="n"/>
      <c r="M88" s="14" t="n"/>
    </row>
    <row r="89" ht="22" customHeight="1">
      <c r="B89" s="17">
        <f>IF(C89="","IRD-"&amp;TEXT(COUNTA($C$5:C89),"000"))</f>
        <v/>
      </c>
      <c r="C89" s="12" t="n"/>
      <c r="D89" s="12" t="n"/>
      <c r="E89" s="43" t="n"/>
      <c r="F89" s="49" t="n"/>
      <c r="G89" s="12" t="n"/>
      <c r="H89" s="50">
        <f>IF(OR(E89="",F89=""),"",F89-E89)</f>
        <v/>
      </c>
      <c r="I89" s="12" t="n"/>
      <c r="J89" s="12" t="n"/>
      <c r="K89" s="12" t="n"/>
      <c r="L89" s="41" t="n"/>
      <c r="M89" s="12" t="n"/>
    </row>
    <row r="90" ht="22" customHeight="1">
      <c r="B90" s="16">
        <f>IF(C90="","IRD-"&amp;TEXT(COUNTA($C$5:C90),"000"))</f>
        <v/>
      </c>
      <c r="C90" s="14" t="n"/>
      <c r="D90" s="14" t="n"/>
      <c r="E90" s="44" t="n"/>
      <c r="F90" s="51" t="n"/>
      <c r="G90" s="14" t="n"/>
      <c r="H90" s="52">
        <f>IF(OR(E90="",F90=""),"",F90-E90)</f>
        <v/>
      </c>
      <c r="I90" s="14" t="n"/>
      <c r="J90" s="14" t="n"/>
      <c r="K90" s="14" t="n"/>
      <c r="L90" s="42" t="n"/>
      <c r="M90" s="14" t="n"/>
    </row>
    <row r="91" ht="22" customHeight="1">
      <c r="B91" s="17">
        <f>IF(C91="","IRD-"&amp;TEXT(COUNTA($C$5:C91),"000"))</f>
        <v/>
      </c>
      <c r="C91" s="12" t="n"/>
      <c r="D91" s="12" t="n"/>
      <c r="E91" s="43" t="n"/>
      <c r="F91" s="49" t="n"/>
      <c r="G91" s="12" t="n"/>
      <c r="H91" s="50">
        <f>IF(OR(E91="",F91=""),"",F91-E91)</f>
        <v/>
      </c>
      <c r="I91" s="12" t="n"/>
      <c r="J91" s="12" t="n"/>
      <c r="K91" s="12" t="n"/>
      <c r="L91" s="41" t="n"/>
      <c r="M91" s="12" t="n"/>
    </row>
    <row r="92" ht="22" customHeight="1">
      <c r="B92" s="16">
        <f>IF(C92="","IRD-"&amp;TEXT(COUNTA($C$5:C92),"000"))</f>
        <v/>
      </c>
      <c r="C92" s="14" t="n"/>
      <c r="D92" s="14" t="n"/>
      <c r="E92" s="44" t="n"/>
      <c r="F92" s="51" t="n"/>
      <c r="G92" s="14" t="n"/>
      <c r="H92" s="52">
        <f>IF(OR(E92="",F92=""),"",F92-E92)</f>
        <v/>
      </c>
      <c r="I92" s="14" t="n"/>
      <c r="J92" s="14" t="n"/>
      <c r="K92" s="14" t="n"/>
      <c r="L92" s="42" t="n"/>
      <c r="M92" s="14" t="n"/>
    </row>
    <row r="93" ht="22" customHeight="1">
      <c r="B93" s="17">
        <f>IF(C93="","IRD-"&amp;TEXT(COUNTA($C$5:C93),"000"))</f>
        <v/>
      </c>
      <c r="C93" s="12" t="n"/>
      <c r="D93" s="12" t="n"/>
      <c r="E93" s="43" t="n"/>
      <c r="F93" s="49" t="n"/>
      <c r="G93" s="12" t="n"/>
      <c r="H93" s="50">
        <f>IF(OR(E93="",F93=""),"",F93-E93)</f>
        <v/>
      </c>
      <c r="I93" s="12" t="n"/>
      <c r="J93" s="12" t="n"/>
      <c r="K93" s="12" t="n"/>
      <c r="L93" s="41" t="n"/>
      <c r="M93" s="12" t="n"/>
    </row>
    <row r="94" ht="22" customHeight="1">
      <c r="B94" s="16">
        <f>IF(C94="","IRD-"&amp;TEXT(COUNTA($C$5:C94),"000"))</f>
        <v/>
      </c>
      <c r="C94" s="14" t="n"/>
      <c r="D94" s="14" t="n"/>
      <c r="E94" s="44" t="n"/>
      <c r="F94" s="51" t="n"/>
      <c r="G94" s="14" t="n"/>
      <c r="H94" s="52">
        <f>IF(OR(E94="",F94=""),"",F94-E94)</f>
        <v/>
      </c>
      <c r="I94" s="14" t="n"/>
      <c r="J94" s="14" t="n"/>
      <c r="K94" s="14" t="n"/>
      <c r="L94" s="42" t="n"/>
      <c r="M94" s="14" t="n"/>
    </row>
    <row r="95" ht="22" customHeight="1">
      <c r="B95" s="17">
        <f>IF(C95="","IRD-"&amp;TEXT(COUNTA($C$5:C95),"000"))</f>
        <v/>
      </c>
      <c r="C95" s="12" t="n"/>
      <c r="D95" s="12" t="n"/>
      <c r="E95" s="43" t="n"/>
      <c r="F95" s="49" t="n"/>
      <c r="G95" s="12" t="n"/>
      <c r="H95" s="50">
        <f>IF(OR(E95="",F95=""),"",F95-E95)</f>
        <v/>
      </c>
      <c r="I95" s="12" t="n"/>
      <c r="J95" s="12" t="n"/>
      <c r="K95" s="12" t="n"/>
      <c r="L95" s="41" t="n"/>
      <c r="M95" s="12" t="n"/>
    </row>
    <row r="96" ht="22" customHeight="1">
      <c r="B96" s="16">
        <f>IF(C96="","IRD-"&amp;TEXT(COUNTA($C$5:C96),"000"))</f>
        <v/>
      </c>
      <c r="C96" s="14" t="n"/>
      <c r="D96" s="14" t="n"/>
      <c r="E96" s="44" t="n"/>
      <c r="F96" s="51" t="n"/>
      <c r="G96" s="14" t="n"/>
      <c r="H96" s="52">
        <f>IF(OR(E96="",F96=""),"",F96-E96)</f>
        <v/>
      </c>
      <c r="I96" s="14" t="n"/>
      <c r="J96" s="14" t="n"/>
      <c r="K96" s="14" t="n"/>
      <c r="L96" s="42" t="n"/>
      <c r="M96" s="14" t="n"/>
    </row>
    <row r="97" ht="22" customHeight="1">
      <c r="B97" s="17">
        <f>IF(C97="","IRD-"&amp;TEXT(COUNTA($C$5:C97),"000"))</f>
        <v/>
      </c>
      <c r="C97" s="12" t="n"/>
      <c r="D97" s="12" t="n"/>
      <c r="E97" s="43" t="n"/>
      <c r="F97" s="49" t="n"/>
      <c r="G97" s="12" t="n"/>
      <c r="H97" s="50">
        <f>IF(OR(E97="",F97=""),"",F97-E97)</f>
        <v/>
      </c>
      <c r="I97" s="12" t="n"/>
      <c r="J97" s="12" t="n"/>
      <c r="K97" s="12" t="n"/>
      <c r="L97" s="41" t="n"/>
      <c r="M97" s="12" t="n"/>
    </row>
    <row r="98" ht="22" customHeight="1">
      <c r="B98" s="16">
        <f>IF(C98="","IRD-"&amp;TEXT(COUNTA($C$5:C98),"000"))</f>
        <v/>
      </c>
      <c r="C98" s="14" t="n"/>
      <c r="D98" s="14" t="n"/>
      <c r="E98" s="44" t="n"/>
      <c r="F98" s="51" t="n"/>
      <c r="G98" s="14" t="n"/>
      <c r="H98" s="52">
        <f>IF(OR(E98="",F98=""),"",F98-E98)</f>
        <v/>
      </c>
      <c r="I98" s="14" t="n"/>
      <c r="J98" s="14" t="n"/>
      <c r="K98" s="14" t="n"/>
      <c r="L98" s="42" t="n"/>
      <c r="M98" s="14" t="n"/>
    </row>
    <row r="99" ht="22" customHeight="1">
      <c r="B99" s="17">
        <f>IF(C99="","IRD-"&amp;TEXT(COUNTA($C$5:C99),"000"))</f>
        <v/>
      </c>
      <c r="C99" s="12" t="n"/>
      <c r="D99" s="12" t="n"/>
      <c r="E99" s="43" t="n"/>
      <c r="F99" s="49" t="n"/>
      <c r="G99" s="12" t="n"/>
      <c r="H99" s="50">
        <f>IF(OR(E99="",F99=""),"",F99-E99)</f>
        <v/>
      </c>
      <c r="I99" s="12" t="n"/>
      <c r="J99" s="12" t="n"/>
      <c r="K99" s="12" t="n"/>
      <c r="L99" s="41" t="n"/>
      <c r="M99" s="12" t="n"/>
    </row>
    <row r="100" ht="22" customHeight="1">
      <c r="B100" s="16">
        <f>IF(C100="","IRD-"&amp;TEXT(COUNTA($C$5:C100),"000"))</f>
        <v/>
      </c>
      <c r="C100" s="14" t="n"/>
      <c r="D100" s="14" t="n"/>
      <c r="E100" s="44" t="n"/>
      <c r="F100" s="51" t="n"/>
      <c r="G100" s="14" t="n"/>
      <c r="H100" s="52">
        <f>IF(OR(E100="",F100=""),"",F100-E100)</f>
        <v/>
      </c>
      <c r="I100" s="14" t="n"/>
      <c r="J100" s="14" t="n"/>
      <c r="K100" s="14" t="n"/>
      <c r="L100" s="42" t="n"/>
      <c r="M100" s="14" t="n"/>
    </row>
    <row r="101" ht="22" customHeight="1">
      <c r="B101" s="17">
        <f>IF(C101="","IRD-"&amp;TEXT(COUNTA($C$5:C101),"000"))</f>
        <v/>
      </c>
      <c r="C101" s="12" t="n"/>
      <c r="D101" s="12" t="n"/>
      <c r="E101" s="43" t="n"/>
      <c r="F101" s="49" t="n"/>
      <c r="G101" s="12" t="n"/>
      <c r="H101" s="50">
        <f>IF(OR(E101="",F101=""),"",F101-E101)</f>
        <v/>
      </c>
      <c r="I101" s="12" t="n"/>
      <c r="J101" s="12" t="n"/>
      <c r="K101" s="12" t="n"/>
      <c r="L101" s="41" t="n"/>
      <c r="M101" s="12" t="n"/>
    </row>
    <row r="102" ht="22" customHeight="1">
      <c r="B102" s="16">
        <f>IF(C102="","IRD-"&amp;TEXT(COUNTA($C$5:C102),"000"))</f>
        <v/>
      </c>
      <c r="C102" s="14" t="n"/>
      <c r="D102" s="14" t="n"/>
      <c r="E102" s="44" t="n"/>
      <c r="F102" s="51" t="n"/>
      <c r="G102" s="14" t="n"/>
      <c r="H102" s="52">
        <f>IF(OR(E102="",F102=""),"",F102-E102)</f>
        <v/>
      </c>
      <c r="I102" s="14" t="n"/>
      <c r="J102" s="14" t="n"/>
      <c r="K102" s="14" t="n"/>
      <c r="L102" s="42" t="n"/>
      <c r="M102" s="14" t="n"/>
    </row>
    <row r="103" ht="22" customHeight="1">
      <c r="B103" s="17">
        <f>IF(C103="","IRD-"&amp;TEXT(COUNTA($C$5:C103),"000"))</f>
        <v/>
      </c>
      <c r="C103" s="12" t="n"/>
      <c r="D103" s="12" t="n"/>
      <c r="E103" s="43" t="n"/>
      <c r="F103" s="49" t="n"/>
      <c r="G103" s="12" t="n"/>
      <c r="H103" s="50">
        <f>IF(OR(E103="",F103=""),"",F103-E103)</f>
        <v/>
      </c>
      <c r="I103" s="12" t="n"/>
      <c r="J103" s="12" t="n"/>
      <c r="K103" s="12" t="n"/>
      <c r="L103" s="41" t="n"/>
      <c r="M103" s="12" t="n"/>
    </row>
    <row r="104" ht="22" customHeight="1">
      <c r="B104" s="16">
        <f>IF(C104="","IRD-"&amp;TEXT(COUNTA($C$5:C104),"000"))</f>
        <v/>
      </c>
      <c r="C104" s="14" t="n"/>
      <c r="D104" s="14" t="n"/>
      <c r="E104" s="44" t="n"/>
      <c r="F104" s="51" t="n"/>
      <c r="G104" s="14" t="n"/>
      <c r="H104" s="52">
        <f>IF(OR(E104="",F104=""),"",F104-E104)</f>
        <v/>
      </c>
      <c r="I104" s="14" t="n"/>
      <c r="J104" s="14" t="n"/>
      <c r="K104" s="14" t="n"/>
      <c r="L104" s="42" t="n"/>
      <c r="M104" s="14" t="n"/>
    </row>
    <row r="105" ht="22" customHeight="1">
      <c r="B105" s="17">
        <f>IF(C105="","IRD-"&amp;TEXT(COUNTA($C$5:C105),"000"))</f>
        <v/>
      </c>
      <c r="C105" s="12" t="n"/>
      <c r="D105" s="12" t="n"/>
      <c r="E105" s="43" t="n"/>
      <c r="F105" s="49" t="n"/>
      <c r="G105" s="12" t="n"/>
      <c r="H105" s="50">
        <f>IF(OR(E105="",F105=""),"",F105-E105)</f>
        <v/>
      </c>
      <c r="I105" s="12" t="n"/>
      <c r="J105" s="12" t="n"/>
      <c r="K105" s="12" t="n"/>
      <c r="L105" s="41" t="n"/>
      <c r="M105" s="12" t="n"/>
    </row>
    <row r="106" ht="22" customHeight="1">
      <c r="B106" s="16">
        <f>IF(C106="","IRD-"&amp;TEXT(COUNTA($C$5:C106),"000"))</f>
        <v/>
      </c>
      <c r="C106" s="14" t="n"/>
      <c r="D106" s="14" t="n"/>
      <c r="E106" s="44" t="n"/>
      <c r="F106" s="51" t="n"/>
      <c r="G106" s="14" t="n"/>
      <c r="H106" s="52">
        <f>IF(OR(E106="",F106=""),"",F106-E106)</f>
        <v/>
      </c>
      <c r="I106" s="14" t="n"/>
      <c r="J106" s="14" t="n"/>
      <c r="K106" s="14" t="n"/>
      <c r="L106" s="42" t="n"/>
      <c r="M106" s="14" t="n"/>
    </row>
    <row r="107" ht="22" customHeight="1">
      <c r="B107" s="17">
        <f>IF(C107="","IRD-"&amp;TEXT(COUNTA($C$5:C107),"000"))</f>
        <v/>
      </c>
      <c r="C107" s="12" t="n"/>
      <c r="D107" s="12" t="n"/>
      <c r="E107" s="43" t="n"/>
      <c r="F107" s="49" t="n"/>
      <c r="G107" s="12" t="n"/>
      <c r="H107" s="50">
        <f>IF(OR(E107="",F107=""),"",F107-E107)</f>
        <v/>
      </c>
      <c r="I107" s="12" t="n"/>
      <c r="J107" s="12" t="n"/>
      <c r="K107" s="12" t="n"/>
      <c r="L107" s="41" t="n"/>
      <c r="M107" s="12" t="n"/>
    </row>
    <row r="108" ht="22" customHeight="1">
      <c r="B108" s="16">
        <f>IF(C108="","IRD-"&amp;TEXT(COUNTA($C$5:C108),"000"))</f>
        <v/>
      </c>
      <c r="C108" s="14" t="n"/>
      <c r="D108" s="14" t="n"/>
      <c r="E108" s="44" t="n"/>
      <c r="F108" s="51" t="n"/>
      <c r="G108" s="14" t="n"/>
      <c r="H108" s="52">
        <f>IF(OR(E108="",F108=""),"",F108-E108)</f>
        <v/>
      </c>
      <c r="I108" s="14" t="n"/>
      <c r="J108" s="14" t="n"/>
      <c r="K108" s="14" t="n"/>
      <c r="L108" s="42" t="n"/>
      <c r="M108" s="14" t="n"/>
    </row>
    <row r="109" ht="22" customHeight="1">
      <c r="B109" s="17">
        <f>IF(C109="","IRD-"&amp;TEXT(COUNTA($C$5:C109),"000"))</f>
        <v/>
      </c>
      <c r="C109" s="12" t="n"/>
      <c r="D109" s="12" t="n"/>
      <c r="E109" s="43" t="n"/>
      <c r="F109" s="49" t="n"/>
      <c r="G109" s="12" t="n"/>
      <c r="H109" s="50">
        <f>IF(OR(E109="",F109=""),"",F109-E109)</f>
        <v/>
      </c>
      <c r="I109" s="12" t="n"/>
      <c r="J109" s="12" t="n"/>
      <c r="K109" s="12" t="n"/>
      <c r="L109" s="41" t="n"/>
      <c r="M109" s="12" t="n"/>
    </row>
    <row r="111">
      <c r="B111" s="6" t="inlineStr">
        <is>
          <t>INDICATEURS (mis a jour automatiquement)</t>
        </is>
      </c>
    </row>
    <row r="112">
      <c r="B112" s="3" t="inlineStr">
        <is>
          <t>Indicateurs suivis</t>
        </is>
      </c>
      <c r="D112" s="3" t="inlineStr">
        <is>
          <t>Objectifs atteints</t>
        </is>
      </c>
      <c r="F112" s="3" t="inlineStr">
        <is>
          <t>En amelioration</t>
        </is>
      </c>
    </row>
    <row r="113">
      <c r="B113" s="4">
        <f>COUNTIF(B5:B104,"&lt;&gt;")</f>
        <v/>
      </c>
      <c r="D113" s="4">
        <f>COUNTIF(M5:M104,"Atteint")</f>
        <v/>
      </c>
      <c r="F113" s="4">
        <f>COUNTIF(M5:M104,"En amelioration")</f>
        <v/>
      </c>
    </row>
  </sheetData>
  <mergeCells count="3">
    <mergeCell ref="B3:M3"/>
    <mergeCell ref="B2:M2"/>
    <mergeCell ref="B111:M111"/>
  </mergeCells>
  <conditionalFormatting sqref="M5:M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10:B109">
    <cfRule type="expression" priority="238" dxfId="3">
      <formula>AND($C10="",$C9&lt;&gt;"")</formula>
    </cfRule>
  </conditionalFormatting>
  <conditionalFormatting sqref="C10:C109">
    <cfRule type="expression" priority="239" dxfId="3">
      <formula>AND($C10="",$C9&lt;&gt;"")</formula>
    </cfRule>
  </conditionalFormatting>
  <conditionalFormatting sqref="D10:D109">
    <cfRule type="expression" priority="240" dxfId="3">
      <formula>AND($C10="",$C9&lt;&gt;"")</formula>
    </cfRule>
  </conditionalFormatting>
  <conditionalFormatting sqref="E10:E109">
    <cfRule type="expression" priority="241" dxfId="3">
      <formula>AND($C10="",$C9&lt;&gt;"")</formula>
    </cfRule>
  </conditionalFormatting>
  <conditionalFormatting sqref="F10:F109">
    <cfRule type="expression" priority="242" dxfId="3">
      <formula>AND($C10="",$C9&lt;&gt;"")</formula>
    </cfRule>
  </conditionalFormatting>
  <conditionalFormatting sqref="G10:G109">
    <cfRule type="expression" priority="243" dxfId="3">
      <formula>AND($C10="",$C9&lt;&gt;"")</formula>
    </cfRule>
  </conditionalFormatting>
  <conditionalFormatting sqref="H10:H109">
    <cfRule type="expression" priority="244" dxfId="3">
      <formula>AND($C10="",$C9&lt;&gt;"")</formula>
    </cfRule>
  </conditionalFormatting>
  <conditionalFormatting sqref="I10:I109">
    <cfRule type="expression" priority="245" dxfId="3">
      <formula>AND($C10="",$C9&lt;&gt;"")</formula>
    </cfRule>
  </conditionalFormatting>
  <conditionalFormatting sqref="J10:J109">
    <cfRule type="expression" priority="246" dxfId="3">
      <formula>AND($C10="",$C9&lt;&gt;"")</formula>
    </cfRule>
  </conditionalFormatting>
  <conditionalFormatting sqref="K10:K109">
    <cfRule type="expression" priority="247" dxfId="3">
      <formula>AND($C10="",$C9&lt;&gt;"")</formula>
    </cfRule>
  </conditionalFormatting>
  <conditionalFormatting sqref="L10:L109">
    <cfRule type="expression" priority="248" dxfId="3">
      <formula>AND($C10="",$C9&lt;&gt;"")</formula>
    </cfRule>
  </conditionalFormatting>
  <conditionalFormatting sqref="M10:M109">
    <cfRule type="expression" priority="249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'_Lists'!$D$2:$D$9</formula1>
    </dataValidation>
    <dataValidation sqref="J5:J109" showDropDown="0" showInputMessage="0" showErrorMessage="0" allowBlank="1" errorTitle="Erreur" error="Valeur invalide" promptTitle="Liste" prompt="Choisir dans la liste" type="list">
      <formula1>'_Lists'!$O$2:$O$6</formula1>
    </dataValidation>
    <dataValidation sqref="M5:M109" showDropDown="0" showInputMessage="0" showErrorMessage="0" allowBlank="1" errorTitle="Erreur" error="Valeur invalide" promptTitle="Liste" prompt="Choisir dans la liste" type="list">
      <formula1>'_Lists'!$P$2:$P$6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2" customWidth="1" min="4" max="4"/>
    <col width="18" customWidth="1" min="5" max="5"/>
    <col width="14" customWidth="1" min="6" max="6"/>
    <col width="18" customWidth="1" min="7" max="7"/>
    <col width="16" customWidth="1" min="8" max="8"/>
    <col width="20" customWidth="1" min="9" max="9"/>
    <col width="22" customWidth="1" min="10" max="10"/>
    <col width="20" customWidth="1" min="11" max="11"/>
    <col width="16" customWidth="1" min="12" max="12"/>
  </cols>
  <sheetData>
    <row r="1" ht="15" customHeight="1"/>
    <row r="2" ht="32" customHeight="1">
      <c r="B2" s="1" t="inlineStr">
        <is>
          <t>SUIVI ACTIONS RSE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Action</t>
        </is>
      </c>
      <c r="D4" s="11" t="inlineStr">
        <is>
          <t>Axe RSE</t>
        </is>
      </c>
      <c r="E4" s="11" t="inlineStr">
        <is>
          <t>Responsable</t>
        </is>
      </c>
      <c r="F4" s="11" t="inlineStr">
        <is>
          <t>Date Debut</t>
        </is>
      </c>
      <c r="G4" s="11" t="inlineStr">
        <is>
          <t>Date Fin Prevue</t>
        </is>
      </c>
      <c r="H4" s="11" t="inlineStr">
        <is>
          <t>Avancement (%)</t>
        </is>
      </c>
      <c r="I4" s="11" t="inlineStr">
        <is>
          <t>Budget Prevu (FCFA)</t>
        </is>
      </c>
      <c r="J4" s="11" t="inlineStr">
        <is>
          <t>Budget Consomme (FCFA)</t>
        </is>
      </c>
      <c r="K4" s="11" t="inlineStr">
        <is>
          <t>Ecart Budget (FCFA)</t>
        </is>
      </c>
      <c r="L4" s="11" t="inlineStr">
        <is>
          <t>Statut</t>
        </is>
      </c>
    </row>
    <row r="5" ht="22" customHeight="1">
      <c r="B5" s="12" t="inlineStr">
        <is>
          <t>SAR-001</t>
        </is>
      </c>
      <c r="C5" s="12" t="inlineStr">
        <is>
          <t>LED chambres etages 1-3</t>
        </is>
      </c>
      <c r="D5" s="12" t="inlineStr">
        <is>
          <t>Environnement</t>
        </is>
      </c>
      <c r="E5" s="12" t="inlineStr">
        <is>
          <t>Chef Entretien</t>
        </is>
      </c>
      <c r="F5" s="41" t="n">
        <v>45667</v>
      </c>
      <c r="G5" s="41" t="n">
        <v>45747</v>
      </c>
      <c r="H5" s="35" t="n">
        <v>0.65</v>
      </c>
      <c r="I5" s="18" t="n">
        <v>2500000</v>
      </c>
      <c r="J5" s="18" t="n">
        <v>1500000</v>
      </c>
      <c r="K5" s="18" t="n"/>
      <c r="L5" s="12" t="inlineStr">
        <is>
          <t>En cours</t>
        </is>
      </c>
    </row>
    <row r="6" ht="22" customHeight="1">
      <c r="B6" s="14" t="inlineStr">
        <is>
          <t>SAR-002</t>
        </is>
      </c>
      <c r="C6" s="14" t="inlineStr">
        <is>
          <t>Tri selectif cuisine</t>
        </is>
      </c>
      <c r="D6" s="14" t="inlineStr">
        <is>
          <t>Environnement</t>
        </is>
      </c>
      <c r="E6" s="14" t="inlineStr">
        <is>
          <t>Chef Cuisine</t>
        </is>
      </c>
      <c r="F6" s="42" t="n">
        <v>45689</v>
      </c>
      <c r="G6" s="42" t="n">
        <v>45716</v>
      </c>
      <c r="H6" s="36" t="n">
        <v>1</v>
      </c>
      <c r="I6" s="19" t="n">
        <v>150000</v>
      </c>
      <c r="J6" s="19" t="n">
        <v>140000</v>
      </c>
      <c r="K6" s="19" t="n"/>
      <c r="L6" s="14" t="inlineStr">
        <is>
          <t>Terminee</t>
        </is>
      </c>
    </row>
    <row r="7" ht="22" customHeight="1">
      <c r="B7" s="12" t="inlineStr">
        <is>
          <t>SAR-003</t>
        </is>
      </c>
      <c r="C7" s="12" t="inlineStr">
        <is>
          <t>Formation eco-gestes Q1</t>
        </is>
      </c>
      <c r="D7" s="12" t="inlineStr">
        <is>
          <t>Environnement</t>
        </is>
      </c>
      <c r="E7" s="12" t="inlineStr">
        <is>
          <t>DRH</t>
        </is>
      </c>
      <c r="F7" s="41" t="n">
        <v>45677</v>
      </c>
      <c r="G7" s="41" t="n">
        <v>45679</v>
      </c>
      <c r="H7" s="35" t="n">
        <v>1</v>
      </c>
      <c r="I7" s="18" t="n">
        <v>200000</v>
      </c>
      <c r="J7" s="18" t="n">
        <v>200000</v>
      </c>
      <c r="K7" s="18" t="n"/>
      <c r="L7" s="12" t="inlineStr">
        <is>
          <t>Terminee</t>
        </is>
      </c>
    </row>
    <row r="8" ht="22" customHeight="1">
      <c r="B8" s="14" t="inlineStr">
        <is>
          <t>SAR-004</t>
        </is>
      </c>
      <c r="C8" s="14" t="inlineStr">
        <is>
          <t>Mentorat femmes cadres</t>
        </is>
      </c>
      <c r="D8" s="14" t="inlineStr">
        <is>
          <t>Diversite &amp; Inclusion</t>
        </is>
      </c>
      <c r="E8" s="14" t="inlineStr">
        <is>
          <t>DRH</t>
        </is>
      </c>
      <c r="F8" s="42" t="n">
        <v>45689</v>
      </c>
      <c r="G8" s="42" t="n">
        <v>46022</v>
      </c>
      <c r="H8" s="36" t="n">
        <v>0.15</v>
      </c>
      <c r="I8" s="19" t="n">
        <v>100000</v>
      </c>
      <c r="J8" s="19" t="n">
        <v>15000</v>
      </c>
      <c r="K8" s="19" t="n"/>
      <c r="L8" s="14" t="inlineStr">
        <is>
          <t>En cours</t>
        </is>
      </c>
    </row>
    <row r="9" ht="22" customHeight="1">
      <c r="B9" s="17">
        <f>IF(C9="","SAR-"&amp;TEXT(COUNTA($C$5:C9),"000"))</f>
        <v/>
      </c>
      <c r="C9" s="12" t="n"/>
      <c r="D9" s="12" t="n"/>
      <c r="E9" s="12" t="n"/>
      <c r="F9" s="41" t="n"/>
      <c r="G9" s="41" t="n"/>
      <c r="H9" s="35" t="n"/>
      <c r="I9" s="18" t="n"/>
      <c r="J9" s="18" t="n"/>
      <c r="K9" s="18">
        <f>IF(I9="","",I9-J9)</f>
        <v/>
      </c>
      <c r="L9" s="12" t="n"/>
    </row>
    <row r="10" ht="22" customHeight="1">
      <c r="B10" s="16">
        <f>IF(C10="","SAR-"&amp;TEXT(COUNTA($C$5:C10),"000"))</f>
        <v/>
      </c>
      <c r="C10" s="14" t="n"/>
      <c r="D10" s="14" t="n"/>
      <c r="E10" s="14" t="n"/>
      <c r="F10" s="42" t="n"/>
      <c r="G10" s="42" t="n"/>
      <c r="H10" s="36" t="n"/>
      <c r="I10" s="19" t="n"/>
      <c r="J10" s="19" t="n"/>
      <c r="K10" s="19">
        <f>IF(I10="","",I10-J10)</f>
        <v/>
      </c>
      <c r="L10" s="14" t="n"/>
    </row>
    <row r="11" ht="22" customHeight="1">
      <c r="B11" s="17">
        <f>IF(C11="","SAR-"&amp;TEXT(COUNTA($C$5:C11),"000"))</f>
        <v/>
      </c>
      <c r="C11" s="12" t="n"/>
      <c r="D11" s="12" t="n"/>
      <c r="E11" s="12" t="n"/>
      <c r="F11" s="41" t="n"/>
      <c r="G11" s="41" t="n"/>
      <c r="H11" s="35" t="n"/>
      <c r="I11" s="18" t="n"/>
      <c r="J11" s="18" t="n"/>
      <c r="K11" s="18">
        <f>IF(I11="","",I11-J11)</f>
        <v/>
      </c>
      <c r="L11" s="12" t="n"/>
    </row>
    <row r="12" ht="22" customHeight="1">
      <c r="B12" s="16">
        <f>IF(C12="","SAR-"&amp;TEXT(COUNTA($C$5:C12),"000"))</f>
        <v/>
      </c>
      <c r="C12" s="14" t="n"/>
      <c r="D12" s="14" t="n"/>
      <c r="E12" s="14" t="n"/>
      <c r="F12" s="42" t="n"/>
      <c r="G12" s="42" t="n"/>
      <c r="H12" s="36" t="n"/>
      <c r="I12" s="19" t="n"/>
      <c r="J12" s="19" t="n"/>
      <c r="K12" s="19">
        <f>IF(I12="","",I12-J12)</f>
        <v/>
      </c>
      <c r="L12" s="14" t="n"/>
    </row>
    <row r="13" ht="22" customHeight="1">
      <c r="B13" s="17">
        <f>IF(C13="","SAR-"&amp;TEXT(COUNTA($C$5:C13),"000"))</f>
        <v/>
      </c>
      <c r="C13" s="12" t="n"/>
      <c r="D13" s="12" t="n"/>
      <c r="E13" s="12" t="n"/>
      <c r="F13" s="41" t="n"/>
      <c r="G13" s="41" t="n"/>
      <c r="H13" s="35" t="n"/>
      <c r="I13" s="18" t="n"/>
      <c r="J13" s="18" t="n"/>
      <c r="K13" s="18">
        <f>IF(I13="","",I13-J13)</f>
        <v/>
      </c>
      <c r="L13" s="12" t="n"/>
    </row>
    <row r="14" ht="22" customHeight="1">
      <c r="B14" s="16">
        <f>IF(C14="","SAR-"&amp;TEXT(COUNTA($C$5:C14),"000"))</f>
        <v/>
      </c>
      <c r="C14" s="14" t="n"/>
      <c r="D14" s="14" t="n"/>
      <c r="E14" s="14" t="n"/>
      <c r="F14" s="42" t="n"/>
      <c r="G14" s="42" t="n"/>
      <c r="H14" s="36" t="n"/>
      <c r="I14" s="19" t="n"/>
      <c r="J14" s="19" t="n"/>
      <c r="K14" s="19">
        <f>IF(I14="","",I14-J14)</f>
        <v/>
      </c>
      <c r="L14" s="14" t="n"/>
    </row>
    <row r="15" ht="22" customHeight="1">
      <c r="B15" s="17">
        <f>IF(C15="","SAR-"&amp;TEXT(COUNTA($C$5:C15),"000"))</f>
        <v/>
      </c>
      <c r="C15" s="12" t="n"/>
      <c r="D15" s="12" t="n"/>
      <c r="E15" s="12" t="n"/>
      <c r="F15" s="41" t="n"/>
      <c r="G15" s="41" t="n"/>
      <c r="H15" s="35" t="n"/>
      <c r="I15" s="18" t="n"/>
      <c r="J15" s="18" t="n"/>
      <c r="K15" s="18">
        <f>IF(I15="","",I15-J15)</f>
        <v/>
      </c>
      <c r="L15" s="12" t="n"/>
    </row>
    <row r="16" ht="22" customHeight="1">
      <c r="B16" s="16">
        <f>IF(C16="","SAR-"&amp;TEXT(COUNTA($C$5:C16),"000"))</f>
        <v/>
      </c>
      <c r="C16" s="14" t="n"/>
      <c r="D16" s="14" t="n"/>
      <c r="E16" s="14" t="n"/>
      <c r="F16" s="42" t="n"/>
      <c r="G16" s="42" t="n"/>
      <c r="H16" s="36" t="n"/>
      <c r="I16" s="19" t="n"/>
      <c r="J16" s="19" t="n"/>
      <c r="K16" s="19">
        <f>IF(I16="","",I16-J16)</f>
        <v/>
      </c>
      <c r="L16" s="14" t="n"/>
    </row>
    <row r="17" ht="22" customHeight="1">
      <c r="B17" s="17">
        <f>IF(C17="","SAR-"&amp;TEXT(COUNTA($C$5:C17),"000"))</f>
        <v/>
      </c>
      <c r="C17" s="12" t="n"/>
      <c r="D17" s="12" t="n"/>
      <c r="E17" s="12" t="n"/>
      <c r="F17" s="41" t="n"/>
      <c r="G17" s="41" t="n"/>
      <c r="H17" s="35" t="n"/>
      <c r="I17" s="18" t="n"/>
      <c r="J17" s="18" t="n"/>
      <c r="K17" s="18">
        <f>IF(I17="","",I17-J17)</f>
        <v/>
      </c>
      <c r="L17" s="12" t="n"/>
    </row>
    <row r="18" ht="22" customHeight="1">
      <c r="B18" s="16">
        <f>IF(C18="","SAR-"&amp;TEXT(COUNTA($C$5:C18),"000"))</f>
        <v/>
      </c>
      <c r="C18" s="14" t="n"/>
      <c r="D18" s="14" t="n"/>
      <c r="E18" s="14" t="n"/>
      <c r="F18" s="42" t="n"/>
      <c r="G18" s="42" t="n"/>
      <c r="H18" s="36" t="n"/>
      <c r="I18" s="19" t="n"/>
      <c r="J18" s="19" t="n"/>
      <c r="K18" s="19">
        <f>IF(I18="","",I18-J18)</f>
        <v/>
      </c>
      <c r="L18" s="14" t="n"/>
    </row>
    <row r="19" ht="22" customHeight="1">
      <c r="B19" s="17">
        <f>IF(C19="","SAR-"&amp;TEXT(COUNTA($C$5:C19),"000"))</f>
        <v/>
      </c>
      <c r="C19" s="12" t="n"/>
      <c r="D19" s="12" t="n"/>
      <c r="E19" s="12" t="n"/>
      <c r="F19" s="41" t="n"/>
      <c r="G19" s="41" t="n"/>
      <c r="H19" s="35" t="n"/>
      <c r="I19" s="18" t="n"/>
      <c r="J19" s="18" t="n"/>
      <c r="K19" s="18">
        <f>IF(I19="","",I19-J19)</f>
        <v/>
      </c>
      <c r="L19" s="12" t="n"/>
    </row>
    <row r="20" ht="22" customHeight="1">
      <c r="B20" s="16">
        <f>IF(C20="","SAR-"&amp;TEXT(COUNTA($C$5:C20),"000"))</f>
        <v/>
      </c>
      <c r="C20" s="14" t="n"/>
      <c r="D20" s="14" t="n"/>
      <c r="E20" s="14" t="n"/>
      <c r="F20" s="42" t="n"/>
      <c r="G20" s="42" t="n"/>
      <c r="H20" s="36" t="n"/>
      <c r="I20" s="19" t="n"/>
      <c r="J20" s="19" t="n"/>
      <c r="K20" s="19">
        <f>IF(I20="","",I20-J20)</f>
        <v/>
      </c>
      <c r="L20" s="14" t="n"/>
    </row>
    <row r="21" ht="22" customHeight="1">
      <c r="B21" s="17">
        <f>IF(C21="","SAR-"&amp;TEXT(COUNTA($C$5:C21),"000"))</f>
        <v/>
      </c>
      <c r="C21" s="12" t="n"/>
      <c r="D21" s="12" t="n"/>
      <c r="E21" s="12" t="n"/>
      <c r="F21" s="41" t="n"/>
      <c r="G21" s="41" t="n"/>
      <c r="H21" s="35" t="n"/>
      <c r="I21" s="18" t="n"/>
      <c r="J21" s="18" t="n"/>
      <c r="K21" s="18">
        <f>IF(I21="","",I21-J21)</f>
        <v/>
      </c>
      <c r="L21" s="12" t="n"/>
    </row>
    <row r="22" ht="22" customHeight="1">
      <c r="B22" s="16">
        <f>IF(C22="","SAR-"&amp;TEXT(COUNTA($C$5:C22),"000"))</f>
        <v/>
      </c>
      <c r="C22" s="14" t="n"/>
      <c r="D22" s="14" t="n"/>
      <c r="E22" s="14" t="n"/>
      <c r="F22" s="42" t="n"/>
      <c r="G22" s="42" t="n"/>
      <c r="H22" s="36" t="n"/>
      <c r="I22" s="19" t="n"/>
      <c r="J22" s="19" t="n"/>
      <c r="K22" s="19">
        <f>IF(I22="","",I22-J22)</f>
        <v/>
      </c>
      <c r="L22" s="14" t="n"/>
    </row>
    <row r="23" ht="22" customHeight="1">
      <c r="B23" s="17">
        <f>IF(C23="","SAR-"&amp;TEXT(COUNTA($C$5:C23),"000"))</f>
        <v/>
      </c>
      <c r="C23" s="12" t="n"/>
      <c r="D23" s="12" t="n"/>
      <c r="E23" s="12" t="n"/>
      <c r="F23" s="41" t="n"/>
      <c r="G23" s="41" t="n"/>
      <c r="H23" s="35" t="n"/>
      <c r="I23" s="18" t="n"/>
      <c r="J23" s="18" t="n"/>
      <c r="K23" s="18">
        <f>IF(I23="","",I23-J23)</f>
        <v/>
      </c>
      <c r="L23" s="12" t="n"/>
    </row>
    <row r="24" ht="22" customHeight="1">
      <c r="B24" s="16">
        <f>IF(C24="","SAR-"&amp;TEXT(COUNTA($C$5:C24),"000"))</f>
        <v/>
      </c>
      <c r="C24" s="14" t="n"/>
      <c r="D24" s="14" t="n"/>
      <c r="E24" s="14" t="n"/>
      <c r="F24" s="42" t="n"/>
      <c r="G24" s="42" t="n"/>
      <c r="H24" s="36" t="n"/>
      <c r="I24" s="19" t="n"/>
      <c r="J24" s="19" t="n"/>
      <c r="K24" s="19">
        <f>IF(I24="","",I24-J24)</f>
        <v/>
      </c>
      <c r="L24" s="14" t="n"/>
    </row>
    <row r="25" ht="22" customHeight="1">
      <c r="B25" s="17">
        <f>IF(C25="","SAR-"&amp;TEXT(COUNTA($C$5:C25),"000"))</f>
        <v/>
      </c>
      <c r="C25" s="12" t="n"/>
      <c r="D25" s="12" t="n"/>
      <c r="E25" s="12" t="n"/>
      <c r="F25" s="41" t="n"/>
      <c r="G25" s="41" t="n"/>
      <c r="H25" s="35" t="n"/>
      <c r="I25" s="18" t="n"/>
      <c r="J25" s="18" t="n"/>
      <c r="K25" s="18">
        <f>IF(I25="","",I25-J25)</f>
        <v/>
      </c>
      <c r="L25" s="12" t="n"/>
    </row>
    <row r="26" ht="22" customHeight="1">
      <c r="B26" s="16">
        <f>IF(C26="","SAR-"&amp;TEXT(COUNTA($C$5:C26),"000"))</f>
        <v/>
      </c>
      <c r="C26" s="14" t="n"/>
      <c r="D26" s="14" t="n"/>
      <c r="E26" s="14" t="n"/>
      <c r="F26" s="42" t="n"/>
      <c r="G26" s="42" t="n"/>
      <c r="H26" s="36" t="n"/>
      <c r="I26" s="19" t="n"/>
      <c r="J26" s="19" t="n"/>
      <c r="K26" s="19">
        <f>IF(I26="","",I26-J26)</f>
        <v/>
      </c>
      <c r="L26" s="14" t="n"/>
    </row>
    <row r="27" ht="22" customHeight="1">
      <c r="B27" s="17">
        <f>IF(C27="","SAR-"&amp;TEXT(COUNTA($C$5:C27),"000"))</f>
        <v/>
      </c>
      <c r="C27" s="12" t="n"/>
      <c r="D27" s="12" t="n"/>
      <c r="E27" s="12" t="n"/>
      <c r="F27" s="41" t="n"/>
      <c r="G27" s="41" t="n"/>
      <c r="H27" s="35" t="n"/>
      <c r="I27" s="18" t="n"/>
      <c r="J27" s="18" t="n"/>
      <c r="K27" s="18">
        <f>IF(I27="","",I27-J27)</f>
        <v/>
      </c>
      <c r="L27" s="12" t="n"/>
    </row>
    <row r="28" ht="22" customHeight="1">
      <c r="B28" s="16">
        <f>IF(C28="","SAR-"&amp;TEXT(COUNTA($C$5:C28),"000"))</f>
        <v/>
      </c>
      <c r="C28" s="14" t="n"/>
      <c r="D28" s="14" t="n"/>
      <c r="E28" s="14" t="n"/>
      <c r="F28" s="42" t="n"/>
      <c r="G28" s="42" t="n"/>
      <c r="H28" s="36" t="n"/>
      <c r="I28" s="19" t="n"/>
      <c r="J28" s="19" t="n"/>
      <c r="K28" s="19">
        <f>IF(I28="","",I28-J28)</f>
        <v/>
      </c>
      <c r="L28" s="14" t="n"/>
    </row>
    <row r="29" ht="22" customHeight="1">
      <c r="B29" s="17">
        <f>IF(C29="","SAR-"&amp;TEXT(COUNTA($C$5:C29),"000"))</f>
        <v/>
      </c>
      <c r="C29" s="12" t="n"/>
      <c r="D29" s="12" t="n"/>
      <c r="E29" s="12" t="n"/>
      <c r="F29" s="41" t="n"/>
      <c r="G29" s="41" t="n"/>
      <c r="H29" s="35" t="n"/>
      <c r="I29" s="18" t="n"/>
      <c r="J29" s="18" t="n"/>
      <c r="K29" s="18">
        <f>IF(I29="","",I29-J29)</f>
        <v/>
      </c>
      <c r="L29" s="12" t="n"/>
    </row>
    <row r="30" ht="22" customHeight="1">
      <c r="B30" s="16">
        <f>IF(C30="","SAR-"&amp;TEXT(COUNTA($C$5:C30),"000"))</f>
        <v/>
      </c>
      <c r="C30" s="14" t="n"/>
      <c r="D30" s="14" t="n"/>
      <c r="E30" s="14" t="n"/>
      <c r="F30" s="42" t="n"/>
      <c r="G30" s="42" t="n"/>
      <c r="H30" s="36" t="n"/>
      <c r="I30" s="19" t="n"/>
      <c r="J30" s="19" t="n"/>
      <c r="K30" s="19">
        <f>IF(I30="","",I30-J30)</f>
        <v/>
      </c>
      <c r="L30" s="14" t="n"/>
    </row>
    <row r="31" ht="22" customHeight="1">
      <c r="B31" s="17">
        <f>IF(C31="","SAR-"&amp;TEXT(COUNTA($C$5:C31),"000"))</f>
        <v/>
      </c>
      <c r="C31" s="12" t="n"/>
      <c r="D31" s="12" t="n"/>
      <c r="E31" s="12" t="n"/>
      <c r="F31" s="41" t="n"/>
      <c r="G31" s="41" t="n"/>
      <c r="H31" s="35" t="n"/>
      <c r="I31" s="18" t="n"/>
      <c r="J31" s="18" t="n"/>
      <c r="K31" s="18">
        <f>IF(I31="","",I31-J31)</f>
        <v/>
      </c>
      <c r="L31" s="12" t="n"/>
    </row>
    <row r="32" ht="22" customHeight="1">
      <c r="B32" s="16">
        <f>IF(C32="","SAR-"&amp;TEXT(COUNTA($C$5:C32),"000"))</f>
        <v/>
      </c>
      <c r="C32" s="14" t="n"/>
      <c r="D32" s="14" t="n"/>
      <c r="E32" s="14" t="n"/>
      <c r="F32" s="42" t="n"/>
      <c r="G32" s="42" t="n"/>
      <c r="H32" s="36" t="n"/>
      <c r="I32" s="19" t="n"/>
      <c r="J32" s="19" t="n"/>
      <c r="K32" s="19">
        <f>IF(I32="","",I32-J32)</f>
        <v/>
      </c>
      <c r="L32" s="14" t="n"/>
    </row>
    <row r="33" ht="22" customHeight="1">
      <c r="B33" s="17">
        <f>IF(C33="","SAR-"&amp;TEXT(COUNTA($C$5:C33),"000"))</f>
        <v/>
      </c>
      <c r="C33" s="12" t="n"/>
      <c r="D33" s="12" t="n"/>
      <c r="E33" s="12" t="n"/>
      <c r="F33" s="41" t="n"/>
      <c r="G33" s="41" t="n"/>
      <c r="H33" s="35" t="n"/>
      <c r="I33" s="18" t="n"/>
      <c r="J33" s="18" t="n"/>
      <c r="K33" s="18">
        <f>IF(I33="","",I33-J33)</f>
        <v/>
      </c>
      <c r="L33" s="12" t="n"/>
    </row>
    <row r="34" ht="22" customHeight="1">
      <c r="B34" s="16">
        <f>IF(C34="","SAR-"&amp;TEXT(COUNTA($C$5:C34),"000"))</f>
        <v/>
      </c>
      <c r="C34" s="14" t="n"/>
      <c r="D34" s="14" t="n"/>
      <c r="E34" s="14" t="n"/>
      <c r="F34" s="42" t="n"/>
      <c r="G34" s="42" t="n"/>
      <c r="H34" s="36" t="n"/>
      <c r="I34" s="19" t="n"/>
      <c r="J34" s="19" t="n"/>
      <c r="K34" s="19">
        <f>IF(I34="","",I34-J34)</f>
        <v/>
      </c>
      <c r="L34" s="14" t="n"/>
    </row>
    <row r="35" ht="22" customHeight="1">
      <c r="B35" s="17">
        <f>IF(C35="","SAR-"&amp;TEXT(COUNTA($C$5:C35),"000"))</f>
        <v/>
      </c>
      <c r="C35" s="12" t="n"/>
      <c r="D35" s="12" t="n"/>
      <c r="E35" s="12" t="n"/>
      <c r="F35" s="41" t="n"/>
      <c r="G35" s="41" t="n"/>
      <c r="H35" s="35" t="n"/>
      <c r="I35" s="18" t="n"/>
      <c r="J35" s="18" t="n"/>
      <c r="K35" s="18">
        <f>IF(I35="","",I35-J35)</f>
        <v/>
      </c>
      <c r="L35" s="12" t="n"/>
    </row>
    <row r="36" ht="22" customHeight="1">
      <c r="B36" s="16">
        <f>IF(C36="","SAR-"&amp;TEXT(COUNTA($C$5:C36),"000"))</f>
        <v/>
      </c>
      <c r="C36" s="14" t="n"/>
      <c r="D36" s="14" t="n"/>
      <c r="E36" s="14" t="n"/>
      <c r="F36" s="42" t="n"/>
      <c r="G36" s="42" t="n"/>
      <c r="H36" s="36" t="n"/>
      <c r="I36" s="19" t="n"/>
      <c r="J36" s="19" t="n"/>
      <c r="K36" s="19">
        <f>IF(I36="","",I36-J36)</f>
        <v/>
      </c>
      <c r="L36" s="14" t="n"/>
    </row>
    <row r="37" ht="22" customHeight="1">
      <c r="B37" s="17">
        <f>IF(C37="","SAR-"&amp;TEXT(COUNTA($C$5:C37),"000"))</f>
        <v/>
      </c>
      <c r="C37" s="12" t="n"/>
      <c r="D37" s="12" t="n"/>
      <c r="E37" s="12" t="n"/>
      <c r="F37" s="41" t="n"/>
      <c r="G37" s="41" t="n"/>
      <c r="H37" s="35" t="n"/>
      <c r="I37" s="18" t="n"/>
      <c r="J37" s="18" t="n"/>
      <c r="K37" s="18">
        <f>IF(I37="","",I37-J37)</f>
        <v/>
      </c>
      <c r="L37" s="12" t="n"/>
    </row>
    <row r="38" ht="22" customHeight="1">
      <c r="B38" s="16">
        <f>IF(C38="","SAR-"&amp;TEXT(COUNTA($C$5:C38),"000"))</f>
        <v/>
      </c>
      <c r="C38" s="14" t="n"/>
      <c r="D38" s="14" t="n"/>
      <c r="E38" s="14" t="n"/>
      <c r="F38" s="42" t="n"/>
      <c r="G38" s="42" t="n"/>
      <c r="H38" s="36" t="n"/>
      <c r="I38" s="19" t="n"/>
      <c r="J38" s="19" t="n"/>
      <c r="K38" s="19">
        <f>IF(I38="","",I38-J38)</f>
        <v/>
      </c>
      <c r="L38" s="14" t="n"/>
    </row>
    <row r="39" ht="22" customHeight="1">
      <c r="B39" s="17">
        <f>IF(C39="","SAR-"&amp;TEXT(COUNTA($C$5:C39),"000"))</f>
        <v/>
      </c>
      <c r="C39" s="12" t="n"/>
      <c r="D39" s="12" t="n"/>
      <c r="E39" s="12" t="n"/>
      <c r="F39" s="41" t="n"/>
      <c r="G39" s="41" t="n"/>
      <c r="H39" s="35" t="n"/>
      <c r="I39" s="18" t="n"/>
      <c r="J39" s="18" t="n"/>
      <c r="K39" s="18">
        <f>IF(I39="","",I39-J39)</f>
        <v/>
      </c>
      <c r="L39" s="12" t="n"/>
    </row>
    <row r="40" ht="22" customHeight="1">
      <c r="B40" s="16">
        <f>IF(C40="","SAR-"&amp;TEXT(COUNTA($C$5:C40),"000"))</f>
        <v/>
      </c>
      <c r="C40" s="14" t="n"/>
      <c r="D40" s="14" t="n"/>
      <c r="E40" s="14" t="n"/>
      <c r="F40" s="42" t="n"/>
      <c r="G40" s="42" t="n"/>
      <c r="H40" s="36" t="n"/>
      <c r="I40" s="19" t="n"/>
      <c r="J40" s="19" t="n"/>
      <c r="K40" s="19">
        <f>IF(I40="","",I40-J40)</f>
        <v/>
      </c>
      <c r="L40" s="14" t="n"/>
    </row>
    <row r="41" ht="22" customHeight="1">
      <c r="B41" s="17">
        <f>IF(C41="","SAR-"&amp;TEXT(COUNTA($C$5:C41),"000"))</f>
        <v/>
      </c>
      <c r="C41" s="12" t="n"/>
      <c r="D41" s="12" t="n"/>
      <c r="E41" s="12" t="n"/>
      <c r="F41" s="41" t="n"/>
      <c r="G41" s="41" t="n"/>
      <c r="H41" s="35" t="n"/>
      <c r="I41" s="18" t="n"/>
      <c r="J41" s="18" t="n"/>
      <c r="K41" s="18">
        <f>IF(I41="","",I41-J41)</f>
        <v/>
      </c>
      <c r="L41" s="12" t="n"/>
    </row>
    <row r="42" ht="22" customHeight="1">
      <c r="B42" s="16">
        <f>IF(C42="","SAR-"&amp;TEXT(COUNTA($C$5:C42),"000"))</f>
        <v/>
      </c>
      <c r="C42" s="14" t="n"/>
      <c r="D42" s="14" t="n"/>
      <c r="E42" s="14" t="n"/>
      <c r="F42" s="42" t="n"/>
      <c r="G42" s="42" t="n"/>
      <c r="H42" s="36" t="n"/>
      <c r="I42" s="19" t="n"/>
      <c r="J42" s="19" t="n"/>
      <c r="K42" s="19">
        <f>IF(I42="","",I42-J42)</f>
        <v/>
      </c>
      <c r="L42" s="14" t="n"/>
    </row>
    <row r="43" ht="22" customHeight="1">
      <c r="B43" s="17">
        <f>IF(C43="","SAR-"&amp;TEXT(COUNTA($C$5:C43),"000"))</f>
        <v/>
      </c>
      <c r="C43" s="12" t="n"/>
      <c r="D43" s="12" t="n"/>
      <c r="E43" s="12" t="n"/>
      <c r="F43" s="41" t="n"/>
      <c r="G43" s="41" t="n"/>
      <c r="H43" s="35" t="n"/>
      <c r="I43" s="18" t="n"/>
      <c r="J43" s="18" t="n"/>
      <c r="K43" s="18">
        <f>IF(I43="","",I43-J43)</f>
        <v/>
      </c>
      <c r="L43" s="12" t="n"/>
    </row>
    <row r="44" ht="22" customHeight="1">
      <c r="B44" s="16">
        <f>IF(C44="","SAR-"&amp;TEXT(COUNTA($C$5:C44),"000"))</f>
        <v/>
      </c>
      <c r="C44" s="14" t="n"/>
      <c r="D44" s="14" t="n"/>
      <c r="E44" s="14" t="n"/>
      <c r="F44" s="42" t="n"/>
      <c r="G44" s="42" t="n"/>
      <c r="H44" s="36" t="n"/>
      <c r="I44" s="19" t="n"/>
      <c r="J44" s="19" t="n"/>
      <c r="K44" s="19">
        <f>IF(I44="","",I44-J44)</f>
        <v/>
      </c>
      <c r="L44" s="14" t="n"/>
    </row>
    <row r="45" ht="22" customHeight="1">
      <c r="B45" s="17">
        <f>IF(C45="","SAR-"&amp;TEXT(COUNTA($C$5:C45),"000"))</f>
        <v/>
      </c>
      <c r="C45" s="12" t="n"/>
      <c r="D45" s="12" t="n"/>
      <c r="E45" s="12" t="n"/>
      <c r="F45" s="41" t="n"/>
      <c r="G45" s="41" t="n"/>
      <c r="H45" s="35" t="n"/>
      <c r="I45" s="18" t="n"/>
      <c r="J45" s="18" t="n"/>
      <c r="K45" s="18">
        <f>IF(I45="","",I45-J45)</f>
        <v/>
      </c>
      <c r="L45" s="12" t="n"/>
    </row>
    <row r="46" ht="22" customHeight="1">
      <c r="B46" s="16">
        <f>IF(C46="","SAR-"&amp;TEXT(COUNTA($C$5:C46),"000"))</f>
        <v/>
      </c>
      <c r="C46" s="14" t="n"/>
      <c r="D46" s="14" t="n"/>
      <c r="E46" s="14" t="n"/>
      <c r="F46" s="42" t="n"/>
      <c r="G46" s="42" t="n"/>
      <c r="H46" s="36" t="n"/>
      <c r="I46" s="19" t="n"/>
      <c r="J46" s="19" t="n"/>
      <c r="K46" s="19">
        <f>IF(I46="","",I46-J46)</f>
        <v/>
      </c>
      <c r="L46" s="14" t="n"/>
    </row>
    <row r="47" ht="22" customHeight="1">
      <c r="B47" s="17">
        <f>IF(C47="","SAR-"&amp;TEXT(COUNTA($C$5:C47),"000"))</f>
        <v/>
      </c>
      <c r="C47" s="12" t="n"/>
      <c r="D47" s="12" t="n"/>
      <c r="E47" s="12" t="n"/>
      <c r="F47" s="41" t="n"/>
      <c r="G47" s="41" t="n"/>
      <c r="H47" s="35" t="n"/>
      <c r="I47" s="18" t="n"/>
      <c r="J47" s="18" t="n"/>
      <c r="K47" s="18">
        <f>IF(I47="","",I47-J47)</f>
        <v/>
      </c>
      <c r="L47" s="12" t="n"/>
    </row>
    <row r="48" ht="22" customHeight="1">
      <c r="B48" s="16">
        <f>IF(C48="","SAR-"&amp;TEXT(COUNTA($C$5:C48),"000"))</f>
        <v/>
      </c>
      <c r="C48" s="14" t="n"/>
      <c r="D48" s="14" t="n"/>
      <c r="E48" s="14" t="n"/>
      <c r="F48" s="42" t="n"/>
      <c r="G48" s="42" t="n"/>
      <c r="H48" s="36" t="n"/>
      <c r="I48" s="19" t="n"/>
      <c r="J48" s="19" t="n"/>
      <c r="K48" s="19">
        <f>IF(I48="","",I48-J48)</f>
        <v/>
      </c>
      <c r="L48" s="14" t="n"/>
    </row>
    <row r="49" ht="22" customHeight="1">
      <c r="B49" s="17">
        <f>IF(C49="","SAR-"&amp;TEXT(COUNTA($C$5:C49),"000"))</f>
        <v/>
      </c>
      <c r="C49" s="12" t="n"/>
      <c r="D49" s="12" t="n"/>
      <c r="E49" s="12" t="n"/>
      <c r="F49" s="41" t="n"/>
      <c r="G49" s="41" t="n"/>
      <c r="H49" s="35" t="n"/>
      <c r="I49" s="18" t="n"/>
      <c r="J49" s="18" t="n"/>
      <c r="K49" s="18">
        <f>IF(I49="","",I49-J49)</f>
        <v/>
      </c>
      <c r="L49" s="12" t="n"/>
    </row>
    <row r="50" ht="22" customHeight="1">
      <c r="B50" s="16">
        <f>IF(C50="","SAR-"&amp;TEXT(COUNTA($C$5:C50),"000"))</f>
        <v/>
      </c>
      <c r="C50" s="14" t="n"/>
      <c r="D50" s="14" t="n"/>
      <c r="E50" s="14" t="n"/>
      <c r="F50" s="42" t="n"/>
      <c r="G50" s="42" t="n"/>
      <c r="H50" s="36" t="n"/>
      <c r="I50" s="19" t="n"/>
      <c r="J50" s="19" t="n"/>
      <c r="K50" s="19">
        <f>IF(I50="","",I50-J50)</f>
        <v/>
      </c>
      <c r="L50" s="14" t="n"/>
    </row>
    <row r="51" ht="22" customHeight="1">
      <c r="B51" s="17">
        <f>IF(C51="","SAR-"&amp;TEXT(COUNTA($C$5:C51),"000"))</f>
        <v/>
      </c>
      <c r="C51" s="12" t="n"/>
      <c r="D51" s="12" t="n"/>
      <c r="E51" s="12" t="n"/>
      <c r="F51" s="41" t="n"/>
      <c r="G51" s="41" t="n"/>
      <c r="H51" s="35" t="n"/>
      <c r="I51" s="18" t="n"/>
      <c r="J51" s="18" t="n"/>
      <c r="K51" s="18">
        <f>IF(I51="","",I51-J51)</f>
        <v/>
      </c>
      <c r="L51" s="12" t="n"/>
    </row>
    <row r="52" ht="22" customHeight="1">
      <c r="B52" s="16">
        <f>IF(C52="","SAR-"&amp;TEXT(COUNTA($C$5:C52),"000"))</f>
        <v/>
      </c>
      <c r="C52" s="14" t="n"/>
      <c r="D52" s="14" t="n"/>
      <c r="E52" s="14" t="n"/>
      <c r="F52" s="42" t="n"/>
      <c r="G52" s="42" t="n"/>
      <c r="H52" s="36" t="n"/>
      <c r="I52" s="19" t="n"/>
      <c r="J52" s="19" t="n"/>
      <c r="K52" s="19">
        <f>IF(I52="","",I52-J52)</f>
        <v/>
      </c>
      <c r="L52" s="14" t="n"/>
    </row>
    <row r="53" ht="22" customHeight="1">
      <c r="B53" s="17">
        <f>IF(C53="","SAR-"&amp;TEXT(COUNTA($C$5:C53),"000"))</f>
        <v/>
      </c>
      <c r="C53" s="12" t="n"/>
      <c r="D53" s="12" t="n"/>
      <c r="E53" s="12" t="n"/>
      <c r="F53" s="41" t="n"/>
      <c r="G53" s="41" t="n"/>
      <c r="H53" s="35" t="n"/>
      <c r="I53" s="18" t="n"/>
      <c r="J53" s="18" t="n"/>
      <c r="K53" s="18">
        <f>IF(I53="","",I53-J53)</f>
        <v/>
      </c>
      <c r="L53" s="12" t="n"/>
    </row>
    <row r="54" ht="22" customHeight="1">
      <c r="B54" s="16">
        <f>IF(C54="","SAR-"&amp;TEXT(COUNTA($C$5:C54),"000"))</f>
        <v/>
      </c>
      <c r="C54" s="14" t="n"/>
      <c r="D54" s="14" t="n"/>
      <c r="E54" s="14" t="n"/>
      <c r="F54" s="42" t="n"/>
      <c r="G54" s="42" t="n"/>
      <c r="H54" s="36" t="n"/>
      <c r="I54" s="19" t="n"/>
      <c r="J54" s="19" t="n"/>
      <c r="K54" s="19">
        <f>IF(I54="","",I54-J54)</f>
        <v/>
      </c>
      <c r="L54" s="14" t="n"/>
    </row>
    <row r="55" ht="22" customHeight="1">
      <c r="B55" s="17">
        <f>IF(C55="","SAR-"&amp;TEXT(COUNTA($C$5:C55),"000"))</f>
        <v/>
      </c>
      <c r="C55" s="12" t="n"/>
      <c r="D55" s="12" t="n"/>
      <c r="E55" s="12" t="n"/>
      <c r="F55" s="41" t="n"/>
      <c r="G55" s="41" t="n"/>
      <c r="H55" s="35" t="n"/>
      <c r="I55" s="18" t="n"/>
      <c r="J55" s="18" t="n"/>
      <c r="K55" s="18">
        <f>IF(I55="","",I55-J55)</f>
        <v/>
      </c>
      <c r="L55" s="12" t="n"/>
    </row>
    <row r="56" ht="22" customHeight="1">
      <c r="B56" s="16">
        <f>IF(C56="","SAR-"&amp;TEXT(COUNTA($C$5:C56),"000"))</f>
        <v/>
      </c>
      <c r="C56" s="14" t="n"/>
      <c r="D56" s="14" t="n"/>
      <c r="E56" s="14" t="n"/>
      <c r="F56" s="42" t="n"/>
      <c r="G56" s="42" t="n"/>
      <c r="H56" s="36" t="n"/>
      <c r="I56" s="19" t="n"/>
      <c r="J56" s="19" t="n"/>
      <c r="K56" s="19">
        <f>IF(I56="","",I56-J56)</f>
        <v/>
      </c>
      <c r="L56" s="14" t="n"/>
    </row>
    <row r="57" ht="22" customHeight="1">
      <c r="B57" s="17">
        <f>IF(C57="","SAR-"&amp;TEXT(COUNTA($C$5:C57),"000"))</f>
        <v/>
      </c>
      <c r="C57" s="12" t="n"/>
      <c r="D57" s="12" t="n"/>
      <c r="E57" s="12" t="n"/>
      <c r="F57" s="41" t="n"/>
      <c r="G57" s="41" t="n"/>
      <c r="H57" s="35" t="n"/>
      <c r="I57" s="18" t="n"/>
      <c r="J57" s="18" t="n"/>
      <c r="K57" s="18">
        <f>IF(I57="","",I57-J57)</f>
        <v/>
      </c>
      <c r="L57" s="12" t="n"/>
    </row>
    <row r="58" ht="22" customHeight="1">
      <c r="B58" s="16">
        <f>IF(C58="","SAR-"&amp;TEXT(COUNTA($C$5:C58),"000"))</f>
        <v/>
      </c>
      <c r="C58" s="14" t="n"/>
      <c r="D58" s="14" t="n"/>
      <c r="E58" s="14" t="n"/>
      <c r="F58" s="42" t="n"/>
      <c r="G58" s="42" t="n"/>
      <c r="H58" s="36" t="n"/>
      <c r="I58" s="19" t="n"/>
      <c r="J58" s="19" t="n"/>
      <c r="K58" s="19">
        <f>IF(I58="","",I58-J58)</f>
        <v/>
      </c>
      <c r="L58" s="14" t="n"/>
    </row>
    <row r="59" ht="22" customHeight="1">
      <c r="B59" s="17">
        <f>IF(C59="","SAR-"&amp;TEXT(COUNTA($C$5:C59),"000"))</f>
        <v/>
      </c>
      <c r="C59" s="12" t="n"/>
      <c r="D59" s="12" t="n"/>
      <c r="E59" s="12" t="n"/>
      <c r="F59" s="41" t="n"/>
      <c r="G59" s="41" t="n"/>
      <c r="H59" s="35" t="n"/>
      <c r="I59" s="18" t="n"/>
      <c r="J59" s="18" t="n"/>
      <c r="K59" s="18">
        <f>IF(I59="","",I59-J59)</f>
        <v/>
      </c>
      <c r="L59" s="12" t="n"/>
    </row>
    <row r="60" ht="22" customHeight="1">
      <c r="B60" s="16">
        <f>IF(C60="","SAR-"&amp;TEXT(COUNTA($C$5:C60),"000"))</f>
        <v/>
      </c>
      <c r="C60" s="14" t="n"/>
      <c r="D60" s="14" t="n"/>
      <c r="E60" s="14" t="n"/>
      <c r="F60" s="42" t="n"/>
      <c r="G60" s="42" t="n"/>
      <c r="H60" s="36" t="n"/>
      <c r="I60" s="19" t="n"/>
      <c r="J60" s="19" t="n"/>
      <c r="K60" s="19">
        <f>IF(I60="","",I60-J60)</f>
        <v/>
      </c>
      <c r="L60" s="14" t="n"/>
    </row>
    <row r="61" ht="22" customHeight="1">
      <c r="B61" s="17">
        <f>IF(C61="","SAR-"&amp;TEXT(COUNTA($C$5:C61),"000"))</f>
        <v/>
      </c>
      <c r="C61" s="12" t="n"/>
      <c r="D61" s="12" t="n"/>
      <c r="E61" s="12" t="n"/>
      <c r="F61" s="41" t="n"/>
      <c r="G61" s="41" t="n"/>
      <c r="H61" s="35" t="n"/>
      <c r="I61" s="18" t="n"/>
      <c r="J61" s="18" t="n"/>
      <c r="K61" s="18">
        <f>IF(I61="","",I61-J61)</f>
        <v/>
      </c>
      <c r="L61" s="12" t="n"/>
    </row>
    <row r="62" ht="22" customHeight="1">
      <c r="B62" s="16">
        <f>IF(C62="","SAR-"&amp;TEXT(COUNTA($C$5:C62),"000"))</f>
        <v/>
      </c>
      <c r="C62" s="14" t="n"/>
      <c r="D62" s="14" t="n"/>
      <c r="E62" s="14" t="n"/>
      <c r="F62" s="42" t="n"/>
      <c r="G62" s="42" t="n"/>
      <c r="H62" s="36" t="n"/>
      <c r="I62" s="19" t="n"/>
      <c r="J62" s="19" t="n"/>
      <c r="K62" s="19">
        <f>IF(I62="","",I62-J62)</f>
        <v/>
      </c>
      <c r="L62" s="14" t="n"/>
    </row>
    <row r="63" ht="22" customHeight="1">
      <c r="B63" s="17">
        <f>IF(C63="","SAR-"&amp;TEXT(COUNTA($C$5:C63),"000"))</f>
        <v/>
      </c>
      <c r="C63" s="12" t="n"/>
      <c r="D63" s="12" t="n"/>
      <c r="E63" s="12" t="n"/>
      <c r="F63" s="41" t="n"/>
      <c r="G63" s="41" t="n"/>
      <c r="H63" s="35" t="n"/>
      <c r="I63" s="18" t="n"/>
      <c r="J63" s="18" t="n"/>
      <c r="K63" s="18">
        <f>IF(I63="","",I63-J63)</f>
        <v/>
      </c>
      <c r="L63" s="12" t="n"/>
    </row>
    <row r="64" ht="22" customHeight="1">
      <c r="B64" s="16">
        <f>IF(C64="","SAR-"&amp;TEXT(COUNTA($C$5:C64),"000"))</f>
        <v/>
      </c>
      <c r="C64" s="14" t="n"/>
      <c r="D64" s="14" t="n"/>
      <c r="E64" s="14" t="n"/>
      <c r="F64" s="42" t="n"/>
      <c r="G64" s="42" t="n"/>
      <c r="H64" s="36" t="n"/>
      <c r="I64" s="19" t="n"/>
      <c r="J64" s="19" t="n"/>
      <c r="K64" s="19">
        <f>IF(I64="","",I64-J64)</f>
        <v/>
      </c>
      <c r="L64" s="14" t="n"/>
    </row>
    <row r="65" ht="22" customHeight="1">
      <c r="B65" s="17">
        <f>IF(C65="","SAR-"&amp;TEXT(COUNTA($C$5:C65),"000"))</f>
        <v/>
      </c>
      <c r="C65" s="12" t="n"/>
      <c r="D65" s="12" t="n"/>
      <c r="E65" s="12" t="n"/>
      <c r="F65" s="41" t="n"/>
      <c r="G65" s="41" t="n"/>
      <c r="H65" s="35" t="n"/>
      <c r="I65" s="18" t="n"/>
      <c r="J65" s="18" t="n"/>
      <c r="K65" s="18">
        <f>IF(I65="","",I65-J65)</f>
        <v/>
      </c>
      <c r="L65" s="12" t="n"/>
    </row>
    <row r="66" ht="22" customHeight="1">
      <c r="B66" s="16">
        <f>IF(C66="","SAR-"&amp;TEXT(COUNTA($C$5:C66),"000"))</f>
        <v/>
      </c>
      <c r="C66" s="14" t="n"/>
      <c r="D66" s="14" t="n"/>
      <c r="E66" s="14" t="n"/>
      <c r="F66" s="42" t="n"/>
      <c r="G66" s="42" t="n"/>
      <c r="H66" s="36" t="n"/>
      <c r="I66" s="19" t="n"/>
      <c r="J66" s="19" t="n"/>
      <c r="K66" s="19">
        <f>IF(I66="","",I66-J66)</f>
        <v/>
      </c>
      <c r="L66" s="14" t="n"/>
    </row>
    <row r="67" ht="22" customHeight="1">
      <c r="B67" s="17">
        <f>IF(C67="","SAR-"&amp;TEXT(COUNTA($C$5:C67),"000"))</f>
        <v/>
      </c>
      <c r="C67" s="12" t="n"/>
      <c r="D67" s="12" t="n"/>
      <c r="E67" s="12" t="n"/>
      <c r="F67" s="41" t="n"/>
      <c r="G67" s="41" t="n"/>
      <c r="H67" s="35" t="n"/>
      <c r="I67" s="18" t="n"/>
      <c r="J67" s="18" t="n"/>
      <c r="K67" s="18">
        <f>IF(I67="","",I67-J67)</f>
        <v/>
      </c>
      <c r="L67" s="12" t="n"/>
    </row>
    <row r="68" ht="22" customHeight="1">
      <c r="B68" s="16">
        <f>IF(C68="","SAR-"&amp;TEXT(COUNTA($C$5:C68),"000"))</f>
        <v/>
      </c>
      <c r="C68" s="14" t="n"/>
      <c r="D68" s="14" t="n"/>
      <c r="E68" s="14" t="n"/>
      <c r="F68" s="42" t="n"/>
      <c r="G68" s="42" t="n"/>
      <c r="H68" s="36" t="n"/>
      <c r="I68" s="19" t="n"/>
      <c r="J68" s="19" t="n"/>
      <c r="K68" s="19">
        <f>IF(I68="","",I68-J68)</f>
        <v/>
      </c>
      <c r="L68" s="14" t="n"/>
    </row>
    <row r="69" ht="22" customHeight="1">
      <c r="B69" s="17">
        <f>IF(C69="","SAR-"&amp;TEXT(COUNTA($C$5:C69),"000"))</f>
        <v/>
      </c>
      <c r="C69" s="12" t="n"/>
      <c r="D69" s="12" t="n"/>
      <c r="E69" s="12" t="n"/>
      <c r="F69" s="41" t="n"/>
      <c r="G69" s="41" t="n"/>
      <c r="H69" s="35" t="n"/>
      <c r="I69" s="18" t="n"/>
      <c r="J69" s="18" t="n"/>
      <c r="K69" s="18">
        <f>IF(I69="","",I69-J69)</f>
        <v/>
      </c>
      <c r="L69" s="12" t="n"/>
    </row>
    <row r="70" ht="22" customHeight="1">
      <c r="B70" s="16">
        <f>IF(C70="","SAR-"&amp;TEXT(COUNTA($C$5:C70),"000"))</f>
        <v/>
      </c>
      <c r="C70" s="14" t="n"/>
      <c r="D70" s="14" t="n"/>
      <c r="E70" s="14" t="n"/>
      <c r="F70" s="42" t="n"/>
      <c r="G70" s="42" t="n"/>
      <c r="H70" s="36" t="n"/>
      <c r="I70" s="19" t="n"/>
      <c r="J70" s="19" t="n"/>
      <c r="K70" s="19">
        <f>IF(I70="","",I70-J70)</f>
        <v/>
      </c>
      <c r="L70" s="14" t="n"/>
    </row>
    <row r="71" ht="22" customHeight="1">
      <c r="B71" s="17">
        <f>IF(C71="","SAR-"&amp;TEXT(COUNTA($C$5:C71),"000"))</f>
        <v/>
      </c>
      <c r="C71" s="12" t="n"/>
      <c r="D71" s="12" t="n"/>
      <c r="E71" s="12" t="n"/>
      <c r="F71" s="41" t="n"/>
      <c r="G71" s="41" t="n"/>
      <c r="H71" s="35" t="n"/>
      <c r="I71" s="18" t="n"/>
      <c r="J71" s="18" t="n"/>
      <c r="K71" s="18">
        <f>IF(I71="","",I71-J71)</f>
        <v/>
      </c>
      <c r="L71" s="12" t="n"/>
    </row>
    <row r="72" ht="22" customHeight="1">
      <c r="B72" s="16">
        <f>IF(C72="","SAR-"&amp;TEXT(COUNTA($C$5:C72),"000"))</f>
        <v/>
      </c>
      <c r="C72" s="14" t="n"/>
      <c r="D72" s="14" t="n"/>
      <c r="E72" s="14" t="n"/>
      <c r="F72" s="42" t="n"/>
      <c r="G72" s="42" t="n"/>
      <c r="H72" s="36" t="n"/>
      <c r="I72" s="19" t="n"/>
      <c r="J72" s="19" t="n"/>
      <c r="K72" s="19">
        <f>IF(I72="","",I72-J72)</f>
        <v/>
      </c>
      <c r="L72" s="14" t="n"/>
    </row>
    <row r="73" ht="22" customHeight="1">
      <c r="B73" s="17">
        <f>IF(C73="","SAR-"&amp;TEXT(COUNTA($C$5:C73),"000"))</f>
        <v/>
      </c>
      <c r="C73" s="12" t="n"/>
      <c r="D73" s="12" t="n"/>
      <c r="E73" s="12" t="n"/>
      <c r="F73" s="41" t="n"/>
      <c r="G73" s="41" t="n"/>
      <c r="H73" s="35" t="n"/>
      <c r="I73" s="18" t="n"/>
      <c r="J73" s="18" t="n"/>
      <c r="K73" s="18">
        <f>IF(I73="","",I73-J73)</f>
        <v/>
      </c>
      <c r="L73" s="12" t="n"/>
    </row>
    <row r="74" ht="22" customHeight="1">
      <c r="B74" s="16">
        <f>IF(C74="","SAR-"&amp;TEXT(COUNTA($C$5:C74),"000"))</f>
        <v/>
      </c>
      <c r="C74" s="14" t="n"/>
      <c r="D74" s="14" t="n"/>
      <c r="E74" s="14" t="n"/>
      <c r="F74" s="42" t="n"/>
      <c r="G74" s="42" t="n"/>
      <c r="H74" s="36" t="n"/>
      <c r="I74" s="19" t="n"/>
      <c r="J74" s="19" t="n"/>
      <c r="K74" s="19">
        <f>IF(I74="","",I74-J74)</f>
        <v/>
      </c>
      <c r="L74" s="14" t="n"/>
    </row>
    <row r="75" ht="22" customHeight="1">
      <c r="B75" s="17">
        <f>IF(C75="","SAR-"&amp;TEXT(COUNTA($C$5:C75),"000"))</f>
        <v/>
      </c>
      <c r="C75" s="12" t="n"/>
      <c r="D75" s="12" t="n"/>
      <c r="E75" s="12" t="n"/>
      <c r="F75" s="41" t="n"/>
      <c r="G75" s="41" t="n"/>
      <c r="H75" s="35" t="n"/>
      <c r="I75" s="18" t="n"/>
      <c r="J75" s="18" t="n"/>
      <c r="K75" s="18">
        <f>IF(I75="","",I75-J75)</f>
        <v/>
      </c>
      <c r="L75" s="12" t="n"/>
    </row>
    <row r="76" ht="22" customHeight="1">
      <c r="B76" s="16">
        <f>IF(C76="","SAR-"&amp;TEXT(COUNTA($C$5:C76),"000"))</f>
        <v/>
      </c>
      <c r="C76" s="14" t="n"/>
      <c r="D76" s="14" t="n"/>
      <c r="E76" s="14" t="n"/>
      <c r="F76" s="42" t="n"/>
      <c r="G76" s="42" t="n"/>
      <c r="H76" s="36" t="n"/>
      <c r="I76" s="19" t="n"/>
      <c r="J76" s="19" t="n"/>
      <c r="K76" s="19">
        <f>IF(I76="","",I76-J76)</f>
        <v/>
      </c>
      <c r="L76" s="14" t="n"/>
    </row>
    <row r="77" ht="22" customHeight="1">
      <c r="B77" s="17">
        <f>IF(C77="","SAR-"&amp;TEXT(COUNTA($C$5:C77),"000"))</f>
        <v/>
      </c>
      <c r="C77" s="12" t="n"/>
      <c r="D77" s="12" t="n"/>
      <c r="E77" s="12" t="n"/>
      <c r="F77" s="41" t="n"/>
      <c r="G77" s="41" t="n"/>
      <c r="H77" s="35" t="n"/>
      <c r="I77" s="18" t="n"/>
      <c r="J77" s="18" t="n"/>
      <c r="K77" s="18">
        <f>IF(I77="","",I77-J77)</f>
        <v/>
      </c>
      <c r="L77" s="12" t="n"/>
    </row>
    <row r="78" ht="22" customHeight="1">
      <c r="B78" s="16">
        <f>IF(C78="","SAR-"&amp;TEXT(COUNTA($C$5:C78),"000"))</f>
        <v/>
      </c>
      <c r="C78" s="14" t="n"/>
      <c r="D78" s="14" t="n"/>
      <c r="E78" s="14" t="n"/>
      <c r="F78" s="42" t="n"/>
      <c r="G78" s="42" t="n"/>
      <c r="H78" s="36" t="n"/>
      <c r="I78" s="19" t="n"/>
      <c r="J78" s="19" t="n"/>
      <c r="K78" s="19">
        <f>IF(I78="","",I78-J78)</f>
        <v/>
      </c>
      <c r="L78" s="14" t="n"/>
    </row>
    <row r="79" ht="22" customHeight="1">
      <c r="B79" s="17">
        <f>IF(C79="","SAR-"&amp;TEXT(COUNTA($C$5:C79),"000"))</f>
        <v/>
      </c>
      <c r="C79" s="12" t="n"/>
      <c r="D79" s="12" t="n"/>
      <c r="E79" s="12" t="n"/>
      <c r="F79" s="41" t="n"/>
      <c r="G79" s="41" t="n"/>
      <c r="H79" s="35" t="n"/>
      <c r="I79" s="18" t="n"/>
      <c r="J79" s="18" t="n"/>
      <c r="K79" s="18">
        <f>IF(I79="","",I79-J79)</f>
        <v/>
      </c>
      <c r="L79" s="12" t="n"/>
    </row>
    <row r="80" ht="22" customHeight="1">
      <c r="B80" s="16">
        <f>IF(C80="","SAR-"&amp;TEXT(COUNTA($C$5:C80),"000"))</f>
        <v/>
      </c>
      <c r="C80" s="14" t="n"/>
      <c r="D80" s="14" t="n"/>
      <c r="E80" s="14" t="n"/>
      <c r="F80" s="42" t="n"/>
      <c r="G80" s="42" t="n"/>
      <c r="H80" s="36" t="n"/>
      <c r="I80" s="19" t="n"/>
      <c r="J80" s="19" t="n"/>
      <c r="K80" s="19">
        <f>IF(I80="","",I80-J80)</f>
        <v/>
      </c>
      <c r="L80" s="14" t="n"/>
    </row>
    <row r="81" ht="22" customHeight="1">
      <c r="B81" s="17">
        <f>IF(C81="","SAR-"&amp;TEXT(COUNTA($C$5:C81),"000"))</f>
        <v/>
      </c>
      <c r="C81" s="12" t="n"/>
      <c r="D81" s="12" t="n"/>
      <c r="E81" s="12" t="n"/>
      <c r="F81" s="41" t="n"/>
      <c r="G81" s="41" t="n"/>
      <c r="H81" s="35" t="n"/>
      <c r="I81" s="18" t="n"/>
      <c r="J81" s="18" t="n"/>
      <c r="K81" s="18">
        <f>IF(I81="","",I81-J81)</f>
        <v/>
      </c>
      <c r="L81" s="12" t="n"/>
    </row>
    <row r="82" ht="22" customHeight="1">
      <c r="B82" s="16">
        <f>IF(C82="","SAR-"&amp;TEXT(COUNTA($C$5:C82),"000"))</f>
        <v/>
      </c>
      <c r="C82" s="14" t="n"/>
      <c r="D82" s="14" t="n"/>
      <c r="E82" s="14" t="n"/>
      <c r="F82" s="42" t="n"/>
      <c r="G82" s="42" t="n"/>
      <c r="H82" s="36" t="n"/>
      <c r="I82" s="19" t="n"/>
      <c r="J82" s="19" t="n"/>
      <c r="K82" s="19">
        <f>IF(I82="","",I82-J82)</f>
        <v/>
      </c>
      <c r="L82" s="14" t="n"/>
    </row>
    <row r="83" ht="22" customHeight="1">
      <c r="B83" s="17">
        <f>IF(C83="","SAR-"&amp;TEXT(COUNTA($C$5:C83),"000"))</f>
        <v/>
      </c>
      <c r="C83" s="12" t="n"/>
      <c r="D83" s="12" t="n"/>
      <c r="E83" s="12" t="n"/>
      <c r="F83" s="41" t="n"/>
      <c r="G83" s="41" t="n"/>
      <c r="H83" s="35" t="n"/>
      <c r="I83" s="18" t="n"/>
      <c r="J83" s="18" t="n"/>
      <c r="K83" s="18">
        <f>IF(I83="","",I83-J83)</f>
        <v/>
      </c>
      <c r="L83" s="12" t="n"/>
    </row>
    <row r="84" ht="22" customHeight="1">
      <c r="B84" s="16">
        <f>IF(C84="","SAR-"&amp;TEXT(COUNTA($C$5:C84),"000"))</f>
        <v/>
      </c>
      <c r="C84" s="14" t="n"/>
      <c r="D84" s="14" t="n"/>
      <c r="E84" s="14" t="n"/>
      <c r="F84" s="42" t="n"/>
      <c r="G84" s="42" t="n"/>
      <c r="H84" s="36" t="n"/>
      <c r="I84" s="19" t="n"/>
      <c r="J84" s="19" t="n"/>
      <c r="K84" s="19">
        <f>IF(I84="","",I84-J84)</f>
        <v/>
      </c>
      <c r="L84" s="14" t="n"/>
    </row>
    <row r="85" ht="22" customHeight="1">
      <c r="B85" s="17">
        <f>IF(C85="","SAR-"&amp;TEXT(COUNTA($C$5:C85),"000"))</f>
        <v/>
      </c>
      <c r="C85" s="12" t="n"/>
      <c r="D85" s="12" t="n"/>
      <c r="E85" s="12" t="n"/>
      <c r="F85" s="41" t="n"/>
      <c r="G85" s="41" t="n"/>
      <c r="H85" s="35" t="n"/>
      <c r="I85" s="18" t="n"/>
      <c r="J85" s="18" t="n"/>
      <c r="K85" s="18">
        <f>IF(I85="","",I85-J85)</f>
        <v/>
      </c>
      <c r="L85" s="12" t="n"/>
    </row>
    <row r="86" ht="22" customHeight="1">
      <c r="B86" s="16">
        <f>IF(C86="","SAR-"&amp;TEXT(COUNTA($C$5:C86),"000"))</f>
        <v/>
      </c>
      <c r="C86" s="14" t="n"/>
      <c r="D86" s="14" t="n"/>
      <c r="E86" s="14" t="n"/>
      <c r="F86" s="42" t="n"/>
      <c r="G86" s="42" t="n"/>
      <c r="H86" s="36" t="n"/>
      <c r="I86" s="19" t="n"/>
      <c r="J86" s="19" t="n"/>
      <c r="K86" s="19">
        <f>IF(I86="","",I86-J86)</f>
        <v/>
      </c>
      <c r="L86" s="14" t="n"/>
    </row>
    <row r="87" ht="22" customHeight="1">
      <c r="B87" s="17">
        <f>IF(C87="","SAR-"&amp;TEXT(COUNTA($C$5:C87),"000"))</f>
        <v/>
      </c>
      <c r="C87" s="12" t="n"/>
      <c r="D87" s="12" t="n"/>
      <c r="E87" s="12" t="n"/>
      <c r="F87" s="41" t="n"/>
      <c r="G87" s="41" t="n"/>
      <c r="H87" s="35" t="n"/>
      <c r="I87" s="18" t="n"/>
      <c r="J87" s="18" t="n"/>
      <c r="K87" s="18">
        <f>IF(I87="","",I87-J87)</f>
        <v/>
      </c>
      <c r="L87" s="12" t="n"/>
    </row>
    <row r="88" ht="22" customHeight="1">
      <c r="B88" s="16">
        <f>IF(C88="","SAR-"&amp;TEXT(COUNTA($C$5:C88),"000"))</f>
        <v/>
      </c>
      <c r="C88" s="14" t="n"/>
      <c r="D88" s="14" t="n"/>
      <c r="E88" s="14" t="n"/>
      <c r="F88" s="42" t="n"/>
      <c r="G88" s="42" t="n"/>
      <c r="H88" s="36" t="n"/>
      <c r="I88" s="19" t="n"/>
      <c r="J88" s="19" t="n"/>
      <c r="K88" s="19">
        <f>IF(I88="","",I88-J88)</f>
        <v/>
      </c>
      <c r="L88" s="14" t="n"/>
    </row>
    <row r="89" ht="22" customHeight="1">
      <c r="B89" s="17">
        <f>IF(C89="","SAR-"&amp;TEXT(COUNTA($C$5:C89),"000"))</f>
        <v/>
      </c>
      <c r="C89" s="12" t="n"/>
      <c r="D89" s="12" t="n"/>
      <c r="E89" s="12" t="n"/>
      <c r="F89" s="41" t="n"/>
      <c r="G89" s="41" t="n"/>
      <c r="H89" s="35" t="n"/>
      <c r="I89" s="18" t="n"/>
      <c r="J89" s="18" t="n"/>
      <c r="K89" s="18">
        <f>IF(I89="","",I89-J89)</f>
        <v/>
      </c>
      <c r="L89" s="12" t="n"/>
    </row>
    <row r="90" ht="22" customHeight="1">
      <c r="B90" s="16">
        <f>IF(C90="","SAR-"&amp;TEXT(COUNTA($C$5:C90),"000"))</f>
        <v/>
      </c>
      <c r="C90" s="14" t="n"/>
      <c r="D90" s="14" t="n"/>
      <c r="E90" s="14" t="n"/>
      <c r="F90" s="42" t="n"/>
      <c r="G90" s="42" t="n"/>
      <c r="H90" s="36" t="n"/>
      <c r="I90" s="19" t="n"/>
      <c r="J90" s="19" t="n"/>
      <c r="K90" s="19">
        <f>IF(I90="","",I90-J90)</f>
        <v/>
      </c>
      <c r="L90" s="14" t="n"/>
    </row>
    <row r="91" ht="22" customHeight="1">
      <c r="B91" s="17">
        <f>IF(C91="","SAR-"&amp;TEXT(COUNTA($C$5:C91),"000"))</f>
        <v/>
      </c>
      <c r="C91" s="12" t="n"/>
      <c r="D91" s="12" t="n"/>
      <c r="E91" s="12" t="n"/>
      <c r="F91" s="41" t="n"/>
      <c r="G91" s="41" t="n"/>
      <c r="H91" s="35" t="n"/>
      <c r="I91" s="18" t="n"/>
      <c r="J91" s="18" t="n"/>
      <c r="K91" s="18">
        <f>IF(I91="","",I91-J91)</f>
        <v/>
      </c>
      <c r="L91" s="12" t="n"/>
    </row>
    <row r="92" ht="22" customHeight="1">
      <c r="B92" s="16">
        <f>IF(C92="","SAR-"&amp;TEXT(COUNTA($C$5:C92),"000"))</f>
        <v/>
      </c>
      <c r="C92" s="14" t="n"/>
      <c r="D92" s="14" t="n"/>
      <c r="E92" s="14" t="n"/>
      <c r="F92" s="42" t="n"/>
      <c r="G92" s="42" t="n"/>
      <c r="H92" s="36" t="n"/>
      <c r="I92" s="19" t="n"/>
      <c r="J92" s="19" t="n"/>
      <c r="K92" s="19">
        <f>IF(I92="","",I92-J92)</f>
        <v/>
      </c>
      <c r="L92" s="14" t="n"/>
    </row>
    <row r="93" ht="22" customHeight="1">
      <c r="B93" s="17">
        <f>IF(C93="","SAR-"&amp;TEXT(COUNTA($C$5:C93),"000"))</f>
        <v/>
      </c>
      <c r="C93" s="12" t="n"/>
      <c r="D93" s="12" t="n"/>
      <c r="E93" s="12" t="n"/>
      <c r="F93" s="41" t="n"/>
      <c r="G93" s="41" t="n"/>
      <c r="H93" s="35" t="n"/>
      <c r="I93" s="18" t="n"/>
      <c r="J93" s="18" t="n"/>
      <c r="K93" s="18">
        <f>IF(I93="","",I93-J93)</f>
        <v/>
      </c>
      <c r="L93" s="12" t="n"/>
    </row>
    <row r="94" ht="22" customHeight="1">
      <c r="B94" s="16">
        <f>IF(C94="","SAR-"&amp;TEXT(COUNTA($C$5:C94),"000"))</f>
        <v/>
      </c>
      <c r="C94" s="14" t="n"/>
      <c r="D94" s="14" t="n"/>
      <c r="E94" s="14" t="n"/>
      <c r="F94" s="42" t="n"/>
      <c r="G94" s="42" t="n"/>
      <c r="H94" s="36" t="n"/>
      <c r="I94" s="19" t="n"/>
      <c r="J94" s="19" t="n"/>
      <c r="K94" s="19">
        <f>IF(I94="","",I94-J94)</f>
        <v/>
      </c>
      <c r="L94" s="14" t="n"/>
    </row>
    <row r="95" ht="22" customHeight="1">
      <c r="B95" s="17">
        <f>IF(C95="","SAR-"&amp;TEXT(COUNTA($C$5:C95),"000"))</f>
        <v/>
      </c>
      <c r="C95" s="12" t="n"/>
      <c r="D95" s="12" t="n"/>
      <c r="E95" s="12" t="n"/>
      <c r="F95" s="41" t="n"/>
      <c r="G95" s="41" t="n"/>
      <c r="H95" s="35" t="n"/>
      <c r="I95" s="18" t="n"/>
      <c r="J95" s="18" t="n"/>
      <c r="K95" s="18">
        <f>IF(I95="","",I95-J95)</f>
        <v/>
      </c>
      <c r="L95" s="12" t="n"/>
    </row>
    <row r="96" ht="22" customHeight="1">
      <c r="B96" s="16">
        <f>IF(C96="","SAR-"&amp;TEXT(COUNTA($C$5:C96),"000"))</f>
        <v/>
      </c>
      <c r="C96" s="14" t="n"/>
      <c r="D96" s="14" t="n"/>
      <c r="E96" s="14" t="n"/>
      <c r="F96" s="42" t="n"/>
      <c r="G96" s="42" t="n"/>
      <c r="H96" s="36" t="n"/>
      <c r="I96" s="19" t="n"/>
      <c r="J96" s="19" t="n"/>
      <c r="K96" s="19">
        <f>IF(I96="","",I96-J96)</f>
        <v/>
      </c>
      <c r="L96" s="14" t="n"/>
    </row>
    <row r="97" ht="22" customHeight="1">
      <c r="B97" s="17">
        <f>IF(C97="","SAR-"&amp;TEXT(COUNTA($C$5:C97),"000"))</f>
        <v/>
      </c>
      <c r="C97" s="12" t="n"/>
      <c r="D97" s="12" t="n"/>
      <c r="E97" s="12" t="n"/>
      <c r="F97" s="41" t="n"/>
      <c r="G97" s="41" t="n"/>
      <c r="H97" s="35" t="n"/>
      <c r="I97" s="18" t="n"/>
      <c r="J97" s="18" t="n"/>
      <c r="K97" s="18">
        <f>IF(I97="","",I97-J97)</f>
        <v/>
      </c>
      <c r="L97" s="12" t="n"/>
    </row>
    <row r="98" ht="22" customHeight="1">
      <c r="B98" s="16">
        <f>IF(C98="","SAR-"&amp;TEXT(COUNTA($C$5:C98),"000"))</f>
        <v/>
      </c>
      <c r="C98" s="14" t="n"/>
      <c r="D98" s="14" t="n"/>
      <c r="E98" s="14" t="n"/>
      <c r="F98" s="42" t="n"/>
      <c r="G98" s="42" t="n"/>
      <c r="H98" s="36" t="n"/>
      <c r="I98" s="19" t="n"/>
      <c r="J98" s="19" t="n"/>
      <c r="K98" s="19">
        <f>IF(I98="","",I98-J98)</f>
        <v/>
      </c>
      <c r="L98" s="14" t="n"/>
    </row>
    <row r="99" ht="22" customHeight="1">
      <c r="B99" s="17">
        <f>IF(C99="","SAR-"&amp;TEXT(COUNTA($C$5:C99),"000"))</f>
        <v/>
      </c>
      <c r="C99" s="12" t="n"/>
      <c r="D99" s="12" t="n"/>
      <c r="E99" s="12" t="n"/>
      <c r="F99" s="41" t="n"/>
      <c r="G99" s="41" t="n"/>
      <c r="H99" s="35" t="n"/>
      <c r="I99" s="18" t="n"/>
      <c r="J99" s="18" t="n"/>
      <c r="K99" s="18">
        <f>IF(I99="","",I99-J99)</f>
        <v/>
      </c>
      <c r="L99" s="12" t="n"/>
    </row>
    <row r="100" ht="22" customHeight="1">
      <c r="B100" s="16">
        <f>IF(C100="","SAR-"&amp;TEXT(COUNTA($C$5:C100),"000"))</f>
        <v/>
      </c>
      <c r="C100" s="14" t="n"/>
      <c r="D100" s="14" t="n"/>
      <c r="E100" s="14" t="n"/>
      <c r="F100" s="42" t="n"/>
      <c r="G100" s="42" t="n"/>
      <c r="H100" s="36" t="n"/>
      <c r="I100" s="19" t="n"/>
      <c r="J100" s="19" t="n"/>
      <c r="K100" s="19">
        <f>IF(I100="","",I100-J100)</f>
        <v/>
      </c>
      <c r="L100" s="14" t="n"/>
    </row>
    <row r="101" ht="22" customHeight="1">
      <c r="B101" s="17">
        <f>IF(C101="","SAR-"&amp;TEXT(COUNTA($C$5:C101),"000"))</f>
        <v/>
      </c>
      <c r="C101" s="12" t="n"/>
      <c r="D101" s="12" t="n"/>
      <c r="E101" s="12" t="n"/>
      <c r="F101" s="41" t="n"/>
      <c r="G101" s="41" t="n"/>
      <c r="H101" s="35" t="n"/>
      <c r="I101" s="18" t="n"/>
      <c r="J101" s="18" t="n"/>
      <c r="K101" s="18">
        <f>IF(I101="","",I101-J101)</f>
        <v/>
      </c>
      <c r="L101" s="12" t="n"/>
    </row>
    <row r="102" ht="22" customHeight="1">
      <c r="B102" s="16">
        <f>IF(C102="","SAR-"&amp;TEXT(COUNTA($C$5:C102),"000"))</f>
        <v/>
      </c>
      <c r="C102" s="14" t="n"/>
      <c r="D102" s="14" t="n"/>
      <c r="E102" s="14" t="n"/>
      <c r="F102" s="42" t="n"/>
      <c r="G102" s="42" t="n"/>
      <c r="H102" s="36" t="n"/>
      <c r="I102" s="19" t="n"/>
      <c r="J102" s="19" t="n"/>
      <c r="K102" s="19">
        <f>IF(I102="","",I102-J102)</f>
        <v/>
      </c>
      <c r="L102" s="14" t="n"/>
    </row>
    <row r="103" ht="22" customHeight="1">
      <c r="B103" s="17">
        <f>IF(C103="","SAR-"&amp;TEXT(COUNTA($C$5:C103),"000"))</f>
        <v/>
      </c>
      <c r="C103" s="12" t="n"/>
      <c r="D103" s="12" t="n"/>
      <c r="E103" s="12" t="n"/>
      <c r="F103" s="41" t="n"/>
      <c r="G103" s="41" t="n"/>
      <c r="H103" s="35" t="n"/>
      <c r="I103" s="18" t="n"/>
      <c r="J103" s="18" t="n"/>
      <c r="K103" s="18">
        <f>IF(I103="","",I103-J103)</f>
        <v/>
      </c>
      <c r="L103" s="12" t="n"/>
    </row>
    <row r="104" ht="22" customHeight="1">
      <c r="B104" s="16">
        <f>IF(C104="","SAR-"&amp;TEXT(COUNTA($C$5:C104),"000"))</f>
        <v/>
      </c>
      <c r="C104" s="14" t="n"/>
      <c r="D104" s="14" t="n"/>
      <c r="E104" s="14" t="n"/>
      <c r="F104" s="42" t="n"/>
      <c r="G104" s="42" t="n"/>
      <c r="H104" s="36" t="n"/>
      <c r="I104" s="19" t="n"/>
      <c r="J104" s="19" t="n"/>
      <c r="K104" s="19">
        <f>IF(I104="","",I104-J104)</f>
        <v/>
      </c>
      <c r="L104" s="14" t="n"/>
    </row>
    <row r="105" ht="22" customHeight="1">
      <c r="B105" s="17">
        <f>IF(C105="","SAR-"&amp;TEXT(COUNTA($C$5:C105),"000"))</f>
        <v/>
      </c>
      <c r="C105" s="12" t="n"/>
      <c r="D105" s="12" t="n"/>
      <c r="E105" s="12" t="n"/>
      <c r="F105" s="41" t="n"/>
      <c r="G105" s="41" t="n"/>
      <c r="H105" s="35" t="n"/>
      <c r="I105" s="18" t="n"/>
      <c r="J105" s="18" t="n"/>
      <c r="K105" s="18">
        <f>IF(I105="","",I105-J105)</f>
        <v/>
      </c>
      <c r="L105" s="12" t="n"/>
    </row>
    <row r="106" ht="22" customHeight="1">
      <c r="B106" s="16">
        <f>IF(C106="","SAR-"&amp;TEXT(COUNTA($C$5:C106),"000"))</f>
        <v/>
      </c>
      <c r="C106" s="14" t="n"/>
      <c r="D106" s="14" t="n"/>
      <c r="E106" s="14" t="n"/>
      <c r="F106" s="42" t="n"/>
      <c r="G106" s="42" t="n"/>
      <c r="H106" s="36" t="n"/>
      <c r="I106" s="19" t="n"/>
      <c r="J106" s="19" t="n"/>
      <c r="K106" s="19">
        <f>IF(I106="","",I106-J106)</f>
        <v/>
      </c>
      <c r="L106" s="14" t="n"/>
    </row>
    <row r="107" ht="22" customHeight="1">
      <c r="B107" s="17">
        <f>IF(C107="","SAR-"&amp;TEXT(COUNTA($C$5:C107),"000"))</f>
        <v/>
      </c>
      <c r="C107" s="12" t="n"/>
      <c r="D107" s="12" t="n"/>
      <c r="E107" s="12" t="n"/>
      <c r="F107" s="41" t="n"/>
      <c r="G107" s="41" t="n"/>
      <c r="H107" s="35" t="n"/>
      <c r="I107" s="18" t="n"/>
      <c r="J107" s="18" t="n"/>
      <c r="K107" s="18">
        <f>IF(I107="","",I107-J107)</f>
        <v/>
      </c>
      <c r="L107" s="12" t="n"/>
    </row>
    <row r="108" ht="22" customHeight="1">
      <c r="B108" s="16">
        <f>IF(C108="","SAR-"&amp;TEXT(COUNTA($C$5:C108),"000"))</f>
        <v/>
      </c>
      <c r="C108" s="14" t="n"/>
      <c r="D108" s="14" t="n"/>
      <c r="E108" s="14" t="n"/>
      <c r="F108" s="42" t="n"/>
      <c r="G108" s="42" t="n"/>
      <c r="H108" s="36" t="n"/>
      <c r="I108" s="19" t="n"/>
      <c r="J108" s="19" t="n"/>
      <c r="K108" s="19">
        <f>IF(I108="","",I108-J108)</f>
        <v/>
      </c>
      <c r="L108" s="14" t="n"/>
    </row>
    <row r="110">
      <c r="B110" s="6" t="inlineStr">
        <is>
          <t>INDICATEURS (mis a jour automatiquement)</t>
        </is>
      </c>
    </row>
    <row r="111">
      <c r="B111" s="3" t="inlineStr">
        <is>
          <t>Actions en cours</t>
        </is>
      </c>
      <c r="D111" s="3" t="inlineStr">
        <is>
          <t>Budget total prevu</t>
        </is>
      </c>
      <c r="F111" s="3" t="inlineStr">
        <is>
          <t>Taux avancement moyen</t>
        </is>
      </c>
    </row>
    <row r="112">
      <c r="B112" s="4">
        <f>COUNTIF(B5:B104,"&lt;&gt;")</f>
        <v/>
      </c>
      <c r="D112" s="4">
        <f>SUM(I5:I104)</f>
        <v/>
      </c>
      <c r="F112" s="4">
        <f>IFERROR(AVERAGE(H5:H104),0)</f>
        <v/>
      </c>
    </row>
  </sheetData>
  <mergeCells count="3">
    <mergeCell ref="B2:L2"/>
    <mergeCell ref="B110:L110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9:B108">
    <cfRule type="expression" priority="238" dxfId="3">
      <formula>AND($C9="",$C8&lt;&gt;"")</formula>
    </cfRule>
  </conditionalFormatting>
  <conditionalFormatting sqref="C9:C108">
    <cfRule type="expression" priority="239" dxfId="3">
      <formula>AND($C9="",$C8&lt;&gt;"")</formula>
    </cfRule>
  </conditionalFormatting>
  <conditionalFormatting sqref="D9:D108">
    <cfRule type="expression" priority="240" dxfId="3">
      <formula>AND($C9="",$C8&lt;&gt;"")</formula>
    </cfRule>
  </conditionalFormatting>
  <conditionalFormatting sqref="E9:E108">
    <cfRule type="expression" priority="241" dxfId="3">
      <formula>AND($C9="",$C8&lt;&gt;"")</formula>
    </cfRule>
  </conditionalFormatting>
  <conditionalFormatting sqref="F9:F108">
    <cfRule type="expression" priority="242" dxfId="3">
      <formula>AND($C9="",$C8&lt;&gt;"")</formula>
    </cfRule>
  </conditionalFormatting>
  <conditionalFormatting sqref="G9:G108">
    <cfRule type="expression" priority="243" dxfId="3">
      <formula>AND($C9="",$C8&lt;&gt;"")</formula>
    </cfRule>
  </conditionalFormatting>
  <conditionalFormatting sqref="H9:H108">
    <cfRule type="expression" priority="244" dxfId="3">
      <formula>AND($C9="",$C8&lt;&gt;"")</formula>
    </cfRule>
  </conditionalFormatting>
  <conditionalFormatting sqref="I9:I108">
    <cfRule type="expression" priority="245" dxfId="3">
      <formula>AND($C9="",$C8&lt;&gt;"")</formula>
    </cfRule>
  </conditionalFormatting>
  <conditionalFormatting sqref="J9:J108">
    <cfRule type="expression" priority="246" dxfId="3">
      <formula>AND($C9="",$C8&lt;&gt;"")</formula>
    </cfRule>
  </conditionalFormatting>
  <conditionalFormatting sqref="K9:K108">
    <cfRule type="expression" priority="247" dxfId="3">
      <formula>AND($C9="",$C8&lt;&gt;"")</formula>
    </cfRule>
  </conditionalFormatting>
  <conditionalFormatting sqref="L9:L108">
    <cfRule type="expression" priority="248" dxfId="3">
      <formula>AND($C9="",$C8&lt;&gt;"")</formula>
    </cfRule>
  </conditionalFormatting>
  <dataValidations count="2">
    <dataValidation sqref="D5:D108" showDropDown="0" showInputMessage="0" showErrorMessage="0" allowBlank="1" errorTitle="Erreur" error="Valeur invalide" promptTitle="Liste" prompt="Choisir dans la liste" type="list">
      <formula1>'_Lists'!$D$2:$D$9</formula1>
    </dataValidation>
    <dataValidation sqref="L5:L108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M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22" customWidth="1" min="10" max="10"/>
    <col width="12" customWidth="1" min="11" max="11"/>
    <col width="12" customWidth="1" min="12" max="12"/>
    <col width="12" customWidth="1" min="13" max="13"/>
  </cols>
  <sheetData>
    <row r="1" ht="15" customHeight="1"/>
    <row r="2" ht="32" customHeight="1">
      <c r="B2" s="1" t="inlineStr">
        <is>
          <t>ANALYSE DIVERSITE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Categorie Diversite</t>
        </is>
      </c>
      <c r="D4" s="11" t="inlineStr">
        <is>
          <t>Effectif Total</t>
        </is>
      </c>
      <c r="E4" s="11" t="inlineStr">
        <is>
          <t>Hommes</t>
        </is>
      </c>
      <c r="F4" s="11" t="inlineStr">
        <is>
          <t>Femmes</t>
        </is>
      </c>
      <c r="G4" s="11" t="inlineStr">
        <is>
          <t>Part Femmes (%)</t>
        </is>
      </c>
      <c r="H4" s="11" t="inlineStr">
        <is>
          <t>Cadres Hommes</t>
        </is>
      </c>
      <c r="I4" s="11" t="inlineStr">
        <is>
          <t>Cadres Femmes</t>
        </is>
      </c>
      <c r="J4" s="11" t="inlineStr">
        <is>
          <t>Part Femmes Cadres (%)</t>
        </is>
      </c>
      <c r="K4" s="11" t="inlineStr">
        <is>
          <t>&lt; 30 ans</t>
        </is>
      </c>
      <c r="L4" s="11" t="inlineStr">
        <is>
          <t>30-50 ans</t>
        </is>
      </c>
      <c r="M4" s="11" t="inlineStr">
        <is>
          <t>&gt; 50 ans</t>
        </is>
      </c>
    </row>
    <row r="5" ht="22" customHeight="1">
      <c r="B5" s="12" t="inlineStr">
        <is>
          <t>DIV-A1</t>
        </is>
      </c>
      <c r="C5" s="12" t="inlineStr">
        <is>
          <t>Direction Générale</t>
        </is>
      </c>
      <c r="D5" s="18" t="n">
        <v>3</v>
      </c>
      <c r="E5" s="18" t="n">
        <v>2</v>
      </c>
      <c r="F5" s="18" t="n">
        <v>1</v>
      </c>
      <c r="G5" s="43" t="n"/>
      <c r="H5" s="18" t="n">
        <v>2</v>
      </c>
      <c r="I5" s="18" t="n">
        <v>1</v>
      </c>
      <c r="J5" s="43" t="n"/>
      <c r="K5" s="18" t="n">
        <v>0</v>
      </c>
      <c r="L5" s="18" t="n">
        <v>2</v>
      </c>
      <c r="M5" s="18" t="n">
        <v>1</v>
      </c>
    </row>
    <row r="6" ht="22" customHeight="1">
      <c r="B6" s="14" t="inlineStr">
        <is>
          <t>DIV-A2</t>
        </is>
      </c>
      <c r="C6" s="14" t="inlineStr">
        <is>
          <t>Service Client</t>
        </is>
      </c>
      <c r="D6" s="19" t="n">
        <v>8</v>
      </c>
      <c r="E6" s="19" t="n">
        <v>2</v>
      </c>
      <c r="F6" s="19" t="n">
        <v>6</v>
      </c>
      <c r="G6" s="44" t="n"/>
      <c r="H6" s="19" t="n">
        <v>1</v>
      </c>
      <c r="I6" s="19" t="n">
        <v>2</v>
      </c>
      <c r="J6" s="44" t="n"/>
      <c r="K6" s="19" t="n">
        <v>3</v>
      </c>
      <c r="L6" s="19" t="n">
        <v>4</v>
      </c>
      <c r="M6" s="19" t="n">
        <v>1</v>
      </c>
    </row>
    <row r="7" ht="22" customHeight="1">
      <c r="B7" s="12" t="inlineStr">
        <is>
          <t>DIV-A3</t>
        </is>
      </c>
      <c r="C7" s="12" t="inlineStr">
        <is>
          <t>Réception &amp; Front Office</t>
        </is>
      </c>
      <c r="D7" s="18" t="n">
        <v>22</v>
      </c>
      <c r="E7" s="18" t="n">
        <v>8</v>
      </c>
      <c r="F7" s="18" t="n">
        <v>14</v>
      </c>
      <c r="G7" s="43" t="n"/>
      <c r="H7" s="18" t="n">
        <v>2</v>
      </c>
      <c r="I7" s="18" t="n">
        <v>3</v>
      </c>
      <c r="J7" s="43" t="n"/>
      <c r="K7" s="18" t="n">
        <v>12</v>
      </c>
      <c r="L7" s="18" t="n">
        <v>8</v>
      </c>
      <c r="M7" s="18" t="n">
        <v>2</v>
      </c>
    </row>
    <row r="8" ht="22" customHeight="1">
      <c r="B8" s="14" t="inlineStr">
        <is>
          <t>DIV-A4</t>
        </is>
      </c>
      <c r="C8" s="14" t="inlineStr">
        <is>
          <t>Cuisine &amp; Restauration</t>
        </is>
      </c>
      <c r="D8" s="19" t="n">
        <v>45</v>
      </c>
      <c r="E8" s="19" t="n">
        <v>30</v>
      </c>
      <c r="F8" s="19" t="n">
        <v>15</v>
      </c>
      <c r="G8" s="44" t="n"/>
      <c r="H8" s="19" t="n">
        <v>3</v>
      </c>
      <c r="I8" s="19" t="n">
        <v>1</v>
      </c>
      <c r="J8" s="44" t="n"/>
      <c r="K8" s="19" t="n">
        <v>15</v>
      </c>
      <c r="L8" s="19" t="n">
        <v>22</v>
      </c>
      <c r="M8" s="19" t="n">
        <v>8</v>
      </c>
    </row>
    <row r="9" ht="22" customHeight="1">
      <c r="B9" s="12" t="inlineStr">
        <is>
          <t>DIV-A5</t>
        </is>
      </c>
      <c r="C9" s="12" t="inlineStr">
        <is>
          <t>Maintenance</t>
        </is>
      </c>
      <c r="D9" s="18" t="n">
        <v>18</v>
      </c>
      <c r="E9" s="18" t="n">
        <v>16</v>
      </c>
      <c r="F9" s="18" t="n">
        <v>2</v>
      </c>
      <c r="G9" s="43" t="n"/>
      <c r="H9" s="18" t="n">
        <v>2</v>
      </c>
      <c r="I9" s="18" t="n">
        <v>0</v>
      </c>
      <c r="J9" s="43" t="n"/>
      <c r="K9" s="18" t="n">
        <v>5</v>
      </c>
      <c r="L9" s="18" t="n">
        <v>10</v>
      </c>
      <c r="M9" s="18" t="n">
        <v>3</v>
      </c>
    </row>
    <row r="10" ht="22" customHeight="1">
      <c r="B10" s="14" t="inlineStr">
        <is>
          <t>DIV-A6</t>
        </is>
      </c>
      <c r="C10" s="14" t="inlineStr">
        <is>
          <t>TOTAL HOTEL</t>
        </is>
      </c>
      <c r="D10" s="19" t="n">
        <v>160</v>
      </c>
      <c r="E10" s="19" t="n">
        <v>85</v>
      </c>
      <c r="F10" s="19" t="n">
        <v>75</v>
      </c>
      <c r="G10" s="44" t="n"/>
      <c r="H10" s="19" t="n">
        <v>14</v>
      </c>
      <c r="I10" s="19" t="n">
        <v>9</v>
      </c>
      <c r="J10" s="44" t="n"/>
      <c r="K10" s="19" t="n">
        <v>50</v>
      </c>
      <c r="L10" s="19" t="n">
        <v>78</v>
      </c>
      <c r="M10" s="19" t="n">
        <v>32</v>
      </c>
    </row>
    <row r="11" ht="22" customHeight="1">
      <c r="B11" s="17">
        <f>IF(C11="","DIV-"&amp;TEXT(COUNTA($C$5:C11),"000"))</f>
        <v/>
      </c>
      <c r="C11" s="12" t="n"/>
      <c r="D11" s="18" t="n"/>
      <c r="E11" s="18" t="n"/>
      <c r="F11" s="18" t="n"/>
      <c r="G11" s="43">
        <f>IF(D11="","",E11/D11)</f>
        <v/>
      </c>
      <c r="H11" s="18" t="n"/>
      <c r="I11" s="18" t="n"/>
      <c r="J11" s="43">
        <f>IF(OR(H11="",I11=""),"",I11/(H11+I11))</f>
        <v/>
      </c>
      <c r="K11" s="18" t="n"/>
      <c r="L11" s="18" t="n"/>
      <c r="M11" s="18" t="n"/>
    </row>
    <row r="12" ht="22" customHeight="1">
      <c r="B12" s="16">
        <f>IF(C12="","DIV-"&amp;TEXT(COUNTA($C$5:C12),"000"))</f>
        <v/>
      </c>
      <c r="C12" s="14" t="n"/>
      <c r="D12" s="19" t="n"/>
      <c r="E12" s="19" t="n"/>
      <c r="F12" s="19" t="n"/>
      <c r="G12" s="44">
        <f>IF(D12="","",E12/D12)</f>
        <v/>
      </c>
      <c r="H12" s="19" t="n"/>
      <c r="I12" s="19" t="n"/>
      <c r="J12" s="44">
        <f>IF(OR(H12="",I12=""),"",I12/(H12+I12))</f>
        <v/>
      </c>
      <c r="K12" s="19" t="n"/>
      <c r="L12" s="19" t="n"/>
      <c r="M12" s="19" t="n"/>
    </row>
    <row r="13" ht="22" customHeight="1">
      <c r="B13" s="17">
        <f>IF(C13="","DIV-"&amp;TEXT(COUNTA($C$5:C13),"000"))</f>
        <v/>
      </c>
      <c r="C13" s="12" t="n"/>
      <c r="D13" s="18" t="n"/>
      <c r="E13" s="18" t="n"/>
      <c r="F13" s="18" t="n"/>
      <c r="G13" s="43">
        <f>IF(D13="","",E13/D13)</f>
        <v/>
      </c>
      <c r="H13" s="18" t="n"/>
      <c r="I13" s="18" t="n"/>
      <c r="J13" s="43">
        <f>IF(OR(H13="",I13=""),"",I13/(H13+I13))</f>
        <v/>
      </c>
      <c r="K13" s="18" t="n"/>
      <c r="L13" s="18" t="n"/>
      <c r="M13" s="18" t="n"/>
    </row>
    <row r="14" ht="22" customHeight="1">
      <c r="B14" s="16">
        <f>IF(C14="","DIV-"&amp;TEXT(COUNTA($C$5:C14),"000"))</f>
        <v/>
      </c>
      <c r="C14" s="14" t="n"/>
      <c r="D14" s="19" t="n"/>
      <c r="E14" s="19" t="n"/>
      <c r="F14" s="19" t="n"/>
      <c r="G14" s="44">
        <f>IF(D14="","",E14/D14)</f>
        <v/>
      </c>
      <c r="H14" s="19" t="n"/>
      <c r="I14" s="19" t="n"/>
      <c r="J14" s="44">
        <f>IF(OR(H14="",I14=""),"",I14/(H14+I14))</f>
        <v/>
      </c>
      <c r="K14" s="19" t="n"/>
      <c r="L14" s="19" t="n"/>
      <c r="M14" s="19" t="n"/>
    </row>
    <row r="15" ht="22" customHeight="1">
      <c r="B15" s="17">
        <f>IF(C15="","DIV-"&amp;TEXT(COUNTA($C$5:C15),"000"))</f>
        <v/>
      </c>
      <c r="C15" s="12" t="n"/>
      <c r="D15" s="18" t="n"/>
      <c r="E15" s="18" t="n"/>
      <c r="F15" s="18" t="n"/>
      <c r="G15" s="43">
        <f>IF(D15="","",E15/D15)</f>
        <v/>
      </c>
      <c r="H15" s="18" t="n"/>
      <c r="I15" s="18" t="n"/>
      <c r="J15" s="43">
        <f>IF(OR(H15="",I15=""),"",I15/(H15+I15))</f>
        <v/>
      </c>
      <c r="K15" s="18" t="n"/>
      <c r="L15" s="18" t="n"/>
      <c r="M15" s="18" t="n"/>
    </row>
    <row r="16" ht="22" customHeight="1">
      <c r="B16" s="16">
        <f>IF(C16="","DIV-"&amp;TEXT(COUNTA($C$5:C16),"000"))</f>
        <v/>
      </c>
      <c r="C16" s="14" t="n"/>
      <c r="D16" s="19" t="n"/>
      <c r="E16" s="19" t="n"/>
      <c r="F16" s="19" t="n"/>
      <c r="G16" s="44">
        <f>IF(D16="","",E16/D16)</f>
        <v/>
      </c>
      <c r="H16" s="19" t="n"/>
      <c r="I16" s="19" t="n"/>
      <c r="J16" s="44">
        <f>IF(OR(H16="",I16=""),"",I16/(H16+I16))</f>
        <v/>
      </c>
      <c r="K16" s="19" t="n"/>
      <c r="L16" s="19" t="n"/>
      <c r="M16" s="19" t="n"/>
    </row>
    <row r="17" ht="22" customHeight="1">
      <c r="B17" s="17">
        <f>IF(C17="","DIV-"&amp;TEXT(COUNTA($C$5:C17),"000"))</f>
        <v/>
      </c>
      <c r="C17" s="12" t="n"/>
      <c r="D17" s="18" t="n"/>
      <c r="E17" s="18" t="n"/>
      <c r="F17" s="18" t="n"/>
      <c r="G17" s="43">
        <f>IF(D17="","",E17/D17)</f>
        <v/>
      </c>
      <c r="H17" s="18" t="n"/>
      <c r="I17" s="18" t="n"/>
      <c r="J17" s="43">
        <f>IF(OR(H17="",I17=""),"",I17/(H17+I17))</f>
        <v/>
      </c>
      <c r="K17" s="18" t="n"/>
      <c r="L17" s="18" t="n"/>
      <c r="M17" s="18" t="n"/>
    </row>
    <row r="18" ht="22" customHeight="1">
      <c r="B18" s="16">
        <f>IF(C18="","DIV-"&amp;TEXT(COUNTA($C$5:C18),"000"))</f>
        <v/>
      </c>
      <c r="C18" s="14" t="n"/>
      <c r="D18" s="19" t="n"/>
      <c r="E18" s="19" t="n"/>
      <c r="F18" s="19" t="n"/>
      <c r="G18" s="44">
        <f>IF(D18="","",E18/D18)</f>
        <v/>
      </c>
      <c r="H18" s="19" t="n"/>
      <c r="I18" s="19" t="n"/>
      <c r="J18" s="44">
        <f>IF(OR(H18="",I18=""),"",I18/(H18+I18))</f>
        <v/>
      </c>
      <c r="K18" s="19" t="n"/>
      <c r="L18" s="19" t="n"/>
      <c r="M18" s="19" t="n"/>
    </row>
    <row r="19" ht="22" customHeight="1">
      <c r="B19" s="17">
        <f>IF(C19="","DIV-"&amp;TEXT(COUNTA($C$5:C19),"000"))</f>
        <v/>
      </c>
      <c r="C19" s="12" t="n"/>
      <c r="D19" s="18" t="n"/>
      <c r="E19" s="18" t="n"/>
      <c r="F19" s="18" t="n"/>
      <c r="G19" s="43">
        <f>IF(D19="","",E19/D19)</f>
        <v/>
      </c>
      <c r="H19" s="18" t="n"/>
      <c r="I19" s="18" t="n"/>
      <c r="J19" s="43">
        <f>IF(OR(H19="",I19=""),"",I19/(H19+I19))</f>
        <v/>
      </c>
      <c r="K19" s="18" t="n"/>
      <c r="L19" s="18" t="n"/>
      <c r="M19" s="18" t="n"/>
    </row>
    <row r="20" ht="22" customHeight="1">
      <c r="B20" s="16">
        <f>IF(C20="","DIV-"&amp;TEXT(COUNTA($C$5:C20),"000"))</f>
        <v/>
      </c>
      <c r="C20" s="14" t="n"/>
      <c r="D20" s="19" t="n"/>
      <c r="E20" s="19" t="n"/>
      <c r="F20" s="19" t="n"/>
      <c r="G20" s="44">
        <f>IF(D20="","",E20/D20)</f>
        <v/>
      </c>
      <c r="H20" s="19" t="n"/>
      <c r="I20" s="19" t="n"/>
      <c r="J20" s="44">
        <f>IF(OR(H20="",I20=""),"",I20/(H20+I20))</f>
        <v/>
      </c>
      <c r="K20" s="19" t="n"/>
      <c r="L20" s="19" t="n"/>
      <c r="M20" s="19" t="n"/>
    </row>
    <row r="21" ht="22" customHeight="1">
      <c r="B21" s="17">
        <f>IF(C21="","DIV-"&amp;TEXT(COUNTA($C$5:C21),"000"))</f>
        <v/>
      </c>
      <c r="C21" s="12" t="n"/>
      <c r="D21" s="18" t="n"/>
      <c r="E21" s="18" t="n"/>
      <c r="F21" s="18" t="n"/>
      <c r="G21" s="43">
        <f>IF(D21="","",E21/D21)</f>
        <v/>
      </c>
      <c r="H21" s="18" t="n"/>
      <c r="I21" s="18" t="n"/>
      <c r="J21" s="43">
        <f>IF(OR(H21="",I21=""),"",I21/(H21+I21))</f>
        <v/>
      </c>
      <c r="K21" s="18" t="n"/>
      <c r="L21" s="18" t="n"/>
      <c r="M21" s="18" t="n"/>
    </row>
    <row r="22" ht="22" customHeight="1">
      <c r="B22" s="16">
        <f>IF(C22="","DIV-"&amp;TEXT(COUNTA($C$5:C22),"000"))</f>
        <v/>
      </c>
      <c r="C22" s="14" t="n"/>
      <c r="D22" s="19" t="n"/>
      <c r="E22" s="19" t="n"/>
      <c r="F22" s="19" t="n"/>
      <c r="G22" s="44">
        <f>IF(D22="","",E22/D22)</f>
        <v/>
      </c>
      <c r="H22" s="19" t="n"/>
      <c r="I22" s="19" t="n"/>
      <c r="J22" s="44">
        <f>IF(OR(H22="",I22=""),"",I22/(H22+I22))</f>
        <v/>
      </c>
      <c r="K22" s="19" t="n"/>
      <c r="L22" s="19" t="n"/>
      <c r="M22" s="19" t="n"/>
    </row>
    <row r="23" ht="22" customHeight="1">
      <c r="B23" s="17">
        <f>IF(C23="","DIV-"&amp;TEXT(COUNTA($C$5:C23),"000"))</f>
        <v/>
      </c>
      <c r="C23" s="12" t="n"/>
      <c r="D23" s="18" t="n"/>
      <c r="E23" s="18" t="n"/>
      <c r="F23" s="18" t="n"/>
      <c r="G23" s="43">
        <f>IF(D23="","",E23/D23)</f>
        <v/>
      </c>
      <c r="H23" s="18" t="n"/>
      <c r="I23" s="18" t="n"/>
      <c r="J23" s="43">
        <f>IF(OR(H23="",I23=""),"",I23/(H23+I23))</f>
        <v/>
      </c>
      <c r="K23" s="18" t="n"/>
      <c r="L23" s="18" t="n"/>
      <c r="M23" s="18" t="n"/>
    </row>
    <row r="24" ht="22" customHeight="1">
      <c r="B24" s="16">
        <f>IF(C24="","DIV-"&amp;TEXT(COUNTA($C$5:C24),"000"))</f>
        <v/>
      </c>
      <c r="C24" s="14" t="n"/>
      <c r="D24" s="19" t="n"/>
      <c r="E24" s="19" t="n"/>
      <c r="F24" s="19" t="n"/>
      <c r="G24" s="44">
        <f>IF(D24="","",E24/D24)</f>
        <v/>
      </c>
      <c r="H24" s="19" t="n"/>
      <c r="I24" s="19" t="n"/>
      <c r="J24" s="44">
        <f>IF(OR(H24="",I24=""),"",I24/(H24+I24))</f>
        <v/>
      </c>
      <c r="K24" s="19" t="n"/>
      <c r="L24" s="19" t="n"/>
      <c r="M24" s="19" t="n"/>
    </row>
    <row r="25" ht="22" customHeight="1">
      <c r="B25" s="17">
        <f>IF(C25="","DIV-"&amp;TEXT(COUNTA($C$5:C25),"000"))</f>
        <v/>
      </c>
      <c r="C25" s="12" t="n"/>
      <c r="D25" s="18" t="n"/>
      <c r="E25" s="18" t="n"/>
      <c r="F25" s="18" t="n"/>
      <c r="G25" s="43">
        <f>IF(D25="","",E25/D25)</f>
        <v/>
      </c>
      <c r="H25" s="18" t="n"/>
      <c r="I25" s="18" t="n"/>
      <c r="J25" s="43">
        <f>IF(OR(H25="",I25=""),"",I25/(H25+I25))</f>
        <v/>
      </c>
      <c r="K25" s="18" t="n"/>
      <c r="L25" s="18" t="n"/>
      <c r="M25" s="18" t="n"/>
    </row>
    <row r="26" ht="22" customHeight="1">
      <c r="B26" s="16">
        <f>IF(C26="","DIV-"&amp;TEXT(COUNTA($C$5:C26),"000"))</f>
        <v/>
      </c>
      <c r="C26" s="14" t="n"/>
      <c r="D26" s="19" t="n"/>
      <c r="E26" s="19" t="n"/>
      <c r="F26" s="19" t="n"/>
      <c r="G26" s="44">
        <f>IF(D26="","",E26/D26)</f>
        <v/>
      </c>
      <c r="H26" s="19" t="n"/>
      <c r="I26" s="19" t="n"/>
      <c r="J26" s="44">
        <f>IF(OR(H26="",I26=""),"",I26/(H26+I26))</f>
        <v/>
      </c>
      <c r="K26" s="19" t="n"/>
      <c r="L26" s="19" t="n"/>
      <c r="M26" s="19" t="n"/>
    </row>
    <row r="27" ht="22" customHeight="1">
      <c r="B27" s="17">
        <f>IF(C27="","DIV-"&amp;TEXT(COUNTA($C$5:C27),"000"))</f>
        <v/>
      </c>
      <c r="C27" s="12" t="n"/>
      <c r="D27" s="18" t="n"/>
      <c r="E27" s="18" t="n"/>
      <c r="F27" s="18" t="n"/>
      <c r="G27" s="43">
        <f>IF(D27="","",E27/D27)</f>
        <v/>
      </c>
      <c r="H27" s="18" t="n"/>
      <c r="I27" s="18" t="n"/>
      <c r="J27" s="43">
        <f>IF(OR(H27="",I27=""),"",I27/(H27+I27))</f>
        <v/>
      </c>
      <c r="K27" s="18" t="n"/>
      <c r="L27" s="18" t="n"/>
      <c r="M27" s="18" t="n"/>
    </row>
    <row r="28" ht="22" customHeight="1">
      <c r="B28" s="16">
        <f>IF(C28="","DIV-"&amp;TEXT(COUNTA($C$5:C28),"000"))</f>
        <v/>
      </c>
      <c r="C28" s="14" t="n"/>
      <c r="D28" s="19" t="n"/>
      <c r="E28" s="19" t="n"/>
      <c r="F28" s="19" t="n"/>
      <c r="G28" s="44">
        <f>IF(D28="","",E28/D28)</f>
        <v/>
      </c>
      <c r="H28" s="19" t="n"/>
      <c r="I28" s="19" t="n"/>
      <c r="J28" s="44">
        <f>IF(OR(H28="",I28=""),"",I28/(H28+I28))</f>
        <v/>
      </c>
      <c r="K28" s="19" t="n"/>
      <c r="L28" s="19" t="n"/>
      <c r="M28" s="19" t="n"/>
    </row>
    <row r="29" ht="22" customHeight="1">
      <c r="B29" s="17">
        <f>IF(C29="","DIV-"&amp;TEXT(COUNTA($C$5:C29),"000"))</f>
        <v/>
      </c>
      <c r="C29" s="12" t="n"/>
      <c r="D29" s="18" t="n"/>
      <c r="E29" s="18" t="n"/>
      <c r="F29" s="18" t="n"/>
      <c r="G29" s="43">
        <f>IF(D29="","",E29/D29)</f>
        <v/>
      </c>
      <c r="H29" s="18" t="n"/>
      <c r="I29" s="18" t="n"/>
      <c r="J29" s="43">
        <f>IF(OR(H29="",I29=""),"",I29/(H29+I29))</f>
        <v/>
      </c>
      <c r="K29" s="18" t="n"/>
      <c r="L29" s="18" t="n"/>
      <c r="M29" s="18" t="n"/>
    </row>
    <row r="30" ht="22" customHeight="1">
      <c r="B30" s="16">
        <f>IF(C30="","DIV-"&amp;TEXT(COUNTA($C$5:C30),"000"))</f>
        <v/>
      </c>
      <c r="C30" s="14" t="n"/>
      <c r="D30" s="19" t="n"/>
      <c r="E30" s="19" t="n"/>
      <c r="F30" s="19" t="n"/>
      <c r="G30" s="44">
        <f>IF(D30="","",E30/D30)</f>
        <v/>
      </c>
      <c r="H30" s="19" t="n"/>
      <c r="I30" s="19" t="n"/>
      <c r="J30" s="44">
        <f>IF(OR(H30="",I30=""),"",I30/(H30+I30))</f>
        <v/>
      </c>
      <c r="K30" s="19" t="n"/>
      <c r="L30" s="19" t="n"/>
      <c r="M30" s="19" t="n"/>
    </row>
    <row r="31" ht="22" customHeight="1">
      <c r="B31" s="17">
        <f>IF(C31="","DIV-"&amp;TEXT(COUNTA($C$5:C31),"000"))</f>
        <v/>
      </c>
      <c r="C31" s="12" t="n"/>
      <c r="D31" s="18" t="n"/>
      <c r="E31" s="18" t="n"/>
      <c r="F31" s="18" t="n"/>
      <c r="G31" s="43">
        <f>IF(D31="","",E31/D31)</f>
        <v/>
      </c>
      <c r="H31" s="18" t="n"/>
      <c r="I31" s="18" t="n"/>
      <c r="J31" s="43">
        <f>IF(OR(H31="",I31=""),"",I31/(H31+I31))</f>
        <v/>
      </c>
      <c r="K31" s="18" t="n"/>
      <c r="L31" s="18" t="n"/>
      <c r="M31" s="18" t="n"/>
    </row>
    <row r="32" ht="22" customHeight="1">
      <c r="B32" s="16">
        <f>IF(C32="","DIV-"&amp;TEXT(COUNTA($C$5:C32),"000"))</f>
        <v/>
      </c>
      <c r="C32" s="14" t="n"/>
      <c r="D32" s="19" t="n"/>
      <c r="E32" s="19" t="n"/>
      <c r="F32" s="19" t="n"/>
      <c r="G32" s="44">
        <f>IF(D32="","",E32/D32)</f>
        <v/>
      </c>
      <c r="H32" s="19" t="n"/>
      <c r="I32" s="19" t="n"/>
      <c r="J32" s="44">
        <f>IF(OR(H32="",I32=""),"",I32/(H32+I32))</f>
        <v/>
      </c>
      <c r="K32" s="19" t="n"/>
      <c r="L32" s="19" t="n"/>
      <c r="M32" s="19" t="n"/>
    </row>
    <row r="33" ht="22" customHeight="1">
      <c r="B33" s="17">
        <f>IF(C33="","DIV-"&amp;TEXT(COUNTA($C$5:C33),"000"))</f>
        <v/>
      </c>
      <c r="C33" s="12" t="n"/>
      <c r="D33" s="18" t="n"/>
      <c r="E33" s="18" t="n"/>
      <c r="F33" s="18" t="n"/>
      <c r="G33" s="43">
        <f>IF(D33="","",E33/D33)</f>
        <v/>
      </c>
      <c r="H33" s="18" t="n"/>
      <c r="I33" s="18" t="n"/>
      <c r="J33" s="43">
        <f>IF(OR(H33="",I33=""),"",I33/(H33+I33))</f>
        <v/>
      </c>
      <c r="K33" s="18" t="n"/>
      <c r="L33" s="18" t="n"/>
      <c r="M33" s="18" t="n"/>
    </row>
    <row r="34" ht="22" customHeight="1">
      <c r="B34" s="16">
        <f>IF(C34="","DIV-"&amp;TEXT(COUNTA($C$5:C34),"000"))</f>
        <v/>
      </c>
      <c r="C34" s="14" t="n"/>
      <c r="D34" s="19" t="n"/>
      <c r="E34" s="19" t="n"/>
      <c r="F34" s="19" t="n"/>
      <c r="G34" s="44">
        <f>IF(D34="","",E34/D34)</f>
        <v/>
      </c>
      <c r="H34" s="19" t="n"/>
      <c r="I34" s="19" t="n"/>
      <c r="J34" s="44">
        <f>IF(OR(H34="",I34=""),"",I34/(H34+I34))</f>
        <v/>
      </c>
      <c r="K34" s="19" t="n"/>
      <c r="L34" s="19" t="n"/>
      <c r="M34" s="19" t="n"/>
    </row>
    <row r="35" ht="22" customHeight="1">
      <c r="B35" s="17">
        <f>IF(C35="","DIV-"&amp;TEXT(COUNTA($C$5:C35),"000"))</f>
        <v/>
      </c>
      <c r="C35" s="12" t="n"/>
      <c r="D35" s="18" t="n"/>
      <c r="E35" s="18" t="n"/>
      <c r="F35" s="18" t="n"/>
      <c r="G35" s="43">
        <f>IF(D35="","",E35/D35)</f>
        <v/>
      </c>
      <c r="H35" s="18" t="n"/>
      <c r="I35" s="18" t="n"/>
      <c r="J35" s="43">
        <f>IF(OR(H35="",I35=""),"",I35/(H35+I35))</f>
        <v/>
      </c>
      <c r="K35" s="18" t="n"/>
      <c r="L35" s="18" t="n"/>
      <c r="M35" s="18" t="n"/>
    </row>
    <row r="36" ht="22" customHeight="1">
      <c r="B36" s="16">
        <f>IF(C36="","DIV-"&amp;TEXT(COUNTA($C$5:C36),"000"))</f>
        <v/>
      </c>
      <c r="C36" s="14" t="n"/>
      <c r="D36" s="19" t="n"/>
      <c r="E36" s="19" t="n"/>
      <c r="F36" s="19" t="n"/>
      <c r="G36" s="44">
        <f>IF(D36="","",E36/D36)</f>
        <v/>
      </c>
      <c r="H36" s="19" t="n"/>
      <c r="I36" s="19" t="n"/>
      <c r="J36" s="44">
        <f>IF(OR(H36="",I36=""),"",I36/(H36+I36))</f>
        <v/>
      </c>
      <c r="K36" s="19" t="n"/>
      <c r="L36" s="19" t="n"/>
      <c r="M36" s="19" t="n"/>
    </row>
    <row r="37" ht="22" customHeight="1">
      <c r="B37" s="17">
        <f>IF(C37="","DIV-"&amp;TEXT(COUNTA($C$5:C37),"000"))</f>
        <v/>
      </c>
      <c r="C37" s="12" t="n"/>
      <c r="D37" s="18" t="n"/>
      <c r="E37" s="18" t="n"/>
      <c r="F37" s="18" t="n"/>
      <c r="G37" s="43">
        <f>IF(D37="","",E37/D37)</f>
        <v/>
      </c>
      <c r="H37" s="18" t="n"/>
      <c r="I37" s="18" t="n"/>
      <c r="J37" s="43">
        <f>IF(OR(H37="",I37=""),"",I37/(H37+I37))</f>
        <v/>
      </c>
      <c r="K37" s="18" t="n"/>
      <c r="L37" s="18" t="n"/>
      <c r="M37" s="18" t="n"/>
    </row>
    <row r="38" ht="22" customHeight="1">
      <c r="B38" s="16">
        <f>IF(C38="","DIV-"&amp;TEXT(COUNTA($C$5:C38),"000"))</f>
        <v/>
      </c>
      <c r="C38" s="14" t="n"/>
      <c r="D38" s="19" t="n"/>
      <c r="E38" s="19" t="n"/>
      <c r="F38" s="19" t="n"/>
      <c r="G38" s="44">
        <f>IF(D38="","",E38/D38)</f>
        <v/>
      </c>
      <c r="H38" s="19" t="n"/>
      <c r="I38" s="19" t="n"/>
      <c r="J38" s="44">
        <f>IF(OR(H38="",I38=""),"",I38/(H38+I38))</f>
        <v/>
      </c>
      <c r="K38" s="19" t="n"/>
      <c r="L38" s="19" t="n"/>
      <c r="M38" s="19" t="n"/>
    </row>
    <row r="39" ht="22" customHeight="1">
      <c r="B39" s="17">
        <f>IF(C39="","DIV-"&amp;TEXT(COUNTA($C$5:C39),"000"))</f>
        <v/>
      </c>
      <c r="C39" s="12" t="n"/>
      <c r="D39" s="18" t="n"/>
      <c r="E39" s="18" t="n"/>
      <c r="F39" s="18" t="n"/>
      <c r="G39" s="43">
        <f>IF(D39="","",E39/D39)</f>
        <v/>
      </c>
      <c r="H39" s="18" t="n"/>
      <c r="I39" s="18" t="n"/>
      <c r="J39" s="43">
        <f>IF(OR(H39="",I39=""),"",I39/(H39+I39))</f>
        <v/>
      </c>
      <c r="K39" s="18" t="n"/>
      <c r="L39" s="18" t="n"/>
      <c r="M39" s="18" t="n"/>
    </row>
    <row r="40" ht="22" customHeight="1">
      <c r="B40" s="16">
        <f>IF(C40="","DIV-"&amp;TEXT(COUNTA($C$5:C40),"000"))</f>
        <v/>
      </c>
      <c r="C40" s="14" t="n"/>
      <c r="D40" s="19" t="n"/>
      <c r="E40" s="19" t="n"/>
      <c r="F40" s="19" t="n"/>
      <c r="G40" s="44">
        <f>IF(D40="","",E40/D40)</f>
        <v/>
      </c>
      <c r="H40" s="19" t="n"/>
      <c r="I40" s="19" t="n"/>
      <c r="J40" s="44">
        <f>IF(OR(H40="",I40=""),"",I40/(H40+I40))</f>
        <v/>
      </c>
      <c r="K40" s="19" t="n"/>
      <c r="L40" s="19" t="n"/>
      <c r="M40" s="19" t="n"/>
    </row>
    <row r="41" ht="22" customHeight="1">
      <c r="B41" s="17">
        <f>IF(C41="","DIV-"&amp;TEXT(COUNTA($C$5:C41),"000"))</f>
        <v/>
      </c>
      <c r="C41" s="12" t="n"/>
      <c r="D41" s="18" t="n"/>
      <c r="E41" s="18" t="n"/>
      <c r="F41" s="18" t="n"/>
      <c r="G41" s="43">
        <f>IF(D41="","",E41/D41)</f>
        <v/>
      </c>
      <c r="H41" s="18" t="n"/>
      <c r="I41" s="18" t="n"/>
      <c r="J41" s="43">
        <f>IF(OR(H41="",I41=""),"",I41/(H41+I41))</f>
        <v/>
      </c>
      <c r="K41" s="18" t="n"/>
      <c r="L41" s="18" t="n"/>
      <c r="M41" s="18" t="n"/>
    </row>
    <row r="42" ht="22" customHeight="1">
      <c r="B42" s="16">
        <f>IF(C42="","DIV-"&amp;TEXT(COUNTA($C$5:C42),"000"))</f>
        <v/>
      </c>
      <c r="C42" s="14" t="n"/>
      <c r="D42" s="19" t="n"/>
      <c r="E42" s="19" t="n"/>
      <c r="F42" s="19" t="n"/>
      <c r="G42" s="44">
        <f>IF(D42="","",E42/D42)</f>
        <v/>
      </c>
      <c r="H42" s="19" t="n"/>
      <c r="I42" s="19" t="n"/>
      <c r="J42" s="44">
        <f>IF(OR(H42="",I42=""),"",I42/(H42+I42))</f>
        <v/>
      </c>
      <c r="K42" s="19" t="n"/>
      <c r="L42" s="19" t="n"/>
      <c r="M42" s="19" t="n"/>
    </row>
    <row r="43" ht="22" customHeight="1">
      <c r="B43" s="17">
        <f>IF(C43="","DIV-"&amp;TEXT(COUNTA($C$5:C43),"000"))</f>
        <v/>
      </c>
      <c r="C43" s="12" t="n"/>
      <c r="D43" s="18" t="n"/>
      <c r="E43" s="18" t="n"/>
      <c r="F43" s="18" t="n"/>
      <c r="G43" s="43">
        <f>IF(D43="","",E43/D43)</f>
        <v/>
      </c>
      <c r="H43" s="18" t="n"/>
      <c r="I43" s="18" t="n"/>
      <c r="J43" s="43">
        <f>IF(OR(H43="",I43=""),"",I43/(H43+I43))</f>
        <v/>
      </c>
      <c r="K43" s="18" t="n"/>
      <c r="L43" s="18" t="n"/>
      <c r="M43" s="18" t="n"/>
    </row>
    <row r="44" ht="22" customHeight="1">
      <c r="B44" s="16">
        <f>IF(C44="","DIV-"&amp;TEXT(COUNTA($C$5:C44),"000"))</f>
        <v/>
      </c>
      <c r="C44" s="14" t="n"/>
      <c r="D44" s="19" t="n"/>
      <c r="E44" s="19" t="n"/>
      <c r="F44" s="19" t="n"/>
      <c r="G44" s="44">
        <f>IF(D44="","",E44/D44)</f>
        <v/>
      </c>
      <c r="H44" s="19" t="n"/>
      <c r="I44" s="19" t="n"/>
      <c r="J44" s="44">
        <f>IF(OR(H44="",I44=""),"",I44/(H44+I44))</f>
        <v/>
      </c>
      <c r="K44" s="19" t="n"/>
      <c r="L44" s="19" t="n"/>
      <c r="M44" s="19" t="n"/>
    </row>
    <row r="45" ht="22" customHeight="1">
      <c r="B45" s="17">
        <f>IF(C45="","DIV-"&amp;TEXT(COUNTA($C$5:C45),"000"))</f>
        <v/>
      </c>
      <c r="C45" s="12" t="n"/>
      <c r="D45" s="18" t="n"/>
      <c r="E45" s="18" t="n"/>
      <c r="F45" s="18" t="n"/>
      <c r="G45" s="43">
        <f>IF(D45="","",E45/D45)</f>
        <v/>
      </c>
      <c r="H45" s="18" t="n"/>
      <c r="I45" s="18" t="n"/>
      <c r="J45" s="43">
        <f>IF(OR(H45="",I45=""),"",I45/(H45+I45))</f>
        <v/>
      </c>
      <c r="K45" s="18" t="n"/>
      <c r="L45" s="18" t="n"/>
      <c r="M45" s="18" t="n"/>
    </row>
    <row r="46" ht="22" customHeight="1">
      <c r="B46" s="16">
        <f>IF(C46="","DIV-"&amp;TEXT(COUNTA($C$5:C46),"000"))</f>
        <v/>
      </c>
      <c r="C46" s="14" t="n"/>
      <c r="D46" s="19" t="n"/>
      <c r="E46" s="19" t="n"/>
      <c r="F46" s="19" t="n"/>
      <c r="G46" s="44">
        <f>IF(D46="","",E46/D46)</f>
        <v/>
      </c>
      <c r="H46" s="19" t="n"/>
      <c r="I46" s="19" t="n"/>
      <c r="J46" s="44">
        <f>IF(OR(H46="",I46=""),"",I46/(H46+I46))</f>
        <v/>
      </c>
      <c r="K46" s="19" t="n"/>
      <c r="L46" s="19" t="n"/>
      <c r="M46" s="19" t="n"/>
    </row>
    <row r="47" ht="22" customHeight="1">
      <c r="B47" s="17">
        <f>IF(C47="","DIV-"&amp;TEXT(COUNTA($C$5:C47),"000"))</f>
        <v/>
      </c>
      <c r="C47" s="12" t="n"/>
      <c r="D47" s="18" t="n"/>
      <c r="E47" s="18" t="n"/>
      <c r="F47" s="18" t="n"/>
      <c r="G47" s="43">
        <f>IF(D47="","",E47/D47)</f>
        <v/>
      </c>
      <c r="H47" s="18" t="n"/>
      <c r="I47" s="18" t="n"/>
      <c r="J47" s="43">
        <f>IF(OR(H47="",I47=""),"",I47/(H47+I47))</f>
        <v/>
      </c>
      <c r="K47" s="18" t="n"/>
      <c r="L47" s="18" t="n"/>
      <c r="M47" s="18" t="n"/>
    </row>
    <row r="48" ht="22" customHeight="1">
      <c r="B48" s="16">
        <f>IF(C48="","DIV-"&amp;TEXT(COUNTA($C$5:C48),"000"))</f>
        <v/>
      </c>
      <c r="C48" s="14" t="n"/>
      <c r="D48" s="19" t="n"/>
      <c r="E48" s="19" t="n"/>
      <c r="F48" s="19" t="n"/>
      <c r="G48" s="44">
        <f>IF(D48="","",E48/D48)</f>
        <v/>
      </c>
      <c r="H48" s="19" t="n"/>
      <c r="I48" s="19" t="n"/>
      <c r="J48" s="44">
        <f>IF(OR(H48="",I48=""),"",I48/(H48+I48))</f>
        <v/>
      </c>
      <c r="K48" s="19" t="n"/>
      <c r="L48" s="19" t="n"/>
      <c r="M48" s="19" t="n"/>
    </row>
    <row r="49" ht="22" customHeight="1">
      <c r="B49" s="17">
        <f>IF(C49="","DIV-"&amp;TEXT(COUNTA($C$5:C49),"000"))</f>
        <v/>
      </c>
      <c r="C49" s="12" t="n"/>
      <c r="D49" s="18" t="n"/>
      <c r="E49" s="18" t="n"/>
      <c r="F49" s="18" t="n"/>
      <c r="G49" s="43">
        <f>IF(D49="","",E49/D49)</f>
        <v/>
      </c>
      <c r="H49" s="18" t="n"/>
      <c r="I49" s="18" t="n"/>
      <c r="J49" s="43">
        <f>IF(OR(H49="",I49=""),"",I49/(H49+I49))</f>
        <v/>
      </c>
      <c r="K49" s="18" t="n"/>
      <c r="L49" s="18" t="n"/>
      <c r="M49" s="18" t="n"/>
    </row>
    <row r="50" ht="22" customHeight="1">
      <c r="B50" s="16">
        <f>IF(C50="","DIV-"&amp;TEXT(COUNTA($C$5:C50),"000"))</f>
        <v/>
      </c>
      <c r="C50" s="14" t="n"/>
      <c r="D50" s="19" t="n"/>
      <c r="E50" s="19" t="n"/>
      <c r="F50" s="19" t="n"/>
      <c r="G50" s="44">
        <f>IF(D50="","",E50/D50)</f>
        <v/>
      </c>
      <c r="H50" s="19" t="n"/>
      <c r="I50" s="19" t="n"/>
      <c r="J50" s="44">
        <f>IF(OR(H50="",I50=""),"",I50/(H50+I50))</f>
        <v/>
      </c>
      <c r="K50" s="19" t="n"/>
      <c r="L50" s="19" t="n"/>
      <c r="M50" s="19" t="n"/>
    </row>
    <row r="51" ht="22" customHeight="1">
      <c r="B51" s="17">
        <f>IF(C51="","DIV-"&amp;TEXT(COUNTA($C$5:C51),"000"))</f>
        <v/>
      </c>
      <c r="C51" s="12" t="n"/>
      <c r="D51" s="18" t="n"/>
      <c r="E51" s="18" t="n"/>
      <c r="F51" s="18" t="n"/>
      <c r="G51" s="43">
        <f>IF(D51="","",E51/D51)</f>
        <v/>
      </c>
      <c r="H51" s="18" t="n"/>
      <c r="I51" s="18" t="n"/>
      <c r="J51" s="43">
        <f>IF(OR(H51="",I51=""),"",I51/(H51+I51))</f>
        <v/>
      </c>
      <c r="K51" s="18" t="n"/>
      <c r="L51" s="18" t="n"/>
      <c r="M51" s="18" t="n"/>
    </row>
    <row r="52" ht="22" customHeight="1">
      <c r="B52" s="16">
        <f>IF(C52="","DIV-"&amp;TEXT(COUNTA($C$5:C52),"000"))</f>
        <v/>
      </c>
      <c r="C52" s="14" t="n"/>
      <c r="D52" s="19" t="n"/>
      <c r="E52" s="19" t="n"/>
      <c r="F52" s="19" t="n"/>
      <c r="G52" s="44">
        <f>IF(D52="","",E52/D52)</f>
        <v/>
      </c>
      <c r="H52" s="19" t="n"/>
      <c r="I52" s="19" t="n"/>
      <c r="J52" s="44">
        <f>IF(OR(H52="",I52=""),"",I52/(H52+I52))</f>
        <v/>
      </c>
      <c r="K52" s="19" t="n"/>
      <c r="L52" s="19" t="n"/>
      <c r="M52" s="19" t="n"/>
    </row>
    <row r="53" ht="22" customHeight="1">
      <c r="B53" s="17">
        <f>IF(C53="","DIV-"&amp;TEXT(COUNTA($C$5:C53),"000"))</f>
        <v/>
      </c>
      <c r="C53" s="12" t="n"/>
      <c r="D53" s="18" t="n"/>
      <c r="E53" s="18" t="n"/>
      <c r="F53" s="18" t="n"/>
      <c r="G53" s="43">
        <f>IF(D53="","",E53/D53)</f>
        <v/>
      </c>
      <c r="H53" s="18" t="n"/>
      <c r="I53" s="18" t="n"/>
      <c r="J53" s="43">
        <f>IF(OR(H53="",I53=""),"",I53/(H53+I53))</f>
        <v/>
      </c>
      <c r="K53" s="18" t="n"/>
      <c r="L53" s="18" t="n"/>
      <c r="M53" s="18" t="n"/>
    </row>
    <row r="54" ht="22" customHeight="1">
      <c r="B54" s="16">
        <f>IF(C54="","DIV-"&amp;TEXT(COUNTA($C$5:C54),"000"))</f>
        <v/>
      </c>
      <c r="C54" s="14" t="n"/>
      <c r="D54" s="19" t="n"/>
      <c r="E54" s="19" t="n"/>
      <c r="F54" s="19" t="n"/>
      <c r="G54" s="44">
        <f>IF(D54="","",E54/D54)</f>
        <v/>
      </c>
      <c r="H54" s="19" t="n"/>
      <c r="I54" s="19" t="n"/>
      <c r="J54" s="44">
        <f>IF(OR(H54="",I54=""),"",I54/(H54+I54))</f>
        <v/>
      </c>
      <c r="K54" s="19" t="n"/>
      <c r="L54" s="19" t="n"/>
      <c r="M54" s="19" t="n"/>
    </row>
    <row r="55" ht="22" customHeight="1">
      <c r="B55" s="17">
        <f>IF(C55="","DIV-"&amp;TEXT(COUNTA($C$5:C55),"000"))</f>
        <v/>
      </c>
      <c r="C55" s="12" t="n"/>
      <c r="D55" s="18" t="n"/>
      <c r="E55" s="18" t="n"/>
      <c r="F55" s="18" t="n"/>
      <c r="G55" s="43">
        <f>IF(D55="","",E55/D55)</f>
        <v/>
      </c>
      <c r="H55" s="18" t="n"/>
      <c r="I55" s="18" t="n"/>
      <c r="J55" s="43">
        <f>IF(OR(H55="",I55=""),"",I55/(H55+I55))</f>
        <v/>
      </c>
      <c r="K55" s="18" t="n"/>
      <c r="L55" s="18" t="n"/>
      <c r="M55" s="18" t="n"/>
    </row>
    <row r="56" ht="22" customHeight="1">
      <c r="B56" s="16">
        <f>IF(C56="","DIV-"&amp;TEXT(COUNTA($C$5:C56),"000"))</f>
        <v/>
      </c>
      <c r="C56" s="14" t="n"/>
      <c r="D56" s="19" t="n"/>
      <c r="E56" s="19" t="n"/>
      <c r="F56" s="19" t="n"/>
      <c r="G56" s="44">
        <f>IF(D56="","",E56/D56)</f>
        <v/>
      </c>
      <c r="H56" s="19" t="n"/>
      <c r="I56" s="19" t="n"/>
      <c r="J56" s="44">
        <f>IF(OR(H56="",I56=""),"",I56/(H56+I56))</f>
        <v/>
      </c>
      <c r="K56" s="19" t="n"/>
      <c r="L56" s="19" t="n"/>
      <c r="M56" s="19" t="n"/>
    </row>
    <row r="57" ht="22" customHeight="1">
      <c r="B57" s="17">
        <f>IF(C57="","DIV-"&amp;TEXT(COUNTA($C$5:C57),"000"))</f>
        <v/>
      </c>
      <c r="C57" s="12" t="n"/>
      <c r="D57" s="18" t="n"/>
      <c r="E57" s="18" t="n"/>
      <c r="F57" s="18" t="n"/>
      <c r="G57" s="43">
        <f>IF(D57="","",E57/D57)</f>
        <v/>
      </c>
      <c r="H57" s="18" t="n"/>
      <c r="I57" s="18" t="n"/>
      <c r="J57" s="43">
        <f>IF(OR(H57="",I57=""),"",I57/(H57+I57))</f>
        <v/>
      </c>
      <c r="K57" s="18" t="n"/>
      <c r="L57" s="18" t="n"/>
      <c r="M57" s="18" t="n"/>
    </row>
    <row r="58" ht="22" customHeight="1">
      <c r="B58" s="16">
        <f>IF(C58="","DIV-"&amp;TEXT(COUNTA($C$5:C58),"000"))</f>
        <v/>
      </c>
      <c r="C58" s="14" t="n"/>
      <c r="D58" s="19" t="n"/>
      <c r="E58" s="19" t="n"/>
      <c r="F58" s="19" t="n"/>
      <c r="G58" s="44">
        <f>IF(D58="","",E58/D58)</f>
        <v/>
      </c>
      <c r="H58" s="19" t="n"/>
      <c r="I58" s="19" t="n"/>
      <c r="J58" s="44">
        <f>IF(OR(H58="",I58=""),"",I58/(H58+I58))</f>
        <v/>
      </c>
      <c r="K58" s="19" t="n"/>
      <c r="L58" s="19" t="n"/>
      <c r="M58" s="19" t="n"/>
    </row>
    <row r="59" ht="22" customHeight="1">
      <c r="B59" s="17">
        <f>IF(C59="","DIV-"&amp;TEXT(COUNTA($C$5:C59),"000"))</f>
        <v/>
      </c>
      <c r="C59" s="12" t="n"/>
      <c r="D59" s="18" t="n"/>
      <c r="E59" s="18" t="n"/>
      <c r="F59" s="18" t="n"/>
      <c r="G59" s="43">
        <f>IF(D59="","",E59/D59)</f>
        <v/>
      </c>
      <c r="H59" s="18" t="n"/>
      <c r="I59" s="18" t="n"/>
      <c r="J59" s="43">
        <f>IF(OR(H59="",I59=""),"",I59/(H59+I59))</f>
        <v/>
      </c>
      <c r="K59" s="18" t="n"/>
      <c r="L59" s="18" t="n"/>
      <c r="M59" s="18" t="n"/>
    </row>
    <row r="60" ht="22" customHeight="1">
      <c r="B60" s="16">
        <f>IF(C60="","DIV-"&amp;TEXT(COUNTA($C$5:C60),"000"))</f>
        <v/>
      </c>
      <c r="C60" s="14" t="n"/>
      <c r="D60" s="19" t="n"/>
      <c r="E60" s="19" t="n"/>
      <c r="F60" s="19" t="n"/>
      <c r="G60" s="44">
        <f>IF(D60="","",E60/D60)</f>
        <v/>
      </c>
      <c r="H60" s="19" t="n"/>
      <c r="I60" s="19" t="n"/>
      <c r="J60" s="44">
        <f>IF(OR(H60="",I60=""),"",I60/(H60+I60))</f>
        <v/>
      </c>
      <c r="K60" s="19" t="n"/>
      <c r="L60" s="19" t="n"/>
      <c r="M60" s="19" t="n"/>
    </row>
    <row r="61" ht="22" customHeight="1">
      <c r="B61" s="17">
        <f>IF(C61="","DIV-"&amp;TEXT(COUNTA($C$5:C61),"000"))</f>
        <v/>
      </c>
      <c r="C61" s="12" t="n"/>
      <c r="D61" s="18" t="n"/>
      <c r="E61" s="18" t="n"/>
      <c r="F61" s="18" t="n"/>
      <c r="G61" s="43">
        <f>IF(D61="","",E61/D61)</f>
        <v/>
      </c>
      <c r="H61" s="18" t="n"/>
      <c r="I61" s="18" t="n"/>
      <c r="J61" s="43">
        <f>IF(OR(H61="",I61=""),"",I61/(H61+I61))</f>
        <v/>
      </c>
      <c r="K61" s="18" t="n"/>
      <c r="L61" s="18" t="n"/>
      <c r="M61" s="18" t="n"/>
    </row>
    <row r="62" ht="22" customHeight="1">
      <c r="B62" s="16">
        <f>IF(C62="","DIV-"&amp;TEXT(COUNTA($C$5:C62),"000"))</f>
        <v/>
      </c>
      <c r="C62" s="14" t="n"/>
      <c r="D62" s="19" t="n"/>
      <c r="E62" s="19" t="n"/>
      <c r="F62" s="19" t="n"/>
      <c r="G62" s="44">
        <f>IF(D62="","",E62/D62)</f>
        <v/>
      </c>
      <c r="H62" s="19" t="n"/>
      <c r="I62" s="19" t="n"/>
      <c r="J62" s="44">
        <f>IF(OR(H62="",I62=""),"",I62/(H62+I62))</f>
        <v/>
      </c>
      <c r="K62" s="19" t="n"/>
      <c r="L62" s="19" t="n"/>
      <c r="M62" s="19" t="n"/>
    </row>
    <row r="63" ht="22" customHeight="1">
      <c r="B63" s="17">
        <f>IF(C63="","DIV-"&amp;TEXT(COUNTA($C$5:C63),"000"))</f>
        <v/>
      </c>
      <c r="C63" s="12" t="n"/>
      <c r="D63" s="18" t="n"/>
      <c r="E63" s="18" t="n"/>
      <c r="F63" s="18" t="n"/>
      <c r="G63" s="43">
        <f>IF(D63="","",E63/D63)</f>
        <v/>
      </c>
      <c r="H63" s="18" t="n"/>
      <c r="I63" s="18" t="n"/>
      <c r="J63" s="43">
        <f>IF(OR(H63="",I63=""),"",I63/(H63+I63))</f>
        <v/>
      </c>
      <c r="K63" s="18" t="n"/>
      <c r="L63" s="18" t="n"/>
      <c r="M63" s="18" t="n"/>
    </row>
    <row r="64" ht="22" customHeight="1">
      <c r="B64" s="16">
        <f>IF(C64="","DIV-"&amp;TEXT(COUNTA($C$5:C64),"000"))</f>
        <v/>
      </c>
      <c r="C64" s="14" t="n"/>
      <c r="D64" s="19" t="n"/>
      <c r="E64" s="19" t="n"/>
      <c r="F64" s="19" t="n"/>
      <c r="G64" s="44">
        <f>IF(D64="","",E64/D64)</f>
        <v/>
      </c>
      <c r="H64" s="19" t="n"/>
      <c r="I64" s="19" t="n"/>
      <c r="J64" s="44">
        <f>IF(OR(H64="",I64=""),"",I64/(H64+I64))</f>
        <v/>
      </c>
      <c r="K64" s="19" t="n"/>
      <c r="L64" s="19" t="n"/>
      <c r="M64" s="19" t="n"/>
    </row>
    <row r="65" ht="22" customHeight="1">
      <c r="B65" s="17">
        <f>IF(C65="","DIV-"&amp;TEXT(COUNTA($C$5:C65),"000"))</f>
        <v/>
      </c>
      <c r="C65" s="12" t="n"/>
      <c r="D65" s="18" t="n"/>
      <c r="E65" s="18" t="n"/>
      <c r="F65" s="18" t="n"/>
      <c r="G65" s="43">
        <f>IF(D65="","",E65/D65)</f>
        <v/>
      </c>
      <c r="H65" s="18" t="n"/>
      <c r="I65" s="18" t="n"/>
      <c r="J65" s="43">
        <f>IF(OR(H65="",I65=""),"",I65/(H65+I65))</f>
        <v/>
      </c>
      <c r="K65" s="18" t="n"/>
      <c r="L65" s="18" t="n"/>
      <c r="M65" s="18" t="n"/>
    </row>
    <row r="66" ht="22" customHeight="1">
      <c r="B66" s="16">
        <f>IF(C66="","DIV-"&amp;TEXT(COUNTA($C$5:C66),"000"))</f>
        <v/>
      </c>
      <c r="C66" s="14" t="n"/>
      <c r="D66" s="19" t="n"/>
      <c r="E66" s="19" t="n"/>
      <c r="F66" s="19" t="n"/>
      <c r="G66" s="44">
        <f>IF(D66="","",E66/D66)</f>
        <v/>
      </c>
      <c r="H66" s="19" t="n"/>
      <c r="I66" s="19" t="n"/>
      <c r="J66" s="44">
        <f>IF(OR(H66="",I66=""),"",I66/(H66+I66))</f>
        <v/>
      </c>
      <c r="K66" s="19" t="n"/>
      <c r="L66" s="19" t="n"/>
      <c r="M66" s="19" t="n"/>
    </row>
    <row r="67" ht="22" customHeight="1">
      <c r="B67" s="17">
        <f>IF(C67="","DIV-"&amp;TEXT(COUNTA($C$5:C67),"000"))</f>
        <v/>
      </c>
      <c r="C67" s="12" t="n"/>
      <c r="D67" s="18" t="n"/>
      <c r="E67" s="18" t="n"/>
      <c r="F67" s="18" t="n"/>
      <c r="G67" s="43">
        <f>IF(D67="","",E67/D67)</f>
        <v/>
      </c>
      <c r="H67" s="18" t="n"/>
      <c r="I67" s="18" t="n"/>
      <c r="J67" s="43">
        <f>IF(OR(H67="",I67=""),"",I67/(H67+I67))</f>
        <v/>
      </c>
      <c r="K67" s="18" t="n"/>
      <c r="L67" s="18" t="n"/>
      <c r="M67" s="18" t="n"/>
    </row>
    <row r="68" ht="22" customHeight="1">
      <c r="B68" s="16">
        <f>IF(C68="","DIV-"&amp;TEXT(COUNTA($C$5:C68),"000"))</f>
        <v/>
      </c>
      <c r="C68" s="14" t="n"/>
      <c r="D68" s="19" t="n"/>
      <c r="E68" s="19" t="n"/>
      <c r="F68" s="19" t="n"/>
      <c r="G68" s="44">
        <f>IF(D68="","",E68/D68)</f>
        <v/>
      </c>
      <c r="H68" s="19" t="n"/>
      <c r="I68" s="19" t="n"/>
      <c r="J68" s="44">
        <f>IF(OR(H68="",I68=""),"",I68/(H68+I68))</f>
        <v/>
      </c>
      <c r="K68" s="19" t="n"/>
      <c r="L68" s="19" t="n"/>
      <c r="M68" s="19" t="n"/>
    </row>
    <row r="69" ht="22" customHeight="1">
      <c r="B69" s="17">
        <f>IF(C69="","DIV-"&amp;TEXT(COUNTA($C$5:C69),"000"))</f>
        <v/>
      </c>
      <c r="C69" s="12" t="n"/>
      <c r="D69" s="18" t="n"/>
      <c r="E69" s="18" t="n"/>
      <c r="F69" s="18" t="n"/>
      <c r="G69" s="43">
        <f>IF(D69="","",E69/D69)</f>
        <v/>
      </c>
      <c r="H69" s="18" t="n"/>
      <c r="I69" s="18" t="n"/>
      <c r="J69" s="43">
        <f>IF(OR(H69="",I69=""),"",I69/(H69+I69))</f>
        <v/>
      </c>
      <c r="K69" s="18" t="n"/>
      <c r="L69" s="18" t="n"/>
      <c r="M69" s="18" t="n"/>
    </row>
    <row r="70" ht="22" customHeight="1">
      <c r="B70" s="16">
        <f>IF(C70="","DIV-"&amp;TEXT(COUNTA($C$5:C70),"000"))</f>
        <v/>
      </c>
      <c r="C70" s="14" t="n"/>
      <c r="D70" s="19" t="n"/>
      <c r="E70" s="19" t="n"/>
      <c r="F70" s="19" t="n"/>
      <c r="G70" s="44">
        <f>IF(D70="","",E70/D70)</f>
        <v/>
      </c>
      <c r="H70" s="19" t="n"/>
      <c r="I70" s="19" t="n"/>
      <c r="J70" s="44">
        <f>IF(OR(H70="",I70=""),"",I70/(H70+I70))</f>
        <v/>
      </c>
      <c r="K70" s="19" t="n"/>
      <c r="L70" s="19" t="n"/>
      <c r="M70" s="19" t="n"/>
    </row>
    <row r="71" ht="22" customHeight="1">
      <c r="B71" s="17">
        <f>IF(C71="","DIV-"&amp;TEXT(COUNTA($C$5:C71),"000"))</f>
        <v/>
      </c>
      <c r="C71" s="12" t="n"/>
      <c r="D71" s="18" t="n"/>
      <c r="E71" s="18" t="n"/>
      <c r="F71" s="18" t="n"/>
      <c r="G71" s="43">
        <f>IF(D71="","",E71/D71)</f>
        <v/>
      </c>
      <c r="H71" s="18" t="n"/>
      <c r="I71" s="18" t="n"/>
      <c r="J71" s="43">
        <f>IF(OR(H71="",I71=""),"",I71/(H71+I71))</f>
        <v/>
      </c>
      <c r="K71" s="18" t="n"/>
      <c r="L71" s="18" t="n"/>
      <c r="M71" s="18" t="n"/>
    </row>
    <row r="72" ht="22" customHeight="1">
      <c r="B72" s="16">
        <f>IF(C72="","DIV-"&amp;TEXT(COUNTA($C$5:C72),"000"))</f>
        <v/>
      </c>
      <c r="C72" s="14" t="n"/>
      <c r="D72" s="19" t="n"/>
      <c r="E72" s="19" t="n"/>
      <c r="F72" s="19" t="n"/>
      <c r="G72" s="44">
        <f>IF(D72="","",E72/D72)</f>
        <v/>
      </c>
      <c r="H72" s="19" t="n"/>
      <c r="I72" s="19" t="n"/>
      <c r="J72" s="44">
        <f>IF(OR(H72="",I72=""),"",I72/(H72+I72))</f>
        <v/>
      </c>
      <c r="K72" s="19" t="n"/>
      <c r="L72" s="19" t="n"/>
      <c r="M72" s="19" t="n"/>
    </row>
    <row r="73" ht="22" customHeight="1">
      <c r="B73" s="17">
        <f>IF(C73="","DIV-"&amp;TEXT(COUNTA($C$5:C73),"000"))</f>
        <v/>
      </c>
      <c r="C73" s="12" t="n"/>
      <c r="D73" s="18" t="n"/>
      <c r="E73" s="18" t="n"/>
      <c r="F73" s="18" t="n"/>
      <c r="G73" s="43">
        <f>IF(D73="","",E73/D73)</f>
        <v/>
      </c>
      <c r="H73" s="18" t="n"/>
      <c r="I73" s="18" t="n"/>
      <c r="J73" s="43">
        <f>IF(OR(H73="",I73=""),"",I73/(H73+I73))</f>
        <v/>
      </c>
      <c r="K73" s="18" t="n"/>
      <c r="L73" s="18" t="n"/>
      <c r="M73" s="18" t="n"/>
    </row>
    <row r="74" ht="22" customHeight="1">
      <c r="B74" s="16">
        <f>IF(C74="","DIV-"&amp;TEXT(COUNTA($C$5:C74),"000"))</f>
        <v/>
      </c>
      <c r="C74" s="14" t="n"/>
      <c r="D74" s="19" t="n"/>
      <c r="E74" s="19" t="n"/>
      <c r="F74" s="19" t="n"/>
      <c r="G74" s="44">
        <f>IF(D74="","",E74/D74)</f>
        <v/>
      </c>
      <c r="H74" s="19" t="n"/>
      <c r="I74" s="19" t="n"/>
      <c r="J74" s="44">
        <f>IF(OR(H74="",I74=""),"",I74/(H74+I74))</f>
        <v/>
      </c>
      <c r="K74" s="19" t="n"/>
      <c r="L74" s="19" t="n"/>
      <c r="M74" s="19" t="n"/>
    </row>
    <row r="75" ht="22" customHeight="1">
      <c r="B75" s="17">
        <f>IF(C75="","DIV-"&amp;TEXT(COUNTA($C$5:C75),"000"))</f>
        <v/>
      </c>
      <c r="C75" s="12" t="n"/>
      <c r="D75" s="18" t="n"/>
      <c r="E75" s="18" t="n"/>
      <c r="F75" s="18" t="n"/>
      <c r="G75" s="43">
        <f>IF(D75="","",E75/D75)</f>
        <v/>
      </c>
      <c r="H75" s="18" t="n"/>
      <c r="I75" s="18" t="n"/>
      <c r="J75" s="43">
        <f>IF(OR(H75="",I75=""),"",I75/(H75+I75))</f>
        <v/>
      </c>
      <c r="K75" s="18" t="n"/>
      <c r="L75" s="18" t="n"/>
      <c r="M75" s="18" t="n"/>
    </row>
    <row r="76" ht="22" customHeight="1">
      <c r="B76" s="16">
        <f>IF(C76="","DIV-"&amp;TEXT(COUNTA($C$5:C76),"000"))</f>
        <v/>
      </c>
      <c r="C76" s="14" t="n"/>
      <c r="D76" s="19" t="n"/>
      <c r="E76" s="19" t="n"/>
      <c r="F76" s="19" t="n"/>
      <c r="G76" s="44">
        <f>IF(D76="","",E76/D76)</f>
        <v/>
      </c>
      <c r="H76" s="19" t="n"/>
      <c r="I76" s="19" t="n"/>
      <c r="J76" s="44">
        <f>IF(OR(H76="",I76=""),"",I76/(H76+I76))</f>
        <v/>
      </c>
      <c r="K76" s="19" t="n"/>
      <c r="L76" s="19" t="n"/>
      <c r="M76" s="19" t="n"/>
    </row>
    <row r="77" ht="22" customHeight="1">
      <c r="B77" s="17">
        <f>IF(C77="","DIV-"&amp;TEXT(COUNTA($C$5:C77),"000"))</f>
        <v/>
      </c>
      <c r="C77" s="12" t="n"/>
      <c r="D77" s="18" t="n"/>
      <c r="E77" s="18" t="n"/>
      <c r="F77" s="18" t="n"/>
      <c r="G77" s="43">
        <f>IF(D77="","",E77/D77)</f>
        <v/>
      </c>
      <c r="H77" s="18" t="n"/>
      <c r="I77" s="18" t="n"/>
      <c r="J77" s="43">
        <f>IF(OR(H77="",I77=""),"",I77/(H77+I77))</f>
        <v/>
      </c>
      <c r="K77" s="18" t="n"/>
      <c r="L77" s="18" t="n"/>
      <c r="M77" s="18" t="n"/>
    </row>
    <row r="78" ht="22" customHeight="1">
      <c r="B78" s="16">
        <f>IF(C78="","DIV-"&amp;TEXT(COUNTA($C$5:C78),"000"))</f>
        <v/>
      </c>
      <c r="C78" s="14" t="n"/>
      <c r="D78" s="19" t="n"/>
      <c r="E78" s="19" t="n"/>
      <c r="F78" s="19" t="n"/>
      <c r="G78" s="44">
        <f>IF(D78="","",E78/D78)</f>
        <v/>
      </c>
      <c r="H78" s="19" t="n"/>
      <c r="I78" s="19" t="n"/>
      <c r="J78" s="44">
        <f>IF(OR(H78="",I78=""),"",I78/(H78+I78))</f>
        <v/>
      </c>
      <c r="K78" s="19" t="n"/>
      <c r="L78" s="19" t="n"/>
      <c r="M78" s="19" t="n"/>
    </row>
    <row r="79" ht="22" customHeight="1">
      <c r="B79" s="17">
        <f>IF(C79="","DIV-"&amp;TEXT(COUNTA($C$5:C79),"000"))</f>
        <v/>
      </c>
      <c r="C79" s="12" t="n"/>
      <c r="D79" s="18" t="n"/>
      <c r="E79" s="18" t="n"/>
      <c r="F79" s="18" t="n"/>
      <c r="G79" s="43">
        <f>IF(D79="","",E79/D79)</f>
        <v/>
      </c>
      <c r="H79" s="18" t="n"/>
      <c r="I79" s="18" t="n"/>
      <c r="J79" s="43">
        <f>IF(OR(H79="",I79=""),"",I79/(H79+I79))</f>
        <v/>
      </c>
      <c r="K79" s="18" t="n"/>
      <c r="L79" s="18" t="n"/>
      <c r="M79" s="18" t="n"/>
    </row>
    <row r="80" ht="22" customHeight="1">
      <c r="B80" s="16">
        <f>IF(C80="","DIV-"&amp;TEXT(COUNTA($C$5:C80),"000"))</f>
        <v/>
      </c>
      <c r="C80" s="14" t="n"/>
      <c r="D80" s="19" t="n"/>
      <c r="E80" s="19" t="n"/>
      <c r="F80" s="19" t="n"/>
      <c r="G80" s="44">
        <f>IF(D80="","",E80/D80)</f>
        <v/>
      </c>
      <c r="H80" s="19" t="n"/>
      <c r="I80" s="19" t="n"/>
      <c r="J80" s="44">
        <f>IF(OR(H80="",I80=""),"",I80/(H80+I80))</f>
        <v/>
      </c>
      <c r="K80" s="19" t="n"/>
      <c r="L80" s="19" t="n"/>
      <c r="M80" s="19" t="n"/>
    </row>
    <row r="81" ht="22" customHeight="1">
      <c r="B81" s="17">
        <f>IF(C81="","DIV-"&amp;TEXT(COUNTA($C$5:C81),"000"))</f>
        <v/>
      </c>
      <c r="C81" s="12" t="n"/>
      <c r="D81" s="18" t="n"/>
      <c r="E81" s="18" t="n"/>
      <c r="F81" s="18" t="n"/>
      <c r="G81" s="43">
        <f>IF(D81="","",E81/D81)</f>
        <v/>
      </c>
      <c r="H81" s="18" t="n"/>
      <c r="I81" s="18" t="n"/>
      <c r="J81" s="43">
        <f>IF(OR(H81="",I81=""),"",I81/(H81+I81))</f>
        <v/>
      </c>
      <c r="K81" s="18" t="n"/>
      <c r="L81" s="18" t="n"/>
      <c r="M81" s="18" t="n"/>
    </row>
    <row r="82" ht="22" customHeight="1">
      <c r="B82" s="16">
        <f>IF(C82="","DIV-"&amp;TEXT(COUNTA($C$5:C82),"000"))</f>
        <v/>
      </c>
      <c r="C82" s="14" t="n"/>
      <c r="D82" s="19" t="n"/>
      <c r="E82" s="19" t="n"/>
      <c r="F82" s="19" t="n"/>
      <c r="G82" s="44">
        <f>IF(D82="","",E82/D82)</f>
        <v/>
      </c>
      <c r="H82" s="19" t="n"/>
      <c r="I82" s="19" t="n"/>
      <c r="J82" s="44">
        <f>IF(OR(H82="",I82=""),"",I82/(H82+I82))</f>
        <v/>
      </c>
      <c r="K82" s="19" t="n"/>
      <c r="L82" s="19" t="n"/>
      <c r="M82" s="19" t="n"/>
    </row>
    <row r="83" ht="22" customHeight="1">
      <c r="B83" s="17">
        <f>IF(C83="","DIV-"&amp;TEXT(COUNTA($C$5:C83),"000"))</f>
        <v/>
      </c>
      <c r="C83" s="12" t="n"/>
      <c r="D83" s="18" t="n"/>
      <c r="E83" s="18" t="n"/>
      <c r="F83" s="18" t="n"/>
      <c r="G83" s="43">
        <f>IF(D83="","",E83/D83)</f>
        <v/>
      </c>
      <c r="H83" s="18" t="n"/>
      <c r="I83" s="18" t="n"/>
      <c r="J83" s="43">
        <f>IF(OR(H83="",I83=""),"",I83/(H83+I83))</f>
        <v/>
      </c>
      <c r="K83" s="18" t="n"/>
      <c r="L83" s="18" t="n"/>
      <c r="M83" s="18" t="n"/>
    </row>
    <row r="84" ht="22" customHeight="1">
      <c r="B84" s="16">
        <f>IF(C84="","DIV-"&amp;TEXT(COUNTA($C$5:C84),"000"))</f>
        <v/>
      </c>
      <c r="C84" s="14" t="n"/>
      <c r="D84" s="19" t="n"/>
      <c r="E84" s="19" t="n"/>
      <c r="F84" s="19" t="n"/>
      <c r="G84" s="44">
        <f>IF(D84="","",E84/D84)</f>
        <v/>
      </c>
      <c r="H84" s="19" t="n"/>
      <c r="I84" s="19" t="n"/>
      <c r="J84" s="44">
        <f>IF(OR(H84="",I84=""),"",I84/(H84+I84))</f>
        <v/>
      </c>
      <c r="K84" s="19" t="n"/>
      <c r="L84" s="19" t="n"/>
      <c r="M84" s="19" t="n"/>
    </row>
    <row r="85" ht="22" customHeight="1">
      <c r="B85" s="17">
        <f>IF(C85="","DIV-"&amp;TEXT(COUNTA($C$5:C85),"000"))</f>
        <v/>
      </c>
      <c r="C85" s="12" t="n"/>
      <c r="D85" s="18" t="n"/>
      <c r="E85" s="18" t="n"/>
      <c r="F85" s="18" t="n"/>
      <c r="G85" s="43">
        <f>IF(D85="","",E85/D85)</f>
        <v/>
      </c>
      <c r="H85" s="18" t="n"/>
      <c r="I85" s="18" t="n"/>
      <c r="J85" s="43">
        <f>IF(OR(H85="",I85=""),"",I85/(H85+I85))</f>
        <v/>
      </c>
      <c r="K85" s="18" t="n"/>
      <c r="L85" s="18" t="n"/>
      <c r="M85" s="18" t="n"/>
    </row>
    <row r="86" ht="22" customHeight="1">
      <c r="B86" s="16">
        <f>IF(C86="","DIV-"&amp;TEXT(COUNTA($C$5:C86),"000"))</f>
        <v/>
      </c>
      <c r="C86" s="14" t="n"/>
      <c r="D86" s="19" t="n"/>
      <c r="E86" s="19" t="n"/>
      <c r="F86" s="19" t="n"/>
      <c r="G86" s="44">
        <f>IF(D86="","",E86/D86)</f>
        <v/>
      </c>
      <c r="H86" s="19" t="n"/>
      <c r="I86" s="19" t="n"/>
      <c r="J86" s="44">
        <f>IF(OR(H86="",I86=""),"",I86/(H86+I86))</f>
        <v/>
      </c>
      <c r="K86" s="19" t="n"/>
      <c r="L86" s="19" t="n"/>
      <c r="M86" s="19" t="n"/>
    </row>
    <row r="87" ht="22" customHeight="1">
      <c r="B87" s="17">
        <f>IF(C87="","DIV-"&amp;TEXT(COUNTA($C$5:C87),"000"))</f>
        <v/>
      </c>
      <c r="C87" s="12" t="n"/>
      <c r="D87" s="18" t="n"/>
      <c r="E87" s="18" t="n"/>
      <c r="F87" s="18" t="n"/>
      <c r="G87" s="43">
        <f>IF(D87="","",E87/D87)</f>
        <v/>
      </c>
      <c r="H87" s="18" t="n"/>
      <c r="I87" s="18" t="n"/>
      <c r="J87" s="43">
        <f>IF(OR(H87="",I87=""),"",I87/(H87+I87))</f>
        <v/>
      </c>
      <c r="K87" s="18" t="n"/>
      <c r="L87" s="18" t="n"/>
      <c r="M87" s="18" t="n"/>
    </row>
    <row r="88" ht="22" customHeight="1">
      <c r="B88" s="16">
        <f>IF(C88="","DIV-"&amp;TEXT(COUNTA($C$5:C88),"000"))</f>
        <v/>
      </c>
      <c r="C88" s="14" t="n"/>
      <c r="D88" s="19" t="n"/>
      <c r="E88" s="19" t="n"/>
      <c r="F88" s="19" t="n"/>
      <c r="G88" s="44">
        <f>IF(D88="","",E88/D88)</f>
        <v/>
      </c>
      <c r="H88" s="19" t="n"/>
      <c r="I88" s="19" t="n"/>
      <c r="J88" s="44">
        <f>IF(OR(H88="",I88=""),"",I88/(H88+I88))</f>
        <v/>
      </c>
      <c r="K88" s="19" t="n"/>
      <c r="L88" s="19" t="n"/>
      <c r="M88" s="19" t="n"/>
    </row>
    <row r="89" ht="22" customHeight="1">
      <c r="B89" s="17">
        <f>IF(C89="","DIV-"&amp;TEXT(COUNTA($C$5:C89),"000"))</f>
        <v/>
      </c>
      <c r="C89" s="12" t="n"/>
      <c r="D89" s="18" t="n"/>
      <c r="E89" s="18" t="n"/>
      <c r="F89" s="18" t="n"/>
      <c r="G89" s="43">
        <f>IF(D89="","",E89/D89)</f>
        <v/>
      </c>
      <c r="H89" s="18" t="n"/>
      <c r="I89" s="18" t="n"/>
      <c r="J89" s="43">
        <f>IF(OR(H89="",I89=""),"",I89/(H89+I89))</f>
        <v/>
      </c>
      <c r="K89" s="18" t="n"/>
      <c r="L89" s="18" t="n"/>
      <c r="M89" s="18" t="n"/>
    </row>
    <row r="90" ht="22" customHeight="1">
      <c r="B90" s="16">
        <f>IF(C90="","DIV-"&amp;TEXT(COUNTA($C$5:C90),"000"))</f>
        <v/>
      </c>
      <c r="C90" s="14" t="n"/>
      <c r="D90" s="19" t="n"/>
      <c r="E90" s="19" t="n"/>
      <c r="F90" s="19" t="n"/>
      <c r="G90" s="44">
        <f>IF(D90="","",E90/D90)</f>
        <v/>
      </c>
      <c r="H90" s="19" t="n"/>
      <c r="I90" s="19" t="n"/>
      <c r="J90" s="44">
        <f>IF(OR(H90="",I90=""),"",I90/(H90+I90))</f>
        <v/>
      </c>
      <c r="K90" s="19" t="n"/>
      <c r="L90" s="19" t="n"/>
      <c r="M90" s="19" t="n"/>
    </row>
    <row r="91" ht="22" customHeight="1">
      <c r="B91" s="17">
        <f>IF(C91="","DIV-"&amp;TEXT(COUNTA($C$5:C91),"000"))</f>
        <v/>
      </c>
      <c r="C91" s="12" t="n"/>
      <c r="D91" s="18" t="n"/>
      <c r="E91" s="18" t="n"/>
      <c r="F91" s="18" t="n"/>
      <c r="G91" s="43">
        <f>IF(D91="","",E91/D91)</f>
        <v/>
      </c>
      <c r="H91" s="18" t="n"/>
      <c r="I91" s="18" t="n"/>
      <c r="J91" s="43">
        <f>IF(OR(H91="",I91=""),"",I91/(H91+I91))</f>
        <v/>
      </c>
      <c r="K91" s="18" t="n"/>
      <c r="L91" s="18" t="n"/>
      <c r="M91" s="18" t="n"/>
    </row>
    <row r="92" ht="22" customHeight="1">
      <c r="B92" s="16">
        <f>IF(C92="","DIV-"&amp;TEXT(COUNTA($C$5:C92),"000"))</f>
        <v/>
      </c>
      <c r="C92" s="14" t="n"/>
      <c r="D92" s="19" t="n"/>
      <c r="E92" s="19" t="n"/>
      <c r="F92" s="19" t="n"/>
      <c r="G92" s="44">
        <f>IF(D92="","",E92/D92)</f>
        <v/>
      </c>
      <c r="H92" s="19" t="n"/>
      <c r="I92" s="19" t="n"/>
      <c r="J92" s="44">
        <f>IF(OR(H92="",I92=""),"",I92/(H92+I92))</f>
        <v/>
      </c>
      <c r="K92" s="19" t="n"/>
      <c r="L92" s="19" t="n"/>
      <c r="M92" s="19" t="n"/>
    </row>
    <row r="93" ht="22" customHeight="1">
      <c r="B93" s="17">
        <f>IF(C93="","DIV-"&amp;TEXT(COUNTA($C$5:C93),"000"))</f>
        <v/>
      </c>
      <c r="C93" s="12" t="n"/>
      <c r="D93" s="18" t="n"/>
      <c r="E93" s="18" t="n"/>
      <c r="F93" s="18" t="n"/>
      <c r="G93" s="43">
        <f>IF(D93="","",E93/D93)</f>
        <v/>
      </c>
      <c r="H93" s="18" t="n"/>
      <c r="I93" s="18" t="n"/>
      <c r="J93" s="43">
        <f>IF(OR(H93="",I93=""),"",I93/(H93+I93))</f>
        <v/>
      </c>
      <c r="K93" s="18" t="n"/>
      <c r="L93" s="18" t="n"/>
      <c r="M93" s="18" t="n"/>
    </row>
    <row r="94" ht="22" customHeight="1">
      <c r="B94" s="16">
        <f>IF(C94="","DIV-"&amp;TEXT(COUNTA($C$5:C94),"000"))</f>
        <v/>
      </c>
      <c r="C94" s="14" t="n"/>
      <c r="D94" s="19" t="n"/>
      <c r="E94" s="19" t="n"/>
      <c r="F94" s="19" t="n"/>
      <c r="G94" s="44">
        <f>IF(D94="","",E94/D94)</f>
        <v/>
      </c>
      <c r="H94" s="19" t="n"/>
      <c r="I94" s="19" t="n"/>
      <c r="J94" s="44">
        <f>IF(OR(H94="",I94=""),"",I94/(H94+I94))</f>
        <v/>
      </c>
      <c r="K94" s="19" t="n"/>
      <c r="L94" s="19" t="n"/>
      <c r="M94" s="19" t="n"/>
    </row>
    <row r="95" ht="22" customHeight="1">
      <c r="B95" s="17">
        <f>IF(C95="","DIV-"&amp;TEXT(COUNTA($C$5:C95),"000"))</f>
        <v/>
      </c>
      <c r="C95" s="12" t="n"/>
      <c r="D95" s="18" t="n"/>
      <c r="E95" s="18" t="n"/>
      <c r="F95" s="18" t="n"/>
      <c r="G95" s="43">
        <f>IF(D95="","",E95/D95)</f>
        <v/>
      </c>
      <c r="H95" s="18" t="n"/>
      <c r="I95" s="18" t="n"/>
      <c r="J95" s="43">
        <f>IF(OR(H95="",I95=""),"",I95/(H95+I95))</f>
        <v/>
      </c>
      <c r="K95" s="18" t="n"/>
      <c r="L95" s="18" t="n"/>
      <c r="M95" s="18" t="n"/>
    </row>
    <row r="96" ht="22" customHeight="1">
      <c r="B96" s="16">
        <f>IF(C96="","DIV-"&amp;TEXT(COUNTA($C$5:C96),"000"))</f>
        <v/>
      </c>
      <c r="C96" s="14" t="n"/>
      <c r="D96" s="19" t="n"/>
      <c r="E96" s="19" t="n"/>
      <c r="F96" s="19" t="n"/>
      <c r="G96" s="44">
        <f>IF(D96="","",E96/D96)</f>
        <v/>
      </c>
      <c r="H96" s="19" t="n"/>
      <c r="I96" s="19" t="n"/>
      <c r="J96" s="44">
        <f>IF(OR(H96="",I96=""),"",I96/(H96+I96))</f>
        <v/>
      </c>
      <c r="K96" s="19" t="n"/>
      <c r="L96" s="19" t="n"/>
      <c r="M96" s="19" t="n"/>
    </row>
    <row r="97" ht="22" customHeight="1">
      <c r="B97" s="17">
        <f>IF(C97="","DIV-"&amp;TEXT(COUNTA($C$5:C97),"000"))</f>
        <v/>
      </c>
      <c r="C97" s="12" t="n"/>
      <c r="D97" s="18" t="n"/>
      <c r="E97" s="18" t="n"/>
      <c r="F97" s="18" t="n"/>
      <c r="G97" s="43">
        <f>IF(D97="","",E97/D97)</f>
        <v/>
      </c>
      <c r="H97" s="18" t="n"/>
      <c r="I97" s="18" t="n"/>
      <c r="J97" s="43">
        <f>IF(OR(H97="",I97=""),"",I97/(H97+I97))</f>
        <v/>
      </c>
      <c r="K97" s="18" t="n"/>
      <c r="L97" s="18" t="n"/>
      <c r="M97" s="18" t="n"/>
    </row>
    <row r="98" ht="22" customHeight="1">
      <c r="B98" s="16">
        <f>IF(C98="","DIV-"&amp;TEXT(COUNTA($C$5:C98),"000"))</f>
        <v/>
      </c>
      <c r="C98" s="14" t="n"/>
      <c r="D98" s="19" t="n"/>
      <c r="E98" s="19" t="n"/>
      <c r="F98" s="19" t="n"/>
      <c r="G98" s="44">
        <f>IF(D98="","",E98/D98)</f>
        <v/>
      </c>
      <c r="H98" s="19" t="n"/>
      <c r="I98" s="19" t="n"/>
      <c r="J98" s="44">
        <f>IF(OR(H98="",I98=""),"",I98/(H98+I98))</f>
        <v/>
      </c>
      <c r="K98" s="19" t="n"/>
      <c r="L98" s="19" t="n"/>
      <c r="M98" s="19" t="n"/>
    </row>
    <row r="99" ht="22" customHeight="1">
      <c r="B99" s="17">
        <f>IF(C99="","DIV-"&amp;TEXT(COUNTA($C$5:C99),"000"))</f>
        <v/>
      </c>
      <c r="C99" s="12" t="n"/>
      <c r="D99" s="18" t="n"/>
      <c r="E99" s="18" t="n"/>
      <c r="F99" s="18" t="n"/>
      <c r="G99" s="43">
        <f>IF(D99="","",E99/D99)</f>
        <v/>
      </c>
      <c r="H99" s="18" t="n"/>
      <c r="I99" s="18" t="n"/>
      <c r="J99" s="43">
        <f>IF(OR(H99="",I99=""),"",I99/(H99+I99))</f>
        <v/>
      </c>
      <c r="K99" s="18" t="n"/>
      <c r="L99" s="18" t="n"/>
      <c r="M99" s="18" t="n"/>
    </row>
    <row r="100" ht="22" customHeight="1">
      <c r="B100" s="16">
        <f>IF(C100="","DIV-"&amp;TEXT(COUNTA($C$5:C100),"000"))</f>
        <v/>
      </c>
      <c r="C100" s="14" t="n"/>
      <c r="D100" s="19" t="n"/>
      <c r="E100" s="19" t="n"/>
      <c r="F100" s="19" t="n"/>
      <c r="G100" s="44">
        <f>IF(D100="","",E100/D100)</f>
        <v/>
      </c>
      <c r="H100" s="19" t="n"/>
      <c r="I100" s="19" t="n"/>
      <c r="J100" s="44">
        <f>IF(OR(H100="",I100=""),"",I100/(H100+I100))</f>
        <v/>
      </c>
      <c r="K100" s="19" t="n"/>
      <c r="L100" s="19" t="n"/>
      <c r="M100" s="19" t="n"/>
    </row>
    <row r="101" ht="22" customHeight="1">
      <c r="B101" s="17">
        <f>IF(C101="","DIV-"&amp;TEXT(COUNTA($C$5:C101),"000"))</f>
        <v/>
      </c>
      <c r="C101" s="12" t="n"/>
      <c r="D101" s="18" t="n"/>
      <c r="E101" s="18" t="n"/>
      <c r="F101" s="18" t="n"/>
      <c r="G101" s="43">
        <f>IF(D101="","",E101/D101)</f>
        <v/>
      </c>
      <c r="H101" s="18" t="n"/>
      <c r="I101" s="18" t="n"/>
      <c r="J101" s="43">
        <f>IF(OR(H101="",I101=""),"",I101/(H101+I101))</f>
        <v/>
      </c>
      <c r="K101" s="18" t="n"/>
      <c r="L101" s="18" t="n"/>
      <c r="M101" s="18" t="n"/>
    </row>
    <row r="102" ht="22" customHeight="1">
      <c r="B102" s="16">
        <f>IF(C102="","DIV-"&amp;TEXT(COUNTA($C$5:C102),"000"))</f>
        <v/>
      </c>
      <c r="C102" s="14" t="n"/>
      <c r="D102" s="19" t="n"/>
      <c r="E102" s="19" t="n"/>
      <c r="F102" s="19" t="n"/>
      <c r="G102" s="44">
        <f>IF(D102="","",E102/D102)</f>
        <v/>
      </c>
      <c r="H102" s="19" t="n"/>
      <c r="I102" s="19" t="n"/>
      <c r="J102" s="44">
        <f>IF(OR(H102="",I102=""),"",I102/(H102+I102))</f>
        <v/>
      </c>
      <c r="K102" s="19" t="n"/>
      <c r="L102" s="19" t="n"/>
      <c r="M102" s="19" t="n"/>
    </row>
    <row r="103" ht="22" customHeight="1">
      <c r="B103" s="17">
        <f>IF(C103="","DIV-"&amp;TEXT(COUNTA($C$5:C103),"000"))</f>
        <v/>
      </c>
      <c r="C103" s="12" t="n"/>
      <c r="D103" s="18" t="n"/>
      <c r="E103" s="18" t="n"/>
      <c r="F103" s="18" t="n"/>
      <c r="G103" s="43">
        <f>IF(D103="","",E103/D103)</f>
        <v/>
      </c>
      <c r="H103" s="18" t="n"/>
      <c r="I103" s="18" t="n"/>
      <c r="J103" s="43">
        <f>IF(OR(H103="",I103=""),"",I103/(H103+I103))</f>
        <v/>
      </c>
      <c r="K103" s="18" t="n"/>
      <c r="L103" s="18" t="n"/>
      <c r="M103" s="18" t="n"/>
    </row>
    <row r="104" ht="22" customHeight="1">
      <c r="B104" s="16">
        <f>IF(C104="","DIV-"&amp;TEXT(COUNTA($C$5:C104),"000"))</f>
        <v/>
      </c>
      <c r="C104" s="14" t="n"/>
      <c r="D104" s="19" t="n"/>
      <c r="E104" s="19" t="n"/>
      <c r="F104" s="19" t="n"/>
      <c r="G104" s="44">
        <f>IF(D104="","",E104/D104)</f>
        <v/>
      </c>
      <c r="H104" s="19" t="n"/>
      <c r="I104" s="19" t="n"/>
      <c r="J104" s="44">
        <f>IF(OR(H104="",I104=""),"",I104/(H104+I104))</f>
        <v/>
      </c>
      <c r="K104" s="19" t="n"/>
      <c r="L104" s="19" t="n"/>
      <c r="M104" s="19" t="n"/>
    </row>
    <row r="105" ht="22" customHeight="1">
      <c r="B105" s="17">
        <f>IF(C105="","DIV-"&amp;TEXT(COUNTA($C$5:C105),"000"))</f>
        <v/>
      </c>
      <c r="C105" s="12" t="n"/>
      <c r="D105" s="18" t="n"/>
      <c r="E105" s="18" t="n"/>
      <c r="F105" s="18" t="n"/>
      <c r="G105" s="43">
        <f>IF(D105="","",E105/D105)</f>
        <v/>
      </c>
      <c r="H105" s="18" t="n"/>
      <c r="I105" s="18" t="n"/>
      <c r="J105" s="43">
        <f>IF(OR(H105="",I105=""),"",I105/(H105+I105))</f>
        <v/>
      </c>
      <c r="K105" s="18" t="n"/>
      <c r="L105" s="18" t="n"/>
      <c r="M105" s="18" t="n"/>
    </row>
    <row r="106" ht="22" customHeight="1">
      <c r="B106" s="16">
        <f>IF(C106="","DIV-"&amp;TEXT(COUNTA($C$5:C106),"000"))</f>
        <v/>
      </c>
      <c r="C106" s="14" t="n"/>
      <c r="D106" s="19" t="n"/>
      <c r="E106" s="19" t="n"/>
      <c r="F106" s="19" t="n"/>
      <c r="G106" s="44">
        <f>IF(D106="","",E106/D106)</f>
        <v/>
      </c>
      <c r="H106" s="19" t="n"/>
      <c r="I106" s="19" t="n"/>
      <c r="J106" s="44">
        <f>IF(OR(H106="",I106=""),"",I106/(H106+I106))</f>
        <v/>
      </c>
      <c r="K106" s="19" t="n"/>
      <c r="L106" s="19" t="n"/>
      <c r="M106" s="19" t="n"/>
    </row>
    <row r="107" ht="22" customHeight="1">
      <c r="B107" s="17">
        <f>IF(C107="","DIV-"&amp;TEXT(COUNTA($C$5:C107),"000"))</f>
        <v/>
      </c>
      <c r="C107" s="12" t="n"/>
      <c r="D107" s="18" t="n"/>
      <c r="E107" s="18" t="n"/>
      <c r="F107" s="18" t="n"/>
      <c r="G107" s="43">
        <f>IF(D107="","",E107/D107)</f>
        <v/>
      </c>
      <c r="H107" s="18" t="n"/>
      <c r="I107" s="18" t="n"/>
      <c r="J107" s="43">
        <f>IF(OR(H107="",I107=""),"",I107/(H107+I107))</f>
        <v/>
      </c>
      <c r="K107" s="18" t="n"/>
      <c r="L107" s="18" t="n"/>
      <c r="M107" s="18" t="n"/>
    </row>
    <row r="108" ht="22" customHeight="1">
      <c r="B108" s="16">
        <f>IF(C108="","DIV-"&amp;TEXT(COUNTA($C$5:C108),"000"))</f>
        <v/>
      </c>
      <c r="C108" s="14" t="n"/>
      <c r="D108" s="19" t="n"/>
      <c r="E108" s="19" t="n"/>
      <c r="F108" s="19" t="n"/>
      <c r="G108" s="44">
        <f>IF(D108="","",E108/D108)</f>
        <v/>
      </c>
      <c r="H108" s="19" t="n"/>
      <c r="I108" s="19" t="n"/>
      <c r="J108" s="44">
        <f>IF(OR(H108="",I108=""),"",I108/(H108+I108))</f>
        <v/>
      </c>
      <c r="K108" s="19" t="n"/>
      <c r="L108" s="19" t="n"/>
      <c r="M108" s="19" t="n"/>
    </row>
    <row r="109" ht="22" customHeight="1">
      <c r="B109" s="17">
        <f>IF(C109="","DIV-"&amp;TEXT(COUNTA($C$5:C109),"000"))</f>
        <v/>
      </c>
      <c r="C109" s="12" t="n"/>
      <c r="D109" s="18" t="n"/>
      <c r="E109" s="18" t="n"/>
      <c r="F109" s="18" t="n"/>
      <c r="G109" s="43">
        <f>IF(D109="","",E109/D109)</f>
        <v/>
      </c>
      <c r="H109" s="18" t="n"/>
      <c r="I109" s="18" t="n"/>
      <c r="J109" s="43">
        <f>IF(OR(H109="",I109=""),"",I109/(H109+I109))</f>
        <v/>
      </c>
      <c r="K109" s="18" t="n"/>
      <c r="L109" s="18" t="n"/>
      <c r="M109" s="18" t="n"/>
    </row>
    <row r="110" ht="22" customHeight="1">
      <c r="B110" s="16">
        <f>IF(C110="","DIV-"&amp;TEXT(COUNTA($C$5:C110),"000"))</f>
        <v/>
      </c>
      <c r="C110" s="14" t="n"/>
      <c r="D110" s="19" t="n"/>
      <c r="E110" s="19" t="n"/>
      <c r="F110" s="19" t="n"/>
      <c r="G110" s="44">
        <f>IF(D110="","",E110/D110)</f>
        <v/>
      </c>
      <c r="H110" s="19" t="n"/>
      <c r="I110" s="19" t="n"/>
      <c r="J110" s="44">
        <f>IF(OR(H110="",I110=""),"",I110/(H110+I110))</f>
        <v/>
      </c>
      <c r="K110" s="19" t="n"/>
      <c r="L110" s="19" t="n"/>
      <c r="M110" s="19" t="n"/>
    </row>
    <row r="112">
      <c r="B112" s="6" t="inlineStr">
        <is>
          <t>INDICATEURS (mis a jour automatiquement)</t>
        </is>
      </c>
    </row>
    <row r="113">
      <c r="B113" s="3" t="inlineStr">
        <is>
          <t>Effectif total</t>
        </is>
      </c>
      <c r="D113" s="3" t="inlineStr">
        <is>
          <t>Part femmes globale</t>
        </is>
      </c>
      <c r="F113" s="3" t="inlineStr">
        <is>
          <t>Part femmes cadres</t>
        </is>
      </c>
    </row>
    <row r="114">
      <c r="B114" s="4">
        <f>SUM(D5:D104)</f>
        <v/>
      </c>
      <c r="D114" s="4">
        <f>IFERROR(AVERAGE(G5:G104),0)</f>
        <v/>
      </c>
      <c r="F114" s="4">
        <f>IFERROR(AVERAGE(J5:J104),0)</f>
        <v/>
      </c>
    </row>
  </sheetData>
  <mergeCells count="3">
    <mergeCell ref="B3:M3"/>
    <mergeCell ref="B2:M2"/>
    <mergeCell ref="B112:M112"/>
  </mergeCells>
  <conditionalFormatting sqref="B11:B110">
    <cfRule type="expression" priority="1" dxfId="3">
      <formula>AND($C11="",$C10&lt;&gt;"")</formula>
    </cfRule>
  </conditionalFormatting>
  <conditionalFormatting sqref="C11:C110">
    <cfRule type="expression" priority="2" dxfId="3">
      <formula>AND($C11="",$C10&lt;&gt;"")</formula>
    </cfRule>
  </conditionalFormatting>
  <conditionalFormatting sqref="D11:D110">
    <cfRule type="expression" priority="3" dxfId="3">
      <formula>AND($C11="",$C10&lt;&gt;"")</formula>
    </cfRule>
  </conditionalFormatting>
  <conditionalFormatting sqref="E11:E110">
    <cfRule type="expression" priority="4" dxfId="3">
      <formula>AND($C11="",$C10&lt;&gt;"")</formula>
    </cfRule>
  </conditionalFormatting>
  <conditionalFormatting sqref="F11:F110">
    <cfRule type="expression" priority="5" dxfId="3">
      <formula>AND($C11="",$C10&lt;&gt;"")</formula>
    </cfRule>
  </conditionalFormatting>
  <conditionalFormatting sqref="G11:G110">
    <cfRule type="expression" priority="6" dxfId="3">
      <formula>AND($C11="",$C10&lt;&gt;"")</formula>
    </cfRule>
  </conditionalFormatting>
  <conditionalFormatting sqref="H11:H110">
    <cfRule type="expression" priority="7" dxfId="3">
      <formula>AND($C11="",$C10&lt;&gt;"")</formula>
    </cfRule>
  </conditionalFormatting>
  <conditionalFormatting sqref="I11:I110">
    <cfRule type="expression" priority="8" dxfId="3">
      <formula>AND($C11="",$C10&lt;&gt;"")</formula>
    </cfRule>
  </conditionalFormatting>
  <conditionalFormatting sqref="J11:J110">
    <cfRule type="expression" priority="9" dxfId="3">
      <formula>AND($C11="",$C10&lt;&gt;"")</formula>
    </cfRule>
  </conditionalFormatting>
  <conditionalFormatting sqref="K11:K110">
    <cfRule type="expression" priority="10" dxfId="3">
      <formula>AND($C11="",$C10&lt;&gt;"")</formula>
    </cfRule>
  </conditionalFormatting>
  <conditionalFormatting sqref="L11:L110">
    <cfRule type="expression" priority="11" dxfId="3">
      <formula>AND($C11="",$C10&lt;&gt;"")</formula>
    </cfRule>
  </conditionalFormatting>
  <conditionalFormatting sqref="M11:M110">
    <cfRule type="expression" priority="12" dxfId="3">
      <formula>AND($C11="",$C10&lt;&gt;"")</formula>
    </cfRule>
  </conditionalFormatting>
  <conditionalFormatting sqref="G5:G104">
    <cfRule type="dataBar" priority="13">
      <dataBar>
        <cfvo type="num" val="0"/>
        <cfvo type="num" val="1"/>
        <color rgb="00ED7D31"/>
      </dataBar>
    </cfRule>
  </conditionalFormatting>
  <dataValidations count="1">
    <dataValidation sqref="C5:C114" showDropDown="0" showInputMessage="0" showErrorMessage="0" allowBlank="1" errorTitle="Valeur invalide" error="Veuillez choisir dans la liste: departement" promptTitle="departement" prompt="Choisir: departement" type="list">
      <formula1>'_Lists'!$B$2:$B$50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8" customWidth="1" min="4" max="4"/>
    <col width="14" customWidth="1" min="5" max="5"/>
    <col width="22" customWidth="1" min="6" max="6"/>
    <col width="22" customWidth="1" min="7" max="7"/>
    <col width="22" customWidth="1" min="8" max="8"/>
    <col width="18" customWidth="1" min="9" max="9"/>
    <col width="22" customWidth="1" min="10" max="10"/>
    <col width="34" customWidth="1" min="11" max="11"/>
  </cols>
  <sheetData>
    <row r="1" ht="15" customHeight="1"/>
    <row r="2" ht="32" customHeight="1">
      <c r="B2" s="1" t="inlineStr">
        <is>
          <t>SUIVI BIEN-ETRE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Periode</t>
        </is>
      </c>
      <c r="D4" s="11" t="inlineStr">
        <is>
          <t>Initiative</t>
        </is>
      </c>
      <c r="E4" s="11" t="inlineStr">
        <is>
          <t>Nb Sessions</t>
        </is>
      </c>
      <c r="F4" s="11" t="inlineStr">
        <is>
          <t>Nb Participants Total</t>
        </is>
      </c>
      <c r="G4" s="11" t="inlineStr">
        <is>
          <t>Score Satisfaction / 5</t>
        </is>
      </c>
      <c r="H4" s="11" t="inlineStr">
        <is>
          <t>Taux Participation (%)</t>
        </is>
      </c>
      <c r="I4" s="11" t="inlineStr">
        <is>
          <t>Cout Total (FCFA)</t>
        </is>
      </c>
      <c r="J4" s="11" t="inlineStr">
        <is>
          <t>Cout par Participant</t>
        </is>
      </c>
      <c r="K4" s="11" t="inlineStr">
        <is>
          <t>Observations</t>
        </is>
      </c>
    </row>
    <row r="5" ht="22" customHeight="1">
      <c r="B5" s="12" t="inlineStr">
        <is>
          <t>SBE-001</t>
        </is>
      </c>
      <c r="C5" s="12" t="inlineStr">
        <is>
          <t>Janvier 2025</t>
        </is>
      </c>
      <c r="D5" s="12" t="inlineStr">
        <is>
          <t>Yoga hebdomadaire</t>
        </is>
      </c>
      <c r="E5" s="18" t="n">
        <v>4</v>
      </c>
      <c r="F5" s="18" t="n">
        <v>85</v>
      </c>
      <c r="G5" s="49" t="n">
        <v>4.3</v>
      </c>
      <c r="H5" s="43" t="n"/>
      <c r="I5" s="18" t="n">
        <v>60000</v>
      </c>
      <c r="J5" s="18" t="n"/>
      <c r="K5" s="12" t="inlineStr">
        <is>
          <t>Excellente frequentation</t>
        </is>
      </c>
    </row>
    <row r="6" ht="22" customHeight="1">
      <c r="B6" s="14" t="inlineStr">
        <is>
          <t>SBE-002</t>
        </is>
      </c>
      <c r="C6" s="14" t="inlineStr">
        <is>
          <t>Fevrier 2025</t>
        </is>
      </c>
      <c r="D6" s="14" t="inlineStr">
        <is>
          <t>Yoga + Consultation psy</t>
        </is>
      </c>
      <c r="E6" s="19" t="n">
        <v>5</v>
      </c>
      <c r="F6" s="19" t="n">
        <v>110</v>
      </c>
      <c r="G6" s="51" t="n">
        <v>4.1</v>
      </c>
      <c r="H6" s="44" t="n"/>
      <c r="I6" s="19" t="n">
        <v>140000</v>
      </c>
      <c r="J6" s="19" t="n"/>
      <c r="K6" s="14" t="inlineStr">
        <is>
          <t>Consultation psy completement reservée</t>
        </is>
      </c>
    </row>
    <row r="7" ht="22" customHeight="1">
      <c r="B7" s="12" t="inlineStr">
        <is>
          <t>SBE-003</t>
        </is>
      </c>
      <c r="C7" s="12" t="inlineStr">
        <is>
          <t>Janvier 2025</t>
        </is>
      </c>
      <c r="D7" s="12" t="inlineStr">
        <is>
          <t>Atelier nutrition</t>
        </is>
      </c>
      <c r="E7" s="18" t="n">
        <v>1</v>
      </c>
      <c r="F7" s="18" t="n">
        <v>45</v>
      </c>
      <c r="G7" s="49" t="n">
        <v>3.8</v>
      </c>
      <c r="H7" s="43" t="n"/>
      <c r="I7" s="18" t="n">
        <v>50000</v>
      </c>
      <c r="J7" s="18" t="n"/>
      <c r="K7" s="12" t="inlineStr">
        <is>
          <t>Premiere session bien accueillie</t>
        </is>
      </c>
    </row>
    <row r="8" ht="22" customHeight="1">
      <c r="B8" s="16">
        <f>IF(C8="","SBE-"&amp;TEXT(COUNTA($C$5:C8),"000"))</f>
        <v/>
      </c>
      <c r="C8" s="14" t="n"/>
      <c r="D8" s="14" t="n"/>
      <c r="E8" s="19" t="n"/>
      <c r="F8" s="19" t="n"/>
      <c r="G8" s="51" t="n"/>
      <c r="H8" s="44">
        <f>IF(F8="","",F8/160)</f>
        <v/>
      </c>
      <c r="I8" s="19" t="n"/>
      <c r="J8" s="19">
        <f>IF(OR(F8="",I8=""),"",I8/F8)</f>
        <v/>
      </c>
      <c r="K8" s="14" t="n"/>
    </row>
    <row r="9" ht="22" customHeight="1">
      <c r="B9" s="17">
        <f>IF(C9="","SBE-"&amp;TEXT(COUNTA($C$5:C9),"000"))</f>
        <v/>
      </c>
      <c r="C9" s="12" t="n"/>
      <c r="D9" s="12" t="n"/>
      <c r="E9" s="18" t="n"/>
      <c r="F9" s="18" t="n"/>
      <c r="G9" s="49" t="n"/>
      <c r="H9" s="43">
        <f>IF(F9="","",F9/160)</f>
        <v/>
      </c>
      <c r="I9" s="18" t="n"/>
      <c r="J9" s="18">
        <f>IF(OR(F9="",I9=""),"",I9/F9)</f>
        <v/>
      </c>
      <c r="K9" s="12" t="n"/>
    </row>
    <row r="10" ht="22" customHeight="1">
      <c r="B10" s="16">
        <f>IF(C10="","SBE-"&amp;TEXT(COUNTA($C$5:C10),"000"))</f>
        <v/>
      </c>
      <c r="C10" s="14" t="n"/>
      <c r="D10" s="14" t="n"/>
      <c r="E10" s="19" t="n"/>
      <c r="F10" s="19" t="n"/>
      <c r="G10" s="51" t="n"/>
      <c r="H10" s="44">
        <f>IF(F10="","",F10/160)</f>
        <v/>
      </c>
      <c r="I10" s="19" t="n"/>
      <c r="J10" s="19">
        <f>IF(OR(F10="",I10=""),"",I10/F10)</f>
        <v/>
      </c>
      <c r="K10" s="14" t="n"/>
    </row>
    <row r="11" ht="22" customHeight="1">
      <c r="B11" s="17">
        <f>IF(C11="","SBE-"&amp;TEXT(COUNTA($C$5:C11),"000"))</f>
        <v/>
      </c>
      <c r="C11" s="12" t="n"/>
      <c r="D11" s="12" t="n"/>
      <c r="E11" s="18" t="n"/>
      <c r="F11" s="18" t="n"/>
      <c r="G11" s="49" t="n"/>
      <c r="H11" s="43">
        <f>IF(F11="","",F11/160)</f>
        <v/>
      </c>
      <c r="I11" s="18" t="n"/>
      <c r="J11" s="18">
        <f>IF(OR(F11="",I11=""),"",I11/F11)</f>
        <v/>
      </c>
      <c r="K11" s="12" t="n"/>
    </row>
    <row r="12" ht="22" customHeight="1">
      <c r="B12" s="16">
        <f>IF(C12="","SBE-"&amp;TEXT(COUNTA($C$5:C12),"000"))</f>
        <v/>
      </c>
      <c r="C12" s="14" t="n"/>
      <c r="D12" s="14" t="n"/>
      <c r="E12" s="19" t="n"/>
      <c r="F12" s="19" t="n"/>
      <c r="G12" s="51" t="n"/>
      <c r="H12" s="44">
        <f>IF(F12="","",F12/160)</f>
        <v/>
      </c>
      <c r="I12" s="19" t="n"/>
      <c r="J12" s="19">
        <f>IF(OR(F12="",I12=""),"",I12/F12)</f>
        <v/>
      </c>
      <c r="K12" s="14" t="n"/>
    </row>
    <row r="13" ht="22" customHeight="1">
      <c r="B13" s="17">
        <f>IF(C13="","SBE-"&amp;TEXT(COUNTA($C$5:C13),"000"))</f>
        <v/>
      </c>
      <c r="C13" s="12" t="n"/>
      <c r="D13" s="12" t="n"/>
      <c r="E13" s="18" t="n"/>
      <c r="F13" s="18" t="n"/>
      <c r="G13" s="49" t="n"/>
      <c r="H13" s="43">
        <f>IF(F13="","",F13/160)</f>
        <v/>
      </c>
      <c r="I13" s="18" t="n"/>
      <c r="J13" s="18">
        <f>IF(OR(F13="",I13=""),"",I13/F13)</f>
        <v/>
      </c>
      <c r="K13" s="12" t="n"/>
    </row>
    <row r="14" ht="22" customHeight="1">
      <c r="B14" s="16">
        <f>IF(C14="","SBE-"&amp;TEXT(COUNTA($C$5:C14),"000"))</f>
        <v/>
      </c>
      <c r="C14" s="14" t="n"/>
      <c r="D14" s="14" t="n"/>
      <c r="E14" s="19" t="n"/>
      <c r="F14" s="19" t="n"/>
      <c r="G14" s="51" t="n"/>
      <c r="H14" s="44">
        <f>IF(F14="","",F14/160)</f>
        <v/>
      </c>
      <c r="I14" s="19" t="n"/>
      <c r="J14" s="19">
        <f>IF(OR(F14="",I14=""),"",I14/F14)</f>
        <v/>
      </c>
      <c r="K14" s="14" t="n"/>
    </row>
    <row r="15" ht="22" customHeight="1">
      <c r="B15" s="17">
        <f>IF(C15="","SBE-"&amp;TEXT(COUNTA($C$5:C15),"000"))</f>
        <v/>
      </c>
      <c r="C15" s="12" t="n"/>
      <c r="D15" s="12" t="n"/>
      <c r="E15" s="18" t="n"/>
      <c r="F15" s="18" t="n"/>
      <c r="G15" s="49" t="n"/>
      <c r="H15" s="43">
        <f>IF(F15="","",F15/160)</f>
        <v/>
      </c>
      <c r="I15" s="18" t="n"/>
      <c r="J15" s="18">
        <f>IF(OR(F15="",I15=""),"",I15/F15)</f>
        <v/>
      </c>
      <c r="K15" s="12" t="n"/>
    </row>
    <row r="16" ht="22" customHeight="1">
      <c r="B16" s="16">
        <f>IF(C16="","SBE-"&amp;TEXT(COUNTA($C$5:C16),"000"))</f>
        <v/>
      </c>
      <c r="C16" s="14" t="n"/>
      <c r="D16" s="14" t="n"/>
      <c r="E16" s="19" t="n"/>
      <c r="F16" s="19" t="n"/>
      <c r="G16" s="51" t="n"/>
      <c r="H16" s="44">
        <f>IF(F16="","",F16/160)</f>
        <v/>
      </c>
      <c r="I16" s="19" t="n"/>
      <c r="J16" s="19">
        <f>IF(OR(F16="",I16=""),"",I16/F16)</f>
        <v/>
      </c>
      <c r="K16" s="14" t="n"/>
    </row>
    <row r="17" ht="22" customHeight="1">
      <c r="B17" s="17">
        <f>IF(C17="","SBE-"&amp;TEXT(COUNTA($C$5:C17),"000"))</f>
        <v/>
      </c>
      <c r="C17" s="12" t="n"/>
      <c r="D17" s="12" t="n"/>
      <c r="E17" s="18" t="n"/>
      <c r="F17" s="18" t="n"/>
      <c r="G17" s="49" t="n"/>
      <c r="H17" s="43">
        <f>IF(F17="","",F17/160)</f>
        <v/>
      </c>
      <c r="I17" s="18" t="n"/>
      <c r="J17" s="18">
        <f>IF(OR(F17="",I17=""),"",I17/F17)</f>
        <v/>
      </c>
      <c r="K17" s="12" t="n"/>
    </row>
    <row r="18" ht="22" customHeight="1">
      <c r="B18" s="16">
        <f>IF(C18="","SBE-"&amp;TEXT(COUNTA($C$5:C18),"000"))</f>
        <v/>
      </c>
      <c r="C18" s="14" t="n"/>
      <c r="D18" s="14" t="n"/>
      <c r="E18" s="19" t="n"/>
      <c r="F18" s="19" t="n"/>
      <c r="G18" s="51" t="n"/>
      <c r="H18" s="44">
        <f>IF(F18="","",F18/160)</f>
        <v/>
      </c>
      <c r="I18" s="19" t="n"/>
      <c r="J18" s="19">
        <f>IF(OR(F18="",I18=""),"",I18/F18)</f>
        <v/>
      </c>
      <c r="K18" s="14" t="n"/>
    </row>
    <row r="19" ht="22" customHeight="1">
      <c r="B19" s="17">
        <f>IF(C19="","SBE-"&amp;TEXT(COUNTA($C$5:C19),"000"))</f>
        <v/>
      </c>
      <c r="C19" s="12" t="n"/>
      <c r="D19" s="12" t="n"/>
      <c r="E19" s="18" t="n"/>
      <c r="F19" s="18" t="n"/>
      <c r="G19" s="49" t="n"/>
      <c r="H19" s="43">
        <f>IF(F19="","",F19/160)</f>
        <v/>
      </c>
      <c r="I19" s="18" t="n"/>
      <c r="J19" s="18">
        <f>IF(OR(F19="",I19=""),"",I19/F19)</f>
        <v/>
      </c>
      <c r="K19" s="12" t="n"/>
    </row>
    <row r="20" ht="22" customHeight="1">
      <c r="B20" s="16">
        <f>IF(C20="","SBE-"&amp;TEXT(COUNTA($C$5:C20),"000"))</f>
        <v/>
      </c>
      <c r="C20" s="14" t="n"/>
      <c r="D20" s="14" t="n"/>
      <c r="E20" s="19" t="n"/>
      <c r="F20" s="19" t="n"/>
      <c r="G20" s="51" t="n"/>
      <c r="H20" s="44">
        <f>IF(F20="","",F20/160)</f>
        <v/>
      </c>
      <c r="I20" s="19" t="n"/>
      <c r="J20" s="19">
        <f>IF(OR(F20="",I20=""),"",I20/F20)</f>
        <v/>
      </c>
      <c r="K20" s="14" t="n"/>
    </row>
    <row r="21" ht="22" customHeight="1">
      <c r="B21" s="17">
        <f>IF(C21="","SBE-"&amp;TEXT(COUNTA($C$5:C21),"000"))</f>
        <v/>
      </c>
      <c r="C21" s="12" t="n"/>
      <c r="D21" s="12" t="n"/>
      <c r="E21" s="18" t="n"/>
      <c r="F21" s="18" t="n"/>
      <c r="G21" s="49" t="n"/>
      <c r="H21" s="43">
        <f>IF(F21="","",F21/160)</f>
        <v/>
      </c>
      <c r="I21" s="18" t="n"/>
      <c r="J21" s="18">
        <f>IF(OR(F21="",I21=""),"",I21/F21)</f>
        <v/>
      </c>
      <c r="K21" s="12" t="n"/>
    </row>
    <row r="22" ht="22" customHeight="1">
      <c r="B22" s="16">
        <f>IF(C22="","SBE-"&amp;TEXT(COUNTA($C$5:C22),"000"))</f>
        <v/>
      </c>
      <c r="C22" s="14" t="n"/>
      <c r="D22" s="14" t="n"/>
      <c r="E22" s="19" t="n"/>
      <c r="F22" s="19" t="n"/>
      <c r="G22" s="51" t="n"/>
      <c r="H22" s="44">
        <f>IF(F22="","",F22/160)</f>
        <v/>
      </c>
      <c r="I22" s="19" t="n"/>
      <c r="J22" s="19">
        <f>IF(OR(F22="",I22=""),"",I22/F22)</f>
        <v/>
      </c>
      <c r="K22" s="14" t="n"/>
    </row>
    <row r="23" ht="22" customHeight="1">
      <c r="B23" s="17">
        <f>IF(C23="","SBE-"&amp;TEXT(COUNTA($C$5:C23),"000"))</f>
        <v/>
      </c>
      <c r="C23" s="12" t="n"/>
      <c r="D23" s="12" t="n"/>
      <c r="E23" s="18" t="n"/>
      <c r="F23" s="18" t="n"/>
      <c r="G23" s="49" t="n"/>
      <c r="H23" s="43">
        <f>IF(F23="","",F23/160)</f>
        <v/>
      </c>
      <c r="I23" s="18" t="n"/>
      <c r="J23" s="18">
        <f>IF(OR(F23="",I23=""),"",I23/F23)</f>
        <v/>
      </c>
      <c r="K23" s="12" t="n"/>
    </row>
    <row r="24" ht="22" customHeight="1">
      <c r="B24" s="16">
        <f>IF(C24="","SBE-"&amp;TEXT(COUNTA($C$5:C24),"000"))</f>
        <v/>
      </c>
      <c r="C24" s="14" t="n"/>
      <c r="D24" s="14" t="n"/>
      <c r="E24" s="19" t="n"/>
      <c r="F24" s="19" t="n"/>
      <c r="G24" s="51" t="n"/>
      <c r="H24" s="44">
        <f>IF(F24="","",F24/160)</f>
        <v/>
      </c>
      <c r="I24" s="19" t="n"/>
      <c r="J24" s="19">
        <f>IF(OR(F24="",I24=""),"",I24/F24)</f>
        <v/>
      </c>
      <c r="K24" s="14" t="n"/>
    </row>
    <row r="25" ht="22" customHeight="1">
      <c r="B25" s="17">
        <f>IF(C25="","SBE-"&amp;TEXT(COUNTA($C$5:C25),"000"))</f>
        <v/>
      </c>
      <c r="C25" s="12" t="n"/>
      <c r="D25" s="12" t="n"/>
      <c r="E25" s="18" t="n"/>
      <c r="F25" s="18" t="n"/>
      <c r="G25" s="49" t="n"/>
      <c r="H25" s="43">
        <f>IF(F25="","",F25/160)</f>
        <v/>
      </c>
      <c r="I25" s="18" t="n"/>
      <c r="J25" s="18">
        <f>IF(OR(F25="",I25=""),"",I25/F25)</f>
        <v/>
      </c>
      <c r="K25" s="12" t="n"/>
    </row>
    <row r="26" ht="22" customHeight="1">
      <c r="B26" s="16">
        <f>IF(C26="","SBE-"&amp;TEXT(COUNTA($C$5:C26),"000"))</f>
        <v/>
      </c>
      <c r="C26" s="14" t="n"/>
      <c r="D26" s="14" t="n"/>
      <c r="E26" s="19" t="n"/>
      <c r="F26" s="19" t="n"/>
      <c r="G26" s="51" t="n"/>
      <c r="H26" s="44">
        <f>IF(F26="","",F26/160)</f>
        <v/>
      </c>
      <c r="I26" s="19" t="n"/>
      <c r="J26" s="19">
        <f>IF(OR(F26="",I26=""),"",I26/F26)</f>
        <v/>
      </c>
      <c r="K26" s="14" t="n"/>
    </row>
    <row r="27" ht="22" customHeight="1">
      <c r="B27" s="17">
        <f>IF(C27="","SBE-"&amp;TEXT(COUNTA($C$5:C27),"000"))</f>
        <v/>
      </c>
      <c r="C27" s="12" t="n"/>
      <c r="D27" s="12" t="n"/>
      <c r="E27" s="18" t="n"/>
      <c r="F27" s="18" t="n"/>
      <c r="G27" s="49" t="n"/>
      <c r="H27" s="43">
        <f>IF(F27="","",F27/160)</f>
        <v/>
      </c>
      <c r="I27" s="18" t="n"/>
      <c r="J27" s="18">
        <f>IF(OR(F27="",I27=""),"",I27/F27)</f>
        <v/>
      </c>
      <c r="K27" s="12" t="n"/>
    </row>
    <row r="28" ht="22" customHeight="1">
      <c r="B28" s="16">
        <f>IF(C28="","SBE-"&amp;TEXT(COUNTA($C$5:C28),"000"))</f>
        <v/>
      </c>
      <c r="C28" s="14" t="n"/>
      <c r="D28" s="14" t="n"/>
      <c r="E28" s="19" t="n"/>
      <c r="F28" s="19" t="n"/>
      <c r="G28" s="51" t="n"/>
      <c r="H28" s="44">
        <f>IF(F28="","",F28/160)</f>
        <v/>
      </c>
      <c r="I28" s="19" t="n"/>
      <c r="J28" s="19">
        <f>IF(OR(F28="",I28=""),"",I28/F28)</f>
        <v/>
      </c>
      <c r="K28" s="14" t="n"/>
    </row>
    <row r="29" ht="22" customHeight="1">
      <c r="B29" s="17">
        <f>IF(C29="","SBE-"&amp;TEXT(COUNTA($C$5:C29),"000"))</f>
        <v/>
      </c>
      <c r="C29" s="12" t="n"/>
      <c r="D29" s="12" t="n"/>
      <c r="E29" s="18" t="n"/>
      <c r="F29" s="18" t="n"/>
      <c r="G29" s="49" t="n"/>
      <c r="H29" s="43">
        <f>IF(F29="","",F29/160)</f>
        <v/>
      </c>
      <c r="I29" s="18" t="n"/>
      <c r="J29" s="18">
        <f>IF(OR(F29="",I29=""),"",I29/F29)</f>
        <v/>
      </c>
      <c r="K29" s="12" t="n"/>
    </row>
    <row r="30" ht="22" customHeight="1">
      <c r="B30" s="16">
        <f>IF(C30="","SBE-"&amp;TEXT(COUNTA($C$5:C30),"000"))</f>
        <v/>
      </c>
      <c r="C30" s="14" t="n"/>
      <c r="D30" s="14" t="n"/>
      <c r="E30" s="19" t="n"/>
      <c r="F30" s="19" t="n"/>
      <c r="G30" s="51" t="n"/>
      <c r="H30" s="44">
        <f>IF(F30="","",F30/160)</f>
        <v/>
      </c>
      <c r="I30" s="19" t="n"/>
      <c r="J30" s="19">
        <f>IF(OR(F30="",I30=""),"",I30/F30)</f>
        <v/>
      </c>
      <c r="K30" s="14" t="n"/>
    </row>
    <row r="31" ht="22" customHeight="1">
      <c r="B31" s="17">
        <f>IF(C31="","SBE-"&amp;TEXT(COUNTA($C$5:C31),"000"))</f>
        <v/>
      </c>
      <c r="C31" s="12" t="n"/>
      <c r="D31" s="12" t="n"/>
      <c r="E31" s="18" t="n"/>
      <c r="F31" s="18" t="n"/>
      <c r="G31" s="49" t="n"/>
      <c r="H31" s="43">
        <f>IF(F31="","",F31/160)</f>
        <v/>
      </c>
      <c r="I31" s="18" t="n"/>
      <c r="J31" s="18">
        <f>IF(OR(F31="",I31=""),"",I31/F31)</f>
        <v/>
      </c>
      <c r="K31" s="12" t="n"/>
    </row>
    <row r="32" ht="22" customHeight="1">
      <c r="B32" s="16">
        <f>IF(C32="","SBE-"&amp;TEXT(COUNTA($C$5:C32),"000"))</f>
        <v/>
      </c>
      <c r="C32" s="14" t="n"/>
      <c r="D32" s="14" t="n"/>
      <c r="E32" s="19" t="n"/>
      <c r="F32" s="19" t="n"/>
      <c r="G32" s="51" t="n"/>
      <c r="H32" s="44">
        <f>IF(F32="","",F32/160)</f>
        <v/>
      </c>
      <c r="I32" s="19" t="n"/>
      <c r="J32" s="19">
        <f>IF(OR(F32="",I32=""),"",I32/F32)</f>
        <v/>
      </c>
      <c r="K32" s="14" t="n"/>
    </row>
    <row r="33" ht="22" customHeight="1">
      <c r="B33" s="17">
        <f>IF(C33="","SBE-"&amp;TEXT(COUNTA($C$5:C33),"000"))</f>
        <v/>
      </c>
      <c r="C33" s="12" t="n"/>
      <c r="D33" s="12" t="n"/>
      <c r="E33" s="18" t="n"/>
      <c r="F33" s="18" t="n"/>
      <c r="G33" s="49" t="n"/>
      <c r="H33" s="43">
        <f>IF(F33="","",F33/160)</f>
        <v/>
      </c>
      <c r="I33" s="18" t="n"/>
      <c r="J33" s="18">
        <f>IF(OR(F33="",I33=""),"",I33/F33)</f>
        <v/>
      </c>
      <c r="K33" s="12" t="n"/>
    </row>
    <row r="34" ht="22" customHeight="1">
      <c r="B34" s="16">
        <f>IF(C34="","SBE-"&amp;TEXT(COUNTA($C$5:C34),"000"))</f>
        <v/>
      </c>
      <c r="C34" s="14" t="n"/>
      <c r="D34" s="14" t="n"/>
      <c r="E34" s="19" t="n"/>
      <c r="F34" s="19" t="n"/>
      <c r="G34" s="51" t="n"/>
      <c r="H34" s="44">
        <f>IF(F34="","",F34/160)</f>
        <v/>
      </c>
      <c r="I34" s="19" t="n"/>
      <c r="J34" s="19">
        <f>IF(OR(F34="",I34=""),"",I34/F34)</f>
        <v/>
      </c>
      <c r="K34" s="14" t="n"/>
    </row>
    <row r="35" ht="22" customHeight="1">
      <c r="B35" s="17">
        <f>IF(C35="","SBE-"&amp;TEXT(COUNTA($C$5:C35),"000"))</f>
        <v/>
      </c>
      <c r="C35" s="12" t="n"/>
      <c r="D35" s="12" t="n"/>
      <c r="E35" s="18" t="n"/>
      <c r="F35" s="18" t="n"/>
      <c r="G35" s="49" t="n"/>
      <c r="H35" s="43">
        <f>IF(F35="","",F35/160)</f>
        <v/>
      </c>
      <c r="I35" s="18" t="n"/>
      <c r="J35" s="18">
        <f>IF(OR(F35="",I35=""),"",I35/F35)</f>
        <v/>
      </c>
      <c r="K35" s="12" t="n"/>
    </row>
    <row r="36" ht="22" customHeight="1">
      <c r="B36" s="16">
        <f>IF(C36="","SBE-"&amp;TEXT(COUNTA($C$5:C36),"000"))</f>
        <v/>
      </c>
      <c r="C36" s="14" t="n"/>
      <c r="D36" s="14" t="n"/>
      <c r="E36" s="19" t="n"/>
      <c r="F36" s="19" t="n"/>
      <c r="G36" s="51" t="n"/>
      <c r="H36" s="44">
        <f>IF(F36="","",F36/160)</f>
        <v/>
      </c>
      <c r="I36" s="19" t="n"/>
      <c r="J36" s="19">
        <f>IF(OR(F36="",I36=""),"",I36/F36)</f>
        <v/>
      </c>
      <c r="K36" s="14" t="n"/>
    </row>
    <row r="37" ht="22" customHeight="1">
      <c r="B37" s="17">
        <f>IF(C37="","SBE-"&amp;TEXT(COUNTA($C$5:C37),"000"))</f>
        <v/>
      </c>
      <c r="C37" s="12" t="n"/>
      <c r="D37" s="12" t="n"/>
      <c r="E37" s="18" t="n"/>
      <c r="F37" s="18" t="n"/>
      <c r="G37" s="49" t="n"/>
      <c r="H37" s="43">
        <f>IF(F37="","",F37/160)</f>
        <v/>
      </c>
      <c r="I37" s="18" t="n"/>
      <c r="J37" s="18">
        <f>IF(OR(F37="",I37=""),"",I37/F37)</f>
        <v/>
      </c>
      <c r="K37" s="12" t="n"/>
    </row>
    <row r="38" ht="22" customHeight="1">
      <c r="B38" s="16">
        <f>IF(C38="","SBE-"&amp;TEXT(COUNTA($C$5:C38),"000"))</f>
        <v/>
      </c>
      <c r="C38" s="14" t="n"/>
      <c r="D38" s="14" t="n"/>
      <c r="E38" s="19" t="n"/>
      <c r="F38" s="19" t="n"/>
      <c r="G38" s="51" t="n"/>
      <c r="H38" s="44">
        <f>IF(F38="","",F38/160)</f>
        <v/>
      </c>
      <c r="I38" s="19" t="n"/>
      <c r="J38" s="19">
        <f>IF(OR(F38="",I38=""),"",I38/F38)</f>
        <v/>
      </c>
      <c r="K38" s="14" t="n"/>
    </row>
    <row r="39" ht="22" customHeight="1">
      <c r="B39" s="17">
        <f>IF(C39="","SBE-"&amp;TEXT(COUNTA($C$5:C39),"000"))</f>
        <v/>
      </c>
      <c r="C39" s="12" t="n"/>
      <c r="D39" s="12" t="n"/>
      <c r="E39" s="18" t="n"/>
      <c r="F39" s="18" t="n"/>
      <c r="G39" s="49" t="n"/>
      <c r="H39" s="43">
        <f>IF(F39="","",F39/160)</f>
        <v/>
      </c>
      <c r="I39" s="18" t="n"/>
      <c r="J39" s="18">
        <f>IF(OR(F39="",I39=""),"",I39/F39)</f>
        <v/>
      </c>
      <c r="K39" s="12" t="n"/>
    </row>
    <row r="40" ht="22" customHeight="1">
      <c r="B40" s="16">
        <f>IF(C40="","SBE-"&amp;TEXT(COUNTA($C$5:C40),"000"))</f>
        <v/>
      </c>
      <c r="C40" s="14" t="n"/>
      <c r="D40" s="14" t="n"/>
      <c r="E40" s="19" t="n"/>
      <c r="F40" s="19" t="n"/>
      <c r="G40" s="51" t="n"/>
      <c r="H40" s="44">
        <f>IF(F40="","",F40/160)</f>
        <v/>
      </c>
      <c r="I40" s="19" t="n"/>
      <c r="J40" s="19">
        <f>IF(OR(F40="",I40=""),"",I40/F40)</f>
        <v/>
      </c>
      <c r="K40" s="14" t="n"/>
    </row>
    <row r="41" ht="22" customHeight="1">
      <c r="B41" s="17">
        <f>IF(C41="","SBE-"&amp;TEXT(COUNTA($C$5:C41),"000"))</f>
        <v/>
      </c>
      <c r="C41" s="12" t="n"/>
      <c r="D41" s="12" t="n"/>
      <c r="E41" s="18" t="n"/>
      <c r="F41" s="18" t="n"/>
      <c r="G41" s="49" t="n"/>
      <c r="H41" s="43">
        <f>IF(F41="","",F41/160)</f>
        <v/>
      </c>
      <c r="I41" s="18" t="n"/>
      <c r="J41" s="18">
        <f>IF(OR(F41="",I41=""),"",I41/F41)</f>
        <v/>
      </c>
      <c r="K41" s="12" t="n"/>
    </row>
    <row r="42" ht="22" customHeight="1">
      <c r="B42" s="16">
        <f>IF(C42="","SBE-"&amp;TEXT(COUNTA($C$5:C42),"000"))</f>
        <v/>
      </c>
      <c r="C42" s="14" t="n"/>
      <c r="D42" s="14" t="n"/>
      <c r="E42" s="19" t="n"/>
      <c r="F42" s="19" t="n"/>
      <c r="G42" s="51" t="n"/>
      <c r="H42" s="44">
        <f>IF(F42="","",F42/160)</f>
        <v/>
      </c>
      <c r="I42" s="19" t="n"/>
      <c r="J42" s="19">
        <f>IF(OR(F42="",I42=""),"",I42/F42)</f>
        <v/>
      </c>
      <c r="K42" s="14" t="n"/>
    </row>
    <row r="43" ht="22" customHeight="1">
      <c r="B43" s="17">
        <f>IF(C43="","SBE-"&amp;TEXT(COUNTA($C$5:C43),"000"))</f>
        <v/>
      </c>
      <c r="C43" s="12" t="n"/>
      <c r="D43" s="12" t="n"/>
      <c r="E43" s="18" t="n"/>
      <c r="F43" s="18" t="n"/>
      <c r="G43" s="49" t="n"/>
      <c r="H43" s="43">
        <f>IF(F43="","",F43/160)</f>
        <v/>
      </c>
      <c r="I43" s="18" t="n"/>
      <c r="J43" s="18">
        <f>IF(OR(F43="",I43=""),"",I43/F43)</f>
        <v/>
      </c>
      <c r="K43" s="12" t="n"/>
    </row>
    <row r="44" ht="22" customHeight="1">
      <c r="B44" s="16">
        <f>IF(C44="","SBE-"&amp;TEXT(COUNTA($C$5:C44),"000"))</f>
        <v/>
      </c>
      <c r="C44" s="14" t="n"/>
      <c r="D44" s="14" t="n"/>
      <c r="E44" s="19" t="n"/>
      <c r="F44" s="19" t="n"/>
      <c r="G44" s="51" t="n"/>
      <c r="H44" s="44">
        <f>IF(F44="","",F44/160)</f>
        <v/>
      </c>
      <c r="I44" s="19" t="n"/>
      <c r="J44" s="19">
        <f>IF(OR(F44="",I44=""),"",I44/F44)</f>
        <v/>
      </c>
      <c r="K44" s="14" t="n"/>
    </row>
    <row r="45" ht="22" customHeight="1">
      <c r="B45" s="17">
        <f>IF(C45="","SBE-"&amp;TEXT(COUNTA($C$5:C45),"000"))</f>
        <v/>
      </c>
      <c r="C45" s="12" t="n"/>
      <c r="D45" s="12" t="n"/>
      <c r="E45" s="18" t="n"/>
      <c r="F45" s="18" t="n"/>
      <c r="G45" s="49" t="n"/>
      <c r="H45" s="43">
        <f>IF(F45="","",F45/160)</f>
        <v/>
      </c>
      <c r="I45" s="18" t="n"/>
      <c r="J45" s="18">
        <f>IF(OR(F45="",I45=""),"",I45/F45)</f>
        <v/>
      </c>
      <c r="K45" s="12" t="n"/>
    </row>
    <row r="46" ht="22" customHeight="1">
      <c r="B46" s="16">
        <f>IF(C46="","SBE-"&amp;TEXT(COUNTA($C$5:C46),"000"))</f>
        <v/>
      </c>
      <c r="C46" s="14" t="n"/>
      <c r="D46" s="14" t="n"/>
      <c r="E46" s="19" t="n"/>
      <c r="F46" s="19" t="n"/>
      <c r="G46" s="51" t="n"/>
      <c r="H46" s="44">
        <f>IF(F46="","",F46/160)</f>
        <v/>
      </c>
      <c r="I46" s="19" t="n"/>
      <c r="J46" s="19">
        <f>IF(OR(F46="",I46=""),"",I46/F46)</f>
        <v/>
      </c>
      <c r="K46" s="14" t="n"/>
    </row>
    <row r="47" ht="22" customHeight="1">
      <c r="B47" s="17">
        <f>IF(C47="","SBE-"&amp;TEXT(COUNTA($C$5:C47),"000"))</f>
        <v/>
      </c>
      <c r="C47" s="12" t="n"/>
      <c r="D47" s="12" t="n"/>
      <c r="E47" s="18" t="n"/>
      <c r="F47" s="18" t="n"/>
      <c r="G47" s="49" t="n"/>
      <c r="H47" s="43">
        <f>IF(F47="","",F47/160)</f>
        <v/>
      </c>
      <c r="I47" s="18" t="n"/>
      <c r="J47" s="18">
        <f>IF(OR(F47="",I47=""),"",I47/F47)</f>
        <v/>
      </c>
      <c r="K47" s="12" t="n"/>
    </row>
    <row r="48" ht="22" customHeight="1">
      <c r="B48" s="16">
        <f>IF(C48="","SBE-"&amp;TEXT(COUNTA($C$5:C48),"000"))</f>
        <v/>
      </c>
      <c r="C48" s="14" t="n"/>
      <c r="D48" s="14" t="n"/>
      <c r="E48" s="19" t="n"/>
      <c r="F48" s="19" t="n"/>
      <c r="G48" s="51" t="n"/>
      <c r="H48" s="44">
        <f>IF(F48="","",F48/160)</f>
        <v/>
      </c>
      <c r="I48" s="19" t="n"/>
      <c r="J48" s="19">
        <f>IF(OR(F48="",I48=""),"",I48/F48)</f>
        <v/>
      </c>
      <c r="K48" s="14" t="n"/>
    </row>
    <row r="49" ht="22" customHeight="1">
      <c r="B49" s="17">
        <f>IF(C49="","SBE-"&amp;TEXT(COUNTA($C$5:C49),"000"))</f>
        <v/>
      </c>
      <c r="C49" s="12" t="n"/>
      <c r="D49" s="12" t="n"/>
      <c r="E49" s="18" t="n"/>
      <c r="F49" s="18" t="n"/>
      <c r="G49" s="49" t="n"/>
      <c r="H49" s="43">
        <f>IF(F49="","",F49/160)</f>
        <v/>
      </c>
      <c r="I49" s="18" t="n"/>
      <c r="J49" s="18">
        <f>IF(OR(F49="",I49=""),"",I49/F49)</f>
        <v/>
      </c>
      <c r="K49" s="12" t="n"/>
    </row>
    <row r="50" ht="22" customHeight="1">
      <c r="B50" s="16">
        <f>IF(C50="","SBE-"&amp;TEXT(COUNTA($C$5:C50),"000"))</f>
        <v/>
      </c>
      <c r="C50" s="14" t="n"/>
      <c r="D50" s="14" t="n"/>
      <c r="E50" s="19" t="n"/>
      <c r="F50" s="19" t="n"/>
      <c r="G50" s="51" t="n"/>
      <c r="H50" s="44">
        <f>IF(F50="","",F50/160)</f>
        <v/>
      </c>
      <c r="I50" s="19" t="n"/>
      <c r="J50" s="19">
        <f>IF(OR(F50="",I50=""),"",I50/F50)</f>
        <v/>
      </c>
      <c r="K50" s="14" t="n"/>
    </row>
    <row r="51" ht="22" customHeight="1">
      <c r="B51" s="17">
        <f>IF(C51="","SBE-"&amp;TEXT(COUNTA($C$5:C51),"000"))</f>
        <v/>
      </c>
      <c r="C51" s="12" t="n"/>
      <c r="D51" s="12" t="n"/>
      <c r="E51" s="18" t="n"/>
      <c r="F51" s="18" t="n"/>
      <c r="G51" s="49" t="n"/>
      <c r="H51" s="43">
        <f>IF(F51="","",F51/160)</f>
        <v/>
      </c>
      <c r="I51" s="18" t="n"/>
      <c r="J51" s="18">
        <f>IF(OR(F51="",I51=""),"",I51/F51)</f>
        <v/>
      </c>
      <c r="K51" s="12" t="n"/>
    </row>
    <row r="52" ht="22" customHeight="1">
      <c r="B52" s="16">
        <f>IF(C52="","SBE-"&amp;TEXT(COUNTA($C$5:C52),"000"))</f>
        <v/>
      </c>
      <c r="C52" s="14" t="n"/>
      <c r="D52" s="14" t="n"/>
      <c r="E52" s="19" t="n"/>
      <c r="F52" s="19" t="n"/>
      <c r="G52" s="51" t="n"/>
      <c r="H52" s="44">
        <f>IF(F52="","",F52/160)</f>
        <v/>
      </c>
      <c r="I52" s="19" t="n"/>
      <c r="J52" s="19">
        <f>IF(OR(F52="",I52=""),"",I52/F52)</f>
        <v/>
      </c>
      <c r="K52" s="14" t="n"/>
    </row>
    <row r="53" ht="22" customHeight="1">
      <c r="B53" s="17">
        <f>IF(C53="","SBE-"&amp;TEXT(COUNTA($C$5:C53),"000"))</f>
        <v/>
      </c>
      <c r="C53" s="12" t="n"/>
      <c r="D53" s="12" t="n"/>
      <c r="E53" s="18" t="n"/>
      <c r="F53" s="18" t="n"/>
      <c r="G53" s="49" t="n"/>
      <c r="H53" s="43">
        <f>IF(F53="","",F53/160)</f>
        <v/>
      </c>
      <c r="I53" s="18" t="n"/>
      <c r="J53" s="18">
        <f>IF(OR(F53="",I53=""),"",I53/F53)</f>
        <v/>
      </c>
      <c r="K53" s="12" t="n"/>
    </row>
    <row r="54" ht="22" customHeight="1">
      <c r="B54" s="16">
        <f>IF(C54="","SBE-"&amp;TEXT(COUNTA($C$5:C54),"000"))</f>
        <v/>
      </c>
      <c r="C54" s="14" t="n"/>
      <c r="D54" s="14" t="n"/>
      <c r="E54" s="19" t="n"/>
      <c r="F54" s="19" t="n"/>
      <c r="G54" s="51" t="n"/>
      <c r="H54" s="44">
        <f>IF(F54="","",F54/160)</f>
        <v/>
      </c>
      <c r="I54" s="19" t="n"/>
      <c r="J54" s="19">
        <f>IF(OR(F54="",I54=""),"",I54/F54)</f>
        <v/>
      </c>
      <c r="K54" s="14" t="n"/>
    </row>
    <row r="55" ht="22" customHeight="1">
      <c r="B55" s="17">
        <f>IF(C55="","SBE-"&amp;TEXT(COUNTA($C$5:C55),"000"))</f>
        <v/>
      </c>
      <c r="C55" s="12" t="n"/>
      <c r="D55" s="12" t="n"/>
      <c r="E55" s="18" t="n"/>
      <c r="F55" s="18" t="n"/>
      <c r="G55" s="49" t="n"/>
      <c r="H55" s="43">
        <f>IF(F55="","",F55/160)</f>
        <v/>
      </c>
      <c r="I55" s="18" t="n"/>
      <c r="J55" s="18">
        <f>IF(OR(F55="",I55=""),"",I55/F55)</f>
        <v/>
      </c>
      <c r="K55" s="12" t="n"/>
    </row>
    <row r="56" ht="22" customHeight="1">
      <c r="B56" s="16">
        <f>IF(C56="","SBE-"&amp;TEXT(COUNTA($C$5:C56),"000"))</f>
        <v/>
      </c>
      <c r="C56" s="14" t="n"/>
      <c r="D56" s="14" t="n"/>
      <c r="E56" s="19" t="n"/>
      <c r="F56" s="19" t="n"/>
      <c r="G56" s="51" t="n"/>
      <c r="H56" s="44">
        <f>IF(F56="","",F56/160)</f>
        <v/>
      </c>
      <c r="I56" s="19" t="n"/>
      <c r="J56" s="19">
        <f>IF(OR(F56="",I56=""),"",I56/F56)</f>
        <v/>
      </c>
      <c r="K56" s="14" t="n"/>
    </row>
    <row r="57" ht="22" customHeight="1">
      <c r="B57" s="17">
        <f>IF(C57="","SBE-"&amp;TEXT(COUNTA($C$5:C57),"000"))</f>
        <v/>
      </c>
      <c r="C57" s="12" t="n"/>
      <c r="D57" s="12" t="n"/>
      <c r="E57" s="18" t="n"/>
      <c r="F57" s="18" t="n"/>
      <c r="G57" s="49" t="n"/>
      <c r="H57" s="43">
        <f>IF(F57="","",F57/160)</f>
        <v/>
      </c>
      <c r="I57" s="18" t="n"/>
      <c r="J57" s="18">
        <f>IF(OR(F57="",I57=""),"",I57/F57)</f>
        <v/>
      </c>
      <c r="K57" s="12" t="n"/>
    </row>
    <row r="58" ht="22" customHeight="1">
      <c r="B58" s="16">
        <f>IF(C58="","SBE-"&amp;TEXT(COUNTA($C$5:C58),"000"))</f>
        <v/>
      </c>
      <c r="C58" s="14" t="n"/>
      <c r="D58" s="14" t="n"/>
      <c r="E58" s="19" t="n"/>
      <c r="F58" s="19" t="n"/>
      <c r="G58" s="51" t="n"/>
      <c r="H58" s="44">
        <f>IF(F58="","",F58/160)</f>
        <v/>
      </c>
      <c r="I58" s="19" t="n"/>
      <c r="J58" s="19">
        <f>IF(OR(F58="",I58=""),"",I58/F58)</f>
        <v/>
      </c>
      <c r="K58" s="14" t="n"/>
    </row>
    <row r="59" ht="22" customHeight="1">
      <c r="B59" s="17">
        <f>IF(C59="","SBE-"&amp;TEXT(COUNTA($C$5:C59),"000"))</f>
        <v/>
      </c>
      <c r="C59" s="12" t="n"/>
      <c r="D59" s="12" t="n"/>
      <c r="E59" s="18" t="n"/>
      <c r="F59" s="18" t="n"/>
      <c r="G59" s="49" t="n"/>
      <c r="H59" s="43">
        <f>IF(F59="","",F59/160)</f>
        <v/>
      </c>
      <c r="I59" s="18" t="n"/>
      <c r="J59" s="18">
        <f>IF(OR(F59="",I59=""),"",I59/F59)</f>
        <v/>
      </c>
      <c r="K59" s="12" t="n"/>
    </row>
    <row r="60" ht="22" customHeight="1">
      <c r="B60" s="16">
        <f>IF(C60="","SBE-"&amp;TEXT(COUNTA($C$5:C60),"000"))</f>
        <v/>
      </c>
      <c r="C60" s="14" t="n"/>
      <c r="D60" s="14" t="n"/>
      <c r="E60" s="19" t="n"/>
      <c r="F60" s="19" t="n"/>
      <c r="G60" s="51" t="n"/>
      <c r="H60" s="44">
        <f>IF(F60="","",F60/160)</f>
        <v/>
      </c>
      <c r="I60" s="19" t="n"/>
      <c r="J60" s="19">
        <f>IF(OR(F60="",I60=""),"",I60/F60)</f>
        <v/>
      </c>
      <c r="K60" s="14" t="n"/>
    </row>
    <row r="61" ht="22" customHeight="1">
      <c r="B61" s="17">
        <f>IF(C61="","SBE-"&amp;TEXT(COUNTA($C$5:C61),"000"))</f>
        <v/>
      </c>
      <c r="C61" s="12" t="n"/>
      <c r="D61" s="12" t="n"/>
      <c r="E61" s="18" t="n"/>
      <c r="F61" s="18" t="n"/>
      <c r="G61" s="49" t="n"/>
      <c r="H61" s="43">
        <f>IF(F61="","",F61/160)</f>
        <v/>
      </c>
      <c r="I61" s="18" t="n"/>
      <c r="J61" s="18">
        <f>IF(OR(F61="",I61=""),"",I61/F61)</f>
        <v/>
      </c>
      <c r="K61" s="12" t="n"/>
    </row>
    <row r="62" ht="22" customHeight="1">
      <c r="B62" s="16">
        <f>IF(C62="","SBE-"&amp;TEXT(COUNTA($C$5:C62),"000"))</f>
        <v/>
      </c>
      <c r="C62" s="14" t="n"/>
      <c r="D62" s="14" t="n"/>
      <c r="E62" s="19" t="n"/>
      <c r="F62" s="19" t="n"/>
      <c r="G62" s="51" t="n"/>
      <c r="H62" s="44">
        <f>IF(F62="","",F62/160)</f>
        <v/>
      </c>
      <c r="I62" s="19" t="n"/>
      <c r="J62" s="19">
        <f>IF(OR(F62="",I62=""),"",I62/F62)</f>
        <v/>
      </c>
      <c r="K62" s="14" t="n"/>
    </row>
    <row r="63" ht="22" customHeight="1">
      <c r="B63" s="17">
        <f>IF(C63="","SBE-"&amp;TEXT(COUNTA($C$5:C63),"000"))</f>
        <v/>
      </c>
      <c r="C63" s="12" t="n"/>
      <c r="D63" s="12" t="n"/>
      <c r="E63" s="18" t="n"/>
      <c r="F63" s="18" t="n"/>
      <c r="G63" s="49" t="n"/>
      <c r="H63" s="43">
        <f>IF(F63="","",F63/160)</f>
        <v/>
      </c>
      <c r="I63" s="18" t="n"/>
      <c r="J63" s="18">
        <f>IF(OR(F63="",I63=""),"",I63/F63)</f>
        <v/>
      </c>
      <c r="K63" s="12" t="n"/>
    </row>
    <row r="64" ht="22" customHeight="1">
      <c r="B64" s="16">
        <f>IF(C64="","SBE-"&amp;TEXT(COUNTA($C$5:C64),"000"))</f>
        <v/>
      </c>
      <c r="C64" s="14" t="n"/>
      <c r="D64" s="14" t="n"/>
      <c r="E64" s="19" t="n"/>
      <c r="F64" s="19" t="n"/>
      <c r="G64" s="51" t="n"/>
      <c r="H64" s="44">
        <f>IF(F64="","",F64/160)</f>
        <v/>
      </c>
      <c r="I64" s="19" t="n"/>
      <c r="J64" s="19">
        <f>IF(OR(F64="",I64=""),"",I64/F64)</f>
        <v/>
      </c>
      <c r="K64" s="14" t="n"/>
    </row>
    <row r="65" ht="22" customHeight="1">
      <c r="B65" s="17">
        <f>IF(C65="","SBE-"&amp;TEXT(COUNTA($C$5:C65),"000"))</f>
        <v/>
      </c>
      <c r="C65" s="12" t="n"/>
      <c r="D65" s="12" t="n"/>
      <c r="E65" s="18" t="n"/>
      <c r="F65" s="18" t="n"/>
      <c r="G65" s="49" t="n"/>
      <c r="H65" s="43">
        <f>IF(F65="","",F65/160)</f>
        <v/>
      </c>
      <c r="I65" s="18" t="n"/>
      <c r="J65" s="18">
        <f>IF(OR(F65="",I65=""),"",I65/F65)</f>
        <v/>
      </c>
      <c r="K65" s="12" t="n"/>
    </row>
    <row r="66" ht="22" customHeight="1">
      <c r="B66" s="16">
        <f>IF(C66="","SBE-"&amp;TEXT(COUNTA($C$5:C66),"000"))</f>
        <v/>
      </c>
      <c r="C66" s="14" t="n"/>
      <c r="D66" s="14" t="n"/>
      <c r="E66" s="19" t="n"/>
      <c r="F66" s="19" t="n"/>
      <c r="G66" s="51" t="n"/>
      <c r="H66" s="44">
        <f>IF(F66="","",F66/160)</f>
        <v/>
      </c>
      <c r="I66" s="19" t="n"/>
      <c r="J66" s="19">
        <f>IF(OR(F66="",I66=""),"",I66/F66)</f>
        <v/>
      </c>
      <c r="K66" s="14" t="n"/>
    </row>
    <row r="67" ht="22" customHeight="1">
      <c r="B67" s="17">
        <f>IF(C67="","SBE-"&amp;TEXT(COUNTA($C$5:C67),"000"))</f>
        <v/>
      </c>
      <c r="C67" s="12" t="n"/>
      <c r="D67" s="12" t="n"/>
      <c r="E67" s="18" t="n"/>
      <c r="F67" s="18" t="n"/>
      <c r="G67" s="49" t="n"/>
      <c r="H67" s="43">
        <f>IF(F67="","",F67/160)</f>
        <v/>
      </c>
      <c r="I67" s="18" t="n"/>
      <c r="J67" s="18">
        <f>IF(OR(F67="",I67=""),"",I67/F67)</f>
        <v/>
      </c>
      <c r="K67" s="12" t="n"/>
    </row>
    <row r="68" ht="22" customHeight="1">
      <c r="B68" s="16">
        <f>IF(C68="","SBE-"&amp;TEXT(COUNTA($C$5:C68),"000"))</f>
        <v/>
      </c>
      <c r="C68" s="14" t="n"/>
      <c r="D68" s="14" t="n"/>
      <c r="E68" s="19" t="n"/>
      <c r="F68" s="19" t="n"/>
      <c r="G68" s="51" t="n"/>
      <c r="H68" s="44">
        <f>IF(F68="","",F68/160)</f>
        <v/>
      </c>
      <c r="I68" s="19" t="n"/>
      <c r="J68" s="19">
        <f>IF(OR(F68="",I68=""),"",I68/F68)</f>
        <v/>
      </c>
      <c r="K68" s="14" t="n"/>
    </row>
    <row r="69" ht="22" customHeight="1">
      <c r="B69" s="17">
        <f>IF(C69="","SBE-"&amp;TEXT(COUNTA($C$5:C69),"000"))</f>
        <v/>
      </c>
      <c r="C69" s="12" t="n"/>
      <c r="D69" s="12" t="n"/>
      <c r="E69" s="18" t="n"/>
      <c r="F69" s="18" t="n"/>
      <c r="G69" s="49" t="n"/>
      <c r="H69" s="43">
        <f>IF(F69="","",F69/160)</f>
        <v/>
      </c>
      <c r="I69" s="18" t="n"/>
      <c r="J69" s="18">
        <f>IF(OR(F69="",I69=""),"",I69/F69)</f>
        <v/>
      </c>
      <c r="K69" s="12" t="n"/>
    </row>
    <row r="70" ht="22" customHeight="1">
      <c r="B70" s="16">
        <f>IF(C70="","SBE-"&amp;TEXT(COUNTA($C$5:C70),"000"))</f>
        <v/>
      </c>
      <c r="C70" s="14" t="n"/>
      <c r="D70" s="14" t="n"/>
      <c r="E70" s="19" t="n"/>
      <c r="F70" s="19" t="n"/>
      <c r="G70" s="51" t="n"/>
      <c r="H70" s="44">
        <f>IF(F70="","",F70/160)</f>
        <v/>
      </c>
      <c r="I70" s="19" t="n"/>
      <c r="J70" s="19">
        <f>IF(OR(F70="",I70=""),"",I70/F70)</f>
        <v/>
      </c>
      <c r="K70" s="14" t="n"/>
    </row>
    <row r="71" ht="22" customHeight="1">
      <c r="B71" s="17">
        <f>IF(C71="","SBE-"&amp;TEXT(COUNTA($C$5:C71),"000"))</f>
        <v/>
      </c>
      <c r="C71" s="12" t="n"/>
      <c r="D71" s="12" t="n"/>
      <c r="E71" s="18" t="n"/>
      <c r="F71" s="18" t="n"/>
      <c r="G71" s="49" t="n"/>
      <c r="H71" s="43">
        <f>IF(F71="","",F71/160)</f>
        <v/>
      </c>
      <c r="I71" s="18" t="n"/>
      <c r="J71" s="18">
        <f>IF(OR(F71="",I71=""),"",I71/F71)</f>
        <v/>
      </c>
      <c r="K71" s="12" t="n"/>
    </row>
    <row r="72" ht="22" customHeight="1">
      <c r="B72" s="16">
        <f>IF(C72="","SBE-"&amp;TEXT(COUNTA($C$5:C72),"000"))</f>
        <v/>
      </c>
      <c r="C72" s="14" t="n"/>
      <c r="D72" s="14" t="n"/>
      <c r="E72" s="19" t="n"/>
      <c r="F72" s="19" t="n"/>
      <c r="G72" s="51" t="n"/>
      <c r="H72" s="44">
        <f>IF(F72="","",F72/160)</f>
        <v/>
      </c>
      <c r="I72" s="19" t="n"/>
      <c r="J72" s="19">
        <f>IF(OR(F72="",I72=""),"",I72/F72)</f>
        <v/>
      </c>
      <c r="K72" s="14" t="n"/>
    </row>
    <row r="73" ht="22" customHeight="1">
      <c r="B73" s="17">
        <f>IF(C73="","SBE-"&amp;TEXT(COUNTA($C$5:C73),"000"))</f>
        <v/>
      </c>
      <c r="C73" s="12" t="n"/>
      <c r="D73" s="12" t="n"/>
      <c r="E73" s="18" t="n"/>
      <c r="F73" s="18" t="n"/>
      <c r="G73" s="49" t="n"/>
      <c r="H73" s="43">
        <f>IF(F73="","",F73/160)</f>
        <v/>
      </c>
      <c r="I73" s="18" t="n"/>
      <c r="J73" s="18">
        <f>IF(OR(F73="",I73=""),"",I73/F73)</f>
        <v/>
      </c>
      <c r="K73" s="12" t="n"/>
    </row>
    <row r="74" ht="22" customHeight="1">
      <c r="B74" s="16">
        <f>IF(C74="","SBE-"&amp;TEXT(COUNTA($C$5:C74),"000"))</f>
        <v/>
      </c>
      <c r="C74" s="14" t="n"/>
      <c r="D74" s="14" t="n"/>
      <c r="E74" s="19" t="n"/>
      <c r="F74" s="19" t="n"/>
      <c r="G74" s="51" t="n"/>
      <c r="H74" s="44">
        <f>IF(F74="","",F74/160)</f>
        <v/>
      </c>
      <c r="I74" s="19" t="n"/>
      <c r="J74" s="19">
        <f>IF(OR(F74="",I74=""),"",I74/F74)</f>
        <v/>
      </c>
      <c r="K74" s="14" t="n"/>
    </row>
    <row r="75" ht="22" customHeight="1">
      <c r="B75" s="17">
        <f>IF(C75="","SBE-"&amp;TEXT(COUNTA($C$5:C75),"000"))</f>
        <v/>
      </c>
      <c r="C75" s="12" t="n"/>
      <c r="D75" s="12" t="n"/>
      <c r="E75" s="18" t="n"/>
      <c r="F75" s="18" t="n"/>
      <c r="G75" s="49" t="n"/>
      <c r="H75" s="43">
        <f>IF(F75="","",F75/160)</f>
        <v/>
      </c>
      <c r="I75" s="18" t="n"/>
      <c r="J75" s="18">
        <f>IF(OR(F75="",I75=""),"",I75/F75)</f>
        <v/>
      </c>
      <c r="K75" s="12" t="n"/>
    </row>
    <row r="76" ht="22" customHeight="1">
      <c r="B76" s="16">
        <f>IF(C76="","SBE-"&amp;TEXT(COUNTA($C$5:C76),"000"))</f>
        <v/>
      </c>
      <c r="C76" s="14" t="n"/>
      <c r="D76" s="14" t="n"/>
      <c r="E76" s="19" t="n"/>
      <c r="F76" s="19" t="n"/>
      <c r="G76" s="51" t="n"/>
      <c r="H76" s="44">
        <f>IF(F76="","",F76/160)</f>
        <v/>
      </c>
      <c r="I76" s="19" t="n"/>
      <c r="J76" s="19">
        <f>IF(OR(F76="",I76=""),"",I76/F76)</f>
        <v/>
      </c>
      <c r="K76" s="14" t="n"/>
    </row>
    <row r="77" ht="22" customHeight="1">
      <c r="B77" s="17">
        <f>IF(C77="","SBE-"&amp;TEXT(COUNTA($C$5:C77),"000"))</f>
        <v/>
      </c>
      <c r="C77" s="12" t="n"/>
      <c r="D77" s="12" t="n"/>
      <c r="E77" s="18" t="n"/>
      <c r="F77" s="18" t="n"/>
      <c r="G77" s="49" t="n"/>
      <c r="H77" s="43">
        <f>IF(F77="","",F77/160)</f>
        <v/>
      </c>
      <c r="I77" s="18" t="n"/>
      <c r="J77" s="18">
        <f>IF(OR(F77="",I77=""),"",I77/F77)</f>
        <v/>
      </c>
      <c r="K77" s="12" t="n"/>
    </row>
    <row r="78" ht="22" customHeight="1">
      <c r="B78" s="16">
        <f>IF(C78="","SBE-"&amp;TEXT(COUNTA($C$5:C78),"000"))</f>
        <v/>
      </c>
      <c r="C78" s="14" t="n"/>
      <c r="D78" s="14" t="n"/>
      <c r="E78" s="19" t="n"/>
      <c r="F78" s="19" t="n"/>
      <c r="G78" s="51" t="n"/>
      <c r="H78" s="44">
        <f>IF(F78="","",F78/160)</f>
        <v/>
      </c>
      <c r="I78" s="19" t="n"/>
      <c r="J78" s="19">
        <f>IF(OR(F78="",I78=""),"",I78/F78)</f>
        <v/>
      </c>
      <c r="K78" s="14" t="n"/>
    </row>
    <row r="79" ht="22" customHeight="1">
      <c r="B79" s="17">
        <f>IF(C79="","SBE-"&amp;TEXT(COUNTA($C$5:C79),"000"))</f>
        <v/>
      </c>
      <c r="C79" s="12" t="n"/>
      <c r="D79" s="12" t="n"/>
      <c r="E79" s="18" t="n"/>
      <c r="F79" s="18" t="n"/>
      <c r="G79" s="49" t="n"/>
      <c r="H79" s="43">
        <f>IF(F79="","",F79/160)</f>
        <v/>
      </c>
      <c r="I79" s="18" t="n"/>
      <c r="J79" s="18">
        <f>IF(OR(F79="",I79=""),"",I79/F79)</f>
        <v/>
      </c>
      <c r="K79" s="12" t="n"/>
    </row>
    <row r="80" ht="22" customHeight="1">
      <c r="B80" s="16">
        <f>IF(C80="","SBE-"&amp;TEXT(COUNTA($C$5:C80),"000"))</f>
        <v/>
      </c>
      <c r="C80" s="14" t="n"/>
      <c r="D80" s="14" t="n"/>
      <c r="E80" s="19" t="n"/>
      <c r="F80" s="19" t="n"/>
      <c r="G80" s="51" t="n"/>
      <c r="H80" s="44">
        <f>IF(F80="","",F80/160)</f>
        <v/>
      </c>
      <c r="I80" s="19" t="n"/>
      <c r="J80" s="19">
        <f>IF(OR(F80="",I80=""),"",I80/F80)</f>
        <v/>
      </c>
      <c r="K80" s="14" t="n"/>
    </row>
    <row r="81" ht="22" customHeight="1">
      <c r="B81" s="17">
        <f>IF(C81="","SBE-"&amp;TEXT(COUNTA($C$5:C81),"000"))</f>
        <v/>
      </c>
      <c r="C81" s="12" t="n"/>
      <c r="D81" s="12" t="n"/>
      <c r="E81" s="18" t="n"/>
      <c r="F81" s="18" t="n"/>
      <c r="G81" s="49" t="n"/>
      <c r="H81" s="43">
        <f>IF(F81="","",F81/160)</f>
        <v/>
      </c>
      <c r="I81" s="18" t="n"/>
      <c r="J81" s="18">
        <f>IF(OR(F81="",I81=""),"",I81/F81)</f>
        <v/>
      </c>
      <c r="K81" s="12" t="n"/>
    </row>
    <row r="82" ht="22" customHeight="1">
      <c r="B82" s="16">
        <f>IF(C82="","SBE-"&amp;TEXT(COUNTA($C$5:C82),"000"))</f>
        <v/>
      </c>
      <c r="C82" s="14" t="n"/>
      <c r="D82" s="14" t="n"/>
      <c r="E82" s="19" t="n"/>
      <c r="F82" s="19" t="n"/>
      <c r="G82" s="51" t="n"/>
      <c r="H82" s="44">
        <f>IF(F82="","",F82/160)</f>
        <v/>
      </c>
      <c r="I82" s="19" t="n"/>
      <c r="J82" s="19">
        <f>IF(OR(F82="",I82=""),"",I82/F82)</f>
        <v/>
      </c>
      <c r="K82" s="14" t="n"/>
    </row>
    <row r="83" ht="22" customHeight="1">
      <c r="B83" s="17">
        <f>IF(C83="","SBE-"&amp;TEXT(COUNTA($C$5:C83),"000"))</f>
        <v/>
      </c>
      <c r="C83" s="12" t="n"/>
      <c r="D83" s="12" t="n"/>
      <c r="E83" s="18" t="n"/>
      <c r="F83" s="18" t="n"/>
      <c r="G83" s="49" t="n"/>
      <c r="H83" s="43">
        <f>IF(F83="","",F83/160)</f>
        <v/>
      </c>
      <c r="I83" s="18" t="n"/>
      <c r="J83" s="18">
        <f>IF(OR(F83="",I83=""),"",I83/F83)</f>
        <v/>
      </c>
      <c r="K83" s="12" t="n"/>
    </row>
    <row r="84" ht="22" customHeight="1">
      <c r="B84" s="16">
        <f>IF(C84="","SBE-"&amp;TEXT(COUNTA($C$5:C84),"000"))</f>
        <v/>
      </c>
      <c r="C84" s="14" t="n"/>
      <c r="D84" s="14" t="n"/>
      <c r="E84" s="19" t="n"/>
      <c r="F84" s="19" t="n"/>
      <c r="G84" s="51" t="n"/>
      <c r="H84" s="44">
        <f>IF(F84="","",F84/160)</f>
        <v/>
      </c>
      <c r="I84" s="19" t="n"/>
      <c r="J84" s="19">
        <f>IF(OR(F84="",I84=""),"",I84/F84)</f>
        <v/>
      </c>
      <c r="K84" s="14" t="n"/>
    </row>
    <row r="85" ht="22" customHeight="1">
      <c r="B85" s="17">
        <f>IF(C85="","SBE-"&amp;TEXT(COUNTA($C$5:C85),"000"))</f>
        <v/>
      </c>
      <c r="C85" s="12" t="n"/>
      <c r="D85" s="12" t="n"/>
      <c r="E85" s="18" t="n"/>
      <c r="F85" s="18" t="n"/>
      <c r="G85" s="49" t="n"/>
      <c r="H85" s="43">
        <f>IF(F85="","",F85/160)</f>
        <v/>
      </c>
      <c r="I85" s="18" t="n"/>
      <c r="J85" s="18">
        <f>IF(OR(F85="",I85=""),"",I85/F85)</f>
        <v/>
      </c>
      <c r="K85" s="12" t="n"/>
    </row>
    <row r="86" ht="22" customHeight="1">
      <c r="B86" s="16">
        <f>IF(C86="","SBE-"&amp;TEXT(COUNTA($C$5:C86),"000"))</f>
        <v/>
      </c>
      <c r="C86" s="14" t="n"/>
      <c r="D86" s="14" t="n"/>
      <c r="E86" s="19" t="n"/>
      <c r="F86" s="19" t="n"/>
      <c r="G86" s="51" t="n"/>
      <c r="H86" s="44">
        <f>IF(F86="","",F86/160)</f>
        <v/>
      </c>
      <c r="I86" s="19" t="n"/>
      <c r="J86" s="19">
        <f>IF(OR(F86="",I86=""),"",I86/F86)</f>
        <v/>
      </c>
      <c r="K86" s="14" t="n"/>
    </row>
    <row r="87" ht="22" customHeight="1">
      <c r="B87" s="17">
        <f>IF(C87="","SBE-"&amp;TEXT(COUNTA($C$5:C87),"000"))</f>
        <v/>
      </c>
      <c r="C87" s="12" t="n"/>
      <c r="D87" s="12" t="n"/>
      <c r="E87" s="18" t="n"/>
      <c r="F87" s="18" t="n"/>
      <c r="G87" s="49" t="n"/>
      <c r="H87" s="43">
        <f>IF(F87="","",F87/160)</f>
        <v/>
      </c>
      <c r="I87" s="18" t="n"/>
      <c r="J87" s="18">
        <f>IF(OR(F87="",I87=""),"",I87/F87)</f>
        <v/>
      </c>
      <c r="K87" s="12" t="n"/>
    </row>
    <row r="88" ht="22" customHeight="1">
      <c r="B88" s="16">
        <f>IF(C88="","SBE-"&amp;TEXT(COUNTA($C$5:C88),"000"))</f>
        <v/>
      </c>
      <c r="C88" s="14" t="n"/>
      <c r="D88" s="14" t="n"/>
      <c r="E88" s="19" t="n"/>
      <c r="F88" s="19" t="n"/>
      <c r="G88" s="51" t="n"/>
      <c r="H88" s="44">
        <f>IF(F88="","",F88/160)</f>
        <v/>
      </c>
      <c r="I88" s="19" t="n"/>
      <c r="J88" s="19">
        <f>IF(OR(F88="",I88=""),"",I88/F88)</f>
        <v/>
      </c>
      <c r="K88" s="14" t="n"/>
    </row>
    <row r="89" ht="22" customHeight="1">
      <c r="B89" s="17">
        <f>IF(C89="","SBE-"&amp;TEXT(COUNTA($C$5:C89),"000"))</f>
        <v/>
      </c>
      <c r="C89" s="12" t="n"/>
      <c r="D89" s="12" t="n"/>
      <c r="E89" s="18" t="n"/>
      <c r="F89" s="18" t="n"/>
      <c r="G89" s="49" t="n"/>
      <c r="H89" s="43">
        <f>IF(F89="","",F89/160)</f>
        <v/>
      </c>
      <c r="I89" s="18" t="n"/>
      <c r="J89" s="18">
        <f>IF(OR(F89="",I89=""),"",I89/F89)</f>
        <v/>
      </c>
      <c r="K89" s="12" t="n"/>
    </row>
    <row r="90" ht="22" customHeight="1">
      <c r="B90" s="16">
        <f>IF(C90="","SBE-"&amp;TEXT(COUNTA($C$5:C90),"000"))</f>
        <v/>
      </c>
      <c r="C90" s="14" t="n"/>
      <c r="D90" s="14" t="n"/>
      <c r="E90" s="19" t="n"/>
      <c r="F90" s="19" t="n"/>
      <c r="G90" s="51" t="n"/>
      <c r="H90" s="44">
        <f>IF(F90="","",F90/160)</f>
        <v/>
      </c>
      <c r="I90" s="19" t="n"/>
      <c r="J90" s="19">
        <f>IF(OR(F90="",I90=""),"",I90/F90)</f>
        <v/>
      </c>
      <c r="K90" s="14" t="n"/>
    </row>
    <row r="91" ht="22" customHeight="1">
      <c r="B91" s="17">
        <f>IF(C91="","SBE-"&amp;TEXT(COUNTA($C$5:C91),"000"))</f>
        <v/>
      </c>
      <c r="C91" s="12" t="n"/>
      <c r="D91" s="12" t="n"/>
      <c r="E91" s="18" t="n"/>
      <c r="F91" s="18" t="n"/>
      <c r="G91" s="49" t="n"/>
      <c r="H91" s="43">
        <f>IF(F91="","",F91/160)</f>
        <v/>
      </c>
      <c r="I91" s="18" t="n"/>
      <c r="J91" s="18">
        <f>IF(OR(F91="",I91=""),"",I91/F91)</f>
        <v/>
      </c>
      <c r="K91" s="12" t="n"/>
    </row>
    <row r="92" ht="22" customHeight="1">
      <c r="B92" s="16">
        <f>IF(C92="","SBE-"&amp;TEXT(COUNTA($C$5:C92),"000"))</f>
        <v/>
      </c>
      <c r="C92" s="14" t="n"/>
      <c r="D92" s="14" t="n"/>
      <c r="E92" s="19" t="n"/>
      <c r="F92" s="19" t="n"/>
      <c r="G92" s="51" t="n"/>
      <c r="H92" s="44">
        <f>IF(F92="","",F92/160)</f>
        <v/>
      </c>
      <c r="I92" s="19" t="n"/>
      <c r="J92" s="19">
        <f>IF(OR(F92="",I92=""),"",I92/F92)</f>
        <v/>
      </c>
      <c r="K92" s="14" t="n"/>
    </row>
    <row r="93" ht="22" customHeight="1">
      <c r="B93" s="17">
        <f>IF(C93="","SBE-"&amp;TEXT(COUNTA($C$5:C93),"000"))</f>
        <v/>
      </c>
      <c r="C93" s="12" t="n"/>
      <c r="D93" s="12" t="n"/>
      <c r="E93" s="18" t="n"/>
      <c r="F93" s="18" t="n"/>
      <c r="G93" s="49" t="n"/>
      <c r="H93" s="43">
        <f>IF(F93="","",F93/160)</f>
        <v/>
      </c>
      <c r="I93" s="18" t="n"/>
      <c r="J93" s="18">
        <f>IF(OR(F93="",I93=""),"",I93/F93)</f>
        <v/>
      </c>
      <c r="K93" s="12" t="n"/>
    </row>
    <row r="94" ht="22" customHeight="1">
      <c r="B94" s="16">
        <f>IF(C94="","SBE-"&amp;TEXT(COUNTA($C$5:C94),"000"))</f>
        <v/>
      </c>
      <c r="C94" s="14" t="n"/>
      <c r="D94" s="14" t="n"/>
      <c r="E94" s="19" t="n"/>
      <c r="F94" s="19" t="n"/>
      <c r="G94" s="51" t="n"/>
      <c r="H94" s="44">
        <f>IF(F94="","",F94/160)</f>
        <v/>
      </c>
      <c r="I94" s="19" t="n"/>
      <c r="J94" s="19">
        <f>IF(OR(F94="",I94=""),"",I94/F94)</f>
        <v/>
      </c>
      <c r="K94" s="14" t="n"/>
    </row>
    <row r="95" ht="22" customHeight="1">
      <c r="B95" s="17">
        <f>IF(C95="","SBE-"&amp;TEXT(COUNTA($C$5:C95),"000"))</f>
        <v/>
      </c>
      <c r="C95" s="12" t="n"/>
      <c r="D95" s="12" t="n"/>
      <c r="E95" s="18" t="n"/>
      <c r="F95" s="18" t="n"/>
      <c r="G95" s="49" t="n"/>
      <c r="H95" s="43">
        <f>IF(F95="","",F95/160)</f>
        <v/>
      </c>
      <c r="I95" s="18" t="n"/>
      <c r="J95" s="18">
        <f>IF(OR(F95="",I95=""),"",I95/F95)</f>
        <v/>
      </c>
      <c r="K95" s="12" t="n"/>
    </row>
    <row r="96" ht="22" customHeight="1">
      <c r="B96" s="16">
        <f>IF(C96="","SBE-"&amp;TEXT(COUNTA($C$5:C96),"000"))</f>
        <v/>
      </c>
      <c r="C96" s="14" t="n"/>
      <c r="D96" s="14" t="n"/>
      <c r="E96" s="19" t="n"/>
      <c r="F96" s="19" t="n"/>
      <c r="G96" s="51" t="n"/>
      <c r="H96" s="44">
        <f>IF(F96="","",F96/160)</f>
        <v/>
      </c>
      <c r="I96" s="19" t="n"/>
      <c r="J96" s="19">
        <f>IF(OR(F96="",I96=""),"",I96/F96)</f>
        <v/>
      </c>
      <c r="K96" s="14" t="n"/>
    </row>
    <row r="97" ht="22" customHeight="1">
      <c r="B97" s="17">
        <f>IF(C97="","SBE-"&amp;TEXT(COUNTA($C$5:C97),"000"))</f>
        <v/>
      </c>
      <c r="C97" s="12" t="n"/>
      <c r="D97" s="12" t="n"/>
      <c r="E97" s="18" t="n"/>
      <c r="F97" s="18" t="n"/>
      <c r="G97" s="49" t="n"/>
      <c r="H97" s="43">
        <f>IF(F97="","",F97/160)</f>
        <v/>
      </c>
      <c r="I97" s="18" t="n"/>
      <c r="J97" s="18">
        <f>IF(OR(F97="",I97=""),"",I97/F97)</f>
        <v/>
      </c>
      <c r="K97" s="12" t="n"/>
    </row>
    <row r="98" ht="22" customHeight="1">
      <c r="B98" s="16">
        <f>IF(C98="","SBE-"&amp;TEXT(COUNTA($C$5:C98),"000"))</f>
        <v/>
      </c>
      <c r="C98" s="14" t="n"/>
      <c r="D98" s="14" t="n"/>
      <c r="E98" s="19" t="n"/>
      <c r="F98" s="19" t="n"/>
      <c r="G98" s="51" t="n"/>
      <c r="H98" s="44">
        <f>IF(F98="","",F98/160)</f>
        <v/>
      </c>
      <c r="I98" s="19" t="n"/>
      <c r="J98" s="19">
        <f>IF(OR(F98="",I98=""),"",I98/F98)</f>
        <v/>
      </c>
      <c r="K98" s="14" t="n"/>
    </row>
    <row r="99" ht="22" customHeight="1">
      <c r="B99" s="17">
        <f>IF(C99="","SBE-"&amp;TEXT(COUNTA($C$5:C99),"000"))</f>
        <v/>
      </c>
      <c r="C99" s="12" t="n"/>
      <c r="D99" s="12" t="n"/>
      <c r="E99" s="18" t="n"/>
      <c r="F99" s="18" t="n"/>
      <c r="G99" s="49" t="n"/>
      <c r="H99" s="43">
        <f>IF(F99="","",F99/160)</f>
        <v/>
      </c>
      <c r="I99" s="18" t="n"/>
      <c r="J99" s="18">
        <f>IF(OR(F99="",I99=""),"",I99/F99)</f>
        <v/>
      </c>
      <c r="K99" s="12" t="n"/>
    </row>
    <row r="100" ht="22" customHeight="1">
      <c r="B100" s="16">
        <f>IF(C100="","SBE-"&amp;TEXT(COUNTA($C$5:C100),"000"))</f>
        <v/>
      </c>
      <c r="C100" s="14" t="n"/>
      <c r="D100" s="14" t="n"/>
      <c r="E100" s="19" t="n"/>
      <c r="F100" s="19" t="n"/>
      <c r="G100" s="51" t="n"/>
      <c r="H100" s="44">
        <f>IF(F100="","",F100/160)</f>
        <v/>
      </c>
      <c r="I100" s="19" t="n"/>
      <c r="J100" s="19">
        <f>IF(OR(F100="",I100=""),"",I100/F100)</f>
        <v/>
      </c>
      <c r="K100" s="14" t="n"/>
    </row>
    <row r="101" ht="22" customHeight="1">
      <c r="B101" s="17">
        <f>IF(C101="","SBE-"&amp;TEXT(COUNTA($C$5:C101),"000"))</f>
        <v/>
      </c>
      <c r="C101" s="12" t="n"/>
      <c r="D101" s="12" t="n"/>
      <c r="E101" s="18" t="n"/>
      <c r="F101" s="18" t="n"/>
      <c r="G101" s="49" t="n"/>
      <c r="H101" s="43">
        <f>IF(F101="","",F101/160)</f>
        <v/>
      </c>
      <c r="I101" s="18" t="n"/>
      <c r="J101" s="18">
        <f>IF(OR(F101="",I101=""),"",I101/F101)</f>
        <v/>
      </c>
      <c r="K101" s="12" t="n"/>
    </row>
    <row r="102" ht="22" customHeight="1">
      <c r="B102" s="16">
        <f>IF(C102="","SBE-"&amp;TEXT(COUNTA($C$5:C102),"000"))</f>
        <v/>
      </c>
      <c r="C102" s="14" t="n"/>
      <c r="D102" s="14" t="n"/>
      <c r="E102" s="19" t="n"/>
      <c r="F102" s="19" t="n"/>
      <c r="G102" s="51" t="n"/>
      <c r="H102" s="44">
        <f>IF(F102="","",F102/160)</f>
        <v/>
      </c>
      <c r="I102" s="19" t="n"/>
      <c r="J102" s="19">
        <f>IF(OR(F102="",I102=""),"",I102/F102)</f>
        <v/>
      </c>
      <c r="K102" s="14" t="n"/>
    </row>
    <row r="103" ht="22" customHeight="1">
      <c r="B103" s="17">
        <f>IF(C103="","SBE-"&amp;TEXT(COUNTA($C$5:C103),"000"))</f>
        <v/>
      </c>
      <c r="C103" s="12" t="n"/>
      <c r="D103" s="12" t="n"/>
      <c r="E103" s="18" t="n"/>
      <c r="F103" s="18" t="n"/>
      <c r="G103" s="49" t="n"/>
      <c r="H103" s="43">
        <f>IF(F103="","",F103/160)</f>
        <v/>
      </c>
      <c r="I103" s="18" t="n"/>
      <c r="J103" s="18">
        <f>IF(OR(F103="",I103=""),"",I103/F103)</f>
        <v/>
      </c>
      <c r="K103" s="12" t="n"/>
    </row>
    <row r="104" ht="22" customHeight="1">
      <c r="B104" s="16">
        <f>IF(C104="","SBE-"&amp;TEXT(COUNTA($C$5:C104),"000"))</f>
        <v/>
      </c>
      <c r="C104" s="14" t="n"/>
      <c r="D104" s="14" t="n"/>
      <c r="E104" s="19" t="n"/>
      <c r="F104" s="19" t="n"/>
      <c r="G104" s="51" t="n"/>
      <c r="H104" s="44">
        <f>IF(F104="","",F104/160)</f>
        <v/>
      </c>
      <c r="I104" s="19" t="n"/>
      <c r="J104" s="19">
        <f>IF(OR(F104="",I104=""),"",I104/F104)</f>
        <v/>
      </c>
      <c r="K104" s="14" t="n"/>
    </row>
    <row r="105" ht="22" customHeight="1">
      <c r="B105" s="17">
        <f>IF(C105="","SBE-"&amp;TEXT(COUNTA($C$5:C105),"000"))</f>
        <v/>
      </c>
      <c r="C105" s="12" t="n"/>
      <c r="D105" s="12" t="n"/>
      <c r="E105" s="18" t="n"/>
      <c r="F105" s="18" t="n"/>
      <c r="G105" s="49" t="n"/>
      <c r="H105" s="43">
        <f>IF(F105="","",F105/160)</f>
        <v/>
      </c>
      <c r="I105" s="18" t="n"/>
      <c r="J105" s="18">
        <f>IF(OR(F105="",I105=""),"",I105/F105)</f>
        <v/>
      </c>
      <c r="K105" s="12" t="n"/>
    </row>
    <row r="106" ht="22" customHeight="1">
      <c r="B106" s="16">
        <f>IF(C106="","SBE-"&amp;TEXT(COUNTA($C$5:C106),"000"))</f>
        <v/>
      </c>
      <c r="C106" s="14" t="n"/>
      <c r="D106" s="14" t="n"/>
      <c r="E106" s="19" t="n"/>
      <c r="F106" s="19" t="n"/>
      <c r="G106" s="51" t="n"/>
      <c r="H106" s="44">
        <f>IF(F106="","",F106/160)</f>
        <v/>
      </c>
      <c r="I106" s="19" t="n"/>
      <c r="J106" s="19">
        <f>IF(OR(F106="",I106=""),"",I106/F106)</f>
        <v/>
      </c>
      <c r="K106" s="14" t="n"/>
    </row>
    <row r="107" ht="22" customHeight="1">
      <c r="B107" s="17">
        <f>IF(C107="","SBE-"&amp;TEXT(COUNTA($C$5:C107),"000"))</f>
        <v/>
      </c>
      <c r="C107" s="12" t="n"/>
      <c r="D107" s="12" t="n"/>
      <c r="E107" s="18" t="n"/>
      <c r="F107" s="18" t="n"/>
      <c r="G107" s="49" t="n"/>
      <c r="H107" s="43">
        <f>IF(F107="","",F107/160)</f>
        <v/>
      </c>
      <c r="I107" s="18" t="n"/>
      <c r="J107" s="18">
        <f>IF(OR(F107="",I107=""),"",I107/F107)</f>
        <v/>
      </c>
      <c r="K107" s="12" t="n"/>
    </row>
    <row r="109">
      <c r="B109" s="6" t="inlineStr">
        <is>
          <t>INDICATEURS (mis a jour automatiquement)</t>
        </is>
      </c>
    </row>
    <row r="110">
      <c r="B110" s="3" t="inlineStr">
        <is>
          <t>Sessions totales</t>
        </is>
      </c>
      <c r="D110" s="3" t="inlineStr">
        <is>
          <t>Participants totaux</t>
        </is>
      </c>
      <c r="F110" s="3" t="inlineStr">
        <is>
          <t>Satisfaction moyenne</t>
        </is>
      </c>
    </row>
    <row r="111">
      <c r="B111" s="4">
        <f>SUM(E5:E104)</f>
        <v/>
      </c>
      <c r="D111" s="4">
        <f>SUM(F5:F104)</f>
        <v/>
      </c>
      <c r="F111" s="4">
        <f>IFERROR(AVERAGE(G5:G104),0)</f>
        <v/>
      </c>
    </row>
  </sheetData>
  <mergeCells count="3">
    <mergeCell ref="B109:K109"/>
    <mergeCell ref="B3:K3"/>
    <mergeCell ref="B2:K2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G5:G104">
    <cfRule type="dataBar" priority="11">
      <dataBar>
        <cfvo type="num" val="0"/>
        <cfvo type="num" val="5"/>
        <color rgb="004472C4"/>
      </dataBar>
    </cfRule>
  </conditionalFormatting>
  <dataValidations count="1">
    <dataValidation sqref="C5:C111" showDropDown="0" showInputMessage="0" showErrorMessage="0" allowBlank="1" promptTitle="Periode" prompt="Choisir: mois_annee" type="list">
      <formula1>'_Lists'!$U$2:$U$20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22" customWidth="1" min="4" max="4"/>
    <col width="20" customWidth="1" min="5" max="5"/>
    <col width="24" customWidth="1" min="6" max="6"/>
    <col width="22" customWidth="1" min="7" max="7"/>
    <col width="18" customWidth="1" min="8" max="8"/>
    <col width="22" customWidth="1" min="9" max="9"/>
    <col width="30" customWidth="1" min="10" max="10"/>
  </cols>
  <sheetData>
    <row r="1" ht="15" customHeight="1"/>
    <row r="2" ht="32" customHeight="1">
      <c r="B2" s="1" t="inlineStr">
        <is>
          <t>HISTORIQUE ACTIONS SOCIALES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Annee</t>
        </is>
      </c>
      <c r="D4" s="11" t="inlineStr">
        <is>
          <t>Nb Actions Realisees</t>
        </is>
      </c>
      <c r="E4" s="11" t="inlineStr">
        <is>
          <t>Budget Total (FCFA)</t>
        </is>
      </c>
      <c r="F4" s="11" t="inlineStr">
        <is>
          <t>Montant Deploye (FCFA)</t>
        </is>
      </c>
      <c r="G4" s="11" t="inlineStr">
        <is>
          <t>Taux Utilisation (%)</t>
        </is>
      </c>
      <c r="H4" s="11" t="inlineStr">
        <is>
          <t>Nb Beneficiaires</t>
        </is>
      </c>
      <c r="I4" s="11" t="inlineStr">
        <is>
          <t>Partenaires Impliques</t>
        </is>
      </c>
      <c r="J4" s="11" t="inlineStr">
        <is>
          <t>Action Phare</t>
        </is>
      </c>
    </row>
    <row r="5" ht="22" customHeight="1">
      <c r="B5" s="12" t="inlineStr">
        <is>
          <t>HAS-001</t>
        </is>
      </c>
      <c r="C5" s="12" t="n">
        <v>2022</v>
      </c>
      <c r="D5" s="18" t="n">
        <v>6</v>
      </c>
      <c r="E5" s="18" t="n">
        <v>1500000</v>
      </c>
      <c r="F5" s="18" t="n">
        <v>1350000</v>
      </c>
      <c r="G5" s="43" t="n"/>
      <c r="H5" s="18" t="n">
        <v>180</v>
      </c>
      <c r="I5" s="18" t="n">
        <v>2</v>
      </c>
      <c r="J5" s="12" t="inlineStr">
        <is>
          <t>Dons fournitures scolaires</t>
        </is>
      </c>
    </row>
    <row r="6" ht="22" customHeight="1">
      <c r="B6" s="14" t="inlineStr">
        <is>
          <t>HAS-002</t>
        </is>
      </c>
      <c r="C6" s="14" t="n">
        <v>2023</v>
      </c>
      <c r="D6" s="19" t="n">
        <v>8</v>
      </c>
      <c r="E6" s="19" t="n">
        <v>2200000</v>
      </c>
      <c r="F6" s="19" t="n">
        <v>2000000</v>
      </c>
      <c r="G6" s="44" t="n"/>
      <c r="H6" s="19" t="n">
        <v>250</v>
      </c>
      <c r="I6" s="19" t="n">
        <v>3</v>
      </c>
      <c r="J6" s="14" t="inlineStr">
        <is>
          <t>Journee sante employes</t>
        </is>
      </c>
    </row>
    <row r="7" ht="22" customHeight="1">
      <c r="B7" s="12" t="inlineStr">
        <is>
          <t>HAS-003</t>
        </is>
      </c>
      <c r="C7" s="12" t="n">
        <v>2024</v>
      </c>
      <c r="D7" s="18" t="n">
        <v>10</v>
      </c>
      <c r="E7" s="18" t="n">
        <v>3500000</v>
      </c>
      <c r="F7" s="18" t="n">
        <v>3200000</v>
      </c>
      <c r="G7" s="43" t="n"/>
      <c r="H7" s="18" t="n">
        <v>420</v>
      </c>
      <c r="I7" s="18" t="n">
        <v>4</v>
      </c>
      <c r="J7" s="12" t="inlineStr">
        <is>
          <t>Bourse etude + Sante</t>
        </is>
      </c>
    </row>
    <row r="8" ht="22" customHeight="1">
      <c r="B8" s="16">
        <f>IF(C8="","HAS-"&amp;TEXT(COUNTA($C$5:C8),"000"))</f>
        <v/>
      </c>
      <c r="C8" s="14" t="n"/>
      <c r="D8" s="19" t="n"/>
      <c r="E8" s="19" t="n"/>
      <c r="F8" s="19" t="n"/>
      <c r="G8" s="44">
        <f>IF(E8="","",F8/E8)</f>
        <v/>
      </c>
      <c r="H8" s="19" t="n"/>
      <c r="I8" s="19" t="n"/>
      <c r="J8" s="14" t="n"/>
    </row>
    <row r="9" ht="22" customHeight="1">
      <c r="B9" s="17">
        <f>IF(C9="","HAS-"&amp;TEXT(COUNTA($C$5:C9),"000"))</f>
        <v/>
      </c>
      <c r="C9" s="12" t="n"/>
      <c r="D9" s="18" t="n"/>
      <c r="E9" s="18" t="n"/>
      <c r="F9" s="18" t="n"/>
      <c r="G9" s="43">
        <f>IF(E9="","",F9/E9)</f>
        <v/>
      </c>
      <c r="H9" s="18" t="n"/>
      <c r="I9" s="18" t="n"/>
      <c r="J9" s="12" t="n"/>
    </row>
    <row r="10" ht="22" customHeight="1">
      <c r="B10" s="16">
        <f>IF(C10="","HAS-"&amp;TEXT(COUNTA($C$5:C10),"000"))</f>
        <v/>
      </c>
      <c r="C10" s="14" t="n"/>
      <c r="D10" s="19" t="n"/>
      <c r="E10" s="19" t="n"/>
      <c r="F10" s="19" t="n"/>
      <c r="G10" s="44">
        <f>IF(E10="","",F10/E10)</f>
        <v/>
      </c>
      <c r="H10" s="19" t="n"/>
      <c r="I10" s="19" t="n"/>
      <c r="J10" s="14" t="n"/>
    </row>
    <row r="11" ht="22" customHeight="1">
      <c r="B11" s="17">
        <f>IF(C11="","HAS-"&amp;TEXT(COUNTA($C$5:C11),"000"))</f>
        <v/>
      </c>
      <c r="C11" s="12" t="n"/>
      <c r="D11" s="18" t="n"/>
      <c r="E11" s="18" t="n"/>
      <c r="F11" s="18" t="n"/>
      <c r="G11" s="43">
        <f>IF(E11="","",F11/E11)</f>
        <v/>
      </c>
      <c r="H11" s="18" t="n"/>
      <c r="I11" s="18" t="n"/>
      <c r="J11" s="12" t="n"/>
    </row>
    <row r="12" ht="22" customHeight="1">
      <c r="B12" s="16">
        <f>IF(C12="","HAS-"&amp;TEXT(COUNTA($C$5:C12),"000"))</f>
        <v/>
      </c>
      <c r="C12" s="14" t="n"/>
      <c r="D12" s="19" t="n"/>
      <c r="E12" s="19" t="n"/>
      <c r="F12" s="19" t="n"/>
      <c r="G12" s="44">
        <f>IF(E12="","",F12/E12)</f>
        <v/>
      </c>
      <c r="H12" s="19" t="n"/>
      <c r="I12" s="19" t="n"/>
      <c r="J12" s="14" t="n"/>
    </row>
    <row r="13" ht="22" customHeight="1">
      <c r="B13" s="17">
        <f>IF(C13="","HAS-"&amp;TEXT(COUNTA($C$5:C13),"000"))</f>
        <v/>
      </c>
      <c r="C13" s="12" t="n"/>
      <c r="D13" s="18" t="n"/>
      <c r="E13" s="18" t="n"/>
      <c r="F13" s="18" t="n"/>
      <c r="G13" s="43">
        <f>IF(E13="","",F13/E13)</f>
        <v/>
      </c>
      <c r="H13" s="18" t="n"/>
      <c r="I13" s="18" t="n"/>
      <c r="J13" s="12" t="n"/>
    </row>
    <row r="14" ht="22" customHeight="1">
      <c r="B14" s="16">
        <f>IF(C14="","HAS-"&amp;TEXT(COUNTA($C$5:C14),"000"))</f>
        <v/>
      </c>
      <c r="C14" s="14" t="n"/>
      <c r="D14" s="19" t="n"/>
      <c r="E14" s="19" t="n"/>
      <c r="F14" s="19" t="n"/>
      <c r="G14" s="44">
        <f>IF(E14="","",F14/E14)</f>
        <v/>
      </c>
      <c r="H14" s="19" t="n"/>
      <c r="I14" s="19" t="n"/>
      <c r="J14" s="14" t="n"/>
    </row>
    <row r="15" ht="22" customHeight="1">
      <c r="B15" s="17">
        <f>IF(C15="","HAS-"&amp;TEXT(COUNTA($C$5:C15),"000"))</f>
        <v/>
      </c>
      <c r="C15" s="12" t="n"/>
      <c r="D15" s="18" t="n"/>
      <c r="E15" s="18" t="n"/>
      <c r="F15" s="18" t="n"/>
      <c r="G15" s="43">
        <f>IF(E15="","",F15/E15)</f>
        <v/>
      </c>
      <c r="H15" s="18" t="n"/>
      <c r="I15" s="18" t="n"/>
      <c r="J15" s="12" t="n"/>
    </row>
    <row r="16" ht="22" customHeight="1">
      <c r="B16" s="16">
        <f>IF(C16="","HAS-"&amp;TEXT(COUNTA($C$5:C16),"000"))</f>
        <v/>
      </c>
      <c r="C16" s="14" t="n"/>
      <c r="D16" s="19" t="n"/>
      <c r="E16" s="19" t="n"/>
      <c r="F16" s="19" t="n"/>
      <c r="G16" s="44">
        <f>IF(E16="","",F16/E16)</f>
        <v/>
      </c>
      <c r="H16" s="19" t="n"/>
      <c r="I16" s="19" t="n"/>
      <c r="J16" s="14" t="n"/>
    </row>
    <row r="17" ht="22" customHeight="1">
      <c r="B17" s="17">
        <f>IF(C17="","HAS-"&amp;TEXT(COUNTA($C$5:C17),"000"))</f>
        <v/>
      </c>
      <c r="C17" s="12" t="n"/>
      <c r="D17" s="18" t="n"/>
      <c r="E17" s="18" t="n"/>
      <c r="F17" s="18" t="n"/>
      <c r="G17" s="43">
        <f>IF(E17="","",F17/E17)</f>
        <v/>
      </c>
      <c r="H17" s="18" t="n"/>
      <c r="I17" s="18" t="n"/>
      <c r="J17" s="12" t="n"/>
    </row>
    <row r="18" ht="22" customHeight="1">
      <c r="B18" s="16">
        <f>IF(C18="","HAS-"&amp;TEXT(COUNTA($C$5:C18),"000"))</f>
        <v/>
      </c>
      <c r="C18" s="14" t="n"/>
      <c r="D18" s="19" t="n"/>
      <c r="E18" s="19" t="n"/>
      <c r="F18" s="19" t="n"/>
      <c r="G18" s="44">
        <f>IF(E18="","",F18/E18)</f>
        <v/>
      </c>
      <c r="H18" s="19" t="n"/>
      <c r="I18" s="19" t="n"/>
      <c r="J18" s="14" t="n"/>
    </row>
    <row r="19" ht="22" customHeight="1">
      <c r="B19" s="17">
        <f>IF(C19="","HAS-"&amp;TEXT(COUNTA($C$5:C19),"000"))</f>
        <v/>
      </c>
      <c r="C19" s="12" t="n"/>
      <c r="D19" s="18" t="n"/>
      <c r="E19" s="18" t="n"/>
      <c r="F19" s="18" t="n"/>
      <c r="G19" s="43">
        <f>IF(E19="","",F19/E19)</f>
        <v/>
      </c>
      <c r="H19" s="18" t="n"/>
      <c r="I19" s="18" t="n"/>
      <c r="J19" s="12" t="n"/>
    </row>
    <row r="20" ht="22" customHeight="1">
      <c r="B20" s="16">
        <f>IF(C20="","HAS-"&amp;TEXT(COUNTA($C$5:C20),"000"))</f>
        <v/>
      </c>
      <c r="C20" s="14" t="n"/>
      <c r="D20" s="19" t="n"/>
      <c r="E20" s="19" t="n"/>
      <c r="F20" s="19" t="n"/>
      <c r="G20" s="44">
        <f>IF(E20="","",F20/E20)</f>
        <v/>
      </c>
      <c r="H20" s="19" t="n"/>
      <c r="I20" s="19" t="n"/>
      <c r="J20" s="14" t="n"/>
    </row>
    <row r="21" ht="22" customHeight="1">
      <c r="B21" s="17">
        <f>IF(C21="","HAS-"&amp;TEXT(COUNTA($C$5:C21),"000"))</f>
        <v/>
      </c>
      <c r="C21" s="12" t="n"/>
      <c r="D21" s="18" t="n"/>
      <c r="E21" s="18" t="n"/>
      <c r="F21" s="18" t="n"/>
      <c r="G21" s="43">
        <f>IF(E21="","",F21/E21)</f>
        <v/>
      </c>
      <c r="H21" s="18" t="n"/>
      <c r="I21" s="18" t="n"/>
      <c r="J21" s="12" t="n"/>
    </row>
    <row r="22" ht="22" customHeight="1">
      <c r="B22" s="16">
        <f>IF(C22="","HAS-"&amp;TEXT(COUNTA($C$5:C22),"000"))</f>
        <v/>
      </c>
      <c r="C22" s="14" t="n"/>
      <c r="D22" s="19" t="n"/>
      <c r="E22" s="19" t="n"/>
      <c r="F22" s="19" t="n"/>
      <c r="G22" s="44">
        <f>IF(E22="","",F22/E22)</f>
        <v/>
      </c>
      <c r="H22" s="19" t="n"/>
      <c r="I22" s="19" t="n"/>
      <c r="J22" s="14" t="n"/>
    </row>
    <row r="23" ht="22" customHeight="1">
      <c r="B23" s="17">
        <f>IF(C23="","HAS-"&amp;TEXT(COUNTA($C$5:C23),"000"))</f>
        <v/>
      </c>
      <c r="C23" s="12" t="n"/>
      <c r="D23" s="18" t="n"/>
      <c r="E23" s="18" t="n"/>
      <c r="F23" s="18" t="n"/>
      <c r="G23" s="43">
        <f>IF(E23="","",F23/E23)</f>
        <v/>
      </c>
      <c r="H23" s="18" t="n"/>
      <c r="I23" s="18" t="n"/>
      <c r="J23" s="12" t="n"/>
    </row>
    <row r="24" ht="22" customHeight="1">
      <c r="B24" s="16">
        <f>IF(C24="","HAS-"&amp;TEXT(COUNTA($C$5:C24),"000"))</f>
        <v/>
      </c>
      <c r="C24" s="14" t="n"/>
      <c r="D24" s="19" t="n"/>
      <c r="E24" s="19" t="n"/>
      <c r="F24" s="19" t="n"/>
      <c r="G24" s="44">
        <f>IF(E24="","",F24/E24)</f>
        <v/>
      </c>
      <c r="H24" s="19" t="n"/>
      <c r="I24" s="19" t="n"/>
      <c r="J24" s="14" t="n"/>
    </row>
    <row r="25" ht="22" customHeight="1">
      <c r="B25" s="17">
        <f>IF(C25="","HAS-"&amp;TEXT(COUNTA($C$5:C25),"000"))</f>
        <v/>
      </c>
      <c r="C25" s="12" t="n"/>
      <c r="D25" s="18" t="n"/>
      <c r="E25" s="18" t="n"/>
      <c r="F25" s="18" t="n"/>
      <c r="G25" s="43">
        <f>IF(E25="","",F25/E25)</f>
        <v/>
      </c>
      <c r="H25" s="18" t="n"/>
      <c r="I25" s="18" t="n"/>
      <c r="J25" s="12" t="n"/>
    </row>
    <row r="26" ht="22" customHeight="1">
      <c r="B26" s="16">
        <f>IF(C26="","HAS-"&amp;TEXT(COUNTA($C$5:C26),"000"))</f>
        <v/>
      </c>
      <c r="C26" s="14" t="n"/>
      <c r="D26" s="19" t="n"/>
      <c r="E26" s="19" t="n"/>
      <c r="F26" s="19" t="n"/>
      <c r="G26" s="44">
        <f>IF(E26="","",F26/E26)</f>
        <v/>
      </c>
      <c r="H26" s="19" t="n"/>
      <c r="I26" s="19" t="n"/>
      <c r="J26" s="14" t="n"/>
    </row>
    <row r="27" ht="22" customHeight="1">
      <c r="B27" s="17">
        <f>IF(C27="","HAS-"&amp;TEXT(COUNTA($C$5:C27),"000"))</f>
        <v/>
      </c>
      <c r="C27" s="12" t="n"/>
      <c r="D27" s="18" t="n"/>
      <c r="E27" s="18" t="n"/>
      <c r="F27" s="18" t="n"/>
      <c r="G27" s="43">
        <f>IF(E27="","",F27/E27)</f>
        <v/>
      </c>
      <c r="H27" s="18" t="n"/>
      <c r="I27" s="18" t="n"/>
      <c r="J27" s="12" t="n"/>
    </row>
    <row r="28" ht="22" customHeight="1">
      <c r="B28" s="16">
        <f>IF(C28="","HAS-"&amp;TEXT(COUNTA($C$5:C28),"000"))</f>
        <v/>
      </c>
      <c r="C28" s="14" t="n"/>
      <c r="D28" s="19" t="n"/>
      <c r="E28" s="19" t="n"/>
      <c r="F28" s="19" t="n"/>
      <c r="G28" s="44">
        <f>IF(E28="","",F28/E28)</f>
        <v/>
      </c>
      <c r="H28" s="19" t="n"/>
      <c r="I28" s="19" t="n"/>
      <c r="J28" s="14" t="n"/>
    </row>
    <row r="29" ht="22" customHeight="1">
      <c r="B29" s="17">
        <f>IF(C29="","HAS-"&amp;TEXT(COUNTA($C$5:C29),"000"))</f>
        <v/>
      </c>
      <c r="C29" s="12" t="n"/>
      <c r="D29" s="18" t="n"/>
      <c r="E29" s="18" t="n"/>
      <c r="F29" s="18" t="n"/>
      <c r="G29" s="43">
        <f>IF(E29="","",F29/E29)</f>
        <v/>
      </c>
      <c r="H29" s="18" t="n"/>
      <c r="I29" s="18" t="n"/>
      <c r="J29" s="12" t="n"/>
    </row>
    <row r="30" ht="22" customHeight="1">
      <c r="B30" s="16">
        <f>IF(C30="","HAS-"&amp;TEXT(COUNTA($C$5:C30),"000"))</f>
        <v/>
      </c>
      <c r="C30" s="14" t="n"/>
      <c r="D30" s="19" t="n"/>
      <c r="E30" s="19" t="n"/>
      <c r="F30" s="19" t="n"/>
      <c r="G30" s="44">
        <f>IF(E30="","",F30/E30)</f>
        <v/>
      </c>
      <c r="H30" s="19" t="n"/>
      <c r="I30" s="19" t="n"/>
      <c r="J30" s="14" t="n"/>
    </row>
    <row r="31" ht="22" customHeight="1">
      <c r="B31" s="17">
        <f>IF(C31="","HAS-"&amp;TEXT(COUNTA($C$5:C31),"000"))</f>
        <v/>
      </c>
      <c r="C31" s="12" t="n"/>
      <c r="D31" s="18" t="n"/>
      <c r="E31" s="18" t="n"/>
      <c r="F31" s="18" t="n"/>
      <c r="G31" s="43">
        <f>IF(E31="","",F31/E31)</f>
        <v/>
      </c>
      <c r="H31" s="18" t="n"/>
      <c r="I31" s="18" t="n"/>
      <c r="J31" s="12" t="n"/>
    </row>
    <row r="32" ht="22" customHeight="1">
      <c r="B32" s="16">
        <f>IF(C32="","HAS-"&amp;TEXT(COUNTA($C$5:C32),"000"))</f>
        <v/>
      </c>
      <c r="C32" s="14" t="n"/>
      <c r="D32" s="19" t="n"/>
      <c r="E32" s="19" t="n"/>
      <c r="F32" s="19" t="n"/>
      <c r="G32" s="44">
        <f>IF(E32="","",F32/E32)</f>
        <v/>
      </c>
      <c r="H32" s="19" t="n"/>
      <c r="I32" s="19" t="n"/>
      <c r="J32" s="14" t="n"/>
    </row>
    <row r="33" ht="22" customHeight="1">
      <c r="B33" s="17">
        <f>IF(C33="","HAS-"&amp;TEXT(COUNTA($C$5:C33),"000"))</f>
        <v/>
      </c>
      <c r="C33" s="12" t="n"/>
      <c r="D33" s="18" t="n"/>
      <c r="E33" s="18" t="n"/>
      <c r="F33" s="18" t="n"/>
      <c r="G33" s="43">
        <f>IF(E33="","",F33/E33)</f>
        <v/>
      </c>
      <c r="H33" s="18" t="n"/>
      <c r="I33" s="18" t="n"/>
      <c r="J33" s="12" t="n"/>
    </row>
    <row r="34" ht="22" customHeight="1">
      <c r="B34" s="16">
        <f>IF(C34="","HAS-"&amp;TEXT(COUNTA($C$5:C34),"000"))</f>
        <v/>
      </c>
      <c r="C34" s="14" t="n"/>
      <c r="D34" s="19" t="n"/>
      <c r="E34" s="19" t="n"/>
      <c r="F34" s="19" t="n"/>
      <c r="G34" s="44">
        <f>IF(E34="","",F34/E34)</f>
        <v/>
      </c>
      <c r="H34" s="19" t="n"/>
      <c r="I34" s="19" t="n"/>
      <c r="J34" s="14" t="n"/>
    </row>
    <row r="35" ht="22" customHeight="1">
      <c r="B35" s="17">
        <f>IF(C35="","HAS-"&amp;TEXT(COUNTA($C$5:C35),"000"))</f>
        <v/>
      </c>
      <c r="C35" s="12" t="n"/>
      <c r="D35" s="18" t="n"/>
      <c r="E35" s="18" t="n"/>
      <c r="F35" s="18" t="n"/>
      <c r="G35" s="43">
        <f>IF(E35="","",F35/E35)</f>
        <v/>
      </c>
      <c r="H35" s="18" t="n"/>
      <c r="I35" s="18" t="n"/>
      <c r="J35" s="12" t="n"/>
    </row>
    <row r="36" ht="22" customHeight="1">
      <c r="B36" s="16">
        <f>IF(C36="","HAS-"&amp;TEXT(COUNTA($C$5:C36),"000"))</f>
        <v/>
      </c>
      <c r="C36" s="14" t="n"/>
      <c r="D36" s="19" t="n"/>
      <c r="E36" s="19" t="n"/>
      <c r="F36" s="19" t="n"/>
      <c r="G36" s="44">
        <f>IF(E36="","",F36/E36)</f>
        <v/>
      </c>
      <c r="H36" s="19" t="n"/>
      <c r="I36" s="19" t="n"/>
      <c r="J36" s="14" t="n"/>
    </row>
    <row r="37" ht="22" customHeight="1">
      <c r="B37" s="17">
        <f>IF(C37="","HAS-"&amp;TEXT(COUNTA($C$5:C37),"000"))</f>
        <v/>
      </c>
      <c r="C37" s="12" t="n"/>
      <c r="D37" s="18" t="n"/>
      <c r="E37" s="18" t="n"/>
      <c r="F37" s="18" t="n"/>
      <c r="G37" s="43">
        <f>IF(E37="","",F37/E37)</f>
        <v/>
      </c>
      <c r="H37" s="18" t="n"/>
      <c r="I37" s="18" t="n"/>
      <c r="J37" s="12" t="n"/>
    </row>
    <row r="38" ht="22" customHeight="1">
      <c r="B38" s="16">
        <f>IF(C38="","HAS-"&amp;TEXT(COUNTA($C$5:C38),"000"))</f>
        <v/>
      </c>
      <c r="C38" s="14" t="n"/>
      <c r="D38" s="19" t="n"/>
      <c r="E38" s="19" t="n"/>
      <c r="F38" s="19" t="n"/>
      <c r="G38" s="44">
        <f>IF(E38="","",F38/E38)</f>
        <v/>
      </c>
      <c r="H38" s="19" t="n"/>
      <c r="I38" s="19" t="n"/>
      <c r="J38" s="14" t="n"/>
    </row>
    <row r="39" ht="22" customHeight="1">
      <c r="B39" s="17">
        <f>IF(C39="","HAS-"&amp;TEXT(COUNTA($C$5:C39),"000"))</f>
        <v/>
      </c>
      <c r="C39" s="12" t="n"/>
      <c r="D39" s="18" t="n"/>
      <c r="E39" s="18" t="n"/>
      <c r="F39" s="18" t="n"/>
      <c r="G39" s="43">
        <f>IF(E39="","",F39/E39)</f>
        <v/>
      </c>
      <c r="H39" s="18" t="n"/>
      <c r="I39" s="18" t="n"/>
      <c r="J39" s="12" t="n"/>
    </row>
    <row r="40" ht="22" customHeight="1">
      <c r="B40" s="16">
        <f>IF(C40="","HAS-"&amp;TEXT(COUNTA($C$5:C40),"000"))</f>
        <v/>
      </c>
      <c r="C40" s="14" t="n"/>
      <c r="D40" s="19" t="n"/>
      <c r="E40" s="19" t="n"/>
      <c r="F40" s="19" t="n"/>
      <c r="G40" s="44">
        <f>IF(E40="","",F40/E40)</f>
        <v/>
      </c>
      <c r="H40" s="19" t="n"/>
      <c r="I40" s="19" t="n"/>
      <c r="J40" s="14" t="n"/>
    </row>
    <row r="41" ht="22" customHeight="1">
      <c r="B41" s="17">
        <f>IF(C41="","HAS-"&amp;TEXT(COUNTA($C$5:C41),"000"))</f>
        <v/>
      </c>
      <c r="C41" s="12" t="n"/>
      <c r="D41" s="18" t="n"/>
      <c r="E41" s="18" t="n"/>
      <c r="F41" s="18" t="n"/>
      <c r="G41" s="43">
        <f>IF(E41="","",F41/E41)</f>
        <v/>
      </c>
      <c r="H41" s="18" t="n"/>
      <c r="I41" s="18" t="n"/>
      <c r="J41" s="12" t="n"/>
    </row>
    <row r="42" ht="22" customHeight="1">
      <c r="B42" s="16">
        <f>IF(C42="","HAS-"&amp;TEXT(COUNTA($C$5:C42),"000"))</f>
        <v/>
      </c>
      <c r="C42" s="14" t="n"/>
      <c r="D42" s="19" t="n"/>
      <c r="E42" s="19" t="n"/>
      <c r="F42" s="19" t="n"/>
      <c r="G42" s="44">
        <f>IF(E42="","",F42/E42)</f>
        <v/>
      </c>
      <c r="H42" s="19" t="n"/>
      <c r="I42" s="19" t="n"/>
      <c r="J42" s="14" t="n"/>
    </row>
    <row r="43" ht="22" customHeight="1">
      <c r="B43" s="17">
        <f>IF(C43="","HAS-"&amp;TEXT(COUNTA($C$5:C43),"000"))</f>
        <v/>
      </c>
      <c r="C43" s="12" t="n"/>
      <c r="D43" s="18" t="n"/>
      <c r="E43" s="18" t="n"/>
      <c r="F43" s="18" t="n"/>
      <c r="G43" s="43">
        <f>IF(E43="","",F43/E43)</f>
        <v/>
      </c>
      <c r="H43" s="18" t="n"/>
      <c r="I43" s="18" t="n"/>
      <c r="J43" s="12" t="n"/>
    </row>
    <row r="44" ht="22" customHeight="1">
      <c r="B44" s="16">
        <f>IF(C44="","HAS-"&amp;TEXT(COUNTA($C$5:C44),"000"))</f>
        <v/>
      </c>
      <c r="C44" s="14" t="n"/>
      <c r="D44" s="19" t="n"/>
      <c r="E44" s="19" t="n"/>
      <c r="F44" s="19" t="n"/>
      <c r="G44" s="44">
        <f>IF(E44="","",F44/E44)</f>
        <v/>
      </c>
      <c r="H44" s="19" t="n"/>
      <c r="I44" s="19" t="n"/>
      <c r="J44" s="14" t="n"/>
    </row>
    <row r="45" ht="22" customHeight="1">
      <c r="B45" s="17">
        <f>IF(C45="","HAS-"&amp;TEXT(COUNTA($C$5:C45),"000"))</f>
        <v/>
      </c>
      <c r="C45" s="12" t="n"/>
      <c r="D45" s="18" t="n"/>
      <c r="E45" s="18" t="n"/>
      <c r="F45" s="18" t="n"/>
      <c r="G45" s="43">
        <f>IF(E45="","",F45/E45)</f>
        <v/>
      </c>
      <c r="H45" s="18" t="n"/>
      <c r="I45" s="18" t="n"/>
      <c r="J45" s="12" t="n"/>
    </row>
    <row r="46" ht="22" customHeight="1">
      <c r="B46" s="16">
        <f>IF(C46="","HAS-"&amp;TEXT(COUNTA($C$5:C46),"000"))</f>
        <v/>
      </c>
      <c r="C46" s="14" t="n"/>
      <c r="D46" s="19" t="n"/>
      <c r="E46" s="19" t="n"/>
      <c r="F46" s="19" t="n"/>
      <c r="G46" s="44">
        <f>IF(E46="","",F46/E46)</f>
        <v/>
      </c>
      <c r="H46" s="19" t="n"/>
      <c r="I46" s="19" t="n"/>
      <c r="J46" s="14" t="n"/>
    </row>
    <row r="47" ht="22" customHeight="1">
      <c r="B47" s="17">
        <f>IF(C47="","HAS-"&amp;TEXT(COUNTA($C$5:C47),"000"))</f>
        <v/>
      </c>
      <c r="C47" s="12" t="n"/>
      <c r="D47" s="18" t="n"/>
      <c r="E47" s="18" t="n"/>
      <c r="F47" s="18" t="n"/>
      <c r="G47" s="43">
        <f>IF(E47="","",F47/E47)</f>
        <v/>
      </c>
      <c r="H47" s="18" t="n"/>
      <c r="I47" s="18" t="n"/>
      <c r="J47" s="12" t="n"/>
    </row>
    <row r="48" ht="22" customHeight="1">
      <c r="B48" s="16">
        <f>IF(C48="","HAS-"&amp;TEXT(COUNTA($C$5:C48),"000"))</f>
        <v/>
      </c>
      <c r="C48" s="14" t="n"/>
      <c r="D48" s="19" t="n"/>
      <c r="E48" s="19" t="n"/>
      <c r="F48" s="19" t="n"/>
      <c r="G48" s="44">
        <f>IF(E48="","",F48/E48)</f>
        <v/>
      </c>
      <c r="H48" s="19" t="n"/>
      <c r="I48" s="19" t="n"/>
      <c r="J48" s="14" t="n"/>
    </row>
    <row r="49" ht="22" customHeight="1">
      <c r="B49" s="17">
        <f>IF(C49="","HAS-"&amp;TEXT(COUNTA($C$5:C49),"000"))</f>
        <v/>
      </c>
      <c r="C49" s="12" t="n"/>
      <c r="D49" s="18" t="n"/>
      <c r="E49" s="18" t="n"/>
      <c r="F49" s="18" t="n"/>
      <c r="G49" s="43">
        <f>IF(E49="","",F49/E49)</f>
        <v/>
      </c>
      <c r="H49" s="18" t="n"/>
      <c r="I49" s="18" t="n"/>
      <c r="J49" s="12" t="n"/>
    </row>
    <row r="50" ht="22" customHeight="1">
      <c r="B50" s="16">
        <f>IF(C50="","HAS-"&amp;TEXT(COUNTA($C$5:C50),"000"))</f>
        <v/>
      </c>
      <c r="C50" s="14" t="n"/>
      <c r="D50" s="19" t="n"/>
      <c r="E50" s="19" t="n"/>
      <c r="F50" s="19" t="n"/>
      <c r="G50" s="44">
        <f>IF(E50="","",F50/E50)</f>
        <v/>
      </c>
      <c r="H50" s="19" t="n"/>
      <c r="I50" s="19" t="n"/>
      <c r="J50" s="14" t="n"/>
    </row>
    <row r="51" ht="22" customHeight="1">
      <c r="B51" s="17">
        <f>IF(C51="","HAS-"&amp;TEXT(COUNTA($C$5:C51),"000"))</f>
        <v/>
      </c>
      <c r="C51" s="12" t="n"/>
      <c r="D51" s="18" t="n"/>
      <c r="E51" s="18" t="n"/>
      <c r="F51" s="18" t="n"/>
      <c r="G51" s="43">
        <f>IF(E51="","",F51/E51)</f>
        <v/>
      </c>
      <c r="H51" s="18" t="n"/>
      <c r="I51" s="18" t="n"/>
      <c r="J51" s="12" t="n"/>
    </row>
    <row r="52" ht="22" customHeight="1">
      <c r="B52" s="16">
        <f>IF(C52="","HAS-"&amp;TEXT(COUNTA($C$5:C52),"000"))</f>
        <v/>
      </c>
      <c r="C52" s="14" t="n"/>
      <c r="D52" s="19" t="n"/>
      <c r="E52" s="19" t="n"/>
      <c r="F52" s="19" t="n"/>
      <c r="G52" s="44">
        <f>IF(E52="","",F52/E52)</f>
        <v/>
      </c>
      <c r="H52" s="19" t="n"/>
      <c r="I52" s="19" t="n"/>
      <c r="J52" s="14" t="n"/>
    </row>
    <row r="53" ht="22" customHeight="1">
      <c r="B53" s="17">
        <f>IF(C53="","HAS-"&amp;TEXT(COUNTA($C$5:C53),"000"))</f>
        <v/>
      </c>
      <c r="C53" s="12" t="n"/>
      <c r="D53" s="18" t="n"/>
      <c r="E53" s="18" t="n"/>
      <c r="F53" s="18" t="n"/>
      <c r="G53" s="43">
        <f>IF(E53="","",F53/E53)</f>
        <v/>
      </c>
      <c r="H53" s="18" t="n"/>
      <c r="I53" s="18" t="n"/>
      <c r="J53" s="12" t="n"/>
    </row>
    <row r="54" ht="22" customHeight="1">
      <c r="B54" s="16">
        <f>IF(C54="","HAS-"&amp;TEXT(COUNTA($C$5:C54),"000"))</f>
        <v/>
      </c>
      <c r="C54" s="14" t="n"/>
      <c r="D54" s="19" t="n"/>
      <c r="E54" s="19" t="n"/>
      <c r="F54" s="19" t="n"/>
      <c r="G54" s="44">
        <f>IF(E54="","",F54/E54)</f>
        <v/>
      </c>
      <c r="H54" s="19" t="n"/>
      <c r="I54" s="19" t="n"/>
      <c r="J54" s="14" t="n"/>
    </row>
    <row r="55" ht="22" customHeight="1">
      <c r="B55" s="17">
        <f>IF(C55="","HAS-"&amp;TEXT(COUNTA($C$5:C55),"000"))</f>
        <v/>
      </c>
      <c r="C55" s="12" t="n"/>
      <c r="D55" s="18" t="n"/>
      <c r="E55" s="18" t="n"/>
      <c r="F55" s="18" t="n"/>
      <c r="G55" s="43">
        <f>IF(E55="","",F55/E55)</f>
        <v/>
      </c>
      <c r="H55" s="18" t="n"/>
      <c r="I55" s="18" t="n"/>
      <c r="J55" s="12" t="n"/>
    </row>
    <row r="56" ht="22" customHeight="1">
      <c r="B56" s="16">
        <f>IF(C56="","HAS-"&amp;TEXT(COUNTA($C$5:C56),"000"))</f>
        <v/>
      </c>
      <c r="C56" s="14" t="n"/>
      <c r="D56" s="19" t="n"/>
      <c r="E56" s="19" t="n"/>
      <c r="F56" s="19" t="n"/>
      <c r="G56" s="44">
        <f>IF(E56="","",F56/E56)</f>
        <v/>
      </c>
      <c r="H56" s="19" t="n"/>
      <c r="I56" s="19" t="n"/>
      <c r="J56" s="14" t="n"/>
    </row>
    <row r="57" ht="22" customHeight="1">
      <c r="B57" s="17">
        <f>IF(C57="","HAS-"&amp;TEXT(COUNTA($C$5:C57),"000"))</f>
        <v/>
      </c>
      <c r="C57" s="12" t="n"/>
      <c r="D57" s="18" t="n"/>
      <c r="E57" s="18" t="n"/>
      <c r="F57" s="18" t="n"/>
      <c r="G57" s="43">
        <f>IF(E57="","",F57/E57)</f>
        <v/>
      </c>
      <c r="H57" s="18" t="n"/>
      <c r="I57" s="18" t="n"/>
      <c r="J57" s="12" t="n"/>
    </row>
    <row r="58" ht="22" customHeight="1">
      <c r="B58" s="16">
        <f>IF(C58="","HAS-"&amp;TEXT(COUNTA($C$5:C58),"000"))</f>
        <v/>
      </c>
      <c r="C58" s="14" t="n"/>
      <c r="D58" s="19" t="n"/>
      <c r="E58" s="19" t="n"/>
      <c r="F58" s="19" t="n"/>
      <c r="G58" s="44">
        <f>IF(E58="","",F58/E58)</f>
        <v/>
      </c>
      <c r="H58" s="19" t="n"/>
      <c r="I58" s="19" t="n"/>
      <c r="J58" s="14" t="n"/>
    </row>
    <row r="59" ht="22" customHeight="1">
      <c r="B59" s="17">
        <f>IF(C59="","HAS-"&amp;TEXT(COUNTA($C$5:C59),"000"))</f>
        <v/>
      </c>
      <c r="C59" s="12" t="n"/>
      <c r="D59" s="18" t="n"/>
      <c r="E59" s="18" t="n"/>
      <c r="F59" s="18" t="n"/>
      <c r="G59" s="43">
        <f>IF(E59="","",F59/E59)</f>
        <v/>
      </c>
      <c r="H59" s="18" t="n"/>
      <c r="I59" s="18" t="n"/>
      <c r="J59" s="12" t="n"/>
    </row>
    <row r="60" ht="22" customHeight="1">
      <c r="B60" s="16">
        <f>IF(C60="","HAS-"&amp;TEXT(COUNTA($C$5:C60),"000"))</f>
        <v/>
      </c>
      <c r="C60" s="14" t="n"/>
      <c r="D60" s="19" t="n"/>
      <c r="E60" s="19" t="n"/>
      <c r="F60" s="19" t="n"/>
      <c r="G60" s="44">
        <f>IF(E60="","",F60/E60)</f>
        <v/>
      </c>
      <c r="H60" s="19" t="n"/>
      <c r="I60" s="19" t="n"/>
      <c r="J60" s="14" t="n"/>
    </row>
    <row r="61" ht="22" customHeight="1">
      <c r="B61" s="17">
        <f>IF(C61="","HAS-"&amp;TEXT(COUNTA($C$5:C61),"000"))</f>
        <v/>
      </c>
      <c r="C61" s="12" t="n"/>
      <c r="D61" s="18" t="n"/>
      <c r="E61" s="18" t="n"/>
      <c r="F61" s="18" t="n"/>
      <c r="G61" s="43">
        <f>IF(E61="","",F61/E61)</f>
        <v/>
      </c>
      <c r="H61" s="18" t="n"/>
      <c r="I61" s="18" t="n"/>
      <c r="J61" s="12" t="n"/>
    </row>
    <row r="62" ht="22" customHeight="1">
      <c r="B62" s="16">
        <f>IF(C62="","HAS-"&amp;TEXT(COUNTA($C$5:C62),"000"))</f>
        <v/>
      </c>
      <c r="C62" s="14" t="n"/>
      <c r="D62" s="19" t="n"/>
      <c r="E62" s="19" t="n"/>
      <c r="F62" s="19" t="n"/>
      <c r="G62" s="44">
        <f>IF(E62="","",F62/E62)</f>
        <v/>
      </c>
      <c r="H62" s="19" t="n"/>
      <c r="I62" s="19" t="n"/>
      <c r="J62" s="14" t="n"/>
    </row>
    <row r="63" ht="22" customHeight="1">
      <c r="B63" s="17">
        <f>IF(C63="","HAS-"&amp;TEXT(COUNTA($C$5:C63),"000"))</f>
        <v/>
      </c>
      <c r="C63" s="12" t="n"/>
      <c r="D63" s="18" t="n"/>
      <c r="E63" s="18" t="n"/>
      <c r="F63" s="18" t="n"/>
      <c r="G63" s="43">
        <f>IF(E63="","",F63/E63)</f>
        <v/>
      </c>
      <c r="H63" s="18" t="n"/>
      <c r="I63" s="18" t="n"/>
      <c r="J63" s="12" t="n"/>
    </row>
    <row r="64" ht="22" customHeight="1">
      <c r="B64" s="16">
        <f>IF(C64="","HAS-"&amp;TEXT(COUNTA($C$5:C64),"000"))</f>
        <v/>
      </c>
      <c r="C64" s="14" t="n"/>
      <c r="D64" s="19" t="n"/>
      <c r="E64" s="19" t="n"/>
      <c r="F64" s="19" t="n"/>
      <c r="G64" s="44">
        <f>IF(E64="","",F64/E64)</f>
        <v/>
      </c>
      <c r="H64" s="19" t="n"/>
      <c r="I64" s="19" t="n"/>
      <c r="J64" s="14" t="n"/>
    </row>
    <row r="65" ht="22" customHeight="1">
      <c r="B65" s="17">
        <f>IF(C65="","HAS-"&amp;TEXT(COUNTA($C$5:C65),"000"))</f>
        <v/>
      </c>
      <c r="C65" s="12" t="n"/>
      <c r="D65" s="18" t="n"/>
      <c r="E65" s="18" t="n"/>
      <c r="F65" s="18" t="n"/>
      <c r="G65" s="43">
        <f>IF(E65="","",F65/E65)</f>
        <v/>
      </c>
      <c r="H65" s="18" t="n"/>
      <c r="I65" s="18" t="n"/>
      <c r="J65" s="12" t="n"/>
    </row>
    <row r="66" ht="22" customHeight="1">
      <c r="B66" s="16">
        <f>IF(C66="","HAS-"&amp;TEXT(COUNTA($C$5:C66),"000"))</f>
        <v/>
      </c>
      <c r="C66" s="14" t="n"/>
      <c r="D66" s="19" t="n"/>
      <c r="E66" s="19" t="n"/>
      <c r="F66" s="19" t="n"/>
      <c r="G66" s="44">
        <f>IF(E66="","",F66/E66)</f>
        <v/>
      </c>
      <c r="H66" s="19" t="n"/>
      <c r="I66" s="19" t="n"/>
      <c r="J66" s="14" t="n"/>
    </row>
    <row r="67" ht="22" customHeight="1">
      <c r="B67" s="17">
        <f>IF(C67="","HAS-"&amp;TEXT(COUNTA($C$5:C67),"000"))</f>
        <v/>
      </c>
      <c r="C67" s="12" t="n"/>
      <c r="D67" s="18" t="n"/>
      <c r="E67" s="18" t="n"/>
      <c r="F67" s="18" t="n"/>
      <c r="G67" s="43">
        <f>IF(E67="","",F67/E67)</f>
        <v/>
      </c>
      <c r="H67" s="18" t="n"/>
      <c r="I67" s="18" t="n"/>
      <c r="J67" s="12" t="n"/>
    </row>
    <row r="68" ht="22" customHeight="1">
      <c r="B68" s="16">
        <f>IF(C68="","HAS-"&amp;TEXT(COUNTA($C$5:C68),"000"))</f>
        <v/>
      </c>
      <c r="C68" s="14" t="n"/>
      <c r="D68" s="19" t="n"/>
      <c r="E68" s="19" t="n"/>
      <c r="F68" s="19" t="n"/>
      <c r="G68" s="44">
        <f>IF(E68="","",F68/E68)</f>
        <v/>
      </c>
      <c r="H68" s="19" t="n"/>
      <c r="I68" s="19" t="n"/>
      <c r="J68" s="14" t="n"/>
    </row>
    <row r="69" ht="22" customHeight="1">
      <c r="B69" s="17">
        <f>IF(C69="","HAS-"&amp;TEXT(COUNTA($C$5:C69),"000"))</f>
        <v/>
      </c>
      <c r="C69" s="12" t="n"/>
      <c r="D69" s="18" t="n"/>
      <c r="E69" s="18" t="n"/>
      <c r="F69" s="18" t="n"/>
      <c r="G69" s="43">
        <f>IF(E69="","",F69/E69)</f>
        <v/>
      </c>
      <c r="H69" s="18" t="n"/>
      <c r="I69" s="18" t="n"/>
      <c r="J69" s="12" t="n"/>
    </row>
    <row r="70" ht="22" customHeight="1">
      <c r="B70" s="16">
        <f>IF(C70="","HAS-"&amp;TEXT(COUNTA($C$5:C70),"000"))</f>
        <v/>
      </c>
      <c r="C70" s="14" t="n"/>
      <c r="D70" s="19" t="n"/>
      <c r="E70" s="19" t="n"/>
      <c r="F70" s="19" t="n"/>
      <c r="G70" s="44">
        <f>IF(E70="","",F70/E70)</f>
        <v/>
      </c>
      <c r="H70" s="19" t="n"/>
      <c r="I70" s="19" t="n"/>
      <c r="J70" s="14" t="n"/>
    </row>
    <row r="71" ht="22" customHeight="1">
      <c r="B71" s="17">
        <f>IF(C71="","HAS-"&amp;TEXT(COUNTA($C$5:C71),"000"))</f>
        <v/>
      </c>
      <c r="C71" s="12" t="n"/>
      <c r="D71" s="18" t="n"/>
      <c r="E71" s="18" t="n"/>
      <c r="F71" s="18" t="n"/>
      <c r="G71" s="43">
        <f>IF(E71="","",F71/E71)</f>
        <v/>
      </c>
      <c r="H71" s="18" t="n"/>
      <c r="I71" s="18" t="n"/>
      <c r="J71" s="12" t="n"/>
    </row>
    <row r="72" ht="22" customHeight="1">
      <c r="B72" s="16">
        <f>IF(C72="","HAS-"&amp;TEXT(COUNTA($C$5:C72),"000"))</f>
        <v/>
      </c>
      <c r="C72" s="14" t="n"/>
      <c r="D72" s="19" t="n"/>
      <c r="E72" s="19" t="n"/>
      <c r="F72" s="19" t="n"/>
      <c r="G72" s="44">
        <f>IF(E72="","",F72/E72)</f>
        <v/>
      </c>
      <c r="H72" s="19" t="n"/>
      <c r="I72" s="19" t="n"/>
      <c r="J72" s="14" t="n"/>
    </row>
    <row r="73" ht="22" customHeight="1">
      <c r="B73" s="17">
        <f>IF(C73="","HAS-"&amp;TEXT(COUNTA($C$5:C73),"000"))</f>
        <v/>
      </c>
      <c r="C73" s="12" t="n"/>
      <c r="D73" s="18" t="n"/>
      <c r="E73" s="18" t="n"/>
      <c r="F73" s="18" t="n"/>
      <c r="G73" s="43">
        <f>IF(E73="","",F73/E73)</f>
        <v/>
      </c>
      <c r="H73" s="18" t="n"/>
      <c r="I73" s="18" t="n"/>
      <c r="J73" s="12" t="n"/>
    </row>
    <row r="74" ht="22" customHeight="1">
      <c r="B74" s="16">
        <f>IF(C74="","HAS-"&amp;TEXT(COUNTA($C$5:C74),"000"))</f>
        <v/>
      </c>
      <c r="C74" s="14" t="n"/>
      <c r="D74" s="19" t="n"/>
      <c r="E74" s="19" t="n"/>
      <c r="F74" s="19" t="n"/>
      <c r="G74" s="44">
        <f>IF(E74="","",F74/E74)</f>
        <v/>
      </c>
      <c r="H74" s="19" t="n"/>
      <c r="I74" s="19" t="n"/>
      <c r="J74" s="14" t="n"/>
    </row>
    <row r="75" ht="22" customHeight="1">
      <c r="B75" s="17">
        <f>IF(C75="","HAS-"&amp;TEXT(COUNTA($C$5:C75),"000"))</f>
        <v/>
      </c>
      <c r="C75" s="12" t="n"/>
      <c r="D75" s="18" t="n"/>
      <c r="E75" s="18" t="n"/>
      <c r="F75" s="18" t="n"/>
      <c r="G75" s="43">
        <f>IF(E75="","",F75/E75)</f>
        <v/>
      </c>
      <c r="H75" s="18" t="n"/>
      <c r="I75" s="18" t="n"/>
      <c r="J75" s="12" t="n"/>
    </row>
    <row r="76" ht="22" customHeight="1">
      <c r="B76" s="16">
        <f>IF(C76="","HAS-"&amp;TEXT(COUNTA($C$5:C76),"000"))</f>
        <v/>
      </c>
      <c r="C76" s="14" t="n"/>
      <c r="D76" s="19" t="n"/>
      <c r="E76" s="19" t="n"/>
      <c r="F76" s="19" t="n"/>
      <c r="G76" s="44">
        <f>IF(E76="","",F76/E76)</f>
        <v/>
      </c>
      <c r="H76" s="19" t="n"/>
      <c r="I76" s="19" t="n"/>
      <c r="J76" s="14" t="n"/>
    </row>
    <row r="77" ht="22" customHeight="1">
      <c r="B77" s="17">
        <f>IF(C77="","HAS-"&amp;TEXT(COUNTA($C$5:C77),"000"))</f>
        <v/>
      </c>
      <c r="C77" s="12" t="n"/>
      <c r="D77" s="18" t="n"/>
      <c r="E77" s="18" t="n"/>
      <c r="F77" s="18" t="n"/>
      <c r="G77" s="43">
        <f>IF(E77="","",F77/E77)</f>
        <v/>
      </c>
      <c r="H77" s="18" t="n"/>
      <c r="I77" s="18" t="n"/>
      <c r="J77" s="12" t="n"/>
    </row>
    <row r="78" ht="22" customHeight="1">
      <c r="B78" s="16">
        <f>IF(C78="","HAS-"&amp;TEXT(COUNTA($C$5:C78),"000"))</f>
        <v/>
      </c>
      <c r="C78" s="14" t="n"/>
      <c r="D78" s="19" t="n"/>
      <c r="E78" s="19" t="n"/>
      <c r="F78" s="19" t="n"/>
      <c r="G78" s="44">
        <f>IF(E78="","",F78/E78)</f>
        <v/>
      </c>
      <c r="H78" s="19" t="n"/>
      <c r="I78" s="19" t="n"/>
      <c r="J78" s="14" t="n"/>
    </row>
    <row r="79" ht="22" customHeight="1">
      <c r="B79" s="17">
        <f>IF(C79="","HAS-"&amp;TEXT(COUNTA($C$5:C79),"000"))</f>
        <v/>
      </c>
      <c r="C79" s="12" t="n"/>
      <c r="D79" s="18" t="n"/>
      <c r="E79" s="18" t="n"/>
      <c r="F79" s="18" t="n"/>
      <c r="G79" s="43">
        <f>IF(E79="","",F79/E79)</f>
        <v/>
      </c>
      <c r="H79" s="18" t="n"/>
      <c r="I79" s="18" t="n"/>
      <c r="J79" s="12" t="n"/>
    </row>
    <row r="80" ht="22" customHeight="1">
      <c r="B80" s="16">
        <f>IF(C80="","HAS-"&amp;TEXT(COUNTA($C$5:C80),"000"))</f>
        <v/>
      </c>
      <c r="C80" s="14" t="n"/>
      <c r="D80" s="19" t="n"/>
      <c r="E80" s="19" t="n"/>
      <c r="F80" s="19" t="n"/>
      <c r="G80" s="44">
        <f>IF(E80="","",F80/E80)</f>
        <v/>
      </c>
      <c r="H80" s="19" t="n"/>
      <c r="I80" s="19" t="n"/>
      <c r="J80" s="14" t="n"/>
    </row>
    <row r="81" ht="22" customHeight="1">
      <c r="B81" s="17">
        <f>IF(C81="","HAS-"&amp;TEXT(COUNTA($C$5:C81),"000"))</f>
        <v/>
      </c>
      <c r="C81" s="12" t="n"/>
      <c r="D81" s="18" t="n"/>
      <c r="E81" s="18" t="n"/>
      <c r="F81" s="18" t="n"/>
      <c r="G81" s="43">
        <f>IF(E81="","",F81/E81)</f>
        <v/>
      </c>
      <c r="H81" s="18" t="n"/>
      <c r="I81" s="18" t="n"/>
      <c r="J81" s="12" t="n"/>
    </row>
    <row r="82" ht="22" customHeight="1">
      <c r="B82" s="16">
        <f>IF(C82="","HAS-"&amp;TEXT(COUNTA($C$5:C82),"000"))</f>
        <v/>
      </c>
      <c r="C82" s="14" t="n"/>
      <c r="D82" s="19" t="n"/>
      <c r="E82" s="19" t="n"/>
      <c r="F82" s="19" t="n"/>
      <c r="G82" s="44">
        <f>IF(E82="","",F82/E82)</f>
        <v/>
      </c>
      <c r="H82" s="19" t="n"/>
      <c r="I82" s="19" t="n"/>
      <c r="J82" s="14" t="n"/>
    </row>
    <row r="83" ht="22" customHeight="1">
      <c r="B83" s="17">
        <f>IF(C83="","HAS-"&amp;TEXT(COUNTA($C$5:C83),"000"))</f>
        <v/>
      </c>
      <c r="C83" s="12" t="n"/>
      <c r="D83" s="18" t="n"/>
      <c r="E83" s="18" t="n"/>
      <c r="F83" s="18" t="n"/>
      <c r="G83" s="43">
        <f>IF(E83="","",F83/E83)</f>
        <v/>
      </c>
      <c r="H83" s="18" t="n"/>
      <c r="I83" s="18" t="n"/>
      <c r="J83" s="12" t="n"/>
    </row>
    <row r="84" ht="22" customHeight="1">
      <c r="B84" s="16">
        <f>IF(C84="","HAS-"&amp;TEXT(COUNTA($C$5:C84),"000"))</f>
        <v/>
      </c>
      <c r="C84" s="14" t="n"/>
      <c r="D84" s="19" t="n"/>
      <c r="E84" s="19" t="n"/>
      <c r="F84" s="19" t="n"/>
      <c r="G84" s="44">
        <f>IF(E84="","",F84/E84)</f>
        <v/>
      </c>
      <c r="H84" s="19" t="n"/>
      <c r="I84" s="19" t="n"/>
      <c r="J84" s="14" t="n"/>
    </row>
    <row r="85" ht="22" customHeight="1">
      <c r="B85" s="17">
        <f>IF(C85="","HAS-"&amp;TEXT(COUNTA($C$5:C85),"000"))</f>
        <v/>
      </c>
      <c r="C85" s="12" t="n"/>
      <c r="D85" s="18" t="n"/>
      <c r="E85" s="18" t="n"/>
      <c r="F85" s="18" t="n"/>
      <c r="G85" s="43">
        <f>IF(E85="","",F85/E85)</f>
        <v/>
      </c>
      <c r="H85" s="18" t="n"/>
      <c r="I85" s="18" t="n"/>
      <c r="J85" s="12" t="n"/>
    </row>
    <row r="86" ht="22" customHeight="1">
      <c r="B86" s="16">
        <f>IF(C86="","HAS-"&amp;TEXT(COUNTA($C$5:C86),"000"))</f>
        <v/>
      </c>
      <c r="C86" s="14" t="n"/>
      <c r="D86" s="19" t="n"/>
      <c r="E86" s="19" t="n"/>
      <c r="F86" s="19" t="n"/>
      <c r="G86" s="44">
        <f>IF(E86="","",F86/E86)</f>
        <v/>
      </c>
      <c r="H86" s="19" t="n"/>
      <c r="I86" s="19" t="n"/>
      <c r="J86" s="14" t="n"/>
    </row>
    <row r="87" ht="22" customHeight="1">
      <c r="B87" s="17">
        <f>IF(C87="","HAS-"&amp;TEXT(COUNTA($C$5:C87),"000"))</f>
        <v/>
      </c>
      <c r="C87" s="12" t="n"/>
      <c r="D87" s="18" t="n"/>
      <c r="E87" s="18" t="n"/>
      <c r="F87" s="18" t="n"/>
      <c r="G87" s="43">
        <f>IF(E87="","",F87/E87)</f>
        <v/>
      </c>
      <c r="H87" s="18" t="n"/>
      <c r="I87" s="18" t="n"/>
      <c r="J87" s="12" t="n"/>
    </row>
    <row r="88" ht="22" customHeight="1">
      <c r="B88" s="16">
        <f>IF(C88="","HAS-"&amp;TEXT(COUNTA($C$5:C88),"000"))</f>
        <v/>
      </c>
      <c r="C88" s="14" t="n"/>
      <c r="D88" s="19" t="n"/>
      <c r="E88" s="19" t="n"/>
      <c r="F88" s="19" t="n"/>
      <c r="G88" s="44">
        <f>IF(E88="","",F88/E88)</f>
        <v/>
      </c>
      <c r="H88" s="19" t="n"/>
      <c r="I88" s="19" t="n"/>
      <c r="J88" s="14" t="n"/>
    </row>
    <row r="89" ht="22" customHeight="1">
      <c r="B89" s="17">
        <f>IF(C89="","HAS-"&amp;TEXT(COUNTA($C$5:C89),"000"))</f>
        <v/>
      </c>
      <c r="C89" s="12" t="n"/>
      <c r="D89" s="18" t="n"/>
      <c r="E89" s="18" t="n"/>
      <c r="F89" s="18" t="n"/>
      <c r="G89" s="43">
        <f>IF(E89="","",F89/E89)</f>
        <v/>
      </c>
      <c r="H89" s="18" t="n"/>
      <c r="I89" s="18" t="n"/>
      <c r="J89" s="12" t="n"/>
    </row>
    <row r="90" ht="22" customHeight="1">
      <c r="B90" s="16">
        <f>IF(C90="","HAS-"&amp;TEXT(COUNTA($C$5:C90),"000"))</f>
        <v/>
      </c>
      <c r="C90" s="14" t="n"/>
      <c r="D90" s="19" t="n"/>
      <c r="E90" s="19" t="n"/>
      <c r="F90" s="19" t="n"/>
      <c r="G90" s="44">
        <f>IF(E90="","",F90/E90)</f>
        <v/>
      </c>
      <c r="H90" s="19" t="n"/>
      <c r="I90" s="19" t="n"/>
      <c r="J90" s="14" t="n"/>
    </row>
    <row r="91" ht="22" customHeight="1">
      <c r="B91" s="17">
        <f>IF(C91="","HAS-"&amp;TEXT(COUNTA($C$5:C91),"000"))</f>
        <v/>
      </c>
      <c r="C91" s="12" t="n"/>
      <c r="D91" s="18" t="n"/>
      <c r="E91" s="18" t="n"/>
      <c r="F91" s="18" t="n"/>
      <c r="G91" s="43">
        <f>IF(E91="","",F91/E91)</f>
        <v/>
      </c>
      <c r="H91" s="18" t="n"/>
      <c r="I91" s="18" t="n"/>
      <c r="J91" s="12" t="n"/>
    </row>
    <row r="92" ht="22" customHeight="1">
      <c r="B92" s="16">
        <f>IF(C92="","HAS-"&amp;TEXT(COUNTA($C$5:C92),"000"))</f>
        <v/>
      </c>
      <c r="C92" s="14" t="n"/>
      <c r="D92" s="19" t="n"/>
      <c r="E92" s="19" t="n"/>
      <c r="F92" s="19" t="n"/>
      <c r="G92" s="44">
        <f>IF(E92="","",F92/E92)</f>
        <v/>
      </c>
      <c r="H92" s="19" t="n"/>
      <c r="I92" s="19" t="n"/>
      <c r="J92" s="14" t="n"/>
    </row>
    <row r="93" ht="22" customHeight="1">
      <c r="B93" s="17">
        <f>IF(C93="","HAS-"&amp;TEXT(COUNTA($C$5:C93),"000"))</f>
        <v/>
      </c>
      <c r="C93" s="12" t="n"/>
      <c r="D93" s="18" t="n"/>
      <c r="E93" s="18" t="n"/>
      <c r="F93" s="18" t="n"/>
      <c r="G93" s="43">
        <f>IF(E93="","",F93/E93)</f>
        <v/>
      </c>
      <c r="H93" s="18" t="n"/>
      <c r="I93" s="18" t="n"/>
      <c r="J93" s="12" t="n"/>
    </row>
    <row r="94" ht="22" customHeight="1">
      <c r="B94" s="16">
        <f>IF(C94="","HAS-"&amp;TEXT(COUNTA($C$5:C94),"000"))</f>
        <v/>
      </c>
      <c r="C94" s="14" t="n"/>
      <c r="D94" s="19" t="n"/>
      <c r="E94" s="19" t="n"/>
      <c r="F94" s="19" t="n"/>
      <c r="G94" s="44">
        <f>IF(E94="","",F94/E94)</f>
        <v/>
      </c>
      <c r="H94" s="19" t="n"/>
      <c r="I94" s="19" t="n"/>
      <c r="J94" s="14" t="n"/>
    </row>
    <row r="95" ht="22" customHeight="1">
      <c r="B95" s="17">
        <f>IF(C95="","HAS-"&amp;TEXT(COUNTA($C$5:C95),"000"))</f>
        <v/>
      </c>
      <c r="C95" s="12" t="n"/>
      <c r="D95" s="18" t="n"/>
      <c r="E95" s="18" t="n"/>
      <c r="F95" s="18" t="n"/>
      <c r="G95" s="43">
        <f>IF(E95="","",F95/E95)</f>
        <v/>
      </c>
      <c r="H95" s="18" t="n"/>
      <c r="I95" s="18" t="n"/>
      <c r="J95" s="12" t="n"/>
    </row>
    <row r="96" ht="22" customHeight="1">
      <c r="B96" s="16">
        <f>IF(C96="","HAS-"&amp;TEXT(COUNTA($C$5:C96),"000"))</f>
        <v/>
      </c>
      <c r="C96" s="14" t="n"/>
      <c r="D96" s="19" t="n"/>
      <c r="E96" s="19" t="n"/>
      <c r="F96" s="19" t="n"/>
      <c r="G96" s="44">
        <f>IF(E96="","",F96/E96)</f>
        <v/>
      </c>
      <c r="H96" s="19" t="n"/>
      <c r="I96" s="19" t="n"/>
      <c r="J96" s="14" t="n"/>
    </row>
    <row r="97" ht="22" customHeight="1">
      <c r="B97" s="17">
        <f>IF(C97="","HAS-"&amp;TEXT(COUNTA($C$5:C97),"000"))</f>
        <v/>
      </c>
      <c r="C97" s="12" t="n"/>
      <c r="D97" s="18" t="n"/>
      <c r="E97" s="18" t="n"/>
      <c r="F97" s="18" t="n"/>
      <c r="G97" s="43">
        <f>IF(E97="","",F97/E97)</f>
        <v/>
      </c>
      <c r="H97" s="18" t="n"/>
      <c r="I97" s="18" t="n"/>
      <c r="J97" s="12" t="n"/>
    </row>
    <row r="98" ht="22" customHeight="1">
      <c r="B98" s="16">
        <f>IF(C98="","HAS-"&amp;TEXT(COUNTA($C$5:C98),"000"))</f>
        <v/>
      </c>
      <c r="C98" s="14" t="n"/>
      <c r="D98" s="19" t="n"/>
      <c r="E98" s="19" t="n"/>
      <c r="F98" s="19" t="n"/>
      <c r="G98" s="44">
        <f>IF(E98="","",F98/E98)</f>
        <v/>
      </c>
      <c r="H98" s="19" t="n"/>
      <c r="I98" s="19" t="n"/>
      <c r="J98" s="14" t="n"/>
    </row>
    <row r="99" ht="22" customHeight="1">
      <c r="B99" s="17">
        <f>IF(C99="","HAS-"&amp;TEXT(COUNTA($C$5:C99),"000"))</f>
        <v/>
      </c>
      <c r="C99" s="12" t="n"/>
      <c r="D99" s="18" t="n"/>
      <c r="E99" s="18" t="n"/>
      <c r="F99" s="18" t="n"/>
      <c r="G99" s="43">
        <f>IF(E99="","",F99/E99)</f>
        <v/>
      </c>
      <c r="H99" s="18" t="n"/>
      <c r="I99" s="18" t="n"/>
      <c r="J99" s="12" t="n"/>
    </row>
    <row r="100" ht="22" customHeight="1">
      <c r="B100" s="16">
        <f>IF(C100="","HAS-"&amp;TEXT(COUNTA($C$5:C100),"000"))</f>
        <v/>
      </c>
      <c r="C100" s="14" t="n"/>
      <c r="D100" s="19" t="n"/>
      <c r="E100" s="19" t="n"/>
      <c r="F100" s="19" t="n"/>
      <c r="G100" s="44">
        <f>IF(E100="","",F100/E100)</f>
        <v/>
      </c>
      <c r="H100" s="19" t="n"/>
      <c r="I100" s="19" t="n"/>
      <c r="J100" s="14" t="n"/>
    </row>
    <row r="101" ht="22" customHeight="1">
      <c r="B101" s="17">
        <f>IF(C101="","HAS-"&amp;TEXT(COUNTA($C$5:C101),"000"))</f>
        <v/>
      </c>
      <c r="C101" s="12" t="n"/>
      <c r="D101" s="18" t="n"/>
      <c r="E101" s="18" t="n"/>
      <c r="F101" s="18" t="n"/>
      <c r="G101" s="43">
        <f>IF(E101="","",F101/E101)</f>
        <v/>
      </c>
      <c r="H101" s="18" t="n"/>
      <c r="I101" s="18" t="n"/>
      <c r="J101" s="12" t="n"/>
    </row>
    <row r="102" ht="22" customHeight="1">
      <c r="B102" s="16">
        <f>IF(C102="","HAS-"&amp;TEXT(COUNTA($C$5:C102),"000"))</f>
        <v/>
      </c>
      <c r="C102" s="14" t="n"/>
      <c r="D102" s="19" t="n"/>
      <c r="E102" s="19" t="n"/>
      <c r="F102" s="19" t="n"/>
      <c r="G102" s="44">
        <f>IF(E102="","",F102/E102)</f>
        <v/>
      </c>
      <c r="H102" s="19" t="n"/>
      <c r="I102" s="19" t="n"/>
      <c r="J102" s="14" t="n"/>
    </row>
    <row r="103" ht="22" customHeight="1">
      <c r="B103" s="17">
        <f>IF(C103="","HAS-"&amp;TEXT(COUNTA($C$5:C103),"000"))</f>
        <v/>
      </c>
      <c r="C103" s="12" t="n"/>
      <c r="D103" s="18" t="n"/>
      <c r="E103" s="18" t="n"/>
      <c r="F103" s="18" t="n"/>
      <c r="G103" s="43">
        <f>IF(E103="","",F103/E103)</f>
        <v/>
      </c>
      <c r="H103" s="18" t="n"/>
      <c r="I103" s="18" t="n"/>
      <c r="J103" s="12" t="n"/>
    </row>
    <row r="104" ht="22" customHeight="1">
      <c r="B104" s="16">
        <f>IF(C104="","HAS-"&amp;TEXT(COUNTA($C$5:C104),"000"))</f>
        <v/>
      </c>
      <c r="C104" s="14" t="n"/>
      <c r="D104" s="19" t="n"/>
      <c r="E104" s="19" t="n"/>
      <c r="F104" s="19" t="n"/>
      <c r="G104" s="44">
        <f>IF(E104="","",F104/E104)</f>
        <v/>
      </c>
      <c r="H104" s="19" t="n"/>
      <c r="I104" s="19" t="n"/>
      <c r="J104" s="14" t="n"/>
    </row>
    <row r="105" ht="22" customHeight="1">
      <c r="B105" s="17">
        <f>IF(C105="","HAS-"&amp;TEXT(COUNTA($C$5:C105),"000"))</f>
        <v/>
      </c>
      <c r="C105" s="12" t="n"/>
      <c r="D105" s="18" t="n"/>
      <c r="E105" s="18" t="n"/>
      <c r="F105" s="18" t="n"/>
      <c r="G105" s="43">
        <f>IF(E105="","",F105/E105)</f>
        <v/>
      </c>
      <c r="H105" s="18" t="n"/>
      <c r="I105" s="18" t="n"/>
      <c r="J105" s="12" t="n"/>
    </row>
    <row r="106" ht="22" customHeight="1">
      <c r="B106" s="16">
        <f>IF(C106="","HAS-"&amp;TEXT(COUNTA($C$5:C106),"000"))</f>
        <v/>
      </c>
      <c r="C106" s="14" t="n"/>
      <c r="D106" s="19" t="n"/>
      <c r="E106" s="19" t="n"/>
      <c r="F106" s="19" t="n"/>
      <c r="G106" s="44">
        <f>IF(E106="","",F106/E106)</f>
        <v/>
      </c>
      <c r="H106" s="19" t="n"/>
      <c r="I106" s="19" t="n"/>
      <c r="J106" s="14" t="n"/>
    </row>
    <row r="107" ht="22" customHeight="1">
      <c r="B107" s="17">
        <f>IF(C107="","HAS-"&amp;TEXT(COUNTA($C$5:C107),"000"))</f>
        <v/>
      </c>
      <c r="C107" s="12" t="n"/>
      <c r="D107" s="18" t="n"/>
      <c r="E107" s="18" t="n"/>
      <c r="F107" s="18" t="n"/>
      <c r="G107" s="43">
        <f>IF(E107="","",F107/E107)</f>
        <v/>
      </c>
      <c r="H107" s="18" t="n"/>
      <c r="I107" s="18" t="n"/>
      <c r="J107" s="12" t="n"/>
    </row>
    <row r="109">
      <c r="B109" s="6" t="inlineStr">
        <is>
          <t>INDICATEURS (mis a jour automatiquement)</t>
        </is>
      </c>
    </row>
    <row r="110">
      <c r="B110" s="3" t="inlineStr">
        <is>
          <t>Total actions (tous ans)</t>
        </is>
      </c>
      <c r="D110" s="3" t="inlineStr">
        <is>
          <t>Budget cumule (FCFA)</t>
        </is>
      </c>
      <c r="F110" s="3" t="inlineStr">
        <is>
          <t>Beneficiaires totaux</t>
        </is>
      </c>
    </row>
    <row r="111">
      <c r="B111" s="4">
        <f>SUM(D5:D104)</f>
        <v/>
      </c>
      <c r="D111" s="4">
        <f>SUM(E5:E104)</f>
        <v/>
      </c>
      <c r="F111" s="4">
        <f>SUM(H5:H104)</f>
        <v/>
      </c>
    </row>
  </sheetData>
  <mergeCells count="3">
    <mergeCell ref="B109:J109"/>
    <mergeCell ref="B3:J3"/>
    <mergeCell ref="B2:J2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G5:G104">
    <cfRule type="dataBar" priority="10">
      <dataBar>
        <cfvo type="num" val="0"/>
        <cfvo type="num" val="1"/>
        <color rgb="0070AD47"/>
      </dataBar>
    </cfRule>
  </conditionalFormatting>
  <dataValidations count="1">
    <dataValidation sqref="C5:C111" showDropDown="0" showInputMessage="0" showErrorMessage="0" allowBlank="1" errorTitle="Valeur invalide" error="Veuillez choisir dans la liste: annee" promptTitle="annee" prompt="Choisir: annee" type="list">
      <formula1>'_Lists'!$T$2:$T$50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2" customWidth="1" min="4" max="4"/>
    <col width="14" customWidth="1" min="5" max="5"/>
    <col width="18" customWidth="1" min="6" max="6"/>
    <col width="22" customWidth="1" min="7" max="7"/>
    <col width="18" customWidth="1" min="8" max="8"/>
    <col width="20" customWidth="1" min="9" max="9"/>
    <col width="16" customWidth="1" min="10" max="10"/>
    <col width="16" customWidth="1" min="11" max="11"/>
  </cols>
  <sheetData>
    <row r="1" ht="15" customHeight="1"/>
    <row r="2" ht="32" customHeight="1">
      <c r="B2" s="1" t="inlineStr">
        <is>
          <t>CALENDRIER RSE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Action RSE</t>
        </is>
      </c>
      <c r="D4" s="11" t="inlineStr">
        <is>
          <t>Axe RSE</t>
        </is>
      </c>
      <c r="E4" s="11" t="inlineStr">
        <is>
          <t>Date Prevue</t>
        </is>
      </c>
      <c r="F4" s="11" t="inlineStr">
        <is>
          <t>Responsable</t>
        </is>
      </c>
      <c r="G4" s="11" t="inlineStr">
        <is>
          <t>Public Cible</t>
        </is>
      </c>
      <c r="H4" s="11" t="inlineStr">
        <is>
          <t>Lieu</t>
        </is>
      </c>
      <c r="I4" s="11" t="inlineStr">
        <is>
          <t>Budget Estime (FCFA)</t>
        </is>
      </c>
      <c r="J4" s="11" t="inlineStr">
        <is>
          <t>Statut</t>
        </is>
      </c>
      <c r="K4" s="11" t="inlineStr">
        <is>
          <t>Rappel</t>
        </is>
      </c>
    </row>
    <row r="5" ht="22" customHeight="1">
      <c r="B5" s="12" t="inlineStr">
        <is>
          <t>CRS-001</t>
        </is>
      </c>
      <c r="C5" s="12" t="inlineStr">
        <is>
          <t>Semaine environnement</t>
        </is>
      </c>
      <c r="D5" s="12" t="inlineStr">
        <is>
          <t>Environnement</t>
        </is>
      </c>
      <c r="E5" s="41" t="n">
        <v>45813</v>
      </c>
      <c r="F5" s="12" t="inlineStr">
        <is>
          <t>DRH</t>
        </is>
      </c>
      <c r="G5" s="12" t="inlineStr">
        <is>
          <t>Tous les employes</t>
        </is>
      </c>
      <c r="H5" s="12" t="inlineStr">
        <is>
          <t>Hotel</t>
        </is>
      </c>
      <c r="I5" s="18" t="n">
        <v>500000</v>
      </c>
      <c r="J5" s="12" t="inlineStr">
        <is>
          <t>Planifiee</t>
        </is>
      </c>
      <c r="K5" s="12" t="inlineStr">
        <is>
          <t>01/06/2025</t>
        </is>
      </c>
    </row>
    <row r="6" ht="22" customHeight="1">
      <c r="B6" s="14" t="inlineStr">
        <is>
          <t>CRS-002</t>
        </is>
      </c>
      <c r="C6" s="14" t="inlineStr">
        <is>
          <t>Journee diversite</t>
        </is>
      </c>
      <c r="D6" s="14" t="inlineStr">
        <is>
          <t>Diversite &amp; Inclusion</t>
        </is>
      </c>
      <c r="E6" s="42" t="n">
        <v>45737</v>
      </c>
      <c r="F6" s="14" t="inlineStr">
        <is>
          <t>DRH</t>
        </is>
      </c>
      <c r="G6" s="14" t="inlineStr">
        <is>
          <t>Tous les employes</t>
        </is>
      </c>
      <c r="H6" s="14" t="inlineStr">
        <is>
          <t>Salle conf.</t>
        </is>
      </c>
      <c r="I6" s="19" t="n">
        <v>200000</v>
      </c>
      <c r="J6" s="14" t="inlineStr">
        <is>
          <t>Planifiee</t>
        </is>
      </c>
      <c r="K6" s="14" t="inlineStr">
        <is>
          <t>14/03/2025</t>
        </is>
      </c>
    </row>
    <row r="7" ht="22" customHeight="1">
      <c r="B7" s="12" t="inlineStr">
        <is>
          <t>CRS-003</t>
        </is>
      </c>
      <c r="C7" s="12" t="inlineStr">
        <is>
          <t>Collecte dechets quartier</t>
        </is>
      </c>
      <c r="D7" s="12" t="inlineStr">
        <is>
          <t>Communaute</t>
        </is>
      </c>
      <c r="E7" s="41" t="n">
        <v>45766</v>
      </c>
      <c r="F7" s="12" t="inlineStr">
        <is>
          <t>Chef Logistique</t>
        </is>
      </c>
      <c r="G7" s="12" t="inlineStr">
        <is>
          <t>Volontaires + communaute</t>
        </is>
      </c>
      <c r="H7" s="12" t="inlineStr">
        <is>
          <t>Quartier</t>
        </is>
      </c>
      <c r="I7" s="18" t="n">
        <v>100000</v>
      </c>
      <c r="J7" s="12" t="inlineStr">
        <is>
          <t>Planifiee</t>
        </is>
      </c>
      <c r="K7" s="12" t="inlineStr">
        <is>
          <t>12/04/2025</t>
        </is>
      </c>
    </row>
    <row r="8" ht="22" customHeight="1">
      <c r="B8" s="14" t="inlineStr">
        <is>
          <t>CRS-004</t>
        </is>
      </c>
      <c r="C8" s="14" t="inlineStr">
        <is>
          <t>Formation premiers secours</t>
        </is>
      </c>
      <c r="D8" s="14" t="inlineStr">
        <is>
          <t>Formation</t>
        </is>
      </c>
      <c r="E8" s="42" t="n">
        <v>45752</v>
      </c>
      <c r="F8" s="14" t="inlineStr">
        <is>
          <t>DRH</t>
        </is>
      </c>
      <c r="G8" s="14" t="inlineStr">
        <is>
          <t>Equipes securite</t>
        </is>
      </c>
      <c r="H8" s="14" t="inlineStr">
        <is>
          <t>Salle form.</t>
        </is>
      </c>
      <c r="I8" s="19" t="n">
        <v>300000</v>
      </c>
      <c r="J8" s="14" t="inlineStr">
        <is>
          <t>Planifiee</t>
        </is>
      </c>
      <c r="K8" s="14" t="inlineStr">
        <is>
          <t>29/03/2025</t>
        </is>
      </c>
    </row>
    <row r="9" ht="22" customHeight="1">
      <c r="B9" s="12" t="inlineStr">
        <is>
          <t>CRS-005</t>
        </is>
      </c>
      <c r="C9" s="12" t="inlineStr">
        <is>
          <t>Don alimentaire orphelinat</t>
        </is>
      </c>
      <c r="D9" s="12" t="inlineStr">
        <is>
          <t>Communaute</t>
        </is>
      </c>
      <c r="E9" s="41" t="n">
        <v>45792</v>
      </c>
      <c r="F9" s="12" t="inlineStr">
        <is>
          <t>DRH</t>
        </is>
      </c>
      <c r="G9" s="12" t="inlineStr">
        <is>
          <t>Orphelinat Kribi</t>
        </is>
      </c>
      <c r="H9" s="12" t="inlineStr">
        <is>
          <t>Orphelinat</t>
        </is>
      </c>
      <c r="I9" s="18" t="n">
        <v>200000</v>
      </c>
      <c r="J9" s="12" t="inlineStr">
        <is>
          <t>Planifiee</t>
        </is>
      </c>
      <c r="K9" s="12" t="inlineStr">
        <is>
          <t>08/05/2025</t>
        </is>
      </c>
    </row>
    <row r="10" ht="22" customHeight="1">
      <c r="B10" s="16">
        <f>IF(C10="","CRS-"&amp;TEXT(COUNTA($C$5:C10),"000"))</f>
        <v/>
      </c>
      <c r="C10" s="14" t="n"/>
      <c r="D10" s="14" t="n"/>
      <c r="E10" s="42" t="n"/>
      <c r="F10" s="14" t="n"/>
      <c r="G10" s="14" t="n"/>
      <c r="H10" s="14" t="n"/>
      <c r="I10" s="19" t="n"/>
      <c r="J10" s="14" t="n"/>
      <c r="K10" s="14" t="n"/>
    </row>
    <row r="11" ht="22" customHeight="1">
      <c r="B11" s="17">
        <f>IF(C11="","CRS-"&amp;TEXT(COUNTA($C$5:C11),"000"))</f>
        <v/>
      </c>
      <c r="C11" s="12" t="n"/>
      <c r="D11" s="12" t="n"/>
      <c r="E11" s="41" t="n"/>
      <c r="F11" s="12" t="n"/>
      <c r="G11" s="12" t="n"/>
      <c r="H11" s="12" t="n"/>
      <c r="I11" s="18" t="n"/>
      <c r="J11" s="12" t="n"/>
      <c r="K11" s="12" t="n"/>
    </row>
    <row r="12" ht="22" customHeight="1">
      <c r="B12" s="16">
        <f>IF(C12="","CRS-"&amp;TEXT(COUNTA($C$5:C12),"000"))</f>
        <v/>
      </c>
      <c r="C12" s="14" t="n"/>
      <c r="D12" s="14" t="n"/>
      <c r="E12" s="42" t="n"/>
      <c r="F12" s="14" t="n"/>
      <c r="G12" s="14" t="n"/>
      <c r="H12" s="14" t="n"/>
      <c r="I12" s="19" t="n"/>
      <c r="J12" s="14" t="n"/>
      <c r="K12" s="14" t="n"/>
    </row>
    <row r="13" ht="22" customHeight="1">
      <c r="B13" s="17">
        <f>IF(C13="","CRS-"&amp;TEXT(COUNTA($C$5:C13),"000"))</f>
        <v/>
      </c>
      <c r="C13" s="12" t="n"/>
      <c r="D13" s="12" t="n"/>
      <c r="E13" s="41" t="n"/>
      <c r="F13" s="12" t="n"/>
      <c r="G13" s="12" t="n"/>
      <c r="H13" s="12" t="n"/>
      <c r="I13" s="18" t="n"/>
      <c r="J13" s="12" t="n"/>
      <c r="K13" s="12" t="n"/>
    </row>
    <row r="14" ht="22" customHeight="1">
      <c r="B14" s="16">
        <f>IF(C14="","CRS-"&amp;TEXT(COUNTA($C$5:C14),"000"))</f>
        <v/>
      </c>
      <c r="C14" s="14" t="n"/>
      <c r="D14" s="14" t="n"/>
      <c r="E14" s="42" t="n"/>
      <c r="F14" s="14" t="n"/>
      <c r="G14" s="14" t="n"/>
      <c r="H14" s="14" t="n"/>
      <c r="I14" s="19" t="n"/>
      <c r="J14" s="14" t="n"/>
      <c r="K14" s="14" t="n"/>
    </row>
    <row r="15" ht="22" customHeight="1">
      <c r="B15" s="17">
        <f>IF(C15="","CRS-"&amp;TEXT(COUNTA($C$5:C15),"000"))</f>
        <v/>
      </c>
      <c r="C15" s="12" t="n"/>
      <c r="D15" s="12" t="n"/>
      <c r="E15" s="41" t="n"/>
      <c r="F15" s="12" t="n"/>
      <c r="G15" s="12" t="n"/>
      <c r="H15" s="12" t="n"/>
      <c r="I15" s="18" t="n"/>
      <c r="J15" s="12" t="n"/>
      <c r="K15" s="12" t="n"/>
    </row>
    <row r="16" ht="22" customHeight="1">
      <c r="B16" s="16">
        <f>IF(C16="","CRS-"&amp;TEXT(COUNTA($C$5:C16),"000"))</f>
        <v/>
      </c>
      <c r="C16" s="14" t="n"/>
      <c r="D16" s="14" t="n"/>
      <c r="E16" s="42" t="n"/>
      <c r="F16" s="14" t="n"/>
      <c r="G16" s="14" t="n"/>
      <c r="H16" s="14" t="n"/>
      <c r="I16" s="19" t="n"/>
      <c r="J16" s="14" t="n"/>
      <c r="K16" s="14" t="n"/>
    </row>
    <row r="17" ht="22" customHeight="1">
      <c r="B17" s="17">
        <f>IF(C17="","CRS-"&amp;TEXT(COUNTA($C$5:C17),"000"))</f>
        <v/>
      </c>
      <c r="C17" s="12" t="n"/>
      <c r="D17" s="12" t="n"/>
      <c r="E17" s="41" t="n"/>
      <c r="F17" s="12" t="n"/>
      <c r="G17" s="12" t="n"/>
      <c r="H17" s="12" t="n"/>
      <c r="I17" s="18" t="n"/>
      <c r="J17" s="12" t="n"/>
      <c r="K17" s="12" t="n"/>
    </row>
    <row r="18" ht="22" customHeight="1">
      <c r="B18" s="16">
        <f>IF(C18="","CRS-"&amp;TEXT(COUNTA($C$5:C18),"000"))</f>
        <v/>
      </c>
      <c r="C18" s="14" t="n"/>
      <c r="D18" s="14" t="n"/>
      <c r="E18" s="42" t="n"/>
      <c r="F18" s="14" t="n"/>
      <c r="G18" s="14" t="n"/>
      <c r="H18" s="14" t="n"/>
      <c r="I18" s="19" t="n"/>
      <c r="J18" s="14" t="n"/>
      <c r="K18" s="14" t="n"/>
    </row>
    <row r="19" ht="22" customHeight="1">
      <c r="B19" s="17">
        <f>IF(C19="","CRS-"&amp;TEXT(COUNTA($C$5:C19),"000"))</f>
        <v/>
      </c>
      <c r="C19" s="12" t="n"/>
      <c r="D19" s="12" t="n"/>
      <c r="E19" s="41" t="n"/>
      <c r="F19" s="12" t="n"/>
      <c r="G19" s="12" t="n"/>
      <c r="H19" s="12" t="n"/>
      <c r="I19" s="18" t="n"/>
      <c r="J19" s="12" t="n"/>
      <c r="K19" s="12" t="n"/>
    </row>
    <row r="20" ht="22" customHeight="1">
      <c r="B20" s="16">
        <f>IF(C20="","CRS-"&amp;TEXT(COUNTA($C$5:C20),"000"))</f>
        <v/>
      </c>
      <c r="C20" s="14" t="n"/>
      <c r="D20" s="14" t="n"/>
      <c r="E20" s="42" t="n"/>
      <c r="F20" s="14" t="n"/>
      <c r="G20" s="14" t="n"/>
      <c r="H20" s="14" t="n"/>
      <c r="I20" s="19" t="n"/>
      <c r="J20" s="14" t="n"/>
      <c r="K20" s="14" t="n"/>
    </row>
    <row r="21" ht="22" customHeight="1">
      <c r="B21" s="17">
        <f>IF(C21="","CRS-"&amp;TEXT(COUNTA($C$5:C21),"000"))</f>
        <v/>
      </c>
      <c r="C21" s="12" t="n"/>
      <c r="D21" s="12" t="n"/>
      <c r="E21" s="41" t="n"/>
      <c r="F21" s="12" t="n"/>
      <c r="G21" s="12" t="n"/>
      <c r="H21" s="12" t="n"/>
      <c r="I21" s="18" t="n"/>
      <c r="J21" s="12" t="n"/>
      <c r="K21" s="12" t="n"/>
    </row>
    <row r="22" ht="22" customHeight="1">
      <c r="B22" s="16">
        <f>IF(C22="","CRS-"&amp;TEXT(COUNTA($C$5:C22),"000"))</f>
        <v/>
      </c>
      <c r="C22" s="14" t="n"/>
      <c r="D22" s="14" t="n"/>
      <c r="E22" s="42" t="n"/>
      <c r="F22" s="14" t="n"/>
      <c r="G22" s="14" t="n"/>
      <c r="H22" s="14" t="n"/>
      <c r="I22" s="19" t="n"/>
      <c r="J22" s="14" t="n"/>
      <c r="K22" s="14" t="n"/>
    </row>
    <row r="23" ht="22" customHeight="1">
      <c r="B23" s="17">
        <f>IF(C23="","CRS-"&amp;TEXT(COUNTA($C$5:C23),"000"))</f>
        <v/>
      </c>
      <c r="C23" s="12" t="n"/>
      <c r="D23" s="12" t="n"/>
      <c r="E23" s="41" t="n"/>
      <c r="F23" s="12" t="n"/>
      <c r="G23" s="12" t="n"/>
      <c r="H23" s="12" t="n"/>
      <c r="I23" s="18" t="n"/>
      <c r="J23" s="12" t="n"/>
      <c r="K23" s="12" t="n"/>
    </row>
    <row r="24" ht="22" customHeight="1">
      <c r="B24" s="16">
        <f>IF(C24="","CRS-"&amp;TEXT(COUNTA($C$5:C24),"000"))</f>
        <v/>
      </c>
      <c r="C24" s="14" t="n"/>
      <c r="D24" s="14" t="n"/>
      <c r="E24" s="42" t="n"/>
      <c r="F24" s="14" t="n"/>
      <c r="G24" s="14" t="n"/>
      <c r="H24" s="14" t="n"/>
      <c r="I24" s="19" t="n"/>
      <c r="J24" s="14" t="n"/>
      <c r="K24" s="14" t="n"/>
    </row>
    <row r="25" ht="22" customHeight="1">
      <c r="B25" s="17">
        <f>IF(C25="","CRS-"&amp;TEXT(COUNTA($C$5:C25),"000"))</f>
        <v/>
      </c>
      <c r="C25" s="12" t="n"/>
      <c r="D25" s="12" t="n"/>
      <c r="E25" s="41" t="n"/>
      <c r="F25" s="12" t="n"/>
      <c r="G25" s="12" t="n"/>
      <c r="H25" s="12" t="n"/>
      <c r="I25" s="18" t="n"/>
      <c r="J25" s="12" t="n"/>
      <c r="K25" s="12" t="n"/>
    </row>
    <row r="26" ht="22" customHeight="1">
      <c r="B26" s="16">
        <f>IF(C26="","CRS-"&amp;TEXT(COUNTA($C$5:C26),"000"))</f>
        <v/>
      </c>
      <c r="C26" s="14" t="n"/>
      <c r="D26" s="14" t="n"/>
      <c r="E26" s="42" t="n"/>
      <c r="F26" s="14" t="n"/>
      <c r="G26" s="14" t="n"/>
      <c r="H26" s="14" t="n"/>
      <c r="I26" s="19" t="n"/>
      <c r="J26" s="14" t="n"/>
      <c r="K26" s="14" t="n"/>
    </row>
    <row r="27" ht="22" customHeight="1">
      <c r="B27" s="17">
        <f>IF(C27="","CRS-"&amp;TEXT(COUNTA($C$5:C27),"000"))</f>
        <v/>
      </c>
      <c r="C27" s="12" t="n"/>
      <c r="D27" s="12" t="n"/>
      <c r="E27" s="41" t="n"/>
      <c r="F27" s="12" t="n"/>
      <c r="G27" s="12" t="n"/>
      <c r="H27" s="12" t="n"/>
      <c r="I27" s="18" t="n"/>
      <c r="J27" s="12" t="n"/>
      <c r="K27" s="12" t="n"/>
    </row>
    <row r="28" ht="22" customHeight="1">
      <c r="B28" s="16">
        <f>IF(C28="","CRS-"&amp;TEXT(COUNTA($C$5:C28),"000"))</f>
        <v/>
      </c>
      <c r="C28" s="14" t="n"/>
      <c r="D28" s="14" t="n"/>
      <c r="E28" s="42" t="n"/>
      <c r="F28" s="14" t="n"/>
      <c r="G28" s="14" t="n"/>
      <c r="H28" s="14" t="n"/>
      <c r="I28" s="19" t="n"/>
      <c r="J28" s="14" t="n"/>
      <c r="K28" s="14" t="n"/>
    </row>
    <row r="29" ht="22" customHeight="1">
      <c r="B29" s="17">
        <f>IF(C29="","CRS-"&amp;TEXT(COUNTA($C$5:C29),"000"))</f>
        <v/>
      </c>
      <c r="C29" s="12" t="n"/>
      <c r="D29" s="12" t="n"/>
      <c r="E29" s="41" t="n"/>
      <c r="F29" s="12" t="n"/>
      <c r="G29" s="12" t="n"/>
      <c r="H29" s="12" t="n"/>
      <c r="I29" s="18" t="n"/>
      <c r="J29" s="12" t="n"/>
      <c r="K29" s="12" t="n"/>
    </row>
    <row r="30" ht="22" customHeight="1">
      <c r="B30" s="16">
        <f>IF(C30="","CRS-"&amp;TEXT(COUNTA($C$5:C30),"000"))</f>
        <v/>
      </c>
      <c r="C30" s="14" t="n"/>
      <c r="D30" s="14" t="n"/>
      <c r="E30" s="42" t="n"/>
      <c r="F30" s="14" t="n"/>
      <c r="G30" s="14" t="n"/>
      <c r="H30" s="14" t="n"/>
      <c r="I30" s="19" t="n"/>
      <c r="J30" s="14" t="n"/>
      <c r="K30" s="14" t="n"/>
    </row>
    <row r="31" ht="22" customHeight="1">
      <c r="B31" s="17">
        <f>IF(C31="","CRS-"&amp;TEXT(COUNTA($C$5:C31),"000"))</f>
        <v/>
      </c>
      <c r="C31" s="12" t="n"/>
      <c r="D31" s="12" t="n"/>
      <c r="E31" s="41" t="n"/>
      <c r="F31" s="12" t="n"/>
      <c r="G31" s="12" t="n"/>
      <c r="H31" s="12" t="n"/>
      <c r="I31" s="18" t="n"/>
      <c r="J31" s="12" t="n"/>
      <c r="K31" s="12" t="n"/>
    </row>
    <row r="32" ht="22" customHeight="1">
      <c r="B32" s="16">
        <f>IF(C32="","CRS-"&amp;TEXT(COUNTA($C$5:C32),"000"))</f>
        <v/>
      </c>
      <c r="C32" s="14" t="n"/>
      <c r="D32" s="14" t="n"/>
      <c r="E32" s="42" t="n"/>
      <c r="F32" s="14" t="n"/>
      <c r="G32" s="14" t="n"/>
      <c r="H32" s="14" t="n"/>
      <c r="I32" s="19" t="n"/>
      <c r="J32" s="14" t="n"/>
      <c r="K32" s="14" t="n"/>
    </row>
    <row r="33" ht="22" customHeight="1">
      <c r="B33" s="17">
        <f>IF(C33="","CRS-"&amp;TEXT(COUNTA($C$5:C33),"000"))</f>
        <v/>
      </c>
      <c r="C33" s="12" t="n"/>
      <c r="D33" s="12" t="n"/>
      <c r="E33" s="41" t="n"/>
      <c r="F33" s="12" t="n"/>
      <c r="G33" s="12" t="n"/>
      <c r="H33" s="12" t="n"/>
      <c r="I33" s="18" t="n"/>
      <c r="J33" s="12" t="n"/>
      <c r="K33" s="12" t="n"/>
    </row>
    <row r="34" ht="22" customHeight="1">
      <c r="B34" s="16">
        <f>IF(C34="","CRS-"&amp;TEXT(COUNTA($C$5:C34),"000"))</f>
        <v/>
      </c>
      <c r="C34" s="14" t="n"/>
      <c r="D34" s="14" t="n"/>
      <c r="E34" s="42" t="n"/>
      <c r="F34" s="14" t="n"/>
      <c r="G34" s="14" t="n"/>
      <c r="H34" s="14" t="n"/>
      <c r="I34" s="19" t="n"/>
      <c r="J34" s="14" t="n"/>
      <c r="K34" s="14" t="n"/>
    </row>
    <row r="35" ht="22" customHeight="1">
      <c r="B35" s="17">
        <f>IF(C35="","CRS-"&amp;TEXT(COUNTA($C$5:C35),"000"))</f>
        <v/>
      </c>
      <c r="C35" s="12" t="n"/>
      <c r="D35" s="12" t="n"/>
      <c r="E35" s="41" t="n"/>
      <c r="F35" s="12" t="n"/>
      <c r="G35" s="12" t="n"/>
      <c r="H35" s="12" t="n"/>
      <c r="I35" s="18" t="n"/>
      <c r="J35" s="12" t="n"/>
      <c r="K35" s="12" t="n"/>
    </row>
    <row r="36" ht="22" customHeight="1">
      <c r="B36" s="16">
        <f>IF(C36="","CRS-"&amp;TEXT(COUNTA($C$5:C36),"000"))</f>
        <v/>
      </c>
      <c r="C36" s="14" t="n"/>
      <c r="D36" s="14" t="n"/>
      <c r="E36" s="42" t="n"/>
      <c r="F36" s="14" t="n"/>
      <c r="G36" s="14" t="n"/>
      <c r="H36" s="14" t="n"/>
      <c r="I36" s="19" t="n"/>
      <c r="J36" s="14" t="n"/>
      <c r="K36" s="14" t="n"/>
    </row>
    <row r="37" ht="22" customHeight="1">
      <c r="B37" s="17">
        <f>IF(C37="","CRS-"&amp;TEXT(COUNTA($C$5:C37),"000"))</f>
        <v/>
      </c>
      <c r="C37" s="12" t="n"/>
      <c r="D37" s="12" t="n"/>
      <c r="E37" s="41" t="n"/>
      <c r="F37" s="12" t="n"/>
      <c r="G37" s="12" t="n"/>
      <c r="H37" s="12" t="n"/>
      <c r="I37" s="18" t="n"/>
      <c r="J37" s="12" t="n"/>
      <c r="K37" s="12" t="n"/>
    </row>
    <row r="38" ht="22" customHeight="1">
      <c r="B38" s="16">
        <f>IF(C38="","CRS-"&amp;TEXT(COUNTA($C$5:C38),"000"))</f>
        <v/>
      </c>
      <c r="C38" s="14" t="n"/>
      <c r="D38" s="14" t="n"/>
      <c r="E38" s="42" t="n"/>
      <c r="F38" s="14" t="n"/>
      <c r="G38" s="14" t="n"/>
      <c r="H38" s="14" t="n"/>
      <c r="I38" s="19" t="n"/>
      <c r="J38" s="14" t="n"/>
      <c r="K38" s="14" t="n"/>
    </row>
    <row r="39" ht="22" customHeight="1">
      <c r="B39" s="17">
        <f>IF(C39="","CRS-"&amp;TEXT(COUNTA($C$5:C39),"000"))</f>
        <v/>
      </c>
      <c r="C39" s="12" t="n"/>
      <c r="D39" s="12" t="n"/>
      <c r="E39" s="41" t="n"/>
      <c r="F39" s="12" t="n"/>
      <c r="G39" s="12" t="n"/>
      <c r="H39" s="12" t="n"/>
      <c r="I39" s="18" t="n"/>
      <c r="J39" s="12" t="n"/>
      <c r="K39" s="12" t="n"/>
    </row>
    <row r="40" ht="22" customHeight="1">
      <c r="B40" s="16">
        <f>IF(C40="","CRS-"&amp;TEXT(COUNTA($C$5:C40),"000"))</f>
        <v/>
      </c>
      <c r="C40" s="14" t="n"/>
      <c r="D40" s="14" t="n"/>
      <c r="E40" s="42" t="n"/>
      <c r="F40" s="14" t="n"/>
      <c r="G40" s="14" t="n"/>
      <c r="H40" s="14" t="n"/>
      <c r="I40" s="19" t="n"/>
      <c r="J40" s="14" t="n"/>
      <c r="K40" s="14" t="n"/>
    </row>
    <row r="41" ht="22" customHeight="1">
      <c r="B41" s="17">
        <f>IF(C41="","CRS-"&amp;TEXT(COUNTA($C$5:C41),"000"))</f>
        <v/>
      </c>
      <c r="C41" s="12" t="n"/>
      <c r="D41" s="12" t="n"/>
      <c r="E41" s="41" t="n"/>
      <c r="F41" s="12" t="n"/>
      <c r="G41" s="12" t="n"/>
      <c r="H41" s="12" t="n"/>
      <c r="I41" s="18" t="n"/>
      <c r="J41" s="12" t="n"/>
      <c r="K41" s="12" t="n"/>
    </row>
    <row r="42" ht="22" customHeight="1">
      <c r="B42" s="16">
        <f>IF(C42="","CRS-"&amp;TEXT(COUNTA($C$5:C42),"000"))</f>
        <v/>
      </c>
      <c r="C42" s="14" t="n"/>
      <c r="D42" s="14" t="n"/>
      <c r="E42" s="42" t="n"/>
      <c r="F42" s="14" t="n"/>
      <c r="G42" s="14" t="n"/>
      <c r="H42" s="14" t="n"/>
      <c r="I42" s="19" t="n"/>
      <c r="J42" s="14" t="n"/>
      <c r="K42" s="14" t="n"/>
    </row>
    <row r="43" ht="22" customHeight="1">
      <c r="B43" s="17">
        <f>IF(C43="","CRS-"&amp;TEXT(COUNTA($C$5:C43),"000"))</f>
        <v/>
      </c>
      <c r="C43" s="12" t="n"/>
      <c r="D43" s="12" t="n"/>
      <c r="E43" s="41" t="n"/>
      <c r="F43" s="12" t="n"/>
      <c r="G43" s="12" t="n"/>
      <c r="H43" s="12" t="n"/>
      <c r="I43" s="18" t="n"/>
      <c r="J43" s="12" t="n"/>
      <c r="K43" s="12" t="n"/>
    </row>
    <row r="44" ht="22" customHeight="1">
      <c r="B44" s="16">
        <f>IF(C44="","CRS-"&amp;TEXT(COUNTA($C$5:C44),"000"))</f>
        <v/>
      </c>
      <c r="C44" s="14" t="n"/>
      <c r="D44" s="14" t="n"/>
      <c r="E44" s="42" t="n"/>
      <c r="F44" s="14" t="n"/>
      <c r="G44" s="14" t="n"/>
      <c r="H44" s="14" t="n"/>
      <c r="I44" s="19" t="n"/>
      <c r="J44" s="14" t="n"/>
      <c r="K44" s="14" t="n"/>
    </row>
    <row r="45" ht="22" customHeight="1">
      <c r="B45" s="17">
        <f>IF(C45="","CRS-"&amp;TEXT(COUNTA($C$5:C45),"000"))</f>
        <v/>
      </c>
      <c r="C45" s="12" t="n"/>
      <c r="D45" s="12" t="n"/>
      <c r="E45" s="41" t="n"/>
      <c r="F45" s="12" t="n"/>
      <c r="G45" s="12" t="n"/>
      <c r="H45" s="12" t="n"/>
      <c r="I45" s="18" t="n"/>
      <c r="J45" s="12" t="n"/>
      <c r="K45" s="12" t="n"/>
    </row>
    <row r="46" ht="22" customHeight="1">
      <c r="B46" s="16">
        <f>IF(C46="","CRS-"&amp;TEXT(COUNTA($C$5:C46),"000"))</f>
        <v/>
      </c>
      <c r="C46" s="14" t="n"/>
      <c r="D46" s="14" t="n"/>
      <c r="E46" s="42" t="n"/>
      <c r="F46" s="14" t="n"/>
      <c r="G46" s="14" t="n"/>
      <c r="H46" s="14" t="n"/>
      <c r="I46" s="19" t="n"/>
      <c r="J46" s="14" t="n"/>
      <c r="K46" s="14" t="n"/>
    </row>
    <row r="47" ht="22" customHeight="1">
      <c r="B47" s="17">
        <f>IF(C47="","CRS-"&amp;TEXT(COUNTA($C$5:C47),"000"))</f>
        <v/>
      </c>
      <c r="C47" s="12" t="n"/>
      <c r="D47" s="12" t="n"/>
      <c r="E47" s="41" t="n"/>
      <c r="F47" s="12" t="n"/>
      <c r="G47" s="12" t="n"/>
      <c r="H47" s="12" t="n"/>
      <c r="I47" s="18" t="n"/>
      <c r="J47" s="12" t="n"/>
      <c r="K47" s="12" t="n"/>
    </row>
    <row r="48" ht="22" customHeight="1">
      <c r="B48" s="16">
        <f>IF(C48="","CRS-"&amp;TEXT(COUNTA($C$5:C48),"000"))</f>
        <v/>
      </c>
      <c r="C48" s="14" t="n"/>
      <c r="D48" s="14" t="n"/>
      <c r="E48" s="42" t="n"/>
      <c r="F48" s="14" t="n"/>
      <c r="G48" s="14" t="n"/>
      <c r="H48" s="14" t="n"/>
      <c r="I48" s="19" t="n"/>
      <c r="J48" s="14" t="n"/>
      <c r="K48" s="14" t="n"/>
    </row>
    <row r="49" ht="22" customHeight="1">
      <c r="B49" s="17">
        <f>IF(C49="","CRS-"&amp;TEXT(COUNTA($C$5:C49),"000"))</f>
        <v/>
      </c>
      <c r="C49" s="12" t="n"/>
      <c r="D49" s="12" t="n"/>
      <c r="E49" s="41" t="n"/>
      <c r="F49" s="12" t="n"/>
      <c r="G49" s="12" t="n"/>
      <c r="H49" s="12" t="n"/>
      <c r="I49" s="18" t="n"/>
      <c r="J49" s="12" t="n"/>
      <c r="K49" s="12" t="n"/>
    </row>
    <row r="50" ht="22" customHeight="1">
      <c r="B50" s="16">
        <f>IF(C50="","CRS-"&amp;TEXT(COUNTA($C$5:C50),"000"))</f>
        <v/>
      </c>
      <c r="C50" s="14" t="n"/>
      <c r="D50" s="14" t="n"/>
      <c r="E50" s="42" t="n"/>
      <c r="F50" s="14" t="n"/>
      <c r="G50" s="14" t="n"/>
      <c r="H50" s="14" t="n"/>
      <c r="I50" s="19" t="n"/>
      <c r="J50" s="14" t="n"/>
      <c r="K50" s="14" t="n"/>
    </row>
    <row r="51" ht="22" customHeight="1">
      <c r="B51" s="17">
        <f>IF(C51="","CRS-"&amp;TEXT(COUNTA($C$5:C51),"000"))</f>
        <v/>
      </c>
      <c r="C51" s="12" t="n"/>
      <c r="D51" s="12" t="n"/>
      <c r="E51" s="41" t="n"/>
      <c r="F51" s="12" t="n"/>
      <c r="G51" s="12" t="n"/>
      <c r="H51" s="12" t="n"/>
      <c r="I51" s="18" t="n"/>
      <c r="J51" s="12" t="n"/>
      <c r="K51" s="12" t="n"/>
    </row>
    <row r="52" ht="22" customHeight="1">
      <c r="B52" s="16">
        <f>IF(C52="","CRS-"&amp;TEXT(COUNTA($C$5:C52),"000"))</f>
        <v/>
      </c>
      <c r="C52" s="14" t="n"/>
      <c r="D52" s="14" t="n"/>
      <c r="E52" s="42" t="n"/>
      <c r="F52" s="14" t="n"/>
      <c r="G52" s="14" t="n"/>
      <c r="H52" s="14" t="n"/>
      <c r="I52" s="19" t="n"/>
      <c r="J52" s="14" t="n"/>
      <c r="K52" s="14" t="n"/>
    </row>
    <row r="53" ht="22" customHeight="1">
      <c r="B53" s="17">
        <f>IF(C53="","CRS-"&amp;TEXT(COUNTA($C$5:C53),"000"))</f>
        <v/>
      </c>
      <c r="C53" s="12" t="n"/>
      <c r="D53" s="12" t="n"/>
      <c r="E53" s="41" t="n"/>
      <c r="F53" s="12" t="n"/>
      <c r="G53" s="12" t="n"/>
      <c r="H53" s="12" t="n"/>
      <c r="I53" s="18" t="n"/>
      <c r="J53" s="12" t="n"/>
      <c r="K53" s="12" t="n"/>
    </row>
    <row r="54" ht="22" customHeight="1">
      <c r="B54" s="16">
        <f>IF(C54="","CRS-"&amp;TEXT(COUNTA($C$5:C54),"000"))</f>
        <v/>
      </c>
      <c r="C54" s="14" t="n"/>
      <c r="D54" s="14" t="n"/>
      <c r="E54" s="42" t="n"/>
      <c r="F54" s="14" t="n"/>
      <c r="G54" s="14" t="n"/>
      <c r="H54" s="14" t="n"/>
      <c r="I54" s="19" t="n"/>
      <c r="J54" s="14" t="n"/>
      <c r="K54" s="14" t="n"/>
    </row>
    <row r="55" ht="22" customHeight="1">
      <c r="B55" s="17">
        <f>IF(C55="","CRS-"&amp;TEXT(COUNTA($C$5:C55),"000"))</f>
        <v/>
      </c>
      <c r="C55" s="12" t="n"/>
      <c r="D55" s="12" t="n"/>
      <c r="E55" s="41" t="n"/>
      <c r="F55" s="12" t="n"/>
      <c r="G55" s="12" t="n"/>
      <c r="H55" s="12" t="n"/>
      <c r="I55" s="18" t="n"/>
      <c r="J55" s="12" t="n"/>
      <c r="K55" s="12" t="n"/>
    </row>
    <row r="56" ht="22" customHeight="1">
      <c r="B56" s="16">
        <f>IF(C56="","CRS-"&amp;TEXT(COUNTA($C$5:C56),"000"))</f>
        <v/>
      </c>
      <c r="C56" s="14" t="n"/>
      <c r="D56" s="14" t="n"/>
      <c r="E56" s="42" t="n"/>
      <c r="F56" s="14" t="n"/>
      <c r="G56" s="14" t="n"/>
      <c r="H56" s="14" t="n"/>
      <c r="I56" s="19" t="n"/>
      <c r="J56" s="14" t="n"/>
      <c r="K56" s="14" t="n"/>
    </row>
    <row r="57" ht="22" customHeight="1">
      <c r="B57" s="17">
        <f>IF(C57="","CRS-"&amp;TEXT(COUNTA($C$5:C57),"000"))</f>
        <v/>
      </c>
      <c r="C57" s="12" t="n"/>
      <c r="D57" s="12" t="n"/>
      <c r="E57" s="41" t="n"/>
      <c r="F57" s="12" t="n"/>
      <c r="G57" s="12" t="n"/>
      <c r="H57" s="12" t="n"/>
      <c r="I57" s="18" t="n"/>
      <c r="J57" s="12" t="n"/>
      <c r="K57" s="12" t="n"/>
    </row>
    <row r="58" ht="22" customHeight="1">
      <c r="B58" s="16">
        <f>IF(C58="","CRS-"&amp;TEXT(COUNTA($C$5:C58),"000"))</f>
        <v/>
      </c>
      <c r="C58" s="14" t="n"/>
      <c r="D58" s="14" t="n"/>
      <c r="E58" s="42" t="n"/>
      <c r="F58" s="14" t="n"/>
      <c r="G58" s="14" t="n"/>
      <c r="H58" s="14" t="n"/>
      <c r="I58" s="19" t="n"/>
      <c r="J58" s="14" t="n"/>
      <c r="K58" s="14" t="n"/>
    </row>
    <row r="59" ht="22" customHeight="1">
      <c r="B59" s="17">
        <f>IF(C59="","CRS-"&amp;TEXT(COUNTA($C$5:C59),"000"))</f>
        <v/>
      </c>
      <c r="C59" s="12" t="n"/>
      <c r="D59" s="12" t="n"/>
      <c r="E59" s="41" t="n"/>
      <c r="F59" s="12" t="n"/>
      <c r="G59" s="12" t="n"/>
      <c r="H59" s="12" t="n"/>
      <c r="I59" s="18" t="n"/>
      <c r="J59" s="12" t="n"/>
      <c r="K59" s="12" t="n"/>
    </row>
    <row r="60" ht="22" customHeight="1">
      <c r="B60" s="16">
        <f>IF(C60="","CRS-"&amp;TEXT(COUNTA($C$5:C60),"000"))</f>
        <v/>
      </c>
      <c r="C60" s="14" t="n"/>
      <c r="D60" s="14" t="n"/>
      <c r="E60" s="42" t="n"/>
      <c r="F60" s="14" t="n"/>
      <c r="G60" s="14" t="n"/>
      <c r="H60" s="14" t="n"/>
      <c r="I60" s="19" t="n"/>
      <c r="J60" s="14" t="n"/>
      <c r="K60" s="14" t="n"/>
    </row>
    <row r="61" ht="22" customHeight="1">
      <c r="B61" s="17">
        <f>IF(C61="","CRS-"&amp;TEXT(COUNTA($C$5:C61),"000"))</f>
        <v/>
      </c>
      <c r="C61" s="12" t="n"/>
      <c r="D61" s="12" t="n"/>
      <c r="E61" s="41" t="n"/>
      <c r="F61" s="12" t="n"/>
      <c r="G61" s="12" t="n"/>
      <c r="H61" s="12" t="n"/>
      <c r="I61" s="18" t="n"/>
      <c r="J61" s="12" t="n"/>
      <c r="K61" s="12" t="n"/>
    </row>
    <row r="62" ht="22" customHeight="1">
      <c r="B62" s="16">
        <f>IF(C62="","CRS-"&amp;TEXT(COUNTA($C$5:C62),"000"))</f>
        <v/>
      </c>
      <c r="C62" s="14" t="n"/>
      <c r="D62" s="14" t="n"/>
      <c r="E62" s="42" t="n"/>
      <c r="F62" s="14" t="n"/>
      <c r="G62" s="14" t="n"/>
      <c r="H62" s="14" t="n"/>
      <c r="I62" s="19" t="n"/>
      <c r="J62" s="14" t="n"/>
      <c r="K62" s="14" t="n"/>
    </row>
    <row r="63" ht="22" customHeight="1">
      <c r="B63" s="17">
        <f>IF(C63="","CRS-"&amp;TEXT(COUNTA($C$5:C63),"000"))</f>
        <v/>
      </c>
      <c r="C63" s="12" t="n"/>
      <c r="D63" s="12" t="n"/>
      <c r="E63" s="41" t="n"/>
      <c r="F63" s="12" t="n"/>
      <c r="G63" s="12" t="n"/>
      <c r="H63" s="12" t="n"/>
      <c r="I63" s="18" t="n"/>
      <c r="J63" s="12" t="n"/>
      <c r="K63" s="12" t="n"/>
    </row>
    <row r="64" ht="22" customHeight="1">
      <c r="B64" s="16">
        <f>IF(C64="","CRS-"&amp;TEXT(COUNTA($C$5:C64),"000"))</f>
        <v/>
      </c>
      <c r="C64" s="14" t="n"/>
      <c r="D64" s="14" t="n"/>
      <c r="E64" s="42" t="n"/>
      <c r="F64" s="14" t="n"/>
      <c r="G64" s="14" t="n"/>
      <c r="H64" s="14" t="n"/>
      <c r="I64" s="19" t="n"/>
      <c r="J64" s="14" t="n"/>
      <c r="K64" s="14" t="n"/>
    </row>
    <row r="65" ht="22" customHeight="1">
      <c r="B65" s="17">
        <f>IF(C65="","CRS-"&amp;TEXT(COUNTA($C$5:C65),"000"))</f>
        <v/>
      </c>
      <c r="C65" s="12" t="n"/>
      <c r="D65" s="12" t="n"/>
      <c r="E65" s="41" t="n"/>
      <c r="F65" s="12" t="n"/>
      <c r="G65" s="12" t="n"/>
      <c r="H65" s="12" t="n"/>
      <c r="I65" s="18" t="n"/>
      <c r="J65" s="12" t="n"/>
      <c r="K65" s="12" t="n"/>
    </row>
    <row r="66" ht="22" customHeight="1">
      <c r="B66" s="16">
        <f>IF(C66="","CRS-"&amp;TEXT(COUNTA($C$5:C66),"000"))</f>
        <v/>
      </c>
      <c r="C66" s="14" t="n"/>
      <c r="D66" s="14" t="n"/>
      <c r="E66" s="42" t="n"/>
      <c r="F66" s="14" t="n"/>
      <c r="G66" s="14" t="n"/>
      <c r="H66" s="14" t="n"/>
      <c r="I66" s="19" t="n"/>
      <c r="J66" s="14" t="n"/>
      <c r="K66" s="14" t="n"/>
    </row>
    <row r="67" ht="22" customHeight="1">
      <c r="B67" s="17">
        <f>IF(C67="","CRS-"&amp;TEXT(COUNTA($C$5:C67),"000"))</f>
        <v/>
      </c>
      <c r="C67" s="12" t="n"/>
      <c r="D67" s="12" t="n"/>
      <c r="E67" s="41" t="n"/>
      <c r="F67" s="12" t="n"/>
      <c r="G67" s="12" t="n"/>
      <c r="H67" s="12" t="n"/>
      <c r="I67" s="18" t="n"/>
      <c r="J67" s="12" t="n"/>
      <c r="K67" s="12" t="n"/>
    </row>
    <row r="68" ht="22" customHeight="1">
      <c r="B68" s="16">
        <f>IF(C68="","CRS-"&amp;TEXT(COUNTA($C$5:C68),"000"))</f>
        <v/>
      </c>
      <c r="C68" s="14" t="n"/>
      <c r="D68" s="14" t="n"/>
      <c r="E68" s="42" t="n"/>
      <c r="F68" s="14" t="n"/>
      <c r="G68" s="14" t="n"/>
      <c r="H68" s="14" t="n"/>
      <c r="I68" s="19" t="n"/>
      <c r="J68" s="14" t="n"/>
      <c r="K68" s="14" t="n"/>
    </row>
    <row r="69" ht="22" customHeight="1">
      <c r="B69" s="17">
        <f>IF(C69="","CRS-"&amp;TEXT(COUNTA($C$5:C69),"000"))</f>
        <v/>
      </c>
      <c r="C69" s="12" t="n"/>
      <c r="D69" s="12" t="n"/>
      <c r="E69" s="41" t="n"/>
      <c r="F69" s="12" t="n"/>
      <c r="G69" s="12" t="n"/>
      <c r="H69" s="12" t="n"/>
      <c r="I69" s="18" t="n"/>
      <c r="J69" s="12" t="n"/>
      <c r="K69" s="12" t="n"/>
    </row>
    <row r="70" ht="22" customHeight="1">
      <c r="B70" s="16">
        <f>IF(C70="","CRS-"&amp;TEXT(COUNTA($C$5:C70),"000"))</f>
        <v/>
      </c>
      <c r="C70" s="14" t="n"/>
      <c r="D70" s="14" t="n"/>
      <c r="E70" s="42" t="n"/>
      <c r="F70" s="14" t="n"/>
      <c r="G70" s="14" t="n"/>
      <c r="H70" s="14" t="n"/>
      <c r="I70" s="19" t="n"/>
      <c r="J70" s="14" t="n"/>
      <c r="K70" s="14" t="n"/>
    </row>
    <row r="71" ht="22" customHeight="1">
      <c r="B71" s="17">
        <f>IF(C71="","CRS-"&amp;TEXT(COUNTA($C$5:C71),"000"))</f>
        <v/>
      </c>
      <c r="C71" s="12" t="n"/>
      <c r="D71" s="12" t="n"/>
      <c r="E71" s="41" t="n"/>
      <c r="F71" s="12" t="n"/>
      <c r="G71" s="12" t="n"/>
      <c r="H71" s="12" t="n"/>
      <c r="I71" s="18" t="n"/>
      <c r="J71" s="12" t="n"/>
      <c r="K71" s="12" t="n"/>
    </row>
    <row r="72" ht="22" customHeight="1">
      <c r="B72" s="16">
        <f>IF(C72="","CRS-"&amp;TEXT(COUNTA($C$5:C72),"000"))</f>
        <v/>
      </c>
      <c r="C72" s="14" t="n"/>
      <c r="D72" s="14" t="n"/>
      <c r="E72" s="42" t="n"/>
      <c r="F72" s="14" t="n"/>
      <c r="G72" s="14" t="n"/>
      <c r="H72" s="14" t="n"/>
      <c r="I72" s="19" t="n"/>
      <c r="J72" s="14" t="n"/>
      <c r="K72" s="14" t="n"/>
    </row>
    <row r="73" ht="22" customHeight="1">
      <c r="B73" s="17">
        <f>IF(C73="","CRS-"&amp;TEXT(COUNTA($C$5:C73),"000"))</f>
        <v/>
      </c>
      <c r="C73" s="12" t="n"/>
      <c r="D73" s="12" t="n"/>
      <c r="E73" s="41" t="n"/>
      <c r="F73" s="12" t="n"/>
      <c r="G73" s="12" t="n"/>
      <c r="H73" s="12" t="n"/>
      <c r="I73" s="18" t="n"/>
      <c r="J73" s="12" t="n"/>
      <c r="K73" s="12" t="n"/>
    </row>
    <row r="74" ht="22" customHeight="1">
      <c r="B74" s="16">
        <f>IF(C74="","CRS-"&amp;TEXT(COUNTA($C$5:C74),"000"))</f>
        <v/>
      </c>
      <c r="C74" s="14" t="n"/>
      <c r="D74" s="14" t="n"/>
      <c r="E74" s="42" t="n"/>
      <c r="F74" s="14" t="n"/>
      <c r="G74" s="14" t="n"/>
      <c r="H74" s="14" t="n"/>
      <c r="I74" s="19" t="n"/>
      <c r="J74" s="14" t="n"/>
      <c r="K74" s="14" t="n"/>
    </row>
    <row r="75" ht="22" customHeight="1">
      <c r="B75" s="17">
        <f>IF(C75="","CRS-"&amp;TEXT(COUNTA($C$5:C75),"000"))</f>
        <v/>
      </c>
      <c r="C75" s="12" t="n"/>
      <c r="D75" s="12" t="n"/>
      <c r="E75" s="41" t="n"/>
      <c r="F75" s="12" t="n"/>
      <c r="G75" s="12" t="n"/>
      <c r="H75" s="12" t="n"/>
      <c r="I75" s="18" t="n"/>
      <c r="J75" s="12" t="n"/>
      <c r="K75" s="12" t="n"/>
    </row>
    <row r="76" ht="22" customHeight="1">
      <c r="B76" s="16">
        <f>IF(C76="","CRS-"&amp;TEXT(COUNTA($C$5:C76),"000"))</f>
        <v/>
      </c>
      <c r="C76" s="14" t="n"/>
      <c r="D76" s="14" t="n"/>
      <c r="E76" s="42" t="n"/>
      <c r="F76" s="14" t="n"/>
      <c r="G76" s="14" t="n"/>
      <c r="H76" s="14" t="n"/>
      <c r="I76" s="19" t="n"/>
      <c r="J76" s="14" t="n"/>
      <c r="K76" s="14" t="n"/>
    </row>
    <row r="77" ht="22" customHeight="1">
      <c r="B77" s="17">
        <f>IF(C77="","CRS-"&amp;TEXT(COUNTA($C$5:C77),"000"))</f>
        <v/>
      </c>
      <c r="C77" s="12" t="n"/>
      <c r="D77" s="12" t="n"/>
      <c r="E77" s="41" t="n"/>
      <c r="F77" s="12" t="n"/>
      <c r="G77" s="12" t="n"/>
      <c r="H77" s="12" t="n"/>
      <c r="I77" s="18" t="n"/>
      <c r="J77" s="12" t="n"/>
      <c r="K77" s="12" t="n"/>
    </row>
    <row r="78" ht="22" customHeight="1">
      <c r="B78" s="16">
        <f>IF(C78="","CRS-"&amp;TEXT(COUNTA($C$5:C78),"000"))</f>
        <v/>
      </c>
      <c r="C78" s="14" t="n"/>
      <c r="D78" s="14" t="n"/>
      <c r="E78" s="42" t="n"/>
      <c r="F78" s="14" t="n"/>
      <c r="G78" s="14" t="n"/>
      <c r="H78" s="14" t="n"/>
      <c r="I78" s="19" t="n"/>
      <c r="J78" s="14" t="n"/>
      <c r="K78" s="14" t="n"/>
    </row>
    <row r="79" ht="22" customHeight="1">
      <c r="B79" s="17">
        <f>IF(C79="","CRS-"&amp;TEXT(COUNTA($C$5:C79),"000"))</f>
        <v/>
      </c>
      <c r="C79" s="12" t="n"/>
      <c r="D79" s="12" t="n"/>
      <c r="E79" s="41" t="n"/>
      <c r="F79" s="12" t="n"/>
      <c r="G79" s="12" t="n"/>
      <c r="H79" s="12" t="n"/>
      <c r="I79" s="18" t="n"/>
      <c r="J79" s="12" t="n"/>
      <c r="K79" s="12" t="n"/>
    </row>
    <row r="80" ht="22" customHeight="1">
      <c r="B80" s="16">
        <f>IF(C80="","CRS-"&amp;TEXT(COUNTA($C$5:C80),"000"))</f>
        <v/>
      </c>
      <c r="C80" s="14" t="n"/>
      <c r="D80" s="14" t="n"/>
      <c r="E80" s="42" t="n"/>
      <c r="F80" s="14" t="n"/>
      <c r="G80" s="14" t="n"/>
      <c r="H80" s="14" t="n"/>
      <c r="I80" s="19" t="n"/>
      <c r="J80" s="14" t="n"/>
      <c r="K80" s="14" t="n"/>
    </row>
    <row r="81" ht="22" customHeight="1">
      <c r="B81" s="17">
        <f>IF(C81="","CRS-"&amp;TEXT(COUNTA($C$5:C81),"000"))</f>
        <v/>
      </c>
      <c r="C81" s="12" t="n"/>
      <c r="D81" s="12" t="n"/>
      <c r="E81" s="41" t="n"/>
      <c r="F81" s="12" t="n"/>
      <c r="G81" s="12" t="n"/>
      <c r="H81" s="12" t="n"/>
      <c r="I81" s="18" t="n"/>
      <c r="J81" s="12" t="n"/>
      <c r="K81" s="12" t="n"/>
    </row>
    <row r="82" ht="22" customHeight="1">
      <c r="B82" s="16">
        <f>IF(C82="","CRS-"&amp;TEXT(COUNTA($C$5:C82),"000"))</f>
        <v/>
      </c>
      <c r="C82" s="14" t="n"/>
      <c r="D82" s="14" t="n"/>
      <c r="E82" s="42" t="n"/>
      <c r="F82" s="14" t="n"/>
      <c r="G82" s="14" t="n"/>
      <c r="H82" s="14" t="n"/>
      <c r="I82" s="19" t="n"/>
      <c r="J82" s="14" t="n"/>
      <c r="K82" s="14" t="n"/>
    </row>
    <row r="83" ht="22" customHeight="1">
      <c r="B83" s="17">
        <f>IF(C83="","CRS-"&amp;TEXT(COUNTA($C$5:C83),"000"))</f>
        <v/>
      </c>
      <c r="C83" s="12" t="n"/>
      <c r="D83" s="12" t="n"/>
      <c r="E83" s="41" t="n"/>
      <c r="F83" s="12" t="n"/>
      <c r="G83" s="12" t="n"/>
      <c r="H83" s="12" t="n"/>
      <c r="I83" s="18" t="n"/>
      <c r="J83" s="12" t="n"/>
      <c r="K83" s="12" t="n"/>
    </row>
    <row r="84" ht="22" customHeight="1">
      <c r="B84" s="16">
        <f>IF(C84="","CRS-"&amp;TEXT(COUNTA($C$5:C84),"000"))</f>
        <v/>
      </c>
      <c r="C84" s="14" t="n"/>
      <c r="D84" s="14" t="n"/>
      <c r="E84" s="42" t="n"/>
      <c r="F84" s="14" t="n"/>
      <c r="G84" s="14" t="n"/>
      <c r="H84" s="14" t="n"/>
      <c r="I84" s="19" t="n"/>
      <c r="J84" s="14" t="n"/>
      <c r="K84" s="14" t="n"/>
    </row>
    <row r="85" ht="22" customHeight="1">
      <c r="B85" s="17">
        <f>IF(C85="","CRS-"&amp;TEXT(COUNTA($C$5:C85),"000"))</f>
        <v/>
      </c>
      <c r="C85" s="12" t="n"/>
      <c r="D85" s="12" t="n"/>
      <c r="E85" s="41" t="n"/>
      <c r="F85" s="12" t="n"/>
      <c r="G85" s="12" t="n"/>
      <c r="H85" s="12" t="n"/>
      <c r="I85" s="18" t="n"/>
      <c r="J85" s="12" t="n"/>
      <c r="K85" s="12" t="n"/>
    </row>
    <row r="86" ht="22" customHeight="1">
      <c r="B86" s="16">
        <f>IF(C86="","CRS-"&amp;TEXT(COUNTA($C$5:C86),"000"))</f>
        <v/>
      </c>
      <c r="C86" s="14" t="n"/>
      <c r="D86" s="14" t="n"/>
      <c r="E86" s="42" t="n"/>
      <c r="F86" s="14" t="n"/>
      <c r="G86" s="14" t="n"/>
      <c r="H86" s="14" t="n"/>
      <c r="I86" s="19" t="n"/>
      <c r="J86" s="14" t="n"/>
      <c r="K86" s="14" t="n"/>
    </row>
    <row r="87" ht="22" customHeight="1">
      <c r="B87" s="17">
        <f>IF(C87="","CRS-"&amp;TEXT(COUNTA($C$5:C87),"000"))</f>
        <v/>
      </c>
      <c r="C87" s="12" t="n"/>
      <c r="D87" s="12" t="n"/>
      <c r="E87" s="41" t="n"/>
      <c r="F87" s="12" t="n"/>
      <c r="G87" s="12" t="n"/>
      <c r="H87" s="12" t="n"/>
      <c r="I87" s="18" t="n"/>
      <c r="J87" s="12" t="n"/>
      <c r="K87" s="12" t="n"/>
    </row>
    <row r="88" ht="22" customHeight="1">
      <c r="B88" s="16">
        <f>IF(C88="","CRS-"&amp;TEXT(COUNTA($C$5:C88),"000"))</f>
        <v/>
      </c>
      <c r="C88" s="14" t="n"/>
      <c r="D88" s="14" t="n"/>
      <c r="E88" s="42" t="n"/>
      <c r="F88" s="14" t="n"/>
      <c r="G88" s="14" t="n"/>
      <c r="H88" s="14" t="n"/>
      <c r="I88" s="19" t="n"/>
      <c r="J88" s="14" t="n"/>
      <c r="K88" s="14" t="n"/>
    </row>
    <row r="89" ht="22" customHeight="1">
      <c r="B89" s="17">
        <f>IF(C89="","CRS-"&amp;TEXT(COUNTA($C$5:C89),"000"))</f>
        <v/>
      </c>
      <c r="C89" s="12" t="n"/>
      <c r="D89" s="12" t="n"/>
      <c r="E89" s="41" t="n"/>
      <c r="F89" s="12" t="n"/>
      <c r="G89" s="12" t="n"/>
      <c r="H89" s="12" t="n"/>
      <c r="I89" s="18" t="n"/>
      <c r="J89" s="12" t="n"/>
      <c r="K89" s="12" t="n"/>
    </row>
    <row r="90" ht="22" customHeight="1">
      <c r="B90" s="16">
        <f>IF(C90="","CRS-"&amp;TEXT(COUNTA($C$5:C90),"000"))</f>
        <v/>
      </c>
      <c r="C90" s="14" t="n"/>
      <c r="D90" s="14" t="n"/>
      <c r="E90" s="42" t="n"/>
      <c r="F90" s="14" t="n"/>
      <c r="G90" s="14" t="n"/>
      <c r="H90" s="14" t="n"/>
      <c r="I90" s="19" t="n"/>
      <c r="J90" s="14" t="n"/>
      <c r="K90" s="14" t="n"/>
    </row>
    <row r="91" ht="22" customHeight="1">
      <c r="B91" s="17">
        <f>IF(C91="","CRS-"&amp;TEXT(COUNTA($C$5:C91),"000"))</f>
        <v/>
      </c>
      <c r="C91" s="12" t="n"/>
      <c r="D91" s="12" t="n"/>
      <c r="E91" s="41" t="n"/>
      <c r="F91" s="12" t="n"/>
      <c r="G91" s="12" t="n"/>
      <c r="H91" s="12" t="n"/>
      <c r="I91" s="18" t="n"/>
      <c r="J91" s="12" t="n"/>
      <c r="K91" s="12" t="n"/>
    </row>
    <row r="92" ht="22" customHeight="1">
      <c r="B92" s="16">
        <f>IF(C92="","CRS-"&amp;TEXT(COUNTA($C$5:C92),"000"))</f>
        <v/>
      </c>
      <c r="C92" s="14" t="n"/>
      <c r="D92" s="14" t="n"/>
      <c r="E92" s="42" t="n"/>
      <c r="F92" s="14" t="n"/>
      <c r="G92" s="14" t="n"/>
      <c r="H92" s="14" t="n"/>
      <c r="I92" s="19" t="n"/>
      <c r="J92" s="14" t="n"/>
      <c r="K92" s="14" t="n"/>
    </row>
    <row r="93" ht="22" customHeight="1">
      <c r="B93" s="17">
        <f>IF(C93="","CRS-"&amp;TEXT(COUNTA($C$5:C93),"000"))</f>
        <v/>
      </c>
      <c r="C93" s="12" t="n"/>
      <c r="D93" s="12" t="n"/>
      <c r="E93" s="41" t="n"/>
      <c r="F93" s="12" t="n"/>
      <c r="G93" s="12" t="n"/>
      <c r="H93" s="12" t="n"/>
      <c r="I93" s="18" t="n"/>
      <c r="J93" s="12" t="n"/>
      <c r="K93" s="12" t="n"/>
    </row>
    <row r="94" ht="22" customHeight="1">
      <c r="B94" s="16">
        <f>IF(C94="","CRS-"&amp;TEXT(COUNTA($C$5:C94),"000"))</f>
        <v/>
      </c>
      <c r="C94" s="14" t="n"/>
      <c r="D94" s="14" t="n"/>
      <c r="E94" s="42" t="n"/>
      <c r="F94" s="14" t="n"/>
      <c r="G94" s="14" t="n"/>
      <c r="H94" s="14" t="n"/>
      <c r="I94" s="19" t="n"/>
      <c r="J94" s="14" t="n"/>
      <c r="K94" s="14" t="n"/>
    </row>
    <row r="95" ht="22" customHeight="1">
      <c r="B95" s="17">
        <f>IF(C95="","CRS-"&amp;TEXT(COUNTA($C$5:C95),"000"))</f>
        <v/>
      </c>
      <c r="C95" s="12" t="n"/>
      <c r="D95" s="12" t="n"/>
      <c r="E95" s="41" t="n"/>
      <c r="F95" s="12" t="n"/>
      <c r="G95" s="12" t="n"/>
      <c r="H95" s="12" t="n"/>
      <c r="I95" s="18" t="n"/>
      <c r="J95" s="12" t="n"/>
      <c r="K95" s="12" t="n"/>
    </row>
    <row r="96" ht="22" customHeight="1">
      <c r="B96" s="16">
        <f>IF(C96="","CRS-"&amp;TEXT(COUNTA($C$5:C96),"000"))</f>
        <v/>
      </c>
      <c r="C96" s="14" t="n"/>
      <c r="D96" s="14" t="n"/>
      <c r="E96" s="42" t="n"/>
      <c r="F96" s="14" t="n"/>
      <c r="G96" s="14" t="n"/>
      <c r="H96" s="14" t="n"/>
      <c r="I96" s="19" t="n"/>
      <c r="J96" s="14" t="n"/>
      <c r="K96" s="14" t="n"/>
    </row>
    <row r="97" ht="22" customHeight="1">
      <c r="B97" s="17">
        <f>IF(C97="","CRS-"&amp;TEXT(COUNTA($C$5:C97),"000"))</f>
        <v/>
      </c>
      <c r="C97" s="12" t="n"/>
      <c r="D97" s="12" t="n"/>
      <c r="E97" s="41" t="n"/>
      <c r="F97" s="12" t="n"/>
      <c r="G97" s="12" t="n"/>
      <c r="H97" s="12" t="n"/>
      <c r="I97" s="18" t="n"/>
      <c r="J97" s="12" t="n"/>
      <c r="K97" s="12" t="n"/>
    </row>
    <row r="98" ht="22" customHeight="1">
      <c r="B98" s="16">
        <f>IF(C98="","CRS-"&amp;TEXT(COUNTA($C$5:C98),"000"))</f>
        <v/>
      </c>
      <c r="C98" s="14" t="n"/>
      <c r="D98" s="14" t="n"/>
      <c r="E98" s="42" t="n"/>
      <c r="F98" s="14" t="n"/>
      <c r="G98" s="14" t="n"/>
      <c r="H98" s="14" t="n"/>
      <c r="I98" s="19" t="n"/>
      <c r="J98" s="14" t="n"/>
      <c r="K98" s="14" t="n"/>
    </row>
    <row r="99" ht="22" customHeight="1">
      <c r="B99" s="17">
        <f>IF(C99="","CRS-"&amp;TEXT(COUNTA($C$5:C99),"000"))</f>
        <v/>
      </c>
      <c r="C99" s="12" t="n"/>
      <c r="D99" s="12" t="n"/>
      <c r="E99" s="41" t="n"/>
      <c r="F99" s="12" t="n"/>
      <c r="G99" s="12" t="n"/>
      <c r="H99" s="12" t="n"/>
      <c r="I99" s="18" t="n"/>
      <c r="J99" s="12" t="n"/>
      <c r="K99" s="12" t="n"/>
    </row>
    <row r="100" ht="22" customHeight="1">
      <c r="B100" s="16">
        <f>IF(C100="","CRS-"&amp;TEXT(COUNTA($C$5:C100),"000"))</f>
        <v/>
      </c>
      <c r="C100" s="14" t="n"/>
      <c r="D100" s="14" t="n"/>
      <c r="E100" s="42" t="n"/>
      <c r="F100" s="14" t="n"/>
      <c r="G100" s="14" t="n"/>
      <c r="H100" s="14" t="n"/>
      <c r="I100" s="19" t="n"/>
      <c r="J100" s="14" t="n"/>
      <c r="K100" s="14" t="n"/>
    </row>
    <row r="101" ht="22" customHeight="1">
      <c r="B101" s="17">
        <f>IF(C101="","CRS-"&amp;TEXT(COUNTA($C$5:C101),"000"))</f>
        <v/>
      </c>
      <c r="C101" s="12" t="n"/>
      <c r="D101" s="12" t="n"/>
      <c r="E101" s="41" t="n"/>
      <c r="F101" s="12" t="n"/>
      <c r="G101" s="12" t="n"/>
      <c r="H101" s="12" t="n"/>
      <c r="I101" s="18" t="n"/>
      <c r="J101" s="12" t="n"/>
      <c r="K101" s="12" t="n"/>
    </row>
    <row r="102" ht="22" customHeight="1">
      <c r="B102" s="16">
        <f>IF(C102="","CRS-"&amp;TEXT(COUNTA($C$5:C102),"000"))</f>
        <v/>
      </c>
      <c r="C102" s="14" t="n"/>
      <c r="D102" s="14" t="n"/>
      <c r="E102" s="42" t="n"/>
      <c r="F102" s="14" t="n"/>
      <c r="G102" s="14" t="n"/>
      <c r="H102" s="14" t="n"/>
      <c r="I102" s="19" t="n"/>
      <c r="J102" s="14" t="n"/>
      <c r="K102" s="14" t="n"/>
    </row>
    <row r="103" ht="22" customHeight="1">
      <c r="B103" s="17">
        <f>IF(C103="","CRS-"&amp;TEXT(COUNTA($C$5:C103),"000"))</f>
        <v/>
      </c>
      <c r="C103" s="12" t="n"/>
      <c r="D103" s="12" t="n"/>
      <c r="E103" s="41" t="n"/>
      <c r="F103" s="12" t="n"/>
      <c r="G103" s="12" t="n"/>
      <c r="H103" s="12" t="n"/>
      <c r="I103" s="18" t="n"/>
      <c r="J103" s="12" t="n"/>
      <c r="K103" s="12" t="n"/>
    </row>
    <row r="104" ht="22" customHeight="1">
      <c r="B104" s="16">
        <f>IF(C104="","CRS-"&amp;TEXT(COUNTA($C$5:C104),"000"))</f>
        <v/>
      </c>
      <c r="C104" s="14" t="n"/>
      <c r="D104" s="14" t="n"/>
      <c r="E104" s="42" t="n"/>
      <c r="F104" s="14" t="n"/>
      <c r="G104" s="14" t="n"/>
      <c r="H104" s="14" t="n"/>
      <c r="I104" s="19" t="n"/>
      <c r="J104" s="14" t="n"/>
      <c r="K104" s="14" t="n"/>
    </row>
    <row r="105" ht="22" customHeight="1">
      <c r="B105" s="17">
        <f>IF(C105="","CRS-"&amp;TEXT(COUNTA($C$5:C105),"000"))</f>
        <v/>
      </c>
      <c r="C105" s="12" t="n"/>
      <c r="D105" s="12" t="n"/>
      <c r="E105" s="41" t="n"/>
      <c r="F105" s="12" t="n"/>
      <c r="G105" s="12" t="n"/>
      <c r="H105" s="12" t="n"/>
      <c r="I105" s="18" t="n"/>
      <c r="J105" s="12" t="n"/>
      <c r="K105" s="12" t="n"/>
    </row>
    <row r="106" ht="22" customHeight="1">
      <c r="B106" s="16">
        <f>IF(C106="","CRS-"&amp;TEXT(COUNTA($C$5:C106),"000"))</f>
        <v/>
      </c>
      <c r="C106" s="14" t="n"/>
      <c r="D106" s="14" t="n"/>
      <c r="E106" s="42" t="n"/>
      <c r="F106" s="14" t="n"/>
      <c r="G106" s="14" t="n"/>
      <c r="H106" s="14" t="n"/>
      <c r="I106" s="19" t="n"/>
      <c r="J106" s="14" t="n"/>
      <c r="K106" s="14" t="n"/>
    </row>
    <row r="107" ht="22" customHeight="1">
      <c r="B107" s="17">
        <f>IF(C107="","CRS-"&amp;TEXT(COUNTA($C$5:C107),"000"))</f>
        <v/>
      </c>
      <c r="C107" s="12" t="n"/>
      <c r="D107" s="12" t="n"/>
      <c r="E107" s="41" t="n"/>
      <c r="F107" s="12" t="n"/>
      <c r="G107" s="12" t="n"/>
      <c r="H107" s="12" t="n"/>
      <c r="I107" s="18" t="n"/>
      <c r="J107" s="12" t="n"/>
      <c r="K107" s="12" t="n"/>
    </row>
    <row r="108" ht="22" customHeight="1">
      <c r="B108" s="16">
        <f>IF(C108="","CRS-"&amp;TEXT(COUNTA($C$5:C108),"000"))</f>
        <v/>
      </c>
      <c r="C108" s="14" t="n"/>
      <c r="D108" s="14" t="n"/>
      <c r="E108" s="42" t="n"/>
      <c r="F108" s="14" t="n"/>
      <c r="G108" s="14" t="n"/>
      <c r="H108" s="14" t="n"/>
      <c r="I108" s="19" t="n"/>
      <c r="J108" s="14" t="n"/>
      <c r="K108" s="14" t="n"/>
    </row>
    <row r="109" ht="22" customHeight="1">
      <c r="B109" s="17">
        <f>IF(C109="","CRS-"&amp;TEXT(COUNTA($C$5:C109),"000"))</f>
        <v/>
      </c>
      <c r="C109" s="12" t="n"/>
      <c r="D109" s="12" t="n"/>
      <c r="E109" s="41" t="n"/>
      <c r="F109" s="12" t="n"/>
      <c r="G109" s="12" t="n"/>
      <c r="H109" s="12" t="n"/>
      <c r="I109" s="18" t="n"/>
      <c r="J109" s="12" t="n"/>
      <c r="K109" s="12" t="n"/>
    </row>
    <row r="111">
      <c r="B111" s="6" t="inlineStr">
        <is>
          <t>INDICATEURS (mis a jour automatiquement)</t>
        </is>
      </c>
    </row>
    <row r="112">
      <c r="B112" s="3" t="inlineStr">
        <is>
          <t>Actions planifiees</t>
        </is>
      </c>
      <c r="D112" s="3" t="inlineStr">
        <is>
          <t>Budget total estime</t>
        </is>
      </c>
      <c r="F112" s="3" t="inlineStr">
        <is>
          <t>Planifiees</t>
        </is>
      </c>
    </row>
    <row r="113">
      <c r="B113" s="4">
        <f>COUNTIF(B5:B104,"&lt;&gt;")</f>
        <v/>
      </c>
      <c r="D113" s="4">
        <f>SUM(I5:I104)</f>
        <v/>
      </c>
      <c r="F113" s="4">
        <f>COUNTIF(J5:J104,"Planifiee")</f>
        <v/>
      </c>
    </row>
  </sheetData>
  <mergeCells count="3">
    <mergeCell ref="B111:K111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10:B109">
    <cfRule type="expression" priority="238" dxfId="3">
      <formula>AND($C10="",$C9&lt;&gt;"")</formula>
    </cfRule>
  </conditionalFormatting>
  <conditionalFormatting sqref="C10:C109">
    <cfRule type="expression" priority="239" dxfId="3">
      <formula>AND($C10="",$C9&lt;&gt;"")</formula>
    </cfRule>
  </conditionalFormatting>
  <conditionalFormatting sqref="D10:D109">
    <cfRule type="expression" priority="240" dxfId="3">
      <formula>AND($C10="",$C9&lt;&gt;"")</formula>
    </cfRule>
  </conditionalFormatting>
  <conditionalFormatting sqref="E10:E109">
    <cfRule type="expression" priority="241" dxfId="3">
      <formula>AND($C10="",$C9&lt;&gt;"")</formula>
    </cfRule>
  </conditionalFormatting>
  <conditionalFormatting sqref="F10:F109">
    <cfRule type="expression" priority="242" dxfId="3">
      <formula>AND($C10="",$C9&lt;&gt;"")</formula>
    </cfRule>
  </conditionalFormatting>
  <conditionalFormatting sqref="G10:G109">
    <cfRule type="expression" priority="243" dxfId="3">
      <formula>AND($C10="",$C9&lt;&gt;"")</formula>
    </cfRule>
  </conditionalFormatting>
  <conditionalFormatting sqref="H10:H109">
    <cfRule type="expression" priority="244" dxfId="3">
      <formula>AND($C10="",$C9&lt;&gt;"")</formula>
    </cfRule>
  </conditionalFormatting>
  <conditionalFormatting sqref="I10:I109">
    <cfRule type="expression" priority="245" dxfId="3">
      <formula>AND($C10="",$C9&lt;&gt;"")</formula>
    </cfRule>
  </conditionalFormatting>
  <conditionalFormatting sqref="J10:J109">
    <cfRule type="expression" priority="246" dxfId="3">
      <formula>AND($C10="",$C9&lt;&gt;"")</formula>
    </cfRule>
  </conditionalFormatting>
  <conditionalFormatting sqref="K10:K109">
    <cfRule type="expression" priority="247" dxfId="3">
      <formula>AND($C10="",$C9&lt;&gt;"")</formula>
    </cfRule>
  </conditionalFormatting>
  <dataValidations count="2">
    <dataValidation sqref="D5:D109" showDropDown="0" showInputMessage="0" showErrorMessage="0" allowBlank="1" errorTitle="Erreur" error="Valeur invalide" promptTitle="Liste" prompt="Choisir dans la liste" type="list">
      <formula1>'_Lists'!$D$2:$D$9</formula1>
    </dataValidation>
    <dataValidation sqref="J5:J109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4" customWidth="1" min="5" max="5"/>
    <col width="14" customWidth="1" min="6" max="6"/>
    <col width="20" customWidth="1" min="7" max="7"/>
    <col width="36" customWidth="1" min="8" max="8"/>
    <col width="30" customWidth="1" min="9" max="9"/>
    <col width="16" customWidth="1" min="10" max="10"/>
    <col width="16" customWidth="1" min="11" max="11"/>
  </cols>
  <sheetData>
    <row r="1" ht="15" customHeight="1"/>
    <row r="2" ht="32" customHeight="1">
      <c r="B2" s="1" t="inlineStr">
        <is>
          <t>MATRICE PARTIES PRENANTES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Partie Prenante</t>
        </is>
      </c>
      <c r="D4" s="11" t="inlineStr">
        <is>
          <t>Categorie</t>
        </is>
      </c>
      <c r="E4" s="11" t="inlineStr">
        <is>
          <t>Interet RSE</t>
        </is>
      </c>
      <c r="F4" s="11" t="inlineStr">
        <is>
          <t>Influence</t>
        </is>
      </c>
      <c r="G4" s="11" t="inlineStr">
        <is>
          <t>Niveau Engagement</t>
        </is>
      </c>
      <c r="H4" s="11" t="inlineStr">
        <is>
          <t>Attentes Principales</t>
        </is>
      </c>
      <c r="I4" s="11" t="inlineStr">
        <is>
          <t>Actions Envisagees</t>
        </is>
      </c>
      <c r="J4" s="11" t="inlineStr">
        <is>
          <t>Frequence Echange</t>
        </is>
      </c>
      <c r="K4" s="11" t="inlineStr">
        <is>
          <t>Dernier Contact</t>
        </is>
      </c>
    </row>
    <row r="5" ht="22" customHeight="1">
      <c r="B5" s="12" t="inlineStr">
        <is>
          <t>MPP-001</t>
        </is>
      </c>
      <c r="C5" s="12" t="inlineStr">
        <is>
          <t>Employes</t>
        </is>
      </c>
      <c r="D5" s="12" t="inlineStr">
        <is>
          <t>Interne</t>
        </is>
      </c>
      <c r="E5" s="12" t="inlineStr">
        <is>
          <t>Eleve</t>
        </is>
      </c>
      <c r="F5" s="12" t="inlineStr">
        <is>
          <t>Eleve</t>
        </is>
      </c>
      <c r="G5" s="12" t="inlineStr">
        <is>
          <t>Actif</t>
        </is>
      </c>
      <c r="H5" s="12" t="inlineStr">
        <is>
          <t>Meilleures conditions, bien-etre, formation</t>
        </is>
      </c>
      <c r="I5" s="12" t="inlineStr">
        <is>
          <t>Enquetes, CSE, formations</t>
        </is>
      </c>
      <c r="J5" s="12" t="inlineStr">
        <is>
          <t>Mensuelle</t>
        </is>
      </c>
      <c r="K5" s="41" t="n">
        <v>45716</v>
      </c>
    </row>
    <row r="6" ht="22" customHeight="1">
      <c r="B6" s="14" t="inlineStr">
        <is>
          <t>MPP-002</t>
        </is>
      </c>
      <c r="C6" s="14" t="inlineStr">
        <is>
          <t>Clients</t>
        </is>
      </c>
      <c r="D6" s="14" t="inlineStr">
        <is>
          <t>Externe</t>
        </is>
      </c>
      <c r="E6" s="14" t="inlineStr">
        <is>
          <t>Moyen</t>
        </is>
      </c>
      <c r="F6" s="14" t="inlineStr">
        <is>
          <t>Eleve</t>
        </is>
      </c>
      <c r="G6" s="14" t="inlineStr">
        <is>
          <t>Modere</t>
        </is>
      </c>
      <c r="H6" s="14" t="inlineStr">
        <is>
          <t>Hotels responsables, eco-labels</t>
        </is>
      </c>
      <c r="I6" s="14" t="inlineStr">
        <is>
          <t>Communication ME, eco-label</t>
        </is>
      </c>
      <c r="J6" s="14" t="inlineStr">
        <is>
          <t>Trimestrielle</t>
        </is>
      </c>
      <c r="K6" s="42" t="n">
        <v>45672</v>
      </c>
    </row>
    <row r="7" ht="22" customHeight="1">
      <c r="B7" s="12" t="inlineStr">
        <is>
          <t>MPP-003</t>
        </is>
      </c>
      <c r="C7" s="12" t="inlineStr">
        <is>
          <t>Fournisseurs</t>
        </is>
      </c>
      <c r="D7" s="12" t="inlineStr">
        <is>
          <t>Externe</t>
        </is>
      </c>
      <c r="E7" s="12" t="inlineStr">
        <is>
          <t>Moyen</t>
        </is>
      </c>
      <c r="F7" s="12" t="inlineStr">
        <is>
          <t>Moyen</t>
        </is>
      </c>
      <c r="G7" s="12" t="inlineStr">
        <is>
          <t>Modere</t>
        </is>
      </c>
      <c r="H7" s="12" t="inlineStr">
        <is>
          <t>Achats locaux, commerce equitable</t>
        </is>
      </c>
      <c r="I7" s="12" t="inlineStr">
        <is>
          <t>Charte fournisseur, audit</t>
        </is>
      </c>
      <c r="J7" s="12" t="inlineStr">
        <is>
          <t>Semestrielle</t>
        </is>
      </c>
      <c r="K7" s="41" t="n">
        <v>45698</v>
      </c>
    </row>
    <row r="8" ht="22" customHeight="1">
      <c r="B8" s="14" t="inlineStr">
        <is>
          <t>MPP-004</t>
        </is>
      </c>
      <c r="C8" s="14" t="inlineStr">
        <is>
          <t>Collectivite locale</t>
        </is>
      </c>
      <c r="D8" s="14" t="inlineStr">
        <is>
          <t>Externe</t>
        </is>
      </c>
      <c r="E8" s="14" t="inlineStr">
        <is>
          <t>Eleve</t>
        </is>
      </c>
      <c r="F8" s="14" t="inlineStr">
        <is>
          <t>Eleve</t>
        </is>
      </c>
      <c r="G8" s="14" t="inlineStr">
        <is>
          <t>Actif</t>
        </is>
      </c>
      <c r="H8" s="14" t="inlineStr">
        <is>
          <t>Emploi local, respect reglementation</t>
        </is>
      </c>
      <c r="I8" s="14" t="inlineStr">
        <is>
          <t>Partenariats, reporting</t>
        </is>
      </c>
      <c r="J8" s="14" t="inlineStr">
        <is>
          <t>Trimestrielle</t>
        </is>
      </c>
      <c r="K8" s="42" t="n">
        <v>45717</v>
      </c>
    </row>
    <row r="9" ht="22" customHeight="1">
      <c r="B9" s="12" t="inlineStr">
        <is>
          <t>MPP-005</t>
        </is>
      </c>
      <c r="C9" s="12" t="inlineStr">
        <is>
          <t>ONG environnement</t>
        </is>
      </c>
      <c r="D9" s="12" t="inlineStr">
        <is>
          <t>Externe</t>
        </is>
      </c>
      <c r="E9" s="12" t="inlineStr">
        <is>
          <t>Eleve</t>
        </is>
      </c>
      <c r="F9" s="12" t="inlineStr">
        <is>
          <t>Moyen</t>
        </is>
      </c>
      <c r="G9" s="12" t="inlineStr">
        <is>
          <t>Actif</t>
        </is>
      </c>
      <c r="H9" s="12" t="inlineStr">
        <is>
          <t>Reduction empreinte ecologique</t>
        </is>
      </c>
      <c r="I9" s="12" t="inlineStr">
        <is>
          <t>Formations, audits, labels</t>
        </is>
      </c>
      <c r="J9" s="12" t="inlineStr">
        <is>
          <t>Mensuelle</t>
        </is>
      </c>
      <c r="K9" s="41" t="n">
        <v>45708</v>
      </c>
    </row>
    <row r="10" ht="22" customHeight="1">
      <c r="B10" s="16">
        <f>IF(C10="","MPP-"&amp;TEXT(COUNTA($C$5:C10),"000"))</f>
        <v/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42" t="n"/>
    </row>
    <row r="11" ht="22" customHeight="1">
      <c r="B11" s="17">
        <f>IF(C11="","MPP-"&amp;TEXT(COUNTA($C$5:C11),"000"))</f>
        <v/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41" t="n"/>
    </row>
    <row r="12" ht="22" customHeight="1">
      <c r="B12" s="16">
        <f>IF(C12="","MPP-"&amp;TEXT(COUNTA($C$5:C12),"000"))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42" t="n"/>
    </row>
    <row r="13" ht="22" customHeight="1">
      <c r="B13" s="17">
        <f>IF(C13="","MPP-"&amp;TEXT(COUNTA($C$5:C13),"000"))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41" t="n"/>
    </row>
    <row r="14" ht="22" customHeight="1">
      <c r="B14" s="16">
        <f>IF(C14="","MPP-"&amp;TEXT(COUNTA($C$5:C14),"000"))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42" t="n"/>
    </row>
    <row r="15" ht="22" customHeight="1">
      <c r="B15" s="17">
        <f>IF(C15="","MPP-"&amp;TEXT(COUNTA($C$5:C15),"000"))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41" t="n"/>
    </row>
    <row r="16" ht="22" customHeight="1">
      <c r="B16" s="16">
        <f>IF(C16="","MPP-"&amp;TEXT(COUNTA($C$5:C16),"000"))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42" t="n"/>
    </row>
    <row r="17" ht="22" customHeight="1">
      <c r="B17" s="17">
        <f>IF(C17="","MPP-"&amp;TEXT(COUNTA($C$5:C17),"000"))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41" t="n"/>
    </row>
    <row r="18" ht="22" customHeight="1">
      <c r="B18" s="16">
        <f>IF(C18="","MPP-"&amp;TEXT(COUNTA($C$5:C18),"000"))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42" t="n"/>
    </row>
    <row r="19" ht="22" customHeight="1">
      <c r="B19" s="17">
        <f>IF(C19="","MPP-"&amp;TEXT(COUNTA($C$5:C19),"000"))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41" t="n"/>
    </row>
    <row r="20" ht="22" customHeight="1">
      <c r="B20" s="16">
        <f>IF(C20="","MPP-"&amp;TEXT(COUNTA($C$5:C20),"000"))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42" t="n"/>
    </row>
    <row r="21" ht="22" customHeight="1">
      <c r="B21" s="17">
        <f>IF(C21="","MPP-"&amp;TEXT(COUNTA($C$5:C21),"000"))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41" t="n"/>
    </row>
    <row r="22" ht="22" customHeight="1">
      <c r="B22" s="16">
        <f>IF(C22="","MPP-"&amp;TEXT(COUNTA($C$5:C22),"000"))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42" t="n"/>
    </row>
    <row r="23" ht="22" customHeight="1">
      <c r="B23" s="17">
        <f>IF(C23="","MPP-"&amp;TEXT(COUNTA($C$5:C23),"000"))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41" t="n"/>
    </row>
    <row r="24" ht="22" customHeight="1">
      <c r="B24" s="16">
        <f>IF(C24="","MPP-"&amp;TEXT(COUNTA($C$5:C24),"000"))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42" t="n"/>
    </row>
    <row r="25" ht="22" customHeight="1">
      <c r="B25" s="17">
        <f>IF(C25="","MPP-"&amp;TEXT(COUNTA($C$5:C25),"000"))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41" t="n"/>
    </row>
    <row r="26" ht="22" customHeight="1">
      <c r="B26" s="16">
        <f>IF(C26="","MPP-"&amp;TEXT(COUNTA($C$5:C26),"000"))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42" t="n"/>
    </row>
    <row r="27" ht="22" customHeight="1">
      <c r="B27" s="17">
        <f>IF(C27="","MPP-"&amp;TEXT(COUNTA($C$5:C27),"000"))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41" t="n"/>
    </row>
    <row r="28" ht="22" customHeight="1">
      <c r="B28" s="16">
        <f>IF(C28="","MPP-"&amp;TEXT(COUNTA($C$5:C28),"000"))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42" t="n"/>
    </row>
    <row r="29" ht="22" customHeight="1">
      <c r="B29" s="17">
        <f>IF(C29="","MPP-"&amp;TEXT(COUNTA($C$5:C29),"000"))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41" t="n"/>
    </row>
    <row r="30" ht="22" customHeight="1">
      <c r="B30" s="16">
        <f>IF(C30="","MPP-"&amp;TEXT(COUNTA($C$5:C30),"000"))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42" t="n"/>
    </row>
    <row r="31" ht="22" customHeight="1">
      <c r="B31" s="17">
        <f>IF(C31="","MPP-"&amp;TEXT(COUNTA($C$5:C31),"000"))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41" t="n"/>
    </row>
    <row r="32" ht="22" customHeight="1">
      <c r="B32" s="16">
        <f>IF(C32="","MPP-"&amp;TEXT(COUNTA($C$5:C32),"000"))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42" t="n"/>
    </row>
    <row r="33" ht="22" customHeight="1">
      <c r="B33" s="17">
        <f>IF(C33="","MPP-"&amp;TEXT(COUNTA($C$5:C33),"000"))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41" t="n"/>
    </row>
    <row r="34" ht="22" customHeight="1">
      <c r="B34" s="16">
        <f>IF(C34="","MPP-"&amp;TEXT(COUNTA($C$5:C34),"000"))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42" t="n"/>
    </row>
    <row r="35" ht="22" customHeight="1">
      <c r="B35" s="17">
        <f>IF(C35="","MPP-"&amp;TEXT(COUNTA($C$5:C35),"000"))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41" t="n"/>
    </row>
    <row r="36" ht="22" customHeight="1">
      <c r="B36" s="16">
        <f>IF(C36="","MPP-"&amp;TEXT(COUNTA($C$5:C36),"000"))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42" t="n"/>
    </row>
    <row r="37" ht="22" customHeight="1">
      <c r="B37" s="17">
        <f>IF(C37="","MPP-"&amp;TEXT(COUNTA($C$5:C37),"000"))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41" t="n"/>
    </row>
    <row r="38" ht="22" customHeight="1">
      <c r="B38" s="16">
        <f>IF(C38="","MPP-"&amp;TEXT(COUNTA($C$5:C38),"000"))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42" t="n"/>
    </row>
    <row r="39" ht="22" customHeight="1">
      <c r="B39" s="17">
        <f>IF(C39="","MPP-"&amp;TEXT(COUNTA($C$5:C39),"000"))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41" t="n"/>
    </row>
    <row r="40" ht="22" customHeight="1">
      <c r="B40" s="16">
        <f>IF(C40="","MPP-"&amp;TEXT(COUNTA($C$5:C40),"000"))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42" t="n"/>
    </row>
    <row r="41" ht="22" customHeight="1">
      <c r="B41" s="17">
        <f>IF(C41="","MPP-"&amp;TEXT(COUNTA($C$5:C41),"000"))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41" t="n"/>
    </row>
    <row r="42" ht="22" customHeight="1">
      <c r="B42" s="16">
        <f>IF(C42="","MPP-"&amp;TEXT(COUNTA($C$5:C42),"000"))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42" t="n"/>
    </row>
    <row r="43" ht="22" customHeight="1">
      <c r="B43" s="17">
        <f>IF(C43="","MPP-"&amp;TEXT(COUNTA($C$5:C43),"000"))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41" t="n"/>
    </row>
    <row r="44" ht="22" customHeight="1">
      <c r="B44" s="16">
        <f>IF(C44="","MPP-"&amp;TEXT(COUNTA($C$5:C44),"000"))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42" t="n"/>
    </row>
    <row r="45" ht="22" customHeight="1">
      <c r="B45" s="17">
        <f>IF(C45="","MPP-"&amp;TEXT(COUNTA($C$5:C45),"000"))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41" t="n"/>
    </row>
    <row r="46" ht="22" customHeight="1">
      <c r="B46" s="16">
        <f>IF(C46="","MPP-"&amp;TEXT(COUNTA($C$5:C46),"000"))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42" t="n"/>
    </row>
    <row r="47" ht="22" customHeight="1">
      <c r="B47" s="17">
        <f>IF(C47="","MPP-"&amp;TEXT(COUNTA($C$5:C47),"000"))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41" t="n"/>
    </row>
    <row r="48" ht="22" customHeight="1">
      <c r="B48" s="16">
        <f>IF(C48="","MPP-"&amp;TEXT(COUNTA($C$5:C48),"000"))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42" t="n"/>
    </row>
    <row r="49" ht="22" customHeight="1">
      <c r="B49" s="17">
        <f>IF(C49="","MPP-"&amp;TEXT(COUNTA($C$5:C49),"000"))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41" t="n"/>
    </row>
    <row r="50" ht="22" customHeight="1">
      <c r="B50" s="16">
        <f>IF(C50="","MPP-"&amp;TEXT(COUNTA($C$5:C50),"000"))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42" t="n"/>
    </row>
    <row r="51" ht="22" customHeight="1">
      <c r="B51" s="17">
        <f>IF(C51="","MPP-"&amp;TEXT(COUNTA($C$5:C51),"000"))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41" t="n"/>
    </row>
    <row r="52" ht="22" customHeight="1">
      <c r="B52" s="16">
        <f>IF(C52="","MPP-"&amp;TEXT(COUNTA($C$5:C52),"000"))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42" t="n"/>
    </row>
    <row r="53" ht="22" customHeight="1">
      <c r="B53" s="17">
        <f>IF(C53="","MPP-"&amp;TEXT(COUNTA($C$5:C53),"000"))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41" t="n"/>
    </row>
    <row r="54" ht="22" customHeight="1">
      <c r="B54" s="16">
        <f>IF(C54="","MPP-"&amp;TEXT(COUNTA($C$5:C54),"000"))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42" t="n"/>
    </row>
    <row r="55" ht="22" customHeight="1">
      <c r="B55" s="17">
        <f>IF(C55="","MPP-"&amp;TEXT(COUNTA($C$5:C55),"000"))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41" t="n"/>
    </row>
    <row r="56" ht="22" customHeight="1">
      <c r="B56" s="16">
        <f>IF(C56="","MPP-"&amp;TEXT(COUNTA($C$5:C56),"000"))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42" t="n"/>
    </row>
    <row r="57" ht="22" customHeight="1">
      <c r="B57" s="17">
        <f>IF(C57="","MPP-"&amp;TEXT(COUNTA($C$5:C57),"000"))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41" t="n"/>
    </row>
    <row r="58" ht="22" customHeight="1">
      <c r="B58" s="16">
        <f>IF(C58="","MPP-"&amp;TEXT(COUNTA($C$5:C58),"000"))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42" t="n"/>
    </row>
    <row r="59" ht="22" customHeight="1">
      <c r="B59" s="17">
        <f>IF(C59="","MPP-"&amp;TEXT(COUNTA($C$5:C59),"000"))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41" t="n"/>
    </row>
    <row r="60" ht="22" customHeight="1">
      <c r="B60" s="16">
        <f>IF(C60="","MPP-"&amp;TEXT(COUNTA($C$5:C60),"000"))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42" t="n"/>
    </row>
    <row r="61" ht="22" customHeight="1">
      <c r="B61" s="17">
        <f>IF(C61="","MPP-"&amp;TEXT(COUNTA($C$5:C61),"000"))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41" t="n"/>
    </row>
    <row r="62" ht="22" customHeight="1">
      <c r="B62" s="16">
        <f>IF(C62="","MPP-"&amp;TEXT(COUNTA($C$5:C62),"000"))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42" t="n"/>
    </row>
    <row r="63" ht="22" customHeight="1">
      <c r="B63" s="17">
        <f>IF(C63="","MPP-"&amp;TEXT(COUNTA($C$5:C63),"000"))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41" t="n"/>
    </row>
    <row r="64" ht="22" customHeight="1">
      <c r="B64" s="16">
        <f>IF(C64="","MPP-"&amp;TEXT(COUNTA($C$5:C64),"000"))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42" t="n"/>
    </row>
    <row r="65" ht="22" customHeight="1">
      <c r="B65" s="17">
        <f>IF(C65="","MPP-"&amp;TEXT(COUNTA($C$5:C65),"000"))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41" t="n"/>
    </row>
    <row r="66" ht="22" customHeight="1">
      <c r="B66" s="16">
        <f>IF(C66="","MPP-"&amp;TEXT(COUNTA($C$5:C66),"000"))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42" t="n"/>
    </row>
    <row r="67" ht="22" customHeight="1">
      <c r="B67" s="17">
        <f>IF(C67="","MPP-"&amp;TEXT(COUNTA($C$5:C67),"000"))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41" t="n"/>
    </row>
    <row r="68" ht="22" customHeight="1">
      <c r="B68" s="16">
        <f>IF(C68="","MPP-"&amp;TEXT(COUNTA($C$5:C68),"000"))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42" t="n"/>
    </row>
    <row r="69" ht="22" customHeight="1">
      <c r="B69" s="17">
        <f>IF(C69="","MPP-"&amp;TEXT(COUNTA($C$5:C69),"000"))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41" t="n"/>
    </row>
    <row r="70" ht="22" customHeight="1">
      <c r="B70" s="16">
        <f>IF(C70="","MPP-"&amp;TEXT(COUNTA($C$5:C70),"000"))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42" t="n"/>
    </row>
    <row r="71" ht="22" customHeight="1">
      <c r="B71" s="17">
        <f>IF(C71="","MPP-"&amp;TEXT(COUNTA($C$5:C71),"000"))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41" t="n"/>
    </row>
    <row r="72" ht="22" customHeight="1">
      <c r="B72" s="16">
        <f>IF(C72="","MPP-"&amp;TEXT(COUNTA($C$5:C72),"000"))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42" t="n"/>
    </row>
    <row r="73" ht="22" customHeight="1">
      <c r="B73" s="17">
        <f>IF(C73="","MPP-"&amp;TEXT(COUNTA($C$5:C73),"000"))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41" t="n"/>
    </row>
    <row r="74" ht="22" customHeight="1">
      <c r="B74" s="16">
        <f>IF(C74="","MPP-"&amp;TEXT(COUNTA($C$5:C74),"000"))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42" t="n"/>
    </row>
    <row r="75" ht="22" customHeight="1">
      <c r="B75" s="17">
        <f>IF(C75="","MPP-"&amp;TEXT(COUNTA($C$5:C75),"000"))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41" t="n"/>
    </row>
    <row r="76" ht="22" customHeight="1">
      <c r="B76" s="16">
        <f>IF(C76="","MPP-"&amp;TEXT(COUNTA($C$5:C76),"000"))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42" t="n"/>
    </row>
    <row r="77" ht="22" customHeight="1">
      <c r="B77" s="17">
        <f>IF(C77="","MPP-"&amp;TEXT(COUNTA($C$5:C77),"000"))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41" t="n"/>
    </row>
    <row r="78" ht="22" customHeight="1">
      <c r="B78" s="16">
        <f>IF(C78="","MPP-"&amp;TEXT(COUNTA($C$5:C78),"000"))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42" t="n"/>
    </row>
    <row r="79" ht="22" customHeight="1">
      <c r="B79" s="17">
        <f>IF(C79="","MPP-"&amp;TEXT(COUNTA($C$5:C79),"000"))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41" t="n"/>
    </row>
    <row r="80" ht="22" customHeight="1">
      <c r="B80" s="16">
        <f>IF(C80="","MPP-"&amp;TEXT(COUNTA($C$5:C80),"000"))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42" t="n"/>
    </row>
    <row r="81" ht="22" customHeight="1">
      <c r="B81" s="17">
        <f>IF(C81="","MPP-"&amp;TEXT(COUNTA($C$5:C81),"000"))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41" t="n"/>
    </row>
    <row r="82" ht="22" customHeight="1">
      <c r="B82" s="16">
        <f>IF(C82="","MPP-"&amp;TEXT(COUNTA($C$5:C82),"000"))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42" t="n"/>
    </row>
    <row r="83" ht="22" customHeight="1">
      <c r="B83" s="17">
        <f>IF(C83="","MPP-"&amp;TEXT(COUNTA($C$5:C83),"000"))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41" t="n"/>
    </row>
    <row r="84" ht="22" customHeight="1">
      <c r="B84" s="16">
        <f>IF(C84="","MPP-"&amp;TEXT(COUNTA($C$5:C84),"000"))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42" t="n"/>
    </row>
    <row r="85" ht="22" customHeight="1">
      <c r="B85" s="17">
        <f>IF(C85="","MPP-"&amp;TEXT(COUNTA($C$5:C85),"000"))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41" t="n"/>
    </row>
    <row r="86" ht="22" customHeight="1">
      <c r="B86" s="16">
        <f>IF(C86="","MPP-"&amp;TEXT(COUNTA($C$5:C86),"000"))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42" t="n"/>
    </row>
    <row r="87" ht="22" customHeight="1">
      <c r="B87" s="17">
        <f>IF(C87="","MPP-"&amp;TEXT(COUNTA($C$5:C87),"000"))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41" t="n"/>
    </row>
    <row r="88" ht="22" customHeight="1">
      <c r="B88" s="16">
        <f>IF(C88="","MPP-"&amp;TEXT(COUNTA($C$5:C88),"000"))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42" t="n"/>
    </row>
    <row r="89" ht="22" customHeight="1">
      <c r="B89" s="17">
        <f>IF(C89="","MPP-"&amp;TEXT(COUNTA($C$5:C89),"000"))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41" t="n"/>
    </row>
    <row r="90" ht="22" customHeight="1">
      <c r="B90" s="16">
        <f>IF(C90="","MPP-"&amp;TEXT(COUNTA($C$5:C90),"000"))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42" t="n"/>
    </row>
    <row r="91" ht="22" customHeight="1">
      <c r="B91" s="17">
        <f>IF(C91="","MPP-"&amp;TEXT(COUNTA($C$5:C91),"000"))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41" t="n"/>
    </row>
    <row r="92" ht="22" customHeight="1">
      <c r="B92" s="16">
        <f>IF(C92="","MPP-"&amp;TEXT(COUNTA($C$5:C92),"000"))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42" t="n"/>
    </row>
    <row r="93" ht="22" customHeight="1">
      <c r="B93" s="17">
        <f>IF(C93="","MPP-"&amp;TEXT(COUNTA($C$5:C93),"000"))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41" t="n"/>
    </row>
    <row r="94" ht="22" customHeight="1">
      <c r="B94" s="16">
        <f>IF(C94="","MPP-"&amp;TEXT(COUNTA($C$5:C94),"000"))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42" t="n"/>
    </row>
    <row r="95" ht="22" customHeight="1">
      <c r="B95" s="17">
        <f>IF(C95="","MPP-"&amp;TEXT(COUNTA($C$5:C95),"000"))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41" t="n"/>
    </row>
    <row r="96" ht="22" customHeight="1">
      <c r="B96" s="16">
        <f>IF(C96="","MPP-"&amp;TEXT(COUNTA($C$5:C96),"000"))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42" t="n"/>
    </row>
    <row r="97" ht="22" customHeight="1">
      <c r="B97" s="17">
        <f>IF(C97="","MPP-"&amp;TEXT(COUNTA($C$5:C97),"000"))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41" t="n"/>
    </row>
    <row r="98" ht="22" customHeight="1">
      <c r="B98" s="16">
        <f>IF(C98="","MPP-"&amp;TEXT(COUNTA($C$5:C98),"000"))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42" t="n"/>
    </row>
    <row r="99" ht="22" customHeight="1">
      <c r="B99" s="17">
        <f>IF(C99="","MPP-"&amp;TEXT(COUNTA($C$5:C99),"000"))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41" t="n"/>
    </row>
    <row r="100" ht="22" customHeight="1">
      <c r="B100" s="16">
        <f>IF(C100="","MPP-"&amp;TEXT(COUNTA($C$5:C100),"000"))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42" t="n"/>
    </row>
    <row r="101" ht="22" customHeight="1">
      <c r="B101" s="17">
        <f>IF(C101="","MPP-"&amp;TEXT(COUNTA($C$5:C101),"000"))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41" t="n"/>
    </row>
    <row r="102" ht="22" customHeight="1">
      <c r="B102" s="16">
        <f>IF(C102="","MPP-"&amp;TEXT(COUNTA($C$5:C102),"000"))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42" t="n"/>
    </row>
    <row r="103" ht="22" customHeight="1">
      <c r="B103" s="17">
        <f>IF(C103="","MPP-"&amp;TEXT(COUNTA($C$5:C103),"000"))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41" t="n"/>
    </row>
    <row r="104" ht="22" customHeight="1">
      <c r="B104" s="16">
        <f>IF(C104="","MPP-"&amp;TEXT(COUNTA($C$5:C104),"000"))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42" t="n"/>
    </row>
    <row r="105" ht="22" customHeight="1">
      <c r="B105" s="17">
        <f>IF(C105="","MPP-"&amp;TEXT(COUNTA($C$5:C105),"000"))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41" t="n"/>
    </row>
    <row r="106" ht="22" customHeight="1">
      <c r="B106" s="16">
        <f>IF(C106="","MPP-"&amp;TEXT(COUNTA($C$5:C106),"000"))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42" t="n"/>
    </row>
    <row r="107" ht="22" customHeight="1">
      <c r="B107" s="17">
        <f>IF(C107="","MPP-"&amp;TEXT(COUNTA($C$5:C107),"000"))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41" t="n"/>
    </row>
    <row r="108" ht="22" customHeight="1">
      <c r="B108" s="16">
        <f>IF(C108="","MPP-"&amp;TEXT(COUNTA($C$5:C108),"000"))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42" t="n"/>
    </row>
    <row r="109" ht="22" customHeight="1">
      <c r="B109" s="17">
        <f>IF(C109="","MPP-"&amp;TEXT(COUNTA($C$5:C109),"000"))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41" t="n"/>
    </row>
    <row r="111">
      <c r="B111" s="6" t="inlineStr">
        <is>
          <t>INDICATEURS (mis a jour automatiquement)</t>
        </is>
      </c>
    </row>
    <row r="112">
      <c r="B112" s="3" t="inlineStr">
        <is>
          <t>Parties prenantes</t>
        </is>
      </c>
      <c r="D112" s="3" t="inlineStr">
        <is>
          <t>Engagement actif</t>
        </is>
      </c>
      <c r="F112" s="3" t="inlineStr">
        <is>
          <t>Interet eleve</t>
        </is>
      </c>
    </row>
    <row r="113">
      <c r="B113" s="4">
        <f>COUNTIF(B5:B104,"&lt;&gt;")</f>
        <v/>
      </c>
      <c r="D113" s="4">
        <f>COUNTIF(G5:G104,"Actif")</f>
        <v/>
      </c>
      <c r="F113" s="4">
        <f>COUNTIF(E5:E104,"Eleve")</f>
        <v/>
      </c>
    </row>
  </sheetData>
  <mergeCells count="3">
    <mergeCell ref="B111:K111"/>
    <mergeCell ref="B3:K3"/>
    <mergeCell ref="B2:K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dataValidations count="1">
    <dataValidation sqref="F5:F109" showDropDown="0" showInputMessage="0" showErrorMessage="0" allowBlank="1" errorTitle="Erreur" error="Valeur invalide" promptTitle="Liste" prompt="Choisir dans la liste" type="list">
      <formula1>'_Lists'!$P$2:$P$6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2" customWidth="1" min="4" max="4"/>
    <col width="20" customWidth="1" min="5" max="5"/>
    <col width="20" customWidth="1" min="6" max="6"/>
    <col width="18" customWidth="1" min="7" max="7"/>
    <col width="24" customWidth="1" min="8" max="8"/>
    <col width="22" customWidth="1" min="9" max="9"/>
    <col width="16" customWidth="1" min="10" max="10"/>
    <col width="22" customWidth="1" min="11" max="11"/>
  </cols>
  <sheetData>
    <row r="1" ht="15" customHeight="1"/>
    <row r="2" ht="32" customHeight="1">
      <c r="B2" s="1" t="inlineStr">
        <is>
          <t>SUIVI FORMATION RSE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Mois</t>
        </is>
      </c>
      <c r="D4" s="11" t="inlineStr">
        <is>
          <t>Nb Formations RSE</t>
        </is>
      </c>
      <c r="E4" s="11" t="inlineStr">
        <is>
          <t>Nb Participants</t>
        </is>
      </c>
      <c r="F4" s="11" t="inlineStr">
        <is>
          <t>Heures Formation</t>
        </is>
      </c>
      <c r="G4" s="11" t="inlineStr">
        <is>
          <t>Cout Total (FCFA)</t>
        </is>
      </c>
      <c r="H4" s="11" t="inlineStr">
        <is>
          <t>Cout Moyen / Participant</t>
        </is>
      </c>
      <c r="I4" s="11" t="inlineStr">
        <is>
          <t>Taux Satisfaction Moy.</t>
        </is>
      </c>
      <c r="J4" s="11" t="inlineStr">
        <is>
          <t>Nb Certifies</t>
        </is>
      </c>
      <c r="K4" s="11" t="inlineStr">
        <is>
          <t>Taux Certification (%)</t>
        </is>
      </c>
    </row>
    <row r="5" ht="22" customHeight="1">
      <c r="B5" s="12" t="inlineStr">
        <is>
          <t>SFR-001</t>
        </is>
      </c>
      <c r="C5" s="12" t="inlineStr">
        <is>
          <t>Janvier 2025</t>
        </is>
      </c>
      <c r="D5" s="18" t="n">
        <v>2</v>
      </c>
      <c r="E5" s="18" t="n">
        <v>165</v>
      </c>
      <c r="F5" s="18" t="n">
        <v>500</v>
      </c>
      <c r="G5" s="18" t="n">
        <v>250000</v>
      </c>
      <c r="H5" s="18" t="n"/>
      <c r="I5" s="49" t="n">
        <v>4.1</v>
      </c>
      <c r="J5" s="18" t="n">
        <v>153</v>
      </c>
      <c r="K5" s="43" t="n"/>
    </row>
    <row r="6" ht="22" customHeight="1">
      <c r="B6" s="14" t="inlineStr">
        <is>
          <t>SFR-002</t>
        </is>
      </c>
      <c r="C6" s="14" t="inlineStr">
        <is>
          <t>Fevrier 2025</t>
        </is>
      </c>
      <c r="D6" s="19" t="n">
        <v>1</v>
      </c>
      <c r="E6" s="19" t="n">
        <v>35</v>
      </c>
      <c r="F6" s="19" t="n">
        <v>70</v>
      </c>
      <c r="G6" s="19" t="n">
        <v>75000</v>
      </c>
      <c r="H6" s="19" t="n"/>
      <c r="I6" s="51" t="n">
        <v>4.5</v>
      </c>
      <c r="J6" s="19" t="n">
        <v>35</v>
      </c>
      <c r="K6" s="44" t="n"/>
    </row>
    <row r="7" ht="22" customHeight="1">
      <c r="B7" s="12" t="inlineStr">
        <is>
          <t>SFR-003</t>
        </is>
      </c>
      <c r="C7" s="12" t="inlineStr">
        <is>
          <t>Mars 2025</t>
        </is>
      </c>
      <c r="D7" s="18" t="n">
        <v>1</v>
      </c>
      <c r="E7" s="18" t="n">
        <v>25</v>
      </c>
      <c r="F7" s="18" t="n">
        <v>100</v>
      </c>
      <c r="G7" s="18" t="n">
        <v>100000</v>
      </c>
      <c r="H7" s="18" t="n"/>
      <c r="I7" s="49" t="n"/>
      <c r="J7" s="18" t="n">
        <v>0</v>
      </c>
      <c r="K7" s="43" t="n"/>
    </row>
    <row r="8" ht="22" customHeight="1">
      <c r="B8" s="16">
        <f>IF(C8="","SFR-"&amp;TEXT(COUNTA($C$5:C8),"000"))</f>
        <v/>
      </c>
      <c r="C8" s="14" t="n"/>
      <c r="D8" s="19" t="n"/>
      <c r="E8" s="19" t="n"/>
      <c r="F8" s="19" t="n"/>
      <c r="G8" s="19" t="n"/>
      <c r="H8" s="19">
        <f>IF(F8="","",I8/F8)</f>
        <v/>
      </c>
      <c r="I8" s="51" t="n"/>
      <c r="J8" s="19" t="n"/>
      <c r="K8" s="44">
        <f>IF(F8="","",J8/F8)</f>
        <v/>
      </c>
    </row>
    <row r="9" ht="22" customHeight="1">
      <c r="B9" s="17">
        <f>IF(C9="","SFR-"&amp;TEXT(COUNTA($C$5:C9),"000"))</f>
        <v/>
      </c>
      <c r="C9" s="12" t="n"/>
      <c r="D9" s="18" t="n"/>
      <c r="E9" s="18" t="n"/>
      <c r="F9" s="18" t="n"/>
      <c r="G9" s="18" t="n"/>
      <c r="H9" s="18">
        <f>IF(F9="","",I9/F9)</f>
        <v/>
      </c>
      <c r="I9" s="49" t="n"/>
      <c r="J9" s="18" t="n"/>
      <c r="K9" s="43">
        <f>IF(F9="","",J9/F9)</f>
        <v/>
      </c>
    </row>
    <row r="10" ht="22" customHeight="1">
      <c r="B10" s="16">
        <f>IF(C10="","SFR-"&amp;TEXT(COUNTA($C$5:C10),"000"))</f>
        <v/>
      </c>
      <c r="C10" s="14" t="n"/>
      <c r="D10" s="19" t="n"/>
      <c r="E10" s="19" t="n"/>
      <c r="F10" s="19" t="n"/>
      <c r="G10" s="19" t="n"/>
      <c r="H10" s="19">
        <f>IF(F10="","",I10/F10)</f>
        <v/>
      </c>
      <c r="I10" s="51" t="n"/>
      <c r="J10" s="19" t="n"/>
      <c r="K10" s="44">
        <f>IF(F10="","",J10/F10)</f>
        <v/>
      </c>
    </row>
    <row r="11" ht="22" customHeight="1">
      <c r="B11" s="17">
        <f>IF(C11="","SFR-"&amp;TEXT(COUNTA($C$5:C11),"000"))</f>
        <v/>
      </c>
      <c r="C11" s="12" t="n"/>
      <c r="D11" s="18" t="n"/>
      <c r="E11" s="18" t="n"/>
      <c r="F11" s="18" t="n"/>
      <c r="G11" s="18" t="n"/>
      <c r="H11" s="18">
        <f>IF(F11="","",I11/F11)</f>
        <v/>
      </c>
      <c r="I11" s="49" t="n"/>
      <c r="J11" s="18" t="n"/>
      <c r="K11" s="43">
        <f>IF(F11="","",J11/F11)</f>
        <v/>
      </c>
    </row>
    <row r="12" ht="22" customHeight="1">
      <c r="B12" s="16">
        <f>IF(C12="","SFR-"&amp;TEXT(COUNTA($C$5:C12),"000"))</f>
        <v/>
      </c>
      <c r="C12" s="14" t="n"/>
      <c r="D12" s="19" t="n"/>
      <c r="E12" s="19" t="n"/>
      <c r="F12" s="19" t="n"/>
      <c r="G12" s="19" t="n"/>
      <c r="H12" s="19">
        <f>IF(F12="","",I12/F12)</f>
        <v/>
      </c>
      <c r="I12" s="51" t="n"/>
      <c r="J12" s="19" t="n"/>
      <c r="K12" s="44">
        <f>IF(F12="","",J12/F12)</f>
        <v/>
      </c>
    </row>
    <row r="13" ht="22" customHeight="1">
      <c r="B13" s="17">
        <f>IF(C13="","SFR-"&amp;TEXT(COUNTA($C$5:C13),"000"))</f>
        <v/>
      </c>
      <c r="C13" s="12" t="n"/>
      <c r="D13" s="18" t="n"/>
      <c r="E13" s="18" t="n"/>
      <c r="F13" s="18" t="n"/>
      <c r="G13" s="18" t="n"/>
      <c r="H13" s="18">
        <f>IF(F13="","",I13/F13)</f>
        <v/>
      </c>
      <c r="I13" s="49" t="n"/>
      <c r="J13" s="18" t="n"/>
      <c r="K13" s="43">
        <f>IF(F13="","",J13/F13)</f>
        <v/>
      </c>
    </row>
    <row r="14" ht="22" customHeight="1">
      <c r="B14" s="16">
        <f>IF(C14="","SFR-"&amp;TEXT(COUNTA($C$5:C14),"000"))</f>
        <v/>
      </c>
      <c r="C14" s="14" t="n"/>
      <c r="D14" s="19" t="n"/>
      <c r="E14" s="19" t="n"/>
      <c r="F14" s="19" t="n"/>
      <c r="G14" s="19" t="n"/>
      <c r="H14" s="19">
        <f>IF(F14="","",I14/F14)</f>
        <v/>
      </c>
      <c r="I14" s="51" t="n"/>
      <c r="J14" s="19" t="n"/>
      <c r="K14" s="44">
        <f>IF(F14="","",J14/F14)</f>
        <v/>
      </c>
    </row>
    <row r="15" ht="22" customHeight="1">
      <c r="B15" s="17">
        <f>IF(C15="","SFR-"&amp;TEXT(COUNTA($C$5:C15),"000"))</f>
        <v/>
      </c>
      <c r="C15" s="12" t="n"/>
      <c r="D15" s="18" t="n"/>
      <c r="E15" s="18" t="n"/>
      <c r="F15" s="18" t="n"/>
      <c r="G15" s="18" t="n"/>
      <c r="H15" s="18">
        <f>IF(F15="","",I15/F15)</f>
        <v/>
      </c>
      <c r="I15" s="49" t="n"/>
      <c r="J15" s="18" t="n"/>
      <c r="K15" s="43">
        <f>IF(F15="","",J15/F15)</f>
        <v/>
      </c>
    </row>
    <row r="16" ht="22" customHeight="1">
      <c r="B16" s="16">
        <f>IF(C16="","SFR-"&amp;TEXT(COUNTA($C$5:C16),"000"))</f>
        <v/>
      </c>
      <c r="C16" s="14" t="n"/>
      <c r="D16" s="19" t="n"/>
      <c r="E16" s="19" t="n"/>
      <c r="F16" s="19" t="n"/>
      <c r="G16" s="19" t="n"/>
      <c r="H16" s="19">
        <f>IF(F16="","",I16/F16)</f>
        <v/>
      </c>
      <c r="I16" s="51" t="n"/>
      <c r="J16" s="19" t="n"/>
      <c r="K16" s="44">
        <f>IF(F16="","",J16/F16)</f>
        <v/>
      </c>
    </row>
    <row r="17" ht="22" customHeight="1">
      <c r="B17" s="17">
        <f>IF(C17="","SFR-"&amp;TEXT(COUNTA($C$5:C17),"000"))</f>
        <v/>
      </c>
      <c r="C17" s="12" t="n"/>
      <c r="D17" s="18" t="n"/>
      <c r="E17" s="18" t="n"/>
      <c r="F17" s="18" t="n"/>
      <c r="G17" s="18" t="n"/>
      <c r="H17" s="18">
        <f>IF(F17="","",I17/F17)</f>
        <v/>
      </c>
      <c r="I17" s="49" t="n"/>
      <c r="J17" s="18" t="n"/>
      <c r="K17" s="43">
        <f>IF(F17="","",J17/F17)</f>
        <v/>
      </c>
    </row>
    <row r="18" ht="22" customHeight="1">
      <c r="B18" s="16">
        <f>IF(C18="","SFR-"&amp;TEXT(COUNTA($C$5:C18),"000"))</f>
        <v/>
      </c>
      <c r="C18" s="14" t="n"/>
      <c r="D18" s="19" t="n"/>
      <c r="E18" s="19" t="n"/>
      <c r="F18" s="19" t="n"/>
      <c r="G18" s="19" t="n"/>
      <c r="H18" s="19">
        <f>IF(F18="","",I18/F18)</f>
        <v/>
      </c>
      <c r="I18" s="51" t="n"/>
      <c r="J18" s="19" t="n"/>
      <c r="K18" s="44">
        <f>IF(F18="","",J18/F18)</f>
        <v/>
      </c>
    </row>
    <row r="19" ht="22" customHeight="1">
      <c r="B19" s="17">
        <f>IF(C19="","SFR-"&amp;TEXT(COUNTA($C$5:C19),"000"))</f>
        <v/>
      </c>
      <c r="C19" s="12" t="n"/>
      <c r="D19" s="18" t="n"/>
      <c r="E19" s="18" t="n"/>
      <c r="F19" s="18" t="n"/>
      <c r="G19" s="18" t="n"/>
      <c r="H19" s="18">
        <f>IF(F19="","",I19/F19)</f>
        <v/>
      </c>
      <c r="I19" s="49" t="n"/>
      <c r="J19" s="18" t="n"/>
      <c r="K19" s="43">
        <f>IF(F19="","",J19/F19)</f>
        <v/>
      </c>
    </row>
    <row r="20" ht="22" customHeight="1">
      <c r="B20" s="16">
        <f>IF(C20="","SFR-"&amp;TEXT(COUNTA($C$5:C20),"000"))</f>
        <v/>
      </c>
      <c r="C20" s="14" t="n"/>
      <c r="D20" s="19" t="n"/>
      <c r="E20" s="19" t="n"/>
      <c r="F20" s="19" t="n"/>
      <c r="G20" s="19" t="n"/>
      <c r="H20" s="19">
        <f>IF(F20="","",I20/F20)</f>
        <v/>
      </c>
      <c r="I20" s="51" t="n"/>
      <c r="J20" s="19" t="n"/>
      <c r="K20" s="44">
        <f>IF(F20="","",J20/F20)</f>
        <v/>
      </c>
    </row>
    <row r="21" ht="22" customHeight="1">
      <c r="B21" s="17">
        <f>IF(C21="","SFR-"&amp;TEXT(COUNTA($C$5:C21),"000"))</f>
        <v/>
      </c>
      <c r="C21" s="12" t="n"/>
      <c r="D21" s="18" t="n"/>
      <c r="E21" s="18" t="n"/>
      <c r="F21" s="18" t="n"/>
      <c r="G21" s="18" t="n"/>
      <c r="H21" s="18">
        <f>IF(F21="","",I21/F21)</f>
        <v/>
      </c>
      <c r="I21" s="49" t="n"/>
      <c r="J21" s="18" t="n"/>
      <c r="K21" s="43">
        <f>IF(F21="","",J21/F21)</f>
        <v/>
      </c>
    </row>
    <row r="22" ht="22" customHeight="1">
      <c r="B22" s="16">
        <f>IF(C22="","SFR-"&amp;TEXT(COUNTA($C$5:C22),"000"))</f>
        <v/>
      </c>
      <c r="C22" s="14" t="n"/>
      <c r="D22" s="19" t="n"/>
      <c r="E22" s="19" t="n"/>
      <c r="F22" s="19" t="n"/>
      <c r="G22" s="19" t="n"/>
      <c r="H22" s="19">
        <f>IF(F22="","",I22/F22)</f>
        <v/>
      </c>
      <c r="I22" s="51" t="n"/>
      <c r="J22" s="19" t="n"/>
      <c r="K22" s="44">
        <f>IF(F22="","",J22/F22)</f>
        <v/>
      </c>
    </row>
    <row r="23" ht="22" customHeight="1">
      <c r="B23" s="17">
        <f>IF(C23="","SFR-"&amp;TEXT(COUNTA($C$5:C23),"000"))</f>
        <v/>
      </c>
      <c r="C23" s="12" t="n"/>
      <c r="D23" s="18" t="n"/>
      <c r="E23" s="18" t="n"/>
      <c r="F23" s="18" t="n"/>
      <c r="G23" s="18" t="n"/>
      <c r="H23" s="18">
        <f>IF(F23="","",I23/F23)</f>
        <v/>
      </c>
      <c r="I23" s="49" t="n"/>
      <c r="J23" s="18" t="n"/>
      <c r="K23" s="43">
        <f>IF(F23="","",J23/F23)</f>
        <v/>
      </c>
    </row>
    <row r="24" ht="22" customHeight="1">
      <c r="B24" s="16">
        <f>IF(C24="","SFR-"&amp;TEXT(COUNTA($C$5:C24),"000"))</f>
        <v/>
      </c>
      <c r="C24" s="14" t="n"/>
      <c r="D24" s="19" t="n"/>
      <c r="E24" s="19" t="n"/>
      <c r="F24" s="19" t="n"/>
      <c r="G24" s="19" t="n"/>
      <c r="H24" s="19">
        <f>IF(F24="","",I24/F24)</f>
        <v/>
      </c>
      <c r="I24" s="51" t="n"/>
      <c r="J24" s="19" t="n"/>
      <c r="K24" s="44">
        <f>IF(F24="","",J24/F24)</f>
        <v/>
      </c>
    </row>
    <row r="25" ht="22" customHeight="1">
      <c r="B25" s="17">
        <f>IF(C25="","SFR-"&amp;TEXT(COUNTA($C$5:C25),"000"))</f>
        <v/>
      </c>
      <c r="C25" s="12" t="n"/>
      <c r="D25" s="18" t="n"/>
      <c r="E25" s="18" t="n"/>
      <c r="F25" s="18" t="n"/>
      <c r="G25" s="18" t="n"/>
      <c r="H25" s="18">
        <f>IF(F25="","",I25/F25)</f>
        <v/>
      </c>
      <c r="I25" s="49" t="n"/>
      <c r="J25" s="18" t="n"/>
      <c r="K25" s="43">
        <f>IF(F25="","",J25/F25)</f>
        <v/>
      </c>
    </row>
    <row r="26" ht="22" customHeight="1">
      <c r="B26" s="16">
        <f>IF(C26="","SFR-"&amp;TEXT(COUNTA($C$5:C26),"000"))</f>
        <v/>
      </c>
      <c r="C26" s="14" t="n"/>
      <c r="D26" s="19" t="n"/>
      <c r="E26" s="19" t="n"/>
      <c r="F26" s="19" t="n"/>
      <c r="G26" s="19" t="n"/>
      <c r="H26" s="19">
        <f>IF(F26="","",I26/F26)</f>
        <v/>
      </c>
      <c r="I26" s="51" t="n"/>
      <c r="J26" s="19" t="n"/>
      <c r="K26" s="44">
        <f>IF(F26="","",J26/F26)</f>
        <v/>
      </c>
    </row>
    <row r="27" ht="22" customHeight="1">
      <c r="B27" s="17">
        <f>IF(C27="","SFR-"&amp;TEXT(COUNTA($C$5:C27),"000"))</f>
        <v/>
      </c>
      <c r="C27" s="12" t="n"/>
      <c r="D27" s="18" t="n"/>
      <c r="E27" s="18" t="n"/>
      <c r="F27" s="18" t="n"/>
      <c r="G27" s="18" t="n"/>
      <c r="H27" s="18">
        <f>IF(F27="","",I27/F27)</f>
        <v/>
      </c>
      <c r="I27" s="49" t="n"/>
      <c r="J27" s="18" t="n"/>
      <c r="K27" s="43">
        <f>IF(F27="","",J27/F27)</f>
        <v/>
      </c>
    </row>
    <row r="28" ht="22" customHeight="1">
      <c r="B28" s="16">
        <f>IF(C28="","SFR-"&amp;TEXT(COUNTA($C$5:C28),"000"))</f>
        <v/>
      </c>
      <c r="C28" s="14" t="n"/>
      <c r="D28" s="19" t="n"/>
      <c r="E28" s="19" t="n"/>
      <c r="F28" s="19" t="n"/>
      <c r="G28" s="19" t="n"/>
      <c r="H28" s="19">
        <f>IF(F28="","",I28/F28)</f>
        <v/>
      </c>
      <c r="I28" s="51" t="n"/>
      <c r="J28" s="19" t="n"/>
      <c r="K28" s="44">
        <f>IF(F28="","",J28/F28)</f>
        <v/>
      </c>
    </row>
    <row r="29" ht="22" customHeight="1">
      <c r="B29" s="17">
        <f>IF(C29="","SFR-"&amp;TEXT(COUNTA($C$5:C29),"000"))</f>
        <v/>
      </c>
      <c r="C29" s="12" t="n"/>
      <c r="D29" s="18" t="n"/>
      <c r="E29" s="18" t="n"/>
      <c r="F29" s="18" t="n"/>
      <c r="G29" s="18" t="n"/>
      <c r="H29" s="18">
        <f>IF(F29="","",I29/F29)</f>
        <v/>
      </c>
      <c r="I29" s="49" t="n"/>
      <c r="J29" s="18" t="n"/>
      <c r="K29" s="43">
        <f>IF(F29="","",J29/F29)</f>
        <v/>
      </c>
    </row>
    <row r="30" ht="22" customHeight="1">
      <c r="B30" s="16">
        <f>IF(C30="","SFR-"&amp;TEXT(COUNTA($C$5:C30),"000"))</f>
        <v/>
      </c>
      <c r="C30" s="14" t="n"/>
      <c r="D30" s="19" t="n"/>
      <c r="E30" s="19" t="n"/>
      <c r="F30" s="19" t="n"/>
      <c r="G30" s="19" t="n"/>
      <c r="H30" s="19">
        <f>IF(F30="","",I30/F30)</f>
        <v/>
      </c>
      <c r="I30" s="51" t="n"/>
      <c r="J30" s="19" t="n"/>
      <c r="K30" s="44">
        <f>IF(F30="","",J30/F30)</f>
        <v/>
      </c>
    </row>
    <row r="31" ht="22" customHeight="1">
      <c r="B31" s="17">
        <f>IF(C31="","SFR-"&amp;TEXT(COUNTA($C$5:C31),"000"))</f>
        <v/>
      </c>
      <c r="C31" s="12" t="n"/>
      <c r="D31" s="18" t="n"/>
      <c r="E31" s="18" t="n"/>
      <c r="F31" s="18" t="n"/>
      <c r="G31" s="18" t="n"/>
      <c r="H31" s="18">
        <f>IF(F31="","",I31/F31)</f>
        <v/>
      </c>
      <c r="I31" s="49" t="n"/>
      <c r="J31" s="18" t="n"/>
      <c r="K31" s="43">
        <f>IF(F31="","",J31/F31)</f>
        <v/>
      </c>
    </row>
    <row r="32" ht="22" customHeight="1">
      <c r="B32" s="16">
        <f>IF(C32="","SFR-"&amp;TEXT(COUNTA($C$5:C32),"000"))</f>
        <v/>
      </c>
      <c r="C32" s="14" t="n"/>
      <c r="D32" s="19" t="n"/>
      <c r="E32" s="19" t="n"/>
      <c r="F32" s="19" t="n"/>
      <c r="G32" s="19" t="n"/>
      <c r="H32" s="19">
        <f>IF(F32="","",I32/F32)</f>
        <v/>
      </c>
      <c r="I32" s="51" t="n"/>
      <c r="J32" s="19" t="n"/>
      <c r="K32" s="44">
        <f>IF(F32="","",J32/F32)</f>
        <v/>
      </c>
    </row>
    <row r="33" ht="22" customHeight="1">
      <c r="B33" s="17">
        <f>IF(C33="","SFR-"&amp;TEXT(COUNTA($C$5:C33),"000"))</f>
        <v/>
      </c>
      <c r="C33" s="12" t="n"/>
      <c r="D33" s="18" t="n"/>
      <c r="E33" s="18" t="n"/>
      <c r="F33" s="18" t="n"/>
      <c r="G33" s="18" t="n"/>
      <c r="H33" s="18">
        <f>IF(F33="","",I33/F33)</f>
        <v/>
      </c>
      <c r="I33" s="49" t="n"/>
      <c r="J33" s="18" t="n"/>
      <c r="K33" s="43">
        <f>IF(F33="","",J33/F33)</f>
        <v/>
      </c>
    </row>
    <row r="34" ht="22" customHeight="1">
      <c r="B34" s="16">
        <f>IF(C34="","SFR-"&amp;TEXT(COUNTA($C$5:C34),"000"))</f>
        <v/>
      </c>
      <c r="C34" s="14" t="n"/>
      <c r="D34" s="19" t="n"/>
      <c r="E34" s="19" t="n"/>
      <c r="F34" s="19" t="n"/>
      <c r="G34" s="19" t="n"/>
      <c r="H34" s="19">
        <f>IF(F34="","",I34/F34)</f>
        <v/>
      </c>
      <c r="I34" s="51" t="n"/>
      <c r="J34" s="19" t="n"/>
      <c r="K34" s="44">
        <f>IF(F34="","",J34/F34)</f>
        <v/>
      </c>
    </row>
    <row r="35" ht="22" customHeight="1">
      <c r="B35" s="17">
        <f>IF(C35="","SFR-"&amp;TEXT(COUNTA($C$5:C35),"000"))</f>
        <v/>
      </c>
      <c r="C35" s="12" t="n"/>
      <c r="D35" s="18" t="n"/>
      <c r="E35" s="18" t="n"/>
      <c r="F35" s="18" t="n"/>
      <c r="G35" s="18" t="n"/>
      <c r="H35" s="18">
        <f>IF(F35="","",I35/F35)</f>
        <v/>
      </c>
      <c r="I35" s="49" t="n"/>
      <c r="J35" s="18" t="n"/>
      <c r="K35" s="43">
        <f>IF(F35="","",J35/F35)</f>
        <v/>
      </c>
    </row>
    <row r="36" ht="22" customHeight="1">
      <c r="B36" s="16">
        <f>IF(C36="","SFR-"&amp;TEXT(COUNTA($C$5:C36),"000"))</f>
        <v/>
      </c>
      <c r="C36" s="14" t="n"/>
      <c r="D36" s="19" t="n"/>
      <c r="E36" s="19" t="n"/>
      <c r="F36" s="19" t="n"/>
      <c r="G36" s="19" t="n"/>
      <c r="H36" s="19">
        <f>IF(F36="","",I36/F36)</f>
        <v/>
      </c>
      <c r="I36" s="51" t="n"/>
      <c r="J36" s="19" t="n"/>
      <c r="K36" s="44">
        <f>IF(F36="","",J36/F36)</f>
        <v/>
      </c>
    </row>
    <row r="37" ht="22" customHeight="1">
      <c r="B37" s="17">
        <f>IF(C37="","SFR-"&amp;TEXT(COUNTA($C$5:C37),"000"))</f>
        <v/>
      </c>
      <c r="C37" s="12" t="n"/>
      <c r="D37" s="18" t="n"/>
      <c r="E37" s="18" t="n"/>
      <c r="F37" s="18" t="n"/>
      <c r="G37" s="18" t="n"/>
      <c r="H37" s="18">
        <f>IF(F37="","",I37/F37)</f>
        <v/>
      </c>
      <c r="I37" s="49" t="n"/>
      <c r="J37" s="18" t="n"/>
      <c r="K37" s="43">
        <f>IF(F37="","",J37/F37)</f>
        <v/>
      </c>
    </row>
    <row r="38" ht="22" customHeight="1">
      <c r="B38" s="16">
        <f>IF(C38="","SFR-"&amp;TEXT(COUNTA($C$5:C38),"000"))</f>
        <v/>
      </c>
      <c r="C38" s="14" t="n"/>
      <c r="D38" s="19" t="n"/>
      <c r="E38" s="19" t="n"/>
      <c r="F38" s="19" t="n"/>
      <c r="G38" s="19" t="n"/>
      <c r="H38" s="19">
        <f>IF(F38="","",I38/F38)</f>
        <v/>
      </c>
      <c r="I38" s="51" t="n"/>
      <c r="J38" s="19" t="n"/>
      <c r="K38" s="44">
        <f>IF(F38="","",J38/F38)</f>
        <v/>
      </c>
    </row>
    <row r="39" ht="22" customHeight="1">
      <c r="B39" s="17">
        <f>IF(C39="","SFR-"&amp;TEXT(COUNTA($C$5:C39),"000"))</f>
        <v/>
      </c>
      <c r="C39" s="12" t="n"/>
      <c r="D39" s="18" t="n"/>
      <c r="E39" s="18" t="n"/>
      <c r="F39" s="18" t="n"/>
      <c r="G39" s="18" t="n"/>
      <c r="H39" s="18">
        <f>IF(F39="","",I39/F39)</f>
        <v/>
      </c>
      <c r="I39" s="49" t="n"/>
      <c r="J39" s="18" t="n"/>
      <c r="K39" s="43">
        <f>IF(F39="","",J39/F39)</f>
        <v/>
      </c>
    </row>
    <row r="40" ht="22" customHeight="1">
      <c r="B40" s="16">
        <f>IF(C40="","SFR-"&amp;TEXT(COUNTA($C$5:C40),"000"))</f>
        <v/>
      </c>
      <c r="C40" s="14" t="n"/>
      <c r="D40" s="19" t="n"/>
      <c r="E40" s="19" t="n"/>
      <c r="F40" s="19" t="n"/>
      <c r="G40" s="19" t="n"/>
      <c r="H40" s="19">
        <f>IF(F40="","",I40/F40)</f>
        <v/>
      </c>
      <c r="I40" s="51" t="n"/>
      <c r="J40" s="19" t="n"/>
      <c r="K40" s="44">
        <f>IF(F40="","",J40/F40)</f>
        <v/>
      </c>
    </row>
    <row r="41" ht="22" customHeight="1">
      <c r="B41" s="17">
        <f>IF(C41="","SFR-"&amp;TEXT(COUNTA($C$5:C41),"000"))</f>
        <v/>
      </c>
      <c r="C41" s="12" t="n"/>
      <c r="D41" s="18" t="n"/>
      <c r="E41" s="18" t="n"/>
      <c r="F41" s="18" t="n"/>
      <c r="G41" s="18" t="n"/>
      <c r="H41" s="18">
        <f>IF(F41="","",I41/F41)</f>
        <v/>
      </c>
      <c r="I41" s="49" t="n"/>
      <c r="J41" s="18" t="n"/>
      <c r="K41" s="43">
        <f>IF(F41="","",J41/F41)</f>
        <v/>
      </c>
    </row>
    <row r="42" ht="22" customHeight="1">
      <c r="B42" s="16">
        <f>IF(C42="","SFR-"&amp;TEXT(COUNTA($C$5:C42),"000"))</f>
        <v/>
      </c>
      <c r="C42" s="14" t="n"/>
      <c r="D42" s="19" t="n"/>
      <c r="E42" s="19" t="n"/>
      <c r="F42" s="19" t="n"/>
      <c r="G42" s="19" t="n"/>
      <c r="H42" s="19">
        <f>IF(F42="","",I42/F42)</f>
        <v/>
      </c>
      <c r="I42" s="51" t="n"/>
      <c r="J42" s="19" t="n"/>
      <c r="K42" s="44">
        <f>IF(F42="","",J42/F42)</f>
        <v/>
      </c>
    </row>
    <row r="43" ht="22" customHeight="1">
      <c r="B43" s="17">
        <f>IF(C43="","SFR-"&amp;TEXT(COUNTA($C$5:C43),"000"))</f>
        <v/>
      </c>
      <c r="C43" s="12" t="n"/>
      <c r="D43" s="18" t="n"/>
      <c r="E43" s="18" t="n"/>
      <c r="F43" s="18" t="n"/>
      <c r="G43" s="18" t="n"/>
      <c r="H43" s="18">
        <f>IF(F43="","",I43/F43)</f>
        <v/>
      </c>
      <c r="I43" s="49" t="n"/>
      <c r="J43" s="18" t="n"/>
      <c r="K43" s="43">
        <f>IF(F43="","",J43/F43)</f>
        <v/>
      </c>
    </row>
    <row r="44" ht="22" customHeight="1">
      <c r="B44" s="16">
        <f>IF(C44="","SFR-"&amp;TEXT(COUNTA($C$5:C44),"000"))</f>
        <v/>
      </c>
      <c r="C44" s="14" t="n"/>
      <c r="D44" s="19" t="n"/>
      <c r="E44" s="19" t="n"/>
      <c r="F44" s="19" t="n"/>
      <c r="G44" s="19" t="n"/>
      <c r="H44" s="19">
        <f>IF(F44="","",I44/F44)</f>
        <v/>
      </c>
      <c r="I44" s="51" t="n"/>
      <c r="J44" s="19" t="n"/>
      <c r="K44" s="44">
        <f>IF(F44="","",J44/F44)</f>
        <v/>
      </c>
    </row>
    <row r="45" ht="22" customHeight="1">
      <c r="B45" s="17">
        <f>IF(C45="","SFR-"&amp;TEXT(COUNTA($C$5:C45),"000"))</f>
        <v/>
      </c>
      <c r="C45" s="12" t="n"/>
      <c r="D45" s="18" t="n"/>
      <c r="E45" s="18" t="n"/>
      <c r="F45" s="18" t="n"/>
      <c r="G45" s="18" t="n"/>
      <c r="H45" s="18">
        <f>IF(F45="","",I45/F45)</f>
        <v/>
      </c>
      <c r="I45" s="49" t="n"/>
      <c r="J45" s="18" t="n"/>
      <c r="K45" s="43">
        <f>IF(F45="","",J45/F45)</f>
        <v/>
      </c>
    </row>
    <row r="46" ht="22" customHeight="1">
      <c r="B46" s="16">
        <f>IF(C46="","SFR-"&amp;TEXT(COUNTA($C$5:C46),"000"))</f>
        <v/>
      </c>
      <c r="C46" s="14" t="n"/>
      <c r="D46" s="19" t="n"/>
      <c r="E46" s="19" t="n"/>
      <c r="F46" s="19" t="n"/>
      <c r="G46" s="19" t="n"/>
      <c r="H46" s="19">
        <f>IF(F46="","",I46/F46)</f>
        <v/>
      </c>
      <c r="I46" s="51" t="n"/>
      <c r="J46" s="19" t="n"/>
      <c r="K46" s="44">
        <f>IF(F46="","",J46/F46)</f>
        <v/>
      </c>
    </row>
    <row r="47" ht="22" customHeight="1">
      <c r="B47" s="17">
        <f>IF(C47="","SFR-"&amp;TEXT(COUNTA($C$5:C47),"000"))</f>
        <v/>
      </c>
      <c r="C47" s="12" t="n"/>
      <c r="D47" s="18" t="n"/>
      <c r="E47" s="18" t="n"/>
      <c r="F47" s="18" t="n"/>
      <c r="G47" s="18" t="n"/>
      <c r="H47" s="18">
        <f>IF(F47="","",I47/F47)</f>
        <v/>
      </c>
      <c r="I47" s="49" t="n"/>
      <c r="J47" s="18" t="n"/>
      <c r="K47" s="43">
        <f>IF(F47="","",J47/F47)</f>
        <v/>
      </c>
    </row>
    <row r="48" ht="22" customHeight="1">
      <c r="B48" s="16">
        <f>IF(C48="","SFR-"&amp;TEXT(COUNTA($C$5:C48),"000"))</f>
        <v/>
      </c>
      <c r="C48" s="14" t="n"/>
      <c r="D48" s="19" t="n"/>
      <c r="E48" s="19" t="n"/>
      <c r="F48" s="19" t="n"/>
      <c r="G48" s="19" t="n"/>
      <c r="H48" s="19">
        <f>IF(F48="","",I48/F48)</f>
        <v/>
      </c>
      <c r="I48" s="51" t="n"/>
      <c r="J48" s="19" t="n"/>
      <c r="K48" s="44">
        <f>IF(F48="","",J48/F48)</f>
        <v/>
      </c>
    </row>
    <row r="49" ht="22" customHeight="1">
      <c r="B49" s="17">
        <f>IF(C49="","SFR-"&amp;TEXT(COUNTA($C$5:C49),"000"))</f>
        <v/>
      </c>
      <c r="C49" s="12" t="n"/>
      <c r="D49" s="18" t="n"/>
      <c r="E49" s="18" t="n"/>
      <c r="F49" s="18" t="n"/>
      <c r="G49" s="18" t="n"/>
      <c r="H49" s="18">
        <f>IF(F49="","",I49/F49)</f>
        <v/>
      </c>
      <c r="I49" s="49" t="n"/>
      <c r="J49" s="18" t="n"/>
      <c r="K49" s="43">
        <f>IF(F49="","",J49/F49)</f>
        <v/>
      </c>
    </row>
    <row r="50" ht="22" customHeight="1">
      <c r="B50" s="16">
        <f>IF(C50="","SFR-"&amp;TEXT(COUNTA($C$5:C50),"000"))</f>
        <v/>
      </c>
      <c r="C50" s="14" t="n"/>
      <c r="D50" s="19" t="n"/>
      <c r="E50" s="19" t="n"/>
      <c r="F50" s="19" t="n"/>
      <c r="G50" s="19" t="n"/>
      <c r="H50" s="19">
        <f>IF(F50="","",I50/F50)</f>
        <v/>
      </c>
      <c r="I50" s="51" t="n"/>
      <c r="J50" s="19" t="n"/>
      <c r="K50" s="44">
        <f>IF(F50="","",J50/F50)</f>
        <v/>
      </c>
    </row>
    <row r="51" ht="22" customHeight="1">
      <c r="B51" s="17">
        <f>IF(C51="","SFR-"&amp;TEXT(COUNTA($C$5:C51),"000"))</f>
        <v/>
      </c>
      <c r="C51" s="12" t="n"/>
      <c r="D51" s="18" t="n"/>
      <c r="E51" s="18" t="n"/>
      <c r="F51" s="18" t="n"/>
      <c r="G51" s="18" t="n"/>
      <c r="H51" s="18">
        <f>IF(F51="","",I51/F51)</f>
        <v/>
      </c>
      <c r="I51" s="49" t="n"/>
      <c r="J51" s="18" t="n"/>
      <c r="K51" s="43">
        <f>IF(F51="","",J51/F51)</f>
        <v/>
      </c>
    </row>
    <row r="52" ht="22" customHeight="1">
      <c r="B52" s="16">
        <f>IF(C52="","SFR-"&amp;TEXT(COUNTA($C$5:C52),"000"))</f>
        <v/>
      </c>
      <c r="C52" s="14" t="n"/>
      <c r="D52" s="19" t="n"/>
      <c r="E52" s="19" t="n"/>
      <c r="F52" s="19" t="n"/>
      <c r="G52" s="19" t="n"/>
      <c r="H52" s="19">
        <f>IF(F52="","",I52/F52)</f>
        <v/>
      </c>
      <c r="I52" s="51" t="n"/>
      <c r="J52" s="19" t="n"/>
      <c r="K52" s="44">
        <f>IF(F52="","",J52/F52)</f>
        <v/>
      </c>
    </row>
    <row r="53" ht="22" customHeight="1">
      <c r="B53" s="17">
        <f>IF(C53="","SFR-"&amp;TEXT(COUNTA($C$5:C53),"000"))</f>
        <v/>
      </c>
      <c r="C53" s="12" t="n"/>
      <c r="D53" s="18" t="n"/>
      <c r="E53" s="18" t="n"/>
      <c r="F53" s="18" t="n"/>
      <c r="G53" s="18" t="n"/>
      <c r="H53" s="18">
        <f>IF(F53="","",I53/F53)</f>
        <v/>
      </c>
      <c r="I53" s="49" t="n"/>
      <c r="J53" s="18" t="n"/>
      <c r="K53" s="43">
        <f>IF(F53="","",J53/F53)</f>
        <v/>
      </c>
    </row>
    <row r="54" ht="22" customHeight="1">
      <c r="B54" s="16">
        <f>IF(C54="","SFR-"&amp;TEXT(COUNTA($C$5:C54),"000"))</f>
        <v/>
      </c>
      <c r="C54" s="14" t="n"/>
      <c r="D54" s="19" t="n"/>
      <c r="E54" s="19" t="n"/>
      <c r="F54" s="19" t="n"/>
      <c r="G54" s="19" t="n"/>
      <c r="H54" s="19">
        <f>IF(F54="","",I54/F54)</f>
        <v/>
      </c>
      <c r="I54" s="51" t="n"/>
      <c r="J54" s="19" t="n"/>
      <c r="K54" s="44">
        <f>IF(F54="","",J54/F54)</f>
        <v/>
      </c>
    </row>
    <row r="55" ht="22" customHeight="1">
      <c r="B55" s="17">
        <f>IF(C55="","SFR-"&amp;TEXT(COUNTA($C$5:C55),"000"))</f>
        <v/>
      </c>
      <c r="C55" s="12" t="n"/>
      <c r="D55" s="18" t="n"/>
      <c r="E55" s="18" t="n"/>
      <c r="F55" s="18" t="n"/>
      <c r="G55" s="18" t="n"/>
      <c r="H55" s="18">
        <f>IF(F55="","",I55/F55)</f>
        <v/>
      </c>
      <c r="I55" s="49" t="n"/>
      <c r="J55" s="18" t="n"/>
      <c r="K55" s="43">
        <f>IF(F55="","",J55/F55)</f>
        <v/>
      </c>
    </row>
    <row r="56" ht="22" customHeight="1">
      <c r="B56" s="16">
        <f>IF(C56="","SFR-"&amp;TEXT(COUNTA($C$5:C56),"000"))</f>
        <v/>
      </c>
      <c r="C56" s="14" t="n"/>
      <c r="D56" s="19" t="n"/>
      <c r="E56" s="19" t="n"/>
      <c r="F56" s="19" t="n"/>
      <c r="G56" s="19" t="n"/>
      <c r="H56" s="19">
        <f>IF(F56="","",I56/F56)</f>
        <v/>
      </c>
      <c r="I56" s="51" t="n"/>
      <c r="J56" s="19" t="n"/>
      <c r="K56" s="44">
        <f>IF(F56="","",J56/F56)</f>
        <v/>
      </c>
    </row>
    <row r="57" ht="22" customHeight="1">
      <c r="B57" s="17">
        <f>IF(C57="","SFR-"&amp;TEXT(COUNTA($C$5:C57),"000"))</f>
        <v/>
      </c>
      <c r="C57" s="12" t="n"/>
      <c r="D57" s="18" t="n"/>
      <c r="E57" s="18" t="n"/>
      <c r="F57" s="18" t="n"/>
      <c r="G57" s="18" t="n"/>
      <c r="H57" s="18">
        <f>IF(F57="","",I57/F57)</f>
        <v/>
      </c>
      <c r="I57" s="49" t="n"/>
      <c r="J57" s="18" t="n"/>
      <c r="K57" s="43">
        <f>IF(F57="","",J57/F57)</f>
        <v/>
      </c>
    </row>
    <row r="58" ht="22" customHeight="1">
      <c r="B58" s="16">
        <f>IF(C58="","SFR-"&amp;TEXT(COUNTA($C$5:C58),"000"))</f>
        <v/>
      </c>
      <c r="C58" s="14" t="n"/>
      <c r="D58" s="19" t="n"/>
      <c r="E58" s="19" t="n"/>
      <c r="F58" s="19" t="n"/>
      <c r="G58" s="19" t="n"/>
      <c r="H58" s="19">
        <f>IF(F58="","",I58/F58)</f>
        <v/>
      </c>
      <c r="I58" s="51" t="n"/>
      <c r="J58" s="19" t="n"/>
      <c r="K58" s="44">
        <f>IF(F58="","",J58/F58)</f>
        <v/>
      </c>
    </row>
    <row r="59" ht="22" customHeight="1">
      <c r="B59" s="17">
        <f>IF(C59="","SFR-"&amp;TEXT(COUNTA($C$5:C59),"000"))</f>
        <v/>
      </c>
      <c r="C59" s="12" t="n"/>
      <c r="D59" s="18" t="n"/>
      <c r="E59" s="18" t="n"/>
      <c r="F59" s="18" t="n"/>
      <c r="G59" s="18" t="n"/>
      <c r="H59" s="18">
        <f>IF(F59="","",I59/F59)</f>
        <v/>
      </c>
      <c r="I59" s="49" t="n"/>
      <c r="J59" s="18" t="n"/>
      <c r="K59" s="43">
        <f>IF(F59="","",J59/F59)</f>
        <v/>
      </c>
    </row>
    <row r="60" ht="22" customHeight="1">
      <c r="B60" s="16">
        <f>IF(C60="","SFR-"&amp;TEXT(COUNTA($C$5:C60),"000"))</f>
        <v/>
      </c>
      <c r="C60" s="14" t="n"/>
      <c r="D60" s="19" t="n"/>
      <c r="E60" s="19" t="n"/>
      <c r="F60" s="19" t="n"/>
      <c r="G60" s="19" t="n"/>
      <c r="H60" s="19">
        <f>IF(F60="","",I60/F60)</f>
        <v/>
      </c>
      <c r="I60" s="51" t="n"/>
      <c r="J60" s="19" t="n"/>
      <c r="K60" s="44">
        <f>IF(F60="","",J60/F60)</f>
        <v/>
      </c>
    </row>
    <row r="61" ht="22" customHeight="1">
      <c r="B61" s="17">
        <f>IF(C61="","SFR-"&amp;TEXT(COUNTA($C$5:C61),"000"))</f>
        <v/>
      </c>
      <c r="C61" s="12" t="n"/>
      <c r="D61" s="18" t="n"/>
      <c r="E61" s="18" t="n"/>
      <c r="F61" s="18" t="n"/>
      <c r="G61" s="18" t="n"/>
      <c r="H61" s="18">
        <f>IF(F61="","",I61/F61)</f>
        <v/>
      </c>
      <c r="I61" s="49" t="n"/>
      <c r="J61" s="18" t="n"/>
      <c r="K61" s="43">
        <f>IF(F61="","",J61/F61)</f>
        <v/>
      </c>
    </row>
    <row r="62" ht="22" customHeight="1">
      <c r="B62" s="16">
        <f>IF(C62="","SFR-"&amp;TEXT(COUNTA($C$5:C62),"000"))</f>
        <v/>
      </c>
      <c r="C62" s="14" t="n"/>
      <c r="D62" s="19" t="n"/>
      <c r="E62" s="19" t="n"/>
      <c r="F62" s="19" t="n"/>
      <c r="G62" s="19" t="n"/>
      <c r="H62" s="19">
        <f>IF(F62="","",I62/F62)</f>
        <v/>
      </c>
      <c r="I62" s="51" t="n"/>
      <c r="J62" s="19" t="n"/>
      <c r="K62" s="44">
        <f>IF(F62="","",J62/F62)</f>
        <v/>
      </c>
    </row>
    <row r="63" ht="22" customHeight="1">
      <c r="B63" s="17">
        <f>IF(C63="","SFR-"&amp;TEXT(COUNTA($C$5:C63),"000"))</f>
        <v/>
      </c>
      <c r="C63" s="12" t="n"/>
      <c r="D63" s="18" t="n"/>
      <c r="E63" s="18" t="n"/>
      <c r="F63" s="18" t="n"/>
      <c r="G63" s="18" t="n"/>
      <c r="H63" s="18">
        <f>IF(F63="","",I63/F63)</f>
        <v/>
      </c>
      <c r="I63" s="49" t="n"/>
      <c r="J63" s="18" t="n"/>
      <c r="K63" s="43">
        <f>IF(F63="","",J63/F63)</f>
        <v/>
      </c>
    </row>
    <row r="64" ht="22" customHeight="1">
      <c r="B64" s="16">
        <f>IF(C64="","SFR-"&amp;TEXT(COUNTA($C$5:C64),"000"))</f>
        <v/>
      </c>
      <c r="C64" s="14" t="n"/>
      <c r="D64" s="19" t="n"/>
      <c r="E64" s="19" t="n"/>
      <c r="F64" s="19" t="n"/>
      <c r="G64" s="19" t="n"/>
      <c r="H64" s="19">
        <f>IF(F64="","",I64/F64)</f>
        <v/>
      </c>
      <c r="I64" s="51" t="n"/>
      <c r="J64" s="19" t="n"/>
      <c r="K64" s="44">
        <f>IF(F64="","",J64/F64)</f>
        <v/>
      </c>
    </row>
    <row r="65" ht="22" customHeight="1">
      <c r="B65" s="17">
        <f>IF(C65="","SFR-"&amp;TEXT(COUNTA($C$5:C65),"000"))</f>
        <v/>
      </c>
      <c r="C65" s="12" t="n"/>
      <c r="D65" s="18" t="n"/>
      <c r="E65" s="18" t="n"/>
      <c r="F65" s="18" t="n"/>
      <c r="G65" s="18" t="n"/>
      <c r="H65" s="18">
        <f>IF(F65="","",I65/F65)</f>
        <v/>
      </c>
      <c r="I65" s="49" t="n"/>
      <c r="J65" s="18" t="n"/>
      <c r="K65" s="43">
        <f>IF(F65="","",J65/F65)</f>
        <v/>
      </c>
    </row>
    <row r="66" ht="22" customHeight="1">
      <c r="B66" s="16">
        <f>IF(C66="","SFR-"&amp;TEXT(COUNTA($C$5:C66),"000"))</f>
        <v/>
      </c>
      <c r="C66" s="14" t="n"/>
      <c r="D66" s="19" t="n"/>
      <c r="E66" s="19" t="n"/>
      <c r="F66" s="19" t="n"/>
      <c r="G66" s="19" t="n"/>
      <c r="H66" s="19">
        <f>IF(F66="","",I66/F66)</f>
        <v/>
      </c>
      <c r="I66" s="51" t="n"/>
      <c r="J66" s="19" t="n"/>
      <c r="K66" s="44">
        <f>IF(F66="","",J66/F66)</f>
        <v/>
      </c>
    </row>
    <row r="67" ht="22" customHeight="1">
      <c r="B67" s="17">
        <f>IF(C67="","SFR-"&amp;TEXT(COUNTA($C$5:C67),"000"))</f>
        <v/>
      </c>
      <c r="C67" s="12" t="n"/>
      <c r="D67" s="18" t="n"/>
      <c r="E67" s="18" t="n"/>
      <c r="F67" s="18" t="n"/>
      <c r="G67" s="18" t="n"/>
      <c r="H67" s="18">
        <f>IF(F67="","",I67/F67)</f>
        <v/>
      </c>
      <c r="I67" s="49" t="n"/>
      <c r="J67" s="18" t="n"/>
      <c r="K67" s="43">
        <f>IF(F67="","",J67/F67)</f>
        <v/>
      </c>
    </row>
    <row r="68" ht="22" customHeight="1">
      <c r="B68" s="16">
        <f>IF(C68="","SFR-"&amp;TEXT(COUNTA($C$5:C68),"000"))</f>
        <v/>
      </c>
      <c r="C68" s="14" t="n"/>
      <c r="D68" s="19" t="n"/>
      <c r="E68" s="19" t="n"/>
      <c r="F68" s="19" t="n"/>
      <c r="G68" s="19" t="n"/>
      <c r="H68" s="19">
        <f>IF(F68="","",I68/F68)</f>
        <v/>
      </c>
      <c r="I68" s="51" t="n"/>
      <c r="J68" s="19" t="n"/>
      <c r="K68" s="44">
        <f>IF(F68="","",J68/F68)</f>
        <v/>
      </c>
    </row>
    <row r="69" ht="22" customHeight="1">
      <c r="B69" s="17">
        <f>IF(C69="","SFR-"&amp;TEXT(COUNTA($C$5:C69),"000"))</f>
        <v/>
      </c>
      <c r="C69" s="12" t="n"/>
      <c r="D69" s="18" t="n"/>
      <c r="E69" s="18" t="n"/>
      <c r="F69" s="18" t="n"/>
      <c r="G69" s="18" t="n"/>
      <c r="H69" s="18">
        <f>IF(F69="","",I69/F69)</f>
        <v/>
      </c>
      <c r="I69" s="49" t="n"/>
      <c r="J69" s="18" t="n"/>
      <c r="K69" s="43">
        <f>IF(F69="","",J69/F69)</f>
        <v/>
      </c>
    </row>
    <row r="70" ht="22" customHeight="1">
      <c r="B70" s="16">
        <f>IF(C70="","SFR-"&amp;TEXT(COUNTA($C$5:C70),"000"))</f>
        <v/>
      </c>
      <c r="C70" s="14" t="n"/>
      <c r="D70" s="19" t="n"/>
      <c r="E70" s="19" t="n"/>
      <c r="F70" s="19" t="n"/>
      <c r="G70" s="19" t="n"/>
      <c r="H70" s="19">
        <f>IF(F70="","",I70/F70)</f>
        <v/>
      </c>
      <c r="I70" s="51" t="n"/>
      <c r="J70" s="19" t="n"/>
      <c r="K70" s="44">
        <f>IF(F70="","",J70/F70)</f>
        <v/>
      </c>
    </row>
    <row r="71" ht="22" customHeight="1">
      <c r="B71" s="17">
        <f>IF(C71="","SFR-"&amp;TEXT(COUNTA($C$5:C71),"000"))</f>
        <v/>
      </c>
      <c r="C71" s="12" t="n"/>
      <c r="D71" s="18" t="n"/>
      <c r="E71" s="18" t="n"/>
      <c r="F71" s="18" t="n"/>
      <c r="G71" s="18" t="n"/>
      <c r="H71" s="18">
        <f>IF(F71="","",I71/F71)</f>
        <v/>
      </c>
      <c r="I71" s="49" t="n"/>
      <c r="J71" s="18" t="n"/>
      <c r="K71" s="43">
        <f>IF(F71="","",J71/F71)</f>
        <v/>
      </c>
    </row>
    <row r="72" ht="22" customHeight="1">
      <c r="B72" s="16">
        <f>IF(C72="","SFR-"&amp;TEXT(COUNTA($C$5:C72),"000"))</f>
        <v/>
      </c>
      <c r="C72" s="14" t="n"/>
      <c r="D72" s="19" t="n"/>
      <c r="E72" s="19" t="n"/>
      <c r="F72" s="19" t="n"/>
      <c r="G72" s="19" t="n"/>
      <c r="H72" s="19">
        <f>IF(F72="","",I72/F72)</f>
        <v/>
      </c>
      <c r="I72" s="51" t="n"/>
      <c r="J72" s="19" t="n"/>
      <c r="K72" s="44">
        <f>IF(F72="","",J72/F72)</f>
        <v/>
      </c>
    </row>
    <row r="73" ht="22" customHeight="1">
      <c r="B73" s="17">
        <f>IF(C73="","SFR-"&amp;TEXT(COUNTA($C$5:C73),"000"))</f>
        <v/>
      </c>
      <c r="C73" s="12" t="n"/>
      <c r="D73" s="18" t="n"/>
      <c r="E73" s="18" t="n"/>
      <c r="F73" s="18" t="n"/>
      <c r="G73" s="18" t="n"/>
      <c r="H73" s="18">
        <f>IF(F73="","",I73/F73)</f>
        <v/>
      </c>
      <c r="I73" s="49" t="n"/>
      <c r="J73" s="18" t="n"/>
      <c r="K73" s="43">
        <f>IF(F73="","",J73/F73)</f>
        <v/>
      </c>
    </row>
    <row r="74" ht="22" customHeight="1">
      <c r="B74" s="16">
        <f>IF(C74="","SFR-"&amp;TEXT(COUNTA($C$5:C74),"000"))</f>
        <v/>
      </c>
      <c r="C74" s="14" t="n"/>
      <c r="D74" s="19" t="n"/>
      <c r="E74" s="19" t="n"/>
      <c r="F74" s="19" t="n"/>
      <c r="G74" s="19" t="n"/>
      <c r="H74" s="19">
        <f>IF(F74="","",I74/F74)</f>
        <v/>
      </c>
      <c r="I74" s="51" t="n"/>
      <c r="J74" s="19" t="n"/>
      <c r="K74" s="44">
        <f>IF(F74="","",J74/F74)</f>
        <v/>
      </c>
    </row>
    <row r="75" ht="22" customHeight="1">
      <c r="B75" s="17">
        <f>IF(C75="","SFR-"&amp;TEXT(COUNTA($C$5:C75),"000"))</f>
        <v/>
      </c>
      <c r="C75" s="12" t="n"/>
      <c r="D75" s="18" t="n"/>
      <c r="E75" s="18" t="n"/>
      <c r="F75" s="18" t="n"/>
      <c r="G75" s="18" t="n"/>
      <c r="H75" s="18">
        <f>IF(F75="","",I75/F75)</f>
        <v/>
      </c>
      <c r="I75" s="49" t="n"/>
      <c r="J75" s="18" t="n"/>
      <c r="K75" s="43">
        <f>IF(F75="","",J75/F75)</f>
        <v/>
      </c>
    </row>
    <row r="76" ht="22" customHeight="1">
      <c r="B76" s="16">
        <f>IF(C76="","SFR-"&amp;TEXT(COUNTA($C$5:C76),"000"))</f>
        <v/>
      </c>
      <c r="C76" s="14" t="n"/>
      <c r="D76" s="19" t="n"/>
      <c r="E76" s="19" t="n"/>
      <c r="F76" s="19" t="n"/>
      <c r="G76" s="19" t="n"/>
      <c r="H76" s="19">
        <f>IF(F76="","",I76/F76)</f>
        <v/>
      </c>
      <c r="I76" s="51" t="n"/>
      <c r="J76" s="19" t="n"/>
      <c r="K76" s="44">
        <f>IF(F76="","",J76/F76)</f>
        <v/>
      </c>
    </row>
    <row r="77" ht="22" customHeight="1">
      <c r="B77" s="17">
        <f>IF(C77="","SFR-"&amp;TEXT(COUNTA($C$5:C77),"000"))</f>
        <v/>
      </c>
      <c r="C77" s="12" t="n"/>
      <c r="D77" s="18" t="n"/>
      <c r="E77" s="18" t="n"/>
      <c r="F77" s="18" t="n"/>
      <c r="G77" s="18" t="n"/>
      <c r="H77" s="18">
        <f>IF(F77="","",I77/F77)</f>
        <v/>
      </c>
      <c r="I77" s="49" t="n"/>
      <c r="J77" s="18" t="n"/>
      <c r="K77" s="43">
        <f>IF(F77="","",J77/F77)</f>
        <v/>
      </c>
    </row>
    <row r="78" ht="22" customHeight="1">
      <c r="B78" s="16">
        <f>IF(C78="","SFR-"&amp;TEXT(COUNTA($C$5:C78),"000"))</f>
        <v/>
      </c>
      <c r="C78" s="14" t="n"/>
      <c r="D78" s="19" t="n"/>
      <c r="E78" s="19" t="n"/>
      <c r="F78" s="19" t="n"/>
      <c r="G78" s="19" t="n"/>
      <c r="H78" s="19">
        <f>IF(F78="","",I78/F78)</f>
        <v/>
      </c>
      <c r="I78" s="51" t="n"/>
      <c r="J78" s="19" t="n"/>
      <c r="K78" s="44">
        <f>IF(F78="","",J78/F78)</f>
        <v/>
      </c>
    </row>
    <row r="79" ht="22" customHeight="1">
      <c r="B79" s="17">
        <f>IF(C79="","SFR-"&amp;TEXT(COUNTA($C$5:C79),"000"))</f>
        <v/>
      </c>
      <c r="C79" s="12" t="n"/>
      <c r="D79" s="18" t="n"/>
      <c r="E79" s="18" t="n"/>
      <c r="F79" s="18" t="n"/>
      <c r="G79" s="18" t="n"/>
      <c r="H79" s="18">
        <f>IF(F79="","",I79/F79)</f>
        <v/>
      </c>
      <c r="I79" s="49" t="n"/>
      <c r="J79" s="18" t="n"/>
      <c r="K79" s="43">
        <f>IF(F79="","",J79/F79)</f>
        <v/>
      </c>
    </row>
    <row r="80" ht="22" customHeight="1">
      <c r="B80" s="16">
        <f>IF(C80="","SFR-"&amp;TEXT(COUNTA($C$5:C80),"000"))</f>
        <v/>
      </c>
      <c r="C80" s="14" t="n"/>
      <c r="D80" s="19" t="n"/>
      <c r="E80" s="19" t="n"/>
      <c r="F80" s="19" t="n"/>
      <c r="G80" s="19" t="n"/>
      <c r="H80" s="19">
        <f>IF(F80="","",I80/F80)</f>
        <v/>
      </c>
      <c r="I80" s="51" t="n"/>
      <c r="J80" s="19" t="n"/>
      <c r="K80" s="44">
        <f>IF(F80="","",J80/F80)</f>
        <v/>
      </c>
    </row>
    <row r="81" ht="22" customHeight="1">
      <c r="B81" s="17">
        <f>IF(C81="","SFR-"&amp;TEXT(COUNTA($C$5:C81),"000"))</f>
        <v/>
      </c>
      <c r="C81" s="12" t="n"/>
      <c r="D81" s="18" t="n"/>
      <c r="E81" s="18" t="n"/>
      <c r="F81" s="18" t="n"/>
      <c r="G81" s="18" t="n"/>
      <c r="H81" s="18">
        <f>IF(F81="","",I81/F81)</f>
        <v/>
      </c>
      <c r="I81" s="49" t="n"/>
      <c r="J81" s="18" t="n"/>
      <c r="K81" s="43">
        <f>IF(F81="","",J81/F81)</f>
        <v/>
      </c>
    </row>
    <row r="82" ht="22" customHeight="1">
      <c r="B82" s="16">
        <f>IF(C82="","SFR-"&amp;TEXT(COUNTA($C$5:C82),"000"))</f>
        <v/>
      </c>
      <c r="C82" s="14" t="n"/>
      <c r="D82" s="19" t="n"/>
      <c r="E82" s="19" t="n"/>
      <c r="F82" s="19" t="n"/>
      <c r="G82" s="19" t="n"/>
      <c r="H82" s="19">
        <f>IF(F82="","",I82/F82)</f>
        <v/>
      </c>
      <c r="I82" s="51" t="n"/>
      <c r="J82" s="19" t="n"/>
      <c r="K82" s="44">
        <f>IF(F82="","",J82/F82)</f>
        <v/>
      </c>
    </row>
    <row r="83" ht="22" customHeight="1">
      <c r="B83" s="17">
        <f>IF(C83="","SFR-"&amp;TEXT(COUNTA($C$5:C83),"000"))</f>
        <v/>
      </c>
      <c r="C83" s="12" t="n"/>
      <c r="D83" s="18" t="n"/>
      <c r="E83" s="18" t="n"/>
      <c r="F83" s="18" t="n"/>
      <c r="G83" s="18" t="n"/>
      <c r="H83" s="18">
        <f>IF(F83="","",I83/F83)</f>
        <v/>
      </c>
      <c r="I83" s="49" t="n"/>
      <c r="J83" s="18" t="n"/>
      <c r="K83" s="43">
        <f>IF(F83="","",J83/F83)</f>
        <v/>
      </c>
    </row>
    <row r="84" ht="22" customHeight="1">
      <c r="B84" s="16">
        <f>IF(C84="","SFR-"&amp;TEXT(COUNTA($C$5:C84),"000"))</f>
        <v/>
      </c>
      <c r="C84" s="14" t="n"/>
      <c r="D84" s="19" t="n"/>
      <c r="E84" s="19" t="n"/>
      <c r="F84" s="19" t="n"/>
      <c r="G84" s="19" t="n"/>
      <c r="H84" s="19">
        <f>IF(F84="","",I84/F84)</f>
        <v/>
      </c>
      <c r="I84" s="51" t="n"/>
      <c r="J84" s="19" t="n"/>
      <c r="K84" s="44">
        <f>IF(F84="","",J84/F84)</f>
        <v/>
      </c>
    </row>
    <row r="85" ht="22" customHeight="1">
      <c r="B85" s="17">
        <f>IF(C85="","SFR-"&amp;TEXT(COUNTA($C$5:C85),"000"))</f>
        <v/>
      </c>
      <c r="C85" s="12" t="n"/>
      <c r="D85" s="18" t="n"/>
      <c r="E85" s="18" t="n"/>
      <c r="F85" s="18" t="n"/>
      <c r="G85" s="18" t="n"/>
      <c r="H85" s="18">
        <f>IF(F85="","",I85/F85)</f>
        <v/>
      </c>
      <c r="I85" s="49" t="n"/>
      <c r="J85" s="18" t="n"/>
      <c r="K85" s="43">
        <f>IF(F85="","",J85/F85)</f>
        <v/>
      </c>
    </row>
    <row r="86" ht="22" customHeight="1">
      <c r="B86" s="16">
        <f>IF(C86="","SFR-"&amp;TEXT(COUNTA($C$5:C86),"000"))</f>
        <v/>
      </c>
      <c r="C86" s="14" t="n"/>
      <c r="D86" s="19" t="n"/>
      <c r="E86" s="19" t="n"/>
      <c r="F86" s="19" t="n"/>
      <c r="G86" s="19" t="n"/>
      <c r="H86" s="19">
        <f>IF(F86="","",I86/F86)</f>
        <v/>
      </c>
      <c r="I86" s="51" t="n"/>
      <c r="J86" s="19" t="n"/>
      <c r="K86" s="44">
        <f>IF(F86="","",J86/F86)</f>
        <v/>
      </c>
    </row>
    <row r="87" ht="22" customHeight="1">
      <c r="B87" s="17">
        <f>IF(C87="","SFR-"&amp;TEXT(COUNTA($C$5:C87),"000"))</f>
        <v/>
      </c>
      <c r="C87" s="12" t="n"/>
      <c r="D87" s="18" t="n"/>
      <c r="E87" s="18" t="n"/>
      <c r="F87" s="18" t="n"/>
      <c r="G87" s="18" t="n"/>
      <c r="H87" s="18">
        <f>IF(F87="","",I87/F87)</f>
        <v/>
      </c>
      <c r="I87" s="49" t="n"/>
      <c r="J87" s="18" t="n"/>
      <c r="K87" s="43">
        <f>IF(F87="","",J87/F87)</f>
        <v/>
      </c>
    </row>
    <row r="88" ht="22" customHeight="1">
      <c r="B88" s="16">
        <f>IF(C88="","SFR-"&amp;TEXT(COUNTA($C$5:C88),"000"))</f>
        <v/>
      </c>
      <c r="C88" s="14" t="n"/>
      <c r="D88" s="19" t="n"/>
      <c r="E88" s="19" t="n"/>
      <c r="F88" s="19" t="n"/>
      <c r="G88" s="19" t="n"/>
      <c r="H88" s="19">
        <f>IF(F88="","",I88/F88)</f>
        <v/>
      </c>
      <c r="I88" s="51" t="n"/>
      <c r="J88" s="19" t="n"/>
      <c r="K88" s="44">
        <f>IF(F88="","",J88/F88)</f>
        <v/>
      </c>
    </row>
    <row r="89" ht="22" customHeight="1">
      <c r="B89" s="17">
        <f>IF(C89="","SFR-"&amp;TEXT(COUNTA($C$5:C89),"000"))</f>
        <v/>
      </c>
      <c r="C89" s="12" t="n"/>
      <c r="D89" s="18" t="n"/>
      <c r="E89" s="18" t="n"/>
      <c r="F89" s="18" t="n"/>
      <c r="G89" s="18" t="n"/>
      <c r="H89" s="18">
        <f>IF(F89="","",I89/F89)</f>
        <v/>
      </c>
      <c r="I89" s="49" t="n"/>
      <c r="J89" s="18" t="n"/>
      <c r="K89" s="43">
        <f>IF(F89="","",J89/F89)</f>
        <v/>
      </c>
    </row>
    <row r="90" ht="22" customHeight="1">
      <c r="B90" s="16">
        <f>IF(C90="","SFR-"&amp;TEXT(COUNTA($C$5:C90),"000"))</f>
        <v/>
      </c>
      <c r="C90" s="14" t="n"/>
      <c r="D90" s="19" t="n"/>
      <c r="E90" s="19" t="n"/>
      <c r="F90" s="19" t="n"/>
      <c r="G90" s="19" t="n"/>
      <c r="H90" s="19">
        <f>IF(F90="","",I90/F90)</f>
        <v/>
      </c>
      <c r="I90" s="51" t="n"/>
      <c r="J90" s="19" t="n"/>
      <c r="K90" s="44">
        <f>IF(F90="","",J90/F90)</f>
        <v/>
      </c>
    </row>
    <row r="91" ht="22" customHeight="1">
      <c r="B91" s="17">
        <f>IF(C91="","SFR-"&amp;TEXT(COUNTA($C$5:C91),"000"))</f>
        <v/>
      </c>
      <c r="C91" s="12" t="n"/>
      <c r="D91" s="18" t="n"/>
      <c r="E91" s="18" t="n"/>
      <c r="F91" s="18" t="n"/>
      <c r="G91" s="18" t="n"/>
      <c r="H91" s="18">
        <f>IF(F91="","",I91/F91)</f>
        <v/>
      </c>
      <c r="I91" s="49" t="n"/>
      <c r="J91" s="18" t="n"/>
      <c r="K91" s="43">
        <f>IF(F91="","",J91/F91)</f>
        <v/>
      </c>
    </row>
    <row r="92" ht="22" customHeight="1">
      <c r="B92" s="16">
        <f>IF(C92="","SFR-"&amp;TEXT(COUNTA($C$5:C92),"000"))</f>
        <v/>
      </c>
      <c r="C92" s="14" t="n"/>
      <c r="D92" s="19" t="n"/>
      <c r="E92" s="19" t="n"/>
      <c r="F92" s="19" t="n"/>
      <c r="G92" s="19" t="n"/>
      <c r="H92" s="19">
        <f>IF(F92="","",I92/F92)</f>
        <v/>
      </c>
      <c r="I92" s="51" t="n"/>
      <c r="J92" s="19" t="n"/>
      <c r="K92" s="44">
        <f>IF(F92="","",J92/F92)</f>
        <v/>
      </c>
    </row>
    <row r="93" ht="22" customHeight="1">
      <c r="B93" s="17">
        <f>IF(C93="","SFR-"&amp;TEXT(COUNTA($C$5:C93),"000"))</f>
        <v/>
      </c>
      <c r="C93" s="12" t="n"/>
      <c r="D93" s="18" t="n"/>
      <c r="E93" s="18" t="n"/>
      <c r="F93" s="18" t="n"/>
      <c r="G93" s="18" t="n"/>
      <c r="H93" s="18">
        <f>IF(F93="","",I93/F93)</f>
        <v/>
      </c>
      <c r="I93" s="49" t="n"/>
      <c r="J93" s="18" t="n"/>
      <c r="K93" s="43">
        <f>IF(F93="","",J93/F93)</f>
        <v/>
      </c>
    </row>
    <row r="94" ht="22" customHeight="1">
      <c r="B94" s="16">
        <f>IF(C94="","SFR-"&amp;TEXT(COUNTA($C$5:C94),"000"))</f>
        <v/>
      </c>
      <c r="C94" s="14" t="n"/>
      <c r="D94" s="19" t="n"/>
      <c r="E94" s="19" t="n"/>
      <c r="F94" s="19" t="n"/>
      <c r="G94" s="19" t="n"/>
      <c r="H94" s="19">
        <f>IF(F94="","",I94/F94)</f>
        <v/>
      </c>
      <c r="I94" s="51" t="n"/>
      <c r="J94" s="19" t="n"/>
      <c r="K94" s="44">
        <f>IF(F94="","",J94/F94)</f>
        <v/>
      </c>
    </row>
    <row r="95" ht="22" customHeight="1">
      <c r="B95" s="17">
        <f>IF(C95="","SFR-"&amp;TEXT(COUNTA($C$5:C95),"000"))</f>
        <v/>
      </c>
      <c r="C95" s="12" t="n"/>
      <c r="D95" s="18" t="n"/>
      <c r="E95" s="18" t="n"/>
      <c r="F95" s="18" t="n"/>
      <c r="G95" s="18" t="n"/>
      <c r="H95" s="18">
        <f>IF(F95="","",I95/F95)</f>
        <v/>
      </c>
      <c r="I95" s="49" t="n"/>
      <c r="J95" s="18" t="n"/>
      <c r="K95" s="43">
        <f>IF(F95="","",J95/F95)</f>
        <v/>
      </c>
    </row>
    <row r="96" ht="22" customHeight="1">
      <c r="B96" s="16">
        <f>IF(C96="","SFR-"&amp;TEXT(COUNTA($C$5:C96),"000"))</f>
        <v/>
      </c>
      <c r="C96" s="14" t="n"/>
      <c r="D96" s="19" t="n"/>
      <c r="E96" s="19" t="n"/>
      <c r="F96" s="19" t="n"/>
      <c r="G96" s="19" t="n"/>
      <c r="H96" s="19">
        <f>IF(F96="","",I96/F96)</f>
        <v/>
      </c>
      <c r="I96" s="51" t="n"/>
      <c r="J96" s="19" t="n"/>
      <c r="K96" s="44">
        <f>IF(F96="","",J96/F96)</f>
        <v/>
      </c>
    </row>
    <row r="97" ht="22" customHeight="1">
      <c r="B97" s="17">
        <f>IF(C97="","SFR-"&amp;TEXT(COUNTA($C$5:C97),"000"))</f>
        <v/>
      </c>
      <c r="C97" s="12" t="n"/>
      <c r="D97" s="18" t="n"/>
      <c r="E97" s="18" t="n"/>
      <c r="F97" s="18" t="n"/>
      <c r="G97" s="18" t="n"/>
      <c r="H97" s="18">
        <f>IF(F97="","",I97/F97)</f>
        <v/>
      </c>
      <c r="I97" s="49" t="n"/>
      <c r="J97" s="18" t="n"/>
      <c r="K97" s="43">
        <f>IF(F97="","",J97/F97)</f>
        <v/>
      </c>
    </row>
    <row r="98" ht="22" customHeight="1">
      <c r="B98" s="16">
        <f>IF(C98="","SFR-"&amp;TEXT(COUNTA($C$5:C98),"000"))</f>
        <v/>
      </c>
      <c r="C98" s="14" t="n"/>
      <c r="D98" s="19" t="n"/>
      <c r="E98" s="19" t="n"/>
      <c r="F98" s="19" t="n"/>
      <c r="G98" s="19" t="n"/>
      <c r="H98" s="19">
        <f>IF(F98="","",I98/F98)</f>
        <v/>
      </c>
      <c r="I98" s="51" t="n"/>
      <c r="J98" s="19" t="n"/>
      <c r="K98" s="44">
        <f>IF(F98="","",J98/F98)</f>
        <v/>
      </c>
    </row>
    <row r="99" ht="22" customHeight="1">
      <c r="B99" s="17">
        <f>IF(C99="","SFR-"&amp;TEXT(COUNTA($C$5:C99),"000"))</f>
        <v/>
      </c>
      <c r="C99" s="12" t="n"/>
      <c r="D99" s="18" t="n"/>
      <c r="E99" s="18" t="n"/>
      <c r="F99" s="18" t="n"/>
      <c r="G99" s="18" t="n"/>
      <c r="H99" s="18">
        <f>IF(F99="","",I99/F99)</f>
        <v/>
      </c>
      <c r="I99" s="49" t="n"/>
      <c r="J99" s="18" t="n"/>
      <c r="K99" s="43">
        <f>IF(F99="","",J99/F99)</f>
        <v/>
      </c>
    </row>
    <row r="100" ht="22" customHeight="1">
      <c r="B100" s="16">
        <f>IF(C100="","SFR-"&amp;TEXT(COUNTA($C$5:C100),"000"))</f>
        <v/>
      </c>
      <c r="C100" s="14" t="n"/>
      <c r="D100" s="19" t="n"/>
      <c r="E100" s="19" t="n"/>
      <c r="F100" s="19" t="n"/>
      <c r="G100" s="19" t="n"/>
      <c r="H100" s="19">
        <f>IF(F100="","",I100/F100)</f>
        <v/>
      </c>
      <c r="I100" s="51" t="n"/>
      <c r="J100" s="19" t="n"/>
      <c r="K100" s="44">
        <f>IF(F100="","",J100/F100)</f>
        <v/>
      </c>
    </row>
    <row r="101" ht="22" customHeight="1">
      <c r="B101" s="17">
        <f>IF(C101="","SFR-"&amp;TEXT(COUNTA($C$5:C101),"000"))</f>
        <v/>
      </c>
      <c r="C101" s="12" t="n"/>
      <c r="D101" s="18" t="n"/>
      <c r="E101" s="18" t="n"/>
      <c r="F101" s="18" t="n"/>
      <c r="G101" s="18" t="n"/>
      <c r="H101" s="18">
        <f>IF(F101="","",I101/F101)</f>
        <v/>
      </c>
      <c r="I101" s="49" t="n"/>
      <c r="J101" s="18" t="n"/>
      <c r="K101" s="43">
        <f>IF(F101="","",J101/F101)</f>
        <v/>
      </c>
    </row>
    <row r="102" ht="22" customHeight="1">
      <c r="B102" s="16">
        <f>IF(C102="","SFR-"&amp;TEXT(COUNTA($C$5:C102),"000"))</f>
        <v/>
      </c>
      <c r="C102" s="14" t="n"/>
      <c r="D102" s="19" t="n"/>
      <c r="E102" s="19" t="n"/>
      <c r="F102" s="19" t="n"/>
      <c r="G102" s="19" t="n"/>
      <c r="H102" s="19">
        <f>IF(F102="","",I102/F102)</f>
        <v/>
      </c>
      <c r="I102" s="51" t="n"/>
      <c r="J102" s="19" t="n"/>
      <c r="K102" s="44">
        <f>IF(F102="","",J102/F102)</f>
        <v/>
      </c>
    </row>
    <row r="103" ht="22" customHeight="1">
      <c r="B103" s="17">
        <f>IF(C103="","SFR-"&amp;TEXT(COUNTA($C$5:C103),"000"))</f>
        <v/>
      </c>
      <c r="C103" s="12" t="n"/>
      <c r="D103" s="18" t="n"/>
      <c r="E103" s="18" t="n"/>
      <c r="F103" s="18" t="n"/>
      <c r="G103" s="18" t="n"/>
      <c r="H103" s="18">
        <f>IF(F103="","",I103/F103)</f>
        <v/>
      </c>
      <c r="I103" s="49" t="n"/>
      <c r="J103" s="18" t="n"/>
      <c r="K103" s="43">
        <f>IF(F103="","",J103/F103)</f>
        <v/>
      </c>
    </row>
    <row r="104" ht="22" customHeight="1">
      <c r="B104" s="16">
        <f>IF(C104="","SFR-"&amp;TEXT(COUNTA($C$5:C104),"000"))</f>
        <v/>
      </c>
      <c r="C104" s="14" t="n"/>
      <c r="D104" s="19" t="n"/>
      <c r="E104" s="19" t="n"/>
      <c r="F104" s="19" t="n"/>
      <c r="G104" s="19" t="n"/>
      <c r="H104" s="19">
        <f>IF(F104="","",I104/F104)</f>
        <v/>
      </c>
      <c r="I104" s="51" t="n"/>
      <c r="J104" s="19" t="n"/>
      <c r="K104" s="44">
        <f>IF(F104="","",J104/F104)</f>
        <v/>
      </c>
    </row>
    <row r="105" ht="22" customHeight="1">
      <c r="B105" s="17">
        <f>IF(C105="","SFR-"&amp;TEXT(COUNTA($C$5:C105),"000"))</f>
        <v/>
      </c>
      <c r="C105" s="12" t="n"/>
      <c r="D105" s="18" t="n"/>
      <c r="E105" s="18" t="n"/>
      <c r="F105" s="18" t="n"/>
      <c r="G105" s="18" t="n"/>
      <c r="H105" s="18">
        <f>IF(F105="","",I105/F105)</f>
        <v/>
      </c>
      <c r="I105" s="49" t="n"/>
      <c r="J105" s="18" t="n"/>
      <c r="K105" s="43">
        <f>IF(F105="","",J105/F105)</f>
        <v/>
      </c>
    </row>
    <row r="106" ht="22" customHeight="1">
      <c r="B106" s="16">
        <f>IF(C106="","SFR-"&amp;TEXT(COUNTA($C$5:C106),"000"))</f>
        <v/>
      </c>
      <c r="C106" s="14" t="n"/>
      <c r="D106" s="19" t="n"/>
      <c r="E106" s="19" t="n"/>
      <c r="F106" s="19" t="n"/>
      <c r="G106" s="19" t="n"/>
      <c r="H106" s="19">
        <f>IF(F106="","",I106/F106)</f>
        <v/>
      </c>
      <c r="I106" s="51" t="n"/>
      <c r="J106" s="19" t="n"/>
      <c r="K106" s="44">
        <f>IF(F106="","",J106/F106)</f>
        <v/>
      </c>
    </row>
    <row r="107" ht="22" customHeight="1">
      <c r="B107" s="17">
        <f>IF(C107="","SFR-"&amp;TEXT(COUNTA($C$5:C107),"000"))</f>
        <v/>
      </c>
      <c r="C107" s="12" t="n"/>
      <c r="D107" s="18" t="n"/>
      <c r="E107" s="18" t="n"/>
      <c r="F107" s="18" t="n"/>
      <c r="G107" s="18" t="n"/>
      <c r="H107" s="18">
        <f>IF(F107="","",I107/F107)</f>
        <v/>
      </c>
      <c r="I107" s="49" t="n"/>
      <c r="J107" s="18" t="n"/>
      <c r="K107" s="43">
        <f>IF(F107="","",J107/F107)</f>
        <v/>
      </c>
    </row>
    <row r="109">
      <c r="B109" s="6" t="inlineStr">
        <is>
          <t>INDICATEURS (mis a jour automatiquement)</t>
        </is>
      </c>
    </row>
    <row r="110">
      <c r="B110" s="3" t="inlineStr">
        <is>
          <t>Total formations</t>
        </is>
      </c>
      <c r="D110" s="3" t="inlineStr">
        <is>
          <t>Total heures</t>
        </is>
      </c>
      <c r="F110" s="3" t="inlineStr">
        <is>
          <t>Cout total (FCFA)</t>
        </is>
      </c>
    </row>
    <row r="111">
      <c r="B111" s="4">
        <f>SUM(D5:D104)</f>
        <v/>
      </c>
      <c r="D111" s="4">
        <f>SUM(F5:F104)</f>
        <v/>
      </c>
      <c r="F111" s="4">
        <f>SUM(G5:G104)</f>
        <v/>
      </c>
    </row>
  </sheetData>
  <mergeCells count="3">
    <mergeCell ref="B109:K109"/>
    <mergeCell ref="B3:K3"/>
    <mergeCell ref="B2:K2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K5:K104">
    <cfRule type="dataBar" priority="11">
      <dataBar>
        <cfvo type="num" val="0"/>
        <cfvo type="num" val="1"/>
        <color rgb="004472C4"/>
      </dataBar>
    </cfRule>
  </conditionalFormatting>
  <dataValidations count="1">
    <dataValidation sqref="C5:C111" showDropDown="0" showInputMessage="0" showErrorMessage="0" allowBlank="1" promptTitle="Mois" prompt="Choisir: mois_annee" type="list">
      <formula1>'_Lists'!$U$2:$U$20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2" customWidth="1" min="4" max="4"/>
    <col width="18" customWidth="1" min="5" max="5"/>
    <col width="18" customWidth="1" min="6" max="6"/>
    <col width="22" customWidth="1" min="7" max="7"/>
    <col width="14" customWidth="1" min="8" max="8"/>
    <col width="20" customWidth="1" min="9" max="9"/>
    <col width="20" customWidth="1" min="10" max="10"/>
    <col width="36" customWidth="1" min="11" max="11"/>
  </cols>
  <sheetData>
    <row r="1" ht="15" customHeight="1"/>
    <row r="2" ht="32" customHeight="1">
      <c r="B2" s="1" t="inlineStr">
        <is>
          <t>ANALYSE INDICATEURS RSE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Indicateur</t>
        </is>
      </c>
      <c r="D4" s="11" t="inlineStr">
        <is>
          <t>Axe RSE</t>
        </is>
      </c>
      <c r="E4" s="11" t="inlineStr">
        <is>
          <t>Annee Precedente</t>
        </is>
      </c>
      <c r="F4" s="11" t="inlineStr">
        <is>
          <t>Annee Courante</t>
        </is>
      </c>
      <c r="G4" s="11" t="inlineStr">
        <is>
          <t>Evolution (pts ou %)</t>
        </is>
      </c>
      <c r="H4" s="11" t="inlineStr">
        <is>
          <t>Objectif</t>
        </is>
      </c>
      <c r="I4" s="11" t="inlineStr">
        <is>
          <t>Ecart vs Objectif</t>
        </is>
      </c>
      <c r="J4" s="11" t="inlineStr">
        <is>
          <t>Statut</t>
        </is>
      </c>
      <c r="K4" s="11" t="inlineStr">
        <is>
          <t>Commentaire</t>
        </is>
      </c>
    </row>
    <row r="5" ht="22" customHeight="1">
      <c r="B5" s="12" t="inlineStr">
        <is>
          <t>AIR-001</t>
        </is>
      </c>
      <c r="C5" s="12" t="inlineStr">
        <is>
          <t>Taux reduction dechets</t>
        </is>
      </c>
      <c r="D5" s="12" t="inlineStr">
        <is>
          <t>Environnement</t>
        </is>
      </c>
      <c r="E5" s="37" t="n">
        <v>-0.08</v>
      </c>
      <c r="F5" s="37" t="n">
        <v>-0.12</v>
      </c>
      <c r="G5" s="53" t="n"/>
      <c r="H5" s="37" t="n">
        <v>-0.15</v>
      </c>
      <c r="I5" s="53" t="n"/>
      <c r="J5" s="12" t="inlineStr">
        <is>
          <t>En amelioration</t>
        </is>
      </c>
      <c r="K5" s="12" t="inlineStr">
        <is>
          <t>Bonne progression, objectif atteignable</t>
        </is>
      </c>
    </row>
    <row r="6" ht="22" customHeight="1">
      <c r="B6" s="14" t="inlineStr">
        <is>
          <t>AIR-002</t>
        </is>
      </c>
      <c r="C6" s="14" t="inlineStr">
        <is>
          <t>Part femmes cadres</t>
        </is>
      </c>
      <c r="D6" s="14" t="inlineStr">
        <is>
          <t>Diversite &amp; Inclusion</t>
        </is>
      </c>
      <c r="E6" s="39" t="n">
        <v>0.33</v>
      </c>
      <c r="F6" s="39" t="n">
        <v>0.38</v>
      </c>
      <c r="G6" s="54" t="n"/>
      <c r="H6" s="39" t="n">
        <v>0.4</v>
      </c>
      <c r="I6" s="54" t="n"/>
      <c r="J6" s="14" t="inlineStr">
        <is>
          <t>En amelioration</t>
        </is>
      </c>
      <c r="K6" s="14" t="inlineStr">
        <is>
          <t>2 promotions prevues T2</t>
        </is>
      </c>
    </row>
    <row r="7" ht="22" customHeight="1">
      <c r="B7" s="12" t="inlineStr">
        <is>
          <t>AIR-003</t>
        </is>
      </c>
      <c r="C7" s="12" t="inlineStr">
        <is>
          <t>Score bien-etre</t>
        </is>
      </c>
      <c r="D7" s="12" t="inlineStr">
        <is>
          <t>Bien-etre</t>
        </is>
      </c>
      <c r="E7" s="37" t="n">
        <v>3.5</v>
      </c>
      <c r="F7" s="37" t="n">
        <v>3.8</v>
      </c>
      <c r="G7" s="53" t="n"/>
      <c r="H7" s="37" t="n">
        <v>4</v>
      </c>
      <c r="I7" s="53" t="n"/>
      <c r="J7" s="12" t="inlineStr">
        <is>
          <t>En amelioration</t>
        </is>
      </c>
      <c r="K7" s="12" t="inlineStr">
        <is>
          <t>Enquete Q1 prevue mars</t>
        </is>
      </c>
    </row>
    <row r="8" ht="22" customHeight="1">
      <c r="B8" s="14" t="inlineStr">
        <is>
          <t>AIR-004</t>
        </is>
      </c>
      <c r="C8" s="14" t="inlineStr">
        <is>
          <t>H formation RSE / employe</t>
        </is>
      </c>
      <c r="D8" s="14" t="inlineStr">
        <is>
          <t>Formation</t>
        </is>
      </c>
      <c r="E8" s="39" t="n">
        <v>3.2</v>
      </c>
      <c r="F8" s="39" t="n">
        <v>5.2</v>
      </c>
      <c r="G8" s="54" t="n"/>
      <c r="H8" s="39" t="n">
        <v>8</v>
      </c>
      <c r="I8" s="54" t="n"/>
      <c r="J8" s="14" t="inlineStr">
        <is>
          <t>En amelioration</t>
        </is>
      </c>
      <c r="K8" s="14" t="inlineStr">
        <is>
          <t>Programme formation renforce</t>
        </is>
      </c>
    </row>
    <row r="9" ht="22" customHeight="1">
      <c r="B9" s="12" t="inlineStr">
        <is>
          <t>AIR-005</t>
        </is>
      </c>
      <c r="C9" s="12" t="inlineStr">
        <is>
          <t>Emissions CO2 (tonnes)</t>
        </is>
      </c>
      <c r="D9" s="12" t="inlineStr">
        <is>
          <t>Environnement</t>
        </is>
      </c>
      <c r="E9" s="37" t="n">
        <v>52.5</v>
      </c>
      <c r="F9" s="37" t="n">
        <v>48.2</v>
      </c>
      <c r="G9" s="53" t="n"/>
      <c r="H9" s="37" t="n">
        <v>40</v>
      </c>
      <c r="I9" s="53" t="n"/>
      <c r="J9" s="12" t="inlineStr">
        <is>
          <t>En amelioration</t>
        </is>
      </c>
      <c r="K9" s="12" t="inlineStr">
        <is>
          <t>LED + tri contribuent</t>
        </is>
      </c>
    </row>
    <row r="10" ht="22" customHeight="1">
      <c r="B10" s="16">
        <f>IF(C10="","AIR-"&amp;TEXT(COUNTA($C$5:C10),"000"))</f>
        <v/>
      </c>
      <c r="C10" s="14" t="n"/>
      <c r="D10" s="14" t="n"/>
      <c r="E10" s="39" t="n"/>
      <c r="F10" s="39" t="n"/>
      <c r="G10" s="54">
        <f>IF(OR(E10="",F10=""),"",F10-E10)</f>
        <v/>
      </c>
      <c r="H10" s="39" t="n"/>
      <c r="I10" s="54">
        <f>IF(OR(F10="",H10=""),"",F10-H10)</f>
        <v/>
      </c>
      <c r="J10" s="14" t="n"/>
      <c r="K10" s="14" t="n"/>
    </row>
    <row r="11" ht="22" customHeight="1">
      <c r="B11" s="17">
        <f>IF(C11="","AIR-"&amp;TEXT(COUNTA($C$5:C11),"000"))</f>
        <v/>
      </c>
      <c r="C11" s="12" t="n"/>
      <c r="D11" s="12" t="n"/>
      <c r="E11" s="37" t="n"/>
      <c r="F11" s="37" t="n"/>
      <c r="G11" s="53">
        <f>IF(OR(E11="",F11=""),"",F11-E11)</f>
        <v/>
      </c>
      <c r="H11" s="37" t="n"/>
      <c r="I11" s="53">
        <f>IF(OR(F11="",H11=""),"",F11-H11)</f>
        <v/>
      </c>
      <c r="J11" s="12" t="n"/>
      <c r="K11" s="12" t="n"/>
    </row>
    <row r="12" ht="22" customHeight="1">
      <c r="B12" s="16">
        <f>IF(C12="","AIR-"&amp;TEXT(COUNTA($C$5:C12),"000"))</f>
        <v/>
      </c>
      <c r="C12" s="14" t="n"/>
      <c r="D12" s="14" t="n"/>
      <c r="E12" s="39" t="n"/>
      <c r="F12" s="39" t="n"/>
      <c r="G12" s="54">
        <f>IF(OR(E12="",F12=""),"",F12-E12)</f>
        <v/>
      </c>
      <c r="H12" s="39" t="n"/>
      <c r="I12" s="54">
        <f>IF(OR(F12="",H12=""),"",F12-H12)</f>
        <v/>
      </c>
      <c r="J12" s="14" t="n"/>
      <c r="K12" s="14" t="n"/>
    </row>
    <row r="13" ht="22" customHeight="1">
      <c r="B13" s="17">
        <f>IF(C13="","AIR-"&amp;TEXT(COUNTA($C$5:C13),"000"))</f>
        <v/>
      </c>
      <c r="C13" s="12" t="n"/>
      <c r="D13" s="12" t="n"/>
      <c r="E13" s="37" t="n"/>
      <c r="F13" s="37" t="n"/>
      <c r="G13" s="53">
        <f>IF(OR(E13="",F13=""),"",F13-E13)</f>
        <v/>
      </c>
      <c r="H13" s="37" t="n"/>
      <c r="I13" s="53">
        <f>IF(OR(F13="",H13=""),"",F13-H13)</f>
        <v/>
      </c>
      <c r="J13" s="12" t="n"/>
      <c r="K13" s="12" t="n"/>
    </row>
    <row r="14" ht="22" customHeight="1">
      <c r="B14" s="16">
        <f>IF(C14="","AIR-"&amp;TEXT(COUNTA($C$5:C14),"000"))</f>
        <v/>
      </c>
      <c r="C14" s="14" t="n"/>
      <c r="D14" s="14" t="n"/>
      <c r="E14" s="39" t="n"/>
      <c r="F14" s="39" t="n"/>
      <c r="G14" s="54">
        <f>IF(OR(E14="",F14=""),"",F14-E14)</f>
        <v/>
      </c>
      <c r="H14" s="39" t="n"/>
      <c r="I14" s="54">
        <f>IF(OR(F14="",H14=""),"",F14-H14)</f>
        <v/>
      </c>
      <c r="J14" s="14" t="n"/>
      <c r="K14" s="14" t="n"/>
    </row>
    <row r="15" ht="22" customHeight="1">
      <c r="B15" s="17">
        <f>IF(C15="","AIR-"&amp;TEXT(COUNTA($C$5:C15),"000"))</f>
        <v/>
      </c>
      <c r="C15" s="12" t="n"/>
      <c r="D15" s="12" t="n"/>
      <c r="E15" s="37" t="n"/>
      <c r="F15" s="37" t="n"/>
      <c r="G15" s="53">
        <f>IF(OR(E15="",F15=""),"",F15-E15)</f>
        <v/>
      </c>
      <c r="H15" s="37" t="n"/>
      <c r="I15" s="53">
        <f>IF(OR(F15="",H15=""),"",F15-H15)</f>
        <v/>
      </c>
      <c r="J15" s="12" t="n"/>
      <c r="K15" s="12" t="n"/>
    </row>
    <row r="16" ht="22" customHeight="1">
      <c r="B16" s="16">
        <f>IF(C16="","AIR-"&amp;TEXT(COUNTA($C$5:C16),"000"))</f>
        <v/>
      </c>
      <c r="C16" s="14" t="n"/>
      <c r="D16" s="14" t="n"/>
      <c r="E16" s="39" t="n"/>
      <c r="F16" s="39" t="n"/>
      <c r="G16" s="54">
        <f>IF(OR(E16="",F16=""),"",F16-E16)</f>
        <v/>
      </c>
      <c r="H16" s="39" t="n"/>
      <c r="I16" s="54">
        <f>IF(OR(F16="",H16=""),"",F16-H16)</f>
        <v/>
      </c>
      <c r="J16" s="14" t="n"/>
      <c r="K16" s="14" t="n"/>
    </row>
    <row r="17" ht="22" customHeight="1">
      <c r="B17" s="17">
        <f>IF(C17="","AIR-"&amp;TEXT(COUNTA($C$5:C17),"000"))</f>
        <v/>
      </c>
      <c r="C17" s="12" t="n"/>
      <c r="D17" s="12" t="n"/>
      <c r="E17" s="37" t="n"/>
      <c r="F17" s="37" t="n"/>
      <c r="G17" s="53">
        <f>IF(OR(E17="",F17=""),"",F17-E17)</f>
        <v/>
      </c>
      <c r="H17" s="37" t="n"/>
      <c r="I17" s="53">
        <f>IF(OR(F17="",H17=""),"",F17-H17)</f>
        <v/>
      </c>
      <c r="J17" s="12" t="n"/>
      <c r="K17" s="12" t="n"/>
    </row>
    <row r="18" ht="22" customHeight="1">
      <c r="B18" s="16">
        <f>IF(C18="","AIR-"&amp;TEXT(COUNTA($C$5:C18),"000"))</f>
        <v/>
      </c>
      <c r="C18" s="14" t="n"/>
      <c r="D18" s="14" t="n"/>
      <c r="E18" s="39" t="n"/>
      <c r="F18" s="39" t="n"/>
      <c r="G18" s="54">
        <f>IF(OR(E18="",F18=""),"",F18-E18)</f>
        <v/>
      </c>
      <c r="H18" s="39" t="n"/>
      <c r="I18" s="54">
        <f>IF(OR(F18="",H18=""),"",F18-H18)</f>
        <v/>
      </c>
      <c r="J18" s="14" t="n"/>
      <c r="K18" s="14" t="n"/>
    </row>
    <row r="19" ht="22" customHeight="1">
      <c r="B19" s="17">
        <f>IF(C19="","AIR-"&amp;TEXT(COUNTA($C$5:C19),"000"))</f>
        <v/>
      </c>
      <c r="C19" s="12" t="n"/>
      <c r="D19" s="12" t="n"/>
      <c r="E19" s="37" t="n"/>
      <c r="F19" s="37" t="n"/>
      <c r="G19" s="53">
        <f>IF(OR(E19="",F19=""),"",F19-E19)</f>
        <v/>
      </c>
      <c r="H19" s="37" t="n"/>
      <c r="I19" s="53">
        <f>IF(OR(F19="",H19=""),"",F19-H19)</f>
        <v/>
      </c>
      <c r="J19" s="12" t="n"/>
      <c r="K19" s="12" t="n"/>
    </row>
    <row r="20" ht="22" customHeight="1">
      <c r="B20" s="16">
        <f>IF(C20="","AIR-"&amp;TEXT(COUNTA($C$5:C20),"000"))</f>
        <v/>
      </c>
      <c r="C20" s="14" t="n"/>
      <c r="D20" s="14" t="n"/>
      <c r="E20" s="39" t="n"/>
      <c r="F20" s="39" t="n"/>
      <c r="G20" s="54">
        <f>IF(OR(E20="",F20=""),"",F20-E20)</f>
        <v/>
      </c>
      <c r="H20" s="39" t="n"/>
      <c r="I20" s="54">
        <f>IF(OR(F20="",H20=""),"",F20-H20)</f>
        <v/>
      </c>
      <c r="J20" s="14" t="n"/>
      <c r="K20" s="14" t="n"/>
    </row>
    <row r="21" ht="22" customHeight="1">
      <c r="B21" s="17">
        <f>IF(C21="","AIR-"&amp;TEXT(COUNTA($C$5:C21),"000"))</f>
        <v/>
      </c>
      <c r="C21" s="12" t="n"/>
      <c r="D21" s="12" t="n"/>
      <c r="E21" s="37" t="n"/>
      <c r="F21" s="37" t="n"/>
      <c r="G21" s="53">
        <f>IF(OR(E21="",F21=""),"",F21-E21)</f>
        <v/>
      </c>
      <c r="H21" s="37" t="n"/>
      <c r="I21" s="53">
        <f>IF(OR(F21="",H21=""),"",F21-H21)</f>
        <v/>
      </c>
      <c r="J21" s="12" t="n"/>
      <c r="K21" s="12" t="n"/>
    </row>
    <row r="22" ht="22" customHeight="1">
      <c r="B22" s="16">
        <f>IF(C22="","AIR-"&amp;TEXT(COUNTA($C$5:C22),"000"))</f>
        <v/>
      </c>
      <c r="C22" s="14" t="n"/>
      <c r="D22" s="14" t="n"/>
      <c r="E22" s="39" t="n"/>
      <c r="F22" s="39" t="n"/>
      <c r="G22" s="54">
        <f>IF(OR(E22="",F22=""),"",F22-E22)</f>
        <v/>
      </c>
      <c r="H22" s="39" t="n"/>
      <c r="I22" s="54">
        <f>IF(OR(F22="",H22=""),"",F22-H22)</f>
        <v/>
      </c>
      <c r="J22" s="14" t="n"/>
      <c r="K22" s="14" t="n"/>
    </row>
    <row r="23" ht="22" customHeight="1">
      <c r="B23" s="17">
        <f>IF(C23="","AIR-"&amp;TEXT(COUNTA($C$5:C23),"000"))</f>
        <v/>
      </c>
      <c r="C23" s="12" t="n"/>
      <c r="D23" s="12" t="n"/>
      <c r="E23" s="37" t="n"/>
      <c r="F23" s="37" t="n"/>
      <c r="G23" s="53">
        <f>IF(OR(E23="",F23=""),"",F23-E23)</f>
        <v/>
      </c>
      <c r="H23" s="37" t="n"/>
      <c r="I23" s="53">
        <f>IF(OR(F23="",H23=""),"",F23-H23)</f>
        <v/>
      </c>
      <c r="J23" s="12" t="n"/>
      <c r="K23" s="12" t="n"/>
    </row>
    <row r="24" ht="22" customHeight="1">
      <c r="B24" s="16">
        <f>IF(C24="","AIR-"&amp;TEXT(COUNTA($C$5:C24),"000"))</f>
        <v/>
      </c>
      <c r="C24" s="14" t="n"/>
      <c r="D24" s="14" t="n"/>
      <c r="E24" s="39" t="n"/>
      <c r="F24" s="39" t="n"/>
      <c r="G24" s="54">
        <f>IF(OR(E24="",F24=""),"",F24-E24)</f>
        <v/>
      </c>
      <c r="H24" s="39" t="n"/>
      <c r="I24" s="54">
        <f>IF(OR(F24="",H24=""),"",F24-H24)</f>
        <v/>
      </c>
      <c r="J24" s="14" t="n"/>
      <c r="K24" s="14" t="n"/>
    </row>
    <row r="25" ht="22" customHeight="1">
      <c r="B25" s="17">
        <f>IF(C25="","AIR-"&amp;TEXT(COUNTA($C$5:C25),"000"))</f>
        <v/>
      </c>
      <c r="C25" s="12" t="n"/>
      <c r="D25" s="12" t="n"/>
      <c r="E25" s="37" t="n"/>
      <c r="F25" s="37" t="n"/>
      <c r="G25" s="53">
        <f>IF(OR(E25="",F25=""),"",F25-E25)</f>
        <v/>
      </c>
      <c r="H25" s="37" t="n"/>
      <c r="I25" s="53">
        <f>IF(OR(F25="",H25=""),"",F25-H25)</f>
        <v/>
      </c>
      <c r="J25" s="12" t="n"/>
      <c r="K25" s="12" t="n"/>
    </row>
    <row r="26" ht="22" customHeight="1">
      <c r="B26" s="16">
        <f>IF(C26="","AIR-"&amp;TEXT(COUNTA($C$5:C26),"000"))</f>
        <v/>
      </c>
      <c r="C26" s="14" t="n"/>
      <c r="D26" s="14" t="n"/>
      <c r="E26" s="39" t="n"/>
      <c r="F26" s="39" t="n"/>
      <c r="G26" s="54">
        <f>IF(OR(E26="",F26=""),"",F26-E26)</f>
        <v/>
      </c>
      <c r="H26" s="39" t="n"/>
      <c r="I26" s="54">
        <f>IF(OR(F26="",H26=""),"",F26-H26)</f>
        <v/>
      </c>
      <c r="J26" s="14" t="n"/>
      <c r="K26" s="14" t="n"/>
    </row>
    <row r="27" ht="22" customHeight="1">
      <c r="B27" s="17">
        <f>IF(C27="","AIR-"&amp;TEXT(COUNTA($C$5:C27),"000"))</f>
        <v/>
      </c>
      <c r="C27" s="12" t="n"/>
      <c r="D27" s="12" t="n"/>
      <c r="E27" s="37" t="n"/>
      <c r="F27" s="37" t="n"/>
      <c r="G27" s="53">
        <f>IF(OR(E27="",F27=""),"",F27-E27)</f>
        <v/>
      </c>
      <c r="H27" s="37" t="n"/>
      <c r="I27" s="53">
        <f>IF(OR(F27="",H27=""),"",F27-H27)</f>
        <v/>
      </c>
      <c r="J27" s="12" t="n"/>
      <c r="K27" s="12" t="n"/>
    </row>
    <row r="28" ht="22" customHeight="1">
      <c r="B28" s="16">
        <f>IF(C28="","AIR-"&amp;TEXT(COUNTA($C$5:C28),"000"))</f>
        <v/>
      </c>
      <c r="C28" s="14" t="n"/>
      <c r="D28" s="14" t="n"/>
      <c r="E28" s="39" t="n"/>
      <c r="F28" s="39" t="n"/>
      <c r="G28" s="54">
        <f>IF(OR(E28="",F28=""),"",F28-E28)</f>
        <v/>
      </c>
      <c r="H28" s="39" t="n"/>
      <c r="I28" s="54">
        <f>IF(OR(F28="",H28=""),"",F28-H28)</f>
        <v/>
      </c>
      <c r="J28" s="14" t="n"/>
      <c r="K28" s="14" t="n"/>
    </row>
    <row r="29" ht="22" customHeight="1">
      <c r="B29" s="17">
        <f>IF(C29="","AIR-"&amp;TEXT(COUNTA($C$5:C29),"000"))</f>
        <v/>
      </c>
      <c r="C29" s="12" t="n"/>
      <c r="D29" s="12" t="n"/>
      <c r="E29" s="37" t="n"/>
      <c r="F29" s="37" t="n"/>
      <c r="G29" s="53">
        <f>IF(OR(E29="",F29=""),"",F29-E29)</f>
        <v/>
      </c>
      <c r="H29" s="37" t="n"/>
      <c r="I29" s="53">
        <f>IF(OR(F29="",H29=""),"",F29-H29)</f>
        <v/>
      </c>
      <c r="J29" s="12" t="n"/>
      <c r="K29" s="12" t="n"/>
    </row>
    <row r="30" ht="22" customHeight="1">
      <c r="B30" s="16">
        <f>IF(C30="","AIR-"&amp;TEXT(COUNTA($C$5:C30),"000"))</f>
        <v/>
      </c>
      <c r="C30" s="14" t="n"/>
      <c r="D30" s="14" t="n"/>
      <c r="E30" s="39" t="n"/>
      <c r="F30" s="39" t="n"/>
      <c r="G30" s="54">
        <f>IF(OR(E30="",F30=""),"",F30-E30)</f>
        <v/>
      </c>
      <c r="H30" s="39" t="n"/>
      <c r="I30" s="54">
        <f>IF(OR(F30="",H30=""),"",F30-H30)</f>
        <v/>
      </c>
      <c r="J30" s="14" t="n"/>
      <c r="K30" s="14" t="n"/>
    </row>
    <row r="31" ht="22" customHeight="1">
      <c r="B31" s="17">
        <f>IF(C31="","AIR-"&amp;TEXT(COUNTA($C$5:C31),"000"))</f>
        <v/>
      </c>
      <c r="C31" s="12" t="n"/>
      <c r="D31" s="12" t="n"/>
      <c r="E31" s="37" t="n"/>
      <c r="F31" s="37" t="n"/>
      <c r="G31" s="53">
        <f>IF(OR(E31="",F31=""),"",F31-E31)</f>
        <v/>
      </c>
      <c r="H31" s="37" t="n"/>
      <c r="I31" s="53">
        <f>IF(OR(F31="",H31=""),"",F31-H31)</f>
        <v/>
      </c>
      <c r="J31" s="12" t="n"/>
      <c r="K31" s="12" t="n"/>
    </row>
    <row r="32" ht="22" customHeight="1">
      <c r="B32" s="16">
        <f>IF(C32="","AIR-"&amp;TEXT(COUNTA($C$5:C32),"000"))</f>
        <v/>
      </c>
      <c r="C32" s="14" t="n"/>
      <c r="D32" s="14" t="n"/>
      <c r="E32" s="39" t="n"/>
      <c r="F32" s="39" t="n"/>
      <c r="G32" s="54">
        <f>IF(OR(E32="",F32=""),"",F32-E32)</f>
        <v/>
      </c>
      <c r="H32" s="39" t="n"/>
      <c r="I32" s="54">
        <f>IF(OR(F32="",H32=""),"",F32-H32)</f>
        <v/>
      </c>
      <c r="J32" s="14" t="n"/>
      <c r="K32" s="14" t="n"/>
    </row>
    <row r="33" ht="22" customHeight="1">
      <c r="B33" s="17">
        <f>IF(C33="","AIR-"&amp;TEXT(COUNTA($C$5:C33),"000"))</f>
        <v/>
      </c>
      <c r="C33" s="12" t="n"/>
      <c r="D33" s="12" t="n"/>
      <c r="E33" s="37" t="n"/>
      <c r="F33" s="37" t="n"/>
      <c r="G33" s="53">
        <f>IF(OR(E33="",F33=""),"",F33-E33)</f>
        <v/>
      </c>
      <c r="H33" s="37" t="n"/>
      <c r="I33" s="53">
        <f>IF(OR(F33="",H33=""),"",F33-H33)</f>
        <v/>
      </c>
      <c r="J33" s="12" t="n"/>
      <c r="K33" s="12" t="n"/>
    </row>
    <row r="34" ht="22" customHeight="1">
      <c r="B34" s="16">
        <f>IF(C34="","AIR-"&amp;TEXT(COUNTA($C$5:C34),"000"))</f>
        <v/>
      </c>
      <c r="C34" s="14" t="n"/>
      <c r="D34" s="14" t="n"/>
      <c r="E34" s="39" t="n"/>
      <c r="F34" s="39" t="n"/>
      <c r="G34" s="54">
        <f>IF(OR(E34="",F34=""),"",F34-E34)</f>
        <v/>
      </c>
      <c r="H34" s="39" t="n"/>
      <c r="I34" s="54">
        <f>IF(OR(F34="",H34=""),"",F34-H34)</f>
        <v/>
      </c>
      <c r="J34" s="14" t="n"/>
      <c r="K34" s="14" t="n"/>
    </row>
    <row r="35" ht="22" customHeight="1">
      <c r="B35" s="17">
        <f>IF(C35="","AIR-"&amp;TEXT(COUNTA($C$5:C35),"000"))</f>
        <v/>
      </c>
      <c r="C35" s="12" t="n"/>
      <c r="D35" s="12" t="n"/>
      <c r="E35" s="37" t="n"/>
      <c r="F35" s="37" t="n"/>
      <c r="G35" s="53">
        <f>IF(OR(E35="",F35=""),"",F35-E35)</f>
        <v/>
      </c>
      <c r="H35" s="37" t="n"/>
      <c r="I35" s="53">
        <f>IF(OR(F35="",H35=""),"",F35-H35)</f>
        <v/>
      </c>
      <c r="J35" s="12" t="n"/>
      <c r="K35" s="12" t="n"/>
    </row>
    <row r="36" ht="22" customHeight="1">
      <c r="B36" s="16">
        <f>IF(C36="","AIR-"&amp;TEXT(COUNTA($C$5:C36),"000"))</f>
        <v/>
      </c>
      <c r="C36" s="14" t="n"/>
      <c r="D36" s="14" t="n"/>
      <c r="E36" s="39" t="n"/>
      <c r="F36" s="39" t="n"/>
      <c r="G36" s="54">
        <f>IF(OR(E36="",F36=""),"",F36-E36)</f>
        <v/>
      </c>
      <c r="H36" s="39" t="n"/>
      <c r="I36" s="54">
        <f>IF(OR(F36="",H36=""),"",F36-H36)</f>
        <v/>
      </c>
      <c r="J36" s="14" t="n"/>
      <c r="K36" s="14" t="n"/>
    </row>
    <row r="37" ht="22" customHeight="1">
      <c r="B37" s="17">
        <f>IF(C37="","AIR-"&amp;TEXT(COUNTA($C$5:C37),"000"))</f>
        <v/>
      </c>
      <c r="C37" s="12" t="n"/>
      <c r="D37" s="12" t="n"/>
      <c r="E37" s="37" t="n"/>
      <c r="F37" s="37" t="n"/>
      <c r="G37" s="53">
        <f>IF(OR(E37="",F37=""),"",F37-E37)</f>
        <v/>
      </c>
      <c r="H37" s="37" t="n"/>
      <c r="I37" s="53">
        <f>IF(OR(F37="",H37=""),"",F37-H37)</f>
        <v/>
      </c>
      <c r="J37" s="12" t="n"/>
      <c r="K37" s="12" t="n"/>
    </row>
    <row r="38" ht="22" customHeight="1">
      <c r="B38" s="16">
        <f>IF(C38="","AIR-"&amp;TEXT(COUNTA($C$5:C38),"000"))</f>
        <v/>
      </c>
      <c r="C38" s="14" t="n"/>
      <c r="D38" s="14" t="n"/>
      <c r="E38" s="39" t="n"/>
      <c r="F38" s="39" t="n"/>
      <c r="G38" s="54">
        <f>IF(OR(E38="",F38=""),"",F38-E38)</f>
        <v/>
      </c>
      <c r="H38" s="39" t="n"/>
      <c r="I38" s="54">
        <f>IF(OR(F38="",H38=""),"",F38-H38)</f>
        <v/>
      </c>
      <c r="J38" s="14" t="n"/>
      <c r="K38" s="14" t="n"/>
    </row>
    <row r="39" ht="22" customHeight="1">
      <c r="B39" s="17">
        <f>IF(C39="","AIR-"&amp;TEXT(COUNTA($C$5:C39),"000"))</f>
        <v/>
      </c>
      <c r="C39" s="12" t="n"/>
      <c r="D39" s="12" t="n"/>
      <c r="E39" s="37" t="n"/>
      <c r="F39" s="37" t="n"/>
      <c r="G39" s="53">
        <f>IF(OR(E39="",F39=""),"",F39-E39)</f>
        <v/>
      </c>
      <c r="H39" s="37" t="n"/>
      <c r="I39" s="53">
        <f>IF(OR(F39="",H39=""),"",F39-H39)</f>
        <v/>
      </c>
      <c r="J39" s="12" t="n"/>
      <c r="K39" s="12" t="n"/>
    </row>
    <row r="40" ht="22" customHeight="1">
      <c r="B40" s="16">
        <f>IF(C40="","AIR-"&amp;TEXT(COUNTA($C$5:C40),"000"))</f>
        <v/>
      </c>
      <c r="C40" s="14" t="n"/>
      <c r="D40" s="14" t="n"/>
      <c r="E40" s="39" t="n"/>
      <c r="F40" s="39" t="n"/>
      <c r="G40" s="54">
        <f>IF(OR(E40="",F40=""),"",F40-E40)</f>
        <v/>
      </c>
      <c r="H40" s="39" t="n"/>
      <c r="I40" s="54">
        <f>IF(OR(F40="",H40=""),"",F40-H40)</f>
        <v/>
      </c>
      <c r="J40" s="14" t="n"/>
      <c r="K40" s="14" t="n"/>
    </row>
    <row r="41" ht="22" customHeight="1">
      <c r="B41" s="17">
        <f>IF(C41="","AIR-"&amp;TEXT(COUNTA($C$5:C41),"000"))</f>
        <v/>
      </c>
      <c r="C41" s="12" t="n"/>
      <c r="D41" s="12" t="n"/>
      <c r="E41" s="37" t="n"/>
      <c r="F41" s="37" t="n"/>
      <c r="G41" s="53">
        <f>IF(OR(E41="",F41=""),"",F41-E41)</f>
        <v/>
      </c>
      <c r="H41" s="37" t="n"/>
      <c r="I41" s="53">
        <f>IF(OR(F41="",H41=""),"",F41-H41)</f>
        <v/>
      </c>
      <c r="J41" s="12" t="n"/>
      <c r="K41" s="12" t="n"/>
    </row>
    <row r="42" ht="22" customHeight="1">
      <c r="B42" s="16">
        <f>IF(C42="","AIR-"&amp;TEXT(COUNTA($C$5:C42),"000"))</f>
        <v/>
      </c>
      <c r="C42" s="14" t="n"/>
      <c r="D42" s="14" t="n"/>
      <c r="E42" s="39" t="n"/>
      <c r="F42" s="39" t="n"/>
      <c r="G42" s="54">
        <f>IF(OR(E42="",F42=""),"",F42-E42)</f>
        <v/>
      </c>
      <c r="H42" s="39" t="n"/>
      <c r="I42" s="54">
        <f>IF(OR(F42="",H42=""),"",F42-H42)</f>
        <v/>
      </c>
      <c r="J42" s="14" t="n"/>
      <c r="K42" s="14" t="n"/>
    </row>
    <row r="43" ht="22" customHeight="1">
      <c r="B43" s="17">
        <f>IF(C43="","AIR-"&amp;TEXT(COUNTA($C$5:C43),"000"))</f>
        <v/>
      </c>
      <c r="C43" s="12" t="n"/>
      <c r="D43" s="12" t="n"/>
      <c r="E43" s="37" t="n"/>
      <c r="F43" s="37" t="n"/>
      <c r="G43" s="53">
        <f>IF(OR(E43="",F43=""),"",F43-E43)</f>
        <v/>
      </c>
      <c r="H43" s="37" t="n"/>
      <c r="I43" s="53">
        <f>IF(OR(F43="",H43=""),"",F43-H43)</f>
        <v/>
      </c>
      <c r="J43" s="12" t="n"/>
      <c r="K43" s="12" t="n"/>
    </row>
    <row r="44" ht="22" customHeight="1">
      <c r="B44" s="16">
        <f>IF(C44="","AIR-"&amp;TEXT(COUNTA($C$5:C44),"000"))</f>
        <v/>
      </c>
      <c r="C44" s="14" t="n"/>
      <c r="D44" s="14" t="n"/>
      <c r="E44" s="39" t="n"/>
      <c r="F44" s="39" t="n"/>
      <c r="G44" s="54">
        <f>IF(OR(E44="",F44=""),"",F44-E44)</f>
        <v/>
      </c>
      <c r="H44" s="39" t="n"/>
      <c r="I44" s="54">
        <f>IF(OR(F44="",H44=""),"",F44-H44)</f>
        <v/>
      </c>
      <c r="J44" s="14" t="n"/>
      <c r="K44" s="14" t="n"/>
    </row>
    <row r="45" ht="22" customHeight="1">
      <c r="B45" s="17">
        <f>IF(C45="","AIR-"&amp;TEXT(COUNTA($C$5:C45),"000"))</f>
        <v/>
      </c>
      <c r="C45" s="12" t="n"/>
      <c r="D45" s="12" t="n"/>
      <c r="E45" s="37" t="n"/>
      <c r="F45" s="37" t="n"/>
      <c r="G45" s="53">
        <f>IF(OR(E45="",F45=""),"",F45-E45)</f>
        <v/>
      </c>
      <c r="H45" s="37" t="n"/>
      <c r="I45" s="53">
        <f>IF(OR(F45="",H45=""),"",F45-H45)</f>
        <v/>
      </c>
      <c r="J45" s="12" t="n"/>
      <c r="K45" s="12" t="n"/>
    </row>
    <row r="46" ht="22" customHeight="1">
      <c r="B46" s="16">
        <f>IF(C46="","AIR-"&amp;TEXT(COUNTA($C$5:C46),"000"))</f>
        <v/>
      </c>
      <c r="C46" s="14" t="n"/>
      <c r="D46" s="14" t="n"/>
      <c r="E46" s="39" t="n"/>
      <c r="F46" s="39" t="n"/>
      <c r="G46" s="54">
        <f>IF(OR(E46="",F46=""),"",F46-E46)</f>
        <v/>
      </c>
      <c r="H46" s="39" t="n"/>
      <c r="I46" s="54">
        <f>IF(OR(F46="",H46=""),"",F46-H46)</f>
        <v/>
      </c>
      <c r="J46" s="14" t="n"/>
      <c r="K46" s="14" t="n"/>
    </row>
    <row r="47" ht="22" customHeight="1">
      <c r="B47" s="17">
        <f>IF(C47="","AIR-"&amp;TEXT(COUNTA($C$5:C47),"000"))</f>
        <v/>
      </c>
      <c r="C47" s="12" t="n"/>
      <c r="D47" s="12" t="n"/>
      <c r="E47" s="37" t="n"/>
      <c r="F47" s="37" t="n"/>
      <c r="G47" s="53">
        <f>IF(OR(E47="",F47=""),"",F47-E47)</f>
        <v/>
      </c>
      <c r="H47" s="37" t="n"/>
      <c r="I47" s="53">
        <f>IF(OR(F47="",H47=""),"",F47-H47)</f>
        <v/>
      </c>
      <c r="J47" s="12" t="n"/>
      <c r="K47" s="12" t="n"/>
    </row>
    <row r="48" ht="22" customHeight="1">
      <c r="B48" s="16">
        <f>IF(C48="","AIR-"&amp;TEXT(COUNTA($C$5:C48),"000"))</f>
        <v/>
      </c>
      <c r="C48" s="14" t="n"/>
      <c r="D48" s="14" t="n"/>
      <c r="E48" s="39" t="n"/>
      <c r="F48" s="39" t="n"/>
      <c r="G48" s="54">
        <f>IF(OR(E48="",F48=""),"",F48-E48)</f>
        <v/>
      </c>
      <c r="H48" s="39" t="n"/>
      <c r="I48" s="54">
        <f>IF(OR(F48="",H48=""),"",F48-H48)</f>
        <v/>
      </c>
      <c r="J48" s="14" t="n"/>
      <c r="K48" s="14" t="n"/>
    </row>
    <row r="49" ht="22" customHeight="1">
      <c r="B49" s="17">
        <f>IF(C49="","AIR-"&amp;TEXT(COUNTA($C$5:C49),"000"))</f>
        <v/>
      </c>
      <c r="C49" s="12" t="n"/>
      <c r="D49" s="12" t="n"/>
      <c r="E49" s="37" t="n"/>
      <c r="F49" s="37" t="n"/>
      <c r="G49" s="53">
        <f>IF(OR(E49="",F49=""),"",F49-E49)</f>
        <v/>
      </c>
      <c r="H49" s="37" t="n"/>
      <c r="I49" s="53">
        <f>IF(OR(F49="",H49=""),"",F49-H49)</f>
        <v/>
      </c>
      <c r="J49" s="12" t="n"/>
      <c r="K49" s="12" t="n"/>
    </row>
    <row r="50" ht="22" customHeight="1">
      <c r="B50" s="16">
        <f>IF(C50="","AIR-"&amp;TEXT(COUNTA($C$5:C50),"000"))</f>
        <v/>
      </c>
      <c r="C50" s="14" t="n"/>
      <c r="D50" s="14" t="n"/>
      <c r="E50" s="39" t="n"/>
      <c r="F50" s="39" t="n"/>
      <c r="G50" s="54">
        <f>IF(OR(E50="",F50=""),"",F50-E50)</f>
        <v/>
      </c>
      <c r="H50" s="39" t="n"/>
      <c r="I50" s="54">
        <f>IF(OR(F50="",H50=""),"",F50-H50)</f>
        <v/>
      </c>
      <c r="J50" s="14" t="n"/>
      <c r="K50" s="14" t="n"/>
    </row>
    <row r="51" ht="22" customHeight="1">
      <c r="B51" s="17">
        <f>IF(C51="","AIR-"&amp;TEXT(COUNTA($C$5:C51),"000"))</f>
        <v/>
      </c>
      <c r="C51" s="12" t="n"/>
      <c r="D51" s="12" t="n"/>
      <c r="E51" s="37" t="n"/>
      <c r="F51" s="37" t="n"/>
      <c r="G51" s="53">
        <f>IF(OR(E51="",F51=""),"",F51-E51)</f>
        <v/>
      </c>
      <c r="H51" s="37" t="n"/>
      <c r="I51" s="53">
        <f>IF(OR(F51="",H51=""),"",F51-H51)</f>
        <v/>
      </c>
      <c r="J51" s="12" t="n"/>
      <c r="K51" s="12" t="n"/>
    </row>
    <row r="52" ht="22" customHeight="1">
      <c r="B52" s="16">
        <f>IF(C52="","AIR-"&amp;TEXT(COUNTA($C$5:C52),"000"))</f>
        <v/>
      </c>
      <c r="C52" s="14" t="n"/>
      <c r="D52" s="14" t="n"/>
      <c r="E52" s="39" t="n"/>
      <c r="F52" s="39" t="n"/>
      <c r="G52" s="54">
        <f>IF(OR(E52="",F52=""),"",F52-E52)</f>
        <v/>
      </c>
      <c r="H52" s="39" t="n"/>
      <c r="I52" s="54">
        <f>IF(OR(F52="",H52=""),"",F52-H52)</f>
        <v/>
      </c>
      <c r="J52" s="14" t="n"/>
      <c r="K52" s="14" t="n"/>
    </row>
    <row r="53" ht="22" customHeight="1">
      <c r="B53" s="17">
        <f>IF(C53="","AIR-"&amp;TEXT(COUNTA($C$5:C53),"000"))</f>
        <v/>
      </c>
      <c r="C53" s="12" t="n"/>
      <c r="D53" s="12" t="n"/>
      <c r="E53" s="37" t="n"/>
      <c r="F53" s="37" t="n"/>
      <c r="G53" s="53">
        <f>IF(OR(E53="",F53=""),"",F53-E53)</f>
        <v/>
      </c>
      <c r="H53" s="37" t="n"/>
      <c r="I53" s="53">
        <f>IF(OR(F53="",H53=""),"",F53-H53)</f>
        <v/>
      </c>
      <c r="J53" s="12" t="n"/>
      <c r="K53" s="12" t="n"/>
    </row>
    <row r="54" ht="22" customHeight="1">
      <c r="B54" s="16">
        <f>IF(C54="","AIR-"&amp;TEXT(COUNTA($C$5:C54),"000"))</f>
        <v/>
      </c>
      <c r="C54" s="14" t="n"/>
      <c r="D54" s="14" t="n"/>
      <c r="E54" s="39" t="n"/>
      <c r="F54" s="39" t="n"/>
      <c r="G54" s="54">
        <f>IF(OR(E54="",F54=""),"",F54-E54)</f>
        <v/>
      </c>
      <c r="H54" s="39" t="n"/>
      <c r="I54" s="54">
        <f>IF(OR(F54="",H54=""),"",F54-H54)</f>
        <v/>
      </c>
      <c r="J54" s="14" t="n"/>
      <c r="K54" s="14" t="n"/>
    </row>
    <row r="55" ht="22" customHeight="1">
      <c r="B55" s="17">
        <f>IF(C55="","AIR-"&amp;TEXT(COUNTA($C$5:C55),"000"))</f>
        <v/>
      </c>
      <c r="C55" s="12" t="n"/>
      <c r="D55" s="12" t="n"/>
      <c r="E55" s="37" t="n"/>
      <c r="F55" s="37" t="n"/>
      <c r="G55" s="53">
        <f>IF(OR(E55="",F55=""),"",F55-E55)</f>
        <v/>
      </c>
      <c r="H55" s="37" t="n"/>
      <c r="I55" s="53">
        <f>IF(OR(F55="",H55=""),"",F55-H55)</f>
        <v/>
      </c>
      <c r="J55" s="12" t="n"/>
      <c r="K55" s="12" t="n"/>
    </row>
    <row r="56" ht="22" customHeight="1">
      <c r="B56" s="16">
        <f>IF(C56="","AIR-"&amp;TEXT(COUNTA($C$5:C56),"000"))</f>
        <v/>
      </c>
      <c r="C56" s="14" t="n"/>
      <c r="D56" s="14" t="n"/>
      <c r="E56" s="39" t="n"/>
      <c r="F56" s="39" t="n"/>
      <c r="G56" s="54">
        <f>IF(OR(E56="",F56=""),"",F56-E56)</f>
        <v/>
      </c>
      <c r="H56" s="39" t="n"/>
      <c r="I56" s="54">
        <f>IF(OR(F56="",H56=""),"",F56-H56)</f>
        <v/>
      </c>
      <c r="J56" s="14" t="n"/>
      <c r="K56" s="14" t="n"/>
    </row>
    <row r="57" ht="22" customHeight="1">
      <c r="B57" s="17">
        <f>IF(C57="","AIR-"&amp;TEXT(COUNTA($C$5:C57),"000"))</f>
        <v/>
      </c>
      <c r="C57" s="12" t="n"/>
      <c r="D57" s="12" t="n"/>
      <c r="E57" s="37" t="n"/>
      <c r="F57" s="37" t="n"/>
      <c r="G57" s="53">
        <f>IF(OR(E57="",F57=""),"",F57-E57)</f>
        <v/>
      </c>
      <c r="H57" s="37" t="n"/>
      <c r="I57" s="53">
        <f>IF(OR(F57="",H57=""),"",F57-H57)</f>
        <v/>
      </c>
      <c r="J57" s="12" t="n"/>
      <c r="K57" s="12" t="n"/>
    </row>
    <row r="58" ht="22" customHeight="1">
      <c r="B58" s="16">
        <f>IF(C58="","AIR-"&amp;TEXT(COUNTA($C$5:C58),"000"))</f>
        <v/>
      </c>
      <c r="C58" s="14" t="n"/>
      <c r="D58" s="14" t="n"/>
      <c r="E58" s="39" t="n"/>
      <c r="F58" s="39" t="n"/>
      <c r="G58" s="54">
        <f>IF(OR(E58="",F58=""),"",F58-E58)</f>
        <v/>
      </c>
      <c r="H58" s="39" t="n"/>
      <c r="I58" s="54">
        <f>IF(OR(F58="",H58=""),"",F58-H58)</f>
        <v/>
      </c>
      <c r="J58" s="14" t="n"/>
      <c r="K58" s="14" t="n"/>
    </row>
    <row r="59" ht="22" customHeight="1">
      <c r="B59" s="17">
        <f>IF(C59="","AIR-"&amp;TEXT(COUNTA($C$5:C59),"000"))</f>
        <v/>
      </c>
      <c r="C59" s="12" t="n"/>
      <c r="D59" s="12" t="n"/>
      <c r="E59" s="37" t="n"/>
      <c r="F59" s="37" t="n"/>
      <c r="G59" s="53">
        <f>IF(OR(E59="",F59=""),"",F59-E59)</f>
        <v/>
      </c>
      <c r="H59" s="37" t="n"/>
      <c r="I59" s="53">
        <f>IF(OR(F59="",H59=""),"",F59-H59)</f>
        <v/>
      </c>
      <c r="J59" s="12" t="n"/>
      <c r="K59" s="12" t="n"/>
    </row>
    <row r="60" ht="22" customHeight="1">
      <c r="B60" s="16">
        <f>IF(C60="","AIR-"&amp;TEXT(COUNTA($C$5:C60),"000"))</f>
        <v/>
      </c>
      <c r="C60" s="14" t="n"/>
      <c r="D60" s="14" t="n"/>
      <c r="E60" s="39" t="n"/>
      <c r="F60" s="39" t="n"/>
      <c r="G60" s="54">
        <f>IF(OR(E60="",F60=""),"",F60-E60)</f>
        <v/>
      </c>
      <c r="H60" s="39" t="n"/>
      <c r="I60" s="54">
        <f>IF(OR(F60="",H60=""),"",F60-H60)</f>
        <v/>
      </c>
      <c r="J60" s="14" t="n"/>
      <c r="K60" s="14" t="n"/>
    </row>
    <row r="61" ht="22" customHeight="1">
      <c r="B61" s="17">
        <f>IF(C61="","AIR-"&amp;TEXT(COUNTA($C$5:C61),"000"))</f>
        <v/>
      </c>
      <c r="C61" s="12" t="n"/>
      <c r="D61" s="12" t="n"/>
      <c r="E61" s="37" t="n"/>
      <c r="F61" s="37" t="n"/>
      <c r="G61" s="53">
        <f>IF(OR(E61="",F61=""),"",F61-E61)</f>
        <v/>
      </c>
      <c r="H61" s="37" t="n"/>
      <c r="I61" s="53">
        <f>IF(OR(F61="",H61=""),"",F61-H61)</f>
        <v/>
      </c>
      <c r="J61" s="12" t="n"/>
      <c r="K61" s="12" t="n"/>
    </row>
    <row r="62" ht="22" customHeight="1">
      <c r="B62" s="16">
        <f>IF(C62="","AIR-"&amp;TEXT(COUNTA($C$5:C62),"000"))</f>
        <v/>
      </c>
      <c r="C62" s="14" t="n"/>
      <c r="D62" s="14" t="n"/>
      <c r="E62" s="39" t="n"/>
      <c r="F62" s="39" t="n"/>
      <c r="G62" s="54">
        <f>IF(OR(E62="",F62=""),"",F62-E62)</f>
        <v/>
      </c>
      <c r="H62" s="39" t="n"/>
      <c r="I62" s="54">
        <f>IF(OR(F62="",H62=""),"",F62-H62)</f>
        <v/>
      </c>
      <c r="J62" s="14" t="n"/>
      <c r="K62" s="14" t="n"/>
    </row>
    <row r="63" ht="22" customHeight="1">
      <c r="B63" s="17">
        <f>IF(C63="","AIR-"&amp;TEXT(COUNTA($C$5:C63),"000"))</f>
        <v/>
      </c>
      <c r="C63" s="12" t="n"/>
      <c r="D63" s="12" t="n"/>
      <c r="E63" s="37" t="n"/>
      <c r="F63" s="37" t="n"/>
      <c r="G63" s="53">
        <f>IF(OR(E63="",F63=""),"",F63-E63)</f>
        <v/>
      </c>
      <c r="H63" s="37" t="n"/>
      <c r="I63" s="53">
        <f>IF(OR(F63="",H63=""),"",F63-H63)</f>
        <v/>
      </c>
      <c r="J63" s="12" t="n"/>
      <c r="K63" s="12" t="n"/>
    </row>
    <row r="64" ht="22" customHeight="1">
      <c r="B64" s="16">
        <f>IF(C64="","AIR-"&amp;TEXT(COUNTA($C$5:C64),"000"))</f>
        <v/>
      </c>
      <c r="C64" s="14" t="n"/>
      <c r="D64" s="14" t="n"/>
      <c r="E64" s="39" t="n"/>
      <c r="F64" s="39" t="n"/>
      <c r="G64" s="54">
        <f>IF(OR(E64="",F64=""),"",F64-E64)</f>
        <v/>
      </c>
      <c r="H64" s="39" t="n"/>
      <c r="I64" s="54">
        <f>IF(OR(F64="",H64=""),"",F64-H64)</f>
        <v/>
      </c>
      <c r="J64" s="14" t="n"/>
      <c r="K64" s="14" t="n"/>
    </row>
    <row r="65" ht="22" customHeight="1">
      <c r="B65" s="17">
        <f>IF(C65="","AIR-"&amp;TEXT(COUNTA($C$5:C65),"000"))</f>
        <v/>
      </c>
      <c r="C65" s="12" t="n"/>
      <c r="D65" s="12" t="n"/>
      <c r="E65" s="37" t="n"/>
      <c r="F65" s="37" t="n"/>
      <c r="G65" s="53">
        <f>IF(OR(E65="",F65=""),"",F65-E65)</f>
        <v/>
      </c>
      <c r="H65" s="37" t="n"/>
      <c r="I65" s="53">
        <f>IF(OR(F65="",H65=""),"",F65-H65)</f>
        <v/>
      </c>
      <c r="J65" s="12" t="n"/>
      <c r="K65" s="12" t="n"/>
    </row>
    <row r="66" ht="22" customHeight="1">
      <c r="B66" s="16">
        <f>IF(C66="","AIR-"&amp;TEXT(COUNTA($C$5:C66),"000"))</f>
        <v/>
      </c>
      <c r="C66" s="14" t="n"/>
      <c r="D66" s="14" t="n"/>
      <c r="E66" s="39" t="n"/>
      <c r="F66" s="39" t="n"/>
      <c r="G66" s="54">
        <f>IF(OR(E66="",F66=""),"",F66-E66)</f>
        <v/>
      </c>
      <c r="H66" s="39" t="n"/>
      <c r="I66" s="54">
        <f>IF(OR(F66="",H66=""),"",F66-H66)</f>
        <v/>
      </c>
      <c r="J66" s="14" t="n"/>
      <c r="K66" s="14" t="n"/>
    </row>
    <row r="67" ht="22" customHeight="1">
      <c r="B67" s="17">
        <f>IF(C67="","AIR-"&amp;TEXT(COUNTA($C$5:C67),"000"))</f>
        <v/>
      </c>
      <c r="C67" s="12" t="n"/>
      <c r="D67" s="12" t="n"/>
      <c r="E67" s="37" t="n"/>
      <c r="F67" s="37" t="n"/>
      <c r="G67" s="53">
        <f>IF(OR(E67="",F67=""),"",F67-E67)</f>
        <v/>
      </c>
      <c r="H67" s="37" t="n"/>
      <c r="I67" s="53">
        <f>IF(OR(F67="",H67=""),"",F67-H67)</f>
        <v/>
      </c>
      <c r="J67" s="12" t="n"/>
      <c r="K67" s="12" t="n"/>
    </row>
    <row r="68" ht="22" customHeight="1">
      <c r="B68" s="16">
        <f>IF(C68="","AIR-"&amp;TEXT(COUNTA($C$5:C68),"000"))</f>
        <v/>
      </c>
      <c r="C68" s="14" t="n"/>
      <c r="D68" s="14" t="n"/>
      <c r="E68" s="39" t="n"/>
      <c r="F68" s="39" t="n"/>
      <c r="G68" s="54">
        <f>IF(OR(E68="",F68=""),"",F68-E68)</f>
        <v/>
      </c>
      <c r="H68" s="39" t="n"/>
      <c r="I68" s="54">
        <f>IF(OR(F68="",H68=""),"",F68-H68)</f>
        <v/>
      </c>
      <c r="J68" s="14" t="n"/>
      <c r="K68" s="14" t="n"/>
    </row>
    <row r="69" ht="22" customHeight="1">
      <c r="B69" s="17">
        <f>IF(C69="","AIR-"&amp;TEXT(COUNTA($C$5:C69),"000"))</f>
        <v/>
      </c>
      <c r="C69" s="12" t="n"/>
      <c r="D69" s="12" t="n"/>
      <c r="E69" s="37" t="n"/>
      <c r="F69" s="37" t="n"/>
      <c r="G69" s="53">
        <f>IF(OR(E69="",F69=""),"",F69-E69)</f>
        <v/>
      </c>
      <c r="H69" s="37" t="n"/>
      <c r="I69" s="53">
        <f>IF(OR(F69="",H69=""),"",F69-H69)</f>
        <v/>
      </c>
      <c r="J69" s="12" t="n"/>
      <c r="K69" s="12" t="n"/>
    </row>
    <row r="70" ht="22" customHeight="1">
      <c r="B70" s="16">
        <f>IF(C70="","AIR-"&amp;TEXT(COUNTA($C$5:C70),"000"))</f>
        <v/>
      </c>
      <c r="C70" s="14" t="n"/>
      <c r="D70" s="14" t="n"/>
      <c r="E70" s="39" t="n"/>
      <c r="F70" s="39" t="n"/>
      <c r="G70" s="54">
        <f>IF(OR(E70="",F70=""),"",F70-E70)</f>
        <v/>
      </c>
      <c r="H70" s="39" t="n"/>
      <c r="I70" s="54">
        <f>IF(OR(F70="",H70=""),"",F70-H70)</f>
        <v/>
      </c>
      <c r="J70" s="14" t="n"/>
      <c r="K70" s="14" t="n"/>
    </row>
    <row r="71" ht="22" customHeight="1">
      <c r="B71" s="17">
        <f>IF(C71="","AIR-"&amp;TEXT(COUNTA($C$5:C71),"000"))</f>
        <v/>
      </c>
      <c r="C71" s="12" t="n"/>
      <c r="D71" s="12" t="n"/>
      <c r="E71" s="37" t="n"/>
      <c r="F71" s="37" t="n"/>
      <c r="G71" s="53">
        <f>IF(OR(E71="",F71=""),"",F71-E71)</f>
        <v/>
      </c>
      <c r="H71" s="37" t="n"/>
      <c r="I71" s="53">
        <f>IF(OR(F71="",H71=""),"",F71-H71)</f>
        <v/>
      </c>
      <c r="J71" s="12" t="n"/>
      <c r="K71" s="12" t="n"/>
    </row>
    <row r="72" ht="22" customHeight="1">
      <c r="B72" s="16">
        <f>IF(C72="","AIR-"&amp;TEXT(COUNTA($C$5:C72),"000"))</f>
        <v/>
      </c>
      <c r="C72" s="14" t="n"/>
      <c r="D72" s="14" t="n"/>
      <c r="E72" s="39" t="n"/>
      <c r="F72" s="39" t="n"/>
      <c r="G72" s="54">
        <f>IF(OR(E72="",F72=""),"",F72-E72)</f>
        <v/>
      </c>
      <c r="H72" s="39" t="n"/>
      <c r="I72" s="54">
        <f>IF(OR(F72="",H72=""),"",F72-H72)</f>
        <v/>
      </c>
      <c r="J72" s="14" t="n"/>
      <c r="K72" s="14" t="n"/>
    </row>
    <row r="73" ht="22" customHeight="1">
      <c r="B73" s="17">
        <f>IF(C73="","AIR-"&amp;TEXT(COUNTA($C$5:C73),"000"))</f>
        <v/>
      </c>
      <c r="C73" s="12" t="n"/>
      <c r="D73" s="12" t="n"/>
      <c r="E73" s="37" t="n"/>
      <c r="F73" s="37" t="n"/>
      <c r="G73" s="53">
        <f>IF(OR(E73="",F73=""),"",F73-E73)</f>
        <v/>
      </c>
      <c r="H73" s="37" t="n"/>
      <c r="I73" s="53">
        <f>IF(OR(F73="",H73=""),"",F73-H73)</f>
        <v/>
      </c>
      <c r="J73" s="12" t="n"/>
      <c r="K73" s="12" t="n"/>
    </row>
    <row r="74" ht="22" customHeight="1">
      <c r="B74" s="16">
        <f>IF(C74="","AIR-"&amp;TEXT(COUNTA($C$5:C74),"000"))</f>
        <v/>
      </c>
      <c r="C74" s="14" t="n"/>
      <c r="D74" s="14" t="n"/>
      <c r="E74" s="39" t="n"/>
      <c r="F74" s="39" t="n"/>
      <c r="G74" s="54">
        <f>IF(OR(E74="",F74=""),"",F74-E74)</f>
        <v/>
      </c>
      <c r="H74" s="39" t="n"/>
      <c r="I74" s="54">
        <f>IF(OR(F74="",H74=""),"",F74-H74)</f>
        <v/>
      </c>
      <c r="J74" s="14" t="n"/>
      <c r="K74" s="14" t="n"/>
    </row>
    <row r="75" ht="22" customHeight="1">
      <c r="B75" s="17">
        <f>IF(C75="","AIR-"&amp;TEXT(COUNTA($C$5:C75),"000"))</f>
        <v/>
      </c>
      <c r="C75" s="12" t="n"/>
      <c r="D75" s="12" t="n"/>
      <c r="E75" s="37" t="n"/>
      <c r="F75" s="37" t="n"/>
      <c r="G75" s="53">
        <f>IF(OR(E75="",F75=""),"",F75-E75)</f>
        <v/>
      </c>
      <c r="H75" s="37" t="n"/>
      <c r="I75" s="53">
        <f>IF(OR(F75="",H75=""),"",F75-H75)</f>
        <v/>
      </c>
      <c r="J75" s="12" t="n"/>
      <c r="K75" s="12" t="n"/>
    </row>
    <row r="76" ht="22" customHeight="1">
      <c r="B76" s="16">
        <f>IF(C76="","AIR-"&amp;TEXT(COUNTA($C$5:C76),"000"))</f>
        <v/>
      </c>
      <c r="C76" s="14" t="n"/>
      <c r="D76" s="14" t="n"/>
      <c r="E76" s="39" t="n"/>
      <c r="F76" s="39" t="n"/>
      <c r="G76" s="54">
        <f>IF(OR(E76="",F76=""),"",F76-E76)</f>
        <v/>
      </c>
      <c r="H76" s="39" t="n"/>
      <c r="I76" s="54">
        <f>IF(OR(F76="",H76=""),"",F76-H76)</f>
        <v/>
      </c>
      <c r="J76" s="14" t="n"/>
      <c r="K76" s="14" t="n"/>
    </row>
    <row r="77" ht="22" customHeight="1">
      <c r="B77" s="17">
        <f>IF(C77="","AIR-"&amp;TEXT(COUNTA($C$5:C77),"000"))</f>
        <v/>
      </c>
      <c r="C77" s="12" t="n"/>
      <c r="D77" s="12" t="n"/>
      <c r="E77" s="37" t="n"/>
      <c r="F77" s="37" t="n"/>
      <c r="G77" s="53">
        <f>IF(OR(E77="",F77=""),"",F77-E77)</f>
        <v/>
      </c>
      <c r="H77" s="37" t="n"/>
      <c r="I77" s="53">
        <f>IF(OR(F77="",H77=""),"",F77-H77)</f>
        <v/>
      </c>
      <c r="J77" s="12" t="n"/>
      <c r="K77" s="12" t="n"/>
    </row>
    <row r="78" ht="22" customHeight="1">
      <c r="B78" s="16">
        <f>IF(C78="","AIR-"&amp;TEXT(COUNTA($C$5:C78),"000"))</f>
        <v/>
      </c>
      <c r="C78" s="14" t="n"/>
      <c r="D78" s="14" t="n"/>
      <c r="E78" s="39" t="n"/>
      <c r="F78" s="39" t="n"/>
      <c r="G78" s="54">
        <f>IF(OR(E78="",F78=""),"",F78-E78)</f>
        <v/>
      </c>
      <c r="H78" s="39" t="n"/>
      <c r="I78" s="54">
        <f>IF(OR(F78="",H78=""),"",F78-H78)</f>
        <v/>
      </c>
      <c r="J78" s="14" t="n"/>
      <c r="K78" s="14" t="n"/>
    </row>
    <row r="79" ht="22" customHeight="1">
      <c r="B79" s="17">
        <f>IF(C79="","AIR-"&amp;TEXT(COUNTA($C$5:C79),"000"))</f>
        <v/>
      </c>
      <c r="C79" s="12" t="n"/>
      <c r="D79" s="12" t="n"/>
      <c r="E79" s="37" t="n"/>
      <c r="F79" s="37" t="n"/>
      <c r="G79" s="53">
        <f>IF(OR(E79="",F79=""),"",F79-E79)</f>
        <v/>
      </c>
      <c r="H79" s="37" t="n"/>
      <c r="I79" s="53">
        <f>IF(OR(F79="",H79=""),"",F79-H79)</f>
        <v/>
      </c>
      <c r="J79" s="12" t="n"/>
      <c r="K79" s="12" t="n"/>
    </row>
    <row r="80" ht="22" customHeight="1">
      <c r="B80" s="16">
        <f>IF(C80="","AIR-"&amp;TEXT(COUNTA($C$5:C80),"000"))</f>
        <v/>
      </c>
      <c r="C80" s="14" t="n"/>
      <c r="D80" s="14" t="n"/>
      <c r="E80" s="39" t="n"/>
      <c r="F80" s="39" t="n"/>
      <c r="G80" s="54">
        <f>IF(OR(E80="",F80=""),"",F80-E80)</f>
        <v/>
      </c>
      <c r="H80" s="39" t="n"/>
      <c r="I80" s="54">
        <f>IF(OR(F80="",H80=""),"",F80-H80)</f>
        <v/>
      </c>
      <c r="J80" s="14" t="n"/>
      <c r="K80" s="14" t="n"/>
    </row>
    <row r="81" ht="22" customHeight="1">
      <c r="B81" s="17">
        <f>IF(C81="","AIR-"&amp;TEXT(COUNTA($C$5:C81),"000"))</f>
        <v/>
      </c>
      <c r="C81" s="12" t="n"/>
      <c r="D81" s="12" t="n"/>
      <c r="E81" s="37" t="n"/>
      <c r="F81" s="37" t="n"/>
      <c r="G81" s="53">
        <f>IF(OR(E81="",F81=""),"",F81-E81)</f>
        <v/>
      </c>
      <c r="H81" s="37" t="n"/>
      <c r="I81" s="53">
        <f>IF(OR(F81="",H81=""),"",F81-H81)</f>
        <v/>
      </c>
      <c r="J81" s="12" t="n"/>
      <c r="K81" s="12" t="n"/>
    </row>
    <row r="82" ht="22" customHeight="1">
      <c r="B82" s="16">
        <f>IF(C82="","AIR-"&amp;TEXT(COUNTA($C$5:C82),"000"))</f>
        <v/>
      </c>
      <c r="C82" s="14" t="n"/>
      <c r="D82" s="14" t="n"/>
      <c r="E82" s="39" t="n"/>
      <c r="F82" s="39" t="n"/>
      <c r="G82" s="54">
        <f>IF(OR(E82="",F82=""),"",F82-E82)</f>
        <v/>
      </c>
      <c r="H82" s="39" t="n"/>
      <c r="I82" s="54">
        <f>IF(OR(F82="",H82=""),"",F82-H82)</f>
        <v/>
      </c>
      <c r="J82" s="14" t="n"/>
      <c r="K82" s="14" t="n"/>
    </row>
    <row r="83" ht="22" customHeight="1">
      <c r="B83" s="17">
        <f>IF(C83="","AIR-"&amp;TEXT(COUNTA($C$5:C83),"000"))</f>
        <v/>
      </c>
      <c r="C83" s="12" t="n"/>
      <c r="D83" s="12" t="n"/>
      <c r="E83" s="37" t="n"/>
      <c r="F83" s="37" t="n"/>
      <c r="G83" s="53">
        <f>IF(OR(E83="",F83=""),"",F83-E83)</f>
        <v/>
      </c>
      <c r="H83" s="37" t="n"/>
      <c r="I83" s="53">
        <f>IF(OR(F83="",H83=""),"",F83-H83)</f>
        <v/>
      </c>
      <c r="J83" s="12" t="n"/>
      <c r="K83" s="12" t="n"/>
    </row>
    <row r="84" ht="22" customHeight="1">
      <c r="B84" s="16">
        <f>IF(C84="","AIR-"&amp;TEXT(COUNTA($C$5:C84),"000"))</f>
        <v/>
      </c>
      <c r="C84" s="14" t="n"/>
      <c r="D84" s="14" t="n"/>
      <c r="E84" s="39" t="n"/>
      <c r="F84" s="39" t="n"/>
      <c r="G84" s="54">
        <f>IF(OR(E84="",F84=""),"",F84-E84)</f>
        <v/>
      </c>
      <c r="H84" s="39" t="n"/>
      <c r="I84" s="54">
        <f>IF(OR(F84="",H84=""),"",F84-H84)</f>
        <v/>
      </c>
      <c r="J84" s="14" t="n"/>
      <c r="K84" s="14" t="n"/>
    </row>
    <row r="85" ht="22" customHeight="1">
      <c r="B85" s="17">
        <f>IF(C85="","AIR-"&amp;TEXT(COUNTA($C$5:C85),"000"))</f>
        <v/>
      </c>
      <c r="C85" s="12" t="n"/>
      <c r="D85" s="12" t="n"/>
      <c r="E85" s="37" t="n"/>
      <c r="F85" s="37" t="n"/>
      <c r="G85" s="53">
        <f>IF(OR(E85="",F85=""),"",F85-E85)</f>
        <v/>
      </c>
      <c r="H85" s="37" t="n"/>
      <c r="I85" s="53">
        <f>IF(OR(F85="",H85=""),"",F85-H85)</f>
        <v/>
      </c>
      <c r="J85" s="12" t="n"/>
      <c r="K85" s="12" t="n"/>
    </row>
    <row r="86" ht="22" customHeight="1">
      <c r="B86" s="16">
        <f>IF(C86="","AIR-"&amp;TEXT(COUNTA($C$5:C86),"000"))</f>
        <v/>
      </c>
      <c r="C86" s="14" t="n"/>
      <c r="D86" s="14" t="n"/>
      <c r="E86" s="39" t="n"/>
      <c r="F86" s="39" t="n"/>
      <c r="G86" s="54">
        <f>IF(OR(E86="",F86=""),"",F86-E86)</f>
        <v/>
      </c>
      <c r="H86" s="39" t="n"/>
      <c r="I86" s="54">
        <f>IF(OR(F86="",H86=""),"",F86-H86)</f>
        <v/>
      </c>
      <c r="J86" s="14" t="n"/>
      <c r="K86" s="14" t="n"/>
    </row>
    <row r="87" ht="22" customHeight="1">
      <c r="B87" s="17">
        <f>IF(C87="","AIR-"&amp;TEXT(COUNTA($C$5:C87),"000"))</f>
        <v/>
      </c>
      <c r="C87" s="12" t="n"/>
      <c r="D87" s="12" t="n"/>
      <c r="E87" s="37" t="n"/>
      <c r="F87" s="37" t="n"/>
      <c r="G87" s="53">
        <f>IF(OR(E87="",F87=""),"",F87-E87)</f>
        <v/>
      </c>
      <c r="H87" s="37" t="n"/>
      <c r="I87" s="53">
        <f>IF(OR(F87="",H87=""),"",F87-H87)</f>
        <v/>
      </c>
      <c r="J87" s="12" t="n"/>
      <c r="K87" s="12" t="n"/>
    </row>
    <row r="88" ht="22" customHeight="1">
      <c r="B88" s="16">
        <f>IF(C88="","AIR-"&amp;TEXT(COUNTA($C$5:C88),"000"))</f>
        <v/>
      </c>
      <c r="C88" s="14" t="n"/>
      <c r="D88" s="14" t="n"/>
      <c r="E88" s="39" t="n"/>
      <c r="F88" s="39" t="n"/>
      <c r="G88" s="54">
        <f>IF(OR(E88="",F88=""),"",F88-E88)</f>
        <v/>
      </c>
      <c r="H88" s="39" t="n"/>
      <c r="I88" s="54">
        <f>IF(OR(F88="",H88=""),"",F88-H88)</f>
        <v/>
      </c>
      <c r="J88" s="14" t="n"/>
      <c r="K88" s="14" t="n"/>
    </row>
    <row r="89" ht="22" customHeight="1">
      <c r="B89" s="17">
        <f>IF(C89="","AIR-"&amp;TEXT(COUNTA($C$5:C89),"000"))</f>
        <v/>
      </c>
      <c r="C89" s="12" t="n"/>
      <c r="D89" s="12" t="n"/>
      <c r="E89" s="37" t="n"/>
      <c r="F89" s="37" t="n"/>
      <c r="G89" s="53">
        <f>IF(OR(E89="",F89=""),"",F89-E89)</f>
        <v/>
      </c>
      <c r="H89" s="37" t="n"/>
      <c r="I89" s="53">
        <f>IF(OR(F89="",H89=""),"",F89-H89)</f>
        <v/>
      </c>
      <c r="J89" s="12" t="n"/>
      <c r="K89" s="12" t="n"/>
    </row>
    <row r="90" ht="22" customHeight="1">
      <c r="B90" s="16">
        <f>IF(C90="","AIR-"&amp;TEXT(COUNTA($C$5:C90),"000"))</f>
        <v/>
      </c>
      <c r="C90" s="14" t="n"/>
      <c r="D90" s="14" t="n"/>
      <c r="E90" s="39" t="n"/>
      <c r="F90" s="39" t="n"/>
      <c r="G90" s="54">
        <f>IF(OR(E90="",F90=""),"",F90-E90)</f>
        <v/>
      </c>
      <c r="H90" s="39" t="n"/>
      <c r="I90" s="54">
        <f>IF(OR(F90="",H90=""),"",F90-H90)</f>
        <v/>
      </c>
      <c r="J90" s="14" t="n"/>
      <c r="K90" s="14" t="n"/>
    </row>
    <row r="91" ht="22" customHeight="1">
      <c r="B91" s="17">
        <f>IF(C91="","AIR-"&amp;TEXT(COUNTA($C$5:C91),"000"))</f>
        <v/>
      </c>
      <c r="C91" s="12" t="n"/>
      <c r="D91" s="12" t="n"/>
      <c r="E91" s="37" t="n"/>
      <c r="F91" s="37" t="n"/>
      <c r="G91" s="53">
        <f>IF(OR(E91="",F91=""),"",F91-E91)</f>
        <v/>
      </c>
      <c r="H91" s="37" t="n"/>
      <c r="I91" s="53">
        <f>IF(OR(F91="",H91=""),"",F91-H91)</f>
        <v/>
      </c>
      <c r="J91" s="12" t="n"/>
      <c r="K91" s="12" t="n"/>
    </row>
    <row r="92" ht="22" customHeight="1">
      <c r="B92" s="16">
        <f>IF(C92="","AIR-"&amp;TEXT(COUNTA($C$5:C92),"000"))</f>
        <v/>
      </c>
      <c r="C92" s="14" t="n"/>
      <c r="D92" s="14" t="n"/>
      <c r="E92" s="39" t="n"/>
      <c r="F92" s="39" t="n"/>
      <c r="G92" s="54">
        <f>IF(OR(E92="",F92=""),"",F92-E92)</f>
        <v/>
      </c>
      <c r="H92" s="39" t="n"/>
      <c r="I92" s="54">
        <f>IF(OR(F92="",H92=""),"",F92-H92)</f>
        <v/>
      </c>
      <c r="J92" s="14" t="n"/>
      <c r="K92" s="14" t="n"/>
    </row>
    <row r="93" ht="22" customHeight="1">
      <c r="B93" s="17">
        <f>IF(C93="","AIR-"&amp;TEXT(COUNTA($C$5:C93),"000"))</f>
        <v/>
      </c>
      <c r="C93" s="12" t="n"/>
      <c r="D93" s="12" t="n"/>
      <c r="E93" s="37" t="n"/>
      <c r="F93" s="37" t="n"/>
      <c r="G93" s="53">
        <f>IF(OR(E93="",F93=""),"",F93-E93)</f>
        <v/>
      </c>
      <c r="H93" s="37" t="n"/>
      <c r="I93" s="53">
        <f>IF(OR(F93="",H93=""),"",F93-H93)</f>
        <v/>
      </c>
      <c r="J93" s="12" t="n"/>
      <c r="K93" s="12" t="n"/>
    </row>
    <row r="94" ht="22" customHeight="1">
      <c r="B94" s="16">
        <f>IF(C94="","AIR-"&amp;TEXT(COUNTA($C$5:C94),"000"))</f>
        <v/>
      </c>
      <c r="C94" s="14" t="n"/>
      <c r="D94" s="14" t="n"/>
      <c r="E94" s="39" t="n"/>
      <c r="F94" s="39" t="n"/>
      <c r="G94" s="54">
        <f>IF(OR(E94="",F94=""),"",F94-E94)</f>
        <v/>
      </c>
      <c r="H94" s="39" t="n"/>
      <c r="I94" s="54">
        <f>IF(OR(F94="",H94=""),"",F94-H94)</f>
        <v/>
      </c>
      <c r="J94" s="14" t="n"/>
      <c r="K94" s="14" t="n"/>
    </row>
    <row r="95" ht="22" customHeight="1">
      <c r="B95" s="17">
        <f>IF(C95="","AIR-"&amp;TEXT(COUNTA($C$5:C95),"000"))</f>
        <v/>
      </c>
      <c r="C95" s="12" t="n"/>
      <c r="D95" s="12" t="n"/>
      <c r="E95" s="37" t="n"/>
      <c r="F95" s="37" t="n"/>
      <c r="G95" s="53">
        <f>IF(OR(E95="",F95=""),"",F95-E95)</f>
        <v/>
      </c>
      <c r="H95" s="37" t="n"/>
      <c r="I95" s="53">
        <f>IF(OR(F95="",H95=""),"",F95-H95)</f>
        <v/>
      </c>
      <c r="J95" s="12" t="n"/>
      <c r="K95" s="12" t="n"/>
    </row>
    <row r="96" ht="22" customHeight="1">
      <c r="B96" s="16">
        <f>IF(C96="","AIR-"&amp;TEXT(COUNTA($C$5:C96),"000"))</f>
        <v/>
      </c>
      <c r="C96" s="14" t="n"/>
      <c r="D96" s="14" t="n"/>
      <c r="E96" s="39" t="n"/>
      <c r="F96" s="39" t="n"/>
      <c r="G96" s="54">
        <f>IF(OR(E96="",F96=""),"",F96-E96)</f>
        <v/>
      </c>
      <c r="H96" s="39" t="n"/>
      <c r="I96" s="54">
        <f>IF(OR(F96="",H96=""),"",F96-H96)</f>
        <v/>
      </c>
      <c r="J96" s="14" t="n"/>
      <c r="K96" s="14" t="n"/>
    </row>
    <row r="97" ht="22" customHeight="1">
      <c r="B97" s="17">
        <f>IF(C97="","AIR-"&amp;TEXT(COUNTA($C$5:C97),"000"))</f>
        <v/>
      </c>
      <c r="C97" s="12" t="n"/>
      <c r="D97" s="12" t="n"/>
      <c r="E97" s="37" t="n"/>
      <c r="F97" s="37" t="n"/>
      <c r="G97" s="53">
        <f>IF(OR(E97="",F97=""),"",F97-E97)</f>
        <v/>
      </c>
      <c r="H97" s="37" t="n"/>
      <c r="I97" s="53">
        <f>IF(OR(F97="",H97=""),"",F97-H97)</f>
        <v/>
      </c>
      <c r="J97" s="12" t="n"/>
      <c r="K97" s="12" t="n"/>
    </row>
    <row r="98" ht="22" customHeight="1">
      <c r="B98" s="16">
        <f>IF(C98="","AIR-"&amp;TEXT(COUNTA($C$5:C98),"000"))</f>
        <v/>
      </c>
      <c r="C98" s="14" t="n"/>
      <c r="D98" s="14" t="n"/>
      <c r="E98" s="39" t="n"/>
      <c r="F98" s="39" t="n"/>
      <c r="G98" s="54">
        <f>IF(OR(E98="",F98=""),"",F98-E98)</f>
        <v/>
      </c>
      <c r="H98" s="39" t="n"/>
      <c r="I98" s="54">
        <f>IF(OR(F98="",H98=""),"",F98-H98)</f>
        <v/>
      </c>
      <c r="J98" s="14" t="n"/>
      <c r="K98" s="14" t="n"/>
    </row>
    <row r="99" ht="22" customHeight="1">
      <c r="B99" s="17">
        <f>IF(C99="","AIR-"&amp;TEXT(COUNTA($C$5:C99),"000"))</f>
        <v/>
      </c>
      <c r="C99" s="12" t="n"/>
      <c r="D99" s="12" t="n"/>
      <c r="E99" s="37" t="n"/>
      <c r="F99" s="37" t="n"/>
      <c r="G99" s="53">
        <f>IF(OR(E99="",F99=""),"",F99-E99)</f>
        <v/>
      </c>
      <c r="H99" s="37" t="n"/>
      <c r="I99" s="53">
        <f>IF(OR(F99="",H99=""),"",F99-H99)</f>
        <v/>
      </c>
      <c r="J99" s="12" t="n"/>
      <c r="K99" s="12" t="n"/>
    </row>
    <row r="100" ht="22" customHeight="1">
      <c r="B100" s="16">
        <f>IF(C100="","AIR-"&amp;TEXT(COUNTA($C$5:C100),"000"))</f>
        <v/>
      </c>
      <c r="C100" s="14" t="n"/>
      <c r="D100" s="14" t="n"/>
      <c r="E100" s="39" t="n"/>
      <c r="F100" s="39" t="n"/>
      <c r="G100" s="54">
        <f>IF(OR(E100="",F100=""),"",F100-E100)</f>
        <v/>
      </c>
      <c r="H100" s="39" t="n"/>
      <c r="I100" s="54">
        <f>IF(OR(F100="",H100=""),"",F100-H100)</f>
        <v/>
      </c>
      <c r="J100" s="14" t="n"/>
      <c r="K100" s="14" t="n"/>
    </row>
    <row r="101" ht="22" customHeight="1">
      <c r="B101" s="17">
        <f>IF(C101="","AIR-"&amp;TEXT(COUNTA($C$5:C101),"000"))</f>
        <v/>
      </c>
      <c r="C101" s="12" t="n"/>
      <c r="D101" s="12" t="n"/>
      <c r="E101" s="37" t="n"/>
      <c r="F101" s="37" t="n"/>
      <c r="G101" s="53">
        <f>IF(OR(E101="",F101=""),"",F101-E101)</f>
        <v/>
      </c>
      <c r="H101" s="37" t="n"/>
      <c r="I101" s="53">
        <f>IF(OR(F101="",H101=""),"",F101-H101)</f>
        <v/>
      </c>
      <c r="J101" s="12" t="n"/>
      <c r="K101" s="12" t="n"/>
    </row>
    <row r="102" ht="22" customHeight="1">
      <c r="B102" s="16">
        <f>IF(C102="","AIR-"&amp;TEXT(COUNTA($C$5:C102),"000"))</f>
        <v/>
      </c>
      <c r="C102" s="14" t="n"/>
      <c r="D102" s="14" t="n"/>
      <c r="E102" s="39" t="n"/>
      <c r="F102" s="39" t="n"/>
      <c r="G102" s="54">
        <f>IF(OR(E102="",F102=""),"",F102-E102)</f>
        <v/>
      </c>
      <c r="H102" s="39" t="n"/>
      <c r="I102" s="54">
        <f>IF(OR(F102="",H102=""),"",F102-H102)</f>
        <v/>
      </c>
      <c r="J102" s="14" t="n"/>
      <c r="K102" s="14" t="n"/>
    </row>
    <row r="103" ht="22" customHeight="1">
      <c r="B103" s="17">
        <f>IF(C103="","AIR-"&amp;TEXT(COUNTA($C$5:C103),"000"))</f>
        <v/>
      </c>
      <c r="C103" s="12" t="n"/>
      <c r="D103" s="12" t="n"/>
      <c r="E103" s="37" t="n"/>
      <c r="F103" s="37" t="n"/>
      <c r="G103" s="53">
        <f>IF(OR(E103="",F103=""),"",F103-E103)</f>
        <v/>
      </c>
      <c r="H103" s="37" t="n"/>
      <c r="I103" s="53">
        <f>IF(OR(F103="",H103=""),"",F103-H103)</f>
        <v/>
      </c>
      <c r="J103" s="12" t="n"/>
      <c r="K103" s="12" t="n"/>
    </row>
    <row r="104" ht="22" customHeight="1">
      <c r="B104" s="16">
        <f>IF(C104="","AIR-"&amp;TEXT(COUNTA($C$5:C104),"000"))</f>
        <v/>
      </c>
      <c r="C104" s="14" t="n"/>
      <c r="D104" s="14" t="n"/>
      <c r="E104" s="39" t="n"/>
      <c r="F104" s="39" t="n"/>
      <c r="G104" s="54">
        <f>IF(OR(E104="",F104=""),"",F104-E104)</f>
        <v/>
      </c>
      <c r="H104" s="39" t="n"/>
      <c r="I104" s="54">
        <f>IF(OR(F104="",H104=""),"",F104-H104)</f>
        <v/>
      </c>
      <c r="J104" s="14" t="n"/>
      <c r="K104" s="14" t="n"/>
    </row>
    <row r="105" ht="22" customHeight="1">
      <c r="B105" s="17">
        <f>IF(C105="","AIR-"&amp;TEXT(COUNTA($C$5:C105),"000"))</f>
        <v/>
      </c>
      <c r="C105" s="12" t="n"/>
      <c r="D105" s="12" t="n"/>
      <c r="E105" s="37" t="n"/>
      <c r="F105" s="37" t="n"/>
      <c r="G105" s="53">
        <f>IF(OR(E105="",F105=""),"",F105-E105)</f>
        <v/>
      </c>
      <c r="H105" s="37" t="n"/>
      <c r="I105" s="53">
        <f>IF(OR(F105="",H105=""),"",F105-H105)</f>
        <v/>
      </c>
      <c r="J105" s="12" t="n"/>
      <c r="K105" s="12" t="n"/>
    </row>
    <row r="106" ht="22" customHeight="1">
      <c r="B106" s="16">
        <f>IF(C106="","AIR-"&amp;TEXT(COUNTA($C$5:C106),"000"))</f>
        <v/>
      </c>
      <c r="C106" s="14" t="n"/>
      <c r="D106" s="14" t="n"/>
      <c r="E106" s="39" t="n"/>
      <c r="F106" s="39" t="n"/>
      <c r="G106" s="54">
        <f>IF(OR(E106="",F106=""),"",F106-E106)</f>
        <v/>
      </c>
      <c r="H106" s="39" t="n"/>
      <c r="I106" s="54">
        <f>IF(OR(F106="",H106=""),"",F106-H106)</f>
        <v/>
      </c>
      <c r="J106" s="14" t="n"/>
      <c r="K106" s="14" t="n"/>
    </row>
    <row r="107" ht="22" customHeight="1">
      <c r="B107" s="17">
        <f>IF(C107="","AIR-"&amp;TEXT(COUNTA($C$5:C107),"000"))</f>
        <v/>
      </c>
      <c r="C107" s="12" t="n"/>
      <c r="D107" s="12" t="n"/>
      <c r="E107" s="37" t="n"/>
      <c r="F107" s="37" t="n"/>
      <c r="G107" s="53">
        <f>IF(OR(E107="",F107=""),"",F107-E107)</f>
        <v/>
      </c>
      <c r="H107" s="37" t="n"/>
      <c r="I107" s="53">
        <f>IF(OR(F107="",H107=""),"",F107-H107)</f>
        <v/>
      </c>
      <c r="J107" s="12" t="n"/>
      <c r="K107" s="12" t="n"/>
    </row>
    <row r="108" ht="22" customHeight="1">
      <c r="B108" s="16">
        <f>IF(C108="","AIR-"&amp;TEXT(COUNTA($C$5:C108),"000"))</f>
        <v/>
      </c>
      <c r="C108" s="14" t="n"/>
      <c r="D108" s="14" t="n"/>
      <c r="E108" s="39" t="n"/>
      <c r="F108" s="39" t="n"/>
      <c r="G108" s="54">
        <f>IF(OR(E108="",F108=""),"",F108-E108)</f>
        <v/>
      </c>
      <c r="H108" s="39" t="n"/>
      <c r="I108" s="54">
        <f>IF(OR(F108="",H108=""),"",F108-H108)</f>
        <v/>
      </c>
      <c r="J108" s="14" t="n"/>
      <c r="K108" s="14" t="n"/>
    </row>
    <row r="109" ht="22" customHeight="1">
      <c r="B109" s="17">
        <f>IF(C109="","AIR-"&amp;TEXT(COUNTA($C$5:C109),"000"))</f>
        <v/>
      </c>
      <c r="C109" s="12" t="n"/>
      <c r="D109" s="12" t="n"/>
      <c r="E109" s="37" t="n"/>
      <c r="F109" s="37" t="n"/>
      <c r="G109" s="53">
        <f>IF(OR(E109="",F109=""),"",F109-E109)</f>
        <v/>
      </c>
      <c r="H109" s="37" t="n"/>
      <c r="I109" s="53">
        <f>IF(OR(F109="",H109=""),"",F109-H109)</f>
        <v/>
      </c>
      <c r="J109" s="12" t="n"/>
      <c r="K109" s="12" t="n"/>
    </row>
    <row r="111">
      <c r="B111" s="6" t="inlineStr">
        <is>
          <t>INDICATEURS (mis a jour automatiquement)</t>
        </is>
      </c>
    </row>
    <row r="112">
      <c r="B112" s="3" t="inlineStr">
        <is>
          <t>Indicateurs analyses</t>
        </is>
      </c>
      <c r="D112" s="3" t="inlineStr">
        <is>
          <t>En amelioration</t>
        </is>
      </c>
      <c r="F112" s="3" t="inlineStr">
        <is>
          <t>Objectifs atteints</t>
        </is>
      </c>
    </row>
    <row r="113">
      <c r="B113" s="4">
        <f>COUNTIF(B5:B104,"&lt;&gt;")</f>
        <v/>
      </c>
      <c r="D113" s="4">
        <f>COUNTIF(J5:J104,"En amelioration")</f>
        <v/>
      </c>
      <c r="F113" s="4">
        <f>COUNTIF(J5:J104,"Atteint")</f>
        <v/>
      </c>
    </row>
  </sheetData>
  <mergeCells count="3">
    <mergeCell ref="B111:K111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1">
      <formula>"En attente"</formula>
    </cfRule>
    <cfRule type="cellIs" priority="84" operator="equal" dxfId="1">
      <formula>"A renouveler"</formula>
    </cfRule>
    <cfRule type="cellIs" priority="85" operator="equal" dxfId="1">
      <formula>"En cours"</formula>
    </cfRule>
    <cfRule type="cellIs" priority="86" operator="equal" dxfId="1">
      <formula>"En traitement"</formula>
    </cfRule>
    <cfRule type="cellIs" priority="87" operator="equal" dxfId="1">
      <formula>"En retard"</formula>
    </cfRule>
    <cfRule type="cellIs" priority="88" operator="equal" dxfId="1">
      <formula>"Suspendu"</formula>
    </cfRule>
    <cfRule type="cellIs" priority="89" operator="equal" dxfId="1">
      <formula>"Planifie"</formula>
    </cfRule>
    <cfRule type="cellIs" priority="90" operator="equal" dxfId="1">
      <formula>"Planifiee"</formula>
    </cfRule>
    <cfRule type="cellIs" priority="91" operator="equal" dxfId="1">
      <formula>"Brouillon"</formula>
    </cfRule>
    <cfRule type="cellIs" priority="92" operator="equal" dxfId="1">
      <formula>"En attente de justification"</formula>
    </cfRule>
    <cfRule type="cellIs" priority="93" operator="equal" dxfId="1">
      <formula>"Tolere"</formula>
    </cfRule>
    <cfRule type="cellIs" priority="94" operator="equal" dxfId="1">
      <formula>"Variable"</formula>
    </cfRule>
    <cfRule type="cellIs" priority="95" operator="equal" dxfId="1">
      <formula>"En elaboration"</formula>
    </cfRule>
    <cfRule type="cellIs" priority="96" operator="equal" dxfId="1">
      <formula>"Provisionne"</formula>
    </cfRule>
    <cfRule type="cellIs" priority="97" operator="equal" dxfId="1">
      <formula>"Consomme partiel"</formula>
    </cfRule>
    <cfRule type="cellIs" priority="98" operator="equal" dxfId="1">
      <formula>"Identifie"</formula>
    </cfRule>
    <cfRule type="cellIs" priority="99" operator="equal" dxfId="1">
      <formula>"Priorise"</formula>
    </cfRule>
    <cfRule type="cellIs" priority="100" operator="equal" dxfId="1">
      <formula>"Intermediaire"</formula>
    </cfRule>
    <cfRule type="cellIs" priority="101" operator="equal" dxfId="1">
      <formula>"Non evalue"</formula>
    </cfRule>
    <cfRule type="cellIs" priority="102" operator="equal" dxfId="1">
      <formula>"En cours de realisation"</formula>
    </cfRule>
    <cfRule type="cellIs" priority="103" operator="equal" dxfId="1">
      <formula>"Non demarre"</formula>
    </cfRule>
    <cfRule type="cellIs" priority="104" operator="equal" dxfId="1">
      <formula>"En attente N+1"</formula>
    </cfRule>
    <cfRule type="cellIs" priority="105" operator="equal" dxfId="1">
      <formula>"Prolongation essai"</formula>
    </cfRule>
    <cfRule type="cellIs" priority="106" operator="equal" dxfId="1">
      <formula>"En attente validation"</formula>
    </cfRule>
    <cfRule type="cellIs" priority="107" operator="equal" dxfId="1">
      <formula>"Bon"</formula>
    </cfRule>
    <cfRule type="cellIs" priority="108" operator="equal" dxfId="1">
      <formula>"D - Moyen"</formula>
    </cfRule>
    <cfRule type="cellIs" priority="109" operator="equal" dxfId="1">
      <formula>"En cours de repres."</formula>
    </cfRule>
    <cfRule type="cellIs" priority="110" operator="equal" dxfId="1">
      <formula>"En negociation"</formula>
    </cfRule>
    <cfRule type="cellIs" priority="111" operator="equal" dxfId="1">
      <formula>"En preparation"</formula>
    </cfRule>
    <cfRule type="cellIs" priority="112" operator="equal" dxfId="1">
      <formula>"En cours d'instruction"</formula>
    </cfRule>
    <cfRule type="cellIs" priority="113" operator="equal" dxfId="1">
      <formula>"Transferee N+1"</formula>
    </cfRule>
    <cfRule type="cellIs" priority="114" operator="equal" dxfId="1">
      <formula>"En attente reponse"</formula>
    </cfRule>
    <cfRule type="cellIs" priority="115" operator="equal" dxfId="1">
      <formula>"Enquete ouverte"</formula>
    </cfRule>
    <cfRule type="cellIs" priority="116" operator="equal" dxfId="1">
      <formula>"Convocation envoyee"</formula>
    </cfRule>
    <cfRule type="cellIs" priority="117" operator="equal" dxfId="1">
      <formula>"Entretien realise"</formula>
    </cfRule>
    <cfRule type="cellIs" priority="118" operator="equal" dxfId="1">
      <formula>"Saisie"</formula>
    </cfRule>
    <cfRule type="cellIs" priority="119" operator="equal" dxfId="1">
      <formula>"En mediation"</formula>
    </cfRule>
    <cfRule type="cellIs" priority="120" operator="equal" dxfId="1">
      <formula>"En recours"</formula>
    </cfRule>
    <cfRule type="cellIs" priority="121" operator="equal" dxfId="1">
      <formula>"Reportee"</formula>
    </cfRule>
    <cfRule type="cellIs" priority="122" operator="equal" dxfId="1">
      <formula>"Reporte"</formula>
    </cfRule>
    <cfRule type="cellIs" priority="123" operator="equal" dxfId="1">
      <formula>"Signale"</formula>
    </cfRule>
    <cfRule type="cellIs" priority="124" operator="equal" dxfId="1">
      <formula>"Precontentieux"</formula>
    </cfRule>
    <cfRule type="cellIs" priority="125" operator="equal" dxfId="1">
      <formula>"En attente election"</formula>
    </cfRule>
    <cfRule type="cellIs" priority="126" operator="equal" dxfId="1">
      <formula>"Classe"</formula>
    </cfRule>
    <cfRule type="cellIs" priority="127" operator="equal" dxfId="1">
      <formula>"En cours d'evaluation"</formula>
    </cfRule>
    <cfRule type="cellIs" priority="128" operator="equal" dxfId="1">
      <formula>"En cours d'enquete"</formula>
    </cfRule>
    <cfRule type="cellIs" priority="129" operator="equal" dxfId="1">
      <formula>"En cours de commande"</formula>
    </cfRule>
    <cfRule type="cellIs" priority="130" operator="equal" dxfId="1">
      <formula>"A revoir"</formula>
    </cfRule>
    <cfRule type="cellIs" priority="131" operator="equal" dxfId="1">
      <formula>"A remplacer"</formula>
    </cfRule>
    <cfRule type="cellIs" priority="132" operator="equal" dxfId="1">
      <formula>"En cours d'instruction CNPS"</formula>
    </cfRule>
    <cfRule type="cellIs" priority="133" operator="equal" dxfId="1">
      <formula>"En contestation"</formula>
    </cfRule>
    <cfRule type="cellIs" priority="134" operator="equal" dxfId="1">
      <formula>"Inapte temporaire"</formula>
    </cfRule>
    <cfRule type="cellIs" priority="135" operator="equal" dxfId="1">
      <formula>"Candidat identifie"</formula>
    </cfRule>
    <cfRule type="cellIs" priority="136" operator="equal" dxfId="1">
      <formula>"En formation"</formula>
    </cfRule>
    <cfRule type="cellIs" priority="137" operator="equal" dxfId="1">
      <formula>"En evaluation"</formula>
    </cfRule>
    <cfRule type="cellIs" priority="138" operator="equal" dxfId="1">
      <formula>"En transit"</formula>
    </cfRule>
    <cfRule type="cellIs" priority="139" operator="equal" dxfId="1">
      <formula>"En attente visa"</formula>
    </cfRule>
    <cfRule type="cellIs" priority="140" operator="equal" dxfId="1">
      <formula>"Proposee"</formula>
    </cfRule>
    <cfRule type="cellIs" priority="141" operator="equal" dxfId="1">
      <formula>"En cours d'acquisition"</formula>
    </cfRule>
    <cfRule type="cellIs" priority="142" operator="equal" dxfId="1">
      <formula>"A developper"</formula>
    </cfRule>
    <cfRule type="cellIs" priority="143" operator="equal" dxfId="1">
      <formula>"A renforcer"</formula>
    </cfRule>
    <cfRule type="cellIs" priority="144" operator="equal" dxfId="1">
      <formula>"En cours"</formula>
    </cfRule>
    <cfRule type="cellIs" priority="145" operator="equal" dxfId="1">
      <formula>"Partiellement conforme"</formula>
    </cfRule>
    <cfRule type="cellIs" priority="146" operator="equal" dxfId="1">
      <formula>"En mise en conformite"</formula>
    </cfRule>
    <cfRule type="cellIs" priority="147" operator="equal" dxfId="1">
      <formula>"En revision"</formula>
    </cfRule>
    <cfRule type="cellIs" priority="148" operator="equal" dxfId="1">
      <formula>"A approuver"</formula>
    </cfRule>
    <cfRule type="cellIs" priority="149" operator="equal" dxfId="1">
      <formula>"En conciliation"</formula>
    </cfRule>
    <cfRule type="cellIs" priority="150" operator="equal" dxfId="1">
      <formula>"Assigne tribunal"</formula>
    </cfRule>
    <cfRule type="cellIs" priority="151" operator="equal" dxfId="1">
      <formula>"En cours de preparation"</formula>
    </cfRule>
    <cfRule type="cellIs" priority="152" operator="equal" dxfId="1">
      <formula>"Non effectuee"</formula>
    </cfRule>
    <cfRule type="cellIs" priority="153" operator="equal" dxfId="1">
      <formula>"A archiver"</formula>
    </cfRule>
    <cfRule type="cellIs" priority="154" operator="equal" dxfId="1">
      <formula>"En cours de constitution"</formula>
    </cfRule>
    <cfRule type="cellIs" priority="155" operator="equal" dxfId="1">
      <formula>"A mettre a jour"</formula>
    </cfRule>
    <cfRule type="cellIs" priority="156" operator="equal" dxfId="1">
      <formula>"En restoration"</formula>
    </cfRule>
    <cfRule type="cellIs" priority="157" operator="equal" dxfId="1">
      <formula>"En cours de restauration"</formula>
    </cfRule>
    <cfRule type="cellIs" priority="158" operator="equal" dxfId="1">
      <formula>"A determiner"</formula>
    </cfRule>
    <cfRule type="cellIs" priority="159" operator="equal" dxfId="1">
      <formula>"En revision"</formula>
    </cfRule>
    <cfRule type="cellIs" priority="160" operator="equal" dxfId="1">
      <formula>"Obsolete"</formula>
    </cfRule>
    <cfRule type="cellIs" priority="161" operator="equal" dxfId="1">
      <formula>"Hybride (papier + numerique)"</formula>
    </cfRule>
    <cfRule type="cellIs" priority="162" operator="equal" dxfId="1">
      <formula>"En cours de validation"</formula>
    </cfRule>
    <cfRule type="cellIs" priority="163" operator="equal" dxfId="1">
      <formula>"En cours d'analyse"</formula>
    </cfRule>
    <cfRule type="cellIs" priority="164" operator="equal" dxfId="1">
      <formula>"En cours de redaction"</formula>
    </cfRule>
    <cfRule type="cellIs" priority="165" operator="equal" dxfId="1">
      <formula>"En relecture"</formula>
    </cfRule>
    <cfRule type="cellIs" priority="166" operator="equal" dxfId="1">
      <formula>"En analyse"</formula>
    </cfRule>
    <cfRule type="cellIs" priority="167" operator="equal" dxfId="1">
      <formula>"Entretien planifie"</formula>
    </cfRule>
    <cfRule type="cellIs" priority="168" operator="equal" dxfId="1">
      <formula>"En attente decision"</formula>
    </cfRule>
    <cfRule type="cellIs" priority="169" operator="equal" dxfId="1">
      <formula>"En attente poste"</formula>
    </cfRule>
    <cfRule type="cellIs" priority="170" operator="equal" dxfId="1">
      <formula>"Satisfait"</formula>
    </cfRule>
    <cfRule type="cellIs" priority="171" operator="equal" dxfId="1">
      <formula>"Neutre"</formula>
    </cfRule>
    <cfRule type="cellIs" priority="172" operator="equal" dxfId="1">
      <formula>"En negotation"</formula>
    </cfRule>
    <cfRule type="cellIs" priority="173" operator="equal" dxfId="1">
      <formula>"En pause"</formula>
    </cfRule>
    <cfRule type="cellIs" priority="174" operator="equal" dxfId="1">
      <formula>"En amelioration"</formula>
    </cfRule>
    <cfRule type="cellIs" priority="175" operator="equal" dxfId="1">
      <formula>"En evaluation"</formula>
    </cfRule>
    <cfRule type="cellIs" priority="176" operator="equal" dxfId="2">
      <formula>"Expire"</formula>
    </cfRule>
    <cfRule type="cellIs" priority="177" operator="equal" dxfId="2">
      <formula>"Rejete"</formula>
    </cfRule>
    <cfRule type="cellIs" priority="178" operator="equal" dxfId="2">
      <formula>"Rejetee"</formula>
    </cfRule>
    <cfRule type="cellIs" priority="179" operator="equal" dxfId="2">
      <formula>"Resilie"</formula>
    </cfRule>
    <cfRule type="cellIs" priority="180" operator="equal" dxfId="2">
      <formula>"Annule"</formula>
    </cfRule>
    <cfRule type="cellIs" priority="181" operator="equal" dxfId="2">
      <formula>"Annulee"</formula>
    </cfRule>
    <cfRule type="cellIs" priority="182" operator="equal" dxfId="2">
      <formula>"Refuse"</formula>
    </cfRule>
    <cfRule type="cellIs" priority="183" operator="equal" dxfId="2">
      <formula>"Non justifie"</formula>
    </cfRule>
    <cfRule type="cellIs" priority="184" operator="equal" dxfId="2">
      <formula>"Non justifiee"</formula>
    </cfRule>
    <cfRule type="cellIs" priority="185" operator="equal" dxfId="2">
      <formula>"Sanctionne"</formula>
    </cfRule>
    <cfRule type="cellIs" priority="186" operator="equal" dxfId="2">
      <formula>"Inaptitude"</formula>
    </cfRule>
    <cfRule type="cellIs" priority="187" operator="equal" dxfId="2">
      <formula>"Absent sans autorisation"</formula>
    </cfRule>
    <cfRule type="cellIs" priority="188" operator="equal" dxfId="2">
      <formula>"Abandon de poste"</formula>
    </cfRule>
    <cfRule type="cellIs" priority="189" operator="equal" dxfId="2">
      <formula>"Non satisfait"</formula>
    </cfRule>
    <cfRule type="cellIs" priority="190" operator="equal" dxfId="2">
      <formula>"Depasse"</formula>
    </cfRule>
    <cfRule type="cellIs" priority="191" operator="equal" dxfId="2">
      <formula>"Non utilise"</formula>
    </cfRule>
    <cfRule type="cellIs" priority="192" operator="equal" dxfId="2">
      <formula>"Non applicable"</formula>
    </cfRule>
    <cfRule type="cellIs" priority="193" operator="equal" dxfId="2">
      <formula>"Debutant"</formula>
    </cfRule>
    <cfRule type="cellIs" priority="194" operator="equal" dxfId="2">
      <formula>"Non atteint"</formula>
    </cfRule>
    <cfRule type="cellIs" priority="195" operator="equal" dxfId="2">
      <formula>"Abandonne"</formula>
    </cfRule>
    <cfRule type="cellIs" priority="196" operator="equal" dxfId="2">
      <formula>"Rupture essai"</formula>
    </cfRule>
    <cfRule type="cellIs" priority="197" operator="equal" dxfId="2">
      <formula>"Insuffisant"</formula>
    </cfRule>
    <cfRule type="cellIs" priority="198" operator="equal" dxfId="2">
      <formula>"Moyen"</formula>
    </cfRule>
    <cfRule type="cellIs" priority="199" operator="equal" dxfId="2">
      <formula>"E - Insuffisant"</formula>
    </cfRule>
    <cfRule type="cellIs" priority="200" operator="equal" dxfId="2">
      <formula>"Dissous"</formula>
    </cfRule>
    <cfRule type="cellIs" priority="201" operator="equal" dxfId="2">
      <formula>"Denonce"</formula>
    </cfRule>
    <cfRule type="cellIs" priority="202" operator="equal" dxfId="2">
      <formula>"Echoue"</formula>
    </cfRule>
    <cfRule type="cellIs" priority="203" operator="equal" dxfId="2">
      <formula>"Echouee"</formula>
    </cfRule>
    <cfRule type="cellIs" priority="204" operator="equal" dxfId="2">
      <formula>"Revoque"</formula>
    </cfRule>
    <cfRule type="cellIs" priority="205" operator="equal" dxfId="2">
      <formula>"Demissionnaire"</formula>
    </cfRule>
    <cfRule type="cellIs" priority="206" operator="equal" dxfId="2">
      <formula>"Licenciement pour faute"</formula>
    </cfRule>
    <cfRule type="cellIs" priority="207" operator="equal" dxfId="2">
      <formula>"Licenciement pour faute grave"</formula>
    </cfRule>
    <cfRule type="cellIs" priority="208" operator="equal" dxfId="2">
      <formula>"Terminee - Echec"</formula>
    </cfRule>
    <cfRule type="cellIs" priority="209" operator="equal" dxfId="2">
      <formula>"Abandonnee"</formula>
    </cfRule>
    <cfRule type="cellIs" priority="210" operator="equal" dxfId="2">
      <formula>"Violence physique"</formula>
    </cfRule>
    <cfRule type="cellIs" priority="211" operator="equal" dxfId="2">
      <formula>"Violence verbale"</formula>
    </cfRule>
    <cfRule type="cellIs" priority="212" operator="equal" dxfId="2">
      <formula>"Fatal"</formula>
    </cfRule>
    <cfRule type="cellIs" priority="213" operator="equal" dxfId="2">
      <formula>"Non reconnue"</formula>
    </cfRule>
    <cfRule type="cellIs" priority="214" operator="equal" dxfId="2">
      <formula>"Inapte definitif"</formula>
    </cfRule>
    <cfRule type="cellIs" priority="215" operator="equal" dxfId="2">
      <formula>"Perdu / vole"</formula>
    </cfRule>
    <cfRule type="cellIs" priority="216" operator="equal" dxfId="2">
      <formula>"Rebute"</formula>
    </cfRule>
    <cfRule type="cellIs" priority="217" operator="equal" dxfId="2">
      <formula>"Obsolette"</formula>
    </cfRule>
    <cfRule type="cellIs" priority="218" operator="equal" dxfId="2">
      <formula>"Conteste"</formula>
    </cfRule>
    <cfRule type="cellIs" priority="219" operator="equal" dxfId="2">
      <formula>"Refusee"</formula>
    </cfRule>
    <cfRule type="cellIs" priority="220" operator="equal" dxfId="2">
      <formula>"Non retenu"</formula>
    </cfRule>
    <cfRule type="cellIs" priority="221" operator="equal" dxfId="2">
      <formula>"Non acquis"</formula>
    </cfRule>
    <cfRule type="cellIs" priority="222" operator="equal" dxfId="2">
      <formula>"Contrat termine"</formula>
    </cfRule>
    <cfRule type="cellIs" priority="223" operator="equal" dxfId="2">
      <formula>"Rapatrie"</formula>
    </cfRule>
    <cfRule type="cellIs" priority="224" operator="equal" dxfId="2">
      <formula>"Non conforme"</formula>
    </cfRule>
    <cfRule type="cellIs" priority="225" operator="equal" dxfId="2">
      <formula>"Abandonne"</formula>
    </cfRule>
    <cfRule type="cellIs" priority="226" operator="equal" dxfId="2">
      <formula>"Perdu"</formula>
    </cfRule>
    <cfRule type="cellIs" priority="227" operator="equal" dxfId="2">
      <formula>"Resilie"</formula>
    </cfRule>
    <cfRule type="cellIs" priority="228" operator="equal" dxfId="2">
      <formula>"Expire"</formula>
    </cfRule>
    <cfRule type="cellIs" priority="229" operator="equal" dxfId="2">
      <formula>"Incomplet"</formula>
    </cfRule>
    <cfRule type="cellIs" priority="230" operator="equal" dxfId="2">
      <formula>"Non restitue"</formula>
    </cfRule>
    <cfRule type="cellIs" priority="231" operator="equal" dxfId="2">
      <formula>"Perdu"</formula>
    </cfRule>
    <cfRule type="cellIs" priority="232" operator="equal" dxfId="2">
      <formula>"Secret"</formula>
    </cfRule>
    <cfRule type="cellIs" priority="233" operator="equal" dxfId="2">
      <formula>"Non retenue"</formula>
    </cfRule>
    <cfRule type="cellIs" priority="234" operator="equal" dxfId="2">
      <formula>"Insatisfait"</formula>
    </cfRule>
    <cfRule type="cellIs" priority="235" operator="equal" dxfId="2">
      <formula>"Tres insatisfait"</formula>
    </cfRule>
    <cfRule type="cellIs" priority="236" operator="equal" dxfId="2">
      <formula>"Non mesure"</formula>
    </cfRule>
    <cfRule type="cellIs" priority="237" operator="equal" dxfId="2">
      <formula>"Non renouvele"</formula>
    </cfRule>
  </conditionalFormatting>
  <conditionalFormatting sqref="B10:B109">
    <cfRule type="expression" priority="238" dxfId="3">
      <formula>AND($C10="",$C9&lt;&gt;"")</formula>
    </cfRule>
  </conditionalFormatting>
  <conditionalFormatting sqref="C10:C109">
    <cfRule type="expression" priority="239" dxfId="3">
      <formula>AND($C10="",$C9&lt;&gt;"")</formula>
    </cfRule>
  </conditionalFormatting>
  <conditionalFormatting sqref="D10:D109">
    <cfRule type="expression" priority="240" dxfId="3">
      <formula>AND($C10="",$C9&lt;&gt;"")</formula>
    </cfRule>
  </conditionalFormatting>
  <conditionalFormatting sqref="E10:E109">
    <cfRule type="expression" priority="241" dxfId="3">
      <formula>AND($C10="",$C9&lt;&gt;"")</formula>
    </cfRule>
  </conditionalFormatting>
  <conditionalFormatting sqref="F10:F109">
    <cfRule type="expression" priority="242" dxfId="3">
      <formula>AND($C10="",$C9&lt;&gt;"")</formula>
    </cfRule>
  </conditionalFormatting>
  <conditionalFormatting sqref="G10:G109">
    <cfRule type="expression" priority="243" dxfId="3">
      <formula>AND($C10="",$C9&lt;&gt;"")</formula>
    </cfRule>
  </conditionalFormatting>
  <conditionalFormatting sqref="H10:H109">
    <cfRule type="expression" priority="244" dxfId="3">
      <formula>AND($C10="",$C9&lt;&gt;"")</formula>
    </cfRule>
  </conditionalFormatting>
  <conditionalFormatting sqref="I10:I109">
    <cfRule type="expression" priority="245" dxfId="3">
      <formula>AND($C10="",$C9&lt;&gt;"")</formula>
    </cfRule>
  </conditionalFormatting>
  <conditionalFormatting sqref="J10:J109">
    <cfRule type="expression" priority="246" dxfId="3">
      <formula>AND($C10="",$C9&lt;&gt;"")</formula>
    </cfRule>
  </conditionalFormatting>
  <conditionalFormatting sqref="K10:K109">
    <cfRule type="expression" priority="247" dxfId="3">
      <formula>AND($C10="",$C9&lt;&gt;"")</formula>
    </cfRule>
  </conditionalFormatting>
  <dataValidations count="2">
    <dataValidation sqref="D5:D109" showDropDown="0" showInputMessage="0" showErrorMessage="0" allowBlank="1" errorTitle="Erreur" error="Valeur invalide" promptTitle="Liste" prompt="Choisir dans la liste" type="list">
      <formula1>'_Lists'!$D$2:$D$9</formula1>
    </dataValidation>
    <dataValidation sqref="J5:J109" showDropDown="0" showInputMessage="0" showErrorMessage="0" allowBlank="1" errorTitle="Erreur" error="Valeur invalide" promptTitle="Liste" prompt="Choisir dans la liste" type="list">
      <formula1>'_Lists'!$P$2:$P$6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2026-07-06T10:00:55Z</dcterms:created>
  <dcterms:modified xmlns:dcterms="http://purl.org/dc/terms/" xmlns:xsi="http://www.w3.org/2001/XMLSchema-instance" xsi:type="dcterms:W3CDTF">2026-07-09T19:06:47Z</dcterms:modified>
</cp:coreProperties>
</file>