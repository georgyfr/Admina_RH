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Cartographie Talents" sheetId="4" state="visible" r:id="rId4"/>
    <sheet xmlns:r="http://schemas.openxmlformats.org/officeDocument/2006/relationships" name="3-Plans de Carriere" sheetId="5" state="visible" r:id="rId5"/>
    <sheet xmlns:r="http://schemas.openxmlformats.org/officeDocument/2006/relationships" name="4-Mobilite Interne" sheetId="6" state="visible" r:id="rId6"/>
    <sheet xmlns:r="http://schemas.openxmlformats.org/officeDocument/2006/relationships" name="5-Successeurs &amp; Releve" sheetId="7" state="visible" r:id="rId7"/>
    <sheet xmlns:r="http://schemas.openxmlformats.org/officeDocument/2006/relationships" name="6-Programmes Mentorat" sheetId="8" state="visible" r:id="rId8"/>
    <sheet xmlns:r="http://schemas.openxmlformats.org/officeDocument/2006/relationships" name="7-Hauts Potentiels HiPo" sheetId="9" state="visible" r:id="rId9"/>
    <sheet xmlns:r="http://schemas.openxmlformats.org/officeDocument/2006/relationships" name="8-Plan de Retention" sheetId="10" state="visible" r:id="rId10"/>
    <sheet xmlns:r="http://schemas.openxmlformats.org/officeDocument/2006/relationships" name="9-Entretiens Professionnels" sheetId="11" state="visible" r:id="rId11"/>
    <sheet xmlns:r="http://schemas.openxmlformats.org/officeDocument/2006/relationships" name="10-Bilan Competences" sheetId="12" state="visible" r:id="rId12"/>
    <sheet xmlns:r="http://schemas.openxmlformats.org/officeDocument/2006/relationships" name="11-Gestion Expatries" sheetId="13" state="visible" r:id="rId13"/>
    <sheet xmlns:r="http://schemas.openxmlformats.org/officeDocument/2006/relationships" name="12-Suivi Plans Carriere" sheetId="14" state="visible" r:id="rId14"/>
    <sheet xmlns:r="http://schemas.openxmlformats.org/officeDocument/2006/relationships" name="13-Taux Mobilite Interne" sheetId="15" state="visible" r:id="rId15"/>
    <sheet xmlns:r="http://schemas.openxmlformats.org/officeDocument/2006/relationships" name="14-Matrice Potentiel 9Box" sheetId="16" state="visible" r:id="rId16"/>
    <sheet xmlns:r="http://schemas.openxmlformats.org/officeDocument/2006/relationships" name="15-Historique Mentorat" sheetId="17" state="visible" r:id="rId17"/>
    <sheet xmlns:r="http://schemas.openxmlformats.org/officeDocument/2006/relationships" name="16-Indicateurs Retention" sheetId="18" state="visible" r:id="rId18"/>
    <sheet xmlns:r="http://schemas.openxmlformats.org/officeDocument/2006/relationships" name="17-Calendrier Entretiens" sheetId="19" state="visible" r:id="rId19"/>
    <sheet xmlns:r="http://schemas.openxmlformats.org/officeDocument/2006/relationships" name="18-Suivi Successeurs" sheetId="20" state="visible" r:id="rId20"/>
    <sheet xmlns:r="http://schemas.openxmlformats.org/officeDocument/2006/relationships" name="19-Analyse Ecarts Compet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DD/MM/YYYY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1" fontId="8" fillId="4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fgColor rgb="00FFFD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Mobilites Interne par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Bord'!$B$20:$B$24</f>
            </numRef>
          </cat>
          <val>
            <numRef>
              <f>'1-Tableau de Bord'!$C$20:$C$24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Distribution Categories Talents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Bord'!$H$27:$H$32</f>
            </numRef>
          </cat>
          <val>
            <numRef>
              <f>'1-Tableau de Bord'!$I$27:$I$32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1"/>
    <row r="2"/>
    <row r="3"/>
    <row r="4">
      <c r="B4" s="35" t="inlineStr">
        <is>
          <t>Matricule</t>
        </is>
      </c>
      <c r="C4" s="35" t="inlineStr">
        <is>
          <t>Civilité</t>
        </is>
      </c>
      <c r="D4" s="35" t="inlineStr">
        <is>
          <t>Nom</t>
        </is>
      </c>
      <c r="E4" s="35" t="inlineStr">
        <is>
          <t>Prénom</t>
        </is>
      </c>
      <c r="F4" s="35" t="inlineStr">
        <is>
          <t>Département</t>
        </is>
      </c>
      <c r="G4" s="35" t="inlineStr">
        <is>
          <t>Poste</t>
        </is>
      </c>
      <c r="H4" s="35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10 — GESTION DES TALENTS &amp; MOBILITE INTERNE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Talents identifies</t>
        </is>
      </c>
      <c r="E5" s="3" t="inlineStr">
        <is>
          <t>Plans de carriere</t>
        </is>
      </c>
      <c r="H5" s="3" t="inlineStr">
        <is>
          <t>Mobilites internes</t>
        </is>
      </c>
      <c r="K5" s="3" t="inlineStr">
        <is>
          <t>Successeurs designes</t>
        </is>
      </c>
    </row>
    <row r="6">
      <c r="B6" s="4">
        <f>COUNTIF('2-Cartographie Talents'!B5:B104,"&lt;&gt;")</f>
        <v/>
      </c>
      <c r="E6" s="4">
        <f>COUNTIF('3-Plans de Carriere'!B5:B104,"&lt;&gt;")</f>
        <v/>
      </c>
      <c r="H6" s="4">
        <f>COUNTIF('4-Mobilite Interne'!B5:B104,"&lt;&gt;")</f>
        <v/>
      </c>
      <c r="K6" s="4">
        <f>COUNTIF('5-Successeurs &amp; Releve'!B5:B104,"&lt;&gt;")</f>
        <v/>
      </c>
    </row>
    <row r="7"/>
    <row r="8"/>
    <row r="9">
      <c r="B9" s="3" t="inlineStr">
        <is>
          <t>HiPo identifies</t>
        </is>
      </c>
      <c r="E9" s="3" t="inlineStr">
        <is>
          <t>Programmes mentorat</t>
        </is>
      </c>
      <c r="H9" s="3" t="inlineStr">
        <is>
          <t>Actions retention</t>
        </is>
      </c>
      <c r="K9" s="3" t="inlineStr">
        <is>
          <t>Cout retention (M FCFA)</t>
        </is>
      </c>
    </row>
    <row r="10">
      <c r="B10" s="4">
        <f>COUNTIF('7-Hauts Potentiels HiPo'!B5:B104,"&lt;&gt;")</f>
        <v/>
      </c>
      <c r="E10" s="4">
        <f>COUNTIF('6-Programmes Mentorat'!B5:B104,"&lt;&gt;")</f>
        <v/>
      </c>
      <c r="H10" s="4">
        <f>COUNTIF('8-Plan de Retention'!B5:B104,"&lt;&gt;")</f>
        <v/>
      </c>
      <c r="K10" s="5">
        <f>IFERROR(SUM('8-Plan de Retention'!I5:I104)/1000000,0)</f>
        <v/>
      </c>
    </row>
    <row r="11"/>
    <row r="12"/>
    <row r="13">
      <c r="B13" s="3" t="inlineStr">
        <is>
          <t>Entretiens pro realises</t>
        </is>
      </c>
      <c r="E13" s="3" t="inlineStr">
        <is>
          <t>Bilans competences</t>
        </is>
      </c>
      <c r="H13" s="3" t="inlineStr">
        <is>
          <t>Expatries en poste</t>
        </is>
      </c>
      <c r="K13" s="3" t="inlineStr">
        <is>
          <t>Postes cles couverts</t>
        </is>
      </c>
    </row>
    <row r="14">
      <c r="B14" s="4">
        <f>COUNTIF('9-Entretiens Professionnels'!B5:B104,"&lt;&gt;")</f>
        <v/>
      </c>
      <c r="E14" s="4">
        <f>COUNTIF('10-Bilan Competences'!B5:B104,"&lt;&gt;")</f>
        <v/>
      </c>
      <c r="H14" s="4">
        <f>COUNTIF('11-Gestion Expatries'!B5:B104,"&lt;&gt;")</f>
        <v/>
      </c>
      <c r="K14" s="4">
        <f>COUNTIF('18-Suivi Successeurs'!B5:B104,"&lt;&gt;")</f>
        <v/>
      </c>
    </row>
    <row r="15"/>
    <row r="16"/>
    <row r="17"/>
    <row r="18">
      <c r="B18" s="6" t="inlineStr">
        <is>
          <t>MOBILITE INTERNE PAR DEPARTEMENT &amp; CATEGORIES TALENTS</t>
        </is>
      </c>
    </row>
    <row r="19" ht="15" customHeight="1">
      <c r="B19" s="3" t="inlineStr">
        <is>
          <t>Type Mobilite</t>
        </is>
      </c>
      <c r="C19" s="3" t="inlineStr">
        <is>
          <t>Nombre</t>
        </is>
      </c>
    </row>
    <row r="20" ht="15" customHeight="1">
      <c r="B20" s="7" t="inlineStr">
        <is>
          <t>Promotion</t>
        </is>
      </c>
      <c r="C20" s="8">
        <f>COUNTIF('4-Mobilite Interne'!H5:H104,"Promotion")</f>
        <v/>
      </c>
    </row>
    <row r="21" ht="15" customHeight="1">
      <c r="B21" s="7" t="inlineStr">
        <is>
          <t>Mutation laterale</t>
        </is>
      </c>
      <c r="C21" s="8">
        <f>COUNTIF('4-Mobilite Interne'!H5:H104,"Mutation laterale")</f>
        <v/>
      </c>
    </row>
    <row r="22" ht="15" customHeight="1">
      <c r="B22" s="7" t="inlineStr">
        <is>
          <t>Rotation poste</t>
        </is>
      </c>
      <c r="C22" s="8">
        <f>COUNTIF('4-Mobilite Interne'!H5:H104,"Rotation poste")</f>
        <v/>
      </c>
    </row>
    <row r="23" ht="15" customHeight="1">
      <c r="B23" s="7" t="inlineStr">
        <is>
          <t>Detachement</t>
        </is>
      </c>
      <c r="C23" s="8">
        <f>COUNTIF('4-Mobilite Interne'!H5:H104,"Detachement")</f>
        <v/>
      </c>
    </row>
    <row r="24" ht="15" customHeight="1">
      <c r="B24" s="7" t="inlineStr">
        <is>
          <t>Mutation geographique</t>
        </is>
      </c>
      <c r="C24" s="8">
        <f>COUNTIF('4-Mobilite Interne'!H5:H104,"Mutation geographique")</f>
        <v/>
      </c>
    </row>
    <row r="25" ht="15" customHeight="1"/>
    <row r="26" ht="15" customHeight="1">
      <c r="H26" s="3" t="inlineStr">
        <is>
          <t>Categorie Talent</t>
        </is>
      </c>
      <c r="I26" s="3" t="inlineStr">
        <is>
          <t>Effectif</t>
        </is>
      </c>
    </row>
    <row r="27" ht="15" customHeight="1">
      <c r="H27" s="7" t="inlineStr">
        <is>
          <t>Etoile montante</t>
        </is>
      </c>
      <c r="I27" s="8">
        <f>COUNTIF('2-Cartographie Talents'!J5:J104,"Etoile montante")</f>
        <v/>
      </c>
    </row>
    <row r="28" ht="15" customHeight="1">
      <c r="H28" s="7" t="inlineStr">
        <is>
          <t>Performeur stable</t>
        </is>
      </c>
      <c r="I28" s="8">
        <f>COUNTIF('2-Cartographie Talents'!J5:J104,"Performeur stable")</f>
        <v/>
      </c>
    </row>
    <row r="29" ht="15" customHeight="1">
      <c r="H29" s="7" t="inlineStr">
        <is>
          <t>Expert technique</t>
        </is>
      </c>
      <c r="I29" s="8">
        <f>COUNTIF('2-Cartographie Talents'!J5:J104,"Expert technique")</f>
        <v/>
      </c>
    </row>
    <row r="30" ht="15" customHeight="1">
      <c r="H30" s="7" t="inlineStr">
        <is>
          <t>Leader naturel</t>
        </is>
      </c>
      <c r="I30" s="8">
        <f>COUNTIF('2-Cartographie Talents'!J5:J104,"Leader naturel")</f>
        <v/>
      </c>
    </row>
    <row r="31" ht="15" customHeight="1">
      <c r="H31" s="7" t="inlineStr">
        <is>
          <t>Potentiel cache</t>
        </is>
      </c>
      <c r="I31" s="8">
        <f>COUNTIF('2-Cartographie Talents'!J5:J104,"Potentiel cache")</f>
        <v/>
      </c>
    </row>
    <row r="32" ht="15" customHeight="1">
      <c r="H32" s="7" t="inlineStr">
        <is>
          <t>A surveiller</t>
        </is>
      </c>
      <c r="I32" s="8">
        <f>COUNTIF('2-Cartographie Talents'!J5:J104,"A surveiller")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I27">
    <cfRule type="cellIs" priority="18" operator="greaterThan" dxfId="4">
      <formula>0</formula>
    </cfRule>
  </conditionalFormatting>
  <conditionalFormatting sqref="I28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conditionalFormatting sqref="I32">
    <cfRule type="cellIs" priority="23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departement</t>
        </is>
      </c>
      <c r="C1" s="9" t="inlineStr">
        <is>
          <t>poste_hotel</t>
        </is>
      </c>
      <c r="D1" s="9" t="inlineStr">
        <is>
          <t>niveau_potentiel</t>
        </is>
      </c>
      <c r="E1" s="9" t="inlineStr">
        <is>
          <t>performance</t>
        </is>
      </c>
      <c r="F1" s="9" t="inlineStr">
        <is>
          <t>categorie_talent</t>
        </is>
      </c>
      <c r="G1" s="9" t="inlineStr">
        <is>
          <t>type_mobilite</t>
        </is>
      </c>
      <c r="H1" s="9" t="inlineStr">
        <is>
          <t>statut_mobilite</t>
        </is>
      </c>
      <c r="I1" s="9" t="inlineStr">
        <is>
          <t>type_mentorat</t>
        </is>
      </c>
      <c r="J1" s="9" t="inlineStr">
        <is>
          <t>statut_mentorat</t>
        </is>
      </c>
      <c r="K1" s="9" t="inlineStr">
        <is>
          <t>statut_releve</t>
        </is>
      </c>
      <c r="L1" s="9" t="inlineStr">
        <is>
          <t>niveau_risque_depart</t>
        </is>
      </c>
      <c r="M1" s="9" t="inlineStr">
        <is>
          <t>cause_risque</t>
        </is>
      </c>
      <c r="N1" s="9" t="inlineStr">
        <is>
          <t>frequence_entretien</t>
        </is>
      </c>
      <c r="O1" s="9" t="inlineStr">
        <is>
          <t>statut_entretien</t>
        </is>
      </c>
      <c r="P1" s="9" t="inlineStr">
        <is>
          <t>type_competence</t>
        </is>
      </c>
      <c r="Q1" s="9" t="inlineStr">
        <is>
          <t>niveau_competence</t>
        </is>
      </c>
      <c r="R1" s="9" t="inlineStr">
        <is>
          <t>ecart_competence</t>
        </is>
      </c>
      <c r="S1" s="9" t="inlineStr">
        <is>
          <t>statut_plan</t>
        </is>
      </c>
      <c r="T1" s="9" t="inlineStr">
        <is>
          <t>pays</t>
        </is>
      </c>
      <c r="U1" s="9" t="inlineStr">
        <is>
          <t>type_contrat_expatrie</t>
        </is>
      </c>
      <c r="V1" s="9" t="inlineStr">
        <is>
          <t>statut_expatrie</t>
        </is>
      </c>
      <c r="W1" s="9" t="inlineStr">
        <is>
          <t>mois</t>
        </is>
      </c>
      <c r="X1" s="9" t="inlineStr">
        <is>
          <t>annee</t>
        </is>
      </c>
      <c r="Y1" s="9" t="inlineStr">
        <is>
          <t>action_retention</t>
        </is>
      </c>
      <c r="Z1" s="9" t="inlineStr">
        <is>
          <t>statut_action_retention</t>
        </is>
      </c>
    </row>
    <row r="2">
      <c r="B2" s="10" t="inlineStr">
        <is>
          <t>Direction Générale</t>
        </is>
      </c>
      <c r="C2" s="10" t="inlineStr">
        <is>
          <t>DG</t>
        </is>
      </c>
      <c r="D2" s="10" t="inlineStr">
        <is>
          <t>Faible</t>
        </is>
      </c>
      <c r="E2" s="10" t="inlineStr">
        <is>
          <t>Insuffisant</t>
        </is>
      </c>
      <c r="F2" s="10" t="inlineStr">
        <is>
          <t>Etoile montante</t>
        </is>
      </c>
      <c r="G2" s="10" t="inlineStr">
        <is>
          <t>Promotion</t>
        </is>
      </c>
      <c r="H2" s="10" t="inlineStr">
        <is>
          <t>En cours</t>
        </is>
      </c>
      <c r="I2" s="10" t="inlineStr">
        <is>
          <t>Mentorat classique</t>
        </is>
      </c>
      <c r="J2" s="10" t="inlineStr">
        <is>
          <t>En cours</t>
        </is>
      </c>
      <c r="K2" s="10" t="inlineStr">
        <is>
          <t>Candidat identifie</t>
        </is>
      </c>
      <c r="L2" s="10" t="inlineStr">
        <is>
          <t>Faible</t>
        </is>
      </c>
      <c r="M2" s="10" t="inlineStr">
        <is>
          <t>Insatisfaction salariale</t>
        </is>
      </c>
      <c r="N2" s="10" t="inlineStr">
        <is>
          <t>Annuel</t>
        </is>
      </c>
      <c r="O2" s="10" t="inlineStr">
        <is>
          <t>Planifie</t>
        </is>
      </c>
      <c r="P2" s="10" t="inlineStr">
        <is>
          <t>Technique</t>
        </is>
      </c>
      <c r="Q2" s="10" t="inlineStr">
        <is>
          <t>Debutant</t>
        </is>
      </c>
      <c r="R2" s="10" t="inlineStr">
        <is>
          <t>Acquis</t>
        </is>
      </c>
      <c r="S2" s="10" t="inlineStr">
        <is>
          <t>En elaboration</t>
        </is>
      </c>
      <c r="T2" s="10" t="inlineStr">
        <is>
          <t>Cameroun</t>
        </is>
      </c>
      <c r="U2" s="10" t="inlineStr">
        <is>
          <t>Detachement</t>
        </is>
      </c>
      <c r="V2" s="10" t="inlineStr">
        <is>
          <t>En poste</t>
        </is>
      </c>
      <c r="W2" s="10" t="inlineStr">
        <is>
          <t>Janvier</t>
        </is>
      </c>
      <c r="X2" s="10" t="inlineStr">
        <is>
          <t>2024</t>
        </is>
      </c>
      <c r="Y2" s="10" t="inlineStr">
        <is>
          <t>Augmentation salariale</t>
        </is>
      </c>
      <c r="Z2" s="10" t="inlineStr">
        <is>
          <t>Proposee</t>
        </is>
      </c>
    </row>
    <row r="3">
      <c r="B3" s="10" t="inlineStr">
        <is>
          <t>Service Client</t>
        </is>
      </c>
      <c r="C3" s="10" t="inlineStr">
        <is>
          <t>DRH</t>
        </is>
      </c>
      <c r="D3" s="10" t="inlineStr">
        <is>
          <t>Moyen</t>
        </is>
      </c>
      <c r="E3" s="10" t="inlineStr">
        <is>
          <t>Moyen</t>
        </is>
      </c>
      <c r="F3" s="10" t="inlineStr">
        <is>
          <t>Performeur stable</t>
        </is>
      </c>
      <c r="G3" s="10" t="inlineStr">
        <is>
          <t>Mutation laterale</t>
        </is>
      </c>
      <c r="H3" s="10" t="inlineStr">
        <is>
          <t>Accepte</t>
        </is>
      </c>
      <c r="I3" s="10" t="inlineStr">
        <is>
          <t>Coaching</t>
        </is>
      </c>
      <c r="J3" s="10" t="inlineStr">
        <is>
          <t>Termine</t>
        </is>
      </c>
      <c r="K3" s="10" t="inlineStr">
        <is>
          <t>En formation</t>
        </is>
      </c>
      <c r="L3" s="10" t="inlineStr">
        <is>
          <t>Moyen</t>
        </is>
      </c>
      <c r="M3" s="10" t="inlineStr">
        <is>
          <t>Manque de perspective</t>
        </is>
      </c>
      <c r="N3" s="10" t="inlineStr">
        <is>
          <t>Semestriel</t>
        </is>
      </c>
      <c r="O3" s="10" t="inlineStr">
        <is>
          <t>Realise</t>
        </is>
      </c>
      <c r="P3" s="10" t="inlineStr">
        <is>
          <t>Comportementale</t>
        </is>
      </c>
      <c r="Q3" s="10" t="inlineStr">
        <is>
          <t>Intermediaire</t>
        </is>
      </c>
      <c r="R3" s="10" t="inlineStr">
        <is>
          <t>A developper</t>
        </is>
      </c>
      <c r="S3" s="10" t="inlineStr">
        <is>
          <t>Valide</t>
        </is>
      </c>
      <c r="T3" s="10" t="inlineStr">
        <is>
          <t>Cote d'Ivoire</t>
        </is>
      </c>
      <c r="U3" s="10" t="inlineStr">
        <is>
          <t>Expatriation classique</t>
        </is>
      </c>
      <c r="V3" s="10" t="inlineStr">
        <is>
          <t>En transit</t>
        </is>
      </c>
      <c r="W3" s="10" t="inlineStr">
        <is>
          <t>Fevrier</t>
        </is>
      </c>
      <c r="X3" s="10" t="inlineStr">
        <is>
          <t>2025</t>
        </is>
      </c>
      <c r="Y3" s="10" t="inlineStr">
        <is>
          <t>Promotion</t>
        </is>
      </c>
      <c r="Z3" s="10" t="inlineStr">
        <is>
          <t>Acceptee</t>
        </is>
      </c>
    </row>
    <row r="4">
      <c r="B4" s="10" t="inlineStr">
        <is>
          <t>Finance &amp; Comptabilité</t>
        </is>
      </c>
      <c r="C4" s="10" t="inlineStr">
        <is>
          <t>Assistante RH</t>
        </is>
      </c>
      <c r="D4" s="10" t="inlineStr">
        <is>
          <t>Eleve</t>
        </is>
      </c>
      <c r="E4" s="10" t="inlineStr">
        <is>
          <t>Bon</t>
        </is>
      </c>
      <c r="F4" s="10" t="inlineStr">
        <is>
          <t>Expert technique</t>
        </is>
      </c>
      <c r="G4" s="10" t="inlineStr">
        <is>
          <t>Rotation poste</t>
        </is>
      </c>
      <c r="H4" s="10" t="inlineStr">
        <is>
          <t>Realise</t>
        </is>
      </c>
      <c r="I4" s="10" t="inlineStr">
        <is>
          <t>Parrainage</t>
        </is>
      </c>
      <c r="J4" s="10" t="inlineStr">
        <is>
          <t>Suspendu</t>
        </is>
      </c>
      <c r="K4" s="10" t="inlineStr">
        <is>
          <t>Pret</t>
        </is>
      </c>
      <c r="L4" s="10" t="inlineStr">
        <is>
          <t>Eleve</t>
        </is>
      </c>
      <c r="M4" s="10" t="inlineStr">
        <is>
          <t>Conflit manager</t>
        </is>
      </c>
      <c r="N4" s="10" t="inlineStr">
        <is>
          <t>Trimestriel</t>
        </is>
      </c>
      <c r="O4" s="10" t="inlineStr">
        <is>
          <t>Reporte</t>
        </is>
      </c>
      <c r="P4" s="10" t="inlineStr">
        <is>
          <t>Manageriale</t>
        </is>
      </c>
      <c r="Q4" s="10" t="inlineStr">
        <is>
          <t>Avance</t>
        </is>
      </c>
      <c r="R4" s="10" t="inlineStr">
        <is>
          <t>A renforcer</t>
        </is>
      </c>
      <c r="S4" s="10" t="inlineStr">
        <is>
          <t>En cours</t>
        </is>
      </c>
      <c r="T4" s="10" t="inlineStr">
        <is>
          <t>Senegal</t>
        </is>
      </c>
      <c r="U4" s="10" t="inlineStr">
        <is>
          <t>Contrat local</t>
        </is>
      </c>
      <c r="V4" s="10" t="inlineStr">
        <is>
          <t>Rapatrie</t>
        </is>
      </c>
      <c r="W4" s="10" t="inlineStr">
        <is>
          <t>Mars</t>
        </is>
      </c>
      <c r="X4" s="10" t="inlineStr">
        <is>
          <t>2026</t>
        </is>
      </c>
      <c r="Y4" s="10" t="inlineStr">
        <is>
          <t>Formation qualifiante</t>
        </is>
      </c>
      <c r="Z4" s="10" t="inlineStr">
        <is>
          <t>En cours</t>
        </is>
      </c>
    </row>
    <row r="5">
      <c r="B5" s="10" t="inlineStr">
        <is>
          <t>Marketing &amp; Communication</t>
        </is>
      </c>
      <c r="C5" s="10" t="inlineStr">
        <is>
          <t>DAF</t>
        </is>
      </c>
      <c r="D5" s="10" t="inlineStr">
        <is>
          <t>Tres eleve</t>
        </is>
      </c>
      <c r="E5" s="10" t="inlineStr">
        <is>
          <t>Tres bon</t>
        </is>
      </c>
      <c r="F5" s="10" t="inlineStr">
        <is>
          <t>Leader naturel</t>
        </is>
      </c>
      <c r="G5" s="10" t="inlineStr">
        <is>
          <t>Detachement</t>
        </is>
      </c>
      <c r="H5" s="10" t="inlineStr">
        <is>
          <t>Refuse</t>
        </is>
      </c>
      <c r="I5" s="10" t="inlineStr">
        <is>
          <t>Tutorat</t>
        </is>
      </c>
      <c r="J5" s="10" t="inlineStr">
        <is>
          <t>En attente</t>
        </is>
      </c>
      <c r="K5" s="10" t="inlineStr">
        <is>
          <t>Nomme</t>
        </is>
      </c>
      <c r="L5" s="10" t="inlineStr">
        <is>
          <t>Critique</t>
        </is>
      </c>
      <c r="M5" s="10" t="inlineStr">
        <is>
          <t>Charge de travail</t>
        </is>
      </c>
      <c r="O5" s="10" t="inlineStr">
        <is>
          <t>Annule</t>
        </is>
      </c>
      <c r="P5" s="10" t="inlineStr">
        <is>
          <t>Linguistique</t>
        </is>
      </c>
      <c r="Q5" s="10" t="inlineStr">
        <is>
          <t>Expert</t>
        </is>
      </c>
      <c r="R5" s="10" t="inlineStr">
        <is>
          <t>Non acquis</t>
        </is>
      </c>
      <c r="S5" s="10" t="inlineStr">
        <is>
          <t>Evalue</t>
        </is>
      </c>
      <c r="T5" s="10" t="inlineStr">
        <is>
          <t>Gabon</t>
        </is>
      </c>
      <c r="U5" s="10" t="inlineStr">
        <is>
          <t>Mission courte duree</t>
        </is>
      </c>
      <c r="V5" s="10" t="inlineStr">
        <is>
          <t>En attente visa</t>
        </is>
      </c>
      <c r="W5" s="10" t="inlineStr">
        <is>
          <t>Avril</t>
        </is>
      </c>
      <c r="Y5" s="10" t="inlineStr">
        <is>
          <t>Avantages sociaux</t>
        </is>
      </c>
      <c r="Z5" s="10" t="inlineStr">
        <is>
          <t>Refusee</t>
        </is>
      </c>
    </row>
    <row r="6">
      <c r="B6" s="10" t="inlineStr">
        <is>
          <t>Maintenance</t>
        </is>
      </c>
      <c r="C6" s="10" t="inlineStr">
        <is>
          <t>Comptable senior</t>
        </is>
      </c>
      <c r="E6" s="10" t="inlineStr">
        <is>
          <t>Excellent</t>
        </is>
      </c>
      <c r="F6" s="10" t="inlineStr">
        <is>
          <t>Potentiel cache</t>
        </is>
      </c>
      <c r="G6" s="10" t="inlineStr">
        <is>
          <t>Mutation geographique</t>
        </is>
      </c>
      <c r="H6" s="10" t="inlineStr">
        <is>
          <t>Reporte</t>
        </is>
      </c>
      <c r="I6" s="10" t="inlineStr">
        <is>
          <t>Shadowing</t>
        </is>
      </c>
      <c r="J6" s="10" t="inlineStr">
        <is>
          <t>Annule</t>
        </is>
      </c>
      <c r="K6" s="10" t="inlineStr">
        <is>
          <t>Non retenu</t>
        </is>
      </c>
      <c r="M6" s="10" t="inlineStr">
        <is>
          <t>Opportunite externe</t>
        </is>
      </c>
      <c r="P6" s="10" t="inlineStr">
        <is>
          <t>Numerique</t>
        </is>
      </c>
      <c r="Q6" s="10" t="inlineStr">
        <is>
          <t>Maitre</t>
        </is>
      </c>
      <c r="R6" s="10" t="inlineStr">
        <is>
          <t>En cours d'acquisition</t>
        </is>
      </c>
      <c r="S6" s="10" t="inlineStr">
        <is>
          <t>Archive</t>
        </is>
      </c>
      <c r="T6" s="10" t="inlineStr">
        <is>
          <t>Congo</t>
        </is>
      </c>
      <c r="V6" s="10" t="inlineStr">
        <is>
          <t>Contrat termine</t>
        </is>
      </c>
      <c r="W6" s="10" t="inlineStr">
        <is>
          <t>Mai</t>
        </is>
      </c>
      <c r="Y6" s="10" t="inlineStr">
        <is>
          <t>Flexibilite horaires</t>
        </is>
      </c>
      <c r="Z6" s="10" t="inlineStr">
        <is>
          <t>Terminee</t>
        </is>
      </c>
    </row>
    <row r="7">
      <c r="B7" s="10" t="inlineStr">
        <is>
          <t>Commercial</t>
        </is>
      </c>
      <c r="C7" s="10" t="inlineStr">
        <is>
          <t>Chef Comptable</t>
        </is>
      </c>
      <c r="F7" s="10" t="inlineStr">
        <is>
          <t>A surveiller</t>
        </is>
      </c>
      <c r="H7" s="10" t="inlineStr">
        <is>
          <t>Annule</t>
        </is>
      </c>
      <c r="K7" s="10" t="inlineStr">
        <is>
          <t>En evaluation</t>
        </is>
      </c>
      <c r="M7" s="10" t="inlineStr">
        <is>
          <t>Raison personnelle</t>
        </is>
      </c>
      <c r="P7" s="10" t="inlineStr">
        <is>
          <t>Secteur hotelier</t>
        </is>
      </c>
      <c r="T7" s="10" t="inlineStr">
        <is>
          <t>Tchad</t>
        </is>
      </c>
      <c r="W7" s="10" t="inlineStr">
        <is>
          <t>Juin</t>
        </is>
      </c>
      <c r="Y7" s="10" t="inlineStr">
        <is>
          <t>Teletravail partiel</t>
        </is>
      </c>
      <c r="Z7" s="10" t="inlineStr">
        <is>
          <t>Non applicable</t>
        </is>
      </c>
    </row>
    <row r="8">
      <c r="B8" s="10" t="inlineStr">
        <is>
          <t>Logistique &amp; Approvisionnement</t>
        </is>
      </c>
      <c r="C8" s="10" t="inlineStr">
        <is>
          <t>Chef Marketing</t>
        </is>
      </c>
      <c r="M8" s="10" t="inlineStr">
        <is>
          <t>Mauvais climat social</t>
        </is>
      </c>
      <c r="T8" s="10" t="inlineStr">
        <is>
          <t>France</t>
        </is>
      </c>
      <c r="W8" s="10" t="inlineStr">
        <is>
          <t>Juillet</t>
        </is>
      </c>
      <c r="Y8" s="10" t="inlineStr">
        <is>
          <t>Prime de retention</t>
        </is>
      </c>
    </row>
    <row r="9">
      <c r="B9" s="10" t="inlineStr">
        <is>
          <t>Cuisine &amp; Restauration</t>
        </is>
      </c>
      <c r="C9" s="10" t="inlineStr">
        <is>
          <t>Chef de service IT</t>
        </is>
      </c>
      <c r="T9" s="10" t="inlineStr">
        <is>
          <t>Maroc</t>
        </is>
      </c>
      <c r="W9" s="10" t="inlineStr">
        <is>
          <t>Aout</t>
        </is>
      </c>
      <c r="Y9" s="10" t="inlineStr">
        <is>
          <t>Plan de carriere personnalise</t>
        </is>
      </c>
    </row>
    <row r="10">
      <c r="B10" s="10" t="inlineStr">
        <is>
          <t>Réception &amp; Front Office</t>
        </is>
      </c>
      <c r="C10" s="10" t="inlineStr">
        <is>
          <t>Technicien IT</t>
        </is>
      </c>
      <c r="T10" s="10" t="inlineStr">
        <is>
          <t>Tunisie</t>
        </is>
      </c>
      <c r="W10" s="10" t="inlineStr">
        <is>
          <t>Septembre</t>
        </is>
      </c>
      <c r="Y10" s="10" t="inlineStr">
        <is>
          <t>Amelioration conditions travail</t>
        </is>
      </c>
    </row>
    <row r="11">
      <c r="B11" s="10" t="inlineStr">
        <is>
          <t>Sécurité</t>
        </is>
      </c>
      <c r="C11" s="10" t="inlineStr">
        <is>
          <t>Chef Commercial</t>
        </is>
      </c>
      <c r="T11" s="10" t="inlineStr">
        <is>
          <t>Turquie</t>
        </is>
      </c>
      <c r="W11" s="10" t="inlineStr">
        <is>
          <t>Octobre</t>
        </is>
      </c>
      <c r="Y11" s="10" t="inlineStr">
        <is>
          <t>Reconnaissance &amp;表彰</t>
        </is>
      </c>
    </row>
    <row r="12">
      <c r="B12" s="10" t="inlineStr">
        <is>
          <t>Étage &amp; Housekeeping</t>
        </is>
      </c>
      <c r="C12" s="10" t="inlineStr">
        <is>
          <t>Agent Commercial</t>
        </is>
      </c>
      <c r="T12" s="10" t="inlineStr">
        <is>
          <t>Emirats Arabes Unis</t>
        </is>
      </c>
      <c r="W12" s="10" t="inlineStr">
        <is>
          <t>Novembre</t>
        </is>
      </c>
    </row>
    <row r="13">
      <c r="B13" s="10" t="n"/>
      <c r="C13" s="10" t="inlineStr">
        <is>
          <t>Chef Logistique</t>
        </is>
      </c>
      <c r="W13" s="10" t="inlineStr">
        <is>
          <t>Decembre</t>
        </is>
      </c>
    </row>
    <row r="14">
      <c r="B14" s="10" t="n"/>
      <c r="C14" s="10" t="inlineStr">
        <is>
          <t>Magasinier</t>
        </is>
      </c>
    </row>
    <row r="15">
      <c r="C15" s="10" t="inlineStr">
        <is>
          <t>Chef Reception</t>
        </is>
      </c>
    </row>
    <row r="16">
      <c r="C16" s="10" t="inlineStr">
        <is>
          <t>Receptionniste</t>
        </is>
      </c>
    </row>
    <row r="17">
      <c r="C17" s="10" t="inlineStr">
        <is>
          <t>Concierge</t>
        </is>
      </c>
    </row>
    <row r="18">
      <c r="C18" s="10" t="inlineStr">
        <is>
          <t>Chef Cuisine</t>
        </is>
      </c>
    </row>
    <row r="19">
      <c r="C19" s="10" t="inlineStr">
        <is>
          <t>Sous-Chef</t>
        </is>
      </c>
    </row>
    <row r="20">
      <c r="C20" s="10" t="inlineStr">
        <is>
          <t>Cuisinier</t>
        </is>
      </c>
    </row>
    <row r="21">
      <c r="C21" s="10" t="inlineStr">
        <is>
          <t>Plongeur</t>
        </is>
      </c>
    </row>
    <row r="22">
      <c r="C22" s="10" t="inlineStr">
        <is>
          <t>Chef Entretien</t>
        </is>
      </c>
    </row>
    <row r="23">
      <c r="C23" s="10" t="inlineStr">
        <is>
          <t>Agent Entretien</t>
        </is>
      </c>
    </row>
    <row r="24">
      <c r="C24" s="10" t="inlineStr">
        <is>
          <t>Chef Securite</t>
        </is>
      </c>
    </row>
    <row r="25">
      <c r="C25" s="10" t="inlineStr">
        <is>
          <t>Agent Securite</t>
        </is>
      </c>
    </row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4" customWidth="1" min="5" max="5"/>
    <col width="16" customWidth="1" min="6" max="6"/>
    <col width="14" customWidth="1" min="7" max="7"/>
    <col width="14" customWidth="1" min="8" max="8"/>
    <col width="20" customWidth="1" min="9" max="9"/>
    <col width="18" customWidth="1" min="10" max="10"/>
    <col width="16" customWidth="1" min="11" max="11"/>
    <col width="38" customWidth="1" min="12" max="12"/>
  </cols>
  <sheetData>
    <row r="1" ht="15" customHeight="1"/>
    <row r="2" ht="32" customHeight="1">
      <c r="B2" s="1" t="inlineStr">
        <is>
          <t>CARTOGRAPHIE DES TALENTS (#107)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 Actuel</t>
        </is>
      </c>
      <c r="E4" s="11" t="inlineStr">
        <is>
          <t>Departement</t>
        </is>
      </c>
      <c r="F4" s="11" t="inlineStr">
        <is>
          <t>Anciennete (ans)</t>
        </is>
      </c>
      <c r="G4" s="11" t="inlineStr">
        <is>
          <t>Performance</t>
        </is>
      </c>
      <c r="H4" s="11" t="inlineStr">
        <is>
          <t>Potentiel</t>
        </is>
      </c>
      <c r="I4" s="11" t="inlineStr">
        <is>
          <t>Categorie Talent</t>
        </is>
      </c>
      <c r="J4" s="11" t="inlineStr">
        <is>
          <t>Competition Externe</t>
        </is>
      </c>
      <c r="K4" s="11" t="inlineStr">
        <is>
          <t>Risque Depart</t>
        </is>
      </c>
      <c r="L4" s="11" t="inlineStr">
        <is>
          <t>Action Prioritaire</t>
        </is>
      </c>
    </row>
    <row r="5" ht="22" customHeight="1">
      <c r="B5" s="12" t="inlineStr">
        <is>
          <t>TAL-001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3" t="n">
        <v>6</v>
      </c>
      <c r="G5" s="12" t="inlineStr">
        <is>
          <t>Excellent</t>
        </is>
      </c>
      <c r="H5" s="12" t="inlineStr">
        <is>
          <t>Eleve</t>
        </is>
      </c>
      <c r="I5" s="12" t="inlineStr">
        <is>
          <t>Etoile montante</t>
        </is>
      </c>
      <c r="J5" s="12" t="inlineStr">
        <is>
          <t>Eleve</t>
        </is>
      </c>
      <c r="K5" s="12" t="inlineStr">
        <is>
          <t>Eleve</t>
        </is>
      </c>
      <c r="L5" s="12" t="inlineStr">
        <is>
          <t>Formation manageriale + augmentation</t>
        </is>
      </c>
    </row>
    <row r="6" ht="22" customHeight="1">
      <c r="B6" s="14" t="inlineStr">
        <is>
          <t>TAL-002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Cuisine &amp; Restauration</t>
        </is>
      </c>
      <c r="F6" s="15" t="n">
        <v>4</v>
      </c>
      <c r="G6" s="14" t="inlineStr">
        <is>
          <t>Tres bon</t>
        </is>
      </c>
      <c r="H6" s="14" t="inlineStr">
        <is>
          <t>Eleve</t>
        </is>
      </c>
      <c r="I6" s="14" t="inlineStr">
        <is>
          <t>Expert technique</t>
        </is>
      </c>
      <c r="J6" s="14" t="inlineStr">
        <is>
          <t>Moyen</t>
        </is>
      </c>
      <c r="K6" s="14" t="inlineStr">
        <is>
          <t>Faible</t>
        </is>
      </c>
      <c r="L6" s="14" t="inlineStr">
        <is>
          <t>Plan de carriere vers Chef Cuisine</t>
        </is>
      </c>
    </row>
    <row r="7" ht="22" customHeight="1">
      <c r="B7" s="12" t="inlineStr">
        <is>
          <t>TAL-003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Informatique</t>
        </is>
      </c>
      <c r="F7" s="13" t="n">
        <v>3</v>
      </c>
      <c r="G7" s="12" t="inlineStr">
        <is>
          <t>Bon</t>
        </is>
      </c>
      <c r="H7" s="12" t="inlineStr">
        <is>
          <t>Tres eleve</t>
        </is>
      </c>
      <c r="I7" s="12" t="inlineStr">
        <is>
          <t>Etoile montante</t>
        </is>
      </c>
      <c r="J7" s="12" t="inlineStr">
        <is>
          <t>Eleve</t>
        </is>
      </c>
      <c r="K7" s="12" t="inlineStr">
        <is>
          <t>Moyen</t>
        </is>
      </c>
      <c r="L7" s="12" t="inlineStr">
        <is>
          <t>Formation certifiante + prime</t>
        </is>
      </c>
    </row>
    <row r="8" ht="22" customHeight="1">
      <c r="B8" s="14" t="inlineStr">
        <is>
          <t>TAL-004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Commercial</t>
        </is>
      </c>
      <c r="F8" s="15" t="n">
        <v>5</v>
      </c>
      <c r="G8" s="14" t="inlineStr">
        <is>
          <t>Tres bon</t>
        </is>
      </c>
      <c r="H8" s="14" t="inlineStr">
        <is>
          <t>Moyen</t>
        </is>
      </c>
      <c r="I8" s="14" t="inlineStr">
        <is>
          <t>Performeur stable</t>
        </is>
      </c>
      <c r="J8" s="14" t="inlineStr">
        <is>
          <t>Moyen</t>
        </is>
      </c>
      <c r="K8" s="14" t="inlineStr">
        <is>
          <t>Faible</t>
        </is>
      </c>
      <c r="L8" s="14" t="inlineStr">
        <is>
          <t>Rotation vers Chef Commercial adjoint</t>
        </is>
      </c>
    </row>
    <row r="9" ht="22" customHeight="1">
      <c r="B9" s="12" t="inlineStr">
        <is>
          <t>TAL-005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Réception &amp; Front Office</t>
        </is>
      </c>
      <c r="F9" s="13" t="n">
        <v>2</v>
      </c>
      <c r="G9" s="12" t="inlineStr">
        <is>
          <t>Bon</t>
        </is>
      </c>
      <c r="H9" s="12" t="inlineStr">
        <is>
          <t>Eleve</t>
        </is>
      </c>
      <c r="I9" s="12" t="inlineStr">
        <is>
          <t>Leader naturel</t>
        </is>
      </c>
      <c r="J9" s="12" t="inlineStr">
        <is>
          <t>Eleve</t>
        </is>
      </c>
      <c r="K9" s="12" t="inlineStr">
        <is>
          <t>Moyen</t>
        </is>
      </c>
      <c r="L9" s="12" t="inlineStr">
        <is>
          <t>Programme mentorat + responsabilites</t>
        </is>
      </c>
    </row>
    <row r="10" ht="22" customHeight="1">
      <c r="B10" s="16">
        <f>IF(C10="","TAL-"&amp;TEXT(COUNTA($C$5:C10),"000"))</f>
        <v/>
      </c>
      <c r="C10" s="14" t="n"/>
      <c r="D10" s="14" t="n"/>
      <c r="E10" s="14" t="n"/>
      <c r="F10" s="15" t="n"/>
      <c r="G10" s="14" t="n"/>
      <c r="H10" s="14" t="n"/>
      <c r="I10" s="14" t="n"/>
      <c r="J10" s="14" t="n"/>
      <c r="K10" s="14" t="n"/>
      <c r="L10" s="14" t="n"/>
    </row>
    <row r="11" ht="22" customHeight="1">
      <c r="B11" s="17">
        <f>IF(C11="","TAL-"&amp;TEXT(COUNTA($C$5:C11),"000"))</f>
        <v/>
      </c>
      <c r="C11" s="12" t="n"/>
      <c r="D11" s="12" t="n"/>
      <c r="E11" s="12" t="n"/>
      <c r="F11" s="13" t="n"/>
      <c r="G11" s="12" t="n"/>
      <c r="H11" s="12" t="n"/>
      <c r="I11" s="12" t="n"/>
      <c r="J11" s="12" t="n"/>
      <c r="K11" s="12" t="n"/>
      <c r="L11" s="12" t="n"/>
    </row>
    <row r="12" ht="22" customHeight="1">
      <c r="B12" s="16">
        <f>IF(C12="","TAL-"&amp;TEXT(COUNTA($C$5:C12),"000"))</f>
        <v/>
      </c>
      <c r="C12" s="14" t="n"/>
      <c r="D12" s="14" t="n"/>
      <c r="E12" s="14" t="n"/>
      <c r="F12" s="15" t="n"/>
      <c r="G12" s="14" t="n"/>
      <c r="H12" s="14" t="n"/>
      <c r="I12" s="14" t="n"/>
      <c r="J12" s="14" t="n"/>
      <c r="K12" s="14" t="n"/>
      <c r="L12" s="14" t="n"/>
    </row>
    <row r="13" ht="22" customHeight="1">
      <c r="B13" s="17">
        <f>IF(C13="","TAL-"&amp;TEXT(COUNTA($C$5:C13),"000"))</f>
        <v/>
      </c>
      <c r="C13" s="12" t="n"/>
      <c r="D13" s="12" t="n"/>
      <c r="E13" s="12" t="n"/>
      <c r="F13" s="13" t="n"/>
      <c r="G13" s="12" t="n"/>
      <c r="H13" s="12" t="n"/>
      <c r="I13" s="12" t="n"/>
      <c r="J13" s="12" t="n"/>
      <c r="K13" s="12" t="n"/>
      <c r="L13" s="12" t="n"/>
    </row>
    <row r="14" ht="22" customHeight="1">
      <c r="B14" s="16">
        <f>IF(C14="","TAL-"&amp;TEXT(COUNTA($C$5:C14),"000"))</f>
        <v/>
      </c>
      <c r="C14" s="14" t="n"/>
      <c r="D14" s="14" t="n"/>
      <c r="E14" s="14" t="n"/>
      <c r="F14" s="15" t="n"/>
      <c r="G14" s="14" t="n"/>
      <c r="H14" s="14" t="n"/>
      <c r="I14" s="14" t="n"/>
      <c r="J14" s="14" t="n"/>
      <c r="K14" s="14" t="n"/>
      <c r="L14" s="14" t="n"/>
    </row>
    <row r="15" ht="22" customHeight="1">
      <c r="B15" s="17">
        <f>IF(C15="","TAL-"&amp;TEXT(COUNTA($C$5:C15),"000"))</f>
        <v/>
      </c>
      <c r="C15" s="12" t="n"/>
      <c r="D15" s="12" t="n"/>
      <c r="E15" s="12" t="n"/>
      <c r="F15" s="13" t="n"/>
      <c r="G15" s="12" t="n"/>
      <c r="H15" s="12" t="n"/>
      <c r="I15" s="12" t="n"/>
      <c r="J15" s="12" t="n"/>
      <c r="K15" s="12" t="n"/>
      <c r="L15" s="12" t="n"/>
    </row>
    <row r="16" ht="22" customHeight="1">
      <c r="B16" s="16">
        <f>IF(C16="","TAL-"&amp;TEXT(COUNTA($C$5:C16),"000"))</f>
        <v/>
      </c>
      <c r="C16" s="14" t="n"/>
      <c r="D16" s="14" t="n"/>
      <c r="E16" s="14" t="n"/>
      <c r="F16" s="15" t="n"/>
      <c r="G16" s="14" t="n"/>
      <c r="H16" s="14" t="n"/>
      <c r="I16" s="14" t="n"/>
      <c r="J16" s="14" t="n"/>
      <c r="K16" s="14" t="n"/>
      <c r="L16" s="14" t="n"/>
    </row>
    <row r="17" ht="22" customHeight="1">
      <c r="B17" s="17">
        <f>IF(C17="","TAL-"&amp;TEXT(COUNTA($C$5:C17),"000"))</f>
        <v/>
      </c>
      <c r="C17" s="12" t="n"/>
      <c r="D17" s="12" t="n"/>
      <c r="E17" s="12" t="n"/>
      <c r="F17" s="13" t="n"/>
      <c r="G17" s="12" t="n"/>
      <c r="H17" s="12" t="n"/>
      <c r="I17" s="12" t="n"/>
      <c r="J17" s="12" t="n"/>
      <c r="K17" s="12" t="n"/>
      <c r="L17" s="12" t="n"/>
    </row>
    <row r="18" ht="22" customHeight="1">
      <c r="B18" s="16">
        <f>IF(C18="","TAL-"&amp;TEXT(COUNTA($C$5:C18),"000"))</f>
        <v/>
      </c>
      <c r="C18" s="14" t="n"/>
      <c r="D18" s="14" t="n"/>
      <c r="E18" s="14" t="n"/>
      <c r="F18" s="15" t="n"/>
      <c r="G18" s="14" t="n"/>
      <c r="H18" s="14" t="n"/>
      <c r="I18" s="14" t="n"/>
      <c r="J18" s="14" t="n"/>
      <c r="K18" s="14" t="n"/>
      <c r="L18" s="14" t="n"/>
    </row>
    <row r="19" ht="22" customHeight="1">
      <c r="B19" s="17">
        <f>IF(C19="","TAL-"&amp;TEXT(COUNTA($C$5:C19),"000"))</f>
        <v/>
      </c>
      <c r="C19" s="12" t="n"/>
      <c r="D19" s="12" t="n"/>
      <c r="E19" s="12" t="n"/>
      <c r="F19" s="13" t="n"/>
      <c r="G19" s="12" t="n"/>
      <c r="H19" s="12" t="n"/>
      <c r="I19" s="12" t="n"/>
      <c r="J19" s="12" t="n"/>
      <c r="K19" s="12" t="n"/>
      <c r="L19" s="12" t="n"/>
    </row>
    <row r="20" ht="22" customHeight="1">
      <c r="B20" s="16">
        <f>IF(C20="","TAL-"&amp;TEXT(COUNTA($C$5:C20),"000"))</f>
        <v/>
      </c>
      <c r="C20" s="14" t="n"/>
      <c r="D20" s="14" t="n"/>
      <c r="E20" s="14" t="n"/>
      <c r="F20" s="15" t="n"/>
      <c r="G20" s="14" t="n"/>
      <c r="H20" s="14" t="n"/>
      <c r="I20" s="14" t="n"/>
      <c r="J20" s="14" t="n"/>
      <c r="K20" s="14" t="n"/>
      <c r="L20" s="14" t="n"/>
    </row>
    <row r="21" ht="22" customHeight="1">
      <c r="B21" s="17">
        <f>IF(C21="","TAL-"&amp;TEXT(COUNTA($C$5:C21),"000"))</f>
        <v/>
      </c>
      <c r="C21" s="12" t="n"/>
      <c r="D21" s="12" t="n"/>
      <c r="E21" s="12" t="n"/>
      <c r="F21" s="13" t="n"/>
      <c r="G21" s="12" t="n"/>
      <c r="H21" s="12" t="n"/>
      <c r="I21" s="12" t="n"/>
      <c r="J21" s="12" t="n"/>
      <c r="K21" s="12" t="n"/>
      <c r="L21" s="12" t="n"/>
    </row>
    <row r="22" ht="22" customHeight="1">
      <c r="B22" s="16">
        <f>IF(C22="","TAL-"&amp;TEXT(COUNTA($C$5:C22),"000"))</f>
        <v/>
      </c>
      <c r="C22" s="14" t="n"/>
      <c r="D22" s="14" t="n"/>
      <c r="E22" s="14" t="n"/>
      <c r="F22" s="15" t="n"/>
      <c r="G22" s="14" t="n"/>
      <c r="H22" s="14" t="n"/>
      <c r="I22" s="14" t="n"/>
      <c r="J22" s="14" t="n"/>
      <c r="K22" s="14" t="n"/>
      <c r="L22" s="14" t="n"/>
    </row>
    <row r="23" ht="22" customHeight="1">
      <c r="B23" s="17">
        <f>IF(C23="","TAL-"&amp;TEXT(COUNTA($C$5:C23),"000"))</f>
        <v/>
      </c>
      <c r="C23" s="12" t="n"/>
      <c r="D23" s="12" t="n"/>
      <c r="E23" s="12" t="n"/>
      <c r="F23" s="13" t="n"/>
      <c r="G23" s="12" t="n"/>
      <c r="H23" s="12" t="n"/>
      <c r="I23" s="12" t="n"/>
      <c r="J23" s="12" t="n"/>
      <c r="K23" s="12" t="n"/>
      <c r="L23" s="12" t="n"/>
    </row>
    <row r="24" ht="22" customHeight="1">
      <c r="B24" s="16">
        <f>IF(C24="","TAL-"&amp;TEXT(COUNTA($C$5:C24),"000"))</f>
        <v/>
      </c>
      <c r="C24" s="14" t="n"/>
      <c r="D24" s="14" t="n"/>
      <c r="E24" s="14" t="n"/>
      <c r="F24" s="15" t="n"/>
      <c r="G24" s="14" t="n"/>
      <c r="H24" s="14" t="n"/>
      <c r="I24" s="14" t="n"/>
      <c r="J24" s="14" t="n"/>
      <c r="K24" s="14" t="n"/>
      <c r="L24" s="14" t="n"/>
    </row>
    <row r="25" ht="22" customHeight="1">
      <c r="B25" s="17">
        <f>IF(C25="","TAL-"&amp;TEXT(COUNTA($C$5:C25),"000"))</f>
        <v/>
      </c>
      <c r="C25" s="12" t="n"/>
      <c r="D25" s="12" t="n"/>
      <c r="E25" s="12" t="n"/>
      <c r="F25" s="13" t="n"/>
      <c r="G25" s="12" t="n"/>
      <c r="H25" s="12" t="n"/>
      <c r="I25" s="12" t="n"/>
      <c r="J25" s="12" t="n"/>
      <c r="K25" s="12" t="n"/>
      <c r="L25" s="12" t="n"/>
    </row>
    <row r="26" ht="22" customHeight="1">
      <c r="B26" s="16">
        <f>IF(C26="","TAL-"&amp;TEXT(COUNTA($C$5:C26),"000"))</f>
        <v/>
      </c>
      <c r="C26" s="14" t="n"/>
      <c r="D26" s="14" t="n"/>
      <c r="E26" s="14" t="n"/>
      <c r="F26" s="15" t="n"/>
      <c r="G26" s="14" t="n"/>
      <c r="H26" s="14" t="n"/>
      <c r="I26" s="14" t="n"/>
      <c r="J26" s="14" t="n"/>
      <c r="K26" s="14" t="n"/>
      <c r="L26" s="14" t="n"/>
    </row>
    <row r="27" ht="22" customHeight="1">
      <c r="B27" s="17">
        <f>IF(C27="","TAL-"&amp;TEXT(COUNTA($C$5:C27),"000"))</f>
        <v/>
      </c>
      <c r="C27" s="12" t="n"/>
      <c r="D27" s="12" t="n"/>
      <c r="E27" s="12" t="n"/>
      <c r="F27" s="13" t="n"/>
      <c r="G27" s="12" t="n"/>
      <c r="H27" s="12" t="n"/>
      <c r="I27" s="12" t="n"/>
      <c r="J27" s="12" t="n"/>
      <c r="K27" s="12" t="n"/>
      <c r="L27" s="12" t="n"/>
    </row>
    <row r="28" ht="22" customHeight="1">
      <c r="B28" s="16">
        <f>IF(C28="","TAL-"&amp;TEXT(COUNTA($C$5:C28),"000"))</f>
        <v/>
      </c>
      <c r="C28" s="14" t="n"/>
      <c r="D28" s="14" t="n"/>
      <c r="E28" s="14" t="n"/>
      <c r="F28" s="15" t="n"/>
      <c r="G28" s="14" t="n"/>
      <c r="H28" s="14" t="n"/>
      <c r="I28" s="14" t="n"/>
      <c r="J28" s="14" t="n"/>
      <c r="K28" s="14" t="n"/>
      <c r="L28" s="14" t="n"/>
    </row>
    <row r="29" ht="22" customHeight="1">
      <c r="B29" s="17">
        <f>IF(C29="","TAL-"&amp;TEXT(COUNTA($C$5:C29),"000"))</f>
        <v/>
      </c>
      <c r="C29" s="12" t="n"/>
      <c r="D29" s="12" t="n"/>
      <c r="E29" s="12" t="n"/>
      <c r="F29" s="13" t="n"/>
      <c r="G29" s="12" t="n"/>
      <c r="H29" s="12" t="n"/>
      <c r="I29" s="12" t="n"/>
      <c r="J29" s="12" t="n"/>
      <c r="K29" s="12" t="n"/>
      <c r="L29" s="12" t="n"/>
    </row>
    <row r="30" ht="22" customHeight="1">
      <c r="B30" s="16">
        <f>IF(C30="","TAL-"&amp;TEXT(COUNTA($C$5:C30),"000"))</f>
        <v/>
      </c>
      <c r="C30" s="14" t="n"/>
      <c r="D30" s="14" t="n"/>
      <c r="E30" s="14" t="n"/>
      <c r="F30" s="15" t="n"/>
      <c r="G30" s="14" t="n"/>
      <c r="H30" s="14" t="n"/>
      <c r="I30" s="14" t="n"/>
      <c r="J30" s="14" t="n"/>
      <c r="K30" s="14" t="n"/>
      <c r="L30" s="14" t="n"/>
    </row>
    <row r="31" ht="22" customHeight="1">
      <c r="B31" s="17">
        <f>IF(C31="","TAL-"&amp;TEXT(COUNTA($C$5:C31),"000"))</f>
        <v/>
      </c>
      <c r="C31" s="12" t="n"/>
      <c r="D31" s="12" t="n"/>
      <c r="E31" s="12" t="n"/>
      <c r="F31" s="13" t="n"/>
      <c r="G31" s="12" t="n"/>
      <c r="H31" s="12" t="n"/>
      <c r="I31" s="12" t="n"/>
      <c r="J31" s="12" t="n"/>
      <c r="K31" s="12" t="n"/>
      <c r="L31" s="12" t="n"/>
    </row>
    <row r="32" ht="22" customHeight="1">
      <c r="B32" s="16">
        <f>IF(C32="","TAL-"&amp;TEXT(COUNTA($C$5:C32),"000"))</f>
        <v/>
      </c>
      <c r="C32" s="14" t="n"/>
      <c r="D32" s="14" t="n"/>
      <c r="E32" s="14" t="n"/>
      <c r="F32" s="15" t="n"/>
      <c r="G32" s="14" t="n"/>
      <c r="H32" s="14" t="n"/>
      <c r="I32" s="14" t="n"/>
      <c r="J32" s="14" t="n"/>
      <c r="K32" s="14" t="n"/>
      <c r="L32" s="14" t="n"/>
    </row>
    <row r="33" ht="22" customHeight="1">
      <c r="B33" s="17">
        <f>IF(C33="","TAL-"&amp;TEXT(COUNTA($C$5:C33),"000"))</f>
        <v/>
      </c>
      <c r="C33" s="12" t="n"/>
      <c r="D33" s="12" t="n"/>
      <c r="E33" s="12" t="n"/>
      <c r="F33" s="13" t="n"/>
      <c r="G33" s="12" t="n"/>
      <c r="H33" s="12" t="n"/>
      <c r="I33" s="12" t="n"/>
      <c r="J33" s="12" t="n"/>
      <c r="K33" s="12" t="n"/>
      <c r="L33" s="12" t="n"/>
    </row>
    <row r="34" ht="22" customHeight="1">
      <c r="B34" s="16">
        <f>IF(C34="","TAL-"&amp;TEXT(COUNTA($C$5:C34),"000"))</f>
        <v/>
      </c>
      <c r="C34" s="14" t="n"/>
      <c r="D34" s="14" t="n"/>
      <c r="E34" s="14" t="n"/>
      <c r="F34" s="15" t="n"/>
      <c r="G34" s="14" t="n"/>
      <c r="H34" s="14" t="n"/>
      <c r="I34" s="14" t="n"/>
      <c r="J34" s="14" t="n"/>
      <c r="K34" s="14" t="n"/>
      <c r="L34" s="14" t="n"/>
    </row>
    <row r="35" ht="22" customHeight="1">
      <c r="B35" s="17">
        <f>IF(C35="","TAL-"&amp;TEXT(COUNTA($C$5:C35),"000"))</f>
        <v/>
      </c>
      <c r="C35" s="12" t="n"/>
      <c r="D35" s="12" t="n"/>
      <c r="E35" s="12" t="n"/>
      <c r="F35" s="13" t="n"/>
      <c r="G35" s="12" t="n"/>
      <c r="H35" s="12" t="n"/>
      <c r="I35" s="12" t="n"/>
      <c r="J35" s="12" t="n"/>
      <c r="K35" s="12" t="n"/>
      <c r="L35" s="12" t="n"/>
    </row>
    <row r="36" ht="22" customHeight="1">
      <c r="B36" s="16">
        <f>IF(C36="","TAL-"&amp;TEXT(COUNTA($C$5:C36),"000"))</f>
        <v/>
      </c>
      <c r="C36" s="14" t="n"/>
      <c r="D36" s="14" t="n"/>
      <c r="E36" s="14" t="n"/>
      <c r="F36" s="15" t="n"/>
      <c r="G36" s="14" t="n"/>
      <c r="H36" s="14" t="n"/>
      <c r="I36" s="14" t="n"/>
      <c r="J36" s="14" t="n"/>
      <c r="K36" s="14" t="n"/>
      <c r="L36" s="14" t="n"/>
    </row>
    <row r="37" ht="22" customHeight="1">
      <c r="B37" s="17">
        <f>IF(C37="","TAL-"&amp;TEXT(COUNTA($C$5:C37),"000"))</f>
        <v/>
      </c>
      <c r="C37" s="12" t="n"/>
      <c r="D37" s="12" t="n"/>
      <c r="E37" s="12" t="n"/>
      <c r="F37" s="13" t="n"/>
      <c r="G37" s="12" t="n"/>
      <c r="H37" s="12" t="n"/>
      <c r="I37" s="12" t="n"/>
      <c r="J37" s="12" t="n"/>
      <c r="K37" s="12" t="n"/>
      <c r="L37" s="12" t="n"/>
    </row>
    <row r="38" ht="22" customHeight="1">
      <c r="B38" s="16">
        <f>IF(C38="","TAL-"&amp;TEXT(COUNTA($C$5:C38),"000"))</f>
        <v/>
      </c>
      <c r="C38" s="14" t="n"/>
      <c r="D38" s="14" t="n"/>
      <c r="E38" s="14" t="n"/>
      <c r="F38" s="15" t="n"/>
      <c r="G38" s="14" t="n"/>
      <c r="H38" s="14" t="n"/>
      <c r="I38" s="14" t="n"/>
      <c r="J38" s="14" t="n"/>
      <c r="K38" s="14" t="n"/>
      <c r="L38" s="14" t="n"/>
    </row>
    <row r="39" ht="22" customHeight="1">
      <c r="B39" s="17">
        <f>IF(C39="","TAL-"&amp;TEXT(COUNTA($C$5:C39),"000"))</f>
        <v/>
      </c>
      <c r="C39" s="12" t="n"/>
      <c r="D39" s="12" t="n"/>
      <c r="E39" s="12" t="n"/>
      <c r="F39" s="13" t="n"/>
      <c r="G39" s="12" t="n"/>
      <c r="H39" s="12" t="n"/>
      <c r="I39" s="12" t="n"/>
      <c r="J39" s="12" t="n"/>
      <c r="K39" s="12" t="n"/>
      <c r="L39" s="12" t="n"/>
    </row>
    <row r="40" ht="22" customHeight="1">
      <c r="B40" s="16">
        <f>IF(C40="","TAL-"&amp;TEXT(COUNTA($C$5:C40),"000"))</f>
        <v/>
      </c>
      <c r="C40" s="14" t="n"/>
      <c r="D40" s="14" t="n"/>
      <c r="E40" s="14" t="n"/>
      <c r="F40" s="15" t="n"/>
      <c r="G40" s="14" t="n"/>
      <c r="H40" s="14" t="n"/>
      <c r="I40" s="14" t="n"/>
      <c r="J40" s="14" t="n"/>
      <c r="K40" s="14" t="n"/>
      <c r="L40" s="14" t="n"/>
    </row>
    <row r="41" ht="22" customHeight="1">
      <c r="B41" s="17">
        <f>IF(C41="","TAL-"&amp;TEXT(COUNTA($C$5:C41),"000"))</f>
        <v/>
      </c>
      <c r="C41" s="12" t="n"/>
      <c r="D41" s="12" t="n"/>
      <c r="E41" s="12" t="n"/>
      <c r="F41" s="13" t="n"/>
      <c r="G41" s="12" t="n"/>
      <c r="H41" s="12" t="n"/>
      <c r="I41" s="12" t="n"/>
      <c r="J41" s="12" t="n"/>
      <c r="K41" s="12" t="n"/>
      <c r="L41" s="12" t="n"/>
    </row>
    <row r="42" ht="22" customHeight="1">
      <c r="B42" s="16">
        <f>IF(C42="","TAL-"&amp;TEXT(COUNTA($C$5:C42),"000"))</f>
        <v/>
      </c>
      <c r="C42" s="14" t="n"/>
      <c r="D42" s="14" t="n"/>
      <c r="E42" s="14" t="n"/>
      <c r="F42" s="15" t="n"/>
      <c r="G42" s="14" t="n"/>
      <c r="H42" s="14" t="n"/>
      <c r="I42" s="14" t="n"/>
      <c r="J42" s="14" t="n"/>
      <c r="K42" s="14" t="n"/>
      <c r="L42" s="14" t="n"/>
    </row>
    <row r="43" ht="22" customHeight="1">
      <c r="B43" s="17">
        <f>IF(C43="","TAL-"&amp;TEXT(COUNTA($C$5:C43),"000"))</f>
        <v/>
      </c>
      <c r="C43" s="12" t="n"/>
      <c r="D43" s="12" t="n"/>
      <c r="E43" s="12" t="n"/>
      <c r="F43" s="13" t="n"/>
      <c r="G43" s="12" t="n"/>
      <c r="H43" s="12" t="n"/>
      <c r="I43" s="12" t="n"/>
      <c r="J43" s="12" t="n"/>
      <c r="K43" s="12" t="n"/>
      <c r="L43" s="12" t="n"/>
    </row>
    <row r="44" ht="22" customHeight="1">
      <c r="B44" s="16">
        <f>IF(C44="","TAL-"&amp;TEXT(COUNTA($C$5:C44),"000"))</f>
        <v/>
      </c>
      <c r="C44" s="14" t="n"/>
      <c r="D44" s="14" t="n"/>
      <c r="E44" s="14" t="n"/>
      <c r="F44" s="15" t="n"/>
      <c r="G44" s="14" t="n"/>
      <c r="H44" s="14" t="n"/>
      <c r="I44" s="14" t="n"/>
      <c r="J44" s="14" t="n"/>
      <c r="K44" s="14" t="n"/>
      <c r="L44" s="14" t="n"/>
    </row>
    <row r="45" ht="22" customHeight="1">
      <c r="B45" s="17">
        <f>IF(C45="","TAL-"&amp;TEXT(COUNTA($C$5:C45),"000"))</f>
        <v/>
      </c>
      <c r="C45" s="12" t="n"/>
      <c r="D45" s="12" t="n"/>
      <c r="E45" s="12" t="n"/>
      <c r="F45" s="13" t="n"/>
      <c r="G45" s="12" t="n"/>
      <c r="H45" s="12" t="n"/>
      <c r="I45" s="12" t="n"/>
      <c r="J45" s="12" t="n"/>
      <c r="K45" s="12" t="n"/>
      <c r="L45" s="12" t="n"/>
    </row>
    <row r="46" ht="22" customHeight="1">
      <c r="B46" s="16">
        <f>IF(C46="","TAL-"&amp;TEXT(COUNTA($C$5:C46),"000"))</f>
        <v/>
      </c>
      <c r="C46" s="14" t="n"/>
      <c r="D46" s="14" t="n"/>
      <c r="E46" s="14" t="n"/>
      <c r="F46" s="15" t="n"/>
      <c r="G46" s="14" t="n"/>
      <c r="H46" s="14" t="n"/>
      <c r="I46" s="14" t="n"/>
      <c r="J46" s="14" t="n"/>
      <c r="K46" s="14" t="n"/>
      <c r="L46" s="14" t="n"/>
    </row>
    <row r="47" ht="22" customHeight="1">
      <c r="B47" s="17">
        <f>IF(C47="","TAL-"&amp;TEXT(COUNTA($C$5:C47),"000"))</f>
        <v/>
      </c>
      <c r="C47" s="12" t="n"/>
      <c r="D47" s="12" t="n"/>
      <c r="E47" s="12" t="n"/>
      <c r="F47" s="13" t="n"/>
      <c r="G47" s="12" t="n"/>
      <c r="H47" s="12" t="n"/>
      <c r="I47" s="12" t="n"/>
      <c r="J47" s="12" t="n"/>
      <c r="K47" s="12" t="n"/>
      <c r="L47" s="12" t="n"/>
    </row>
    <row r="48" ht="22" customHeight="1">
      <c r="B48" s="16">
        <f>IF(C48="","TAL-"&amp;TEXT(COUNTA($C$5:C48),"000"))</f>
        <v/>
      </c>
      <c r="C48" s="14" t="n"/>
      <c r="D48" s="14" t="n"/>
      <c r="E48" s="14" t="n"/>
      <c r="F48" s="15" t="n"/>
      <c r="G48" s="14" t="n"/>
      <c r="H48" s="14" t="n"/>
      <c r="I48" s="14" t="n"/>
      <c r="J48" s="14" t="n"/>
      <c r="K48" s="14" t="n"/>
      <c r="L48" s="14" t="n"/>
    </row>
    <row r="49" ht="22" customHeight="1">
      <c r="B49" s="17">
        <f>IF(C49="","TAL-"&amp;TEXT(COUNTA($C$5:C49),"000"))</f>
        <v/>
      </c>
      <c r="C49" s="12" t="n"/>
      <c r="D49" s="12" t="n"/>
      <c r="E49" s="12" t="n"/>
      <c r="F49" s="13" t="n"/>
      <c r="G49" s="12" t="n"/>
      <c r="H49" s="12" t="n"/>
      <c r="I49" s="12" t="n"/>
      <c r="J49" s="12" t="n"/>
      <c r="K49" s="12" t="n"/>
      <c r="L49" s="12" t="n"/>
    </row>
    <row r="50" ht="22" customHeight="1">
      <c r="B50" s="16">
        <f>IF(C50="","TAL-"&amp;TEXT(COUNTA($C$5:C50),"000"))</f>
        <v/>
      </c>
      <c r="C50" s="14" t="n"/>
      <c r="D50" s="14" t="n"/>
      <c r="E50" s="14" t="n"/>
      <c r="F50" s="15" t="n"/>
      <c r="G50" s="14" t="n"/>
      <c r="H50" s="14" t="n"/>
      <c r="I50" s="14" t="n"/>
      <c r="J50" s="14" t="n"/>
      <c r="K50" s="14" t="n"/>
      <c r="L50" s="14" t="n"/>
    </row>
    <row r="51" ht="22" customHeight="1">
      <c r="B51" s="17">
        <f>IF(C51="","TAL-"&amp;TEXT(COUNTA($C$5:C51),"000"))</f>
        <v/>
      </c>
      <c r="C51" s="12" t="n"/>
      <c r="D51" s="12" t="n"/>
      <c r="E51" s="12" t="n"/>
      <c r="F51" s="13" t="n"/>
      <c r="G51" s="12" t="n"/>
      <c r="H51" s="12" t="n"/>
      <c r="I51" s="12" t="n"/>
      <c r="J51" s="12" t="n"/>
      <c r="K51" s="12" t="n"/>
      <c r="L51" s="12" t="n"/>
    </row>
    <row r="52" ht="22" customHeight="1">
      <c r="B52" s="16">
        <f>IF(C52="","TAL-"&amp;TEXT(COUNTA($C$5:C52),"000"))</f>
        <v/>
      </c>
      <c r="C52" s="14" t="n"/>
      <c r="D52" s="14" t="n"/>
      <c r="E52" s="14" t="n"/>
      <c r="F52" s="15" t="n"/>
      <c r="G52" s="14" t="n"/>
      <c r="H52" s="14" t="n"/>
      <c r="I52" s="14" t="n"/>
      <c r="J52" s="14" t="n"/>
      <c r="K52" s="14" t="n"/>
      <c r="L52" s="14" t="n"/>
    </row>
    <row r="53" ht="22" customHeight="1">
      <c r="B53" s="17">
        <f>IF(C53="","TAL-"&amp;TEXT(COUNTA($C$5:C53),"000"))</f>
        <v/>
      </c>
      <c r="C53" s="12" t="n"/>
      <c r="D53" s="12" t="n"/>
      <c r="E53" s="12" t="n"/>
      <c r="F53" s="13" t="n"/>
      <c r="G53" s="12" t="n"/>
      <c r="H53" s="12" t="n"/>
      <c r="I53" s="12" t="n"/>
      <c r="J53" s="12" t="n"/>
      <c r="K53" s="12" t="n"/>
      <c r="L53" s="12" t="n"/>
    </row>
    <row r="54" ht="22" customHeight="1">
      <c r="B54" s="16">
        <f>IF(C54="","TAL-"&amp;TEXT(COUNTA($C$5:C54),"000"))</f>
        <v/>
      </c>
      <c r="C54" s="14" t="n"/>
      <c r="D54" s="14" t="n"/>
      <c r="E54" s="14" t="n"/>
      <c r="F54" s="15" t="n"/>
      <c r="G54" s="14" t="n"/>
      <c r="H54" s="14" t="n"/>
      <c r="I54" s="14" t="n"/>
      <c r="J54" s="14" t="n"/>
      <c r="K54" s="14" t="n"/>
      <c r="L54" s="14" t="n"/>
    </row>
    <row r="55" ht="22" customHeight="1">
      <c r="B55" s="17">
        <f>IF(C55="","TAL-"&amp;TEXT(COUNTA($C$5:C55),"000"))</f>
        <v/>
      </c>
      <c r="C55" s="12" t="n"/>
      <c r="D55" s="12" t="n"/>
      <c r="E55" s="12" t="n"/>
      <c r="F55" s="13" t="n"/>
      <c r="G55" s="12" t="n"/>
      <c r="H55" s="12" t="n"/>
      <c r="I55" s="12" t="n"/>
      <c r="J55" s="12" t="n"/>
      <c r="K55" s="12" t="n"/>
      <c r="L55" s="12" t="n"/>
    </row>
    <row r="56" ht="22" customHeight="1">
      <c r="B56" s="16">
        <f>IF(C56="","TAL-"&amp;TEXT(COUNTA($C$5:C56),"000"))</f>
        <v/>
      </c>
      <c r="C56" s="14" t="n"/>
      <c r="D56" s="14" t="n"/>
      <c r="E56" s="14" t="n"/>
      <c r="F56" s="15" t="n"/>
      <c r="G56" s="14" t="n"/>
      <c r="H56" s="14" t="n"/>
      <c r="I56" s="14" t="n"/>
      <c r="J56" s="14" t="n"/>
      <c r="K56" s="14" t="n"/>
      <c r="L56" s="14" t="n"/>
    </row>
    <row r="57" ht="22" customHeight="1">
      <c r="B57" s="17">
        <f>IF(C57="","TAL-"&amp;TEXT(COUNTA($C$5:C57),"000"))</f>
        <v/>
      </c>
      <c r="C57" s="12" t="n"/>
      <c r="D57" s="12" t="n"/>
      <c r="E57" s="12" t="n"/>
      <c r="F57" s="13" t="n"/>
      <c r="G57" s="12" t="n"/>
      <c r="H57" s="12" t="n"/>
      <c r="I57" s="12" t="n"/>
      <c r="J57" s="12" t="n"/>
      <c r="K57" s="12" t="n"/>
      <c r="L57" s="12" t="n"/>
    </row>
    <row r="58" ht="22" customHeight="1">
      <c r="B58" s="16">
        <f>IF(C58="","TAL-"&amp;TEXT(COUNTA($C$5:C58),"000"))</f>
        <v/>
      </c>
      <c r="C58" s="14" t="n"/>
      <c r="D58" s="14" t="n"/>
      <c r="E58" s="14" t="n"/>
      <c r="F58" s="15" t="n"/>
      <c r="G58" s="14" t="n"/>
      <c r="H58" s="14" t="n"/>
      <c r="I58" s="14" t="n"/>
      <c r="J58" s="14" t="n"/>
      <c r="K58" s="14" t="n"/>
      <c r="L58" s="14" t="n"/>
    </row>
    <row r="59" ht="22" customHeight="1">
      <c r="B59" s="17">
        <f>IF(C59="","TAL-"&amp;TEXT(COUNTA($C$5:C59),"000"))</f>
        <v/>
      </c>
      <c r="C59" s="12" t="n"/>
      <c r="D59" s="12" t="n"/>
      <c r="E59" s="12" t="n"/>
      <c r="F59" s="13" t="n"/>
      <c r="G59" s="12" t="n"/>
      <c r="H59" s="12" t="n"/>
      <c r="I59" s="12" t="n"/>
      <c r="J59" s="12" t="n"/>
      <c r="K59" s="12" t="n"/>
      <c r="L59" s="12" t="n"/>
    </row>
    <row r="60" ht="22" customHeight="1">
      <c r="B60" s="16">
        <f>IF(C60="","TAL-"&amp;TEXT(COUNTA($C$5:C60),"000"))</f>
        <v/>
      </c>
      <c r="C60" s="14" t="n"/>
      <c r="D60" s="14" t="n"/>
      <c r="E60" s="14" t="n"/>
      <c r="F60" s="15" t="n"/>
      <c r="G60" s="14" t="n"/>
      <c r="H60" s="14" t="n"/>
      <c r="I60" s="14" t="n"/>
      <c r="J60" s="14" t="n"/>
      <c r="K60" s="14" t="n"/>
      <c r="L60" s="14" t="n"/>
    </row>
    <row r="61" ht="22" customHeight="1">
      <c r="B61" s="17">
        <f>IF(C61="","TAL-"&amp;TEXT(COUNTA($C$5:C61),"000"))</f>
        <v/>
      </c>
      <c r="C61" s="12" t="n"/>
      <c r="D61" s="12" t="n"/>
      <c r="E61" s="12" t="n"/>
      <c r="F61" s="13" t="n"/>
      <c r="G61" s="12" t="n"/>
      <c r="H61" s="12" t="n"/>
      <c r="I61" s="12" t="n"/>
      <c r="J61" s="12" t="n"/>
      <c r="K61" s="12" t="n"/>
      <c r="L61" s="12" t="n"/>
    </row>
    <row r="62" ht="22" customHeight="1">
      <c r="B62" s="16">
        <f>IF(C62="","TAL-"&amp;TEXT(COUNTA($C$5:C62),"000"))</f>
        <v/>
      </c>
      <c r="C62" s="14" t="n"/>
      <c r="D62" s="14" t="n"/>
      <c r="E62" s="14" t="n"/>
      <c r="F62" s="15" t="n"/>
      <c r="G62" s="14" t="n"/>
      <c r="H62" s="14" t="n"/>
      <c r="I62" s="14" t="n"/>
      <c r="J62" s="14" t="n"/>
      <c r="K62" s="14" t="n"/>
      <c r="L62" s="14" t="n"/>
    </row>
    <row r="63" ht="22" customHeight="1">
      <c r="B63" s="17">
        <f>IF(C63="","TAL-"&amp;TEXT(COUNTA($C$5:C63),"000"))</f>
        <v/>
      </c>
      <c r="C63" s="12" t="n"/>
      <c r="D63" s="12" t="n"/>
      <c r="E63" s="12" t="n"/>
      <c r="F63" s="13" t="n"/>
      <c r="G63" s="12" t="n"/>
      <c r="H63" s="12" t="n"/>
      <c r="I63" s="12" t="n"/>
      <c r="J63" s="12" t="n"/>
      <c r="K63" s="12" t="n"/>
      <c r="L63" s="12" t="n"/>
    </row>
    <row r="64" ht="22" customHeight="1">
      <c r="B64" s="16">
        <f>IF(C64="","TAL-"&amp;TEXT(COUNTA($C$5:C64),"000"))</f>
        <v/>
      </c>
      <c r="C64" s="14" t="n"/>
      <c r="D64" s="14" t="n"/>
      <c r="E64" s="14" t="n"/>
      <c r="F64" s="15" t="n"/>
      <c r="G64" s="14" t="n"/>
      <c r="H64" s="14" t="n"/>
      <c r="I64" s="14" t="n"/>
      <c r="J64" s="14" t="n"/>
      <c r="K64" s="14" t="n"/>
      <c r="L64" s="14" t="n"/>
    </row>
    <row r="65" ht="22" customHeight="1">
      <c r="B65" s="17">
        <f>IF(C65="","TAL-"&amp;TEXT(COUNTA($C$5:C65),"000"))</f>
        <v/>
      </c>
      <c r="C65" s="12" t="n"/>
      <c r="D65" s="12" t="n"/>
      <c r="E65" s="12" t="n"/>
      <c r="F65" s="13" t="n"/>
      <c r="G65" s="12" t="n"/>
      <c r="H65" s="12" t="n"/>
      <c r="I65" s="12" t="n"/>
      <c r="J65" s="12" t="n"/>
      <c r="K65" s="12" t="n"/>
      <c r="L65" s="12" t="n"/>
    </row>
    <row r="66" ht="22" customHeight="1">
      <c r="B66" s="16">
        <f>IF(C66="","TAL-"&amp;TEXT(COUNTA($C$5:C66),"000"))</f>
        <v/>
      </c>
      <c r="C66" s="14" t="n"/>
      <c r="D66" s="14" t="n"/>
      <c r="E66" s="14" t="n"/>
      <c r="F66" s="15" t="n"/>
      <c r="G66" s="14" t="n"/>
      <c r="H66" s="14" t="n"/>
      <c r="I66" s="14" t="n"/>
      <c r="J66" s="14" t="n"/>
      <c r="K66" s="14" t="n"/>
      <c r="L66" s="14" t="n"/>
    </row>
    <row r="67" ht="22" customHeight="1">
      <c r="B67" s="17">
        <f>IF(C67="","TAL-"&amp;TEXT(COUNTA($C$5:C67),"000"))</f>
        <v/>
      </c>
      <c r="C67" s="12" t="n"/>
      <c r="D67" s="12" t="n"/>
      <c r="E67" s="12" t="n"/>
      <c r="F67" s="13" t="n"/>
      <c r="G67" s="12" t="n"/>
      <c r="H67" s="12" t="n"/>
      <c r="I67" s="12" t="n"/>
      <c r="J67" s="12" t="n"/>
      <c r="K67" s="12" t="n"/>
      <c r="L67" s="12" t="n"/>
    </row>
    <row r="68" ht="22" customHeight="1">
      <c r="B68" s="16">
        <f>IF(C68="","TAL-"&amp;TEXT(COUNTA($C$5:C68),"000"))</f>
        <v/>
      </c>
      <c r="C68" s="14" t="n"/>
      <c r="D68" s="14" t="n"/>
      <c r="E68" s="14" t="n"/>
      <c r="F68" s="15" t="n"/>
      <c r="G68" s="14" t="n"/>
      <c r="H68" s="14" t="n"/>
      <c r="I68" s="14" t="n"/>
      <c r="J68" s="14" t="n"/>
      <c r="K68" s="14" t="n"/>
      <c r="L68" s="14" t="n"/>
    </row>
    <row r="69" ht="22" customHeight="1">
      <c r="B69" s="17">
        <f>IF(C69="","TAL-"&amp;TEXT(COUNTA($C$5:C69),"000"))</f>
        <v/>
      </c>
      <c r="C69" s="12" t="n"/>
      <c r="D69" s="12" t="n"/>
      <c r="E69" s="12" t="n"/>
      <c r="F69" s="13" t="n"/>
      <c r="G69" s="12" t="n"/>
      <c r="H69" s="12" t="n"/>
      <c r="I69" s="12" t="n"/>
      <c r="J69" s="12" t="n"/>
      <c r="K69" s="12" t="n"/>
      <c r="L69" s="12" t="n"/>
    </row>
    <row r="70" ht="22" customHeight="1">
      <c r="B70" s="16">
        <f>IF(C70="","TAL-"&amp;TEXT(COUNTA($C$5:C70),"000"))</f>
        <v/>
      </c>
      <c r="C70" s="14" t="n"/>
      <c r="D70" s="14" t="n"/>
      <c r="E70" s="14" t="n"/>
      <c r="F70" s="15" t="n"/>
      <c r="G70" s="14" t="n"/>
      <c r="H70" s="14" t="n"/>
      <c r="I70" s="14" t="n"/>
      <c r="J70" s="14" t="n"/>
      <c r="K70" s="14" t="n"/>
      <c r="L70" s="14" t="n"/>
    </row>
    <row r="71" ht="22" customHeight="1">
      <c r="B71" s="17">
        <f>IF(C71="","TAL-"&amp;TEXT(COUNTA($C$5:C71),"000"))</f>
        <v/>
      </c>
      <c r="C71" s="12" t="n"/>
      <c r="D71" s="12" t="n"/>
      <c r="E71" s="12" t="n"/>
      <c r="F71" s="13" t="n"/>
      <c r="G71" s="12" t="n"/>
      <c r="H71" s="12" t="n"/>
      <c r="I71" s="12" t="n"/>
      <c r="J71" s="12" t="n"/>
      <c r="K71" s="12" t="n"/>
      <c r="L71" s="12" t="n"/>
    </row>
    <row r="72" ht="22" customHeight="1">
      <c r="B72" s="16">
        <f>IF(C72="","TAL-"&amp;TEXT(COUNTA($C$5:C72),"000"))</f>
        <v/>
      </c>
      <c r="C72" s="14" t="n"/>
      <c r="D72" s="14" t="n"/>
      <c r="E72" s="14" t="n"/>
      <c r="F72" s="15" t="n"/>
      <c r="G72" s="14" t="n"/>
      <c r="H72" s="14" t="n"/>
      <c r="I72" s="14" t="n"/>
      <c r="J72" s="14" t="n"/>
      <c r="K72" s="14" t="n"/>
      <c r="L72" s="14" t="n"/>
    </row>
    <row r="73" ht="22" customHeight="1">
      <c r="B73" s="17">
        <f>IF(C73="","TAL-"&amp;TEXT(COUNTA($C$5:C73),"000"))</f>
        <v/>
      </c>
      <c r="C73" s="12" t="n"/>
      <c r="D73" s="12" t="n"/>
      <c r="E73" s="12" t="n"/>
      <c r="F73" s="13" t="n"/>
      <c r="G73" s="12" t="n"/>
      <c r="H73" s="12" t="n"/>
      <c r="I73" s="12" t="n"/>
      <c r="J73" s="12" t="n"/>
      <c r="K73" s="12" t="n"/>
      <c r="L73" s="12" t="n"/>
    </row>
    <row r="74" ht="22" customHeight="1">
      <c r="B74" s="16">
        <f>IF(C74="","TAL-"&amp;TEXT(COUNTA($C$5:C74),"000"))</f>
        <v/>
      </c>
      <c r="C74" s="14" t="n"/>
      <c r="D74" s="14" t="n"/>
      <c r="E74" s="14" t="n"/>
      <c r="F74" s="15" t="n"/>
      <c r="G74" s="14" t="n"/>
      <c r="H74" s="14" t="n"/>
      <c r="I74" s="14" t="n"/>
      <c r="J74" s="14" t="n"/>
      <c r="K74" s="14" t="n"/>
      <c r="L74" s="14" t="n"/>
    </row>
    <row r="75" ht="22" customHeight="1">
      <c r="B75" s="17">
        <f>IF(C75="","TAL-"&amp;TEXT(COUNTA($C$5:C75),"000"))</f>
        <v/>
      </c>
      <c r="C75" s="12" t="n"/>
      <c r="D75" s="12" t="n"/>
      <c r="E75" s="12" t="n"/>
      <c r="F75" s="13" t="n"/>
      <c r="G75" s="12" t="n"/>
      <c r="H75" s="12" t="n"/>
      <c r="I75" s="12" t="n"/>
      <c r="J75" s="12" t="n"/>
      <c r="K75" s="12" t="n"/>
      <c r="L75" s="12" t="n"/>
    </row>
    <row r="76" ht="22" customHeight="1">
      <c r="B76" s="16">
        <f>IF(C76="","TAL-"&amp;TEXT(COUNTA($C$5:C76),"000"))</f>
        <v/>
      </c>
      <c r="C76" s="14" t="n"/>
      <c r="D76" s="14" t="n"/>
      <c r="E76" s="14" t="n"/>
      <c r="F76" s="15" t="n"/>
      <c r="G76" s="14" t="n"/>
      <c r="H76" s="14" t="n"/>
      <c r="I76" s="14" t="n"/>
      <c r="J76" s="14" t="n"/>
      <c r="K76" s="14" t="n"/>
      <c r="L76" s="14" t="n"/>
    </row>
    <row r="77" ht="22" customHeight="1">
      <c r="B77" s="17">
        <f>IF(C77="","TAL-"&amp;TEXT(COUNTA($C$5:C77),"000"))</f>
        <v/>
      </c>
      <c r="C77" s="12" t="n"/>
      <c r="D77" s="12" t="n"/>
      <c r="E77" s="12" t="n"/>
      <c r="F77" s="13" t="n"/>
      <c r="G77" s="12" t="n"/>
      <c r="H77" s="12" t="n"/>
      <c r="I77" s="12" t="n"/>
      <c r="J77" s="12" t="n"/>
      <c r="K77" s="12" t="n"/>
      <c r="L77" s="12" t="n"/>
    </row>
    <row r="78" ht="22" customHeight="1">
      <c r="B78" s="16">
        <f>IF(C78="","TAL-"&amp;TEXT(COUNTA($C$5:C78),"000"))</f>
        <v/>
      </c>
      <c r="C78" s="14" t="n"/>
      <c r="D78" s="14" t="n"/>
      <c r="E78" s="14" t="n"/>
      <c r="F78" s="15" t="n"/>
      <c r="G78" s="14" t="n"/>
      <c r="H78" s="14" t="n"/>
      <c r="I78" s="14" t="n"/>
      <c r="J78" s="14" t="n"/>
      <c r="K78" s="14" t="n"/>
      <c r="L78" s="14" t="n"/>
    </row>
    <row r="79" ht="22" customHeight="1">
      <c r="B79" s="17">
        <f>IF(C79="","TAL-"&amp;TEXT(COUNTA($C$5:C79),"000"))</f>
        <v/>
      </c>
      <c r="C79" s="12" t="n"/>
      <c r="D79" s="12" t="n"/>
      <c r="E79" s="12" t="n"/>
      <c r="F79" s="13" t="n"/>
      <c r="G79" s="12" t="n"/>
      <c r="H79" s="12" t="n"/>
      <c r="I79" s="12" t="n"/>
      <c r="J79" s="12" t="n"/>
      <c r="K79" s="12" t="n"/>
      <c r="L79" s="12" t="n"/>
    </row>
    <row r="80" ht="22" customHeight="1">
      <c r="B80" s="16">
        <f>IF(C80="","TAL-"&amp;TEXT(COUNTA($C$5:C80),"000"))</f>
        <v/>
      </c>
      <c r="C80" s="14" t="n"/>
      <c r="D80" s="14" t="n"/>
      <c r="E80" s="14" t="n"/>
      <c r="F80" s="15" t="n"/>
      <c r="G80" s="14" t="n"/>
      <c r="H80" s="14" t="n"/>
      <c r="I80" s="14" t="n"/>
      <c r="J80" s="14" t="n"/>
      <c r="K80" s="14" t="n"/>
      <c r="L80" s="14" t="n"/>
    </row>
    <row r="81" ht="22" customHeight="1">
      <c r="B81" s="17">
        <f>IF(C81="","TAL-"&amp;TEXT(COUNTA($C$5:C81),"000"))</f>
        <v/>
      </c>
      <c r="C81" s="12" t="n"/>
      <c r="D81" s="12" t="n"/>
      <c r="E81" s="12" t="n"/>
      <c r="F81" s="13" t="n"/>
      <c r="G81" s="12" t="n"/>
      <c r="H81" s="12" t="n"/>
      <c r="I81" s="12" t="n"/>
      <c r="J81" s="12" t="n"/>
      <c r="K81" s="12" t="n"/>
      <c r="L81" s="12" t="n"/>
    </row>
    <row r="82" ht="22" customHeight="1">
      <c r="B82" s="16">
        <f>IF(C82="","TAL-"&amp;TEXT(COUNTA($C$5:C82),"000"))</f>
        <v/>
      </c>
      <c r="C82" s="14" t="n"/>
      <c r="D82" s="14" t="n"/>
      <c r="E82" s="14" t="n"/>
      <c r="F82" s="15" t="n"/>
      <c r="G82" s="14" t="n"/>
      <c r="H82" s="14" t="n"/>
      <c r="I82" s="14" t="n"/>
      <c r="J82" s="14" t="n"/>
      <c r="K82" s="14" t="n"/>
      <c r="L82" s="14" t="n"/>
    </row>
    <row r="83" ht="22" customHeight="1">
      <c r="B83" s="17">
        <f>IF(C83="","TAL-"&amp;TEXT(COUNTA($C$5:C83),"000"))</f>
        <v/>
      </c>
      <c r="C83" s="12" t="n"/>
      <c r="D83" s="12" t="n"/>
      <c r="E83" s="12" t="n"/>
      <c r="F83" s="13" t="n"/>
      <c r="G83" s="12" t="n"/>
      <c r="H83" s="12" t="n"/>
      <c r="I83" s="12" t="n"/>
      <c r="J83" s="12" t="n"/>
      <c r="K83" s="12" t="n"/>
      <c r="L83" s="12" t="n"/>
    </row>
    <row r="84" ht="22" customHeight="1">
      <c r="B84" s="16">
        <f>IF(C84="","TAL-"&amp;TEXT(COUNTA($C$5:C84),"000"))</f>
        <v/>
      </c>
      <c r="C84" s="14" t="n"/>
      <c r="D84" s="14" t="n"/>
      <c r="E84" s="14" t="n"/>
      <c r="F84" s="15" t="n"/>
      <c r="G84" s="14" t="n"/>
      <c r="H84" s="14" t="n"/>
      <c r="I84" s="14" t="n"/>
      <c r="J84" s="14" t="n"/>
      <c r="K84" s="14" t="n"/>
      <c r="L84" s="14" t="n"/>
    </row>
    <row r="85" ht="22" customHeight="1">
      <c r="B85" s="17">
        <f>IF(C85="","TAL-"&amp;TEXT(COUNTA($C$5:C85),"000"))</f>
        <v/>
      </c>
      <c r="C85" s="12" t="n"/>
      <c r="D85" s="12" t="n"/>
      <c r="E85" s="12" t="n"/>
      <c r="F85" s="13" t="n"/>
      <c r="G85" s="12" t="n"/>
      <c r="H85" s="12" t="n"/>
      <c r="I85" s="12" t="n"/>
      <c r="J85" s="12" t="n"/>
      <c r="K85" s="12" t="n"/>
      <c r="L85" s="12" t="n"/>
    </row>
    <row r="86" ht="22" customHeight="1">
      <c r="B86" s="16">
        <f>IF(C86="","TAL-"&amp;TEXT(COUNTA($C$5:C86),"000"))</f>
        <v/>
      </c>
      <c r="C86" s="14" t="n"/>
      <c r="D86" s="14" t="n"/>
      <c r="E86" s="14" t="n"/>
      <c r="F86" s="15" t="n"/>
      <c r="G86" s="14" t="n"/>
      <c r="H86" s="14" t="n"/>
      <c r="I86" s="14" t="n"/>
      <c r="J86" s="14" t="n"/>
      <c r="K86" s="14" t="n"/>
      <c r="L86" s="14" t="n"/>
    </row>
    <row r="87" ht="22" customHeight="1">
      <c r="B87" s="17">
        <f>IF(C87="","TAL-"&amp;TEXT(COUNTA($C$5:C87),"000"))</f>
        <v/>
      </c>
      <c r="C87" s="12" t="n"/>
      <c r="D87" s="12" t="n"/>
      <c r="E87" s="12" t="n"/>
      <c r="F87" s="13" t="n"/>
      <c r="G87" s="12" t="n"/>
      <c r="H87" s="12" t="n"/>
      <c r="I87" s="12" t="n"/>
      <c r="J87" s="12" t="n"/>
      <c r="K87" s="12" t="n"/>
      <c r="L87" s="12" t="n"/>
    </row>
    <row r="88" ht="22" customHeight="1">
      <c r="B88" s="16">
        <f>IF(C88="","TAL-"&amp;TEXT(COUNTA($C$5:C88),"000"))</f>
        <v/>
      </c>
      <c r="C88" s="14" t="n"/>
      <c r="D88" s="14" t="n"/>
      <c r="E88" s="14" t="n"/>
      <c r="F88" s="15" t="n"/>
      <c r="G88" s="14" t="n"/>
      <c r="H88" s="14" t="n"/>
      <c r="I88" s="14" t="n"/>
      <c r="J88" s="14" t="n"/>
      <c r="K88" s="14" t="n"/>
      <c r="L88" s="14" t="n"/>
    </row>
    <row r="89" ht="22" customHeight="1">
      <c r="B89" s="17">
        <f>IF(C89="","TAL-"&amp;TEXT(COUNTA($C$5:C89),"000"))</f>
        <v/>
      </c>
      <c r="C89" s="12" t="n"/>
      <c r="D89" s="12" t="n"/>
      <c r="E89" s="12" t="n"/>
      <c r="F89" s="13" t="n"/>
      <c r="G89" s="12" t="n"/>
      <c r="H89" s="12" t="n"/>
      <c r="I89" s="12" t="n"/>
      <c r="J89" s="12" t="n"/>
      <c r="K89" s="12" t="n"/>
      <c r="L89" s="12" t="n"/>
    </row>
    <row r="90" ht="22" customHeight="1">
      <c r="B90" s="16">
        <f>IF(C90="","TAL-"&amp;TEXT(COUNTA($C$5:C90),"000"))</f>
        <v/>
      </c>
      <c r="C90" s="14" t="n"/>
      <c r="D90" s="14" t="n"/>
      <c r="E90" s="14" t="n"/>
      <c r="F90" s="15" t="n"/>
      <c r="G90" s="14" t="n"/>
      <c r="H90" s="14" t="n"/>
      <c r="I90" s="14" t="n"/>
      <c r="J90" s="14" t="n"/>
      <c r="K90" s="14" t="n"/>
      <c r="L90" s="14" t="n"/>
    </row>
    <row r="91" ht="22" customHeight="1">
      <c r="B91" s="17">
        <f>IF(C91="","TAL-"&amp;TEXT(COUNTA($C$5:C91),"000"))</f>
        <v/>
      </c>
      <c r="C91" s="12" t="n"/>
      <c r="D91" s="12" t="n"/>
      <c r="E91" s="12" t="n"/>
      <c r="F91" s="13" t="n"/>
      <c r="G91" s="12" t="n"/>
      <c r="H91" s="12" t="n"/>
      <c r="I91" s="12" t="n"/>
      <c r="J91" s="12" t="n"/>
      <c r="K91" s="12" t="n"/>
      <c r="L91" s="12" t="n"/>
    </row>
    <row r="92" ht="22" customHeight="1">
      <c r="B92" s="16">
        <f>IF(C92="","TAL-"&amp;TEXT(COUNTA($C$5:C92),"000"))</f>
        <v/>
      </c>
      <c r="C92" s="14" t="n"/>
      <c r="D92" s="14" t="n"/>
      <c r="E92" s="14" t="n"/>
      <c r="F92" s="15" t="n"/>
      <c r="G92" s="14" t="n"/>
      <c r="H92" s="14" t="n"/>
      <c r="I92" s="14" t="n"/>
      <c r="J92" s="14" t="n"/>
      <c r="K92" s="14" t="n"/>
      <c r="L92" s="14" t="n"/>
    </row>
    <row r="93" ht="22" customHeight="1">
      <c r="B93" s="17">
        <f>IF(C93="","TAL-"&amp;TEXT(COUNTA($C$5:C93),"000"))</f>
        <v/>
      </c>
      <c r="C93" s="12" t="n"/>
      <c r="D93" s="12" t="n"/>
      <c r="E93" s="12" t="n"/>
      <c r="F93" s="13" t="n"/>
      <c r="G93" s="12" t="n"/>
      <c r="H93" s="12" t="n"/>
      <c r="I93" s="12" t="n"/>
      <c r="J93" s="12" t="n"/>
      <c r="K93" s="12" t="n"/>
      <c r="L93" s="12" t="n"/>
    </row>
    <row r="94" ht="22" customHeight="1">
      <c r="B94" s="16">
        <f>IF(C94="","TAL-"&amp;TEXT(COUNTA($C$5:C94),"000"))</f>
        <v/>
      </c>
      <c r="C94" s="14" t="n"/>
      <c r="D94" s="14" t="n"/>
      <c r="E94" s="14" t="n"/>
      <c r="F94" s="15" t="n"/>
      <c r="G94" s="14" t="n"/>
      <c r="H94" s="14" t="n"/>
      <c r="I94" s="14" t="n"/>
      <c r="J94" s="14" t="n"/>
      <c r="K94" s="14" t="n"/>
      <c r="L94" s="14" t="n"/>
    </row>
    <row r="95" ht="22" customHeight="1">
      <c r="B95" s="17">
        <f>IF(C95="","TAL-"&amp;TEXT(COUNTA($C$5:C95),"000"))</f>
        <v/>
      </c>
      <c r="C95" s="12" t="n"/>
      <c r="D95" s="12" t="n"/>
      <c r="E95" s="12" t="n"/>
      <c r="F95" s="13" t="n"/>
      <c r="G95" s="12" t="n"/>
      <c r="H95" s="12" t="n"/>
      <c r="I95" s="12" t="n"/>
      <c r="J95" s="12" t="n"/>
      <c r="K95" s="12" t="n"/>
      <c r="L95" s="12" t="n"/>
    </row>
    <row r="96" ht="22" customHeight="1">
      <c r="B96" s="16">
        <f>IF(C96="","TAL-"&amp;TEXT(COUNTA($C$5:C96),"000"))</f>
        <v/>
      </c>
      <c r="C96" s="14" t="n"/>
      <c r="D96" s="14" t="n"/>
      <c r="E96" s="14" t="n"/>
      <c r="F96" s="15" t="n"/>
      <c r="G96" s="14" t="n"/>
      <c r="H96" s="14" t="n"/>
      <c r="I96" s="14" t="n"/>
      <c r="J96" s="14" t="n"/>
      <c r="K96" s="14" t="n"/>
      <c r="L96" s="14" t="n"/>
    </row>
    <row r="97" ht="22" customHeight="1">
      <c r="B97" s="17">
        <f>IF(C97="","TAL-"&amp;TEXT(COUNTA($C$5:C97),"000"))</f>
        <v/>
      </c>
      <c r="C97" s="12" t="n"/>
      <c r="D97" s="12" t="n"/>
      <c r="E97" s="12" t="n"/>
      <c r="F97" s="13" t="n"/>
      <c r="G97" s="12" t="n"/>
      <c r="H97" s="12" t="n"/>
      <c r="I97" s="12" t="n"/>
      <c r="J97" s="12" t="n"/>
      <c r="K97" s="12" t="n"/>
      <c r="L97" s="12" t="n"/>
    </row>
    <row r="98" ht="22" customHeight="1">
      <c r="B98" s="16">
        <f>IF(C98="","TAL-"&amp;TEXT(COUNTA($C$5:C98),"000"))</f>
        <v/>
      </c>
      <c r="C98" s="14" t="n"/>
      <c r="D98" s="14" t="n"/>
      <c r="E98" s="14" t="n"/>
      <c r="F98" s="15" t="n"/>
      <c r="G98" s="14" t="n"/>
      <c r="H98" s="14" t="n"/>
      <c r="I98" s="14" t="n"/>
      <c r="J98" s="14" t="n"/>
      <c r="K98" s="14" t="n"/>
      <c r="L98" s="14" t="n"/>
    </row>
    <row r="99" ht="22" customHeight="1">
      <c r="B99" s="17">
        <f>IF(C99="","TAL-"&amp;TEXT(COUNTA($C$5:C99),"000"))</f>
        <v/>
      </c>
      <c r="C99" s="12" t="n"/>
      <c r="D99" s="12" t="n"/>
      <c r="E99" s="12" t="n"/>
      <c r="F99" s="13" t="n"/>
      <c r="G99" s="12" t="n"/>
      <c r="H99" s="12" t="n"/>
      <c r="I99" s="12" t="n"/>
      <c r="J99" s="12" t="n"/>
      <c r="K99" s="12" t="n"/>
      <c r="L99" s="12" t="n"/>
    </row>
    <row r="100" ht="22" customHeight="1">
      <c r="B100" s="16">
        <f>IF(C100="","TAL-"&amp;TEXT(COUNTA($C$5:C100),"000"))</f>
        <v/>
      </c>
      <c r="C100" s="14" t="n"/>
      <c r="D100" s="14" t="n"/>
      <c r="E100" s="14" t="n"/>
      <c r="F100" s="15" t="n"/>
      <c r="G100" s="14" t="n"/>
      <c r="H100" s="14" t="n"/>
      <c r="I100" s="14" t="n"/>
      <c r="J100" s="14" t="n"/>
      <c r="K100" s="14" t="n"/>
      <c r="L100" s="14" t="n"/>
    </row>
    <row r="101" ht="22" customHeight="1">
      <c r="B101" s="17">
        <f>IF(C101="","TAL-"&amp;TEXT(COUNTA($C$5:C101),"000"))</f>
        <v/>
      </c>
      <c r="C101" s="12" t="n"/>
      <c r="D101" s="12" t="n"/>
      <c r="E101" s="12" t="n"/>
      <c r="F101" s="13" t="n"/>
      <c r="G101" s="12" t="n"/>
      <c r="H101" s="12" t="n"/>
      <c r="I101" s="12" t="n"/>
      <c r="J101" s="12" t="n"/>
      <c r="K101" s="12" t="n"/>
      <c r="L101" s="12" t="n"/>
    </row>
    <row r="102" ht="22" customHeight="1">
      <c r="B102" s="16">
        <f>IF(C102="","TAL-"&amp;TEXT(COUNTA($C$5:C102),"000"))</f>
        <v/>
      </c>
      <c r="C102" s="14" t="n"/>
      <c r="D102" s="14" t="n"/>
      <c r="E102" s="14" t="n"/>
      <c r="F102" s="15" t="n"/>
      <c r="G102" s="14" t="n"/>
      <c r="H102" s="14" t="n"/>
      <c r="I102" s="14" t="n"/>
      <c r="J102" s="14" t="n"/>
      <c r="K102" s="14" t="n"/>
      <c r="L102" s="14" t="n"/>
    </row>
    <row r="103" ht="22" customHeight="1">
      <c r="B103" s="17">
        <f>IF(C103="","TAL-"&amp;TEXT(COUNTA($C$5:C103),"000"))</f>
        <v/>
      </c>
      <c r="C103" s="12" t="n"/>
      <c r="D103" s="12" t="n"/>
      <c r="E103" s="12" t="n"/>
      <c r="F103" s="13" t="n"/>
      <c r="G103" s="12" t="n"/>
      <c r="H103" s="12" t="n"/>
      <c r="I103" s="12" t="n"/>
      <c r="J103" s="12" t="n"/>
      <c r="K103" s="12" t="n"/>
      <c r="L103" s="12" t="n"/>
    </row>
    <row r="104" ht="22" customHeight="1">
      <c r="B104" s="16">
        <f>IF(C104="","TAL-"&amp;TEXT(COUNTA($C$5:C104),"000"))</f>
        <v/>
      </c>
      <c r="C104" s="14" t="n"/>
      <c r="D104" s="14" t="n"/>
      <c r="E104" s="14" t="n"/>
      <c r="F104" s="15" t="n"/>
      <c r="G104" s="14" t="n"/>
      <c r="H104" s="14" t="n"/>
      <c r="I104" s="14" t="n"/>
      <c r="J104" s="14" t="n"/>
      <c r="K104" s="14" t="n"/>
      <c r="L104" s="14" t="n"/>
    </row>
    <row r="105" ht="22" customHeight="1">
      <c r="B105" s="17">
        <f>IF(C105="","TAL-"&amp;TEXT(COUNTA($C$5:C105),"000"))</f>
        <v/>
      </c>
      <c r="C105" s="12" t="n"/>
      <c r="D105" s="12" t="n"/>
      <c r="E105" s="12" t="n"/>
      <c r="F105" s="13" t="n"/>
      <c r="G105" s="12" t="n"/>
      <c r="H105" s="12" t="n"/>
      <c r="I105" s="12" t="n"/>
      <c r="J105" s="12" t="n"/>
      <c r="K105" s="12" t="n"/>
      <c r="L105" s="12" t="n"/>
    </row>
    <row r="106" ht="22" customHeight="1">
      <c r="B106" s="16">
        <f>IF(C106="","TAL-"&amp;TEXT(COUNTA($C$5:C106),"000"))</f>
        <v/>
      </c>
      <c r="C106" s="14" t="n"/>
      <c r="D106" s="14" t="n"/>
      <c r="E106" s="14" t="n"/>
      <c r="F106" s="15" t="n"/>
      <c r="G106" s="14" t="n"/>
      <c r="H106" s="14" t="n"/>
      <c r="I106" s="14" t="n"/>
      <c r="J106" s="14" t="n"/>
      <c r="K106" s="14" t="n"/>
      <c r="L106" s="14" t="n"/>
    </row>
    <row r="107" ht="22" customHeight="1">
      <c r="B107" s="17">
        <f>IF(C107="","TAL-"&amp;TEXT(COUNTA($C$5:C107),"000"))</f>
        <v/>
      </c>
      <c r="C107" s="12" t="n"/>
      <c r="D107" s="12" t="n"/>
      <c r="E107" s="12" t="n"/>
      <c r="F107" s="13" t="n"/>
      <c r="G107" s="12" t="n"/>
      <c r="H107" s="12" t="n"/>
      <c r="I107" s="12" t="n"/>
      <c r="J107" s="12" t="n"/>
      <c r="K107" s="12" t="n"/>
      <c r="L107" s="12" t="n"/>
    </row>
    <row r="108" ht="22" customHeight="1">
      <c r="B108" s="16">
        <f>IF(C108="","TAL-"&amp;TEXT(COUNTA($C$5:C108),"000"))</f>
        <v/>
      </c>
      <c r="C108" s="14" t="n"/>
      <c r="D108" s="14" t="n"/>
      <c r="E108" s="14" t="n"/>
      <c r="F108" s="15" t="n"/>
      <c r="G108" s="14" t="n"/>
      <c r="H108" s="14" t="n"/>
      <c r="I108" s="14" t="n"/>
      <c r="J108" s="14" t="n"/>
      <c r="K108" s="14" t="n"/>
      <c r="L108" s="14" t="n"/>
    </row>
    <row r="109" ht="22" customHeight="1">
      <c r="B109" s="17">
        <f>IF(C109="","TAL-"&amp;TEXT(COUNTA($C$5:C109),"000"))</f>
        <v/>
      </c>
      <c r="C109" s="12" t="n"/>
      <c r="D109" s="12" t="n"/>
      <c r="E109" s="12" t="n"/>
      <c r="F109" s="13" t="n"/>
      <c r="G109" s="12" t="n"/>
      <c r="H109" s="12" t="n"/>
      <c r="I109" s="12" t="n"/>
      <c r="J109" s="12" t="n"/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Talents identifies</t>
        </is>
      </c>
      <c r="D112" s="3" t="inlineStr">
        <is>
          <t>Potentiel eleve</t>
        </is>
      </c>
      <c r="F112" s="3" t="inlineStr">
        <is>
          <t>Risque critique</t>
        </is>
      </c>
      <c r="H112" s="3" t="inlineStr">
        <is>
          <t>Etoiles montantes</t>
        </is>
      </c>
    </row>
    <row r="113">
      <c r="B113" s="4">
        <f>COUNTIF(B5:B104,"&lt;&gt;")</f>
        <v/>
      </c>
      <c r="D113" s="4">
        <f>COUNTIF(H5:H104,"Eleve")+COUNTIF(H5:H104,"Tres eleve")</f>
        <v/>
      </c>
      <c r="F113" s="4">
        <f>COUNTIF(K5:K104,"Critique")</f>
        <v/>
      </c>
      <c r="H113" s="4">
        <f>COUNTIF(I5:I104,"Etoile montante")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conditionalFormatting sqref="L10:L109">
    <cfRule type="expression" priority="11" dxfId="0">
      <formula>AND($C10="",$C9&lt;&gt;"")</formula>
    </cfRule>
  </conditionalFormatting>
  <dataValidations count="7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9" showDropDown="0" showInputMessage="0" showErrorMessage="0" allowBlank="1" errorTitle="Erreur" error="Valeur invalide" promptTitle="Liste" prompt="Choisir dans la liste" type="list">
      <formula1>'_Lists'!$E$2:$E$6</formula1>
    </dataValidation>
    <dataValidation sqref="H5:H109" showDropDown="0" showInputMessage="0" showErrorMessage="0" allowBlank="1" errorTitle="Erreur" error="Valeur invalide" promptTitle="Liste" prompt="Choisir dans la liste" type="list">
      <formula1>'_Lists'!$D$2:$D$5</formula1>
    </dataValidation>
    <dataValidation sqref="I5:I109" showDropDown="0" showInputMessage="0" showErrorMessage="0" allowBlank="1" errorTitle="Erreur" error="Valeur invalide" promptTitle="Liste" prompt="Choisir dans la liste" type="list">
      <formula1>'_Lists'!$F$2:$F$7</formula1>
    </dataValidation>
    <dataValidation sqref="J5:J109" showDropDown="0" showInputMessage="0" showErrorMessage="0" allowBlank="1" errorTitle="Erreur" error="Valeur invalide" promptTitle="Liste" prompt="Choisir dans la liste" type="list">
      <formula1>'_Lists'!$D$2:$D$5</formula1>
    </dataValidation>
    <dataValidation sqref="K5:K109" showDropDown="0" showInputMessage="0" showErrorMessage="0" allowBlank="1" errorTitle="Erreur" error="Valeur invalide" promptTitle="Liste" prompt="Choisir dans la liste" type="list">
      <formula1>'_Lists'!$L$2:$L$5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6" customWidth="1" min="5" max="5"/>
    <col width="14" customWidth="1" min="6" max="6"/>
    <col width="34" customWidth="1" min="7" max="7"/>
    <col width="34" customWidth="1" min="8" max="8"/>
    <col width="14" customWidth="1" min="9" max="9"/>
    <col width="20" customWidth="1" min="10" max="10"/>
    <col width="36" customWidth="1" min="11" max="11"/>
  </cols>
  <sheetData>
    <row r="1" ht="15" customHeight="1"/>
    <row r="2" ht="32" customHeight="1">
      <c r="B2" s="1" t="inlineStr">
        <is>
          <t>PLANS DE CARRIÈRE (#108)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 Actuel</t>
        </is>
      </c>
      <c r="E4" s="11" t="inlineStr">
        <is>
          <t>Objectif Carriere</t>
        </is>
      </c>
      <c r="F4" s="11" t="inlineStr">
        <is>
          <t>Echeance</t>
        </is>
      </c>
      <c r="G4" s="11" t="inlineStr">
        <is>
          <t>Competences Requises</t>
        </is>
      </c>
      <c r="H4" s="11" t="inlineStr">
        <is>
          <t>Formations Planifiees</t>
        </is>
      </c>
      <c r="I4" s="11" t="inlineStr">
        <is>
          <t>Statut</t>
        </is>
      </c>
      <c r="J4" s="11" t="inlineStr">
        <is>
          <t>Accompagnateur</t>
        </is>
      </c>
      <c r="K4" s="11" t="inlineStr">
        <is>
          <t>Observations</t>
        </is>
      </c>
    </row>
    <row r="5" ht="22" customHeight="1">
      <c r="B5" s="12" t="inlineStr">
        <is>
          <t>CAR-001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Responsable Front Office</t>
        </is>
      </c>
      <c r="F5" s="29" t="n">
        <v>46022</v>
      </c>
      <c r="G5" s="12" t="inlineStr">
        <is>
          <t>Management, Revenue Management, Anglais courant</t>
        </is>
      </c>
      <c r="H5" s="12" t="inlineStr">
        <is>
          <t>Certification Revenue Management + Coaching</t>
        </is>
      </c>
      <c r="I5" s="12" t="inlineStr">
        <is>
          <t>En cours</t>
        </is>
      </c>
      <c r="J5" s="12" t="inlineStr">
        <is>
          <t>DRH Fotso M.</t>
        </is>
      </c>
      <c r="K5" s="12" t="inlineStr">
        <is>
          <t>Candidat naturel pour succession</t>
        </is>
      </c>
    </row>
    <row r="6" ht="22" customHeight="1">
      <c r="B6" s="14" t="inlineStr">
        <is>
          <t>CAR-002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Chef Cuisine</t>
        </is>
      </c>
      <c r="F6" s="30" t="n">
        <v>46203</v>
      </c>
      <c r="G6" s="14" t="inlineStr">
        <is>
          <t>Gestion menu, management equipe, hygiene HACCP avance</t>
        </is>
      </c>
      <c r="H6" s="14" t="inlineStr">
        <is>
          <t>Formation HACCP niveau 3 + Management cuisine</t>
        </is>
      </c>
      <c r="I6" s="14" t="inlineStr">
        <is>
          <t>En cours</t>
        </is>
      </c>
      <c r="J6" s="14" t="inlineStr">
        <is>
          <t>Chef Cuisine Biyong J.</t>
        </is>
      </c>
      <c r="K6" s="14" t="inlineStr">
        <is>
          <t>Progression reguliere, bien parti</t>
        </is>
      </c>
    </row>
    <row r="7" ht="22" customHeight="1">
      <c r="B7" s="12" t="inlineStr">
        <is>
          <t>CAR-003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Chef de service IT</t>
        </is>
      </c>
      <c r="F7" s="29" t="n">
        <v>46112</v>
      </c>
      <c r="G7" s="12" t="inlineStr">
        <is>
          <t>Administration reseau, cybersécurite, gestion budget IT</t>
        </is>
      </c>
      <c r="H7" s="12" t="inlineStr">
        <is>
          <t>Certification Cisco + Formation gestion budget</t>
        </is>
      </c>
      <c r="I7" s="12" t="inlineStr">
        <is>
          <t>En elaboration</t>
        </is>
      </c>
      <c r="J7" s="12" t="inlineStr">
        <is>
          <t>DSI externe</t>
        </is>
      </c>
      <c r="K7" s="12" t="inlineStr">
        <is>
          <t>Potentiel fort, besoin encadrement management</t>
        </is>
      </c>
    </row>
    <row r="8" ht="22" customHeight="1">
      <c r="B8" s="14" t="inlineStr">
        <is>
          <t>CAR-004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Chef Commercial adjoint</t>
        </is>
      </c>
      <c r="F8" s="30" t="n">
        <v>45930</v>
      </c>
      <c r="G8" s="14" t="inlineStr">
        <is>
          <t>Negociation B2B, gestion portefeuille, anglais</t>
        </is>
      </c>
      <c r="H8" s="14" t="inlineStr">
        <is>
          <t>Formation vente hoteliere + Anglais intensif</t>
        </is>
      </c>
      <c r="I8" s="14" t="inlineStr">
        <is>
          <t>En cours</t>
        </is>
      </c>
      <c r="J8" s="14" t="inlineStr">
        <is>
          <t>Chef Commercial Manga S.</t>
        </is>
      </c>
      <c r="K8" s="14" t="inlineStr">
        <is>
          <t>Bonne dynamique commerciale</t>
        </is>
      </c>
    </row>
    <row r="9" ht="22" customHeight="1">
      <c r="B9" s="12" t="inlineStr">
        <is>
          <t>CAR-005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Chef Reception adjoint</t>
        </is>
      </c>
      <c r="F9" s="29" t="n">
        <v>46203</v>
      </c>
      <c r="G9" s="12" t="inlineStr">
        <is>
          <t>Supervision, gestion plannings, PMS avance, service client</t>
        </is>
      </c>
      <c r="H9" s="12" t="inlineStr">
        <is>
          <t>Formation supervision + Certif. Opera PMS</t>
        </is>
      </c>
      <c r="I9" s="12" t="inlineStr">
        <is>
          <t>En elaboration</t>
        </is>
      </c>
      <c r="J9" s="12" t="inlineStr">
        <is>
          <t>Chef Reception Nkoulou P.</t>
        </is>
      </c>
      <c r="K9" s="12" t="inlineStr">
        <is>
          <t>Nouveau talent a developper</t>
        </is>
      </c>
    </row>
    <row r="10" ht="22" customHeight="1">
      <c r="B10" s="16">
        <f>IF(C10="","CAR-"&amp;TEXT(COUNTA($C$5:C10),"000"))</f>
        <v/>
      </c>
      <c r="C10" s="14" t="n"/>
      <c r="D10" s="14" t="n"/>
      <c r="E10" s="14" t="n"/>
      <c r="F10" s="30" t="n"/>
      <c r="G10" s="14" t="n"/>
      <c r="H10" s="14" t="n"/>
      <c r="I10" s="14" t="n"/>
      <c r="J10" s="14" t="n"/>
      <c r="K10" s="14" t="n"/>
    </row>
    <row r="11" ht="22" customHeight="1">
      <c r="B11" s="17">
        <f>IF(C11="","CAR-"&amp;TEXT(COUNTA($C$5:C11),"000"))</f>
        <v/>
      </c>
      <c r="C11" s="12" t="n"/>
      <c r="D11" s="12" t="n"/>
      <c r="E11" s="12" t="n"/>
      <c r="F11" s="29" t="n"/>
      <c r="G11" s="12" t="n"/>
      <c r="H11" s="12" t="n"/>
      <c r="I11" s="12" t="n"/>
      <c r="J11" s="12" t="n"/>
      <c r="K11" s="12" t="n"/>
    </row>
    <row r="12" ht="22" customHeight="1">
      <c r="B12" s="16">
        <f>IF(C12="","CAR-"&amp;TEXT(COUNTA($C$5:C12),"000"))</f>
        <v/>
      </c>
      <c r="C12" s="14" t="n"/>
      <c r="D12" s="14" t="n"/>
      <c r="E12" s="14" t="n"/>
      <c r="F12" s="30" t="n"/>
      <c r="G12" s="14" t="n"/>
      <c r="H12" s="14" t="n"/>
      <c r="I12" s="14" t="n"/>
      <c r="J12" s="14" t="n"/>
      <c r="K12" s="14" t="n"/>
    </row>
    <row r="13" ht="22" customHeight="1">
      <c r="B13" s="17">
        <f>IF(C13="","CAR-"&amp;TEXT(COUNTA($C$5:C13),"000"))</f>
        <v/>
      </c>
      <c r="C13" s="12" t="n"/>
      <c r="D13" s="12" t="n"/>
      <c r="E13" s="12" t="n"/>
      <c r="F13" s="29" t="n"/>
      <c r="G13" s="12" t="n"/>
      <c r="H13" s="12" t="n"/>
      <c r="I13" s="12" t="n"/>
      <c r="J13" s="12" t="n"/>
      <c r="K13" s="12" t="n"/>
    </row>
    <row r="14" ht="22" customHeight="1">
      <c r="B14" s="16">
        <f>IF(C14="","CAR-"&amp;TEXT(COUNTA($C$5:C14),"000"))</f>
        <v/>
      </c>
      <c r="C14" s="14" t="n"/>
      <c r="D14" s="14" t="n"/>
      <c r="E14" s="14" t="n"/>
      <c r="F14" s="30" t="n"/>
      <c r="G14" s="14" t="n"/>
      <c r="H14" s="14" t="n"/>
      <c r="I14" s="14" t="n"/>
      <c r="J14" s="14" t="n"/>
      <c r="K14" s="14" t="n"/>
    </row>
    <row r="15" ht="22" customHeight="1">
      <c r="B15" s="17">
        <f>IF(C15="","CAR-"&amp;TEXT(COUNTA($C$5:C15),"000"))</f>
        <v/>
      </c>
      <c r="C15" s="12" t="n"/>
      <c r="D15" s="12" t="n"/>
      <c r="E15" s="12" t="n"/>
      <c r="F15" s="29" t="n"/>
      <c r="G15" s="12" t="n"/>
      <c r="H15" s="12" t="n"/>
      <c r="I15" s="12" t="n"/>
      <c r="J15" s="12" t="n"/>
      <c r="K15" s="12" t="n"/>
    </row>
    <row r="16" ht="22" customHeight="1">
      <c r="B16" s="16">
        <f>IF(C16="","CAR-"&amp;TEXT(COUNTA($C$5:C16),"000"))</f>
        <v/>
      </c>
      <c r="C16" s="14" t="n"/>
      <c r="D16" s="14" t="n"/>
      <c r="E16" s="14" t="n"/>
      <c r="F16" s="30" t="n"/>
      <c r="G16" s="14" t="n"/>
      <c r="H16" s="14" t="n"/>
      <c r="I16" s="14" t="n"/>
      <c r="J16" s="14" t="n"/>
      <c r="K16" s="14" t="n"/>
    </row>
    <row r="17" ht="22" customHeight="1">
      <c r="B17" s="17">
        <f>IF(C17="","CAR-"&amp;TEXT(COUNTA($C$5:C17),"000"))</f>
        <v/>
      </c>
      <c r="C17" s="12" t="n"/>
      <c r="D17" s="12" t="n"/>
      <c r="E17" s="12" t="n"/>
      <c r="F17" s="29" t="n"/>
      <c r="G17" s="12" t="n"/>
      <c r="H17" s="12" t="n"/>
      <c r="I17" s="12" t="n"/>
      <c r="J17" s="12" t="n"/>
      <c r="K17" s="12" t="n"/>
    </row>
    <row r="18" ht="22" customHeight="1">
      <c r="B18" s="16">
        <f>IF(C18="","CAR-"&amp;TEXT(COUNTA($C$5:C18),"000"))</f>
        <v/>
      </c>
      <c r="C18" s="14" t="n"/>
      <c r="D18" s="14" t="n"/>
      <c r="E18" s="14" t="n"/>
      <c r="F18" s="30" t="n"/>
      <c r="G18" s="14" t="n"/>
      <c r="H18" s="14" t="n"/>
      <c r="I18" s="14" t="n"/>
      <c r="J18" s="14" t="n"/>
      <c r="K18" s="14" t="n"/>
    </row>
    <row r="19" ht="22" customHeight="1">
      <c r="B19" s="17">
        <f>IF(C19="","CAR-"&amp;TEXT(COUNTA($C$5:C19),"000"))</f>
        <v/>
      </c>
      <c r="C19" s="12" t="n"/>
      <c r="D19" s="12" t="n"/>
      <c r="E19" s="12" t="n"/>
      <c r="F19" s="29" t="n"/>
      <c r="G19" s="12" t="n"/>
      <c r="H19" s="12" t="n"/>
      <c r="I19" s="12" t="n"/>
      <c r="J19" s="12" t="n"/>
      <c r="K19" s="12" t="n"/>
    </row>
    <row r="20" ht="22" customHeight="1">
      <c r="B20" s="16">
        <f>IF(C20="","CAR-"&amp;TEXT(COUNTA($C$5:C20),"000"))</f>
        <v/>
      </c>
      <c r="C20" s="14" t="n"/>
      <c r="D20" s="14" t="n"/>
      <c r="E20" s="14" t="n"/>
      <c r="F20" s="30" t="n"/>
      <c r="G20" s="14" t="n"/>
      <c r="H20" s="14" t="n"/>
      <c r="I20" s="14" t="n"/>
      <c r="J20" s="14" t="n"/>
      <c r="K20" s="14" t="n"/>
    </row>
    <row r="21" ht="22" customHeight="1">
      <c r="B21" s="17">
        <f>IF(C21="","CAR-"&amp;TEXT(COUNTA($C$5:C21),"000"))</f>
        <v/>
      </c>
      <c r="C21" s="12" t="n"/>
      <c r="D21" s="12" t="n"/>
      <c r="E21" s="12" t="n"/>
      <c r="F21" s="29" t="n"/>
      <c r="G21" s="12" t="n"/>
      <c r="H21" s="12" t="n"/>
      <c r="I21" s="12" t="n"/>
      <c r="J21" s="12" t="n"/>
      <c r="K21" s="12" t="n"/>
    </row>
    <row r="22" ht="22" customHeight="1">
      <c r="B22" s="16">
        <f>IF(C22="","CAR-"&amp;TEXT(COUNTA($C$5:C22),"000"))</f>
        <v/>
      </c>
      <c r="C22" s="14" t="n"/>
      <c r="D22" s="14" t="n"/>
      <c r="E22" s="14" t="n"/>
      <c r="F22" s="30" t="n"/>
      <c r="G22" s="14" t="n"/>
      <c r="H22" s="14" t="n"/>
      <c r="I22" s="14" t="n"/>
      <c r="J22" s="14" t="n"/>
      <c r="K22" s="14" t="n"/>
    </row>
    <row r="23" ht="22" customHeight="1">
      <c r="B23" s="17">
        <f>IF(C23="","CAR-"&amp;TEXT(COUNTA($C$5:C23),"000"))</f>
        <v/>
      </c>
      <c r="C23" s="12" t="n"/>
      <c r="D23" s="12" t="n"/>
      <c r="E23" s="12" t="n"/>
      <c r="F23" s="29" t="n"/>
      <c r="G23" s="12" t="n"/>
      <c r="H23" s="12" t="n"/>
      <c r="I23" s="12" t="n"/>
      <c r="J23" s="12" t="n"/>
      <c r="K23" s="12" t="n"/>
    </row>
    <row r="24" ht="22" customHeight="1">
      <c r="B24" s="16">
        <f>IF(C24="","CAR-"&amp;TEXT(COUNTA($C$5:C24),"000"))</f>
        <v/>
      </c>
      <c r="C24" s="14" t="n"/>
      <c r="D24" s="14" t="n"/>
      <c r="E24" s="14" t="n"/>
      <c r="F24" s="30" t="n"/>
      <c r="G24" s="14" t="n"/>
      <c r="H24" s="14" t="n"/>
      <c r="I24" s="14" t="n"/>
      <c r="J24" s="14" t="n"/>
      <c r="K24" s="14" t="n"/>
    </row>
    <row r="25" ht="22" customHeight="1">
      <c r="B25" s="17">
        <f>IF(C25="","CAR-"&amp;TEXT(COUNTA($C$5:C25),"000"))</f>
        <v/>
      </c>
      <c r="C25" s="12" t="n"/>
      <c r="D25" s="12" t="n"/>
      <c r="E25" s="12" t="n"/>
      <c r="F25" s="29" t="n"/>
      <c r="G25" s="12" t="n"/>
      <c r="H25" s="12" t="n"/>
      <c r="I25" s="12" t="n"/>
      <c r="J25" s="12" t="n"/>
      <c r="K25" s="12" t="n"/>
    </row>
    <row r="26" ht="22" customHeight="1">
      <c r="B26" s="16">
        <f>IF(C26="","CAR-"&amp;TEXT(COUNTA($C$5:C26),"000"))</f>
        <v/>
      </c>
      <c r="C26" s="14" t="n"/>
      <c r="D26" s="14" t="n"/>
      <c r="E26" s="14" t="n"/>
      <c r="F26" s="30" t="n"/>
      <c r="G26" s="14" t="n"/>
      <c r="H26" s="14" t="n"/>
      <c r="I26" s="14" t="n"/>
      <c r="J26" s="14" t="n"/>
      <c r="K26" s="14" t="n"/>
    </row>
    <row r="27" ht="22" customHeight="1">
      <c r="B27" s="17">
        <f>IF(C27="","CAR-"&amp;TEXT(COUNTA($C$5:C27),"000"))</f>
        <v/>
      </c>
      <c r="C27" s="12" t="n"/>
      <c r="D27" s="12" t="n"/>
      <c r="E27" s="12" t="n"/>
      <c r="F27" s="29" t="n"/>
      <c r="G27" s="12" t="n"/>
      <c r="H27" s="12" t="n"/>
      <c r="I27" s="12" t="n"/>
      <c r="J27" s="12" t="n"/>
      <c r="K27" s="12" t="n"/>
    </row>
    <row r="28" ht="22" customHeight="1">
      <c r="B28" s="16">
        <f>IF(C28="","CAR-"&amp;TEXT(COUNTA($C$5:C28),"000"))</f>
        <v/>
      </c>
      <c r="C28" s="14" t="n"/>
      <c r="D28" s="14" t="n"/>
      <c r="E28" s="14" t="n"/>
      <c r="F28" s="30" t="n"/>
      <c r="G28" s="14" t="n"/>
      <c r="H28" s="14" t="n"/>
      <c r="I28" s="14" t="n"/>
      <c r="J28" s="14" t="n"/>
      <c r="K28" s="14" t="n"/>
    </row>
    <row r="29" ht="22" customHeight="1">
      <c r="B29" s="17">
        <f>IF(C29="","CAR-"&amp;TEXT(COUNTA($C$5:C29),"000"))</f>
        <v/>
      </c>
      <c r="C29" s="12" t="n"/>
      <c r="D29" s="12" t="n"/>
      <c r="E29" s="12" t="n"/>
      <c r="F29" s="29" t="n"/>
      <c r="G29" s="12" t="n"/>
      <c r="H29" s="12" t="n"/>
      <c r="I29" s="12" t="n"/>
      <c r="J29" s="12" t="n"/>
      <c r="K29" s="12" t="n"/>
    </row>
    <row r="30" ht="22" customHeight="1">
      <c r="B30" s="16">
        <f>IF(C30="","CAR-"&amp;TEXT(COUNTA($C$5:C30),"000"))</f>
        <v/>
      </c>
      <c r="C30" s="14" t="n"/>
      <c r="D30" s="14" t="n"/>
      <c r="E30" s="14" t="n"/>
      <c r="F30" s="30" t="n"/>
      <c r="G30" s="14" t="n"/>
      <c r="H30" s="14" t="n"/>
      <c r="I30" s="14" t="n"/>
      <c r="J30" s="14" t="n"/>
      <c r="K30" s="14" t="n"/>
    </row>
    <row r="31" ht="22" customHeight="1">
      <c r="B31" s="17">
        <f>IF(C31="","CAR-"&amp;TEXT(COUNTA($C$5:C31),"000"))</f>
        <v/>
      </c>
      <c r="C31" s="12" t="n"/>
      <c r="D31" s="12" t="n"/>
      <c r="E31" s="12" t="n"/>
      <c r="F31" s="29" t="n"/>
      <c r="G31" s="12" t="n"/>
      <c r="H31" s="12" t="n"/>
      <c r="I31" s="12" t="n"/>
      <c r="J31" s="12" t="n"/>
      <c r="K31" s="12" t="n"/>
    </row>
    <row r="32" ht="22" customHeight="1">
      <c r="B32" s="16">
        <f>IF(C32="","CAR-"&amp;TEXT(COUNTA($C$5:C32),"000"))</f>
        <v/>
      </c>
      <c r="C32" s="14" t="n"/>
      <c r="D32" s="14" t="n"/>
      <c r="E32" s="14" t="n"/>
      <c r="F32" s="30" t="n"/>
      <c r="G32" s="14" t="n"/>
      <c r="H32" s="14" t="n"/>
      <c r="I32" s="14" t="n"/>
      <c r="J32" s="14" t="n"/>
      <c r="K32" s="14" t="n"/>
    </row>
    <row r="33" ht="22" customHeight="1">
      <c r="B33" s="17">
        <f>IF(C33="","CAR-"&amp;TEXT(COUNTA($C$5:C33),"000"))</f>
        <v/>
      </c>
      <c r="C33" s="12" t="n"/>
      <c r="D33" s="12" t="n"/>
      <c r="E33" s="12" t="n"/>
      <c r="F33" s="29" t="n"/>
      <c r="G33" s="12" t="n"/>
      <c r="H33" s="12" t="n"/>
      <c r="I33" s="12" t="n"/>
      <c r="J33" s="12" t="n"/>
      <c r="K33" s="12" t="n"/>
    </row>
    <row r="34" ht="22" customHeight="1">
      <c r="B34" s="16">
        <f>IF(C34="","CAR-"&amp;TEXT(COUNTA($C$5:C34),"000"))</f>
        <v/>
      </c>
      <c r="C34" s="14" t="n"/>
      <c r="D34" s="14" t="n"/>
      <c r="E34" s="14" t="n"/>
      <c r="F34" s="30" t="n"/>
      <c r="G34" s="14" t="n"/>
      <c r="H34" s="14" t="n"/>
      <c r="I34" s="14" t="n"/>
      <c r="J34" s="14" t="n"/>
      <c r="K34" s="14" t="n"/>
    </row>
    <row r="35" ht="22" customHeight="1">
      <c r="B35" s="17">
        <f>IF(C35="","CAR-"&amp;TEXT(COUNTA($C$5:C35),"000"))</f>
        <v/>
      </c>
      <c r="C35" s="12" t="n"/>
      <c r="D35" s="12" t="n"/>
      <c r="E35" s="12" t="n"/>
      <c r="F35" s="29" t="n"/>
      <c r="G35" s="12" t="n"/>
      <c r="H35" s="12" t="n"/>
      <c r="I35" s="12" t="n"/>
      <c r="J35" s="12" t="n"/>
      <c r="K35" s="12" t="n"/>
    </row>
    <row r="36" ht="22" customHeight="1">
      <c r="B36" s="16">
        <f>IF(C36="","CAR-"&amp;TEXT(COUNTA($C$5:C36),"000"))</f>
        <v/>
      </c>
      <c r="C36" s="14" t="n"/>
      <c r="D36" s="14" t="n"/>
      <c r="E36" s="14" t="n"/>
      <c r="F36" s="30" t="n"/>
      <c r="G36" s="14" t="n"/>
      <c r="H36" s="14" t="n"/>
      <c r="I36" s="14" t="n"/>
      <c r="J36" s="14" t="n"/>
      <c r="K36" s="14" t="n"/>
    </row>
    <row r="37" ht="22" customHeight="1">
      <c r="B37" s="17">
        <f>IF(C37="","CAR-"&amp;TEXT(COUNTA($C$5:C37),"000"))</f>
        <v/>
      </c>
      <c r="C37" s="12" t="n"/>
      <c r="D37" s="12" t="n"/>
      <c r="E37" s="12" t="n"/>
      <c r="F37" s="29" t="n"/>
      <c r="G37" s="12" t="n"/>
      <c r="H37" s="12" t="n"/>
      <c r="I37" s="12" t="n"/>
      <c r="J37" s="12" t="n"/>
      <c r="K37" s="12" t="n"/>
    </row>
    <row r="38" ht="22" customHeight="1">
      <c r="B38" s="16">
        <f>IF(C38="","CAR-"&amp;TEXT(COUNTA($C$5:C38),"000"))</f>
        <v/>
      </c>
      <c r="C38" s="14" t="n"/>
      <c r="D38" s="14" t="n"/>
      <c r="E38" s="14" t="n"/>
      <c r="F38" s="30" t="n"/>
      <c r="G38" s="14" t="n"/>
      <c r="H38" s="14" t="n"/>
      <c r="I38" s="14" t="n"/>
      <c r="J38" s="14" t="n"/>
      <c r="K38" s="14" t="n"/>
    </row>
    <row r="39" ht="22" customHeight="1">
      <c r="B39" s="17">
        <f>IF(C39="","CAR-"&amp;TEXT(COUNTA($C$5:C39),"000"))</f>
        <v/>
      </c>
      <c r="C39" s="12" t="n"/>
      <c r="D39" s="12" t="n"/>
      <c r="E39" s="12" t="n"/>
      <c r="F39" s="29" t="n"/>
      <c r="G39" s="12" t="n"/>
      <c r="H39" s="12" t="n"/>
      <c r="I39" s="12" t="n"/>
      <c r="J39" s="12" t="n"/>
      <c r="K39" s="12" t="n"/>
    </row>
    <row r="40" ht="22" customHeight="1">
      <c r="B40" s="16">
        <f>IF(C40="","CAR-"&amp;TEXT(COUNTA($C$5:C40),"000"))</f>
        <v/>
      </c>
      <c r="C40" s="14" t="n"/>
      <c r="D40" s="14" t="n"/>
      <c r="E40" s="14" t="n"/>
      <c r="F40" s="30" t="n"/>
      <c r="G40" s="14" t="n"/>
      <c r="H40" s="14" t="n"/>
      <c r="I40" s="14" t="n"/>
      <c r="J40" s="14" t="n"/>
      <c r="K40" s="14" t="n"/>
    </row>
    <row r="41" ht="22" customHeight="1">
      <c r="B41" s="17">
        <f>IF(C41="","CAR-"&amp;TEXT(COUNTA($C$5:C41),"000"))</f>
        <v/>
      </c>
      <c r="C41" s="12" t="n"/>
      <c r="D41" s="12" t="n"/>
      <c r="E41" s="12" t="n"/>
      <c r="F41" s="29" t="n"/>
      <c r="G41" s="12" t="n"/>
      <c r="H41" s="12" t="n"/>
      <c r="I41" s="12" t="n"/>
      <c r="J41" s="12" t="n"/>
      <c r="K41" s="12" t="n"/>
    </row>
    <row r="42" ht="22" customHeight="1">
      <c r="B42" s="16">
        <f>IF(C42="","CAR-"&amp;TEXT(COUNTA($C$5:C42),"000"))</f>
        <v/>
      </c>
      <c r="C42" s="14" t="n"/>
      <c r="D42" s="14" t="n"/>
      <c r="E42" s="14" t="n"/>
      <c r="F42" s="30" t="n"/>
      <c r="G42" s="14" t="n"/>
      <c r="H42" s="14" t="n"/>
      <c r="I42" s="14" t="n"/>
      <c r="J42" s="14" t="n"/>
      <c r="K42" s="14" t="n"/>
    </row>
    <row r="43" ht="22" customHeight="1">
      <c r="B43" s="17">
        <f>IF(C43="","CAR-"&amp;TEXT(COUNTA($C$5:C43),"000"))</f>
        <v/>
      </c>
      <c r="C43" s="12" t="n"/>
      <c r="D43" s="12" t="n"/>
      <c r="E43" s="12" t="n"/>
      <c r="F43" s="29" t="n"/>
      <c r="G43" s="12" t="n"/>
      <c r="H43" s="12" t="n"/>
      <c r="I43" s="12" t="n"/>
      <c r="J43" s="12" t="n"/>
      <c r="K43" s="12" t="n"/>
    </row>
    <row r="44" ht="22" customHeight="1">
      <c r="B44" s="16">
        <f>IF(C44="","CAR-"&amp;TEXT(COUNTA($C$5:C44),"000"))</f>
        <v/>
      </c>
      <c r="C44" s="14" t="n"/>
      <c r="D44" s="14" t="n"/>
      <c r="E44" s="14" t="n"/>
      <c r="F44" s="30" t="n"/>
      <c r="G44" s="14" t="n"/>
      <c r="H44" s="14" t="n"/>
      <c r="I44" s="14" t="n"/>
      <c r="J44" s="14" t="n"/>
      <c r="K44" s="14" t="n"/>
    </row>
    <row r="45" ht="22" customHeight="1">
      <c r="B45" s="17">
        <f>IF(C45="","CAR-"&amp;TEXT(COUNTA($C$5:C45),"000"))</f>
        <v/>
      </c>
      <c r="C45" s="12" t="n"/>
      <c r="D45" s="12" t="n"/>
      <c r="E45" s="12" t="n"/>
      <c r="F45" s="29" t="n"/>
      <c r="G45" s="12" t="n"/>
      <c r="H45" s="12" t="n"/>
      <c r="I45" s="12" t="n"/>
      <c r="J45" s="12" t="n"/>
      <c r="K45" s="12" t="n"/>
    </row>
    <row r="46" ht="22" customHeight="1">
      <c r="B46" s="16">
        <f>IF(C46="","CAR-"&amp;TEXT(COUNTA($C$5:C46),"000"))</f>
        <v/>
      </c>
      <c r="C46" s="14" t="n"/>
      <c r="D46" s="14" t="n"/>
      <c r="E46" s="14" t="n"/>
      <c r="F46" s="30" t="n"/>
      <c r="G46" s="14" t="n"/>
      <c r="H46" s="14" t="n"/>
      <c r="I46" s="14" t="n"/>
      <c r="J46" s="14" t="n"/>
      <c r="K46" s="14" t="n"/>
    </row>
    <row r="47" ht="22" customHeight="1">
      <c r="B47" s="17">
        <f>IF(C47="","CAR-"&amp;TEXT(COUNTA($C$5:C47),"000"))</f>
        <v/>
      </c>
      <c r="C47" s="12" t="n"/>
      <c r="D47" s="12" t="n"/>
      <c r="E47" s="12" t="n"/>
      <c r="F47" s="29" t="n"/>
      <c r="G47" s="12" t="n"/>
      <c r="H47" s="12" t="n"/>
      <c r="I47" s="12" t="n"/>
      <c r="J47" s="12" t="n"/>
      <c r="K47" s="12" t="n"/>
    </row>
    <row r="48" ht="22" customHeight="1">
      <c r="B48" s="16">
        <f>IF(C48="","CAR-"&amp;TEXT(COUNTA($C$5:C48),"000"))</f>
        <v/>
      </c>
      <c r="C48" s="14" t="n"/>
      <c r="D48" s="14" t="n"/>
      <c r="E48" s="14" t="n"/>
      <c r="F48" s="30" t="n"/>
      <c r="G48" s="14" t="n"/>
      <c r="H48" s="14" t="n"/>
      <c r="I48" s="14" t="n"/>
      <c r="J48" s="14" t="n"/>
      <c r="K48" s="14" t="n"/>
    </row>
    <row r="49" ht="22" customHeight="1">
      <c r="B49" s="17">
        <f>IF(C49="","CAR-"&amp;TEXT(COUNTA($C$5:C49),"000"))</f>
        <v/>
      </c>
      <c r="C49" s="12" t="n"/>
      <c r="D49" s="12" t="n"/>
      <c r="E49" s="12" t="n"/>
      <c r="F49" s="29" t="n"/>
      <c r="G49" s="12" t="n"/>
      <c r="H49" s="12" t="n"/>
      <c r="I49" s="12" t="n"/>
      <c r="J49" s="12" t="n"/>
      <c r="K49" s="12" t="n"/>
    </row>
    <row r="50" ht="22" customHeight="1">
      <c r="B50" s="16">
        <f>IF(C50="","CAR-"&amp;TEXT(COUNTA($C$5:C50),"000"))</f>
        <v/>
      </c>
      <c r="C50" s="14" t="n"/>
      <c r="D50" s="14" t="n"/>
      <c r="E50" s="14" t="n"/>
      <c r="F50" s="30" t="n"/>
      <c r="G50" s="14" t="n"/>
      <c r="H50" s="14" t="n"/>
      <c r="I50" s="14" t="n"/>
      <c r="J50" s="14" t="n"/>
      <c r="K50" s="14" t="n"/>
    </row>
    <row r="51" ht="22" customHeight="1">
      <c r="B51" s="17">
        <f>IF(C51="","CAR-"&amp;TEXT(COUNTA($C$5:C51),"000"))</f>
        <v/>
      </c>
      <c r="C51" s="12" t="n"/>
      <c r="D51" s="12" t="n"/>
      <c r="E51" s="12" t="n"/>
      <c r="F51" s="29" t="n"/>
      <c r="G51" s="12" t="n"/>
      <c r="H51" s="12" t="n"/>
      <c r="I51" s="12" t="n"/>
      <c r="J51" s="12" t="n"/>
      <c r="K51" s="12" t="n"/>
    </row>
    <row r="52" ht="22" customHeight="1">
      <c r="B52" s="16">
        <f>IF(C52="","CAR-"&amp;TEXT(COUNTA($C$5:C52),"000"))</f>
        <v/>
      </c>
      <c r="C52" s="14" t="n"/>
      <c r="D52" s="14" t="n"/>
      <c r="E52" s="14" t="n"/>
      <c r="F52" s="30" t="n"/>
      <c r="G52" s="14" t="n"/>
      <c r="H52" s="14" t="n"/>
      <c r="I52" s="14" t="n"/>
      <c r="J52" s="14" t="n"/>
      <c r="K52" s="14" t="n"/>
    </row>
    <row r="53" ht="22" customHeight="1">
      <c r="B53" s="17">
        <f>IF(C53="","CAR-"&amp;TEXT(COUNTA($C$5:C53),"000"))</f>
        <v/>
      </c>
      <c r="C53" s="12" t="n"/>
      <c r="D53" s="12" t="n"/>
      <c r="E53" s="12" t="n"/>
      <c r="F53" s="29" t="n"/>
      <c r="G53" s="12" t="n"/>
      <c r="H53" s="12" t="n"/>
      <c r="I53" s="12" t="n"/>
      <c r="J53" s="12" t="n"/>
      <c r="K53" s="12" t="n"/>
    </row>
    <row r="54" ht="22" customHeight="1">
      <c r="B54" s="16">
        <f>IF(C54="","CAR-"&amp;TEXT(COUNTA($C$5:C54),"000"))</f>
        <v/>
      </c>
      <c r="C54" s="14" t="n"/>
      <c r="D54" s="14" t="n"/>
      <c r="E54" s="14" t="n"/>
      <c r="F54" s="30" t="n"/>
      <c r="G54" s="14" t="n"/>
      <c r="H54" s="14" t="n"/>
      <c r="I54" s="14" t="n"/>
      <c r="J54" s="14" t="n"/>
      <c r="K54" s="14" t="n"/>
    </row>
    <row r="55" ht="22" customHeight="1">
      <c r="B55" s="17">
        <f>IF(C55="","CAR-"&amp;TEXT(COUNTA($C$5:C55),"000"))</f>
        <v/>
      </c>
      <c r="C55" s="12" t="n"/>
      <c r="D55" s="12" t="n"/>
      <c r="E55" s="12" t="n"/>
      <c r="F55" s="29" t="n"/>
      <c r="G55" s="12" t="n"/>
      <c r="H55" s="12" t="n"/>
      <c r="I55" s="12" t="n"/>
      <c r="J55" s="12" t="n"/>
      <c r="K55" s="12" t="n"/>
    </row>
    <row r="56" ht="22" customHeight="1">
      <c r="B56" s="16">
        <f>IF(C56="","CAR-"&amp;TEXT(COUNTA($C$5:C56),"000"))</f>
        <v/>
      </c>
      <c r="C56" s="14" t="n"/>
      <c r="D56" s="14" t="n"/>
      <c r="E56" s="14" t="n"/>
      <c r="F56" s="30" t="n"/>
      <c r="G56" s="14" t="n"/>
      <c r="H56" s="14" t="n"/>
      <c r="I56" s="14" t="n"/>
      <c r="J56" s="14" t="n"/>
      <c r="K56" s="14" t="n"/>
    </row>
    <row r="57" ht="22" customHeight="1">
      <c r="B57" s="17">
        <f>IF(C57="","CAR-"&amp;TEXT(COUNTA($C$5:C57),"000"))</f>
        <v/>
      </c>
      <c r="C57" s="12" t="n"/>
      <c r="D57" s="12" t="n"/>
      <c r="E57" s="12" t="n"/>
      <c r="F57" s="29" t="n"/>
      <c r="G57" s="12" t="n"/>
      <c r="H57" s="12" t="n"/>
      <c r="I57" s="12" t="n"/>
      <c r="J57" s="12" t="n"/>
      <c r="K57" s="12" t="n"/>
    </row>
    <row r="58" ht="22" customHeight="1">
      <c r="B58" s="16">
        <f>IF(C58="","CAR-"&amp;TEXT(COUNTA($C$5:C58),"000"))</f>
        <v/>
      </c>
      <c r="C58" s="14" t="n"/>
      <c r="D58" s="14" t="n"/>
      <c r="E58" s="14" t="n"/>
      <c r="F58" s="30" t="n"/>
      <c r="G58" s="14" t="n"/>
      <c r="H58" s="14" t="n"/>
      <c r="I58" s="14" t="n"/>
      <c r="J58" s="14" t="n"/>
      <c r="K58" s="14" t="n"/>
    </row>
    <row r="59" ht="22" customHeight="1">
      <c r="B59" s="17">
        <f>IF(C59="","CAR-"&amp;TEXT(COUNTA($C$5:C59),"000"))</f>
        <v/>
      </c>
      <c r="C59" s="12" t="n"/>
      <c r="D59" s="12" t="n"/>
      <c r="E59" s="12" t="n"/>
      <c r="F59" s="29" t="n"/>
      <c r="G59" s="12" t="n"/>
      <c r="H59" s="12" t="n"/>
      <c r="I59" s="12" t="n"/>
      <c r="J59" s="12" t="n"/>
      <c r="K59" s="12" t="n"/>
    </row>
    <row r="60" ht="22" customHeight="1">
      <c r="B60" s="16">
        <f>IF(C60="","CAR-"&amp;TEXT(COUNTA($C$5:C60),"000"))</f>
        <v/>
      </c>
      <c r="C60" s="14" t="n"/>
      <c r="D60" s="14" t="n"/>
      <c r="E60" s="14" t="n"/>
      <c r="F60" s="30" t="n"/>
      <c r="G60" s="14" t="n"/>
      <c r="H60" s="14" t="n"/>
      <c r="I60" s="14" t="n"/>
      <c r="J60" s="14" t="n"/>
      <c r="K60" s="14" t="n"/>
    </row>
    <row r="61" ht="22" customHeight="1">
      <c r="B61" s="17">
        <f>IF(C61="","CAR-"&amp;TEXT(COUNTA($C$5:C61),"000"))</f>
        <v/>
      </c>
      <c r="C61" s="12" t="n"/>
      <c r="D61" s="12" t="n"/>
      <c r="E61" s="12" t="n"/>
      <c r="F61" s="29" t="n"/>
      <c r="G61" s="12" t="n"/>
      <c r="H61" s="12" t="n"/>
      <c r="I61" s="12" t="n"/>
      <c r="J61" s="12" t="n"/>
      <c r="K61" s="12" t="n"/>
    </row>
    <row r="62" ht="22" customHeight="1">
      <c r="B62" s="16">
        <f>IF(C62="","CAR-"&amp;TEXT(COUNTA($C$5:C62),"000"))</f>
        <v/>
      </c>
      <c r="C62" s="14" t="n"/>
      <c r="D62" s="14" t="n"/>
      <c r="E62" s="14" t="n"/>
      <c r="F62" s="30" t="n"/>
      <c r="G62" s="14" t="n"/>
      <c r="H62" s="14" t="n"/>
      <c r="I62" s="14" t="n"/>
      <c r="J62" s="14" t="n"/>
      <c r="K62" s="14" t="n"/>
    </row>
    <row r="63" ht="22" customHeight="1">
      <c r="B63" s="17">
        <f>IF(C63="","CAR-"&amp;TEXT(COUNTA($C$5:C63),"000"))</f>
        <v/>
      </c>
      <c r="C63" s="12" t="n"/>
      <c r="D63" s="12" t="n"/>
      <c r="E63" s="12" t="n"/>
      <c r="F63" s="29" t="n"/>
      <c r="G63" s="12" t="n"/>
      <c r="H63" s="12" t="n"/>
      <c r="I63" s="12" t="n"/>
      <c r="J63" s="12" t="n"/>
      <c r="K63" s="12" t="n"/>
    </row>
    <row r="64" ht="22" customHeight="1">
      <c r="B64" s="16">
        <f>IF(C64="","CAR-"&amp;TEXT(COUNTA($C$5:C64),"000"))</f>
        <v/>
      </c>
      <c r="C64" s="14" t="n"/>
      <c r="D64" s="14" t="n"/>
      <c r="E64" s="14" t="n"/>
      <c r="F64" s="30" t="n"/>
      <c r="G64" s="14" t="n"/>
      <c r="H64" s="14" t="n"/>
      <c r="I64" s="14" t="n"/>
      <c r="J64" s="14" t="n"/>
      <c r="K64" s="14" t="n"/>
    </row>
    <row r="65" ht="22" customHeight="1">
      <c r="B65" s="17">
        <f>IF(C65="","CAR-"&amp;TEXT(COUNTA($C$5:C65),"000"))</f>
        <v/>
      </c>
      <c r="C65" s="12" t="n"/>
      <c r="D65" s="12" t="n"/>
      <c r="E65" s="12" t="n"/>
      <c r="F65" s="29" t="n"/>
      <c r="G65" s="12" t="n"/>
      <c r="H65" s="12" t="n"/>
      <c r="I65" s="12" t="n"/>
      <c r="J65" s="12" t="n"/>
      <c r="K65" s="12" t="n"/>
    </row>
    <row r="66" ht="22" customHeight="1">
      <c r="B66" s="16">
        <f>IF(C66="","CAR-"&amp;TEXT(COUNTA($C$5:C66),"000"))</f>
        <v/>
      </c>
      <c r="C66" s="14" t="n"/>
      <c r="D66" s="14" t="n"/>
      <c r="E66" s="14" t="n"/>
      <c r="F66" s="30" t="n"/>
      <c r="G66" s="14" t="n"/>
      <c r="H66" s="14" t="n"/>
      <c r="I66" s="14" t="n"/>
      <c r="J66" s="14" t="n"/>
      <c r="K66" s="14" t="n"/>
    </row>
    <row r="67" ht="22" customHeight="1">
      <c r="B67" s="17">
        <f>IF(C67="","CAR-"&amp;TEXT(COUNTA($C$5:C67),"000"))</f>
        <v/>
      </c>
      <c r="C67" s="12" t="n"/>
      <c r="D67" s="12" t="n"/>
      <c r="E67" s="12" t="n"/>
      <c r="F67" s="29" t="n"/>
      <c r="G67" s="12" t="n"/>
      <c r="H67" s="12" t="n"/>
      <c r="I67" s="12" t="n"/>
      <c r="J67" s="12" t="n"/>
      <c r="K67" s="12" t="n"/>
    </row>
    <row r="68" ht="22" customHeight="1">
      <c r="B68" s="16">
        <f>IF(C68="","CAR-"&amp;TEXT(COUNTA($C$5:C68),"000"))</f>
        <v/>
      </c>
      <c r="C68" s="14" t="n"/>
      <c r="D68" s="14" t="n"/>
      <c r="E68" s="14" t="n"/>
      <c r="F68" s="30" t="n"/>
      <c r="G68" s="14" t="n"/>
      <c r="H68" s="14" t="n"/>
      <c r="I68" s="14" t="n"/>
      <c r="J68" s="14" t="n"/>
      <c r="K68" s="14" t="n"/>
    </row>
    <row r="69" ht="22" customHeight="1">
      <c r="B69" s="17">
        <f>IF(C69="","CAR-"&amp;TEXT(COUNTA($C$5:C69),"000"))</f>
        <v/>
      </c>
      <c r="C69" s="12" t="n"/>
      <c r="D69" s="12" t="n"/>
      <c r="E69" s="12" t="n"/>
      <c r="F69" s="29" t="n"/>
      <c r="G69" s="12" t="n"/>
      <c r="H69" s="12" t="n"/>
      <c r="I69" s="12" t="n"/>
      <c r="J69" s="12" t="n"/>
      <c r="K69" s="12" t="n"/>
    </row>
    <row r="70" ht="22" customHeight="1">
      <c r="B70" s="16">
        <f>IF(C70="","CAR-"&amp;TEXT(COUNTA($C$5:C70),"000"))</f>
        <v/>
      </c>
      <c r="C70" s="14" t="n"/>
      <c r="D70" s="14" t="n"/>
      <c r="E70" s="14" t="n"/>
      <c r="F70" s="30" t="n"/>
      <c r="G70" s="14" t="n"/>
      <c r="H70" s="14" t="n"/>
      <c r="I70" s="14" t="n"/>
      <c r="J70" s="14" t="n"/>
      <c r="K70" s="14" t="n"/>
    </row>
    <row r="71" ht="22" customHeight="1">
      <c r="B71" s="17">
        <f>IF(C71="","CAR-"&amp;TEXT(COUNTA($C$5:C71),"000"))</f>
        <v/>
      </c>
      <c r="C71" s="12" t="n"/>
      <c r="D71" s="12" t="n"/>
      <c r="E71" s="12" t="n"/>
      <c r="F71" s="29" t="n"/>
      <c r="G71" s="12" t="n"/>
      <c r="H71" s="12" t="n"/>
      <c r="I71" s="12" t="n"/>
      <c r="J71" s="12" t="n"/>
      <c r="K71" s="12" t="n"/>
    </row>
    <row r="72" ht="22" customHeight="1">
      <c r="B72" s="16">
        <f>IF(C72="","CAR-"&amp;TEXT(COUNTA($C$5:C72),"000"))</f>
        <v/>
      </c>
      <c r="C72" s="14" t="n"/>
      <c r="D72" s="14" t="n"/>
      <c r="E72" s="14" t="n"/>
      <c r="F72" s="30" t="n"/>
      <c r="G72" s="14" t="n"/>
      <c r="H72" s="14" t="n"/>
      <c r="I72" s="14" t="n"/>
      <c r="J72" s="14" t="n"/>
      <c r="K72" s="14" t="n"/>
    </row>
    <row r="73" ht="22" customHeight="1">
      <c r="B73" s="17">
        <f>IF(C73="","CAR-"&amp;TEXT(COUNTA($C$5:C73),"000"))</f>
        <v/>
      </c>
      <c r="C73" s="12" t="n"/>
      <c r="D73" s="12" t="n"/>
      <c r="E73" s="12" t="n"/>
      <c r="F73" s="29" t="n"/>
      <c r="G73" s="12" t="n"/>
      <c r="H73" s="12" t="n"/>
      <c r="I73" s="12" t="n"/>
      <c r="J73" s="12" t="n"/>
      <c r="K73" s="12" t="n"/>
    </row>
    <row r="74" ht="22" customHeight="1">
      <c r="B74" s="16">
        <f>IF(C74="","CAR-"&amp;TEXT(COUNTA($C$5:C74),"000"))</f>
        <v/>
      </c>
      <c r="C74" s="14" t="n"/>
      <c r="D74" s="14" t="n"/>
      <c r="E74" s="14" t="n"/>
      <c r="F74" s="30" t="n"/>
      <c r="G74" s="14" t="n"/>
      <c r="H74" s="14" t="n"/>
      <c r="I74" s="14" t="n"/>
      <c r="J74" s="14" t="n"/>
      <c r="K74" s="14" t="n"/>
    </row>
    <row r="75" ht="22" customHeight="1">
      <c r="B75" s="17">
        <f>IF(C75="","CAR-"&amp;TEXT(COUNTA($C$5:C75),"000"))</f>
        <v/>
      </c>
      <c r="C75" s="12" t="n"/>
      <c r="D75" s="12" t="n"/>
      <c r="E75" s="12" t="n"/>
      <c r="F75" s="29" t="n"/>
      <c r="G75" s="12" t="n"/>
      <c r="H75" s="12" t="n"/>
      <c r="I75" s="12" t="n"/>
      <c r="J75" s="12" t="n"/>
      <c r="K75" s="12" t="n"/>
    </row>
    <row r="76" ht="22" customHeight="1">
      <c r="B76" s="16">
        <f>IF(C76="","CAR-"&amp;TEXT(COUNTA($C$5:C76),"000"))</f>
        <v/>
      </c>
      <c r="C76" s="14" t="n"/>
      <c r="D76" s="14" t="n"/>
      <c r="E76" s="14" t="n"/>
      <c r="F76" s="30" t="n"/>
      <c r="G76" s="14" t="n"/>
      <c r="H76" s="14" t="n"/>
      <c r="I76" s="14" t="n"/>
      <c r="J76" s="14" t="n"/>
      <c r="K76" s="14" t="n"/>
    </row>
    <row r="77" ht="22" customHeight="1">
      <c r="B77" s="17">
        <f>IF(C77="","CAR-"&amp;TEXT(COUNTA($C$5:C77),"000"))</f>
        <v/>
      </c>
      <c r="C77" s="12" t="n"/>
      <c r="D77" s="12" t="n"/>
      <c r="E77" s="12" t="n"/>
      <c r="F77" s="29" t="n"/>
      <c r="G77" s="12" t="n"/>
      <c r="H77" s="12" t="n"/>
      <c r="I77" s="12" t="n"/>
      <c r="J77" s="12" t="n"/>
      <c r="K77" s="12" t="n"/>
    </row>
    <row r="78" ht="22" customHeight="1">
      <c r="B78" s="16">
        <f>IF(C78="","CAR-"&amp;TEXT(COUNTA($C$5:C78),"000"))</f>
        <v/>
      </c>
      <c r="C78" s="14" t="n"/>
      <c r="D78" s="14" t="n"/>
      <c r="E78" s="14" t="n"/>
      <c r="F78" s="30" t="n"/>
      <c r="G78" s="14" t="n"/>
      <c r="H78" s="14" t="n"/>
      <c r="I78" s="14" t="n"/>
      <c r="J78" s="14" t="n"/>
      <c r="K78" s="14" t="n"/>
    </row>
    <row r="79" ht="22" customHeight="1">
      <c r="B79" s="17">
        <f>IF(C79="","CAR-"&amp;TEXT(COUNTA($C$5:C79),"000"))</f>
        <v/>
      </c>
      <c r="C79" s="12" t="n"/>
      <c r="D79" s="12" t="n"/>
      <c r="E79" s="12" t="n"/>
      <c r="F79" s="29" t="n"/>
      <c r="G79" s="12" t="n"/>
      <c r="H79" s="12" t="n"/>
      <c r="I79" s="12" t="n"/>
      <c r="J79" s="12" t="n"/>
      <c r="K79" s="12" t="n"/>
    </row>
    <row r="80" ht="22" customHeight="1">
      <c r="B80" s="16">
        <f>IF(C80="","CAR-"&amp;TEXT(COUNTA($C$5:C80),"000"))</f>
        <v/>
      </c>
      <c r="C80" s="14" t="n"/>
      <c r="D80" s="14" t="n"/>
      <c r="E80" s="14" t="n"/>
      <c r="F80" s="30" t="n"/>
      <c r="G80" s="14" t="n"/>
      <c r="H80" s="14" t="n"/>
      <c r="I80" s="14" t="n"/>
      <c r="J80" s="14" t="n"/>
      <c r="K80" s="14" t="n"/>
    </row>
    <row r="81" ht="22" customHeight="1">
      <c r="B81" s="17">
        <f>IF(C81="","CAR-"&amp;TEXT(COUNTA($C$5:C81),"000"))</f>
        <v/>
      </c>
      <c r="C81" s="12" t="n"/>
      <c r="D81" s="12" t="n"/>
      <c r="E81" s="12" t="n"/>
      <c r="F81" s="29" t="n"/>
      <c r="G81" s="12" t="n"/>
      <c r="H81" s="12" t="n"/>
      <c r="I81" s="12" t="n"/>
      <c r="J81" s="12" t="n"/>
      <c r="K81" s="12" t="n"/>
    </row>
    <row r="82" ht="22" customHeight="1">
      <c r="B82" s="16">
        <f>IF(C82="","CAR-"&amp;TEXT(COUNTA($C$5:C82),"000"))</f>
        <v/>
      </c>
      <c r="C82" s="14" t="n"/>
      <c r="D82" s="14" t="n"/>
      <c r="E82" s="14" t="n"/>
      <c r="F82" s="30" t="n"/>
      <c r="G82" s="14" t="n"/>
      <c r="H82" s="14" t="n"/>
      <c r="I82" s="14" t="n"/>
      <c r="J82" s="14" t="n"/>
      <c r="K82" s="14" t="n"/>
    </row>
    <row r="83" ht="22" customHeight="1">
      <c r="B83" s="17">
        <f>IF(C83="","CAR-"&amp;TEXT(COUNTA($C$5:C83),"000"))</f>
        <v/>
      </c>
      <c r="C83" s="12" t="n"/>
      <c r="D83" s="12" t="n"/>
      <c r="E83" s="12" t="n"/>
      <c r="F83" s="29" t="n"/>
      <c r="G83" s="12" t="n"/>
      <c r="H83" s="12" t="n"/>
      <c r="I83" s="12" t="n"/>
      <c r="J83" s="12" t="n"/>
      <c r="K83" s="12" t="n"/>
    </row>
    <row r="84" ht="22" customHeight="1">
      <c r="B84" s="16">
        <f>IF(C84="","CAR-"&amp;TEXT(COUNTA($C$5:C84),"000"))</f>
        <v/>
      </c>
      <c r="C84" s="14" t="n"/>
      <c r="D84" s="14" t="n"/>
      <c r="E84" s="14" t="n"/>
      <c r="F84" s="30" t="n"/>
      <c r="G84" s="14" t="n"/>
      <c r="H84" s="14" t="n"/>
      <c r="I84" s="14" t="n"/>
      <c r="J84" s="14" t="n"/>
      <c r="K84" s="14" t="n"/>
    </row>
    <row r="85" ht="22" customHeight="1">
      <c r="B85" s="17">
        <f>IF(C85="","CAR-"&amp;TEXT(COUNTA($C$5:C85),"000"))</f>
        <v/>
      </c>
      <c r="C85" s="12" t="n"/>
      <c r="D85" s="12" t="n"/>
      <c r="E85" s="12" t="n"/>
      <c r="F85" s="29" t="n"/>
      <c r="G85" s="12" t="n"/>
      <c r="H85" s="12" t="n"/>
      <c r="I85" s="12" t="n"/>
      <c r="J85" s="12" t="n"/>
      <c r="K85" s="12" t="n"/>
    </row>
    <row r="86" ht="22" customHeight="1">
      <c r="B86" s="16">
        <f>IF(C86="","CAR-"&amp;TEXT(COUNTA($C$5:C86),"000"))</f>
        <v/>
      </c>
      <c r="C86" s="14" t="n"/>
      <c r="D86" s="14" t="n"/>
      <c r="E86" s="14" t="n"/>
      <c r="F86" s="30" t="n"/>
      <c r="G86" s="14" t="n"/>
      <c r="H86" s="14" t="n"/>
      <c r="I86" s="14" t="n"/>
      <c r="J86" s="14" t="n"/>
      <c r="K86" s="14" t="n"/>
    </row>
    <row r="87" ht="22" customHeight="1">
      <c r="B87" s="17">
        <f>IF(C87="","CAR-"&amp;TEXT(COUNTA($C$5:C87),"000"))</f>
        <v/>
      </c>
      <c r="C87" s="12" t="n"/>
      <c r="D87" s="12" t="n"/>
      <c r="E87" s="12" t="n"/>
      <c r="F87" s="29" t="n"/>
      <c r="G87" s="12" t="n"/>
      <c r="H87" s="12" t="n"/>
      <c r="I87" s="12" t="n"/>
      <c r="J87" s="12" t="n"/>
      <c r="K87" s="12" t="n"/>
    </row>
    <row r="88" ht="22" customHeight="1">
      <c r="B88" s="16">
        <f>IF(C88="","CAR-"&amp;TEXT(COUNTA($C$5:C88),"000"))</f>
        <v/>
      </c>
      <c r="C88" s="14" t="n"/>
      <c r="D88" s="14" t="n"/>
      <c r="E88" s="14" t="n"/>
      <c r="F88" s="30" t="n"/>
      <c r="G88" s="14" t="n"/>
      <c r="H88" s="14" t="n"/>
      <c r="I88" s="14" t="n"/>
      <c r="J88" s="14" t="n"/>
      <c r="K88" s="14" t="n"/>
    </row>
    <row r="89" ht="22" customHeight="1">
      <c r="B89" s="17">
        <f>IF(C89="","CAR-"&amp;TEXT(COUNTA($C$5:C89),"000"))</f>
        <v/>
      </c>
      <c r="C89" s="12" t="n"/>
      <c r="D89" s="12" t="n"/>
      <c r="E89" s="12" t="n"/>
      <c r="F89" s="29" t="n"/>
      <c r="G89" s="12" t="n"/>
      <c r="H89" s="12" t="n"/>
      <c r="I89" s="12" t="n"/>
      <c r="J89" s="12" t="n"/>
      <c r="K89" s="12" t="n"/>
    </row>
    <row r="90" ht="22" customHeight="1">
      <c r="B90" s="16">
        <f>IF(C90="","CAR-"&amp;TEXT(COUNTA($C$5:C90),"000"))</f>
        <v/>
      </c>
      <c r="C90" s="14" t="n"/>
      <c r="D90" s="14" t="n"/>
      <c r="E90" s="14" t="n"/>
      <c r="F90" s="30" t="n"/>
      <c r="G90" s="14" t="n"/>
      <c r="H90" s="14" t="n"/>
      <c r="I90" s="14" t="n"/>
      <c r="J90" s="14" t="n"/>
      <c r="K90" s="14" t="n"/>
    </row>
    <row r="91" ht="22" customHeight="1">
      <c r="B91" s="17">
        <f>IF(C91="","CAR-"&amp;TEXT(COUNTA($C$5:C91),"000"))</f>
        <v/>
      </c>
      <c r="C91" s="12" t="n"/>
      <c r="D91" s="12" t="n"/>
      <c r="E91" s="12" t="n"/>
      <c r="F91" s="29" t="n"/>
      <c r="G91" s="12" t="n"/>
      <c r="H91" s="12" t="n"/>
      <c r="I91" s="12" t="n"/>
      <c r="J91" s="12" t="n"/>
      <c r="K91" s="12" t="n"/>
    </row>
    <row r="92" ht="22" customHeight="1">
      <c r="B92" s="16">
        <f>IF(C92="","CAR-"&amp;TEXT(COUNTA($C$5:C92),"000"))</f>
        <v/>
      </c>
      <c r="C92" s="14" t="n"/>
      <c r="D92" s="14" t="n"/>
      <c r="E92" s="14" t="n"/>
      <c r="F92" s="30" t="n"/>
      <c r="G92" s="14" t="n"/>
      <c r="H92" s="14" t="n"/>
      <c r="I92" s="14" t="n"/>
      <c r="J92" s="14" t="n"/>
      <c r="K92" s="14" t="n"/>
    </row>
    <row r="93" ht="22" customHeight="1">
      <c r="B93" s="17">
        <f>IF(C93="","CAR-"&amp;TEXT(COUNTA($C$5:C93),"000"))</f>
        <v/>
      </c>
      <c r="C93" s="12" t="n"/>
      <c r="D93" s="12" t="n"/>
      <c r="E93" s="12" t="n"/>
      <c r="F93" s="29" t="n"/>
      <c r="G93" s="12" t="n"/>
      <c r="H93" s="12" t="n"/>
      <c r="I93" s="12" t="n"/>
      <c r="J93" s="12" t="n"/>
      <c r="K93" s="12" t="n"/>
    </row>
    <row r="94" ht="22" customHeight="1">
      <c r="B94" s="16">
        <f>IF(C94="","CAR-"&amp;TEXT(COUNTA($C$5:C94),"000"))</f>
        <v/>
      </c>
      <c r="C94" s="14" t="n"/>
      <c r="D94" s="14" t="n"/>
      <c r="E94" s="14" t="n"/>
      <c r="F94" s="30" t="n"/>
      <c r="G94" s="14" t="n"/>
      <c r="H94" s="14" t="n"/>
      <c r="I94" s="14" t="n"/>
      <c r="J94" s="14" t="n"/>
      <c r="K94" s="14" t="n"/>
    </row>
    <row r="95" ht="22" customHeight="1">
      <c r="B95" s="17">
        <f>IF(C95="","CAR-"&amp;TEXT(COUNTA($C$5:C95),"000"))</f>
        <v/>
      </c>
      <c r="C95" s="12" t="n"/>
      <c r="D95" s="12" t="n"/>
      <c r="E95" s="12" t="n"/>
      <c r="F95" s="29" t="n"/>
      <c r="G95" s="12" t="n"/>
      <c r="H95" s="12" t="n"/>
      <c r="I95" s="12" t="n"/>
      <c r="J95" s="12" t="n"/>
      <c r="K95" s="12" t="n"/>
    </row>
    <row r="96" ht="22" customHeight="1">
      <c r="B96" s="16">
        <f>IF(C96="","CAR-"&amp;TEXT(COUNTA($C$5:C96),"000"))</f>
        <v/>
      </c>
      <c r="C96" s="14" t="n"/>
      <c r="D96" s="14" t="n"/>
      <c r="E96" s="14" t="n"/>
      <c r="F96" s="30" t="n"/>
      <c r="G96" s="14" t="n"/>
      <c r="H96" s="14" t="n"/>
      <c r="I96" s="14" t="n"/>
      <c r="J96" s="14" t="n"/>
      <c r="K96" s="14" t="n"/>
    </row>
    <row r="97" ht="22" customHeight="1">
      <c r="B97" s="17">
        <f>IF(C97="","CAR-"&amp;TEXT(COUNTA($C$5:C97),"000"))</f>
        <v/>
      </c>
      <c r="C97" s="12" t="n"/>
      <c r="D97" s="12" t="n"/>
      <c r="E97" s="12" t="n"/>
      <c r="F97" s="29" t="n"/>
      <c r="G97" s="12" t="n"/>
      <c r="H97" s="12" t="n"/>
      <c r="I97" s="12" t="n"/>
      <c r="J97" s="12" t="n"/>
      <c r="K97" s="12" t="n"/>
    </row>
    <row r="98" ht="22" customHeight="1">
      <c r="B98" s="16">
        <f>IF(C98="","CAR-"&amp;TEXT(COUNTA($C$5:C98),"000"))</f>
        <v/>
      </c>
      <c r="C98" s="14" t="n"/>
      <c r="D98" s="14" t="n"/>
      <c r="E98" s="14" t="n"/>
      <c r="F98" s="30" t="n"/>
      <c r="G98" s="14" t="n"/>
      <c r="H98" s="14" t="n"/>
      <c r="I98" s="14" t="n"/>
      <c r="J98" s="14" t="n"/>
      <c r="K98" s="14" t="n"/>
    </row>
    <row r="99" ht="22" customHeight="1">
      <c r="B99" s="17">
        <f>IF(C99="","CAR-"&amp;TEXT(COUNTA($C$5:C99),"000"))</f>
        <v/>
      </c>
      <c r="C99" s="12" t="n"/>
      <c r="D99" s="12" t="n"/>
      <c r="E99" s="12" t="n"/>
      <c r="F99" s="29" t="n"/>
      <c r="G99" s="12" t="n"/>
      <c r="H99" s="12" t="n"/>
      <c r="I99" s="12" t="n"/>
      <c r="J99" s="12" t="n"/>
      <c r="K99" s="12" t="n"/>
    </row>
    <row r="100" ht="22" customHeight="1">
      <c r="B100" s="16">
        <f>IF(C100="","CAR-"&amp;TEXT(COUNTA($C$5:C100),"000"))</f>
        <v/>
      </c>
      <c r="C100" s="14" t="n"/>
      <c r="D100" s="14" t="n"/>
      <c r="E100" s="14" t="n"/>
      <c r="F100" s="30" t="n"/>
      <c r="G100" s="14" t="n"/>
      <c r="H100" s="14" t="n"/>
      <c r="I100" s="14" t="n"/>
      <c r="J100" s="14" t="n"/>
      <c r="K100" s="14" t="n"/>
    </row>
    <row r="101" ht="22" customHeight="1">
      <c r="B101" s="17">
        <f>IF(C101="","CAR-"&amp;TEXT(COUNTA($C$5:C101),"000"))</f>
        <v/>
      </c>
      <c r="C101" s="12" t="n"/>
      <c r="D101" s="12" t="n"/>
      <c r="E101" s="12" t="n"/>
      <c r="F101" s="29" t="n"/>
      <c r="G101" s="12" t="n"/>
      <c r="H101" s="12" t="n"/>
      <c r="I101" s="12" t="n"/>
      <c r="J101" s="12" t="n"/>
      <c r="K101" s="12" t="n"/>
    </row>
    <row r="102" ht="22" customHeight="1">
      <c r="B102" s="16">
        <f>IF(C102="","CAR-"&amp;TEXT(COUNTA($C$5:C102),"000"))</f>
        <v/>
      </c>
      <c r="C102" s="14" t="n"/>
      <c r="D102" s="14" t="n"/>
      <c r="E102" s="14" t="n"/>
      <c r="F102" s="30" t="n"/>
      <c r="G102" s="14" t="n"/>
      <c r="H102" s="14" t="n"/>
      <c r="I102" s="14" t="n"/>
      <c r="J102" s="14" t="n"/>
      <c r="K102" s="14" t="n"/>
    </row>
    <row r="103" ht="22" customHeight="1">
      <c r="B103" s="17">
        <f>IF(C103="","CAR-"&amp;TEXT(COUNTA($C$5:C103),"000"))</f>
        <v/>
      </c>
      <c r="C103" s="12" t="n"/>
      <c r="D103" s="12" t="n"/>
      <c r="E103" s="12" t="n"/>
      <c r="F103" s="29" t="n"/>
      <c r="G103" s="12" t="n"/>
      <c r="H103" s="12" t="n"/>
      <c r="I103" s="12" t="n"/>
      <c r="J103" s="12" t="n"/>
      <c r="K103" s="12" t="n"/>
    </row>
    <row r="104" ht="22" customHeight="1">
      <c r="B104" s="16">
        <f>IF(C104="","CAR-"&amp;TEXT(COUNTA($C$5:C104),"000"))</f>
        <v/>
      </c>
      <c r="C104" s="14" t="n"/>
      <c r="D104" s="14" t="n"/>
      <c r="E104" s="14" t="n"/>
      <c r="F104" s="30" t="n"/>
      <c r="G104" s="14" t="n"/>
      <c r="H104" s="14" t="n"/>
      <c r="I104" s="14" t="n"/>
      <c r="J104" s="14" t="n"/>
      <c r="K104" s="14" t="n"/>
    </row>
    <row r="105" ht="22" customHeight="1">
      <c r="B105" s="17">
        <f>IF(C105="","CAR-"&amp;TEXT(COUNTA($C$5:C105),"000"))</f>
        <v/>
      </c>
      <c r="C105" s="12" t="n"/>
      <c r="D105" s="12" t="n"/>
      <c r="E105" s="12" t="n"/>
      <c r="F105" s="29" t="n"/>
      <c r="G105" s="12" t="n"/>
      <c r="H105" s="12" t="n"/>
      <c r="I105" s="12" t="n"/>
      <c r="J105" s="12" t="n"/>
      <c r="K105" s="12" t="n"/>
    </row>
    <row r="106" ht="22" customHeight="1">
      <c r="B106" s="16">
        <f>IF(C106="","CAR-"&amp;TEXT(COUNTA($C$5:C106),"000"))</f>
        <v/>
      </c>
      <c r="C106" s="14" t="n"/>
      <c r="D106" s="14" t="n"/>
      <c r="E106" s="14" t="n"/>
      <c r="F106" s="30" t="n"/>
      <c r="G106" s="14" t="n"/>
      <c r="H106" s="14" t="n"/>
      <c r="I106" s="14" t="n"/>
      <c r="J106" s="14" t="n"/>
      <c r="K106" s="14" t="n"/>
    </row>
    <row r="107" ht="22" customHeight="1">
      <c r="B107" s="17">
        <f>IF(C107="","CAR-"&amp;TEXT(COUNTA($C$5:C107),"000"))</f>
        <v/>
      </c>
      <c r="C107" s="12" t="n"/>
      <c r="D107" s="12" t="n"/>
      <c r="E107" s="12" t="n"/>
      <c r="F107" s="29" t="n"/>
      <c r="G107" s="12" t="n"/>
      <c r="H107" s="12" t="n"/>
      <c r="I107" s="12" t="n"/>
      <c r="J107" s="12" t="n"/>
      <c r="K107" s="12" t="n"/>
    </row>
    <row r="108" ht="22" customHeight="1">
      <c r="B108" s="16">
        <f>IF(C108="","CAR-"&amp;TEXT(COUNTA($C$5:C108),"000"))</f>
        <v/>
      </c>
      <c r="C108" s="14" t="n"/>
      <c r="D108" s="14" t="n"/>
      <c r="E108" s="14" t="n"/>
      <c r="F108" s="30" t="n"/>
      <c r="G108" s="14" t="n"/>
      <c r="H108" s="14" t="n"/>
      <c r="I108" s="14" t="n"/>
      <c r="J108" s="14" t="n"/>
      <c r="K108" s="14" t="n"/>
    </row>
    <row r="109" ht="22" customHeight="1">
      <c r="B109" s="17">
        <f>IF(C109="","CAR-"&amp;TEXT(COUNTA($C$5:C109),"000"))</f>
        <v/>
      </c>
      <c r="C109" s="12" t="n"/>
      <c r="D109" s="12" t="n"/>
      <c r="E109" s="12" t="n"/>
      <c r="F109" s="29" t="n"/>
      <c r="G109" s="12" t="n"/>
      <c r="H109" s="12" t="n"/>
      <c r="I109" s="12" t="n"/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Plans actifs</t>
        </is>
      </c>
      <c r="D112" s="3" t="inlineStr">
        <is>
          <t>En cours</t>
        </is>
      </c>
      <c r="F112" s="3" t="inlineStr">
        <is>
          <t>En elaboration</t>
        </is>
      </c>
    </row>
    <row r="113">
      <c r="B113" s="4">
        <f>COUNTIF(B5:B104,"&lt;&gt;")</f>
        <v/>
      </c>
      <c r="D113" s="4">
        <f>COUNTIF(I5:I104,"En cours")</f>
        <v/>
      </c>
      <c r="F113" s="4">
        <f>COUNTIF(I5:I104,"En elaboration")</f>
        <v/>
      </c>
    </row>
  </sheetData>
  <mergeCells count="3">
    <mergeCell ref="B111:K111"/>
    <mergeCell ref="B3:K3"/>
    <mergeCell ref="B2:K2"/>
  </mergeCells>
  <conditionalFormatting sqref="I5:I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I5:I109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8" customWidth="1" min="4" max="4"/>
    <col width="24" customWidth="1" min="5" max="5"/>
    <col width="20" customWidth="1" min="6" max="6"/>
    <col width="24" customWidth="1" min="7" max="7"/>
    <col width="18" customWidth="1" min="8" max="8"/>
    <col width="14" customWidth="1" min="9" max="9"/>
    <col width="14" customWidth="1" min="10" max="10"/>
    <col width="12" customWidth="1" min="11" max="11"/>
    <col width="34" customWidth="1" min="12" max="12"/>
  </cols>
  <sheetData>
    <row r="1" ht="15" customHeight="1"/>
    <row r="2" ht="32" customHeight="1">
      <c r="B2" s="1" t="inlineStr">
        <is>
          <t>MOBILITE INTERNE (#109)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 Origine</t>
        </is>
      </c>
      <c r="E4" s="11" t="inlineStr">
        <is>
          <t>Dept. Origine</t>
        </is>
      </c>
      <c r="F4" s="11" t="inlineStr">
        <is>
          <t>Poste Destination</t>
        </is>
      </c>
      <c r="G4" s="11" t="inlineStr">
        <is>
          <t>Dept. Destination</t>
        </is>
      </c>
      <c r="H4" s="11" t="inlineStr">
        <is>
          <t>Type Mobilite</t>
        </is>
      </c>
      <c r="I4" s="11" t="inlineStr">
        <is>
          <t>Date Demande</t>
        </is>
      </c>
      <c r="J4" s="11" t="inlineStr">
        <is>
          <t>Date Effective</t>
        </is>
      </c>
      <c r="K4" s="11" t="inlineStr">
        <is>
          <t>Statut</t>
        </is>
      </c>
      <c r="L4" s="11" t="inlineStr">
        <is>
          <t>Motif</t>
        </is>
      </c>
    </row>
    <row r="5" ht="22" customHeight="1">
      <c r="B5" s="12" t="inlineStr">
        <is>
          <t>MOB-001</t>
        </is>
      </c>
      <c r="C5" s="12" t="inlineStr">
        <is>
          <t>Ngassa F.</t>
        </is>
      </c>
      <c r="D5" s="12" t="inlineStr">
        <is>
          <t>Agent Entretien</t>
        </is>
      </c>
      <c r="E5" s="12" t="inlineStr">
        <is>
          <t>Maintenance</t>
        </is>
      </c>
      <c r="F5" s="12" t="inlineStr">
        <is>
          <t>Magasinier</t>
        </is>
      </c>
      <c r="G5" s="12" t="inlineStr">
        <is>
          <t>Logistique &amp; Approvisionnement</t>
        </is>
      </c>
      <c r="H5" s="12" t="inlineStr">
        <is>
          <t>Mutation laterale</t>
        </is>
      </c>
      <c r="I5" s="29" t="n">
        <v>45667</v>
      </c>
      <c r="J5" s="29" t="n">
        <v>45689</v>
      </c>
      <c r="K5" s="12" t="inlineStr">
        <is>
          <t>Realise</t>
        </is>
      </c>
      <c r="L5" s="12" t="inlineStr">
        <is>
          <t>Requalification professionnelle</t>
        </is>
      </c>
    </row>
    <row r="6" ht="22" customHeight="1">
      <c r="B6" s="14" t="inlineStr">
        <is>
          <t>MOB-002</t>
        </is>
      </c>
      <c r="C6" s="14" t="inlineStr">
        <is>
          <t>Kamga P.</t>
        </is>
      </c>
      <c r="D6" s="14" t="inlineStr">
        <is>
          <t>Receptionniste</t>
        </is>
      </c>
      <c r="E6" s="14" t="inlineStr">
        <is>
          <t>Réception &amp; Front Office</t>
        </is>
      </c>
      <c r="F6" s="14" t="inlineStr">
        <is>
          <t>Agent Commercial</t>
        </is>
      </c>
      <c r="G6" s="14" t="inlineStr">
        <is>
          <t>Commercial</t>
        </is>
      </c>
      <c r="H6" s="14" t="inlineStr">
        <is>
          <t>Rotation poste</t>
        </is>
      </c>
      <c r="I6" s="30" t="n">
        <v>45717</v>
      </c>
      <c r="J6" s="30" t="n">
        <v>45748</v>
      </c>
      <c r="K6" s="14" t="inlineStr">
        <is>
          <t>Realise</t>
        </is>
      </c>
      <c r="L6" s="14" t="inlineStr">
        <is>
          <t>Developpement competences commerciales</t>
        </is>
      </c>
    </row>
    <row r="7" ht="22" customHeight="1">
      <c r="B7" s="12" t="inlineStr">
        <is>
          <t>MOB-003</t>
        </is>
      </c>
      <c r="C7" s="12" t="inlineStr">
        <is>
          <t>Bekolo A.</t>
        </is>
      </c>
      <c r="D7" s="12" t="inlineStr">
        <is>
          <t>Plongeur</t>
        </is>
      </c>
      <c r="E7" s="12" t="inlineStr">
        <is>
          <t>Cuisine &amp; Restauration</t>
        </is>
      </c>
      <c r="F7" s="12" t="inlineStr">
        <is>
          <t>Agent Entretien</t>
        </is>
      </c>
      <c r="G7" s="12" t="inlineStr">
        <is>
          <t>Maintenance</t>
        </is>
      </c>
      <c r="H7" s="12" t="inlineStr">
        <is>
          <t>Mutation laterale</t>
        </is>
      </c>
      <c r="I7" s="29" t="n">
        <v>45792</v>
      </c>
      <c r="J7" s="29" t="n"/>
      <c r="K7" s="12" t="inlineStr">
        <is>
          <t>En cours</t>
        </is>
      </c>
      <c r="L7" s="12" t="inlineStr">
        <is>
          <t>Demande de changement de domaine</t>
        </is>
      </c>
    </row>
    <row r="8" ht="22" customHeight="1">
      <c r="B8" s="14" t="inlineStr">
        <is>
          <t>MOB-004</t>
        </is>
      </c>
      <c r="C8" s="14" t="inlineStr">
        <is>
          <t>Meyong S.</t>
        </is>
      </c>
      <c r="D8" s="14" t="inlineStr">
        <is>
          <t>Agent Securite</t>
        </is>
      </c>
      <c r="E8" s="14" t="inlineStr">
        <is>
          <t>Sécurité</t>
        </is>
      </c>
      <c r="F8" s="14" t="inlineStr">
        <is>
          <t>Concierge</t>
        </is>
      </c>
      <c r="G8" s="14" t="inlineStr">
        <is>
          <t>Réception &amp; Front Office</t>
        </is>
      </c>
      <c r="H8" s="14" t="inlineStr">
        <is>
          <t>Promotion</t>
        </is>
      </c>
      <c r="I8" s="30" t="n">
        <v>45748</v>
      </c>
      <c r="J8" s="30" t="n">
        <v>45778</v>
      </c>
      <c r="K8" s="14" t="inlineStr">
        <is>
          <t>Realise</t>
        </is>
      </c>
      <c r="L8" s="14" t="inlineStr">
        <is>
          <t>Evolution carriere + competences client</t>
        </is>
      </c>
    </row>
    <row r="9" ht="22" customHeight="1">
      <c r="B9" s="12" t="inlineStr">
        <is>
          <t>MOB-005</t>
        </is>
      </c>
      <c r="C9" s="12" t="inlineStr">
        <is>
          <t>Fouda M.</t>
        </is>
      </c>
      <c r="D9" s="12" t="inlineStr">
        <is>
          <t>Cuisinier</t>
        </is>
      </c>
      <c r="E9" s="12" t="inlineStr">
        <is>
          <t>Cuisine &amp; Restauration</t>
        </is>
      </c>
      <c r="F9" s="12" t="inlineStr">
        <is>
          <t>Sous-Chef</t>
        </is>
      </c>
      <c r="G9" s="12" t="inlineStr">
        <is>
          <t>Cuisine &amp; Restauration</t>
        </is>
      </c>
      <c r="H9" s="12" t="inlineStr">
        <is>
          <t>Promotion</t>
        </is>
      </c>
      <c r="I9" s="29" t="n">
        <v>45809</v>
      </c>
      <c r="J9" s="29" t="n"/>
      <c r="K9" s="12" t="inlineStr">
        <is>
          <t>En cours</t>
        </is>
      </c>
      <c r="L9" s="12" t="inlineStr">
        <is>
          <t>Promotion interne meritee</t>
        </is>
      </c>
    </row>
    <row r="10" ht="22" customHeight="1">
      <c r="B10" s="16">
        <f>IF(C10="","MOB-"&amp;TEXT(COUNTA($C$5:C10),"000"))</f>
        <v/>
      </c>
      <c r="C10" s="14" t="n"/>
      <c r="D10" s="14" t="n"/>
      <c r="E10" s="14" t="n"/>
      <c r="F10" s="14" t="n"/>
      <c r="G10" s="14" t="n"/>
      <c r="H10" s="14" t="n"/>
      <c r="I10" s="30" t="n"/>
      <c r="J10" s="30" t="n"/>
      <c r="K10" s="14" t="n"/>
      <c r="L10" s="14" t="n"/>
    </row>
    <row r="11" ht="22" customHeight="1">
      <c r="B11" s="17">
        <f>IF(C11="","MOB-"&amp;TEXT(COUNTA($C$5:C11),"000"))</f>
        <v/>
      </c>
      <c r="C11" s="12" t="n"/>
      <c r="D11" s="12" t="n"/>
      <c r="E11" s="12" t="n"/>
      <c r="F11" s="12" t="n"/>
      <c r="G11" s="12" t="n"/>
      <c r="H11" s="12" t="n"/>
      <c r="I11" s="29" t="n"/>
      <c r="J11" s="29" t="n"/>
      <c r="K11" s="12" t="n"/>
      <c r="L11" s="12" t="n"/>
    </row>
    <row r="12" ht="22" customHeight="1">
      <c r="B12" s="16">
        <f>IF(C12="","MOB-"&amp;TEXT(COUNTA($C$5:C12),"000"))</f>
        <v/>
      </c>
      <c r="C12" s="14" t="n"/>
      <c r="D12" s="14" t="n"/>
      <c r="E12" s="14" t="n"/>
      <c r="F12" s="14" t="n"/>
      <c r="G12" s="14" t="n"/>
      <c r="H12" s="14" t="n"/>
      <c r="I12" s="30" t="n"/>
      <c r="J12" s="30" t="n"/>
      <c r="K12" s="14" t="n"/>
      <c r="L12" s="14" t="n"/>
    </row>
    <row r="13" ht="22" customHeight="1">
      <c r="B13" s="17">
        <f>IF(C13="","MOB-"&amp;TEXT(COUNTA($C$5:C13),"000"))</f>
        <v/>
      </c>
      <c r="C13" s="12" t="n"/>
      <c r="D13" s="12" t="n"/>
      <c r="E13" s="12" t="n"/>
      <c r="F13" s="12" t="n"/>
      <c r="G13" s="12" t="n"/>
      <c r="H13" s="12" t="n"/>
      <c r="I13" s="29" t="n"/>
      <c r="J13" s="29" t="n"/>
      <c r="K13" s="12" t="n"/>
      <c r="L13" s="12" t="n"/>
    </row>
    <row r="14" ht="22" customHeight="1">
      <c r="B14" s="16">
        <f>IF(C14="","MOB-"&amp;TEXT(COUNTA($C$5:C14),"000"))</f>
        <v/>
      </c>
      <c r="C14" s="14" t="n"/>
      <c r="D14" s="14" t="n"/>
      <c r="E14" s="14" t="n"/>
      <c r="F14" s="14" t="n"/>
      <c r="G14" s="14" t="n"/>
      <c r="H14" s="14" t="n"/>
      <c r="I14" s="30" t="n"/>
      <c r="J14" s="30" t="n"/>
      <c r="K14" s="14" t="n"/>
      <c r="L14" s="14" t="n"/>
    </row>
    <row r="15" ht="22" customHeight="1">
      <c r="B15" s="17">
        <f>IF(C15="","MOB-"&amp;TEXT(COUNTA($C$5:C15),"000"))</f>
        <v/>
      </c>
      <c r="C15" s="12" t="n"/>
      <c r="D15" s="12" t="n"/>
      <c r="E15" s="12" t="n"/>
      <c r="F15" s="12" t="n"/>
      <c r="G15" s="12" t="n"/>
      <c r="H15" s="12" t="n"/>
      <c r="I15" s="29" t="n"/>
      <c r="J15" s="29" t="n"/>
      <c r="K15" s="12" t="n"/>
      <c r="L15" s="12" t="n"/>
    </row>
    <row r="16" ht="22" customHeight="1">
      <c r="B16" s="16">
        <f>IF(C16="","MOB-"&amp;TEXT(COUNTA($C$5:C16),"000"))</f>
        <v/>
      </c>
      <c r="C16" s="14" t="n"/>
      <c r="D16" s="14" t="n"/>
      <c r="E16" s="14" t="n"/>
      <c r="F16" s="14" t="n"/>
      <c r="G16" s="14" t="n"/>
      <c r="H16" s="14" t="n"/>
      <c r="I16" s="30" t="n"/>
      <c r="J16" s="30" t="n"/>
      <c r="K16" s="14" t="n"/>
      <c r="L16" s="14" t="n"/>
    </row>
    <row r="17" ht="22" customHeight="1">
      <c r="B17" s="17">
        <f>IF(C17="","MOB-"&amp;TEXT(COUNTA($C$5:C17),"000"))</f>
        <v/>
      </c>
      <c r="C17" s="12" t="n"/>
      <c r="D17" s="12" t="n"/>
      <c r="E17" s="12" t="n"/>
      <c r="F17" s="12" t="n"/>
      <c r="G17" s="12" t="n"/>
      <c r="H17" s="12" t="n"/>
      <c r="I17" s="29" t="n"/>
      <c r="J17" s="29" t="n"/>
      <c r="K17" s="12" t="n"/>
      <c r="L17" s="12" t="n"/>
    </row>
    <row r="18" ht="22" customHeight="1">
      <c r="B18" s="16">
        <f>IF(C18="","MOB-"&amp;TEXT(COUNTA($C$5:C18),"000"))</f>
        <v/>
      </c>
      <c r="C18" s="14" t="n"/>
      <c r="D18" s="14" t="n"/>
      <c r="E18" s="14" t="n"/>
      <c r="F18" s="14" t="n"/>
      <c r="G18" s="14" t="n"/>
      <c r="H18" s="14" t="n"/>
      <c r="I18" s="30" t="n"/>
      <c r="J18" s="30" t="n"/>
      <c r="K18" s="14" t="n"/>
      <c r="L18" s="14" t="n"/>
    </row>
    <row r="19" ht="22" customHeight="1">
      <c r="B19" s="17">
        <f>IF(C19="","MOB-"&amp;TEXT(COUNTA($C$5:C19),"000"))</f>
        <v/>
      </c>
      <c r="C19" s="12" t="n"/>
      <c r="D19" s="12" t="n"/>
      <c r="E19" s="12" t="n"/>
      <c r="F19" s="12" t="n"/>
      <c r="G19" s="12" t="n"/>
      <c r="H19" s="12" t="n"/>
      <c r="I19" s="29" t="n"/>
      <c r="J19" s="29" t="n"/>
      <c r="K19" s="12" t="n"/>
      <c r="L19" s="12" t="n"/>
    </row>
    <row r="20" ht="22" customHeight="1">
      <c r="B20" s="16">
        <f>IF(C20="","MOB-"&amp;TEXT(COUNTA($C$5:C20),"000"))</f>
        <v/>
      </c>
      <c r="C20" s="14" t="n"/>
      <c r="D20" s="14" t="n"/>
      <c r="E20" s="14" t="n"/>
      <c r="F20" s="14" t="n"/>
      <c r="G20" s="14" t="n"/>
      <c r="H20" s="14" t="n"/>
      <c r="I20" s="30" t="n"/>
      <c r="J20" s="30" t="n"/>
      <c r="K20" s="14" t="n"/>
      <c r="L20" s="14" t="n"/>
    </row>
    <row r="21" ht="22" customHeight="1">
      <c r="B21" s="17">
        <f>IF(C21="","MOB-"&amp;TEXT(COUNTA($C$5:C21),"000"))</f>
        <v/>
      </c>
      <c r="C21" s="12" t="n"/>
      <c r="D21" s="12" t="n"/>
      <c r="E21" s="12" t="n"/>
      <c r="F21" s="12" t="n"/>
      <c r="G21" s="12" t="n"/>
      <c r="H21" s="12" t="n"/>
      <c r="I21" s="29" t="n"/>
      <c r="J21" s="29" t="n"/>
      <c r="K21" s="12" t="n"/>
      <c r="L21" s="12" t="n"/>
    </row>
    <row r="22" ht="22" customHeight="1">
      <c r="B22" s="16">
        <f>IF(C22="","MOB-"&amp;TEXT(COUNTA($C$5:C22),"000"))</f>
        <v/>
      </c>
      <c r="C22" s="14" t="n"/>
      <c r="D22" s="14" t="n"/>
      <c r="E22" s="14" t="n"/>
      <c r="F22" s="14" t="n"/>
      <c r="G22" s="14" t="n"/>
      <c r="H22" s="14" t="n"/>
      <c r="I22" s="30" t="n"/>
      <c r="J22" s="30" t="n"/>
      <c r="K22" s="14" t="n"/>
      <c r="L22" s="14" t="n"/>
    </row>
    <row r="23" ht="22" customHeight="1">
      <c r="B23" s="17">
        <f>IF(C23="","MOB-"&amp;TEXT(COUNTA($C$5:C23),"000"))</f>
        <v/>
      </c>
      <c r="C23" s="12" t="n"/>
      <c r="D23" s="12" t="n"/>
      <c r="E23" s="12" t="n"/>
      <c r="F23" s="12" t="n"/>
      <c r="G23" s="12" t="n"/>
      <c r="H23" s="12" t="n"/>
      <c r="I23" s="29" t="n"/>
      <c r="J23" s="29" t="n"/>
      <c r="K23" s="12" t="n"/>
      <c r="L23" s="12" t="n"/>
    </row>
    <row r="24" ht="22" customHeight="1">
      <c r="B24" s="16">
        <f>IF(C24="","MOB-"&amp;TEXT(COUNTA($C$5:C24),"000"))</f>
        <v/>
      </c>
      <c r="C24" s="14" t="n"/>
      <c r="D24" s="14" t="n"/>
      <c r="E24" s="14" t="n"/>
      <c r="F24" s="14" t="n"/>
      <c r="G24" s="14" t="n"/>
      <c r="H24" s="14" t="n"/>
      <c r="I24" s="30" t="n"/>
      <c r="J24" s="30" t="n"/>
      <c r="K24" s="14" t="n"/>
      <c r="L24" s="14" t="n"/>
    </row>
    <row r="25" ht="22" customHeight="1">
      <c r="B25" s="17">
        <f>IF(C25="","MOB-"&amp;TEXT(COUNTA($C$5:C25),"000"))</f>
        <v/>
      </c>
      <c r="C25" s="12" t="n"/>
      <c r="D25" s="12" t="n"/>
      <c r="E25" s="12" t="n"/>
      <c r="F25" s="12" t="n"/>
      <c r="G25" s="12" t="n"/>
      <c r="H25" s="12" t="n"/>
      <c r="I25" s="29" t="n"/>
      <c r="J25" s="29" t="n"/>
      <c r="K25" s="12" t="n"/>
      <c r="L25" s="12" t="n"/>
    </row>
    <row r="26" ht="22" customHeight="1">
      <c r="B26" s="16">
        <f>IF(C26="","MOB-"&amp;TEXT(COUNTA($C$5:C26),"000"))</f>
        <v/>
      </c>
      <c r="C26" s="14" t="n"/>
      <c r="D26" s="14" t="n"/>
      <c r="E26" s="14" t="n"/>
      <c r="F26" s="14" t="n"/>
      <c r="G26" s="14" t="n"/>
      <c r="H26" s="14" t="n"/>
      <c r="I26" s="30" t="n"/>
      <c r="J26" s="30" t="n"/>
      <c r="K26" s="14" t="n"/>
      <c r="L26" s="14" t="n"/>
    </row>
    <row r="27" ht="22" customHeight="1">
      <c r="B27" s="17">
        <f>IF(C27="","MOB-"&amp;TEXT(COUNTA($C$5:C27),"000"))</f>
        <v/>
      </c>
      <c r="C27" s="12" t="n"/>
      <c r="D27" s="12" t="n"/>
      <c r="E27" s="12" t="n"/>
      <c r="F27" s="12" t="n"/>
      <c r="G27" s="12" t="n"/>
      <c r="H27" s="12" t="n"/>
      <c r="I27" s="29" t="n"/>
      <c r="J27" s="29" t="n"/>
      <c r="K27" s="12" t="n"/>
      <c r="L27" s="12" t="n"/>
    </row>
    <row r="28" ht="22" customHeight="1">
      <c r="B28" s="16">
        <f>IF(C28="","MOB-"&amp;TEXT(COUNTA($C$5:C28),"000"))</f>
        <v/>
      </c>
      <c r="C28" s="14" t="n"/>
      <c r="D28" s="14" t="n"/>
      <c r="E28" s="14" t="n"/>
      <c r="F28" s="14" t="n"/>
      <c r="G28" s="14" t="n"/>
      <c r="H28" s="14" t="n"/>
      <c r="I28" s="30" t="n"/>
      <c r="J28" s="30" t="n"/>
      <c r="K28" s="14" t="n"/>
      <c r="L28" s="14" t="n"/>
    </row>
    <row r="29" ht="22" customHeight="1">
      <c r="B29" s="17">
        <f>IF(C29="","MOB-"&amp;TEXT(COUNTA($C$5:C29),"000"))</f>
        <v/>
      </c>
      <c r="C29" s="12" t="n"/>
      <c r="D29" s="12" t="n"/>
      <c r="E29" s="12" t="n"/>
      <c r="F29" s="12" t="n"/>
      <c r="G29" s="12" t="n"/>
      <c r="H29" s="12" t="n"/>
      <c r="I29" s="29" t="n"/>
      <c r="J29" s="29" t="n"/>
      <c r="K29" s="12" t="n"/>
      <c r="L29" s="12" t="n"/>
    </row>
    <row r="30" ht="22" customHeight="1">
      <c r="B30" s="16">
        <f>IF(C30="","MOB-"&amp;TEXT(COUNTA($C$5:C30),"000"))</f>
        <v/>
      </c>
      <c r="C30" s="14" t="n"/>
      <c r="D30" s="14" t="n"/>
      <c r="E30" s="14" t="n"/>
      <c r="F30" s="14" t="n"/>
      <c r="G30" s="14" t="n"/>
      <c r="H30" s="14" t="n"/>
      <c r="I30" s="30" t="n"/>
      <c r="J30" s="30" t="n"/>
      <c r="K30" s="14" t="n"/>
      <c r="L30" s="14" t="n"/>
    </row>
    <row r="31" ht="22" customHeight="1">
      <c r="B31" s="17">
        <f>IF(C31="","MOB-"&amp;TEXT(COUNTA($C$5:C31),"000"))</f>
        <v/>
      </c>
      <c r="C31" s="12" t="n"/>
      <c r="D31" s="12" t="n"/>
      <c r="E31" s="12" t="n"/>
      <c r="F31" s="12" t="n"/>
      <c r="G31" s="12" t="n"/>
      <c r="H31" s="12" t="n"/>
      <c r="I31" s="29" t="n"/>
      <c r="J31" s="29" t="n"/>
      <c r="K31" s="12" t="n"/>
      <c r="L31" s="12" t="n"/>
    </row>
    <row r="32" ht="22" customHeight="1">
      <c r="B32" s="16">
        <f>IF(C32="","MOB-"&amp;TEXT(COUNTA($C$5:C32),"000"))</f>
        <v/>
      </c>
      <c r="C32" s="14" t="n"/>
      <c r="D32" s="14" t="n"/>
      <c r="E32" s="14" t="n"/>
      <c r="F32" s="14" t="n"/>
      <c r="G32" s="14" t="n"/>
      <c r="H32" s="14" t="n"/>
      <c r="I32" s="30" t="n"/>
      <c r="J32" s="30" t="n"/>
      <c r="K32" s="14" t="n"/>
      <c r="L32" s="14" t="n"/>
    </row>
    <row r="33" ht="22" customHeight="1">
      <c r="B33" s="17">
        <f>IF(C33="","MOB-"&amp;TEXT(COUNTA($C$5:C33),"000"))</f>
        <v/>
      </c>
      <c r="C33" s="12" t="n"/>
      <c r="D33" s="12" t="n"/>
      <c r="E33" s="12" t="n"/>
      <c r="F33" s="12" t="n"/>
      <c r="G33" s="12" t="n"/>
      <c r="H33" s="12" t="n"/>
      <c r="I33" s="29" t="n"/>
      <c r="J33" s="29" t="n"/>
      <c r="K33" s="12" t="n"/>
      <c r="L33" s="12" t="n"/>
    </row>
    <row r="34" ht="22" customHeight="1">
      <c r="B34" s="16">
        <f>IF(C34="","MOB-"&amp;TEXT(COUNTA($C$5:C34),"000"))</f>
        <v/>
      </c>
      <c r="C34" s="14" t="n"/>
      <c r="D34" s="14" t="n"/>
      <c r="E34" s="14" t="n"/>
      <c r="F34" s="14" t="n"/>
      <c r="G34" s="14" t="n"/>
      <c r="H34" s="14" t="n"/>
      <c r="I34" s="30" t="n"/>
      <c r="J34" s="30" t="n"/>
      <c r="K34" s="14" t="n"/>
      <c r="L34" s="14" t="n"/>
    </row>
    <row r="35" ht="22" customHeight="1">
      <c r="B35" s="17">
        <f>IF(C35="","MOB-"&amp;TEXT(COUNTA($C$5:C35),"000"))</f>
        <v/>
      </c>
      <c r="C35" s="12" t="n"/>
      <c r="D35" s="12" t="n"/>
      <c r="E35" s="12" t="n"/>
      <c r="F35" s="12" t="n"/>
      <c r="G35" s="12" t="n"/>
      <c r="H35" s="12" t="n"/>
      <c r="I35" s="29" t="n"/>
      <c r="J35" s="29" t="n"/>
      <c r="K35" s="12" t="n"/>
      <c r="L35" s="12" t="n"/>
    </row>
    <row r="36" ht="22" customHeight="1">
      <c r="B36" s="16">
        <f>IF(C36="","MOB-"&amp;TEXT(COUNTA($C$5:C36),"000"))</f>
        <v/>
      </c>
      <c r="C36" s="14" t="n"/>
      <c r="D36" s="14" t="n"/>
      <c r="E36" s="14" t="n"/>
      <c r="F36" s="14" t="n"/>
      <c r="G36" s="14" t="n"/>
      <c r="H36" s="14" t="n"/>
      <c r="I36" s="30" t="n"/>
      <c r="J36" s="30" t="n"/>
      <c r="K36" s="14" t="n"/>
      <c r="L36" s="14" t="n"/>
    </row>
    <row r="37" ht="22" customHeight="1">
      <c r="B37" s="17">
        <f>IF(C37="","MOB-"&amp;TEXT(COUNTA($C$5:C37),"000"))</f>
        <v/>
      </c>
      <c r="C37" s="12" t="n"/>
      <c r="D37" s="12" t="n"/>
      <c r="E37" s="12" t="n"/>
      <c r="F37" s="12" t="n"/>
      <c r="G37" s="12" t="n"/>
      <c r="H37" s="12" t="n"/>
      <c r="I37" s="29" t="n"/>
      <c r="J37" s="29" t="n"/>
      <c r="K37" s="12" t="n"/>
      <c r="L37" s="12" t="n"/>
    </row>
    <row r="38" ht="22" customHeight="1">
      <c r="B38" s="16">
        <f>IF(C38="","MOB-"&amp;TEXT(COUNTA($C$5:C38),"000"))</f>
        <v/>
      </c>
      <c r="C38" s="14" t="n"/>
      <c r="D38" s="14" t="n"/>
      <c r="E38" s="14" t="n"/>
      <c r="F38" s="14" t="n"/>
      <c r="G38" s="14" t="n"/>
      <c r="H38" s="14" t="n"/>
      <c r="I38" s="30" t="n"/>
      <c r="J38" s="30" t="n"/>
      <c r="K38" s="14" t="n"/>
      <c r="L38" s="14" t="n"/>
    </row>
    <row r="39" ht="22" customHeight="1">
      <c r="B39" s="17">
        <f>IF(C39="","MOB-"&amp;TEXT(COUNTA($C$5:C39),"000"))</f>
        <v/>
      </c>
      <c r="C39" s="12" t="n"/>
      <c r="D39" s="12" t="n"/>
      <c r="E39" s="12" t="n"/>
      <c r="F39" s="12" t="n"/>
      <c r="G39" s="12" t="n"/>
      <c r="H39" s="12" t="n"/>
      <c r="I39" s="29" t="n"/>
      <c r="J39" s="29" t="n"/>
      <c r="K39" s="12" t="n"/>
      <c r="L39" s="12" t="n"/>
    </row>
    <row r="40" ht="22" customHeight="1">
      <c r="B40" s="16">
        <f>IF(C40="","MOB-"&amp;TEXT(COUNTA($C$5:C40),"000"))</f>
        <v/>
      </c>
      <c r="C40" s="14" t="n"/>
      <c r="D40" s="14" t="n"/>
      <c r="E40" s="14" t="n"/>
      <c r="F40" s="14" t="n"/>
      <c r="G40" s="14" t="n"/>
      <c r="H40" s="14" t="n"/>
      <c r="I40" s="30" t="n"/>
      <c r="J40" s="30" t="n"/>
      <c r="K40" s="14" t="n"/>
      <c r="L40" s="14" t="n"/>
    </row>
    <row r="41" ht="22" customHeight="1">
      <c r="B41" s="17">
        <f>IF(C41="","MOB-"&amp;TEXT(COUNTA($C$5:C41),"000"))</f>
        <v/>
      </c>
      <c r="C41" s="12" t="n"/>
      <c r="D41" s="12" t="n"/>
      <c r="E41" s="12" t="n"/>
      <c r="F41" s="12" t="n"/>
      <c r="G41" s="12" t="n"/>
      <c r="H41" s="12" t="n"/>
      <c r="I41" s="29" t="n"/>
      <c r="J41" s="29" t="n"/>
      <c r="K41" s="12" t="n"/>
      <c r="L41" s="12" t="n"/>
    </row>
    <row r="42" ht="22" customHeight="1">
      <c r="B42" s="16">
        <f>IF(C42="","MOB-"&amp;TEXT(COUNTA($C$5:C42),"000"))</f>
        <v/>
      </c>
      <c r="C42" s="14" t="n"/>
      <c r="D42" s="14" t="n"/>
      <c r="E42" s="14" t="n"/>
      <c r="F42" s="14" t="n"/>
      <c r="G42" s="14" t="n"/>
      <c r="H42" s="14" t="n"/>
      <c r="I42" s="30" t="n"/>
      <c r="J42" s="30" t="n"/>
      <c r="K42" s="14" t="n"/>
      <c r="L42" s="14" t="n"/>
    </row>
    <row r="43" ht="22" customHeight="1">
      <c r="B43" s="17">
        <f>IF(C43="","MOB-"&amp;TEXT(COUNTA($C$5:C43),"000"))</f>
        <v/>
      </c>
      <c r="C43" s="12" t="n"/>
      <c r="D43" s="12" t="n"/>
      <c r="E43" s="12" t="n"/>
      <c r="F43" s="12" t="n"/>
      <c r="G43" s="12" t="n"/>
      <c r="H43" s="12" t="n"/>
      <c r="I43" s="29" t="n"/>
      <c r="J43" s="29" t="n"/>
      <c r="K43" s="12" t="n"/>
      <c r="L43" s="12" t="n"/>
    </row>
    <row r="44" ht="22" customHeight="1">
      <c r="B44" s="16">
        <f>IF(C44="","MOB-"&amp;TEXT(COUNTA($C$5:C44),"000"))</f>
        <v/>
      </c>
      <c r="C44" s="14" t="n"/>
      <c r="D44" s="14" t="n"/>
      <c r="E44" s="14" t="n"/>
      <c r="F44" s="14" t="n"/>
      <c r="G44" s="14" t="n"/>
      <c r="H44" s="14" t="n"/>
      <c r="I44" s="30" t="n"/>
      <c r="J44" s="30" t="n"/>
      <c r="K44" s="14" t="n"/>
      <c r="L44" s="14" t="n"/>
    </row>
    <row r="45" ht="22" customHeight="1">
      <c r="B45" s="17">
        <f>IF(C45="","MOB-"&amp;TEXT(COUNTA($C$5:C45),"000"))</f>
        <v/>
      </c>
      <c r="C45" s="12" t="n"/>
      <c r="D45" s="12" t="n"/>
      <c r="E45" s="12" t="n"/>
      <c r="F45" s="12" t="n"/>
      <c r="G45" s="12" t="n"/>
      <c r="H45" s="12" t="n"/>
      <c r="I45" s="29" t="n"/>
      <c r="J45" s="29" t="n"/>
      <c r="K45" s="12" t="n"/>
      <c r="L45" s="12" t="n"/>
    </row>
    <row r="46" ht="22" customHeight="1">
      <c r="B46" s="16">
        <f>IF(C46="","MOB-"&amp;TEXT(COUNTA($C$5:C46),"000"))</f>
        <v/>
      </c>
      <c r="C46" s="14" t="n"/>
      <c r="D46" s="14" t="n"/>
      <c r="E46" s="14" t="n"/>
      <c r="F46" s="14" t="n"/>
      <c r="G46" s="14" t="n"/>
      <c r="H46" s="14" t="n"/>
      <c r="I46" s="30" t="n"/>
      <c r="J46" s="30" t="n"/>
      <c r="K46" s="14" t="n"/>
      <c r="L46" s="14" t="n"/>
    </row>
    <row r="47" ht="22" customHeight="1">
      <c r="B47" s="17">
        <f>IF(C47="","MOB-"&amp;TEXT(COUNTA($C$5:C47),"000"))</f>
        <v/>
      </c>
      <c r="C47" s="12" t="n"/>
      <c r="D47" s="12" t="n"/>
      <c r="E47" s="12" t="n"/>
      <c r="F47" s="12" t="n"/>
      <c r="G47" s="12" t="n"/>
      <c r="H47" s="12" t="n"/>
      <c r="I47" s="29" t="n"/>
      <c r="J47" s="29" t="n"/>
      <c r="K47" s="12" t="n"/>
      <c r="L47" s="12" t="n"/>
    </row>
    <row r="48" ht="22" customHeight="1">
      <c r="B48" s="16">
        <f>IF(C48="","MOB-"&amp;TEXT(COUNTA($C$5:C48),"000"))</f>
        <v/>
      </c>
      <c r="C48" s="14" t="n"/>
      <c r="D48" s="14" t="n"/>
      <c r="E48" s="14" t="n"/>
      <c r="F48" s="14" t="n"/>
      <c r="G48" s="14" t="n"/>
      <c r="H48" s="14" t="n"/>
      <c r="I48" s="30" t="n"/>
      <c r="J48" s="30" t="n"/>
      <c r="K48" s="14" t="n"/>
      <c r="L48" s="14" t="n"/>
    </row>
    <row r="49" ht="22" customHeight="1">
      <c r="B49" s="17">
        <f>IF(C49="","MOB-"&amp;TEXT(COUNTA($C$5:C49),"000"))</f>
        <v/>
      </c>
      <c r="C49" s="12" t="n"/>
      <c r="D49" s="12" t="n"/>
      <c r="E49" s="12" t="n"/>
      <c r="F49" s="12" t="n"/>
      <c r="G49" s="12" t="n"/>
      <c r="H49" s="12" t="n"/>
      <c r="I49" s="29" t="n"/>
      <c r="J49" s="29" t="n"/>
      <c r="K49" s="12" t="n"/>
      <c r="L49" s="12" t="n"/>
    </row>
    <row r="50" ht="22" customHeight="1">
      <c r="B50" s="16">
        <f>IF(C50="","MOB-"&amp;TEXT(COUNTA($C$5:C50),"000"))</f>
        <v/>
      </c>
      <c r="C50" s="14" t="n"/>
      <c r="D50" s="14" t="n"/>
      <c r="E50" s="14" t="n"/>
      <c r="F50" s="14" t="n"/>
      <c r="G50" s="14" t="n"/>
      <c r="H50" s="14" t="n"/>
      <c r="I50" s="30" t="n"/>
      <c r="J50" s="30" t="n"/>
      <c r="K50" s="14" t="n"/>
      <c r="L50" s="14" t="n"/>
    </row>
    <row r="51" ht="22" customHeight="1">
      <c r="B51" s="17">
        <f>IF(C51="","MOB-"&amp;TEXT(COUNTA($C$5:C51),"000"))</f>
        <v/>
      </c>
      <c r="C51" s="12" t="n"/>
      <c r="D51" s="12" t="n"/>
      <c r="E51" s="12" t="n"/>
      <c r="F51" s="12" t="n"/>
      <c r="G51" s="12" t="n"/>
      <c r="H51" s="12" t="n"/>
      <c r="I51" s="29" t="n"/>
      <c r="J51" s="29" t="n"/>
      <c r="K51" s="12" t="n"/>
      <c r="L51" s="12" t="n"/>
    </row>
    <row r="52" ht="22" customHeight="1">
      <c r="B52" s="16">
        <f>IF(C52="","MOB-"&amp;TEXT(COUNTA($C$5:C52),"000"))</f>
        <v/>
      </c>
      <c r="C52" s="14" t="n"/>
      <c r="D52" s="14" t="n"/>
      <c r="E52" s="14" t="n"/>
      <c r="F52" s="14" t="n"/>
      <c r="G52" s="14" t="n"/>
      <c r="H52" s="14" t="n"/>
      <c r="I52" s="30" t="n"/>
      <c r="J52" s="30" t="n"/>
      <c r="K52" s="14" t="n"/>
      <c r="L52" s="14" t="n"/>
    </row>
    <row r="53" ht="22" customHeight="1">
      <c r="B53" s="17">
        <f>IF(C53="","MOB-"&amp;TEXT(COUNTA($C$5:C53),"000"))</f>
        <v/>
      </c>
      <c r="C53" s="12" t="n"/>
      <c r="D53" s="12" t="n"/>
      <c r="E53" s="12" t="n"/>
      <c r="F53" s="12" t="n"/>
      <c r="G53" s="12" t="n"/>
      <c r="H53" s="12" t="n"/>
      <c r="I53" s="29" t="n"/>
      <c r="J53" s="29" t="n"/>
      <c r="K53" s="12" t="n"/>
      <c r="L53" s="12" t="n"/>
    </row>
    <row r="54" ht="22" customHeight="1">
      <c r="B54" s="16">
        <f>IF(C54="","MOB-"&amp;TEXT(COUNTA($C$5:C54),"000"))</f>
        <v/>
      </c>
      <c r="C54" s="14" t="n"/>
      <c r="D54" s="14" t="n"/>
      <c r="E54" s="14" t="n"/>
      <c r="F54" s="14" t="n"/>
      <c r="G54" s="14" t="n"/>
      <c r="H54" s="14" t="n"/>
      <c r="I54" s="30" t="n"/>
      <c r="J54" s="30" t="n"/>
      <c r="K54" s="14" t="n"/>
      <c r="L54" s="14" t="n"/>
    </row>
    <row r="55" ht="22" customHeight="1">
      <c r="B55" s="17">
        <f>IF(C55="","MOB-"&amp;TEXT(COUNTA($C$5:C55),"000"))</f>
        <v/>
      </c>
      <c r="C55" s="12" t="n"/>
      <c r="D55" s="12" t="n"/>
      <c r="E55" s="12" t="n"/>
      <c r="F55" s="12" t="n"/>
      <c r="G55" s="12" t="n"/>
      <c r="H55" s="12" t="n"/>
      <c r="I55" s="29" t="n"/>
      <c r="J55" s="29" t="n"/>
      <c r="K55" s="12" t="n"/>
      <c r="L55" s="12" t="n"/>
    </row>
    <row r="56" ht="22" customHeight="1">
      <c r="B56" s="16">
        <f>IF(C56="","MOB-"&amp;TEXT(COUNTA($C$5:C56),"000"))</f>
        <v/>
      </c>
      <c r="C56" s="14" t="n"/>
      <c r="D56" s="14" t="n"/>
      <c r="E56" s="14" t="n"/>
      <c r="F56" s="14" t="n"/>
      <c r="G56" s="14" t="n"/>
      <c r="H56" s="14" t="n"/>
      <c r="I56" s="30" t="n"/>
      <c r="J56" s="30" t="n"/>
      <c r="K56" s="14" t="n"/>
      <c r="L56" s="14" t="n"/>
    </row>
    <row r="57" ht="22" customHeight="1">
      <c r="B57" s="17">
        <f>IF(C57="","MOB-"&amp;TEXT(COUNTA($C$5:C57),"000"))</f>
        <v/>
      </c>
      <c r="C57" s="12" t="n"/>
      <c r="D57" s="12" t="n"/>
      <c r="E57" s="12" t="n"/>
      <c r="F57" s="12" t="n"/>
      <c r="G57" s="12" t="n"/>
      <c r="H57" s="12" t="n"/>
      <c r="I57" s="29" t="n"/>
      <c r="J57" s="29" t="n"/>
      <c r="K57" s="12" t="n"/>
      <c r="L57" s="12" t="n"/>
    </row>
    <row r="58" ht="22" customHeight="1">
      <c r="B58" s="16">
        <f>IF(C58="","MOB-"&amp;TEXT(COUNTA($C$5:C58),"000"))</f>
        <v/>
      </c>
      <c r="C58" s="14" t="n"/>
      <c r="D58" s="14" t="n"/>
      <c r="E58" s="14" t="n"/>
      <c r="F58" s="14" t="n"/>
      <c r="G58" s="14" t="n"/>
      <c r="H58" s="14" t="n"/>
      <c r="I58" s="30" t="n"/>
      <c r="J58" s="30" t="n"/>
      <c r="K58" s="14" t="n"/>
      <c r="L58" s="14" t="n"/>
    </row>
    <row r="59" ht="22" customHeight="1">
      <c r="B59" s="17">
        <f>IF(C59="","MOB-"&amp;TEXT(COUNTA($C$5:C59),"000"))</f>
        <v/>
      </c>
      <c r="C59" s="12" t="n"/>
      <c r="D59" s="12" t="n"/>
      <c r="E59" s="12" t="n"/>
      <c r="F59" s="12" t="n"/>
      <c r="G59" s="12" t="n"/>
      <c r="H59" s="12" t="n"/>
      <c r="I59" s="29" t="n"/>
      <c r="J59" s="29" t="n"/>
      <c r="K59" s="12" t="n"/>
      <c r="L59" s="12" t="n"/>
    </row>
    <row r="60" ht="22" customHeight="1">
      <c r="B60" s="16">
        <f>IF(C60="","MOB-"&amp;TEXT(COUNTA($C$5:C60),"000"))</f>
        <v/>
      </c>
      <c r="C60" s="14" t="n"/>
      <c r="D60" s="14" t="n"/>
      <c r="E60" s="14" t="n"/>
      <c r="F60" s="14" t="n"/>
      <c r="G60" s="14" t="n"/>
      <c r="H60" s="14" t="n"/>
      <c r="I60" s="30" t="n"/>
      <c r="J60" s="30" t="n"/>
      <c r="K60" s="14" t="n"/>
      <c r="L60" s="14" t="n"/>
    </row>
    <row r="61" ht="22" customHeight="1">
      <c r="B61" s="17">
        <f>IF(C61="","MOB-"&amp;TEXT(COUNTA($C$5:C61),"000"))</f>
        <v/>
      </c>
      <c r="C61" s="12" t="n"/>
      <c r="D61" s="12" t="n"/>
      <c r="E61" s="12" t="n"/>
      <c r="F61" s="12" t="n"/>
      <c r="G61" s="12" t="n"/>
      <c r="H61" s="12" t="n"/>
      <c r="I61" s="29" t="n"/>
      <c r="J61" s="29" t="n"/>
      <c r="K61" s="12" t="n"/>
      <c r="L61" s="12" t="n"/>
    </row>
    <row r="62" ht="22" customHeight="1">
      <c r="B62" s="16">
        <f>IF(C62="","MOB-"&amp;TEXT(COUNTA($C$5:C62),"000"))</f>
        <v/>
      </c>
      <c r="C62" s="14" t="n"/>
      <c r="D62" s="14" t="n"/>
      <c r="E62" s="14" t="n"/>
      <c r="F62" s="14" t="n"/>
      <c r="G62" s="14" t="n"/>
      <c r="H62" s="14" t="n"/>
      <c r="I62" s="30" t="n"/>
      <c r="J62" s="30" t="n"/>
      <c r="K62" s="14" t="n"/>
      <c r="L62" s="14" t="n"/>
    </row>
    <row r="63" ht="22" customHeight="1">
      <c r="B63" s="17">
        <f>IF(C63="","MOB-"&amp;TEXT(COUNTA($C$5:C63),"000"))</f>
        <v/>
      </c>
      <c r="C63" s="12" t="n"/>
      <c r="D63" s="12" t="n"/>
      <c r="E63" s="12" t="n"/>
      <c r="F63" s="12" t="n"/>
      <c r="G63" s="12" t="n"/>
      <c r="H63" s="12" t="n"/>
      <c r="I63" s="29" t="n"/>
      <c r="J63" s="29" t="n"/>
      <c r="K63" s="12" t="n"/>
      <c r="L63" s="12" t="n"/>
    </row>
    <row r="64" ht="22" customHeight="1">
      <c r="B64" s="16">
        <f>IF(C64="","MOB-"&amp;TEXT(COUNTA($C$5:C64),"000"))</f>
        <v/>
      </c>
      <c r="C64" s="14" t="n"/>
      <c r="D64" s="14" t="n"/>
      <c r="E64" s="14" t="n"/>
      <c r="F64" s="14" t="n"/>
      <c r="G64" s="14" t="n"/>
      <c r="H64" s="14" t="n"/>
      <c r="I64" s="30" t="n"/>
      <c r="J64" s="30" t="n"/>
      <c r="K64" s="14" t="n"/>
      <c r="L64" s="14" t="n"/>
    </row>
    <row r="65" ht="22" customHeight="1">
      <c r="B65" s="17">
        <f>IF(C65="","MOB-"&amp;TEXT(COUNTA($C$5:C65),"000"))</f>
        <v/>
      </c>
      <c r="C65" s="12" t="n"/>
      <c r="D65" s="12" t="n"/>
      <c r="E65" s="12" t="n"/>
      <c r="F65" s="12" t="n"/>
      <c r="G65" s="12" t="n"/>
      <c r="H65" s="12" t="n"/>
      <c r="I65" s="29" t="n"/>
      <c r="J65" s="29" t="n"/>
      <c r="K65" s="12" t="n"/>
      <c r="L65" s="12" t="n"/>
    </row>
    <row r="66" ht="22" customHeight="1">
      <c r="B66" s="16">
        <f>IF(C66="","MOB-"&amp;TEXT(COUNTA($C$5:C66),"000"))</f>
        <v/>
      </c>
      <c r="C66" s="14" t="n"/>
      <c r="D66" s="14" t="n"/>
      <c r="E66" s="14" t="n"/>
      <c r="F66" s="14" t="n"/>
      <c r="G66" s="14" t="n"/>
      <c r="H66" s="14" t="n"/>
      <c r="I66" s="30" t="n"/>
      <c r="J66" s="30" t="n"/>
      <c r="K66" s="14" t="n"/>
      <c r="L66" s="14" t="n"/>
    </row>
    <row r="67" ht="22" customHeight="1">
      <c r="B67" s="17">
        <f>IF(C67="","MOB-"&amp;TEXT(COUNTA($C$5:C67),"000"))</f>
        <v/>
      </c>
      <c r="C67" s="12" t="n"/>
      <c r="D67" s="12" t="n"/>
      <c r="E67" s="12" t="n"/>
      <c r="F67" s="12" t="n"/>
      <c r="G67" s="12" t="n"/>
      <c r="H67" s="12" t="n"/>
      <c r="I67" s="29" t="n"/>
      <c r="J67" s="29" t="n"/>
      <c r="K67" s="12" t="n"/>
      <c r="L67" s="12" t="n"/>
    </row>
    <row r="68" ht="22" customHeight="1">
      <c r="B68" s="16">
        <f>IF(C68="","MOB-"&amp;TEXT(COUNTA($C$5:C68),"000"))</f>
        <v/>
      </c>
      <c r="C68" s="14" t="n"/>
      <c r="D68" s="14" t="n"/>
      <c r="E68" s="14" t="n"/>
      <c r="F68" s="14" t="n"/>
      <c r="G68" s="14" t="n"/>
      <c r="H68" s="14" t="n"/>
      <c r="I68" s="30" t="n"/>
      <c r="J68" s="30" t="n"/>
      <c r="K68" s="14" t="n"/>
      <c r="L68" s="14" t="n"/>
    </row>
    <row r="69" ht="22" customHeight="1">
      <c r="B69" s="17">
        <f>IF(C69="","MOB-"&amp;TEXT(COUNTA($C$5:C69),"000"))</f>
        <v/>
      </c>
      <c r="C69" s="12" t="n"/>
      <c r="D69" s="12" t="n"/>
      <c r="E69" s="12" t="n"/>
      <c r="F69" s="12" t="n"/>
      <c r="G69" s="12" t="n"/>
      <c r="H69" s="12" t="n"/>
      <c r="I69" s="29" t="n"/>
      <c r="J69" s="29" t="n"/>
      <c r="K69" s="12" t="n"/>
      <c r="L69" s="12" t="n"/>
    </row>
    <row r="70" ht="22" customHeight="1">
      <c r="B70" s="16">
        <f>IF(C70="","MOB-"&amp;TEXT(COUNTA($C$5:C70),"000"))</f>
        <v/>
      </c>
      <c r="C70" s="14" t="n"/>
      <c r="D70" s="14" t="n"/>
      <c r="E70" s="14" t="n"/>
      <c r="F70" s="14" t="n"/>
      <c r="G70" s="14" t="n"/>
      <c r="H70" s="14" t="n"/>
      <c r="I70" s="30" t="n"/>
      <c r="J70" s="30" t="n"/>
      <c r="K70" s="14" t="n"/>
      <c r="L70" s="14" t="n"/>
    </row>
    <row r="71" ht="22" customHeight="1">
      <c r="B71" s="17">
        <f>IF(C71="","MOB-"&amp;TEXT(COUNTA($C$5:C71),"000"))</f>
        <v/>
      </c>
      <c r="C71" s="12" t="n"/>
      <c r="D71" s="12" t="n"/>
      <c r="E71" s="12" t="n"/>
      <c r="F71" s="12" t="n"/>
      <c r="G71" s="12" t="n"/>
      <c r="H71" s="12" t="n"/>
      <c r="I71" s="29" t="n"/>
      <c r="J71" s="29" t="n"/>
      <c r="K71" s="12" t="n"/>
      <c r="L71" s="12" t="n"/>
    </row>
    <row r="72" ht="22" customHeight="1">
      <c r="B72" s="16">
        <f>IF(C72="","MOB-"&amp;TEXT(COUNTA($C$5:C72),"000"))</f>
        <v/>
      </c>
      <c r="C72" s="14" t="n"/>
      <c r="D72" s="14" t="n"/>
      <c r="E72" s="14" t="n"/>
      <c r="F72" s="14" t="n"/>
      <c r="G72" s="14" t="n"/>
      <c r="H72" s="14" t="n"/>
      <c r="I72" s="30" t="n"/>
      <c r="J72" s="30" t="n"/>
      <c r="K72" s="14" t="n"/>
      <c r="L72" s="14" t="n"/>
    </row>
    <row r="73" ht="22" customHeight="1">
      <c r="B73" s="17">
        <f>IF(C73="","MOB-"&amp;TEXT(COUNTA($C$5:C73),"000"))</f>
        <v/>
      </c>
      <c r="C73" s="12" t="n"/>
      <c r="D73" s="12" t="n"/>
      <c r="E73" s="12" t="n"/>
      <c r="F73" s="12" t="n"/>
      <c r="G73" s="12" t="n"/>
      <c r="H73" s="12" t="n"/>
      <c r="I73" s="29" t="n"/>
      <c r="J73" s="29" t="n"/>
      <c r="K73" s="12" t="n"/>
      <c r="L73" s="12" t="n"/>
    </row>
    <row r="74" ht="22" customHeight="1">
      <c r="B74" s="16">
        <f>IF(C74="","MOB-"&amp;TEXT(COUNTA($C$5:C74),"000"))</f>
        <v/>
      </c>
      <c r="C74" s="14" t="n"/>
      <c r="D74" s="14" t="n"/>
      <c r="E74" s="14" t="n"/>
      <c r="F74" s="14" t="n"/>
      <c r="G74" s="14" t="n"/>
      <c r="H74" s="14" t="n"/>
      <c r="I74" s="30" t="n"/>
      <c r="J74" s="30" t="n"/>
      <c r="K74" s="14" t="n"/>
      <c r="L74" s="14" t="n"/>
    </row>
    <row r="75" ht="22" customHeight="1">
      <c r="B75" s="17">
        <f>IF(C75="","MOB-"&amp;TEXT(COUNTA($C$5:C75),"000"))</f>
        <v/>
      </c>
      <c r="C75" s="12" t="n"/>
      <c r="D75" s="12" t="n"/>
      <c r="E75" s="12" t="n"/>
      <c r="F75" s="12" t="n"/>
      <c r="G75" s="12" t="n"/>
      <c r="H75" s="12" t="n"/>
      <c r="I75" s="29" t="n"/>
      <c r="J75" s="29" t="n"/>
      <c r="K75" s="12" t="n"/>
      <c r="L75" s="12" t="n"/>
    </row>
    <row r="76" ht="22" customHeight="1">
      <c r="B76" s="16">
        <f>IF(C76="","MOB-"&amp;TEXT(COUNTA($C$5:C76),"000"))</f>
        <v/>
      </c>
      <c r="C76" s="14" t="n"/>
      <c r="D76" s="14" t="n"/>
      <c r="E76" s="14" t="n"/>
      <c r="F76" s="14" t="n"/>
      <c r="G76" s="14" t="n"/>
      <c r="H76" s="14" t="n"/>
      <c r="I76" s="30" t="n"/>
      <c r="J76" s="30" t="n"/>
      <c r="K76" s="14" t="n"/>
      <c r="L76" s="14" t="n"/>
    </row>
    <row r="77" ht="22" customHeight="1">
      <c r="B77" s="17">
        <f>IF(C77="","MOB-"&amp;TEXT(COUNTA($C$5:C77),"000"))</f>
        <v/>
      </c>
      <c r="C77" s="12" t="n"/>
      <c r="D77" s="12" t="n"/>
      <c r="E77" s="12" t="n"/>
      <c r="F77" s="12" t="n"/>
      <c r="G77" s="12" t="n"/>
      <c r="H77" s="12" t="n"/>
      <c r="I77" s="29" t="n"/>
      <c r="J77" s="29" t="n"/>
      <c r="K77" s="12" t="n"/>
      <c r="L77" s="12" t="n"/>
    </row>
    <row r="78" ht="22" customHeight="1">
      <c r="B78" s="16">
        <f>IF(C78="","MOB-"&amp;TEXT(COUNTA($C$5:C78),"000"))</f>
        <v/>
      </c>
      <c r="C78" s="14" t="n"/>
      <c r="D78" s="14" t="n"/>
      <c r="E78" s="14" t="n"/>
      <c r="F78" s="14" t="n"/>
      <c r="G78" s="14" t="n"/>
      <c r="H78" s="14" t="n"/>
      <c r="I78" s="30" t="n"/>
      <c r="J78" s="30" t="n"/>
      <c r="K78" s="14" t="n"/>
      <c r="L78" s="14" t="n"/>
    </row>
    <row r="79" ht="22" customHeight="1">
      <c r="B79" s="17">
        <f>IF(C79="","MOB-"&amp;TEXT(COUNTA($C$5:C79),"000"))</f>
        <v/>
      </c>
      <c r="C79" s="12" t="n"/>
      <c r="D79" s="12" t="n"/>
      <c r="E79" s="12" t="n"/>
      <c r="F79" s="12" t="n"/>
      <c r="G79" s="12" t="n"/>
      <c r="H79" s="12" t="n"/>
      <c r="I79" s="29" t="n"/>
      <c r="J79" s="29" t="n"/>
      <c r="K79" s="12" t="n"/>
      <c r="L79" s="12" t="n"/>
    </row>
    <row r="80" ht="22" customHeight="1">
      <c r="B80" s="16">
        <f>IF(C80="","MOB-"&amp;TEXT(COUNTA($C$5:C80),"000"))</f>
        <v/>
      </c>
      <c r="C80" s="14" t="n"/>
      <c r="D80" s="14" t="n"/>
      <c r="E80" s="14" t="n"/>
      <c r="F80" s="14" t="n"/>
      <c r="G80" s="14" t="n"/>
      <c r="H80" s="14" t="n"/>
      <c r="I80" s="30" t="n"/>
      <c r="J80" s="30" t="n"/>
      <c r="K80" s="14" t="n"/>
      <c r="L80" s="14" t="n"/>
    </row>
    <row r="81" ht="22" customHeight="1">
      <c r="B81" s="17">
        <f>IF(C81="","MOB-"&amp;TEXT(COUNTA($C$5:C81),"000"))</f>
        <v/>
      </c>
      <c r="C81" s="12" t="n"/>
      <c r="D81" s="12" t="n"/>
      <c r="E81" s="12" t="n"/>
      <c r="F81" s="12" t="n"/>
      <c r="G81" s="12" t="n"/>
      <c r="H81" s="12" t="n"/>
      <c r="I81" s="29" t="n"/>
      <c r="J81" s="29" t="n"/>
      <c r="K81" s="12" t="n"/>
      <c r="L81" s="12" t="n"/>
    </row>
    <row r="82" ht="22" customHeight="1">
      <c r="B82" s="16">
        <f>IF(C82="","MOB-"&amp;TEXT(COUNTA($C$5:C82),"000"))</f>
        <v/>
      </c>
      <c r="C82" s="14" t="n"/>
      <c r="D82" s="14" t="n"/>
      <c r="E82" s="14" t="n"/>
      <c r="F82" s="14" t="n"/>
      <c r="G82" s="14" t="n"/>
      <c r="H82" s="14" t="n"/>
      <c r="I82" s="30" t="n"/>
      <c r="J82" s="30" t="n"/>
      <c r="K82" s="14" t="n"/>
      <c r="L82" s="14" t="n"/>
    </row>
    <row r="83" ht="22" customHeight="1">
      <c r="B83" s="17">
        <f>IF(C83="","MOB-"&amp;TEXT(COUNTA($C$5:C83),"000"))</f>
        <v/>
      </c>
      <c r="C83" s="12" t="n"/>
      <c r="D83" s="12" t="n"/>
      <c r="E83" s="12" t="n"/>
      <c r="F83" s="12" t="n"/>
      <c r="G83" s="12" t="n"/>
      <c r="H83" s="12" t="n"/>
      <c r="I83" s="29" t="n"/>
      <c r="J83" s="29" t="n"/>
      <c r="K83" s="12" t="n"/>
      <c r="L83" s="12" t="n"/>
    </row>
    <row r="84" ht="22" customHeight="1">
      <c r="B84" s="16">
        <f>IF(C84="","MOB-"&amp;TEXT(COUNTA($C$5:C84),"000"))</f>
        <v/>
      </c>
      <c r="C84" s="14" t="n"/>
      <c r="D84" s="14" t="n"/>
      <c r="E84" s="14" t="n"/>
      <c r="F84" s="14" t="n"/>
      <c r="G84" s="14" t="n"/>
      <c r="H84" s="14" t="n"/>
      <c r="I84" s="30" t="n"/>
      <c r="J84" s="30" t="n"/>
      <c r="K84" s="14" t="n"/>
      <c r="L84" s="14" t="n"/>
    </row>
    <row r="85" ht="22" customHeight="1">
      <c r="B85" s="17">
        <f>IF(C85="","MOB-"&amp;TEXT(COUNTA($C$5:C85),"000"))</f>
        <v/>
      </c>
      <c r="C85" s="12" t="n"/>
      <c r="D85" s="12" t="n"/>
      <c r="E85" s="12" t="n"/>
      <c r="F85" s="12" t="n"/>
      <c r="G85" s="12" t="n"/>
      <c r="H85" s="12" t="n"/>
      <c r="I85" s="29" t="n"/>
      <c r="J85" s="29" t="n"/>
      <c r="K85" s="12" t="n"/>
      <c r="L85" s="12" t="n"/>
    </row>
    <row r="86" ht="22" customHeight="1">
      <c r="B86" s="16">
        <f>IF(C86="","MOB-"&amp;TEXT(COUNTA($C$5:C86),"000"))</f>
        <v/>
      </c>
      <c r="C86" s="14" t="n"/>
      <c r="D86" s="14" t="n"/>
      <c r="E86" s="14" t="n"/>
      <c r="F86" s="14" t="n"/>
      <c r="G86" s="14" t="n"/>
      <c r="H86" s="14" t="n"/>
      <c r="I86" s="30" t="n"/>
      <c r="J86" s="30" t="n"/>
      <c r="K86" s="14" t="n"/>
      <c r="L86" s="14" t="n"/>
    </row>
    <row r="87" ht="22" customHeight="1">
      <c r="B87" s="17">
        <f>IF(C87="","MOB-"&amp;TEXT(COUNTA($C$5:C87),"000"))</f>
        <v/>
      </c>
      <c r="C87" s="12" t="n"/>
      <c r="D87" s="12" t="n"/>
      <c r="E87" s="12" t="n"/>
      <c r="F87" s="12" t="n"/>
      <c r="G87" s="12" t="n"/>
      <c r="H87" s="12" t="n"/>
      <c r="I87" s="29" t="n"/>
      <c r="J87" s="29" t="n"/>
      <c r="K87" s="12" t="n"/>
      <c r="L87" s="12" t="n"/>
    </row>
    <row r="88" ht="22" customHeight="1">
      <c r="B88" s="16">
        <f>IF(C88="","MOB-"&amp;TEXT(COUNTA($C$5:C88),"000"))</f>
        <v/>
      </c>
      <c r="C88" s="14" t="n"/>
      <c r="D88" s="14" t="n"/>
      <c r="E88" s="14" t="n"/>
      <c r="F88" s="14" t="n"/>
      <c r="G88" s="14" t="n"/>
      <c r="H88" s="14" t="n"/>
      <c r="I88" s="30" t="n"/>
      <c r="J88" s="30" t="n"/>
      <c r="K88" s="14" t="n"/>
      <c r="L88" s="14" t="n"/>
    </row>
    <row r="89" ht="22" customHeight="1">
      <c r="B89" s="17">
        <f>IF(C89="","MOB-"&amp;TEXT(COUNTA($C$5:C89),"000"))</f>
        <v/>
      </c>
      <c r="C89" s="12" t="n"/>
      <c r="D89" s="12" t="n"/>
      <c r="E89" s="12" t="n"/>
      <c r="F89" s="12" t="n"/>
      <c r="G89" s="12" t="n"/>
      <c r="H89" s="12" t="n"/>
      <c r="I89" s="29" t="n"/>
      <c r="J89" s="29" t="n"/>
      <c r="K89" s="12" t="n"/>
      <c r="L89" s="12" t="n"/>
    </row>
    <row r="90" ht="22" customHeight="1">
      <c r="B90" s="16">
        <f>IF(C90="","MOB-"&amp;TEXT(COUNTA($C$5:C90),"000"))</f>
        <v/>
      </c>
      <c r="C90" s="14" t="n"/>
      <c r="D90" s="14" t="n"/>
      <c r="E90" s="14" t="n"/>
      <c r="F90" s="14" t="n"/>
      <c r="G90" s="14" t="n"/>
      <c r="H90" s="14" t="n"/>
      <c r="I90" s="30" t="n"/>
      <c r="J90" s="30" t="n"/>
      <c r="K90" s="14" t="n"/>
      <c r="L90" s="14" t="n"/>
    </row>
    <row r="91" ht="22" customHeight="1">
      <c r="B91" s="17">
        <f>IF(C91="","MOB-"&amp;TEXT(COUNTA($C$5:C91),"000"))</f>
        <v/>
      </c>
      <c r="C91" s="12" t="n"/>
      <c r="D91" s="12" t="n"/>
      <c r="E91" s="12" t="n"/>
      <c r="F91" s="12" t="n"/>
      <c r="G91" s="12" t="n"/>
      <c r="H91" s="12" t="n"/>
      <c r="I91" s="29" t="n"/>
      <c r="J91" s="29" t="n"/>
      <c r="K91" s="12" t="n"/>
      <c r="L91" s="12" t="n"/>
    </row>
    <row r="92" ht="22" customHeight="1">
      <c r="B92" s="16">
        <f>IF(C92="","MOB-"&amp;TEXT(COUNTA($C$5:C92),"000"))</f>
        <v/>
      </c>
      <c r="C92" s="14" t="n"/>
      <c r="D92" s="14" t="n"/>
      <c r="E92" s="14" t="n"/>
      <c r="F92" s="14" t="n"/>
      <c r="G92" s="14" t="n"/>
      <c r="H92" s="14" t="n"/>
      <c r="I92" s="30" t="n"/>
      <c r="J92" s="30" t="n"/>
      <c r="K92" s="14" t="n"/>
      <c r="L92" s="14" t="n"/>
    </row>
    <row r="93" ht="22" customHeight="1">
      <c r="B93" s="17">
        <f>IF(C93="","MOB-"&amp;TEXT(COUNTA($C$5:C93),"000"))</f>
        <v/>
      </c>
      <c r="C93" s="12" t="n"/>
      <c r="D93" s="12" t="n"/>
      <c r="E93" s="12" t="n"/>
      <c r="F93" s="12" t="n"/>
      <c r="G93" s="12" t="n"/>
      <c r="H93" s="12" t="n"/>
      <c r="I93" s="29" t="n"/>
      <c r="J93" s="29" t="n"/>
      <c r="K93" s="12" t="n"/>
      <c r="L93" s="12" t="n"/>
    </row>
    <row r="94" ht="22" customHeight="1">
      <c r="B94" s="16">
        <f>IF(C94="","MOB-"&amp;TEXT(COUNTA($C$5:C94),"000"))</f>
        <v/>
      </c>
      <c r="C94" s="14" t="n"/>
      <c r="D94" s="14" t="n"/>
      <c r="E94" s="14" t="n"/>
      <c r="F94" s="14" t="n"/>
      <c r="G94" s="14" t="n"/>
      <c r="H94" s="14" t="n"/>
      <c r="I94" s="30" t="n"/>
      <c r="J94" s="30" t="n"/>
      <c r="K94" s="14" t="n"/>
      <c r="L94" s="14" t="n"/>
    </row>
    <row r="95" ht="22" customHeight="1">
      <c r="B95" s="17">
        <f>IF(C95="","MOB-"&amp;TEXT(COUNTA($C$5:C95),"000"))</f>
        <v/>
      </c>
      <c r="C95" s="12" t="n"/>
      <c r="D95" s="12" t="n"/>
      <c r="E95" s="12" t="n"/>
      <c r="F95" s="12" t="n"/>
      <c r="G95" s="12" t="n"/>
      <c r="H95" s="12" t="n"/>
      <c r="I95" s="29" t="n"/>
      <c r="J95" s="29" t="n"/>
      <c r="K95" s="12" t="n"/>
      <c r="L95" s="12" t="n"/>
    </row>
    <row r="96" ht="22" customHeight="1">
      <c r="B96" s="16">
        <f>IF(C96="","MOB-"&amp;TEXT(COUNTA($C$5:C96),"000"))</f>
        <v/>
      </c>
      <c r="C96" s="14" t="n"/>
      <c r="D96" s="14" t="n"/>
      <c r="E96" s="14" t="n"/>
      <c r="F96" s="14" t="n"/>
      <c r="G96" s="14" t="n"/>
      <c r="H96" s="14" t="n"/>
      <c r="I96" s="30" t="n"/>
      <c r="J96" s="30" t="n"/>
      <c r="K96" s="14" t="n"/>
      <c r="L96" s="14" t="n"/>
    </row>
    <row r="97" ht="22" customHeight="1">
      <c r="B97" s="17">
        <f>IF(C97="","MOB-"&amp;TEXT(COUNTA($C$5:C97),"000"))</f>
        <v/>
      </c>
      <c r="C97" s="12" t="n"/>
      <c r="D97" s="12" t="n"/>
      <c r="E97" s="12" t="n"/>
      <c r="F97" s="12" t="n"/>
      <c r="G97" s="12" t="n"/>
      <c r="H97" s="12" t="n"/>
      <c r="I97" s="29" t="n"/>
      <c r="J97" s="29" t="n"/>
      <c r="K97" s="12" t="n"/>
      <c r="L97" s="12" t="n"/>
    </row>
    <row r="98" ht="22" customHeight="1">
      <c r="B98" s="16">
        <f>IF(C98="","MOB-"&amp;TEXT(COUNTA($C$5:C98),"000"))</f>
        <v/>
      </c>
      <c r="C98" s="14" t="n"/>
      <c r="D98" s="14" t="n"/>
      <c r="E98" s="14" t="n"/>
      <c r="F98" s="14" t="n"/>
      <c r="G98" s="14" t="n"/>
      <c r="H98" s="14" t="n"/>
      <c r="I98" s="30" t="n"/>
      <c r="J98" s="30" t="n"/>
      <c r="K98" s="14" t="n"/>
      <c r="L98" s="14" t="n"/>
    </row>
    <row r="99" ht="22" customHeight="1">
      <c r="B99" s="17">
        <f>IF(C99="","MOB-"&amp;TEXT(COUNTA($C$5:C99),"000"))</f>
        <v/>
      </c>
      <c r="C99" s="12" t="n"/>
      <c r="D99" s="12" t="n"/>
      <c r="E99" s="12" t="n"/>
      <c r="F99" s="12" t="n"/>
      <c r="G99" s="12" t="n"/>
      <c r="H99" s="12" t="n"/>
      <c r="I99" s="29" t="n"/>
      <c r="J99" s="29" t="n"/>
      <c r="K99" s="12" t="n"/>
      <c r="L99" s="12" t="n"/>
    </row>
    <row r="100" ht="22" customHeight="1">
      <c r="B100" s="16">
        <f>IF(C100="","MOB-"&amp;TEXT(COUNTA($C$5:C100),"000"))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30" t="n"/>
      <c r="J100" s="30" t="n"/>
      <c r="K100" s="14" t="n"/>
      <c r="L100" s="14" t="n"/>
    </row>
    <row r="101" ht="22" customHeight="1">
      <c r="B101" s="17">
        <f>IF(C101="","MOB-"&amp;TEXT(COUNTA($C$5:C101),"000"))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29" t="n"/>
      <c r="J101" s="29" t="n"/>
      <c r="K101" s="12" t="n"/>
      <c r="L101" s="12" t="n"/>
    </row>
    <row r="102" ht="22" customHeight="1">
      <c r="B102" s="16">
        <f>IF(C102="","MOB-"&amp;TEXT(COUNTA($C$5:C102),"000"))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30" t="n"/>
      <c r="J102" s="30" t="n"/>
      <c r="K102" s="14" t="n"/>
      <c r="L102" s="14" t="n"/>
    </row>
    <row r="103" ht="22" customHeight="1">
      <c r="B103" s="17">
        <f>IF(C103="","MOB-"&amp;TEXT(COUNTA($C$5:C103),"000"))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29" t="n"/>
      <c r="J103" s="29" t="n"/>
      <c r="K103" s="12" t="n"/>
      <c r="L103" s="12" t="n"/>
    </row>
    <row r="104" ht="22" customHeight="1">
      <c r="B104" s="16">
        <f>IF(C104="","MOB-"&amp;TEXT(COUNTA($C$5:C104),"000"))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30" t="n"/>
      <c r="J104" s="30" t="n"/>
      <c r="K104" s="14" t="n"/>
      <c r="L104" s="14" t="n"/>
    </row>
    <row r="105" ht="22" customHeight="1">
      <c r="B105" s="17">
        <f>IF(C105="","MOB-"&amp;TEXT(COUNTA($C$5:C105),"000"))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29" t="n"/>
      <c r="J105" s="29" t="n"/>
      <c r="K105" s="12" t="n"/>
      <c r="L105" s="12" t="n"/>
    </row>
    <row r="106" ht="22" customHeight="1">
      <c r="B106" s="16">
        <f>IF(C106="","MOB-"&amp;TEXT(COUNTA($C$5:C106),"000"))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30" t="n"/>
      <c r="J106" s="30" t="n"/>
      <c r="K106" s="14" t="n"/>
      <c r="L106" s="14" t="n"/>
    </row>
    <row r="107" ht="22" customHeight="1">
      <c r="B107" s="17">
        <f>IF(C107="","MOB-"&amp;TEXT(COUNTA($C$5:C107),"000"))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29" t="n"/>
      <c r="J107" s="29" t="n"/>
      <c r="K107" s="12" t="n"/>
      <c r="L107" s="12" t="n"/>
    </row>
    <row r="108" ht="22" customHeight="1">
      <c r="B108" s="16">
        <f>IF(C108="","MOB-"&amp;TEXT(COUNTA($C$5:C108),"000"))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30" t="n"/>
      <c r="J108" s="30" t="n"/>
      <c r="K108" s="14" t="n"/>
      <c r="L108" s="14" t="n"/>
    </row>
    <row r="109" ht="22" customHeight="1">
      <c r="B109" s="17">
        <f>IF(C109="","MOB-"&amp;TEXT(COUNTA($C$5:C109),"000"))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29" t="n"/>
      <c r="J109" s="29" t="n"/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Mobilites</t>
        </is>
      </c>
      <c r="D112" s="3" t="inlineStr">
        <is>
          <t>Realisees</t>
        </is>
      </c>
      <c r="F112" s="3" t="inlineStr">
        <is>
          <t>En cours</t>
        </is>
      </c>
      <c r="H112" s="3" t="inlineStr">
        <is>
          <t>Promotions</t>
        </is>
      </c>
    </row>
    <row r="113">
      <c r="B113" s="4">
        <f>COUNTIF(B5:B104,"&lt;&gt;")</f>
        <v/>
      </c>
      <c r="D113" s="4">
        <f>COUNTIF(K5:K104,"Realise")</f>
        <v/>
      </c>
      <c r="F113" s="4">
        <f>COUNTIF(K5:K104,"En cours")</f>
        <v/>
      </c>
      <c r="H113" s="4">
        <f>COUNTIF(H5:H104,"Promotion")</f>
        <v/>
      </c>
    </row>
  </sheetData>
  <mergeCells count="3">
    <mergeCell ref="B2:L2"/>
    <mergeCell ref="B111:L111"/>
    <mergeCell ref="B3:L3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6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H5:H109" showDropDown="0" showInputMessage="0" showErrorMessage="0" allowBlank="1" errorTitle="Erreur" error="Valeur invalide" promptTitle="Liste" prompt="Choisir dans la liste" type="list">
      <formula1>'_Lists'!$G$2:$G$6</formula1>
    </dataValidation>
    <dataValidation sqref="K5:K109" showDropDown="0" showInputMessage="0" showErrorMessage="0" allowBlank="1" errorTitle="Erreur" error="Valeur invalide" promptTitle="Liste" prompt="Choisir dans la liste" type="list">
      <formula1>'_Lists'!$H$2:$H$7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2" customWidth="1" min="4" max="4"/>
    <col width="20" customWidth="1" min="5" max="5"/>
    <col width="24" customWidth="1" min="6" max="6"/>
    <col width="16" customWidth="1" min="7" max="7"/>
    <col width="14" customWidth="1" min="8" max="8"/>
    <col width="34" customWidth="1" min="9" max="9"/>
    <col width="32" customWidth="1" min="10" max="10"/>
    <col width="18" customWidth="1" min="11" max="11"/>
    <col width="20" customWidth="1" min="12" max="12"/>
  </cols>
  <sheetData>
    <row r="1" ht="15" customHeight="1"/>
    <row r="2" ht="32" customHeight="1">
      <c r="B2" s="1" t="inlineStr">
        <is>
          <t>SUCCESSEURS &amp; RELÈVE (#110)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Cle</t>
        </is>
      </c>
      <c r="D4" s="11" t="inlineStr">
        <is>
          <t>Titulaire Actuel</t>
        </is>
      </c>
      <c r="E4" s="11" t="inlineStr">
        <is>
          <t>Successeur Designe</t>
        </is>
      </c>
      <c r="F4" s="11" t="inlineStr">
        <is>
          <t>Departement</t>
        </is>
      </c>
      <c r="G4" s="11" t="inlineStr">
        <is>
          <t>Niveau de Pret</t>
        </is>
      </c>
      <c r="H4" s="11" t="inlineStr">
        <is>
          <t>Date Evaluation</t>
        </is>
      </c>
      <c r="I4" s="11" t="inlineStr">
        <is>
          <t>Ecart Competences</t>
        </is>
      </c>
      <c r="J4" s="11" t="inlineStr">
        <is>
          <t>Plan de Developp.</t>
        </is>
      </c>
      <c r="K4" s="11" t="inlineStr">
        <is>
          <t>Statut</t>
        </is>
      </c>
      <c r="L4" s="11" t="inlineStr">
        <is>
          <t>Date Prev. Prise Poste</t>
        </is>
      </c>
    </row>
    <row r="5" ht="22" customHeight="1">
      <c r="B5" s="12" t="inlineStr">
        <is>
          <t>REL-001</t>
        </is>
      </c>
      <c r="C5" s="12" t="inlineStr">
        <is>
          <t>Chef Reception</t>
        </is>
      </c>
      <c r="D5" s="12" t="inlineStr">
        <is>
          <t>Nkoulou Mbarga P.</t>
        </is>
      </c>
      <c r="E5" s="12" t="inlineStr">
        <is>
          <t>Nganou D.</t>
        </is>
      </c>
      <c r="F5" s="12" t="inlineStr">
        <is>
          <t>Réception &amp; Front Office</t>
        </is>
      </c>
      <c r="G5" s="12" t="inlineStr">
        <is>
          <t>En formation</t>
        </is>
      </c>
      <c r="H5" s="29" t="n">
        <v>45792</v>
      </c>
      <c r="I5" s="12" t="inlineStr">
        <is>
          <t>Management, Revenue Mgmt</t>
        </is>
      </c>
      <c r="J5" s="12" t="inlineStr">
        <is>
          <t>Coaching + Formation Opera PMS</t>
        </is>
      </c>
      <c r="K5" s="12" t="inlineStr">
        <is>
          <t>En formation</t>
        </is>
      </c>
      <c r="L5" s="29" t="n">
        <v>46174</v>
      </c>
    </row>
    <row r="6" ht="22" customHeight="1">
      <c r="B6" s="14" t="inlineStr">
        <is>
          <t>REL-002</t>
        </is>
      </c>
      <c r="C6" s="14" t="inlineStr">
        <is>
          <t>Chef Cuisine</t>
        </is>
      </c>
      <c r="D6" s="14" t="inlineStr">
        <is>
          <t>Biyong Jean M.</t>
        </is>
      </c>
      <c r="E6" s="14" t="inlineStr">
        <is>
          <t>Fotsing Aude R.</t>
        </is>
      </c>
      <c r="F6" s="14" t="inlineStr">
        <is>
          <t>Cuisine &amp; Restauration</t>
        </is>
      </c>
      <c r="G6" s="14" t="inlineStr">
        <is>
          <t>En formation</t>
        </is>
      </c>
      <c r="H6" s="30" t="n">
        <v>45767</v>
      </c>
      <c r="I6" s="14" t="inlineStr">
        <is>
          <t>Gestion budget cuisine, creativity menu</t>
        </is>
      </c>
      <c r="J6" s="14" t="inlineStr">
        <is>
          <t>HACCP niv.3 + Stages externes</t>
        </is>
      </c>
      <c r="K6" s="14" t="inlineStr">
        <is>
          <t>En formation</t>
        </is>
      </c>
      <c r="L6" s="30" t="n">
        <v>46204</v>
      </c>
    </row>
    <row r="7" ht="22" customHeight="1">
      <c r="B7" s="12" t="inlineStr">
        <is>
          <t>REL-003</t>
        </is>
      </c>
      <c r="C7" s="12" t="inlineStr">
        <is>
          <t>DRH</t>
        </is>
      </c>
      <c r="D7" s="12" t="inlineStr">
        <is>
          <t>Fotso M.</t>
        </is>
      </c>
      <c r="E7" s="12" t="inlineStr">
        <is>
          <t>Assistante RH Ngo M.</t>
        </is>
      </c>
      <c r="F7" s="12" t="inlineStr">
        <is>
          <t>Service Client</t>
        </is>
      </c>
      <c r="G7" s="12" t="inlineStr">
        <is>
          <t>Candidat identifie</t>
        </is>
      </c>
      <c r="H7" s="29" t="n">
        <v>45809</v>
      </c>
      <c r="I7" s="12" t="inlineStr">
        <is>
          <t>Droit travail avance, paie, relations sociales</t>
        </is>
      </c>
      <c r="J7" s="12" t="inlineStr">
        <is>
          <t>Formation DRH adjoint + tutorat</t>
        </is>
      </c>
      <c r="K7" s="12" t="inlineStr">
        <is>
          <t>Candidat identifie</t>
        </is>
      </c>
      <c r="L7" s="29" t="n">
        <v>46388</v>
      </c>
    </row>
    <row r="8" ht="22" customHeight="1">
      <c r="B8" s="14" t="inlineStr">
        <is>
          <t>REL-004</t>
        </is>
      </c>
      <c r="C8" s="14" t="inlineStr">
        <is>
          <t>Chef Entretien</t>
        </is>
      </c>
      <c r="D8" s="14" t="inlineStr">
        <is>
          <t>Tchinda P.</t>
        </is>
      </c>
      <c r="E8" s="14" t="inlineStr">
        <is>
          <t>Fokam Ernest</t>
        </is>
      </c>
      <c r="F8" s="14" t="inlineStr">
        <is>
          <t>Maintenance</t>
        </is>
      </c>
      <c r="G8" s="14" t="inlineStr">
        <is>
          <t>En evaluation</t>
        </is>
      </c>
      <c r="H8" s="30" t="n">
        <v>45726</v>
      </c>
      <c r="I8" s="14" t="inlineStr">
        <is>
          <t>Technique CVC avance, gestion equipe</t>
        </is>
      </c>
      <c r="J8" s="14" t="inlineStr">
        <is>
          <t>Formation CVC + management</t>
        </is>
      </c>
      <c r="K8" s="14" t="inlineStr">
        <is>
          <t>En evaluation</t>
        </is>
      </c>
      <c r="L8" s="30" t="n">
        <v>46023</v>
      </c>
    </row>
    <row r="9" ht="22" customHeight="1">
      <c r="B9" s="12" t="inlineStr">
        <is>
          <t>REL-005</t>
        </is>
      </c>
      <c r="C9" s="12" t="inlineStr">
        <is>
          <t>Chef Securite</t>
        </is>
      </c>
      <c r="D9" s="12" t="inlineStr">
        <is>
          <t>Nganmeni J.</t>
        </is>
      </c>
      <c r="E9" s="12" t="inlineStr">
        <is>
          <t>Wouamba A.</t>
        </is>
      </c>
      <c r="F9" s="12" t="inlineStr">
        <is>
          <t>Sécurité</t>
        </is>
      </c>
      <c r="G9" s="12" t="inlineStr">
        <is>
          <t>En formation</t>
        </is>
      </c>
      <c r="H9" s="29" t="n">
        <v>45778</v>
      </c>
      <c r="I9" s="12" t="inlineStr">
        <is>
          <t>Gestion crise, securite incendie avance</t>
        </is>
      </c>
      <c r="J9" s="12" t="inlineStr">
        <is>
          <t>Formation securite hoteliere niveau 2</t>
        </is>
      </c>
      <c r="K9" s="12" t="inlineStr">
        <is>
          <t>En formation</t>
        </is>
      </c>
      <c r="L9" s="29" t="n">
        <v>46082</v>
      </c>
    </row>
    <row r="10" ht="22" customHeight="1">
      <c r="B10" s="16">
        <f>IF(C10="","REL-"&amp;TEXT(COUNTA($C$5:C10),"000"))</f>
        <v/>
      </c>
      <c r="C10" s="14" t="n"/>
      <c r="D10" s="14" t="n"/>
      <c r="E10" s="14" t="n"/>
      <c r="F10" s="14" t="n"/>
      <c r="G10" s="14" t="n"/>
      <c r="H10" s="30" t="n"/>
      <c r="I10" s="14" t="n"/>
      <c r="J10" s="14" t="n"/>
      <c r="K10" s="14" t="n"/>
      <c r="L10" s="30" t="n"/>
    </row>
    <row r="11" ht="22" customHeight="1">
      <c r="B11" s="17">
        <f>IF(C11="","REL-"&amp;TEXT(COUNTA($C$5:C11),"000"))</f>
        <v/>
      </c>
      <c r="C11" s="12" t="n"/>
      <c r="D11" s="12" t="n"/>
      <c r="E11" s="12" t="n"/>
      <c r="F11" s="12" t="n"/>
      <c r="G11" s="12" t="n"/>
      <c r="H11" s="29" t="n"/>
      <c r="I11" s="12" t="n"/>
      <c r="J11" s="12" t="n"/>
      <c r="K11" s="12" t="n"/>
      <c r="L11" s="29" t="n"/>
    </row>
    <row r="12" ht="22" customHeight="1">
      <c r="B12" s="16">
        <f>IF(C12="","REL-"&amp;TEXT(COUNTA($C$5:C12),"000"))</f>
        <v/>
      </c>
      <c r="C12" s="14" t="n"/>
      <c r="D12" s="14" t="n"/>
      <c r="E12" s="14" t="n"/>
      <c r="F12" s="14" t="n"/>
      <c r="G12" s="14" t="n"/>
      <c r="H12" s="30" t="n"/>
      <c r="I12" s="14" t="n"/>
      <c r="J12" s="14" t="n"/>
      <c r="K12" s="14" t="n"/>
      <c r="L12" s="30" t="n"/>
    </row>
    <row r="13" ht="22" customHeight="1">
      <c r="B13" s="17">
        <f>IF(C13="","REL-"&amp;TEXT(COUNTA($C$5:C13),"000"))</f>
        <v/>
      </c>
      <c r="C13" s="12" t="n"/>
      <c r="D13" s="12" t="n"/>
      <c r="E13" s="12" t="n"/>
      <c r="F13" s="12" t="n"/>
      <c r="G13" s="12" t="n"/>
      <c r="H13" s="29" t="n"/>
      <c r="I13" s="12" t="n"/>
      <c r="J13" s="12" t="n"/>
      <c r="K13" s="12" t="n"/>
      <c r="L13" s="29" t="n"/>
    </row>
    <row r="14" ht="22" customHeight="1">
      <c r="B14" s="16">
        <f>IF(C14="","REL-"&amp;TEXT(COUNTA($C$5:C14),"000"))</f>
        <v/>
      </c>
      <c r="C14" s="14" t="n"/>
      <c r="D14" s="14" t="n"/>
      <c r="E14" s="14" t="n"/>
      <c r="F14" s="14" t="n"/>
      <c r="G14" s="14" t="n"/>
      <c r="H14" s="30" t="n"/>
      <c r="I14" s="14" t="n"/>
      <c r="J14" s="14" t="n"/>
      <c r="K14" s="14" t="n"/>
      <c r="L14" s="30" t="n"/>
    </row>
    <row r="15" ht="22" customHeight="1">
      <c r="B15" s="17">
        <f>IF(C15="","REL-"&amp;TEXT(COUNTA($C$5:C15),"000"))</f>
        <v/>
      </c>
      <c r="C15" s="12" t="n"/>
      <c r="D15" s="12" t="n"/>
      <c r="E15" s="12" t="n"/>
      <c r="F15" s="12" t="n"/>
      <c r="G15" s="12" t="n"/>
      <c r="H15" s="29" t="n"/>
      <c r="I15" s="12" t="n"/>
      <c r="J15" s="12" t="n"/>
      <c r="K15" s="12" t="n"/>
      <c r="L15" s="29" t="n"/>
    </row>
    <row r="16" ht="22" customHeight="1">
      <c r="B16" s="16">
        <f>IF(C16="","REL-"&amp;TEXT(COUNTA($C$5:C16),"000"))</f>
        <v/>
      </c>
      <c r="C16" s="14" t="n"/>
      <c r="D16" s="14" t="n"/>
      <c r="E16" s="14" t="n"/>
      <c r="F16" s="14" t="n"/>
      <c r="G16" s="14" t="n"/>
      <c r="H16" s="30" t="n"/>
      <c r="I16" s="14" t="n"/>
      <c r="J16" s="14" t="n"/>
      <c r="K16" s="14" t="n"/>
      <c r="L16" s="30" t="n"/>
    </row>
    <row r="17" ht="22" customHeight="1">
      <c r="B17" s="17">
        <f>IF(C17="","REL-"&amp;TEXT(COUNTA($C$5:C17),"000"))</f>
        <v/>
      </c>
      <c r="C17" s="12" t="n"/>
      <c r="D17" s="12" t="n"/>
      <c r="E17" s="12" t="n"/>
      <c r="F17" s="12" t="n"/>
      <c r="G17" s="12" t="n"/>
      <c r="H17" s="29" t="n"/>
      <c r="I17" s="12" t="n"/>
      <c r="J17" s="12" t="n"/>
      <c r="K17" s="12" t="n"/>
      <c r="L17" s="29" t="n"/>
    </row>
    <row r="18" ht="22" customHeight="1">
      <c r="B18" s="16">
        <f>IF(C18="","REL-"&amp;TEXT(COUNTA($C$5:C18),"000"))</f>
        <v/>
      </c>
      <c r="C18" s="14" t="n"/>
      <c r="D18" s="14" t="n"/>
      <c r="E18" s="14" t="n"/>
      <c r="F18" s="14" t="n"/>
      <c r="G18" s="14" t="n"/>
      <c r="H18" s="30" t="n"/>
      <c r="I18" s="14" t="n"/>
      <c r="J18" s="14" t="n"/>
      <c r="K18" s="14" t="n"/>
      <c r="L18" s="30" t="n"/>
    </row>
    <row r="19" ht="22" customHeight="1">
      <c r="B19" s="17">
        <f>IF(C19="","REL-"&amp;TEXT(COUNTA($C$5:C19),"000"))</f>
        <v/>
      </c>
      <c r="C19" s="12" t="n"/>
      <c r="D19" s="12" t="n"/>
      <c r="E19" s="12" t="n"/>
      <c r="F19" s="12" t="n"/>
      <c r="G19" s="12" t="n"/>
      <c r="H19" s="29" t="n"/>
      <c r="I19" s="12" t="n"/>
      <c r="J19" s="12" t="n"/>
      <c r="K19" s="12" t="n"/>
      <c r="L19" s="29" t="n"/>
    </row>
    <row r="20" ht="22" customHeight="1">
      <c r="B20" s="16">
        <f>IF(C20="","REL-"&amp;TEXT(COUNTA($C$5:C20),"000"))</f>
        <v/>
      </c>
      <c r="C20" s="14" t="n"/>
      <c r="D20" s="14" t="n"/>
      <c r="E20" s="14" t="n"/>
      <c r="F20" s="14" t="n"/>
      <c r="G20" s="14" t="n"/>
      <c r="H20" s="30" t="n"/>
      <c r="I20" s="14" t="n"/>
      <c r="J20" s="14" t="n"/>
      <c r="K20" s="14" t="n"/>
      <c r="L20" s="30" t="n"/>
    </row>
    <row r="21" ht="22" customHeight="1">
      <c r="B21" s="17">
        <f>IF(C21="","REL-"&amp;TEXT(COUNTA($C$5:C21),"000"))</f>
        <v/>
      </c>
      <c r="C21" s="12" t="n"/>
      <c r="D21" s="12" t="n"/>
      <c r="E21" s="12" t="n"/>
      <c r="F21" s="12" t="n"/>
      <c r="G21" s="12" t="n"/>
      <c r="H21" s="29" t="n"/>
      <c r="I21" s="12" t="n"/>
      <c r="J21" s="12" t="n"/>
      <c r="K21" s="12" t="n"/>
      <c r="L21" s="29" t="n"/>
    </row>
    <row r="22" ht="22" customHeight="1">
      <c r="B22" s="16">
        <f>IF(C22="","REL-"&amp;TEXT(COUNTA($C$5:C22),"000"))</f>
        <v/>
      </c>
      <c r="C22" s="14" t="n"/>
      <c r="D22" s="14" t="n"/>
      <c r="E22" s="14" t="n"/>
      <c r="F22" s="14" t="n"/>
      <c r="G22" s="14" t="n"/>
      <c r="H22" s="30" t="n"/>
      <c r="I22" s="14" t="n"/>
      <c r="J22" s="14" t="n"/>
      <c r="K22" s="14" t="n"/>
      <c r="L22" s="30" t="n"/>
    </row>
    <row r="23" ht="22" customHeight="1">
      <c r="B23" s="17">
        <f>IF(C23="","REL-"&amp;TEXT(COUNTA($C$5:C23),"000"))</f>
        <v/>
      </c>
      <c r="C23" s="12" t="n"/>
      <c r="D23" s="12" t="n"/>
      <c r="E23" s="12" t="n"/>
      <c r="F23" s="12" t="n"/>
      <c r="G23" s="12" t="n"/>
      <c r="H23" s="29" t="n"/>
      <c r="I23" s="12" t="n"/>
      <c r="J23" s="12" t="n"/>
      <c r="K23" s="12" t="n"/>
      <c r="L23" s="29" t="n"/>
    </row>
    <row r="24" ht="22" customHeight="1">
      <c r="B24" s="16">
        <f>IF(C24="","REL-"&amp;TEXT(COUNTA($C$5:C24),"000"))</f>
        <v/>
      </c>
      <c r="C24" s="14" t="n"/>
      <c r="D24" s="14" t="n"/>
      <c r="E24" s="14" t="n"/>
      <c r="F24" s="14" t="n"/>
      <c r="G24" s="14" t="n"/>
      <c r="H24" s="30" t="n"/>
      <c r="I24" s="14" t="n"/>
      <c r="J24" s="14" t="n"/>
      <c r="K24" s="14" t="n"/>
      <c r="L24" s="30" t="n"/>
    </row>
    <row r="25" ht="22" customHeight="1">
      <c r="B25" s="17">
        <f>IF(C25="","REL-"&amp;TEXT(COUNTA($C$5:C25),"000"))</f>
        <v/>
      </c>
      <c r="C25" s="12" t="n"/>
      <c r="D25" s="12" t="n"/>
      <c r="E25" s="12" t="n"/>
      <c r="F25" s="12" t="n"/>
      <c r="G25" s="12" t="n"/>
      <c r="H25" s="29" t="n"/>
      <c r="I25" s="12" t="n"/>
      <c r="J25" s="12" t="n"/>
      <c r="K25" s="12" t="n"/>
      <c r="L25" s="29" t="n"/>
    </row>
    <row r="26" ht="22" customHeight="1">
      <c r="B26" s="16">
        <f>IF(C26="","REL-"&amp;TEXT(COUNTA($C$5:C26),"000"))</f>
        <v/>
      </c>
      <c r="C26" s="14" t="n"/>
      <c r="D26" s="14" t="n"/>
      <c r="E26" s="14" t="n"/>
      <c r="F26" s="14" t="n"/>
      <c r="G26" s="14" t="n"/>
      <c r="H26" s="30" t="n"/>
      <c r="I26" s="14" t="n"/>
      <c r="J26" s="14" t="n"/>
      <c r="K26" s="14" t="n"/>
      <c r="L26" s="30" t="n"/>
    </row>
    <row r="27" ht="22" customHeight="1">
      <c r="B27" s="17">
        <f>IF(C27="","REL-"&amp;TEXT(COUNTA($C$5:C27),"000"))</f>
        <v/>
      </c>
      <c r="C27" s="12" t="n"/>
      <c r="D27" s="12" t="n"/>
      <c r="E27" s="12" t="n"/>
      <c r="F27" s="12" t="n"/>
      <c r="G27" s="12" t="n"/>
      <c r="H27" s="29" t="n"/>
      <c r="I27" s="12" t="n"/>
      <c r="J27" s="12" t="n"/>
      <c r="K27" s="12" t="n"/>
      <c r="L27" s="29" t="n"/>
    </row>
    <row r="28" ht="22" customHeight="1">
      <c r="B28" s="16">
        <f>IF(C28="","REL-"&amp;TEXT(COUNTA($C$5:C28),"000"))</f>
        <v/>
      </c>
      <c r="C28" s="14" t="n"/>
      <c r="D28" s="14" t="n"/>
      <c r="E28" s="14" t="n"/>
      <c r="F28" s="14" t="n"/>
      <c r="G28" s="14" t="n"/>
      <c r="H28" s="30" t="n"/>
      <c r="I28" s="14" t="n"/>
      <c r="J28" s="14" t="n"/>
      <c r="K28" s="14" t="n"/>
      <c r="L28" s="30" t="n"/>
    </row>
    <row r="29" ht="22" customHeight="1">
      <c r="B29" s="17">
        <f>IF(C29="","REL-"&amp;TEXT(COUNTA($C$5:C29),"000"))</f>
        <v/>
      </c>
      <c r="C29" s="12" t="n"/>
      <c r="D29" s="12" t="n"/>
      <c r="E29" s="12" t="n"/>
      <c r="F29" s="12" t="n"/>
      <c r="G29" s="12" t="n"/>
      <c r="H29" s="29" t="n"/>
      <c r="I29" s="12" t="n"/>
      <c r="J29" s="12" t="n"/>
      <c r="K29" s="12" t="n"/>
      <c r="L29" s="29" t="n"/>
    </row>
    <row r="30" ht="22" customHeight="1">
      <c r="B30" s="16">
        <f>IF(C30="","REL-"&amp;TEXT(COUNTA($C$5:C30),"000"))</f>
        <v/>
      </c>
      <c r="C30" s="14" t="n"/>
      <c r="D30" s="14" t="n"/>
      <c r="E30" s="14" t="n"/>
      <c r="F30" s="14" t="n"/>
      <c r="G30" s="14" t="n"/>
      <c r="H30" s="30" t="n"/>
      <c r="I30" s="14" t="n"/>
      <c r="J30" s="14" t="n"/>
      <c r="K30" s="14" t="n"/>
      <c r="L30" s="30" t="n"/>
    </row>
    <row r="31" ht="22" customHeight="1">
      <c r="B31" s="17">
        <f>IF(C31="","REL-"&amp;TEXT(COUNTA($C$5:C31),"000"))</f>
        <v/>
      </c>
      <c r="C31" s="12" t="n"/>
      <c r="D31" s="12" t="n"/>
      <c r="E31" s="12" t="n"/>
      <c r="F31" s="12" t="n"/>
      <c r="G31" s="12" t="n"/>
      <c r="H31" s="29" t="n"/>
      <c r="I31" s="12" t="n"/>
      <c r="J31" s="12" t="n"/>
      <c r="K31" s="12" t="n"/>
      <c r="L31" s="29" t="n"/>
    </row>
    <row r="32" ht="22" customHeight="1">
      <c r="B32" s="16">
        <f>IF(C32="","REL-"&amp;TEXT(COUNTA($C$5:C32),"000"))</f>
        <v/>
      </c>
      <c r="C32" s="14" t="n"/>
      <c r="D32" s="14" t="n"/>
      <c r="E32" s="14" t="n"/>
      <c r="F32" s="14" t="n"/>
      <c r="G32" s="14" t="n"/>
      <c r="H32" s="30" t="n"/>
      <c r="I32" s="14" t="n"/>
      <c r="J32" s="14" t="n"/>
      <c r="K32" s="14" t="n"/>
      <c r="L32" s="30" t="n"/>
    </row>
    <row r="33" ht="22" customHeight="1">
      <c r="B33" s="17">
        <f>IF(C33="","REL-"&amp;TEXT(COUNTA($C$5:C33),"000"))</f>
        <v/>
      </c>
      <c r="C33" s="12" t="n"/>
      <c r="D33" s="12" t="n"/>
      <c r="E33" s="12" t="n"/>
      <c r="F33" s="12" t="n"/>
      <c r="G33" s="12" t="n"/>
      <c r="H33" s="29" t="n"/>
      <c r="I33" s="12" t="n"/>
      <c r="J33" s="12" t="n"/>
      <c r="K33" s="12" t="n"/>
      <c r="L33" s="29" t="n"/>
    </row>
    <row r="34" ht="22" customHeight="1">
      <c r="B34" s="16">
        <f>IF(C34="","REL-"&amp;TEXT(COUNTA($C$5:C34),"000"))</f>
        <v/>
      </c>
      <c r="C34" s="14" t="n"/>
      <c r="D34" s="14" t="n"/>
      <c r="E34" s="14" t="n"/>
      <c r="F34" s="14" t="n"/>
      <c r="G34" s="14" t="n"/>
      <c r="H34" s="30" t="n"/>
      <c r="I34" s="14" t="n"/>
      <c r="J34" s="14" t="n"/>
      <c r="K34" s="14" t="n"/>
      <c r="L34" s="30" t="n"/>
    </row>
    <row r="35" ht="22" customHeight="1">
      <c r="B35" s="17">
        <f>IF(C35="","REL-"&amp;TEXT(COUNTA($C$5:C35),"000"))</f>
        <v/>
      </c>
      <c r="C35" s="12" t="n"/>
      <c r="D35" s="12" t="n"/>
      <c r="E35" s="12" t="n"/>
      <c r="F35" s="12" t="n"/>
      <c r="G35" s="12" t="n"/>
      <c r="H35" s="29" t="n"/>
      <c r="I35" s="12" t="n"/>
      <c r="J35" s="12" t="n"/>
      <c r="K35" s="12" t="n"/>
      <c r="L35" s="29" t="n"/>
    </row>
    <row r="36" ht="22" customHeight="1">
      <c r="B36" s="16">
        <f>IF(C36="","REL-"&amp;TEXT(COUNTA($C$5:C36),"000"))</f>
        <v/>
      </c>
      <c r="C36" s="14" t="n"/>
      <c r="D36" s="14" t="n"/>
      <c r="E36" s="14" t="n"/>
      <c r="F36" s="14" t="n"/>
      <c r="G36" s="14" t="n"/>
      <c r="H36" s="30" t="n"/>
      <c r="I36" s="14" t="n"/>
      <c r="J36" s="14" t="n"/>
      <c r="K36" s="14" t="n"/>
      <c r="L36" s="30" t="n"/>
    </row>
    <row r="37" ht="22" customHeight="1">
      <c r="B37" s="17">
        <f>IF(C37="","REL-"&amp;TEXT(COUNTA($C$5:C37),"000"))</f>
        <v/>
      </c>
      <c r="C37" s="12" t="n"/>
      <c r="D37" s="12" t="n"/>
      <c r="E37" s="12" t="n"/>
      <c r="F37" s="12" t="n"/>
      <c r="G37" s="12" t="n"/>
      <c r="H37" s="29" t="n"/>
      <c r="I37" s="12" t="n"/>
      <c r="J37" s="12" t="n"/>
      <c r="K37" s="12" t="n"/>
      <c r="L37" s="29" t="n"/>
    </row>
    <row r="38" ht="22" customHeight="1">
      <c r="B38" s="16">
        <f>IF(C38="","REL-"&amp;TEXT(COUNTA($C$5:C38),"000"))</f>
        <v/>
      </c>
      <c r="C38" s="14" t="n"/>
      <c r="D38" s="14" t="n"/>
      <c r="E38" s="14" t="n"/>
      <c r="F38" s="14" t="n"/>
      <c r="G38" s="14" t="n"/>
      <c r="H38" s="30" t="n"/>
      <c r="I38" s="14" t="n"/>
      <c r="J38" s="14" t="n"/>
      <c r="K38" s="14" t="n"/>
      <c r="L38" s="30" t="n"/>
    </row>
    <row r="39" ht="22" customHeight="1">
      <c r="B39" s="17">
        <f>IF(C39="","REL-"&amp;TEXT(COUNTA($C$5:C39),"000"))</f>
        <v/>
      </c>
      <c r="C39" s="12" t="n"/>
      <c r="D39" s="12" t="n"/>
      <c r="E39" s="12" t="n"/>
      <c r="F39" s="12" t="n"/>
      <c r="G39" s="12" t="n"/>
      <c r="H39" s="29" t="n"/>
      <c r="I39" s="12" t="n"/>
      <c r="J39" s="12" t="n"/>
      <c r="K39" s="12" t="n"/>
      <c r="L39" s="29" t="n"/>
    </row>
    <row r="40" ht="22" customHeight="1">
      <c r="B40" s="16">
        <f>IF(C40="","REL-"&amp;TEXT(COUNTA($C$5:C40),"000"))</f>
        <v/>
      </c>
      <c r="C40" s="14" t="n"/>
      <c r="D40" s="14" t="n"/>
      <c r="E40" s="14" t="n"/>
      <c r="F40" s="14" t="n"/>
      <c r="G40" s="14" t="n"/>
      <c r="H40" s="30" t="n"/>
      <c r="I40" s="14" t="n"/>
      <c r="J40" s="14" t="n"/>
      <c r="K40" s="14" t="n"/>
      <c r="L40" s="30" t="n"/>
    </row>
    <row r="41" ht="22" customHeight="1">
      <c r="B41" s="17">
        <f>IF(C41="","REL-"&amp;TEXT(COUNTA($C$5:C41),"000"))</f>
        <v/>
      </c>
      <c r="C41" s="12" t="n"/>
      <c r="D41" s="12" t="n"/>
      <c r="E41" s="12" t="n"/>
      <c r="F41" s="12" t="n"/>
      <c r="G41" s="12" t="n"/>
      <c r="H41" s="29" t="n"/>
      <c r="I41" s="12" t="n"/>
      <c r="J41" s="12" t="n"/>
      <c r="K41" s="12" t="n"/>
      <c r="L41" s="29" t="n"/>
    </row>
    <row r="42" ht="22" customHeight="1">
      <c r="B42" s="16">
        <f>IF(C42="","REL-"&amp;TEXT(COUNTA($C$5:C42),"000"))</f>
        <v/>
      </c>
      <c r="C42" s="14" t="n"/>
      <c r="D42" s="14" t="n"/>
      <c r="E42" s="14" t="n"/>
      <c r="F42" s="14" t="n"/>
      <c r="G42" s="14" t="n"/>
      <c r="H42" s="30" t="n"/>
      <c r="I42" s="14" t="n"/>
      <c r="J42" s="14" t="n"/>
      <c r="K42" s="14" t="n"/>
      <c r="L42" s="30" t="n"/>
    </row>
    <row r="43" ht="22" customHeight="1">
      <c r="B43" s="17">
        <f>IF(C43="","REL-"&amp;TEXT(COUNTA($C$5:C43),"000"))</f>
        <v/>
      </c>
      <c r="C43" s="12" t="n"/>
      <c r="D43" s="12" t="n"/>
      <c r="E43" s="12" t="n"/>
      <c r="F43" s="12" t="n"/>
      <c r="G43" s="12" t="n"/>
      <c r="H43" s="29" t="n"/>
      <c r="I43" s="12" t="n"/>
      <c r="J43" s="12" t="n"/>
      <c r="K43" s="12" t="n"/>
      <c r="L43" s="29" t="n"/>
    </row>
    <row r="44" ht="22" customHeight="1">
      <c r="B44" s="16">
        <f>IF(C44="","REL-"&amp;TEXT(COUNTA($C$5:C44),"000"))</f>
        <v/>
      </c>
      <c r="C44" s="14" t="n"/>
      <c r="D44" s="14" t="n"/>
      <c r="E44" s="14" t="n"/>
      <c r="F44" s="14" t="n"/>
      <c r="G44" s="14" t="n"/>
      <c r="H44" s="30" t="n"/>
      <c r="I44" s="14" t="n"/>
      <c r="J44" s="14" t="n"/>
      <c r="K44" s="14" t="n"/>
      <c r="L44" s="30" t="n"/>
    </row>
    <row r="45" ht="22" customHeight="1">
      <c r="B45" s="17">
        <f>IF(C45="","REL-"&amp;TEXT(COUNTA($C$5:C45),"000"))</f>
        <v/>
      </c>
      <c r="C45" s="12" t="n"/>
      <c r="D45" s="12" t="n"/>
      <c r="E45" s="12" t="n"/>
      <c r="F45" s="12" t="n"/>
      <c r="G45" s="12" t="n"/>
      <c r="H45" s="29" t="n"/>
      <c r="I45" s="12" t="n"/>
      <c r="J45" s="12" t="n"/>
      <c r="K45" s="12" t="n"/>
      <c r="L45" s="29" t="n"/>
    </row>
    <row r="46" ht="22" customHeight="1">
      <c r="B46" s="16">
        <f>IF(C46="","REL-"&amp;TEXT(COUNTA($C$5:C46),"000"))</f>
        <v/>
      </c>
      <c r="C46" s="14" t="n"/>
      <c r="D46" s="14" t="n"/>
      <c r="E46" s="14" t="n"/>
      <c r="F46" s="14" t="n"/>
      <c r="G46" s="14" t="n"/>
      <c r="H46" s="30" t="n"/>
      <c r="I46" s="14" t="n"/>
      <c r="J46" s="14" t="n"/>
      <c r="K46" s="14" t="n"/>
      <c r="L46" s="30" t="n"/>
    </row>
    <row r="47" ht="22" customHeight="1">
      <c r="B47" s="17">
        <f>IF(C47="","REL-"&amp;TEXT(COUNTA($C$5:C47),"000"))</f>
        <v/>
      </c>
      <c r="C47" s="12" t="n"/>
      <c r="D47" s="12" t="n"/>
      <c r="E47" s="12" t="n"/>
      <c r="F47" s="12" t="n"/>
      <c r="G47" s="12" t="n"/>
      <c r="H47" s="29" t="n"/>
      <c r="I47" s="12" t="n"/>
      <c r="J47" s="12" t="n"/>
      <c r="K47" s="12" t="n"/>
      <c r="L47" s="29" t="n"/>
    </row>
    <row r="48" ht="22" customHeight="1">
      <c r="B48" s="16">
        <f>IF(C48="","REL-"&amp;TEXT(COUNTA($C$5:C48),"000"))</f>
        <v/>
      </c>
      <c r="C48" s="14" t="n"/>
      <c r="D48" s="14" t="n"/>
      <c r="E48" s="14" t="n"/>
      <c r="F48" s="14" t="n"/>
      <c r="G48" s="14" t="n"/>
      <c r="H48" s="30" t="n"/>
      <c r="I48" s="14" t="n"/>
      <c r="J48" s="14" t="n"/>
      <c r="K48" s="14" t="n"/>
      <c r="L48" s="30" t="n"/>
    </row>
    <row r="49" ht="22" customHeight="1">
      <c r="B49" s="17">
        <f>IF(C49="","REL-"&amp;TEXT(COUNTA($C$5:C49),"000"))</f>
        <v/>
      </c>
      <c r="C49" s="12" t="n"/>
      <c r="D49" s="12" t="n"/>
      <c r="E49" s="12" t="n"/>
      <c r="F49" s="12" t="n"/>
      <c r="G49" s="12" t="n"/>
      <c r="H49" s="29" t="n"/>
      <c r="I49" s="12" t="n"/>
      <c r="J49" s="12" t="n"/>
      <c r="K49" s="12" t="n"/>
      <c r="L49" s="29" t="n"/>
    </row>
    <row r="50" ht="22" customHeight="1">
      <c r="B50" s="16">
        <f>IF(C50="","REL-"&amp;TEXT(COUNTA($C$5:C50),"000"))</f>
        <v/>
      </c>
      <c r="C50" s="14" t="n"/>
      <c r="D50" s="14" t="n"/>
      <c r="E50" s="14" t="n"/>
      <c r="F50" s="14" t="n"/>
      <c r="G50" s="14" t="n"/>
      <c r="H50" s="30" t="n"/>
      <c r="I50" s="14" t="n"/>
      <c r="J50" s="14" t="n"/>
      <c r="K50" s="14" t="n"/>
      <c r="L50" s="30" t="n"/>
    </row>
    <row r="51" ht="22" customHeight="1">
      <c r="B51" s="17">
        <f>IF(C51="","REL-"&amp;TEXT(COUNTA($C$5:C51),"000"))</f>
        <v/>
      </c>
      <c r="C51" s="12" t="n"/>
      <c r="D51" s="12" t="n"/>
      <c r="E51" s="12" t="n"/>
      <c r="F51" s="12" t="n"/>
      <c r="G51" s="12" t="n"/>
      <c r="H51" s="29" t="n"/>
      <c r="I51" s="12" t="n"/>
      <c r="J51" s="12" t="n"/>
      <c r="K51" s="12" t="n"/>
      <c r="L51" s="29" t="n"/>
    </row>
    <row r="52" ht="22" customHeight="1">
      <c r="B52" s="16">
        <f>IF(C52="","REL-"&amp;TEXT(COUNTA($C$5:C52),"000"))</f>
        <v/>
      </c>
      <c r="C52" s="14" t="n"/>
      <c r="D52" s="14" t="n"/>
      <c r="E52" s="14" t="n"/>
      <c r="F52" s="14" t="n"/>
      <c r="G52" s="14" t="n"/>
      <c r="H52" s="30" t="n"/>
      <c r="I52" s="14" t="n"/>
      <c r="J52" s="14" t="n"/>
      <c r="K52" s="14" t="n"/>
      <c r="L52" s="30" t="n"/>
    </row>
    <row r="53" ht="22" customHeight="1">
      <c r="B53" s="17">
        <f>IF(C53="","REL-"&amp;TEXT(COUNTA($C$5:C53),"000"))</f>
        <v/>
      </c>
      <c r="C53" s="12" t="n"/>
      <c r="D53" s="12" t="n"/>
      <c r="E53" s="12" t="n"/>
      <c r="F53" s="12" t="n"/>
      <c r="G53" s="12" t="n"/>
      <c r="H53" s="29" t="n"/>
      <c r="I53" s="12" t="n"/>
      <c r="J53" s="12" t="n"/>
      <c r="K53" s="12" t="n"/>
      <c r="L53" s="29" t="n"/>
    </row>
    <row r="54" ht="22" customHeight="1">
      <c r="B54" s="16">
        <f>IF(C54="","REL-"&amp;TEXT(COUNTA($C$5:C54),"000"))</f>
        <v/>
      </c>
      <c r="C54" s="14" t="n"/>
      <c r="D54" s="14" t="n"/>
      <c r="E54" s="14" t="n"/>
      <c r="F54" s="14" t="n"/>
      <c r="G54" s="14" t="n"/>
      <c r="H54" s="30" t="n"/>
      <c r="I54" s="14" t="n"/>
      <c r="J54" s="14" t="n"/>
      <c r="K54" s="14" t="n"/>
      <c r="L54" s="30" t="n"/>
    </row>
    <row r="55" ht="22" customHeight="1">
      <c r="B55" s="17">
        <f>IF(C55="","REL-"&amp;TEXT(COUNTA($C$5:C55),"000"))</f>
        <v/>
      </c>
      <c r="C55" s="12" t="n"/>
      <c r="D55" s="12" t="n"/>
      <c r="E55" s="12" t="n"/>
      <c r="F55" s="12" t="n"/>
      <c r="G55" s="12" t="n"/>
      <c r="H55" s="29" t="n"/>
      <c r="I55" s="12" t="n"/>
      <c r="J55" s="12" t="n"/>
      <c r="K55" s="12" t="n"/>
      <c r="L55" s="29" t="n"/>
    </row>
    <row r="56" ht="22" customHeight="1">
      <c r="B56" s="16">
        <f>IF(C56="","REL-"&amp;TEXT(COUNTA($C$5:C56),"000"))</f>
        <v/>
      </c>
      <c r="C56" s="14" t="n"/>
      <c r="D56" s="14" t="n"/>
      <c r="E56" s="14" t="n"/>
      <c r="F56" s="14" t="n"/>
      <c r="G56" s="14" t="n"/>
      <c r="H56" s="30" t="n"/>
      <c r="I56" s="14" t="n"/>
      <c r="J56" s="14" t="n"/>
      <c r="K56" s="14" t="n"/>
      <c r="L56" s="30" t="n"/>
    </row>
    <row r="57" ht="22" customHeight="1">
      <c r="B57" s="17">
        <f>IF(C57="","REL-"&amp;TEXT(COUNTA($C$5:C57),"000"))</f>
        <v/>
      </c>
      <c r="C57" s="12" t="n"/>
      <c r="D57" s="12" t="n"/>
      <c r="E57" s="12" t="n"/>
      <c r="F57" s="12" t="n"/>
      <c r="G57" s="12" t="n"/>
      <c r="H57" s="29" t="n"/>
      <c r="I57" s="12" t="n"/>
      <c r="J57" s="12" t="n"/>
      <c r="K57" s="12" t="n"/>
      <c r="L57" s="29" t="n"/>
    </row>
    <row r="58" ht="22" customHeight="1">
      <c r="B58" s="16">
        <f>IF(C58="","REL-"&amp;TEXT(COUNTA($C$5:C58),"000"))</f>
        <v/>
      </c>
      <c r="C58" s="14" t="n"/>
      <c r="D58" s="14" t="n"/>
      <c r="E58" s="14" t="n"/>
      <c r="F58" s="14" t="n"/>
      <c r="G58" s="14" t="n"/>
      <c r="H58" s="30" t="n"/>
      <c r="I58" s="14" t="n"/>
      <c r="J58" s="14" t="n"/>
      <c r="K58" s="14" t="n"/>
      <c r="L58" s="30" t="n"/>
    </row>
    <row r="59" ht="22" customHeight="1">
      <c r="B59" s="17">
        <f>IF(C59="","REL-"&amp;TEXT(COUNTA($C$5:C59),"000"))</f>
        <v/>
      </c>
      <c r="C59" s="12" t="n"/>
      <c r="D59" s="12" t="n"/>
      <c r="E59" s="12" t="n"/>
      <c r="F59" s="12" t="n"/>
      <c r="G59" s="12" t="n"/>
      <c r="H59" s="29" t="n"/>
      <c r="I59" s="12" t="n"/>
      <c r="J59" s="12" t="n"/>
      <c r="K59" s="12" t="n"/>
      <c r="L59" s="29" t="n"/>
    </row>
    <row r="60" ht="22" customHeight="1">
      <c r="B60" s="16">
        <f>IF(C60="","REL-"&amp;TEXT(COUNTA($C$5:C60),"000"))</f>
        <v/>
      </c>
      <c r="C60" s="14" t="n"/>
      <c r="D60" s="14" t="n"/>
      <c r="E60" s="14" t="n"/>
      <c r="F60" s="14" t="n"/>
      <c r="G60" s="14" t="n"/>
      <c r="H60" s="30" t="n"/>
      <c r="I60" s="14" t="n"/>
      <c r="J60" s="14" t="n"/>
      <c r="K60" s="14" t="n"/>
      <c r="L60" s="30" t="n"/>
    </row>
    <row r="61" ht="22" customHeight="1">
      <c r="B61" s="17">
        <f>IF(C61="","REL-"&amp;TEXT(COUNTA($C$5:C61),"000"))</f>
        <v/>
      </c>
      <c r="C61" s="12" t="n"/>
      <c r="D61" s="12" t="n"/>
      <c r="E61" s="12" t="n"/>
      <c r="F61" s="12" t="n"/>
      <c r="G61" s="12" t="n"/>
      <c r="H61" s="29" t="n"/>
      <c r="I61" s="12" t="n"/>
      <c r="J61" s="12" t="n"/>
      <c r="K61" s="12" t="n"/>
      <c r="L61" s="29" t="n"/>
    </row>
    <row r="62" ht="22" customHeight="1">
      <c r="B62" s="16">
        <f>IF(C62="","REL-"&amp;TEXT(COUNTA($C$5:C62),"000"))</f>
        <v/>
      </c>
      <c r="C62" s="14" t="n"/>
      <c r="D62" s="14" t="n"/>
      <c r="E62" s="14" t="n"/>
      <c r="F62" s="14" t="n"/>
      <c r="G62" s="14" t="n"/>
      <c r="H62" s="30" t="n"/>
      <c r="I62" s="14" t="n"/>
      <c r="J62" s="14" t="n"/>
      <c r="K62" s="14" t="n"/>
      <c r="L62" s="30" t="n"/>
    </row>
    <row r="63" ht="22" customHeight="1">
      <c r="B63" s="17">
        <f>IF(C63="","REL-"&amp;TEXT(COUNTA($C$5:C63),"000"))</f>
        <v/>
      </c>
      <c r="C63" s="12" t="n"/>
      <c r="D63" s="12" t="n"/>
      <c r="E63" s="12" t="n"/>
      <c r="F63" s="12" t="n"/>
      <c r="G63" s="12" t="n"/>
      <c r="H63" s="29" t="n"/>
      <c r="I63" s="12" t="n"/>
      <c r="J63" s="12" t="n"/>
      <c r="K63" s="12" t="n"/>
      <c r="L63" s="29" t="n"/>
    </row>
    <row r="64" ht="22" customHeight="1">
      <c r="B64" s="16">
        <f>IF(C64="","REL-"&amp;TEXT(COUNTA($C$5:C64),"000"))</f>
        <v/>
      </c>
      <c r="C64" s="14" t="n"/>
      <c r="D64" s="14" t="n"/>
      <c r="E64" s="14" t="n"/>
      <c r="F64" s="14" t="n"/>
      <c r="G64" s="14" t="n"/>
      <c r="H64" s="30" t="n"/>
      <c r="I64" s="14" t="n"/>
      <c r="J64" s="14" t="n"/>
      <c r="K64" s="14" t="n"/>
      <c r="L64" s="30" t="n"/>
    </row>
    <row r="65" ht="22" customHeight="1">
      <c r="B65" s="17">
        <f>IF(C65="","REL-"&amp;TEXT(COUNTA($C$5:C65),"000"))</f>
        <v/>
      </c>
      <c r="C65" s="12" t="n"/>
      <c r="D65" s="12" t="n"/>
      <c r="E65" s="12" t="n"/>
      <c r="F65" s="12" t="n"/>
      <c r="G65" s="12" t="n"/>
      <c r="H65" s="29" t="n"/>
      <c r="I65" s="12" t="n"/>
      <c r="J65" s="12" t="n"/>
      <c r="K65" s="12" t="n"/>
      <c r="L65" s="29" t="n"/>
    </row>
    <row r="66" ht="22" customHeight="1">
      <c r="B66" s="16">
        <f>IF(C66="","REL-"&amp;TEXT(COUNTA($C$5:C66),"000"))</f>
        <v/>
      </c>
      <c r="C66" s="14" t="n"/>
      <c r="D66" s="14" t="n"/>
      <c r="E66" s="14" t="n"/>
      <c r="F66" s="14" t="n"/>
      <c r="G66" s="14" t="n"/>
      <c r="H66" s="30" t="n"/>
      <c r="I66" s="14" t="n"/>
      <c r="J66" s="14" t="n"/>
      <c r="K66" s="14" t="n"/>
      <c r="L66" s="30" t="n"/>
    </row>
    <row r="67" ht="22" customHeight="1">
      <c r="B67" s="17">
        <f>IF(C67="","REL-"&amp;TEXT(COUNTA($C$5:C67),"000"))</f>
        <v/>
      </c>
      <c r="C67" s="12" t="n"/>
      <c r="D67" s="12" t="n"/>
      <c r="E67" s="12" t="n"/>
      <c r="F67" s="12" t="n"/>
      <c r="G67" s="12" t="n"/>
      <c r="H67" s="29" t="n"/>
      <c r="I67" s="12" t="n"/>
      <c r="J67" s="12" t="n"/>
      <c r="K67" s="12" t="n"/>
      <c r="L67" s="29" t="n"/>
    </row>
    <row r="68" ht="22" customHeight="1">
      <c r="B68" s="16">
        <f>IF(C68="","REL-"&amp;TEXT(COUNTA($C$5:C68),"000"))</f>
        <v/>
      </c>
      <c r="C68" s="14" t="n"/>
      <c r="D68" s="14" t="n"/>
      <c r="E68" s="14" t="n"/>
      <c r="F68" s="14" t="n"/>
      <c r="G68" s="14" t="n"/>
      <c r="H68" s="30" t="n"/>
      <c r="I68" s="14" t="n"/>
      <c r="J68" s="14" t="n"/>
      <c r="K68" s="14" t="n"/>
      <c r="L68" s="30" t="n"/>
    </row>
    <row r="69" ht="22" customHeight="1">
      <c r="B69" s="17">
        <f>IF(C69="","REL-"&amp;TEXT(COUNTA($C$5:C69),"000"))</f>
        <v/>
      </c>
      <c r="C69" s="12" t="n"/>
      <c r="D69" s="12" t="n"/>
      <c r="E69" s="12" t="n"/>
      <c r="F69" s="12" t="n"/>
      <c r="G69" s="12" t="n"/>
      <c r="H69" s="29" t="n"/>
      <c r="I69" s="12" t="n"/>
      <c r="J69" s="12" t="n"/>
      <c r="K69" s="12" t="n"/>
      <c r="L69" s="29" t="n"/>
    </row>
    <row r="70" ht="22" customHeight="1">
      <c r="B70" s="16">
        <f>IF(C70="","REL-"&amp;TEXT(COUNTA($C$5:C70),"000"))</f>
        <v/>
      </c>
      <c r="C70" s="14" t="n"/>
      <c r="D70" s="14" t="n"/>
      <c r="E70" s="14" t="n"/>
      <c r="F70" s="14" t="n"/>
      <c r="G70" s="14" t="n"/>
      <c r="H70" s="30" t="n"/>
      <c r="I70" s="14" t="n"/>
      <c r="J70" s="14" t="n"/>
      <c r="K70" s="14" t="n"/>
      <c r="L70" s="30" t="n"/>
    </row>
    <row r="71" ht="22" customHeight="1">
      <c r="B71" s="17">
        <f>IF(C71="","REL-"&amp;TEXT(COUNTA($C$5:C71),"000"))</f>
        <v/>
      </c>
      <c r="C71" s="12" t="n"/>
      <c r="D71" s="12" t="n"/>
      <c r="E71" s="12" t="n"/>
      <c r="F71" s="12" t="n"/>
      <c r="G71" s="12" t="n"/>
      <c r="H71" s="29" t="n"/>
      <c r="I71" s="12" t="n"/>
      <c r="J71" s="12" t="n"/>
      <c r="K71" s="12" t="n"/>
      <c r="L71" s="29" t="n"/>
    </row>
    <row r="72" ht="22" customHeight="1">
      <c r="B72" s="16">
        <f>IF(C72="","REL-"&amp;TEXT(COUNTA($C$5:C72),"000"))</f>
        <v/>
      </c>
      <c r="C72" s="14" t="n"/>
      <c r="D72" s="14" t="n"/>
      <c r="E72" s="14" t="n"/>
      <c r="F72" s="14" t="n"/>
      <c r="G72" s="14" t="n"/>
      <c r="H72" s="30" t="n"/>
      <c r="I72" s="14" t="n"/>
      <c r="J72" s="14" t="n"/>
      <c r="K72" s="14" t="n"/>
      <c r="L72" s="30" t="n"/>
    </row>
    <row r="73" ht="22" customHeight="1">
      <c r="B73" s="17">
        <f>IF(C73="","REL-"&amp;TEXT(COUNTA($C$5:C73),"000"))</f>
        <v/>
      </c>
      <c r="C73" s="12" t="n"/>
      <c r="D73" s="12" t="n"/>
      <c r="E73" s="12" t="n"/>
      <c r="F73" s="12" t="n"/>
      <c r="G73" s="12" t="n"/>
      <c r="H73" s="29" t="n"/>
      <c r="I73" s="12" t="n"/>
      <c r="J73" s="12" t="n"/>
      <c r="K73" s="12" t="n"/>
      <c r="L73" s="29" t="n"/>
    </row>
    <row r="74" ht="22" customHeight="1">
      <c r="B74" s="16">
        <f>IF(C74="","REL-"&amp;TEXT(COUNTA($C$5:C74),"000"))</f>
        <v/>
      </c>
      <c r="C74" s="14" t="n"/>
      <c r="D74" s="14" t="n"/>
      <c r="E74" s="14" t="n"/>
      <c r="F74" s="14" t="n"/>
      <c r="G74" s="14" t="n"/>
      <c r="H74" s="30" t="n"/>
      <c r="I74" s="14" t="n"/>
      <c r="J74" s="14" t="n"/>
      <c r="K74" s="14" t="n"/>
      <c r="L74" s="30" t="n"/>
    </row>
    <row r="75" ht="22" customHeight="1">
      <c r="B75" s="17">
        <f>IF(C75="","REL-"&amp;TEXT(COUNTA($C$5:C75),"000"))</f>
        <v/>
      </c>
      <c r="C75" s="12" t="n"/>
      <c r="D75" s="12" t="n"/>
      <c r="E75" s="12" t="n"/>
      <c r="F75" s="12" t="n"/>
      <c r="G75" s="12" t="n"/>
      <c r="H75" s="29" t="n"/>
      <c r="I75" s="12" t="n"/>
      <c r="J75" s="12" t="n"/>
      <c r="K75" s="12" t="n"/>
      <c r="L75" s="29" t="n"/>
    </row>
    <row r="76" ht="22" customHeight="1">
      <c r="B76" s="16">
        <f>IF(C76="","REL-"&amp;TEXT(COUNTA($C$5:C76),"000"))</f>
        <v/>
      </c>
      <c r="C76" s="14" t="n"/>
      <c r="D76" s="14" t="n"/>
      <c r="E76" s="14" t="n"/>
      <c r="F76" s="14" t="n"/>
      <c r="G76" s="14" t="n"/>
      <c r="H76" s="30" t="n"/>
      <c r="I76" s="14" t="n"/>
      <c r="J76" s="14" t="n"/>
      <c r="K76" s="14" t="n"/>
      <c r="L76" s="30" t="n"/>
    </row>
    <row r="77" ht="22" customHeight="1">
      <c r="B77" s="17">
        <f>IF(C77="","REL-"&amp;TEXT(COUNTA($C$5:C77),"000"))</f>
        <v/>
      </c>
      <c r="C77" s="12" t="n"/>
      <c r="D77" s="12" t="n"/>
      <c r="E77" s="12" t="n"/>
      <c r="F77" s="12" t="n"/>
      <c r="G77" s="12" t="n"/>
      <c r="H77" s="29" t="n"/>
      <c r="I77" s="12" t="n"/>
      <c r="J77" s="12" t="n"/>
      <c r="K77" s="12" t="n"/>
      <c r="L77" s="29" t="n"/>
    </row>
    <row r="78" ht="22" customHeight="1">
      <c r="B78" s="16">
        <f>IF(C78="","REL-"&amp;TEXT(COUNTA($C$5:C78),"000"))</f>
        <v/>
      </c>
      <c r="C78" s="14" t="n"/>
      <c r="D78" s="14" t="n"/>
      <c r="E78" s="14" t="n"/>
      <c r="F78" s="14" t="n"/>
      <c r="G78" s="14" t="n"/>
      <c r="H78" s="30" t="n"/>
      <c r="I78" s="14" t="n"/>
      <c r="J78" s="14" t="n"/>
      <c r="K78" s="14" t="n"/>
      <c r="L78" s="30" t="n"/>
    </row>
    <row r="79" ht="22" customHeight="1">
      <c r="B79" s="17">
        <f>IF(C79="","REL-"&amp;TEXT(COUNTA($C$5:C79),"000"))</f>
        <v/>
      </c>
      <c r="C79" s="12" t="n"/>
      <c r="D79" s="12" t="n"/>
      <c r="E79" s="12" t="n"/>
      <c r="F79" s="12" t="n"/>
      <c r="G79" s="12" t="n"/>
      <c r="H79" s="29" t="n"/>
      <c r="I79" s="12" t="n"/>
      <c r="J79" s="12" t="n"/>
      <c r="K79" s="12" t="n"/>
      <c r="L79" s="29" t="n"/>
    </row>
    <row r="80" ht="22" customHeight="1">
      <c r="B80" s="16">
        <f>IF(C80="","REL-"&amp;TEXT(COUNTA($C$5:C80),"000"))</f>
        <v/>
      </c>
      <c r="C80" s="14" t="n"/>
      <c r="D80" s="14" t="n"/>
      <c r="E80" s="14" t="n"/>
      <c r="F80" s="14" t="n"/>
      <c r="G80" s="14" t="n"/>
      <c r="H80" s="30" t="n"/>
      <c r="I80" s="14" t="n"/>
      <c r="J80" s="14" t="n"/>
      <c r="K80" s="14" t="n"/>
      <c r="L80" s="30" t="n"/>
    </row>
    <row r="81" ht="22" customHeight="1">
      <c r="B81" s="17">
        <f>IF(C81="","REL-"&amp;TEXT(COUNTA($C$5:C81),"000"))</f>
        <v/>
      </c>
      <c r="C81" s="12" t="n"/>
      <c r="D81" s="12" t="n"/>
      <c r="E81" s="12" t="n"/>
      <c r="F81" s="12" t="n"/>
      <c r="G81" s="12" t="n"/>
      <c r="H81" s="29" t="n"/>
      <c r="I81" s="12" t="n"/>
      <c r="J81" s="12" t="n"/>
      <c r="K81" s="12" t="n"/>
      <c r="L81" s="29" t="n"/>
    </row>
    <row r="82" ht="22" customHeight="1">
      <c r="B82" s="16">
        <f>IF(C82="","REL-"&amp;TEXT(COUNTA($C$5:C82),"000"))</f>
        <v/>
      </c>
      <c r="C82" s="14" t="n"/>
      <c r="D82" s="14" t="n"/>
      <c r="E82" s="14" t="n"/>
      <c r="F82" s="14" t="n"/>
      <c r="G82" s="14" t="n"/>
      <c r="H82" s="30" t="n"/>
      <c r="I82" s="14" t="n"/>
      <c r="J82" s="14" t="n"/>
      <c r="K82" s="14" t="n"/>
      <c r="L82" s="30" t="n"/>
    </row>
    <row r="83" ht="22" customHeight="1">
      <c r="B83" s="17">
        <f>IF(C83="","REL-"&amp;TEXT(COUNTA($C$5:C83),"000"))</f>
        <v/>
      </c>
      <c r="C83" s="12" t="n"/>
      <c r="D83" s="12" t="n"/>
      <c r="E83" s="12" t="n"/>
      <c r="F83" s="12" t="n"/>
      <c r="G83" s="12" t="n"/>
      <c r="H83" s="29" t="n"/>
      <c r="I83" s="12" t="n"/>
      <c r="J83" s="12" t="n"/>
      <c r="K83" s="12" t="n"/>
      <c r="L83" s="29" t="n"/>
    </row>
    <row r="84" ht="22" customHeight="1">
      <c r="B84" s="16">
        <f>IF(C84="","REL-"&amp;TEXT(COUNTA($C$5:C84),"000"))</f>
        <v/>
      </c>
      <c r="C84" s="14" t="n"/>
      <c r="D84" s="14" t="n"/>
      <c r="E84" s="14" t="n"/>
      <c r="F84" s="14" t="n"/>
      <c r="G84" s="14" t="n"/>
      <c r="H84" s="30" t="n"/>
      <c r="I84" s="14" t="n"/>
      <c r="J84" s="14" t="n"/>
      <c r="K84" s="14" t="n"/>
      <c r="L84" s="30" t="n"/>
    </row>
    <row r="85" ht="22" customHeight="1">
      <c r="B85" s="17">
        <f>IF(C85="","REL-"&amp;TEXT(COUNTA($C$5:C85),"000"))</f>
        <v/>
      </c>
      <c r="C85" s="12" t="n"/>
      <c r="D85" s="12" t="n"/>
      <c r="E85" s="12" t="n"/>
      <c r="F85" s="12" t="n"/>
      <c r="G85" s="12" t="n"/>
      <c r="H85" s="29" t="n"/>
      <c r="I85" s="12" t="n"/>
      <c r="J85" s="12" t="n"/>
      <c r="K85" s="12" t="n"/>
      <c r="L85" s="29" t="n"/>
    </row>
    <row r="86" ht="22" customHeight="1">
      <c r="B86" s="16">
        <f>IF(C86="","REL-"&amp;TEXT(COUNTA($C$5:C86),"000"))</f>
        <v/>
      </c>
      <c r="C86" s="14" t="n"/>
      <c r="D86" s="14" t="n"/>
      <c r="E86" s="14" t="n"/>
      <c r="F86" s="14" t="n"/>
      <c r="G86" s="14" t="n"/>
      <c r="H86" s="30" t="n"/>
      <c r="I86" s="14" t="n"/>
      <c r="J86" s="14" t="n"/>
      <c r="K86" s="14" t="n"/>
      <c r="L86" s="30" t="n"/>
    </row>
    <row r="87" ht="22" customHeight="1">
      <c r="B87" s="17">
        <f>IF(C87="","REL-"&amp;TEXT(COUNTA($C$5:C87),"000"))</f>
        <v/>
      </c>
      <c r="C87" s="12" t="n"/>
      <c r="D87" s="12" t="n"/>
      <c r="E87" s="12" t="n"/>
      <c r="F87" s="12" t="n"/>
      <c r="G87" s="12" t="n"/>
      <c r="H87" s="29" t="n"/>
      <c r="I87" s="12" t="n"/>
      <c r="J87" s="12" t="n"/>
      <c r="K87" s="12" t="n"/>
      <c r="L87" s="29" t="n"/>
    </row>
    <row r="88" ht="22" customHeight="1">
      <c r="B88" s="16">
        <f>IF(C88="","REL-"&amp;TEXT(COUNTA($C$5:C88),"000"))</f>
        <v/>
      </c>
      <c r="C88" s="14" t="n"/>
      <c r="D88" s="14" t="n"/>
      <c r="E88" s="14" t="n"/>
      <c r="F88" s="14" t="n"/>
      <c r="G88" s="14" t="n"/>
      <c r="H88" s="30" t="n"/>
      <c r="I88" s="14" t="n"/>
      <c r="J88" s="14" t="n"/>
      <c r="K88" s="14" t="n"/>
      <c r="L88" s="30" t="n"/>
    </row>
    <row r="89" ht="22" customHeight="1">
      <c r="B89" s="17">
        <f>IF(C89="","REL-"&amp;TEXT(COUNTA($C$5:C89),"000"))</f>
        <v/>
      </c>
      <c r="C89" s="12" t="n"/>
      <c r="D89" s="12" t="n"/>
      <c r="E89" s="12" t="n"/>
      <c r="F89" s="12" t="n"/>
      <c r="G89" s="12" t="n"/>
      <c r="H89" s="29" t="n"/>
      <c r="I89" s="12" t="n"/>
      <c r="J89" s="12" t="n"/>
      <c r="K89" s="12" t="n"/>
      <c r="L89" s="29" t="n"/>
    </row>
    <row r="90" ht="22" customHeight="1">
      <c r="B90" s="16">
        <f>IF(C90="","REL-"&amp;TEXT(COUNTA($C$5:C90),"000"))</f>
        <v/>
      </c>
      <c r="C90" s="14" t="n"/>
      <c r="D90" s="14" t="n"/>
      <c r="E90" s="14" t="n"/>
      <c r="F90" s="14" t="n"/>
      <c r="G90" s="14" t="n"/>
      <c r="H90" s="30" t="n"/>
      <c r="I90" s="14" t="n"/>
      <c r="J90" s="14" t="n"/>
      <c r="K90" s="14" t="n"/>
      <c r="L90" s="30" t="n"/>
    </row>
    <row r="91" ht="22" customHeight="1">
      <c r="B91" s="17">
        <f>IF(C91="","REL-"&amp;TEXT(COUNTA($C$5:C91),"000"))</f>
        <v/>
      </c>
      <c r="C91" s="12" t="n"/>
      <c r="D91" s="12" t="n"/>
      <c r="E91" s="12" t="n"/>
      <c r="F91" s="12" t="n"/>
      <c r="G91" s="12" t="n"/>
      <c r="H91" s="29" t="n"/>
      <c r="I91" s="12" t="n"/>
      <c r="J91" s="12" t="n"/>
      <c r="K91" s="12" t="n"/>
      <c r="L91" s="29" t="n"/>
    </row>
    <row r="92" ht="22" customHeight="1">
      <c r="B92" s="16">
        <f>IF(C92="","REL-"&amp;TEXT(COUNTA($C$5:C92),"000"))</f>
        <v/>
      </c>
      <c r="C92" s="14" t="n"/>
      <c r="D92" s="14" t="n"/>
      <c r="E92" s="14" t="n"/>
      <c r="F92" s="14" t="n"/>
      <c r="G92" s="14" t="n"/>
      <c r="H92" s="30" t="n"/>
      <c r="I92" s="14" t="n"/>
      <c r="J92" s="14" t="n"/>
      <c r="K92" s="14" t="n"/>
      <c r="L92" s="30" t="n"/>
    </row>
    <row r="93" ht="22" customHeight="1">
      <c r="B93" s="17">
        <f>IF(C93="","REL-"&amp;TEXT(COUNTA($C$5:C93),"000"))</f>
        <v/>
      </c>
      <c r="C93" s="12" t="n"/>
      <c r="D93" s="12" t="n"/>
      <c r="E93" s="12" t="n"/>
      <c r="F93" s="12" t="n"/>
      <c r="G93" s="12" t="n"/>
      <c r="H93" s="29" t="n"/>
      <c r="I93" s="12" t="n"/>
      <c r="J93" s="12" t="n"/>
      <c r="K93" s="12" t="n"/>
      <c r="L93" s="29" t="n"/>
    </row>
    <row r="94" ht="22" customHeight="1">
      <c r="B94" s="16">
        <f>IF(C94="","REL-"&amp;TEXT(COUNTA($C$5:C94),"000"))</f>
        <v/>
      </c>
      <c r="C94" s="14" t="n"/>
      <c r="D94" s="14" t="n"/>
      <c r="E94" s="14" t="n"/>
      <c r="F94" s="14" t="n"/>
      <c r="G94" s="14" t="n"/>
      <c r="H94" s="30" t="n"/>
      <c r="I94" s="14" t="n"/>
      <c r="J94" s="14" t="n"/>
      <c r="K94" s="14" t="n"/>
      <c r="L94" s="30" t="n"/>
    </row>
    <row r="95" ht="22" customHeight="1">
      <c r="B95" s="17">
        <f>IF(C95="","REL-"&amp;TEXT(COUNTA($C$5:C95),"000"))</f>
        <v/>
      </c>
      <c r="C95" s="12" t="n"/>
      <c r="D95" s="12" t="n"/>
      <c r="E95" s="12" t="n"/>
      <c r="F95" s="12" t="n"/>
      <c r="G95" s="12" t="n"/>
      <c r="H95" s="29" t="n"/>
      <c r="I95" s="12" t="n"/>
      <c r="J95" s="12" t="n"/>
      <c r="K95" s="12" t="n"/>
      <c r="L95" s="29" t="n"/>
    </row>
    <row r="96" ht="22" customHeight="1">
      <c r="B96" s="16">
        <f>IF(C96="","REL-"&amp;TEXT(COUNTA($C$5:C96),"000"))</f>
        <v/>
      </c>
      <c r="C96" s="14" t="n"/>
      <c r="D96" s="14" t="n"/>
      <c r="E96" s="14" t="n"/>
      <c r="F96" s="14" t="n"/>
      <c r="G96" s="14" t="n"/>
      <c r="H96" s="30" t="n"/>
      <c r="I96" s="14" t="n"/>
      <c r="J96" s="14" t="n"/>
      <c r="K96" s="14" t="n"/>
      <c r="L96" s="30" t="n"/>
    </row>
    <row r="97" ht="22" customHeight="1">
      <c r="B97" s="17">
        <f>IF(C97="","REL-"&amp;TEXT(COUNTA($C$5:C97),"000"))</f>
        <v/>
      </c>
      <c r="C97" s="12" t="n"/>
      <c r="D97" s="12" t="n"/>
      <c r="E97" s="12" t="n"/>
      <c r="F97" s="12" t="n"/>
      <c r="G97" s="12" t="n"/>
      <c r="H97" s="29" t="n"/>
      <c r="I97" s="12" t="n"/>
      <c r="J97" s="12" t="n"/>
      <c r="K97" s="12" t="n"/>
      <c r="L97" s="29" t="n"/>
    </row>
    <row r="98" ht="22" customHeight="1">
      <c r="B98" s="16">
        <f>IF(C98="","REL-"&amp;TEXT(COUNTA($C$5:C98),"000"))</f>
        <v/>
      </c>
      <c r="C98" s="14" t="n"/>
      <c r="D98" s="14" t="n"/>
      <c r="E98" s="14" t="n"/>
      <c r="F98" s="14" t="n"/>
      <c r="G98" s="14" t="n"/>
      <c r="H98" s="30" t="n"/>
      <c r="I98" s="14" t="n"/>
      <c r="J98" s="14" t="n"/>
      <c r="K98" s="14" t="n"/>
      <c r="L98" s="30" t="n"/>
    </row>
    <row r="99" ht="22" customHeight="1">
      <c r="B99" s="17">
        <f>IF(C99="","REL-"&amp;TEXT(COUNTA($C$5:C99),"000"))</f>
        <v/>
      </c>
      <c r="C99" s="12" t="n"/>
      <c r="D99" s="12" t="n"/>
      <c r="E99" s="12" t="n"/>
      <c r="F99" s="12" t="n"/>
      <c r="G99" s="12" t="n"/>
      <c r="H99" s="29" t="n"/>
      <c r="I99" s="12" t="n"/>
      <c r="J99" s="12" t="n"/>
      <c r="K99" s="12" t="n"/>
      <c r="L99" s="29" t="n"/>
    </row>
    <row r="100" ht="22" customHeight="1">
      <c r="B100" s="16">
        <f>IF(C100="","REL-"&amp;TEXT(COUNTA($C$5:C100),"000"))</f>
        <v/>
      </c>
      <c r="C100" s="14" t="n"/>
      <c r="D100" s="14" t="n"/>
      <c r="E100" s="14" t="n"/>
      <c r="F100" s="14" t="n"/>
      <c r="G100" s="14" t="n"/>
      <c r="H100" s="30" t="n"/>
      <c r="I100" s="14" t="n"/>
      <c r="J100" s="14" t="n"/>
      <c r="K100" s="14" t="n"/>
      <c r="L100" s="30" t="n"/>
    </row>
    <row r="101" ht="22" customHeight="1">
      <c r="B101" s="17">
        <f>IF(C101="","REL-"&amp;TEXT(COUNTA($C$5:C101),"000"))</f>
        <v/>
      </c>
      <c r="C101" s="12" t="n"/>
      <c r="D101" s="12" t="n"/>
      <c r="E101" s="12" t="n"/>
      <c r="F101" s="12" t="n"/>
      <c r="G101" s="12" t="n"/>
      <c r="H101" s="29" t="n"/>
      <c r="I101" s="12" t="n"/>
      <c r="J101" s="12" t="n"/>
      <c r="K101" s="12" t="n"/>
      <c r="L101" s="29" t="n"/>
    </row>
    <row r="102" ht="22" customHeight="1">
      <c r="B102" s="16">
        <f>IF(C102="","REL-"&amp;TEXT(COUNTA($C$5:C102),"000"))</f>
        <v/>
      </c>
      <c r="C102" s="14" t="n"/>
      <c r="D102" s="14" t="n"/>
      <c r="E102" s="14" t="n"/>
      <c r="F102" s="14" t="n"/>
      <c r="G102" s="14" t="n"/>
      <c r="H102" s="30" t="n"/>
      <c r="I102" s="14" t="n"/>
      <c r="J102" s="14" t="n"/>
      <c r="K102" s="14" t="n"/>
      <c r="L102" s="30" t="n"/>
    </row>
    <row r="103" ht="22" customHeight="1">
      <c r="B103" s="17">
        <f>IF(C103="","REL-"&amp;TEXT(COUNTA($C$5:C103),"000"))</f>
        <v/>
      </c>
      <c r="C103" s="12" t="n"/>
      <c r="D103" s="12" t="n"/>
      <c r="E103" s="12" t="n"/>
      <c r="F103" s="12" t="n"/>
      <c r="G103" s="12" t="n"/>
      <c r="H103" s="29" t="n"/>
      <c r="I103" s="12" t="n"/>
      <c r="J103" s="12" t="n"/>
      <c r="K103" s="12" t="n"/>
      <c r="L103" s="29" t="n"/>
    </row>
    <row r="104" ht="22" customHeight="1">
      <c r="B104" s="16">
        <f>IF(C104="","REL-"&amp;TEXT(COUNTA($C$5:C104),"000"))</f>
        <v/>
      </c>
      <c r="C104" s="14" t="n"/>
      <c r="D104" s="14" t="n"/>
      <c r="E104" s="14" t="n"/>
      <c r="F104" s="14" t="n"/>
      <c r="G104" s="14" t="n"/>
      <c r="H104" s="30" t="n"/>
      <c r="I104" s="14" t="n"/>
      <c r="J104" s="14" t="n"/>
      <c r="K104" s="14" t="n"/>
      <c r="L104" s="30" t="n"/>
    </row>
    <row r="105" ht="22" customHeight="1">
      <c r="B105" s="17">
        <f>IF(C105="","REL-"&amp;TEXT(COUNTA($C$5:C105),"000"))</f>
        <v/>
      </c>
      <c r="C105" s="12" t="n"/>
      <c r="D105" s="12" t="n"/>
      <c r="E105" s="12" t="n"/>
      <c r="F105" s="12" t="n"/>
      <c r="G105" s="12" t="n"/>
      <c r="H105" s="29" t="n"/>
      <c r="I105" s="12" t="n"/>
      <c r="J105" s="12" t="n"/>
      <c r="K105" s="12" t="n"/>
      <c r="L105" s="29" t="n"/>
    </row>
    <row r="106" ht="22" customHeight="1">
      <c r="B106" s="16">
        <f>IF(C106="","REL-"&amp;TEXT(COUNTA($C$5:C106),"000"))</f>
        <v/>
      </c>
      <c r="C106" s="14" t="n"/>
      <c r="D106" s="14" t="n"/>
      <c r="E106" s="14" t="n"/>
      <c r="F106" s="14" t="n"/>
      <c r="G106" s="14" t="n"/>
      <c r="H106" s="30" t="n"/>
      <c r="I106" s="14" t="n"/>
      <c r="J106" s="14" t="n"/>
      <c r="K106" s="14" t="n"/>
      <c r="L106" s="30" t="n"/>
    </row>
    <row r="107" ht="22" customHeight="1">
      <c r="B107" s="17">
        <f>IF(C107="","REL-"&amp;TEXT(COUNTA($C$5:C107),"000"))</f>
        <v/>
      </c>
      <c r="C107" s="12" t="n"/>
      <c r="D107" s="12" t="n"/>
      <c r="E107" s="12" t="n"/>
      <c r="F107" s="12" t="n"/>
      <c r="G107" s="12" t="n"/>
      <c r="H107" s="29" t="n"/>
      <c r="I107" s="12" t="n"/>
      <c r="J107" s="12" t="n"/>
      <c r="K107" s="12" t="n"/>
      <c r="L107" s="29" t="n"/>
    </row>
    <row r="108" ht="22" customHeight="1">
      <c r="B108" s="16">
        <f>IF(C108="","REL-"&amp;TEXT(COUNTA($C$5:C108),"000"))</f>
        <v/>
      </c>
      <c r="C108" s="14" t="n"/>
      <c r="D108" s="14" t="n"/>
      <c r="E108" s="14" t="n"/>
      <c r="F108" s="14" t="n"/>
      <c r="G108" s="14" t="n"/>
      <c r="H108" s="30" t="n"/>
      <c r="I108" s="14" t="n"/>
      <c r="J108" s="14" t="n"/>
      <c r="K108" s="14" t="n"/>
      <c r="L108" s="30" t="n"/>
    </row>
    <row r="109" ht="22" customHeight="1">
      <c r="B109" s="17">
        <f>IF(C109="","REL-"&amp;TEXT(COUNTA($C$5:C109),"000"))</f>
        <v/>
      </c>
      <c r="C109" s="12" t="n"/>
      <c r="D109" s="12" t="n"/>
      <c r="E109" s="12" t="n"/>
      <c r="F109" s="12" t="n"/>
      <c r="G109" s="12" t="n"/>
      <c r="H109" s="29" t="n"/>
      <c r="I109" s="12" t="n"/>
      <c r="J109" s="12" t="n"/>
      <c r="K109" s="12" t="n"/>
      <c r="L109" s="29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Postes cles couverts</t>
        </is>
      </c>
      <c r="D112" s="3" t="inlineStr">
        <is>
          <t>Prets</t>
        </is>
      </c>
      <c r="F112" s="3" t="inlineStr">
        <is>
          <t>En formation</t>
        </is>
      </c>
    </row>
    <row r="113">
      <c r="B113" s="4">
        <f>COUNTIF(B5:B104,"&lt;&gt;")</f>
        <v/>
      </c>
      <c r="D113" s="4">
        <f>COUNTIF(K5:K104,"Pret")+COUNTIF(K5:K104,"Nomme")</f>
        <v/>
      </c>
      <c r="F113" s="4">
        <f>COUNTIF(K5:K104,"En formation")</f>
        <v/>
      </c>
    </row>
  </sheetData>
  <mergeCells count="3">
    <mergeCell ref="B2:L2"/>
    <mergeCell ref="B111:L111"/>
    <mergeCell ref="B3:L3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F5:F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9" showDropDown="0" showInputMessage="0" showErrorMessage="0" allowBlank="1" errorTitle="Erreur" error="Valeur invalide" promptTitle="Liste" prompt="Choisir dans la liste" type="list">
      <formula1>'_Lists'!$K$2:$K$7</formula1>
    </dataValidation>
    <dataValidation sqref="K5:K109" showDropDown="0" showInputMessage="0" showErrorMessage="0" allowBlank="1" errorTitle="Erreur" error="Valeur invalide" promptTitle="Liste" prompt="Choisir dans la liste" type="list">
      <formula1>'_Lists'!$K$2:$K$7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2" customWidth="1" min="5" max="5"/>
    <col width="22" customWidth="1" min="6" max="6"/>
    <col width="20" customWidth="1" min="7" max="7"/>
    <col width="14" customWidth="1" min="8" max="8"/>
    <col width="14" customWidth="1" min="9" max="9"/>
    <col width="40" customWidth="1" min="10" max="10"/>
    <col width="12" customWidth="1" min="11" max="11"/>
    <col width="36" customWidth="1" min="12" max="12"/>
  </cols>
  <sheetData>
    <row r="1" ht="15" customHeight="1"/>
    <row r="2" ht="32" customHeight="1">
      <c r="B2" s="1" t="inlineStr">
        <is>
          <t>PROGRAMMES DE MENTORAT (#111)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Mentore</t>
        </is>
      </c>
      <c r="D4" s="11" t="inlineStr">
        <is>
          <t>Poste Mentore</t>
        </is>
      </c>
      <c r="E4" s="11" t="inlineStr">
        <is>
          <t>Mentor</t>
        </is>
      </c>
      <c r="F4" s="11" t="inlineStr">
        <is>
          <t>Poste Mentor</t>
        </is>
      </c>
      <c r="G4" s="11" t="inlineStr">
        <is>
          <t>Type Mentorat</t>
        </is>
      </c>
      <c r="H4" s="11" t="inlineStr">
        <is>
          <t>Date Debut</t>
        </is>
      </c>
      <c r="I4" s="11" t="inlineStr">
        <is>
          <t>Date Fin</t>
        </is>
      </c>
      <c r="J4" s="11" t="inlineStr">
        <is>
          <t>Objectifs</t>
        </is>
      </c>
      <c r="K4" s="11" t="inlineStr">
        <is>
          <t>Statut</t>
        </is>
      </c>
      <c r="L4" s="11" t="inlineStr">
        <is>
          <t>Bilan</t>
        </is>
      </c>
    </row>
    <row r="5" ht="22" customHeight="1">
      <c r="B5" s="12" t="inlineStr">
        <is>
          <t>MEN-001</t>
        </is>
      </c>
      <c r="C5" s="12" t="inlineStr">
        <is>
          <t>Nganou D.</t>
        </is>
      </c>
      <c r="D5" s="12" t="inlineStr">
        <is>
          <t>Receptionniste</t>
        </is>
      </c>
      <c r="E5" s="12" t="inlineStr">
        <is>
          <t>Nkoulou Mbarga P.</t>
        </is>
      </c>
      <c r="F5" s="12" t="inlineStr">
        <is>
          <t>Chef Reception</t>
        </is>
      </c>
      <c r="G5" s="12" t="inlineStr">
        <is>
          <t>Mentorat classique</t>
        </is>
      </c>
      <c r="H5" s="29" t="n">
        <v>45689</v>
      </c>
      <c r="I5" s="29" t="n">
        <v>45870</v>
      </c>
      <c r="J5" s="12" t="inlineStr">
        <is>
          <t>Developper competences supervision et gestion plannings</t>
        </is>
      </c>
      <c r="K5" s="12" t="inlineStr">
        <is>
          <t>En cours</t>
        </is>
      </c>
      <c r="L5" s="12" t="inlineStr">
        <is>
          <t>Progression satisfaisante, confiance renforcee</t>
        </is>
      </c>
    </row>
    <row r="6" ht="22" customHeight="1">
      <c r="B6" s="14" t="inlineStr">
        <is>
          <t>MEN-002</t>
        </is>
      </c>
      <c r="C6" s="14" t="inlineStr">
        <is>
          <t>Fouda M.</t>
        </is>
      </c>
      <c r="D6" s="14" t="inlineStr">
        <is>
          <t>Cuisinier</t>
        </is>
      </c>
      <c r="E6" s="14" t="inlineStr">
        <is>
          <t>Biyong Jean M.</t>
        </is>
      </c>
      <c r="F6" s="14" t="inlineStr">
        <is>
          <t>Chef Cuisine</t>
        </is>
      </c>
      <c r="G6" s="14" t="inlineStr">
        <is>
          <t>Tutorat</t>
        </is>
      </c>
      <c r="H6" s="30" t="n">
        <v>45672</v>
      </c>
      <c r="I6" s="30" t="n">
        <v>45853</v>
      </c>
      <c r="J6" s="14" t="inlineStr">
        <is>
          <t>Maitrise gestion brigade, creation menus, gestion stocks</t>
        </is>
      </c>
      <c r="K6" s="14" t="inlineStr">
        <is>
          <t>En cours</t>
        </is>
      </c>
      <c r="L6" s="14" t="inlineStr">
        <is>
          <t>Bon apprenti, creative, discipline renforcee</t>
        </is>
      </c>
    </row>
    <row r="7" ht="22" customHeight="1">
      <c r="B7" s="12" t="inlineStr">
        <is>
          <t>MEN-003</t>
        </is>
      </c>
      <c r="C7" s="12" t="inlineStr">
        <is>
          <t>Assistante RH Ngo M.</t>
        </is>
      </c>
      <c r="D7" s="12" t="inlineStr">
        <is>
          <t>Assistante RH</t>
        </is>
      </c>
      <c r="E7" s="12" t="inlineStr">
        <is>
          <t>Fotso M.</t>
        </is>
      </c>
      <c r="F7" s="12" t="inlineStr">
        <is>
          <t>DRH</t>
        </is>
      </c>
      <c r="G7" s="12" t="inlineStr">
        <is>
          <t>Coaching</t>
        </is>
      </c>
      <c r="H7" s="29" t="n">
        <v>45717</v>
      </c>
      <c r="I7" s="29" t="n">
        <v>46022</v>
      </c>
      <c r="J7" s="12" t="inlineStr">
        <is>
          <t>Preparation au poste de DRH adjoint, droit travail avance</t>
        </is>
      </c>
      <c r="K7" s="12" t="inlineStr">
        <is>
          <t>En cours</t>
        </is>
      </c>
      <c r="L7" s="12" t="inlineStr">
        <is>
          <t>Autonome croissante, bonne capacite decisionnelle</t>
        </is>
      </c>
    </row>
    <row r="8" ht="22" customHeight="1">
      <c r="B8" s="14" t="inlineStr">
        <is>
          <t>MEN-004</t>
        </is>
      </c>
      <c r="C8" s="14" t="inlineStr">
        <is>
          <t>Tamo Eric</t>
        </is>
      </c>
      <c r="D8" s="14" t="inlineStr">
        <is>
          <t>Technicien IT</t>
        </is>
      </c>
      <c r="E8" s="14" t="inlineStr">
        <is>
          <t>Consultant externe</t>
        </is>
      </c>
      <c r="F8" s="14" t="inlineStr">
        <is>
          <t>Consultant IT senior</t>
        </is>
      </c>
      <c r="G8" s="14" t="inlineStr">
        <is>
          <t>Coaching</t>
        </is>
      </c>
      <c r="H8" s="30" t="n">
        <v>45748</v>
      </c>
      <c r="I8" s="30" t="n">
        <v>45931</v>
      </c>
      <c r="J8" s="14" t="inlineStr">
        <is>
          <t>Certification reseau et cybersecurite</t>
        </is>
      </c>
      <c r="K8" s="14" t="inlineStr">
        <is>
          <t>En cours</t>
        </is>
      </c>
      <c r="L8" s="14" t="inlineStr">
        <is>
          <t>Certification en bonne voie, motivation forte</t>
        </is>
      </c>
    </row>
    <row r="9" ht="22" customHeight="1">
      <c r="B9" s="12" t="inlineStr">
        <is>
          <t>MEN-005</t>
        </is>
      </c>
      <c r="C9" s="12" t="inlineStr">
        <is>
          <t>Bekolo A.</t>
        </is>
      </c>
      <c r="D9" s="12" t="inlineStr">
        <is>
          <t>Agent Entretien</t>
        </is>
      </c>
      <c r="E9" s="12" t="inlineStr">
        <is>
          <t>Tchinda P.</t>
        </is>
      </c>
      <c r="F9" s="12" t="inlineStr">
        <is>
          <t>Chef Entretien</t>
        </is>
      </c>
      <c r="G9" s="12" t="inlineStr">
        <is>
          <t>Shadowing</t>
        </is>
      </c>
      <c r="H9" s="29" t="n">
        <v>45778</v>
      </c>
      <c r="I9" s="29" t="n">
        <v>45870</v>
      </c>
      <c r="J9" s="12" t="inlineStr">
        <is>
          <t>Observation gestion equipe entretien et planning</t>
        </is>
      </c>
      <c r="K9" s="12" t="inlineStr">
        <is>
          <t>En cours</t>
        </is>
      </c>
      <c r="L9" s="12" t="inlineStr">
        <is>
          <t>Observation active, bonnes remarques</t>
        </is>
      </c>
    </row>
    <row r="10" ht="22" customHeight="1">
      <c r="B10" s="16">
        <f>IF(C10="","MEN-"&amp;TEXT(COUNTA($C$5:C10),"000"))</f>
        <v/>
      </c>
      <c r="C10" s="14" t="n"/>
      <c r="D10" s="14" t="n"/>
      <c r="E10" s="14" t="n"/>
      <c r="F10" s="14" t="n"/>
      <c r="G10" s="14" t="n"/>
      <c r="H10" s="30" t="n"/>
      <c r="I10" s="30" t="n"/>
      <c r="J10" s="14" t="n"/>
      <c r="K10" s="14" t="n"/>
      <c r="L10" s="14" t="n"/>
    </row>
    <row r="11" ht="22" customHeight="1">
      <c r="B11" s="17">
        <f>IF(C11="","MEN-"&amp;TEXT(COUNTA($C$5:C11),"000"))</f>
        <v/>
      </c>
      <c r="C11" s="12" t="n"/>
      <c r="D11" s="12" t="n"/>
      <c r="E11" s="12" t="n"/>
      <c r="F11" s="12" t="n"/>
      <c r="G11" s="12" t="n"/>
      <c r="H11" s="29" t="n"/>
      <c r="I11" s="29" t="n"/>
      <c r="J11" s="12" t="n"/>
      <c r="K11" s="12" t="n"/>
      <c r="L11" s="12" t="n"/>
    </row>
    <row r="12" ht="22" customHeight="1">
      <c r="B12" s="16">
        <f>IF(C12="","MEN-"&amp;TEXT(COUNTA($C$5:C12),"000"))</f>
        <v/>
      </c>
      <c r="C12" s="14" t="n"/>
      <c r="D12" s="14" t="n"/>
      <c r="E12" s="14" t="n"/>
      <c r="F12" s="14" t="n"/>
      <c r="G12" s="14" t="n"/>
      <c r="H12" s="30" t="n"/>
      <c r="I12" s="30" t="n"/>
      <c r="J12" s="14" t="n"/>
      <c r="K12" s="14" t="n"/>
      <c r="L12" s="14" t="n"/>
    </row>
    <row r="13" ht="22" customHeight="1">
      <c r="B13" s="17">
        <f>IF(C13="","MEN-"&amp;TEXT(COUNTA($C$5:C13),"000"))</f>
        <v/>
      </c>
      <c r="C13" s="12" t="n"/>
      <c r="D13" s="12" t="n"/>
      <c r="E13" s="12" t="n"/>
      <c r="F13" s="12" t="n"/>
      <c r="G13" s="12" t="n"/>
      <c r="H13" s="29" t="n"/>
      <c r="I13" s="29" t="n"/>
      <c r="J13" s="12" t="n"/>
      <c r="K13" s="12" t="n"/>
      <c r="L13" s="12" t="n"/>
    </row>
    <row r="14" ht="22" customHeight="1">
      <c r="B14" s="16">
        <f>IF(C14="","MEN-"&amp;TEXT(COUNTA($C$5:C14),"000"))</f>
        <v/>
      </c>
      <c r="C14" s="14" t="n"/>
      <c r="D14" s="14" t="n"/>
      <c r="E14" s="14" t="n"/>
      <c r="F14" s="14" t="n"/>
      <c r="G14" s="14" t="n"/>
      <c r="H14" s="30" t="n"/>
      <c r="I14" s="30" t="n"/>
      <c r="J14" s="14" t="n"/>
      <c r="K14" s="14" t="n"/>
      <c r="L14" s="14" t="n"/>
    </row>
    <row r="15" ht="22" customHeight="1">
      <c r="B15" s="17">
        <f>IF(C15="","MEN-"&amp;TEXT(COUNTA($C$5:C15),"000"))</f>
        <v/>
      </c>
      <c r="C15" s="12" t="n"/>
      <c r="D15" s="12" t="n"/>
      <c r="E15" s="12" t="n"/>
      <c r="F15" s="12" t="n"/>
      <c r="G15" s="12" t="n"/>
      <c r="H15" s="29" t="n"/>
      <c r="I15" s="29" t="n"/>
      <c r="J15" s="12" t="n"/>
      <c r="K15" s="12" t="n"/>
      <c r="L15" s="12" t="n"/>
    </row>
    <row r="16" ht="22" customHeight="1">
      <c r="B16" s="16">
        <f>IF(C16="","MEN-"&amp;TEXT(COUNTA($C$5:C16),"000"))</f>
        <v/>
      </c>
      <c r="C16" s="14" t="n"/>
      <c r="D16" s="14" t="n"/>
      <c r="E16" s="14" t="n"/>
      <c r="F16" s="14" t="n"/>
      <c r="G16" s="14" t="n"/>
      <c r="H16" s="30" t="n"/>
      <c r="I16" s="30" t="n"/>
      <c r="J16" s="14" t="n"/>
      <c r="K16" s="14" t="n"/>
      <c r="L16" s="14" t="n"/>
    </row>
    <row r="17" ht="22" customHeight="1">
      <c r="B17" s="17">
        <f>IF(C17="","MEN-"&amp;TEXT(COUNTA($C$5:C17),"000"))</f>
        <v/>
      </c>
      <c r="C17" s="12" t="n"/>
      <c r="D17" s="12" t="n"/>
      <c r="E17" s="12" t="n"/>
      <c r="F17" s="12" t="n"/>
      <c r="G17" s="12" t="n"/>
      <c r="H17" s="29" t="n"/>
      <c r="I17" s="29" t="n"/>
      <c r="J17" s="12" t="n"/>
      <c r="K17" s="12" t="n"/>
      <c r="L17" s="12" t="n"/>
    </row>
    <row r="18" ht="22" customHeight="1">
      <c r="B18" s="16">
        <f>IF(C18="","MEN-"&amp;TEXT(COUNTA($C$5:C18),"000"))</f>
        <v/>
      </c>
      <c r="C18" s="14" t="n"/>
      <c r="D18" s="14" t="n"/>
      <c r="E18" s="14" t="n"/>
      <c r="F18" s="14" t="n"/>
      <c r="G18" s="14" t="n"/>
      <c r="H18" s="30" t="n"/>
      <c r="I18" s="30" t="n"/>
      <c r="J18" s="14" t="n"/>
      <c r="K18" s="14" t="n"/>
      <c r="L18" s="14" t="n"/>
    </row>
    <row r="19" ht="22" customHeight="1">
      <c r="B19" s="17">
        <f>IF(C19="","MEN-"&amp;TEXT(COUNTA($C$5:C19),"000"))</f>
        <v/>
      </c>
      <c r="C19" s="12" t="n"/>
      <c r="D19" s="12" t="n"/>
      <c r="E19" s="12" t="n"/>
      <c r="F19" s="12" t="n"/>
      <c r="G19" s="12" t="n"/>
      <c r="H19" s="29" t="n"/>
      <c r="I19" s="29" t="n"/>
      <c r="J19" s="12" t="n"/>
      <c r="K19" s="12" t="n"/>
      <c r="L19" s="12" t="n"/>
    </row>
    <row r="20" ht="22" customHeight="1">
      <c r="B20" s="16">
        <f>IF(C20="","MEN-"&amp;TEXT(COUNTA($C$5:C20),"000"))</f>
        <v/>
      </c>
      <c r="C20" s="14" t="n"/>
      <c r="D20" s="14" t="n"/>
      <c r="E20" s="14" t="n"/>
      <c r="F20" s="14" t="n"/>
      <c r="G20" s="14" t="n"/>
      <c r="H20" s="30" t="n"/>
      <c r="I20" s="30" t="n"/>
      <c r="J20" s="14" t="n"/>
      <c r="K20" s="14" t="n"/>
      <c r="L20" s="14" t="n"/>
    </row>
    <row r="21" ht="22" customHeight="1">
      <c r="B21" s="17">
        <f>IF(C21="","MEN-"&amp;TEXT(COUNTA($C$5:C21),"000"))</f>
        <v/>
      </c>
      <c r="C21" s="12" t="n"/>
      <c r="D21" s="12" t="n"/>
      <c r="E21" s="12" t="n"/>
      <c r="F21" s="12" t="n"/>
      <c r="G21" s="12" t="n"/>
      <c r="H21" s="29" t="n"/>
      <c r="I21" s="29" t="n"/>
      <c r="J21" s="12" t="n"/>
      <c r="K21" s="12" t="n"/>
      <c r="L21" s="12" t="n"/>
    </row>
    <row r="22" ht="22" customHeight="1">
      <c r="B22" s="16">
        <f>IF(C22="","MEN-"&amp;TEXT(COUNTA($C$5:C22),"000"))</f>
        <v/>
      </c>
      <c r="C22" s="14" t="n"/>
      <c r="D22" s="14" t="n"/>
      <c r="E22" s="14" t="n"/>
      <c r="F22" s="14" t="n"/>
      <c r="G22" s="14" t="n"/>
      <c r="H22" s="30" t="n"/>
      <c r="I22" s="30" t="n"/>
      <c r="J22" s="14" t="n"/>
      <c r="K22" s="14" t="n"/>
      <c r="L22" s="14" t="n"/>
    </row>
    <row r="23" ht="22" customHeight="1">
      <c r="B23" s="17">
        <f>IF(C23="","MEN-"&amp;TEXT(COUNTA($C$5:C23),"000"))</f>
        <v/>
      </c>
      <c r="C23" s="12" t="n"/>
      <c r="D23" s="12" t="n"/>
      <c r="E23" s="12" t="n"/>
      <c r="F23" s="12" t="n"/>
      <c r="G23" s="12" t="n"/>
      <c r="H23" s="29" t="n"/>
      <c r="I23" s="29" t="n"/>
      <c r="J23" s="12" t="n"/>
      <c r="K23" s="12" t="n"/>
      <c r="L23" s="12" t="n"/>
    </row>
    <row r="24" ht="22" customHeight="1">
      <c r="B24" s="16">
        <f>IF(C24="","MEN-"&amp;TEXT(COUNTA($C$5:C24),"000"))</f>
        <v/>
      </c>
      <c r="C24" s="14" t="n"/>
      <c r="D24" s="14" t="n"/>
      <c r="E24" s="14" t="n"/>
      <c r="F24" s="14" t="n"/>
      <c r="G24" s="14" t="n"/>
      <c r="H24" s="30" t="n"/>
      <c r="I24" s="30" t="n"/>
      <c r="J24" s="14" t="n"/>
      <c r="K24" s="14" t="n"/>
      <c r="L24" s="14" t="n"/>
    </row>
    <row r="25" ht="22" customHeight="1">
      <c r="B25" s="17">
        <f>IF(C25="","MEN-"&amp;TEXT(COUNTA($C$5:C25),"000"))</f>
        <v/>
      </c>
      <c r="C25" s="12" t="n"/>
      <c r="D25" s="12" t="n"/>
      <c r="E25" s="12" t="n"/>
      <c r="F25" s="12" t="n"/>
      <c r="G25" s="12" t="n"/>
      <c r="H25" s="29" t="n"/>
      <c r="I25" s="29" t="n"/>
      <c r="J25" s="12" t="n"/>
      <c r="K25" s="12" t="n"/>
      <c r="L25" s="12" t="n"/>
    </row>
    <row r="26" ht="22" customHeight="1">
      <c r="B26" s="16">
        <f>IF(C26="","MEN-"&amp;TEXT(COUNTA($C$5:C26),"000"))</f>
        <v/>
      </c>
      <c r="C26" s="14" t="n"/>
      <c r="D26" s="14" t="n"/>
      <c r="E26" s="14" t="n"/>
      <c r="F26" s="14" t="n"/>
      <c r="G26" s="14" t="n"/>
      <c r="H26" s="30" t="n"/>
      <c r="I26" s="30" t="n"/>
      <c r="J26" s="14" t="n"/>
      <c r="K26" s="14" t="n"/>
      <c r="L26" s="14" t="n"/>
    </row>
    <row r="27" ht="22" customHeight="1">
      <c r="B27" s="17">
        <f>IF(C27="","MEN-"&amp;TEXT(COUNTA($C$5:C27),"000"))</f>
        <v/>
      </c>
      <c r="C27" s="12" t="n"/>
      <c r="D27" s="12" t="n"/>
      <c r="E27" s="12" t="n"/>
      <c r="F27" s="12" t="n"/>
      <c r="G27" s="12" t="n"/>
      <c r="H27" s="29" t="n"/>
      <c r="I27" s="29" t="n"/>
      <c r="J27" s="12" t="n"/>
      <c r="K27" s="12" t="n"/>
      <c r="L27" s="12" t="n"/>
    </row>
    <row r="28" ht="22" customHeight="1">
      <c r="B28" s="16">
        <f>IF(C28="","MEN-"&amp;TEXT(COUNTA($C$5:C28),"000"))</f>
        <v/>
      </c>
      <c r="C28" s="14" t="n"/>
      <c r="D28" s="14" t="n"/>
      <c r="E28" s="14" t="n"/>
      <c r="F28" s="14" t="n"/>
      <c r="G28" s="14" t="n"/>
      <c r="H28" s="30" t="n"/>
      <c r="I28" s="30" t="n"/>
      <c r="J28" s="14" t="n"/>
      <c r="K28" s="14" t="n"/>
      <c r="L28" s="14" t="n"/>
    </row>
    <row r="29" ht="22" customHeight="1">
      <c r="B29" s="17">
        <f>IF(C29="","MEN-"&amp;TEXT(COUNTA($C$5:C29),"000"))</f>
        <v/>
      </c>
      <c r="C29" s="12" t="n"/>
      <c r="D29" s="12" t="n"/>
      <c r="E29" s="12" t="n"/>
      <c r="F29" s="12" t="n"/>
      <c r="G29" s="12" t="n"/>
      <c r="H29" s="29" t="n"/>
      <c r="I29" s="29" t="n"/>
      <c r="J29" s="12" t="n"/>
      <c r="K29" s="12" t="n"/>
      <c r="L29" s="12" t="n"/>
    </row>
    <row r="30" ht="22" customHeight="1">
      <c r="B30" s="16">
        <f>IF(C30="","MEN-"&amp;TEXT(COUNTA($C$5:C30),"000"))</f>
        <v/>
      </c>
      <c r="C30" s="14" t="n"/>
      <c r="D30" s="14" t="n"/>
      <c r="E30" s="14" t="n"/>
      <c r="F30" s="14" t="n"/>
      <c r="G30" s="14" t="n"/>
      <c r="H30" s="30" t="n"/>
      <c r="I30" s="30" t="n"/>
      <c r="J30" s="14" t="n"/>
      <c r="K30" s="14" t="n"/>
      <c r="L30" s="14" t="n"/>
    </row>
    <row r="31" ht="22" customHeight="1">
      <c r="B31" s="17">
        <f>IF(C31="","MEN-"&amp;TEXT(COUNTA($C$5:C31),"000"))</f>
        <v/>
      </c>
      <c r="C31" s="12" t="n"/>
      <c r="D31" s="12" t="n"/>
      <c r="E31" s="12" t="n"/>
      <c r="F31" s="12" t="n"/>
      <c r="G31" s="12" t="n"/>
      <c r="H31" s="29" t="n"/>
      <c r="I31" s="29" t="n"/>
      <c r="J31" s="12" t="n"/>
      <c r="K31" s="12" t="n"/>
      <c r="L31" s="12" t="n"/>
    </row>
    <row r="32" ht="22" customHeight="1">
      <c r="B32" s="16">
        <f>IF(C32="","MEN-"&amp;TEXT(COUNTA($C$5:C32),"000"))</f>
        <v/>
      </c>
      <c r="C32" s="14" t="n"/>
      <c r="D32" s="14" t="n"/>
      <c r="E32" s="14" t="n"/>
      <c r="F32" s="14" t="n"/>
      <c r="G32" s="14" t="n"/>
      <c r="H32" s="30" t="n"/>
      <c r="I32" s="30" t="n"/>
      <c r="J32" s="14" t="n"/>
      <c r="K32" s="14" t="n"/>
      <c r="L32" s="14" t="n"/>
    </row>
    <row r="33" ht="22" customHeight="1">
      <c r="B33" s="17">
        <f>IF(C33="","MEN-"&amp;TEXT(COUNTA($C$5:C33),"000"))</f>
        <v/>
      </c>
      <c r="C33" s="12" t="n"/>
      <c r="D33" s="12" t="n"/>
      <c r="E33" s="12" t="n"/>
      <c r="F33" s="12" t="n"/>
      <c r="G33" s="12" t="n"/>
      <c r="H33" s="29" t="n"/>
      <c r="I33" s="29" t="n"/>
      <c r="J33" s="12" t="n"/>
      <c r="K33" s="12" t="n"/>
      <c r="L33" s="12" t="n"/>
    </row>
    <row r="34" ht="22" customHeight="1">
      <c r="B34" s="16">
        <f>IF(C34="","MEN-"&amp;TEXT(COUNTA($C$5:C34),"000"))</f>
        <v/>
      </c>
      <c r="C34" s="14" t="n"/>
      <c r="D34" s="14" t="n"/>
      <c r="E34" s="14" t="n"/>
      <c r="F34" s="14" t="n"/>
      <c r="G34" s="14" t="n"/>
      <c r="H34" s="30" t="n"/>
      <c r="I34" s="30" t="n"/>
      <c r="J34" s="14" t="n"/>
      <c r="K34" s="14" t="n"/>
      <c r="L34" s="14" t="n"/>
    </row>
    <row r="35" ht="22" customHeight="1">
      <c r="B35" s="17">
        <f>IF(C35="","MEN-"&amp;TEXT(COUNTA($C$5:C35),"000"))</f>
        <v/>
      </c>
      <c r="C35" s="12" t="n"/>
      <c r="D35" s="12" t="n"/>
      <c r="E35" s="12" t="n"/>
      <c r="F35" s="12" t="n"/>
      <c r="G35" s="12" t="n"/>
      <c r="H35" s="29" t="n"/>
      <c r="I35" s="29" t="n"/>
      <c r="J35" s="12" t="n"/>
      <c r="K35" s="12" t="n"/>
      <c r="L35" s="12" t="n"/>
    </row>
    <row r="36" ht="22" customHeight="1">
      <c r="B36" s="16">
        <f>IF(C36="","MEN-"&amp;TEXT(COUNTA($C$5:C36),"000"))</f>
        <v/>
      </c>
      <c r="C36" s="14" t="n"/>
      <c r="D36" s="14" t="n"/>
      <c r="E36" s="14" t="n"/>
      <c r="F36" s="14" t="n"/>
      <c r="G36" s="14" t="n"/>
      <c r="H36" s="30" t="n"/>
      <c r="I36" s="30" t="n"/>
      <c r="J36" s="14" t="n"/>
      <c r="K36" s="14" t="n"/>
      <c r="L36" s="14" t="n"/>
    </row>
    <row r="37" ht="22" customHeight="1">
      <c r="B37" s="17">
        <f>IF(C37="","MEN-"&amp;TEXT(COUNTA($C$5:C37),"000"))</f>
        <v/>
      </c>
      <c r="C37" s="12" t="n"/>
      <c r="D37" s="12" t="n"/>
      <c r="E37" s="12" t="n"/>
      <c r="F37" s="12" t="n"/>
      <c r="G37" s="12" t="n"/>
      <c r="H37" s="29" t="n"/>
      <c r="I37" s="29" t="n"/>
      <c r="J37" s="12" t="n"/>
      <c r="K37" s="12" t="n"/>
      <c r="L37" s="12" t="n"/>
    </row>
    <row r="38" ht="22" customHeight="1">
      <c r="B38" s="16">
        <f>IF(C38="","MEN-"&amp;TEXT(COUNTA($C$5:C38),"000"))</f>
        <v/>
      </c>
      <c r="C38" s="14" t="n"/>
      <c r="D38" s="14" t="n"/>
      <c r="E38" s="14" t="n"/>
      <c r="F38" s="14" t="n"/>
      <c r="G38" s="14" t="n"/>
      <c r="H38" s="30" t="n"/>
      <c r="I38" s="30" t="n"/>
      <c r="J38" s="14" t="n"/>
      <c r="K38" s="14" t="n"/>
      <c r="L38" s="14" t="n"/>
    </row>
    <row r="39" ht="22" customHeight="1">
      <c r="B39" s="17">
        <f>IF(C39="","MEN-"&amp;TEXT(COUNTA($C$5:C39),"000"))</f>
        <v/>
      </c>
      <c r="C39" s="12" t="n"/>
      <c r="D39" s="12" t="n"/>
      <c r="E39" s="12" t="n"/>
      <c r="F39" s="12" t="n"/>
      <c r="G39" s="12" t="n"/>
      <c r="H39" s="29" t="n"/>
      <c r="I39" s="29" t="n"/>
      <c r="J39" s="12" t="n"/>
      <c r="K39" s="12" t="n"/>
      <c r="L39" s="12" t="n"/>
    </row>
    <row r="40" ht="22" customHeight="1">
      <c r="B40" s="16">
        <f>IF(C40="","MEN-"&amp;TEXT(COUNTA($C$5:C40),"000"))</f>
        <v/>
      </c>
      <c r="C40" s="14" t="n"/>
      <c r="D40" s="14" t="n"/>
      <c r="E40" s="14" t="n"/>
      <c r="F40" s="14" t="n"/>
      <c r="G40" s="14" t="n"/>
      <c r="H40" s="30" t="n"/>
      <c r="I40" s="30" t="n"/>
      <c r="J40" s="14" t="n"/>
      <c r="K40" s="14" t="n"/>
      <c r="L40" s="14" t="n"/>
    </row>
    <row r="41" ht="22" customHeight="1">
      <c r="B41" s="17">
        <f>IF(C41="","MEN-"&amp;TEXT(COUNTA($C$5:C41),"000"))</f>
        <v/>
      </c>
      <c r="C41" s="12" t="n"/>
      <c r="D41" s="12" t="n"/>
      <c r="E41" s="12" t="n"/>
      <c r="F41" s="12" t="n"/>
      <c r="G41" s="12" t="n"/>
      <c r="H41" s="29" t="n"/>
      <c r="I41" s="29" t="n"/>
      <c r="J41" s="12" t="n"/>
      <c r="K41" s="12" t="n"/>
      <c r="L41" s="12" t="n"/>
    </row>
    <row r="42" ht="22" customHeight="1">
      <c r="B42" s="16">
        <f>IF(C42="","MEN-"&amp;TEXT(COUNTA($C$5:C42),"000"))</f>
        <v/>
      </c>
      <c r="C42" s="14" t="n"/>
      <c r="D42" s="14" t="n"/>
      <c r="E42" s="14" t="n"/>
      <c r="F42" s="14" t="n"/>
      <c r="G42" s="14" t="n"/>
      <c r="H42" s="30" t="n"/>
      <c r="I42" s="30" t="n"/>
      <c r="J42" s="14" t="n"/>
      <c r="K42" s="14" t="n"/>
      <c r="L42" s="14" t="n"/>
    </row>
    <row r="43" ht="22" customHeight="1">
      <c r="B43" s="17">
        <f>IF(C43="","MEN-"&amp;TEXT(COUNTA($C$5:C43),"000"))</f>
        <v/>
      </c>
      <c r="C43" s="12" t="n"/>
      <c r="D43" s="12" t="n"/>
      <c r="E43" s="12" t="n"/>
      <c r="F43" s="12" t="n"/>
      <c r="G43" s="12" t="n"/>
      <c r="H43" s="29" t="n"/>
      <c r="I43" s="29" t="n"/>
      <c r="J43" s="12" t="n"/>
      <c r="K43" s="12" t="n"/>
      <c r="L43" s="12" t="n"/>
    </row>
    <row r="44" ht="22" customHeight="1">
      <c r="B44" s="16">
        <f>IF(C44="","MEN-"&amp;TEXT(COUNTA($C$5:C44),"000"))</f>
        <v/>
      </c>
      <c r="C44" s="14" t="n"/>
      <c r="D44" s="14" t="n"/>
      <c r="E44" s="14" t="n"/>
      <c r="F44" s="14" t="n"/>
      <c r="G44" s="14" t="n"/>
      <c r="H44" s="30" t="n"/>
      <c r="I44" s="30" t="n"/>
      <c r="J44" s="14" t="n"/>
      <c r="K44" s="14" t="n"/>
      <c r="L44" s="14" t="n"/>
    </row>
    <row r="45" ht="22" customHeight="1">
      <c r="B45" s="17">
        <f>IF(C45="","MEN-"&amp;TEXT(COUNTA($C$5:C45),"000"))</f>
        <v/>
      </c>
      <c r="C45" s="12" t="n"/>
      <c r="D45" s="12" t="n"/>
      <c r="E45" s="12" t="n"/>
      <c r="F45" s="12" t="n"/>
      <c r="G45" s="12" t="n"/>
      <c r="H45" s="29" t="n"/>
      <c r="I45" s="29" t="n"/>
      <c r="J45" s="12" t="n"/>
      <c r="K45" s="12" t="n"/>
      <c r="L45" s="12" t="n"/>
    </row>
    <row r="46" ht="22" customHeight="1">
      <c r="B46" s="16">
        <f>IF(C46="","MEN-"&amp;TEXT(COUNTA($C$5:C46),"000"))</f>
        <v/>
      </c>
      <c r="C46" s="14" t="n"/>
      <c r="D46" s="14" t="n"/>
      <c r="E46" s="14" t="n"/>
      <c r="F46" s="14" t="n"/>
      <c r="G46" s="14" t="n"/>
      <c r="H46" s="30" t="n"/>
      <c r="I46" s="30" t="n"/>
      <c r="J46" s="14" t="n"/>
      <c r="K46" s="14" t="n"/>
      <c r="L46" s="14" t="n"/>
    </row>
    <row r="47" ht="22" customHeight="1">
      <c r="B47" s="17">
        <f>IF(C47="","MEN-"&amp;TEXT(COUNTA($C$5:C47),"000"))</f>
        <v/>
      </c>
      <c r="C47" s="12" t="n"/>
      <c r="D47" s="12" t="n"/>
      <c r="E47" s="12" t="n"/>
      <c r="F47" s="12" t="n"/>
      <c r="G47" s="12" t="n"/>
      <c r="H47" s="29" t="n"/>
      <c r="I47" s="29" t="n"/>
      <c r="J47" s="12" t="n"/>
      <c r="K47" s="12" t="n"/>
      <c r="L47" s="12" t="n"/>
    </row>
    <row r="48" ht="22" customHeight="1">
      <c r="B48" s="16">
        <f>IF(C48="","MEN-"&amp;TEXT(COUNTA($C$5:C48),"000"))</f>
        <v/>
      </c>
      <c r="C48" s="14" t="n"/>
      <c r="D48" s="14" t="n"/>
      <c r="E48" s="14" t="n"/>
      <c r="F48" s="14" t="n"/>
      <c r="G48" s="14" t="n"/>
      <c r="H48" s="30" t="n"/>
      <c r="I48" s="30" t="n"/>
      <c r="J48" s="14" t="n"/>
      <c r="K48" s="14" t="n"/>
      <c r="L48" s="14" t="n"/>
    </row>
    <row r="49" ht="22" customHeight="1">
      <c r="B49" s="17">
        <f>IF(C49="","MEN-"&amp;TEXT(COUNTA($C$5:C49),"000"))</f>
        <v/>
      </c>
      <c r="C49" s="12" t="n"/>
      <c r="D49" s="12" t="n"/>
      <c r="E49" s="12" t="n"/>
      <c r="F49" s="12" t="n"/>
      <c r="G49" s="12" t="n"/>
      <c r="H49" s="29" t="n"/>
      <c r="I49" s="29" t="n"/>
      <c r="J49" s="12" t="n"/>
      <c r="K49" s="12" t="n"/>
      <c r="L49" s="12" t="n"/>
    </row>
    <row r="50" ht="22" customHeight="1">
      <c r="B50" s="16">
        <f>IF(C50="","MEN-"&amp;TEXT(COUNTA($C$5:C50),"000"))</f>
        <v/>
      </c>
      <c r="C50" s="14" t="n"/>
      <c r="D50" s="14" t="n"/>
      <c r="E50" s="14" t="n"/>
      <c r="F50" s="14" t="n"/>
      <c r="G50" s="14" t="n"/>
      <c r="H50" s="30" t="n"/>
      <c r="I50" s="30" t="n"/>
      <c r="J50" s="14" t="n"/>
      <c r="K50" s="14" t="n"/>
      <c r="L50" s="14" t="n"/>
    </row>
    <row r="51" ht="22" customHeight="1">
      <c r="B51" s="17">
        <f>IF(C51="","MEN-"&amp;TEXT(COUNTA($C$5:C51),"000"))</f>
        <v/>
      </c>
      <c r="C51" s="12" t="n"/>
      <c r="D51" s="12" t="n"/>
      <c r="E51" s="12" t="n"/>
      <c r="F51" s="12" t="n"/>
      <c r="G51" s="12" t="n"/>
      <c r="H51" s="29" t="n"/>
      <c r="I51" s="29" t="n"/>
      <c r="J51" s="12" t="n"/>
      <c r="K51" s="12" t="n"/>
      <c r="L51" s="12" t="n"/>
    </row>
    <row r="52" ht="22" customHeight="1">
      <c r="B52" s="16">
        <f>IF(C52="","MEN-"&amp;TEXT(COUNTA($C$5:C52),"000"))</f>
        <v/>
      </c>
      <c r="C52" s="14" t="n"/>
      <c r="D52" s="14" t="n"/>
      <c r="E52" s="14" t="n"/>
      <c r="F52" s="14" t="n"/>
      <c r="G52" s="14" t="n"/>
      <c r="H52" s="30" t="n"/>
      <c r="I52" s="30" t="n"/>
      <c r="J52" s="14" t="n"/>
      <c r="K52" s="14" t="n"/>
      <c r="L52" s="14" t="n"/>
    </row>
    <row r="53" ht="22" customHeight="1">
      <c r="B53" s="17">
        <f>IF(C53="","MEN-"&amp;TEXT(COUNTA($C$5:C53),"000"))</f>
        <v/>
      </c>
      <c r="C53" s="12" t="n"/>
      <c r="D53" s="12" t="n"/>
      <c r="E53" s="12" t="n"/>
      <c r="F53" s="12" t="n"/>
      <c r="G53" s="12" t="n"/>
      <c r="H53" s="29" t="n"/>
      <c r="I53" s="29" t="n"/>
      <c r="J53" s="12" t="n"/>
      <c r="K53" s="12" t="n"/>
      <c r="L53" s="12" t="n"/>
    </row>
    <row r="54" ht="22" customHeight="1">
      <c r="B54" s="16">
        <f>IF(C54="","MEN-"&amp;TEXT(COUNTA($C$5:C54),"000"))</f>
        <v/>
      </c>
      <c r="C54" s="14" t="n"/>
      <c r="D54" s="14" t="n"/>
      <c r="E54" s="14" t="n"/>
      <c r="F54" s="14" t="n"/>
      <c r="G54" s="14" t="n"/>
      <c r="H54" s="30" t="n"/>
      <c r="I54" s="30" t="n"/>
      <c r="J54" s="14" t="n"/>
      <c r="K54" s="14" t="n"/>
      <c r="L54" s="14" t="n"/>
    </row>
    <row r="55" ht="22" customHeight="1">
      <c r="B55" s="17">
        <f>IF(C55="","MEN-"&amp;TEXT(COUNTA($C$5:C55),"000"))</f>
        <v/>
      </c>
      <c r="C55" s="12" t="n"/>
      <c r="D55" s="12" t="n"/>
      <c r="E55" s="12" t="n"/>
      <c r="F55" s="12" t="n"/>
      <c r="G55" s="12" t="n"/>
      <c r="H55" s="29" t="n"/>
      <c r="I55" s="29" t="n"/>
      <c r="J55" s="12" t="n"/>
      <c r="K55" s="12" t="n"/>
      <c r="L55" s="12" t="n"/>
    </row>
    <row r="56" ht="22" customHeight="1">
      <c r="B56" s="16">
        <f>IF(C56="","MEN-"&amp;TEXT(COUNTA($C$5:C56),"000"))</f>
        <v/>
      </c>
      <c r="C56" s="14" t="n"/>
      <c r="D56" s="14" t="n"/>
      <c r="E56" s="14" t="n"/>
      <c r="F56" s="14" t="n"/>
      <c r="G56" s="14" t="n"/>
      <c r="H56" s="30" t="n"/>
      <c r="I56" s="30" t="n"/>
      <c r="J56" s="14" t="n"/>
      <c r="K56" s="14" t="n"/>
      <c r="L56" s="14" t="n"/>
    </row>
    <row r="57" ht="22" customHeight="1">
      <c r="B57" s="17">
        <f>IF(C57="","MEN-"&amp;TEXT(COUNTA($C$5:C57),"000"))</f>
        <v/>
      </c>
      <c r="C57" s="12" t="n"/>
      <c r="D57" s="12" t="n"/>
      <c r="E57" s="12" t="n"/>
      <c r="F57" s="12" t="n"/>
      <c r="G57" s="12" t="n"/>
      <c r="H57" s="29" t="n"/>
      <c r="I57" s="29" t="n"/>
      <c r="J57" s="12" t="n"/>
      <c r="K57" s="12" t="n"/>
      <c r="L57" s="12" t="n"/>
    </row>
    <row r="58" ht="22" customHeight="1">
      <c r="B58" s="16">
        <f>IF(C58="","MEN-"&amp;TEXT(COUNTA($C$5:C58),"000"))</f>
        <v/>
      </c>
      <c r="C58" s="14" t="n"/>
      <c r="D58" s="14" t="n"/>
      <c r="E58" s="14" t="n"/>
      <c r="F58" s="14" t="n"/>
      <c r="G58" s="14" t="n"/>
      <c r="H58" s="30" t="n"/>
      <c r="I58" s="30" t="n"/>
      <c r="J58" s="14" t="n"/>
      <c r="K58" s="14" t="n"/>
      <c r="L58" s="14" t="n"/>
    </row>
    <row r="59" ht="22" customHeight="1">
      <c r="B59" s="17">
        <f>IF(C59="","MEN-"&amp;TEXT(COUNTA($C$5:C59),"000"))</f>
        <v/>
      </c>
      <c r="C59" s="12" t="n"/>
      <c r="D59" s="12" t="n"/>
      <c r="E59" s="12" t="n"/>
      <c r="F59" s="12" t="n"/>
      <c r="G59" s="12" t="n"/>
      <c r="H59" s="29" t="n"/>
      <c r="I59" s="29" t="n"/>
      <c r="J59" s="12" t="n"/>
      <c r="K59" s="12" t="n"/>
      <c r="L59" s="12" t="n"/>
    </row>
    <row r="60" ht="22" customHeight="1">
      <c r="B60" s="16">
        <f>IF(C60="","MEN-"&amp;TEXT(COUNTA($C$5:C60),"000"))</f>
        <v/>
      </c>
      <c r="C60" s="14" t="n"/>
      <c r="D60" s="14" t="n"/>
      <c r="E60" s="14" t="n"/>
      <c r="F60" s="14" t="n"/>
      <c r="G60" s="14" t="n"/>
      <c r="H60" s="30" t="n"/>
      <c r="I60" s="30" t="n"/>
      <c r="J60" s="14" t="n"/>
      <c r="K60" s="14" t="n"/>
      <c r="L60" s="14" t="n"/>
    </row>
    <row r="61" ht="22" customHeight="1">
      <c r="B61" s="17">
        <f>IF(C61="","MEN-"&amp;TEXT(COUNTA($C$5:C61),"000"))</f>
        <v/>
      </c>
      <c r="C61" s="12" t="n"/>
      <c r="D61" s="12" t="n"/>
      <c r="E61" s="12" t="n"/>
      <c r="F61" s="12" t="n"/>
      <c r="G61" s="12" t="n"/>
      <c r="H61" s="29" t="n"/>
      <c r="I61" s="29" t="n"/>
      <c r="J61" s="12" t="n"/>
      <c r="K61" s="12" t="n"/>
      <c r="L61" s="12" t="n"/>
    </row>
    <row r="62" ht="22" customHeight="1">
      <c r="B62" s="16">
        <f>IF(C62="","MEN-"&amp;TEXT(COUNTA($C$5:C62),"000"))</f>
        <v/>
      </c>
      <c r="C62" s="14" t="n"/>
      <c r="D62" s="14" t="n"/>
      <c r="E62" s="14" t="n"/>
      <c r="F62" s="14" t="n"/>
      <c r="G62" s="14" t="n"/>
      <c r="H62" s="30" t="n"/>
      <c r="I62" s="30" t="n"/>
      <c r="J62" s="14" t="n"/>
      <c r="K62" s="14" t="n"/>
      <c r="L62" s="14" t="n"/>
    </row>
    <row r="63" ht="22" customHeight="1">
      <c r="B63" s="17">
        <f>IF(C63="","MEN-"&amp;TEXT(COUNTA($C$5:C63),"000"))</f>
        <v/>
      </c>
      <c r="C63" s="12" t="n"/>
      <c r="D63" s="12" t="n"/>
      <c r="E63" s="12" t="n"/>
      <c r="F63" s="12" t="n"/>
      <c r="G63" s="12" t="n"/>
      <c r="H63" s="29" t="n"/>
      <c r="I63" s="29" t="n"/>
      <c r="J63" s="12" t="n"/>
      <c r="K63" s="12" t="n"/>
      <c r="L63" s="12" t="n"/>
    </row>
    <row r="64" ht="22" customHeight="1">
      <c r="B64" s="16">
        <f>IF(C64="","MEN-"&amp;TEXT(COUNTA($C$5:C64),"000"))</f>
        <v/>
      </c>
      <c r="C64" s="14" t="n"/>
      <c r="D64" s="14" t="n"/>
      <c r="E64" s="14" t="n"/>
      <c r="F64" s="14" t="n"/>
      <c r="G64" s="14" t="n"/>
      <c r="H64" s="30" t="n"/>
      <c r="I64" s="30" t="n"/>
      <c r="J64" s="14" t="n"/>
      <c r="K64" s="14" t="n"/>
      <c r="L64" s="14" t="n"/>
    </row>
    <row r="65" ht="22" customHeight="1">
      <c r="B65" s="17">
        <f>IF(C65="","MEN-"&amp;TEXT(COUNTA($C$5:C65),"000"))</f>
        <v/>
      </c>
      <c r="C65" s="12" t="n"/>
      <c r="D65" s="12" t="n"/>
      <c r="E65" s="12" t="n"/>
      <c r="F65" s="12" t="n"/>
      <c r="G65" s="12" t="n"/>
      <c r="H65" s="29" t="n"/>
      <c r="I65" s="29" t="n"/>
      <c r="J65" s="12" t="n"/>
      <c r="K65" s="12" t="n"/>
      <c r="L65" s="12" t="n"/>
    </row>
    <row r="66" ht="22" customHeight="1">
      <c r="B66" s="16">
        <f>IF(C66="","MEN-"&amp;TEXT(COUNTA($C$5:C66),"000"))</f>
        <v/>
      </c>
      <c r="C66" s="14" t="n"/>
      <c r="D66" s="14" t="n"/>
      <c r="E66" s="14" t="n"/>
      <c r="F66" s="14" t="n"/>
      <c r="G66" s="14" t="n"/>
      <c r="H66" s="30" t="n"/>
      <c r="I66" s="30" t="n"/>
      <c r="J66" s="14" t="n"/>
      <c r="K66" s="14" t="n"/>
      <c r="L66" s="14" t="n"/>
    </row>
    <row r="67" ht="22" customHeight="1">
      <c r="B67" s="17">
        <f>IF(C67="","MEN-"&amp;TEXT(COUNTA($C$5:C67),"000"))</f>
        <v/>
      </c>
      <c r="C67" s="12" t="n"/>
      <c r="D67" s="12" t="n"/>
      <c r="E67" s="12" t="n"/>
      <c r="F67" s="12" t="n"/>
      <c r="G67" s="12" t="n"/>
      <c r="H67" s="29" t="n"/>
      <c r="I67" s="29" t="n"/>
      <c r="J67" s="12" t="n"/>
      <c r="K67" s="12" t="n"/>
      <c r="L67" s="12" t="n"/>
    </row>
    <row r="68" ht="22" customHeight="1">
      <c r="B68" s="16">
        <f>IF(C68="","MEN-"&amp;TEXT(COUNTA($C$5:C68),"000"))</f>
        <v/>
      </c>
      <c r="C68" s="14" t="n"/>
      <c r="D68" s="14" t="n"/>
      <c r="E68" s="14" t="n"/>
      <c r="F68" s="14" t="n"/>
      <c r="G68" s="14" t="n"/>
      <c r="H68" s="30" t="n"/>
      <c r="I68" s="30" t="n"/>
      <c r="J68" s="14" t="n"/>
      <c r="K68" s="14" t="n"/>
      <c r="L68" s="14" t="n"/>
    </row>
    <row r="69" ht="22" customHeight="1">
      <c r="B69" s="17">
        <f>IF(C69="","MEN-"&amp;TEXT(COUNTA($C$5:C69),"000"))</f>
        <v/>
      </c>
      <c r="C69" s="12" t="n"/>
      <c r="D69" s="12" t="n"/>
      <c r="E69" s="12" t="n"/>
      <c r="F69" s="12" t="n"/>
      <c r="G69" s="12" t="n"/>
      <c r="H69" s="29" t="n"/>
      <c r="I69" s="29" t="n"/>
      <c r="J69" s="12" t="n"/>
      <c r="K69" s="12" t="n"/>
      <c r="L69" s="12" t="n"/>
    </row>
    <row r="70" ht="22" customHeight="1">
      <c r="B70" s="16">
        <f>IF(C70="","MEN-"&amp;TEXT(COUNTA($C$5:C70),"000"))</f>
        <v/>
      </c>
      <c r="C70" s="14" t="n"/>
      <c r="D70" s="14" t="n"/>
      <c r="E70" s="14" t="n"/>
      <c r="F70" s="14" t="n"/>
      <c r="G70" s="14" t="n"/>
      <c r="H70" s="30" t="n"/>
      <c r="I70" s="30" t="n"/>
      <c r="J70" s="14" t="n"/>
      <c r="K70" s="14" t="n"/>
      <c r="L70" s="14" t="n"/>
    </row>
    <row r="71" ht="22" customHeight="1">
      <c r="B71" s="17">
        <f>IF(C71="","MEN-"&amp;TEXT(COUNTA($C$5:C71),"000"))</f>
        <v/>
      </c>
      <c r="C71" s="12" t="n"/>
      <c r="D71" s="12" t="n"/>
      <c r="E71" s="12" t="n"/>
      <c r="F71" s="12" t="n"/>
      <c r="G71" s="12" t="n"/>
      <c r="H71" s="29" t="n"/>
      <c r="I71" s="29" t="n"/>
      <c r="J71" s="12" t="n"/>
      <c r="K71" s="12" t="n"/>
      <c r="L71" s="12" t="n"/>
    </row>
    <row r="72" ht="22" customHeight="1">
      <c r="B72" s="16">
        <f>IF(C72="","MEN-"&amp;TEXT(COUNTA($C$5:C72),"000"))</f>
        <v/>
      </c>
      <c r="C72" s="14" t="n"/>
      <c r="D72" s="14" t="n"/>
      <c r="E72" s="14" t="n"/>
      <c r="F72" s="14" t="n"/>
      <c r="G72" s="14" t="n"/>
      <c r="H72" s="30" t="n"/>
      <c r="I72" s="30" t="n"/>
      <c r="J72" s="14" t="n"/>
      <c r="K72" s="14" t="n"/>
      <c r="L72" s="14" t="n"/>
    </row>
    <row r="73" ht="22" customHeight="1">
      <c r="B73" s="17">
        <f>IF(C73="","MEN-"&amp;TEXT(COUNTA($C$5:C73),"000"))</f>
        <v/>
      </c>
      <c r="C73" s="12" t="n"/>
      <c r="D73" s="12" t="n"/>
      <c r="E73" s="12" t="n"/>
      <c r="F73" s="12" t="n"/>
      <c r="G73" s="12" t="n"/>
      <c r="H73" s="29" t="n"/>
      <c r="I73" s="29" t="n"/>
      <c r="J73" s="12" t="n"/>
      <c r="K73" s="12" t="n"/>
      <c r="L73" s="12" t="n"/>
    </row>
    <row r="74" ht="22" customHeight="1">
      <c r="B74" s="16">
        <f>IF(C74="","MEN-"&amp;TEXT(COUNTA($C$5:C74),"000"))</f>
        <v/>
      </c>
      <c r="C74" s="14" t="n"/>
      <c r="D74" s="14" t="n"/>
      <c r="E74" s="14" t="n"/>
      <c r="F74" s="14" t="n"/>
      <c r="G74" s="14" t="n"/>
      <c r="H74" s="30" t="n"/>
      <c r="I74" s="30" t="n"/>
      <c r="J74" s="14" t="n"/>
      <c r="K74" s="14" t="n"/>
      <c r="L74" s="14" t="n"/>
    </row>
    <row r="75" ht="22" customHeight="1">
      <c r="B75" s="17">
        <f>IF(C75="","MEN-"&amp;TEXT(COUNTA($C$5:C75),"000"))</f>
        <v/>
      </c>
      <c r="C75" s="12" t="n"/>
      <c r="D75" s="12" t="n"/>
      <c r="E75" s="12" t="n"/>
      <c r="F75" s="12" t="n"/>
      <c r="G75" s="12" t="n"/>
      <c r="H75" s="29" t="n"/>
      <c r="I75" s="29" t="n"/>
      <c r="J75" s="12" t="n"/>
      <c r="K75" s="12" t="n"/>
      <c r="L75" s="12" t="n"/>
    </row>
    <row r="76" ht="22" customHeight="1">
      <c r="B76" s="16">
        <f>IF(C76="","MEN-"&amp;TEXT(COUNTA($C$5:C76),"000"))</f>
        <v/>
      </c>
      <c r="C76" s="14" t="n"/>
      <c r="D76" s="14" t="n"/>
      <c r="E76" s="14" t="n"/>
      <c r="F76" s="14" t="n"/>
      <c r="G76" s="14" t="n"/>
      <c r="H76" s="30" t="n"/>
      <c r="I76" s="30" t="n"/>
      <c r="J76" s="14" t="n"/>
      <c r="K76" s="14" t="n"/>
      <c r="L76" s="14" t="n"/>
    </row>
    <row r="77" ht="22" customHeight="1">
      <c r="B77" s="17">
        <f>IF(C77="","MEN-"&amp;TEXT(COUNTA($C$5:C77),"000"))</f>
        <v/>
      </c>
      <c r="C77" s="12" t="n"/>
      <c r="D77" s="12" t="n"/>
      <c r="E77" s="12" t="n"/>
      <c r="F77" s="12" t="n"/>
      <c r="G77" s="12" t="n"/>
      <c r="H77" s="29" t="n"/>
      <c r="I77" s="29" t="n"/>
      <c r="J77" s="12" t="n"/>
      <c r="K77" s="12" t="n"/>
      <c r="L77" s="12" t="n"/>
    </row>
    <row r="78" ht="22" customHeight="1">
      <c r="B78" s="16">
        <f>IF(C78="","MEN-"&amp;TEXT(COUNTA($C$5:C78),"000"))</f>
        <v/>
      </c>
      <c r="C78" s="14" t="n"/>
      <c r="D78" s="14" t="n"/>
      <c r="E78" s="14" t="n"/>
      <c r="F78" s="14" t="n"/>
      <c r="G78" s="14" t="n"/>
      <c r="H78" s="30" t="n"/>
      <c r="I78" s="30" t="n"/>
      <c r="J78" s="14" t="n"/>
      <c r="K78" s="14" t="n"/>
      <c r="L78" s="14" t="n"/>
    </row>
    <row r="79" ht="22" customHeight="1">
      <c r="B79" s="17">
        <f>IF(C79="","MEN-"&amp;TEXT(COUNTA($C$5:C79),"000"))</f>
        <v/>
      </c>
      <c r="C79" s="12" t="n"/>
      <c r="D79" s="12" t="n"/>
      <c r="E79" s="12" t="n"/>
      <c r="F79" s="12" t="n"/>
      <c r="G79" s="12" t="n"/>
      <c r="H79" s="29" t="n"/>
      <c r="I79" s="29" t="n"/>
      <c r="J79" s="12" t="n"/>
      <c r="K79" s="12" t="n"/>
      <c r="L79" s="12" t="n"/>
    </row>
    <row r="80" ht="22" customHeight="1">
      <c r="B80" s="16">
        <f>IF(C80="","MEN-"&amp;TEXT(COUNTA($C$5:C80),"000"))</f>
        <v/>
      </c>
      <c r="C80" s="14" t="n"/>
      <c r="D80" s="14" t="n"/>
      <c r="E80" s="14" t="n"/>
      <c r="F80" s="14" t="n"/>
      <c r="G80" s="14" t="n"/>
      <c r="H80" s="30" t="n"/>
      <c r="I80" s="30" t="n"/>
      <c r="J80" s="14" t="n"/>
      <c r="K80" s="14" t="n"/>
      <c r="L80" s="14" t="n"/>
    </row>
    <row r="81" ht="22" customHeight="1">
      <c r="B81" s="17">
        <f>IF(C81="","MEN-"&amp;TEXT(COUNTA($C$5:C81),"000"))</f>
        <v/>
      </c>
      <c r="C81" s="12" t="n"/>
      <c r="D81" s="12" t="n"/>
      <c r="E81" s="12" t="n"/>
      <c r="F81" s="12" t="n"/>
      <c r="G81" s="12" t="n"/>
      <c r="H81" s="29" t="n"/>
      <c r="I81" s="29" t="n"/>
      <c r="J81" s="12" t="n"/>
      <c r="K81" s="12" t="n"/>
      <c r="L81" s="12" t="n"/>
    </row>
    <row r="82" ht="22" customHeight="1">
      <c r="B82" s="16">
        <f>IF(C82="","MEN-"&amp;TEXT(COUNTA($C$5:C82),"000"))</f>
        <v/>
      </c>
      <c r="C82" s="14" t="n"/>
      <c r="D82" s="14" t="n"/>
      <c r="E82" s="14" t="n"/>
      <c r="F82" s="14" t="n"/>
      <c r="G82" s="14" t="n"/>
      <c r="H82" s="30" t="n"/>
      <c r="I82" s="30" t="n"/>
      <c r="J82" s="14" t="n"/>
      <c r="K82" s="14" t="n"/>
      <c r="L82" s="14" t="n"/>
    </row>
    <row r="83" ht="22" customHeight="1">
      <c r="B83" s="17">
        <f>IF(C83="","MEN-"&amp;TEXT(COUNTA($C$5:C83),"000"))</f>
        <v/>
      </c>
      <c r="C83" s="12" t="n"/>
      <c r="D83" s="12" t="n"/>
      <c r="E83" s="12" t="n"/>
      <c r="F83" s="12" t="n"/>
      <c r="G83" s="12" t="n"/>
      <c r="H83" s="29" t="n"/>
      <c r="I83" s="29" t="n"/>
      <c r="J83" s="12" t="n"/>
      <c r="K83" s="12" t="n"/>
      <c r="L83" s="12" t="n"/>
    </row>
    <row r="84" ht="22" customHeight="1">
      <c r="B84" s="16">
        <f>IF(C84="","MEN-"&amp;TEXT(COUNTA($C$5:C84),"000"))</f>
        <v/>
      </c>
      <c r="C84" s="14" t="n"/>
      <c r="D84" s="14" t="n"/>
      <c r="E84" s="14" t="n"/>
      <c r="F84" s="14" t="n"/>
      <c r="G84" s="14" t="n"/>
      <c r="H84" s="30" t="n"/>
      <c r="I84" s="30" t="n"/>
      <c r="J84" s="14" t="n"/>
      <c r="K84" s="14" t="n"/>
      <c r="L84" s="14" t="n"/>
    </row>
    <row r="85" ht="22" customHeight="1">
      <c r="B85" s="17">
        <f>IF(C85="","MEN-"&amp;TEXT(COUNTA($C$5:C85),"000"))</f>
        <v/>
      </c>
      <c r="C85" s="12" t="n"/>
      <c r="D85" s="12" t="n"/>
      <c r="E85" s="12" t="n"/>
      <c r="F85" s="12" t="n"/>
      <c r="G85" s="12" t="n"/>
      <c r="H85" s="29" t="n"/>
      <c r="I85" s="29" t="n"/>
      <c r="J85" s="12" t="n"/>
      <c r="K85" s="12" t="n"/>
      <c r="L85" s="12" t="n"/>
    </row>
    <row r="86" ht="22" customHeight="1">
      <c r="B86" s="16">
        <f>IF(C86="","MEN-"&amp;TEXT(COUNTA($C$5:C86),"000"))</f>
        <v/>
      </c>
      <c r="C86" s="14" t="n"/>
      <c r="D86" s="14" t="n"/>
      <c r="E86" s="14" t="n"/>
      <c r="F86" s="14" t="n"/>
      <c r="G86" s="14" t="n"/>
      <c r="H86" s="30" t="n"/>
      <c r="I86" s="30" t="n"/>
      <c r="J86" s="14" t="n"/>
      <c r="K86" s="14" t="n"/>
      <c r="L86" s="14" t="n"/>
    </row>
    <row r="87" ht="22" customHeight="1">
      <c r="B87" s="17">
        <f>IF(C87="","MEN-"&amp;TEXT(COUNTA($C$5:C87),"000"))</f>
        <v/>
      </c>
      <c r="C87" s="12" t="n"/>
      <c r="D87" s="12" t="n"/>
      <c r="E87" s="12" t="n"/>
      <c r="F87" s="12" t="n"/>
      <c r="G87" s="12" t="n"/>
      <c r="H87" s="29" t="n"/>
      <c r="I87" s="29" t="n"/>
      <c r="J87" s="12" t="n"/>
      <c r="K87" s="12" t="n"/>
      <c r="L87" s="12" t="n"/>
    </row>
    <row r="88" ht="22" customHeight="1">
      <c r="B88" s="16">
        <f>IF(C88="","MEN-"&amp;TEXT(COUNTA($C$5:C88),"000"))</f>
        <v/>
      </c>
      <c r="C88" s="14" t="n"/>
      <c r="D88" s="14" t="n"/>
      <c r="E88" s="14" t="n"/>
      <c r="F88" s="14" t="n"/>
      <c r="G88" s="14" t="n"/>
      <c r="H88" s="30" t="n"/>
      <c r="I88" s="30" t="n"/>
      <c r="J88" s="14" t="n"/>
      <c r="K88" s="14" t="n"/>
      <c r="L88" s="14" t="n"/>
    </row>
    <row r="89" ht="22" customHeight="1">
      <c r="B89" s="17">
        <f>IF(C89="","MEN-"&amp;TEXT(COUNTA($C$5:C89),"000"))</f>
        <v/>
      </c>
      <c r="C89" s="12" t="n"/>
      <c r="D89" s="12" t="n"/>
      <c r="E89" s="12" t="n"/>
      <c r="F89" s="12" t="n"/>
      <c r="G89" s="12" t="n"/>
      <c r="H89" s="29" t="n"/>
      <c r="I89" s="29" t="n"/>
      <c r="J89" s="12" t="n"/>
      <c r="K89" s="12" t="n"/>
      <c r="L89" s="12" t="n"/>
    </row>
    <row r="90" ht="22" customHeight="1">
      <c r="B90" s="16">
        <f>IF(C90="","MEN-"&amp;TEXT(COUNTA($C$5:C90),"000"))</f>
        <v/>
      </c>
      <c r="C90" s="14" t="n"/>
      <c r="D90" s="14" t="n"/>
      <c r="E90" s="14" t="n"/>
      <c r="F90" s="14" t="n"/>
      <c r="G90" s="14" t="n"/>
      <c r="H90" s="30" t="n"/>
      <c r="I90" s="30" t="n"/>
      <c r="J90" s="14" t="n"/>
      <c r="K90" s="14" t="n"/>
      <c r="L90" s="14" t="n"/>
    </row>
    <row r="91" ht="22" customHeight="1">
      <c r="B91" s="17">
        <f>IF(C91="","MEN-"&amp;TEXT(COUNTA($C$5:C91),"000"))</f>
        <v/>
      </c>
      <c r="C91" s="12" t="n"/>
      <c r="D91" s="12" t="n"/>
      <c r="E91" s="12" t="n"/>
      <c r="F91" s="12" t="n"/>
      <c r="G91" s="12" t="n"/>
      <c r="H91" s="29" t="n"/>
      <c r="I91" s="29" t="n"/>
      <c r="J91" s="12" t="n"/>
      <c r="K91" s="12" t="n"/>
      <c r="L91" s="12" t="n"/>
    </row>
    <row r="92" ht="22" customHeight="1">
      <c r="B92" s="16">
        <f>IF(C92="","MEN-"&amp;TEXT(COUNTA($C$5:C92),"000"))</f>
        <v/>
      </c>
      <c r="C92" s="14" t="n"/>
      <c r="D92" s="14" t="n"/>
      <c r="E92" s="14" t="n"/>
      <c r="F92" s="14" t="n"/>
      <c r="G92" s="14" t="n"/>
      <c r="H92" s="30" t="n"/>
      <c r="I92" s="30" t="n"/>
      <c r="J92" s="14" t="n"/>
      <c r="K92" s="14" t="n"/>
      <c r="L92" s="14" t="n"/>
    </row>
    <row r="93" ht="22" customHeight="1">
      <c r="B93" s="17">
        <f>IF(C93="","MEN-"&amp;TEXT(COUNTA($C$5:C93),"000"))</f>
        <v/>
      </c>
      <c r="C93" s="12" t="n"/>
      <c r="D93" s="12" t="n"/>
      <c r="E93" s="12" t="n"/>
      <c r="F93" s="12" t="n"/>
      <c r="G93" s="12" t="n"/>
      <c r="H93" s="29" t="n"/>
      <c r="I93" s="29" t="n"/>
      <c r="J93" s="12" t="n"/>
      <c r="K93" s="12" t="n"/>
      <c r="L93" s="12" t="n"/>
    </row>
    <row r="94" ht="22" customHeight="1">
      <c r="B94" s="16">
        <f>IF(C94="","MEN-"&amp;TEXT(COUNTA($C$5:C94),"000"))</f>
        <v/>
      </c>
      <c r="C94" s="14" t="n"/>
      <c r="D94" s="14" t="n"/>
      <c r="E94" s="14" t="n"/>
      <c r="F94" s="14" t="n"/>
      <c r="G94" s="14" t="n"/>
      <c r="H94" s="30" t="n"/>
      <c r="I94" s="30" t="n"/>
      <c r="J94" s="14" t="n"/>
      <c r="K94" s="14" t="n"/>
      <c r="L94" s="14" t="n"/>
    </row>
    <row r="95" ht="22" customHeight="1">
      <c r="B95" s="17">
        <f>IF(C95="","MEN-"&amp;TEXT(COUNTA($C$5:C95),"000"))</f>
        <v/>
      </c>
      <c r="C95" s="12" t="n"/>
      <c r="D95" s="12" t="n"/>
      <c r="E95" s="12" t="n"/>
      <c r="F95" s="12" t="n"/>
      <c r="G95" s="12" t="n"/>
      <c r="H95" s="29" t="n"/>
      <c r="I95" s="29" t="n"/>
      <c r="J95" s="12" t="n"/>
      <c r="K95" s="12" t="n"/>
      <c r="L95" s="12" t="n"/>
    </row>
    <row r="96" ht="22" customHeight="1">
      <c r="B96" s="16">
        <f>IF(C96="","MEN-"&amp;TEXT(COUNTA($C$5:C96),"000"))</f>
        <v/>
      </c>
      <c r="C96" s="14" t="n"/>
      <c r="D96" s="14" t="n"/>
      <c r="E96" s="14" t="n"/>
      <c r="F96" s="14" t="n"/>
      <c r="G96" s="14" t="n"/>
      <c r="H96" s="30" t="n"/>
      <c r="I96" s="30" t="n"/>
      <c r="J96" s="14" t="n"/>
      <c r="K96" s="14" t="n"/>
      <c r="L96" s="14" t="n"/>
    </row>
    <row r="97" ht="22" customHeight="1">
      <c r="B97" s="17">
        <f>IF(C97="","MEN-"&amp;TEXT(COUNTA($C$5:C97),"000"))</f>
        <v/>
      </c>
      <c r="C97" s="12" t="n"/>
      <c r="D97" s="12" t="n"/>
      <c r="E97" s="12" t="n"/>
      <c r="F97" s="12" t="n"/>
      <c r="G97" s="12" t="n"/>
      <c r="H97" s="29" t="n"/>
      <c r="I97" s="29" t="n"/>
      <c r="J97" s="12" t="n"/>
      <c r="K97" s="12" t="n"/>
      <c r="L97" s="12" t="n"/>
    </row>
    <row r="98" ht="22" customHeight="1">
      <c r="B98" s="16">
        <f>IF(C98="","MEN-"&amp;TEXT(COUNTA($C$5:C98),"000"))</f>
        <v/>
      </c>
      <c r="C98" s="14" t="n"/>
      <c r="D98" s="14" t="n"/>
      <c r="E98" s="14" t="n"/>
      <c r="F98" s="14" t="n"/>
      <c r="G98" s="14" t="n"/>
      <c r="H98" s="30" t="n"/>
      <c r="I98" s="30" t="n"/>
      <c r="J98" s="14" t="n"/>
      <c r="K98" s="14" t="n"/>
      <c r="L98" s="14" t="n"/>
    </row>
    <row r="99" ht="22" customHeight="1">
      <c r="B99" s="17">
        <f>IF(C99="","MEN-"&amp;TEXT(COUNTA($C$5:C99),"000"))</f>
        <v/>
      </c>
      <c r="C99" s="12" t="n"/>
      <c r="D99" s="12" t="n"/>
      <c r="E99" s="12" t="n"/>
      <c r="F99" s="12" t="n"/>
      <c r="G99" s="12" t="n"/>
      <c r="H99" s="29" t="n"/>
      <c r="I99" s="29" t="n"/>
      <c r="J99" s="12" t="n"/>
      <c r="K99" s="12" t="n"/>
      <c r="L99" s="12" t="n"/>
    </row>
    <row r="100" ht="22" customHeight="1">
      <c r="B100" s="16">
        <f>IF(C100="","MEN-"&amp;TEXT(COUNTA($C$5:C100),"000"))</f>
        <v/>
      </c>
      <c r="C100" s="14" t="n"/>
      <c r="D100" s="14" t="n"/>
      <c r="E100" s="14" t="n"/>
      <c r="F100" s="14" t="n"/>
      <c r="G100" s="14" t="n"/>
      <c r="H100" s="30" t="n"/>
      <c r="I100" s="30" t="n"/>
      <c r="J100" s="14" t="n"/>
      <c r="K100" s="14" t="n"/>
      <c r="L100" s="14" t="n"/>
    </row>
    <row r="101" ht="22" customHeight="1">
      <c r="B101" s="17">
        <f>IF(C101="","MEN-"&amp;TEXT(COUNTA($C$5:C101),"000"))</f>
        <v/>
      </c>
      <c r="C101" s="12" t="n"/>
      <c r="D101" s="12" t="n"/>
      <c r="E101" s="12" t="n"/>
      <c r="F101" s="12" t="n"/>
      <c r="G101" s="12" t="n"/>
      <c r="H101" s="29" t="n"/>
      <c r="I101" s="29" t="n"/>
      <c r="J101" s="12" t="n"/>
      <c r="K101" s="12" t="n"/>
      <c r="L101" s="12" t="n"/>
    </row>
    <row r="102" ht="22" customHeight="1">
      <c r="B102" s="16">
        <f>IF(C102="","MEN-"&amp;TEXT(COUNTA($C$5:C102),"000"))</f>
        <v/>
      </c>
      <c r="C102" s="14" t="n"/>
      <c r="D102" s="14" t="n"/>
      <c r="E102" s="14" t="n"/>
      <c r="F102" s="14" t="n"/>
      <c r="G102" s="14" t="n"/>
      <c r="H102" s="30" t="n"/>
      <c r="I102" s="30" t="n"/>
      <c r="J102" s="14" t="n"/>
      <c r="K102" s="14" t="n"/>
      <c r="L102" s="14" t="n"/>
    </row>
    <row r="103" ht="22" customHeight="1">
      <c r="B103" s="17">
        <f>IF(C103="","MEN-"&amp;TEXT(COUNTA($C$5:C103),"000"))</f>
        <v/>
      </c>
      <c r="C103" s="12" t="n"/>
      <c r="D103" s="12" t="n"/>
      <c r="E103" s="12" t="n"/>
      <c r="F103" s="12" t="n"/>
      <c r="G103" s="12" t="n"/>
      <c r="H103" s="29" t="n"/>
      <c r="I103" s="29" t="n"/>
      <c r="J103" s="12" t="n"/>
      <c r="K103" s="12" t="n"/>
      <c r="L103" s="12" t="n"/>
    </row>
    <row r="104" ht="22" customHeight="1">
      <c r="B104" s="16">
        <f>IF(C104="","MEN-"&amp;TEXT(COUNTA($C$5:C104),"000"))</f>
        <v/>
      </c>
      <c r="C104" s="14" t="n"/>
      <c r="D104" s="14" t="n"/>
      <c r="E104" s="14" t="n"/>
      <c r="F104" s="14" t="n"/>
      <c r="G104" s="14" t="n"/>
      <c r="H104" s="30" t="n"/>
      <c r="I104" s="30" t="n"/>
      <c r="J104" s="14" t="n"/>
      <c r="K104" s="14" t="n"/>
      <c r="L104" s="14" t="n"/>
    </row>
    <row r="105" ht="22" customHeight="1">
      <c r="B105" s="17">
        <f>IF(C105="","MEN-"&amp;TEXT(COUNTA($C$5:C105),"000"))</f>
        <v/>
      </c>
      <c r="C105" s="12" t="n"/>
      <c r="D105" s="12" t="n"/>
      <c r="E105" s="12" t="n"/>
      <c r="F105" s="12" t="n"/>
      <c r="G105" s="12" t="n"/>
      <c r="H105" s="29" t="n"/>
      <c r="I105" s="29" t="n"/>
      <c r="J105" s="12" t="n"/>
      <c r="K105" s="12" t="n"/>
      <c r="L105" s="12" t="n"/>
    </row>
    <row r="106" ht="22" customHeight="1">
      <c r="B106" s="16">
        <f>IF(C106="","MEN-"&amp;TEXT(COUNTA($C$5:C106),"000"))</f>
        <v/>
      </c>
      <c r="C106" s="14" t="n"/>
      <c r="D106" s="14" t="n"/>
      <c r="E106" s="14" t="n"/>
      <c r="F106" s="14" t="n"/>
      <c r="G106" s="14" t="n"/>
      <c r="H106" s="30" t="n"/>
      <c r="I106" s="30" t="n"/>
      <c r="J106" s="14" t="n"/>
      <c r="K106" s="14" t="n"/>
      <c r="L106" s="14" t="n"/>
    </row>
    <row r="107" ht="22" customHeight="1">
      <c r="B107" s="17">
        <f>IF(C107="","MEN-"&amp;TEXT(COUNTA($C$5:C107),"000"))</f>
        <v/>
      </c>
      <c r="C107" s="12" t="n"/>
      <c r="D107" s="12" t="n"/>
      <c r="E107" s="12" t="n"/>
      <c r="F107" s="12" t="n"/>
      <c r="G107" s="12" t="n"/>
      <c r="H107" s="29" t="n"/>
      <c r="I107" s="29" t="n"/>
      <c r="J107" s="12" t="n"/>
      <c r="K107" s="12" t="n"/>
      <c r="L107" s="12" t="n"/>
    </row>
    <row r="108" ht="22" customHeight="1">
      <c r="B108" s="16">
        <f>IF(C108="","MEN-"&amp;TEXT(COUNTA($C$5:C108),"000"))</f>
        <v/>
      </c>
      <c r="C108" s="14" t="n"/>
      <c r="D108" s="14" t="n"/>
      <c r="E108" s="14" t="n"/>
      <c r="F108" s="14" t="n"/>
      <c r="G108" s="14" t="n"/>
      <c r="H108" s="30" t="n"/>
      <c r="I108" s="30" t="n"/>
      <c r="J108" s="14" t="n"/>
      <c r="K108" s="14" t="n"/>
      <c r="L108" s="14" t="n"/>
    </row>
    <row r="109" ht="22" customHeight="1">
      <c r="B109" s="17">
        <f>IF(C109="","MEN-"&amp;TEXT(COUNTA($C$5:C109),"000"))</f>
        <v/>
      </c>
      <c r="C109" s="12" t="n"/>
      <c r="D109" s="12" t="n"/>
      <c r="E109" s="12" t="n"/>
      <c r="F109" s="12" t="n"/>
      <c r="G109" s="12" t="n"/>
      <c r="H109" s="29" t="n"/>
      <c r="I109" s="29" t="n"/>
      <c r="J109" s="12" t="n"/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Programmes actifs</t>
        </is>
      </c>
      <c r="D112" s="3" t="inlineStr">
        <is>
          <t>En cours</t>
        </is>
      </c>
      <c r="F112" s="3" t="inlineStr">
        <is>
          <t>Termines</t>
        </is>
      </c>
    </row>
    <row r="113">
      <c r="B113" s="4">
        <f>COUNTIF(B5:B104,"&lt;&gt;")</f>
        <v/>
      </c>
      <c r="D113" s="4">
        <f>COUNTIF(K5:K104,"En cours")</f>
        <v/>
      </c>
      <c r="F113" s="4">
        <f>COUNTIF(K5:K104,"Termine")</f>
        <v/>
      </c>
    </row>
  </sheetData>
  <mergeCells count="3">
    <mergeCell ref="B2:L2"/>
    <mergeCell ref="B111:L111"/>
    <mergeCell ref="B3:L3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4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F5:F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G5:G109" showDropDown="0" showInputMessage="0" showErrorMessage="0" allowBlank="1" errorTitle="Erreur" error="Valeur invalide" promptTitle="Liste" prompt="Choisir dans la liste" type="list">
      <formula1>'_Lists'!$I$2:$I$6</formula1>
    </dataValidation>
    <dataValidation sqref="K5:K109" showDropDown="0" showInputMessage="0" showErrorMessage="0" allowBlank="1" errorTitle="Erreur" error="Valeur invalide" promptTitle="Liste" prompt="Choisir dans la liste" type="list">
      <formula1>'_Lists'!$J$2:$J$6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  <col width="36" customWidth="1" min="11" max="11"/>
    <col width="22" customWidth="1" min="12" max="12"/>
  </cols>
  <sheetData>
    <row r="1" ht="15" customHeight="1"/>
    <row r="2" ht="32" customHeight="1">
      <c r="B2" s="1" t="inlineStr">
        <is>
          <t>GESTION DES HAUTS POTENTIELS - HiPo (#112)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 Actuel</t>
        </is>
      </c>
      <c r="E4" s="11" t="inlineStr">
        <is>
          <t>Departement</t>
        </is>
      </c>
      <c r="F4" s="11" t="inlineStr">
        <is>
          <t>Performance</t>
        </is>
      </c>
      <c r="G4" s="11" t="inlineStr">
        <is>
          <t>Potentiel</t>
        </is>
      </c>
      <c r="H4" s="11" t="inlineStr">
        <is>
          <t>Score Performance (sur 100)</t>
        </is>
      </c>
      <c r="I4" s="11" t="inlineStr">
        <is>
          <t>Score Potentiel (sur 100)</t>
        </is>
      </c>
      <c r="J4" s="11" t="inlineStr">
        <is>
          <t>Score Global</t>
        </is>
      </c>
      <c r="K4" s="11" t="inlineStr">
        <is>
          <t>Parcours Recommande</t>
        </is>
      </c>
      <c r="L4" s="11" t="inlineStr">
        <is>
          <t>Decision Comite</t>
        </is>
      </c>
    </row>
    <row r="5" ht="22" customHeight="1">
      <c r="B5" s="12" t="inlineStr">
        <is>
          <t>HIP-001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Excellent</t>
        </is>
      </c>
      <c r="G5" s="12" t="inlineStr">
        <is>
          <t>Tres eleve</t>
        </is>
      </c>
      <c r="H5" s="13" t="n">
        <v>92</v>
      </c>
      <c r="I5" s="13" t="n">
        <v>88</v>
      </c>
      <c r="J5" s="13" t="n"/>
      <c r="K5" s="12" t="inlineStr">
        <is>
          <t>Programme haut potentiel 12 mois</t>
        </is>
      </c>
      <c r="L5" s="12" t="inlineStr">
        <is>
          <t>Valide DRH</t>
        </is>
      </c>
    </row>
    <row r="6" ht="22" customHeight="1">
      <c r="B6" s="14" t="inlineStr">
        <is>
          <t>HIP-002</t>
        </is>
      </c>
      <c r="C6" s="14" t="inlineStr">
        <is>
          <t>Tamo Eric</t>
        </is>
      </c>
      <c r="D6" s="14" t="inlineStr">
        <is>
          <t>Technicien IT</t>
        </is>
      </c>
      <c r="E6" s="14" t="inlineStr">
        <is>
          <t>Informatique</t>
        </is>
      </c>
      <c r="F6" s="14" t="inlineStr">
        <is>
          <t>Bon</t>
        </is>
      </c>
      <c r="G6" s="14" t="inlineStr">
        <is>
          <t>Tres eleve</t>
        </is>
      </c>
      <c r="H6" s="15" t="n">
        <v>80</v>
      </c>
      <c r="I6" s="15" t="n">
        <v>90</v>
      </c>
      <c r="J6" s="15" t="n"/>
      <c r="K6" s="14" t="inlineStr">
        <is>
          <t>Fast-track vers Chef service IT</t>
        </is>
      </c>
      <c r="L6" s="14" t="inlineStr">
        <is>
          <t>Valide DRH</t>
        </is>
      </c>
    </row>
    <row r="7" ht="22" customHeight="1">
      <c r="B7" s="12" t="inlineStr">
        <is>
          <t>HIP-003</t>
        </is>
      </c>
      <c r="C7" s="12" t="inlineStr">
        <is>
          <t>Fotsing Aude R.</t>
        </is>
      </c>
      <c r="D7" s="12" t="inlineStr">
        <is>
          <t>Sous-Chef</t>
        </is>
      </c>
      <c r="E7" s="12" t="inlineStr">
        <is>
          <t>Cuisine &amp; Restauration</t>
        </is>
      </c>
      <c r="F7" s="12" t="inlineStr">
        <is>
          <t>Tres bon</t>
        </is>
      </c>
      <c r="G7" s="12" t="inlineStr">
        <is>
          <t>Eleve</t>
        </is>
      </c>
      <c r="H7" s="13" t="n">
        <v>85</v>
      </c>
      <c r="I7" s="13" t="n">
        <v>82</v>
      </c>
      <c r="J7" s="13" t="n"/>
      <c r="K7" s="12" t="inlineStr">
        <is>
          <t>Programme Chef Cuisine cible 18 mois</t>
        </is>
      </c>
      <c r="L7" s="12" t="inlineStr">
        <is>
          <t>Valide DRH</t>
        </is>
      </c>
    </row>
    <row r="8" ht="22" customHeight="1">
      <c r="B8" s="14" t="inlineStr">
        <is>
          <t>HIP-004</t>
        </is>
      </c>
      <c r="C8" s="14" t="inlineStr">
        <is>
          <t>Assistante RH Ngo M.</t>
        </is>
      </c>
      <c r="D8" s="14" t="inlineStr">
        <is>
          <t>Assistante RH</t>
        </is>
      </c>
      <c r="E8" s="14" t="inlineStr">
        <is>
          <t>Service Client</t>
        </is>
      </c>
      <c r="F8" s="14" t="inlineStr">
        <is>
          <t>Tres bon</t>
        </is>
      </c>
      <c r="G8" s="14" t="inlineStr">
        <is>
          <t>Eleve</t>
        </is>
      </c>
      <c r="H8" s="15" t="n">
        <v>83</v>
      </c>
      <c r="I8" s="15" t="n">
        <v>80</v>
      </c>
      <c r="J8" s="15" t="n"/>
      <c r="K8" s="14" t="inlineStr">
        <is>
          <t>Preparation DRH adjoint</t>
        </is>
      </c>
      <c r="L8" s="14" t="inlineStr">
        <is>
          <t>Valide DRH</t>
        </is>
      </c>
    </row>
    <row r="9" ht="22" customHeight="1">
      <c r="B9" s="12" t="inlineStr">
        <is>
          <t>HIP-005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Réception &amp; Front Office</t>
        </is>
      </c>
      <c r="F9" s="12" t="inlineStr">
        <is>
          <t>Bon</t>
        </is>
      </c>
      <c r="G9" s="12" t="inlineStr">
        <is>
          <t>Eleve</t>
        </is>
      </c>
      <c r="H9" s="13" t="n">
        <v>78</v>
      </c>
      <c r="I9" s="13" t="n">
        <v>85</v>
      </c>
      <c r="J9" s="13" t="n"/>
      <c r="K9" s="12" t="inlineStr">
        <is>
          <t>Mentorat + responsabilites croissantes</t>
        </is>
      </c>
      <c r="L9" s="12" t="inlineStr">
        <is>
          <t>En attente validation</t>
        </is>
      </c>
    </row>
    <row r="10" ht="22" customHeight="1">
      <c r="B10" s="16">
        <f>IF(C10="","HIP-"&amp;TEXT(COUNTA($C$5:C10),"000"))</f>
        <v/>
      </c>
      <c r="C10" s="14" t="n"/>
      <c r="D10" s="14" t="n"/>
      <c r="E10" s="14" t="n"/>
      <c r="F10" s="14" t="n"/>
      <c r="G10" s="14" t="n"/>
      <c r="H10" s="15" t="n"/>
      <c r="I10" s="15" t="n"/>
      <c r="J10" s="15">
        <f>IF(OR(H10="",I10=""),"",(H10+I10)/2)</f>
        <v/>
      </c>
      <c r="K10" s="14" t="n"/>
      <c r="L10" s="14" t="n"/>
    </row>
    <row r="11" ht="22" customHeight="1">
      <c r="B11" s="17">
        <f>IF(C11="","HIP-"&amp;TEXT(COUNTA($C$5:C11),"000"))</f>
        <v/>
      </c>
      <c r="C11" s="12" t="n"/>
      <c r="D11" s="12" t="n"/>
      <c r="E11" s="12" t="n"/>
      <c r="F11" s="12" t="n"/>
      <c r="G11" s="12" t="n"/>
      <c r="H11" s="13" t="n"/>
      <c r="I11" s="13" t="n"/>
      <c r="J11" s="13">
        <f>IF(OR(H11="",I11=""),"",(H11+I11)/2)</f>
        <v/>
      </c>
      <c r="K11" s="12" t="n"/>
      <c r="L11" s="12" t="n"/>
    </row>
    <row r="12" ht="22" customHeight="1">
      <c r="B12" s="16">
        <f>IF(C12="","HIP-"&amp;TEXT(COUNTA($C$5:C12),"000"))</f>
        <v/>
      </c>
      <c r="C12" s="14" t="n"/>
      <c r="D12" s="14" t="n"/>
      <c r="E12" s="14" t="n"/>
      <c r="F12" s="14" t="n"/>
      <c r="G12" s="14" t="n"/>
      <c r="H12" s="15" t="n"/>
      <c r="I12" s="15" t="n"/>
      <c r="J12" s="15">
        <f>IF(OR(H12="",I12=""),"",(H12+I12)/2)</f>
        <v/>
      </c>
      <c r="K12" s="14" t="n"/>
      <c r="L12" s="14" t="n"/>
    </row>
    <row r="13" ht="22" customHeight="1">
      <c r="B13" s="17">
        <f>IF(C13="","HIP-"&amp;TEXT(COUNTA($C$5:C13),"000"))</f>
        <v/>
      </c>
      <c r="C13" s="12" t="n"/>
      <c r="D13" s="12" t="n"/>
      <c r="E13" s="12" t="n"/>
      <c r="F13" s="12" t="n"/>
      <c r="G13" s="12" t="n"/>
      <c r="H13" s="13" t="n"/>
      <c r="I13" s="13" t="n"/>
      <c r="J13" s="13">
        <f>IF(OR(H13="",I13=""),"",(H13+I13)/2)</f>
        <v/>
      </c>
      <c r="K13" s="12" t="n"/>
      <c r="L13" s="12" t="n"/>
    </row>
    <row r="14" ht="22" customHeight="1">
      <c r="B14" s="16">
        <f>IF(C14="","HIP-"&amp;TEXT(COUNTA($C$5:C14),"000"))</f>
        <v/>
      </c>
      <c r="C14" s="14" t="n"/>
      <c r="D14" s="14" t="n"/>
      <c r="E14" s="14" t="n"/>
      <c r="F14" s="14" t="n"/>
      <c r="G14" s="14" t="n"/>
      <c r="H14" s="15" t="n"/>
      <c r="I14" s="15" t="n"/>
      <c r="J14" s="15">
        <f>IF(OR(H14="",I14=""),"",(H14+I14)/2)</f>
        <v/>
      </c>
      <c r="K14" s="14" t="n"/>
      <c r="L14" s="14" t="n"/>
    </row>
    <row r="15" ht="22" customHeight="1">
      <c r="B15" s="17">
        <f>IF(C15="","HIP-"&amp;TEXT(COUNTA($C$5:C15),"000"))</f>
        <v/>
      </c>
      <c r="C15" s="12" t="n"/>
      <c r="D15" s="12" t="n"/>
      <c r="E15" s="12" t="n"/>
      <c r="F15" s="12" t="n"/>
      <c r="G15" s="12" t="n"/>
      <c r="H15" s="13" t="n"/>
      <c r="I15" s="13" t="n"/>
      <c r="J15" s="13">
        <f>IF(OR(H15="",I15=""),"",(H15+I15)/2)</f>
        <v/>
      </c>
      <c r="K15" s="12" t="n"/>
      <c r="L15" s="12" t="n"/>
    </row>
    <row r="16" ht="22" customHeight="1">
      <c r="B16" s="16">
        <f>IF(C16="","HIP-"&amp;TEXT(COUNTA($C$5:C16),"000"))</f>
        <v/>
      </c>
      <c r="C16" s="14" t="n"/>
      <c r="D16" s="14" t="n"/>
      <c r="E16" s="14" t="n"/>
      <c r="F16" s="14" t="n"/>
      <c r="G16" s="14" t="n"/>
      <c r="H16" s="15" t="n"/>
      <c r="I16" s="15" t="n"/>
      <c r="J16" s="15">
        <f>IF(OR(H16="",I16=""),"",(H16+I16)/2)</f>
        <v/>
      </c>
      <c r="K16" s="14" t="n"/>
      <c r="L16" s="14" t="n"/>
    </row>
    <row r="17" ht="22" customHeight="1">
      <c r="B17" s="17">
        <f>IF(C17="","HIP-"&amp;TEXT(COUNTA($C$5:C17),"000"))</f>
        <v/>
      </c>
      <c r="C17" s="12" t="n"/>
      <c r="D17" s="12" t="n"/>
      <c r="E17" s="12" t="n"/>
      <c r="F17" s="12" t="n"/>
      <c r="G17" s="12" t="n"/>
      <c r="H17" s="13" t="n"/>
      <c r="I17" s="13" t="n"/>
      <c r="J17" s="13">
        <f>IF(OR(H17="",I17=""),"",(H17+I17)/2)</f>
        <v/>
      </c>
      <c r="K17" s="12" t="n"/>
      <c r="L17" s="12" t="n"/>
    </row>
    <row r="18" ht="22" customHeight="1">
      <c r="B18" s="16">
        <f>IF(C18="","HIP-"&amp;TEXT(COUNTA($C$5:C18),"000"))</f>
        <v/>
      </c>
      <c r="C18" s="14" t="n"/>
      <c r="D18" s="14" t="n"/>
      <c r="E18" s="14" t="n"/>
      <c r="F18" s="14" t="n"/>
      <c r="G18" s="14" t="n"/>
      <c r="H18" s="15" t="n"/>
      <c r="I18" s="15" t="n"/>
      <c r="J18" s="15">
        <f>IF(OR(H18="",I18=""),"",(H18+I18)/2)</f>
        <v/>
      </c>
      <c r="K18" s="14" t="n"/>
      <c r="L18" s="14" t="n"/>
    </row>
    <row r="19" ht="22" customHeight="1">
      <c r="B19" s="17">
        <f>IF(C19="","HIP-"&amp;TEXT(COUNTA($C$5:C19),"000"))</f>
        <v/>
      </c>
      <c r="C19" s="12" t="n"/>
      <c r="D19" s="12" t="n"/>
      <c r="E19" s="12" t="n"/>
      <c r="F19" s="12" t="n"/>
      <c r="G19" s="12" t="n"/>
      <c r="H19" s="13" t="n"/>
      <c r="I19" s="13" t="n"/>
      <c r="J19" s="13">
        <f>IF(OR(H19="",I19=""),"",(H19+I19)/2)</f>
        <v/>
      </c>
      <c r="K19" s="12" t="n"/>
      <c r="L19" s="12" t="n"/>
    </row>
    <row r="20" ht="22" customHeight="1">
      <c r="B20" s="16">
        <f>IF(C20="","HIP-"&amp;TEXT(COUNTA($C$5:C20),"000"))</f>
        <v/>
      </c>
      <c r="C20" s="14" t="n"/>
      <c r="D20" s="14" t="n"/>
      <c r="E20" s="14" t="n"/>
      <c r="F20" s="14" t="n"/>
      <c r="G20" s="14" t="n"/>
      <c r="H20" s="15" t="n"/>
      <c r="I20" s="15" t="n"/>
      <c r="J20" s="15">
        <f>IF(OR(H20="",I20=""),"",(H20+I20)/2)</f>
        <v/>
      </c>
      <c r="K20" s="14" t="n"/>
      <c r="L20" s="14" t="n"/>
    </row>
    <row r="21" ht="22" customHeight="1">
      <c r="B21" s="17">
        <f>IF(C21="","HIP-"&amp;TEXT(COUNTA($C$5:C21),"000"))</f>
        <v/>
      </c>
      <c r="C21" s="12" t="n"/>
      <c r="D21" s="12" t="n"/>
      <c r="E21" s="12" t="n"/>
      <c r="F21" s="12" t="n"/>
      <c r="G21" s="12" t="n"/>
      <c r="H21" s="13" t="n"/>
      <c r="I21" s="13" t="n"/>
      <c r="J21" s="13">
        <f>IF(OR(H21="",I21=""),"",(H21+I21)/2)</f>
        <v/>
      </c>
      <c r="K21" s="12" t="n"/>
      <c r="L21" s="12" t="n"/>
    </row>
    <row r="22" ht="22" customHeight="1">
      <c r="B22" s="16">
        <f>IF(C22="","HIP-"&amp;TEXT(COUNTA($C$5:C22),"000"))</f>
        <v/>
      </c>
      <c r="C22" s="14" t="n"/>
      <c r="D22" s="14" t="n"/>
      <c r="E22" s="14" t="n"/>
      <c r="F22" s="14" t="n"/>
      <c r="G22" s="14" t="n"/>
      <c r="H22" s="15" t="n"/>
      <c r="I22" s="15" t="n"/>
      <c r="J22" s="15">
        <f>IF(OR(H22="",I22=""),"",(H22+I22)/2)</f>
        <v/>
      </c>
      <c r="K22" s="14" t="n"/>
      <c r="L22" s="14" t="n"/>
    </row>
    <row r="23" ht="22" customHeight="1">
      <c r="B23" s="17">
        <f>IF(C23="","HIP-"&amp;TEXT(COUNTA($C$5:C23),"000"))</f>
        <v/>
      </c>
      <c r="C23" s="12" t="n"/>
      <c r="D23" s="12" t="n"/>
      <c r="E23" s="12" t="n"/>
      <c r="F23" s="12" t="n"/>
      <c r="G23" s="12" t="n"/>
      <c r="H23" s="13" t="n"/>
      <c r="I23" s="13" t="n"/>
      <c r="J23" s="13">
        <f>IF(OR(H23="",I23=""),"",(H23+I23)/2)</f>
        <v/>
      </c>
      <c r="K23" s="12" t="n"/>
      <c r="L23" s="12" t="n"/>
    </row>
    <row r="24" ht="22" customHeight="1">
      <c r="B24" s="16">
        <f>IF(C24="","HIP-"&amp;TEXT(COUNTA($C$5:C24),"000"))</f>
        <v/>
      </c>
      <c r="C24" s="14" t="n"/>
      <c r="D24" s="14" t="n"/>
      <c r="E24" s="14" t="n"/>
      <c r="F24" s="14" t="n"/>
      <c r="G24" s="14" t="n"/>
      <c r="H24" s="15" t="n"/>
      <c r="I24" s="15" t="n"/>
      <c r="J24" s="15">
        <f>IF(OR(H24="",I24=""),"",(H24+I24)/2)</f>
        <v/>
      </c>
      <c r="K24" s="14" t="n"/>
      <c r="L24" s="14" t="n"/>
    </row>
    <row r="25" ht="22" customHeight="1">
      <c r="B25" s="17">
        <f>IF(C25="","HIP-"&amp;TEXT(COUNTA($C$5:C25),"000"))</f>
        <v/>
      </c>
      <c r="C25" s="12" t="n"/>
      <c r="D25" s="12" t="n"/>
      <c r="E25" s="12" t="n"/>
      <c r="F25" s="12" t="n"/>
      <c r="G25" s="12" t="n"/>
      <c r="H25" s="13" t="n"/>
      <c r="I25" s="13" t="n"/>
      <c r="J25" s="13">
        <f>IF(OR(H25="",I25=""),"",(H25+I25)/2)</f>
        <v/>
      </c>
      <c r="K25" s="12" t="n"/>
      <c r="L25" s="12" t="n"/>
    </row>
    <row r="26" ht="22" customHeight="1">
      <c r="B26" s="16">
        <f>IF(C26="","HIP-"&amp;TEXT(COUNTA($C$5:C26),"000"))</f>
        <v/>
      </c>
      <c r="C26" s="14" t="n"/>
      <c r="D26" s="14" t="n"/>
      <c r="E26" s="14" t="n"/>
      <c r="F26" s="14" t="n"/>
      <c r="G26" s="14" t="n"/>
      <c r="H26" s="15" t="n"/>
      <c r="I26" s="15" t="n"/>
      <c r="J26" s="15">
        <f>IF(OR(H26="",I26=""),"",(H26+I26)/2)</f>
        <v/>
      </c>
      <c r="K26" s="14" t="n"/>
      <c r="L26" s="14" t="n"/>
    </row>
    <row r="27" ht="22" customHeight="1">
      <c r="B27" s="17">
        <f>IF(C27="","HIP-"&amp;TEXT(COUNTA($C$5:C27),"000"))</f>
        <v/>
      </c>
      <c r="C27" s="12" t="n"/>
      <c r="D27" s="12" t="n"/>
      <c r="E27" s="12" t="n"/>
      <c r="F27" s="12" t="n"/>
      <c r="G27" s="12" t="n"/>
      <c r="H27" s="13" t="n"/>
      <c r="I27" s="13" t="n"/>
      <c r="J27" s="13">
        <f>IF(OR(H27="",I27=""),"",(H27+I27)/2)</f>
        <v/>
      </c>
      <c r="K27" s="12" t="n"/>
      <c r="L27" s="12" t="n"/>
    </row>
    <row r="28" ht="22" customHeight="1">
      <c r="B28" s="16">
        <f>IF(C28="","HIP-"&amp;TEXT(COUNTA($C$5:C28),"000"))</f>
        <v/>
      </c>
      <c r="C28" s="14" t="n"/>
      <c r="D28" s="14" t="n"/>
      <c r="E28" s="14" t="n"/>
      <c r="F28" s="14" t="n"/>
      <c r="G28" s="14" t="n"/>
      <c r="H28" s="15" t="n"/>
      <c r="I28" s="15" t="n"/>
      <c r="J28" s="15">
        <f>IF(OR(H28="",I28=""),"",(H28+I28)/2)</f>
        <v/>
      </c>
      <c r="K28" s="14" t="n"/>
      <c r="L28" s="14" t="n"/>
    </row>
    <row r="29" ht="22" customHeight="1">
      <c r="B29" s="17">
        <f>IF(C29="","HIP-"&amp;TEXT(COUNTA($C$5:C29),"000"))</f>
        <v/>
      </c>
      <c r="C29" s="12" t="n"/>
      <c r="D29" s="12" t="n"/>
      <c r="E29" s="12" t="n"/>
      <c r="F29" s="12" t="n"/>
      <c r="G29" s="12" t="n"/>
      <c r="H29" s="13" t="n"/>
      <c r="I29" s="13" t="n"/>
      <c r="J29" s="13">
        <f>IF(OR(H29="",I29=""),"",(H29+I29)/2)</f>
        <v/>
      </c>
      <c r="K29" s="12" t="n"/>
      <c r="L29" s="12" t="n"/>
    </row>
    <row r="30" ht="22" customHeight="1">
      <c r="B30" s="16">
        <f>IF(C30="","HIP-"&amp;TEXT(COUNTA($C$5:C30),"000"))</f>
        <v/>
      </c>
      <c r="C30" s="14" t="n"/>
      <c r="D30" s="14" t="n"/>
      <c r="E30" s="14" t="n"/>
      <c r="F30" s="14" t="n"/>
      <c r="G30" s="14" t="n"/>
      <c r="H30" s="15" t="n"/>
      <c r="I30" s="15" t="n"/>
      <c r="J30" s="15">
        <f>IF(OR(H30="",I30=""),"",(H30+I30)/2)</f>
        <v/>
      </c>
      <c r="K30" s="14" t="n"/>
      <c r="L30" s="14" t="n"/>
    </row>
    <row r="31" ht="22" customHeight="1">
      <c r="B31" s="17">
        <f>IF(C31="","HIP-"&amp;TEXT(COUNTA($C$5:C31),"000"))</f>
        <v/>
      </c>
      <c r="C31" s="12" t="n"/>
      <c r="D31" s="12" t="n"/>
      <c r="E31" s="12" t="n"/>
      <c r="F31" s="12" t="n"/>
      <c r="G31" s="12" t="n"/>
      <c r="H31" s="13" t="n"/>
      <c r="I31" s="13" t="n"/>
      <c r="J31" s="13">
        <f>IF(OR(H31="",I31=""),"",(H31+I31)/2)</f>
        <v/>
      </c>
      <c r="K31" s="12" t="n"/>
      <c r="L31" s="12" t="n"/>
    </row>
    <row r="32" ht="22" customHeight="1">
      <c r="B32" s="16">
        <f>IF(C32="","HIP-"&amp;TEXT(COUNTA($C$5:C32),"000"))</f>
        <v/>
      </c>
      <c r="C32" s="14" t="n"/>
      <c r="D32" s="14" t="n"/>
      <c r="E32" s="14" t="n"/>
      <c r="F32" s="14" t="n"/>
      <c r="G32" s="14" t="n"/>
      <c r="H32" s="15" t="n"/>
      <c r="I32" s="15" t="n"/>
      <c r="J32" s="15">
        <f>IF(OR(H32="",I32=""),"",(H32+I32)/2)</f>
        <v/>
      </c>
      <c r="K32" s="14" t="n"/>
      <c r="L32" s="14" t="n"/>
    </row>
    <row r="33" ht="22" customHeight="1">
      <c r="B33" s="17">
        <f>IF(C33="","HIP-"&amp;TEXT(COUNTA($C$5:C33),"000"))</f>
        <v/>
      </c>
      <c r="C33" s="12" t="n"/>
      <c r="D33" s="12" t="n"/>
      <c r="E33" s="12" t="n"/>
      <c r="F33" s="12" t="n"/>
      <c r="G33" s="12" t="n"/>
      <c r="H33" s="13" t="n"/>
      <c r="I33" s="13" t="n"/>
      <c r="J33" s="13">
        <f>IF(OR(H33="",I33=""),"",(H33+I33)/2)</f>
        <v/>
      </c>
      <c r="K33" s="12" t="n"/>
      <c r="L33" s="12" t="n"/>
    </row>
    <row r="34" ht="22" customHeight="1">
      <c r="B34" s="16">
        <f>IF(C34="","HIP-"&amp;TEXT(COUNTA($C$5:C34),"000"))</f>
        <v/>
      </c>
      <c r="C34" s="14" t="n"/>
      <c r="D34" s="14" t="n"/>
      <c r="E34" s="14" t="n"/>
      <c r="F34" s="14" t="n"/>
      <c r="G34" s="14" t="n"/>
      <c r="H34" s="15" t="n"/>
      <c r="I34" s="15" t="n"/>
      <c r="J34" s="15">
        <f>IF(OR(H34="",I34=""),"",(H34+I34)/2)</f>
        <v/>
      </c>
      <c r="K34" s="14" t="n"/>
      <c r="L34" s="14" t="n"/>
    </row>
    <row r="35" ht="22" customHeight="1">
      <c r="B35" s="17">
        <f>IF(C35="","HIP-"&amp;TEXT(COUNTA($C$5:C35),"000"))</f>
        <v/>
      </c>
      <c r="C35" s="12" t="n"/>
      <c r="D35" s="12" t="n"/>
      <c r="E35" s="12" t="n"/>
      <c r="F35" s="12" t="n"/>
      <c r="G35" s="12" t="n"/>
      <c r="H35" s="13" t="n"/>
      <c r="I35" s="13" t="n"/>
      <c r="J35" s="13">
        <f>IF(OR(H35="",I35=""),"",(H35+I35)/2)</f>
        <v/>
      </c>
      <c r="K35" s="12" t="n"/>
      <c r="L35" s="12" t="n"/>
    </row>
    <row r="36" ht="22" customHeight="1">
      <c r="B36" s="16">
        <f>IF(C36="","HIP-"&amp;TEXT(COUNTA($C$5:C36),"000"))</f>
        <v/>
      </c>
      <c r="C36" s="14" t="n"/>
      <c r="D36" s="14" t="n"/>
      <c r="E36" s="14" t="n"/>
      <c r="F36" s="14" t="n"/>
      <c r="G36" s="14" t="n"/>
      <c r="H36" s="15" t="n"/>
      <c r="I36" s="15" t="n"/>
      <c r="J36" s="15">
        <f>IF(OR(H36="",I36=""),"",(H36+I36)/2)</f>
        <v/>
      </c>
      <c r="K36" s="14" t="n"/>
      <c r="L36" s="14" t="n"/>
    </row>
    <row r="37" ht="22" customHeight="1">
      <c r="B37" s="17">
        <f>IF(C37="","HIP-"&amp;TEXT(COUNTA($C$5:C37),"000"))</f>
        <v/>
      </c>
      <c r="C37" s="12" t="n"/>
      <c r="D37" s="12" t="n"/>
      <c r="E37" s="12" t="n"/>
      <c r="F37" s="12" t="n"/>
      <c r="G37" s="12" t="n"/>
      <c r="H37" s="13" t="n"/>
      <c r="I37" s="13" t="n"/>
      <c r="J37" s="13">
        <f>IF(OR(H37="",I37=""),"",(H37+I37)/2)</f>
        <v/>
      </c>
      <c r="K37" s="12" t="n"/>
      <c r="L37" s="12" t="n"/>
    </row>
    <row r="38" ht="22" customHeight="1">
      <c r="B38" s="16">
        <f>IF(C38="","HIP-"&amp;TEXT(COUNTA($C$5:C38),"000"))</f>
        <v/>
      </c>
      <c r="C38" s="14" t="n"/>
      <c r="D38" s="14" t="n"/>
      <c r="E38" s="14" t="n"/>
      <c r="F38" s="14" t="n"/>
      <c r="G38" s="14" t="n"/>
      <c r="H38" s="15" t="n"/>
      <c r="I38" s="15" t="n"/>
      <c r="J38" s="15">
        <f>IF(OR(H38="",I38=""),"",(H38+I38)/2)</f>
        <v/>
      </c>
      <c r="K38" s="14" t="n"/>
      <c r="L38" s="14" t="n"/>
    </row>
    <row r="39" ht="22" customHeight="1">
      <c r="B39" s="17">
        <f>IF(C39="","HIP-"&amp;TEXT(COUNTA($C$5:C39),"000"))</f>
        <v/>
      </c>
      <c r="C39" s="12" t="n"/>
      <c r="D39" s="12" t="n"/>
      <c r="E39" s="12" t="n"/>
      <c r="F39" s="12" t="n"/>
      <c r="G39" s="12" t="n"/>
      <c r="H39" s="13" t="n"/>
      <c r="I39" s="13" t="n"/>
      <c r="J39" s="13">
        <f>IF(OR(H39="",I39=""),"",(H39+I39)/2)</f>
        <v/>
      </c>
      <c r="K39" s="12" t="n"/>
      <c r="L39" s="12" t="n"/>
    </row>
    <row r="40" ht="22" customHeight="1">
      <c r="B40" s="16">
        <f>IF(C40="","HIP-"&amp;TEXT(COUNTA($C$5:C40),"000"))</f>
        <v/>
      </c>
      <c r="C40" s="14" t="n"/>
      <c r="D40" s="14" t="n"/>
      <c r="E40" s="14" t="n"/>
      <c r="F40" s="14" t="n"/>
      <c r="G40" s="14" t="n"/>
      <c r="H40" s="15" t="n"/>
      <c r="I40" s="15" t="n"/>
      <c r="J40" s="15">
        <f>IF(OR(H40="",I40=""),"",(H40+I40)/2)</f>
        <v/>
      </c>
      <c r="K40" s="14" t="n"/>
      <c r="L40" s="14" t="n"/>
    </row>
    <row r="41" ht="22" customHeight="1">
      <c r="B41" s="17">
        <f>IF(C41="","HIP-"&amp;TEXT(COUNTA($C$5:C41),"000"))</f>
        <v/>
      </c>
      <c r="C41" s="12" t="n"/>
      <c r="D41" s="12" t="n"/>
      <c r="E41" s="12" t="n"/>
      <c r="F41" s="12" t="n"/>
      <c r="G41" s="12" t="n"/>
      <c r="H41" s="13" t="n"/>
      <c r="I41" s="13" t="n"/>
      <c r="J41" s="13">
        <f>IF(OR(H41="",I41=""),"",(H41+I41)/2)</f>
        <v/>
      </c>
      <c r="K41" s="12" t="n"/>
      <c r="L41" s="12" t="n"/>
    </row>
    <row r="42" ht="22" customHeight="1">
      <c r="B42" s="16">
        <f>IF(C42="","HIP-"&amp;TEXT(COUNTA($C$5:C42),"000"))</f>
        <v/>
      </c>
      <c r="C42" s="14" t="n"/>
      <c r="D42" s="14" t="n"/>
      <c r="E42" s="14" t="n"/>
      <c r="F42" s="14" t="n"/>
      <c r="G42" s="14" t="n"/>
      <c r="H42" s="15" t="n"/>
      <c r="I42" s="15" t="n"/>
      <c r="J42" s="15">
        <f>IF(OR(H42="",I42=""),"",(H42+I42)/2)</f>
        <v/>
      </c>
      <c r="K42" s="14" t="n"/>
      <c r="L42" s="14" t="n"/>
    </row>
    <row r="43" ht="22" customHeight="1">
      <c r="B43" s="17">
        <f>IF(C43="","HIP-"&amp;TEXT(COUNTA($C$5:C43),"000"))</f>
        <v/>
      </c>
      <c r="C43" s="12" t="n"/>
      <c r="D43" s="12" t="n"/>
      <c r="E43" s="12" t="n"/>
      <c r="F43" s="12" t="n"/>
      <c r="G43" s="12" t="n"/>
      <c r="H43" s="13" t="n"/>
      <c r="I43" s="13" t="n"/>
      <c r="J43" s="13">
        <f>IF(OR(H43="",I43=""),"",(H43+I43)/2)</f>
        <v/>
      </c>
      <c r="K43" s="12" t="n"/>
      <c r="L43" s="12" t="n"/>
    </row>
    <row r="44" ht="22" customHeight="1">
      <c r="B44" s="16">
        <f>IF(C44="","HIP-"&amp;TEXT(COUNTA($C$5:C44),"000"))</f>
        <v/>
      </c>
      <c r="C44" s="14" t="n"/>
      <c r="D44" s="14" t="n"/>
      <c r="E44" s="14" t="n"/>
      <c r="F44" s="14" t="n"/>
      <c r="G44" s="14" t="n"/>
      <c r="H44" s="15" t="n"/>
      <c r="I44" s="15" t="n"/>
      <c r="J44" s="15">
        <f>IF(OR(H44="",I44=""),"",(H44+I44)/2)</f>
        <v/>
      </c>
      <c r="K44" s="14" t="n"/>
      <c r="L44" s="14" t="n"/>
    </row>
    <row r="45" ht="22" customHeight="1">
      <c r="B45" s="17">
        <f>IF(C45="","HIP-"&amp;TEXT(COUNTA($C$5:C45),"000"))</f>
        <v/>
      </c>
      <c r="C45" s="12" t="n"/>
      <c r="D45" s="12" t="n"/>
      <c r="E45" s="12" t="n"/>
      <c r="F45" s="12" t="n"/>
      <c r="G45" s="12" t="n"/>
      <c r="H45" s="13" t="n"/>
      <c r="I45" s="13" t="n"/>
      <c r="J45" s="13">
        <f>IF(OR(H45="",I45=""),"",(H45+I45)/2)</f>
        <v/>
      </c>
      <c r="K45" s="12" t="n"/>
      <c r="L45" s="12" t="n"/>
    </row>
    <row r="46" ht="22" customHeight="1">
      <c r="B46" s="16">
        <f>IF(C46="","HIP-"&amp;TEXT(COUNTA($C$5:C46),"000"))</f>
        <v/>
      </c>
      <c r="C46" s="14" t="n"/>
      <c r="D46" s="14" t="n"/>
      <c r="E46" s="14" t="n"/>
      <c r="F46" s="14" t="n"/>
      <c r="G46" s="14" t="n"/>
      <c r="H46" s="15" t="n"/>
      <c r="I46" s="15" t="n"/>
      <c r="J46" s="15">
        <f>IF(OR(H46="",I46=""),"",(H46+I46)/2)</f>
        <v/>
      </c>
      <c r="K46" s="14" t="n"/>
      <c r="L46" s="14" t="n"/>
    </row>
    <row r="47" ht="22" customHeight="1">
      <c r="B47" s="17">
        <f>IF(C47="","HIP-"&amp;TEXT(COUNTA($C$5:C47),"000"))</f>
        <v/>
      </c>
      <c r="C47" s="12" t="n"/>
      <c r="D47" s="12" t="n"/>
      <c r="E47" s="12" t="n"/>
      <c r="F47" s="12" t="n"/>
      <c r="G47" s="12" t="n"/>
      <c r="H47" s="13" t="n"/>
      <c r="I47" s="13" t="n"/>
      <c r="J47" s="13">
        <f>IF(OR(H47="",I47=""),"",(H47+I47)/2)</f>
        <v/>
      </c>
      <c r="K47" s="12" t="n"/>
      <c r="L47" s="12" t="n"/>
    </row>
    <row r="48" ht="22" customHeight="1">
      <c r="B48" s="16">
        <f>IF(C48="","HIP-"&amp;TEXT(COUNTA($C$5:C48),"000"))</f>
        <v/>
      </c>
      <c r="C48" s="14" t="n"/>
      <c r="D48" s="14" t="n"/>
      <c r="E48" s="14" t="n"/>
      <c r="F48" s="14" t="n"/>
      <c r="G48" s="14" t="n"/>
      <c r="H48" s="15" t="n"/>
      <c r="I48" s="15" t="n"/>
      <c r="J48" s="15">
        <f>IF(OR(H48="",I48=""),"",(H48+I48)/2)</f>
        <v/>
      </c>
      <c r="K48" s="14" t="n"/>
      <c r="L48" s="14" t="n"/>
    </row>
    <row r="49" ht="22" customHeight="1">
      <c r="B49" s="17">
        <f>IF(C49="","HIP-"&amp;TEXT(COUNTA($C$5:C49),"000"))</f>
        <v/>
      </c>
      <c r="C49" s="12" t="n"/>
      <c r="D49" s="12" t="n"/>
      <c r="E49" s="12" t="n"/>
      <c r="F49" s="12" t="n"/>
      <c r="G49" s="12" t="n"/>
      <c r="H49" s="13" t="n"/>
      <c r="I49" s="13" t="n"/>
      <c r="J49" s="13">
        <f>IF(OR(H49="",I49=""),"",(H49+I49)/2)</f>
        <v/>
      </c>
      <c r="K49" s="12" t="n"/>
      <c r="L49" s="12" t="n"/>
    </row>
    <row r="50" ht="22" customHeight="1">
      <c r="B50" s="16">
        <f>IF(C50="","HIP-"&amp;TEXT(COUNTA($C$5:C50),"000"))</f>
        <v/>
      </c>
      <c r="C50" s="14" t="n"/>
      <c r="D50" s="14" t="n"/>
      <c r="E50" s="14" t="n"/>
      <c r="F50" s="14" t="n"/>
      <c r="G50" s="14" t="n"/>
      <c r="H50" s="15" t="n"/>
      <c r="I50" s="15" t="n"/>
      <c r="J50" s="15">
        <f>IF(OR(H50="",I50=""),"",(H50+I50)/2)</f>
        <v/>
      </c>
      <c r="K50" s="14" t="n"/>
      <c r="L50" s="14" t="n"/>
    </row>
    <row r="51" ht="22" customHeight="1">
      <c r="B51" s="17">
        <f>IF(C51="","HIP-"&amp;TEXT(COUNTA($C$5:C51),"000"))</f>
        <v/>
      </c>
      <c r="C51" s="12" t="n"/>
      <c r="D51" s="12" t="n"/>
      <c r="E51" s="12" t="n"/>
      <c r="F51" s="12" t="n"/>
      <c r="G51" s="12" t="n"/>
      <c r="H51" s="13" t="n"/>
      <c r="I51" s="13" t="n"/>
      <c r="J51" s="13">
        <f>IF(OR(H51="",I51=""),"",(H51+I51)/2)</f>
        <v/>
      </c>
      <c r="K51" s="12" t="n"/>
      <c r="L51" s="12" t="n"/>
    </row>
    <row r="52" ht="22" customHeight="1">
      <c r="B52" s="16">
        <f>IF(C52="","HIP-"&amp;TEXT(COUNTA($C$5:C52),"000"))</f>
        <v/>
      </c>
      <c r="C52" s="14" t="n"/>
      <c r="D52" s="14" t="n"/>
      <c r="E52" s="14" t="n"/>
      <c r="F52" s="14" t="n"/>
      <c r="G52" s="14" t="n"/>
      <c r="H52" s="15" t="n"/>
      <c r="I52" s="15" t="n"/>
      <c r="J52" s="15">
        <f>IF(OR(H52="",I52=""),"",(H52+I52)/2)</f>
        <v/>
      </c>
      <c r="K52" s="14" t="n"/>
      <c r="L52" s="14" t="n"/>
    </row>
    <row r="53" ht="22" customHeight="1">
      <c r="B53" s="17">
        <f>IF(C53="","HIP-"&amp;TEXT(COUNTA($C$5:C53),"000"))</f>
        <v/>
      </c>
      <c r="C53" s="12" t="n"/>
      <c r="D53" s="12" t="n"/>
      <c r="E53" s="12" t="n"/>
      <c r="F53" s="12" t="n"/>
      <c r="G53" s="12" t="n"/>
      <c r="H53" s="13" t="n"/>
      <c r="I53" s="13" t="n"/>
      <c r="J53" s="13">
        <f>IF(OR(H53="",I53=""),"",(H53+I53)/2)</f>
        <v/>
      </c>
      <c r="K53" s="12" t="n"/>
      <c r="L53" s="12" t="n"/>
    </row>
    <row r="54" ht="22" customHeight="1">
      <c r="B54" s="16">
        <f>IF(C54="","HIP-"&amp;TEXT(COUNTA($C$5:C54),"000"))</f>
        <v/>
      </c>
      <c r="C54" s="14" t="n"/>
      <c r="D54" s="14" t="n"/>
      <c r="E54" s="14" t="n"/>
      <c r="F54" s="14" t="n"/>
      <c r="G54" s="14" t="n"/>
      <c r="H54" s="15" t="n"/>
      <c r="I54" s="15" t="n"/>
      <c r="J54" s="15">
        <f>IF(OR(H54="",I54=""),"",(H54+I54)/2)</f>
        <v/>
      </c>
      <c r="K54" s="14" t="n"/>
      <c r="L54" s="14" t="n"/>
    </row>
    <row r="55" ht="22" customHeight="1">
      <c r="B55" s="17">
        <f>IF(C55="","HIP-"&amp;TEXT(COUNTA($C$5:C55),"000"))</f>
        <v/>
      </c>
      <c r="C55" s="12" t="n"/>
      <c r="D55" s="12" t="n"/>
      <c r="E55" s="12" t="n"/>
      <c r="F55" s="12" t="n"/>
      <c r="G55" s="12" t="n"/>
      <c r="H55" s="13" t="n"/>
      <c r="I55" s="13" t="n"/>
      <c r="J55" s="13">
        <f>IF(OR(H55="",I55=""),"",(H55+I55)/2)</f>
        <v/>
      </c>
      <c r="K55" s="12" t="n"/>
      <c r="L55" s="12" t="n"/>
    </row>
    <row r="56" ht="22" customHeight="1">
      <c r="B56" s="16">
        <f>IF(C56="","HIP-"&amp;TEXT(COUNTA($C$5:C56),"000"))</f>
        <v/>
      </c>
      <c r="C56" s="14" t="n"/>
      <c r="D56" s="14" t="n"/>
      <c r="E56" s="14" t="n"/>
      <c r="F56" s="14" t="n"/>
      <c r="G56" s="14" t="n"/>
      <c r="H56" s="15" t="n"/>
      <c r="I56" s="15" t="n"/>
      <c r="J56" s="15">
        <f>IF(OR(H56="",I56=""),"",(H56+I56)/2)</f>
        <v/>
      </c>
      <c r="K56" s="14" t="n"/>
      <c r="L56" s="14" t="n"/>
    </row>
    <row r="57" ht="22" customHeight="1">
      <c r="B57" s="17">
        <f>IF(C57="","HIP-"&amp;TEXT(COUNTA($C$5:C57),"000"))</f>
        <v/>
      </c>
      <c r="C57" s="12" t="n"/>
      <c r="D57" s="12" t="n"/>
      <c r="E57" s="12" t="n"/>
      <c r="F57" s="12" t="n"/>
      <c r="G57" s="12" t="n"/>
      <c r="H57" s="13" t="n"/>
      <c r="I57" s="13" t="n"/>
      <c r="J57" s="13">
        <f>IF(OR(H57="",I57=""),"",(H57+I57)/2)</f>
        <v/>
      </c>
      <c r="K57" s="12" t="n"/>
      <c r="L57" s="12" t="n"/>
    </row>
    <row r="58" ht="22" customHeight="1">
      <c r="B58" s="16">
        <f>IF(C58="","HIP-"&amp;TEXT(COUNTA($C$5:C58),"000"))</f>
        <v/>
      </c>
      <c r="C58" s="14" t="n"/>
      <c r="D58" s="14" t="n"/>
      <c r="E58" s="14" t="n"/>
      <c r="F58" s="14" t="n"/>
      <c r="G58" s="14" t="n"/>
      <c r="H58" s="15" t="n"/>
      <c r="I58" s="15" t="n"/>
      <c r="J58" s="15">
        <f>IF(OR(H58="",I58=""),"",(H58+I58)/2)</f>
        <v/>
      </c>
      <c r="K58" s="14" t="n"/>
      <c r="L58" s="14" t="n"/>
    </row>
    <row r="59" ht="22" customHeight="1">
      <c r="B59" s="17">
        <f>IF(C59="","HIP-"&amp;TEXT(COUNTA($C$5:C59),"000"))</f>
        <v/>
      </c>
      <c r="C59" s="12" t="n"/>
      <c r="D59" s="12" t="n"/>
      <c r="E59" s="12" t="n"/>
      <c r="F59" s="12" t="n"/>
      <c r="G59" s="12" t="n"/>
      <c r="H59" s="13" t="n"/>
      <c r="I59" s="13" t="n"/>
      <c r="J59" s="13">
        <f>IF(OR(H59="",I59=""),"",(H59+I59)/2)</f>
        <v/>
      </c>
      <c r="K59" s="12" t="n"/>
      <c r="L59" s="12" t="n"/>
    </row>
    <row r="60" ht="22" customHeight="1">
      <c r="B60" s="16">
        <f>IF(C60="","HIP-"&amp;TEXT(COUNTA($C$5:C60),"000"))</f>
        <v/>
      </c>
      <c r="C60" s="14" t="n"/>
      <c r="D60" s="14" t="n"/>
      <c r="E60" s="14" t="n"/>
      <c r="F60" s="14" t="n"/>
      <c r="G60" s="14" t="n"/>
      <c r="H60" s="15" t="n"/>
      <c r="I60" s="15" t="n"/>
      <c r="J60" s="15">
        <f>IF(OR(H60="",I60=""),"",(H60+I60)/2)</f>
        <v/>
      </c>
      <c r="K60" s="14" t="n"/>
      <c r="L60" s="14" t="n"/>
    </row>
    <row r="61" ht="22" customHeight="1">
      <c r="B61" s="17">
        <f>IF(C61="","HIP-"&amp;TEXT(COUNTA($C$5:C61),"000"))</f>
        <v/>
      </c>
      <c r="C61" s="12" t="n"/>
      <c r="D61" s="12" t="n"/>
      <c r="E61" s="12" t="n"/>
      <c r="F61" s="12" t="n"/>
      <c r="G61" s="12" t="n"/>
      <c r="H61" s="13" t="n"/>
      <c r="I61" s="13" t="n"/>
      <c r="J61" s="13">
        <f>IF(OR(H61="",I61=""),"",(H61+I61)/2)</f>
        <v/>
      </c>
      <c r="K61" s="12" t="n"/>
      <c r="L61" s="12" t="n"/>
    </row>
    <row r="62" ht="22" customHeight="1">
      <c r="B62" s="16">
        <f>IF(C62="","HIP-"&amp;TEXT(COUNTA($C$5:C62),"000"))</f>
        <v/>
      </c>
      <c r="C62" s="14" t="n"/>
      <c r="D62" s="14" t="n"/>
      <c r="E62" s="14" t="n"/>
      <c r="F62" s="14" t="n"/>
      <c r="G62" s="14" t="n"/>
      <c r="H62" s="15" t="n"/>
      <c r="I62" s="15" t="n"/>
      <c r="J62" s="15">
        <f>IF(OR(H62="",I62=""),"",(H62+I62)/2)</f>
        <v/>
      </c>
      <c r="K62" s="14" t="n"/>
      <c r="L62" s="14" t="n"/>
    </row>
    <row r="63" ht="22" customHeight="1">
      <c r="B63" s="17">
        <f>IF(C63="","HIP-"&amp;TEXT(COUNTA($C$5:C63),"000"))</f>
        <v/>
      </c>
      <c r="C63" s="12" t="n"/>
      <c r="D63" s="12" t="n"/>
      <c r="E63" s="12" t="n"/>
      <c r="F63" s="12" t="n"/>
      <c r="G63" s="12" t="n"/>
      <c r="H63" s="13" t="n"/>
      <c r="I63" s="13" t="n"/>
      <c r="J63" s="13">
        <f>IF(OR(H63="",I63=""),"",(H63+I63)/2)</f>
        <v/>
      </c>
      <c r="K63" s="12" t="n"/>
      <c r="L63" s="12" t="n"/>
    </row>
    <row r="64" ht="22" customHeight="1">
      <c r="B64" s="16">
        <f>IF(C64="","HIP-"&amp;TEXT(COUNTA($C$5:C64),"000"))</f>
        <v/>
      </c>
      <c r="C64" s="14" t="n"/>
      <c r="D64" s="14" t="n"/>
      <c r="E64" s="14" t="n"/>
      <c r="F64" s="14" t="n"/>
      <c r="G64" s="14" t="n"/>
      <c r="H64" s="15" t="n"/>
      <c r="I64" s="15" t="n"/>
      <c r="J64" s="15">
        <f>IF(OR(H64="",I64=""),"",(H64+I64)/2)</f>
        <v/>
      </c>
      <c r="K64" s="14" t="n"/>
      <c r="L64" s="14" t="n"/>
    </row>
    <row r="65" ht="22" customHeight="1">
      <c r="B65" s="17">
        <f>IF(C65="","HIP-"&amp;TEXT(COUNTA($C$5:C65),"000"))</f>
        <v/>
      </c>
      <c r="C65" s="12" t="n"/>
      <c r="D65" s="12" t="n"/>
      <c r="E65" s="12" t="n"/>
      <c r="F65" s="12" t="n"/>
      <c r="G65" s="12" t="n"/>
      <c r="H65" s="13" t="n"/>
      <c r="I65" s="13" t="n"/>
      <c r="J65" s="13">
        <f>IF(OR(H65="",I65=""),"",(H65+I65)/2)</f>
        <v/>
      </c>
      <c r="K65" s="12" t="n"/>
      <c r="L65" s="12" t="n"/>
    </row>
    <row r="66" ht="22" customHeight="1">
      <c r="B66" s="16">
        <f>IF(C66="","HIP-"&amp;TEXT(COUNTA($C$5:C66),"000"))</f>
        <v/>
      </c>
      <c r="C66" s="14" t="n"/>
      <c r="D66" s="14" t="n"/>
      <c r="E66" s="14" t="n"/>
      <c r="F66" s="14" t="n"/>
      <c r="G66" s="14" t="n"/>
      <c r="H66" s="15" t="n"/>
      <c r="I66" s="15" t="n"/>
      <c r="J66" s="15">
        <f>IF(OR(H66="",I66=""),"",(H66+I66)/2)</f>
        <v/>
      </c>
      <c r="K66" s="14" t="n"/>
      <c r="L66" s="14" t="n"/>
    </row>
    <row r="67" ht="22" customHeight="1">
      <c r="B67" s="17">
        <f>IF(C67="","HIP-"&amp;TEXT(COUNTA($C$5:C67),"000"))</f>
        <v/>
      </c>
      <c r="C67" s="12" t="n"/>
      <c r="D67" s="12" t="n"/>
      <c r="E67" s="12" t="n"/>
      <c r="F67" s="12" t="n"/>
      <c r="G67" s="12" t="n"/>
      <c r="H67" s="13" t="n"/>
      <c r="I67" s="13" t="n"/>
      <c r="J67" s="13">
        <f>IF(OR(H67="",I67=""),"",(H67+I67)/2)</f>
        <v/>
      </c>
      <c r="K67" s="12" t="n"/>
      <c r="L67" s="12" t="n"/>
    </row>
    <row r="68" ht="22" customHeight="1">
      <c r="B68" s="16">
        <f>IF(C68="","HIP-"&amp;TEXT(COUNTA($C$5:C68),"000"))</f>
        <v/>
      </c>
      <c r="C68" s="14" t="n"/>
      <c r="D68" s="14" t="n"/>
      <c r="E68" s="14" t="n"/>
      <c r="F68" s="14" t="n"/>
      <c r="G68" s="14" t="n"/>
      <c r="H68" s="15" t="n"/>
      <c r="I68" s="15" t="n"/>
      <c r="J68" s="15">
        <f>IF(OR(H68="",I68=""),"",(H68+I68)/2)</f>
        <v/>
      </c>
      <c r="K68" s="14" t="n"/>
      <c r="L68" s="14" t="n"/>
    </row>
    <row r="69" ht="22" customHeight="1">
      <c r="B69" s="17">
        <f>IF(C69="","HIP-"&amp;TEXT(COUNTA($C$5:C69),"000"))</f>
        <v/>
      </c>
      <c r="C69" s="12" t="n"/>
      <c r="D69" s="12" t="n"/>
      <c r="E69" s="12" t="n"/>
      <c r="F69" s="12" t="n"/>
      <c r="G69" s="12" t="n"/>
      <c r="H69" s="13" t="n"/>
      <c r="I69" s="13" t="n"/>
      <c r="J69" s="13">
        <f>IF(OR(H69="",I69=""),"",(H69+I69)/2)</f>
        <v/>
      </c>
      <c r="K69" s="12" t="n"/>
      <c r="L69" s="12" t="n"/>
    </row>
    <row r="70" ht="22" customHeight="1">
      <c r="B70" s="16">
        <f>IF(C70="","HIP-"&amp;TEXT(COUNTA($C$5:C70),"000"))</f>
        <v/>
      </c>
      <c r="C70" s="14" t="n"/>
      <c r="D70" s="14" t="n"/>
      <c r="E70" s="14" t="n"/>
      <c r="F70" s="14" t="n"/>
      <c r="G70" s="14" t="n"/>
      <c r="H70" s="15" t="n"/>
      <c r="I70" s="15" t="n"/>
      <c r="J70" s="15">
        <f>IF(OR(H70="",I70=""),"",(H70+I70)/2)</f>
        <v/>
      </c>
      <c r="K70" s="14" t="n"/>
      <c r="L70" s="14" t="n"/>
    </row>
    <row r="71" ht="22" customHeight="1">
      <c r="B71" s="17">
        <f>IF(C71="","HIP-"&amp;TEXT(COUNTA($C$5:C71),"000"))</f>
        <v/>
      </c>
      <c r="C71" s="12" t="n"/>
      <c r="D71" s="12" t="n"/>
      <c r="E71" s="12" t="n"/>
      <c r="F71" s="12" t="n"/>
      <c r="G71" s="12" t="n"/>
      <c r="H71" s="13" t="n"/>
      <c r="I71" s="13" t="n"/>
      <c r="J71" s="13">
        <f>IF(OR(H71="",I71=""),"",(H71+I71)/2)</f>
        <v/>
      </c>
      <c r="K71" s="12" t="n"/>
      <c r="L71" s="12" t="n"/>
    </row>
    <row r="72" ht="22" customHeight="1">
      <c r="B72" s="16">
        <f>IF(C72="","HIP-"&amp;TEXT(COUNTA($C$5:C72),"000"))</f>
        <v/>
      </c>
      <c r="C72" s="14" t="n"/>
      <c r="D72" s="14" t="n"/>
      <c r="E72" s="14" t="n"/>
      <c r="F72" s="14" t="n"/>
      <c r="G72" s="14" t="n"/>
      <c r="H72" s="15" t="n"/>
      <c r="I72" s="15" t="n"/>
      <c r="J72" s="15">
        <f>IF(OR(H72="",I72=""),"",(H72+I72)/2)</f>
        <v/>
      </c>
      <c r="K72" s="14" t="n"/>
      <c r="L72" s="14" t="n"/>
    </row>
    <row r="73" ht="22" customHeight="1">
      <c r="B73" s="17">
        <f>IF(C73="","HIP-"&amp;TEXT(COUNTA($C$5:C73),"000"))</f>
        <v/>
      </c>
      <c r="C73" s="12" t="n"/>
      <c r="D73" s="12" t="n"/>
      <c r="E73" s="12" t="n"/>
      <c r="F73" s="12" t="n"/>
      <c r="G73" s="12" t="n"/>
      <c r="H73" s="13" t="n"/>
      <c r="I73" s="13" t="n"/>
      <c r="J73" s="13">
        <f>IF(OR(H73="",I73=""),"",(H73+I73)/2)</f>
        <v/>
      </c>
      <c r="K73" s="12" t="n"/>
      <c r="L73" s="12" t="n"/>
    </row>
    <row r="74" ht="22" customHeight="1">
      <c r="B74" s="16">
        <f>IF(C74="","HIP-"&amp;TEXT(COUNTA($C$5:C74),"000"))</f>
        <v/>
      </c>
      <c r="C74" s="14" t="n"/>
      <c r="D74" s="14" t="n"/>
      <c r="E74" s="14" t="n"/>
      <c r="F74" s="14" t="n"/>
      <c r="G74" s="14" t="n"/>
      <c r="H74" s="15" t="n"/>
      <c r="I74" s="15" t="n"/>
      <c r="J74" s="15">
        <f>IF(OR(H74="",I74=""),"",(H74+I74)/2)</f>
        <v/>
      </c>
      <c r="K74" s="14" t="n"/>
      <c r="L74" s="14" t="n"/>
    </row>
    <row r="75" ht="22" customHeight="1">
      <c r="B75" s="17">
        <f>IF(C75="","HIP-"&amp;TEXT(COUNTA($C$5:C75),"000"))</f>
        <v/>
      </c>
      <c r="C75" s="12" t="n"/>
      <c r="D75" s="12" t="n"/>
      <c r="E75" s="12" t="n"/>
      <c r="F75" s="12" t="n"/>
      <c r="G75" s="12" t="n"/>
      <c r="H75" s="13" t="n"/>
      <c r="I75" s="13" t="n"/>
      <c r="J75" s="13">
        <f>IF(OR(H75="",I75=""),"",(H75+I75)/2)</f>
        <v/>
      </c>
      <c r="K75" s="12" t="n"/>
      <c r="L75" s="12" t="n"/>
    </row>
    <row r="76" ht="22" customHeight="1">
      <c r="B76" s="16">
        <f>IF(C76="","HIP-"&amp;TEXT(COUNTA($C$5:C76),"000"))</f>
        <v/>
      </c>
      <c r="C76" s="14" t="n"/>
      <c r="D76" s="14" t="n"/>
      <c r="E76" s="14" t="n"/>
      <c r="F76" s="14" t="n"/>
      <c r="G76" s="14" t="n"/>
      <c r="H76" s="15" t="n"/>
      <c r="I76" s="15" t="n"/>
      <c r="J76" s="15">
        <f>IF(OR(H76="",I76=""),"",(H76+I76)/2)</f>
        <v/>
      </c>
      <c r="K76" s="14" t="n"/>
      <c r="L76" s="14" t="n"/>
    </row>
    <row r="77" ht="22" customHeight="1">
      <c r="B77" s="17">
        <f>IF(C77="","HIP-"&amp;TEXT(COUNTA($C$5:C77),"000"))</f>
        <v/>
      </c>
      <c r="C77" s="12" t="n"/>
      <c r="D77" s="12" t="n"/>
      <c r="E77" s="12" t="n"/>
      <c r="F77" s="12" t="n"/>
      <c r="G77" s="12" t="n"/>
      <c r="H77" s="13" t="n"/>
      <c r="I77" s="13" t="n"/>
      <c r="J77" s="13">
        <f>IF(OR(H77="",I77=""),"",(H77+I77)/2)</f>
        <v/>
      </c>
      <c r="K77" s="12" t="n"/>
      <c r="L77" s="12" t="n"/>
    </row>
    <row r="78" ht="22" customHeight="1">
      <c r="B78" s="16">
        <f>IF(C78="","HIP-"&amp;TEXT(COUNTA($C$5:C78),"000"))</f>
        <v/>
      </c>
      <c r="C78" s="14" t="n"/>
      <c r="D78" s="14" t="n"/>
      <c r="E78" s="14" t="n"/>
      <c r="F78" s="14" t="n"/>
      <c r="G78" s="14" t="n"/>
      <c r="H78" s="15" t="n"/>
      <c r="I78" s="15" t="n"/>
      <c r="J78" s="15">
        <f>IF(OR(H78="",I78=""),"",(H78+I78)/2)</f>
        <v/>
      </c>
      <c r="K78" s="14" t="n"/>
      <c r="L78" s="14" t="n"/>
    </row>
    <row r="79" ht="22" customHeight="1">
      <c r="B79" s="17">
        <f>IF(C79="","HIP-"&amp;TEXT(COUNTA($C$5:C79),"000"))</f>
        <v/>
      </c>
      <c r="C79" s="12" t="n"/>
      <c r="D79" s="12" t="n"/>
      <c r="E79" s="12" t="n"/>
      <c r="F79" s="12" t="n"/>
      <c r="G79" s="12" t="n"/>
      <c r="H79" s="13" t="n"/>
      <c r="I79" s="13" t="n"/>
      <c r="J79" s="13">
        <f>IF(OR(H79="",I79=""),"",(H79+I79)/2)</f>
        <v/>
      </c>
      <c r="K79" s="12" t="n"/>
      <c r="L79" s="12" t="n"/>
    </row>
    <row r="80" ht="22" customHeight="1">
      <c r="B80" s="16">
        <f>IF(C80="","HIP-"&amp;TEXT(COUNTA($C$5:C80),"000"))</f>
        <v/>
      </c>
      <c r="C80" s="14" t="n"/>
      <c r="D80" s="14" t="n"/>
      <c r="E80" s="14" t="n"/>
      <c r="F80" s="14" t="n"/>
      <c r="G80" s="14" t="n"/>
      <c r="H80" s="15" t="n"/>
      <c r="I80" s="15" t="n"/>
      <c r="J80" s="15">
        <f>IF(OR(H80="",I80=""),"",(H80+I80)/2)</f>
        <v/>
      </c>
      <c r="K80" s="14" t="n"/>
      <c r="L80" s="14" t="n"/>
    </row>
    <row r="81" ht="22" customHeight="1">
      <c r="B81" s="17">
        <f>IF(C81="","HIP-"&amp;TEXT(COUNTA($C$5:C81),"000"))</f>
        <v/>
      </c>
      <c r="C81" s="12" t="n"/>
      <c r="D81" s="12" t="n"/>
      <c r="E81" s="12" t="n"/>
      <c r="F81" s="12" t="n"/>
      <c r="G81" s="12" t="n"/>
      <c r="H81" s="13" t="n"/>
      <c r="I81" s="13" t="n"/>
      <c r="J81" s="13">
        <f>IF(OR(H81="",I81=""),"",(H81+I81)/2)</f>
        <v/>
      </c>
      <c r="K81" s="12" t="n"/>
      <c r="L81" s="12" t="n"/>
    </row>
    <row r="82" ht="22" customHeight="1">
      <c r="B82" s="16">
        <f>IF(C82="","HIP-"&amp;TEXT(COUNTA($C$5:C82),"000"))</f>
        <v/>
      </c>
      <c r="C82" s="14" t="n"/>
      <c r="D82" s="14" t="n"/>
      <c r="E82" s="14" t="n"/>
      <c r="F82" s="14" t="n"/>
      <c r="G82" s="14" t="n"/>
      <c r="H82" s="15" t="n"/>
      <c r="I82" s="15" t="n"/>
      <c r="J82" s="15">
        <f>IF(OR(H82="",I82=""),"",(H82+I82)/2)</f>
        <v/>
      </c>
      <c r="K82" s="14" t="n"/>
      <c r="L82" s="14" t="n"/>
    </row>
    <row r="83" ht="22" customHeight="1">
      <c r="B83" s="17">
        <f>IF(C83="","HIP-"&amp;TEXT(COUNTA($C$5:C83),"000"))</f>
        <v/>
      </c>
      <c r="C83" s="12" t="n"/>
      <c r="D83" s="12" t="n"/>
      <c r="E83" s="12" t="n"/>
      <c r="F83" s="12" t="n"/>
      <c r="G83" s="12" t="n"/>
      <c r="H83" s="13" t="n"/>
      <c r="I83" s="13" t="n"/>
      <c r="J83" s="13">
        <f>IF(OR(H83="",I83=""),"",(H83+I83)/2)</f>
        <v/>
      </c>
      <c r="K83" s="12" t="n"/>
      <c r="L83" s="12" t="n"/>
    </row>
    <row r="84" ht="22" customHeight="1">
      <c r="B84" s="16">
        <f>IF(C84="","HIP-"&amp;TEXT(COUNTA($C$5:C84),"000"))</f>
        <v/>
      </c>
      <c r="C84" s="14" t="n"/>
      <c r="D84" s="14" t="n"/>
      <c r="E84" s="14" t="n"/>
      <c r="F84" s="14" t="n"/>
      <c r="G84" s="14" t="n"/>
      <c r="H84" s="15" t="n"/>
      <c r="I84" s="15" t="n"/>
      <c r="J84" s="15">
        <f>IF(OR(H84="",I84=""),"",(H84+I84)/2)</f>
        <v/>
      </c>
      <c r="K84" s="14" t="n"/>
      <c r="L84" s="14" t="n"/>
    </row>
    <row r="85" ht="22" customHeight="1">
      <c r="B85" s="17">
        <f>IF(C85="","HIP-"&amp;TEXT(COUNTA($C$5:C85),"000"))</f>
        <v/>
      </c>
      <c r="C85" s="12" t="n"/>
      <c r="D85" s="12" t="n"/>
      <c r="E85" s="12" t="n"/>
      <c r="F85" s="12" t="n"/>
      <c r="G85" s="12" t="n"/>
      <c r="H85" s="13" t="n"/>
      <c r="I85" s="13" t="n"/>
      <c r="J85" s="13">
        <f>IF(OR(H85="",I85=""),"",(H85+I85)/2)</f>
        <v/>
      </c>
      <c r="K85" s="12" t="n"/>
      <c r="L85" s="12" t="n"/>
    </row>
    <row r="86" ht="22" customHeight="1">
      <c r="B86" s="16">
        <f>IF(C86="","HIP-"&amp;TEXT(COUNTA($C$5:C86),"000"))</f>
        <v/>
      </c>
      <c r="C86" s="14" t="n"/>
      <c r="D86" s="14" t="n"/>
      <c r="E86" s="14" t="n"/>
      <c r="F86" s="14" t="n"/>
      <c r="G86" s="14" t="n"/>
      <c r="H86" s="15" t="n"/>
      <c r="I86" s="15" t="n"/>
      <c r="J86" s="15">
        <f>IF(OR(H86="",I86=""),"",(H86+I86)/2)</f>
        <v/>
      </c>
      <c r="K86" s="14" t="n"/>
      <c r="L86" s="14" t="n"/>
    </row>
    <row r="87" ht="22" customHeight="1">
      <c r="B87" s="17">
        <f>IF(C87="","HIP-"&amp;TEXT(COUNTA($C$5:C87),"000"))</f>
        <v/>
      </c>
      <c r="C87" s="12" t="n"/>
      <c r="D87" s="12" t="n"/>
      <c r="E87" s="12" t="n"/>
      <c r="F87" s="12" t="n"/>
      <c r="G87" s="12" t="n"/>
      <c r="H87" s="13" t="n"/>
      <c r="I87" s="13" t="n"/>
      <c r="J87" s="13">
        <f>IF(OR(H87="",I87=""),"",(H87+I87)/2)</f>
        <v/>
      </c>
      <c r="K87" s="12" t="n"/>
      <c r="L87" s="12" t="n"/>
    </row>
    <row r="88" ht="22" customHeight="1">
      <c r="B88" s="16">
        <f>IF(C88="","HIP-"&amp;TEXT(COUNTA($C$5:C88),"000"))</f>
        <v/>
      </c>
      <c r="C88" s="14" t="n"/>
      <c r="D88" s="14" t="n"/>
      <c r="E88" s="14" t="n"/>
      <c r="F88" s="14" t="n"/>
      <c r="G88" s="14" t="n"/>
      <c r="H88" s="15" t="n"/>
      <c r="I88" s="15" t="n"/>
      <c r="J88" s="15">
        <f>IF(OR(H88="",I88=""),"",(H88+I88)/2)</f>
        <v/>
      </c>
      <c r="K88" s="14" t="n"/>
      <c r="L88" s="14" t="n"/>
    </row>
    <row r="89" ht="22" customHeight="1">
      <c r="B89" s="17">
        <f>IF(C89="","HIP-"&amp;TEXT(COUNTA($C$5:C89),"000"))</f>
        <v/>
      </c>
      <c r="C89" s="12" t="n"/>
      <c r="D89" s="12" t="n"/>
      <c r="E89" s="12" t="n"/>
      <c r="F89" s="12" t="n"/>
      <c r="G89" s="12" t="n"/>
      <c r="H89" s="13" t="n"/>
      <c r="I89" s="13" t="n"/>
      <c r="J89" s="13">
        <f>IF(OR(H89="",I89=""),"",(H89+I89)/2)</f>
        <v/>
      </c>
      <c r="K89" s="12" t="n"/>
      <c r="L89" s="12" t="n"/>
    </row>
    <row r="90" ht="22" customHeight="1">
      <c r="B90" s="16">
        <f>IF(C90="","HIP-"&amp;TEXT(COUNTA($C$5:C90),"000"))</f>
        <v/>
      </c>
      <c r="C90" s="14" t="n"/>
      <c r="D90" s="14" t="n"/>
      <c r="E90" s="14" t="n"/>
      <c r="F90" s="14" t="n"/>
      <c r="G90" s="14" t="n"/>
      <c r="H90" s="15" t="n"/>
      <c r="I90" s="15" t="n"/>
      <c r="J90" s="15">
        <f>IF(OR(H90="",I90=""),"",(H90+I90)/2)</f>
        <v/>
      </c>
      <c r="K90" s="14" t="n"/>
      <c r="L90" s="14" t="n"/>
    </row>
    <row r="91" ht="22" customHeight="1">
      <c r="B91" s="17">
        <f>IF(C91="","HIP-"&amp;TEXT(COUNTA($C$5:C91),"000"))</f>
        <v/>
      </c>
      <c r="C91" s="12" t="n"/>
      <c r="D91" s="12" t="n"/>
      <c r="E91" s="12" t="n"/>
      <c r="F91" s="12" t="n"/>
      <c r="G91" s="12" t="n"/>
      <c r="H91" s="13" t="n"/>
      <c r="I91" s="13" t="n"/>
      <c r="J91" s="13">
        <f>IF(OR(H91="",I91=""),"",(H91+I91)/2)</f>
        <v/>
      </c>
      <c r="K91" s="12" t="n"/>
      <c r="L91" s="12" t="n"/>
    </row>
    <row r="92" ht="22" customHeight="1">
      <c r="B92" s="16">
        <f>IF(C92="","HIP-"&amp;TEXT(COUNTA($C$5:C92),"000"))</f>
        <v/>
      </c>
      <c r="C92" s="14" t="n"/>
      <c r="D92" s="14" t="n"/>
      <c r="E92" s="14" t="n"/>
      <c r="F92" s="14" t="n"/>
      <c r="G92" s="14" t="n"/>
      <c r="H92" s="15" t="n"/>
      <c r="I92" s="15" t="n"/>
      <c r="J92" s="15">
        <f>IF(OR(H92="",I92=""),"",(H92+I92)/2)</f>
        <v/>
      </c>
      <c r="K92" s="14" t="n"/>
      <c r="L92" s="14" t="n"/>
    </row>
    <row r="93" ht="22" customHeight="1">
      <c r="B93" s="17">
        <f>IF(C93="","HIP-"&amp;TEXT(COUNTA($C$5:C93),"000"))</f>
        <v/>
      </c>
      <c r="C93" s="12" t="n"/>
      <c r="D93" s="12" t="n"/>
      <c r="E93" s="12" t="n"/>
      <c r="F93" s="12" t="n"/>
      <c r="G93" s="12" t="n"/>
      <c r="H93" s="13" t="n"/>
      <c r="I93" s="13" t="n"/>
      <c r="J93" s="13">
        <f>IF(OR(H93="",I93=""),"",(H93+I93)/2)</f>
        <v/>
      </c>
      <c r="K93" s="12" t="n"/>
      <c r="L93" s="12" t="n"/>
    </row>
    <row r="94" ht="22" customHeight="1">
      <c r="B94" s="16">
        <f>IF(C94="","HIP-"&amp;TEXT(COUNTA($C$5:C94),"000"))</f>
        <v/>
      </c>
      <c r="C94" s="14" t="n"/>
      <c r="D94" s="14" t="n"/>
      <c r="E94" s="14" t="n"/>
      <c r="F94" s="14" t="n"/>
      <c r="G94" s="14" t="n"/>
      <c r="H94" s="15" t="n"/>
      <c r="I94" s="15" t="n"/>
      <c r="J94" s="15">
        <f>IF(OR(H94="",I94=""),"",(H94+I94)/2)</f>
        <v/>
      </c>
      <c r="K94" s="14" t="n"/>
      <c r="L94" s="14" t="n"/>
    </row>
    <row r="95" ht="22" customHeight="1">
      <c r="B95" s="17">
        <f>IF(C95="","HIP-"&amp;TEXT(COUNTA($C$5:C95),"000"))</f>
        <v/>
      </c>
      <c r="C95" s="12" t="n"/>
      <c r="D95" s="12" t="n"/>
      <c r="E95" s="12" t="n"/>
      <c r="F95" s="12" t="n"/>
      <c r="G95" s="12" t="n"/>
      <c r="H95" s="13" t="n"/>
      <c r="I95" s="13" t="n"/>
      <c r="J95" s="13">
        <f>IF(OR(H95="",I95=""),"",(H95+I95)/2)</f>
        <v/>
      </c>
      <c r="K95" s="12" t="n"/>
      <c r="L95" s="12" t="n"/>
    </row>
    <row r="96" ht="22" customHeight="1">
      <c r="B96" s="16">
        <f>IF(C96="","HIP-"&amp;TEXT(COUNTA($C$5:C96),"000"))</f>
        <v/>
      </c>
      <c r="C96" s="14" t="n"/>
      <c r="D96" s="14" t="n"/>
      <c r="E96" s="14" t="n"/>
      <c r="F96" s="14" t="n"/>
      <c r="G96" s="14" t="n"/>
      <c r="H96" s="15" t="n"/>
      <c r="I96" s="15" t="n"/>
      <c r="J96" s="15">
        <f>IF(OR(H96="",I96=""),"",(H96+I96)/2)</f>
        <v/>
      </c>
      <c r="K96" s="14" t="n"/>
      <c r="L96" s="14" t="n"/>
    </row>
    <row r="97" ht="22" customHeight="1">
      <c r="B97" s="17">
        <f>IF(C97="","HIP-"&amp;TEXT(COUNTA($C$5:C97),"000"))</f>
        <v/>
      </c>
      <c r="C97" s="12" t="n"/>
      <c r="D97" s="12" t="n"/>
      <c r="E97" s="12" t="n"/>
      <c r="F97" s="12" t="n"/>
      <c r="G97" s="12" t="n"/>
      <c r="H97" s="13" t="n"/>
      <c r="I97" s="13" t="n"/>
      <c r="J97" s="13">
        <f>IF(OR(H97="",I97=""),"",(H97+I97)/2)</f>
        <v/>
      </c>
      <c r="K97" s="12" t="n"/>
      <c r="L97" s="12" t="n"/>
    </row>
    <row r="98" ht="22" customHeight="1">
      <c r="B98" s="16">
        <f>IF(C98="","HIP-"&amp;TEXT(COUNTA($C$5:C98),"000"))</f>
        <v/>
      </c>
      <c r="C98" s="14" t="n"/>
      <c r="D98" s="14" t="n"/>
      <c r="E98" s="14" t="n"/>
      <c r="F98" s="14" t="n"/>
      <c r="G98" s="14" t="n"/>
      <c r="H98" s="15" t="n"/>
      <c r="I98" s="15" t="n"/>
      <c r="J98" s="15">
        <f>IF(OR(H98="",I98=""),"",(H98+I98)/2)</f>
        <v/>
      </c>
      <c r="K98" s="14" t="n"/>
      <c r="L98" s="14" t="n"/>
    </row>
    <row r="99" ht="22" customHeight="1">
      <c r="B99" s="17">
        <f>IF(C99="","HIP-"&amp;TEXT(COUNTA($C$5:C99),"000"))</f>
        <v/>
      </c>
      <c r="C99" s="12" t="n"/>
      <c r="D99" s="12" t="n"/>
      <c r="E99" s="12" t="n"/>
      <c r="F99" s="12" t="n"/>
      <c r="G99" s="12" t="n"/>
      <c r="H99" s="13" t="n"/>
      <c r="I99" s="13" t="n"/>
      <c r="J99" s="13">
        <f>IF(OR(H99="",I99=""),"",(H99+I99)/2)</f>
        <v/>
      </c>
      <c r="K99" s="12" t="n"/>
      <c r="L99" s="12" t="n"/>
    </row>
    <row r="100" ht="22" customHeight="1">
      <c r="B100" s="16">
        <f>IF(C100="","HIP-"&amp;TEXT(COUNTA($C$5:C100),"000"))</f>
        <v/>
      </c>
      <c r="C100" s="14" t="n"/>
      <c r="D100" s="14" t="n"/>
      <c r="E100" s="14" t="n"/>
      <c r="F100" s="14" t="n"/>
      <c r="G100" s="14" t="n"/>
      <c r="H100" s="15" t="n"/>
      <c r="I100" s="15" t="n"/>
      <c r="J100" s="15">
        <f>IF(OR(H100="",I100=""),"",(H100+I100)/2)</f>
        <v/>
      </c>
      <c r="K100" s="14" t="n"/>
      <c r="L100" s="14" t="n"/>
    </row>
    <row r="101" ht="22" customHeight="1">
      <c r="B101" s="17">
        <f>IF(C101="","HIP-"&amp;TEXT(COUNTA($C$5:C101),"000"))</f>
        <v/>
      </c>
      <c r="C101" s="12" t="n"/>
      <c r="D101" s="12" t="n"/>
      <c r="E101" s="12" t="n"/>
      <c r="F101" s="12" t="n"/>
      <c r="G101" s="12" t="n"/>
      <c r="H101" s="13" t="n"/>
      <c r="I101" s="13" t="n"/>
      <c r="J101" s="13">
        <f>IF(OR(H101="",I101=""),"",(H101+I101)/2)</f>
        <v/>
      </c>
      <c r="K101" s="12" t="n"/>
      <c r="L101" s="12" t="n"/>
    </row>
    <row r="102" ht="22" customHeight="1">
      <c r="B102" s="16">
        <f>IF(C102="","HIP-"&amp;TEXT(COUNTA($C$5:C102),"000"))</f>
        <v/>
      </c>
      <c r="C102" s="14" t="n"/>
      <c r="D102" s="14" t="n"/>
      <c r="E102" s="14" t="n"/>
      <c r="F102" s="14" t="n"/>
      <c r="G102" s="14" t="n"/>
      <c r="H102" s="15" t="n"/>
      <c r="I102" s="15" t="n"/>
      <c r="J102" s="15">
        <f>IF(OR(H102="",I102=""),"",(H102+I102)/2)</f>
        <v/>
      </c>
      <c r="K102" s="14" t="n"/>
      <c r="L102" s="14" t="n"/>
    </row>
    <row r="103" ht="22" customHeight="1">
      <c r="B103" s="17">
        <f>IF(C103="","HIP-"&amp;TEXT(COUNTA($C$5:C103),"000"))</f>
        <v/>
      </c>
      <c r="C103" s="12" t="n"/>
      <c r="D103" s="12" t="n"/>
      <c r="E103" s="12" t="n"/>
      <c r="F103" s="12" t="n"/>
      <c r="G103" s="12" t="n"/>
      <c r="H103" s="13" t="n"/>
      <c r="I103" s="13" t="n"/>
      <c r="J103" s="13">
        <f>IF(OR(H103="",I103=""),"",(H103+I103)/2)</f>
        <v/>
      </c>
      <c r="K103" s="12" t="n"/>
      <c r="L103" s="12" t="n"/>
    </row>
    <row r="104" ht="22" customHeight="1">
      <c r="B104" s="16">
        <f>IF(C104="","HIP-"&amp;TEXT(COUNTA($C$5:C104),"000"))</f>
        <v/>
      </c>
      <c r="C104" s="14" t="n"/>
      <c r="D104" s="14" t="n"/>
      <c r="E104" s="14" t="n"/>
      <c r="F104" s="14" t="n"/>
      <c r="G104" s="14" t="n"/>
      <c r="H104" s="15" t="n"/>
      <c r="I104" s="15" t="n"/>
      <c r="J104" s="15">
        <f>IF(OR(H104="",I104=""),"",(H104+I104)/2)</f>
        <v/>
      </c>
      <c r="K104" s="14" t="n"/>
      <c r="L104" s="14" t="n"/>
    </row>
    <row r="105" ht="22" customHeight="1">
      <c r="B105" s="17">
        <f>IF(C105="","HIP-"&amp;TEXT(COUNTA($C$5:C105),"000"))</f>
        <v/>
      </c>
      <c r="C105" s="12" t="n"/>
      <c r="D105" s="12" t="n"/>
      <c r="E105" s="12" t="n"/>
      <c r="F105" s="12" t="n"/>
      <c r="G105" s="12" t="n"/>
      <c r="H105" s="13" t="n"/>
      <c r="I105" s="13" t="n"/>
      <c r="J105" s="13">
        <f>IF(OR(H105="",I105=""),"",(H105+I105)/2)</f>
        <v/>
      </c>
      <c r="K105" s="12" t="n"/>
      <c r="L105" s="12" t="n"/>
    </row>
    <row r="106" ht="22" customHeight="1">
      <c r="B106" s="16">
        <f>IF(C106="","HIP-"&amp;TEXT(COUNTA($C$5:C106),"000"))</f>
        <v/>
      </c>
      <c r="C106" s="14" t="n"/>
      <c r="D106" s="14" t="n"/>
      <c r="E106" s="14" t="n"/>
      <c r="F106" s="14" t="n"/>
      <c r="G106" s="14" t="n"/>
      <c r="H106" s="15" t="n"/>
      <c r="I106" s="15" t="n"/>
      <c r="J106" s="15">
        <f>IF(OR(H106="",I106=""),"",(H106+I106)/2)</f>
        <v/>
      </c>
      <c r="K106" s="14" t="n"/>
      <c r="L106" s="14" t="n"/>
    </row>
    <row r="107" ht="22" customHeight="1">
      <c r="B107" s="17">
        <f>IF(C107="","HIP-"&amp;TEXT(COUNTA($C$5:C107),"000"))</f>
        <v/>
      </c>
      <c r="C107" s="12" t="n"/>
      <c r="D107" s="12" t="n"/>
      <c r="E107" s="12" t="n"/>
      <c r="F107" s="12" t="n"/>
      <c r="G107" s="12" t="n"/>
      <c r="H107" s="13" t="n"/>
      <c r="I107" s="13" t="n"/>
      <c r="J107" s="13">
        <f>IF(OR(H107="",I107=""),"",(H107+I107)/2)</f>
        <v/>
      </c>
      <c r="K107" s="12" t="n"/>
      <c r="L107" s="12" t="n"/>
    </row>
    <row r="108" ht="22" customHeight="1">
      <c r="B108" s="16">
        <f>IF(C108="","HIP-"&amp;TEXT(COUNTA($C$5:C108),"000"))</f>
        <v/>
      </c>
      <c r="C108" s="14" t="n"/>
      <c r="D108" s="14" t="n"/>
      <c r="E108" s="14" t="n"/>
      <c r="F108" s="14" t="n"/>
      <c r="G108" s="14" t="n"/>
      <c r="H108" s="15" t="n"/>
      <c r="I108" s="15" t="n"/>
      <c r="J108" s="15">
        <f>IF(OR(H108="",I108=""),"",(H108+I108)/2)</f>
        <v/>
      </c>
      <c r="K108" s="14" t="n"/>
      <c r="L108" s="14" t="n"/>
    </row>
    <row r="109" ht="22" customHeight="1">
      <c r="B109" s="17">
        <f>IF(C109="","HIP-"&amp;TEXT(COUNTA($C$5:C109),"000"))</f>
        <v/>
      </c>
      <c r="C109" s="12" t="n"/>
      <c r="D109" s="12" t="n"/>
      <c r="E109" s="12" t="n"/>
      <c r="F109" s="12" t="n"/>
      <c r="G109" s="12" t="n"/>
      <c r="H109" s="13" t="n"/>
      <c r="I109" s="13" t="n"/>
      <c r="J109" s="13">
        <f>IF(OR(H109="",I109=""),"",(H109+I109)/2)</f>
        <v/>
      </c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HiPo identifies</t>
        </is>
      </c>
      <c r="D112" s="3" t="inlineStr">
        <is>
          <t>Score moyen</t>
        </is>
      </c>
      <c r="F112" s="3" t="inlineStr">
        <is>
          <t>Potentiel Tres eleve</t>
        </is>
      </c>
    </row>
    <row r="113">
      <c r="B113" s="4">
        <f>COUNTIF(B5:B104,"&lt;&gt;")</f>
        <v/>
      </c>
      <c r="D113" s="4">
        <f>IFERROR(AVERAGE(J5:J104),0)</f>
        <v/>
      </c>
      <c r="F113" s="4">
        <f>COUNTIF(G5:G104,"Tres eleve")</f>
        <v/>
      </c>
    </row>
  </sheetData>
  <mergeCells count="3">
    <mergeCell ref="B2:L2"/>
    <mergeCell ref="B111:L111"/>
    <mergeCell ref="B3:L3"/>
  </mergeCells>
  <conditionalFormatting sqref="L5:L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4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'_Lists'!$E$2:$E$6</formula1>
    </dataValidation>
    <dataValidation sqref="G5:G109" showDropDown="0" showInputMessage="0" showErrorMessage="0" allowBlank="1" errorTitle="Erreur" error="Valeur invalide" promptTitle="Liste" prompt="Choisir dans la liste" type="list">
      <formula1>'_Lists'!$D$2:$D$5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20" customWidth="1" min="6" max="6"/>
    <col width="26" customWidth="1" min="7" max="7"/>
    <col width="30" customWidth="1" min="8" max="8"/>
    <col width="18" customWidth="1" min="9" max="9"/>
    <col width="16" customWidth="1" min="10" max="10"/>
    <col width="16" customWidth="1" min="11" max="11"/>
    <col width="36" customWidth="1" min="12" max="12"/>
  </cols>
  <sheetData>
    <row r="1" ht="15" customHeight="1"/>
    <row r="2" ht="32" customHeight="1">
      <c r="B2" s="1" t="inlineStr">
        <is>
          <t>PLAN DE RÉTENTION (#113)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Niveau Risque Depart</t>
        </is>
      </c>
      <c r="G4" s="11" t="inlineStr">
        <is>
          <t>Cause Principale</t>
        </is>
      </c>
      <c r="H4" s="11" t="inlineStr">
        <is>
          <t>Action Retention</t>
        </is>
      </c>
      <c r="I4" s="11" t="inlineStr">
        <is>
          <t>Cout Estime (FCFA)</t>
        </is>
      </c>
      <c r="J4" s="11" t="inlineStr">
        <is>
          <t>Date Mise en Place</t>
        </is>
      </c>
      <c r="K4" s="11" t="inlineStr">
        <is>
          <t>Statut</t>
        </is>
      </c>
      <c r="L4" s="11" t="inlineStr">
        <is>
          <t>Resultat</t>
        </is>
      </c>
    </row>
    <row r="5" ht="22" customHeight="1">
      <c r="B5" s="12" t="inlineStr">
        <is>
          <t>RET-001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Eleve</t>
        </is>
      </c>
      <c r="G5" s="12" t="inlineStr">
        <is>
          <t>Opportunite externe</t>
        </is>
      </c>
      <c r="H5" s="12" t="inlineStr">
        <is>
          <t>Augmentation + Plan carriere</t>
        </is>
      </c>
      <c r="I5" s="20" t="n">
        <v>350000</v>
      </c>
      <c r="J5" s="29" t="n">
        <v>45689</v>
      </c>
      <c r="K5" s="12" t="inlineStr">
        <is>
          <t>Acceptee</t>
        </is>
      </c>
      <c r="L5" s="12" t="inlineStr">
        <is>
          <t>Employe reste, motivation renforcee</t>
        </is>
      </c>
    </row>
    <row r="6" ht="22" customHeight="1">
      <c r="B6" s="14" t="inlineStr">
        <is>
          <t>RET-002</t>
        </is>
      </c>
      <c r="C6" s="14" t="inlineStr">
        <is>
          <t>Biyong Jean M.</t>
        </is>
      </c>
      <c r="D6" s="14" t="inlineStr">
        <is>
          <t>Chef Cuisine</t>
        </is>
      </c>
      <c r="E6" s="14" t="inlineStr">
        <is>
          <t>Cuisine &amp; Restauration</t>
        </is>
      </c>
      <c r="F6" s="14" t="inlineStr">
        <is>
          <t>Moyen</t>
        </is>
      </c>
      <c r="G6" s="14" t="inlineStr">
        <is>
          <t>Insatisfaction salariale</t>
        </is>
      </c>
      <c r="H6" s="14" t="inlineStr">
        <is>
          <t>Revalorisation + Prime responsabilite</t>
        </is>
      </c>
      <c r="I6" s="21" t="n">
        <v>500000</v>
      </c>
      <c r="J6" s="30" t="n">
        <v>45731</v>
      </c>
      <c r="K6" s="14" t="inlineStr">
        <is>
          <t>Terminee</t>
        </is>
      </c>
      <c r="L6" s="14" t="inlineStr">
        <is>
          <t>Satisfaction retrouvé, engagement maintenu</t>
        </is>
      </c>
    </row>
    <row r="7" ht="22" customHeight="1">
      <c r="B7" s="12" t="inlineStr">
        <is>
          <t>RET-003</t>
        </is>
      </c>
      <c r="C7" s="12" t="inlineStr">
        <is>
          <t>Fotso M.</t>
        </is>
      </c>
      <c r="D7" s="12" t="inlineStr">
        <is>
          <t>DRH</t>
        </is>
      </c>
      <c r="E7" s="12" t="inlineStr">
        <is>
          <t>Service Client</t>
        </is>
      </c>
      <c r="F7" s="12" t="inlineStr">
        <is>
          <t>Faible</t>
        </is>
      </c>
      <c r="G7" s="12" t="inlineStr">
        <is>
          <t>Manque de perspective</t>
        </is>
      </c>
      <c r="H7" s="12" t="inlineStr">
        <is>
          <t>Elargissement perimetre + Formation exec.</t>
        </is>
      </c>
      <c r="I7" s="20" t="n">
        <v>200000</v>
      </c>
      <c r="J7" s="29" t="n">
        <v>45667</v>
      </c>
      <c r="K7" s="12" t="inlineStr">
        <is>
          <t>Terminee</t>
        </is>
      </c>
      <c r="L7" s="12" t="inlineStr">
        <is>
          <t>Fidelisation confirmee par contrat 3 ans</t>
        </is>
      </c>
    </row>
    <row r="8" ht="22" customHeight="1">
      <c r="B8" s="14" t="inlineStr">
        <is>
          <t>RET-004</t>
        </is>
      </c>
      <c r="C8" s="14" t="inlineStr">
        <is>
          <t>Tchinda P.</t>
        </is>
      </c>
      <c r="D8" s="14" t="inlineStr">
        <is>
          <t>Chef Entretien</t>
        </is>
      </c>
      <c r="E8" s="14" t="inlineStr">
        <is>
          <t>Maintenance</t>
        </is>
      </c>
      <c r="F8" s="14" t="inlineStr">
        <is>
          <t>Eleve</t>
        </is>
      </c>
      <c r="G8" s="14" t="inlineStr">
        <is>
          <t>Charge de travail</t>
        </is>
      </c>
      <c r="H8" s="14" t="inlineStr">
        <is>
          <t>Recrutement adjoint + Flexibilite</t>
        </is>
      </c>
      <c r="I8" s="21" t="n">
        <v>450000</v>
      </c>
      <c r="J8" s="30" t="n">
        <v>45748</v>
      </c>
      <c r="K8" s="14" t="inlineStr">
        <is>
          <t>En cours</t>
        </is>
      </c>
      <c r="L8" s="14" t="inlineStr">
        <is>
          <t>En attente recrutement adjoint</t>
        </is>
      </c>
    </row>
    <row r="9" ht="22" customHeight="1">
      <c r="B9" s="12" t="inlineStr">
        <is>
          <t>RET-005</t>
        </is>
      </c>
      <c r="C9" s="12" t="inlineStr">
        <is>
          <t>Kamga P.</t>
        </is>
      </c>
      <c r="D9" s="12" t="inlineStr">
        <is>
          <t>Agent Commercial</t>
        </is>
      </c>
      <c r="E9" s="12" t="inlineStr">
        <is>
          <t>Commercial</t>
        </is>
      </c>
      <c r="F9" s="12" t="inlineStr">
        <is>
          <t>Moyen</t>
        </is>
      </c>
      <c r="G9" s="12" t="inlineStr">
        <is>
          <t>Manque de perspective</t>
        </is>
      </c>
      <c r="H9" s="12" t="inlineStr">
        <is>
          <t>Formation qualifiante + prime objectif</t>
        </is>
      </c>
      <c r="I9" s="20" t="n">
        <v>150000</v>
      </c>
      <c r="J9" s="29" t="n">
        <v>45778</v>
      </c>
      <c r="K9" s="12" t="inlineStr">
        <is>
          <t>En cours</t>
        </is>
      </c>
      <c r="L9" s="12" t="inlineStr">
        <is>
          <t>Formation en cours, premier bilan positif</t>
        </is>
      </c>
    </row>
    <row r="10" ht="22" customHeight="1">
      <c r="B10" s="16">
        <f>IF(C10="","RET-"&amp;TEXT(COUNTA($C$5:C10),"000"))</f>
        <v/>
      </c>
      <c r="C10" s="14" t="n"/>
      <c r="D10" s="14" t="n"/>
      <c r="E10" s="14" t="n"/>
      <c r="F10" s="14" t="n"/>
      <c r="G10" s="14" t="n"/>
      <c r="H10" s="14" t="n"/>
      <c r="I10" s="21" t="n"/>
      <c r="J10" s="30" t="n"/>
      <c r="K10" s="14" t="n"/>
      <c r="L10" s="14" t="n"/>
    </row>
    <row r="11" ht="22" customHeight="1">
      <c r="B11" s="17">
        <f>IF(C11="","RET-"&amp;TEXT(COUNTA($C$5:C11),"000"))</f>
        <v/>
      </c>
      <c r="C11" s="12" t="n"/>
      <c r="D11" s="12" t="n"/>
      <c r="E11" s="12" t="n"/>
      <c r="F11" s="12" t="n"/>
      <c r="G11" s="12" t="n"/>
      <c r="H11" s="12" t="n"/>
      <c r="I11" s="20" t="n"/>
      <c r="J11" s="29" t="n"/>
      <c r="K11" s="12" t="n"/>
      <c r="L11" s="12" t="n"/>
    </row>
    <row r="12" ht="22" customHeight="1">
      <c r="B12" s="16">
        <f>IF(C12="","RET-"&amp;TEXT(COUNTA($C$5:C12),"000"))</f>
        <v/>
      </c>
      <c r="C12" s="14" t="n"/>
      <c r="D12" s="14" t="n"/>
      <c r="E12" s="14" t="n"/>
      <c r="F12" s="14" t="n"/>
      <c r="G12" s="14" t="n"/>
      <c r="H12" s="14" t="n"/>
      <c r="I12" s="21" t="n"/>
      <c r="J12" s="30" t="n"/>
      <c r="K12" s="14" t="n"/>
      <c r="L12" s="14" t="n"/>
    </row>
    <row r="13" ht="22" customHeight="1">
      <c r="B13" s="17">
        <f>IF(C13="","RET-"&amp;TEXT(COUNTA($C$5:C13),"000"))</f>
        <v/>
      </c>
      <c r="C13" s="12" t="n"/>
      <c r="D13" s="12" t="n"/>
      <c r="E13" s="12" t="n"/>
      <c r="F13" s="12" t="n"/>
      <c r="G13" s="12" t="n"/>
      <c r="H13" s="12" t="n"/>
      <c r="I13" s="20" t="n"/>
      <c r="J13" s="29" t="n"/>
      <c r="K13" s="12" t="n"/>
      <c r="L13" s="12" t="n"/>
    </row>
    <row r="14" ht="22" customHeight="1">
      <c r="B14" s="16">
        <f>IF(C14="","RET-"&amp;TEXT(COUNTA($C$5:C14),"000"))</f>
        <v/>
      </c>
      <c r="C14" s="14" t="n"/>
      <c r="D14" s="14" t="n"/>
      <c r="E14" s="14" t="n"/>
      <c r="F14" s="14" t="n"/>
      <c r="G14" s="14" t="n"/>
      <c r="H14" s="14" t="n"/>
      <c r="I14" s="21" t="n"/>
      <c r="J14" s="30" t="n"/>
      <c r="K14" s="14" t="n"/>
      <c r="L14" s="14" t="n"/>
    </row>
    <row r="15" ht="22" customHeight="1">
      <c r="B15" s="17">
        <f>IF(C15="","RET-"&amp;TEXT(COUNTA($C$5:C15),"000"))</f>
        <v/>
      </c>
      <c r="C15" s="12" t="n"/>
      <c r="D15" s="12" t="n"/>
      <c r="E15" s="12" t="n"/>
      <c r="F15" s="12" t="n"/>
      <c r="G15" s="12" t="n"/>
      <c r="H15" s="12" t="n"/>
      <c r="I15" s="20" t="n"/>
      <c r="J15" s="29" t="n"/>
      <c r="K15" s="12" t="n"/>
      <c r="L15" s="12" t="n"/>
    </row>
    <row r="16" ht="22" customHeight="1">
      <c r="B16" s="16">
        <f>IF(C16="","RET-"&amp;TEXT(COUNTA($C$5:C16),"000"))</f>
        <v/>
      </c>
      <c r="C16" s="14" t="n"/>
      <c r="D16" s="14" t="n"/>
      <c r="E16" s="14" t="n"/>
      <c r="F16" s="14" t="n"/>
      <c r="G16" s="14" t="n"/>
      <c r="H16" s="14" t="n"/>
      <c r="I16" s="21" t="n"/>
      <c r="J16" s="30" t="n"/>
      <c r="K16" s="14" t="n"/>
      <c r="L16" s="14" t="n"/>
    </row>
    <row r="17" ht="22" customHeight="1">
      <c r="B17" s="17">
        <f>IF(C17="","RET-"&amp;TEXT(COUNTA($C$5:C17),"000"))</f>
        <v/>
      </c>
      <c r="C17" s="12" t="n"/>
      <c r="D17" s="12" t="n"/>
      <c r="E17" s="12" t="n"/>
      <c r="F17" s="12" t="n"/>
      <c r="G17" s="12" t="n"/>
      <c r="H17" s="12" t="n"/>
      <c r="I17" s="20" t="n"/>
      <c r="J17" s="29" t="n"/>
      <c r="K17" s="12" t="n"/>
      <c r="L17" s="12" t="n"/>
    </row>
    <row r="18" ht="22" customHeight="1">
      <c r="B18" s="16">
        <f>IF(C18="","RET-"&amp;TEXT(COUNTA($C$5:C18),"000"))</f>
        <v/>
      </c>
      <c r="C18" s="14" t="n"/>
      <c r="D18" s="14" t="n"/>
      <c r="E18" s="14" t="n"/>
      <c r="F18" s="14" t="n"/>
      <c r="G18" s="14" t="n"/>
      <c r="H18" s="14" t="n"/>
      <c r="I18" s="21" t="n"/>
      <c r="J18" s="30" t="n"/>
      <c r="K18" s="14" t="n"/>
      <c r="L18" s="14" t="n"/>
    </row>
    <row r="19" ht="22" customHeight="1">
      <c r="B19" s="17">
        <f>IF(C19="","RET-"&amp;TEXT(COUNTA($C$5:C19),"000"))</f>
        <v/>
      </c>
      <c r="C19" s="12" t="n"/>
      <c r="D19" s="12" t="n"/>
      <c r="E19" s="12" t="n"/>
      <c r="F19" s="12" t="n"/>
      <c r="G19" s="12" t="n"/>
      <c r="H19" s="12" t="n"/>
      <c r="I19" s="20" t="n"/>
      <c r="J19" s="29" t="n"/>
      <c r="K19" s="12" t="n"/>
      <c r="L19" s="12" t="n"/>
    </row>
    <row r="20" ht="22" customHeight="1">
      <c r="B20" s="16">
        <f>IF(C20="","RET-"&amp;TEXT(COUNTA($C$5:C20),"000"))</f>
        <v/>
      </c>
      <c r="C20" s="14" t="n"/>
      <c r="D20" s="14" t="n"/>
      <c r="E20" s="14" t="n"/>
      <c r="F20" s="14" t="n"/>
      <c r="G20" s="14" t="n"/>
      <c r="H20" s="14" t="n"/>
      <c r="I20" s="21" t="n"/>
      <c r="J20" s="30" t="n"/>
      <c r="K20" s="14" t="n"/>
      <c r="L20" s="14" t="n"/>
    </row>
    <row r="21" ht="22" customHeight="1">
      <c r="B21" s="17">
        <f>IF(C21="","RET-"&amp;TEXT(COUNTA($C$5:C21),"000"))</f>
        <v/>
      </c>
      <c r="C21" s="12" t="n"/>
      <c r="D21" s="12" t="n"/>
      <c r="E21" s="12" t="n"/>
      <c r="F21" s="12" t="n"/>
      <c r="G21" s="12" t="n"/>
      <c r="H21" s="12" t="n"/>
      <c r="I21" s="20" t="n"/>
      <c r="J21" s="29" t="n"/>
      <c r="K21" s="12" t="n"/>
      <c r="L21" s="12" t="n"/>
    </row>
    <row r="22" ht="22" customHeight="1">
      <c r="B22" s="16">
        <f>IF(C22="","RET-"&amp;TEXT(COUNTA($C$5:C22),"000"))</f>
        <v/>
      </c>
      <c r="C22" s="14" t="n"/>
      <c r="D22" s="14" t="n"/>
      <c r="E22" s="14" t="n"/>
      <c r="F22" s="14" t="n"/>
      <c r="G22" s="14" t="n"/>
      <c r="H22" s="14" t="n"/>
      <c r="I22" s="21" t="n"/>
      <c r="J22" s="30" t="n"/>
      <c r="K22" s="14" t="n"/>
      <c r="L22" s="14" t="n"/>
    </row>
    <row r="23" ht="22" customHeight="1">
      <c r="B23" s="17">
        <f>IF(C23="","RET-"&amp;TEXT(COUNTA($C$5:C23),"000"))</f>
        <v/>
      </c>
      <c r="C23" s="12" t="n"/>
      <c r="D23" s="12" t="n"/>
      <c r="E23" s="12" t="n"/>
      <c r="F23" s="12" t="n"/>
      <c r="G23" s="12" t="n"/>
      <c r="H23" s="12" t="n"/>
      <c r="I23" s="20" t="n"/>
      <c r="J23" s="29" t="n"/>
      <c r="K23" s="12" t="n"/>
      <c r="L23" s="12" t="n"/>
    </row>
    <row r="24" ht="22" customHeight="1">
      <c r="B24" s="16">
        <f>IF(C24="","RET-"&amp;TEXT(COUNTA($C$5:C24),"000"))</f>
        <v/>
      </c>
      <c r="C24" s="14" t="n"/>
      <c r="D24" s="14" t="n"/>
      <c r="E24" s="14" t="n"/>
      <c r="F24" s="14" t="n"/>
      <c r="G24" s="14" t="n"/>
      <c r="H24" s="14" t="n"/>
      <c r="I24" s="21" t="n"/>
      <c r="J24" s="30" t="n"/>
      <c r="K24" s="14" t="n"/>
      <c r="L24" s="14" t="n"/>
    </row>
    <row r="25" ht="22" customHeight="1">
      <c r="B25" s="17">
        <f>IF(C25="","RET-"&amp;TEXT(COUNTA($C$5:C25),"000"))</f>
        <v/>
      </c>
      <c r="C25" s="12" t="n"/>
      <c r="D25" s="12" t="n"/>
      <c r="E25" s="12" t="n"/>
      <c r="F25" s="12" t="n"/>
      <c r="G25" s="12" t="n"/>
      <c r="H25" s="12" t="n"/>
      <c r="I25" s="20" t="n"/>
      <c r="J25" s="29" t="n"/>
      <c r="K25" s="12" t="n"/>
      <c r="L25" s="12" t="n"/>
    </row>
    <row r="26" ht="22" customHeight="1">
      <c r="B26" s="16">
        <f>IF(C26="","RET-"&amp;TEXT(COUNTA($C$5:C26),"000"))</f>
        <v/>
      </c>
      <c r="C26" s="14" t="n"/>
      <c r="D26" s="14" t="n"/>
      <c r="E26" s="14" t="n"/>
      <c r="F26" s="14" t="n"/>
      <c r="G26" s="14" t="n"/>
      <c r="H26" s="14" t="n"/>
      <c r="I26" s="21" t="n"/>
      <c r="J26" s="30" t="n"/>
      <c r="K26" s="14" t="n"/>
      <c r="L26" s="14" t="n"/>
    </row>
    <row r="27" ht="22" customHeight="1">
      <c r="B27" s="17">
        <f>IF(C27="","RET-"&amp;TEXT(COUNTA($C$5:C27),"000"))</f>
        <v/>
      </c>
      <c r="C27" s="12" t="n"/>
      <c r="D27" s="12" t="n"/>
      <c r="E27" s="12" t="n"/>
      <c r="F27" s="12" t="n"/>
      <c r="G27" s="12" t="n"/>
      <c r="H27" s="12" t="n"/>
      <c r="I27" s="20" t="n"/>
      <c r="J27" s="29" t="n"/>
      <c r="K27" s="12" t="n"/>
      <c r="L27" s="12" t="n"/>
    </row>
    <row r="28" ht="22" customHeight="1">
      <c r="B28" s="16">
        <f>IF(C28="","RET-"&amp;TEXT(COUNTA($C$5:C28),"000"))</f>
        <v/>
      </c>
      <c r="C28" s="14" t="n"/>
      <c r="D28" s="14" t="n"/>
      <c r="E28" s="14" t="n"/>
      <c r="F28" s="14" t="n"/>
      <c r="G28" s="14" t="n"/>
      <c r="H28" s="14" t="n"/>
      <c r="I28" s="21" t="n"/>
      <c r="J28" s="30" t="n"/>
      <c r="K28" s="14" t="n"/>
      <c r="L28" s="14" t="n"/>
    </row>
    <row r="29" ht="22" customHeight="1">
      <c r="B29" s="17">
        <f>IF(C29="","RET-"&amp;TEXT(COUNTA($C$5:C29),"000"))</f>
        <v/>
      </c>
      <c r="C29" s="12" t="n"/>
      <c r="D29" s="12" t="n"/>
      <c r="E29" s="12" t="n"/>
      <c r="F29" s="12" t="n"/>
      <c r="G29" s="12" t="n"/>
      <c r="H29" s="12" t="n"/>
      <c r="I29" s="20" t="n"/>
      <c r="J29" s="29" t="n"/>
      <c r="K29" s="12" t="n"/>
      <c r="L29" s="12" t="n"/>
    </row>
    <row r="30" ht="22" customHeight="1">
      <c r="B30" s="16">
        <f>IF(C30="","RET-"&amp;TEXT(COUNTA($C$5:C30),"000"))</f>
        <v/>
      </c>
      <c r="C30" s="14" t="n"/>
      <c r="D30" s="14" t="n"/>
      <c r="E30" s="14" t="n"/>
      <c r="F30" s="14" t="n"/>
      <c r="G30" s="14" t="n"/>
      <c r="H30" s="14" t="n"/>
      <c r="I30" s="21" t="n"/>
      <c r="J30" s="30" t="n"/>
      <c r="K30" s="14" t="n"/>
      <c r="L30" s="14" t="n"/>
    </row>
    <row r="31" ht="22" customHeight="1">
      <c r="B31" s="17">
        <f>IF(C31="","RET-"&amp;TEXT(COUNTA($C$5:C31),"000"))</f>
        <v/>
      </c>
      <c r="C31" s="12" t="n"/>
      <c r="D31" s="12" t="n"/>
      <c r="E31" s="12" t="n"/>
      <c r="F31" s="12" t="n"/>
      <c r="G31" s="12" t="n"/>
      <c r="H31" s="12" t="n"/>
      <c r="I31" s="20" t="n"/>
      <c r="J31" s="29" t="n"/>
      <c r="K31" s="12" t="n"/>
      <c r="L31" s="12" t="n"/>
    </row>
    <row r="32" ht="22" customHeight="1">
      <c r="B32" s="16">
        <f>IF(C32="","RET-"&amp;TEXT(COUNTA($C$5:C32),"000"))</f>
        <v/>
      </c>
      <c r="C32" s="14" t="n"/>
      <c r="D32" s="14" t="n"/>
      <c r="E32" s="14" t="n"/>
      <c r="F32" s="14" t="n"/>
      <c r="G32" s="14" t="n"/>
      <c r="H32" s="14" t="n"/>
      <c r="I32" s="21" t="n"/>
      <c r="J32" s="30" t="n"/>
      <c r="K32" s="14" t="n"/>
      <c r="L32" s="14" t="n"/>
    </row>
    <row r="33" ht="22" customHeight="1">
      <c r="B33" s="17">
        <f>IF(C33="","RET-"&amp;TEXT(COUNTA($C$5:C33),"000"))</f>
        <v/>
      </c>
      <c r="C33" s="12" t="n"/>
      <c r="D33" s="12" t="n"/>
      <c r="E33" s="12" t="n"/>
      <c r="F33" s="12" t="n"/>
      <c r="G33" s="12" t="n"/>
      <c r="H33" s="12" t="n"/>
      <c r="I33" s="20" t="n"/>
      <c r="J33" s="29" t="n"/>
      <c r="K33" s="12" t="n"/>
      <c r="L33" s="12" t="n"/>
    </row>
    <row r="34" ht="22" customHeight="1">
      <c r="B34" s="16">
        <f>IF(C34="","RET-"&amp;TEXT(COUNTA($C$5:C34),"000"))</f>
        <v/>
      </c>
      <c r="C34" s="14" t="n"/>
      <c r="D34" s="14" t="n"/>
      <c r="E34" s="14" t="n"/>
      <c r="F34" s="14" t="n"/>
      <c r="G34" s="14" t="n"/>
      <c r="H34" s="14" t="n"/>
      <c r="I34" s="21" t="n"/>
      <c r="J34" s="30" t="n"/>
      <c r="K34" s="14" t="n"/>
      <c r="L34" s="14" t="n"/>
    </row>
    <row r="35" ht="22" customHeight="1">
      <c r="B35" s="17">
        <f>IF(C35="","RET-"&amp;TEXT(COUNTA($C$5:C35),"000"))</f>
        <v/>
      </c>
      <c r="C35" s="12" t="n"/>
      <c r="D35" s="12" t="n"/>
      <c r="E35" s="12" t="n"/>
      <c r="F35" s="12" t="n"/>
      <c r="G35" s="12" t="n"/>
      <c r="H35" s="12" t="n"/>
      <c r="I35" s="20" t="n"/>
      <c r="J35" s="29" t="n"/>
      <c r="K35" s="12" t="n"/>
      <c r="L35" s="12" t="n"/>
    </row>
    <row r="36" ht="22" customHeight="1">
      <c r="B36" s="16">
        <f>IF(C36="","RET-"&amp;TEXT(COUNTA($C$5:C36),"000"))</f>
        <v/>
      </c>
      <c r="C36" s="14" t="n"/>
      <c r="D36" s="14" t="n"/>
      <c r="E36" s="14" t="n"/>
      <c r="F36" s="14" t="n"/>
      <c r="G36" s="14" t="n"/>
      <c r="H36" s="14" t="n"/>
      <c r="I36" s="21" t="n"/>
      <c r="J36" s="30" t="n"/>
      <c r="K36" s="14" t="n"/>
      <c r="L36" s="14" t="n"/>
    </row>
    <row r="37" ht="22" customHeight="1">
      <c r="B37" s="17">
        <f>IF(C37="","RET-"&amp;TEXT(COUNTA($C$5:C37),"000"))</f>
        <v/>
      </c>
      <c r="C37" s="12" t="n"/>
      <c r="D37" s="12" t="n"/>
      <c r="E37" s="12" t="n"/>
      <c r="F37" s="12" t="n"/>
      <c r="G37" s="12" t="n"/>
      <c r="H37" s="12" t="n"/>
      <c r="I37" s="20" t="n"/>
      <c r="J37" s="29" t="n"/>
      <c r="K37" s="12" t="n"/>
      <c r="L37" s="12" t="n"/>
    </row>
    <row r="38" ht="22" customHeight="1">
      <c r="B38" s="16">
        <f>IF(C38="","RET-"&amp;TEXT(COUNTA($C$5:C38),"000"))</f>
        <v/>
      </c>
      <c r="C38" s="14" t="n"/>
      <c r="D38" s="14" t="n"/>
      <c r="E38" s="14" t="n"/>
      <c r="F38" s="14" t="n"/>
      <c r="G38" s="14" t="n"/>
      <c r="H38" s="14" t="n"/>
      <c r="I38" s="21" t="n"/>
      <c r="J38" s="30" t="n"/>
      <c r="K38" s="14" t="n"/>
      <c r="L38" s="14" t="n"/>
    </row>
    <row r="39" ht="22" customHeight="1">
      <c r="B39" s="17">
        <f>IF(C39="","RET-"&amp;TEXT(COUNTA($C$5:C39),"000"))</f>
        <v/>
      </c>
      <c r="C39" s="12" t="n"/>
      <c r="D39" s="12" t="n"/>
      <c r="E39" s="12" t="n"/>
      <c r="F39" s="12" t="n"/>
      <c r="G39" s="12" t="n"/>
      <c r="H39" s="12" t="n"/>
      <c r="I39" s="20" t="n"/>
      <c r="J39" s="29" t="n"/>
      <c r="K39" s="12" t="n"/>
      <c r="L39" s="12" t="n"/>
    </row>
    <row r="40" ht="22" customHeight="1">
      <c r="B40" s="16">
        <f>IF(C40="","RET-"&amp;TEXT(COUNTA($C$5:C40),"000"))</f>
        <v/>
      </c>
      <c r="C40" s="14" t="n"/>
      <c r="D40" s="14" t="n"/>
      <c r="E40" s="14" t="n"/>
      <c r="F40" s="14" t="n"/>
      <c r="G40" s="14" t="n"/>
      <c r="H40" s="14" t="n"/>
      <c r="I40" s="21" t="n"/>
      <c r="J40" s="30" t="n"/>
      <c r="K40" s="14" t="n"/>
      <c r="L40" s="14" t="n"/>
    </row>
    <row r="41" ht="22" customHeight="1">
      <c r="B41" s="17">
        <f>IF(C41="","RET-"&amp;TEXT(COUNTA($C$5:C41),"000"))</f>
        <v/>
      </c>
      <c r="C41" s="12" t="n"/>
      <c r="D41" s="12" t="n"/>
      <c r="E41" s="12" t="n"/>
      <c r="F41" s="12" t="n"/>
      <c r="G41" s="12" t="n"/>
      <c r="H41" s="12" t="n"/>
      <c r="I41" s="20" t="n"/>
      <c r="J41" s="29" t="n"/>
      <c r="K41" s="12" t="n"/>
      <c r="L41" s="12" t="n"/>
    </row>
    <row r="42" ht="22" customHeight="1">
      <c r="B42" s="16">
        <f>IF(C42="","RET-"&amp;TEXT(COUNTA($C$5:C42),"000"))</f>
        <v/>
      </c>
      <c r="C42" s="14" t="n"/>
      <c r="D42" s="14" t="n"/>
      <c r="E42" s="14" t="n"/>
      <c r="F42" s="14" t="n"/>
      <c r="G42" s="14" t="n"/>
      <c r="H42" s="14" t="n"/>
      <c r="I42" s="21" t="n"/>
      <c r="J42" s="30" t="n"/>
      <c r="K42" s="14" t="n"/>
      <c r="L42" s="14" t="n"/>
    </row>
    <row r="43" ht="22" customHeight="1">
      <c r="B43" s="17">
        <f>IF(C43="","RET-"&amp;TEXT(COUNTA($C$5:C43),"000"))</f>
        <v/>
      </c>
      <c r="C43" s="12" t="n"/>
      <c r="D43" s="12" t="n"/>
      <c r="E43" s="12" t="n"/>
      <c r="F43" s="12" t="n"/>
      <c r="G43" s="12" t="n"/>
      <c r="H43" s="12" t="n"/>
      <c r="I43" s="20" t="n"/>
      <c r="J43" s="29" t="n"/>
      <c r="K43" s="12" t="n"/>
      <c r="L43" s="12" t="n"/>
    </row>
    <row r="44" ht="22" customHeight="1">
      <c r="B44" s="16">
        <f>IF(C44="","RET-"&amp;TEXT(COUNTA($C$5:C44),"000"))</f>
        <v/>
      </c>
      <c r="C44" s="14" t="n"/>
      <c r="D44" s="14" t="n"/>
      <c r="E44" s="14" t="n"/>
      <c r="F44" s="14" t="n"/>
      <c r="G44" s="14" t="n"/>
      <c r="H44" s="14" t="n"/>
      <c r="I44" s="21" t="n"/>
      <c r="J44" s="30" t="n"/>
      <c r="K44" s="14" t="n"/>
      <c r="L44" s="14" t="n"/>
    </row>
    <row r="45" ht="22" customHeight="1">
      <c r="B45" s="17">
        <f>IF(C45="","RET-"&amp;TEXT(COUNTA($C$5:C45),"000"))</f>
        <v/>
      </c>
      <c r="C45" s="12" t="n"/>
      <c r="D45" s="12" t="n"/>
      <c r="E45" s="12" t="n"/>
      <c r="F45" s="12" t="n"/>
      <c r="G45" s="12" t="n"/>
      <c r="H45" s="12" t="n"/>
      <c r="I45" s="20" t="n"/>
      <c r="J45" s="29" t="n"/>
      <c r="K45" s="12" t="n"/>
      <c r="L45" s="12" t="n"/>
    </row>
    <row r="46" ht="22" customHeight="1">
      <c r="B46" s="16">
        <f>IF(C46="","RET-"&amp;TEXT(COUNTA($C$5:C46),"000"))</f>
        <v/>
      </c>
      <c r="C46" s="14" t="n"/>
      <c r="D46" s="14" t="n"/>
      <c r="E46" s="14" t="n"/>
      <c r="F46" s="14" t="n"/>
      <c r="G46" s="14" t="n"/>
      <c r="H46" s="14" t="n"/>
      <c r="I46" s="21" t="n"/>
      <c r="J46" s="30" t="n"/>
      <c r="K46" s="14" t="n"/>
      <c r="L46" s="14" t="n"/>
    </row>
    <row r="47" ht="22" customHeight="1">
      <c r="B47" s="17">
        <f>IF(C47="","RET-"&amp;TEXT(COUNTA($C$5:C47),"000"))</f>
        <v/>
      </c>
      <c r="C47" s="12" t="n"/>
      <c r="D47" s="12" t="n"/>
      <c r="E47" s="12" t="n"/>
      <c r="F47" s="12" t="n"/>
      <c r="G47" s="12" t="n"/>
      <c r="H47" s="12" t="n"/>
      <c r="I47" s="20" t="n"/>
      <c r="J47" s="29" t="n"/>
      <c r="K47" s="12" t="n"/>
      <c r="L47" s="12" t="n"/>
    </row>
    <row r="48" ht="22" customHeight="1">
      <c r="B48" s="16">
        <f>IF(C48="","RET-"&amp;TEXT(COUNTA($C$5:C48),"000"))</f>
        <v/>
      </c>
      <c r="C48" s="14" t="n"/>
      <c r="D48" s="14" t="n"/>
      <c r="E48" s="14" t="n"/>
      <c r="F48" s="14" t="n"/>
      <c r="G48" s="14" t="n"/>
      <c r="H48" s="14" t="n"/>
      <c r="I48" s="21" t="n"/>
      <c r="J48" s="30" t="n"/>
      <c r="K48" s="14" t="n"/>
      <c r="L48" s="14" t="n"/>
    </row>
    <row r="49" ht="22" customHeight="1">
      <c r="B49" s="17">
        <f>IF(C49="","RET-"&amp;TEXT(COUNTA($C$5:C49),"000"))</f>
        <v/>
      </c>
      <c r="C49" s="12" t="n"/>
      <c r="D49" s="12" t="n"/>
      <c r="E49" s="12" t="n"/>
      <c r="F49" s="12" t="n"/>
      <c r="G49" s="12" t="n"/>
      <c r="H49" s="12" t="n"/>
      <c r="I49" s="20" t="n"/>
      <c r="J49" s="29" t="n"/>
      <c r="K49" s="12" t="n"/>
      <c r="L49" s="12" t="n"/>
    </row>
    <row r="50" ht="22" customHeight="1">
      <c r="B50" s="16">
        <f>IF(C50="","RET-"&amp;TEXT(COUNTA($C$5:C50),"000"))</f>
        <v/>
      </c>
      <c r="C50" s="14" t="n"/>
      <c r="D50" s="14" t="n"/>
      <c r="E50" s="14" t="n"/>
      <c r="F50" s="14" t="n"/>
      <c r="G50" s="14" t="n"/>
      <c r="H50" s="14" t="n"/>
      <c r="I50" s="21" t="n"/>
      <c r="J50" s="30" t="n"/>
      <c r="K50" s="14" t="n"/>
      <c r="L50" s="14" t="n"/>
    </row>
    <row r="51" ht="22" customHeight="1">
      <c r="B51" s="17">
        <f>IF(C51="","RET-"&amp;TEXT(COUNTA($C$5:C51),"000"))</f>
        <v/>
      </c>
      <c r="C51" s="12" t="n"/>
      <c r="D51" s="12" t="n"/>
      <c r="E51" s="12" t="n"/>
      <c r="F51" s="12" t="n"/>
      <c r="G51" s="12" t="n"/>
      <c r="H51" s="12" t="n"/>
      <c r="I51" s="20" t="n"/>
      <c r="J51" s="29" t="n"/>
      <c r="K51" s="12" t="n"/>
      <c r="L51" s="12" t="n"/>
    </row>
    <row r="52" ht="22" customHeight="1">
      <c r="B52" s="16">
        <f>IF(C52="","RET-"&amp;TEXT(COUNTA($C$5:C52),"000"))</f>
        <v/>
      </c>
      <c r="C52" s="14" t="n"/>
      <c r="D52" s="14" t="n"/>
      <c r="E52" s="14" t="n"/>
      <c r="F52" s="14" t="n"/>
      <c r="G52" s="14" t="n"/>
      <c r="H52" s="14" t="n"/>
      <c r="I52" s="21" t="n"/>
      <c r="J52" s="30" t="n"/>
      <c r="K52" s="14" t="n"/>
      <c r="L52" s="14" t="n"/>
    </row>
    <row r="53" ht="22" customHeight="1">
      <c r="B53" s="17">
        <f>IF(C53="","RET-"&amp;TEXT(COUNTA($C$5:C53),"000"))</f>
        <v/>
      </c>
      <c r="C53" s="12" t="n"/>
      <c r="D53" s="12" t="n"/>
      <c r="E53" s="12" t="n"/>
      <c r="F53" s="12" t="n"/>
      <c r="G53" s="12" t="n"/>
      <c r="H53" s="12" t="n"/>
      <c r="I53" s="20" t="n"/>
      <c r="J53" s="29" t="n"/>
      <c r="K53" s="12" t="n"/>
      <c r="L53" s="12" t="n"/>
    </row>
    <row r="54" ht="22" customHeight="1">
      <c r="B54" s="16">
        <f>IF(C54="","RET-"&amp;TEXT(COUNTA($C$5:C54),"000"))</f>
        <v/>
      </c>
      <c r="C54" s="14" t="n"/>
      <c r="D54" s="14" t="n"/>
      <c r="E54" s="14" t="n"/>
      <c r="F54" s="14" t="n"/>
      <c r="G54" s="14" t="n"/>
      <c r="H54" s="14" t="n"/>
      <c r="I54" s="21" t="n"/>
      <c r="J54" s="30" t="n"/>
      <c r="K54" s="14" t="n"/>
      <c r="L54" s="14" t="n"/>
    </row>
    <row r="55" ht="22" customHeight="1">
      <c r="B55" s="17">
        <f>IF(C55="","RET-"&amp;TEXT(COUNTA($C$5:C55),"000"))</f>
        <v/>
      </c>
      <c r="C55" s="12" t="n"/>
      <c r="D55" s="12" t="n"/>
      <c r="E55" s="12" t="n"/>
      <c r="F55" s="12" t="n"/>
      <c r="G55" s="12" t="n"/>
      <c r="H55" s="12" t="n"/>
      <c r="I55" s="20" t="n"/>
      <c r="J55" s="29" t="n"/>
      <c r="K55" s="12" t="n"/>
      <c r="L55" s="12" t="n"/>
    </row>
    <row r="56" ht="22" customHeight="1">
      <c r="B56" s="16">
        <f>IF(C56="","RET-"&amp;TEXT(COUNTA($C$5:C56),"000"))</f>
        <v/>
      </c>
      <c r="C56" s="14" t="n"/>
      <c r="D56" s="14" t="n"/>
      <c r="E56" s="14" t="n"/>
      <c r="F56" s="14" t="n"/>
      <c r="G56" s="14" t="n"/>
      <c r="H56" s="14" t="n"/>
      <c r="I56" s="21" t="n"/>
      <c r="J56" s="30" t="n"/>
      <c r="K56" s="14" t="n"/>
      <c r="L56" s="14" t="n"/>
    </row>
    <row r="57" ht="22" customHeight="1">
      <c r="B57" s="17">
        <f>IF(C57="","RET-"&amp;TEXT(COUNTA($C$5:C57),"000"))</f>
        <v/>
      </c>
      <c r="C57" s="12" t="n"/>
      <c r="D57" s="12" t="n"/>
      <c r="E57" s="12" t="n"/>
      <c r="F57" s="12" t="n"/>
      <c r="G57" s="12" t="n"/>
      <c r="H57" s="12" t="n"/>
      <c r="I57" s="20" t="n"/>
      <c r="J57" s="29" t="n"/>
      <c r="K57" s="12" t="n"/>
      <c r="L57" s="12" t="n"/>
    </row>
    <row r="58" ht="22" customHeight="1">
      <c r="B58" s="16">
        <f>IF(C58="","RET-"&amp;TEXT(COUNTA($C$5:C58),"000"))</f>
        <v/>
      </c>
      <c r="C58" s="14" t="n"/>
      <c r="D58" s="14" t="n"/>
      <c r="E58" s="14" t="n"/>
      <c r="F58" s="14" t="n"/>
      <c r="G58" s="14" t="n"/>
      <c r="H58" s="14" t="n"/>
      <c r="I58" s="21" t="n"/>
      <c r="J58" s="30" t="n"/>
      <c r="K58" s="14" t="n"/>
      <c r="L58" s="14" t="n"/>
    </row>
    <row r="59" ht="22" customHeight="1">
      <c r="B59" s="17">
        <f>IF(C59="","RET-"&amp;TEXT(COUNTA($C$5:C59),"000"))</f>
        <v/>
      </c>
      <c r="C59" s="12" t="n"/>
      <c r="D59" s="12" t="n"/>
      <c r="E59" s="12" t="n"/>
      <c r="F59" s="12" t="n"/>
      <c r="G59" s="12" t="n"/>
      <c r="H59" s="12" t="n"/>
      <c r="I59" s="20" t="n"/>
      <c r="J59" s="29" t="n"/>
      <c r="K59" s="12" t="n"/>
      <c r="L59" s="12" t="n"/>
    </row>
    <row r="60" ht="22" customHeight="1">
      <c r="B60" s="16">
        <f>IF(C60="","RET-"&amp;TEXT(COUNTA($C$5:C60),"000"))</f>
        <v/>
      </c>
      <c r="C60" s="14" t="n"/>
      <c r="D60" s="14" t="n"/>
      <c r="E60" s="14" t="n"/>
      <c r="F60" s="14" t="n"/>
      <c r="G60" s="14" t="n"/>
      <c r="H60" s="14" t="n"/>
      <c r="I60" s="21" t="n"/>
      <c r="J60" s="30" t="n"/>
      <c r="K60" s="14" t="n"/>
      <c r="L60" s="14" t="n"/>
    </row>
    <row r="61" ht="22" customHeight="1">
      <c r="B61" s="17">
        <f>IF(C61="","RET-"&amp;TEXT(COUNTA($C$5:C61),"000"))</f>
        <v/>
      </c>
      <c r="C61" s="12" t="n"/>
      <c r="D61" s="12" t="n"/>
      <c r="E61" s="12" t="n"/>
      <c r="F61" s="12" t="n"/>
      <c r="G61" s="12" t="n"/>
      <c r="H61" s="12" t="n"/>
      <c r="I61" s="20" t="n"/>
      <c r="J61" s="29" t="n"/>
      <c r="K61" s="12" t="n"/>
      <c r="L61" s="12" t="n"/>
    </row>
    <row r="62" ht="22" customHeight="1">
      <c r="B62" s="16">
        <f>IF(C62="","RET-"&amp;TEXT(COUNTA($C$5:C62),"000"))</f>
        <v/>
      </c>
      <c r="C62" s="14" t="n"/>
      <c r="D62" s="14" t="n"/>
      <c r="E62" s="14" t="n"/>
      <c r="F62" s="14" t="n"/>
      <c r="G62" s="14" t="n"/>
      <c r="H62" s="14" t="n"/>
      <c r="I62" s="21" t="n"/>
      <c r="J62" s="30" t="n"/>
      <c r="K62" s="14" t="n"/>
      <c r="L62" s="14" t="n"/>
    </row>
    <row r="63" ht="22" customHeight="1">
      <c r="B63" s="17">
        <f>IF(C63="","RET-"&amp;TEXT(COUNTA($C$5:C63),"000"))</f>
        <v/>
      </c>
      <c r="C63" s="12" t="n"/>
      <c r="D63" s="12" t="n"/>
      <c r="E63" s="12" t="n"/>
      <c r="F63" s="12" t="n"/>
      <c r="G63" s="12" t="n"/>
      <c r="H63" s="12" t="n"/>
      <c r="I63" s="20" t="n"/>
      <c r="J63" s="29" t="n"/>
      <c r="K63" s="12" t="n"/>
      <c r="L63" s="12" t="n"/>
    </row>
    <row r="64" ht="22" customHeight="1">
      <c r="B64" s="16">
        <f>IF(C64="","RET-"&amp;TEXT(COUNTA($C$5:C64),"000"))</f>
        <v/>
      </c>
      <c r="C64" s="14" t="n"/>
      <c r="D64" s="14" t="n"/>
      <c r="E64" s="14" t="n"/>
      <c r="F64" s="14" t="n"/>
      <c r="G64" s="14" t="n"/>
      <c r="H64" s="14" t="n"/>
      <c r="I64" s="21" t="n"/>
      <c r="J64" s="30" t="n"/>
      <c r="K64" s="14" t="n"/>
      <c r="L64" s="14" t="n"/>
    </row>
    <row r="65" ht="22" customHeight="1">
      <c r="B65" s="17">
        <f>IF(C65="","RET-"&amp;TEXT(COUNTA($C$5:C65),"000"))</f>
        <v/>
      </c>
      <c r="C65" s="12" t="n"/>
      <c r="D65" s="12" t="n"/>
      <c r="E65" s="12" t="n"/>
      <c r="F65" s="12" t="n"/>
      <c r="G65" s="12" t="n"/>
      <c r="H65" s="12" t="n"/>
      <c r="I65" s="20" t="n"/>
      <c r="J65" s="29" t="n"/>
      <c r="K65" s="12" t="n"/>
      <c r="L65" s="12" t="n"/>
    </row>
    <row r="66" ht="22" customHeight="1">
      <c r="B66" s="16">
        <f>IF(C66="","RET-"&amp;TEXT(COUNTA($C$5:C66),"000"))</f>
        <v/>
      </c>
      <c r="C66" s="14" t="n"/>
      <c r="D66" s="14" t="n"/>
      <c r="E66" s="14" t="n"/>
      <c r="F66" s="14" t="n"/>
      <c r="G66" s="14" t="n"/>
      <c r="H66" s="14" t="n"/>
      <c r="I66" s="21" t="n"/>
      <c r="J66" s="30" t="n"/>
      <c r="K66" s="14" t="n"/>
      <c r="L66" s="14" t="n"/>
    </row>
    <row r="67" ht="22" customHeight="1">
      <c r="B67" s="17">
        <f>IF(C67="","RET-"&amp;TEXT(COUNTA($C$5:C67),"000"))</f>
        <v/>
      </c>
      <c r="C67" s="12" t="n"/>
      <c r="D67" s="12" t="n"/>
      <c r="E67" s="12" t="n"/>
      <c r="F67" s="12" t="n"/>
      <c r="G67" s="12" t="n"/>
      <c r="H67" s="12" t="n"/>
      <c r="I67" s="20" t="n"/>
      <c r="J67" s="29" t="n"/>
      <c r="K67" s="12" t="n"/>
      <c r="L67" s="12" t="n"/>
    </row>
    <row r="68" ht="22" customHeight="1">
      <c r="B68" s="16">
        <f>IF(C68="","RET-"&amp;TEXT(COUNTA($C$5:C68),"000"))</f>
        <v/>
      </c>
      <c r="C68" s="14" t="n"/>
      <c r="D68" s="14" t="n"/>
      <c r="E68" s="14" t="n"/>
      <c r="F68" s="14" t="n"/>
      <c r="G68" s="14" t="n"/>
      <c r="H68" s="14" t="n"/>
      <c r="I68" s="21" t="n"/>
      <c r="J68" s="30" t="n"/>
      <c r="K68" s="14" t="n"/>
      <c r="L68" s="14" t="n"/>
    </row>
    <row r="69" ht="22" customHeight="1">
      <c r="B69" s="17">
        <f>IF(C69="","RET-"&amp;TEXT(COUNTA($C$5:C69),"000"))</f>
        <v/>
      </c>
      <c r="C69" s="12" t="n"/>
      <c r="D69" s="12" t="n"/>
      <c r="E69" s="12" t="n"/>
      <c r="F69" s="12" t="n"/>
      <c r="G69" s="12" t="n"/>
      <c r="H69" s="12" t="n"/>
      <c r="I69" s="20" t="n"/>
      <c r="J69" s="29" t="n"/>
      <c r="K69" s="12" t="n"/>
      <c r="L69" s="12" t="n"/>
    </row>
    <row r="70" ht="22" customHeight="1">
      <c r="B70" s="16">
        <f>IF(C70="","RET-"&amp;TEXT(COUNTA($C$5:C70),"000"))</f>
        <v/>
      </c>
      <c r="C70" s="14" t="n"/>
      <c r="D70" s="14" t="n"/>
      <c r="E70" s="14" t="n"/>
      <c r="F70" s="14" t="n"/>
      <c r="G70" s="14" t="n"/>
      <c r="H70" s="14" t="n"/>
      <c r="I70" s="21" t="n"/>
      <c r="J70" s="30" t="n"/>
      <c r="K70" s="14" t="n"/>
      <c r="L70" s="14" t="n"/>
    </row>
    <row r="71" ht="22" customHeight="1">
      <c r="B71" s="17">
        <f>IF(C71="","RET-"&amp;TEXT(COUNTA($C$5:C71),"000"))</f>
        <v/>
      </c>
      <c r="C71" s="12" t="n"/>
      <c r="D71" s="12" t="n"/>
      <c r="E71" s="12" t="n"/>
      <c r="F71" s="12" t="n"/>
      <c r="G71" s="12" t="n"/>
      <c r="H71" s="12" t="n"/>
      <c r="I71" s="20" t="n"/>
      <c r="J71" s="29" t="n"/>
      <c r="K71" s="12" t="n"/>
      <c r="L71" s="12" t="n"/>
    </row>
    <row r="72" ht="22" customHeight="1">
      <c r="B72" s="16">
        <f>IF(C72="","RET-"&amp;TEXT(COUNTA($C$5:C72),"000"))</f>
        <v/>
      </c>
      <c r="C72" s="14" t="n"/>
      <c r="D72" s="14" t="n"/>
      <c r="E72" s="14" t="n"/>
      <c r="F72" s="14" t="n"/>
      <c r="G72" s="14" t="n"/>
      <c r="H72" s="14" t="n"/>
      <c r="I72" s="21" t="n"/>
      <c r="J72" s="30" t="n"/>
      <c r="K72" s="14" t="n"/>
      <c r="L72" s="14" t="n"/>
    </row>
    <row r="73" ht="22" customHeight="1">
      <c r="B73" s="17">
        <f>IF(C73="","RET-"&amp;TEXT(COUNTA($C$5:C73),"000"))</f>
        <v/>
      </c>
      <c r="C73" s="12" t="n"/>
      <c r="D73" s="12" t="n"/>
      <c r="E73" s="12" t="n"/>
      <c r="F73" s="12" t="n"/>
      <c r="G73" s="12" t="n"/>
      <c r="H73" s="12" t="n"/>
      <c r="I73" s="20" t="n"/>
      <c r="J73" s="29" t="n"/>
      <c r="K73" s="12" t="n"/>
      <c r="L73" s="12" t="n"/>
    </row>
    <row r="74" ht="22" customHeight="1">
      <c r="B74" s="16">
        <f>IF(C74="","RET-"&amp;TEXT(COUNTA($C$5:C74),"000"))</f>
        <v/>
      </c>
      <c r="C74" s="14" t="n"/>
      <c r="D74" s="14" t="n"/>
      <c r="E74" s="14" t="n"/>
      <c r="F74" s="14" t="n"/>
      <c r="G74" s="14" t="n"/>
      <c r="H74" s="14" t="n"/>
      <c r="I74" s="21" t="n"/>
      <c r="J74" s="30" t="n"/>
      <c r="K74" s="14" t="n"/>
      <c r="L74" s="14" t="n"/>
    </row>
    <row r="75" ht="22" customHeight="1">
      <c r="B75" s="17">
        <f>IF(C75="","RET-"&amp;TEXT(COUNTA($C$5:C75),"000"))</f>
        <v/>
      </c>
      <c r="C75" s="12" t="n"/>
      <c r="D75" s="12" t="n"/>
      <c r="E75" s="12" t="n"/>
      <c r="F75" s="12" t="n"/>
      <c r="G75" s="12" t="n"/>
      <c r="H75" s="12" t="n"/>
      <c r="I75" s="20" t="n"/>
      <c r="J75" s="29" t="n"/>
      <c r="K75" s="12" t="n"/>
      <c r="L75" s="12" t="n"/>
    </row>
    <row r="76" ht="22" customHeight="1">
      <c r="B76" s="16">
        <f>IF(C76="","RET-"&amp;TEXT(COUNTA($C$5:C76),"000"))</f>
        <v/>
      </c>
      <c r="C76" s="14" t="n"/>
      <c r="D76" s="14" t="n"/>
      <c r="E76" s="14" t="n"/>
      <c r="F76" s="14" t="n"/>
      <c r="G76" s="14" t="n"/>
      <c r="H76" s="14" t="n"/>
      <c r="I76" s="21" t="n"/>
      <c r="J76" s="30" t="n"/>
      <c r="K76" s="14" t="n"/>
      <c r="L76" s="14" t="n"/>
    </row>
    <row r="77" ht="22" customHeight="1">
      <c r="B77" s="17">
        <f>IF(C77="","RET-"&amp;TEXT(COUNTA($C$5:C77),"000"))</f>
        <v/>
      </c>
      <c r="C77" s="12" t="n"/>
      <c r="D77" s="12" t="n"/>
      <c r="E77" s="12" t="n"/>
      <c r="F77" s="12" t="n"/>
      <c r="G77" s="12" t="n"/>
      <c r="H77" s="12" t="n"/>
      <c r="I77" s="20" t="n"/>
      <c r="J77" s="29" t="n"/>
      <c r="K77" s="12" t="n"/>
      <c r="L77" s="12" t="n"/>
    </row>
    <row r="78" ht="22" customHeight="1">
      <c r="B78" s="16">
        <f>IF(C78="","RET-"&amp;TEXT(COUNTA($C$5:C78),"000"))</f>
        <v/>
      </c>
      <c r="C78" s="14" t="n"/>
      <c r="D78" s="14" t="n"/>
      <c r="E78" s="14" t="n"/>
      <c r="F78" s="14" t="n"/>
      <c r="G78" s="14" t="n"/>
      <c r="H78" s="14" t="n"/>
      <c r="I78" s="21" t="n"/>
      <c r="J78" s="30" t="n"/>
      <c r="K78" s="14" t="n"/>
      <c r="L78" s="14" t="n"/>
    </row>
    <row r="79" ht="22" customHeight="1">
      <c r="B79" s="17">
        <f>IF(C79="","RET-"&amp;TEXT(COUNTA($C$5:C79),"000"))</f>
        <v/>
      </c>
      <c r="C79" s="12" t="n"/>
      <c r="D79" s="12" t="n"/>
      <c r="E79" s="12" t="n"/>
      <c r="F79" s="12" t="n"/>
      <c r="G79" s="12" t="n"/>
      <c r="H79" s="12" t="n"/>
      <c r="I79" s="20" t="n"/>
      <c r="J79" s="29" t="n"/>
      <c r="K79" s="12" t="n"/>
      <c r="L79" s="12" t="n"/>
    </row>
    <row r="80" ht="22" customHeight="1">
      <c r="B80" s="16">
        <f>IF(C80="","RET-"&amp;TEXT(COUNTA($C$5:C80),"000"))</f>
        <v/>
      </c>
      <c r="C80" s="14" t="n"/>
      <c r="D80" s="14" t="n"/>
      <c r="E80" s="14" t="n"/>
      <c r="F80" s="14" t="n"/>
      <c r="G80" s="14" t="n"/>
      <c r="H80" s="14" t="n"/>
      <c r="I80" s="21" t="n"/>
      <c r="J80" s="30" t="n"/>
      <c r="K80" s="14" t="n"/>
      <c r="L80" s="14" t="n"/>
    </row>
    <row r="81" ht="22" customHeight="1">
      <c r="B81" s="17">
        <f>IF(C81="","RET-"&amp;TEXT(COUNTA($C$5:C81),"000"))</f>
        <v/>
      </c>
      <c r="C81" s="12" t="n"/>
      <c r="D81" s="12" t="n"/>
      <c r="E81" s="12" t="n"/>
      <c r="F81" s="12" t="n"/>
      <c r="G81" s="12" t="n"/>
      <c r="H81" s="12" t="n"/>
      <c r="I81" s="20" t="n"/>
      <c r="J81" s="29" t="n"/>
      <c r="K81" s="12" t="n"/>
      <c r="L81" s="12" t="n"/>
    </row>
    <row r="82" ht="22" customHeight="1">
      <c r="B82" s="16">
        <f>IF(C82="","RET-"&amp;TEXT(COUNTA($C$5:C82),"000"))</f>
        <v/>
      </c>
      <c r="C82" s="14" t="n"/>
      <c r="D82" s="14" t="n"/>
      <c r="E82" s="14" t="n"/>
      <c r="F82" s="14" t="n"/>
      <c r="G82" s="14" t="n"/>
      <c r="H82" s="14" t="n"/>
      <c r="I82" s="21" t="n"/>
      <c r="J82" s="30" t="n"/>
      <c r="K82" s="14" t="n"/>
      <c r="L82" s="14" t="n"/>
    </row>
    <row r="83" ht="22" customHeight="1">
      <c r="B83" s="17">
        <f>IF(C83="","RET-"&amp;TEXT(COUNTA($C$5:C83),"000"))</f>
        <v/>
      </c>
      <c r="C83" s="12" t="n"/>
      <c r="D83" s="12" t="n"/>
      <c r="E83" s="12" t="n"/>
      <c r="F83" s="12" t="n"/>
      <c r="G83" s="12" t="n"/>
      <c r="H83" s="12" t="n"/>
      <c r="I83" s="20" t="n"/>
      <c r="J83" s="29" t="n"/>
      <c r="K83" s="12" t="n"/>
      <c r="L83" s="12" t="n"/>
    </row>
    <row r="84" ht="22" customHeight="1">
      <c r="B84" s="16">
        <f>IF(C84="","RET-"&amp;TEXT(COUNTA($C$5:C84),"000"))</f>
        <v/>
      </c>
      <c r="C84" s="14" t="n"/>
      <c r="D84" s="14" t="n"/>
      <c r="E84" s="14" t="n"/>
      <c r="F84" s="14" t="n"/>
      <c r="G84" s="14" t="n"/>
      <c r="H84" s="14" t="n"/>
      <c r="I84" s="21" t="n"/>
      <c r="J84" s="30" t="n"/>
      <c r="K84" s="14" t="n"/>
      <c r="L84" s="14" t="n"/>
    </row>
    <row r="85" ht="22" customHeight="1">
      <c r="B85" s="17">
        <f>IF(C85="","RET-"&amp;TEXT(COUNTA($C$5:C85),"000"))</f>
        <v/>
      </c>
      <c r="C85" s="12" t="n"/>
      <c r="D85" s="12" t="n"/>
      <c r="E85" s="12" t="n"/>
      <c r="F85" s="12" t="n"/>
      <c r="G85" s="12" t="n"/>
      <c r="H85" s="12" t="n"/>
      <c r="I85" s="20" t="n"/>
      <c r="J85" s="29" t="n"/>
      <c r="K85" s="12" t="n"/>
      <c r="L85" s="12" t="n"/>
    </row>
    <row r="86" ht="22" customHeight="1">
      <c r="B86" s="16">
        <f>IF(C86="","RET-"&amp;TEXT(COUNTA($C$5:C86),"000"))</f>
        <v/>
      </c>
      <c r="C86" s="14" t="n"/>
      <c r="D86" s="14" t="n"/>
      <c r="E86" s="14" t="n"/>
      <c r="F86" s="14" t="n"/>
      <c r="G86" s="14" t="n"/>
      <c r="H86" s="14" t="n"/>
      <c r="I86" s="21" t="n"/>
      <c r="J86" s="30" t="n"/>
      <c r="K86" s="14" t="n"/>
      <c r="L86" s="14" t="n"/>
    </row>
    <row r="87" ht="22" customHeight="1">
      <c r="B87" s="17">
        <f>IF(C87="","RET-"&amp;TEXT(COUNTA($C$5:C87),"000"))</f>
        <v/>
      </c>
      <c r="C87" s="12" t="n"/>
      <c r="D87" s="12" t="n"/>
      <c r="E87" s="12" t="n"/>
      <c r="F87" s="12" t="n"/>
      <c r="G87" s="12" t="n"/>
      <c r="H87" s="12" t="n"/>
      <c r="I87" s="20" t="n"/>
      <c r="J87" s="29" t="n"/>
      <c r="K87" s="12" t="n"/>
      <c r="L87" s="12" t="n"/>
    </row>
    <row r="88" ht="22" customHeight="1">
      <c r="B88" s="16">
        <f>IF(C88="","RET-"&amp;TEXT(COUNTA($C$5:C88),"000"))</f>
        <v/>
      </c>
      <c r="C88" s="14" t="n"/>
      <c r="D88" s="14" t="n"/>
      <c r="E88" s="14" t="n"/>
      <c r="F88" s="14" t="n"/>
      <c r="G88" s="14" t="n"/>
      <c r="H88" s="14" t="n"/>
      <c r="I88" s="21" t="n"/>
      <c r="J88" s="30" t="n"/>
      <c r="K88" s="14" t="n"/>
      <c r="L88" s="14" t="n"/>
    </row>
    <row r="89" ht="22" customHeight="1">
      <c r="B89" s="17">
        <f>IF(C89="","RET-"&amp;TEXT(COUNTA($C$5:C89),"000"))</f>
        <v/>
      </c>
      <c r="C89" s="12" t="n"/>
      <c r="D89" s="12" t="n"/>
      <c r="E89" s="12" t="n"/>
      <c r="F89" s="12" t="n"/>
      <c r="G89" s="12" t="n"/>
      <c r="H89" s="12" t="n"/>
      <c r="I89" s="20" t="n"/>
      <c r="J89" s="29" t="n"/>
      <c r="K89" s="12" t="n"/>
      <c r="L89" s="12" t="n"/>
    </row>
    <row r="90" ht="22" customHeight="1">
      <c r="B90" s="16">
        <f>IF(C90="","RET-"&amp;TEXT(COUNTA($C$5:C90),"000"))</f>
        <v/>
      </c>
      <c r="C90" s="14" t="n"/>
      <c r="D90" s="14" t="n"/>
      <c r="E90" s="14" t="n"/>
      <c r="F90" s="14" t="n"/>
      <c r="G90" s="14" t="n"/>
      <c r="H90" s="14" t="n"/>
      <c r="I90" s="21" t="n"/>
      <c r="J90" s="30" t="n"/>
      <c r="K90" s="14" t="n"/>
      <c r="L90" s="14" t="n"/>
    </row>
    <row r="91" ht="22" customHeight="1">
      <c r="B91" s="17">
        <f>IF(C91="","RET-"&amp;TEXT(COUNTA($C$5:C91),"000"))</f>
        <v/>
      </c>
      <c r="C91" s="12" t="n"/>
      <c r="D91" s="12" t="n"/>
      <c r="E91" s="12" t="n"/>
      <c r="F91" s="12" t="n"/>
      <c r="G91" s="12" t="n"/>
      <c r="H91" s="12" t="n"/>
      <c r="I91" s="20" t="n"/>
      <c r="J91" s="29" t="n"/>
      <c r="K91" s="12" t="n"/>
      <c r="L91" s="12" t="n"/>
    </row>
    <row r="92" ht="22" customHeight="1">
      <c r="B92" s="16">
        <f>IF(C92="","RET-"&amp;TEXT(COUNTA($C$5:C92),"000"))</f>
        <v/>
      </c>
      <c r="C92" s="14" t="n"/>
      <c r="D92" s="14" t="n"/>
      <c r="E92" s="14" t="n"/>
      <c r="F92" s="14" t="n"/>
      <c r="G92" s="14" t="n"/>
      <c r="H92" s="14" t="n"/>
      <c r="I92" s="21" t="n"/>
      <c r="J92" s="30" t="n"/>
      <c r="K92" s="14" t="n"/>
      <c r="L92" s="14" t="n"/>
    </row>
    <row r="93" ht="22" customHeight="1">
      <c r="B93" s="17">
        <f>IF(C93="","RET-"&amp;TEXT(COUNTA($C$5:C93),"000"))</f>
        <v/>
      </c>
      <c r="C93" s="12" t="n"/>
      <c r="D93" s="12" t="n"/>
      <c r="E93" s="12" t="n"/>
      <c r="F93" s="12" t="n"/>
      <c r="G93" s="12" t="n"/>
      <c r="H93" s="12" t="n"/>
      <c r="I93" s="20" t="n"/>
      <c r="J93" s="29" t="n"/>
      <c r="K93" s="12" t="n"/>
      <c r="L93" s="12" t="n"/>
    </row>
    <row r="94" ht="22" customHeight="1">
      <c r="B94" s="16">
        <f>IF(C94="","RET-"&amp;TEXT(COUNTA($C$5:C94),"000"))</f>
        <v/>
      </c>
      <c r="C94" s="14" t="n"/>
      <c r="D94" s="14" t="n"/>
      <c r="E94" s="14" t="n"/>
      <c r="F94" s="14" t="n"/>
      <c r="G94" s="14" t="n"/>
      <c r="H94" s="14" t="n"/>
      <c r="I94" s="21" t="n"/>
      <c r="J94" s="30" t="n"/>
      <c r="K94" s="14" t="n"/>
      <c r="L94" s="14" t="n"/>
    </row>
    <row r="95" ht="22" customHeight="1">
      <c r="B95" s="17">
        <f>IF(C95="","RET-"&amp;TEXT(COUNTA($C$5:C95),"000"))</f>
        <v/>
      </c>
      <c r="C95" s="12" t="n"/>
      <c r="D95" s="12" t="n"/>
      <c r="E95" s="12" t="n"/>
      <c r="F95" s="12" t="n"/>
      <c r="G95" s="12" t="n"/>
      <c r="H95" s="12" t="n"/>
      <c r="I95" s="20" t="n"/>
      <c r="J95" s="29" t="n"/>
      <c r="K95" s="12" t="n"/>
      <c r="L95" s="12" t="n"/>
    </row>
    <row r="96" ht="22" customHeight="1">
      <c r="B96" s="16">
        <f>IF(C96="","RET-"&amp;TEXT(COUNTA($C$5:C96),"000"))</f>
        <v/>
      </c>
      <c r="C96" s="14" t="n"/>
      <c r="D96" s="14" t="n"/>
      <c r="E96" s="14" t="n"/>
      <c r="F96" s="14" t="n"/>
      <c r="G96" s="14" t="n"/>
      <c r="H96" s="14" t="n"/>
      <c r="I96" s="21" t="n"/>
      <c r="J96" s="30" t="n"/>
      <c r="K96" s="14" t="n"/>
      <c r="L96" s="14" t="n"/>
    </row>
    <row r="97" ht="22" customHeight="1">
      <c r="B97" s="17">
        <f>IF(C97="","RET-"&amp;TEXT(COUNTA($C$5:C97),"000"))</f>
        <v/>
      </c>
      <c r="C97" s="12" t="n"/>
      <c r="D97" s="12" t="n"/>
      <c r="E97" s="12" t="n"/>
      <c r="F97" s="12" t="n"/>
      <c r="G97" s="12" t="n"/>
      <c r="H97" s="12" t="n"/>
      <c r="I97" s="20" t="n"/>
      <c r="J97" s="29" t="n"/>
      <c r="K97" s="12" t="n"/>
      <c r="L97" s="12" t="n"/>
    </row>
    <row r="98" ht="22" customHeight="1">
      <c r="B98" s="16">
        <f>IF(C98="","RET-"&amp;TEXT(COUNTA($C$5:C98),"000"))</f>
        <v/>
      </c>
      <c r="C98" s="14" t="n"/>
      <c r="D98" s="14" t="n"/>
      <c r="E98" s="14" t="n"/>
      <c r="F98" s="14" t="n"/>
      <c r="G98" s="14" t="n"/>
      <c r="H98" s="14" t="n"/>
      <c r="I98" s="21" t="n"/>
      <c r="J98" s="30" t="n"/>
      <c r="K98" s="14" t="n"/>
      <c r="L98" s="14" t="n"/>
    </row>
    <row r="99" ht="22" customHeight="1">
      <c r="B99" s="17">
        <f>IF(C99="","RET-"&amp;TEXT(COUNTA($C$5:C99),"000"))</f>
        <v/>
      </c>
      <c r="C99" s="12" t="n"/>
      <c r="D99" s="12" t="n"/>
      <c r="E99" s="12" t="n"/>
      <c r="F99" s="12" t="n"/>
      <c r="G99" s="12" t="n"/>
      <c r="H99" s="12" t="n"/>
      <c r="I99" s="20" t="n"/>
      <c r="J99" s="29" t="n"/>
      <c r="K99" s="12" t="n"/>
      <c r="L99" s="12" t="n"/>
    </row>
    <row r="100" ht="22" customHeight="1">
      <c r="B100" s="16">
        <f>IF(C100="","RET-"&amp;TEXT(COUNTA($C$5:C100),"000"))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21" t="n"/>
      <c r="J100" s="30" t="n"/>
      <c r="K100" s="14" t="n"/>
      <c r="L100" s="14" t="n"/>
    </row>
    <row r="101" ht="22" customHeight="1">
      <c r="B101" s="17">
        <f>IF(C101="","RET-"&amp;TEXT(COUNTA($C$5:C101),"000"))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20" t="n"/>
      <c r="J101" s="29" t="n"/>
      <c r="K101" s="12" t="n"/>
      <c r="L101" s="12" t="n"/>
    </row>
    <row r="102" ht="22" customHeight="1">
      <c r="B102" s="16">
        <f>IF(C102="","RET-"&amp;TEXT(COUNTA($C$5:C102),"000"))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21" t="n"/>
      <c r="J102" s="30" t="n"/>
      <c r="K102" s="14" t="n"/>
      <c r="L102" s="14" t="n"/>
    </row>
    <row r="103" ht="22" customHeight="1">
      <c r="B103" s="17">
        <f>IF(C103="","RET-"&amp;TEXT(COUNTA($C$5:C103),"000"))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20" t="n"/>
      <c r="J103" s="29" t="n"/>
      <c r="K103" s="12" t="n"/>
      <c r="L103" s="12" t="n"/>
    </row>
    <row r="104" ht="22" customHeight="1">
      <c r="B104" s="16">
        <f>IF(C104="","RET-"&amp;TEXT(COUNTA($C$5:C104),"000"))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21" t="n"/>
      <c r="J104" s="30" t="n"/>
      <c r="K104" s="14" t="n"/>
      <c r="L104" s="14" t="n"/>
    </row>
    <row r="105" ht="22" customHeight="1">
      <c r="B105" s="17">
        <f>IF(C105="","RET-"&amp;TEXT(COUNTA($C$5:C105),"000"))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20" t="n"/>
      <c r="J105" s="29" t="n"/>
      <c r="K105" s="12" t="n"/>
      <c r="L105" s="12" t="n"/>
    </row>
    <row r="106" ht="22" customHeight="1">
      <c r="B106" s="16">
        <f>IF(C106="","RET-"&amp;TEXT(COUNTA($C$5:C106),"000"))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21" t="n"/>
      <c r="J106" s="30" t="n"/>
      <c r="K106" s="14" t="n"/>
      <c r="L106" s="14" t="n"/>
    </row>
    <row r="107" ht="22" customHeight="1">
      <c r="B107" s="17">
        <f>IF(C107="","RET-"&amp;TEXT(COUNTA($C$5:C107),"000"))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20" t="n"/>
      <c r="J107" s="29" t="n"/>
      <c r="K107" s="12" t="n"/>
      <c r="L107" s="12" t="n"/>
    </row>
    <row r="108" ht="22" customHeight="1">
      <c r="B108" s="16">
        <f>IF(C108="","RET-"&amp;TEXT(COUNTA($C$5:C108),"000"))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21" t="n"/>
      <c r="J108" s="30" t="n"/>
      <c r="K108" s="14" t="n"/>
      <c r="L108" s="14" t="n"/>
    </row>
    <row r="109" ht="22" customHeight="1">
      <c r="B109" s="17">
        <f>IF(C109="","RET-"&amp;TEXT(COUNTA($C$5:C109),"000"))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20" t="n"/>
      <c r="J109" s="29" t="n"/>
      <c r="K109" s="12" t="n"/>
      <c r="L109" s="12" t="n"/>
    </row>
    <row r="110"/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3" t="n"/>
      <c r="I111" s="24">
        <f>SUM(I5:I104)</f>
        <v/>
      </c>
      <c r="J111" s="23" t="n"/>
      <c r="K111" s="23" t="n"/>
      <c r="L111" s="23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Employes suivis</t>
        </is>
      </c>
      <c r="D114" s="3" t="inlineStr">
        <is>
          <t>Actions acceptees</t>
        </is>
      </c>
      <c r="F114" s="3" t="inlineStr">
        <is>
          <t>Cout total (kFCFA)</t>
        </is>
      </c>
    </row>
    <row r="115">
      <c r="B115" s="4">
        <f>COUNTIF(B5:B104,"&lt;&gt;")</f>
        <v/>
      </c>
      <c r="D115" s="4">
        <f>COUNTIF(K5:K104,"Acceptee")+COUNTIF(K5:K104,"Terminee")</f>
        <v/>
      </c>
      <c r="F115" s="4">
        <f>IFERROR(SUM(I5:I104)/1000,0)</f>
        <v/>
      </c>
    </row>
  </sheetData>
  <mergeCells count="3">
    <mergeCell ref="B2:L2"/>
    <mergeCell ref="B113:L113"/>
    <mergeCell ref="B3:L3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6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'_Lists'!$L$2:$L$5</formula1>
    </dataValidation>
    <dataValidation sqref="G5:G109" showDropDown="0" showInputMessage="0" showErrorMessage="0" allowBlank="1" errorTitle="Erreur" error="Valeur invalide" promptTitle="Liste" prompt="Choisir dans la liste" type="list">
      <formula1>'_Lists'!$M$2:$M$8</formula1>
    </dataValidation>
    <dataValidation sqref="H5:H109" showDropDown="0" showInputMessage="0" showErrorMessage="0" allowBlank="1" errorTitle="Erreur" error="Valeur invalide" promptTitle="Liste" prompt="Choisir dans la liste" type="list">
      <formula1>'_Lists'!$Y$2:$Y$11</formula1>
    </dataValidation>
    <dataValidation sqref="K5:K109" showDropDown="0" showInputMessage="0" showErrorMessage="0" allowBlank="1" errorTitle="Erreur" error="Valeur invalide" promptTitle="Liste" prompt="Choisir dans la liste" type="list">
      <formula1>'_Lists'!$Z$2:$Z$7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4" customWidth="1" min="5" max="5"/>
    <col width="20" customWidth="1" min="6" max="6"/>
    <col width="14" customWidth="1" min="7" max="7"/>
    <col width="14" customWidth="1" min="8" max="8"/>
    <col width="20" customWidth="1" min="9" max="9"/>
    <col width="34" customWidth="1" min="10" max="10"/>
    <col width="34" customWidth="1" min="11" max="11"/>
    <col width="34" customWidth="1" min="12" max="12"/>
    <col width="12" customWidth="1" min="13" max="13"/>
  </cols>
  <sheetData>
    <row r="1" ht="15" customHeight="1"/>
    <row r="2" ht="32" customHeight="1">
      <c r="B2" s="1" t="inlineStr">
        <is>
          <t>ENTRETIENS PROFESSIONNELS (#114)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Type Entretien</t>
        </is>
      </c>
      <c r="G4" s="11" t="inlineStr">
        <is>
          <t>Frequence</t>
        </is>
      </c>
      <c r="H4" s="11" t="inlineStr">
        <is>
          <t>Date Entretien</t>
        </is>
      </c>
      <c r="I4" s="11" t="inlineStr">
        <is>
          <t>Evaluateur</t>
        </is>
      </c>
      <c r="J4" s="11" t="inlineStr">
        <is>
          <t>Points Forts</t>
        </is>
      </c>
      <c r="K4" s="11" t="inlineStr">
        <is>
          <t>Axes Amelioration</t>
        </is>
      </c>
      <c r="L4" s="11" t="inlineStr">
        <is>
          <t>Engagements</t>
        </is>
      </c>
      <c r="M4" s="11" t="inlineStr">
        <is>
          <t>Statut</t>
        </is>
      </c>
    </row>
    <row r="5" ht="22" customHeight="1">
      <c r="B5" s="12" t="inlineStr">
        <is>
          <t>EP-001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Entretien annuel</t>
        </is>
      </c>
      <c r="G5" s="12" t="inlineStr">
        <is>
          <t>Annuel</t>
        </is>
      </c>
      <c r="H5" s="29" t="n">
        <v>45677</v>
      </c>
      <c r="I5" s="12" t="inlineStr">
        <is>
          <t>DRH Fotso M.</t>
        </is>
      </c>
      <c r="J5" s="12" t="inlineStr">
        <is>
          <t>Leadership exemplaire, satisfaction client elevee</t>
        </is>
      </c>
      <c r="K5" s="12" t="inlineStr">
        <is>
          <t>Deleguer davantage, developper revenue management</t>
        </is>
      </c>
      <c r="L5" s="12" t="inlineStr">
        <is>
          <t>Formation RM d'ici mars 2025</t>
        </is>
      </c>
      <c r="M5" s="12" t="inlineStr">
        <is>
          <t>Realise</t>
        </is>
      </c>
    </row>
    <row r="6" ht="22" customHeight="1">
      <c r="B6" s="14" t="inlineStr">
        <is>
          <t>EP-002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Cuisine &amp; Restauration</t>
        </is>
      </c>
      <c r="F6" s="14" t="inlineStr">
        <is>
          <t>Entretien annuel</t>
        </is>
      </c>
      <c r="G6" s="14" t="inlineStr">
        <is>
          <t>Annuel</t>
        </is>
      </c>
      <c r="H6" s="30" t="n">
        <v>45679</v>
      </c>
      <c r="I6" s="14" t="inlineStr">
        <is>
          <t>Chef Cuisine Biyong J.</t>
        </is>
      </c>
      <c r="J6" s="14" t="inlineStr">
        <is>
          <t>Creativite culinaire, rigueur hygiene</t>
        </is>
      </c>
      <c r="K6" s="14" t="inlineStr">
        <is>
          <t>Gestion stress en service, communication equipe</t>
        </is>
      </c>
      <c r="L6" s="14" t="inlineStr">
        <is>
          <t>Formation gestion stress + feedback regulier</t>
        </is>
      </c>
      <c r="M6" s="14" t="inlineStr">
        <is>
          <t>Realise</t>
        </is>
      </c>
    </row>
    <row r="7" ht="22" customHeight="1">
      <c r="B7" s="12" t="inlineStr">
        <is>
          <t>EP-003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Informatique</t>
        </is>
      </c>
      <c r="F7" s="12" t="inlineStr">
        <is>
          <t>Entretien semestriel</t>
        </is>
      </c>
      <c r="G7" s="12" t="inlineStr">
        <is>
          <t>Semestriel</t>
        </is>
      </c>
      <c r="H7" s="29" t="n">
        <v>45731</v>
      </c>
      <c r="I7" s="12" t="inlineStr">
        <is>
          <t>DSI externe</t>
        </is>
      </c>
      <c r="J7" s="12" t="inlineStr">
        <is>
          <t>Resolutions rapides, proactivite</t>
        </is>
      </c>
      <c r="K7" s="12" t="inlineStr">
        <is>
          <t>Documentation procedures, formation utilisateurs</t>
        </is>
      </c>
      <c r="L7" s="12" t="inlineStr">
        <is>
          <t>Rediger 1 procedure/mois + formation equipe</t>
        </is>
      </c>
      <c r="M7" s="12" t="inlineStr">
        <is>
          <t>Realise</t>
        </is>
      </c>
    </row>
    <row r="8" ht="22" customHeight="1">
      <c r="B8" s="14" t="inlineStr">
        <is>
          <t>EP-004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Commercial</t>
        </is>
      </c>
      <c r="F8" s="14" t="inlineStr">
        <is>
          <t>Entretien annuel</t>
        </is>
      </c>
      <c r="G8" s="14" t="inlineStr">
        <is>
          <t>Annuel</t>
        </is>
      </c>
      <c r="H8" s="30" t="n">
        <v>45818</v>
      </c>
      <c r="I8" s="14" t="inlineStr">
        <is>
          <t>Chef Commercial Manga S.</t>
        </is>
      </c>
      <c r="J8" s="14" t="inlineStr">
        <is>
          <t>Prospection active, bonne relation clients</t>
        </is>
      </c>
      <c r="K8" s="14" t="inlineStr">
        <is>
          <t>Objectifs non atteints Q1, anglais insuffisant</t>
        </is>
      </c>
      <c r="L8" s="14" t="inlineStr">
        <is>
          <t>Formation vente + anglais intensif</t>
        </is>
      </c>
      <c r="M8" s="14" t="inlineStr">
        <is>
          <t>Planifie</t>
        </is>
      </c>
    </row>
    <row r="9" ht="22" customHeight="1">
      <c r="B9" s="12" t="inlineStr">
        <is>
          <t>EP-005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Réception &amp; Front Office</t>
        </is>
      </c>
      <c r="F9" s="12" t="inlineStr">
        <is>
          <t>Entretien semestriel</t>
        </is>
      </c>
      <c r="G9" s="12" t="inlineStr">
        <is>
          <t>Semestriel</t>
        </is>
      </c>
      <c r="H9" s="29" t="n">
        <v>45752</v>
      </c>
      <c r="I9" s="12" t="inlineStr">
        <is>
          <t>Chef Reception Nkoulou P.</t>
        </is>
      </c>
      <c r="J9" s="12" t="inlineStr">
        <is>
          <t>Accueil chaleureux, polyvalence</t>
        </is>
      </c>
      <c r="K9" s="12" t="inlineStr">
        <is>
          <t>Maitrise PMS avance, gestion conflits clients</t>
        </is>
      </c>
      <c r="L9" s="12" t="inlineStr">
        <is>
          <t>Formation PMS + scenario gestion conflits</t>
        </is>
      </c>
      <c r="M9" s="12" t="inlineStr">
        <is>
          <t>Realise</t>
        </is>
      </c>
    </row>
    <row r="10" ht="22" customHeight="1">
      <c r="B10" s="16">
        <f>IF(C10="","EP-"&amp;TEXT(COUNTA($C$5:C10),"000"))</f>
        <v/>
      </c>
      <c r="C10" s="14" t="n"/>
      <c r="D10" s="14" t="n"/>
      <c r="E10" s="14" t="n"/>
      <c r="F10" s="14" t="n"/>
      <c r="G10" s="14" t="n"/>
      <c r="H10" s="30" t="n"/>
      <c r="I10" s="14" t="n"/>
      <c r="J10" s="14" t="n"/>
      <c r="K10" s="14" t="n"/>
      <c r="L10" s="14" t="n"/>
      <c r="M10" s="14" t="n"/>
    </row>
    <row r="11" ht="22" customHeight="1">
      <c r="B11" s="17">
        <f>IF(C11="","EP-"&amp;TEXT(COUNTA($C$5:C11),"000"))</f>
        <v/>
      </c>
      <c r="C11" s="12" t="n"/>
      <c r="D11" s="12" t="n"/>
      <c r="E11" s="12" t="n"/>
      <c r="F11" s="12" t="n"/>
      <c r="G11" s="12" t="n"/>
      <c r="H11" s="29" t="n"/>
      <c r="I11" s="12" t="n"/>
      <c r="J11" s="12" t="n"/>
      <c r="K11" s="12" t="n"/>
      <c r="L11" s="12" t="n"/>
      <c r="M11" s="12" t="n"/>
    </row>
    <row r="12" ht="22" customHeight="1">
      <c r="B12" s="16">
        <f>IF(C12="","EP-"&amp;TEXT(COUNTA($C$5:C12),"000"))</f>
        <v/>
      </c>
      <c r="C12" s="14" t="n"/>
      <c r="D12" s="14" t="n"/>
      <c r="E12" s="14" t="n"/>
      <c r="F12" s="14" t="n"/>
      <c r="G12" s="14" t="n"/>
      <c r="H12" s="30" t="n"/>
      <c r="I12" s="14" t="n"/>
      <c r="J12" s="14" t="n"/>
      <c r="K12" s="14" t="n"/>
      <c r="L12" s="14" t="n"/>
      <c r="M12" s="14" t="n"/>
    </row>
    <row r="13" ht="22" customHeight="1">
      <c r="B13" s="17">
        <f>IF(C13="","EP-"&amp;TEXT(COUNTA($C$5:C13),"000"))</f>
        <v/>
      </c>
      <c r="C13" s="12" t="n"/>
      <c r="D13" s="12" t="n"/>
      <c r="E13" s="12" t="n"/>
      <c r="F13" s="12" t="n"/>
      <c r="G13" s="12" t="n"/>
      <c r="H13" s="29" t="n"/>
      <c r="I13" s="12" t="n"/>
      <c r="J13" s="12" t="n"/>
      <c r="K13" s="12" t="n"/>
      <c r="L13" s="12" t="n"/>
      <c r="M13" s="12" t="n"/>
    </row>
    <row r="14" ht="22" customHeight="1">
      <c r="B14" s="16">
        <f>IF(C14="","EP-"&amp;TEXT(COUNTA($C$5:C14),"000"))</f>
        <v/>
      </c>
      <c r="C14" s="14" t="n"/>
      <c r="D14" s="14" t="n"/>
      <c r="E14" s="14" t="n"/>
      <c r="F14" s="14" t="n"/>
      <c r="G14" s="14" t="n"/>
      <c r="H14" s="30" t="n"/>
      <c r="I14" s="14" t="n"/>
      <c r="J14" s="14" t="n"/>
      <c r="K14" s="14" t="n"/>
      <c r="L14" s="14" t="n"/>
      <c r="M14" s="14" t="n"/>
    </row>
    <row r="15" ht="22" customHeight="1">
      <c r="B15" s="17">
        <f>IF(C15="","EP-"&amp;TEXT(COUNTA($C$5:C15),"000"))</f>
        <v/>
      </c>
      <c r="C15" s="12" t="n"/>
      <c r="D15" s="12" t="n"/>
      <c r="E15" s="12" t="n"/>
      <c r="F15" s="12" t="n"/>
      <c r="G15" s="12" t="n"/>
      <c r="H15" s="29" t="n"/>
      <c r="I15" s="12" t="n"/>
      <c r="J15" s="12" t="n"/>
      <c r="K15" s="12" t="n"/>
      <c r="L15" s="12" t="n"/>
      <c r="M15" s="12" t="n"/>
    </row>
    <row r="16" ht="22" customHeight="1">
      <c r="B16" s="16">
        <f>IF(C16="","EP-"&amp;TEXT(COUNTA($C$5:C16),"000"))</f>
        <v/>
      </c>
      <c r="C16" s="14" t="n"/>
      <c r="D16" s="14" t="n"/>
      <c r="E16" s="14" t="n"/>
      <c r="F16" s="14" t="n"/>
      <c r="G16" s="14" t="n"/>
      <c r="H16" s="30" t="n"/>
      <c r="I16" s="14" t="n"/>
      <c r="J16" s="14" t="n"/>
      <c r="K16" s="14" t="n"/>
      <c r="L16" s="14" t="n"/>
      <c r="M16" s="14" t="n"/>
    </row>
    <row r="17" ht="22" customHeight="1">
      <c r="B17" s="17">
        <f>IF(C17="","EP-"&amp;TEXT(COUNTA($C$5:C17),"000"))</f>
        <v/>
      </c>
      <c r="C17" s="12" t="n"/>
      <c r="D17" s="12" t="n"/>
      <c r="E17" s="12" t="n"/>
      <c r="F17" s="12" t="n"/>
      <c r="G17" s="12" t="n"/>
      <c r="H17" s="29" t="n"/>
      <c r="I17" s="12" t="n"/>
      <c r="J17" s="12" t="n"/>
      <c r="K17" s="12" t="n"/>
      <c r="L17" s="12" t="n"/>
      <c r="M17" s="12" t="n"/>
    </row>
    <row r="18" ht="22" customHeight="1">
      <c r="B18" s="16">
        <f>IF(C18="","EP-"&amp;TEXT(COUNTA($C$5:C18),"000"))</f>
        <v/>
      </c>
      <c r="C18" s="14" t="n"/>
      <c r="D18" s="14" t="n"/>
      <c r="E18" s="14" t="n"/>
      <c r="F18" s="14" t="n"/>
      <c r="G18" s="14" t="n"/>
      <c r="H18" s="30" t="n"/>
      <c r="I18" s="14" t="n"/>
      <c r="J18" s="14" t="n"/>
      <c r="K18" s="14" t="n"/>
      <c r="L18" s="14" t="n"/>
      <c r="M18" s="14" t="n"/>
    </row>
    <row r="19" ht="22" customHeight="1">
      <c r="B19" s="17">
        <f>IF(C19="","EP-"&amp;TEXT(COUNTA($C$5:C19),"000"))</f>
        <v/>
      </c>
      <c r="C19" s="12" t="n"/>
      <c r="D19" s="12" t="n"/>
      <c r="E19" s="12" t="n"/>
      <c r="F19" s="12" t="n"/>
      <c r="G19" s="12" t="n"/>
      <c r="H19" s="29" t="n"/>
      <c r="I19" s="12" t="n"/>
      <c r="J19" s="12" t="n"/>
      <c r="K19" s="12" t="n"/>
      <c r="L19" s="12" t="n"/>
      <c r="M19" s="12" t="n"/>
    </row>
    <row r="20" ht="22" customHeight="1">
      <c r="B20" s="16">
        <f>IF(C20="","EP-"&amp;TEXT(COUNTA($C$5:C20),"000"))</f>
        <v/>
      </c>
      <c r="C20" s="14" t="n"/>
      <c r="D20" s="14" t="n"/>
      <c r="E20" s="14" t="n"/>
      <c r="F20" s="14" t="n"/>
      <c r="G20" s="14" t="n"/>
      <c r="H20" s="30" t="n"/>
      <c r="I20" s="14" t="n"/>
      <c r="J20" s="14" t="n"/>
      <c r="K20" s="14" t="n"/>
      <c r="L20" s="14" t="n"/>
      <c r="M20" s="14" t="n"/>
    </row>
    <row r="21" ht="22" customHeight="1">
      <c r="B21" s="17">
        <f>IF(C21="","EP-"&amp;TEXT(COUNTA($C$5:C21),"000"))</f>
        <v/>
      </c>
      <c r="C21" s="12" t="n"/>
      <c r="D21" s="12" t="n"/>
      <c r="E21" s="12" t="n"/>
      <c r="F21" s="12" t="n"/>
      <c r="G21" s="12" t="n"/>
      <c r="H21" s="29" t="n"/>
      <c r="I21" s="12" t="n"/>
      <c r="J21" s="12" t="n"/>
      <c r="K21" s="12" t="n"/>
      <c r="L21" s="12" t="n"/>
      <c r="M21" s="12" t="n"/>
    </row>
    <row r="22" ht="22" customHeight="1">
      <c r="B22" s="16">
        <f>IF(C22="","EP-"&amp;TEXT(COUNTA($C$5:C22),"000"))</f>
        <v/>
      </c>
      <c r="C22" s="14" t="n"/>
      <c r="D22" s="14" t="n"/>
      <c r="E22" s="14" t="n"/>
      <c r="F22" s="14" t="n"/>
      <c r="G22" s="14" t="n"/>
      <c r="H22" s="30" t="n"/>
      <c r="I22" s="14" t="n"/>
      <c r="J22" s="14" t="n"/>
      <c r="K22" s="14" t="n"/>
      <c r="L22" s="14" t="n"/>
      <c r="M22" s="14" t="n"/>
    </row>
    <row r="23" ht="22" customHeight="1">
      <c r="B23" s="17">
        <f>IF(C23="","EP-"&amp;TEXT(COUNTA($C$5:C23),"000"))</f>
        <v/>
      </c>
      <c r="C23" s="12" t="n"/>
      <c r="D23" s="12" t="n"/>
      <c r="E23" s="12" t="n"/>
      <c r="F23" s="12" t="n"/>
      <c r="G23" s="12" t="n"/>
      <c r="H23" s="29" t="n"/>
      <c r="I23" s="12" t="n"/>
      <c r="J23" s="12" t="n"/>
      <c r="K23" s="12" t="n"/>
      <c r="L23" s="12" t="n"/>
      <c r="M23" s="12" t="n"/>
    </row>
    <row r="24" ht="22" customHeight="1">
      <c r="B24" s="16">
        <f>IF(C24="","EP-"&amp;TEXT(COUNTA($C$5:C24),"000"))</f>
        <v/>
      </c>
      <c r="C24" s="14" t="n"/>
      <c r="D24" s="14" t="n"/>
      <c r="E24" s="14" t="n"/>
      <c r="F24" s="14" t="n"/>
      <c r="G24" s="14" t="n"/>
      <c r="H24" s="30" t="n"/>
      <c r="I24" s="14" t="n"/>
      <c r="J24" s="14" t="n"/>
      <c r="K24" s="14" t="n"/>
      <c r="L24" s="14" t="n"/>
      <c r="M24" s="14" t="n"/>
    </row>
    <row r="25" ht="22" customHeight="1">
      <c r="B25" s="17">
        <f>IF(C25="","EP-"&amp;TEXT(COUNTA($C$5:C25),"000"))</f>
        <v/>
      </c>
      <c r="C25" s="12" t="n"/>
      <c r="D25" s="12" t="n"/>
      <c r="E25" s="12" t="n"/>
      <c r="F25" s="12" t="n"/>
      <c r="G25" s="12" t="n"/>
      <c r="H25" s="29" t="n"/>
      <c r="I25" s="12" t="n"/>
      <c r="J25" s="12" t="n"/>
      <c r="K25" s="12" t="n"/>
      <c r="L25" s="12" t="n"/>
      <c r="M25" s="12" t="n"/>
    </row>
    <row r="26" ht="22" customHeight="1">
      <c r="B26" s="16">
        <f>IF(C26="","EP-"&amp;TEXT(COUNTA($C$5:C26),"000"))</f>
        <v/>
      </c>
      <c r="C26" s="14" t="n"/>
      <c r="D26" s="14" t="n"/>
      <c r="E26" s="14" t="n"/>
      <c r="F26" s="14" t="n"/>
      <c r="G26" s="14" t="n"/>
      <c r="H26" s="30" t="n"/>
      <c r="I26" s="14" t="n"/>
      <c r="J26" s="14" t="n"/>
      <c r="K26" s="14" t="n"/>
      <c r="L26" s="14" t="n"/>
      <c r="M26" s="14" t="n"/>
    </row>
    <row r="27" ht="22" customHeight="1">
      <c r="B27" s="17">
        <f>IF(C27="","EP-"&amp;TEXT(COUNTA($C$5:C27),"000"))</f>
        <v/>
      </c>
      <c r="C27" s="12" t="n"/>
      <c r="D27" s="12" t="n"/>
      <c r="E27" s="12" t="n"/>
      <c r="F27" s="12" t="n"/>
      <c r="G27" s="12" t="n"/>
      <c r="H27" s="29" t="n"/>
      <c r="I27" s="12" t="n"/>
      <c r="J27" s="12" t="n"/>
      <c r="K27" s="12" t="n"/>
      <c r="L27" s="12" t="n"/>
      <c r="M27" s="12" t="n"/>
    </row>
    <row r="28" ht="22" customHeight="1">
      <c r="B28" s="16">
        <f>IF(C28="","EP-"&amp;TEXT(COUNTA($C$5:C28),"000"))</f>
        <v/>
      </c>
      <c r="C28" s="14" t="n"/>
      <c r="D28" s="14" t="n"/>
      <c r="E28" s="14" t="n"/>
      <c r="F28" s="14" t="n"/>
      <c r="G28" s="14" t="n"/>
      <c r="H28" s="30" t="n"/>
      <c r="I28" s="14" t="n"/>
      <c r="J28" s="14" t="n"/>
      <c r="K28" s="14" t="n"/>
      <c r="L28" s="14" t="n"/>
      <c r="M28" s="14" t="n"/>
    </row>
    <row r="29" ht="22" customHeight="1">
      <c r="B29" s="17">
        <f>IF(C29="","EP-"&amp;TEXT(COUNTA($C$5:C29),"000"))</f>
        <v/>
      </c>
      <c r="C29" s="12" t="n"/>
      <c r="D29" s="12" t="n"/>
      <c r="E29" s="12" t="n"/>
      <c r="F29" s="12" t="n"/>
      <c r="G29" s="12" t="n"/>
      <c r="H29" s="29" t="n"/>
      <c r="I29" s="12" t="n"/>
      <c r="J29" s="12" t="n"/>
      <c r="K29" s="12" t="n"/>
      <c r="L29" s="12" t="n"/>
      <c r="M29" s="12" t="n"/>
    </row>
    <row r="30" ht="22" customHeight="1">
      <c r="B30" s="16">
        <f>IF(C30="","EP-"&amp;TEXT(COUNTA($C$5:C30),"000"))</f>
        <v/>
      </c>
      <c r="C30" s="14" t="n"/>
      <c r="D30" s="14" t="n"/>
      <c r="E30" s="14" t="n"/>
      <c r="F30" s="14" t="n"/>
      <c r="G30" s="14" t="n"/>
      <c r="H30" s="30" t="n"/>
      <c r="I30" s="14" t="n"/>
      <c r="J30" s="14" t="n"/>
      <c r="K30" s="14" t="n"/>
      <c r="L30" s="14" t="n"/>
      <c r="M30" s="14" t="n"/>
    </row>
    <row r="31" ht="22" customHeight="1">
      <c r="B31" s="17">
        <f>IF(C31="","EP-"&amp;TEXT(COUNTA($C$5:C31),"000"))</f>
        <v/>
      </c>
      <c r="C31" s="12" t="n"/>
      <c r="D31" s="12" t="n"/>
      <c r="E31" s="12" t="n"/>
      <c r="F31" s="12" t="n"/>
      <c r="G31" s="12" t="n"/>
      <c r="H31" s="29" t="n"/>
      <c r="I31" s="12" t="n"/>
      <c r="J31" s="12" t="n"/>
      <c r="K31" s="12" t="n"/>
      <c r="L31" s="12" t="n"/>
      <c r="M31" s="12" t="n"/>
    </row>
    <row r="32" ht="22" customHeight="1">
      <c r="B32" s="16">
        <f>IF(C32="","EP-"&amp;TEXT(COUNTA($C$5:C32),"000"))</f>
        <v/>
      </c>
      <c r="C32" s="14" t="n"/>
      <c r="D32" s="14" t="n"/>
      <c r="E32" s="14" t="n"/>
      <c r="F32" s="14" t="n"/>
      <c r="G32" s="14" t="n"/>
      <c r="H32" s="30" t="n"/>
      <c r="I32" s="14" t="n"/>
      <c r="J32" s="14" t="n"/>
      <c r="K32" s="14" t="n"/>
      <c r="L32" s="14" t="n"/>
      <c r="M32" s="14" t="n"/>
    </row>
    <row r="33" ht="22" customHeight="1">
      <c r="B33" s="17">
        <f>IF(C33="","EP-"&amp;TEXT(COUNTA($C$5:C33),"000"))</f>
        <v/>
      </c>
      <c r="C33" s="12" t="n"/>
      <c r="D33" s="12" t="n"/>
      <c r="E33" s="12" t="n"/>
      <c r="F33" s="12" t="n"/>
      <c r="G33" s="12" t="n"/>
      <c r="H33" s="29" t="n"/>
      <c r="I33" s="12" t="n"/>
      <c r="J33" s="12" t="n"/>
      <c r="K33" s="12" t="n"/>
      <c r="L33" s="12" t="n"/>
      <c r="M33" s="12" t="n"/>
    </row>
    <row r="34" ht="22" customHeight="1">
      <c r="B34" s="16">
        <f>IF(C34="","EP-"&amp;TEXT(COUNTA($C$5:C34),"000"))</f>
        <v/>
      </c>
      <c r="C34" s="14" t="n"/>
      <c r="D34" s="14" t="n"/>
      <c r="E34" s="14" t="n"/>
      <c r="F34" s="14" t="n"/>
      <c r="G34" s="14" t="n"/>
      <c r="H34" s="30" t="n"/>
      <c r="I34" s="14" t="n"/>
      <c r="J34" s="14" t="n"/>
      <c r="K34" s="14" t="n"/>
      <c r="L34" s="14" t="n"/>
      <c r="M34" s="14" t="n"/>
    </row>
    <row r="35" ht="22" customHeight="1">
      <c r="B35" s="17">
        <f>IF(C35="","EP-"&amp;TEXT(COUNTA($C$5:C35),"000"))</f>
        <v/>
      </c>
      <c r="C35" s="12" t="n"/>
      <c r="D35" s="12" t="n"/>
      <c r="E35" s="12" t="n"/>
      <c r="F35" s="12" t="n"/>
      <c r="G35" s="12" t="n"/>
      <c r="H35" s="29" t="n"/>
      <c r="I35" s="12" t="n"/>
      <c r="J35" s="12" t="n"/>
      <c r="K35" s="12" t="n"/>
      <c r="L35" s="12" t="n"/>
      <c r="M35" s="12" t="n"/>
    </row>
    <row r="36" ht="22" customHeight="1">
      <c r="B36" s="16">
        <f>IF(C36="","EP-"&amp;TEXT(COUNTA($C$5:C36),"000"))</f>
        <v/>
      </c>
      <c r="C36" s="14" t="n"/>
      <c r="D36" s="14" t="n"/>
      <c r="E36" s="14" t="n"/>
      <c r="F36" s="14" t="n"/>
      <c r="G36" s="14" t="n"/>
      <c r="H36" s="30" t="n"/>
      <c r="I36" s="14" t="n"/>
      <c r="J36" s="14" t="n"/>
      <c r="K36" s="14" t="n"/>
      <c r="L36" s="14" t="n"/>
      <c r="M36" s="14" t="n"/>
    </row>
    <row r="37" ht="22" customHeight="1">
      <c r="B37" s="17">
        <f>IF(C37="","EP-"&amp;TEXT(COUNTA($C$5:C37),"000"))</f>
        <v/>
      </c>
      <c r="C37" s="12" t="n"/>
      <c r="D37" s="12" t="n"/>
      <c r="E37" s="12" t="n"/>
      <c r="F37" s="12" t="n"/>
      <c r="G37" s="12" t="n"/>
      <c r="H37" s="29" t="n"/>
      <c r="I37" s="12" t="n"/>
      <c r="J37" s="12" t="n"/>
      <c r="K37" s="12" t="n"/>
      <c r="L37" s="12" t="n"/>
      <c r="M37" s="12" t="n"/>
    </row>
    <row r="38" ht="22" customHeight="1">
      <c r="B38" s="16">
        <f>IF(C38="","EP-"&amp;TEXT(COUNTA($C$5:C38),"000"))</f>
        <v/>
      </c>
      <c r="C38" s="14" t="n"/>
      <c r="D38" s="14" t="n"/>
      <c r="E38" s="14" t="n"/>
      <c r="F38" s="14" t="n"/>
      <c r="G38" s="14" t="n"/>
      <c r="H38" s="30" t="n"/>
      <c r="I38" s="14" t="n"/>
      <c r="J38" s="14" t="n"/>
      <c r="K38" s="14" t="n"/>
      <c r="L38" s="14" t="n"/>
      <c r="M38" s="14" t="n"/>
    </row>
    <row r="39" ht="22" customHeight="1">
      <c r="B39" s="17">
        <f>IF(C39="","EP-"&amp;TEXT(COUNTA($C$5:C39),"000"))</f>
        <v/>
      </c>
      <c r="C39" s="12" t="n"/>
      <c r="D39" s="12" t="n"/>
      <c r="E39" s="12" t="n"/>
      <c r="F39" s="12" t="n"/>
      <c r="G39" s="12" t="n"/>
      <c r="H39" s="29" t="n"/>
      <c r="I39" s="12" t="n"/>
      <c r="J39" s="12" t="n"/>
      <c r="K39" s="12" t="n"/>
      <c r="L39" s="12" t="n"/>
      <c r="M39" s="12" t="n"/>
    </row>
    <row r="40" ht="22" customHeight="1">
      <c r="B40" s="16">
        <f>IF(C40="","EP-"&amp;TEXT(COUNTA($C$5:C40),"000"))</f>
        <v/>
      </c>
      <c r="C40" s="14" t="n"/>
      <c r="D40" s="14" t="n"/>
      <c r="E40" s="14" t="n"/>
      <c r="F40" s="14" t="n"/>
      <c r="G40" s="14" t="n"/>
      <c r="H40" s="30" t="n"/>
      <c r="I40" s="14" t="n"/>
      <c r="J40" s="14" t="n"/>
      <c r="K40" s="14" t="n"/>
      <c r="L40" s="14" t="n"/>
      <c r="M40" s="14" t="n"/>
    </row>
    <row r="41" ht="22" customHeight="1">
      <c r="B41" s="17">
        <f>IF(C41="","EP-"&amp;TEXT(COUNTA($C$5:C41),"000"))</f>
        <v/>
      </c>
      <c r="C41" s="12" t="n"/>
      <c r="D41" s="12" t="n"/>
      <c r="E41" s="12" t="n"/>
      <c r="F41" s="12" t="n"/>
      <c r="G41" s="12" t="n"/>
      <c r="H41" s="29" t="n"/>
      <c r="I41" s="12" t="n"/>
      <c r="J41" s="12" t="n"/>
      <c r="K41" s="12" t="n"/>
      <c r="L41" s="12" t="n"/>
      <c r="M41" s="12" t="n"/>
    </row>
    <row r="42" ht="22" customHeight="1">
      <c r="B42" s="16">
        <f>IF(C42="","EP-"&amp;TEXT(COUNTA($C$5:C42),"000"))</f>
        <v/>
      </c>
      <c r="C42" s="14" t="n"/>
      <c r="D42" s="14" t="n"/>
      <c r="E42" s="14" t="n"/>
      <c r="F42" s="14" t="n"/>
      <c r="G42" s="14" t="n"/>
      <c r="H42" s="30" t="n"/>
      <c r="I42" s="14" t="n"/>
      <c r="J42" s="14" t="n"/>
      <c r="K42" s="14" t="n"/>
      <c r="L42" s="14" t="n"/>
      <c r="M42" s="14" t="n"/>
    </row>
    <row r="43" ht="22" customHeight="1">
      <c r="B43" s="17">
        <f>IF(C43="","EP-"&amp;TEXT(COUNTA($C$5:C43),"000"))</f>
        <v/>
      </c>
      <c r="C43" s="12" t="n"/>
      <c r="D43" s="12" t="n"/>
      <c r="E43" s="12" t="n"/>
      <c r="F43" s="12" t="n"/>
      <c r="G43" s="12" t="n"/>
      <c r="H43" s="29" t="n"/>
      <c r="I43" s="12" t="n"/>
      <c r="J43" s="12" t="n"/>
      <c r="K43" s="12" t="n"/>
      <c r="L43" s="12" t="n"/>
      <c r="M43" s="12" t="n"/>
    </row>
    <row r="44" ht="22" customHeight="1">
      <c r="B44" s="16">
        <f>IF(C44="","EP-"&amp;TEXT(COUNTA($C$5:C44),"000"))</f>
        <v/>
      </c>
      <c r="C44" s="14" t="n"/>
      <c r="D44" s="14" t="n"/>
      <c r="E44" s="14" t="n"/>
      <c r="F44" s="14" t="n"/>
      <c r="G44" s="14" t="n"/>
      <c r="H44" s="30" t="n"/>
      <c r="I44" s="14" t="n"/>
      <c r="J44" s="14" t="n"/>
      <c r="K44" s="14" t="n"/>
      <c r="L44" s="14" t="n"/>
      <c r="M44" s="14" t="n"/>
    </row>
    <row r="45" ht="22" customHeight="1">
      <c r="B45" s="17">
        <f>IF(C45="","EP-"&amp;TEXT(COUNTA($C$5:C45),"000"))</f>
        <v/>
      </c>
      <c r="C45" s="12" t="n"/>
      <c r="D45" s="12" t="n"/>
      <c r="E45" s="12" t="n"/>
      <c r="F45" s="12" t="n"/>
      <c r="G45" s="12" t="n"/>
      <c r="H45" s="29" t="n"/>
      <c r="I45" s="12" t="n"/>
      <c r="J45" s="12" t="n"/>
      <c r="K45" s="12" t="n"/>
      <c r="L45" s="12" t="n"/>
      <c r="M45" s="12" t="n"/>
    </row>
    <row r="46" ht="22" customHeight="1">
      <c r="B46" s="16">
        <f>IF(C46="","EP-"&amp;TEXT(COUNTA($C$5:C46),"000"))</f>
        <v/>
      </c>
      <c r="C46" s="14" t="n"/>
      <c r="D46" s="14" t="n"/>
      <c r="E46" s="14" t="n"/>
      <c r="F46" s="14" t="n"/>
      <c r="G46" s="14" t="n"/>
      <c r="H46" s="30" t="n"/>
      <c r="I46" s="14" t="n"/>
      <c r="J46" s="14" t="n"/>
      <c r="K46" s="14" t="n"/>
      <c r="L46" s="14" t="n"/>
      <c r="M46" s="14" t="n"/>
    </row>
    <row r="47" ht="22" customHeight="1">
      <c r="B47" s="17">
        <f>IF(C47="","EP-"&amp;TEXT(COUNTA($C$5:C47),"000"))</f>
        <v/>
      </c>
      <c r="C47" s="12" t="n"/>
      <c r="D47" s="12" t="n"/>
      <c r="E47" s="12" t="n"/>
      <c r="F47" s="12" t="n"/>
      <c r="G47" s="12" t="n"/>
      <c r="H47" s="29" t="n"/>
      <c r="I47" s="12" t="n"/>
      <c r="J47" s="12" t="n"/>
      <c r="K47" s="12" t="n"/>
      <c r="L47" s="12" t="n"/>
      <c r="M47" s="12" t="n"/>
    </row>
    <row r="48" ht="22" customHeight="1">
      <c r="B48" s="16">
        <f>IF(C48="","EP-"&amp;TEXT(COUNTA($C$5:C48),"000"))</f>
        <v/>
      </c>
      <c r="C48" s="14" t="n"/>
      <c r="D48" s="14" t="n"/>
      <c r="E48" s="14" t="n"/>
      <c r="F48" s="14" t="n"/>
      <c r="G48" s="14" t="n"/>
      <c r="H48" s="30" t="n"/>
      <c r="I48" s="14" t="n"/>
      <c r="J48" s="14" t="n"/>
      <c r="K48" s="14" t="n"/>
      <c r="L48" s="14" t="n"/>
      <c r="M48" s="14" t="n"/>
    </row>
    <row r="49" ht="22" customHeight="1">
      <c r="B49" s="17">
        <f>IF(C49="","EP-"&amp;TEXT(COUNTA($C$5:C49),"000"))</f>
        <v/>
      </c>
      <c r="C49" s="12" t="n"/>
      <c r="D49" s="12" t="n"/>
      <c r="E49" s="12" t="n"/>
      <c r="F49" s="12" t="n"/>
      <c r="G49" s="12" t="n"/>
      <c r="H49" s="29" t="n"/>
      <c r="I49" s="12" t="n"/>
      <c r="J49" s="12" t="n"/>
      <c r="K49" s="12" t="n"/>
      <c r="L49" s="12" t="n"/>
      <c r="M49" s="12" t="n"/>
    </row>
    <row r="50" ht="22" customHeight="1">
      <c r="B50" s="16">
        <f>IF(C50="","EP-"&amp;TEXT(COUNTA($C$5:C50),"000"))</f>
        <v/>
      </c>
      <c r="C50" s="14" t="n"/>
      <c r="D50" s="14" t="n"/>
      <c r="E50" s="14" t="n"/>
      <c r="F50" s="14" t="n"/>
      <c r="G50" s="14" t="n"/>
      <c r="H50" s="30" t="n"/>
      <c r="I50" s="14" t="n"/>
      <c r="J50" s="14" t="n"/>
      <c r="K50" s="14" t="n"/>
      <c r="L50" s="14" t="n"/>
      <c r="M50" s="14" t="n"/>
    </row>
    <row r="51" ht="22" customHeight="1">
      <c r="B51" s="17">
        <f>IF(C51="","EP-"&amp;TEXT(COUNTA($C$5:C51),"000"))</f>
        <v/>
      </c>
      <c r="C51" s="12" t="n"/>
      <c r="D51" s="12" t="n"/>
      <c r="E51" s="12" t="n"/>
      <c r="F51" s="12" t="n"/>
      <c r="G51" s="12" t="n"/>
      <c r="H51" s="29" t="n"/>
      <c r="I51" s="12" t="n"/>
      <c r="J51" s="12" t="n"/>
      <c r="K51" s="12" t="n"/>
      <c r="L51" s="12" t="n"/>
      <c r="M51" s="12" t="n"/>
    </row>
    <row r="52" ht="22" customHeight="1">
      <c r="B52" s="16">
        <f>IF(C52="","EP-"&amp;TEXT(COUNTA($C$5:C52),"000"))</f>
        <v/>
      </c>
      <c r="C52" s="14" t="n"/>
      <c r="D52" s="14" t="n"/>
      <c r="E52" s="14" t="n"/>
      <c r="F52" s="14" t="n"/>
      <c r="G52" s="14" t="n"/>
      <c r="H52" s="30" t="n"/>
      <c r="I52" s="14" t="n"/>
      <c r="J52" s="14" t="n"/>
      <c r="K52" s="14" t="n"/>
      <c r="L52" s="14" t="n"/>
      <c r="M52" s="14" t="n"/>
    </row>
    <row r="53" ht="22" customHeight="1">
      <c r="B53" s="17">
        <f>IF(C53="","EP-"&amp;TEXT(COUNTA($C$5:C53),"000"))</f>
        <v/>
      </c>
      <c r="C53" s="12" t="n"/>
      <c r="D53" s="12" t="n"/>
      <c r="E53" s="12" t="n"/>
      <c r="F53" s="12" t="n"/>
      <c r="G53" s="12" t="n"/>
      <c r="H53" s="29" t="n"/>
      <c r="I53" s="12" t="n"/>
      <c r="J53" s="12" t="n"/>
      <c r="K53" s="12" t="n"/>
      <c r="L53" s="12" t="n"/>
      <c r="M53" s="12" t="n"/>
    </row>
    <row r="54" ht="22" customHeight="1">
      <c r="B54" s="16">
        <f>IF(C54="","EP-"&amp;TEXT(COUNTA($C$5:C54),"000"))</f>
        <v/>
      </c>
      <c r="C54" s="14" t="n"/>
      <c r="D54" s="14" t="n"/>
      <c r="E54" s="14" t="n"/>
      <c r="F54" s="14" t="n"/>
      <c r="G54" s="14" t="n"/>
      <c r="H54" s="30" t="n"/>
      <c r="I54" s="14" t="n"/>
      <c r="J54" s="14" t="n"/>
      <c r="K54" s="14" t="n"/>
      <c r="L54" s="14" t="n"/>
      <c r="M54" s="14" t="n"/>
    </row>
    <row r="55" ht="22" customHeight="1">
      <c r="B55" s="17">
        <f>IF(C55="","EP-"&amp;TEXT(COUNTA($C$5:C55),"000"))</f>
        <v/>
      </c>
      <c r="C55" s="12" t="n"/>
      <c r="D55" s="12" t="n"/>
      <c r="E55" s="12" t="n"/>
      <c r="F55" s="12" t="n"/>
      <c r="G55" s="12" t="n"/>
      <c r="H55" s="29" t="n"/>
      <c r="I55" s="12" t="n"/>
      <c r="J55" s="12" t="n"/>
      <c r="K55" s="12" t="n"/>
      <c r="L55" s="12" t="n"/>
      <c r="M55" s="12" t="n"/>
    </row>
    <row r="56" ht="22" customHeight="1">
      <c r="B56" s="16">
        <f>IF(C56="","EP-"&amp;TEXT(COUNTA($C$5:C56),"000"))</f>
        <v/>
      </c>
      <c r="C56" s="14" t="n"/>
      <c r="D56" s="14" t="n"/>
      <c r="E56" s="14" t="n"/>
      <c r="F56" s="14" t="n"/>
      <c r="G56" s="14" t="n"/>
      <c r="H56" s="30" t="n"/>
      <c r="I56" s="14" t="n"/>
      <c r="J56" s="14" t="n"/>
      <c r="K56" s="14" t="n"/>
      <c r="L56" s="14" t="n"/>
      <c r="M56" s="14" t="n"/>
    </row>
    <row r="57" ht="22" customHeight="1">
      <c r="B57" s="17">
        <f>IF(C57="","EP-"&amp;TEXT(COUNTA($C$5:C57),"000"))</f>
        <v/>
      </c>
      <c r="C57" s="12" t="n"/>
      <c r="D57" s="12" t="n"/>
      <c r="E57" s="12" t="n"/>
      <c r="F57" s="12" t="n"/>
      <c r="G57" s="12" t="n"/>
      <c r="H57" s="29" t="n"/>
      <c r="I57" s="12" t="n"/>
      <c r="J57" s="12" t="n"/>
      <c r="K57" s="12" t="n"/>
      <c r="L57" s="12" t="n"/>
      <c r="M57" s="12" t="n"/>
    </row>
    <row r="58" ht="22" customHeight="1">
      <c r="B58" s="16">
        <f>IF(C58="","EP-"&amp;TEXT(COUNTA($C$5:C58),"000"))</f>
        <v/>
      </c>
      <c r="C58" s="14" t="n"/>
      <c r="D58" s="14" t="n"/>
      <c r="E58" s="14" t="n"/>
      <c r="F58" s="14" t="n"/>
      <c r="G58" s="14" t="n"/>
      <c r="H58" s="30" t="n"/>
      <c r="I58" s="14" t="n"/>
      <c r="J58" s="14" t="n"/>
      <c r="K58" s="14" t="n"/>
      <c r="L58" s="14" t="n"/>
      <c r="M58" s="14" t="n"/>
    </row>
    <row r="59" ht="22" customHeight="1">
      <c r="B59" s="17">
        <f>IF(C59="","EP-"&amp;TEXT(COUNTA($C$5:C59),"000"))</f>
        <v/>
      </c>
      <c r="C59" s="12" t="n"/>
      <c r="D59" s="12" t="n"/>
      <c r="E59" s="12" t="n"/>
      <c r="F59" s="12" t="n"/>
      <c r="G59" s="12" t="n"/>
      <c r="H59" s="29" t="n"/>
      <c r="I59" s="12" t="n"/>
      <c r="J59" s="12" t="n"/>
      <c r="K59" s="12" t="n"/>
      <c r="L59" s="12" t="n"/>
      <c r="M59" s="12" t="n"/>
    </row>
    <row r="60" ht="22" customHeight="1">
      <c r="B60" s="16">
        <f>IF(C60="","EP-"&amp;TEXT(COUNTA($C$5:C60),"000"))</f>
        <v/>
      </c>
      <c r="C60" s="14" t="n"/>
      <c r="D60" s="14" t="n"/>
      <c r="E60" s="14" t="n"/>
      <c r="F60" s="14" t="n"/>
      <c r="G60" s="14" t="n"/>
      <c r="H60" s="30" t="n"/>
      <c r="I60" s="14" t="n"/>
      <c r="J60" s="14" t="n"/>
      <c r="K60" s="14" t="n"/>
      <c r="L60" s="14" t="n"/>
      <c r="M60" s="14" t="n"/>
    </row>
    <row r="61" ht="22" customHeight="1">
      <c r="B61" s="17">
        <f>IF(C61="","EP-"&amp;TEXT(COUNTA($C$5:C61),"000"))</f>
        <v/>
      </c>
      <c r="C61" s="12" t="n"/>
      <c r="D61" s="12" t="n"/>
      <c r="E61" s="12" t="n"/>
      <c r="F61" s="12" t="n"/>
      <c r="G61" s="12" t="n"/>
      <c r="H61" s="29" t="n"/>
      <c r="I61" s="12" t="n"/>
      <c r="J61" s="12" t="n"/>
      <c r="K61" s="12" t="n"/>
      <c r="L61" s="12" t="n"/>
      <c r="M61" s="12" t="n"/>
    </row>
    <row r="62" ht="22" customHeight="1">
      <c r="B62" s="16">
        <f>IF(C62="","EP-"&amp;TEXT(COUNTA($C$5:C62),"000"))</f>
        <v/>
      </c>
      <c r="C62" s="14" t="n"/>
      <c r="D62" s="14" t="n"/>
      <c r="E62" s="14" t="n"/>
      <c r="F62" s="14" t="n"/>
      <c r="G62" s="14" t="n"/>
      <c r="H62" s="30" t="n"/>
      <c r="I62" s="14" t="n"/>
      <c r="J62" s="14" t="n"/>
      <c r="K62" s="14" t="n"/>
      <c r="L62" s="14" t="n"/>
      <c r="M62" s="14" t="n"/>
    </row>
    <row r="63" ht="22" customHeight="1">
      <c r="B63" s="17">
        <f>IF(C63="","EP-"&amp;TEXT(COUNTA($C$5:C63),"000"))</f>
        <v/>
      </c>
      <c r="C63" s="12" t="n"/>
      <c r="D63" s="12" t="n"/>
      <c r="E63" s="12" t="n"/>
      <c r="F63" s="12" t="n"/>
      <c r="G63" s="12" t="n"/>
      <c r="H63" s="29" t="n"/>
      <c r="I63" s="12" t="n"/>
      <c r="J63" s="12" t="n"/>
      <c r="K63" s="12" t="n"/>
      <c r="L63" s="12" t="n"/>
      <c r="M63" s="12" t="n"/>
    </row>
    <row r="64" ht="22" customHeight="1">
      <c r="B64" s="16">
        <f>IF(C64="","EP-"&amp;TEXT(COUNTA($C$5:C64),"000"))</f>
        <v/>
      </c>
      <c r="C64" s="14" t="n"/>
      <c r="D64" s="14" t="n"/>
      <c r="E64" s="14" t="n"/>
      <c r="F64" s="14" t="n"/>
      <c r="G64" s="14" t="n"/>
      <c r="H64" s="30" t="n"/>
      <c r="I64" s="14" t="n"/>
      <c r="J64" s="14" t="n"/>
      <c r="K64" s="14" t="n"/>
      <c r="L64" s="14" t="n"/>
      <c r="M64" s="14" t="n"/>
    </row>
    <row r="65" ht="22" customHeight="1">
      <c r="B65" s="17">
        <f>IF(C65="","EP-"&amp;TEXT(COUNTA($C$5:C65),"000"))</f>
        <v/>
      </c>
      <c r="C65" s="12" t="n"/>
      <c r="D65" s="12" t="n"/>
      <c r="E65" s="12" t="n"/>
      <c r="F65" s="12" t="n"/>
      <c r="G65" s="12" t="n"/>
      <c r="H65" s="29" t="n"/>
      <c r="I65" s="12" t="n"/>
      <c r="J65" s="12" t="n"/>
      <c r="K65" s="12" t="n"/>
      <c r="L65" s="12" t="n"/>
      <c r="M65" s="12" t="n"/>
    </row>
    <row r="66" ht="22" customHeight="1">
      <c r="B66" s="16">
        <f>IF(C66="","EP-"&amp;TEXT(COUNTA($C$5:C66),"000"))</f>
        <v/>
      </c>
      <c r="C66" s="14" t="n"/>
      <c r="D66" s="14" t="n"/>
      <c r="E66" s="14" t="n"/>
      <c r="F66" s="14" t="n"/>
      <c r="G66" s="14" t="n"/>
      <c r="H66" s="30" t="n"/>
      <c r="I66" s="14" t="n"/>
      <c r="J66" s="14" t="n"/>
      <c r="K66" s="14" t="n"/>
      <c r="L66" s="14" t="n"/>
      <c r="M66" s="14" t="n"/>
    </row>
    <row r="67" ht="22" customHeight="1">
      <c r="B67" s="17">
        <f>IF(C67="","EP-"&amp;TEXT(COUNTA($C$5:C67),"000"))</f>
        <v/>
      </c>
      <c r="C67" s="12" t="n"/>
      <c r="D67" s="12" t="n"/>
      <c r="E67" s="12" t="n"/>
      <c r="F67" s="12" t="n"/>
      <c r="G67" s="12" t="n"/>
      <c r="H67" s="29" t="n"/>
      <c r="I67" s="12" t="n"/>
      <c r="J67" s="12" t="n"/>
      <c r="K67" s="12" t="n"/>
      <c r="L67" s="12" t="n"/>
      <c r="M67" s="12" t="n"/>
    </row>
    <row r="68" ht="22" customHeight="1">
      <c r="B68" s="16">
        <f>IF(C68="","EP-"&amp;TEXT(COUNTA($C$5:C68),"000"))</f>
        <v/>
      </c>
      <c r="C68" s="14" t="n"/>
      <c r="D68" s="14" t="n"/>
      <c r="E68" s="14" t="n"/>
      <c r="F68" s="14" t="n"/>
      <c r="G68" s="14" t="n"/>
      <c r="H68" s="30" t="n"/>
      <c r="I68" s="14" t="n"/>
      <c r="J68" s="14" t="n"/>
      <c r="K68" s="14" t="n"/>
      <c r="L68" s="14" t="n"/>
      <c r="M68" s="14" t="n"/>
    </row>
    <row r="69" ht="22" customHeight="1">
      <c r="B69" s="17">
        <f>IF(C69="","EP-"&amp;TEXT(COUNTA($C$5:C69),"000"))</f>
        <v/>
      </c>
      <c r="C69" s="12" t="n"/>
      <c r="D69" s="12" t="n"/>
      <c r="E69" s="12" t="n"/>
      <c r="F69" s="12" t="n"/>
      <c r="G69" s="12" t="n"/>
      <c r="H69" s="29" t="n"/>
      <c r="I69" s="12" t="n"/>
      <c r="J69" s="12" t="n"/>
      <c r="K69" s="12" t="n"/>
      <c r="L69" s="12" t="n"/>
      <c r="M69" s="12" t="n"/>
    </row>
    <row r="70" ht="22" customHeight="1">
      <c r="B70" s="16">
        <f>IF(C70="","EP-"&amp;TEXT(COUNTA($C$5:C70),"000"))</f>
        <v/>
      </c>
      <c r="C70" s="14" t="n"/>
      <c r="D70" s="14" t="n"/>
      <c r="E70" s="14" t="n"/>
      <c r="F70" s="14" t="n"/>
      <c r="G70" s="14" t="n"/>
      <c r="H70" s="30" t="n"/>
      <c r="I70" s="14" t="n"/>
      <c r="J70" s="14" t="n"/>
      <c r="K70" s="14" t="n"/>
      <c r="L70" s="14" t="n"/>
      <c r="M70" s="14" t="n"/>
    </row>
    <row r="71" ht="22" customHeight="1">
      <c r="B71" s="17">
        <f>IF(C71="","EP-"&amp;TEXT(COUNTA($C$5:C71),"000"))</f>
        <v/>
      </c>
      <c r="C71" s="12" t="n"/>
      <c r="D71" s="12" t="n"/>
      <c r="E71" s="12" t="n"/>
      <c r="F71" s="12" t="n"/>
      <c r="G71" s="12" t="n"/>
      <c r="H71" s="29" t="n"/>
      <c r="I71" s="12" t="n"/>
      <c r="J71" s="12" t="n"/>
      <c r="K71" s="12" t="n"/>
      <c r="L71" s="12" t="n"/>
      <c r="M71" s="12" t="n"/>
    </row>
    <row r="72" ht="22" customHeight="1">
      <c r="B72" s="16">
        <f>IF(C72="","EP-"&amp;TEXT(COUNTA($C$5:C72),"000"))</f>
        <v/>
      </c>
      <c r="C72" s="14" t="n"/>
      <c r="D72" s="14" t="n"/>
      <c r="E72" s="14" t="n"/>
      <c r="F72" s="14" t="n"/>
      <c r="G72" s="14" t="n"/>
      <c r="H72" s="30" t="n"/>
      <c r="I72" s="14" t="n"/>
      <c r="J72" s="14" t="n"/>
      <c r="K72" s="14" t="n"/>
      <c r="L72" s="14" t="n"/>
      <c r="M72" s="14" t="n"/>
    </row>
    <row r="73" ht="22" customHeight="1">
      <c r="B73" s="17">
        <f>IF(C73="","EP-"&amp;TEXT(COUNTA($C$5:C73),"000"))</f>
        <v/>
      </c>
      <c r="C73" s="12" t="n"/>
      <c r="D73" s="12" t="n"/>
      <c r="E73" s="12" t="n"/>
      <c r="F73" s="12" t="n"/>
      <c r="G73" s="12" t="n"/>
      <c r="H73" s="29" t="n"/>
      <c r="I73" s="12" t="n"/>
      <c r="J73" s="12" t="n"/>
      <c r="K73" s="12" t="n"/>
      <c r="L73" s="12" t="n"/>
      <c r="M73" s="12" t="n"/>
    </row>
    <row r="74" ht="22" customHeight="1">
      <c r="B74" s="16">
        <f>IF(C74="","EP-"&amp;TEXT(COUNTA($C$5:C74),"000"))</f>
        <v/>
      </c>
      <c r="C74" s="14" t="n"/>
      <c r="D74" s="14" t="n"/>
      <c r="E74" s="14" t="n"/>
      <c r="F74" s="14" t="n"/>
      <c r="G74" s="14" t="n"/>
      <c r="H74" s="30" t="n"/>
      <c r="I74" s="14" t="n"/>
      <c r="J74" s="14" t="n"/>
      <c r="K74" s="14" t="n"/>
      <c r="L74" s="14" t="n"/>
      <c r="M74" s="14" t="n"/>
    </row>
    <row r="75" ht="22" customHeight="1">
      <c r="B75" s="17">
        <f>IF(C75="","EP-"&amp;TEXT(COUNTA($C$5:C75),"000"))</f>
        <v/>
      </c>
      <c r="C75" s="12" t="n"/>
      <c r="D75" s="12" t="n"/>
      <c r="E75" s="12" t="n"/>
      <c r="F75" s="12" t="n"/>
      <c r="G75" s="12" t="n"/>
      <c r="H75" s="29" t="n"/>
      <c r="I75" s="12" t="n"/>
      <c r="J75" s="12" t="n"/>
      <c r="K75" s="12" t="n"/>
      <c r="L75" s="12" t="n"/>
      <c r="M75" s="12" t="n"/>
    </row>
    <row r="76" ht="22" customHeight="1">
      <c r="B76" s="16">
        <f>IF(C76="","EP-"&amp;TEXT(COUNTA($C$5:C76),"000"))</f>
        <v/>
      </c>
      <c r="C76" s="14" t="n"/>
      <c r="D76" s="14" t="n"/>
      <c r="E76" s="14" t="n"/>
      <c r="F76" s="14" t="n"/>
      <c r="G76" s="14" t="n"/>
      <c r="H76" s="30" t="n"/>
      <c r="I76" s="14" t="n"/>
      <c r="J76" s="14" t="n"/>
      <c r="K76" s="14" t="n"/>
      <c r="L76" s="14" t="n"/>
      <c r="M76" s="14" t="n"/>
    </row>
    <row r="77" ht="22" customHeight="1">
      <c r="B77" s="17">
        <f>IF(C77="","EP-"&amp;TEXT(COUNTA($C$5:C77),"000"))</f>
        <v/>
      </c>
      <c r="C77" s="12" t="n"/>
      <c r="D77" s="12" t="n"/>
      <c r="E77" s="12" t="n"/>
      <c r="F77" s="12" t="n"/>
      <c r="G77" s="12" t="n"/>
      <c r="H77" s="29" t="n"/>
      <c r="I77" s="12" t="n"/>
      <c r="J77" s="12" t="n"/>
      <c r="K77" s="12" t="n"/>
      <c r="L77" s="12" t="n"/>
      <c r="M77" s="12" t="n"/>
    </row>
    <row r="78" ht="22" customHeight="1">
      <c r="B78" s="16">
        <f>IF(C78="","EP-"&amp;TEXT(COUNTA($C$5:C78),"000"))</f>
        <v/>
      </c>
      <c r="C78" s="14" t="n"/>
      <c r="D78" s="14" t="n"/>
      <c r="E78" s="14" t="n"/>
      <c r="F78" s="14" t="n"/>
      <c r="G78" s="14" t="n"/>
      <c r="H78" s="30" t="n"/>
      <c r="I78" s="14" t="n"/>
      <c r="J78" s="14" t="n"/>
      <c r="K78" s="14" t="n"/>
      <c r="L78" s="14" t="n"/>
      <c r="M78" s="14" t="n"/>
    </row>
    <row r="79" ht="22" customHeight="1">
      <c r="B79" s="17">
        <f>IF(C79="","EP-"&amp;TEXT(COUNTA($C$5:C79),"000"))</f>
        <v/>
      </c>
      <c r="C79" s="12" t="n"/>
      <c r="D79" s="12" t="n"/>
      <c r="E79" s="12" t="n"/>
      <c r="F79" s="12" t="n"/>
      <c r="G79" s="12" t="n"/>
      <c r="H79" s="29" t="n"/>
      <c r="I79" s="12" t="n"/>
      <c r="J79" s="12" t="n"/>
      <c r="K79" s="12" t="n"/>
      <c r="L79" s="12" t="n"/>
      <c r="M79" s="12" t="n"/>
    </row>
    <row r="80" ht="22" customHeight="1">
      <c r="B80" s="16">
        <f>IF(C80="","EP-"&amp;TEXT(COUNTA($C$5:C80),"000"))</f>
        <v/>
      </c>
      <c r="C80" s="14" t="n"/>
      <c r="D80" s="14" t="n"/>
      <c r="E80" s="14" t="n"/>
      <c r="F80" s="14" t="n"/>
      <c r="G80" s="14" t="n"/>
      <c r="H80" s="30" t="n"/>
      <c r="I80" s="14" t="n"/>
      <c r="J80" s="14" t="n"/>
      <c r="K80" s="14" t="n"/>
      <c r="L80" s="14" t="n"/>
      <c r="M80" s="14" t="n"/>
    </row>
    <row r="81" ht="22" customHeight="1">
      <c r="B81" s="17">
        <f>IF(C81="","EP-"&amp;TEXT(COUNTA($C$5:C81),"000"))</f>
        <v/>
      </c>
      <c r="C81" s="12" t="n"/>
      <c r="D81" s="12" t="n"/>
      <c r="E81" s="12" t="n"/>
      <c r="F81" s="12" t="n"/>
      <c r="G81" s="12" t="n"/>
      <c r="H81" s="29" t="n"/>
      <c r="I81" s="12" t="n"/>
      <c r="J81" s="12" t="n"/>
      <c r="K81" s="12" t="n"/>
      <c r="L81" s="12" t="n"/>
      <c r="M81" s="12" t="n"/>
    </row>
    <row r="82" ht="22" customHeight="1">
      <c r="B82" s="16">
        <f>IF(C82="","EP-"&amp;TEXT(COUNTA($C$5:C82),"000"))</f>
        <v/>
      </c>
      <c r="C82" s="14" t="n"/>
      <c r="D82" s="14" t="n"/>
      <c r="E82" s="14" t="n"/>
      <c r="F82" s="14" t="n"/>
      <c r="G82" s="14" t="n"/>
      <c r="H82" s="30" t="n"/>
      <c r="I82" s="14" t="n"/>
      <c r="J82" s="14" t="n"/>
      <c r="K82" s="14" t="n"/>
      <c r="L82" s="14" t="n"/>
      <c r="M82" s="14" t="n"/>
    </row>
    <row r="83" ht="22" customHeight="1">
      <c r="B83" s="17">
        <f>IF(C83="","EP-"&amp;TEXT(COUNTA($C$5:C83),"000"))</f>
        <v/>
      </c>
      <c r="C83" s="12" t="n"/>
      <c r="D83" s="12" t="n"/>
      <c r="E83" s="12" t="n"/>
      <c r="F83" s="12" t="n"/>
      <c r="G83" s="12" t="n"/>
      <c r="H83" s="29" t="n"/>
      <c r="I83" s="12" t="n"/>
      <c r="J83" s="12" t="n"/>
      <c r="K83" s="12" t="n"/>
      <c r="L83" s="12" t="n"/>
      <c r="M83" s="12" t="n"/>
    </row>
    <row r="84" ht="22" customHeight="1">
      <c r="B84" s="16">
        <f>IF(C84="","EP-"&amp;TEXT(COUNTA($C$5:C84),"000"))</f>
        <v/>
      </c>
      <c r="C84" s="14" t="n"/>
      <c r="D84" s="14" t="n"/>
      <c r="E84" s="14" t="n"/>
      <c r="F84" s="14" t="n"/>
      <c r="G84" s="14" t="n"/>
      <c r="H84" s="30" t="n"/>
      <c r="I84" s="14" t="n"/>
      <c r="J84" s="14" t="n"/>
      <c r="K84" s="14" t="n"/>
      <c r="L84" s="14" t="n"/>
      <c r="M84" s="14" t="n"/>
    </row>
    <row r="85" ht="22" customHeight="1">
      <c r="B85" s="17">
        <f>IF(C85="","EP-"&amp;TEXT(COUNTA($C$5:C85),"000"))</f>
        <v/>
      </c>
      <c r="C85" s="12" t="n"/>
      <c r="D85" s="12" t="n"/>
      <c r="E85" s="12" t="n"/>
      <c r="F85" s="12" t="n"/>
      <c r="G85" s="12" t="n"/>
      <c r="H85" s="29" t="n"/>
      <c r="I85" s="12" t="n"/>
      <c r="J85" s="12" t="n"/>
      <c r="K85" s="12" t="n"/>
      <c r="L85" s="12" t="n"/>
      <c r="M85" s="12" t="n"/>
    </row>
    <row r="86" ht="22" customHeight="1">
      <c r="B86" s="16">
        <f>IF(C86="","EP-"&amp;TEXT(COUNTA($C$5:C86),"000"))</f>
        <v/>
      </c>
      <c r="C86" s="14" t="n"/>
      <c r="D86" s="14" t="n"/>
      <c r="E86" s="14" t="n"/>
      <c r="F86" s="14" t="n"/>
      <c r="G86" s="14" t="n"/>
      <c r="H86" s="30" t="n"/>
      <c r="I86" s="14" t="n"/>
      <c r="J86" s="14" t="n"/>
      <c r="K86" s="14" t="n"/>
      <c r="L86" s="14" t="n"/>
      <c r="M86" s="14" t="n"/>
    </row>
    <row r="87" ht="22" customHeight="1">
      <c r="B87" s="17">
        <f>IF(C87="","EP-"&amp;TEXT(COUNTA($C$5:C87),"000"))</f>
        <v/>
      </c>
      <c r="C87" s="12" t="n"/>
      <c r="D87" s="12" t="n"/>
      <c r="E87" s="12" t="n"/>
      <c r="F87" s="12" t="n"/>
      <c r="G87" s="12" t="n"/>
      <c r="H87" s="29" t="n"/>
      <c r="I87" s="12" t="n"/>
      <c r="J87" s="12" t="n"/>
      <c r="K87" s="12" t="n"/>
      <c r="L87" s="12" t="n"/>
      <c r="M87" s="12" t="n"/>
    </row>
    <row r="88" ht="22" customHeight="1">
      <c r="B88" s="16">
        <f>IF(C88="","EP-"&amp;TEXT(COUNTA($C$5:C88),"000"))</f>
        <v/>
      </c>
      <c r="C88" s="14" t="n"/>
      <c r="D88" s="14" t="n"/>
      <c r="E88" s="14" t="n"/>
      <c r="F88" s="14" t="n"/>
      <c r="G88" s="14" t="n"/>
      <c r="H88" s="30" t="n"/>
      <c r="I88" s="14" t="n"/>
      <c r="J88" s="14" t="n"/>
      <c r="K88" s="14" t="n"/>
      <c r="L88" s="14" t="n"/>
      <c r="M88" s="14" t="n"/>
    </row>
    <row r="89" ht="22" customHeight="1">
      <c r="B89" s="17">
        <f>IF(C89="","EP-"&amp;TEXT(COUNTA($C$5:C89),"000"))</f>
        <v/>
      </c>
      <c r="C89" s="12" t="n"/>
      <c r="D89" s="12" t="n"/>
      <c r="E89" s="12" t="n"/>
      <c r="F89" s="12" t="n"/>
      <c r="G89" s="12" t="n"/>
      <c r="H89" s="29" t="n"/>
      <c r="I89" s="12" t="n"/>
      <c r="J89" s="12" t="n"/>
      <c r="K89" s="12" t="n"/>
      <c r="L89" s="12" t="n"/>
      <c r="M89" s="12" t="n"/>
    </row>
    <row r="90" ht="22" customHeight="1">
      <c r="B90" s="16">
        <f>IF(C90="","EP-"&amp;TEXT(COUNTA($C$5:C90),"000"))</f>
        <v/>
      </c>
      <c r="C90" s="14" t="n"/>
      <c r="D90" s="14" t="n"/>
      <c r="E90" s="14" t="n"/>
      <c r="F90" s="14" t="n"/>
      <c r="G90" s="14" t="n"/>
      <c r="H90" s="30" t="n"/>
      <c r="I90" s="14" t="n"/>
      <c r="J90" s="14" t="n"/>
      <c r="K90" s="14" t="n"/>
      <c r="L90" s="14" t="n"/>
      <c r="M90" s="14" t="n"/>
    </row>
    <row r="91" ht="22" customHeight="1">
      <c r="B91" s="17">
        <f>IF(C91="","EP-"&amp;TEXT(COUNTA($C$5:C91),"000"))</f>
        <v/>
      </c>
      <c r="C91" s="12" t="n"/>
      <c r="D91" s="12" t="n"/>
      <c r="E91" s="12" t="n"/>
      <c r="F91" s="12" t="n"/>
      <c r="G91" s="12" t="n"/>
      <c r="H91" s="29" t="n"/>
      <c r="I91" s="12" t="n"/>
      <c r="J91" s="12" t="n"/>
      <c r="K91" s="12" t="n"/>
      <c r="L91" s="12" t="n"/>
      <c r="M91" s="12" t="n"/>
    </row>
    <row r="92" ht="22" customHeight="1">
      <c r="B92" s="16">
        <f>IF(C92="","EP-"&amp;TEXT(COUNTA($C$5:C92),"000"))</f>
        <v/>
      </c>
      <c r="C92" s="14" t="n"/>
      <c r="D92" s="14" t="n"/>
      <c r="E92" s="14" t="n"/>
      <c r="F92" s="14" t="n"/>
      <c r="G92" s="14" t="n"/>
      <c r="H92" s="30" t="n"/>
      <c r="I92" s="14" t="n"/>
      <c r="J92" s="14" t="n"/>
      <c r="K92" s="14" t="n"/>
      <c r="L92" s="14" t="n"/>
      <c r="M92" s="14" t="n"/>
    </row>
    <row r="93" ht="22" customHeight="1">
      <c r="B93" s="17">
        <f>IF(C93="","EP-"&amp;TEXT(COUNTA($C$5:C93),"000"))</f>
        <v/>
      </c>
      <c r="C93" s="12" t="n"/>
      <c r="D93" s="12" t="n"/>
      <c r="E93" s="12" t="n"/>
      <c r="F93" s="12" t="n"/>
      <c r="G93" s="12" t="n"/>
      <c r="H93" s="29" t="n"/>
      <c r="I93" s="12" t="n"/>
      <c r="J93" s="12" t="n"/>
      <c r="K93" s="12" t="n"/>
      <c r="L93" s="12" t="n"/>
      <c r="M93" s="12" t="n"/>
    </row>
    <row r="94" ht="22" customHeight="1">
      <c r="B94" s="16">
        <f>IF(C94="","EP-"&amp;TEXT(COUNTA($C$5:C94),"000"))</f>
        <v/>
      </c>
      <c r="C94" s="14" t="n"/>
      <c r="D94" s="14" t="n"/>
      <c r="E94" s="14" t="n"/>
      <c r="F94" s="14" t="n"/>
      <c r="G94" s="14" t="n"/>
      <c r="H94" s="30" t="n"/>
      <c r="I94" s="14" t="n"/>
      <c r="J94" s="14" t="n"/>
      <c r="K94" s="14" t="n"/>
      <c r="L94" s="14" t="n"/>
      <c r="M94" s="14" t="n"/>
    </row>
    <row r="95" ht="22" customHeight="1">
      <c r="B95" s="17">
        <f>IF(C95="","EP-"&amp;TEXT(COUNTA($C$5:C95),"000"))</f>
        <v/>
      </c>
      <c r="C95" s="12" t="n"/>
      <c r="D95" s="12" t="n"/>
      <c r="E95" s="12" t="n"/>
      <c r="F95" s="12" t="n"/>
      <c r="G95" s="12" t="n"/>
      <c r="H95" s="29" t="n"/>
      <c r="I95" s="12" t="n"/>
      <c r="J95" s="12" t="n"/>
      <c r="K95" s="12" t="n"/>
      <c r="L95" s="12" t="n"/>
      <c r="M95" s="12" t="n"/>
    </row>
    <row r="96" ht="22" customHeight="1">
      <c r="B96" s="16">
        <f>IF(C96="","EP-"&amp;TEXT(COUNTA($C$5:C96),"000"))</f>
        <v/>
      </c>
      <c r="C96" s="14" t="n"/>
      <c r="D96" s="14" t="n"/>
      <c r="E96" s="14" t="n"/>
      <c r="F96" s="14" t="n"/>
      <c r="G96" s="14" t="n"/>
      <c r="H96" s="30" t="n"/>
      <c r="I96" s="14" t="n"/>
      <c r="J96" s="14" t="n"/>
      <c r="K96" s="14" t="n"/>
      <c r="L96" s="14" t="n"/>
      <c r="M96" s="14" t="n"/>
    </row>
    <row r="97" ht="22" customHeight="1">
      <c r="B97" s="17">
        <f>IF(C97="","EP-"&amp;TEXT(COUNTA($C$5:C97),"000"))</f>
        <v/>
      </c>
      <c r="C97" s="12" t="n"/>
      <c r="D97" s="12" t="n"/>
      <c r="E97" s="12" t="n"/>
      <c r="F97" s="12" t="n"/>
      <c r="G97" s="12" t="n"/>
      <c r="H97" s="29" t="n"/>
      <c r="I97" s="12" t="n"/>
      <c r="J97" s="12" t="n"/>
      <c r="K97" s="12" t="n"/>
      <c r="L97" s="12" t="n"/>
      <c r="M97" s="12" t="n"/>
    </row>
    <row r="98" ht="22" customHeight="1">
      <c r="B98" s="16">
        <f>IF(C98="","EP-"&amp;TEXT(COUNTA($C$5:C98),"000"))</f>
        <v/>
      </c>
      <c r="C98" s="14" t="n"/>
      <c r="D98" s="14" t="n"/>
      <c r="E98" s="14" t="n"/>
      <c r="F98" s="14" t="n"/>
      <c r="G98" s="14" t="n"/>
      <c r="H98" s="30" t="n"/>
      <c r="I98" s="14" t="n"/>
      <c r="J98" s="14" t="n"/>
      <c r="K98" s="14" t="n"/>
      <c r="L98" s="14" t="n"/>
      <c r="M98" s="14" t="n"/>
    </row>
    <row r="99" ht="22" customHeight="1">
      <c r="B99" s="17">
        <f>IF(C99="","EP-"&amp;TEXT(COUNTA($C$5:C99),"000"))</f>
        <v/>
      </c>
      <c r="C99" s="12" t="n"/>
      <c r="D99" s="12" t="n"/>
      <c r="E99" s="12" t="n"/>
      <c r="F99" s="12" t="n"/>
      <c r="G99" s="12" t="n"/>
      <c r="H99" s="29" t="n"/>
      <c r="I99" s="12" t="n"/>
      <c r="J99" s="12" t="n"/>
      <c r="K99" s="12" t="n"/>
      <c r="L99" s="12" t="n"/>
      <c r="M99" s="12" t="n"/>
    </row>
    <row r="100" ht="22" customHeight="1">
      <c r="B100" s="16">
        <f>IF(C100="","EP-"&amp;TEXT(COUNTA($C$5:C100),"000"))</f>
        <v/>
      </c>
      <c r="C100" s="14" t="n"/>
      <c r="D100" s="14" t="n"/>
      <c r="E100" s="14" t="n"/>
      <c r="F100" s="14" t="n"/>
      <c r="G100" s="14" t="n"/>
      <c r="H100" s="30" t="n"/>
      <c r="I100" s="14" t="n"/>
      <c r="J100" s="14" t="n"/>
      <c r="K100" s="14" t="n"/>
      <c r="L100" s="14" t="n"/>
      <c r="M100" s="14" t="n"/>
    </row>
    <row r="101" ht="22" customHeight="1">
      <c r="B101" s="17">
        <f>IF(C101="","EP-"&amp;TEXT(COUNTA($C$5:C101),"000"))</f>
        <v/>
      </c>
      <c r="C101" s="12" t="n"/>
      <c r="D101" s="12" t="n"/>
      <c r="E101" s="12" t="n"/>
      <c r="F101" s="12" t="n"/>
      <c r="G101" s="12" t="n"/>
      <c r="H101" s="29" t="n"/>
      <c r="I101" s="12" t="n"/>
      <c r="J101" s="12" t="n"/>
      <c r="K101" s="12" t="n"/>
      <c r="L101" s="12" t="n"/>
      <c r="M101" s="12" t="n"/>
    </row>
    <row r="102" ht="22" customHeight="1">
      <c r="B102" s="16">
        <f>IF(C102="","EP-"&amp;TEXT(COUNTA($C$5:C102),"000"))</f>
        <v/>
      </c>
      <c r="C102" s="14" t="n"/>
      <c r="D102" s="14" t="n"/>
      <c r="E102" s="14" t="n"/>
      <c r="F102" s="14" t="n"/>
      <c r="G102" s="14" t="n"/>
      <c r="H102" s="30" t="n"/>
      <c r="I102" s="14" t="n"/>
      <c r="J102" s="14" t="n"/>
      <c r="K102" s="14" t="n"/>
      <c r="L102" s="14" t="n"/>
      <c r="M102" s="14" t="n"/>
    </row>
    <row r="103" ht="22" customHeight="1">
      <c r="B103" s="17">
        <f>IF(C103="","EP-"&amp;TEXT(COUNTA($C$5:C103),"000"))</f>
        <v/>
      </c>
      <c r="C103" s="12" t="n"/>
      <c r="D103" s="12" t="n"/>
      <c r="E103" s="12" t="n"/>
      <c r="F103" s="12" t="n"/>
      <c r="G103" s="12" t="n"/>
      <c r="H103" s="29" t="n"/>
      <c r="I103" s="12" t="n"/>
      <c r="J103" s="12" t="n"/>
      <c r="K103" s="12" t="n"/>
      <c r="L103" s="12" t="n"/>
      <c r="M103" s="12" t="n"/>
    </row>
    <row r="104" ht="22" customHeight="1">
      <c r="B104" s="16">
        <f>IF(C104="","EP-"&amp;TEXT(COUNTA($C$5:C104),"000"))</f>
        <v/>
      </c>
      <c r="C104" s="14" t="n"/>
      <c r="D104" s="14" t="n"/>
      <c r="E104" s="14" t="n"/>
      <c r="F104" s="14" t="n"/>
      <c r="G104" s="14" t="n"/>
      <c r="H104" s="30" t="n"/>
      <c r="I104" s="14" t="n"/>
      <c r="J104" s="14" t="n"/>
      <c r="K104" s="14" t="n"/>
      <c r="L104" s="14" t="n"/>
      <c r="M104" s="14" t="n"/>
    </row>
    <row r="105" ht="22" customHeight="1">
      <c r="B105" s="17">
        <f>IF(C105="","EP-"&amp;TEXT(COUNTA($C$5:C105),"000"))</f>
        <v/>
      </c>
      <c r="C105" s="12" t="n"/>
      <c r="D105" s="12" t="n"/>
      <c r="E105" s="12" t="n"/>
      <c r="F105" s="12" t="n"/>
      <c r="G105" s="12" t="n"/>
      <c r="H105" s="29" t="n"/>
      <c r="I105" s="12" t="n"/>
      <c r="J105" s="12" t="n"/>
      <c r="K105" s="12" t="n"/>
      <c r="L105" s="12" t="n"/>
      <c r="M105" s="12" t="n"/>
    </row>
    <row r="106" ht="22" customHeight="1">
      <c r="B106" s="16">
        <f>IF(C106="","EP-"&amp;TEXT(COUNTA($C$5:C106),"000"))</f>
        <v/>
      </c>
      <c r="C106" s="14" t="n"/>
      <c r="D106" s="14" t="n"/>
      <c r="E106" s="14" t="n"/>
      <c r="F106" s="14" t="n"/>
      <c r="G106" s="14" t="n"/>
      <c r="H106" s="30" t="n"/>
      <c r="I106" s="14" t="n"/>
      <c r="J106" s="14" t="n"/>
      <c r="K106" s="14" t="n"/>
      <c r="L106" s="14" t="n"/>
      <c r="M106" s="14" t="n"/>
    </row>
    <row r="107" ht="22" customHeight="1">
      <c r="B107" s="17">
        <f>IF(C107="","EP-"&amp;TEXT(COUNTA($C$5:C107),"000"))</f>
        <v/>
      </c>
      <c r="C107" s="12" t="n"/>
      <c r="D107" s="12" t="n"/>
      <c r="E107" s="12" t="n"/>
      <c r="F107" s="12" t="n"/>
      <c r="G107" s="12" t="n"/>
      <c r="H107" s="29" t="n"/>
      <c r="I107" s="12" t="n"/>
      <c r="J107" s="12" t="n"/>
      <c r="K107" s="12" t="n"/>
      <c r="L107" s="12" t="n"/>
      <c r="M107" s="12" t="n"/>
    </row>
    <row r="108" ht="22" customHeight="1">
      <c r="B108" s="16">
        <f>IF(C108="","EP-"&amp;TEXT(COUNTA($C$5:C108),"000"))</f>
        <v/>
      </c>
      <c r="C108" s="14" t="n"/>
      <c r="D108" s="14" t="n"/>
      <c r="E108" s="14" t="n"/>
      <c r="F108" s="14" t="n"/>
      <c r="G108" s="14" t="n"/>
      <c r="H108" s="30" t="n"/>
      <c r="I108" s="14" t="n"/>
      <c r="J108" s="14" t="n"/>
      <c r="K108" s="14" t="n"/>
      <c r="L108" s="14" t="n"/>
      <c r="M108" s="14" t="n"/>
    </row>
    <row r="109" ht="22" customHeight="1">
      <c r="B109" s="17">
        <f>IF(C109="","EP-"&amp;TEXT(COUNTA($C$5:C109),"000"))</f>
        <v/>
      </c>
      <c r="C109" s="12" t="n"/>
      <c r="D109" s="12" t="n"/>
      <c r="E109" s="12" t="n"/>
      <c r="F109" s="12" t="n"/>
      <c r="G109" s="12" t="n"/>
      <c r="H109" s="29" t="n"/>
      <c r="I109" s="12" t="n"/>
      <c r="J109" s="12" t="n"/>
      <c r="K109" s="12" t="n"/>
      <c r="L109" s="12" t="n"/>
      <c r="M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Entretiens</t>
        </is>
      </c>
      <c r="D112" s="3" t="inlineStr">
        <is>
          <t>Realises</t>
        </is>
      </c>
      <c r="F112" s="3" t="inlineStr">
        <is>
          <t>Planifies</t>
        </is>
      </c>
      <c r="H112" s="3" t="inlineStr">
        <is>
          <t>Taux realisation</t>
        </is>
      </c>
    </row>
    <row r="113">
      <c r="B113" s="4">
        <f>COUNTIF(B5:B104,"&lt;&gt;")</f>
        <v/>
      </c>
      <c r="D113" s="4">
        <f>COUNTIF(M5:M104,"Realise")</f>
        <v/>
      </c>
      <c r="F113" s="4">
        <f>COUNTIF(M5:M104,"Planifie")</f>
        <v/>
      </c>
      <c r="H113" s="4">
        <f>IFERROR(COUNTIF(M5:M104,"Realise")/COUNTIF(B5:B104,"&lt;&gt;"),0)</f>
        <v/>
      </c>
    </row>
  </sheetData>
  <mergeCells count="3">
    <mergeCell ref="B3:M3"/>
    <mergeCell ref="B2:M2"/>
    <mergeCell ref="B111:M111"/>
  </mergeCells>
  <conditionalFormatting sqref="M5:M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conditionalFormatting sqref="M10:M109">
    <cfRule type="expression" priority="186" dxfId="0">
      <formula>AND($C10="",$C9&lt;&gt;"")</formula>
    </cfRule>
  </conditionalFormatting>
  <dataValidations count="4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9" showDropDown="0" showInputMessage="0" showErrorMessage="0" allowBlank="1" errorTitle="Erreur" error="Valeur invalide" promptTitle="Liste" prompt="Choisir dans la liste" type="list">
      <formula1>'_Lists'!$N$2:$N$4</formula1>
    </dataValidation>
    <dataValidation sqref="M5:M109" showDropDown="0" showInputMessage="0" showErrorMessage="0" allowBlank="1" errorTitle="Erreur" error="Valeur invalide" promptTitle="Liste" prompt="Choisir dans la liste" type="list">
      <formula1>'_Lists'!$O$2:$O$5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4" customWidth="1" min="5" max="5"/>
    <col width="24" customWidth="1" min="6" max="6"/>
    <col width="18" customWidth="1" min="7" max="7"/>
    <col width="16" customWidth="1" min="8" max="8"/>
    <col width="16" customWidth="1" min="9" max="9"/>
    <col width="22" customWidth="1" min="10" max="10"/>
    <col width="36" customWidth="1" min="11" max="11"/>
    <col width="24" customWidth="1" min="12" max="12"/>
  </cols>
  <sheetData>
    <row r="1" ht="15" customHeight="1"/>
    <row r="2" ht="32" customHeight="1">
      <c r="B2" s="1" t="inlineStr">
        <is>
          <t>BILAN DE COMPÉTENCES (#115)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Competence Evaluee</t>
        </is>
      </c>
      <c r="G4" s="11" t="inlineStr">
        <is>
          <t>Type Competence</t>
        </is>
      </c>
      <c r="H4" s="11" t="inlineStr">
        <is>
          <t>Niveau Actuel</t>
        </is>
      </c>
      <c r="I4" s="11" t="inlineStr">
        <is>
          <t>Niveau Requis</t>
        </is>
      </c>
      <c r="J4" s="11" t="inlineStr">
        <is>
          <t>Ecart</t>
        </is>
      </c>
      <c r="K4" s="11" t="inlineStr">
        <is>
          <t>Plan Action</t>
        </is>
      </c>
      <c r="L4" s="11" t="inlineStr">
        <is>
          <t>Statut</t>
        </is>
      </c>
    </row>
    <row r="5" ht="22" customHeight="1">
      <c r="B5" s="12" t="inlineStr">
        <is>
          <t>BC-001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Revenue Management</t>
        </is>
      </c>
      <c r="G5" s="12" t="inlineStr">
        <is>
          <t>Technique</t>
        </is>
      </c>
      <c r="H5" s="12" t="inlineStr">
        <is>
          <t>Intermediaire</t>
        </is>
      </c>
      <c r="I5" s="12" t="inlineStr">
        <is>
          <t>Avance</t>
        </is>
      </c>
      <c r="J5" s="12" t="inlineStr">
        <is>
          <t>A developper</t>
        </is>
      </c>
      <c r="K5" s="12" t="inlineStr">
        <is>
          <t>Formation RM certifiante + accompagnement DAF</t>
        </is>
      </c>
      <c r="L5" s="12" t="inlineStr">
        <is>
          <t>En cours d'acquisition</t>
        </is>
      </c>
    </row>
    <row r="6" ht="22" customHeight="1">
      <c r="B6" s="14" t="inlineStr">
        <is>
          <t>BC-002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Cuisine &amp; Restauration</t>
        </is>
      </c>
      <c r="F6" s="14" t="inlineStr">
        <is>
          <t>Gestion budget cuisine</t>
        </is>
      </c>
      <c r="G6" s="14" t="inlineStr">
        <is>
          <t>Manageriale</t>
        </is>
      </c>
      <c r="H6" s="14" t="inlineStr">
        <is>
          <t>Debutant</t>
        </is>
      </c>
      <c r="I6" s="14" t="inlineStr">
        <is>
          <t>Avance</t>
        </is>
      </c>
      <c r="J6" s="14" t="inlineStr">
        <is>
          <t>Non acquis</t>
        </is>
      </c>
      <c r="K6" s="14" t="inlineStr">
        <is>
          <t>Formation gestion budget + mentorat Chef Cuisine</t>
        </is>
      </c>
      <c r="L6" s="14" t="inlineStr">
        <is>
          <t>A developper</t>
        </is>
      </c>
    </row>
    <row r="7" ht="22" customHeight="1">
      <c r="B7" s="12" t="inlineStr">
        <is>
          <t>BC-003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Informatique</t>
        </is>
      </c>
      <c r="F7" s="12" t="inlineStr">
        <is>
          <t>Cybersecurite</t>
        </is>
      </c>
      <c r="G7" s="12" t="inlineStr">
        <is>
          <t>Technique</t>
        </is>
      </c>
      <c r="H7" s="12" t="inlineStr">
        <is>
          <t>Intermediaire</t>
        </is>
      </c>
      <c r="I7" s="12" t="inlineStr">
        <is>
          <t>Expert</t>
        </is>
      </c>
      <c r="J7" s="12" t="inlineStr">
        <is>
          <t>A developper</t>
        </is>
      </c>
      <c r="K7" s="12" t="inlineStr">
        <is>
          <t>Certification CISCO cybersécurite</t>
        </is>
      </c>
      <c r="L7" s="12" t="inlineStr">
        <is>
          <t>A developper</t>
        </is>
      </c>
    </row>
    <row r="8" ht="22" customHeight="1">
      <c r="B8" s="14" t="inlineStr">
        <is>
          <t>BC-004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Commercial</t>
        </is>
      </c>
      <c r="F8" s="14" t="inlineStr">
        <is>
          <t>Anglais hotelier</t>
        </is>
      </c>
      <c r="G8" s="14" t="inlineStr">
        <is>
          <t>Linguistique</t>
        </is>
      </c>
      <c r="H8" s="14" t="inlineStr">
        <is>
          <t>Debutant</t>
        </is>
      </c>
      <c r="I8" s="14" t="inlineStr">
        <is>
          <t>Avance</t>
        </is>
      </c>
      <c r="J8" s="14" t="inlineStr">
        <is>
          <t>Non acquis</t>
        </is>
      </c>
      <c r="K8" s="14" t="inlineStr">
        <is>
          <t>Cours anglais intensif 6 mois</t>
        </is>
      </c>
      <c r="L8" s="14" t="inlineStr">
        <is>
          <t>A developper</t>
        </is>
      </c>
    </row>
    <row r="9" ht="22" customHeight="1">
      <c r="B9" s="12" t="inlineStr">
        <is>
          <t>BC-005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Réception &amp; Front Office</t>
        </is>
      </c>
      <c r="F9" s="12" t="inlineStr">
        <is>
          <t>Gestion conflits</t>
        </is>
      </c>
      <c r="G9" s="12" t="inlineStr">
        <is>
          <t>Comportementale</t>
        </is>
      </c>
      <c r="H9" s="12" t="inlineStr">
        <is>
          <t>Intermediaire</t>
        </is>
      </c>
      <c r="I9" s="12" t="inlineStr">
        <is>
          <t>Avance</t>
        </is>
      </c>
      <c r="J9" s="12" t="inlineStr">
        <is>
          <t>A developper</t>
        </is>
      </c>
      <c r="K9" s="12" t="inlineStr">
        <is>
          <t>Formation gestion conflits + mise en situation</t>
        </is>
      </c>
      <c r="L9" s="12" t="inlineStr">
        <is>
          <t>En cours d'acquisition</t>
        </is>
      </c>
    </row>
    <row r="10" ht="22" customHeight="1">
      <c r="B10" s="16">
        <f>IF(C10="","BC-"&amp;TEXT(COUNTA($C$5:C10),"000"))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22" customHeight="1">
      <c r="B11" s="17">
        <f>IF(C11="","BC-"&amp;TEXT(COUNTA($C$5:C11),"000"))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B12" s="16">
        <f>IF(C12="","BC-"&amp;TEXT(COUNTA($C$5:C12),"000"))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22" customHeight="1">
      <c r="B13" s="17">
        <f>IF(C13="","BC-"&amp;TEXT(COUNTA($C$5:C13),"000"))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2" customHeight="1">
      <c r="B14" s="16">
        <f>IF(C14="","BC-"&amp;TEXT(COUNTA($C$5:C14),"000"))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22" customHeight="1">
      <c r="B15" s="17">
        <f>IF(C15="","BC-"&amp;TEXT(COUNTA($C$5:C15),"000"))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22" customHeight="1">
      <c r="B16" s="16">
        <f>IF(C16="","BC-"&amp;TEXT(COUNTA($C$5:C16),"000"))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2" customHeight="1">
      <c r="B17" s="17">
        <f>IF(C17="","BC-"&amp;TEXT(COUNTA($C$5:C17),"000"))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22" customHeight="1">
      <c r="B18" s="16">
        <f>IF(C18="","BC-"&amp;TEXT(COUNTA($C$5:C18),"000"))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2" customHeight="1">
      <c r="B19" s="17">
        <f>IF(C19="","BC-"&amp;TEXT(COUNTA($C$5:C19),"000"))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2" customHeight="1">
      <c r="B20" s="16">
        <f>IF(C20="","BC-"&amp;TEXT(COUNTA($C$5:C20),"000"))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2" customHeight="1">
      <c r="B21" s="17">
        <f>IF(C21="","BC-"&amp;TEXT(COUNTA($C$5:C21),"000"))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2" customHeight="1">
      <c r="B22" s="16">
        <f>IF(C22="","BC-"&amp;TEXT(COUNTA($C$5:C22),"000"))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2" customHeight="1">
      <c r="B23" s="17">
        <f>IF(C23="","BC-"&amp;TEXT(COUNTA($C$5:C23),"000"))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 ht="22" customHeight="1">
      <c r="B24" s="16">
        <f>IF(C24="","BC-"&amp;TEXT(COUNTA($C$5:C24),"000"))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ht="22" customHeight="1">
      <c r="B25" s="17">
        <f>IF(C25="","BC-"&amp;TEXT(COUNTA($C$5:C25),"000"))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22" customHeight="1">
      <c r="B26" s="16">
        <f>IF(C26="","BC-"&amp;TEXT(COUNTA($C$5:C26),"000"))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 ht="22" customHeight="1">
      <c r="B27" s="17">
        <f>IF(C27="","BC-"&amp;TEXT(COUNTA($C$5:C27),"000"))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B28" s="16">
        <f>IF(C28="","BC-"&amp;TEXT(COUNTA($C$5:C28),"000"))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22" customHeight="1">
      <c r="B29" s="17">
        <f>IF(C29="","BC-"&amp;TEXT(COUNTA($C$5:C29),"000"))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B30" s="16">
        <f>IF(C30="","BC-"&amp;TEXT(COUNTA($C$5:C30),"000"))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B31" s="17">
        <f>IF(C31="","BC-"&amp;TEXT(COUNTA($C$5:C31),"000"))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 ht="22" customHeight="1">
      <c r="B32" s="16">
        <f>IF(C32="","BC-"&amp;TEXT(COUNTA($C$5:C32),"000"))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B33" s="17">
        <f>IF(C33="","BC-"&amp;TEXT(COUNTA($C$5:C33),"000"))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22" customHeight="1">
      <c r="B34" s="16">
        <f>IF(C34="","BC-"&amp;TEXT(COUNTA($C$5:C34),"000"))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 ht="22" customHeight="1">
      <c r="B35" s="17">
        <f>IF(C35="","BC-"&amp;TEXT(COUNTA($C$5:C35),"000"))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 ht="22" customHeight="1">
      <c r="B36" s="16">
        <f>IF(C36="","BC-"&amp;TEXT(COUNTA($C$5:C36),"000"))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22" customHeight="1">
      <c r="B37" s="17">
        <f>IF(C37="","BC-"&amp;TEXT(COUNTA($C$5:C37),"000"))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 ht="22" customHeight="1">
      <c r="B38" s="16">
        <f>IF(C38="","BC-"&amp;TEXT(COUNTA($C$5:C38),"000"))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22" customHeight="1">
      <c r="B39" s="17">
        <f>IF(C39="","BC-"&amp;TEXT(COUNTA($C$5:C39),"000"))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 ht="22" customHeight="1">
      <c r="B40" s="16">
        <f>IF(C40="","BC-"&amp;TEXT(COUNTA($C$5:C40),"000"))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 ht="22" customHeight="1">
      <c r="B41" s="17">
        <f>IF(C41="","BC-"&amp;TEXT(COUNTA($C$5:C41),"000"))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 ht="22" customHeight="1">
      <c r="B42" s="16">
        <f>IF(C42="","BC-"&amp;TEXT(COUNTA($C$5:C42),"000"))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 ht="22" customHeight="1">
      <c r="B43" s="17">
        <f>IF(C43="","BC-"&amp;TEXT(COUNTA($C$5:C43),"000"))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 ht="22" customHeight="1">
      <c r="B44" s="16">
        <f>IF(C44="","BC-"&amp;TEXT(COUNTA($C$5:C44),"000"))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ht="22" customHeight="1">
      <c r="B45" s="17">
        <f>IF(C45="","BC-"&amp;TEXT(COUNTA($C$5:C45),"000"))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 ht="22" customHeight="1">
      <c r="B46" s="16">
        <f>IF(C46="","BC-"&amp;TEXT(COUNTA($C$5:C46),"000"))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22" customHeight="1">
      <c r="B47" s="17">
        <f>IF(C47="","BC-"&amp;TEXT(COUNTA($C$5:C47),"000"))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 ht="22" customHeight="1">
      <c r="B48" s="16">
        <f>IF(C48="","BC-"&amp;TEXT(COUNTA($C$5:C48),"000"))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 ht="22" customHeight="1">
      <c r="B49" s="17">
        <f>IF(C49="","BC-"&amp;TEXT(COUNTA($C$5:C49),"000"))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 ht="22" customHeight="1">
      <c r="B50" s="16">
        <f>IF(C50="","BC-"&amp;TEXT(COUNTA($C$5:C50),"000"))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 ht="22" customHeight="1">
      <c r="B51" s="17">
        <f>IF(C51="","BC-"&amp;TEXT(COUNTA($C$5:C51),"000"))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 ht="22" customHeight="1">
      <c r="B52" s="16">
        <f>IF(C52="","BC-"&amp;TEXT(COUNTA($C$5:C52),"000"))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22" customHeight="1">
      <c r="B53" s="17">
        <f>IF(C53="","BC-"&amp;TEXT(COUNTA($C$5:C53),"000"))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 ht="22" customHeight="1">
      <c r="B54" s="16">
        <f>IF(C54="","BC-"&amp;TEXT(COUNTA($C$5:C54),"000"))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 ht="22" customHeight="1">
      <c r="B55" s="17">
        <f>IF(C55="","BC-"&amp;TEXT(COUNTA($C$5:C55),"000"))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 ht="22" customHeight="1">
      <c r="B56" s="16">
        <f>IF(C56="","BC-"&amp;TEXT(COUNTA($C$5:C56),"000"))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22" customHeight="1">
      <c r="B57" s="17">
        <f>IF(C57="","BC-"&amp;TEXT(COUNTA($C$5:C57),"000"))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 ht="22" customHeight="1">
      <c r="B58" s="16">
        <f>IF(C58="","BC-"&amp;TEXT(COUNTA($C$5:C58),"000"))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 ht="22" customHeight="1">
      <c r="B59" s="17">
        <f>IF(C59="","BC-"&amp;TEXT(COUNTA($C$5:C59),"000"))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 ht="22" customHeight="1">
      <c r="B60" s="16">
        <f>IF(C60="","BC-"&amp;TEXT(COUNTA($C$5:C60),"000"))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 ht="22" customHeight="1">
      <c r="B61" s="17">
        <f>IF(C61="","BC-"&amp;TEXT(COUNTA($C$5:C61),"000"))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 ht="22" customHeight="1">
      <c r="B62" s="16">
        <f>IF(C62="","BC-"&amp;TEXT(COUNTA($C$5:C62),"000"))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 ht="22" customHeight="1">
      <c r="B63" s="17">
        <f>IF(C63="","BC-"&amp;TEXT(COUNTA($C$5:C63),"000"))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 ht="22" customHeight="1">
      <c r="B64" s="16">
        <f>IF(C64="","BC-"&amp;TEXT(COUNTA($C$5:C64),"000"))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 ht="22" customHeight="1">
      <c r="B65" s="17">
        <f>IF(C65="","BC-"&amp;TEXT(COUNTA($C$5:C65),"000"))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 ht="22" customHeight="1">
      <c r="B66" s="16">
        <f>IF(C66="","BC-"&amp;TEXT(COUNTA($C$5:C66),"000"))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 ht="22" customHeight="1">
      <c r="B67" s="17">
        <f>IF(C67="","BC-"&amp;TEXT(COUNTA($C$5:C67),"000"))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 ht="22" customHeight="1">
      <c r="B68" s="16">
        <f>IF(C68="","BC-"&amp;TEXT(COUNTA($C$5:C68),"000"))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 ht="22" customHeight="1">
      <c r="B69" s="17">
        <f>IF(C69="","BC-"&amp;TEXT(COUNTA($C$5:C69),"000"))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 ht="22" customHeight="1">
      <c r="B70" s="16">
        <f>IF(C70="","BC-"&amp;TEXT(COUNTA($C$5:C70),"000"))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 ht="22" customHeight="1">
      <c r="B71" s="17">
        <f>IF(C71="","BC-"&amp;TEXT(COUNTA($C$5:C71),"000"))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 ht="22" customHeight="1">
      <c r="B72" s="16">
        <f>IF(C72="","BC-"&amp;TEXT(COUNTA($C$5:C72),"000"))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 ht="22" customHeight="1">
      <c r="B73" s="17">
        <f>IF(C73="","BC-"&amp;TEXT(COUNTA($C$5:C73),"000"))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 ht="22" customHeight="1">
      <c r="B74" s="16">
        <f>IF(C74="","BC-"&amp;TEXT(COUNTA($C$5:C74),"000"))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 ht="22" customHeight="1">
      <c r="B75" s="17">
        <f>IF(C75="","BC-"&amp;TEXT(COUNTA($C$5:C75),"000"))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</row>
    <row r="76" ht="22" customHeight="1">
      <c r="B76" s="16">
        <f>IF(C76="","BC-"&amp;TEXT(COUNTA($C$5:C76),"000"))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 ht="22" customHeight="1">
      <c r="B77" s="17">
        <f>IF(C77="","BC-"&amp;TEXT(COUNTA($C$5:C77),"000"))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 ht="22" customHeight="1">
      <c r="B78" s="16">
        <f>IF(C78="","BC-"&amp;TEXT(COUNTA($C$5:C78),"000"))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 ht="22" customHeight="1">
      <c r="B79" s="17">
        <f>IF(C79="","BC-"&amp;TEXT(COUNTA($C$5:C79),"000"))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 ht="22" customHeight="1">
      <c r="B80" s="16">
        <f>IF(C80="","BC-"&amp;TEXT(COUNTA($C$5:C80),"000"))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 ht="22" customHeight="1">
      <c r="B81" s="17">
        <f>IF(C81="","BC-"&amp;TEXT(COUNTA($C$5:C81),"000"))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 ht="22" customHeight="1">
      <c r="B82" s="16">
        <f>IF(C82="","BC-"&amp;TEXT(COUNTA($C$5:C82),"000"))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 ht="22" customHeight="1">
      <c r="B83" s="17">
        <f>IF(C83="","BC-"&amp;TEXT(COUNTA($C$5:C83),"000"))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 ht="22" customHeight="1">
      <c r="B84" s="16">
        <f>IF(C84="","BC-"&amp;TEXT(COUNTA($C$5:C84),"000"))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 ht="22" customHeight="1">
      <c r="B85" s="17">
        <f>IF(C85="","BC-"&amp;TEXT(COUNTA($C$5:C85),"000"))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</row>
    <row r="86" ht="22" customHeight="1">
      <c r="B86" s="16">
        <f>IF(C86="","BC-"&amp;TEXT(COUNTA($C$5:C86),"000"))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 ht="22" customHeight="1">
      <c r="B87" s="17">
        <f>IF(C87="","BC-"&amp;TEXT(COUNTA($C$5:C87),"000"))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 ht="22" customHeight="1">
      <c r="B88" s="16">
        <f>IF(C88="","BC-"&amp;TEXT(COUNTA($C$5:C88),"000"))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 ht="22" customHeight="1">
      <c r="B89" s="17">
        <f>IF(C89="","BC-"&amp;TEXT(COUNTA($C$5:C89),"000"))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 ht="22" customHeight="1">
      <c r="B90" s="16">
        <f>IF(C90="","BC-"&amp;TEXT(COUNTA($C$5:C90),"000"))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 ht="22" customHeight="1">
      <c r="B91" s="17">
        <f>IF(C91="","BC-"&amp;TEXT(COUNTA($C$5:C91),"000"))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 ht="22" customHeight="1">
      <c r="B92" s="16">
        <f>IF(C92="","BC-"&amp;TEXT(COUNTA($C$5:C92),"000"))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 ht="22" customHeight="1">
      <c r="B93" s="17">
        <f>IF(C93="","BC-"&amp;TEXT(COUNTA($C$5:C93),"000"))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 ht="22" customHeight="1">
      <c r="B94" s="16">
        <f>IF(C94="","BC-"&amp;TEXT(COUNTA($C$5:C94),"000"))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 ht="22" customHeight="1">
      <c r="B95" s="17">
        <f>IF(C95="","BC-"&amp;TEXT(COUNTA($C$5:C95),"000"))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 ht="22" customHeight="1">
      <c r="B96" s="16">
        <f>IF(C96="","BC-"&amp;TEXT(COUNTA($C$5:C96),"000"))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 ht="22" customHeight="1">
      <c r="B97" s="17">
        <f>IF(C97="","BC-"&amp;TEXT(COUNTA($C$5:C97),"000"))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</row>
    <row r="98" ht="22" customHeight="1">
      <c r="B98" s="16">
        <f>IF(C98="","BC-"&amp;TEXT(COUNTA($C$5:C98),"000"))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 ht="22" customHeight="1">
      <c r="B99" s="17">
        <f>IF(C99="","BC-"&amp;TEXT(COUNTA($C$5:C99),"000"))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 ht="22" customHeight="1">
      <c r="B100" s="16">
        <f>IF(C100="","BC-"&amp;TEXT(COUNTA($C$5:C100),"000"))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22" customHeight="1">
      <c r="B101" s="17">
        <f>IF(C101="","BC-"&amp;TEXT(COUNTA($C$5:C101),"000"))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</row>
    <row r="102" ht="22" customHeight="1">
      <c r="B102" s="16">
        <f>IF(C102="","BC-"&amp;TEXT(COUNTA($C$5:C102),"000"))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 ht="22" customHeight="1">
      <c r="B103" s="17">
        <f>IF(C103="","BC-"&amp;TEXT(COUNTA($C$5:C103),"000"))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 ht="22" customHeight="1">
      <c r="B104" s="16">
        <f>IF(C104="","BC-"&amp;TEXT(COUNTA($C$5:C104),"000"))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 ht="22" customHeight="1">
      <c r="B105" s="17">
        <f>IF(C105="","BC-"&amp;TEXT(COUNTA($C$5:C105),"000"))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</row>
    <row r="106" ht="22" customHeight="1">
      <c r="B106" s="16">
        <f>IF(C106="","BC-"&amp;TEXT(COUNTA($C$5:C106),"000"))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 ht="22" customHeight="1">
      <c r="B107" s="17">
        <f>IF(C107="","BC-"&amp;TEXT(COUNTA($C$5:C107),"000"))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</row>
    <row r="108" ht="22" customHeight="1">
      <c r="B108" s="16">
        <f>IF(C108="","BC-"&amp;TEXT(COUNTA($C$5:C108),"000"))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 ht="22" customHeight="1">
      <c r="B109" s="17">
        <f>IF(C109="","BC-"&amp;TEXT(COUNTA($C$5:C109),"000"))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Evaluations</t>
        </is>
      </c>
      <c r="D112" s="3" t="inlineStr">
        <is>
          <t>Competences acquises</t>
        </is>
      </c>
      <c r="F112" s="3" t="inlineStr">
        <is>
          <t>A developper</t>
        </is>
      </c>
      <c r="H112" s="3" t="inlineStr">
        <is>
          <t>Non acquises</t>
        </is>
      </c>
    </row>
    <row r="113">
      <c r="B113" s="4">
        <f>COUNTIF(B5:B104,"&lt;&gt;")</f>
        <v/>
      </c>
      <c r="D113" s="4">
        <f>COUNTIF(L5:L104,"Acquis")</f>
        <v/>
      </c>
      <c r="F113" s="4">
        <f>COUNTIF(J5:J104,"A developper")+COUNTIF(L5:L104,"A developper")</f>
        <v/>
      </c>
      <c r="H113" s="4">
        <f>COUNTIF(J5:J104,"Non acquis")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conditionalFormatting sqref="L10:L109">
    <cfRule type="expression" priority="11" dxfId="0">
      <formula>AND($C10="",$C9&lt;&gt;"")</formula>
    </cfRule>
  </conditionalFormatting>
  <dataValidations count="7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G5:G109" showDropDown="0" showInputMessage="0" showErrorMessage="0" allowBlank="1" errorTitle="Erreur" error="Valeur invalide" promptTitle="Liste" prompt="Choisir dans la liste" type="list">
      <formula1>'_Lists'!$P$2:$P$7</formula1>
    </dataValidation>
    <dataValidation sqref="H5:H109" showDropDown="0" showInputMessage="0" showErrorMessage="0" allowBlank="1" errorTitle="Erreur" error="Valeur invalide" promptTitle="Liste" prompt="Choisir dans la liste" type="list">
      <formula1>'_Lists'!$Q$2:$Q$6</formula1>
    </dataValidation>
    <dataValidation sqref="I5:I109" showDropDown="0" showInputMessage="0" showErrorMessage="0" allowBlank="1" errorTitle="Erreur" error="Valeur invalide" promptTitle="Liste" prompt="Choisir dans la liste" type="list">
      <formula1>'_Lists'!$Q$2:$Q$6</formula1>
    </dataValidation>
    <dataValidation sqref="J5:J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L5:L109" showDropDown="0" showInputMessage="0" showErrorMessage="0" allowBlank="1" errorTitle="Erreur" error="Valeur invalide" promptTitle="Liste" prompt="Choisir dans la liste" type="list">
      <formula1>'_Lists'!$R$2:$R$6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4" customWidth="1" min="4" max="4"/>
    <col width="22" customWidth="1" min="5" max="5"/>
    <col width="22" customWidth="1" min="6" max="6"/>
    <col width="24" customWidth="1" min="7" max="7"/>
    <col width="14" customWidth="1" min="8" max="8"/>
    <col width="16" customWidth="1" min="9" max="9"/>
    <col width="22" customWidth="1" min="10" max="10"/>
    <col width="22" customWidth="1" min="11" max="11"/>
    <col width="16" customWidth="1" min="12" max="12"/>
  </cols>
  <sheetData>
    <row r="1" ht="15" customHeight="1"/>
    <row r="2" ht="32" customHeight="1">
      <c r="B2" s="1" t="inlineStr">
        <is>
          <t>GESTION EXPATRIÉS (#116)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Pays d'Origine</t>
        </is>
      </c>
      <c r="F4" s="11" t="inlineStr">
        <is>
          <t>Pays d'Affectation</t>
        </is>
      </c>
      <c r="G4" s="11" t="inlineStr">
        <is>
          <t>Type Contrat</t>
        </is>
      </c>
      <c r="H4" s="11" t="inlineStr">
        <is>
          <t>Date Depart</t>
        </is>
      </c>
      <c r="I4" s="11" t="inlineStr">
        <is>
          <t>Date Retour Prev.</t>
        </is>
      </c>
      <c r="J4" s="11" t="inlineStr">
        <is>
          <t>Salaire Mensuel (FCFA)</t>
        </is>
      </c>
      <c r="K4" s="11" t="inlineStr">
        <is>
          <t>Indemnite Expatriation</t>
        </is>
      </c>
      <c r="L4" s="11" t="inlineStr">
        <is>
          <t>Statut</t>
        </is>
      </c>
    </row>
    <row r="5" ht="22" customHeight="1">
      <c r="B5" s="12" t="inlineStr">
        <is>
          <t>EXP-001</t>
        </is>
      </c>
      <c r="C5" s="12" t="inlineStr">
        <is>
          <t>Dupont Marc</t>
        </is>
      </c>
      <c r="D5" s="12" t="inlineStr">
        <is>
          <t>Chef Cuisine Executive</t>
        </is>
      </c>
      <c r="E5" s="12" t="inlineStr">
        <is>
          <t>France</t>
        </is>
      </c>
      <c r="F5" s="12" t="inlineStr">
        <is>
          <t>Cameroun</t>
        </is>
      </c>
      <c r="G5" s="12" t="inlineStr">
        <is>
          <t>Expatriation classique</t>
        </is>
      </c>
      <c r="H5" s="29" t="n">
        <v>45306</v>
      </c>
      <c r="I5" s="29" t="n">
        <v>46037</v>
      </c>
      <c r="J5" s="20" t="n">
        <v>2500000</v>
      </c>
      <c r="K5" s="20" t="n">
        <v>800000</v>
      </c>
      <c r="L5" s="12" t="inlineStr">
        <is>
          <t>En poste</t>
        </is>
      </c>
    </row>
    <row r="6" ht="22" customHeight="1">
      <c r="B6" s="14" t="inlineStr">
        <is>
          <t>EXP-002</t>
        </is>
      </c>
      <c r="C6" s="14" t="inlineStr">
        <is>
          <t>Turker Ahmet</t>
        </is>
      </c>
      <c r="D6" s="14" t="inlineStr">
        <is>
          <t>Directeur Commercial</t>
        </is>
      </c>
      <c r="E6" s="14" t="inlineStr">
        <is>
          <t>Turquie</t>
        </is>
      </c>
      <c r="F6" s="14" t="inlineStr">
        <is>
          <t>Cameroun</t>
        </is>
      </c>
      <c r="G6" s="14" t="inlineStr">
        <is>
          <t>Detachement</t>
        </is>
      </c>
      <c r="H6" s="30" t="n">
        <v>45444</v>
      </c>
      <c r="I6" s="30" t="n">
        <v>46174</v>
      </c>
      <c r="J6" s="21" t="n">
        <v>2800000</v>
      </c>
      <c r="K6" s="21" t="n">
        <v>600000</v>
      </c>
      <c r="L6" s="14" t="inlineStr">
        <is>
          <t>En poste</t>
        </is>
      </c>
    </row>
    <row r="7" ht="22" customHeight="1">
      <c r="B7" s="12" t="inlineStr">
        <is>
          <t>EXP-003</t>
        </is>
      </c>
      <c r="C7" s="12" t="inlineStr">
        <is>
          <t>Dubois Claire</t>
        </is>
      </c>
      <c r="D7" s="12" t="inlineStr">
        <is>
          <t>Directrice Revenue Management</t>
        </is>
      </c>
      <c r="E7" s="12" t="inlineStr">
        <is>
          <t>France</t>
        </is>
      </c>
      <c r="F7" s="12" t="inlineStr">
        <is>
          <t>Cote d'Ivoire</t>
        </is>
      </c>
      <c r="G7" s="12" t="inlineStr">
        <is>
          <t>Mission courte duree</t>
        </is>
      </c>
      <c r="H7" s="29" t="n">
        <v>45717</v>
      </c>
      <c r="I7" s="29" t="n">
        <v>45901</v>
      </c>
      <c r="J7" s="20" t="n">
        <v>3200000</v>
      </c>
      <c r="K7" s="20" t="n">
        <v>500000</v>
      </c>
      <c r="L7" s="12" t="inlineStr">
        <is>
          <t>En poste</t>
        </is>
      </c>
    </row>
    <row r="8" ht="22" customHeight="1">
      <c r="B8" s="14" t="inlineStr">
        <is>
          <t>EXP-004</t>
        </is>
      </c>
      <c r="C8" s="14" t="inlineStr">
        <is>
          <t>Al Farsi Hassan</t>
        </is>
      </c>
      <c r="D8" s="14" t="inlineStr">
        <is>
          <t>Gestionnaire SPA</t>
        </is>
      </c>
      <c r="E8" s="14" t="inlineStr">
        <is>
          <t>Emirats Arabes Unis</t>
        </is>
      </c>
      <c r="F8" s="14" t="inlineStr">
        <is>
          <t>Senegal</t>
        </is>
      </c>
      <c r="G8" s="14" t="inlineStr">
        <is>
          <t>Contrat local</t>
        </is>
      </c>
      <c r="H8" s="30" t="n">
        <v>45667</v>
      </c>
      <c r="I8" s="30" t="n">
        <v>46397</v>
      </c>
      <c r="J8" s="21" t="n">
        <v>1800000</v>
      </c>
      <c r="K8" s="21" t="n">
        <v>300000</v>
      </c>
      <c r="L8" s="14" t="inlineStr">
        <is>
          <t>En poste</t>
        </is>
      </c>
    </row>
    <row r="9" ht="22" customHeight="1">
      <c r="B9" s="12" t="inlineStr">
        <is>
          <t>EXP-005</t>
        </is>
      </c>
      <c r="C9" s="12" t="inlineStr">
        <is>
          <t>Moreau Laurent</t>
        </is>
      </c>
      <c r="D9" s="12" t="inlineStr">
        <is>
          <t>Consultant IT</t>
        </is>
      </c>
      <c r="E9" s="12" t="inlineStr">
        <is>
          <t>France</t>
        </is>
      </c>
      <c r="F9" s="12" t="inlineStr">
        <is>
          <t>Cameroun</t>
        </is>
      </c>
      <c r="G9" s="12" t="inlineStr">
        <is>
          <t>Mission courte duree</t>
        </is>
      </c>
      <c r="H9" s="29" t="n">
        <v>45689</v>
      </c>
      <c r="I9" s="29" t="n">
        <v>45870</v>
      </c>
      <c r="J9" s="20" t="n">
        <v>3500000</v>
      </c>
      <c r="K9" s="20" t="n">
        <v>400000</v>
      </c>
      <c r="L9" s="12" t="inlineStr">
        <is>
          <t>Contrat termine</t>
        </is>
      </c>
    </row>
    <row r="10" ht="22" customHeight="1">
      <c r="B10" s="16">
        <f>IF(C10="","EXP-"&amp;TEXT(COUNTA($C$5:C10),"000"))</f>
        <v/>
      </c>
      <c r="C10" s="14" t="n"/>
      <c r="D10" s="14" t="n"/>
      <c r="E10" s="14" t="n"/>
      <c r="F10" s="14" t="n"/>
      <c r="G10" s="14" t="n"/>
      <c r="H10" s="30" t="n"/>
      <c r="I10" s="30" t="n"/>
      <c r="J10" s="21" t="n"/>
      <c r="K10" s="21" t="n"/>
      <c r="L10" s="14" t="n"/>
    </row>
    <row r="11" ht="22" customHeight="1">
      <c r="B11" s="17">
        <f>IF(C11="","EXP-"&amp;TEXT(COUNTA($C$5:C11),"000"))</f>
        <v/>
      </c>
      <c r="C11" s="12" t="n"/>
      <c r="D11" s="12" t="n"/>
      <c r="E11" s="12" t="n"/>
      <c r="F11" s="12" t="n"/>
      <c r="G11" s="12" t="n"/>
      <c r="H11" s="29" t="n"/>
      <c r="I11" s="29" t="n"/>
      <c r="J11" s="20" t="n"/>
      <c r="K11" s="20" t="n"/>
      <c r="L11" s="12" t="n"/>
    </row>
    <row r="12" ht="22" customHeight="1">
      <c r="B12" s="16">
        <f>IF(C12="","EXP-"&amp;TEXT(COUNTA($C$5:C12),"000"))</f>
        <v/>
      </c>
      <c r="C12" s="14" t="n"/>
      <c r="D12" s="14" t="n"/>
      <c r="E12" s="14" t="n"/>
      <c r="F12" s="14" t="n"/>
      <c r="G12" s="14" t="n"/>
      <c r="H12" s="30" t="n"/>
      <c r="I12" s="30" t="n"/>
      <c r="J12" s="21" t="n"/>
      <c r="K12" s="21" t="n"/>
      <c r="L12" s="14" t="n"/>
    </row>
    <row r="13" ht="22" customHeight="1">
      <c r="B13" s="17">
        <f>IF(C13="","EXP-"&amp;TEXT(COUNTA($C$5:C13),"000"))</f>
        <v/>
      </c>
      <c r="C13" s="12" t="n"/>
      <c r="D13" s="12" t="n"/>
      <c r="E13" s="12" t="n"/>
      <c r="F13" s="12" t="n"/>
      <c r="G13" s="12" t="n"/>
      <c r="H13" s="29" t="n"/>
      <c r="I13" s="29" t="n"/>
      <c r="J13" s="20" t="n"/>
      <c r="K13" s="20" t="n"/>
      <c r="L13" s="12" t="n"/>
    </row>
    <row r="14" ht="22" customHeight="1">
      <c r="B14" s="16">
        <f>IF(C14="","EXP-"&amp;TEXT(COUNTA($C$5:C14),"000"))</f>
        <v/>
      </c>
      <c r="C14" s="14" t="n"/>
      <c r="D14" s="14" t="n"/>
      <c r="E14" s="14" t="n"/>
      <c r="F14" s="14" t="n"/>
      <c r="G14" s="14" t="n"/>
      <c r="H14" s="30" t="n"/>
      <c r="I14" s="30" t="n"/>
      <c r="J14" s="21" t="n"/>
      <c r="K14" s="21" t="n"/>
      <c r="L14" s="14" t="n"/>
    </row>
    <row r="15" ht="22" customHeight="1">
      <c r="B15" s="17">
        <f>IF(C15="","EXP-"&amp;TEXT(COUNTA($C$5:C15),"000"))</f>
        <v/>
      </c>
      <c r="C15" s="12" t="n"/>
      <c r="D15" s="12" t="n"/>
      <c r="E15" s="12" t="n"/>
      <c r="F15" s="12" t="n"/>
      <c r="G15" s="12" t="n"/>
      <c r="H15" s="29" t="n"/>
      <c r="I15" s="29" t="n"/>
      <c r="J15" s="20" t="n"/>
      <c r="K15" s="20" t="n"/>
      <c r="L15" s="12" t="n"/>
    </row>
    <row r="16" ht="22" customHeight="1">
      <c r="B16" s="16">
        <f>IF(C16="","EXP-"&amp;TEXT(COUNTA($C$5:C16),"000"))</f>
        <v/>
      </c>
      <c r="C16" s="14" t="n"/>
      <c r="D16" s="14" t="n"/>
      <c r="E16" s="14" t="n"/>
      <c r="F16" s="14" t="n"/>
      <c r="G16" s="14" t="n"/>
      <c r="H16" s="30" t="n"/>
      <c r="I16" s="30" t="n"/>
      <c r="J16" s="21" t="n"/>
      <c r="K16" s="21" t="n"/>
      <c r="L16" s="14" t="n"/>
    </row>
    <row r="17" ht="22" customHeight="1">
      <c r="B17" s="17">
        <f>IF(C17="","EXP-"&amp;TEXT(COUNTA($C$5:C17),"000"))</f>
        <v/>
      </c>
      <c r="C17" s="12" t="n"/>
      <c r="D17" s="12" t="n"/>
      <c r="E17" s="12" t="n"/>
      <c r="F17" s="12" t="n"/>
      <c r="G17" s="12" t="n"/>
      <c r="H17" s="29" t="n"/>
      <c r="I17" s="29" t="n"/>
      <c r="J17" s="20" t="n"/>
      <c r="K17" s="20" t="n"/>
      <c r="L17" s="12" t="n"/>
    </row>
    <row r="18" ht="22" customHeight="1">
      <c r="B18" s="16">
        <f>IF(C18="","EXP-"&amp;TEXT(COUNTA($C$5:C18),"000"))</f>
        <v/>
      </c>
      <c r="C18" s="14" t="n"/>
      <c r="D18" s="14" t="n"/>
      <c r="E18" s="14" t="n"/>
      <c r="F18" s="14" t="n"/>
      <c r="G18" s="14" t="n"/>
      <c r="H18" s="30" t="n"/>
      <c r="I18" s="30" t="n"/>
      <c r="J18" s="21" t="n"/>
      <c r="K18" s="21" t="n"/>
      <c r="L18" s="14" t="n"/>
    </row>
    <row r="19" ht="22" customHeight="1">
      <c r="B19" s="17">
        <f>IF(C19="","EXP-"&amp;TEXT(COUNTA($C$5:C19),"000"))</f>
        <v/>
      </c>
      <c r="C19" s="12" t="n"/>
      <c r="D19" s="12" t="n"/>
      <c r="E19" s="12" t="n"/>
      <c r="F19" s="12" t="n"/>
      <c r="G19" s="12" t="n"/>
      <c r="H19" s="29" t="n"/>
      <c r="I19" s="29" t="n"/>
      <c r="J19" s="20" t="n"/>
      <c r="K19" s="20" t="n"/>
      <c r="L19" s="12" t="n"/>
    </row>
    <row r="20" ht="22" customHeight="1">
      <c r="B20" s="16">
        <f>IF(C20="","EXP-"&amp;TEXT(COUNTA($C$5:C20),"000"))</f>
        <v/>
      </c>
      <c r="C20" s="14" t="n"/>
      <c r="D20" s="14" t="n"/>
      <c r="E20" s="14" t="n"/>
      <c r="F20" s="14" t="n"/>
      <c r="G20" s="14" t="n"/>
      <c r="H20" s="30" t="n"/>
      <c r="I20" s="30" t="n"/>
      <c r="J20" s="21" t="n"/>
      <c r="K20" s="21" t="n"/>
      <c r="L20" s="14" t="n"/>
    </row>
    <row r="21" ht="22" customHeight="1">
      <c r="B21" s="17">
        <f>IF(C21="","EXP-"&amp;TEXT(COUNTA($C$5:C21),"000"))</f>
        <v/>
      </c>
      <c r="C21" s="12" t="n"/>
      <c r="D21" s="12" t="n"/>
      <c r="E21" s="12" t="n"/>
      <c r="F21" s="12" t="n"/>
      <c r="G21" s="12" t="n"/>
      <c r="H21" s="29" t="n"/>
      <c r="I21" s="29" t="n"/>
      <c r="J21" s="20" t="n"/>
      <c r="K21" s="20" t="n"/>
      <c r="L21" s="12" t="n"/>
    </row>
    <row r="22" ht="22" customHeight="1">
      <c r="B22" s="16">
        <f>IF(C22="","EXP-"&amp;TEXT(COUNTA($C$5:C22),"000"))</f>
        <v/>
      </c>
      <c r="C22" s="14" t="n"/>
      <c r="D22" s="14" t="n"/>
      <c r="E22" s="14" t="n"/>
      <c r="F22" s="14" t="n"/>
      <c r="G22" s="14" t="n"/>
      <c r="H22" s="30" t="n"/>
      <c r="I22" s="30" t="n"/>
      <c r="J22" s="21" t="n"/>
      <c r="K22" s="21" t="n"/>
      <c r="L22" s="14" t="n"/>
    </row>
    <row r="23" ht="22" customHeight="1">
      <c r="B23" s="17">
        <f>IF(C23="","EXP-"&amp;TEXT(COUNTA($C$5:C23),"000"))</f>
        <v/>
      </c>
      <c r="C23" s="12" t="n"/>
      <c r="D23" s="12" t="n"/>
      <c r="E23" s="12" t="n"/>
      <c r="F23" s="12" t="n"/>
      <c r="G23" s="12" t="n"/>
      <c r="H23" s="29" t="n"/>
      <c r="I23" s="29" t="n"/>
      <c r="J23" s="20" t="n"/>
      <c r="K23" s="20" t="n"/>
      <c r="L23" s="12" t="n"/>
    </row>
    <row r="24" ht="22" customHeight="1">
      <c r="B24" s="16">
        <f>IF(C24="","EXP-"&amp;TEXT(COUNTA($C$5:C24),"000"))</f>
        <v/>
      </c>
      <c r="C24" s="14" t="n"/>
      <c r="D24" s="14" t="n"/>
      <c r="E24" s="14" t="n"/>
      <c r="F24" s="14" t="n"/>
      <c r="G24" s="14" t="n"/>
      <c r="H24" s="30" t="n"/>
      <c r="I24" s="30" t="n"/>
      <c r="J24" s="21" t="n"/>
      <c r="K24" s="21" t="n"/>
      <c r="L24" s="14" t="n"/>
    </row>
    <row r="25" ht="22" customHeight="1">
      <c r="B25" s="17">
        <f>IF(C25="","EXP-"&amp;TEXT(COUNTA($C$5:C25),"000"))</f>
        <v/>
      </c>
      <c r="C25" s="12" t="n"/>
      <c r="D25" s="12" t="n"/>
      <c r="E25" s="12" t="n"/>
      <c r="F25" s="12" t="n"/>
      <c r="G25" s="12" t="n"/>
      <c r="H25" s="29" t="n"/>
      <c r="I25" s="29" t="n"/>
      <c r="J25" s="20" t="n"/>
      <c r="K25" s="20" t="n"/>
      <c r="L25" s="12" t="n"/>
    </row>
    <row r="26" ht="22" customHeight="1">
      <c r="B26" s="16">
        <f>IF(C26="","EXP-"&amp;TEXT(COUNTA($C$5:C26),"000"))</f>
        <v/>
      </c>
      <c r="C26" s="14" t="n"/>
      <c r="D26" s="14" t="n"/>
      <c r="E26" s="14" t="n"/>
      <c r="F26" s="14" t="n"/>
      <c r="G26" s="14" t="n"/>
      <c r="H26" s="30" t="n"/>
      <c r="I26" s="30" t="n"/>
      <c r="J26" s="21" t="n"/>
      <c r="K26" s="21" t="n"/>
      <c r="L26" s="14" t="n"/>
    </row>
    <row r="27" ht="22" customHeight="1">
      <c r="B27" s="17">
        <f>IF(C27="","EXP-"&amp;TEXT(COUNTA($C$5:C27),"000"))</f>
        <v/>
      </c>
      <c r="C27" s="12" t="n"/>
      <c r="D27" s="12" t="n"/>
      <c r="E27" s="12" t="n"/>
      <c r="F27" s="12" t="n"/>
      <c r="G27" s="12" t="n"/>
      <c r="H27" s="29" t="n"/>
      <c r="I27" s="29" t="n"/>
      <c r="J27" s="20" t="n"/>
      <c r="K27" s="20" t="n"/>
      <c r="L27" s="12" t="n"/>
    </row>
    <row r="28" ht="22" customHeight="1">
      <c r="B28" s="16">
        <f>IF(C28="","EXP-"&amp;TEXT(COUNTA($C$5:C28),"000"))</f>
        <v/>
      </c>
      <c r="C28" s="14" t="n"/>
      <c r="D28" s="14" t="n"/>
      <c r="E28" s="14" t="n"/>
      <c r="F28" s="14" t="n"/>
      <c r="G28" s="14" t="n"/>
      <c r="H28" s="30" t="n"/>
      <c r="I28" s="30" t="n"/>
      <c r="J28" s="21" t="n"/>
      <c r="K28" s="21" t="n"/>
      <c r="L28" s="14" t="n"/>
    </row>
    <row r="29" ht="22" customHeight="1">
      <c r="B29" s="17">
        <f>IF(C29="","EXP-"&amp;TEXT(COUNTA($C$5:C29),"000"))</f>
        <v/>
      </c>
      <c r="C29" s="12" t="n"/>
      <c r="D29" s="12" t="n"/>
      <c r="E29" s="12" t="n"/>
      <c r="F29" s="12" t="n"/>
      <c r="G29" s="12" t="n"/>
      <c r="H29" s="29" t="n"/>
      <c r="I29" s="29" t="n"/>
      <c r="J29" s="20" t="n"/>
      <c r="K29" s="20" t="n"/>
      <c r="L29" s="12" t="n"/>
    </row>
    <row r="30" ht="22" customHeight="1">
      <c r="B30" s="16">
        <f>IF(C30="","EXP-"&amp;TEXT(COUNTA($C$5:C30),"000"))</f>
        <v/>
      </c>
      <c r="C30" s="14" t="n"/>
      <c r="D30" s="14" t="n"/>
      <c r="E30" s="14" t="n"/>
      <c r="F30" s="14" t="n"/>
      <c r="G30" s="14" t="n"/>
      <c r="H30" s="30" t="n"/>
      <c r="I30" s="30" t="n"/>
      <c r="J30" s="21" t="n"/>
      <c r="K30" s="21" t="n"/>
      <c r="L30" s="14" t="n"/>
    </row>
    <row r="31" ht="22" customHeight="1">
      <c r="B31" s="17">
        <f>IF(C31="","EXP-"&amp;TEXT(COUNTA($C$5:C31),"000"))</f>
        <v/>
      </c>
      <c r="C31" s="12" t="n"/>
      <c r="D31" s="12" t="n"/>
      <c r="E31" s="12" t="n"/>
      <c r="F31" s="12" t="n"/>
      <c r="G31" s="12" t="n"/>
      <c r="H31" s="29" t="n"/>
      <c r="I31" s="29" t="n"/>
      <c r="J31" s="20" t="n"/>
      <c r="K31" s="20" t="n"/>
      <c r="L31" s="12" t="n"/>
    </row>
    <row r="32" ht="22" customHeight="1">
      <c r="B32" s="16">
        <f>IF(C32="","EXP-"&amp;TEXT(COUNTA($C$5:C32),"000"))</f>
        <v/>
      </c>
      <c r="C32" s="14" t="n"/>
      <c r="D32" s="14" t="n"/>
      <c r="E32" s="14" t="n"/>
      <c r="F32" s="14" t="n"/>
      <c r="G32" s="14" t="n"/>
      <c r="H32" s="30" t="n"/>
      <c r="I32" s="30" t="n"/>
      <c r="J32" s="21" t="n"/>
      <c r="K32" s="21" t="n"/>
      <c r="L32" s="14" t="n"/>
    </row>
    <row r="33" ht="22" customHeight="1">
      <c r="B33" s="17">
        <f>IF(C33="","EXP-"&amp;TEXT(COUNTA($C$5:C33),"000"))</f>
        <v/>
      </c>
      <c r="C33" s="12" t="n"/>
      <c r="D33" s="12" t="n"/>
      <c r="E33" s="12" t="n"/>
      <c r="F33" s="12" t="n"/>
      <c r="G33" s="12" t="n"/>
      <c r="H33" s="29" t="n"/>
      <c r="I33" s="29" t="n"/>
      <c r="J33" s="20" t="n"/>
      <c r="K33" s="20" t="n"/>
      <c r="L33" s="12" t="n"/>
    </row>
    <row r="34" ht="22" customHeight="1">
      <c r="B34" s="16">
        <f>IF(C34="","EXP-"&amp;TEXT(COUNTA($C$5:C34),"000"))</f>
        <v/>
      </c>
      <c r="C34" s="14" t="n"/>
      <c r="D34" s="14" t="n"/>
      <c r="E34" s="14" t="n"/>
      <c r="F34" s="14" t="n"/>
      <c r="G34" s="14" t="n"/>
      <c r="H34" s="30" t="n"/>
      <c r="I34" s="30" t="n"/>
      <c r="J34" s="21" t="n"/>
      <c r="K34" s="21" t="n"/>
      <c r="L34" s="14" t="n"/>
    </row>
    <row r="35" ht="22" customHeight="1">
      <c r="B35" s="17">
        <f>IF(C35="","EXP-"&amp;TEXT(COUNTA($C$5:C35),"000"))</f>
        <v/>
      </c>
      <c r="C35" s="12" t="n"/>
      <c r="D35" s="12" t="n"/>
      <c r="E35" s="12" t="n"/>
      <c r="F35" s="12" t="n"/>
      <c r="G35" s="12" t="n"/>
      <c r="H35" s="29" t="n"/>
      <c r="I35" s="29" t="n"/>
      <c r="J35" s="20" t="n"/>
      <c r="K35" s="20" t="n"/>
      <c r="L35" s="12" t="n"/>
    </row>
    <row r="36" ht="22" customHeight="1">
      <c r="B36" s="16">
        <f>IF(C36="","EXP-"&amp;TEXT(COUNTA($C$5:C36),"000"))</f>
        <v/>
      </c>
      <c r="C36" s="14" t="n"/>
      <c r="D36" s="14" t="n"/>
      <c r="E36" s="14" t="n"/>
      <c r="F36" s="14" t="n"/>
      <c r="G36" s="14" t="n"/>
      <c r="H36" s="30" t="n"/>
      <c r="I36" s="30" t="n"/>
      <c r="J36" s="21" t="n"/>
      <c r="K36" s="21" t="n"/>
      <c r="L36" s="14" t="n"/>
    </row>
    <row r="37" ht="22" customHeight="1">
      <c r="B37" s="17">
        <f>IF(C37="","EXP-"&amp;TEXT(COUNTA($C$5:C37),"000"))</f>
        <v/>
      </c>
      <c r="C37" s="12" t="n"/>
      <c r="D37" s="12" t="n"/>
      <c r="E37" s="12" t="n"/>
      <c r="F37" s="12" t="n"/>
      <c r="G37" s="12" t="n"/>
      <c r="H37" s="29" t="n"/>
      <c r="I37" s="29" t="n"/>
      <c r="J37" s="20" t="n"/>
      <c r="K37" s="20" t="n"/>
      <c r="L37" s="12" t="n"/>
    </row>
    <row r="38" ht="22" customHeight="1">
      <c r="B38" s="16">
        <f>IF(C38="","EXP-"&amp;TEXT(COUNTA($C$5:C38),"000"))</f>
        <v/>
      </c>
      <c r="C38" s="14" t="n"/>
      <c r="D38" s="14" t="n"/>
      <c r="E38" s="14" t="n"/>
      <c r="F38" s="14" t="n"/>
      <c r="G38" s="14" t="n"/>
      <c r="H38" s="30" t="n"/>
      <c r="I38" s="30" t="n"/>
      <c r="J38" s="21" t="n"/>
      <c r="K38" s="21" t="n"/>
      <c r="L38" s="14" t="n"/>
    </row>
    <row r="39" ht="22" customHeight="1">
      <c r="B39" s="17">
        <f>IF(C39="","EXP-"&amp;TEXT(COUNTA($C$5:C39),"000"))</f>
        <v/>
      </c>
      <c r="C39" s="12" t="n"/>
      <c r="D39" s="12" t="n"/>
      <c r="E39" s="12" t="n"/>
      <c r="F39" s="12" t="n"/>
      <c r="G39" s="12" t="n"/>
      <c r="H39" s="29" t="n"/>
      <c r="I39" s="29" t="n"/>
      <c r="J39" s="20" t="n"/>
      <c r="K39" s="20" t="n"/>
      <c r="L39" s="12" t="n"/>
    </row>
    <row r="40" ht="22" customHeight="1">
      <c r="B40" s="16">
        <f>IF(C40="","EXP-"&amp;TEXT(COUNTA($C$5:C40),"000"))</f>
        <v/>
      </c>
      <c r="C40" s="14" t="n"/>
      <c r="D40" s="14" t="n"/>
      <c r="E40" s="14" t="n"/>
      <c r="F40" s="14" t="n"/>
      <c r="G40" s="14" t="n"/>
      <c r="H40" s="30" t="n"/>
      <c r="I40" s="30" t="n"/>
      <c r="J40" s="21" t="n"/>
      <c r="K40" s="21" t="n"/>
      <c r="L40" s="14" t="n"/>
    </row>
    <row r="41" ht="22" customHeight="1">
      <c r="B41" s="17">
        <f>IF(C41="","EXP-"&amp;TEXT(COUNTA($C$5:C41),"000"))</f>
        <v/>
      </c>
      <c r="C41" s="12" t="n"/>
      <c r="D41" s="12" t="n"/>
      <c r="E41" s="12" t="n"/>
      <c r="F41" s="12" t="n"/>
      <c r="G41" s="12" t="n"/>
      <c r="H41" s="29" t="n"/>
      <c r="I41" s="29" t="n"/>
      <c r="J41" s="20" t="n"/>
      <c r="K41" s="20" t="n"/>
      <c r="L41" s="12" t="n"/>
    </row>
    <row r="42" ht="22" customHeight="1">
      <c r="B42" s="16">
        <f>IF(C42="","EXP-"&amp;TEXT(COUNTA($C$5:C42),"000"))</f>
        <v/>
      </c>
      <c r="C42" s="14" t="n"/>
      <c r="D42" s="14" t="n"/>
      <c r="E42" s="14" t="n"/>
      <c r="F42" s="14" t="n"/>
      <c r="G42" s="14" t="n"/>
      <c r="H42" s="30" t="n"/>
      <c r="I42" s="30" t="n"/>
      <c r="J42" s="21" t="n"/>
      <c r="K42" s="21" t="n"/>
      <c r="L42" s="14" t="n"/>
    </row>
    <row r="43" ht="22" customHeight="1">
      <c r="B43" s="17">
        <f>IF(C43="","EXP-"&amp;TEXT(COUNTA($C$5:C43),"000"))</f>
        <v/>
      </c>
      <c r="C43" s="12" t="n"/>
      <c r="D43" s="12" t="n"/>
      <c r="E43" s="12" t="n"/>
      <c r="F43" s="12" t="n"/>
      <c r="G43" s="12" t="n"/>
      <c r="H43" s="29" t="n"/>
      <c r="I43" s="29" t="n"/>
      <c r="J43" s="20" t="n"/>
      <c r="K43" s="20" t="n"/>
      <c r="L43" s="12" t="n"/>
    </row>
    <row r="44" ht="22" customHeight="1">
      <c r="B44" s="16">
        <f>IF(C44="","EXP-"&amp;TEXT(COUNTA($C$5:C44),"000"))</f>
        <v/>
      </c>
      <c r="C44" s="14" t="n"/>
      <c r="D44" s="14" t="n"/>
      <c r="E44" s="14" t="n"/>
      <c r="F44" s="14" t="n"/>
      <c r="G44" s="14" t="n"/>
      <c r="H44" s="30" t="n"/>
      <c r="I44" s="30" t="n"/>
      <c r="J44" s="21" t="n"/>
      <c r="K44" s="21" t="n"/>
      <c r="L44" s="14" t="n"/>
    </row>
    <row r="45" ht="22" customHeight="1">
      <c r="B45" s="17">
        <f>IF(C45="","EXP-"&amp;TEXT(COUNTA($C$5:C45),"000"))</f>
        <v/>
      </c>
      <c r="C45" s="12" t="n"/>
      <c r="D45" s="12" t="n"/>
      <c r="E45" s="12" t="n"/>
      <c r="F45" s="12" t="n"/>
      <c r="G45" s="12" t="n"/>
      <c r="H45" s="29" t="n"/>
      <c r="I45" s="29" t="n"/>
      <c r="J45" s="20" t="n"/>
      <c r="K45" s="20" t="n"/>
      <c r="L45" s="12" t="n"/>
    </row>
    <row r="46" ht="22" customHeight="1">
      <c r="B46" s="16">
        <f>IF(C46="","EXP-"&amp;TEXT(COUNTA($C$5:C46),"000"))</f>
        <v/>
      </c>
      <c r="C46" s="14" t="n"/>
      <c r="D46" s="14" t="n"/>
      <c r="E46" s="14" t="n"/>
      <c r="F46" s="14" t="n"/>
      <c r="G46" s="14" t="n"/>
      <c r="H46" s="30" t="n"/>
      <c r="I46" s="30" t="n"/>
      <c r="J46" s="21" t="n"/>
      <c r="K46" s="21" t="n"/>
      <c r="L46" s="14" t="n"/>
    </row>
    <row r="47" ht="22" customHeight="1">
      <c r="B47" s="17">
        <f>IF(C47="","EXP-"&amp;TEXT(COUNTA($C$5:C47),"000"))</f>
        <v/>
      </c>
      <c r="C47" s="12" t="n"/>
      <c r="D47" s="12" t="n"/>
      <c r="E47" s="12" t="n"/>
      <c r="F47" s="12" t="n"/>
      <c r="G47" s="12" t="n"/>
      <c r="H47" s="29" t="n"/>
      <c r="I47" s="29" t="n"/>
      <c r="J47" s="20" t="n"/>
      <c r="K47" s="20" t="n"/>
      <c r="L47" s="12" t="n"/>
    </row>
    <row r="48" ht="22" customHeight="1">
      <c r="B48" s="16">
        <f>IF(C48="","EXP-"&amp;TEXT(COUNTA($C$5:C48),"000"))</f>
        <v/>
      </c>
      <c r="C48" s="14" t="n"/>
      <c r="D48" s="14" t="n"/>
      <c r="E48" s="14" t="n"/>
      <c r="F48" s="14" t="n"/>
      <c r="G48" s="14" t="n"/>
      <c r="H48" s="30" t="n"/>
      <c r="I48" s="30" t="n"/>
      <c r="J48" s="21" t="n"/>
      <c r="K48" s="21" t="n"/>
      <c r="L48" s="14" t="n"/>
    </row>
    <row r="49" ht="22" customHeight="1">
      <c r="B49" s="17">
        <f>IF(C49="","EXP-"&amp;TEXT(COUNTA($C$5:C49),"000"))</f>
        <v/>
      </c>
      <c r="C49" s="12" t="n"/>
      <c r="D49" s="12" t="n"/>
      <c r="E49" s="12" t="n"/>
      <c r="F49" s="12" t="n"/>
      <c r="G49" s="12" t="n"/>
      <c r="H49" s="29" t="n"/>
      <c r="I49" s="29" t="n"/>
      <c r="J49" s="20" t="n"/>
      <c r="K49" s="20" t="n"/>
      <c r="L49" s="12" t="n"/>
    </row>
    <row r="50" ht="22" customHeight="1">
      <c r="B50" s="16">
        <f>IF(C50="","EXP-"&amp;TEXT(COUNTA($C$5:C50),"000"))</f>
        <v/>
      </c>
      <c r="C50" s="14" t="n"/>
      <c r="D50" s="14" t="n"/>
      <c r="E50" s="14" t="n"/>
      <c r="F50" s="14" t="n"/>
      <c r="G50" s="14" t="n"/>
      <c r="H50" s="30" t="n"/>
      <c r="I50" s="30" t="n"/>
      <c r="J50" s="21" t="n"/>
      <c r="K50" s="21" t="n"/>
      <c r="L50" s="14" t="n"/>
    </row>
    <row r="51" ht="22" customHeight="1">
      <c r="B51" s="17">
        <f>IF(C51="","EXP-"&amp;TEXT(COUNTA($C$5:C51),"000"))</f>
        <v/>
      </c>
      <c r="C51" s="12" t="n"/>
      <c r="D51" s="12" t="n"/>
      <c r="E51" s="12" t="n"/>
      <c r="F51" s="12" t="n"/>
      <c r="G51" s="12" t="n"/>
      <c r="H51" s="29" t="n"/>
      <c r="I51" s="29" t="n"/>
      <c r="J51" s="20" t="n"/>
      <c r="K51" s="20" t="n"/>
      <c r="L51" s="12" t="n"/>
    </row>
    <row r="52" ht="22" customHeight="1">
      <c r="B52" s="16">
        <f>IF(C52="","EXP-"&amp;TEXT(COUNTA($C$5:C52),"000"))</f>
        <v/>
      </c>
      <c r="C52" s="14" t="n"/>
      <c r="D52" s="14" t="n"/>
      <c r="E52" s="14" t="n"/>
      <c r="F52" s="14" t="n"/>
      <c r="G52" s="14" t="n"/>
      <c r="H52" s="30" t="n"/>
      <c r="I52" s="30" t="n"/>
      <c r="J52" s="21" t="n"/>
      <c r="K52" s="21" t="n"/>
      <c r="L52" s="14" t="n"/>
    </row>
    <row r="53" ht="22" customHeight="1">
      <c r="B53" s="17">
        <f>IF(C53="","EXP-"&amp;TEXT(COUNTA($C$5:C53),"000"))</f>
        <v/>
      </c>
      <c r="C53" s="12" t="n"/>
      <c r="D53" s="12" t="n"/>
      <c r="E53" s="12" t="n"/>
      <c r="F53" s="12" t="n"/>
      <c r="G53" s="12" t="n"/>
      <c r="H53" s="29" t="n"/>
      <c r="I53" s="29" t="n"/>
      <c r="J53" s="20" t="n"/>
      <c r="K53" s="20" t="n"/>
      <c r="L53" s="12" t="n"/>
    </row>
    <row r="54" ht="22" customHeight="1">
      <c r="B54" s="16">
        <f>IF(C54="","EXP-"&amp;TEXT(COUNTA($C$5:C54),"000"))</f>
        <v/>
      </c>
      <c r="C54" s="14" t="n"/>
      <c r="D54" s="14" t="n"/>
      <c r="E54" s="14" t="n"/>
      <c r="F54" s="14" t="n"/>
      <c r="G54" s="14" t="n"/>
      <c r="H54" s="30" t="n"/>
      <c r="I54" s="30" t="n"/>
      <c r="J54" s="21" t="n"/>
      <c r="K54" s="21" t="n"/>
      <c r="L54" s="14" t="n"/>
    </row>
    <row r="55" ht="22" customHeight="1">
      <c r="B55" s="17">
        <f>IF(C55="","EXP-"&amp;TEXT(COUNTA($C$5:C55),"000"))</f>
        <v/>
      </c>
      <c r="C55" s="12" t="n"/>
      <c r="D55" s="12" t="n"/>
      <c r="E55" s="12" t="n"/>
      <c r="F55" s="12" t="n"/>
      <c r="G55" s="12" t="n"/>
      <c r="H55" s="29" t="n"/>
      <c r="I55" s="29" t="n"/>
      <c r="J55" s="20" t="n"/>
      <c r="K55" s="20" t="n"/>
      <c r="L55" s="12" t="n"/>
    </row>
    <row r="56" ht="22" customHeight="1">
      <c r="B56" s="16">
        <f>IF(C56="","EXP-"&amp;TEXT(COUNTA($C$5:C56),"000"))</f>
        <v/>
      </c>
      <c r="C56" s="14" t="n"/>
      <c r="D56" s="14" t="n"/>
      <c r="E56" s="14" t="n"/>
      <c r="F56" s="14" t="n"/>
      <c r="G56" s="14" t="n"/>
      <c r="H56" s="30" t="n"/>
      <c r="I56" s="30" t="n"/>
      <c r="J56" s="21" t="n"/>
      <c r="K56" s="21" t="n"/>
      <c r="L56" s="14" t="n"/>
    </row>
    <row r="57" ht="22" customHeight="1">
      <c r="B57" s="17">
        <f>IF(C57="","EXP-"&amp;TEXT(COUNTA($C$5:C57),"000"))</f>
        <v/>
      </c>
      <c r="C57" s="12" t="n"/>
      <c r="D57" s="12" t="n"/>
      <c r="E57" s="12" t="n"/>
      <c r="F57" s="12" t="n"/>
      <c r="G57" s="12" t="n"/>
      <c r="H57" s="29" t="n"/>
      <c r="I57" s="29" t="n"/>
      <c r="J57" s="20" t="n"/>
      <c r="K57" s="20" t="n"/>
      <c r="L57" s="12" t="n"/>
    </row>
    <row r="58" ht="22" customHeight="1">
      <c r="B58" s="16">
        <f>IF(C58="","EXP-"&amp;TEXT(COUNTA($C$5:C58),"000"))</f>
        <v/>
      </c>
      <c r="C58" s="14" t="n"/>
      <c r="D58" s="14" t="n"/>
      <c r="E58" s="14" t="n"/>
      <c r="F58" s="14" t="n"/>
      <c r="G58" s="14" t="n"/>
      <c r="H58" s="30" t="n"/>
      <c r="I58" s="30" t="n"/>
      <c r="J58" s="21" t="n"/>
      <c r="K58" s="21" t="n"/>
      <c r="L58" s="14" t="n"/>
    </row>
    <row r="59" ht="22" customHeight="1">
      <c r="B59" s="17">
        <f>IF(C59="","EXP-"&amp;TEXT(COUNTA($C$5:C59),"000"))</f>
        <v/>
      </c>
      <c r="C59" s="12" t="n"/>
      <c r="D59" s="12" t="n"/>
      <c r="E59" s="12" t="n"/>
      <c r="F59" s="12" t="n"/>
      <c r="G59" s="12" t="n"/>
      <c r="H59" s="29" t="n"/>
      <c r="I59" s="29" t="n"/>
      <c r="J59" s="20" t="n"/>
      <c r="K59" s="20" t="n"/>
      <c r="L59" s="12" t="n"/>
    </row>
    <row r="60" ht="22" customHeight="1">
      <c r="B60" s="16">
        <f>IF(C60="","EXP-"&amp;TEXT(COUNTA($C$5:C60),"000"))</f>
        <v/>
      </c>
      <c r="C60" s="14" t="n"/>
      <c r="D60" s="14" t="n"/>
      <c r="E60" s="14" t="n"/>
      <c r="F60" s="14" t="n"/>
      <c r="G60" s="14" t="n"/>
      <c r="H60" s="30" t="n"/>
      <c r="I60" s="30" t="n"/>
      <c r="J60" s="21" t="n"/>
      <c r="K60" s="21" t="n"/>
      <c r="L60" s="14" t="n"/>
    </row>
    <row r="61" ht="22" customHeight="1">
      <c r="B61" s="17">
        <f>IF(C61="","EXP-"&amp;TEXT(COUNTA($C$5:C61),"000"))</f>
        <v/>
      </c>
      <c r="C61" s="12" t="n"/>
      <c r="D61" s="12" t="n"/>
      <c r="E61" s="12" t="n"/>
      <c r="F61" s="12" t="n"/>
      <c r="G61" s="12" t="n"/>
      <c r="H61" s="29" t="n"/>
      <c r="I61" s="29" t="n"/>
      <c r="J61" s="20" t="n"/>
      <c r="K61" s="20" t="n"/>
      <c r="L61" s="12" t="n"/>
    </row>
    <row r="62" ht="22" customHeight="1">
      <c r="B62" s="16">
        <f>IF(C62="","EXP-"&amp;TEXT(COUNTA($C$5:C62),"000"))</f>
        <v/>
      </c>
      <c r="C62" s="14" t="n"/>
      <c r="D62" s="14" t="n"/>
      <c r="E62" s="14" t="n"/>
      <c r="F62" s="14" t="n"/>
      <c r="G62" s="14" t="n"/>
      <c r="H62" s="30" t="n"/>
      <c r="I62" s="30" t="n"/>
      <c r="J62" s="21" t="n"/>
      <c r="K62" s="21" t="n"/>
      <c r="L62" s="14" t="n"/>
    </row>
    <row r="63" ht="22" customHeight="1">
      <c r="B63" s="17">
        <f>IF(C63="","EXP-"&amp;TEXT(COUNTA($C$5:C63),"000"))</f>
        <v/>
      </c>
      <c r="C63" s="12" t="n"/>
      <c r="D63" s="12" t="n"/>
      <c r="E63" s="12" t="n"/>
      <c r="F63" s="12" t="n"/>
      <c r="G63" s="12" t="n"/>
      <c r="H63" s="29" t="n"/>
      <c r="I63" s="29" t="n"/>
      <c r="J63" s="20" t="n"/>
      <c r="K63" s="20" t="n"/>
      <c r="L63" s="12" t="n"/>
    </row>
    <row r="64" ht="22" customHeight="1">
      <c r="B64" s="16">
        <f>IF(C64="","EXP-"&amp;TEXT(COUNTA($C$5:C64),"000"))</f>
        <v/>
      </c>
      <c r="C64" s="14" t="n"/>
      <c r="D64" s="14" t="n"/>
      <c r="E64" s="14" t="n"/>
      <c r="F64" s="14" t="n"/>
      <c r="G64" s="14" t="n"/>
      <c r="H64" s="30" t="n"/>
      <c r="I64" s="30" t="n"/>
      <c r="J64" s="21" t="n"/>
      <c r="K64" s="21" t="n"/>
      <c r="L64" s="14" t="n"/>
    </row>
    <row r="65" ht="22" customHeight="1">
      <c r="B65" s="17">
        <f>IF(C65="","EXP-"&amp;TEXT(COUNTA($C$5:C65),"000"))</f>
        <v/>
      </c>
      <c r="C65" s="12" t="n"/>
      <c r="D65" s="12" t="n"/>
      <c r="E65" s="12" t="n"/>
      <c r="F65" s="12" t="n"/>
      <c r="G65" s="12" t="n"/>
      <c r="H65" s="29" t="n"/>
      <c r="I65" s="29" t="n"/>
      <c r="J65" s="20" t="n"/>
      <c r="K65" s="20" t="n"/>
      <c r="L65" s="12" t="n"/>
    </row>
    <row r="66" ht="22" customHeight="1">
      <c r="B66" s="16">
        <f>IF(C66="","EXP-"&amp;TEXT(COUNTA($C$5:C66),"000"))</f>
        <v/>
      </c>
      <c r="C66" s="14" t="n"/>
      <c r="D66" s="14" t="n"/>
      <c r="E66" s="14" t="n"/>
      <c r="F66" s="14" t="n"/>
      <c r="G66" s="14" t="n"/>
      <c r="H66" s="30" t="n"/>
      <c r="I66" s="30" t="n"/>
      <c r="J66" s="21" t="n"/>
      <c r="K66" s="21" t="n"/>
      <c r="L66" s="14" t="n"/>
    </row>
    <row r="67" ht="22" customHeight="1">
      <c r="B67" s="17">
        <f>IF(C67="","EXP-"&amp;TEXT(COUNTA($C$5:C67),"000"))</f>
        <v/>
      </c>
      <c r="C67" s="12" t="n"/>
      <c r="D67" s="12" t="n"/>
      <c r="E67" s="12" t="n"/>
      <c r="F67" s="12" t="n"/>
      <c r="G67" s="12" t="n"/>
      <c r="H67" s="29" t="n"/>
      <c r="I67" s="29" t="n"/>
      <c r="J67" s="20" t="n"/>
      <c r="K67" s="20" t="n"/>
      <c r="L67" s="12" t="n"/>
    </row>
    <row r="68" ht="22" customHeight="1">
      <c r="B68" s="16">
        <f>IF(C68="","EXP-"&amp;TEXT(COUNTA($C$5:C68),"000"))</f>
        <v/>
      </c>
      <c r="C68" s="14" t="n"/>
      <c r="D68" s="14" t="n"/>
      <c r="E68" s="14" t="n"/>
      <c r="F68" s="14" t="n"/>
      <c r="G68" s="14" t="n"/>
      <c r="H68" s="30" t="n"/>
      <c r="I68" s="30" t="n"/>
      <c r="J68" s="21" t="n"/>
      <c r="K68" s="21" t="n"/>
      <c r="L68" s="14" t="n"/>
    </row>
    <row r="69" ht="22" customHeight="1">
      <c r="B69" s="17">
        <f>IF(C69="","EXP-"&amp;TEXT(COUNTA($C$5:C69),"000"))</f>
        <v/>
      </c>
      <c r="C69" s="12" t="n"/>
      <c r="D69" s="12" t="n"/>
      <c r="E69" s="12" t="n"/>
      <c r="F69" s="12" t="n"/>
      <c r="G69" s="12" t="n"/>
      <c r="H69" s="29" t="n"/>
      <c r="I69" s="29" t="n"/>
      <c r="J69" s="20" t="n"/>
      <c r="K69" s="20" t="n"/>
      <c r="L69" s="12" t="n"/>
    </row>
    <row r="70" ht="22" customHeight="1">
      <c r="B70" s="16">
        <f>IF(C70="","EXP-"&amp;TEXT(COUNTA($C$5:C70),"000"))</f>
        <v/>
      </c>
      <c r="C70" s="14" t="n"/>
      <c r="D70" s="14" t="n"/>
      <c r="E70" s="14" t="n"/>
      <c r="F70" s="14" t="n"/>
      <c r="G70" s="14" t="n"/>
      <c r="H70" s="30" t="n"/>
      <c r="I70" s="30" t="n"/>
      <c r="J70" s="21" t="n"/>
      <c r="K70" s="21" t="n"/>
      <c r="L70" s="14" t="n"/>
    </row>
    <row r="71" ht="22" customHeight="1">
      <c r="B71" s="17">
        <f>IF(C71="","EXP-"&amp;TEXT(COUNTA($C$5:C71),"000"))</f>
        <v/>
      </c>
      <c r="C71" s="12" t="n"/>
      <c r="D71" s="12" t="n"/>
      <c r="E71" s="12" t="n"/>
      <c r="F71" s="12" t="n"/>
      <c r="G71" s="12" t="n"/>
      <c r="H71" s="29" t="n"/>
      <c r="I71" s="29" t="n"/>
      <c r="J71" s="20" t="n"/>
      <c r="K71" s="20" t="n"/>
      <c r="L71" s="12" t="n"/>
    </row>
    <row r="72" ht="22" customHeight="1">
      <c r="B72" s="16">
        <f>IF(C72="","EXP-"&amp;TEXT(COUNTA($C$5:C72),"000"))</f>
        <v/>
      </c>
      <c r="C72" s="14" t="n"/>
      <c r="D72" s="14" t="n"/>
      <c r="E72" s="14" t="n"/>
      <c r="F72" s="14" t="n"/>
      <c r="G72" s="14" t="n"/>
      <c r="H72" s="30" t="n"/>
      <c r="I72" s="30" t="n"/>
      <c r="J72" s="21" t="n"/>
      <c r="K72" s="21" t="n"/>
      <c r="L72" s="14" t="n"/>
    </row>
    <row r="73" ht="22" customHeight="1">
      <c r="B73" s="17">
        <f>IF(C73="","EXP-"&amp;TEXT(COUNTA($C$5:C73),"000"))</f>
        <v/>
      </c>
      <c r="C73" s="12" t="n"/>
      <c r="D73" s="12" t="n"/>
      <c r="E73" s="12" t="n"/>
      <c r="F73" s="12" t="n"/>
      <c r="G73" s="12" t="n"/>
      <c r="H73" s="29" t="n"/>
      <c r="I73" s="29" t="n"/>
      <c r="J73" s="20" t="n"/>
      <c r="K73" s="20" t="n"/>
      <c r="L73" s="12" t="n"/>
    </row>
    <row r="74" ht="22" customHeight="1">
      <c r="B74" s="16">
        <f>IF(C74="","EXP-"&amp;TEXT(COUNTA($C$5:C74),"000"))</f>
        <v/>
      </c>
      <c r="C74" s="14" t="n"/>
      <c r="D74" s="14" t="n"/>
      <c r="E74" s="14" t="n"/>
      <c r="F74" s="14" t="n"/>
      <c r="G74" s="14" t="n"/>
      <c r="H74" s="30" t="n"/>
      <c r="I74" s="30" t="n"/>
      <c r="J74" s="21" t="n"/>
      <c r="K74" s="21" t="n"/>
      <c r="L74" s="14" t="n"/>
    </row>
    <row r="75" ht="22" customHeight="1">
      <c r="B75" s="17">
        <f>IF(C75="","EXP-"&amp;TEXT(COUNTA($C$5:C75),"000"))</f>
        <v/>
      </c>
      <c r="C75" s="12" t="n"/>
      <c r="D75" s="12" t="n"/>
      <c r="E75" s="12" t="n"/>
      <c r="F75" s="12" t="n"/>
      <c r="G75" s="12" t="n"/>
      <c r="H75" s="29" t="n"/>
      <c r="I75" s="29" t="n"/>
      <c r="J75" s="20" t="n"/>
      <c r="K75" s="20" t="n"/>
      <c r="L75" s="12" t="n"/>
    </row>
    <row r="76" ht="22" customHeight="1">
      <c r="B76" s="16">
        <f>IF(C76="","EXP-"&amp;TEXT(COUNTA($C$5:C76),"000"))</f>
        <v/>
      </c>
      <c r="C76" s="14" t="n"/>
      <c r="D76" s="14" t="n"/>
      <c r="E76" s="14" t="n"/>
      <c r="F76" s="14" t="n"/>
      <c r="G76" s="14" t="n"/>
      <c r="H76" s="30" t="n"/>
      <c r="I76" s="30" t="n"/>
      <c r="J76" s="21" t="n"/>
      <c r="K76" s="21" t="n"/>
      <c r="L76" s="14" t="n"/>
    </row>
    <row r="77" ht="22" customHeight="1">
      <c r="B77" s="17">
        <f>IF(C77="","EXP-"&amp;TEXT(COUNTA($C$5:C77),"000"))</f>
        <v/>
      </c>
      <c r="C77" s="12" t="n"/>
      <c r="D77" s="12" t="n"/>
      <c r="E77" s="12" t="n"/>
      <c r="F77" s="12" t="n"/>
      <c r="G77" s="12" t="n"/>
      <c r="H77" s="29" t="n"/>
      <c r="I77" s="29" t="n"/>
      <c r="J77" s="20" t="n"/>
      <c r="K77" s="20" t="n"/>
      <c r="L77" s="12" t="n"/>
    </row>
    <row r="78" ht="22" customHeight="1">
      <c r="B78" s="16">
        <f>IF(C78="","EXP-"&amp;TEXT(COUNTA($C$5:C78),"000"))</f>
        <v/>
      </c>
      <c r="C78" s="14" t="n"/>
      <c r="D78" s="14" t="n"/>
      <c r="E78" s="14" t="n"/>
      <c r="F78" s="14" t="n"/>
      <c r="G78" s="14" t="n"/>
      <c r="H78" s="30" t="n"/>
      <c r="I78" s="30" t="n"/>
      <c r="J78" s="21" t="n"/>
      <c r="K78" s="21" t="n"/>
      <c r="L78" s="14" t="n"/>
    </row>
    <row r="79" ht="22" customHeight="1">
      <c r="B79" s="17">
        <f>IF(C79="","EXP-"&amp;TEXT(COUNTA($C$5:C79),"000"))</f>
        <v/>
      </c>
      <c r="C79" s="12" t="n"/>
      <c r="D79" s="12" t="n"/>
      <c r="E79" s="12" t="n"/>
      <c r="F79" s="12" t="n"/>
      <c r="G79" s="12" t="n"/>
      <c r="H79" s="29" t="n"/>
      <c r="I79" s="29" t="n"/>
      <c r="J79" s="20" t="n"/>
      <c r="K79" s="20" t="n"/>
      <c r="L79" s="12" t="n"/>
    </row>
    <row r="80" ht="22" customHeight="1">
      <c r="B80" s="16">
        <f>IF(C80="","EXP-"&amp;TEXT(COUNTA($C$5:C80),"000"))</f>
        <v/>
      </c>
      <c r="C80" s="14" t="n"/>
      <c r="D80" s="14" t="n"/>
      <c r="E80" s="14" t="n"/>
      <c r="F80" s="14" t="n"/>
      <c r="G80" s="14" t="n"/>
      <c r="H80" s="30" t="n"/>
      <c r="I80" s="30" t="n"/>
      <c r="J80" s="21" t="n"/>
      <c r="K80" s="21" t="n"/>
      <c r="L80" s="14" t="n"/>
    </row>
    <row r="81" ht="22" customHeight="1">
      <c r="B81" s="17">
        <f>IF(C81="","EXP-"&amp;TEXT(COUNTA($C$5:C81),"000"))</f>
        <v/>
      </c>
      <c r="C81" s="12" t="n"/>
      <c r="D81" s="12" t="n"/>
      <c r="E81" s="12" t="n"/>
      <c r="F81" s="12" t="n"/>
      <c r="G81" s="12" t="n"/>
      <c r="H81" s="29" t="n"/>
      <c r="I81" s="29" t="n"/>
      <c r="J81" s="20" t="n"/>
      <c r="K81" s="20" t="n"/>
      <c r="L81" s="12" t="n"/>
    </row>
    <row r="82" ht="22" customHeight="1">
      <c r="B82" s="16">
        <f>IF(C82="","EXP-"&amp;TEXT(COUNTA($C$5:C82),"000"))</f>
        <v/>
      </c>
      <c r="C82" s="14" t="n"/>
      <c r="D82" s="14" t="n"/>
      <c r="E82" s="14" t="n"/>
      <c r="F82" s="14" t="n"/>
      <c r="G82" s="14" t="n"/>
      <c r="H82" s="30" t="n"/>
      <c r="I82" s="30" t="n"/>
      <c r="J82" s="21" t="n"/>
      <c r="K82" s="21" t="n"/>
      <c r="L82" s="14" t="n"/>
    </row>
    <row r="83" ht="22" customHeight="1">
      <c r="B83" s="17">
        <f>IF(C83="","EXP-"&amp;TEXT(COUNTA($C$5:C83),"000"))</f>
        <v/>
      </c>
      <c r="C83" s="12" t="n"/>
      <c r="D83" s="12" t="n"/>
      <c r="E83" s="12" t="n"/>
      <c r="F83" s="12" t="n"/>
      <c r="G83" s="12" t="n"/>
      <c r="H83" s="29" t="n"/>
      <c r="I83" s="29" t="n"/>
      <c r="J83" s="20" t="n"/>
      <c r="K83" s="20" t="n"/>
      <c r="L83" s="12" t="n"/>
    </row>
    <row r="84" ht="22" customHeight="1">
      <c r="B84" s="16">
        <f>IF(C84="","EXP-"&amp;TEXT(COUNTA($C$5:C84),"000"))</f>
        <v/>
      </c>
      <c r="C84" s="14" t="n"/>
      <c r="D84" s="14" t="n"/>
      <c r="E84" s="14" t="n"/>
      <c r="F84" s="14" t="n"/>
      <c r="G84" s="14" t="n"/>
      <c r="H84" s="30" t="n"/>
      <c r="I84" s="30" t="n"/>
      <c r="J84" s="21" t="n"/>
      <c r="K84" s="21" t="n"/>
      <c r="L84" s="14" t="n"/>
    </row>
    <row r="85" ht="22" customHeight="1">
      <c r="B85" s="17">
        <f>IF(C85="","EXP-"&amp;TEXT(COUNTA($C$5:C85),"000"))</f>
        <v/>
      </c>
      <c r="C85" s="12" t="n"/>
      <c r="D85" s="12" t="n"/>
      <c r="E85" s="12" t="n"/>
      <c r="F85" s="12" t="n"/>
      <c r="G85" s="12" t="n"/>
      <c r="H85" s="29" t="n"/>
      <c r="I85" s="29" t="n"/>
      <c r="J85" s="20" t="n"/>
      <c r="K85" s="20" t="n"/>
      <c r="L85" s="12" t="n"/>
    </row>
    <row r="86" ht="22" customHeight="1">
      <c r="B86" s="16">
        <f>IF(C86="","EXP-"&amp;TEXT(COUNTA($C$5:C86),"000"))</f>
        <v/>
      </c>
      <c r="C86" s="14" t="n"/>
      <c r="D86" s="14" t="n"/>
      <c r="E86" s="14" t="n"/>
      <c r="F86" s="14" t="n"/>
      <c r="G86" s="14" t="n"/>
      <c r="H86" s="30" t="n"/>
      <c r="I86" s="30" t="n"/>
      <c r="J86" s="21" t="n"/>
      <c r="K86" s="21" t="n"/>
      <c r="L86" s="14" t="n"/>
    </row>
    <row r="87" ht="22" customHeight="1">
      <c r="B87" s="17">
        <f>IF(C87="","EXP-"&amp;TEXT(COUNTA($C$5:C87),"000"))</f>
        <v/>
      </c>
      <c r="C87" s="12" t="n"/>
      <c r="D87" s="12" t="n"/>
      <c r="E87" s="12" t="n"/>
      <c r="F87" s="12" t="n"/>
      <c r="G87" s="12" t="n"/>
      <c r="H87" s="29" t="n"/>
      <c r="I87" s="29" t="n"/>
      <c r="J87" s="20" t="n"/>
      <c r="K87" s="20" t="n"/>
      <c r="L87" s="12" t="n"/>
    </row>
    <row r="88" ht="22" customHeight="1">
      <c r="B88" s="16">
        <f>IF(C88="","EXP-"&amp;TEXT(COUNTA($C$5:C88),"000"))</f>
        <v/>
      </c>
      <c r="C88" s="14" t="n"/>
      <c r="D88" s="14" t="n"/>
      <c r="E88" s="14" t="n"/>
      <c r="F88" s="14" t="n"/>
      <c r="G88" s="14" t="n"/>
      <c r="H88" s="30" t="n"/>
      <c r="I88" s="30" t="n"/>
      <c r="J88" s="21" t="n"/>
      <c r="K88" s="21" t="n"/>
      <c r="L88" s="14" t="n"/>
    </row>
    <row r="89" ht="22" customHeight="1">
      <c r="B89" s="17">
        <f>IF(C89="","EXP-"&amp;TEXT(COUNTA($C$5:C89),"000"))</f>
        <v/>
      </c>
      <c r="C89" s="12" t="n"/>
      <c r="D89" s="12" t="n"/>
      <c r="E89" s="12" t="n"/>
      <c r="F89" s="12" t="n"/>
      <c r="G89" s="12" t="n"/>
      <c r="H89" s="29" t="n"/>
      <c r="I89" s="29" t="n"/>
      <c r="J89" s="20" t="n"/>
      <c r="K89" s="20" t="n"/>
      <c r="L89" s="12" t="n"/>
    </row>
    <row r="90" ht="22" customHeight="1">
      <c r="B90" s="16">
        <f>IF(C90="","EXP-"&amp;TEXT(COUNTA($C$5:C90),"000"))</f>
        <v/>
      </c>
      <c r="C90" s="14" t="n"/>
      <c r="D90" s="14" t="n"/>
      <c r="E90" s="14" t="n"/>
      <c r="F90" s="14" t="n"/>
      <c r="G90" s="14" t="n"/>
      <c r="H90" s="30" t="n"/>
      <c r="I90" s="30" t="n"/>
      <c r="J90" s="21" t="n"/>
      <c r="K90" s="21" t="n"/>
      <c r="L90" s="14" t="n"/>
    </row>
    <row r="91" ht="22" customHeight="1">
      <c r="B91" s="17">
        <f>IF(C91="","EXP-"&amp;TEXT(COUNTA($C$5:C91),"000"))</f>
        <v/>
      </c>
      <c r="C91" s="12" t="n"/>
      <c r="D91" s="12" t="n"/>
      <c r="E91" s="12" t="n"/>
      <c r="F91" s="12" t="n"/>
      <c r="G91" s="12" t="n"/>
      <c r="H91" s="29" t="n"/>
      <c r="I91" s="29" t="n"/>
      <c r="J91" s="20" t="n"/>
      <c r="K91" s="20" t="n"/>
      <c r="L91" s="12" t="n"/>
    </row>
    <row r="92" ht="22" customHeight="1">
      <c r="B92" s="16">
        <f>IF(C92="","EXP-"&amp;TEXT(COUNTA($C$5:C92),"000"))</f>
        <v/>
      </c>
      <c r="C92" s="14" t="n"/>
      <c r="D92" s="14" t="n"/>
      <c r="E92" s="14" t="n"/>
      <c r="F92" s="14" t="n"/>
      <c r="G92" s="14" t="n"/>
      <c r="H92" s="30" t="n"/>
      <c r="I92" s="30" t="n"/>
      <c r="J92" s="21" t="n"/>
      <c r="K92" s="21" t="n"/>
      <c r="L92" s="14" t="n"/>
    </row>
    <row r="93" ht="22" customHeight="1">
      <c r="B93" s="17">
        <f>IF(C93="","EXP-"&amp;TEXT(COUNTA($C$5:C93),"000"))</f>
        <v/>
      </c>
      <c r="C93" s="12" t="n"/>
      <c r="D93" s="12" t="n"/>
      <c r="E93" s="12" t="n"/>
      <c r="F93" s="12" t="n"/>
      <c r="G93" s="12" t="n"/>
      <c r="H93" s="29" t="n"/>
      <c r="I93" s="29" t="n"/>
      <c r="J93" s="20" t="n"/>
      <c r="K93" s="20" t="n"/>
      <c r="L93" s="12" t="n"/>
    </row>
    <row r="94" ht="22" customHeight="1">
      <c r="B94" s="16">
        <f>IF(C94="","EXP-"&amp;TEXT(COUNTA($C$5:C94),"000"))</f>
        <v/>
      </c>
      <c r="C94" s="14" t="n"/>
      <c r="D94" s="14" t="n"/>
      <c r="E94" s="14" t="n"/>
      <c r="F94" s="14" t="n"/>
      <c r="G94" s="14" t="n"/>
      <c r="H94" s="30" t="n"/>
      <c r="I94" s="30" t="n"/>
      <c r="J94" s="21" t="n"/>
      <c r="K94" s="21" t="n"/>
      <c r="L94" s="14" t="n"/>
    </row>
    <row r="95" ht="22" customHeight="1">
      <c r="B95" s="17">
        <f>IF(C95="","EXP-"&amp;TEXT(COUNTA($C$5:C95),"000"))</f>
        <v/>
      </c>
      <c r="C95" s="12" t="n"/>
      <c r="D95" s="12" t="n"/>
      <c r="E95" s="12" t="n"/>
      <c r="F95" s="12" t="n"/>
      <c r="G95" s="12" t="n"/>
      <c r="H95" s="29" t="n"/>
      <c r="I95" s="29" t="n"/>
      <c r="J95" s="20" t="n"/>
      <c r="K95" s="20" t="n"/>
      <c r="L95" s="12" t="n"/>
    </row>
    <row r="96" ht="22" customHeight="1">
      <c r="B96" s="16">
        <f>IF(C96="","EXP-"&amp;TEXT(COUNTA($C$5:C96),"000"))</f>
        <v/>
      </c>
      <c r="C96" s="14" t="n"/>
      <c r="D96" s="14" t="n"/>
      <c r="E96" s="14" t="n"/>
      <c r="F96" s="14" t="n"/>
      <c r="G96" s="14" t="n"/>
      <c r="H96" s="30" t="n"/>
      <c r="I96" s="30" t="n"/>
      <c r="J96" s="21" t="n"/>
      <c r="K96" s="21" t="n"/>
      <c r="L96" s="14" t="n"/>
    </row>
    <row r="97" ht="22" customHeight="1">
      <c r="B97" s="17">
        <f>IF(C97="","EXP-"&amp;TEXT(COUNTA($C$5:C97),"000"))</f>
        <v/>
      </c>
      <c r="C97" s="12" t="n"/>
      <c r="D97" s="12" t="n"/>
      <c r="E97" s="12" t="n"/>
      <c r="F97" s="12" t="n"/>
      <c r="G97" s="12" t="n"/>
      <c r="H97" s="29" t="n"/>
      <c r="I97" s="29" t="n"/>
      <c r="J97" s="20" t="n"/>
      <c r="K97" s="20" t="n"/>
      <c r="L97" s="12" t="n"/>
    </row>
    <row r="98" ht="22" customHeight="1">
      <c r="B98" s="16">
        <f>IF(C98="","EXP-"&amp;TEXT(COUNTA($C$5:C98),"000"))</f>
        <v/>
      </c>
      <c r="C98" s="14" t="n"/>
      <c r="D98" s="14" t="n"/>
      <c r="E98" s="14" t="n"/>
      <c r="F98" s="14" t="n"/>
      <c r="G98" s="14" t="n"/>
      <c r="H98" s="30" t="n"/>
      <c r="I98" s="30" t="n"/>
      <c r="J98" s="21" t="n"/>
      <c r="K98" s="21" t="n"/>
      <c r="L98" s="14" t="n"/>
    </row>
    <row r="99" ht="22" customHeight="1">
      <c r="B99" s="17">
        <f>IF(C99="","EXP-"&amp;TEXT(COUNTA($C$5:C99),"000"))</f>
        <v/>
      </c>
      <c r="C99" s="12" t="n"/>
      <c r="D99" s="12" t="n"/>
      <c r="E99" s="12" t="n"/>
      <c r="F99" s="12" t="n"/>
      <c r="G99" s="12" t="n"/>
      <c r="H99" s="29" t="n"/>
      <c r="I99" s="29" t="n"/>
      <c r="J99" s="20" t="n"/>
      <c r="K99" s="20" t="n"/>
      <c r="L99" s="12" t="n"/>
    </row>
    <row r="100" ht="22" customHeight="1">
      <c r="B100" s="16">
        <f>IF(C100="","EXP-"&amp;TEXT(COUNTA($C$5:C100),"000"))</f>
        <v/>
      </c>
      <c r="C100" s="14" t="n"/>
      <c r="D100" s="14" t="n"/>
      <c r="E100" s="14" t="n"/>
      <c r="F100" s="14" t="n"/>
      <c r="G100" s="14" t="n"/>
      <c r="H100" s="30" t="n"/>
      <c r="I100" s="30" t="n"/>
      <c r="J100" s="21" t="n"/>
      <c r="K100" s="21" t="n"/>
      <c r="L100" s="14" t="n"/>
    </row>
    <row r="101" ht="22" customHeight="1">
      <c r="B101" s="17">
        <f>IF(C101="","EXP-"&amp;TEXT(COUNTA($C$5:C101),"000"))</f>
        <v/>
      </c>
      <c r="C101" s="12" t="n"/>
      <c r="D101" s="12" t="n"/>
      <c r="E101" s="12" t="n"/>
      <c r="F101" s="12" t="n"/>
      <c r="G101" s="12" t="n"/>
      <c r="H101" s="29" t="n"/>
      <c r="I101" s="29" t="n"/>
      <c r="J101" s="20" t="n"/>
      <c r="K101" s="20" t="n"/>
      <c r="L101" s="12" t="n"/>
    </row>
    <row r="102" ht="22" customHeight="1">
      <c r="B102" s="16">
        <f>IF(C102="","EXP-"&amp;TEXT(COUNTA($C$5:C102),"000"))</f>
        <v/>
      </c>
      <c r="C102" s="14" t="n"/>
      <c r="D102" s="14" t="n"/>
      <c r="E102" s="14" t="n"/>
      <c r="F102" s="14" t="n"/>
      <c r="G102" s="14" t="n"/>
      <c r="H102" s="30" t="n"/>
      <c r="I102" s="30" t="n"/>
      <c r="J102" s="21" t="n"/>
      <c r="K102" s="21" t="n"/>
      <c r="L102" s="14" t="n"/>
    </row>
    <row r="103" ht="22" customHeight="1">
      <c r="B103" s="17">
        <f>IF(C103="","EXP-"&amp;TEXT(COUNTA($C$5:C103),"000"))</f>
        <v/>
      </c>
      <c r="C103" s="12" t="n"/>
      <c r="D103" s="12" t="n"/>
      <c r="E103" s="12" t="n"/>
      <c r="F103" s="12" t="n"/>
      <c r="G103" s="12" t="n"/>
      <c r="H103" s="29" t="n"/>
      <c r="I103" s="29" t="n"/>
      <c r="J103" s="20" t="n"/>
      <c r="K103" s="20" t="n"/>
      <c r="L103" s="12" t="n"/>
    </row>
    <row r="104" ht="22" customHeight="1">
      <c r="B104" s="16">
        <f>IF(C104="","EXP-"&amp;TEXT(COUNTA($C$5:C104),"000"))</f>
        <v/>
      </c>
      <c r="C104" s="14" t="n"/>
      <c r="D104" s="14" t="n"/>
      <c r="E104" s="14" t="n"/>
      <c r="F104" s="14" t="n"/>
      <c r="G104" s="14" t="n"/>
      <c r="H104" s="30" t="n"/>
      <c r="I104" s="30" t="n"/>
      <c r="J104" s="21" t="n"/>
      <c r="K104" s="21" t="n"/>
      <c r="L104" s="14" t="n"/>
    </row>
    <row r="105" ht="22" customHeight="1">
      <c r="B105" s="17">
        <f>IF(C105="","EXP-"&amp;TEXT(COUNTA($C$5:C105),"000"))</f>
        <v/>
      </c>
      <c r="C105" s="12" t="n"/>
      <c r="D105" s="12" t="n"/>
      <c r="E105" s="12" t="n"/>
      <c r="F105" s="12" t="n"/>
      <c r="G105" s="12" t="n"/>
      <c r="H105" s="29" t="n"/>
      <c r="I105" s="29" t="n"/>
      <c r="J105" s="20" t="n"/>
      <c r="K105" s="20" t="n"/>
      <c r="L105" s="12" t="n"/>
    </row>
    <row r="106" ht="22" customHeight="1">
      <c r="B106" s="16">
        <f>IF(C106="","EXP-"&amp;TEXT(COUNTA($C$5:C106),"000"))</f>
        <v/>
      </c>
      <c r="C106" s="14" t="n"/>
      <c r="D106" s="14" t="n"/>
      <c r="E106" s="14" t="n"/>
      <c r="F106" s="14" t="n"/>
      <c r="G106" s="14" t="n"/>
      <c r="H106" s="30" t="n"/>
      <c r="I106" s="30" t="n"/>
      <c r="J106" s="21" t="n"/>
      <c r="K106" s="21" t="n"/>
      <c r="L106" s="14" t="n"/>
    </row>
    <row r="107" ht="22" customHeight="1">
      <c r="B107" s="17">
        <f>IF(C107="","EXP-"&amp;TEXT(COUNTA($C$5:C107),"000"))</f>
        <v/>
      </c>
      <c r="C107" s="12" t="n"/>
      <c r="D107" s="12" t="n"/>
      <c r="E107" s="12" t="n"/>
      <c r="F107" s="12" t="n"/>
      <c r="G107" s="12" t="n"/>
      <c r="H107" s="29" t="n"/>
      <c r="I107" s="29" t="n"/>
      <c r="J107" s="20" t="n"/>
      <c r="K107" s="20" t="n"/>
      <c r="L107" s="12" t="n"/>
    </row>
    <row r="108" ht="22" customHeight="1">
      <c r="B108" s="16">
        <f>IF(C108="","EXP-"&amp;TEXT(COUNTA($C$5:C108),"000"))</f>
        <v/>
      </c>
      <c r="C108" s="14" t="n"/>
      <c r="D108" s="14" t="n"/>
      <c r="E108" s="14" t="n"/>
      <c r="F108" s="14" t="n"/>
      <c r="G108" s="14" t="n"/>
      <c r="H108" s="30" t="n"/>
      <c r="I108" s="30" t="n"/>
      <c r="J108" s="21" t="n"/>
      <c r="K108" s="21" t="n"/>
      <c r="L108" s="14" t="n"/>
    </row>
    <row r="109" ht="22" customHeight="1">
      <c r="B109" s="17">
        <f>IF(C109="","EXP-"&amp;TEXT(COUNTA($C$5:C109),"000"))</f>
        <v/>
      </c>
      <c r="C109" s="12" t="n"/>
      <c r="D109" s="12" t="n"/>
      <c r="E109" s="12" t="n"/>
      <c r="F109" s="12" t="n"/>
      <c r="G109" s="12" t="n"/>
      <c r="H109" s="29" t="n"/>
      <c r="I109" s="29" t="n"/>
      <c r="J109" s="20" t="n"/>
      <c r="K109" s="20" t="n"/>
      <c r="L109" s="12" t="n"/>
    </row>
    <row r="110"/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3" t="n"/>
      <c r="I111" s="23" t="n"/>
      <c r="J111" s="24">
        <f>SUM(J5:J104)</f>
        <v/>
      </c>
      <c r="K111" s="24">
        <f>SUM(K5:K104)</f>
        <v/>
      </c>
      <c r="L111" s="23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Expatries en poste</t>
        </is>
      </c>
      <c r="D114" s="3" t="inlineStr">
        <is>
          <t>Masse salariale (M)</t>
        </is>
      </c>
      <c r="F114" s="3" t="inlineStr">
        <is>
          <t>Total indem. (M)</t>
        </is>
      </c>
    </row>
    <row r="115">
      <c r="B115" s="4">
        <f>COUNTIF(L5:L104,"En poste")</f>
        <v/>
      </c>
      <c r="D115" s="4">
        <f>IFERROR(SUM(J5:J104)/1000000,0)</f>
        <v/>
      </c>
      <c r="F115" s="4">
        <f>IFERROR(SUM(K5:K104)/1000000,0)</f>
        <v/>
      </c>
    </row>
  </sheetData>
  <mergeCells count="3">
    <mergeCell ref="B2:L2"/>
    <mergeCell ref="B113:L113"/>
    <mergeCell ref="B3:L3"/>
  </mergeCells>
  <conditionalFormatting sqref="L5:L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conditionalFormatting sqref="L10:L109">
    <cfRule type="expression" priority="185" dxfId="0">
      <formula>AND($C10="",$C9&lt;&gt;"")</formula>
    </cfRule>
  </conditionalFormatting>
  <dataValidations count="4">
    <dataValidation sqref="E5:E109" showDropDown="0" showInputMessage="0" showErrorMessage="0" allowBlank="1" errorTitle="Erreur" error="Valeur invalide" promptTitle="Liste" prompt="Choisir dans la liste" type="list">
      <formula1>'_Lists'!$T$2:$T$12</formula1>
    </dataValidation>
    <dataValidation sqref="F5:F109" showDropDown="0" showInputMessage="0" showErrorMessage="0" allowBlank="1" errorTitle="Erreur" error="Valeur invalide" promptTitle="Liste" prompt="Choisir dans la liste" type="list">
      <formula1>'_Lists'!$T$2:$T$12</formula1>
    </dataValidation>
    <dataValidation sqref="G5:G109" showDropDown="0" showInputMessage="0" showErrorMessage="0" allowBlank="1" errorTitle="Erreur" error="Valeur invalide" promptTitle="Liste" prompt="Choisir dans la liste" type="list">
      <formula1>'_Lists'!$U$2:$U$5</formula1>
    </dataValidation>
    <dataValidation sqref="L5:L109" showDropDown="0" showInputMessage="0" showErrorMessage="0" allowBlank="1" errorTitle="Erreur" error="Valeur invalide" promptTitle="Liste" prompt="Choisir dans la liste" type="list">
      <formula1>'_Lists'!$V$2:$V$6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6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SUIVI PLANS DE CARRIÈRE — Progression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 Actuel</t>
        </is>
      </c>
      <c r="E4" s="11" t="inlineStr">
        <is>
          <t>Objectif Carriere</t>
        </is>
      </c>
      <c r="F4" s="11" t="inlineStr">
        <is>
          <t>Echeance</t>
        </is>
      </c>
      <c r="G4" s="11" t="inlineStr">
        <is>
          <t>Jours Restants</t>
        </is>
      </c>
      <c r="H4" s="11" t="inlineStr">
        <is>
          <t>Etapes Realisees</t>
        </is>
      </c>
      <c r="I4" s="11" t="inlineStr">
        <is>
          <t>Etapes Totales</t>
        </is>
      </c>
      <c r="J4" s="11" t="inlineStr">
        <is>
          <t>Progression (%)</t>
        </is>
      </c>
      <c r="K4" s="11" t="inlineStr">
        <is>
          <t>Statut</t>
        </is>
      </c>
    </row>
    <row r="5" ht="22" customHeight="1">
      <c r="B5" s="12" t="inlineStr">
        <is>
          <t>SPC-001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Responsable Front Office</t>
        </is>
      </c>
      <c r="F5" s="29" t="n">
        <v>46022</v>
      </c>
      <c r="G5" s="12" t="n"/>
      <c r="H5" s="12" t="n">
        <v>3</v>
      </c>
      <c r="I5" s="12" t="n">
        <v>5</v>
      </c>
      <c r="J5" s="31" t="n"/>
      <c r="K5" s="12" t="inlineStr">
        <is>
          <t>En cours</t>
        </is>
      </c>
    </row>
    <row r="6" ht="22" customHeight="1">
      <c r="B6" s="14" t="inlineStr">
        <is>
          <t>SPC-002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Chef Cuisine</t>
        </is>
      </c>
      <c r="F6" s="30" t="n">
        <v>46203</v>
      </c>
      <c r="G6" s="14" t="n"/>
      <c r="H6" s="14" t="n">
        <v>2</v>
      </c>
      <c r="I6" s="14" t="n">
        <v>4</v>
      </c>
      <c r="J6" s="32" t="n"/>
      <c r="K6" s="14" t="inlineStr">
        <is>
          <t>En cours</t>
        </is>
      </c>
    </row>
    <row r="7" ht="22" customHeight="1">
      <c r="B7" s="12" t="inlineStr">
        <is>
          <t>SPC-003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Chef de service IT</t>
        </is>
      </c>
      <c r="F7" s="29" t="n">
        <v>46112</v>
      </c>
      <c r="G7" s="12" t="n"/>
      <c r="H7" s="12" t="n">
        <v>1</v>
      </c>
      <c r="I7" s="12" t="n">
        <v>4</v>
      </c>
      <c r="J7" s="31" t="n"/>
      <c r="K7" s="12" t="inlineStr">
        <is>
          <t>En elaboration</t>
        </is>
      </c>
    </row>
    <row r="8" ht="22" customHeight="1">
      <c r="B8" s="14" t="inlineStr">
        <is>
          <t>SPC-004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Chef Commercial adjoint</t>
        </is>
      </c>
      <c r="F8" s="30" t="n">
        <v>45930</v>
      </c>
      <c r="G8" s="14" t="n"/>
      <c r="H8" s="14" t="n">
        <v>2</v>
      </c>
      <c r="I8" s="14" t="n">
        <v>3</v>
      </c>
      <c r="J8" s="32" t="n"/>
      <c r="K8" s="14" t="inlineStr">
        <is>
          <t>En cours</t>
        </is>
      </c>
    </row>
    <row r="9" ht="22" customHeight="1">
      <c r="B9" s="17">
        <f>IF(C9="","SPC-"&amp;TEXT(COUNTA($C$5:C9),"000"))</f>
        <v/>
      </c>
      <c r="C9" s="12" t="n"/>
      <c r="D9" s="12" t="n"/>
      <c r="E9" s="12" t="n"/>
      <c r="F9" s="29" t="n"/>
      <c r="G9" s="12">
        <f>IF(F9="","",F9-TODAY())</f>
        <v/>
      </c>
      <c r="H9" s="12" t="n"/>
      <c r="I9" s="12" t="n"/>
      <c r="J9" s="31">
        <f>IF(OR(H9="",I9=""),"",H9/I9)</f>
        <v/>
      </c>
      <c r="K9" s="12" t="n"/>
    </row>
    <row r="10" ht="22" customHeight="1">
      <c r="B10" s="16">
        <f>IF(C10="","SPC-"&amp;TEXT(COUNTA($C$5:C10),"000"))</f>
        <v/>
      </c>
      <c r="C10" s="14" t="n"/>
      <c r="D10" s="14" t="n"/>
      <c r="E10" s="14" t="n"/>
      <c r="F10" s="30" t="n"/>
      <c r="G10" s="14">
        <f>IF(F10="","",F10-TODAY())</f>
        <v/>
      </c>
      <c r="H10" s="14" t="n"/>
      <c r="I10" s="14" t="n"/>
      <c r="J10" s="32">
        <f>IF(OR(H10="",I10=""),"",H10/I10)</f>
        <v/>
      </c>
      <c r="K10" s="14" t="n"/>
    </row>
    <row r="11" ht="22" customHeight="1">
      <c r="B11" s="17">
        <f>IF(C11="","SPC-"&amp;TEXT(COUNTA($C$5:C11),"000"))</f>
        <v/>
      </c>
      <c r="C11" s="12" t="n"/>
      <c r="D11" s="12" t="n"/>
      <c r="E11" s="12" t="n"/>
      <c r="F11" s="29" t="n"/>
      <c r="G11" s="12">
        <f>IF(F11="","",F11-TODAY())</f>
        <v/>
      </c>
      <c r="H11" s="12" t="n"/>
      <c r="I11" s="12" t="n"/>
      <c r="J11" s="31">
        <f>IF(OR(H11="",I11=""),"",H11/I11)</f>
        <v/>
      </c>
      <c r="K11" s="12" t="n"/>
    </row>
    <row r="12" ht="22" customHeight="1">
      <c r="B12" s="16">
        <f>IF(C12="","SPC-"&amp;TEXT(COUNTA($C$5:C12),"000"))</f>
        <v/>
      </c>
      <c r="C12" s="14" t="n"/>
      <c r="D12" s="14" t="n"/>
      <c r="E12" s="14" t="n"/>
      <c r="F12" s="30" t="n"/>
      <c r="G12" s="14">
        <f>IF(F12="","",F12-TODAY())</f>
        <v/>
      </c>
      <c r="H12" s="14" t="n"/>
      <c r="I12" s="14" t="n"/>
      <c r="J12" s="32">
        <f>IF(OR(H12="",I12=""),"",H12/I12)</f>
        <v/>
      </c>
      <c r="K12" s="14" t="n"/>
    </row>
    <row r="13" ht="22" customHeight="1">
      <c r="B13" s="17">
        <f>IF(C13="","SPC-"&amp;TEXT(COUNTA($C$5:C13),"000"))</f>
        <v/>
      </c>
      <c r="C13" s="12" t="n"/>
      <c r="D13" s="12" t="n"/>
      <c r="E13" s="12" t="n"/>
      <c r="F13" s="29" t="n"/>
      <c r="G13" s="12">
        <f>IF(F13="","",F13-TODAY())</f>
        <v/>
      </c>
      <c r="H13" s="12" t="n"/>
      <c r="I13" s="12" t="n"/>
      <c r="J13" s="31">
        <f>IF(OR(H13="",I13=""),"",H13/I13)</f>
        <v/>
      </c>
      <c r="K13" s="12" t="n"/>
    </row>
    <row r="14" ht="22" customHeight="1">
      <c r="B14" s="16">
        <f>IF(C14="","SPC-"&amp;TEXT(COUNTA($C$5:C14),"000"))</f>
        <v/>
      </c>
      <c r="C14" s="14" t="n"/>
      <c r="D14" s="14" t="n"/>
      <c r="E14" s="14" t="n"/>
      <c r="F14" s="30" t="n"/>
      <c r="G14" s="14">
        <f>IF(F14="","",F14-TODAY())</f>
        <v/>
      </c>
      <c r="H14" s="14" t="n"/>
      <c r="I14" s="14" t="n"/>
      <c r="J14" s="32">
        <f>IF(OR(H14="",I14=""),"",H14/I14)</f>
        <v/>
      </c>
      <c r="K14" s="14" t="n"/>
    </row>
    <row r="15" ht="22" customHeight="1">
      <c r="B15" s="17">
        <f>IF(C15="","SPC-"&amp;TEXT(COUNTA($C$5:C15),"000"))</f>
        <v/>
      </c>
      <c r="C15" s="12" t="n"/>
      <c r="D15" s="12" t="n"/>
      <c r="E15" s="12" t="n"/>
      <c r="F15" s="29" t="n"/>
      <c r="G15" s="12">
        <f>IF(F15="","",F15-TODAY())</f>
        <v/>
      </c>
      <c r="H15" s="12" t="n"/>
      <c r="I15" s="12" t="n"/>
      <c r="J15" s="31">
        <f>IF(OR(H15="",I15=""),"",H15/I15)</f>
        <v/>
      </c>
      <c r="K15" s="12" t="n"/>
    </row>
    <row r="16" ht="22" customHeight="1">
      <c r="B16" s="16">
        <f>IF(C16="","SPC-"&amp;TEXT(COUNTA($C$5:C16),"000"))</f>
        <v/>
      </c>
      <c r="C16" s="14" t="n"/>
      <c r="D16" s="14" t="n"/>
      <c r="E16" s="14" t="n"/>
      <c r="F16" s="30" t="n"/>
      <c r="G16" s="14">
        <f>IF(F16="","",F16-TODAY())</f>
        <v/>
      </c>
      <c r="H16" s="14" t="n"/>
      <c r="I16" s="14" t="n"/>
      <c r="J16" s="32">
        <f>IF(OR(H16="",I16=""),"",H16/I16)</f>
        <v/>
      </c>
      <c r="K16" s="14" t="n"/>
    </row>
    <row r="17" ht="22" customHeight="1">
      <c r="B17" s="17">
        <f>IF(C17="","SPC-"&amp;TEXT(COUNTA($C$5:C17),"000"))</f>
        <v/>
      </c>
      <c r="C17" s="12" t="n"/>
      <c r="D17" s="12" t="n"/>
      <c r="E17" s="12" t="n"/>
      <c r="F17" s="29" t="n"/>
      <c r="G17" s="12">
        <f>IF(F17="","",F17-TODAY())</f>
        <v/>
      </c>
      <c r="H17" s="12" t="n"/>
      <c r="I17" s="12" t="n"/>
      <c r="J17" s="31">
        <f>IF(OR(H17="",I17=""),"",H17/I17)</f>
        <v/>
      </c>
      <c r="K17" s="12" t="n"/>
    </row>
    <row r="18" ht="22" customHeight="1">
      <c r="B18" s="16">
        <f>IF(C18="","SPC-"&amp;TEXT(COUNTA($C$5:C18),"000"))</f>
        <v/>
      </c>
      <c r="C18" s="14" t="n"/>
      <c r="D18" s="14" t="n"/>
      <c r="E18" s="14" t="n"/>
      <c r="F18" s="30" t="n"/>
      <c r="G18" s="14">
        <f>IF(F18="","",F18-TODAY())</f>
        <v/>
      </c>
      <c r="H18" s="14" t="n"/>
      <c r="I18" s="14" t="n"/>
      <c r="J18" s="32">
        <f>IF(OR(H18="",I18=""),"",H18/I18)</f>
        <v/>
      </c>
      <c r="K18" s="14" t="n"/>
    </row>
    <row r="19" ht="22" customHeight="1">
      <c r="B19" s="17">
        <f>IF(C19="","SPC-"&amp;TEXT(COUNTA($C$5:C19),"000"))</f>
        <v/>
      </c>
      <c r="C19" s="12" t="n"/>
      <c r="D19" s="12" t="n"/>
      <c r="E19" s="12" t="n"/>
      <c r="F19" s="29" t="n"/>
      <c r="G19" s="12">
        <f>IF(F19="","",F19-TODAY())</f>
        <v/>
      </c>
      <c r="H19" s="12" t="n"/>
      <c r="I19" s="12" t="n"/>
      <c r="J19" s="31">
        <f>IF(OR(H19="",I19=""),"",H19/I19)</f>
        <v/>
      </c>
      <c r="K19" s="12" t="n"/>
    </row>
    <row r="20" ht="22" customHeight="1">
      <c r="B20" s="16">
        <f>IF(C20="","SPC-"&amp;TEXT(COUNTA($C$5:C20),"000"))</f>
        <v/>
      </c>
      <c r="C20" s="14" t="n"/>
      <c r="D20" s="14" t="n"/>
      <c r="E20" s="14" t="n"/>
      <c r="F20" s="30" t="n"/>
      <c r="G20" s="14">
        <f>IF(F20="","",F20-TODAY())</f>
        <v/>
      </c>
      <c r="H20" s="14" t="n"/>
      <c r="I20" s="14" t="n"/>
      <c r="J20" s="32">
        <f>IF(OR(H20="",I20=""),"",H20/I20)</f>
        <v/>
      </c>
      <c r="K20" s="14" t="n"/>
    </row>
    <row r="21" ht="22" customHeight="1">
      <c r="B21" s="17">
        <f>IF(C21="","SPC-"&amp;TEXT(COUNTA($C$5:C21),"000"))</f>
        <v/>
      </c>
      <c r="C21" s="12" t="n"/>
      <c r="D21" s="12" t="n"/>
      <c r="E21" s="12" t="n"/>
      <c r="F21" s="29" t="n"/>
      <c r="G21" s="12">
        <f>IF(F21="","",F21-TODAY())</f>
        <v/>
      </c>
      <c r="H21" s="12" t="n"/>
      <c r="I21" s="12" t="n"/>
      <c r="J21" s="31">
        <f>IF(OR(H21="",I21=""),"",H21/I21)</f>
        <v/>
      </c>
      <c r="K21" s="12" t="n"/>
    </row>
    <row r="22" ht="22" customHeight="1">
      <c r="B22" s="16">
        <f>IF(C22="","SPC-"&amp;TEXT(COUNTA($C$5:C22),"000"))</f>
        <v/>
      </c>
      <c r="C22" s="14" t="n"/>
      <c r="D22" s="14" t="n"/>
      <c r="E22" s="14" t="n"/>
      <c r="F22" s="30" t="n"/>
      <c r="G22" s="14">
        <f>IF(F22="","",F22-TODAY())</f>
        <v/>
      </c>
      <c r="H22" s="14" t="n"/>
      <c r="I22" s="14" t="n"/>
      <c r="J22" s="32">
        <f>IF(OR(H22="",I22=""),"",H22/I22)</f>
        <v/>
      </c>
      <c r="K22" s="14" t="n"/>
    </row>
    <row r="23" ht="22" customHeight="1">
      <c r="B23" s="17">
        <f>IF(C23="","SPC-"&amp;TEXT(COUNTA($C$5:C23),"000"))</f>
        <v/>
      </c>
      <c r="C23" s="12" t="n"/>
      <c r="D23" s="12" t="n"/>
      <c r="E23" s="12" t="n"/>
      <c r="F23" s="29" t="n"/>
      <c r="G23" s="12">
        <f>IF(F23="","",F23-TODAY())</f>
        <v/>
      </c>
      <c r="H23" s="12" t="n"/>
      <c r="I23" s="12" t="n"/>
      <c r="J23" s="31">
        <f>IF(OR(H23="",I23=""),"",H23/I23)</f>
        <v/>
      </c>
      <c r="K23" s="12" t="n"/>
    </row>
    <row r="24" ht="22" customHeight="1">
      <c r="B24" s="16">
        <f>IF(C24="","SPC-"&amp;TEXT(COUNTA($C$5:C24),"000"))</f>
        <v/>
      </c>
      <c r="C24" s="14" t="n"/>
      <c r="D24" s="14" t="n"/>
      <c r="E24" s="14" t="n"/>
      <c r="F24" s="30" t="n"/>
      <c r="G24" s="14">
        <f>IF(F24="","",F24-TODAY())</f>
        <v/>
      </c>
      <c r="H24" s="14" t="n"/>
      <c r="I24" s="14" t="n"/>
      <c r="J24" s="32">
        <f>IF(OR(H24="",I24=""),"",H24/I24)</f>
        <v/>
      </c>
      <c r="K24" s="14" t="n"/>
    </row>
    <row r="25" ht="22" customHeight="1">
      <c r="B25" s="17">
        <f>IF(C25="","SPC-"&amp;TEXT(COUNTA($C$5:C25),"000"))</f>
        <v/>
      </c>
      <c r="C25" s="12" t="n"/>
      <c r="D25" s="12" t="n"/>
      <c r="E25" s="12" t="n"/>
      <c r="F25" s="29" t="n"/>
      <c r="G25" s="12">
        <f>IF(F25="","",F25-TODAY())</f>
        <v/>
      </c>
      <c r="H25" s="12" t="n"/>
      <c r="I25" s="12" t="n"/>
      <c r="J25" s="31">
        <f>IF(OR(H25="",I25=""),"",H25/I25)</f>
        <v/>
      </c>
      <c r="K25" s="12" t="n"/>
    </row>
    <row r="26" ht="22" customHeight="1">
      <c r="B26" s="16">
        <f>IF(C26="","SPC-"&amp;TEXT(COUNTA($C$5:C26),"000"))</f>
        <v/>
      </c>
      <c r="C26" s="14" t="n"/>
      <c r="D26" s="14" t="n"/>
      <c r="E26" s="14" t="n"/>
      <c r="F26" s="30" t="n"/>
      <c r="G26" s="14">
        <f>IF(F26="","",F26-TODAY())</f>
        <v/>
      </c>
      <c r="H26" s="14" t="n"/>
      <c r="I26" s="14" t="n"/>
      <c r="J26" s="32">
        <f>IF(OR(H26="",I26=""),"",H26/I26)</f>
        <v/>
      </c>
      <c r="K26" s="14" t="n"/>
    </row>
    <row r="27" ht="22" customHeight="1">
      <c r="B27" s="17">
        <f>IF(C27="","SPC-"&amp;TEXT(COUNTA($C$5:C27),"000"))</f>
        <v/>
      </c>
      <c r="C27" s="12" t="n"/>
      <c r="D27" s="12" t="n"/>
      <c r="E27" s="12" t="n"/>
      <c r="F27" s="29" t="n"/>
      <c r="G27" s="12">
        <f>IF(F27="","",F27-TODAY())</f>
        <v/>
      </c>
      <c r="H27" s="12" t="n"/>
      <c r="I27" s="12" t="n"/>
      <c r="J27" s="31">
        <f>IF(OR(H27="",I27=""),"",H27/I27)</f>
        <v/>
      </c>
      <c r="K27" s="12" t="n"/>
    </row>
    <row r="28" ht="22" customHeight="1">
      <c r="B28" s="16">
        <f>IF(C28="","SPC-"&amp;TEXT(COUNTA($C$5:C28),"000"))</f>
        <v/>
      </c>
      <c r="C28" s="14" t="n"/>
      <c r="D28" s="14" t="n"/>
      <c r="E28" s="14" t="n"/>
      <c r="F28" s="30" t="n"/>
      <c r="G28" s="14">
        <f>IF(F28="","",F28-TODAY())</f>
        <v/>
      </c>
      <c r="H28" s="14" t="n"/>
      <c r="I28" s="14" t="n"/>
      <c r="J28" s="32">
        <f>IF(OR(H28="",I28=""),"",H28/I28)</f>
        <v/>
      </c>
      <c r="K28" s="14" t="n"/>
    </row>
    <row r="29" ht="22" customHeight="1">
      <c r="B29" s="17">
        <f>IF(C29="","SPC-"&amp;TEXT(COUNTA($C$5:C29),"000"))</f>
        <v/>
      </c>
      <c r="C29" s="12" t="n"/>
      <c r="D29" s="12" t="n"/>
      <c r="E29" s="12" t="n"/>
      <c r="F29" s="29" t="n"/>
      <c r="G29" s="12">
        <f>IF(F29="","",F29-TODAY())</f>
        <v/>
      </c>
      <c r="H29" s="12" t="n"/>
      <c r="I29" s="12" t="n"/>
      <c r="J29" s="31">
        <f>IF(OR(H29="",I29=""),"",H29/I29)</f>
        <v/>
      </c>
      <c r="K29" s="12" t="n"/>
    </row>
    <row r="30" ht="22" customHeight="1">
      <c r="B30" s="16">
        <f>IF(C30="","SPC-"&amp;TEXT(COUNTA($C$5:C30),"000"))</f>
        <v/>
      </c>
      <c r="C30" s="14" t="n"/>
      <c r="D30" s="14" t="n"/>
      <c r="E30" s="14" t="n"/>
      <c r="F30" s="30" t="n"/>
      <c r="G30" s="14">
        <f>IF(F30="","",F30-TODAY())</f>
        <v/>
      </c>
      <c r="H30" s="14" t="n"/>
      <c r="I30" s="14" t="n"/>
      <c r="J30" s="32">
        <f>IF(OR(H30="",I30=""),"",H30/I30)</f>
        <v/>
      </c>
      <c r="K30" s="14" t="n"/>
    </row>
    <row r="31" ht="22" customHeight="1">
      <c r="B31" s="17">
        <f>IF(C31="","SPC-"&amp;TEXT(COUNTA($C$5:C31),"000"))</f>
        <v/>
      </c>
      <c r="C31" s="12" t="n"/>
      <c r="D31" s="12" t="n"/>
      <c r="E31" s="12" t="n"/>
      <c r="F31" s="29" t="n"/>
      <c r="G31" s="12">
        <f>IF(F31="","",F31-TODAY())</f>
        <v/>
      </c>
      <c r="H31" s="12" t="n"/>
      <c r="I31" s="12" t="n"/>
      <c r="J31" s="31">
        <f>IF(OR(H31="",I31=""),"",H31/I31)</f>
        <v/>
      </c>
      <c r="K31" s="12" t="n"/>
    </row>
    <row r="32" ht="22" customHeight="1">
      <c r="B32" s="16">
        <f>IF(C32="","SPC-"&amp;TEXT(COUNTA($C$5:C32),"000"))</f>
        <v/>
      </c>
      <c r="C32" s="14" t="n"/>
      <c r="D32" s="14" t="n"/>
      <c r="E32" s="14" t="n"/>
      <c r="F32" s="30" t="n"/>
      <c r="G32" s="14">
        <f>IF(F32="","",F32-TODAY())</f>
        <v/>
      </c>
      <c r="H32" s="14" t="n"/>
      <c r="I32" s="14" t="n"/>
      <c r="J32" s="32">
        <f>IF(OR(H32="",I32=""),"",H32/I32)</f>
        <v/>
      </c>
      <c r="K32" s="14" t="n"/>
    </row>
    <row r="33" ht="22" customHeight="1">
      <c r="B33" s="17">
        <f>IF(C33="","SPC-"&amp;TEXT(COUNTA($C$5:C33),"000"))</f>
        <v/>
      </c>
      <c r="C33" s="12" t="n"/>
      <c r="D33" s="12" t="n"/>
      <c r="E33" s="12" t="n"/>
      <c r="F33" s="29" t="n"/>
      <c r="G33" s="12">
        <f>IF(F33="","",F33-TODAY())</f>
        <v/>
      </c>
      <c r="H33" s="12" t="n"/>
      <c r="I33" s="12" t="n"/>
      <c r="J33" s="31">
        <f>IF(OR(H33="",I33=""),"",H33/I33)</f>
        <v/>
      </c>
      <c r="K33" s="12" t="n"/>
    </row>
    <row r="34" ht="22" customHeight="1">
      <c r="B34" s="16">
        <f>IF(C34="","SPC-"&amp;TEXT(COUNTA($C$5:C34),"000"))</f>
        <v/>
      </c>
      <c r="C34" s="14" t="n"/>
      <c r="D34" s="14" t="n"/>
      <c r="E34" s="14" t="n"/>
      <c r="F34" s="30" t="n"/>
      <c r="G34" s="14">
        <f>IF(F34="","",F34-TODAY())</f>
        <v/>
      </c>
      <c r="H34" s="14" t="n"/>
      <c r="I34" s="14" t="n"/>
      <c r="J34" s="32">
        <f>IF(OR(H34="",I34=""),"",H34/I34)</f>
        <v/>
      </c>
      <c r="K34" s="14" t="n"/>
    </row>
    <row r="35" ht="22" customHeight="1">
      <c r="B35" s="17">
        <f>IF(C35="","SPC-"&amp;TEXT(COUNTA($C$5:C35),"000"))</f>
        <v/>
      </c>
      <c r="C35" s="12" t="n"/>
      <c r="D35" s="12" t="n"/>
      <c r="E35" s="12" t="n"/>
      <c r="F35" s="29" t="n"/>
      <c r="G35" s="12">
        <f>IF(F35="","",F35-TODAY())</f>
        <v/>
      </c>
      <c r="H35" s="12" t="n"/>
      <c r="I35" s="12" t="n"/>
      <c r="J35" s="31">
        <f>IF(OR(H35="",I35=""),"",H35/I35)</f>
        <v/>
      </c>
      <c r="K35" s="12" t="n"/>
    </row>
    <row r="36" ht="22" customHeight="1">
      <c r="B36" s="16">
        <f>IF(C36="","SPC-"&amp;TEXT(COUNTA($C$5:C36),"000"))</f>
        <v/>
      </c>
      <c r="C36" s="14" t="n"/>
      <c r="D36" s="14" t="n"/>
      <c r="E36" s="14" t="n"/>
      <c r="F36" s="30" t="n"/>
      <c r="G36" s="14">
        <f>IF(F36="","",F36-TODAY())</f>
        <v/>
      </c>
      <c r="H36" s="14" t="n"/>
      <c r="I36" s="14" t="n"/>
      <c r="J36" s="32">
        <f>IF(OR(H36="",I36=""),"",H36/I36)</f>
        <v/>
      </c>
      <c r="K36" s="14" t="n"/>
    </row>
    <row r="37" ht="22" customHeight="1">
      <c r="B37" s="17">
        <f>IF(C37="","SPC-"&amp;TEXT(COUNTA($C$5:C37),"000"))</f>
        <v/>
      </c>
      <c r="C37" s="12" t="n"/>
      <c r="D37" s="12" t="n"/>
      <c r="E37" s="12" t="n"/>
      <c r="F37" s="29" t="n"/>
      <c r="G37" s="12">
        <f>IF(F37="","",F37-TODAY())</f>
        <v/>
      </c>
      <c r="H37" s="12" t="n"/>
      <c r="I37" s="12" t="n"/>
      <c r="J37" s="31">
        <f>IF(OR(H37="",I37=""),"",H37/I37)</f>
        <v/>
      </c>
      <c r="K37" s="12" t="n"/>
    </row>
    <row r="38" ht="22" customHeight="1">
      <c r="B38" s="16">
        <f>IF(C38="","SPC-"&amp;TEXT(COUNTA($C$5:C38),"000"))</f>
        <v/>
      </c>
      <c r="C38" s="14" t="n"/>
      <c r="D38" s="14" t="n"/>
      <c r="E38" s="14" t="n"/>
      <c r="F38" s="30" t="n"/>
      <c r="G38" s="14">
        <f>IF(F38="","",F38-TODAY())</f>
        <v/>
      </c>
      <c r="H38" s="14" t="n"/>
      <c r="I38" s="14" t="n"/>
      <c r="J38" s="32">
        <f>IF(OR(H38="",I38=""),"",H38/I38)</f>
        <v/>
      </c>
      <c r="K38" s="14" t="n"/>
    </row>
    <row r="39" ht="22" customHeight="1">
      <c r="B39" s="17">
        <f>IF(C39="","SPC-"&amp;TEXT(COUNTA($C$5:C39),"000"))</f>
        <v/>
      </c>
      <c r="C39" s="12" t="n"/>
      <c r="D39" s="12" t="n"/>
      <c r="E39" s="12" t="n"/>
      <c r="F39" s="29" t="n"/>
      <c r="G39" s="12">
        <f>IF(F39="","",F39-TODAY())</f>
        <v/>
      </c>
      <c r="H39" s="12" t="n"/>
      <c r="I39" s="12" t="n"/>
      <c r="J39" s="31">
        <f>IF(OR(H39="",I39=""),"",H39/I39)</f>
        <v/>
      </c>
      <c r="K39" s="12" t="n"/>
    </row>
    <row r="40" ht="22" customHeight="1">
      <c r="B40" s="16">
        <f>IF(C40="","SPC-"&amp;TEXT(COUNTA($C$5:C40),"000"))</f>
        <v/>
      </c>
      <c r="C40" s="14" t="n"/>
      <c r="D40" s="14" t="n"/>
      <c r="E40" s="14" t="n"/>
      <c r="F40" s="30" t="n"/>
      <c r="G40" s="14">
        <f>IF(F40="","",F40-TODAY())</f>
        <v/>
      </c>
      <c r="H40" s="14" t="n"/>
      <c r="I40" s="14" t="n"/>
      <c r="J40" s="32">
        <f>IF(OR(H40="",I40=""),"",H40/I40)</f>
        <v/>
      </c>
      <c r="K40" s="14" t="n"/>
    </row>
    <row r="41" ht="22" customHeight="1">
      <c r="B41" s="17">
        <f>IF(C41="","SPC-"&amp;TEXT(COUNTA($C$5:C41),"000"))</f>
        <v/>
      </c>
      <c r="C41" s="12" t="n"/>
      <c r="D41" s="12" t="n"/>
      <c r="E41" s="12" t="n"/>
      <c r="F41" s="29" t="n"/>
      <c r="G41" s="12">
        <f>IF(F41="","",F41-TODAY())</f>
        <v/>
      </c>
      <c r="H41" s="12" t="n"/>
      <c r="I41" s="12" t="n"/>
      <c r="J41" s="31">
        <f>IF(OR(H41="",I41=""),"",H41/I41)</f>
        <v/>
      </c>
      <c r="K41" s="12" t="n"/>
    </row>
    <row r="42" ht="22" customHeight="1">
      <c r="B42" s="16">
        <f>IF(C42="","SPC-"&amp;TEXT(COUNTA($C$5:C42),"000"))</f>
        <v/>
      </c>
      <c r="C42" s="14" t="n"/>
      <c r="D42" s="14" t="n"/>
      <c r="E42" s="14" t="n"/>
      <c r="F42" s="30" t="n"/>
      <c r="G42" s="14">
        <f>IF(F42="","",F42-TODAY())</f>
        <v/>
      </c>
      <c r="H42" s="14" t="n"/>
      <c r="I42" s="14" t="n"/>
      <c r="J42" s="32">
        <f>IF(OR(H42="",I42=""),"",H42/I42)</f>
        <v/>
      </c>
      <c r="K42" s="14" t="n"/>
    </row>
    <row r="43" ht="22" customHeight="1">
      <c r="B43" s="17">
        <f>IF(C43="","SPC-"&amp;TEXT(COUNTA($C$5:C43),"000"))</f>
        <v/>
      </c>
      <c r="C43" s="12" t="n"/>
      <c r="D43" s="12" t="n"/>
      <c r="E43" s="12" t="n"/>
      <c r="F43" s="29" t="n"/>
      <c r="G43" s="12">
        <f>IF(F43="","",F43-TODAY())</f>
        <v/>
      </c>
      <c r="H43" s="12" t="n"/>
      <c r="I43" s="12" t="n"/>
      <c r="J43" s="31">
        <f>IF(OR(H43="",I43=""),"",H43/I43)</f>
        <v/>
      </c>
      <c r="K43" s="12" t="n"/>
    </row>
    <row r="44" ht="22" customHeight="1">
      <c r="B44" s="16">
        <f>IF(C44="","SPC-"&amp;TEXT(COUNTA($C$5:C44),"000"))</f>
        <v/>
      </c>
      <c r="C44" s="14" t="n"/>
      <c r="D44" s="14" t="n"/>
      <c r="E44" s="14" t="n"/>
      <c r="F44" s="30" t="n"/>
      <c r="G44" s="14">
        <f>IF(F44="","",F44-TODAY())</f>
        <v/>
      </c>
      <c r="H44" s="14" t="n"/>
      <c r="I44" s="14" t="n"/>
      <c r="J44" s="32">
        <f>IF(OR(H44="",I44=""),"",H44/I44)</f>
        <v/>
      </c>
      <c r="K44" s="14" t="n"/>
    </row>
    <row r="45" ht="22" customHeight="1">
      <c r="B45" s="17">
        <f>IF(C45="","SPC-"&amp;TEXT(COUNTA($C$5:C45),"000"))</f>
        <v/>
      </c>
      <c r="C45" s="12" t="n"/>
      <c r="D45" s="12" t="n"/>
      <c r="E45" s="12" t="n"/>
      <c r="F45" s="29" t="n"/>
      <c r="G45" s="12">
        <f>IF(F45="","",F45-TODAY())</f>
        <v/>
      </c>
      <c r="H45" s="12" t="n"/>
      <c r="I45" s="12" t="n"/>
      <c r="J45" s="31">
        <f>IF(OR(H45="",I45=""),"",H45/I45)</f>
        <v/>
      </c>
      <c r="K45" s="12" t="n"/>
    </row>
    <row r="46" ht="22" customHeight="1">
      <c r="B46" s="16">
        <f>IF(C46="","SPC-"&amp;TEXT(COUNTA($C$5:C46),"000"))</f>
        <v/>
      </c>
      <c r="C46" s="14" t="n"/>
      <c r="D46" s="14" t="n"/>
      <c r="E46" s="14" t="n"/>
      <c r="F46" s="30" t="n"/>
      <c r="G46" s="14">
        <f>IF(F46="","",F46-TODAY())</f>
        <v/>
      </c>
      <c r="H46" s="14" t="n"/>
      <c r="I46" s="14" t="n"/>
      <c r="J46" s="32">
        <f>IF(OR(H46="",I46=""),"",H46/I46)</f>
        <v/>
      </c>
      <c r="K46" s="14" t="n"/>
    </row>
    <row r="47" ht="22" customHeight="1">
      <c r="B47" s="17">
        <f>IF(C47="","SPC-"&amp;TEXT(COUNTA($C$5:C47),"000"))</f>
        <v/>
      </c>
      <c r="C47" s="12" t="n"/>
      <c r="D47" s="12" t="n"/>
      <c r="E47" s="12" t="n"/>
      <c r="F47" s="29" t="n"/>
      <c r="G47" s="12">
        <f>IF(F47="","",F47-TODAY())</f>
        <v/>
      </c>
      <c r="H47" s="12" t="n"/>
      <c r="I47" s="12" t="n"/>
      <c r="J47" s="31">
        <f>IF(OR(H47="",I47=""),"",H47/I47)</f>
        <v/>
      </c>
      <c r="K47" s="12" t="n"/>
    </row>
    <row r="48" ht="22" customHeight="1">
      <c r="B48" s="16">
        <f>IF(C48="","SPC-"&amp;TEXT(COUNTA($C$5:C48),"000"))</f>
        <v/>
      </c>
      <c r="C48" s="14" t="n"/>
      <c r="D48" s="14" t="n"/>
      <c r="E48" s="14" t="n"/>
      <c r="F48" s="30" t="n"/>
      <c r="G48" s="14">
        <f>IF(F48="","",F48-TODAY())</f>
        <v/>
      </c>
      <c r="H48" s="14" t="n"/>
      <c r="I48" s="14" t="n"/>
      <c r="J48" s="32">
        <f>IF(OR(H48="",I48=""),"",H48/I48)</f>
        <v/>
      </c>
      <c r="K48" s="14" t="n"/>
    </row>
    <row r="49" ht="22" customHeight="1">
      <c r="B49" s="17">
        <f>IF(C49="","SPC-"&amp;TEXT(COUNTA($C$5:C49),"000"))</f>
        <v/>
      </c>
      <c r="C49" s="12" t="n"/>
      <c r="D49" s="12" t="n"/>
      <c r="E49" s="12" t="n"/>
      <c r="F49" s="29" t="n"/>
      <c r="G49" s="12">
        <f>IF(F49="","",F49-TODAY())</f>
        <v/>
      </c>
      <c r="H49" s="12" t="n"/>
      <c r="I49" s="12" t="n"/>
      <c r="J49" s="31">
        <f>IF(OR(H49="",I49=""),"",H49/I49)</f>
        <v/>
      </c>
      <c r="K49" s="12" t="n"/>
    </row>
    <row r="50" ht="22" customHeight="1">
      <c r="B50" s="16">
        <f>IF(C50="","SPC-"&amp;TEXT(COUNTA($C$5:C50),"000"))</f>
        <v/>
      </c>
      <c r="C50" s="14" t="n"/>
      <c r="D50" s="14" t="n"/>
      <c r="E50" s="14" t="n"/>
      <c r="F50" s="30" t="n"/>
      <c r="G50" s="14">
        <f>IF(F50="","",F50-TODAY())</f>
        <v/>
      </c>
      <c r="H50" s="14" t="n"/>
      <c r="I50" s="14" t="n"/>
      <c r="J50" s="32">
        <f>IF(OR(H50="",I50=""),"",H50/I50)</f>
        <v/>
      </c>
      <c r="K50" s="14" t="n"/>
    </row>
    <row r="51" ht="22" customHeight="1">
      <c r="B51" s="17">
        <f>IF(C51="","SPC-"&amp;TEXT(COUNTA($C$5:C51),"000"))</f>
        <v/>
      </c>
      <c r="C51" s="12" t="n"/>
      <c r="D51" s="12" t="n"/>
      <c r="E51" s="12" t="n"/>
      <c r="F51" s="29" t="n"/>
      <c r="G51" s="12">
        <f>IF(F51="","",F51-TODAY())</f>
        <v/>
      </c>
      <c r="H51" s="12" t="n"/>
      <c r="I51" s="12" t="n"/>
      <c r="J51" s="31">
        <f>IF(OR(H51="",I51=""),"",H51/I51)</f>
        <v/>
      </c>
      <c r="K51" s="12" t="n"/>
    </row>
    <row r="52" ht="22" customHeight="1">
      <c r="B52" s="16">
        <f>IF(C52="","SPC-"&amp;TEXT(COUNTA($C$5:C52),"000"))</f>
        <v/>
      </c>
      <c r="C52" s="14" t="n"/>
      <c r="D52" s="14" t="n"/>
      <c r="E52" s="14" t="n"/>
      <c r="F52" s="30" t="n"/>
      <c r="G52" s="14">
        <f>IF(F52="","",F52-TODAY())</f>
        <v/>
      </c>
      <c r="H52" s="14" t="n"/>
      <c r="I52" s="14" t="n"/>
      <c r="J52" s="32">
        <f>IF(OR(H52="",I52=""),"",H52/I52)</f>
        <v/>
      </c>
      <c r="K52" s="14" t="n"/>
    </row>
    <row r="53" ht="22" customHeight="1">
      <c r="B53" s="17">
        <f>IF(C53="","SPC-"&amp;TEXT(COUNTA($C$5:C53),"000"))</f>
        <v/>
      </c>
      <c r="C53" s="12" t="n"/>
      <c r="D53" s="12" t="n"/>
      <c r="E53" s="12" t="n"/>
      <c r="F53" s="29" t="n"/>
      <c r="G53" s="12">
        <f>IF(F53="","",F53-TODAY())</f>
        <v/>
      </c>
      <c r="H53" s="12" t="n"/>
      <c r="I53" s="12" t="n"/>
      <c r="J53" s="31">
        <f>IF(OR(H53="",I53=""),"",H53/I53)</f>
        <v/>
      </c>
      <c r="K53" s="12" t="n"/>
    </row>
    <row r="54" ht="22" customHeight="1">
      <c r="B54" s="16">
        <f>IF(C54="","SPC-"&amp;TEXT(COUNTA($C$5:C54),"000"))</f>
        <v/>
      </c>
      <c r="C54" s="14" t="n"/>
      <c r="D54" s="14" t="n"/>
      <c r="E54" s="14" t="n"/>
      <c r="F54" s="30" t="n"/>
      <c r="G54" s="14">
        <f>IF(F54="","",F54-TODAY())</f>
        <v/>
      </c>
      <c r="H54" s="14" t="n"/>
      <c r="I54" s="14" t="n"/>
      <c r="J54" s="32">
        <f>IF(OR(H54="",I54=""),"",H54/I54)</f>
        <v/>
      </c>
      <c r="K54" s="14" t="n"/>
    </row>
    <row r="55" ht="22" customHeight="1">
      <c r="B55" s="17">
        <f>IF(C55="","SPC-"&amp;TEXT(COUNTA($C$5:C55),"000"))</f>
        <v/>
      </c>
      <c r="C55" s="12" t="n"/>
      <c r="D55" s="12" t="n"/>
      <c r="E55" s="12" t="n"/>
      <c r="F55" s="29" t="n"/>
      <c r="G55" s="12">
        <f>IF(F55="","",F55-TODAY())</f>
        <v/>
      </c>
      <c r="H55" s="12" t="n"/>
      <c r="I55" s="12" t="n"/>
      <c r="J55" s="31">
        <f>IF(OR(H55="",I55=""),"",H55/I55)</f>
        <v/>
      </c>
      <c r="K55" s="12" t="n"/>
    </row>
    <row r="56" ht="22" customHeight="1">
      <c r="B56" s="16">
        <f>IF(C56="","SPC-"&amp;TEXT(COUNTA($C$5:C56),"000"))</f>
        <v/>
      </c>
      <c r="C56" s="14" t="n"/>
      <c r="D56" s="14" t="n"/>
      <c r="E56" s="14" t="n"/>
      <c r="F56" s="30" t="n"/>
      <c r="G56" s="14">
        <f>IF(F56="","",F56-TODAY())</f>
        <v/>
      </c>
      <c r="H56" s="14" t="n"/>
      <c r="I56" s="14" t="n"/>
      <c r="J56" s="32">
        <f>IF(OR(H56="",I56=""),"",H56/I56)</f>
        <v/>
      </c>
      <c r="K56" s="14" t="n"/>
    </row>
    <row r="57" ht="22" customHeight="1">
      <c r="B57" s="17">
        <f>IF(C57="","SPC-"&amp;TEXT(COUNTA($C$5:C57),"000"))</f>
        <v/>
      </c>
      <c r="C57" s="12" t="n"/>
      <c r="D57" s="12" t="n"/>
      <c r="E57" s="12" t="n"/>
      <c r="F57" s="29" t="n"/>
      <c r="G57" s="12">
        <f>IF(F57="","",F57-TODAY())</f>
        <v/>
      </c>
      <c r="H57" s="12" t="n"/>
      <c r="I57" s="12" t="n"/>
      <c r="J57" s="31">
        <f>IF(OR(H57="",I57=""),"",H57/I57)</f>
        <v/>
      </c>
      <c r="K57" s="12" t="n"/>
    </row>
    <row r="58" ht="22" customHeight="1">
      <c r="B58" s="16">
        <f>IF(C58="","SPC-"&amp;TEXT(COUNTA($C$5:C58),"000"))</f>
        <v/>
      </c>
      <c r="C58" s="14" t="n"/>
      <c r="D58" s="14" t="n"/>
      <c r="E58" s="14" t="n"/>
      <c r="F58" s="30" t="n"/>
      <c r="G58" s="14">
        <f>IF(F58="","",F58-TODAY())</f>
        <v/>
      </c>
      <c r="H58" s="14" t="n"/>
      <c r="I58" s="14" t="n"/>
      <c r="J58" s="32">
        <f>IF(OR(H58="",I58=""),"",H58/I58)</f>
        <v/>
      </c>
      <c r="K58" s="14" t="n"/>
    </row>
    <row r="59" ht="22" customHeight="1">
      <c r="B59" s="17">
        <f>IF(C59="","SPC-"&amp;TEXT(COUNTA($C$5:C59),"000"))</f>
        <v/>
      </c>
      <c r="C59" s="12" t="n"/>
      <c r="D59" s="12" t="n"/>
      <c r="E59" s="12" t="n"/>
      <c r="F59" s="29" t="n"/>
      <c r="G59" s="12">
        <f>IF(F59="","",F59-TODAY())</f>
        <v/>
      </c>
      <c r="H59" s="12" t="n"/>
      <c r="I59" s="12" t="n"/>
      <c r="J59" s="31">
        <f>IF(OR(H59="",I59=""),"",H59/I59)</f>
        <v/>
      </c>
      <c r="K59" s="12" t="n"/>
    </row>
    <row r="60" ht="22" customHeight="1">
      <c r="B60" s="16">
        <f>IF(C60="","SPC-"&amp;TEXT(COUNTA($C$5:C60),"000"))</f>
        <v/>
      </c>
      <c r="C60" s="14" t="n"/>
      <c r="D60" s="14" t="n"/>
      <c r="E60" s="14" t="n"/>
      <c r="F60" s="30" t="n"/>
      <c r="G60" s="14">
        <f>IF(F60="","",F60-TODAY())</f>
        <v/>
      </c>
      <c r="H60" s="14" t="n"/>
      <c r="I60" s="14" t="n"/>
      <c r="J60" s="32">
        <f>IF(OR(H60="",I60=""),"",H60/I60)</f>
        <v/>
      </c>
      <c r="K60" s="14" t="n"/>
    </row>
    <row r="61" ht="22" customHeight="1">
      <c r="B61" s="17">
        <f>IF(C61="","SPC-"&amp;TEXT(COUNTA($C$5:C61),"000"))</f>
        <v/>
      </c>
      <c r="C61" s="12" t="n"/>
      <c r="D61" s="12" t="n"/>
      <c r="E61" s="12" t="n"/>
      <c r="F61" s="29" t="n"/>
      <c r="G61" s="12">
        <f>IF(F61="","",F61-TODAY())</f>
        <v/>
      </c>
      <c r="H61" s="12" t="n"/>
      <c r="I61" s="12" t="n"/>
      <c r="J61" s="31">
        <f>IF(OR(H61="",I61=""),"",H61/I61)</f>
        <v/>
      </c>
      <c r="K61" s="12" t="n"/>
    </row>
    <row r="62" ht="22" customHeight="1">
      <c r="B62" s="16">
        <f>IF(C62="","SPC-"&amp;TEXT(COUNTA($C$5:C62),"000"))</f>
        <v/>
      </c>
      <c r="C62" s="14" t="n"/>
      <c r="D62" s="14" t="n"/>
      <c r="E62" s="14" t="n"/>
      <c r="F62" s="30" t="n"/>
      <c r="G62" s="14">
        <f>IF(F62="","",F62-TODAY())</f>
        <v/>
      </c>
      <c r="H62" s="14" t="n"/>
      <c r="I62" s="14" t="n"/>
      <c r="J62" s="32">
        <f>IF(OR(H62="",I62=""),"",H62/I62)</f>
        <v/>
      </c>
      <c r="K62" s="14" t="n"/>
    </row>
    <row r="63" ht="22" customHeight="1">
      <c r="B63" s="17">
        <f>IF(C63="","SPC-"&amp;TEXT(COUNTA($C$5:C63),"000"))</f>
        <v/>
      </c>
      <c r="C63" s="12" t="n"/>
      <c r="D63" s="12" t="n"/>
      <c r="E63" s="12" t="n"/>
      <c r="F63" s="29" t="n"/>
      <c r="G63" s="12">
        <f>IF(F63="","",F63-TODAY())</f>
        <v/>
      </c>
      <c r="H63" s="12" t="n"/>
      <c r="I63" s="12" t="n"/>
      <c r="J63" s="31">
        <f>IF(OR(H63="",I63=""),"",H63/I63)</f>
        <v/>
      </c>
      <c r="K63" s="12" t="n"/>
    </row>
    <row r="64" ht="22" customHeight="1">
      <c r="B64" s="16">
        <f>IF(C64="","SPC-"&amp;TEXT(COUNTA($C$5:C64),"000"))</f>
        <v/>
      </c>
      <c r="C64" s="14" t="n"/>
      <c r="D64" s="14" t="n"/>
      <c r="E64" s="14" t="n"/>
      <c r="F64" s="30" t="n"/>
      <c r="G64" s="14">
        <f>IF(F64="","",F64-TODAY())</f>
        <v/>
      </c>
      <c r="H64" s="14" t="n"/>
      <c r="I64" s="14" t="n"/>
      <c r="J64" s="32">
        <f>IF(OR(H64="",I64=""),"",H64/I64)</f>
        <v/>
      </c>
      <c r="K64" s="14" t="n"/>
    </row>
    <row r="65" ht="22" customHeight="1">
      <c r="B65" s="17">
        <f>IF(C65="","SPC-"&amp;TEXT(COUNTA($C$5:C65),"000"))</f>
        <v/>
      </c>
      <c r="C65" s="12" t="n"/>
      <c r="D65" s="12" t="n"/>
      <c r="E65" s="12" t="n"/>
      <c r="F65" s="29" t="n"/>
      <c r="G65" s="12">
        <f>IF(F65="","",F65-TODAY())</f>
        <v/>
      </c>
      <c r="H65" s="12" t="n"/>
      <c r="I65" s="12" t="n"/>
      <c r="J65" s="31">
        <f>IF(OR(H65="",I65=""),"",H65/I65)</f>
        <v/>
      </c>
      <c r="K65" s="12" t="n"/>
    </row>
    <row r="66" ht="22" customHeight="1">
      <c r="B66" s="16">
        <f>IF(C66="","SPC-"&amp;TEXT(COUNTA($C$5:C66),"000"))</f>
        <v/>
      </c>
      <c r="C66" s="14" t="n"/>
      <c r="D66" s="14" t="n"/>
      <c r="E66" s="14" t="n"/>
      <c r="F66" s="30" t="n"/>
      <c r="G66" s="14">
        <f>IF(F66="","",F66-TODAY())</f>
        <v/>
      </c>
      <c r="H66" s="14" t="n"/>
      <c r="I66" s="14" t="n"/>
      <c r="J66" s="32">
        <f>IF(OR(H66="",I66=""),"",H66/I66)</f>
        <v/>
      </c>
      <c r="K66" s="14" t="n"/>
    </row>
    <row r="67" ht="22" customHeight="1">
      <c r="B67" s="17">
        <f>IF(C67="","SPC-"&amp;TEXT(COUNTA($C$5:C67),"000"))</f>
        <v/>
      </c>
      <c r="C67" s="12" t="n"/>
      <c r="D67" s="12" t="n"/>
      <c r="E67" s="12" t="n"/>
      <c r="F67" s="29" t="n"/>
      <c r="G67" s="12">
        <f>IF(F67="","",F67-TODAY())</f>
        <v/>
      </c>
      <c r="H67" s="12" t="n"/>
      <c r="I67" s="12" t="n"/>
      <c r="J67" s="31">
        <f>IF(OR(H67="",I67=""),"",H67/I67)</f>
        <v/>
      </c>
      <c r="K67" s="12" t="n"/>
    </row>
    <row r="68" ht="22" customHeight="1">
      <c r="B68" s="16">
        <f>IF(C68="","SPC-"&amp;TEXT(COUNTA($C$5:C68),"000"))</f>
        <v/>
      </c>
      <c r="C68" s="14" t="n"/>
      <c r="D68" s="14" t="n"/>
      <c r="E68" s="14" t="n"/>
      <c r="F68" s="30" t="n"/>
      <c r="G68" s="14">
        <f>IF(F68="","",F68-TODAY())</f>
        <v/>
      </c>
      <c r="H68" s="14" t="n"/>
      <c r="I68" s="14" t="n"/>
      <c r="J68" s="32">
        <f>IF(OR(H68="",I68=""),"",H68/I68)</f>
        <v/>
      </c>
      <c r="K68" s="14" t="n"/>
    </row>
    <row r="69" ht="22" customHeight="1">
      <c r="B69" s="17">
        <f>IF(C69="","SPC-"&amp;TEXT(COUNTA($C$5:C69),"000"))</f>
        <v/>
      </c>
      <c r="C69" s="12" t="n"/>
      <c r="D69" s="12" t="n"/>
      <c r="E69" s="12" t="n"/>
      <c r="F69" s="29" t="n"/>
      <c r="G69" s="12">
        <f>IF(F69="","",F69-TODAY())</f>
        <v/>
      </c>
      <c r="H69" s="12" t="n"/>
      <c r="I69" s="12" t="n"/>
      <c r="J69" s="31">
        <f>IF(OR(H69="",I69=""),"",H69/I69)</f>
        <v/>
      </c>
      <c r="K69" s="12" t="n"/>
    </row>
    <row r="70" ht="22" customHeight="1">
      <c r="B70" s="16">
        <f>IF(C70="","SPC-"&amp;TEXT(COUNTA($C$5:C70),"000"))</f>
        <v/>
      </c>
      <c r="C70" s="14" t="n"/>
      <c r="D70" s="14" t="n"/>
      <c r="E70" s="14" t="n"/>
      <c r="F70" s="30" t="n"/>
      <c r="G70" s="14">
        <f>IF(F70="","",F70-TODAY())</f>
        <v/>
      </c>
      <c r="H70" s="14" t="n"/>
      <c r="I70" s="14" t="n"/>
      <c r="J70" s="32">
        <f>IF(OR(H70="",I70=""),"",H70/I70)</f>
        <v/>
      </c>
      <c r="K70" s="14" t="n"/>
    </row>
    <row r="71" ht="22" customHeight="1">
      <c r="B71" s="17">
        <f>IF(C71="","SPC-"&amp;TEXT(COUNTA($C$5:C71),"000"))</f>
        <v/>
      </c>
      <c r="C71" s="12" t="n"/>
      <c r="D71" s="12" t="n"/>
      <c r="E71" s="12" t="n"/>
      <c r="F71" s="29" t="n"/>
      <c r="G71" s="12">
        <f>IF(F71="","",F71-TODAY())</f>
        <v/>
      </c>
      <c r="H71" s="12" t="n"/>
      <c r="I71" s="12" t="n"/>
      <c r="J71" s="31">
        <f>IF(OR(H71="",I71=""),"",H71/I71)</f>
        <v/>
      </c>
      <c r="K71" s="12" t="n"/>
    </row>
    <row r="72" ht="22" customHeight="1">
      <c r="B72" s="16">
        <f>IF(C72="","SPC-"&amp;TEXT(COUNTA($C$5:C72),"000"))</f>
        <v/>
      </c>
      <c r="C72" s="14" t="n"/>
      <c r="D72" s="14" t="n"/>
      <c r="E72" s="14" t="n"/>
      <c r="F72" s="30" t="n"/>
      <c r="G72" s="14">
        <f>IF(F72="","",F72-TODAY())</f>
        <v/>
      </c>
      <c r="H72" s="14" t="n"/>
      <c r="I72" s="14" t="n"/>
      <c r="J72" s="32">
        <f>IF(OR(H72="",I72=""),"",H72/I72)</f>
        <v/>
      </c>
      <c r="K72" s="14" t="n"/>
    </row>
    <row r="73" ht="22" customHeight="1">
      <c r="B73" s="17">
        <f>IF(C73="","SPC-"&amp;TEXT(COUNTA($C$5:C73),"000"))</f>
        <v/>
      </c>
      <c r="C73" s="12" t="n"/>
      <c r="D73" s="12" t="n"/>
      <c r="E73" s="12" t="n"/>
      <c r="F73" s="29" t="n"/>
      <c r="G73" s="12">
        <f>IF(F73="","",F73-TODAY())</f>
        <v/>
      </c>
      <c r="H73" s="12" t="n"/>
      <c r="I73" s="12" t="n"/>
      <c r="J73" s="31">
        <f>IF(OR(H73="",I73=""),"",H73/I73)</f>
        <v/>
      </c>
      <c r="K73" s="12" t="n"/>
    </row>
    <row r="74" ht="22" customHeight="1">
      <c r="B74" s="16">
        <f>IF(C74="","SPC-"&amp;TEXT(COUNTA($C$5:C74),"000"))</f>
        <v/>
      </c>
      <c r="C74" s="14" t="n"/>
      <c r="D74" s="14" t="n"/>
      <c r="E74" s="14" t="n"/>
      <c r="F74" s="30" t="n"/>
      <c r="G74" s="14">
        <f>IF(F74="","",F74-TODAY())</f>
        <v/>
      </c>
      <c r="H74" s="14" t="n"/>
      <c r="I74" s="14" t="n"/>
      <c r="J74" s="32">
        <f>IF(OR(H74="",I74=""),"",H74/I74)</f>
        <v/>
      </c>
      <c r="K74" s="14" t="n"/>
    </row>
    <row r="75" ht="22" customHeight="1">
      <c r="B75" s="17">
        <f>IF(C75="","SPC-"&amp;TEXT(COUNTA($C$5:C75),"000"))</f>
        <v/>
      </c>
      <c r="C75" s="12" t="n"/>
      <c r="D75" s="12" t="n"/>
      <c r="E75" s="12" t="n"/>
      <c r="F75" s="29" t="n"/>
      <c r="G75" s="12">
        <f>IF(F75="","",F75-TODAY())</f>
        <v/>
      </c>
      <c r="H75" s="12" t="n"/>
      <c r="I75" s="12" t="n"/>
      <c r="J75" s="31">
        <f>IF(OR(H75="",I75=""),"",H75/I75)</f>
        <v/>
      </c>
      <c r="K75" s="12" t="n"/>
    </row>
    <row r="76" ht="22" customHeight="1">
      <c r="B76" s="16">
        <f>IF(C76="","SPC-"&amp;TEXT(COUNTA($C$5:C76),"000"))</f>
        <v/>
      </c>
      <c r="C76" s="14" t="n"/>
      <c r="D76" s="14" t="n"/>
      <c r="E76" s="14" t="n"/>
      <c r="F76" s="30" t="n"/>
      <c r="G76" s="14">
        <f>IF(F76="","",F76-TODAY())</f>
        <v/>
      </c>
      <c r="H76" s="14" t="n"/>
      <c r="I76" s="14" t="n"/>
      <c r="J76" s="32">
        <f>IF(OR(H76="",I76=""),"",H76/I76)</f>
        <v/>
      </c>
      <c r="K76" s="14" t="n"/>
    </row>
    <row r="77" ht="22" customHeight="1">
      <c r="B77" s="17">
        <f>IF(C77="","SPC-"&amp;TEXT(COUNTA($C$5:C77),"000"))</f>
        <v/>
      </c>
      <c r="C77" s="12" t="n"/>
      <c r="D77" s="12" t="n"/>
      <c r="E77" s="12" t="n"/>
      <c r="F77" s="29" t="n"/>
      <c r="G77" s="12">
        <f>IF(F77="","",F77-TODAY())</f>
        <v/>
      </c>
      <c r="H77" s="12" t="n"/>
      <c r="I77" s="12" t="n"/>
      <c r="J77" s="31">
        <f>IF(OR(H77="",I77=""),"",H77/I77)</f>
        <v/>
      </c>
      <c r="K77" s="12" t="n"/>
    </row>
    <row r="78" ht="22" customHeight="1">
      <c r="B78" s="16">
        <f>IF(C78="","SPC-"&amp;TEXT(COUNTA($C$5:C78),"000"))</f>
        <v/>
      </c>
      <c r="C78" s="14" t="n"/>
      <c r="D78" s="14" t="n"/>
      <c r="E78" s="14" t="n"/>
      <c r="F78" s="30" t="n"/>
      <c r="G78" s="14">
        <f>IF(F78="","",F78-TODAY())</f>
        <v/>
      </c>
      <c r="H78" s="14" t="n"/>
      <c r="I78" s="14" t="n"/>
      <c r="J78" s="32">
        <f>IF(OR(H78="",I78=""),"",H78/I78)</f>
        <v/>
      </c>
      <c r="K78" s="14" t="n"/>
    </row>
    <row r="79" ht="22" customHeight="1">
      <c r="B79" s="17">
        <f>IF(C79="","SPC-"&amp;TEXT(COUNTA($C$5:C79),"000"))</f>
        <v/>
      </c>
      <c r="C79" s="12" t="n"/>
      <c r="D79" s="12" t="n"/>
      <c r="E79" s="12" t="n"/>
      <c r="F79" s="29" t="n"/>
      <c r="G79" s="12">
        <f>IF(F79="","",F79-TODAY())</f>
        <v/>
      </c>
      <c r="H79" s="12" t="n"/>
      <c r="I79" s="12" t="n"/>
      <c r="J79" s="31">
        <f>IF(OR(H79="",I79=""),"",H79/I79)</f>
        <v/>
      </c>
      <c r="K79" s="12" t="n"/>
    </row>
    <row r="80" ht="22" customHeight="1">
      <c r="B80" s="16">
        <f>IF(C80="","SPC-"&amp;TEXT(COUNTA($C$5:C80),"000"))</f>
        <v/>
      </c>
      <c r="C80" s="14" t="n"/>
      <c r="D80" s="14" t="n"/>
      <c r="E80" s="14" t="n"/>
      <c r="F80" s="30" t="n"/>
      <c r="G80" s="14">
        <f>IF(F80="","",F80-TODAY())</f>
        <v/>
      </c>
      <c r="H80" s="14" t="n"/>
      <c r="I80" s="14" t="n"/>
      <c r="J80" s="32">
        <f>IF(OR(H80="",I80=""),"",H80/I80)</f>
        <v/>
      </c>
      <c r="K80" s="14" t="n"/>
    </row>
    <row r="81" ht="22" customHeight="1">
      <c r="B81" s="17">
        <f>IF(C81="","SPC-"&amp;TEXT(COUNTA($C$5:C81),"000"))</f>
        <v/>
      </c>
      <c r="C81" s="12" t="n"/>
      <c r="D81" s="12" t="n"/>
      <c r="E81" s="12" t="n"/>
      <c r="F81" s="29" t="n"/>
      <c r="G81" s="12">
        <f>IF(F81="","",F81-TODAY())</f>
        <v/>
      </c>
      <c r="H81" s="12" t="n"/>
      <c r="I81" s="12" t="n"/>
      <c r="J81" s="31">
        <f>IF(OR(H81="",I81=""),"",H81/I81)</f>
        <v/>
      </c>
      <c r="K81" s="12" t="n"/>
    </row>
    <row r="82" ht="22" customHeight="1">
      <c r="B82" s="16">
        <f>IF(C82="","SPC-"&amp;TEXT(COUNTA($C$5:C82),"000"))</f>
        <v/>
      </c>
      <c r="C82" s="14" t="n"/>
      <c r="D82" s="14" t="n"/>
      <c r="E82" s="14" t="n"/>
      <c r="F82" s="30" t="n"/>
      <c r="G82" s="14">
        <f>IF(F82="","",F82-TODAY())</f>
        <v/>
      </c>
      <c r="H82" s="14" t="n"/>
      <c r="I82" s="14" t="n"/>
      <c r="J82" s="32">
        <f>IF(OR(H82="",I82=""),"",H82/I82)</f>
        <v/>
      </c>
      <c r="K82" s="14" t="n"/>
    </row>
    <row r="83" ht="22" customHeight="1">
      <c r="B83" s="17">
        <f>IF(C83="","SPC-"&amp;TEXT(COUNTA($C$5:C83),"000"))</f>
        <v/>
      </c>
      <c r="C83" s="12" t="n"/>
      <c r="D83" s="12" t="n"/>
      <c r="E83" s="12" t="n"/>
      <c r="F83" s="29" t="n"/>
      <c r="G83" s="12">
        <f>IF(F83="","",F83-TODAY())</f>
        <v/>
      </c>
      <c r="H83" s="12" t="n"/>
      <c r="I83" s="12" t="n"/>
      <c r="J83" s="31">
        <f>IF(OR(H83="",I83=""),"",H83/I83)</f>
        <v/>
      </c>
      <c r="K83" s="12" t="n"/>
    </row>
    <row r="84" ht="22" customHeight="1">
      <c r="B84" s="16">
        <f>IF(C84="","SPC-"&amp;TEXT(COUNTA($C$5:C84),"000"))</f>
        <v/>
      </c>
      <c r="C84" s="14" t="n"/>
      <c r="D84" s="14" t="n"/>
      <c r="E84" s="14" t="n"/>
      <c r="F84" s="30" t="n"/>
      <c r="G84" s="14">
        <f>IF(F84="","",F84-TODAY())</f>
        <v/>
      </c>
      <c r="H84" s="14" t="n"/>
      <c r="I84" s="14" t="n"/>
      <c r="J84" s="32">
        <f>IF(OR(H84="",I84=""),"",H84/I84)</f>
        <v/>
      </c>
      <c r="K84" s="14" t="n"/>
    </row>
    <row r="85" ht="22" customHeight="1">
      <c r="B85" s="17">
        <f>IF(C85="","SPC-"&amp;TEXT(COUNTA($C$5:C85),"000"))</f>
        <v/>
      </c>
      <c r="C85" s="12" t="n"/>
      <c r="D85" s="12" t="n"/>
      <c r="E85" s="12" t="n"/>
      <c r="F85" s="29" t="n"/>
      <c r="G85" s="12">
        <f>IF(F85="","",F85-TODAY())</f>
        <v/>
      </c>
      <c r="H85" s="12" t="n"/>
      <c r="I85" s="12" t="n"/>
      <c r="J85" s="31">
        <f>IF(OR(H85="",I85=""),"",H85/I85)</f>
        <v/>
      </c>
      <c r="K85" s="12" t="n"/>
    </row>
    <row r="86" ht="22" customHeight="1">
      <c r="B86" s="16">
        <f>IF(C86="","SPC-"&amp;TEXT(COUNTA($C$5:C86),"000"))</f>
        <v/>
      </c>
      <c r="C86" s="14" t="n"/>
      <c r="D86" s="14" t="n"/>
      <c r="E86" s="14" t="n"/>
      <c r="F86" s="30" t="n"/>
      <c r="G86" s="14">
        <f>IF(F86="","",F86-TODAY())</f>
        <v/>
      </c>
      <c r="H86" s="14" t="n"/>
      <c r="I86" s="14" t="n"/>
      <c r="J86" s="32">
        <f>IF(OR(H86="",I86=""),"",H86/I86)</f>
        <v/>
      </c>
      <c r="K86" s="14" t="n"/>
    </row>
    <row r="87" ht="22" customHeight="1">
      <c r="B87" s="17">
        <f>IF(C87="","SPC-"&amp;TEXT(COUNTA($C$5:C87),"000"))</f>
        <v/>
      </c>
      <c r="C87" s="12" t="n"/>
      <c r="D87" s="12" t="n"/>
      <c r="E87" s="12" t="n"/>
      <c r="F87" s="29" t="n"/>
      <c r="G87" s="12">
        <f>IF(F87="","",F87-TODAY())</f>
        <v/>
      </c>
      <c r="H87" s="12" t="n"/>
      <c r="I87" s="12" t="n"/>
      <c r="J87" s="31">
        <f>IF(OR(H87="",I87=""),"",H87/I87)</f>
        <v/>
      </c>
      <c r="K87" s="12" t="n"/>
    </row>
    <row r="88" ht="22" customHeight="1">
      <c r="B88" s="16">
        <f>IF(C88="","SPC-"&amp;TEXT(COUNTA($C$5:C88),"000"))</f>
        <v/>
      </c>
      <c r="C88" s="14" t="n"/>
      <c r="D88" s="14" t="n"/>
      <c r="E88" s="14" t="n"/>
      <c r="F88" s="30" t="n"/>
      <c r="G88" s="14">
        <f>IF(F88="","",F88-TODAY())</f>
        <v/>
      </c>
      <c r="H88" s="14" t="n"/>
      <c r="I88" s="14" t="n"/>
      <c r="J88" s="32">
        <f>IF(OR(H88="",I88=""),"",H88/I88)</f>
        <v/>
      </c>
      <c r="K88" s="14" t="n"/>
    </row>
    <row r="89" ht="22" customHeight="1">
      <c r="B89" s="17">
        <f>IF(C89="","SPC-"&amp;TEXT(COUNTA($C$5:C89),"000"))</f>
        <v/>
      </c>
      <c r="C89" s="12" t="n"/>
      <c r="D89" s="12" t="n"/>
      <c r="E89" s="12" t="n"/>
      <c r="F89" s="29" t="n"/>
      <c r="G89" s="12">
        <f>IF(F89="","",F89-TODAY())</f>
        <v/>
      </c>
      <c r="H89" s="12" t="n"/>
      <c r="I89" s="12" t="n"/>
      <c r="J89" s="31">
        <f>IF(OR(H89="",I89=""),"",H89/I89)</f>
        <v/>
      </c>
      <c r="K89" s="12" t="n"/>
    </row>
    <row r="90" ht="22" customHeight="1">
      <c r="B90" s="16">
        <f>IF(C90="","SPC-"&amp;TEXT(COUNTA($C$5:C90),"000"))</f>
        <v/>
      </c>
      <c r="C90" s="14" t="n"/>
      <c r="D90" s="14" t="n"/>
      <c r="E90" s="14" t="n"/>
      <c r="F90" s="30" t="n"/>
      <c r="G90" s="14">
        <f>IF(F90="","",F90-TODAY())</f>
        <v/>
      </c>
      <c r="H90" s="14" t="n"/>
      <c r="I90" s="14" t="n"/>
      <c r="J90" s="32">
        <f>IF(OR(H90="",I90=""),"",H90/I90)</f>
        <v/>
      </c>
      <c r="K90" s="14" t="n"/>
    </row>
    <row r="91" ht="22" customHeight="1">
      <c r="B91" s="17">
        <f>IF(C91="","SPC-"&amp;TEXT(COUNTA($C$5:C91),"000"))</f>
        <v/>
      </c>
      <c r="C91" s="12" t="n"/>
      <c r="D91" s="12" t="n"/>
      <c r="E91" s="12" t="n"/>
      <c r="F91" s="29" t="n"/>
      <c r="G91" s="12">
        <f>IF(F91="","",F91-TODAY())</f>
        <v/>
      </c>
      <c r="H91" s="12" t="n"/>
      <c r="I91" s="12" t="n"/>
      <c r="J91" s="31">
        <f>IF(OR(H91="",I91=""),"",H91/I91)</f>
        <v/>
      </c>
      <c r="K91" s="12" t="n"/>
    </row>
    <row r="92" ht="22" customHeight="1">
      <c r="B92" s="16">
        <f>IF(C92="","SPC-"&amp;TEXT(COUNTA($C$5:C92),"000"))</f>
        <v/>
      </c>
      <c r="C92" s="14" t="n"/>
      <c r="D92" s="14" t="n"/>
      <c r="E92" s="14" t="n"/>
      <c r="F92" s="30" t="n"/>
      <c r="G92" s="14">
        <f>IF(F92="","",F92-TODAY())</f>
        <v/>
      </c>
      <c r="H92" s="14" t="n"/>
      <c r="I92" s="14" t="n"/>
      <c r="J92" s="32">
        <f>IF(OR(H92="",I92=""),"",H92/I92)</f>
        <v/>
      </c>
      <c r="K92" s="14" t="n"/>
    </row>
    <row r="93" ht="22" customHeight="1">
      <c r="B93" s="17">
        <f>IF(C93="","SPC-"&amp;TEXT(COUNTA($C$5:C93),"000"))</f>
        <v/>
      </c>
      <c r="C93" s="12" t="n"/>
      <c r="D93" s="12" t="n"/>
      <c r="E93" s="12" t="n"/>
      <c r="F93" s="29" t="n"/>
      <c r="G93" s="12">
        <f>IF(F93="","",F93-TODAY())</f>
        <v/>
      </c>
      <c r="H93" s="12" t="n"/>
      <c r="I93" s="12" t="n"/>
      <c r="J93" s="31">
        <f>IF(OR(H93="",I93=""),"",H93/I93)</f>
        <v/>
      </c>
      <c r="K93" s="12" t="n"/>
    </row>
    <row r="94" ht="22" customHeight="1">
      <c r="B94" s="16">
        <f>IF(C94="","SPC-"&amp;TEXT(COUNTA($C$5:C94),"000"))</f>
        <v/>
      </c>
      <c r="C94" s="14" t="n"/>
      <c r="D94" s="14" t="n"/>
      <c r="E94" s="14" t="n"/>
      <c r="F94" s="30" t="n"/>
      <c r="G94" s="14">
        <f>IF(F94="","",F94-TODAY())</f>
        <v/>
      </c>
      <c r="H94" s="14" t="n"/>
      <c r="I94" s="14" t="n"/>
      <c r="J94" s="32">
        <f>IF(OR(H94="",I94=""),"",H94/I94)</f>
        <v/>
      </c>
      <c r="K94" s="14" t="n"/>
    </row>
    <row r="95" ht="22" customHeight="1">
      <c r="B95" s="17">
        <f>IF(C95="","SPC-"&amp;TEXT(COUNTA($C$5:C95),"000"))</f>
        <v/>
      </c>
      <c r="C95" s="12" t="n"/>
      <c r="D95" s="12" t="n"/>
      <c r="E95" s="12" t="n"/>
      <c r="F95" s="29" t="n"/>
      <c r="G95" s="12">
        <f>IF(F95="","",F95-TODAY())</f>
        <v/>
      </c>
      <c r="H95" s="12" t="n"/>
      <c r="I95" s="12" t="n"/>
      <c r="J95" s="31">
        <f>IF(OR(H95="",I95=""),"",H95/I95)</f>
        <v/>
      </c>
      <c r="K95" s="12" t="n"/>
    </row>
    <row r="96" ht="22" customHeight="1">
      <c r="B96" s="16">
        <f>IF(C96="","SPC-"&amp;TEXT(COUNTA($C$5:C96),"000"))</f>
        <v/>
      </c>
      <c r="C96" s="14" t="n"/>
      <c r="D96" s="14" t="n"/>
      <c r="E96" s="14" t="n"/>
      <c r="F96" s="30" t="n"/>
      <c r="G96" s="14">
        <f>IF(F96="","",F96-TODAY())</f>
        <v/>
      </c>
      <c r="H96" s="14" t="n"/>
      <c r="I96" s="14" t="n"/>
      <c r="J96" s="32">
        <f>IF(OR(H96="",I96=""),"",H96/I96)</f>
        <v/>
      </c>
      <c r="K96" s="14" t="n"/>
    </row>
    <row r="97" ht="22" customHeight="1">
      <c r="B97" s="17">
        <f>IF(C97="","SPC-"&amp;TEXT(COUNTA($C$5:C97),"000"))</f>
        <v/>
      </c>
      <c r="C97" s="12" t="n"/>
      <c r="D97" s="12" t="n"/>
      <c r="E97" s="12" t="n"/>
      <c r="F97" s="29" t="n"/>
      <c r="G97" s="12">
        <f>IF(F97="","",F97-TODAY())</f>
        <v/>
      </c>
      <c r="H97" s="12" t="n"/>
      <c r="I97" s="12" t="n"/>
      <c r="J97" s="31">
        <f>IF(OR(H97="",I97=""),"",H97/I97)</f>
        <v/>
      </c>
      <c r="K97" s="12" t="n"/>
    </row>
    <row r="98" ht="22" customHeight="1">
      <c r="B98" s="16">
        <f>IF(C98="","SPC-"&amp;TEXT(COUNTA($C$5:C98),"000"))</f>
        <v/>
      </c>
      <c r="C98" s="14" t="n"/>
      <c r="D98" s="14" t="n"/>
      <c r="E98" s="14" t="n"/>
      <c r="F98" s="30" t="n"/>
      <c r="G98" s="14">
        <f>IF(F98="","",F98-TODAY())</f>
        <v/>
      </c>
      <c r="H98" s="14" t="n"/>
      <c r="I98" s="14" t="n"/>
      <c r="J98" s="32">
        <f>IF(OR(H98="",I98=""),"",H98/I98)</f>
        <v/>
      </c>
      <c r="K98" s="14" t="n"/>
    </row>
    <row r="99" ht="22" customHeight="1">
      <c r="B99" s="17">
        <f>IF(C99="","SPC-"&amp;TEXT(COUNTA($C$5:C99),"000"))</f>
        <v/>
      </c>
      <c r="C99" s="12" t="n"/>
      <c r="D99" s="12" t="n"/>
      <c r="E99" s="12" t="n"/>
      <c r="F99" s="29" t="n"/>
      <c r="G99" s="12">
        <f>IF(F99="","",F99-TODAY())</f>
        <v/>
      </c>
      <c r="H99" s="12" t="n"/>
      <c r="I99" s="12" t="n"/>
      <c r="J99" s="31">
        <f>IF(OR(H99="",I99=""),"",H99/I99)</f>
        <v/>
      </c>
      <c r="K99" s="12" t="n"/>
    </row>
    <row r="100" ht="22" customHeight="1">
      <c r="B100" s="16">
        <f>IF(C100="","SPC-"&amp;TEXT(COUNTA($C$5:C100),"000"))</f>
        <v/>
      </c>
      <c r="C100" s="14" t="n"/>
      <c r="D100" s="14" t="n"/>
      <c r="E100" s="14" t="n"/>
      <c r="F100" s="30" t="n"/>
      <c r="G100" s="14">
        <f>IF(F100="","",F100-TODAY())</f>
        <v/>
      </c>
      <c r="H100" s="14" t="n"/>
      <c r="I100" s="14" t="n"/>
      <c r="J100" s="32">
        <f>IF(OR(H100="",I100=""),"",H100/I100)</f>
        <v/>
      </c>
      <c r="K100" s="14" t="n"/>
    </row>
    <row r="101" ht="22" customHeight="1">
      <c r="B101" s="17">
        <f>IF(C101="","SPC-"&amp;TEXT(COUNTA($C$5:C101),"000"))</f>
        <v/>
      </c>
      <c r="C101" s="12" t="n"/>
      <c r="D101" s="12" t="n"/>
      <c r="E101" s="12" t="n"/>
      <c r="F101" s="29" t="n"/>
      <c r="G101" s="12">
        <f>IF(F101="","",F101-TODAY())</f>
        <v/>
      </c>
      <c r="H101" s="12" t="n"/>
      <c r="I101" s="12" t="n"/>
      <c r="J101" s="31">
        <f>IF(OR(H101="",I101=""),"",H101/I101)</f>
        <v/>
      </c>
      <c r="K101" s="12" t="n"/>
    </row>
    <row r="102" ht="22" customHeight="1">
      <c r="B102" s="16">
        <f>IF(C102="","SPC-"&amp;TEXT(COUNTA($C$5:C102),"000"))</f>
        <v/>
      </c>
      <c r="C102" s="14" t="n"/>
      <c r="D102" s="14" t="n"/>
      <c r="E102" s="14" t="n"/>
      <c r="F102" s="30" t="n"/>
      <c r="G102" s="14">
        <f>IF(F102="","",F102-TODAY())</f>
        <v/>
      </c>
      <c r="H102" s="14" t="n"/>
      <c r="I102" s="14" t="n"/>
      <c r="J102" s="32">
        <f>IF(OR(H102="",I102=""),"",H102/I102)</f>
        <v/>
      </c>
      <c r="K102" s="14" t="n"/>
    </row>
    <row r="103" ht="22" customHeight="1">
      <c r="B103" s="17">
        <f>IF(C103="","SPC-"&amp;TEXT(COUNTA($C$5:C103),"000"))</f>
        <v/>
      </c>
      <c r="C103" s="12" t="n"/>
      <c r="D103" s="12" t="n"/>
      <c r="E103" s="12" t="n"/>
      <c r="F103" s="29" t="n"/>
      <c r="G103" s="12">
        <f>IF(F103="","",F103-TODAY())</f>
        <v/>
      </c>
      <c r="H103" s="12" t="n"/>
      <c r="I103" s="12" t="n"/>
      <c r="J103" s="31">
        <f>IF(OR(H103="",I103=""),"",H103/I103)</f>
        <v/>
      </c>
      <c r="K103" s="12" t="n"/>
    </row>
    <row r="104" ht="22" customHeight="1">
      <c r="B104" s="16">
        <f>IF(C104="","SPC-"&amp;TEXT(COUNTA($C$5:C104),"000"))</f>
        <v/>
      </c>
      <c r="C104" s="14" t="n"/>
      <c r="D104" s="14" t="n"/>
      <c r="E104" s="14" t="n"/>
      <c r="F104" s="30" t="n"/>
      <c r="G104" s="14">
        <f>IF(F104="","",F104-TODAY())</f>
        <v/>
      </c>
      <c r="H104" s="14" t="n"/>
      <c r="I104" s="14" t="n"/>
      <c r="J104" s="32">
        <f>IF(OR(H104="",I104=""),"",H104/I104)</f>
        <v/>
      </c>
      <c r="K104" s="14" t="n"/>
    </row>
    <row r="105" ht="22" customHeight="1">
      <c r="B105" s="17">
        <f>IF(C105="","SPC-"&amp;TEXT(COUNTA($C$5:C105),"000"))</f>
        <v/>
      </c>
      <c r="C105" s="12" t="n"/>
      <c r="D105" s="12" t="n"/>
      <c r="E105" s="12" t="n"/>
      <c r="F105" s="29" t="n"/>
      <c r="G105" s="12">
        <f>IF(F105="","",F105-TODAY())</f>
        <v/>
      </c>
      <c r="H105" s="12" t="n"/>
      <c r="I105" s="12" t="n"/>
      <c r="J105" s="31">
        <f>IF(OR(H105="",I105=""),"",H105/I105)</f>
        <v/>
      </c>
      <c r="K105" s="12" t="n"/>
    </row>
    <row r="106" ht="22" customHeight="1">
      <c r="B106" s="16">
        <f>IF(C106="","SPC-"&amp;TEXT(COUNTA($C$5:C106),"000"))</f>
        <v/>
      </c>
      <c r="C106" s="14" t="n"/>
      <c r="D106" s="14" t="n"/>
      <c r="E106" s="14" t="n"/>
      <c r="F106" s="30" t="n"/>
      <c r="G106" s="14">
        <f>IF(F106="","",F106-TODAY())</f>
        <v/>
      </c>
      <c r="H106" s="14" t="n"/>
      <c r="I106" s="14" t="n"/>
      <c r="J106" s="32">
        <f>IF(OR(H106="",I106=""),"",H106/I106)</f>
        <v/>
      </c>
      <c r="K106" s="14" t="n"/>
    </row>
    <row r="107" ht="22" customHeight="1">
      <c r="B107" s="17">
        <f>IF(C107="","SPC-"&amp;TEXT(COUNTA($C$5:C107),"000"))</f>
        <v/>
      </c>
      <c r="C107" s="12" t="n"/>
      <c r="D107" s="12" t="n"/>
      <c r="E107" s="12" t="n"/>
      <c r="F107" s="29" t="n"/>
      <c r="G107" s="12">
        <f>IF(F107="","",F107-TODAY())</f>
        <v/>
      </c>
      <c r="H107" s="12" t="n"/>
      <c r="I107" s="12" t="n"/>
      <c r="J107" s="31">
        <f>IF(OR(H107="",I107=""),"",H107/I107)</f>
        <v/>
      </c>
      <c r="K107" s="12" t="n"/>
    </row>
    <row r="108" ht="22" customHeight="1">
      <c r="B108" s="16">
        <f>IF(C108="","SPC-"&amp;TEXT(COUNTA($C$5:C108),"000"))</f>
        <v/>
      </c>
      <c r="C108" s="14" t="n"/>
      <c r="D108" s="14" t="n"/>
      <c r="E108" s="14" t="n"/>
      <c r="F108" s="30" t="n"/>
      <c r="G108" s="14">
        <f>IF(F108="","",F108-TODAY())</f>
        <v/>
      </c>
      <c r="H108" s="14" t="n"/>
      <c r="I108" s="14" t="n"/>
      <c r="J108" s="32">
        <f>IF(OR(H108="",I108=""),"",H108/I108)</f>
        <v/>
      </c>
      <c r="K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Plans suivis</t>
        </is>
      </c>
      <c r="D111" s="3" t="inlineStr">
        <is>
          <t>Taux moy. progression</t>
        </is>
      </c>
      <c r="F111" s="3" t="inlineStr">
        <is>
          <t>A echeance &lt; 90j</t>
        </is>
      </c>
    </row>
    <row r="112">
      <c r="B112" s="4">
        <f>COUNTIF(B5:B104,"&lt;&gt;")</f>
        <v/>
      </c>
      <c r="D112" s="4">
        <f>IFERROR(AVERAGE(J5:J104),0)</f>
        <v/>
      </c>
      <c r="F112" s="4">
        <f>COUNTIF(G5:G104,"&lt;"&amp;90)</f>
        <v/>
      </c>
    </row>
  </sheetData>
  <mergeCells count="3">
    <mergeCell ref="B110:K110"/>
    <mergeCell ref="B3:K3"/>
    <mergeCell ref="B2:K2"/>
  </mergeCells>
  <conditionalFormatting sqref="K5:K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9:B108">
    <cfRule type="expression" priority="175" dxfId="0">
      <formula>AND($C9="",$C8&lt;&gt;"")</formula>
    </cfRule>
  </conditionalFormatting>
  <conditionalFormatting sqref="C9:C108">
    <cfRule type="expression" priority="176" dxfId="0">
      <formula>AND($C9="",$C8&lt;&gt;"")</formula>
    </cfRule>
  </conditionalFormatting>
  <conditionalFormatting sqref="D9:D108">
    <cfRule type="expression" priority="177" dxfId="0">
      <formula>AND($C9="",$C8&lt;&gt;"")</formula>
    </cfRule>
  </conditionalFormatting>
  <conditionalFormatting sqref="E9:E108">
    <cfRule type="expression" priority="178" dxfId="0">
      <formula>AND($C9="",$C8&lt;&gt;"")</formula>
    </cfRule>
  </conditionalFormatting>
  <conditionalFormatting sqref="F9:F108">
    <cfRule type="expression" priority="179" dxfId="0">
      <formula>AND($C9="",$C8&lt;&gt;"")</formula>
    </cfRule>
  </conditionalFormatting>
  <conditionalFormatting sqref="G9:G108">
    <cfRule type="expression" priority="180" dxfId="0">
      <formula>AND($C9="",$C8&lt;&gt;"")</formula>
    </cfRule>
  </conditionalFormatting>
  <conditionalFormatting sqref="H9:H108">
    <cfRule type="expression" priority="181" dxfId="0">
      <formula>AND($C9="",$C8&lt;&gt;"")</formula>
    </cfRule>
  </conditionalFormatting>
  <conditionalFormatting sqref="I9:I108">
    <cfRule type="expression" priority="182" dxfId="0">
      <formula>AND($C9="",$C8&lt;&gt;"")</formula>
    </cfRule>
  </conditionalFormatting>
  <conditionalFormatting sqref="J9:J108">
    <cfRule type="expression" priority="183" dxfId="0">
      <formula>AND($C9="",$C8&lt;&gt;"")</formula>
    </cfRule>
  </conditionalFormatting>
  <conditionalFormatting sqref="K9:K108">
    <cfRule type="expression" priority="184" dxfId="0">
      <formula>AND($C9="",$C8&lt;&gt;"")</formula>
    </cfRule>
  </conditionalFormatting>
  <dataValidations count="1">
    <dataValidation sqref="K5:K108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16" customWidth="1" min="5" max="5"/>
    <col width="20" customWidth="1" min="6" max="6"/>
    <col width="14" customWidth="1" min="7" max="7"/>
    <col width="18" customWidth="1" min="8" max="8"/>
    <col width="16" customWidth="1" min="9" max="9"/>
    <col width="18" customWidth="1" min="10" max="10"/>
  </cols>
  <sheetData>
    <row r="1" ht="15" customHeight="1"/>
    <row r="2" ht="32" customHeight="1">
      <c r="B2" s="1" t="inlineStr">
        <is>
          <t>TAUX DE MOBILITÉ INTERNE — Mensuel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Mois</t>
        </is>
      </c>
      <c r="D4" s="11" t="inlineStr">
        <is>
          <t>Annee</t>
        </is>
      </c>
      <c r="E4" s="11" t="inlineStr">
        <is>
          <t>Effectif Total</t>
        </is>
      </c>
      <c r="F4" s="11" t="inlineStr">
        <is>
          <t>Mouvements Internes</t>
        </is>
      </c>
      <c r="G4" s="11" t="inlineStr">
        <is>
          <t>Promotions</t>
        </is>
      </c>
      <c r="H4" s="11" t="inlineStr">
        <is>
          <t>Mutations Laterales</t>
        </is>
      </c>
      <c r="I4" s="11" t="inlineStr">
        <is>
          <t>Rotations Poste</t>
        </is>
      </c>
      <c r="J4" s="11" t="inlineStr">
        <is>
          <t>Taux Mobilite (%)</t>
        </is>
      </c>
    </row>
    <row r="5" ht="22" customHeight="1">
      <c r="B5" s="12" t="inlineStr">
        <is>
          <t>TMI-001</t>
        </is>
      </c>
      <c r="C5" s="12" t="inlineStr">
        <is>
          <t>Janvier</t>
        </is>
      </c>
      <c r="D5" s="12" t="inlineStr">
        <is>
          <t>2025</t>
        </is>
      </c>
      <c r="E5" s="13" t="n">
        <v>85</v>
      </c>
      <c r="F5" s="13" t="n">
        <v>3</v>
      </c>
      <c r="G5" s="13" t="n">
        <v>1</v>
      </c>
      <c r="H5" s="13" t="n">
        <v>1</v>
      </c>
      <c r="I5" s="13" t="n">
        <v>1</v>
      </c>
      <c r="J5" s="31" t="n"/>
    </row>
    <row r="6" ht="22" customHeight="1">
      <c r="B6" s="14" t="inlineStr">
        <is>
          <t>TMI-002</t>
        </is>
      </c>
      <c r="C6" s="14" t="inlineStr">
        <is>
          <t>Fevrier</t>
        </is>
      </c>
      <c r="D6" s="14" t="inlineStr">
        <is>
          <t>2025</t>
        </is>
      </c>
      <c r="E6" s="15" t="n">
        <v>87</v>
      </c>
      <c r="F6" s="15" t="n">
        <v>2</v>
      </c>
      <c r="G6" s="15" t="n">
        <v>0</v>
      </c>
      <c r="H6" s="15" t="n">
        <v>1</v>
      </c>
      <c r="I6" s="15" t="n">
        <v>1</v>
      </c>
      <c r="J6" s="32" t="n"/>
    </row>
    <row r="7" ht="22" customHeight="1">
      <c r="B7" s="12" t="inlineStr">
        <is>
          <t>TMI-003</t>
        </is>
      </c>
      <c r="C7" s="12" t="inlineStr">
        <is>
          <t>Mars</t>
        </is>
      </c>
      <c r="D7" s="12" t="inlineStr">
        <is>
          <t>2025</t>
        </is>
      </c>
      <c r="E7" s="13" t="n">
        <v>88</v>
      </c>
      <c r="F7" s="13" t="n">
        <v>4</v>
      </c>
      <c r="G7" s="13" t="n">
        <v>2</v>
      </c>
      <c r="H7" s="13" t="n">
        <v>1</v>
      </c>
      <c r="I7" s="13" t="n">
        <v>1</v>
      </c>
      <c r="J7" s="31" t="n"/>
    </row>
    <row r="8" ht="22" customHeight="1">
      <c r="B8" s="14" t="inlineStr">
        <is>
          <t>TMI-004</t>
        </is>
      </c>
      <c r="C8" s="14" t="inlineStr">
        <is>
          <t>Avril</t>
        </is>
      </c>
      <c r="D8" s="14" t="inlineStr">
        <is>
          <t>2025</t>
        </is>
      </c>
      <c r="E8" s="15" t="n">
        <v>86</v>
      </c>
      <c r="F8" s="15" t="n">
        <v>3</v>
      </c>
      <c r="G8" s="15" t="n">
        <v>1</v>
      </c>
      <c r="H8" s="15" t="n">
        <v>2</v>
      </c>
      <c r="I8" s="15" t="n">
        <v>0</v>
      </c>
      <c r="J8" s="32" t="n"/>
    </row>
    <row r="9" ht="22" customHeight="1">
      <c r="B9" s="12" t="inlineStr">
        <is>
          <t>TMI-005</t>
        </is>
      </c>
      <c r="C9" s="12" t="inlineStr">
        <is>
          <t>Mai</t>
        </is>
      </c>
      <c r="D9" s="12" t="inlineStr">
        <is>
          <t>2025</t>
        </is>
      </c>
      <c r="E9" s="13" t="n">
        <v>89</v>
      </c>
      <c r="F9" s="13" t="n">
        <v>2</v>
      </c>
      <c r="G9" s="13" t="n">
        <v>1</v>
      </c>
      <c r="H9" s="13" t="n">
        <v>0</v>
      </c>
      <c r="I9" s="13" t="n">
        <v>1</v>
      </c>
      <c r="J9" s="31" t="n"/>
    </row>
    <row r="10" ht="22" customHeight="1">
      <c r="B10" s="16">
        <f>IF(C10="","TMI-"&amp;TEXT(COUNTA($C$5:C10),"000"))</f>
        <v/>
      </c>
      <c r="C10" s="14" t="n"/>
      <c r="D10" s="14" t="n"/>
      <c r="E10" s="15" t="n"/>
      <c r="F10" s="15" t="n"/>
      <c r="G10" s="15" t="n"/>
      <c r="H10" s="15" t="n"/>
      <c r="I10" s="15" t="n"/>
      <c r="J10" s="32">
        <f>IF(OR(E10="",E10=0),"",F10/E10)</f>
        <v/>
      </c>
    </row>
    <row r="11" ht="22" customHeight="1">
      <c r="B11" s="17">
        <f>IF(C11="","TMI-"&amp;TEXT(COUNTA($C$5:C11),"000"))</f>
        <v/>
      </c>
      <c r="C11" s="12" t="n"/>
      <c r="D11" s="12" t="n"/>
      <c r="E11" s="13" t="n"/>
      <c r="F11" s="13" t="n"/>
      <c r="G11" s="13" t="n"/>
      <c r="H11" s="13" t="n"/>
      <c r="I11" s="13" t="n"/>
      <c r="J11" s="31">
        <f>IF(OR(E11="",E11=0),"",F11/E11)</f>
        <v/>
      </c>
    </row>
    <row r="12" ht="22" customHeight="1">
      <c r="B12" s="16">
        <f>IF(C12="","TMI-"&amp;TEXT(COUNTA($C$5:C12),"000"))</f>
        <v/>
      </c>
      <c r="C12" s="14" t="n"/>
      <c r="D12" s="14" t="n"/>
      <c r="E12" s="15" t="n"/>
      <c r="F12" s="15" t="n"/>
      <c r="G12" s="15" t="n"/>
      <c r="H12" s="15" t="n"/>
      <c r="I12" s="15" t="n"/>
      <c r="J12" s="32">
        <f>IF(OR(E12="",E12=0),"",F12/E12)</f>
        <v/>
      </c>
    </row>
    <row r="13" ht="22" customHeight="1">
      <c r="B13" s="17">
        <f>IF(C13="","TMI-"&amp;TEXT(COUNTA($C$5:C13),"000"))</f>
        <v/>
      </c>
      <c r="C13" s="12" t="n"/>
      <c r="D13" s="12" t="n"/>
      <c r="E13" s="13" t="n"/>
      <c r="F13" s="13" t="n"/>
      <c r="G13" s="13" t="n"/>
      <c r="H13" s="13" t="n"/>
      <c r="I13" s="13" t="n"/>
      <c r="J13" s="31">
        <f>IF(OR(E13="",E13=0),"",F13/E13)</f>
        <v/>
      </c>
    </row>
    <row r="14" ht="22" customHeight="1">
      <c r="B14" s="16">
        <f>IF(C14="","TMI-"&amp;TEXT(COUNTA($C$5:C14),"000"))</f>
        <v/>
      </c>
      <c r="C14" s="14" t="n"/>
      <c r="D14" s="14" t="n"/>
      <c r="E14" s="15" t="n"/>
      <c r="F14" s="15" t="n"/>
      <c r="G14" s="15" t="n"/>
      <c r="H14" s="15" t="n"/>
      <c r="I14" s="15" t="n"/>
      <c r="J14" s="32">
        <f>IF(OR(E14="",E14=0),"",F14/E14)</f>
        <v/>
      </c>
    </row>
    <row r="15" ht="22" customHeight="1">
      <c r="B15" s="17">
        <f>IF(C15="","TMI-"&amp;TEXT(COUNTA($C$5:C15),"000"))</f>
        <v/>
      </c>
      <c r="C15" s="12" t="n"/>
      <c r="D15" s="12" t="n"/>
      <c r="E15" s="13" t="n"/>
      <c r="F15" s="13" t="n"/>
      <c r="G15" s="13" t="n"/>
      <c r="H15" s="13" t="n"/>
      <c r="I15" s="13" t="n"/>
      <c r="J15" s="31">
        <f>IF(OR(E15="",E15=0),"",F15/E15)</f>
        <v/>
      </c>
    </row>
    <row r="16" ht="22" customHeight="1">
      <c r="B16" s="16">
        <f>IF(C16="","TMI-"&amp;TEXT(COUNTA($C$5:C16),"000"))</f>
        <v/>
      </c>
      <c r="C16" s="14" t="n"/>
      <c r="D16" s="14" t="n"/>
      <c r="E16" s="15" t="n"/>
      <c r="F16" s="15" t="n"/>
      <c r="G16" s="15" t="n"/>
      <c r="H16" s="15" t="n"/>
      <c r="I16" s="15" t="n"/>
      <c r="J16" s="32">
        <f>IF(OR(E16="",E16=0),"",F16/E16)</f>
        <v/>
      </c>
    </row>
    <row r="17" ht="22" customHeight="1">
      <c r="B17" s="17">
        <f>IF(C17="","TMI-"&amp;TEXT(COUNTA($C$5:C17),"000"))</f>
        <v/>
      </c>
      <c r="C17" s="12" t="n"/>
      <c r="D17" s="12" t="n"/>
      <c r="E17" s="13" t="n"/>
      <c r="F17" s="13" t="n"/>
      <c r="G17" s="13" t="n"/>
      <c r="H17" s="13" t="n"/>
      <c r="I17" s="13" t="n"/>
      <c r="J17" s="31">
        <f>IF(OR(E17="",E17=0),"",F17/E17)</f>
        <v/>
      </c>
    </row>
    <row r="18" ht="22" customHeight="1">
      <c r="B18" s="16">
        <f>IF(C18="","TMI-"&amp;TEXT(COUNTA($C$5:C18),"000"))</f>
        <v/>
      </c>
      <c r="C18" s="14" t="n"/>
      <c r="D18" s="14" t="n"/>
      <c r="E18" s="15" t="n"/>
      <c r="F18" s="15" t="n"/>
      <c r="G18" s="15" t="n"/>
      <c r="H18" s="15" t="n"/>
      <c r="I18" s="15" t="n"/>
      <c r="J18" s="32">
        <f>IF(OR(E18="",E18=0),"",F18/E18)</f>
        <v/>
      </c>
    </row>
    <row r="19" ht="22" customHeight="1">
      <c r="B19" s="17">
        <f>IF(C19="","TMI-"&amp;TEXT(COUNTA($C$5:C19),"000"))</f>
        <v/>
      </c>
      <c r="C19" s="12" t="n"/>
      <c r="D19" s="12" t="n"/>
      <c r="E19" s="13" t="n"/>
      <c r="F19" s="13" t="n"/>
      <c r="G19" s="13" t="n"/>
      <c r="H19" s="13" t="n"/>
      <c r="I19" s="13" t="n"/>
      <c r="J19" s="31">
        <f>IF(OR(E19="",E19=0),"",F19/E19)</f>
        <v/>
      </c>
    </row>
    <row r="20" ht="22" customHeight="1">
      <c r="B20" s="16">
        <f>IF(C20="","TMI-"&amp;TEXT(COUNTA($C$5:C20),"000"))</f>
        <v/>
      </c>
      <c r="C20" s="14" t="n"/>
      <c r="D20" s="14" t="n"/>
      <c r="E20" s="15" t="n"/>
      <c r="F20" s="15" t="n"/>
      <c r="G20" s="15" t="n"/>
      <c r="H20" s="15" t="n"/>
      <c r="I20" s="15" t="n"/>
      <c r="J20" s="32">
        <f>IF(OR(E20="",E20=0),"",F20/E20)</f>
        <v/>
      </c>
    </row>
    <row r="21" ht="22" customHeight="1">
      <c r="B21" s="17">
        <f>IF(C21="","TMI-"&amp;TEXT(COUNTA($C$5:C21),"000"))</f>
        <v/>
      </c>
      <c r="C21" s="12" t="n"/>
      <c r="D21" s="12" t="n"/>
      <c r="E21" s="13" t="n"/>
      <c r="F21" s="13" t="n"/>
      <c r="G21" s="13" t="n"/>
      <c r="H21" s="13" t="n"/>
      <c r="I21" s="13" t="n"/>
      <c r="J21" s="31">
        <f>IF(OR(E21="",E21=0),"",F21/E21)</f>
        <v/>
      </c>
    </row>
    <row r="22" ht="22" customHeight="1">
      <c r="B22" s="16">
        <f>IF(C22="","TMI-"&amp;TEXT(COUNTA($C$5:C22),"000"))</f>
        <v/>
      </c>
      <c r="C22" s="14" t="n"/>
      <c r="D22" s="14" t="n"/>
      <c r="E22" s="15" t="n"/>
      <c r="F22" s="15" t="n"/>
      <c r="G22" s="15" t="n"/>
      <c r="H22" s="15" t="n"/>
      <c r="I22" s="15" t="n"/>
      <c r="J22" s="32">
        <f>IF(OR(E22="",E22=0),"",F22/E22)</f>
        <v/>
      </c>
    </row>
    <row r="23" ht="22" customHeight="1">
      <c r="B23" s="17">
        <f>IF(C23="","TMI-"&amp;TEXT(COUNTA($C$5:C23),"000"))</f>
        <v/>
      </c>
      <c r="C23" s="12" t="n"/>
      <c r="D23" s="12" t="n"/>
      <c r="E23" s="13" t="n"/>
      <c r="F23" s="13" t="n"/>
      <c r="G23" s="13" t="n"/>
      <c r="H23" s="13" t="n"/>
      <c r="I23" s="13" t="n"/>
      <c r="J23" s="31">
        <f>IF(OR(E23="",E23=0),"",F23/E23)</f>
        <v/>
      </c>
    </row>
    <row r="24" ht="22" customHeight="1">
      <c r="B24" s="16">
        <f>IF(C24="","TMI-"&amp;TEXT(COUNTA($C$5:C24),"000"))</f>
        <v/>
      </c>
      <c r="C24" s="14" t="n"/>
      <c r="D24" s="14" t="n"/>
      <c r="E24" s="15" t="n"/>
      <c r="F24" s="15" t="n"/>
      <c r="G24" s="15" t="n"/>
      <c r="H24" s="15" t="n"/>
      <c r="I24" s="15" t="n"/>
      <c r="J24" s="32">
        <f>IF(OR(E24="",E24=0),"",F24/E24)</f>
        <v/>
      </c>
    </row>
    <row r="25" ht="22" customHeight="1">
      <c r="B25" s="17">
        <f>IF(C25="","TMI-"&amp;TEXT(COUNTA($C$5:C25),"000"))</f>
        <v/>
      </c>
      <c r="C25" s="12" t="n"/>
      <c r="D25" s="12" t="n"/>
      <c r="E25" s="13" t="n"/>
      <c r="F25" s="13" t="n"/>
      <c r="G25" s="13" t="n"/>
      <c r="H25" s="13" t="n"/>
      <c r="I25" s="13" t="n"/>
      <c r="J25" s="31">
        <f>IF(OR(E25="",E25=0),"",F25/E25)</f>
        <v/>
      </c>
    </row>
    <row r="26" ht="22" customHeight="1">
      <c r="B26" s="16">
        <f>IF(C26="","TMI-"&amp;TEXT(COUNTA($C$5:C26),"000"))</f>
        <v/>
      </c>
      <c r="C26" s="14" t="n"/>
      <c r="D26" s="14" t="n"/>
      <c r="E26" s="15" t="n"/>
      <c r="F26" s="15" t="n"/>
      <c r="G26" s="15" t="n"/>
      <c r="H26" s="15" t="n"/>
      <c r="I26" s="15" t="n"/>
      <c r="J26" s="32">
        <f>IF(OR(E26="",E26=0),"",F26/E26)</f>
        <v/>
      </c>
    </row>
    <row r="27" ht="22" customHeight="1">
      <c r="B27" s="17">
        <f>IF(C27="","TMI-"&amp;TEXT(COUNTA($C$5:C27),"000"))</f>
        <v/>
      </c>
      <c r="C27" s="12" t="n"/>
      <c r="D27" s="12" t="n"/>
      <c r="E27" s="13" t="n"/>
      <c r="F27" s="13" t="n"/>
      <c r="G27" s="13" t="n"/>
      <c r="H27" s="13" t="n"/>
      <c r="I27" s="13" t="n"/>
      <c r="J27" s="31">
        <f>IF(OR(E27="",E27=0),"",F27/E27)</f>
        <v/>
      </c>
    </row>
    <row r="28" ht="22" customHeight="1">
      <c r="B28" s="16">
        <f>IF(C28="","TMI-"&amp;TEXT(COUNTA($C$5:C28),"000"))</f>
        <v/>
      </c>
      <c r="C28" s="14" t="n"/>
      <c r="D28" s="14" t="n"/>
      <c r="E28" s="15" t="n"/>
      <c r="F28" s="15" t="n"/>
      <c r="G28" s="15" t="n"/>
      <c r="H28" s="15" t="n"/>
      <c r="I28" s="15" t="n"/>
      <c r="J28" s="32">
        <f>IF(OR(E28="",E28=0),"",F28/E28)</f>
        <v/>
      </c>
    </row>
    <row r="29" ht="22" customHeight="1">
      <c r="B29" s="17">
        <f>IF(C29="","TMI-"&amp;TEXT(COUNTA($C$5:C29),"000"))</f>
        <v/>
      </c>
      <c r="C29" s="12" t="n"/>
      <c r="D29" s="12" t="n"/>
      <c r="E29" s="13" t="n"/>
      <c r="F29" s="13" t="n"/>
      <c r="G29" s="13" t="n"/>
      <c r="H29" s="13" t="n"/>
      <c r="I29" s="13" t="n"/>
      <c r="J29" s="31">
        <f>IF(OR(E29="",E29=0),"",F29/E29)</f>
        <v/>
      </c>
    </row>
    <row r="30" ht="22" customHeight="1">
      <c r="B30" s="16">
        <f>IF(C30="","TMI-"&amp;TEXT(COUNTA($C$5:C30),"000"))</f>
        <v/>
      </c>
      <c r="C30" s="14" t="n"/>
      <c r="D30" s="14" t="n"/>
      <c r="E30" s="15" t="n"/>
      <c r="F30" s="15" t="n"/>
      <c r="G30" s="15" t="n"/>
      <c r="H30" s="15" t="n"/>
      <c r="I30" s="15" t="n"/>
      <c r="J30" s="32">
        <f>IF(OR(E30="",E30=0),"",F30/E30)</f>
        <v/>
      </c>
    </row>
    <row r="31" ht="22" customHeight="1">
      <c r="B31" s="17">
        <f>IF(C31="","TMI-"&amp;TEXT(COUNTA($C$5:C31),"000"))</f>
        <v/>
      </c>
      <c r="C31" s="12" t="n"/>
      <c r="D31" s="12" t="n"/>
      <c r="E31" s="13" t="n"/>
      <c r="F31" s="13" t="n"/>
      <c r="G31" s="13" t="n"/>
      <c r="H31" s="13" t="n"/>
      <c r="I31" s="13" t="n"/>
      <c r="J31" s="31">
        <f>IF(OR(E31="",E31=0),"",F31/E31)</f>
        <v/>
      </c>
    </row>
    <row r="32" ht="22" customHeight="1">
      <c r="B32" s="16">
        <f>IF(C32="","TMI-"&amp;TEXT(COUNTA($C$5:C32),"000"))</f>
        <v/>
      </c>
      <c r="C32" s="14" t="n"/>
      <c r="D32" s="14" t="n"/>
      <c r="E32" s="15" t="n"/>
      <c r="F32" s="15" t="n"/>
      <c r="G32" s="15" t="n"/>
      <c r="H32" s="15" t="n"/>
      <c r="I32" s="15" t="n"/>
      <c r="J32" s="32">
        <f>IF(OR(E32="",E32=0),"",F32/E32)</f>
        <v/>
      </c>
    </row>
    <row r="33" ht="22" customHeight="1">
      <c r="B33" s="17">
        <f>IF(C33="","TMI-"&amp;TEXT(COUNTA($C$5:C33),"000"))</f>
        <v/>
      </c>
      <c r="C33" s="12" t="n"/>
      <c r="D33" s="12" t="n"/>
      <c r="E33" s="13" t="n"/>
      <c r="F33" s="13" t="n"/>
      <c r="G33" s="13" t="n"/>
      <c r="H33" s="13" t="n"/>
      <c r="I33" s="13" t="n"/>
      <c r="J33" s="31">
        <f>IF(OR(E33="",E33=0),"",F33/E33)</f>
        <v/>
      </c>
    </row>
    <row r="34" ht="22" customHeight="1">
      <c r="B34" s="16">
        <f>IF(C34="","TMI-"&amp;TEXT(COUNTA($C$5:C34),"000"))</f>
        <v/>
      </c>
      <c r="C34" s="14" t="n"/>
      <c r="D34" s="14" t="n"/>
      <c r="E34" s="15" t="n"/>
      <c r="F34" s="15" t="n"/>
      <c r="G34" s="15" t="n"/>
      <c r="H34" s="15" t="n"/>
      <c r="I34" s="15" t="n"/>
      <c r="J34" s="32">
        <f>IF(OR(E34="",E34=0),"",F34/E34)</f>
        <v/>
      </c>
    </row>
    <row r="35" ht="22" customHeight="1">
      <c r="B35" s="17">
        <f>IF(C35="","TMI-"&amp;TEXT(COUNTA($C$5:C35),"000"))</f>
        <v/>
      </c>
      <c r="C35" s="12" t="n"/>
      <c r="D35" s="12" t="n"/>
      <c r="E35" s="13" t="n"/>
      <c r="F35" s="13" t="n"/>
      <c r="G35" s="13" t="n"/>
      <c r="H35" s="13" t="n"/>
      <c r="I35" s="13" t="n"/>
      <c r="J35" s="31">
        <f>IF(OR(E35="",E35=0),"",F35/E35)</f>
        <v/>
      </c>
    </row>
    <row r="36" ht="22" customHeight="1">
      <c r="B36" s="16">
        <f>IF(C36="","TMI-"&amp;TEXT(COUNTA($C$5:C36),"000"))</f>
        <v/>
      </c>
      <c r="C36" s="14" t="n"/>
      <c r="D36" s="14" t="n"/>
      <c r="E36" s="15" t="n"/>
      <c r="F36" s="15" t="n"/>
      <c r="G36" s="15" t="n"/>
      <c r="H36" s="15" t="n"/>
      <c r="I36" s="15" t="n"/>
      <c r="J36" s="32">
        <f>IF(OR(E36="",E36=0),"",F36/E36)</f>
        <v/>
      </c>
    </row>
    <row r="37" ht="22" customHeight="1">
      <c r="B37" s="17">
        <f>IF(C37="","TMI-"&amp;TEXT(COUNTA($C$5:C37),"000"))</f>
        <v/>
      </c>
      <c r="C37" s="12" t="n"/>
      <c r="D37" s="12" t="n"/>
      <c r="E37" s="13" t="n"/>
      <c r="F37" s="13" t="n"/>
      <c r="G37" s="13" t="n"/>
      <c r="H37" s="13" t="n"/>
      <c r="I37" s="13" t="n"/>
      <c r="J37" s="31">
        <f>IF(OR(E37="",E37=0),"",F37/E37)</f>
        <v/>
      </c>
    </row>
    <row r="38" ht="22" customHeight="1">
      <c r="B38" s="16">
        <f>IF(C38="","TMI-"&amp;TEXT(COUNTA($C$5:C38),"000"))</f>
        <v/>
      </c>
      <c r="C38" s="14" t="n"/>
      <c r="D38" s="14" t="n"/>
      <c r="E38" s="15" t="n"/>
      <c r="F38" s="15" t="n"/>
      <c r="G38" s="15" t="n"/>
      <c r="H38" s="15" t="n"/>
      <c r="I38" s="15" t="n"/>
      <c r="J38" s="32">
        <f>IF(OR(E38="",E38=0),"",F38/E38)</f>
        <v/>
      </c>
    </row>
    <row r="39" ht="22" customHeight="1">
      <c r="B39" s="17">
        <f>IF(C39="","TMI-"&amp;TEXT(COUNTA($C$5:C39),"000"))</f>
        <v/>
      </c>
      <c r="C39" s="12" t="n"/>
      <c r="D39" s="12" t="n"/>
      <c r="E39" s="13" t="n"/>
      <c r="F39" s="13" t="n"/>
      <c r="G39" s="13" t="n"/>
      <c r="H39" s="13" t="n"/>
      <c r="I39" s="13" t="n"/>
      <c r="J39" s="31">
        <f>IF(OR(E39="",E39=0),"",F39/E39)</f>
        <v/>
      </c>
    </row>
    <row r="40" ht="22" customHeight="1">
      <c r="B40" s="16">
        <f>IF(C40="","TMI-"&amp;TEXT(COUNTA($C$5:C40),"000"))</f>
        <v/>
      </c>
      <c r="C40" s="14" t="n"/>
      <c r="D40" s="14" t="n"/>
      <c r="E40" s="15" t="n"/>
      <c r="F40" s="15" t="n"/>
      <c r="G40" s="15" t="n"/>
      <c r="H40" s="15" t="n"/>
      <c r="I40" s="15" t="n"/>
      <c r="J40" s="32">
        <f>IF(OR(E40="",E40=0),"",F40/E40)</f>
        <v/>
      </c>
    </row>
    <row r="41" ht="22" customHeight="1">
      <c r="B41" s="17">
        <f>IF(C41="","TMI-"&amp;TEXT(COUNTA($C$5:C41),"000"))</f>
        <v/>
      </c>
      <c r="C41" s="12" t="n"/>
      <c r="D41" s="12" t="n"/>
      <c r="E41" s="13" t="n"/>
      <c r="F41" s="13" t="n"/>
      <c r="G41" s="13" t="n"/>
      <c r="H41" s="13" t="n"/>
      <c r="I41" s="13" t="n"/>
      <c r="J41" s="31">
        <f>IF(OR(E41="",E41=0),"",F41/E41)</f>
        <v/>
      </c>
    </row>
    <row r="42" ht="22" customHeight="1">
      <c r="B42" s="16">
        <f>IF(C42="","TMI-"&amp;TEXT(COUNTA($C$5:C42),"000"))</f>
        <v/>
      </c>
      <c r="C42" s="14" t="n"/>
      <c r="D42" s="14" t="n"/>
      <c r="E42" s="15" t="n"/>
      <c r="F42" s="15" t="n"/>
      <c r="G42" s="15" t="n"/>
      <c r="H42" s="15" t="n"/>
      <c r="I42" s="15" t="n"/>
      <c r="J42" s="32">
        <f>IF(OR(E42="",E42=0),"",F42/E42)</f>
        <v/>
      </c>
    </row>
    <row r="43" ht="22" customHeight="1">
      <c r="B43" s="17">
        <f>IF(C43="","TMI-"&amp;TEXT(COUNTA($C$5:C43),"000"))</f>
        <v/>
      </c>
      <c r="C43" s="12" t="n"/>
      <c r="D43" s="12" t="n"/>
      <c r="E43" s="13" t="n"/>
      <c r="F43" s="13" t="n"/>
      <c r="G43" s="13" t="n"/>
      <c r="H43" s="13" t="n"/>
      <c r="I43" s="13" t="n"/>
      <c r="J43" s="31">
        <f>IF(OR(E43="",E43=0),"",F43/E43)</f>
        <v/>
      </c>
    </row>
    <row r="44" ht="22" customHeight="1">
      <c r="B44" s="16">
        <f>IF(C44="","TMI-"&amp;TEXT(COUNTA($C$5:C44),"000"))</f>
        <v/>
      </c>
      <c r="C44" s="14" t="n"/>
      <c r="D44" s="14" t="n"/>
      <c r="E44" s="15" t="n"/>
      <c r="F44" s="15" t="n"/>
      <c r="G44" s="15" t="n"/>
      <c r="H44" s="15" t="n"/>
      <c r="I44" s="15" t="n"/>
      <c r="J44" s="32">
        <f>IF(OR(E44="",E44=0),"",F44/E44)</f>
        <v/>
      </c>
    </row>
    <row r="45" ht="22" customHeight="1">
      <c r="B45" s="17">
        <f>IF(C45="","TMI-"&amp;TEXT(COUNTA($C$5:C45),"000"))</f>
        <v/>
      </c>
      <c r="C45" s="12" t="n"/>
      <c r="D45" s="12" t="n"/>
      <c r="E45" s="13" t="n"/>
      <c r="F45" s="13" t="n"/>
      <c r="G45" s="13" t="n"/>
      <c r="H45" s="13" t="n"/>
      <c r="I45" s="13" t="n"/>
      <c r="J45" s="31">
        <f>IF(OR(E45="",E45=0),"",F45/E45)</f>
        <v/>
      </c>
    </row>
    <row r="46" ht="22" customHeight="1">
      <c r="B46" s="16">
        <f>IF(C46="","TMI-"&amp;TEXT(COUNTA($C$5:C46),"000"))</f>
        <v/>
      </c>
      <c r="C46" s="14" t="n"/>
      <c r="D46" s="14" t="n"/>
      <c r="E46" s="15" t="n"/>
      <c r="F46" s="15" t="n"/>
      <c r="G46" s="15" t="n"/>
      <c r="H46" s="15" t="n"/>
      <c r="I46" s="15" t="n"/>
      <c r="J46" s="32">
        <f>IF(OR(E46="",E46=0),"",F46/E46)</f>
        <v/>
      </c>
    </row>
    <row r="47" ht="22" customHeight="1">
      <c r="B47" s="17">
        <f>IF(C47="","TMI-"&amp;TEXT(COUNTA($C$5:C47),"000"))</f>
        <v/>
      </c>
      <c r="C47" s="12" t="n"/>
      <c r="D47" s="12" t="n"/>
      <c r="E47" s="13" t="n"/>
      <c r="F47" s="13" t="n"/>
      <c r="G47" s="13" t="n"/>
      <c r="H47" s="13" t="n"/>
      <c r="I47" s="13" t="n"/>
      <c r="J47" s="31">
        <f>IF(OR(E47="",E47=0),"",F47/E47)</f>
        <v/>
      </c>
    </row>
    <row r="48" ht="22" customHeight="1">
      <c r="B48" s="16">
        <f>IF(C48="","TMI-"&amp;TEXT(COUNTA($C$5:C48),"000"))</f>
        <v/>
      </c>
      <c r="C48" s="14" t="n"/>
      <c r="D48" s="14" t="n"/>
      <c r="E48" s="15" t="n"/>
      <c r="F48" s="15" t="n"/>
      <c r="G48" s="15" t="n"/>
      <c r="H48" s="15" t="n"/>
      <c r="I48" s="15" t="n"/>
      <c r="J48" s="32">
        <f>IF(OR(E48="",E48=0),"",F48/E48)</f>
        <v/>
      </c>
    </row>
    <row r="49" ht="22" customHeight="1">
      <c r="B49" s="17">
        <f>IF(C49="","TMI-"&amp;TEXT(COUNTA($C$5:C49),"000"))</f>
        <v/>
      </c>
      <c r="C49" s="12" t="n"/>
      <c r="D49" s="12" t="n"/>
      <c r="E49" s="13" t="n"/>
      <c r="F49" s="13" t="n"/>
      <c r="G49" s="13" t="n"/>
      <c r="H49" s="13" t="n"/>
      <c r="I49" s="13" t="n"/>
      <c r="J49" s="31">
        <f>IF(OR(E49="",E49=0),"",F49/E49)</f>
        <v/>
      </c>
    </row>
    <row r="50" ht="22" customHeight="1">
      <c r="B50" s="16">
        <f>IF(C50="","TMI-"&amp;TEXT(COUNTA($C$5:C50),"000"))</f>
        <v/>
      </c>
      <c r="C50" s="14" t="n"/>
      <c r="D50" s="14" t="n"/>
      <c r="E50" s="15" t="n"/>
      <c r="F50" s="15" t="n"/>
      <c r="G50" s="15" t="n"/>
      <c r="H50" s="15" t="n"/>
      <c r="I50" s="15" t="n"/>
      <c r="J50" s="32">
        <f>IF(OR(E50="",E50=0),"",F50/E50)</f>
        <v/>
      </c>
    </row>
    <row r="51" ht="22" customHeight="1">
      <c r="B51" s="17">
        <f>IF(C51="","TMI-"&amp;TEXT(COUNTA($C$5:C51),"000"))</f>
        <v/>
      </c>
      <c r="C51" s="12" t="n"/>
      <c r="D51" s="12" t="n"/>
      <c r="E51" s="13" t="n"/>
      <c r="F51" s="13" t="n"/>
      <c r="G51" s="13" t="n"/>
      <c r="H51" s="13" t="n"/>
      <c r="I51" s="13" t="n"/>
      <c r="J51" s="31">
        <f>IF(OR(E51="",E51=0),"",F51/E51)</f>
        <v/>
      </c>
    </row>
    <row r="52" ht="22" customHeight="1">
      <c r="B52" s="16">
        <f>IF(C52="","TMI-"&amp;TEXT(COUNTA($C$5:C52),"000"))</f>
        <v/>
      </c>
      <c r="C52" s="14" t="n"/>
      <c r="D52" s="14" t="n"/>
      <c r="E52" s="15" t="n"/>
      <c r="F52" s="15" t="n"/>
      <c r="G52" s="15" t="n"/>
      <c r="H52" s="15" t="n"/>
      <c r="I52" s="15" t="n"/>
      <c r="J52" s="32">
        <f>IF(OR(E52="",E52=0),"",F52/E52)</f>
        <v/>
      </c>
    </row>
    <row r="53" ht="22" customHeight="1">
      <c r="B53" s="17">
        <f>IF(C53="","TMI-"&amp;TEXT(COUNTA($C$5:C53),"000"))</f>
        <v/>
      </c>
      <c r="C53" s="12" t="n"/>
      <c r="D53" s="12" t="n"/>
      <c r="E53" s="13" t="n"/>
      <c r="F53" s="13" t="n"/>
      <c r="G53" s="13" t="n"/>
      <c r="H53" s="13" t="n"/>
      <c r="I53" s="13" t="n"/>
      <c r="J53" s="31">
        <f>IF(OR(E53="",E53=0),"",F53/E53)</f>
        <v/>
      </c>
    </row>
    <row r="54" ht="22" customHeight="1">
      <c r="B54" s="16">
        <f>IF(C54="","TMI-"&amp;TEXT(COUNTA($C$5:C54),"000"))</f>
        <v/>
      </c>
      <c r="C54" s="14" t="n"/>
      <c r="D54" s="14" t="n"/>
      <c r="E54" s="15" t="n"/>
      <c r="F54" s="15" t="n"/>
      <c r="G54" s="15" t="n"/>
      <c r="H54" s="15" t="n"/>
      <c r="I54" s="15" t="n"/>
      <c r="J54" s="32">
        <f>IF(OR(E54="",E54=0),"",F54/E54)</f>
        <v/>
      </c>
    </row>
    <row r="55" ht="22" customHeight="1">
      <c r="B55" s="17">
        <f>IF(C55="","TMI-"&amp;TEXT(COUNTA($C$5:C55),"000"))</f>
        <v/>
      </c>
      <c r="C55" s="12" t="n"/>
      <c r="D55" s="12" t="n"/>
      <c r="E55" s="13" t="n"/>
      <c r="F55" s="13" t="n"/>
      <c r="G55" s="13" t="n"/>
      <c r="H55" s="13" t="n"/>
      <c r="I55" s="13" t="n"/>
      <c r="J55" s="31">
        <f>IF(OR(E55="",E55=0),"",F55/E55)</f>
        <v/>
      </c>
    </row>
    <row r="56" ht="22" customHeight="1">
      <c r="B56" s="16">
        <f>IF(C56="","TMI-"&amp;TEXT(COUNTA($C$5:C56),"000"))</f>
        <v/>
      </c>
      <c r="C56" s="14" t="n"/>
      <c r="D56" s="14" t="n"/>
      <c r="E56" s="15" t="n"/>
      <c r="F56" s="15" t="n"/>
      <c r="G56" s="15" t="n"/>
      <c r="H56" s="15" t="n"/>
      <c r="I56" s="15" t="n"/>
      <c r="J56" s="32">
        <f>IF(OR(E56="",E56=0),"",F56/E56)</f>
        <v/>
      </c>
    </row>
    <row r="57" ht="22" customHeight="1">
      <c r="B57" s="17">
        <f>IF(C57="","TMI-"&amp;TEXT(COUNTA($C$5:C57),"000"))</f>
        <v/>
      </c>
      <c r="C57" s="12" t="n"/>
      <c r="D57" s="12" t="n"/>
      <c r="E57" s="13" t="n"/>
      <c r="F57" s="13" t="n"/>
      <c r="G57" s="13" t="n"/>
      <c r="H57" s="13" t="n"/>
      <c r="I57" s="13" t="n"/>
      <c r="J57" s="31">
        <f>IF(OR(E57="",E57=0),"",F57/E57)</f>
        <v/>
      </c>
    </row>
    <row r="58" ht="22" customHeight="1">
      <c r="B58" s="16">
        <f>IF(C58="","TMI-"&amp;TEXT(COUNTA($C$5:C58),"000"))</f>
        <v/>
      </c>
      <c r="C58" s="14" t="n"/>
      <c r="D58" s="14" t="n"/>
      <c r="E58" s="15" t="n"/>
      <c r="F58" s="15" t="n"/>
      <c r="G58" s="15" t="n"/>
      <c r="H58" s="15" t="n"/>
      <c r="I58" s="15" t="n"/>
      <c r="J58" s="32">
        <f>IF(OR(E58="",E58=0),"",F58/E58)</f>
        <v/>
      </c>
    </row>
    <row r="59" ht="22" customHeight="1">
      <c r="B59" s="17">
        <f>IF(C59="","TMI-"&amp;TEXT(COUNTA($C$5:C59),"000"))</f>
        <v/>
      </c>
      <c r="C59" s="12" t="n"/>
      <c r="D59" s="12" t="n"/>
      <c r="E59" s="13" t="n"/>
      <c r="F59" s="13" t="n"/>
      <c r="G59" s="13" t="n"/>
      <c r="H59" s="13" t="n"/>
      <c r="I59" s="13" t="n"/>
      <c r="J59" s="31">
        <f>IF(OR(E59="",E59=0),"",F59/E59)</f>
        <v/>
      </c>
    </row>
    <row r="60" ht="22" customHeight="1">
      <c r="B60" s="16">
        <f>IF(C60="","TMI-"&amp;TEXT(COUNTA($C$5:C60),"000"))</f>
        <v/>
      </c>
      <c r="C60" s="14" t="n"/>
      <c r="D60" s="14" t="n"/>
      <c r="E60" s="15" t="n"/>
      <c r="F60" s="15" t="n"/>
      <c r="G60" s="15" t="n"/>
      <c r="H60" s="15" t="n"/>
      <c r="I60" s="15" t="n"/>
      <c r="J60" s="32">
        <f>IF(OR(E60="",E60=0),"",F60/E60)</f>
        <v/>
      </c>
    </row>
    <row r="61" ht="22" customHeight="1">
      <c r="B61" s="17">
        <f>IF(C61="","TMI-"&amp;TEXT(COUNTA($C$5:C61),"000"))</f>
        <v/>
      </c>
      <c r="C61" s="12" t="n"/>
      <c r="D61" s="12" t="n"/>
      <c r="E61" s="13" t="n"/>
      <c r="F61" s="13" t="n"/>
      <c r="G61" s="13" t="n"/>
      <c r="H61" s="13" t="n"/>
      <c r="I61" s="13" t="n"/>
      <c r="J61" s="31">
        <f>IF(OR(E61="",E61=0),"",F61/E61)</f>
        <v/>
      </c>
    </row>
    <row r="62" ht="22" customHeight="1">
      <c r="B62" s="16">
        <f>IF(C62="","TMI-"&amp;TEXT(COUNTA($C$5:C62),"000"))</f>
        <v/>
      </c>
      <c r="C62" s="14" t="n"/>
      <c r="D62" s="14" t="n"/>
      <c r="E62" s="15" t="n"/>
      <c r="F62" s="15" t="n"/>
      <c r="G62" s="15" t="n"/>
      <c r="H62" s="15" t="n"/>
      <c r="I62" s="15" t="n"/>
      <c r="J62" s="32">
        <f>IF(OR(E62="",E62=0),"",F62/E62)</f>
        <v/>
      </c>
    </row>
    <row r="63" ht="22" customHeight="1">
      <c r="B63" s="17">
        <f>IF(C63="","TMI-"&amp;TEXT(COUNTA($C$5:C63),"000"))</f>
        <v/>
      </c>
      <c r="C63" s="12" t="n"/>
      <c r="D63" s="12" t="n"/>
      <c r="E63" s="13" t="n"/>
      <c r="F63" s="13" t="n"/>
      <c r="G63" s="13" t="n"/>
      <c r="H63" s="13" t="n"/>
      <c r="I63" s="13" t="n"/>
      <c r="J63" s="31">
        <f>IF(OR(E63="",E63=0),"",F63/E63)</f>
        <v/>
      </c>
    </row>
    <row r="64" ht="22" customHeight="1">
      <c r="B64" s="16">
        <f>IF(C64="","TMI-"&amp;TEXT(COUNTA($C$5:C64),"000"))</f>
        <v/>
      </c>
      <c r="C64" s="14" t="n"/>
      <c r="D64" s="14" t="n"/>
      <c r="E64" s="15" t="n"/>
      <c r="F64" s="15" t="n"/>
      <c r="G64" s="15" t="n"/>
      <c r="H64" s="15" t="n"/>
      <c r="I64" s="15" t="n"/>
      <c r="J64" s="32">
        <f>IF(OR(E64="",E64=0),"",F64/E64)</f>
        <v/>
      </c>
    </row>
    <row r="65" ht="22" customHeight="1">
      <c r="B65" s="17">
        <f>IF(C65="","TMI-"&amp;TEXT(COUNTA($C$5:C65),"000"))</f>
        <v/>
      </c>
      <c r="C65" s="12" t="n"/>
      <c r="D65" s="12" t="n"/>
      <c r="E65" s="13" t="n"/>
      <c r="F65" s="13" t="n"/>
      <c r="G65" s="13" t="n"/>
      <c r="H65" s="13" t="n"/>
      <c r="I65" s="13" t="n"/>
      <c r="J65" s="31">
        <f>IF(OR(E65="",E65=0),"",F65/E65)</f>
        <v/>
      </c>
    </row>
    <row r="66" ht="22" customHeight="1">
      <c r="B66" s="16">
        <f>IF(C66="","TMI-"&amp;TEXT(COUNTA($C$5:C66),"000"))</f>
        <v/>
      </c>
      <c r="C66" s="14" t="n"/>
      <c r="D66" s="14" t="n"/>
      <c r="E66" s="15" t="n"/>
      <c r="F66" s="15" t="n"/>
      <c r="G66" s="15" t="n"/>
      <c r="H66" s="15" t="n"/>
      <c r="I66" s="15" t="n"/>
      <c r="J66" s="32">
        <f>IF(OR(E66="",E66=0),"",F66/E66)</f>
        <v/>
      </c>
    </row>
    <row r="67" ht="22" customHeight="1">
      <c r="B67" s="17">
        <f>IF(C67="","TMI-"&amp;TEXT(COUNTA($C$5:C67),"000"))</f>
        <v/>
      </c>
      <c r="C67" s="12" t="n"/>
      <c r="D67" s="12" t="n"/>
      <c r="E67" s="13" t="n"/>
      <c r="F67" s="13" t="n"/>
      <c r="G67" s="13" t="n"/>
      <c r="H67" s="13" t="n"/>
      <c r="I67" s="13" t="n"/>
      <c r="J67" s="31">
        <f>IF(OR(E67="",E67=0),"",F67/E67)</f>
        <v/>
      </c>
    </row>
    <row r="68" ht="22" customHeight="1">
      <c r="B68" s="16">
        <f>IF(C68="","TMI-"&amp;TEXT(COUNTA($C$5:C68),"000"))</f>
        <v/>
      </c>
      <c r="C68" s="14" t="n"/>
      <c r="D68" s="14" t="n"/>
      <c r="E68" s="15" t="n"/>
      <c r="F68" s="15" t="n"/>
      <c r="G68" s="15" t="n"/>
      <c r="H68" s="15" t="n"/>
      <c r="I68" s="15" t="n"/>
      <c r="J68" s="32">
        <f>IF(OR(E68="",E68=0),"",F68/E68)</f>
        <v/>
      </c>
    </row>
    <row r="69" ht="22" customHeight="1">
      <c r="B69" s="17">
        <f>IF(C69="","TMI-"&amp;TEXT(COUNTA($C$5:C69),"000"))</f>
        <v/>
      </c>
      <c r="C69" s="12" t="n"/>
      <c r="D69" s="12" t="n"/>
      <c r="E69" s="13" t="n"/>
      <c r="F69" s="13" t="n"/>
      <c r="G69" s="13" t="n"/>
      <c r="H69" s="13" t="n"/>
      <c r="I69" s="13" t="n"/>
      <c r="J69" s="31">
        <f>IF(OR(E69="",E69=0),"",F69/E69)</f>
        <v/>
      </c>
    </row>
    <row r="70" ht="22" customHeight="1">
      <c r="B70" s="16">
        <f>IF(C70="","TMI-"&amp;TEXT(COUNTA($C$5:C70),"000"))</f>
        <v/>
      </c>
      <c r="C70" s="14" t="n"/>
      <c r="D70" s="14" t="n"/>
      <c r="E70" s="15" t="n"/>
      <c r="F70" s="15" t="n"/>
      <c r="G70" s="15" t="n"/>
      <c r="H70" s="15" t="n"/>
      <c r="I70" s="15" t="n"/>
      <c r="J70" s="32">
        <f>IF(OR(E70="",E70=0),"",F70/E70)</f>
        <v/>
      </c>
    </row>
    <row r="71" ht="22" customHeight="1">
      <c r="B71" s="17">
        <f>IF(C71="","TMI-"&amp;TEXT(COUNTA($C$5:C71),"000"))</f>
        <v/>
      </c>
      <c r="C71" s="12" t="n"/>
      <c r="D71" s="12" t="n"/>
      <c r="E71" s="13" t="n"/>
      <c r="F71" s="13" t="n"/>
      <c r="G71" s="13" t="n"/>
      <c r="H71" s="13" t="n"/>
      <c r="I71" s="13" t="n"/>
      <c r="J71" s="31">
        <f>IF(OR(E71="",E71=0),"",F71/E71)</f>
        <v/>
      </c>
    </row>
    <row r="72" ht="22" customHeight="1">
      <c r="B72" s="16">
        <f>IF(C72="","TMI-"&amp;TEXT(COUNTA($C$5:C72),"000"))</f>
        <v/>
      </c>
      <c r="C72" s="14" t="n"/>
      <c r="D72" s="14" t="n"/>
      <c r="E72" s="15" t="n"/>
      <c r="F72" s="15" t="n"/>
      <c r="G72" s="15" t="n"/>
      <c r="H72" s="15" t="n"/>
      <c r="I72" s="15" t="n"/>
      <c r="J72" s="32">
        <f>IF(OR(E72="",E72=0),"",F72/E72)</f>
        <v/>
      </c>
    </row>
    <row r="73" ht="22" customHeight="1">
      <c r="B73" s="17">
        <f>IF(C73="","TMI-"&amp;TEXT(COUNTA($C$5:C73),"000"))</f>
        <v/>
      </c>
      <c r="C73" s="12" t="n"/>
      <c r="D73" s="12" t="n"/>
      <c r="E73" s="13" t="n"/>
      <c r="F73" s="13" t="n"/>
      <c r="G73" s="13" t="n"/>
      <c r="H73" s="13" t="n"/>
      <c r="I73" s="13" t="n"/>
      <c r="J73" s="31">
        <f>IF(OR(E73="",E73=0),"",F73/E73)</f>
        <v/>
      </c>
    </row>
    <row r="74" ht="22" customHeight="1">
      <c r="B74" s="16">
        <f>IF(C74="","TMI-"&amp;TEXT(COUNTA($C$5:C74),"000"))</f>
        <v/>
      </c>
      <c r="C74" s="14" t="n"/>
      <c r="D74" s="14" t="n"/>
      <c r="E74" s="15" t="n"/>
      <c r="F74" s="15" t="n"/>
      <c r="G74" s="15" t="n"/>
      <c r="H74" s="15" t="n"/>
      <c r="I74" s="15" t="n"/>
      <c r="J74" s="32">
        <f>IF(OR(E74="",E74=0),"",F74/E74)</f>
        <v/>
      </c>
    </row>
    <row r="75" ht="22" customHeight="1">
      <c r="B75" s="17">
        <f>IF(C75="","TMI-"&amp;TEXT(COUNTA($C$5:C75),"000"))</f>
        <v/>
      </c>
      <c r="C75" s="12" t="n"/>
      <c r="D75" s="12" t="n"/>
      <c r="E75" s="13" t="n"/>
      <c r="F75" s="13" t="n"/>
      <c r="G75" s="13" t="n"/>
      <c r="H75" s="13" t="n"/>
      <c r="I75" s="13" t="n"/>
      <c r="J75" s="31">
        <f>IF(OR(E75="",E75=0),"",F75/E75)</f>
        <v/>
      </c>
    </row>
    <row r="76" ht="22" customHeight="1">
      <c r="B76" s="16">
        <f>IF(C76="","TMI-"&amp;TEXT(COUNTA($C$5:C76),"000"))</f>
        <v/>
      </c>
      <c r="C76" s="14" t="n"/>
      <c r="D76" s="14" t="n"/>
      <c r="E76" s="15" t="n"/>
      <c r="F76" s="15" t="n"/>
      <c r="G76" s="15" t="n"/>
      <c r="H76" s="15" t="n"/>
      <c r="I76" s="15" t="n"/>
      <c r="J76" s="32">
        <f>IF(OR(E76="",E76=0),"",F76/E76)</f>
        <v/>
      </c>
    </row>
    <row r="77" ht="22" customHeight="1">
      <c r="B77" s="17">
        <f>IF(C77="","TMI-"&amp;TEXT(COUNTA($C$5:C77),"000"))</f>
        <v/>
      </c>
      <c r="C77" s="12" t="n"/>
      <c r="D77" s="12" t="n"/>
      <c r="E77" s="13" t="n"/>
      <c r="F77" s="13" t="n"/>
      <c r="G77" s="13" t="n"/>
      <c r="H77" s="13" t="n"/>
      <c r="I77" s="13" t="n"/>
      <c r="J77" s="31">
        <f>IF(OR(E77="",E77=0),"",F77/E77)</f>
        <v/>
      </c>
    </row>
    <row r="78" ht="22" customHeight="1">
      <c r="B78" s="16">
        <f>IF(C78="","TMI-"&amp;TEXT(COUNTA($C$5:C78),"000"))</f>
        <v/>
      </c>
      <c r="C78" s="14" t="n"/>
      <c r="D78" s="14" t="n"/>
      <c r="E78" s="15" t="n"/>
      <c r="F78" s="15" t="n"/>
      <c r="G78" s="15" t="n"/>
      <c r="H78" s="15" t="n"/>
      <c r="I78" s="15" t="n"/>
      <c r="J78" s="32">
        <f>IF(OR(E78="",E78=0),"",F78/E78)</f>
        <v/>
      </c>
    </row>
    <row r="79" ht="22" customHeight="1">
      <c r="B79" s="17">
        <f>IF(C79="","TMI-"&amp;TEXT(COUNTA($C$5:C79),"000"))</f>
        <v/>
      </c>
      <c r="C79" s="12" t="n"/>
      <c r="D79" s="12" t="n"/>
      <c r="E79" s="13" t="n"/>
      <c r="F79" s="13" t="n"/>
      <c r="G79" s="13" t="n"/>
      <c r="H79" s="13" t="n"/>
      <c r="I79" s="13" t="n"/>
      <c r="J79" s="31">
        <f>IF(OR(E79="",E79=0),"",F79/E79)</f>
        <v/>
      </c>
    </row>
    <row r="80" ht="22" customHeight="1">
      <c r="B80" s="16">
        <f>IF(C80="","TMI-"&amp;TEXT(COUNTA($C$5:C80),"000"))</f>
        <v/>
      </c>
      <c r="C80" s="14" t="n"/>
      <c r="D80" s="14" t="n"/>
      <c r="E80" s="15" t="n"/>
      <c r="F80" s="15" t="n"/>
      <c r="G80" s="15" t="n"/>
      <c r="H80" s="15" t="n"/>
      <c r="I80" s="15" t="n"/>
      <c r="J80" s="32">
        <f>IF(OR(E80="",E80=0),"",F80/E80)</f>
        <v/>
      </c>
    </row>
    <row r="81" ht="22" customHeight="1">
      <c r="B81" s="17">
        <f>IF(C81="","TMI-"&amp;TEXT(COUNTA($C$5:C81),"000"))</f>
        <v/>
      </c>
      <c r="C81" s="12" t="n"/>
      <c r="D81" s="12" t="n"/>
      <c r="E81" s="13" t="n"/>
      <c r="F81" s="13" t="n"/>
      <c r="G81" s="13" t="n"/>
      <c r="H81" s="13" t="n"/>
      <c r="I81" s="13" t="n"/>
      <c r="J81" s="31">
        <f>IF(OR(E81="",E81=0),"",F81/E81)</f>
        <v/>
      </c>
    </row>
    <row r="82" ht="22" customHeight="1">
      <c r="B82" s="16">
        <f>IF(C82="","TMI-"&amp;TEXT(COUNTA($C$5:C82),"000"))</f>
        <v/>
      </c>
      <c r="C82" s="14" t="n"/>
      <c r="D82" s="14" t="n"/>
      <c r="E82" s="15" t="n"/>
      <c r="F82" s="15" t="n"/>
      <c r="G82" s="15" t="n"/>
      <c r="H82" s="15" t="n"/>
      <c r="I82" s="15" t="n"/>
      <c r="J82" s="32">
        <f>IF(OR(E82="",E82=0),"",F82/E82)</f>
        <v/>
      </c>
    </row>
    <row r="83" ht="22" customHeight="1">
      <c r="B83" s="17">
        <f>IF(C83="","TMI-"&amp;TEXT(COUNTA($C$5:C83),"000"))</f>
        <v/>
      </c>
      <c r="C83" s="12" t="n"/>
      <c r="D83" s="12" t="n"/>
      <c r="E83" s="13" t="n"/>
      <c r="F83" s="13" t="n"/>
      <c r="G83" s="13" t="n"/>
      <c r="H83" s="13" t="n"/>
      <c r="I83" s="13" t="n"/>
      <c r="J83" s="31">
        <f>IF(OR(E83="",E83=0),"",F83/E83)</f>
        <v/>
      </c>
    </row>
    <row r="84" ht="22" customHeight="1">
      <c r="B84" s="16">
        <f>IF(C84="","TMI-"&amp;TEXT(COUNTA($C$5:C84),"000"))</f>
        <v/>
      </c>
      <c r="C84" s="14" t="n"/>
      <c r="D84" s="14" t="n"/>
      <c r="E84" s="15" t="n"/>
      <c r="F84" s="15" t="n"/>
      <c r="G84" s="15" t="n"/>
      <c r="H84" s="15" t="n"/>
      <c r="I84" s="15" t="n"/>
      <c r="J84" s="32">
        <f>IF(OR(E84="",E84=0),"",F84/E84)</f>
        <v/>
      </c>
    </row>
    <row r="85" ht="22" customHeight="1">
      <c r="B85" s="17">
        <f>IF(C85="","TMI-"&amp;TEXT(COUNTA($C$5:C85),"000"))</f>
        <v/>
      </c>
      <c r="C85" s="12" t="n"/>
      <c r="D85" s="12" t="n"/>
      <c r="E85" s="13" t="n"/>
      <c r="F85" s="13" t="n"/>
      <c r="G85" s="13" t="n"/>
      <c r="H85" s="13" t="n"/>
      <c r="I85" s="13" t="n"/>
      <c r="J85" s="31">
        <f>IF(OR(E85="",E85=0),"",F85/E85)</f>
        <v/>
      </c>
    </row>
    <row r="86" ht="22" customHeight="1">
      <c r="B86" s="16">
        <f>IF(C86="","TMI-"&amp;TEXT(COUNTA($C$5:C86),"000"))</f>
        <v/>
      </c>
      <c r="C86" s="14" t="n"/>
      <c r="D86" s="14" t="n"/>
      <c r="E86" s="15" t="n"/>
      <c r="F86" s="15" t="n"/>
      <c r="G86" s="15" t="n"/>
      <c r="H86" s="15" t="n"/>
      <c r="I86" s="15" t="n"/>
      <c r="J86" s="32">
        <f>IF(OR(E86="",E86=0),"",F86/E86)</f>
        <v/>
      </c>
    </row>
    <row r="87" ht="22" customHeight="1">
      <c r="B87" s="17">
        <f>IF(C87="","TMI-"&amp;TEXT(COUNTA($C$5:C87),"000"))</f>
        <v/>
      </c>
      <c r="C87" s="12" t="n"/>
      <c r="D87" s="12" t="n"/>
      <c r="E87" s="13" t="n"/>
      <c r="F87" s="13" t="n"/>
      <c r="G87" s="13" t="n"/>
      <c r="H87" s="13" t="n"/>
      <c r="I87" s="13" t="n"/>
      <c r="J87" s="31">
        <f>IF(OR(E87="",E87=0),"",F87/E87)</f>
        <v/>
      </c>
    </row>
    <row r="88" ht="22" customHeight="1">
      <c r="B88" s="16">
        <f>IF(C88="","TMI-"&amp;TEXT(COUNTA($C$5:C88),"000"))</f>
        <v/>
      </c>
      <c r="C88" s="14" t="n"/>
      <c r="D88" s="14" t="n"/>
      <c r="E88" s="15" t="n"/>
      <c r="F88" s="15" t="n"/>
      <c r="G88" s="15" t="n"/>
      <c r="H88" s="15" t="n"/>
      <c r="I88" s="15" t="n"/>
      <c r="J88" s="32">
        <f>IF(OR(E88="",E88=0),"",F88/E88)</f>
        <v/>
      </c>
    </row>
    <row r="89" ht="22" customHeight="1">
      <c r="B89" s="17">
        <f>IF(C89="","TMI-"&amp;TEXT(COUNTA($C$5:C89),"000"))</f>
        <v/>
      </c>
      <c r="C89" s="12" t="n"/>
      <c r="D89" s="12" t="n"/>
      <c r="E89" s="13" t="n"/>
      <c r="F89" s="13" t="n"/>
      <c r="G89" s="13" t="n"/>
      <c r="H89" s="13" t="n"/>
      <c r="I89" s="13" t="n"/>
      <c r="J89" s="31">
        <f>IF(OR(E89="",E89=0),"",F89/E89)</f>
        <v/>
      </c>
    </row>
    <row r="90" ht="22" customHeight="1">
      <c r="B90" s="16">
        <f>IF(C90="","TMI-"&amp;TEXT(COUNTA($C$5:C90),"000"))</f>
        <v/>
      </c>
      <c r="C90" s="14" t="n"/>
      <c r="D90" s="14" t="n"/>
      <c r="E90" s="15" t="n"/>
      <c r="F90" s="15" t="n"/>
      <c r="G90" s="15" t="n"/>
      <c r="H90" s="15" t="n"/>
      <c r="I90" s="15" t="n"/>
      <c r="J90" s="32">
        <f>IF(OR(E90="",E90=0),"",F90/E90)</f>
        <v/>
      </c>
    </row>
    <row r="91" ht="22" customHeight="1">
      <c r="B91" s="17">
        <f>IF(C91="","TMI-"&amp;TEXT(COUNTA($C$5:C91),"000"))</f>
        <v/>
      </c>
      <c r="C91" s="12" t="n"/>
      <c r="D91" s="12" t="n"/>
      <c r="E91" s="13" t="n"/>
      <c r="F91" s="13" t="n"/>
      <c r="G91" s="13" t="n"/>
      <c r="H91" s="13" t="n"/>
      <c r="I91" s="13" t="n"/>
      <c r="J91" s="31">
        <f>IF(OR(E91="",E91=0),"",F91/E91)</f>
        <v/>
      </c>
    </row>
    <row r="92" ht="22" customHeight="1">
      <c r="B92" s="16">
        <f>IF(C92="","TMI-"&amp;TEXT(COUNTA($C$5:C92),"000"))</f>
        <v/>
      </c>
      <c r="C92" s="14" t="n"/>
      <c r="D92" s="14" t="n"/>
      <c r="E92" s="15" t="n"/>
      <c r="F92" s="15" t="n"/>
      <c r="G92" s="15" t="n"/>
      <c r="H92" s="15" t="n"/>
      <c r="I92" s="15" t="n"/>
      <c r="J92" s="32">
        <f>IF(OR(E92="",E92=0),"",F92/E92)</f>
        <v/>
      </c>
    </row>
    <row r="93" ht="22" customHeight="1">
      <c r="B93" s="17">
        <f>IF(C93="","TMI-"&amp;TEXT(COUNTA($C$5:C93),"000"))</f>
        <v/>
      </c>
      <c r="C93" s="12" t="n"/>
      <c r="D93" s="12" t="n"/>
      <c r="E93" s="13" t="n"/>
      <c r="F93" s="13" t="n"/>
      <c r="G93" s="13" t="n"/>
      <c r="H93" s="13" t="n"/>
      <c r="I93" s="13" t="n"/>
      <c r="J93" s="31">
        <f>IF(OR(E93="",E93=0),"",F93/E93)</f>
        <v/>
      </c>
    </row>
    <row r="94" ht="22" customHeight="1">
      <c r="B94" s="16">
        <f>IF(C94="","TMI-"&amp;TEXT(COUNTA($C$5:C94),"000"))</f>
        <v/>
      </c>
      <c r="C94" s="14" t="n"/>
      <c r="D94" s="14" t="n"/>
      <c r="E94" s="15" t="n"/>
      <c r="F94" s="15" t="n"/>
      <c r="G94" s="15" t="n"/>
      <c r="H94" s="15" t="n"/>
      <c r="I94" s="15" t="n"/>
      <c r="J94" s="32">
        <f>IF(OR(E94="",E94=0),"",F94/E94)</f>
        <v/>
      </c>
    </row>
    <row r="95" ht="22" customHeight="1">
      <c r="B95" s="17">
        <f>IF(C95="","TMI-"&amp;TEXT(COUNTA($C$5:C95),"000"))</f>
        <v/>
      </c>
      <c r="C95" s="12" t="n"/>
      <c r="D95" s="12" t="n"/>
      <c r="E95" s="13" t="n"/>
      <c r="F95" s="13" t="n"/>
      <c r="G95" s="13" t="n"/>
      <c r="H95" s="13" t="n"/>
      <c r="I95" s="13" t="n"/>
      <c r="J95" s="31">
        <f>IF(OR(E95="",E95=0),"",F95/E95)</f>
        <v/>
      </c>
    </row>
    <row r="96" ht="22" customHeight="1">
      <c r="B96" s="16">
        <f>IF(C96="","TMI-"&amp;TEXT(COUNTA($C$5:C96),"000"))</f>
        <v/>
      </c>
      <c r="C96" s="14" t="n"/>
      <c r="D96" s="14" t="n"/>
      <c r="E96" s="15" t="n"/>
      <c r="F96" s="15" t="n"/>
      <c r="G96" s="15" t="n"/>
      <c r="H96" s="15" t="n"/>
      <c r="I96" s="15" t="n"/>
      <c r="J96" s="32">
        <f>IF(OR(E96="",E96=0),"",F96/E96)</f>
        <v/>
      </c>
    </row>
    <row r="97" ht="22" customHeight="1">
      <c r="B97" s="17">
        <f>IF(C97="","TMI-"&amp;TEXT(COUNTA($C$5:C97),"000"))</f>
        <v/>
      </c>
      <c r="C97" s="12" t="n"/>
      <c r="D97" s="12" t="n"/>
      <c r="E97" s="13" t="n"/>
      <c r="F97" s="13" t="n"/>
      <c r="G97" s="13" t="n"/>
      <c r="H97" s="13" t="n"/>
      <c r="I97" s="13" t="n"/>
      <c r="J97" s="31">
        <f>IF(OR(E97="",E97=0),"",F97/E97)</f>
        <v/>
      </c>
    </row>
    <row r="98" ht="22" customHeight="1">
      <c r="B98" s="16">
        <f>IF(C98="","TMI-"&amp;TEXT(COUNTA($C$5:C98),"000"))</f>
        <v/>
      </c>
      <c r="C98" s="14" t="n"/>
      <c r="D98" s="14" t="n"/>
      <c r="E98" s="15" t="n"/>
      <c r="F98" s="15" t="n"/>
      <c r="G98" s="15" t="n"/>
      <c r="H98" s="15" t="n"/>
      <c r="I98" s="15" t="n"/>
      <c r="J98" s="32">
        <f>IF(OR(E98="",E98=0),"",F98/E98)</f>
        <v/>
      </c>
    </row>
    <row r="99" ht="22" customHeight="1">
      <c r="B99" s="17">
        <f>IF(C99="","TMI-"&amp;TEXT(COUNTA($C$5:C99),"000"))</f>
        <v/>
      </c>
      <c r="C99" s="12" t="n"/>
      <c r="D99" s="12" t="n"/>
      <c r="E99" s="13" t="n"/>
      <c r="F99" s="13" t="n"/>
      <c r="G99" s="13" t="n"/>
      <c r="H99" s="13" t="n"/>
      <c r="I99" s="13" t="n"/>
      <c r="J99" s="31">
        <f>IF(OR(E99="",E99=0),"",F99/E99)</f>
        <v/>
      </c>
    </row>
    <row r="100" ht="22" customHeight="1">
      <c r="B100" s="16">
        <f>IF(C100="","TMI-"&amp;TEXT(COUNTA($C$5:C100),"000"))</f>
        <v/>
      </c>
      <c r="C100" s="14" t="n"/>
      <c r="D100" s="14" t="n"/>
      <c r="E100" s="15" t="n"/>
      <c r="F100" s="15" t="n"/>
      <c r="G100" s="15" t="n"/>
      <c r="H100" s="15" t="n"/>
      <c r="I100" s="15" t="n"/>
      <c r="J100" s="32">
        <f>IF(OR(E100="",E100=0),"",F100/E100)</f>
        <v/>
      </c>
    </row>
    <row r="101" ht="22" customHeight="1">
      <c r="B101" s="17">
        <f>IF(C101="","TMI-"&amp;TEXT(COUNTA($C$5:C101),"000"))</f>
        <v/>
      </c>
      <c r="C101" s="12" t="n"/>
      <c r="D101" s="12" t="n"/>
      <c r="E101" s="13" t="n"/>
      <c r="F101" s="13" t="n"/>
      <c r="G101" s="13" t="n"/>
      <c r="H101" s="13" t="n"/>
      <c r="I101" s="13" t="n"/>
      <c r="J101" s="31">
        <f>IF(OR(E101="",E101=0),"",F101/E101)</f>
        <v/>
      </c>
    </row>
    <row r="102" ht="22" customHeight="1">
      <c r="B102" s="16">
        <f>IF(C102="","TMI-"&amp;TEXT(COUNTA($C$5:C102),"000"))</f>
        <v/>
      </c>
      <c r="C102" s="14" t="n"/>
      <c r="D102" s="14" t="n"/>
      <c r="E102" s="15" t="n"/>
      <c r="F102" s="15" t="n"/>
      <c r="G102" s="15" t="n"/>
      <c r="H102" s="15" t="n"/>
      <c r="I102" s="15" t="n"/>
      <c r="J102" s="32">
        <f>IF(OR(E102="",E102=0),"",F102/E102)</f>
        <v/>
      </c>
    </row>
    <row r="103" ht="22" customHeight="1">
      <c r="B103" s="17">
        <f>IF(C103="","TMI-"&amp;TEXT(COUNTA($C$5:C103),"000"))</f>
        <v/>
      </c>
      <c r="C103" s="12" t="n"/>
      <c r="D103" s="12" t="n"/>
      <c r="E103" s="13" t="n"/>
      <c r="F103" s="13" t="n"/>
      <c r="G103" s="13" t="n"/>
      <c r="H103" s="13" t="n"/>
      <c r="I103" s="13" t="n"/>
      <c r="J103" s="31">
        <f>IF(OR(E103="",E103=0),"",F103/E103)</f>
        <v/>
      </c>
    </row>
    <row r="104" ht="22" customHeight="1">
      <c r="B104" s="16">
        <f>IF(C104="","TMI-"&amp;TEXT(COUNTA($C$5:C104),"000"))</f>
        <v/>
      </c>
      <c r="C104" s="14" t="n"/>
      <c r="D104" s="14" t="n"/>
      <c r="E104" s="15" t="n"/>
      <c r="F104" s="15" t="n"/>
      <c r="G104" s="15" t="n"/>
      <c r="H104" s="15" t="n"/>
      <c r="I104" s="15" t="n"/>
      <c r="J104" s="32">
        <f>IF(OR(E104="",E104=0),"",F104/E104)</f>
        <v/>
      </c>
    </row>
    <row r="105" ht="22" customHeight="1">
      <c r="B105" s="17">
        <f>IF(C105="","TMI-"&amp;TEXT(COUNTA($C$5:C105),"000"))</f>
        <v/>
      </c>
      <c r="C105" s="12" t="n"/>
      <c r="D105" s="12" t="n"/>
      <c r="E105" s="13" t="n"/>
      <c r="F105" s="13" t="n"/>
      <c r="G105" s="13" t="n"/>
      <c r="H105" s="13" t="n"/>
      <c r="I105" s="13" t="n"/>
      <c r="J105" s="31">
        <f>IF(OR(E105="",E105=0),"",F105/E105)</f>
        <v/>
      </c>
    </row>
    <row r="106" ht="22" customHeight="1">
      <c r="B106" s="16">
        <f>IF(C106="","TMI-"&amp;TEXT(COUNTA($C$5:C106),"000"))</f>
        <v/>
      </c>
      <c r="C106" s="14" t="n"/>
      <c r="D106" s="14" t="n"/>
      <c r="E106" s="15" t="n"/>
      <c r="F106" s="15" t="n"/>
      <c r="G106" s="15" t="n"/>
      <c r="H106" s="15" t="n"/>
      <c r="I106" s="15" t="n"/>
      <c r="J106" s="32">
        <f>IF(OR(E106="",E106=0),"",F106/E106)</f>
        <v/>
      </c>
    </row>
    <row r="107" ht="22" customHeight="1">
      <c r="B107" s="17">
        <f>IF(C107="","TMI-"&amp;TEXT(COUNTA($C$5:C107),"000"))</f>
        <v/>
      </c>
      <c r="C107" s="12" t="n"/>
      <c r="D107" s="12" t="n"/>
      <c r="E107" s="13" t="n"/>
      <c r="F107" s="13" t="n"/>
      <c r="G107" s="13" t="n"/>
      <c r="H107" s="13" t="n"/>
      <c r="I107" s="13" t="n"/>
      <c r="J107" s="31">
        <f>IF(OR(E107="",E107=0),"",F107/E107)</f>
        <v/>
      </c>
    </row>
    <row r="108" ht="22" customHeight="1">
      <c r="B108" s="16">
        <f>IF(C108="","TMI-"&amp;TEXT(COUNTA($C$5:C108),"000"))</f>
        <v/>
      </c>
      <c r="C108" s="14" t="n"/>
      <c r="D108" s="14" t="n"/>
      <c r="E108" s="15" t="n"/>
      <c r="F108" s="15" t="n"/>
      <c r="G108" s="15" t="n"/>
      <c r="H108" s="15" t="n"/>
      <c r="I108" s="15" t="n"/>
      <c r="J108" s="32">
        <f>IF(OR(E108="",E108=0),"",F108/E108)</f>
        <v/>
      </c>
    </row>
    <row r="109" ht="22" customHeight="1">
      <c r="B109" s="17">
        <f>IF(C109="","TMI-"&amp;TEXT(COUNTA($C$5:C109),"000"))</f>
        <v/>
      </c>
      <c r="C109" s="12" t="n"/>
      <c r="D109" s="12" t="n"/>
      <c r="E109" s="13" t="n"/>
      <c r="F109" s="13" t="n"/>
      <c r="G109" s="13" t="n"/>
      <c r="H109" s="13" t="n"/>
      <c r="I109" s="13" t="n"/>
      <c r="J109" s="31">
        <f>IF(OR(E109="",E109=0),"",F109/E109)</f>
        <v/>
      </c>
    </row>
    <row r="110"/>
    <row r="111">
      <c r="B111" s="6" t="inlineStr">
        <is>
          <t>INDICATEURS (mis a jour automatiquement)</t>
        </is>
      </c>
    </row>
    <row r="112">
      <c r="B112" s="3" t="inlineStr">
        <is>
          <t>Moy. mobilite/mois</t>
        </is>
      </c>
      <c r="D112" s="3" t="inlineStr">
        <is>
          <t>Total mouvements</t>
        </is>
      </c>
      <c r="F112" s="3" t="inlineStr">
        <is>
          <t>Total promotions</t>
        </is>
      </c>
    </row>
    <row r="113">
      <c r="B113" s="4">
        <f>IFERROR(AVERAGE(J5:J104),0)</f>
        <v/>
      </c>
      <c r="D113" s="4">
        <f>SUM(F5:F104)</f>
        <v/>
      </c>
      <c r="F113" s="4">
        <f>SUM(G5:G104)</f>
        <v/>
      </c>
    </row>
  </sheetData>
  <mergeCells count="3">
    <mergeCell ref="B3:J3"/>
    <mergeCell ref="B2:J2"/>
    <mergeCell ref="B111:J111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'_Lists'!$W$2:$W$13</formula1>
    </dataValidation>
    <dataValidation sqref="D5:D109" showDropDown="0" showInputMessage="0" showErrorMessage="0" allowBlank="1" errorTitle="Erreur" error="Valeur invalide" promptTitle="Liste" prompt="Choisir dans la liste" type="list">
      <formula1>'_Lists'!$X$2:$X$4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14" customWidth="1" min="6" max="6"/>
    <col width="14" customWidth="1" min="7" max="7"/>
    <col width="28" customWidth="1" min="8" max="8"/>
    <col width="44" customWidth="1" min="9" max="9"/>
  </cols>
  <sheetData>
    <row r="1" ht="15" customHeight="1"/>
    <row r="2" ht="32" customHeight="1">
      <c r="B2" s="1" t="inlineStr">
        <is>
          <t>MATRICE POTENTIEL 9-BOX — Positionnement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Performance</t>
        </is>
      </c>
      <c r="G4" s="11" t="inlineStr">
        <is>
          <t>Potentiel</t>
        </is>
      </c>
      <c r="H4" s="11" t="inlineStr">
        <is>
          <t>Position 9-Box</t>
        </is>
      </c>
      <c r="I4" s="11" t="inlineStr">
        <is>
          <t>Recommandation</t>
        </is>
      </c>
    </row>
    <row r="5" ht="22" customHeight="1">
      <c r="B5" s="12" t="inlineStr">
        <is>
          <t>9B-001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Excellent</t>
        </is>
      </c>
      <c r="G5" s="12" t="inlineStr">
        <is>
          <t>Tres eleve</t>
        </is>
      </c>
      <c r="H5" s="12" t="inlineStr">
        <is>
          <t>Etoile / Talent cle</t>
        </is>
      </c>
      <c r="I5" s="12" t="inlineStr">
        <is>
          <t>Accelerer developpement + promotion rapide</t>
        </is>
      </c>
    </row>
    <row r="6" ht="22" customHeight="1">
      <c r="B6" s="14" t="inlineStr">
        <is>
          <t>9B-002</t>
        </is>
      </c>
      <c r="C6" s="14" t="inlineStr">
        <is>
          <t>Tamo Eric</t>
        </is>
      </c>
      <c r="D6" s="14" t="inlineStr">
        <is>
          <t>Technicien IT</t>
        </is>
      </c>
      <c r="E6" s="14" t="inlineStr">
        <is>
          <t>Informatique</t>
        </is>
      </c>
      <c r="F6" s="14" t="inlineStr">
        <is>
          <t>Bon</t>
        </is>
      </c>
      <c r="G6" s="14" t="inlineStr">
        <is>
          <t>Tres eleve</t>
        </is>
      </c>
      <c r="H6" s="14" t="inlineStr">
        <is>
          <t>Etoile montante</t>
        </is>
      </c>
      <c r="I6" s="14" t="inlineStr">
        <is>
          <t>Programme fast-track vers management</t>
        </is>
      </c>
    </row>
    <row r="7" ht="22" customHeight="1">
      <c r="B7" s="12" t="inlineStr">
        <is>
          <t>9B-003</t>
        </is>
      </c>
      <c r="C7" s="12" t="inlineStr">
        <is>
          <t>Fotsing Aude R.</t>
        </is>
      </c>
      <c r="D7" s="12" t="inlineStr">
        <is>
          <t>Sous-Chef</t>
        </is>
      </c>
      <c r="E7" s="12" t="inlineStr">
        <is>
          <t>Cuisine &amp; Restauration</t>
        </is>
      </c>
      <c r="F7" s="12" t="inlineStr">
        <is>
          <t>Tres bon</t>
        </is>
      </c>
      <c r="G7" s="12" t="inlineStr">
        <is>
          <t>Eleve</t>
        </is>
      </c>
      <c r="H7" s="12" t="inlineStr">
        <is>
          <t>Performeur a potentiel</t>
        </is>
      </c>
      <c r="I7" s="12" t="inlineStr">
        <is>
          <t>Formation manageriale + responsabilites</t>
        </is>
      </c>
    </row>
    <row r="8" ht="22" customHeight="1">
      <c r="B8" s="14" t="inlineStr">
        <is>
          <t>9B-004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Commercial</t>
        </is>
      </c>
      <c r="F8" s="14" t="inlineStr">
        <is>
          <t>Tres bon</t>
        </is>
      </c>
      <c r="G8" s="14" t="inlineStr">
        <is>
          <t>Moyen</t>
        </is>
      </c>
      <c r="H8" s="14" t="inlineStr">
        <is>
          <t>Expert dans son domaine</t>
        </is>
      </c>
      <c r="I8" s="14" t="inlineStr">
        <is>
          <t>Specialisation + mentorat technique</t>
        </is>
      </c>
    </row>
    <row r="9" ht="22" customHeight="1">
      <c r="B9" s="12" t="inlineStr">
        <is>
          <t>9B-005</t>
        </is>
      </c>
      <c r="C9" s="12" t="inlineStr">
        <is>
          <t>Bekolo A.</t>
        </is>
      </c>
      <c r="D9" s="12" t="inlineStr">
        <is>
          <t>Agent Entretien</t>
        </is>
      </c>
      <c r="E9" s="12" t="inlineStr">
        <is>
          <t>Maintenance</t>
        </is>
      </c>
      <c r="F9" s="12" t="inlineStr">
        <is>
          <t>Bon</t>
        </is>
      </c>
      <c r="G9" s="12" t="inlineStr">
        <is>
          <t>Eleve</t>
        </is>
      </c>
      <c r="H9" s="12" t="inlineStr">
        <is>
          <t>Enorme potentiel non exploite</t>
        </is>
      </c>
      <c r="I9" s="12" t="inlineStr">
        <is>
          <t>Mentorat + rotation pour exposition</t>
        </is>
      </c>
    </row>
    <row r="10" ht="22" customHeight="1">
      <c r="B10" s="14" t="inlineStr">
        <is>
          <t>9B-006</t>
        </is>
      </c>
      <c r="C10" s="14" t="inlineStr">
        <is>
          <t>Kamga P.</t>
        </is>
      </c>
      <c r="D10" s="14" t="inlineStr">
        <is>
          <t>Receptionniste</t>
        </is>
      </c>
      <c r="E10" s="14" t="inlineStr">
        <is>
          <t>Réception &amp; Front Office</t>
        </is>
      </c>
      <c r="F10" s="14" t="inlineStr">
        <is>
          <t>Moyen</t>
        </is>
      </c>
      <c r="G10" s="14" t="inlineStr">
        <is>
          <t>Moyen</t>
        </is>
      </c>
      <c r="H10" s="14" t="inlineStr">
        <is>
          <t>Solide contributeur</t>
        </is>
      </c>
      <c r="I10" s="14" t="inlineStr">
        <is>
          <t>Maintenir engagement + formations ponctuelles</t>
        </is>
      </c>
    </row>
    <row r="11" ht="22" customHeight="1">
      <c r="B11" s="12" t="inlineStr">
        <is>
          <t>9B-007</t>
        </is>
      </c>
      <c r="C11" s="12" t="inlineStr">
        <is>
          <t>Meyong S.</t>
        </is>
      </c>
      <c r="D11" s="12" t="inlineStr">
        <is>
          <t>Concierge</t>
        </is>
      </c>
      <c r="E11" s="12" t="inlineStr">
        <is>
          <t>Réception &amp; Front Office</t>
        </is>
      </c>
      <c r="F11" s="12" t="inlineStr">
        <is>
          <t>Bon</t>
        </is>
      </c>
      <c r="G11" s="12" t="inlineStr">
        <is>
          <t>Faible</t>
        </is>
      </c>
      <c r="H11" s="12" t="inlineStr">
        <is>
          <t>Performeur stable</t>
        </is>
      </c>
      <c r="I11" s="12" t="inlineStr">
        <is>
          <t>Reconnaissances + stabiliser dans le poste</t>
        </is>
      </c>
    </row>
    <row r="12" ht="22" customHeight="1">
      <c r="B12" s="16">
        <f>IF(C12="","9B-"&amp;TEXT(COUNTA($C$5:C12),"000"))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17">
        <f>IF(C13="","9B-"&amp;TEXT(COUNTA($C$5:C13),"000"))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B14" s="16">
        <f>IF(C14="","9B-"&amp;TEXT(COUNTA($C$5:C14),"000"))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17">
        <f>IF(C15="","9B-"&amp;TEXT(COUNTA($C$5:C15),"000"))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B16" s="16">
        <f>IF(C16="","9B-"&amp;TEXT(COUNTA($C$5:C16),"000"))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17">
        <f>IF(C17="","9B-"&amp;TEXT(COUNTA($C$5:C17),"000"))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B18" s="16">
        <f>IF(C18="","9B-"&amp;TEXT(COUNTA($C$5:C18),"000"))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</row>
    <row r="19" ht="22" customHeight="1">
      <c r="B19" s="17">
        <f>IF(C19="","9B-"&amp;TEXT(COUNTA($C$5:C19),"000"))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B20" s="16">
        <f>IF(C20="","9B-"&amp;TEXT(COUNTA($C$5:C20),"000"))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</row>
    <row r="21" ht="22" customHeight="1">
      <c r="B21" s="17">
        <f>IF(C21="","9B-"&amp;TEXT(COUNTA($C$5:C21),"000"))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B22" s="16">
        <f>IF(C22="","9B-"&amp;TEXT(COUNTA($C$5:C22),"000"))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</row>
    <row r="23" ht="22" customHeight="1">
      <c r="B23" s="17">
        <f>IF(C23="","9B-"&amp;TEXT(COUNTA($C$5:C23),"000"))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</row>
    <row r="24" ht="22" customHeight="1">
      <c r="B24" s="16">
        <f>IF(C24="","9B-"&amp;TEXT(COUNTA($C$5:C24),"000"))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</row>
    <row r="25" ht="22" customHeight="1">
      <c r="B25" s="17">
        <f>IF(C25="","9B-"&amp;TEXT(COUNTA($C$5:C25),"000"))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</row>
    <row r="26" ht="22" customHeight="1">
      <c r="B26" s="16">
        <f>IF(C26="","9B-"&amp;TEXT(COUNTA($C$5:C26),"000"))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</row>
    <row r="27" ht="22" customHeight="1">
      <c r="B27" s="17">
        <f>IF(C27="","9B-"&amp;TEXT(COUNTA($C$5:C27),"000"))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</row>
    <row r="28" ht="22" customHeight="1">
      <c r="B28" s="16">
        <f>IF(C28="","9B-"&amp;TEXT(COUNTA($C$5:C28),"000"))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</row>
    <row r="29" ht="22" customHeight="1">
      <c r="B29" s="17">
        <f>IF(C29="","9B-"&amp;TEXT(COUNTA($C$5:C29),"000"))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</row>
    <row r="30" ht="22" customHeight="1">
      <c r="B30" s="16">
        <f>IF(C30="","9B-"&amp;TEXT(COUNTA($C$5:C30),"000"))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</row>
    <row r="31" ht="22" customHeight="1">
      <c r="B31" s="17">
        <f>IF(C31="","9B-"&amp;TEXT(COUNTA($C$5:C31),"000"))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</row>
    <row r="32" ht="22" customHeight="1">
      <c r="B32" s="16">
        <f>IF(C32="","9B-"&amp;TEXT(COUNTA($C$5:C32),"000"))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</row>
    <row r="33" ht="22" customHeight="1">
      <c r="B33" s="17">
        <f>IF(C33="","9B-"&amp;TEXT(COUNTA($C$5:C33),"000"))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</row>
    <row r="34" ht="22" customHeight="1">
      <c r="B34" s="16">
        <f>IF(C34="","9B-"&amp;TEXT(COUNTA($C$5:C34),"000"))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</row>
    <row r="35" ht="22" customHeight="1">
      <c r="B35" s="17">
        <f>IF(C35="","9B-"&amp;TEXT(COUNTA($C$5:C35),"000"))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</row>
    <row r="36" ht="22" customHeight="1">
      <c r="B36" s="16">
        <f>IF(C36="","9B-"&amp;TEXT(COUNTA($C$5:C36),"000"))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</row>
    <row r="37" ht="22" customHeight="1">
      <c r="B37" s="17">
        <f>IF(C37="","9B-"&amp;TEXT(COUNTA($C$5:C37),"000"))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</row>
    <row r="38" ht="22" customHeight="1">
      <c r="B38" s="16">
        <f>IF(C38="","9B-"&amp;TEXT(COUNTA($C$5:C38),"000"))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</row>
    <row r="39" ht="22" customHeight="1">
      <c r="B39" s="17">
        <f>IF(C39="","9B-"&amp;TEXT(COUNTA($C$5:C39),"000"))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</row>
    <row r="40" ht="22" customHeight="1">
      <c r="B40" s="16">
        <f>IF(C40="","9B-"&amp;TEXT(COUNTA($C$5:C40),"000"))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</row>
    <row r="41" ht="22" customHeight="1">
      <c r="B41" s="17">
        <f>IF(C41="","9B-"&amp;TEXT(COUNTA($C$5:C41),"000"))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</row>
    <row r="42" ht="22" customHeight="1">
      <c r="B42" s="16">
        <f>IF(C42="","9B-"&amp;TEXT(COUNTA($C$5:C42),"000"))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</row>
    <row r="43" ht="22" customHeight="1">
      <c r="B43" s="17">
        <f>IF(C43="","9B-"&amp;TEXT(COUNTA($C$5:C43),"000"))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</row>
    <row r="44" ht="22" customHeight="1">
      <c r="B44" s="16">
        <f>IF(C44="","9B-"&amp;TEXT(COUNTA($C$5:C44),"000"))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</row>
    <row r="45" ht="22" customHeight="1">
      <c r="B45" s="17">
        <f>IF(C45="","9B-"&amp;TEXT(COUNTA($C$5:C45),"000"))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</row>
    <row r="46" ht="22" customHeight="1">
      <c r="B46" s="16">
        <f>IF(C46="","9B-"&amp;TEXT(COUNTA($C$5:C46),"000"))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</row>
    <row r="47" ht="22" customHeight="1">
      <c r="B47" s="17">
        <f>IF(C47="","9B-"&amp;TEXT(COUNTA($C$5:C47),"000"))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</row>
    <row r="48" ht="22" customHeight="1">
      <c r="B48" s="16">
        <f>IF(C48="","9B-"&amp;TEXT(COUNTA($C$5:C48),"000"))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</row>
    <row r="49" ht="22" customHeight="1">
      <c r="B49" s="17">
        <f>IF(C49="","9B-"&amp;TEXT(COUNTA($C$5:C49),"000"))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</row>
    <row r="50" ht="22" customHeight="1">
      <c r="B50" s="16">
        <f>IF(C50="","9B-"&amp;TEXT(COUNTA($C$5:C50),"000"))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</row>
    <row r="51" ht="22" customHeight="1">
      <c r="B51" s="17">
        <f>IF(C51="","9B-"&amp;TEXT(COUNTA($C$5:C51),"000"))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</row>
    <row r="52" ht="22" customHeight="1">
      <c r="B52" s="16">
        <f>IF(C52="","9B-"&amp;TEXT(COUNTA($C$5:C52),"000"))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</row>
    <row r="53" ht="22" customHeight="1">
      <c r="B53" s="17">
        <f>IF(C53="","9B-"&amp;TEXT(COUNTA($C$5:C53),"000"))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</row>
    <row r="54" ht="22" customHeight="1">
      <c r="B54" s="16">
        <f>IF(C54="","9B-"&amp;TEXT(COUNTA($C$5:C54),"000"))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</row>
    <row r="55" ht="22" customHeight="1">
      <c r="B55" s="17">
        <f>IF(C55="","9B-"&amp;TEXT(COUNTA($C$5:C55),"000"))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</row>
    <row r="56" ht="22" customHeight="1">
      <c r="B56" s="16">
        <f>IF(C56="","9B-"&amp;TEXT(COUNTA($C$5:C56),"000"))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</row>
    <row r="57" ht="22" customHeight="1">
      <c r="B57" s="17">
        <f>IF(C57="","9B-"&amp;TEXT(COUNTA($C$5:C57),"000"))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</row>
    <row r="58" ht="22" customHeight="1">
      <c r="B58" s="16">
        <f>IF(C58="","9B-"&amp;TEXT(COUNTA($C$5:C58),"000"))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</row>
    <row r="59" ht="22" customHeight="1">
      <c r="B59" s="17">
        <f>IF(C59="","9B-"&amp;TEXT(COUNTA($C$5:C59),"000"))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</row>
    <row r="60" ht="22" customHeight="1">
      <c r="B60" s="16">
        <f>IF(C60="","9B-"&amp;TEXT(COUNTA($C$5:C60),"000"))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</row>
    <row r="61" ht="22" customHeight="1">
      <c r="B61" s="17">
        <f>IF(C61="","9B-"&amp;TEXT(COUNTA($C$5:C61),"000"))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</row>
    <row r="62" ht="22" customHeight="1">
      <c r="B62" s="16">
        <f>IF(C62="","9B-"&amp;TEXT(COUNTA($C$5:C62),"000"))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</row>
    <row r="63" ht="22" customHeight="1">
      <c r="B63" s="17">
        <f>IF(C63="","9B-"&amp;TEXT(COUNTA($C$5:C63),"000"))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</row>
    <row r="64" ht="22" customHeight="1">
      <c r="B64" s="16">
        <f>IF(C64="","9B-"&amp;TEXT(COUNTA($C$5:C64),"000"))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</row>
    <row r="65" ht="22" customHeight="1">
      <c r="B65" s="17">
        <f>IF(C65="","9B-"&amp;TEXT(COUNTA($C$5:C65),"000"))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</row>
    <row r="66" ht="22" customHeight="1">
      <c r="B66" s="16">
        <f>IF(C66="","9B-"&amp;TEXT(COUNTA($C$5:C66),"000"))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</row>
    <row r="67" ht="22" customHeight="1">
      <c r="B67" s="17">
        <f>IF(C67="","9B-"&amp;TEXT(COUNTA($C$5:C67),"000"))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</row>
    <row r="68" ht="22" customHeight="1">
      <c r="B68" s="16">
        <f>IF(C68="","9B-"&amp;TEXT(COUNTA($C$5:C68),"000"))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</row>
    <row r="69" ht="22" customHeight="1">
      <c r="B69" s="17">
        <f>IF(C69="","9B-"&amp;TEXT(COUNTA($C$5:C69),"000"))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</row>
    <row r="70" ht="22" customHeight="1">
      <c r="B70" s="16">
        <f>IF(C70="","9B-"&amp;TEXT(COUNTA($C$5:C70),"000"))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</row>
    <row r="71" ht="22" customHeight="1">
      <c r="B71" s="17">
        <f>IF(C71="","9B-"&amp;TEXT(COUNTA($C$5:C71),"000"))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</row>
    <row r="72" ht="22" customHeight="1">
      <c r="B72" s="16">
        <f>IF(C72="","9B-"&amp;TEXT(COUNTA($C$5:C72),"000"))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</row>
    <row r="73" ht="22" customHeight="1">
      <c r="B73" s="17">
        <f>IF(C73="","9B-"&amp;TEXT(COUNTA($C$5:C73),"000"))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</row>
    <row r="74" ht="22" customHeight="1">
      <c r="B74" s="16">
        <f>IF(C74="","9B-"&amp;TEXT(COUNTA($C$5:C74),"000"))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</row>
    <row r="75" ht="22" customHeight="1">
      <c r="B75" s="17">
        <f>IF(C75="","9B-"&amp;TEXT(COUNTA($C$5:C75),"000"))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</row>
    <row r="76" ht="22" customHeight="1">
      <c r="B76" s="16">
        <f>IF(C76="","9B-"&amp;TEXT(COUNTA($C$5:C76),"000"))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</row>
    <row r="77" ht="22" customHeight="1">
      <c r="B77" s="17">
        <f>IF(C77="","9B-"&amp;TEXT(COUNTA($C$5:C77),"000"))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</row>
    <row r="78" ht="22" customHeight="1">
      <c r="B78" s="16">
        <f>IF(C78="","9B-"&amp;TEXT(COUNTA($C$5:C78),"000"))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</row>
    <row r="79" ht="22" customHeight="1">
      <c r="B79" s="17">
        <f>IF(C79="","9B-"&amp;TEXT(COUNTA($C$5:C79),"000"))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</row>
    <row r="80" ht="22" customHeight="1">
      <c r="B80" s="16">
        <f>IF(C80="","9B-"&amp;TEXT(COUNTA($C$5:C80),"000"))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</row>
    <row r="81" ht="22" customHeight="1">
      <c r="B81" s="17">
        <f>IF(C81="","9B-"&amp;TEXT(COUNTA($C$5:C81),"000"))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</row>
    <row r="82" ht="22" customHeight="1">
      <c r="B82" s="16">
        <f>IF(C82="","9B-"&amp;TEXT(COUNTA($C$5:C82),"000"))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</row>
    <row r="83" ht="22" customHeight="1">
      <c r="B83" s="17">
        <f>IF(C83="","9B-"&amp;TEXT(COUNTA($C$5:C83),"000"))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</row>
    <row r="84" ht="22" customHeight="1">
      <c r="B84" s="16">
        <f>IF(C84="","9B-"&amp;TEXT(COUNTA($C$5:C84),"000"))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</row>
    <row r="85" ht="22" customHeight="1">
      <c r="B85" s="17">
        <f>IF(C85="","9B-"&amp;TEXT(COUNTA($C$5:C85),"000"))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</row>
    <row r="86" ht="22" customHeight="1">
      <c r="B86" s="16">
        <f>IF(C86="","9B-"&amp;TEXT(COUNTA($C$5:C86),"000"))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</row>
    <row r="87" ht="22" customHeight="1">
      <c r="B87" s="17">
        <f>IF(C87="","9B-"&amp;TEXT(COUNTA($C$5:C87),"000"))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</row>
    <row r="88" ht="22" customHeight="1">
      <c r="B88" s="16">
        <f>IF(C88="","9B-"&amp;TEXT(COUNTA($C$5:C88),"000"))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</row>
    <row r="89" ht="22" customHeight="1">
      <c r="B89" s="17">
        <f>IF(C89="","9B-"&amp;TEXT(COUNTA($C$5:C89),"000"))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</row>
    <row r="90" ht="22" customHeight="1">
      <c r="B90" s="16">
        <f>IF(C90="","9B-"&amp;TEXT(COUNTA($C$5:C90),"000"))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</row>
    <row r="91" ht="22" customHeight="1">
      <c r="B91" s="17">
        <f>IF(C91="","9B-"&amp;TEXT(COUNTA($C$5:C91),"000"))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</row>
    <row r="92" ht="22" customHeight="1">
      <c r="B92" s="16">
        <f>IF(C92="","9B-"&amp;TEXT(COUNTA($C$5:C92),"000"))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</row>
    <row r="93" ht="22" customHeight="1">
      <c r="B93" s="17">
        <f>IF(C93="","9B-"&amp;TEXT(COUNTA($C$5:C93),"000"))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</row>
    <row r="94" ht="22" customHeight="1">
      <c r="B94" s="16">
        <f>IF(C94="","9B-"&amp;TEXT(COUNTA($C$5:C94),"000"))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</row>
    <row r="95" ht="22" customHeight="1">
      <c r="B95" s="17">
        <f>IF(C95="","9B-"&amp;TEXT(COUNTA($C$5:C95),"000"))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</row>
    <row r="96" ht="22" customHeight="1">
      <c r="B96" s="16">
        <f>IF(C96="","9B-"&amp;TEXT(COUNTA($C$5:C96),"000"))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</row>
    <row r="97" ht="22" customHeight="1">
      <c r="B97" s="17">
        <f>IF(C97="","9B-"&amp;TEXT(COUNTA($C$5:C97),"000"))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</row>
    <row r="98" ht="22" customHeight="1">
      <c r="B98" s="16">
        <f>IF(C98="","9B-"&amp;TEXT(COUNTA($C$5:C98),"000"))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</row>
    <row r="99" ht="22" customHeight="1">
      <c r="B99" s="17">
        <f>IF(C99="","9B-"&amp;TEXT(COUNTA($C$5:C99),"000"))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</row>
    <row r="100" ht="22" customHeight="1">
      <c r="B100" s="16">
        <f>IF(C100="","9B-"&amp;TEXT(COUNTA($C$5:C100),"000"))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</row>
    <row r="101" ht="22" customHeight="1">
      <c r="B101" s="17">
        <f>IF(C101="","9B-"&amp;TEXT(COUNTA($C$5:C101),"000"))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</row>
    <row r="102" ht="22" customHeight="1">
      <c r="B102" s="16">
        <f>IF(C102="","9B-"&amp;TEXT(COUNTA($C$5:C102),"000"))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</row>
    <row r="103" ht="22" customHeight="1">
      <c r="B103" s="17">
        <f>IF(C103="","9B-"&amp;TEXT(COUNTA($C$5:C103),"000"))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</row>
    <row r="104" ht="22" customHeight="1">
      <c r="B104" s="16">
        <f>IF(C104="","9B-"&amp;TEXT(COUNTA($C$5:C104),"000"))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</row>
    <row r="105" ht="22" customHeight="1">
      <c r="B105" s="17">
        <f>IF(C105="","9B-"&amp;TEXT(COUNTA($C$5:C105),"000"))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</row>
    <row r="106" ht="22" customHeight="1">
      <c r="B106" s="16">
        <f>IF(C106="","9B-"&amp;TEXT(COUNTA($C$5:C106),"000"))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</row>
    <row r="107" ht="22" customHeight="1">
      <c r="B107" s="17">
        <f>IF(C107="","9B-"&amp;TEXT(COUNTA($C$5:C107),"000"))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</row>
    <row r="108" ht="22" customHeight="1">
      <c r="B108" s="16">
        <f>IF(C108="","9B-"&amp;TEXT(COUNTA($C$5:C108),"000"))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</row>
    <row r="109" ht="22" customHeight="1">
      <c r="B109" s="17">
        <f>IF(C109="","9B-"&amp;TEXT(COUNTA($C$5:C109),"000"))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</row>
    <row r="110" ht="22" customHeight="1">
      <c r="B110" s="16">
        <f>IF(C110="","9B-"&amp;TEXT(COUNTA($C$5:C110),"000"))</f>
        <v/>
      </c>
      <c r="C110" s="14" t="n"/>
      <c r="D110" s="14" t="n"/>
      <c r="E110" s="14" t="n"/>
      <c r="F110" s="14" t="n"/>
      <c r="G110" s="14" t="n"/>
      <c r="H110" s="14" t="n"/>
      <c r="I110" s="14" t="n"/>
    </row>
    <row r="111" ht="22" customHeight="1">
      <c r="B111" s="17">
        <f>IF(C111="","9B-"&amp;TEXT(COUNTA($C$5:C111),"000"))</f>
        <v/>
      </c>
      <c r="C111" s="12" t="n"/>
      <c r="D111" s="12" t="n"/>
      <c r="E111" s="12" t="n"/>
      <c r="F111" s="12" t="n"/>
      <c r="G111" s="12" t="n"/>
      <c r="H111" s="12" t="n"/>
      <c r="I111" s="12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Talents cles</t>
        </is>
      </c>
      <c r="D114" s="3" t="inlineStr">
        <is>
          <t>A potentiel eleve</t>
        </is>
      </c>
      <c r="F114" s="3" t="inlineStr">
        <is>
          <t>Positionnes</t>
        </is>
      </c>
    </row>
    <row r="115">
      <c r="B115" s="4">
        <f>COUNTIF(H5:H104,"*Talent cle*")+COUNTIF(H5:H104,"*Etoile*")</f>
        <v/>
      </c>
      <c r="D115" s="4">
        <f>COUNTIF(G5:G104,"Eleve")+COUNTIF(G5:G104,"Tres eleve")</f>
        <v/>
      </c>
      <c r="F115" s="4">
        <f>COUNTIF(B5:B104,"&lt;&gt;")</f>
        <v/>
      </c>
    </row>
  </sheetData>
  <mergeCells count="3">
    <mergeCell ref="B3:I3"/>
    <mergeCell ref="B2:I2"/>
    <mergeCell ref="B113:I113"/>
  </mergeCells>
  <conditionalFormatting sqref="B12:B111">
    <cfRule type="expression" priority="1" dxfId="0">
      <formula>AND($C12="",$C11&lt;&gt;"")</formula>
    </cfRule>
  </conditionalFormatting>
  <conditionalFormatting sqref="C12:C111">
    <cfRule type="expression" priority="2" dxfId="0">
      <formula>AND($C12="",$C11&lt;&gt;"")</formula>
    </cfRule>
  </conditionalFormatting>
  <conditionalFormatting sqref="D12:D111">
    <cfRule type="expression" priority="3" dxfId="0">
      <formula>AND($C12="",$C11&lt;&gt;"")</formula>
    </cfRule>
  </conditionalFormatting>
  <conditionalFormatting sqref="E12:E111">
    <cfRule type="expression" priority="4" dxfId="0">
      <formula>AND($C12="",$C11&lt;&gt;"")</formula>
    </cfRule>
  </conditionalFormatting>
  <conditionalFormatting sqref="F12:F111">
    <cfRule type="expression" priority="5" dxfId="0">
      <formula>AND($C12="",$C11&lt;&gt;"")</formula>
    </cfRule>
  </conditionalFormatting>
  <conditionalFormatting sqref="G12:G111">
    <cfRule type="expression" priority="6" dxfId="0">
      <formula>AND($C12="",$C11&lt;&gt;"")</formula>
    </cfRule>
  </conditionalFormatting>
  <conditionalFormatting sqref="H12:H111">
    <cfRule type="expression" priority="7" dxfId="0">
      <formula>AND($C12="",$C11&lt;&gt;"")</formula>
    </cfRule>
  </conditionalFormatting>
  <conditionalFormatting sqref="I12:I111">
    <cfRule type="expression" priority="8" dxfId="0">
      <formula>AND($C12="",$C11&lt;&gt;"")</formula>
    </cfRule>
  </conditionalFormatting>
  <dataValidations count="4">
    <dataValidation sqref="D5:D111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11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11" showDropDown="0" showInputMessage="0" showErrorMessage="0" allowBlank="1" errorTitle="Erreur" error="Valeur invalide" promptTitle="Liste" prompt="Choisir dans la liste" type="list">
      <formula1>'_Lists'!$E$2:$E$6</formula1>
    </dataValidation>
    <dataValidation sqref="G5:G111" showDropDown="0" showInputMessage="0" showErrorMessage="0" allowBlank="1" errorTitle="Erreur" error="Valeur invalide" promptTitle="Liste" prompt="Choisir dans la liste" type="list">
      <formula1>'_Lists'!$D$2:$D$5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2" customWidth="1" min="4" max="4"/>
    <col width="20" customWidth="1" min="5" max="5"/>
    <col width="14" customWidth="1" min="6" max="6"/>
    <col width="14" customWidth="1" min="7" max="7"/>
    <col width="16" customWidth="1" min="8" max="8"/>
    <col width="34" customWidth="1" min="9" max="9"/>
    <col width="12" customWidth="1" min="10" max="10"/>
    <col width="20" customWidth="1" min="11" max="11"/>
  </cols>
  <sheetData>
    <row r="1" ht="15" customHeight="1"/>
    <row r="2" ht="32" customHeight="1">
      <c r="B2" s="1" t="inlineStr">
        <is>
          <t>HISTORIQUE MENTORAT — Bilans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Mentore</t>
        </is>
      </c>
      <c r="D4" s="11" t="inlineStr">
        <is>
          <t>Mentor</t>
        </is>
      </c>
      <c r="E4" s="11" t="inlineStr">
        <is>
          <t>Type Mentorat</t>
        </is>
      </c>
      <c r="F4" s="11" t="inlineStr">
        <is>
          <t>Date Debut</t>
        </is>
      </c>
      <c r="G4" s="11" t="inlineStr">
        <is>
          <t>Date Fin</t>
        </is>
      </c>
      <c r="H4" s="11" t="inlineStr">
        <is>
          <t>Duree (mois)</t>
        </is>
      </c>
      <c r="I4" s="11" t="inlineStr">
        <is>
          <t>Objectif Principal</t>
        </is>
      </c>
      <c r="J4" s="11" t="inlineStr">
        <is>
          <t>Statut</t>
        </is>
      </c>
      <c r="K4" s="11" t="inlineStr">
        <is>
          <t>Appreciation Globale</t>
        </is>
      </c>
    </row>
    <row r="5" ht="22" customHeight="1">
      <c r="B5" s="12" t="inlineStr">
        <is>
          <t>HM-001</t>
        </is>
      </c>
      <c r="C5" s="12" t="inlineStr">
        <is>
          <t>Nganou D.</t>
        </is>
      </c>
      <c r="D5" s="12" t="inlineStr">
        <is>
          <t>Nkoulou Mbarga P.</t>
        </is>
      </c>
      <c r="E5" s="12" t="inlineStr">
        <is>
          <t>Mentorat classique</t>
        </is>
      </c>
      <c r="F5" s="29" t="n">
        <v>45536</v>
      </c>
      <c r="G5" s="29" t="n">
        <v>45716</v>
      </c>
      <c r="H5" s="13" t="n">
        <v>6</v>
      </c>
      <c r="I5" s="12" t="inlineStr">
        <is>
          <t>Developper competences supervision</t>
        </is>
      </c>
      <c r="J5" s="12" t="inlineStr">
        <is>
          <t>Termine</t>
        </is>
      </c>
      <c r="K5" s="12" t="inlineStr">
        <is>
          <t>Tres bon</t>
        </is>
      </c>
    </row>
    <row r="6" ht="22" customHeight="1">
      <c r="B6" s="14" t="inlineStr">
        <is>
          <t>HM-002</t>
        </is>
      </c>
      <c r="C6" s="14" t="inlineStr">
        <is>
          <t>Fouda M.</t>
        </is>
      </c>
      <c r="D6" s="14" t="inlineStr">
        <is>
          <t>Biyong Jean M.</t>
        </is>
      </c>
      <c r="E6" s="14" t="inlineStr">
        <is>
          <t>Tutorat</t>
        </is>
      </c>
      <c r="F6" s="30" t="n">
        <v>45566</v>
      </c>
      <c r="G6" s="30" t="n">
        <v>45747</v>
      </c>
      <c r="H6" s="15" t="n">
        <v>6</v>
      </c>
      <c r="I6" s="14" t="inlineStr">
        <is>
          <t>Maitrise gestion brigade cuisine</t>
        </is>
      </c>
      <c r="J6" s="14" t="inlineStr">
        <is>
          <t>Termine</t>
        </is>
      </c>
      <c r="K6" s="14" t="inlineStr">
        <is>
          <t>Bon</t>
        </is>
      </c>
    </row>
    <row r="7" ht="22" customHeight="1">
      <c r="B7" s="12" t="inlineStr">
        <is>
          <t>HM-003</t>
        </is>
      </c>
      <c r="C7" s="12" t="inlineStr">
        <is>
          <t>Assistante RH Ngo M.</t>
        </is>
      </c>
      <c r="D7" s="12" t="inlineStr">
        <is>
          <t>Fotso M.</t>
        </is>
      </c>
      <c r="E7" s="12" t="inlineStr">
        <is>
          <t>Coaching</t>
        </is>
      </c>
      <c r="F7" s="29" t="n">
        <v>45717</v>
      </c>
      <c r="G7" s="29" t="n"/>
      <c r="H7" s="13" t="n"/>
      <c r="I7" s="12" t="inlineStr">
        <is>
          <t>Preparation DRH adjoint</t>
        </is>
      </c>
      <c r="J7" s="12" t="inlineStr">
        <is>
          <t>En cours</t>
        </is>
      </c>
      <c r="K7" s="12" t="inlineStr"/>
    </row>
    <row r="8" ht="22" customHeight="1">
      <c r="B8" s="14" t="inlineStr">
        <is>
          <t>HM-004</t>
        </is>
      </c>
      <c r="C8" s="14" t="inlineStr">
        <is>
          <t>Tamo Eric</t>
        </is>
      </c>
      <c r="D8" s="14" t="inlineStr">
        <is>
          <t>Consultant externe</t>
        </is>
      </c>
      <c r="E8" s="14" t="inlineStr">
        <is>
          <t>Coaching</t>
        </is>
      </c>
      <c r="F8" s="30" t="n">
        <v>45748</v>
      </c>
      <c r="G8" s="30" t="n"/>
      <c r="H8" s="15" t="n"/>
      <c r="I8" s="14" t="inlineStr">
        <is>
          <t>Certification reseau et cybersecurite</t>
        </is>
      </c>
      <c r="J8" s="14" t="inlineStr">
        <is>
          <t>En cours</t>
        </is>
      </c>
      <c r="K8" s="14" t="inlineStr"/>
    </row>
    <row r="9" ht="22" customHeight="1">
      <c r="B9" s="17">
        <f>IF(C9="","HM-"&amp;TEXT(COUNTA($C$5:C9),"000"))</f>
        <v/>
      </c>
      <c r="C9" s="12" t="n"/>
      <c r="D9" s="12" t="n"/>
      <c r="E9" s="12" t="n"/>
      <c r="F9" s="29" t="n"/>
      <c r="G9" s="29" t="n"/>
      <c r="H9" s="13">
        <f>IF(OR(F9="",G9="",G9&lt;F9),"",(G9-F9)/30)</f>
        <v/>
      </c>
      <c r="I9" s="12" t="n"/>
      <c r="J9" s="12" t="n"/>
      <c r="K9" s="12" t="n"/>
    </row>
    <row r="10" ht="22" customHeight="1">
      <c r="B10" s="16">
        <f>IF(C10="","HM-"&amp;TEXT(COUNTA($C$5:C10),"000"))</f>
        <v/>
      </c>
      <c r="C10" s="14" t="n"/>
      <c r="D10" s="14" t="n"/>
      <c r="E10" s="14" t="n"/>
      <c r="F10" s="30" t="n"/>
      <c r="G10" s="30" t="n"/>
      <c r="H10" s="15">
        <f>IF(OR(F10="",G10="",G10&lt;F10),"",(G10-F10)/30)</f>
        <v/>
      </c>
      <c r="I10" s="14" t="n"/>
      <c r="J10" s="14" t="n"/>
      <c r="K10" s="14" t="n"/>
    </row>
    <row r="11" ht="22" customHeight="1">
      <c r="B11" s="17">
        <f>IF(C11="","HM-"&amp;TEXT(COUNTA($C$5:C11),"000"))</f>
        <v/>
      </c>
      <c r="C11" s="12" t="n"/>
      <c r="D11" s="12" t="n"/>
      <c r="E11" s="12" t="n"/>
      <c r="F11" s="29" t="n"/>
      <c r="G11" s="29" t="n"/>
      <c r="H11" s="13">
        <f>IF(OR(F11="",G11="",G11&lt;F11),"",(G11-F11)/30)</f>
        <v/>
      </c>
      <c r="I11" s="12" t="n"/>
      <c r="J11" s="12" t="n"/>
      <c r="K11" s="12" t="n"/>
    </row>
    <row r="12" ht="22" customHeight="1">
      <c r="B12" s="16">
        <f>IF(C12="","HM-"&amp;TEXT(COUNTA($C$5:C12),"000"))</f>
        <v/>
      </c>
      <c r="C12" s="14" t="n"/>
      <c r="D12" s="14" t="n"/>
      <c r="E12" s="14" t="n"/>
      <c r="F12" s="30" t="n"/>
      <c r="G12" s="30" t="n"/>
      <c r="H12" s="15">
        <f>IF(OR(F12="",G12="",G12&lt;F12),"",(G12-F12)/30)</f>
        <v/>
      </c>
      <c r="I12" s="14" t="n"/>
      <c r="J12" s="14" t="n"/>
      <c r="K12" s="14" t="n"/>
    </row>
    <row r="13" ht="22" customHeight="1">
      <c r="B13" s="17">
        <f>IF(C13="","HM-"&amp;TEXT(COUNTA($C$5:C13),"000"))</f>
        <v/>
      </c>
      <c r="C13" s="12" t="n"/>
      <c r="D13" s="12" t="n"/>
      <c r="E13" s="12" t="n"/>
      <c r="F13" s="29" t="n"/>
      <c r="G13" s="29" t="n"/>
      <c r="H13" s="13">
        <f>IF(OR(F13="",G13="",G13&lt;F13),"",(G13-F13)/30)</f>
        <v/>
      </c>
      <c r="I13" s="12" t="n"/>
      <c r="J13" s="12" t="n"/>
      <c r="K13" s="12" t="n"/>
    </row>
    <row r="14" ht="22" customHeight="1">
      <c r="B14" s="16">
        <f>IF(C14="","HM-"&amp;TEXT(COUNTA($C$5:C14),"000"))</f>
        <v/>
      </c>
      <c r="C14" s="14" t="n"/>
      <c r="D14" s="14" t="n"/>
      <c r="E14" s="14" t="n"/>
      <c r="F14" s="30" t="n"/>
      <c r="G14" s="30" t="n"/>
      <c r="H14" s="15">
        <f>IF(OR(F14="",G14="",G14&lt;F14),"",(G14-F14)/30)</f>
        <v/>
      </c>
      <c r="I14" s="14" t="n"/>
      <c r="J14" s="14" t="n"/>
      <c r="K14" s="14" t="n"/>
    </row>
    <row r="15" ht="22" customHeight="1">
      <c r="B15" s="17">
        <f>IF(C15="","HM-"&amp;TEXT(COUNTA($C$5:C15),"000"))</f>
        <v/>
      </c>
      <c r="C15" s="12" t="n"/>
      <c r="D15" s="12" t="n"/>
      <c r="E15" s="12" t="n"/>
      <c r="F15" s="29" t="n"/>
      <c r="G15" s="29" t="n"/>
      <c r="H15" s="13">
        <f>IF(OR(F15="",G15="",G15&lt;F15),"",(G15-F15)/30)</f>
        <v/>
      </c>
      <c r="I15" s="12" t="n"/>
      <c r="J15" s="12" t="n"/>
      <c r="K15" s="12" t="n"/>
    </row>
    <row r="16" ht="22" customHeight="1">
      <c r="B16" s="16">
        <f>IF(C16="","HM-"&amp;TEXT(COUNTA($C$5:C16),"000"))</f>
        <v/>
      </c>
      <c r="C16" s="14" t="n"/>
      <c r="D16" s="14" t="n"/>
      <c r="E16" s="14" t="n"/>
      <c r="F16" s="30" t="n"/>
      <c r="G16" s="30" t="n"/>
      <c r="H16" s="15">
        <f>IF(OR(F16="",G16="",G16&lt;F16),"",(G16-F16)/30)</f>
        <v/>
      </c>
      <c r="I16" s="14" t="n"/>
      <c r="J16" s="14" t="n"/>
      <c r="K16" s="14" t="n"/>
    </row>
    <row r="17" ht="22" customHeight="1">
      <c r="B17" s="17">
        <f>IF(C17="","HM-"&amp;TEXT(COUNTA($C$5:C17),"000"))</f>
        <v/>
      </c>
      <c r="C17" s="12" t="n"/>
      <c r="D17" s="12" t="n"/>
      <c r="E17" s="12" t="n"/>
      <c r="F17" s="29" t="n"/>
      <c r="G17" s="29" t="n"/>
      <c r="H17" s="13">
        <f>IF(OR(F17="",G17="",G17&lt;F17),"",(G17-F17)/30)</f>
        <v/>
      </c>
      <c r="I17" s="12" t="n"/>
      <c r="J17" s="12" t="n"/>
      <c r="K17" s="12" t="n"/>
    </row>
    <row r="18" ht="22" customHeight="1">
      <c r="B18" s="16">
        <f>IF(C18="","HM-"&amp;TEXT(COUNTA($C$5:C18),"000"))</f>
        <v/>
      </c>
      <c r="C18" s="14" t="n"/>
      <c r="D18" s="14" t="n"/>
      <c r="E18" s="14" t="n"/>
      <c r="F18" s="30" t="n"/>
      <c r="G18" s="30" t="n"/>
      <c r="H18" s="15">
        <f>IF(OR(F18="",G18="",G18&lt;F18),"",(G18-F18)/30)</f>
        <v/>
      </c>
      <c r="I18" s="14" t="n"/>
      <c r="J18" s="14" t="n"/>
      <c r="K18" s="14" t="n"/>
    </row>
    <row r="19" ht="22" customHeight="1">
      <c r="B19" s="17">
        <f>IF(C19="","HM-"&amp;TEXT(COUNTA($C$5:C19),"000"))</f>
        <v/>
      </c>
      <c r="C19" s="12" t="n"/>
      <c r="D19" s="12" t="n"/>
      <c r="E19" s="12" t="n"/>
      <c r="F19" s="29" t="n"/>
      <c r="G19" s="29" t="n"/>
      <c r="H19" s="13">
        <f>IF(OR(F19="",G19="",G19&lt;F19),"",(G19-F19)/30)</f>
        <v/>
      </c>
      <c r="I19" s="12" t="n"/>
      <c r="J19" s="12" t="n"/>
      <c r="K19" s="12" t="n"/>
    </row>
    <row r="20" ht="22" customHeight="1">
      <c r="B20" s="16">
        <f>IF(C20="","HM-"&amp;TEXT(COUNTA($C$5:C20),"000"))</f>
        <v/>
      </c>
      <c r="C20" s="14" t="n"/>
      <c r="D20" s="14" t="n"/>
      <c r="E20" s="14" t="n"/>
      <c r="F20" s="30" t="n"/>
      <c r="G20" s="30" t="n"/>
      <c r="H20" s="15">
        <f>IF(OR(F20="",G20="",G20&lt;F20),"",(G20-F20)/30)</f>
        <v/>
      </c>
      <c r="I20" s="14" t="n"/>
      <c r="J20" s="14" t="n"/>
      <c r="K20" s="14" t="n"/>
    </row>
    <row r="21" ht="22" customHeight="1">
      <c r="B21" s="17">
        <f>IF(C21="","HM-"&amp;TEXT(COUNTA($C$5:C21),"000"))</f>
        <v/>
      </c>
      <c r="C21" s="12" t="n"/>
      <c r="D21" s="12" t="n"/>
      <c r="E21" s="12" t="n"/>
      <c r="F21" s="29" t="n"/>
      <c r="G21" s="29" t="n"/>
      <c r="H21" s="13">
        <f>IF(OR(F21="",G21="",G21&lt;F21),"",(G21-F21)/30)</f>
        <v/>
      </c>
      <c r="I21" s="12" t="n"/>
      <c r="J21" s="12" t="n"/>
      <c r="K21" s="12" t="n"/>
    </row>
    <row r="22" ht="22" customHeight="1">
      <c r="B22" s="16">
        <f>IF(C22="","HM-"&amp;TEXT(COUNTA($C$5:C22),"000"))</f>
        <v/>
      </c>
      <c r="C22" s="14" t="n"/>
      <c r="D22" s="14" t="n"/>
      <c r="E22" s="14" t="n"/>
      <c r="F22" s="30" t="n"/>
      <c r="G22" s="30" t="n"/>
      <c r="H22" s="15">
        <f>IF(OR(F22="",G22="",G22&lt;F22),"",(G22-F22)/30)</f>
        <v/>
      </c>
      <c r="I22" s="14" t="n"/>
      <c r="J22" s="14" t="n"/>
      <c r="K22" s="14" t="n"/>
    </row>
    <row r="23" ht="22" customHeight="1">
      <c r="B23" s="17">
        <f>IF(C23="","HM-"&amp;TEXT(COUNTA($C$5:C23),"000"))</f>
        <v/>
      </c>
      <c r="C23" s="12" t="n"/>
      <c r="D23" s="12" t="n"/>
      <c r="E23" s="12" t="n"/>
      <c r="F23" s="29" t="n"/>
      <c r="G23" s="29" t="n"/>
      <c r="H23" s="13">
        <f>IF(OR(F23="",G23="",G23&lt;F23),"",(G23-F23)/30)</f>
        <v/>
      </c>
      <c r="I23" s="12" t="n"/>
      <c r="J23" s="12" t="n"/>
      <c r="K23" s="12" t="n"/>
    </row>
    <row r="24" ht="22" customHeight="1">
      <c r="B24" s="16">
        <f>IF(C24="","HM-"&amp;TEXT(COUNTA($C$5:C24),"000"))</f>
        <v/>
      </c>
      <c r="C24" s="14" t="n"/>
      <c r="D24" s="14" t="n"/>
      <c r="E24" s="14" t="n"/>
      <c r="F24" s="30" t="n"/>
      <c r="G24" s="30" t="n"/>
      <c r="H24" s="15">
        <f>IF(OR(F24="",G24="",G24&lt;F24),"",(G24-F24)/30)</f>
        <v/>
      </c>
      <c r="I24" s="14" t="n"/>
      <c r="J24" s="14" t="n"/>
      <c r="K24" s="14" t="n"/>
    </row>
    <row r="25" ht="22" customHeight="1">
      <c r="B25" s="17">
        <f>IF(C25="","HM-"&amp;TEXT(COUNTA($C$5:C25),"000"))</f>
        <v/>
      </c>
      <c r="C25" s="12" t="n"/>
      <c r="D25" s="12" t="n"/>
      <c r="E25" s="12" t="n"/>
      <c r="F25" s="29" t="n"/>
      <c r="G25" s="29" t="n"/>
      <c r="H25" s="13">
        <f>IF(OR(F25="",G25="",G25&lt;F25),"",(G25-F25)/30)</f>
        <v/>
      </c>
      <c r="I25" s="12" t="n"/>
      <c r="J25" s="12" t="n"/>
      <c r="K25" s="12" t="n"/>
    </row>
    <row r="26" ht="22" customHeight="1">
      <c r="B26" s="16">
        <f>IF(C26="","HM-"&amp;TEXT(COUNTA($C$5:C26),"000"))</f>
        <v/>
      </c>
      <c r="C26" s="14" t="n"/>
      <c r="D26" s="14" t="n"/>
      <c r="E26" s="14" t="n"/>
      <c r="F26" s="30" t="n"/>
      <c r="G26" s="30" t="n"/>
      <c r="H26" s="15">
        <f>IF(OR(F26="",G26="",G26&lt;F26),"",(G26-F26)/30)</f>
        <v/>
      </c>
      <c r="I26" s="14" t="n"/>
      <c r="J26" s="14" t="n"/>
      <c r="K26" s="14" t="n"/>
    </row>
    <row r="27" ht="22" customHeight="1">
      <c r="B27" s="17">
        <f>IF(C27="","HM-"&amp;TEXT(COUNTA($C$5:C27),"000"))</f>
        <v/>
      </c>
      <c r="C27" s="12" t="n"/>
      <c r="D27" s="12" t="n"/>
      <c r="E27" s="12" t="n"/>
      <c r="F27" s="29" t="n"/>
      <c r="G27" s="29" t="n"/>
      <c r="H27" s="13">
        <f>IF(OR(F27="",G27="",G27&lt;F27),"",(G27-F27)/30)</f>
        <v/>
      </c>
      <c r="I27" s="12" t="n"/>
      <c r="J27" s="12" t="n"/>
      <c r="K27" s="12" t="n"/>
    </row>
    <row r="28" ht="22" customHeight="1">
      <c r="B28" s="16">
        <f>IF(C28="","HM-"&amp;TEXT(COUNTA($C$5:C28),"000"))</f>
        <v/>
      </c>
      <c r="C28" s="14" t="n"/>
      <c r="D28" s="14" t="n"/>
      <c r="E28" s="14" t="n"/>
      <c r="F28" s="30" t="n"/>
      <c r="G28" s="30" t="n"/>
      <c r="H28" s="15">
        <f>IF(OR(F28="",G28="",G28&lt;F28),"",(G28-F28)/30)</f>
        <v/>
      </c>
      <c r="I28" s="14" t="n"/>
      <c r="J28" s="14" t="n"/>
      <c r="K28" s="14" t="n"/>
    </row>
    <row r="29" ht="22" customHeight="1">
      <c r="B29" s="17">
        <f>IF(C29="","HM-"&amp;TEXT(COUNTA($C$5:C29),"000"))</f>
        <v/>
      </c>
      <c r="C29" s="12" t="n"/>
      <c r="D29" s="12" t="n"/>
      <c r="E29" s="12" t="n"/>
      <c r="F29" s="29" t="n"/>
      <c r="G29" s="29" t="n"/>
      <c r="H29" s="13">
        <f>IF(OR(F29="",G29="",G29&lt;F29),"",(G29-F29)/30)</f>
        <v/>
      </c>
      <c r="I29" s="12" t="n"/>
      <c r="J29" s="12" t="n"/>
      <c r="K29" s="12" t="n"/>
    </row>
    <row r="30" ht="22" customHeight="1">
      <c r="B30" s="16">
        <f>IF(C30="","HM-"&amp;TEXT(COUNTA($C$5:C30),"000"))</f>
        <v/>
      </c>
      <c r="C30" s="14" t="n"/>
      <c r="D30" s="14" t="n"/>
      <c r="E30" s="14" t="n"/>
      <c r="F30" s="30" t="n"/>
      <c r="G30" s="30" t="n"/>
      <c r="H30" s="15">
        <f>IF(OR(F30="",G30="",G30&lt;F30),"",(G30-F30)/30)</f>
        <v/>
      </c>
      <c r="I30" s="14" t="n"/>
      <c r="J30" s="14" t="n"/>
      <c r="K30" s="14" t="n"/>
    </row>
    <row r="31" ht="22" customHeight="1">
      <c r="B31" s="17">
        <f>IF(C31="","HM-"&amp;TEXT(COUNTA($C$5:C31),"000"))</f>
        <v/>
      </c>
      <c r="C31" s="12" t="n"/>
      <c r="D31" s="12" t="n"/>
      <c r="E31" s="12" t="n"/>
      <c r="F31" s="29" t="n"/>
      <c r="G31" s="29" t="n"/>
      <c r="H31" s="13">
        <f>IF(OR(F31="",G31="",G31&lt;F31),"",(G31-F31)/30)</f>
        <v/>
      </c>
      <c r="I31" s="12" t="n"/>
      <c r="J31" s="12" t="n"/>
      <c r="K31" s="12" t="n"/>
    </row>
    <row r="32" ht="22" customHeight="1">
      <c r="B32" s="16">
        <f>IF(C32="","HM-"&amp;TEXT(COUNTA($C$5:C32),"000"))</f>
        <v/>
      </c>
      <c r="C32" s="14" t="n"/>
      <c r="D32" s="14" t="n"/>
      <c r="E32" s="14" t="n"/>
      <c r="F32" s="30" t="n"/>
      <c r="G32" s="30" t="n"/>
      <c r="H32" s="15">
        <f>IF(OR(F32="",G32="",G32&lt;F32),"",(G32-F32)/30)</f>
        <v/>
      </c>
      <c r="I32" s="14" t="n"/>
      <c r="J32" s="14" t="n"/>
      <c r="K32" s="14" t="n"/>
    </row>
    <row r="33" ht="22" customHeight="1">
      <c r="B33" s="17">
        <f>IF(C33="","HM-"&amp;TEXT(COUNTA($C$5:C33),"000"))</f>
        <v/>
      </c>
      <c r="C33" s="12" t="n"/>
      <c r="D33" s="12" t="n"/>
      <c r="E33" s="12" t="n"/>
      <c r="F33" s="29" t="n"/>
      <c r="G33" s="29" t="n"/>
      <c r="H33" s="13">
        <f>IF(OR(F33="",G33="",G33&lt;F33),"",(G33-F33)/30)</f>
        <v/>
      </c>
      <c r="I33" s="12" t="n"/>
      <c r="J33" s="12" t="n"/>
      <c r="K33" s="12" t="n"/>
    </row>
    <row r="34" ht="22" customHeight="1">
      <c r="B34" s="16">
        <f>IF(C34="","HM-"&amp;TEXT(COUNTA($C$5:C34),"000"))</f>
        <v/>
      </c>
      <c r="C34" s="14" t="n"/>
      <c r="D34" s="14" t="n"/>
      <c r="E34" s="14" t="n"/>
      <c r="F34" s="30" t="n"/>
      <c r="G34" s="30" t="n"/>
      <c r="H34" s="15">
        <f>IF(OR(F34="",G34="",G34&lt;F34),"",(G34-F34)/30)</f>
        <v/>
      </c>
      <c r="I34" s="14" t="n"/>
      <c r="J34" s="14" t="n"/>
      <c r="K34" s="14" t="n"/>
    </row>
    <row r="35" ht="22" customHeight="1">
      <c r="B35" s="17">
        <f>IF(C35="","HM-"&amp;TEXT(COUNTA($C$5:C35),"000"))</f>
        <v/>
      </c>
      <c r="C35" s="12" t="n"/>
      <c r="D35" s="12" t="n"/>
      <c r="E35" s="12" t="n"/>
      <c r="F35" s="29" t="n"/>
      <c r="G35" s="29" t="n"/>
      <c r="H35" s="13">
        <f>IF(OR(F35="",G35="",G35&lt;F35),"",(G35-F35)/30)</f>
        <v/>
      </c>
      <c r="I35" s="12" t="n"/>
      <c r="J35" s="12" t="n"/>
      <c r="K35" s="12" t="n"/>
    </row>
    <row r="36" ht="22" customHeight="1">
      <c r="B36" s="16">
        <f>IF(C36="","HM-"&amp;TEXT(COUNTA($C$5:C36),"000"))</f>
        <v/>
      </c>
      <c r="C36" s="14" t="n"/>
      <c r="D36" s="14" t="n"/>
      <c r="E36" s="14" t="n"/>
      <c r="F36" s="30" t="n"/>
      <c r="G36" s="30" t="n"/>
      <c r="H36" s="15">
        <f>IF(OR(F36="",G36="",G36&lt;F36),"",(G36-F36)/30)</f>
        <v/>
      </c>
      <c r="I36" s="14" t="n"/>
      <c r="J36" s="14" t="n"/>
      <c r="K36" s="14" t="n"/>
    </row>
    <row r="37" ht="22" customHeight="1">
      <c r="B37" s="17">
        <f>IF(C37="","HM-"&amp;TEXT(COUNTA($C$5:C37),"000"))</f>
        <v/>
      </c>
      <c r="C37" s="12" t="n"/>
      <c r="D37" s="12" t="n"/>
      <c r="E37" s="12" t="n"/>
      <c r="F37" s="29" t="n"/>
      <c r="G37" s="29" t="n"/>
      <c r="H37" s="13">
        <f>IF(OR(F37="",G37="",G37&lt;F37),"",(G37-F37)/30)</f>
        <v/>
      </c>
      <c r="I37" s="12" t="n"/>
      <c r="J37" s="12" t="n"/>
      <c r="K37" s="12" t="n"/>
    </row>
    <row r="38" ht="22" customHeight="1">
      <c r="B38" s="16">
        <f>IF(C38="","HM-"&amp;TEXT(COUNTA($C$5:C38),"000"))</f>
        <v/>
      </c>
      <c r="C38" s="14" t="n"/>
      <c r="D38" s="14" t="n"/>
      <c r="E38" s="14" t="n"/>
      <c r="F38" s="30" t="n"/>
      <c r="G38" s="30" t="n"/>
      <c r="H38" s="15">
        <f>IF(OR(F38="",G38="",G38&lt;F38),"",(G38-F38)/30)</f>
        <v/>
      </c>
      <c r="I38" s="14" t="n"/>
      <c r="J38" s="14" t="n"/>
      <c r="K38" s="14" t="n"/>
    </row>
    <row r="39" ht="22" customHeight="1">
      <c r="B39" s="17">
        <f>IF(C39="","HM-"&amp;TEXT(COUNTA($C$5:C39),"000"))</f>
        <v/>
      </c>
      <c r="C39" s="12" t="n"/>
      <c r="D39" s="12" t="n"/>
      <c r="E39" s="12" t="n"/>
      <c r="F39" s="29" t="n"/>
      <c r="G39" s="29" t="n"/>
      <c r="H39" s="13">
        <f>IF(OR(F39="",G39="",G39&lt;F39),"",(G39-F39)/30)</f>
        <v/>
      </c>
      <c r="I39" s="12" t="n"/>
      <c r="J39" s="12" t="n"/>
      <c r="K39" s="12" t="n"/>
    </row>
    <row r="40" ht="22" customHeight="1">
      <c r="B40" s="16">
        <f>IF(C40="","HM-"&amp;TEXT(COUNTA($C$5:C40),"000"))</f>
        <v/>
      </c>
      <c r="C40" s="14" t="n"/>
      <c r="D40" s="14" t="n"/>
      <c r="E40" s="14" t="n"/>
      <c r="F40" s="30" t="n"/>
      <c r="G40" s="30" t="n"/>
      <c r="H40" s="15">
        <f>IF(OR(F40="",G40="",G40&lt;F40),"",(G40-F40)/30)</f>
        <v/>
      </c>
      <c r="I40" s="14" t="n"/>
      <c r="J40" s="14" t="n"/>
      <c r="K40" s="14" t="n"/>
    </row>
    <row r="41" ht="22" customHeight="1">
      <c r="B41" s="17">
        <f>IF(C41="","HM-"&amp;TEXT(COUNTA($C$5:C41),"000"))</f>
        <v/>
      </c>
      <c r="C41" s="12" t="n"/>
      <c r="D41" s="12" t="n"/>
      <c r="E41" s="12" t="n"/>
      <c r="F41" s="29" t="n"/>
      <c r="G41" s="29" t="n"/>
      <c r="H41" s="13">
        <f>IF(OR(F41="",G41="",G41&lt;F41),"",(G41-F41)/30)</f>
        <v/>
      </c>
      <c r="I41" s="12" t="n"/>
      <c r="J41" s="12" t="n"/>
      <c r="K41" s="12" t="n"/>
    </row>
    <row r="42" ht="22" customHeight="1">
      <c r="B42" s="16">
        <f>IF(C42="","HM-"&amp;TEXT(COUNTA($C$5:C42),"000"))</f>
        <v/>
      </c>
      <c r="C42" s="14" t="n"/>
      <c r="D42" s="14" t="n"/>
      <c r="E42" s="14" t="n"/>
      <c r="F42" s="30" t="n"/>
      <c r="G42" s="30" t="n"/>
      <c r="H42" s="15">
        <f>IF(OR(F42="",G42="",G42&lt;F42),"",(G42-F42)/30)</f>
        <v/>
      </c>
      <c r="I42" s="14" t="n"/>
      <c r="J42" s="14" t="n"/>
      <c r="K42" s="14" t="n"/>
    </row>
    <row r="43" ht="22" customHeight="1">
      <c r="B43" s="17">
        <f>IF(C43="","HM-"&amp;TEXT(COUNTA($C$5:C43),"000"))</f>
        <v/>
      </c>
      <c r="C43" s="12" t="n"/>
      <c r="D43" s="12" t="n"/>
      <c r="E43" s="12" t="n"/>
      <c r="F43" s="29" t="n"/>
      <c r="G43" s="29" t="n"/>
      <c r="H43" s="13">
        <f>IF(OR(F43="",G43="",G43&lt;F43),"",(G43-F43)/30)</f>
        <v/>
      </c>
      <c r="I43" s="12" t="n"/>
      <c r="J43" s="12" t="n"/>
      <c r="K43" s="12" t="n"/>
    </row>
    <row r="44" ht="22" customHeight="1">
      <c r="B44" s="16">
        <f>IF(C44="","HM-"&amp;TEXT(COUNTA($C$5:C44),"000"))</f>
        <v/>
      </c>
      <c r="C44" s="14" t="n"/>
      <c r="D44" s="14" t="n"/>
      <c r="E44" s="14" t="n"/>
      <c r="F44" s="30" t="n"/>
      <c r="G44" s="30" t="n"/>
      <c r="H44" s="15">
        <f>IF(OR(F44="",G44="",G44&lt;F44),"",(G44-F44)/30)</f>
        <v/>
      </c>
      <c r="I44" s="14" t="n"/>
      <c r="J44" s="14" t="n"/>
      <c r="K44" s="14" t="n"/>
    </row>
    <row r="45" ht="22" customHeight="1">
      <c r="B45" s="17">
        <f>IF(C45="","HM-"&amp;TEXT(COUNTA($C$5:C45),"000"))</f>
        <v/>
      </c>
      <c r="C45" s="12" t="n"/>
      <c r="D45" s="12" t="n"/>
      <c r="E45" s="12" t="n"/>
      <c r="F45" s="29" t="n"/>
      <c r="G45" s="29" t="n"/>
      <c r="H45" s="13">
        <f>IF(OR(F45="",G45="",G45&lt;F45),"",(G45-F45)/30)</f>
        <v/>
      </c>
      <c r="I45" s="12" t="n"/>
      <c r="J45" s="12" t="n"/>
      <c r="K45" s="12" t="n"/>
    </row>
    <row r="46" ht="22" customHeight="1">
      <c r="B46" s="16">
        <f>IF(C46="","HM-"&amp;TEXT(COUNTA($C$5:C46),"000"))</f>
        <v/>
      </c>
      <c r="C46" s="14" t="n"/>
      <c r="D46" s="14" t="n"/>
      <c r="E46" s="14" t="n"/>
      <c r="F46" s="30" t="n"/>
      <c r="G46" s="30" t="n"/>
      <c r="H46" s="15">
        <f>IF(OR(F46="",G46="",G46&lt;F46),"",(G46-F46)/30)</f>
        <v/>
      </c>
      <c r="I46" s="14" t="n"/>
      <c r="J46" s="14" t="n"/>
      <c r="K46" s="14" t="n"/>
    </row>
    <row r="47" ht="22" customHeight="1">
      <c r="B47" s="17">
        <f>IF(C47="","HM-"&amp;TEXT(COUNTA($C$5:C47),"000"))</f>
        <v/>
      </c>
      <c r="C47" s="12" t="n"/>
      <c r="D47" s="12" t="n"/>
      <c r="E47" s="12" t="n"/>
      <c r="F47" s="29" t="n"/>
      <c r="G47" s="29" t="n"/>
      <c r="H47" s="13">
        <f>IF(OR(F47="",G47="",G47&lt;F47),"",(G47-F47)/30)</f>
        <v/>
      </c>
      <c r="I47" s="12" t="n"/>
      <c r="J47" s="12" t="n"/>
      <c r="K47" s="12" t="n"/>
    </row>
    <row r="48" ht="22" customHeight="1">
      <c r="B48" s="16">
        <f>IF(C48="","HM-"&amp;TEXT(COUNTA($C$5:C48),"000"))</f>
        <v/>
      </c>
      <c r="C48" s="14" t="n"/>
      <c r="D48" s="14" t="n"/>
      <c r="E48" s="14" t="n"/>
      <c r="F48" s="30" t="n"/>
      <c r="G48" s="30" t="n"/>
      <c r="H48" s="15">
        <f>IF(OR(F48="",G48="",G48&lt;F48),"",(G48-F48)/30)</f>
        <v/>
      </c>
      <c r="I48" s="14" t="n"/>
      <c r="J48" s="14" t="n"/>
      <c r="K48" s="14" t="n"/>
    </row>
    <row r="49" ht="22" customHeight="1">
      <c r="B49" s="17">
        <f>IF(C49="","HM-"&amp;TEXT(COUNTA($C$5:C49),"000"))</f>
        <v/>
      </c>
      <c r="C49" s="12" t="n"/>
      <c r="D49" s="12" t="n"/>
      <c r="E49" s="12" t="n"/>
      <c r="F49" s="29" t="n"/>
      <c r="G49" s="29" t="n"/>
      <c r="H49" s="13">
        <f>IF(OR(F49="",G49="",G49&lt;F49),"",(G49-F49)/30)</f>
        <v/>
      </c>
      <c r="I49" s="12" t="n"/>
      <c r="J49" s="12" t="n"/>
      <c r="K49" s="12" t="n"/>
    </row>
    <row r="50" ht="22" customHeight="1">
      <c r="B50" s="16">
        <f>IF(C50="","HM-"&amp;TEXT(COUNTA($C$5:C50),"000"))</f>
        <v/>
      </c>
      <c r="C50" s="14" t="n"/>
      <c r="D50" s="14" t="n"/>
      <c r="E50" s="14" t="n"/>
      <c r="F50" s="30" t="n"/>
      <c r="G50" s="30" t="n"/>
      <c r="H50" s="15">
        <f>IF(OR(F50="",G50="",G50&lt;F50),"",(G50-F50)/30)</f>
        <v/>
      </c>
      <c r="I50" s="14" t="n"/>
      <c r="J50" s="14" t="n"/>
      <c r="K50" s="14" t="n"/>
    </row>
    <row r="51" ht="22" customHeight="1">
      <c r="B51" s="17">
        <f>IF(C51="","HM-"&amp;TEXT(COUNTA($C$5:C51),"000"))</f>
        <v/>
      </c>
      <c r="C51" s="12" t="n"/>
      <c r="D51" s="12" t="n"/>
      <c r="E51" s="12" t="n"/>
      <c r="F51" s="29" t="n"/>
      <c r="G51" s="29" t="n"/>
      <c r="H51" s="13">
        <f>IF(OR(F51="",G51="",G51&lt;F51),"",(G51-F51)/30)</f>
        <v/>
      </c>
      <c r="I51" s="12" t="n"/>
      <c r="J51" s="12" t="n"/>
      <c r="K51" s="12" t="n"/>
    </row>
    <row r="52" ht="22" customHeight="1">
      <c r="B52" s="16">
        <f>IF(C52="","HM-"&amp;TEXT(COUNTA($C$5:C52),"000"))</f>
        <v/>
      </c>
      <c r="C52" s="14" t="n"/>
      <c r="D52" s="14" t="n"/>
      <c r="E52" s="14" t="n"/>
      <c r="F52" s="30" t="n"/>
      <c r="G52" s="30" t="n"/>
      <c r="H52" s="15">
        <f>IF(OR(F52="",G52="",G52&lt;F52),"",(G52-F52)/30)</f>
        <v/>
      </c>
      <c r="I52" s="14" t="n"/>
      <c r="J52" s="14" t="n"/>
      <c r="K52" s="14" t="n"/>
    </row>
    <row r="53" ht="22" customHeight="1">
      <c r="B53" s="17">
        <f>IF(C53="","HM-"&amp;TEXT(COUNTA($C$5:C53),"000"))</f>
        <v/>
      </c>
      <c r="C53" s="12" t="n"/>
      <c r="D53" s="12" t="n"/>
      <c r="E53" s="12" t="n"/>
      <c r="F53" s="29" t="n"/>
      <c r="G53" s="29" t="n"/>
      <c r="H53" s="13">
        <f>IF(OR(F53="",G53="",G53&lt;F53),"",(G53-F53)/30)</f>
        <v/>
      </c>
      <c r="I53" s="12" t="n"/>
      <c r="J53" s="12" t="n"/>
      <c r="K53" s="12" t="n"/>
    </row>
    <row r="54" ht="22" customHeight="1">
      <c r="B54" s="16">
        <f>IF(C54="","HM-"&amp;TEXT(COUNTA($C$5:C54),"000"))</f>
        <v/>
      </c>
      <c r="C54" s="14" t="n"/>
      <c r="D54" s="14" t="n"/>
      <c r="E54" s="14" t="n"/>
      <c r="F54" s="30" t="n"/>
      <c r="G54" s="30" t="n"/>
      <c r="H54" s="15">
        <f>IF(OR(F54="",G54="",G54&lt;F54),"",(G54-F54)/30)</f>
        <v/>
      </c>
      <c r="I54" s="14" t="n"/>
      <c r="J54" s="14" t="n"/>
      <c r="K54" s="14" t="n"/>
    </row>
    <row r="55" ht="22" customHeight="1">
      <c r="B55" s="17">
        <f>IF(C55="","HM-"&amp;TEXT(COUNTA($C$5:C55),"000"))</f>
        <v/>
      </c>
      <c r="C55" s="12" t="n"/>
      <c r="D55" s="12" t="n"/>
      <c r="E55" s="12" t="n"/>
      <c r="F55" s="29" t="n"/>
      <c r="G55" s="29" t="n"/>
      <c r="H55" s="13">
        <f>IF(OR(F55="",G55="",G55&lt;F55),"",(G55-F55)/30)</f>
        <v/>
      </c>
      <c r="I55" s="12" t="n"/>
      <c r="J55" s="12" t="n"/>
      <c r="K55" s="12" t="n"/>
    </row>
    <row r="56" ht="22" customHeight="1">
      <c r="B56" s="16">
        <f>IF(C56="","HM-"&amp;TEXT(COUNTA($C$5:C56),"000"))</f>
        <v/>
      </c>
      <c r="C56" s="14" t="n"/>
      <c r="D56" s="14" t="n"/>
      <c r="E56" s="14" t="n"/>
      <c r="F56" s="30" t="n"/>
      <c r="G56" s="30" t="n"/>
      <c r="H56" s="15">
        <f>IF(OR(F56="",G56="",G56&lt;F56),"",(G56-F56)/30)</f>
        <v/>
      </c>
      <c r="I56" s="14" t="n"/>
      <c r="J56" s="14" t="n"/>
      <c r="K56" s="14" t="n"/>
    </row>
    <row r="57" ht="22" customHeight="1">
      <c r="B57" s="17">
        <f>IF(C57="","HM-"&amp;TEXT(COUNTA($C$5:C57),"000"))</f>
        <v/>
      </c>
      <c r="C57" s="12" t="n"/>
      <c r="D57" s="12" t="n"/>
      <c r="E57" s="12" t="n"/>
      <c r="F57" s="29" t="n"/>
      <c r="G57" s="29" t="n"/>
      <c r="H57" s="13">
        <f>IF(OR(F57="",G57="",G57&lt;F57),"",(G57-F57)/30)</f>
        <v/>
      </c>
      <c r="I57" s="12" t="n"/>
      <c r="J57" s="12" t="n"/>
      <c r="K57" s="12" t="n"/>
    </row>
    <row r="58" ht="22" customHeight="1">
      <c r="B58" s="16">
        <f>IF(C58="","HM-"&amp;TEXT(COUNTA($C$5:C58),"000"))</f>
        <v/>
      </c>
      <c r="C58" s="14" t="n"/>
      <c r="D58" s="14" t="n"/>
      <c r="E58" s="14" t="n"/>
      <c r="F58" s="30" t="n"/>
      <c r="G58" s="30" t="n"/>
      <c r="H58" s="15">
        <f>IF(OR(F58="",G58="",G58&lt;F58),"",(G58-F58)/30)</f>
        <v/>
      </c>
      <c r="I58" s="14" t="n"/>
      <c r="J58" s="14" t="n"/>
      <c r="K58" s="14" t="n"/>
    </row>
    <row r="59" ht="22" customHeight="1">
      <c r="B59" s="17">
        <f>IF(C59="","HM-"&amp;TEXT(COUNTA($C$5:C59),"000"))</f>
        <v/>
      </c>
      <c r="C59" s="12" t="n"/>
      <c r="D59" s="12" t="n"/>
      <c r="E59" s="12" t="n"/>
      <c r="F59" s="29" t="n"/>
      <c r="G59" s="29" t="n"/>
      <c r="H59" s="13">
        <f>IF(OR(F59="",G59="",G59&lt;F59),"",(G59-F59)/30)</f>
        <v/>
      </c>
      <c r="I59" s="12" t="n"/>
      <c r="J59" s="12" t="n"/>
      <c r="K59" s="12" t="n"/>
    </row>
    <row r="60" ht="22" customHeight="1">
      <c r="B60" s="16">
        <f>IF(C60="","HM-"&amp;TEXT(COUNTA($C$5:C60),"000"))</f>
        <v/>
      </c>
      <c r="C60" s="14" t="n"/>
      <c r="D60" s="14" t="n"/>
      <c r="E60" s="14" t="n"/>
      <c r="F60" s="30" t="n"/>
      <c r="G60" s="30" t="n"/>
      <c r="H60" s="15">
        <f>IF(OR(F60="",G60="",G60&lt;F60),"",(G60-F60)/30)</f>
        <v/>
      </c>
      <c r="I60" s="14" t="n"/>
      <c r="J60" s="14" t="n"/>
      <c r="K60" s="14" t="n"/>
    </row>
    <row r="61" ht="22" customHeight="1">
      <c r="B61" s="17">
        <f>IF(C61="","HM-"&amp;TEXT(COUNTA($C$5:C61),"000"))</f>
        <v/>
      </c>
      <c r="C61" s="12" t="n"/>
      <c r="D61" s="12" t="n"/>
      <c r="E61" s="12" t="n"/>
      <c r="F61" s="29" t="n"/>
      <c r="G61" s="29" t="n"/>
      <c r="H61" s="13">
        <f>IF(OR(F61="",G61="",G61&lt;F61),"",(G61-F61)/30)</f>
        <v/>
      </c>
      <c r="I61" s="12" t="n"/>
      <c r="J61" s="12" t="n"/>
      <c r="K61" s="12" t="n"/>
    </row>
    <row r="62" ht="22" customHeight="1">
      <c r="B62" s="16">
        <f>IF(C62="","HM-"&amp;TEXT(COUNTA($C$5:C62),"000"))</f>
        <v/>
      </c>
      <c r="C62" s="14" t="n"/>
      <c r="D62" s="14" t="n"/>
      <c r="E62" s="14" t="n"/>
      <c r="F62" s="30" t="n"/>
      <c r="G62" s="30" t="n"/>
      <c r="H62" s="15">
        <f>IF(OR(F62="",G62="",G62&lt;F62),"",(G62-F62)/30)</f>
        <v/>
      </c>
      <c r="I62" s="14" t="n"/>
      <c r="J62" s="14" t="n"/>
      <c r="K62" s="14" t="n"/>
    </row>
    <row r="63" ht="22" customHeight="1">
      <c r="B63" s="17">
        <f>IF(C63="","HM-"&amp;TEXT(COUNTA($C$5:C63),"000"))</f>
        <v/>
      </c>
      <c r="C63" s="12" t="n"/>
      <c r="D63" s="12" t="n"/>
      <c r="E63" s="12" t="n"/>
      <c r="F63" s="29" t="n"/>
      <c r="G63" s="29" t="n"/>
      <c r="H63" s="13">
        <f>IF(OR(F63="",G63="",G63&lt;F63),"",(G63-F63)/30)</f>
        <v/>
      </c>
      <c r="I63" s="12" t="n"/>
      <c r="J63" s="12" t="n"/>
      <c r="K63" s="12" t="n"/>
    </row>
    <row r="64" ht="22" customHeight="1">
      <c r="B64" s="16">
        <f>IF(C64="","HM-"&amp;TEXT(COUNTA($C$5:C64),"000"))</f>
        <v/>
      </c>
      <c r="C64" s="14" t="n"/>
      <c r="D64" s="14" t="n"/>
      <c r="E64" s="14" t="n"/>
      <c r="F64" s="30" t="n"/>
      <c r="G64" s="30" t="n"/>
      <c r="H64" s="15">
        <f>IF(OR(F64="",G64="",G64&lt;F64),"",(G64-F64)/30)</f>
        <v/>
      </c>
      <c r="I64" s="14" t="n"/>
      <c r="J64" s="14" t="n"/>
      <c r="K64" s="14" t="n"/>
    </row>
    <row r="65" ht="22" customHeight="1">
      <c r="B65" s="17">
        <f>IF(C65="","HM-"&amp;TEXT(COUNTA($C$5:C65),"000"))</f>
        <v/>
      </c>
      <c r="C65" s="12" t="n"/>
      <c r="D65" s="12" t="n"/>
      <c r="E65" s="12" t="n"/>
      <c r="F65" s="29" t="n"/>
      <c r="G65" s="29" t="n"/>
      <c r="H65" s="13">
        <f>IF(OR(F65="",G65="",G65&lt;F65),"",(G65-F65)/30)</f>
        <v/>
      </c>
      <c r="I65" s="12" t="n"/>
      <c r="J65" s="12" t="n"/>
      <c r="K65" s="12" t="n"/>
    </row>
    <row r="66" ht="22" customHeight="1">
      <c r="B66" s="16">
        <f>IF(C66="","HM-"&amp;TEXT(COUNTA($C$5:C66),"000"))</f>
        <v/>
      </c>
      <c r="C66" s="14" t="n"/>
      <c r="D66" s="14" t="n"/>
      <c r="E66" s="14" t="n"/>
      <c r="F66" s="30" t="n"/>
      <c r="G66" s="30" t="n"/>
      <c r="H66" s="15">
        <f>IF(OR(F66="",G66="",G66&lt;F66),"",(G66-F66)/30)</f>
        <v/>
      </c>
      <c r="I66" s="14" t="n"/>
      <c r="J66" s="14" t="n"/>
      <c r="K66" s="14" t="n"/>
    </row>
    <row r="67" ht="22" customHeight="1">
      <c r="B67" s="17">
        <f>IF(C67="","HM-"&amp;TEXT(COUNTA($C$5:C67),"000"))</f>
        <v/>
      </c>
      <c r="C67" s="12" t="n"/>
      <c r="D67" s="12" t="n"/>
      <c r="E67" s="12" t="n"/>
      <c r="F67" s="29" t="n"/>
      <c r="G67" s="29" t="n"/>
      <c r="H67" s="13">
        <f>IF(OR(F67="",G67="",G67&lt;F67),"",(G67-F67)/30)</f>
        <v/>
      </c>
      <c r="I67" s="12" t="n"/>
      <c r="J67" s="12" t="n"/>
      <c r="K67" s="12" t="n"/>
    </row>
    <row r="68" ht="22" customHeight="1">
      <c r="B68" s="16">
        <f>IF(C68="","HM-"&amp;TEXT(COUNTA($C$5:C68),"000"))</f>
        <v/>
      </c>
      <c r="C68" s="14" t="n"/>
      <c r="D68" s="14" t="n"/>
      <c r="E68" s="14" t="n"/>
      <c r="F68" s="30" t="n"/>
      <c r="G68" s="30" t="n"/>
      <c r="H68" s="15">
        <f>IF(OR(F68="",G68="",G68&lt;F68),"",(G68-F68)/30)</f>
        <v/>
      </c>
      <c r="I68" s="14" t="n"/>
      <c r="J68" s="14" t="n"/>
      <c r="K68" s="14" t="n"/>
    </row>
    <row r="69" ht="22" customHeight="1">
      <c r="B69" s="17">
        <f>IF(C69="","HM-"&amp;TEXT(COUNTA($C$5:C69),"000"))</f>
        <v/>
      </c>
      <c r="C69" s="12" t="n"/>
      <c r="D69" s="12" t="n"/>
      <c r="E69" s="12" t="n"/>
      <c r="F69" s="29" t="n"/>
      <c r="G69" s="29" t="n"/>
      <c r="H69" s="13">
        <f>IF(OR(F69="",G69="",G69&lt;F69),"",(G69-F69)/30)</f>
        <v/>
      </c>
      <c r="I69" s="12" t="n"/>
      <c r="J69" s="12" t="n"/>
      <c r="K69" s="12" t="n"/>
    </row>
    <row r="70" ht="22" customHeight="1">
      <c r="B70" s="16">
        <f>IF(C70="","HM-"&amp;TEXT(COUNTA($C$5:C70),"000"))</f>
        <v/>
      </c>
      <c r="C70" s="14" t="n"/>
      <c r="D70" s="14" t="n"/>
      <c r="E70" s="14" t="n"/>
      <c r="F70" s="30" t="n"/>
      <c r="G70" s="30" t="n"/>
      <c r="H70" s="15">
        <f>IF(OR(F70="",G70="",G70&lt;F70),"",(G70-F70)/30)</f>
        <v/>
      </c>
      <c r="I70" s="14" t="n"/>
      <c r="J70" s="14" t="n"/>
      <c r="K70" s="14" t="n"/>
    </row>
    <row r="71" ht="22" customHeight="1">
      <c r="B71" s="17">
        <f>IF(C71="","HM-"&amp;TEXT(COUNTA($C$5:C71),"000"))</f>
        <v/>
      </c>
      <c r="C71" s="12" t="n"/>
      <c r="D71" s="12" t="n"/>
      <c r="E71" s="12" t="n"/>
      <c r="F71" s="29" t="n"/>
      <c r="G71" s="29" t="n"/>
      <c r="H71" s="13">
        <f>IF(OR(F71="",G71="",G71&lt;F71),"",(G71-F71)/30)</f>
        <v/>
      </c>
      <c r="I71" s="12" t="n"/>
      <c r="J71" s="12" t="n"/>
      <c r="K71" s="12" t="n"/>
    </row>
    <row r="72" ht="22" customHeight="1">
      <c r="B72" s="16">
        <f>IF(C72="","HM-"&amp;TEXT(COUNTA($C$5:C72),"000"))</f>
        <v/>
      </c>
      <c r="C72" s="14" t="n"/>
      <c r="D72" s="14" t="n"/>
      <c r="E72" s="14" t="n"/>
      <c r="F72" s="30" t="n"/>
      <c r="G72" s="30" t="n"/>
      <c r="H72" s="15">
        <f>IF(OR(F72="",G72="",G72&lt;F72),"",(G72-F72)/30)</f>
        <v/>
      </c>
      <c r="I72" s="14" t="n"/>
      <c r="J72" s="14" t="n"/>
      <c r="K72" s="14" t="n"/>
    </row>
    <row r="73" ht="22" customHeight="1">
      <c r="B73" s="17">
        <f>IF(C73="","HM-"&amp;TEXT(COUNTA($C$5:C73),"000"))</f>
        <v/>
      </c>
      <c r="C73" s="12" t="n"/>
      <c r="D73" s="12" t="n"/>
      <c r="E73" s="12" t="n"/>
      <c r="F73" s="29" t="n"/>
      <c r="G73" s="29" t="n"/>
      <c r="H73" s="13">
        <f>IF(OR(F73="",G73="",G73&lt;F73),"",(G73-F73)/30)</f>
        <v/>
      </c>
      <c r="I73" s="12" t="n"/>
      <c r="J73" s="12" t="n"/>
      <c r="K73" s="12" t="n"/>
    </row>
    <row r="74" ht="22" customHeight="1">
      <c r="B74" s="16">
        <f>IF(C74="","HM-"&amp;TEXT(COUNTA($C$5:C74),"000"))</f>
        <v/>
      </c>
      <c r="C74" s="14" t="n"/>
      <c r="D74" s="14" t="n"/>
      <c r="E74" s="14" t="n"/>
      <c r="F74" s="30" t="n"/>
      <c r="G74" s="30" t="n"/>
      <c r="H74" s="15">
        <f>IF(OR(F74="",G74="",G74&lt;F74),"",(G74-F74)/30)</f>
        <v/>
      </c>
      <c r="I74" s="14" t="n"/>
      <c r="J74" s="14" t="n"/>
      <c r="K74" s="14" t="n"/>
    </row>
    <row r="75" ht="22" customHeight="1">
      <c r="B75" s="17">
        <f>IF(C75="","HM-"&amp;TEXT(COUNTA($C$5:C75),"000"))</f>
        <v/>
      </c>
      <c r="C75" s="12" t="n"/>
      <c r="D75" s="12" t="n"/>
      <c r="E75" s="12" t="n"/>
      <c r="F75" s="29" t="n"/>
      <c r="G75" s="29" t="n"/>
      <c r="H75" s="13">
        <f>IF(OR(F75="",G75="",G75&lt;F75),"",(G75-F75)/30)</f>
        <v/>
      </c>
      <c r="I75" s="12" t="n"/>
      <c r="J75" s="12" t="n"/>
      <c r="K75" s="12" t="n"/>
    </row>
    <row r="76" ht="22" customHeight="1">
      <c r="B76" s="16">
        <f>IF(C76="","HM-"&amp;TEXT(COUNTA($C$5:C76),"000"))</f>
        <v/>
      </c>
      <c r="C76" s="14" t="n"/>
      <c r="D76" s="14" t="n"/>
      <c r="E76" s="14" t="n"/>
      <c r="F76" s="30" t="n"/>
      <c r="G76" s="30" t="n"/>
      <c r="H76" s="15">
        <f>IF(OR(F76="",G76="",G76&lt;F76),"",(G76-F76)/30)</f>
        <v/>
      </c>
      <c r="I76" s="14" t="n"/>
      <c r="J76" s="14" t="n"/>
      <c r="K76" s="14" t="n"/>
    </row>
    <row r="77" ht="22" customHeight="1">
      <c r="B77" s="17">
        <f>IF(C77="","HM-"&amp;TEXT(COUNTA($C$5:C77),"000"))</f>
        <v/>
      </c>
      <c r="C77" s="12" t="n"/>
      <c r="D77" s="12" t="n"/>
      <c r="E77" s="12" t="n"/>
      <c r="F77" s="29" t="n"/>
      <c r="G77" s="29" t="n"/>
      <c r="H77" s="13">
        <f>IF(OR(F77="",G77="",G77&lt;F77),"",(G77-F77)/30)</f>
        <v/>
      </c>
      <c r="I77" s="12" t="n"/>
      <c r="J77" s="12" t="n"/>
      <c r="K77" s="12" t="n"/>
    </row>
    <row r="78" ht="22" customHeight="1">
      <c r="B78" s="16">
        <f>IF(C78="","HM-"&amp;TEXT(COUNTA($C$5:C78),"000"))</f>
        <v/>
      </c>
      <c r="C78" s="14" t="n"/>
      <c r="D78" s="14" t="n"/>
      <c r="E78" s="14" t="n"/>
      <c r="F78" s="30" t="n"/>
      <c r="G78" s="30" t="n"/>
      <c r="H78" s="15">
        <f>IF(OR(F78="",G78="",G78&lt;F78),"",(G78-F78)/30)</f>
        <v/>
      </c>
      <c r="I78" s="14" t="n"/>
      <c r="J78" s="14" t="n"/>
      <c r="K78" s="14" t="n"/>
    </row>
    <row r="79" ht="22" customHeight="1">
      <c r="B79" s="17">
        <f>IF(C79="","HM-"&amp;TEXT(COUNTA($C$5:C79),"000"))</f>
        <v/>
      </c>
      <c r="C79" s="12" t="n"/>
      <c r="D79" s="12" t="n"/>
      <c r="E79" s="12" t="n"/>
      <c r="F79" s="29" t="n"/>
      <c r="G79" s="29" t="n"/>
      <c r="H79" s="13">
        <f>IF(OR(F79="",G79="",G79&lt;F79),"",(G79-F79)/30)</f>
        <v/>
      </c>
      <c r="I79" s="12" t="n"/>
      <c r="J79" s="12" t="n"/>
      <c r="K79" s="12" t="n"/>
    </row>
    <row r="80" ht="22" customHeight="1">
      <c r="B80" s="16">
        <f>IF(C80="","HM-"&amp;TEXT(COUNTA($C$5:C80),"000"))</f>
        <v/>
      </c>
      <c r="C80" s="14" t="n"/>
      <c r="D80" s="14" t="n"/>
      <c r="E80" s="14" t="n"/>
      <c r="F80" s="30" t="n"/>
      <c r="G80" s="30" t="n"/>
      <c r="H80" s="15">
        <f>IF(OR(F80="",G80="",G80&lt;F80),"",(G80-F80)/30)</f>
        <v/>
      </c>
      <c r="I80" s="14" t="n"/>
      <c r="J80" s="14" t="n"/>
      <c r="K80" s="14" t="n"/>
    </row>
    <row r="81" ht="22" customHeight="1">
      <c r="B81" s="17">
        <f>IF(C81="","HM-"&amp;TEXT(COUNTA($C$5:C81),"000"))</f>
        <v/>
      </c>
      <c r="C81" s="12" t="n"/>
      <c r="D81" s="12" t="n"/>
      <c r="E81" s="12" t="n"/>
      <c r="F81" s="29" t="n"/>
      <c r="G81" s="29" t="n"/>
      <c r="H81" s="13">
        <f>IF(OR(F81="",G81="",G81&lt;F81),"",(G81-F81)/30)</f>
        <v/>
      </c>
      <c r="I81" s="12" t="n"/>
      <c r="J81" s="12" t="n"/>
      <c r="K81" s="12" t="n"/>
    </row>
    <row r="82" ht="22" customHeight="1">
      <c r="B82" s="16">
        <f>IF(C82="","HM-"&amp;TEXT(COUNTA($C$5:C82),"000"))</f>
        <v/>
      </c>
      <c r="C82" s="14" t="n"/>
      <c r="D82" s="14" t="n"/>
      <c r="E82" s="14" t="n"/>
      <c r="F82" s="30" t="n"/>
      <c r="G82" s="30" t="n"/>
      <c r="H82" s="15">
        <f>IF(OR(F82="",G82="",G82&lt;F82),"",(G82-F82)/30)</f>
        <v/>
      </c>
      <c r="I82" s="14" t="n"/>
      <c r="J82" s="14" t="n"/>
      <c r="K82" s="14" t="n"/>
    </row>
    <row r="83" ht="22" customHeight="1">
      <c r="B83" s="17">
        <f>IF(C83="","HM-"&amp;TEXT(COUNTA($C$5:C83),"000"))</f>
        <v/>
      </c>
      <c r="C83" s="12" t="n"/>
      <c r="D83" s="12" t="n"/>
      <c r="E83" s="12" t="n"/>
      <c r="F83" s="29" t="n"/>
      <c r="G83" s="29" t="n"/>
      <c r="H83" s="13">
        <f>IF(OR(F83="",G83="",G83&lt;F83),"",(G83-F83)/30)</f>
        <v/>
      </c>
      <c r="I83" s="12" t="n"/>
      <c r="J83" s="12" t="n"/>
      <c r="K83" s="12" t="n"/>
    </row>
    <row r="84" ht="22" customHeight="1">
      <c r="B84" s="16">
        <f>IF(C84="","HM-"&amp;TEXT(COUNTA($C$5:C84),"000"))</f>
        <v/>
      </c>
      <c r="C84" s="14" t="n"/>
      <c r="D84" s="14" t="n"/>
      <c r="E84" s="14" t="n"/>
      <c r="F84" s="30" t="n"/>
      <c r="G84" s="30" t="n"/>
      <c r="H84" s="15">
        <f>IF(OR(F84="",G84="",G84&lt;F84),"",(G84-F84)/30)</f>
        <v/>
      </c>
      <c r="I84" s="14" t="n"/>
      <c r="J84" s="14" t="n"/>
      <c r="K84" s="14" t="n"/>
    </row>
    <row r="85" ht="22" customHeight="1">
      <c r="B85" s="17">
        <f>IF(C85="","HM-"&amp;TEXT(COUNTA($C$5:C85),"000"))</f>
        <v/>
      </c>
      <c r="C85" s="12" t="n"/>
      <c r="D85" s="12" t="n"/>
      <c r="E85" s="12" t="n"/>
      <c r="F85" s="29" t="n"/>
      <c r="G85" s="29" t="n"/>
      <c r="H85" s="13">
        <f>IF(OR(F85="",G85="",G85&lt;F85),"",(G85-F85)/30)</f>
        <v/>
      </c>
      <c r="I85" s="12" t="n"/>
      <c r="J85" s="12" t="n"/>
      <c r="K85" s="12" t="n"/>
    </row>
    <row r="86" ht="22" customHeight="1">
      <c r="B86" s="16">
        <f>IF(C86="","HM-"&amp;TEXT(COUNTA($C$5:C86),"000"))</f>
        <v/>
      </c>
      <c r="C86" s="14" t="n"/>
      <c r="D86" s="14" t="n"/>
      <c r="E86" s="14" t="n"/>
      <c r="F86" s="30" t="n"/>
      <c r="G86" s="30" t="n"/>
      <c r="H86" s="15">
        <f>IF(OR(F86="",G86="",G86&lt;F86),"",(G86-F86)/30)</f>
        <v/>
      </c>
      <c r="I86" s="14" t="n"/>
      <c r="J86" s="14" t="n"/>
      <c r="K86" s="14" t="n"/>
    </row>
    <row r="87" ht="22" customHeight="1">
      <c r="B87" s="17">
        <f>IF(C87="","HM-"&amp;TEXT(COUNTA($C$5:C87),"000"))</f>
        <v/>
      </c>
      <c r="C87" s="12" t="n"/>
      <c r="D87" s="12" t="n"/>
      <c r="E87" s="12" t="n"/>
      <c r="F87" s="29" t="n"/>
      <c r="G87" s="29" t="n"/>
      <c r="H87" s="13">
        <f>IF(OR(F87="",G87="",G87&lt;F87),"",(G87-F87)/30)</f>
        <v/>
      </c>
      <c r="I87" s="12" t="n"/>
      <c r="J87" s="12" t="n"/>
      <c r="K87" s="12" t="n"/>
    </row>
    <row r="88" ht="22" customHeight="1">
      <c r="B88" s="16">
        <f>IF(C88="","HM-"&amp;TEXT(COUNTA($C$5:C88),"000"))</f>
        <v/>
      </c>
      <c r="C88" s="14" t="n"/>
      <c r="D88" s="14" t="n"/>
      <c r="E88" s="14" t="n"/>
      <c r="F88" s="30" t="n"/>
      <c r="G88" s="30" t="n"/>
      <c r="H88" s="15">
        <f>IF(OR(F88="",G88="",G88&lt;F88),"",(G88-F88)/30)</f>
        <v/>
      </c>
      <c r="I88" s="14" t="n"/>
      <c r="J88" s="14" t="n"/>
      <c r="K88" s="14" t="n"/>
    </row>
    <row r="89" ht="22" customHeight="1">
      <c r="B89" s="17">
        <f>IF(C89="","HM-"&amp;TEXT(COUNTA($C$5:C89),"000"))</f>
        <v/>
      </c>
      <c r="C89" s="12" t="n"/>
      <c r="D89" s="12" t="n"/>
      <c r="E89" s="12" t="n"/>
      <c r="F89" s="29" t="n"/>
      <c r="G89" s="29" t="n"/>
      <c r="H89" s="13">
        <f>IF(OR(F89="",G89="",G89&lt;F89),"",(G89-F89)/30)</f>
        <v/>
      </c>
      <c r="I89" s="12" t="n"/>
      <c r="J89" s="12" t="n"/>
      <c r="K89" s="12" t="n"/>
    </row>
    <row r="90" ht="22" customHeight="1">
      <c r="B90" s="16">
        <f>IF(C90="","HM-"&amp;TEXT(COUNTA($C$5:C90),"000"))</f>
        <v/>
      </c>
      <c r="C90" s="14" t="n"/>
      <c r="D90" s="14" t="n"/>
      <c r="E90" s="14" t="n"/>
      <c r="F90" s="30" t="n"/>
      <c r="G90" s="30" t="n"/>
      <c r="H90" s="15">
        <f>IF(OR(F90="",G90="",G90&lt;F90),"",(G90-F90)/30)</f>
        <v/>
      </c>
      <c r="I90" s="14" t="n"/>
      <c r="J90" s="14" t="n"/>
      <c r="K90" s="14" t="n"/>
    </row>
    <row r="91" ht="22" customHeight="1">
      <c r="B91" s="17">
        <f>IF(C91="","HM-"&amp;TEXT(COUNTA($C$5:C91),"000"))</f>
        <v/>
      </c>
      <c r="C91" s="12" t="n"/>
      <c r="D91" s="12" t="n"/>
      <c r="E91" s="12" t="n"/>
      <c r="F91" s="29" t="n"/>
      <c r="G91" s="29" t="n"/>
      <c r="H91" s="13">
        <f>IF(OR(F91="",G91="",G91&lt;F91),"",(G91-F91)/30)</f>
        <v/>
      </c>
      <c r="I91" s="12" t="n"/>
      <c r="J91" s="12" t="n"/>
      <c r="K91" s="12" t="n"/>
    </row>
    <row r="92" ht="22" customHeight="1">
      <c r="B92" s="16">
        <f>IF(C92="","HM-"&amp;TEXT(COUNTA($C$5:C92),"000"))</f>
        <v/>
      </c>
      <c r="C92" s="14" t="n"/>
      <c r="D92" s="14" t="n"/>
      <c r="E92" s="14" t="n"/>
      <c r="F92" s="30" t="n"/>
      <c r="G92" s="30" t="n"/>
      <c r="H92" s="15">
        <f>IF(OR(F92="",G92="",G92&lt;F92),"",(G92-F92)/30)</f>
        <v/>
      </c>
      <c r="I92" s="14" t="n"/>
      <c r="J92" s="14" t="n"/>
      <c r="K92" s="14" t="n"/>
    </row>
    <row r="93" ht="22" customHeight="1">
      <c r="B93" s="17">
        <f>IF(C93="","HM-"&amp;TEXT(COUNTA($C$5:C93),"000"))</f>
        <v/>
      </c>
      <c r="C93" s="12" t="n"/>
      <c r="D93" s="12" t="n"/>
      <c r="E93" s="12" t="n"/>
      <c r="F93" s="29" t="n"/>
      <c r="G93" s="29" t="n"/>
      <c r="H93" s="13">
        <f>IF(OR(F93="",G93="",G93&lt;F93),"",(G93-F93)/30)</f>
        <v/>
      </c>
      <c r="I93" s="12" t="n"/>
      <c r="J93" s="12" t="n"/>
      <c r="K93" s="12" t="n"/>
    </row>
    <row r="94" ht="22" customHeight="1">
      <c r="B94" s="16">
        <f>IF(C94="","HM-"&amp;TEXT(COUNTA($C$5:C94),"000"))</f>
        <v/>
      </c>
      <c r="C94" s="14" t="n"/>
      <c r="D94" s="14" t="n"/>
      <c r="E94" s="14" t="n"/>
      <c r="F94" s="30" t="n"/>
      <c r="G94" s="30" t="n"/>
      <c r="H94" s="15">
        <f>IF(OR(F94="",G94="",G94&lt;F94),"",(G94-F94)/30)</f>
        <v/>
      </c>
      <c r="I94" s="14" t="n"/>
      <c r="J94" s="14" t="n"/>
      <c r="K94" s="14" t="n"/>
    </row>
    <row r="95" ht="22" customHeight="1">
      <c r="B95" s="17">
        <f>IF(C95="","HM-"&amp;TEXT(COUNTA($C$5:C95),"000"))</f>
        <v/>
      </c>
      <c r="C95" s="12" t="n"/>
      <c r="D95" s="12" t="n"/>
      <c r="E95" s="12" t="n"/>
      <c r="F95" s="29" t="n"/>
      <c r="G95" s="29" t="n"/>
      <c r="H95" s="13">
        <f>IF(OR(F95="",G95="",G95&lt;F95),"",(G95-F95)/30)</f>
        <v/>
      </c>
      <c r="I95" s="12" t="n"/>
      <c r="J95" s="12" t="n"/>
      <c r="K95" s="12" t="n"/>
    </row>
    <row r="96" ht="22" customHeight="1">
      <c r="B96" s="16">
        <f>IF(C96="","HM-"&amp;TEXT(COUNTA($C$5:C96),"000"))</f>
        <v/>
      </c>
      <c r="C96" s="14" t="n"/>
      <c r="D96" s="14" t="n"/>
      <c r="E96" s="14" t="n"/>
      <c r="F96" s="30" t="n"/>
      <c r="G96" s="30" t="n"/>
      <c r="H96" s="15">
        <f>IF(OR(F96="",G96="",G96&lt;F96),"",(G96-F96)/30)</f>
        <v/>
      </c>
      <c r="I96" s="14" t="n"/>
      <c r="J96" s="14" t="n"/>
      <c r="K96" s="14" t="n"/>
    </row>
    <row r="97" ht="22" customHeight="1">
      <c r="B97" s="17">
        <f>IF(C97="","HM-"&amp;TEXT(COUNTA($C$5:C97),"000"))</f>
        <v/>
      </c>
      <c r="C97" s="12" t="n"/>
      <c r="D97" s="12" t="n"/>
      <c r="E97" s="12" t="n"/>
      <c r="F97" s="29" t="n"/>
      <c r="G97" s="29" t="n"/>
      <c r="H97" s="13">
        <f>IF(OR(F97="",G97="",G97&lt;F97),"",(G97-F97)/30)</f>
        <v/>
      </c>
      <c r="I97" s="12" t="n"/>
      <c r="J97" s="12" t="n"/>
      <c r="K97" s="12" t="n"/>
    </row>
    <row r="98" ht="22" customHeight="1">
      <c r="B98" s="16">
        <f>IF(C98="","HM-"&amp;TEXT(COUNTA($C$5:C98),"000"))</f>
        <v/>
      </c>
      <c r="C98" s="14" t="n"/>
      <c r="D98" s="14" t="n"/>
      <c r="E98" s="14" t="n"/>
      <c r="F98" s="30" t="n"/>
      <c r="G98" s="30" t="n"/>
      <c r="H98" s="15">
        <f>IF(OR(F98="",G98="",G98&lt;F98),"",(G98-F98)/30)</f>
        <v/>
      </c>
      <c r="I98" s="14" t="n"/>
      <c r="J98" s="14" t="n"/>
      <c r="K98" s="14" t="n"/>
    </row>
    <row r="99" ht="22" customHeight="1">
      <c r="B99" s="17">
        <f>IF(C99="","HM-"&amp;TEXT(COUNTA($C$5:C99),"000"))</f>
        <v/>
      </c>
      <c r="C99" s="12" t="n"/>
      <c r="D99" s="12" t="n"/>
      <c r="E99" s="12" t="n"/>
      <c r="F99" s="29" t="n"/>
      <c r="G99" s="29" t="n"/>
      <c r="H99" s="13">
        <f>IF(OR(F99="",G99="",G99&lt;F99),"",(G99-F99)/30)</f>
        <v/>
      </c>
      <c r="I99" s="12" t="n"/>
      <c r="J99" s="12" t="n"/>
      <c r="K99" s="12" t="n"/>
    </row>
    <row r="100" ht="22" customHeight="1">
      <c r="B100" s="16">
        <f>IF(C100="","HM-"&amp;TEXT(COUNTA($C$5:C100),"000"))</f>
        <v/>
      </c>
      <c r="C100" s="14" t="n"/>
      <c r="D100" s="14" t="n"/>
      <c r="E100" s="14" t="n"/>
      <c r="F100" s="30" t="n"/>
      <c r="G100" s="30" t="n"/>
      <c r="H100" s="15">
        <f>IF(OR(F100="",G100="",G100&lt;F100),"",(G100-F100)/30)</f>
        <v/>
      </c>
      <c r="I100" s="14" t="n"/>
      <c r="J100" s="14" t="n"/>
      <c r="K100" s="14" t="n"/>
    </row>
    <row r="101" ht="22" customHeight="1">
      <c r="B101" s="17">
        <f>IF(C101="","HM-"&amp;TEXT(COUNTA($C$5:C101),"000"))</f>
        <v/>
      </c>
      <c r="C101" s="12" t="n"/>
      <c r="D101" s="12" t="n"/>
      <c r="E101" s="12" t="n"/>
      <c r="F101" s="29" t="n"/>
      <c r="G101" s="29" t="n"/>
      <c r="H101" s="13">
        <f>IF(OR(F101="",G101="",G101&lt;F101),"",(G101-F101)/30)</f>
        <v/>
      </c>
      <c r="I101" s="12" t="n"/>
      <c r="J101" s="12" t="n"/>
      <c r="K101" s="12" t="n"/>
    </row>
    <row r="102" ht="22" customHeight="1">
      <c r="B102" s="16">
        <f>IF(C102="","HM-"&amp;TEXT(COUNTA($C$5:C102),"000"))</f>
        <v/>
      </c>
      <c r="C102" s="14" t="n"/>
      <c r="D102" s="14" t="n"/>
      <c r="E102" s="14" t="n"/>
      <c r="F102" s="30" t="n"/>
      <c r="G102" s="30" t="n"/>
      <c r="H102" s="15">
        <f>IF(OR(F102="",G102="",G102&lt;F102),"",(G102-F102)/30)</f>
        <v/>
      </c>
      <c r="I102" s="14" t="n"/>
      <c r="J102" s="14" t="n"/>
      <c r="K102" s="14" t="n"/>
    </row>
    <row r="103" ht="22" customHeight="1">
      <c r="B103" s="17">
        <f>IF(C103="","HM-"&amp;TEXT(COUNTA($C$5:C103),"000"))</f>
        <v/>
      </c>
      <c r="C103" s="12" t="n"/>
      <c r="D103" s="12" t="n"/>
      <c r="E103" s="12" t="n"/>
      <c r="F103" s="29" t="n"/>
      <c r="G103" s="29" t="n"/>
      <c r="H103" s="13">
        <f>IF(OR(F103="",G103="",G103&lt;F103),"",(G103-F103)/30)</f>
        <v/>
      </c>
      <c r="I103" s="12" t="n"/>
      <c r="J103" s="12" t="n"/>
      <c r="K103" s="12" t="n"/>
    </row>
    <row r="104" ht="22" customHeight="1">
      <c r="B104" s="16">
        <f>IF(C104="","HM-"&amp;TEXT(COUNTA($C$5:C104),"000"))</f>
        <v/>
      </c>
      <c r="C104" s="14" t="n"/>
      <c r="D104" s="14" t="n"/>
      <c r="E104" s="14" t="n"/>
      <c r="F104" s="30" t="n"/>
      <c r="G104" s="30" t="n"/>
      <c r="H104" s="15">
        <f>IF(OR(F104="",G104="",G104&lt;F104),"",(G104-F104)/30)</f>
        <v/>
      </c>
      <c r="I104" s="14" t="n"/>
      <c r="J104" s="14" t="n"/>
      <c r="K104" s="14" t="n"/>
    </row>
    <row r="105" ht="22" customHeight="1">
      <c r="B105" s="17">
        <f>IF(C105="","HM-"&amp;TEXT(COUNTA($C$5:C105),"000"))</f>
        <v/>
      </c>
      <c r="C105" s="12" t="n"/>
      <c r="D105" s="12" t="n"/>
      <c r="E105" s="12" t="n"/>
      <c r="F105" s="29" t="n"/>
      <c r="G105" s="29" t="n"/>
      <c r="H105" s="13">
        <f>IF(OR(F105="",G105="",G105&lt;F105),"",(G105-F105)/30)</f>
        <v/>
      </c>
      <c r="I105" s="12" t="n"/>
      <c r="J105" s="12" t="n"/>
      <c r="K105" s="12" t="n"/>
    </row>
    <row r="106" ht="22" customHeight="1">
      <c r="B106" s="16">
        <f>IF(C106="","HM-"&amp;TEXT(COUNTA($C$5:C106),"000"))</f>
        <v/>
      </c>
      <c r="C106" s="14" t="n"/>
      <c r="D106" s="14" t="n"/>
      <c r="E106" s="14" t="n"/>
      <c r="F106" s="30" t="n"/>
      <c r="G106" s="30" t="n"/>
      <c r="H106" s="15">
        <f>IF(OR(F106="",G106="",G106&lt;F106),"",(G106-F106)/30)</f>
        <v/>
      </c>
      <c r="I106" s="14" t="n"/>
      <c r="J106" s="14" t="n"/>
      <c r="K106" s="14" t="n"/>
    </row>
    <row r="107" ht="22" customHeight="1">
      <c r="B107" s="17">
        <f>IF(C107="","HM-"&amp;TEXT(COUNTA($C$5:C107),"000"))</f>
        <v/>
      </c>
      <c r="C107" s="12" t="n"/>
      <c r="D107" s="12" t="n"/>
      <c r="E107" s="12" t="n"/>
      <c r="F107" s="29" t="n"/>
      <c r="G107" s="29" t="n"/>
      <c r="H107" s="13">
        <f>IF(OR(F107="",G107="",G107&lt;F107),"",(G107-F107)/30)</f>
        <v/>
      </c>
      <c r="I107" s="12" t="n"/>
      <c r="J107" s="12" t="n"/>
      <c r="K107" s="12" t="n"/>
    </row>
    <row r="108" ht="22" customHeight="1">
      <c r="B108" s="16">
        <f>IF(C108="","HM-"&amp;TEXT(COUNTA($C$5:C108),"000"))</f>
        <v/>
      </c>
      <c r="C108" s="14" t="n"/>
      <c r="D108" s="14" t="n"/>
      <c r="E108" s="14" t="n"/>
      <c r="F108" s="30" t="n"/>
      <c r="G108" s="30" t="n"/>
      <c r="H108" s="15">
        <f>IF(OR(F108="",G108="",G108&lt;F108),"",(G108-F108)/30)</f>
        <v/>
      </c>
      <c r="I108" s="14" t="n"/>
      <c r="J108" s="14" t="n"/>
      <c r="K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Programmes total</t>
        </is>
      </c>
      <c r="D111" s="3" t="inlineStr">
        <is>
          <t>Termines</t>
        </is>
      </c>
      <c r="F111" s="3" t="inlineStr">
        <is>
          <t>En cours</t>
        </is>
      </c>
    </row>
    <row r="112">
      <c r="B112" s="4">
        <f>COUNTIF(B5:B104,"&lt;&gt;")</f>
        <v/>
      </c>
      <c r="D112" s="4">
        <f>COUNTIF(J5:J104,"Termine")</f>
        <v/>
      </c>
      <c r="F112" s="4">
        <f>COUNTIF(J5:J104,"En cours")</f>
        <v/>
      </c>
    </row>
  </sheetData>
  <mergeCells count="3">
    <mergeCell ref="B110:K110"/>
    <mergeCell ref="B3:K3"/>
    <mergeCell ref="B2:K2"/>
  </mergeCells>
  <conditionalFormatting sqref="J5:J108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9:B108">
    <cfRule type="expression" priority="175" dxfId="0">
      <formula>AND($C9="",$C8&lt;&gt;"")</formula>
    </cfRule>
  </conditionalFormatting>
  <conditionalFormatting sqref="C9:C108">
    <cfRule type="expression" priority="176" dxfId="0">
      <formula>AND($C9="",$C8&lt;&gt;"")</formula>
    </cfRule>
  </conditionalFormatting>
  <conditionalFormatting sqref="D9:D108">
    <cfRule type="expression" priority="177" dxfId="0">
      <formula>AND($C9="",$C8&lt;&gt;"")</formula>
    </cfRule>
  </conditionalFormatting>
  <conditionalFormatting sqref="E9:E108">
    <cfRule type="expression" priority="178" dxfId="0">
      <formula>AND($C9="",$C8&lt;&gt;"")</formula>
    </cfRule>
  </conditionalFormatting>
  <conditionalFormatting sqref="F9:F108">
    <cfRule type="expression" priority="179" dxfId="0">
      <formula>AND($C9="",$C8&lt;&gt;"")</formula>
    </cfRule>
  </conditionalFormatting>
  <conditionalFormatting sqref="G9:G108">
    <cfRule type="expression" priority="180" dxfId="0">
      <formula>AND($C9="",$C8&lt;&gt;"")</formula>
    </cfRule>
  </conditionalFormatting>
  <conditionalFormatting sqref="H9:H108">
    <cfRule type="expression" priority="181" dxfId="0">
      <formula>AND($C9="",$C8&lt;&gt;"")</formula>
    </cfRule>
  </conditionalFormatting>
  <conditionalFormatting sqref="I9:I108">
    <cfRule type="expression" priority="182" dxfId="0">
      <formula>AND($C9="",$C8&lt;&gt;"")</formula>
    </cfRule>
  </conditionalFormatting>
  <conditionalFormatting sqref="J9:J108">
    <cfRule type="expression" priority="183" dxfId="0">
      <formula>AND($C9="",$C8&lt;&gt;"")</formula>
    </cfRule>
  </conditionalFormatting>
  <conditionalFormatting sqref="K9:K108">
    <cfRule type="expression" priority="184" dxfId="0">
      <formula>AND($C9="",$C8&lt;&gt;"")</formula>
    </cfRule>
  </conditionalFormatting>
  <dataValidations count="3">
    <dataValidation sqref="E5:E108" showDropDown="0" showInputMessage="0" showErrorMessage="0" allowBlank="1" errorTitle="Erreur" error="Valeur invalide" promptTitle="Liste" prompt="Choisir dans la liste" type="list">
      <formula1>'_Lists'!$I$2:$I$6</formula1>
    </dataValidation>
    <dataValidation sqref="J5:J108" showDropDown="0" showInputMessage="0" showErrorMessage="0" allowBlank="1" errorTitle="Erreur" error="Valeur invalide" promptTitle="Liste" prompt="Choisir dans la liste" type="list">
      <formula1>'_Lists'!$J$2:$J$6</formula1>
    </dataValidation>
    <dataValidation sqref="K5:K108" showDropDown="0" showInputMessage="0" showErrorMessage="0" allowBlank="1" errorTitle="Erreur" error="Valeur invalide" promptTitle="Liste" prompt="Choisir dans la liste" type="list">
      <formula1>'_Lists'!$E$2:$E$6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0" customWidth="1" min="5" max="5"/>
    <col width="14" customWidth="1" min="6" max="6"/>
    <col width="20" customWidth="1" min="7" max="7"/>
    <col width="22" customWidth="1" min="8" max="8"/>
    <col width="18" customWidth="1" min="9" max="9"/>
    <col width="18" customWidth="1" min="10" max="10"/>
    <col width="18" customWidth="1" min="11" max="11"/>
  </cols>
  <sheetData>
    <row r="1" ht="15" customHeight="1"/>
    <row r="2" ht="32" customHeight="1">
      <c r="B2" s="1" t="inlineStr">
        <is>
          <t>INDICATEURS DE RÉTENTION — Mensuel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Mois</t>
        </is>
      </c>
      <c r="D4" s="11" t="inlineStr">
        <is>
          <t>Annee</t>
        </is>
      </c>
      <c r="E4" s="11" t="inlineStr">
        <is>
          <t>Effectif Debut Mois</t>
        </is>
      </c>
      <c r="F4" s="11" t="inlineStr">
        <is>
          <t>Recrutements</t>
        </is>
      </c>
      <c r="G4" s="11" t="inlineStr">
        <is>
          <t>Departs Volontaires</t>
        </is>
      </c>
      <c r="H4" s="11" t="inlineStr">
        <is>
          <t>Departs Involontaires</t>
        </is>
      </c>
      <c r="I4" s="11" t="inlineStr">
        <is>
          <t>Effectif Fin Mois</t>
        </is>
      </c>
      <c r="J4" s="11" t="inlineStr">
        <is>
          <t>Taux Rotation (%)</t>
        </is>
      </c>
      <c r="K4" s="11" t="inlineStr">
        <is>
          <t>Taux Retention (%)</t>
        </is>
      </c>
    </row>
    <row r="5" ht="22" customHeight="1">
      <c r="B5" s="12" t="inlineStr">
        <is>
          <t>IR-001</t>
        </is>
      </c>
      <c r="C5" s="12" t="inlineStr">
        <is>
          <t>Janvier</t>
        </is>
      </c>
      <c r="D5" s="12" t="inlineStr">
        <is>
          <t>2025</t>
        </is>
      </c>
      <c r="E5" s="13" t="n">
        <v>85</v>
      </c>
      <c r="F5" s="13" t="n">
        <v>3</v>
      </c>
      <c r="G5" s="13" t="n">
        <v>1</v>
      </c>
      <c r="H5" s="13" t="n">
        <v>0</v>
      </c>
      <c r="I5" s="13" t="n">
        <v>87</v>
      </c>
      <c r="J5" s="31" t="n"/>
      <c r="K5" s="31" t="n"/>
    </row>
    <row r="6" ht="22" customHeight="1">
      <c r="B6" s="14" t="inlineStr">
        <is>
          <t>IR-002</t>
        </is>
      </c>
      <c r="C6" s="14" t="inlineStr">
        <is>
          <t>Fevrier</t>
        </is>
      </c>
      <c r="D6" s="14" t="inlineStr">
        <is>
          <t>2025</t>
        </is>
      </c>
      <c r="E6" s="15" t="n">
        <v>87</v>
      </c>
      <c r="F6" s="15" t="n">
        <v>2</v>
      </c>
      <c r="G6" s="15" t="n">
        <v>0</v>
      </c>
      <c r="H6" s="15" t="n">
        <v>1</v>
      </c>
      <c r="I6" s="15" t="n">
        <v>88</v>
      </c>
      <c r="J6" s="32" t="n"/>
      <c r="K6" s="32" t="n"/>
    </row>
    <row r="7" ht="22" customHeight="1">
      <c r="B7" s="12" t="inlineStr">
        <is>
          <t>IR-003</t>
        </is>
      </c>
      <c r="C7" s="12" t="inlineStr">
        <is>
          <t>Mars</t>
        </is>
      </c>
      <c r="D7" s="12" t="inlineStr">
        <is>
          <t>2025</t>
        </is>
      </c>
      <c r="E7" s="13" t="n">
        <v>88</v>
      </c>
      <c r="F7" s="13" t="n">
        <v>4</v>
      </c>
      <c r="G7" s="13" t="n">
        <v>2</v>
      </c>
      <c r="H7" s="13" t="n">
        <v>0</v>
      </c>
      <c r="I7" s="13" t="n">
        <v>90</v>
      </c>
      <c r="J7" s="31" t="n"/>
      <c r="K7" s="31" t="n"/>
    </row>
    <row r="8" ht="22" customHeight="1">
      <c r="B8" s="14" t="inlineStr">
        <is>
          <t>IR-004</t>
        </is>
      </c>
      <c r="C8" s="14" t="inlineStr">
        <is>
          <t>Avril</t>
        </is>
      </c>
      <c r="D8" s="14" t="inlineStr">
        <is>
          <t>2025</t>
        </is>
      </c>
      <c r="E8" s="15" t="n">
        <v>90</v>
      </c>
      <c r="F8" s="15" t="n">
        <v>1</v>
      </c>
      <c r="G8" s="15" t="n">
        <v>1</v>
      </c>
      <c r="H8" s="15" t="n">
        <v>0</v>
      </c>
      <c r="I8" s="15" t="n">
        <v>90</v>
      </c>
      <c r="J8" s="32" t="n"/>
      <c r="K8" s="32" t="n"/>
    </row>
    <row r="9" ht="22" customHeight="1">
      <c r="B9" s="12" t="inlineStr">
        <is>
          <t>IR-005</t>
        </is>
      </c>
      <c r="C9" s="12" t="inlineStr">
        <is>
          <t>Mai</t>
        </is>
      </c>
      <c r="D9" s="12" t="inlineStr">
        <is>
          <t>2025</t>
        </is>
      </c>
      <c r="E9" s="13" t="n">
        <v>90</v>
      </c>
      <c r="F9" s="13" t="n">
        <v>3</v>
      </c>
      <c r="G9" s="13" t="n">
        <v>1</v>
      </c>
      <c r="H9" s="13" t="n">
        <v>0</v>
      </c>
      <c r="I9" s="13" t="n">
        <v>92</v>
      </c>
      <c r="J9" s="31" t="n"/>
      <c r="K9" s="31" t="n"/>
    </row>
    <row r="10" ht="22" customHeight="1">
      <c r="B10" s="16">
        <f>IF(C10="","IR-"&amp;TEXT(COUNTA($C$5:C10),"000"))</f>
        <v/>
      </c>
      <c r="C10" s="14" t="n"/>
      <c r="D10" s="14" t="n"/>
      <c r="E10" s="15" t="n"/>
      <c r="F10" s="15" t="n"/>
      <c r="G10" s="15" t="n"/>
      <c r="H10" s="15" t="n"/>
      <c r="I10" s="15" t="n"/>
      <c r="J10" s="32">
        <f>IF(E10="","",(G10+H10)/E10)</f>
        <v/>
      </c>
      <c r="K10" s="32">
        <f>IF(E10="","",I10/E10)</f>
        <v/>
      </c>
    </row>
    <row r="11" ht="22" customHeight="1">
      <c r="B11" s="17">
        <f>IF(C11="","IR-"&amp;TEXT(COUNTA($C$5:C11),"000"))</f>
        <v/>
      </c>
      <c r="C11" s="12" t="n"/>
      <c r="D11" s="12" t="n"/>
      <c r="E11" s="13" t="n"/>
      <c r="F11" s="13" t="n"/>
      <c r="G11" s="13" t="n"/>
      <c r="H11" s="13" t="n"/>
      <c r="I11" s="13" t="n"/>
      <c r="J11" s="31">
        <f>IF(E11="","",(G11+H11)/E11)</f>
        <v/>
      </c>
      <c r="K11" s="31">
        <f>IF(E11="","",I11/E11)</f>
        <v/>
      </c>
    </row>
    <row r="12" ht="22" customHeight="1">
      <c r="B12" s="16">
        <f>IF(C12="","IR-"&amp;TEXT(COUNTA($C$5:C12),"000"))</f>
        <v/>
      </c>
      <c r="C12" s="14" t="n"/>
      <c r="D12" s="14" t="n"/>
      <c r="E12" s="15" t="n"/>
      <c r="F12" s="15" t="n"/>
      <c r="G12" s="15" t="n"/>
      <c r="H12" s="15" t="n"/>
      <c r="I12" s="15" t="n"/>
      <c r="J12" s="32">
        <f>IF(E12="","",(G12+H12)/E12)</f>
        <v/>
      </c>
      <c r="K12" s="32">
        <f>IF(E12="","",I12/E12)</f>
        <v/>
      </c>
    </row>
    <row r="13" ht="22" customHeight="1">
      <c r="B13" s="17">
        <f>IF(C13="","IR-"&amp;TEXT(COUNTA($C$5:C13),"000"))</f>
        <v/>
      </c>
      <c r="C13" s="12" t="n"/>
      <c r="D13" s="12" t="n"/>
      <c r="E13" s="13" t="n"/>
      <c r="F13" s="13" t="n"/>
      <c r="G13" s="13" t="n"/>
      <c r="H13" s="13" t="n"/>
      <c r="I13" s="13" t="n"/>
      <c r="J13" s="31">
        <f>IF(E13="","",(G13+H13)/E13)</f>
        <v/>
      </c>
      <c r="K13" s="31">
        <f>IF(E13="","",I13/E13)</f>
        <v/>
      </c>
    </row>
    <row r="14" ht="22" customHeight="1">
      <c r="B14" s="16">
        <f>IF(C14="","IR-"&amp;TEXT(COUNTA($C$5:C14),"000"))</f>
        <v/>
      </c>
      <c r="C14" s="14" t="n"/>
      <c r="D14" s="14" t="n"/>
      <c r="E14" s="15" t="n"/>
      <c r="F14" s="15" t="n"/>
      <c r="G14" s="15" t="n"/>
      <c r="H14" s="15" t="n"/>
      <c r="I14" s="15" t="n"/>
      <c r="J14" s="32">
        <f>IF(E14="","",(G14+H14)/E14)</f>
        <v/>
      </c>
      <c r="K14" s="32">
        <f>IF(E14="","",I14/E14)</f>
        <v/>
      </c>
    </row>
    <row r="15" ht="22" customHeight="1">
      <c r="B15" s="17">
        <f>IF(C15="","IR-"&amp;TEXT(COUNTA($C$5:C15),"000"))</f>
        <v/>
      </c>
      <c r="C15" s="12" t="n"/>
      <c r="D15" s="12" t="n"/>
      <c r="E15" s="13" t="n"/>
      <c r="F15" s="13" t="n"/>
      <c r="G15" s="13" t="n"/>
      <c r="H15" s="13" t="n"/>
      <c r="I15" s="13" t="n"/>
      <c r="J15" s="31">
        <f>IF(E15="","",(G15+H15)/E15)</f>
        <v/>
      </c>
      <c r="K15" s="31">
        <f>IF(E15="","",I15/E15)</f>
        <v/>
      </c>
    </row>
    <row r="16" ht="22" customHeight="1">
      <c r="B16" s="16">
        <f>IF(C16="","IR-"&amp;TEXT(COUNTA($C$5:C16),"000"))</f>
        <v/>
      </c>
      <c r="C16" s="14" t="n"/>
      <c r="D16" s="14" t="n"/>
      <c r="E16" s="15" t="n"/>
      <c r="F16" s="15" t="n"/>
      <c r="G16" s="15" t="n"/>
      <c r="H16" s="15" t="n"/>
      <c r="I16" s="15" t="n"/>
      <c r="J16" s="32">
        <f>IF(E16="","",(G16+H16)/E16)</f>
        <v/>
      </c>
      <c r="K16" s="32">
        <f>IF(E16="","",I16/E16)</f>
        <v/>
      </c>
    </row>
    <row r="17" ht="22" customHeight="1">
      <c r="B17" s="17">
        <f>IF(C17="","IR-"&amp;TEXT(COUNTA($C$5:C17),"000"))</f>
        <v/>
      </c>
      <c r="C17" s="12" t="n"/>
      <c r="D17" s="12" t="n"/>
      <c r="E17" s="13" t="n"/>
      <c r="F17" s="13" t="n"/>
      <c r="G17" s="13" t="n"/>
      <c r="H17" s="13" t="n"/>
      <c r="I17" s="13" t="n"/>
      <c r="J17" s="31">
        <f>IF(E17="","",(G17+H17)/E17)</f>
        <v/>
      </c>
      <c r="K17" s="31">
        <f>IF(E17="","",I17/E17)</f>
        <v/>
      </c>
    </row>
    <row r="18" ht="22" customHeight="1">
      <c r="B18" s="16">
        <f>IF(C18="","IR-"&amp;TEXT(COUNTA($C$5:C18),"000"))</f>
        <v/>
      </c>
      <c r="C18" s="14" t="n"/>
      <c r="D18" s="14" t="n"/>
      <c r="E18" s="15" t="n"/>
      <c r="F18" s="15" t="n"/>
      <c r="G18" s="15" t="n"/>
      <c r="H18" s="15" t="n"/>
      <c r="I18" s="15" t="n"/>
      <c r="J18" s="32">
        <f>IF(E18="","",(G18+H18)/E18)</f>
        <v/>
      </c>
      <c r="K18" s="32">
        <f>IF(E18="","",I18/E18)</f>
        <v/>
      </c>
    </row>
    <row r="19" ht="22" customHeight="1">
      <c r="B19" s="17">
        <f>IF(C19="","IR-"&amp;TEXT(COUNTA($C$5:C19),"000"))</f>
        <v/>
      </c>
      <c r="C19" s="12" t="n"/>
      <c r="D19" s="12" t="n"/>
      <c r="E19" s="13" t="n"/>
      <c r="F19" s="13" t="n"/>
      <c r="G19" s="13" t="n"/>
      <c r="H19" s="13" t="n"/>
      <c r="I19" s="13" t="n"/>
      <c r="J19" s="31">
        <f>IF(E19="","",(G19+H19)/E19)</f>
        <v/>
      </c>
      <c r="K19" s="31">
        <f>IF(E19="","",I19/E19)</f>
        <v/>
      </c>
    </row>
    <row r="20" ht="22" customHeight="1">
      <c r="B20" s="16">
        <f>IF(C20="","IR-"&amp;TEXT(COUNTA($C$5:C20),"000"))</f>
        <v/>
      </c>
      <c r="C20" s="14" t="n"/>
      <c r="D20" s="14" t="n"/>
      <c r="E20" s="15" t="n"/>
      <c r="F20" s="15" t="n"/>
      <c r="G20" s="15" t="n"/>
      <c r="H20" s="15" t="n"/>
      <c r="I20" s="15" t="n"/>
      <c r="J20" s="32">
        <f>IF(E20="","",(G20+H20)/E20)</f>
        <v/>
      </c>
      <c r="K20" s="32">
        <f>IF(E20="","",I20/E20)</f>
        <v/>
      </c>
    </row>
    <row r="21" ht="22" customHeight="1">
      <c r="B21" s="17">
        <f>IF(C21="","IR-"&amp;TEXT(COUNTA($C$5:C21),"000"))</f>
        <v/>
      </c>
      <c r="C21" s="12" t="n"/>
      <c r="D21" s="12" t="n"/>
      <c r="E21" s="13" t="n"/>
      <c r="F21" s="13" t="n"/>
      <c r="G21" s="13" t="n"/>
      <c r="H21" s="13" t="n"/>
      <c r="I21" s="13" t="n"/>
      <c r="J21" s="31">
        <f>IF(E21="","",(G21+H21)/E21)</f>
        <v/>
      </c>
      <c r="K21" s="31">
        <f>IF(E21="","",I21/E21)</f>
        <v/>
      </c>
    </row>
    <row r="22" ht="22" customHeight="1">
      <c r="B22" s="16">
        <f>IF(C22="","IR-"&amp;TEXT(COUNTA($C$5:C22),"000"))</f>
        <v/>
      </c>
      <c r="C22" s="14" t="n"/>
      <c r="D22" s="14" t="n"/>
      <c r="E22" s="15" t="n"/>
      <c r="F22" s="15" t="n"/>
      <c r="G22" s="15" t="n"/>
      <c r="H22" s="15" t="n"/>
      <c r="I22" s="15" t="n"/>
      <c r="J22" s="32">
        <f>IF(E22="","",(G22+H22)/E22)</f>
        <v/>
      </c>
      <c r="K22" s="32">
        <f>IF(E22="","",I22/E22)</f>
        <v/>
      </c>
    </row>
    <row r="23" ht="22" customHeight="1">
      <c r="B23" s="17">
        <f>IF(C23="","IR-"&amp;TEXT(COUNTA($C$5:C23),"000"))</f>
        <v/>
      </c>
      <c r="C23" s="12" t="n"/>
      <c r="D23" s="12" t="n"/>
      <c r="E23" s="13" t="n"/>
      <c r="F23" s="13" t="n"/>
      <c r="G23" s="13" t="n"/>
      <c r="H23" s="13" t="n"/>
      <c r="I23" s="13" t="n"/>
      <c r="J23" s="31">
        <f>IF(E23="","",(G23+H23)/E23)</f>
        <v/>
      </c>
      <c r="K23" s="31">
        <f>IF(E23="","",I23/E23)</f>
        <v/>
      </c>
    </row>
    <row r="24" ht="22" customHeight="1">
      <c r="B24" s="16">
        <f>IF(C24="","IR-"&amp;TEXT(COUNTA($C$5:C24),"000"))</f>
        <v/>
      </c>
      <c r="C24" s="14" t="n"/>
      <c r="D24" s="14" t="n"/>
      <c r="E24" s="15" t="n"/>
      <c r="F24" s="15" t="n"/>
      <c r="G24" s="15" t="n"/>
      <c r="H24" s="15" t="n"/>
      <c r="I24" s="15" t="n"/>
      <c r="J24" s="32">
        <f>IF(E24="","",(G24+H24)/E24)</f>
        <v/>
      </c>
      <c r="K24" s="32">
        <f>IF(E24="","",I24/E24)</f>
        <v/>
      </c>
    </row>
    <row r="25" ht="22" customHeight="1">
      <c r="B25" s="17">
        <f>IF(C25="","IR-"&amp;TEXT(COUNTA($C$5:C25),"000"))</f>
        <v/>
      </c>
      <c r="C25" s="12" t="n"/>
      <c r="D25" s="12" t="n"/>
      <c r="E25" s="13" t="n"/>
      <c r="F25" s="13" t="n"/>
      <c r="G25" s="13" t="n"/>
      <c r="H25" s="13" t="n"/>
      <c r="I25" s="13" t="n"/>
      <c r="J25" s="31">
        <f>IF(E25="","",(G25+H25)/E25)</f>
        <v/>
      </c>
      <c r="K25" s="31">
        <f>IF(E25="","",I25/E25)</f>
        <v/>
      </c>
    </row>
    <row r="26" ht="22" customHeight="1">
      <c r="B26" s="16">
        <f>IF(C26="","IR-"&amp;TEXT(COUNTA($C$5:C26),"000"))</f>
        <v/>
      </c>
      <c r="C26" s="14" t="n"/>
      <c r="D26" s="14" t="n"/>
      <c r="E26" s="15" t="n"/>
      <c r="F26" s="15" t="n"/>
      <c r="G26" s="15" t="n"/>
      <c r="H26" s="15" t="n"/>
      <c r="I26" s="15" t="n"/>
      <c r="J26" s="32">
        <f>IF(E26="","",(G26+H26)/E26)</f>
        <v/>
      </c>
      <c r="K26" s="32">
        <f>IF(E26="","",I26/E26)</f>
        <v/>
      </c>
    </row>
    <row r="27" ht="22" customHeight="1">
      <c r="B27" s="17">
        <f>IF(C27="","IR-"&amp;TEXT(COUNTA($C$5:C27),"000"))</f>
        <v/>
      </c>
      <c r="C27" s="12" t="n"/>
      <c r="D27" s="12" t="n"/>
      <c r="E27" s="13" t="n"/>
      <c r="F27" s="13" t="n"/>
      <c r="G27" s="13" t="n"/>
      <c r="H27" s="13" t="n"/>
      <c r="I27" s="13" t="n"/>
      <c r="J27" s="31">
        <f>IF(E27="","",(G27+H27)/E27)</f>
        <v/>
      </c>
      <c r="K27" s="31">
        <f>IF(E27="","",I27/E27)</f>
        <v/>
      </c>
    </row>
    <row r="28" ht="22" customHeight="1">
      <c r="B28" s="16">
        <f>IF(C28="","IR-"&amp;TEXT(COUNTA($C$5:C28),"000"))</f>
        <v/>
      </c>
      <c r="C28" s="14" t="n"/>
      <c r="D28" s="14" t="n"/>
      <c r="E28" s="15" t="n"/>
      <c r="F28" s="15" t="n"/>
      <c r="G28" s="15" t="n"/>
      <c r="H28" s="15" t="n"/>
      <c r="I28" s="15" t="n"/>
      <c r="J28" s="32">
        <f>IF(E28="","",(G28+H28)/E28)</f>
        <v/>
      </c>
      <c r="K28" s="32">
        <f>IF(E28="","",I28/E28)</f>
        <v/>
      </c>
    </row>
    <row r="29" ht="22" customHeight="1">
      <c r="B29" s="17">
        <f>IF(C29="","IR-"&amp;TEXT(COUNTA($C$5:C29),"000"))</f>
        <v/>
      </c>
      <c r="C29" s="12" t="n"/>
      <c r="D29" s="12" t="n"/>
      <c r="E29" s="13" t="n"/>
      <c r="F29" s="13" t="n"/>
      <c r="G29" s="13" t="n"/>
      <c r="H29" s="13" t="n"/>
      <c r="I29" s="13" t="n"/>
      <c r="J29" s="31">
        <f>IF(E29="","",(G29+H29)/E29)</f>
        <v/>
      </c>
      <c r="K29" s="31">
        <f>IF(E29="","",I29/E29)</f>
        <v/>
      </c>
    </row>
    <row r="30" ht="22" customHeight="1">
      <c r="B30" s="16">
        <f>IF(C30="","IR-"&amp;TEXT(COUNTA($C$5:C30),"000"))</f>
        <v/>
      </c>
      <c r="C30" s="14" t="n"/>
      <c r="D30" s="14" t="n"/>
      <c r="E30" s="15" t="n"/>
      <c r="F30" s="15" t="n"/>
      <c r="G30" s="15" t="n"/>
      <c r="H30" s="15" t="n"/>
      <c r="I30" s="15" t="n"/>
      <c r="J30" s="32">
        <f>IF(E30="","",(G30+H30)/E30)</f>
        <v/>
      </c>
      <c r="K30" s="32">
        <f>IF(E30="","",I30/E30)</f>
        <v/>
      </c>
    </row>
    <row r="31" ht="22" customHeight="1">
      <c r="B31" s="17">
        <f>IF(C31="","IR-"&amp;TEXT(COUNTA($C$5:C31),"000"))</f>
        <v/>
      </c>
      <c r="C31" s="12" t="n"/>
      <c r="D31" s="12" t="n"/>
      <c r="E31" s="13" t="n"/>
      <c r="F31" s="13" t="n"/>
      <c r="G31" s="13" t="n"/>
      <c r="H31" s="13" t="n"/>
      <c r="I31" s="13" t="n"/>
      <c r="J31" s="31">
        <f>IF(E31="","",(G31+H31)/E31)</f>
        <v/>
      </c>
      <c r="K31" s="31">
        <f>IF(E31="","",I31/E31)</f>
        <v/>
      </c>
    </row>
    <row r="32" ht="22" customHeight="1">
      <c r="B32" s="16">
        <f>IF(C32="","IR-"&amp;TEXT(COUNTA($C$5:C32),"000"))</f>
        <v/>
      </c>
      <c r="C32" s="14" t="n"/>
      <c r="D32" s="14" t="n"/>
      <c r="E32" s="15" t="n"/>
      <c r="F32" s="15" t="n"/>
      <c r="G32" s="15" t="n"/>
      <c r="H32" s="15" t="n"/>
      <c r="I32" s="15" t="n"/>
      <c r="J32" s="32">
        <f>IF(E32="","",(G32+H32)/E32)</f>
        <v/>
      </c>
      <c r="K32" s="32">
        <f>IF(E32="","",I32/E32)</f>
        <v/>
      </c>
    </row>
    <row r="33" ht="22" customHeight="1">
      <c r="B33" s="17">
        <f>IF(C33="","IR-"&amp;TEXT(COUNTA($C$5:C33),"000"))</f>
        <v/>
      </c>
      <c r="C33" s="12" t="n"/>
      <c r="D33" s="12" t="n"/>
      <c r="E33" s="13" t="n"/>
      <c r="F33" s="13" t="n"/>
      <c r="G33" s="13" t="n"/>
      <c r="H33" s="13" t="n"/>
      <c r="I33" s="13" t="n"/>
      <c r="J33" s="31">
        <f>IF(E33="","",(G33+H33)/E33)</f>
        <v/>
      </c>
      <c r="K33" s="31">
        <f>IF(E33="","",I33/E33)</f>
        <v/>
      </c>
    </row>
    <row r="34" ht="22" customHeight="1">
      <c r="B34" s="16">
        <f>IF(C34="","IR-"&amp;TEXT(COUNTA($C$5:C34),"000"))</f>
        <v/>
      </c>
      <c r="C34" s="14" t="n"/>
      <c r="D34" s="14" t="n"/>
      <c r="E34" s="15" t="n"/>
      <c r="F34" s="15" t="n"/>
      <c r="G34" s="15" t="n"/>
      <c r="H34" s="15" t="n"/>
      <c r="I34" s="15" t="n"/>
      <c r="J34" s="32">
        <f>IF(E34="","",(G34+H34)/E34)</f>
        <v/>
      </c>
      <c r="K34" s="32">
        <f>IF(E34="","",I34/E34)</f>
        <v/>
      </c>
    </row>
    <row r="35" ht="22" customHeight="1">
      <c r="B35" s="17">
        <f>IF(C35="","IR-"&amp;TEXT(COUNTA($C$5:C35),"000"))</f>
        <v/>
      </c>
      <c r="C35" s="12" t="n"/>
      <c r="D35" s="12" t="n"/>
      <c r="E35" s="13" t="n"/>
      <c r="F35" s="13" t="n"/>
      <c r="G35" s="13" t="n"/>
      <c r="H35" s="13" t="n"/>
      <c r="I35" s="13" t="n"/>
      <c r="J35" s="31">
        <f>IF(E35="","",(G35+H35)/E35)</f>
        <v/>
      </c>
      <c r="K35" s="31">
        <f>IF(E35="","",I35/E35)</f>
        <v/>
      </c>
    </row>
    <row r="36" ht="22" customHeight="1">
      <c r="B36" s="16">
        <f>IF(C36="","IR-"&amp;TEXT(COUNTA($C$5:C36),"000"))</f>
        <v/>
      </c>
      <c r="C36" s="14" t="n"/>
      <c r="D36" s="14" t="n"/>
      <c r="E36" s="15" t="n"/>
      <c r="F36" s="15" t="n"/>
      <c r="G36" s="15" t="n"/>
      <c r="H36" s="15" t="n"/>
      <c r="I36" s="15" t="n"/>
      <c r="J36" s="32">
        <f>IF(E36="","",(G36+H36)/E36)</f>
        <v/>
      </c>
      <c r="K36" s="32">
        <f>IF(E36="","",I36/E36)</f>
        <v/>
      </c>
    </row>
    <row r="37" ht="22" customHeight="1">
      <c r="B37" s="17">
        <f>IF(C37="","IR-"&amp;TEXT(COUNTA($C$5:C37),"000"))</f>
        <v/>
      </c>
      <c r="C37" s="12" t="n"/>
      <c r="D37" s="12" t="n"/>
      <c r="E37" s="13" t="n"/>
      <c r="F37" s="13" t="n"/>
      <c r="G37" s="13" t="n"/>
      <c r="H37" s="13" t="n"/>
      <c r="I37" s="13" t="n"/>
      <c r="J37" s="31">
        <f>IF(E37="","",(G37+H37)/E37)</f>
        <v/>
      </c>
      <c r="K37" s="31">
        <f>IF(E37="","",I37/E37)</f>
        <v/>
      </c>
    </row>
    <row r="38" ht="22" customHeight="1">
      <c r="B38" s="16">
        <f>IF(C38="","IR-"&amp;TEXT(COUNTA($C$5:C38),"000"))</f>
        <v/>
      </c>
      <c r="C38" s="14" t="n"/>
      <c r="D38" s="14" t="n"/>
      <c r="E38" s="15" t="n"/>
      <c r="F38" s="15" t="n"/>
      <c r="G38" s="15" t="n"/>
      <c r="H38" s="15" t="n"/>
      <c r="I38" s="15" t="n"/>
      <c r="J38" s="32">
        <f>IF(E38="","",(G38+H38)/E38)</f>
        <v/>
      </c>
      <c r="K38" s="32">
        <f>IF(E38="","",I38/E38)</f>
        <v/>
      </c>
    </row>
    <row r="39" ht="22" customHeight="1">
      <c r="B39" s="17">
        <f>IF(C39="","IR-"&amp;TEXT(COUNTA($C$5:C39),"000"))</f>
        <v/>
      </c>
      <c r="C39" s="12" t="n"/>
      <c r="D39" s="12" t="n"/>
      <c r="E39" s="13" t="n"/>
      <c r="F39" s="13" t="n"/>
      <c r="G39" s="13" t="n"/>
      <c r="H39" s="13" t="n"/>
      <c r="I39" s="13" t="n"/>
      <c r="J39" s="31">
        <f>IF(E39="","",(G39+H39)/E39)</f>
        <v/>
      </c>
      <c r="K39" s="31">
        <f>IF(E39="","",I39/E39)</f>
        <v/>
      </c>
    </row>
    <row r="40" ht="22" customHeight="1">
      <c r="B40" s="16">
        <f>IF(C40="","IR-"&amp;TEXT(COUNTA($C$5:C40),"000"))</f>
        <v/>
      </c>
      <c r="C40" s="14" t="n"/>
      <c r="D40" s="14" t="n"/>
      <c r="E40" s="15" t="n"/>
      <c r="F40" s="15" t="n"/>
      <c r="G40" s="15" t="n"/>
      <c r="H40" s="15" t="n"/>
      <c r="I40" s="15" t="n"/>
      <c r="J40" s="32">
        <f>IF(E40="","",(G40+H40)/E40)</f>
        <v/>
      </c>
      <c r="K40" s="32">
        <f>IF(E40="","",I40/E40)</f>
        <v/>
      </c>
    </row>
    <row r="41" ht="22" customHeight="1">
      <c r="B41" s="17">
        <f>IF(C41="","IR-"&amp;TEXT(COUNTA($C$5:C41),"000"))</f>
        <v/>
      </c>
      <c r="C41" s="12" t="n"/>
      <c r="D41" s="12" t="n"/>
      <c r="E41" s="13" t="n"/>
      <c r="F41" s="13" t="n"/>
      <c r="G41" s="13" t="n"/>
      <c r="H41" s="13" t="n"/>
      <c r="I41" s="13" t="n"/>
      <c r="J41" s="31">
        <f>IF(E41="","",(G41+H41)/E41)</f>
        <v/>
      </c>
      <c r="K41" s="31">
        <f>IF(E41="","",I41/E41)</f>
        <v/>
      </c>
    </row>
    <row r="42" ht="22" customHeight="1">
      <c r="B42" s="16">
        <f>IF(C42="","IR-"&amp;TEXT(COUNTA($C$5:C42),"000"))</f>
        <v/>
      </c>
      <c r="C42" s="14" t="n"/>
      <c r="D42" s="14" t="n"/>
      <c r="E42" s="15" t="n"/>
      <c r="F42" s="15" t="n"/>
      <c r="G42" s="15" t="n"/>
      <c r="H42" s="15" t="n"/>
      <c r="I42" s="15" t="n"/>
      <c r="J42" s="32">
        <f>IF(E42="","",(G42+H42)/E42)</f>
        <v/>
      </c>
      <c r="K42" s="32">
        <f>IF(E42="","",I42/E42)</f>
        <v/>
      </c>
    </row>
    <row r="43" ht="22" customHeight="1">
      <c r="B43" s="17">
        <f>IF(C43="","IR-"&amp;TEXT(COUNTA($C$5:C43),"000"))</f>
        <v/>
      </c>
      <c r="C43" s="12" t="n"/>
      <c r="D43" s="12" t="n"/>
      <c r="E43" s="13" t="n"/>
      <c r="F43" s="13" t="n"/>
      <c r="G43" s="13" t="n"/>
      <c r="H43" s="13" t="n"/>
      <c r="I43" s="13" t="n"/>
      <c r="J43" s="31">
        <f>IF(E43="","",(G43+H43)/E43)</f>
        <v/>
      </c>
      <c r="K43" s="31">
        <f>IF(E43="","",I43/E43)</f>
        <v/>
      </c>
    </row>
    <row r="44" ht="22" customHeight="1">
      <c r="B44" s="16">
        <f>IF(C44="","IR-"&amp;TEXT(COUNTA($C$5:C44),"000"))</f>
        <v/>
      </c>
      <c r="C44" s="14" t="n"/>
      <c r="D44" s="14" t="n"/>
      <c r="E44" s="15" t="n"/>
      <c r="F44" s="15" t="n"/>
      <c r="G44" s="15" t="n"/>
      <c r="H44" s="15" t="n"/>
      <c r="I44" s="15" t="n"/>
      <c r="J44" s="32">
        <f>IF(E44="","",(G44+H44)/E44)</f>
        <v/>
      </c>
      <c r="K44" s="32">
        <f>IF(E44="","",I44/E44)</f>
        <v/>
      </c>
    </row>
    <row r="45" ht="22" customHeight="1">
      <c r="B45" s="17">
        <f>IF(C45="","IR-"&amp;TEXT(COUNTA($C$5:C45),"000"))</f>
        <v/>
      </c>
      <c r="C45" s="12" t="n"/>
      <c r="D45" s="12" t="n"/>
      <c r="E45" s="13" t="n"/>
      <c r="F45" s="13" t="n"/>
      <c r="G45" s="13" t="n"/>
      <c r="H45" s="13" t="n"/>
      <c r="I45" s="13" t="n"/>
      <c r="J45" s="31">
        <f>IF(E45="","",(G45+H45)/E45)</f>
        <v/>
      </c>
      <c r="K45" s="31">
        <f>IF(E45="","",I45/E45)</f>
        <v/>
      </c>
    </row>
    <row r="46" ht="22" customHeight="1">
      <c r="B46" s="16">
        <f>IF(C46="","IR-"&amp;TEXT(COUNTA($C$5:C46),"000"))</f>
        <v/>
      </c>
      <c r="C46" s="14" t="n"/>
      <c r="D46" s="14" t="n"/>
      <c r="E46" s="15" t="n"/>
      <c r="F46" s="15" t="n"/>
      <c r="G46" s="15" t="n"/>
      <c r="H46" s="15" t="n"/>
      <c r="I46" s="15" t="n"/>
      <c r="J46" s="32">
        <f>IF(E46="","",(G46+H46)/E46)</f>
        <v/>
      </c>
      <c r="K46" s="32">
        <f>IF(E46="","",I46/E46)</f>
        <v/>
      </c>
    </row>
    <row r="47" ht="22" customHeight="1">
      <c r="B47" s="17">
        <f>IF(C47="","IR-"&amp;TEXT(COUNTA($C$5:C47),"000"))</f>
        <v/>
      </c>
      <c r="C47" s="12" t="n"/>
      <c r="D47" s="12" t="n"/>
      <c r="E47" s="13" t="n"/>
      <c r="F47" s="13" t="n"/>
      <c r="G47" s="13" t="n"/>
      <c r="H47" s="13" t="n"/>
      <c r="I47" s="13" t="n"/>
      <c r="J47" s="31">
        <f>IF(E47="","",(G47+H47)/E47)</f>
        <v/>
      </c>
      <c r="K47" s="31">
        <f>IF(E47="","",I47/E47)</f>
        <v/>
      </c>
    </row>
    <row r="48" ht="22" customHeight="1">
      <c r="B48" s="16">
        <f>IF(C48="","IR-"&amp;TEXT(COUNTA($C$5:C48),"000"))</f>
        <v/>
      </c>
      <c r="C48" s="14" t="n"/>
      <c r="D48" s="14" t="n"/>
      <c r="E48" s="15" t="n"/>
      <c r="F48" s="15" t="n"/>
      <c r="G48" s="15" t="n"/>
      <c r="H48" s="15" t="n"/>
      <c r="I48" s="15" t="n"/>
      <c r="J48" s="32">
        <f>IF(E48="","",(G48+H48)/E48)</f>
        <v/>
      </c>
      <c r="K48" s="32">
        <f>IF(E48="","",I48/E48)</f>
        <v/>
      </c>
    </row>
    <row r="49" ht="22" customHeight="1">
      <c r="B49" s="17">
        <f>IF(C49="","IR-"&amp;TEXT(COUNTA($C$5:C49),"000"))</f>
        <v/>
      </c>
      <c r="C49" s="12" t="n"/>
      <c r="D49" s="12" t="n"/>
      <c r="E49" s="13" t="n"/>
      <c r="F49" s="13" t="n"/>
      <c r="G49" s="13" t="n"/>
      <c r="H49" s="13" t="n"/>
      <c r="I49" s="13" t="n"/>
      <c r="J49" s="31">
        <f>IF(E49="","",(G49+H49)/E49)</f>
        <v/>
      </c>
      <c r="K49" s="31">
        <f>IF(E49="","",I49/E49)</f>
        <v/>
      </c>
    </row>
    <row r="50" ht="22" customHeight="1">
      <c r="B50" s="16">
        <f>IF(C50="","IR-"&amp;TEXT(COUNTA($C$5:C50),"000"))</f>
        <v/>
      </c>
      <c r="C50" s="14" t="n"/>
      <c r="D50" s="14" t="n"/>
      <c r="E50" s="15" t="n"/>
      <c r="F50" s="15" t="n"/>
      <c r="G50" s="15" t="n"/>
      <c r="H50" s="15" t="n"/>
      <c r="I50" s="15" t="n"/>
      <c r="J50" s="32">
        <f>IF(E50="","",(G50+H50)/E50)</f>
        <v/>
      </c>
      <c r="K50" s="32">
        <f>IF(E50="","",I50/E50)</f>
        <v/>
      </c>
    </row>
    <row r="51" ht="22" customHeight="1">
      <c r="B51" s="17">
        <f>IF(C51="","IR-"&amp;TEXT(COUNTA($C$5:C51),"000"))</f>
        <v/>
      </c>
      <c r="C51" s="12" t="n"/>
      <c r="D51" s="12" t="n"/>
      <c r="E51" s="13" t="n"/>
      <c r="F51" s="13" t="n"/>
      <c r="G51" s="13" t="n"/>
      <c r="H51" s="13" t="n"/>
      <c r="I51" s="13" t="n"/>
      <c r="J51" s="31">
        <f>IF(E51="","",(G51+H51)/E51)</f>
        <v/>
      </c>
      <c r="K51" s="31">
        <f>IF(E51="","",I51/E51)</f>
        <v/>
      </c>
    </row>
    <row r="52" ht="22" customHeight="1">
      <c r="B52" s="16">
        <f>IF(C52="","IR-"&amp;TEXT(COUNTA($C$5:C52),"000"))</f>
        <v/>
      </c>
      <c r="C52" s="14" t="n"/>
      <c r="D52" s="14" t="n"/>
      <c r="E52" s="15" t="n"/>
      <c r="F52" s="15" t="n"/>
      <c r="G52" s="15" t="n"/>
      <c r="H52" s="15" t="n"/>
      <c r="I52" s="15" t="n"/>
      <c r="J52" s="32">
        <f>IF(E52="","",(G52+H52)/E52)</f>
        <v/>
      </c>
      <c r="K52" s="32">
        <f>IF(E52="","",I52/E52)</f>
        <v/>
      </c>
    </row>
    <row r="53" ht="22" customHeight="1">
      <c r="B53" s="17">
        <f>IF(C53="","IR-"&amp;TEXT(COUNTA($C$5:C53),"000"))</f>
        <v/>
      </c>
      <c r="C53" s="12" t="n"/>
      <c r="D53" s="12" t="n"/>
      <c r="E53" s="13" t="n"/>
      <c r="F53" s="13" t="n"/>
      <c r="G53" s="13" t="n"/>
      <c r="H53" s="13" t="n"/>
      <c r="I53" s="13" t="n"/>
      <c r="J53" s="31">
        <f>IF(E53="","",(G53+H53)/E53)</f>
        <v/>
      </c>
      <c r="K53" s="31">
        <f>IF(E53="","",I53/E53)</f>
        <v/>
      </c>
    </row>
    <row r="54" ht="22" customHeight="1">
      <c r="B54" s="16">
        <f>IF(C54="","IR-"&amp;TEXT(COUNTA($C$5:C54),"000"))</f>
        <v/>
      </c>
      <c r="C54" s="14" t="n"/>
      <c r="D54" s="14" t="n"/>
      <c r="E54" s="15" t="n"/>
      <c r="F54" s="15" t="n"/>
      <c r="G54" s="15" t="n"/>
      <c r="H54" s="15" t="n"/>
      <c r="I54" s="15" t="n"/>
      <c r="J54" s="32">
        <f>IF(E54="","",(G54+H54)/E54)</f>
        <v/>
      </c>
      <c r="K54" s="32">
        <f>IF(E54="","",I54/E54)</f>
        <v/>
      </c>
    </row>
    <row r="55" ht="22" customHeight="1">
      <c r="B55" s="17">
        <f>IF(C55="","IR-"&amp;TEXT(COUNTA($C$5:C55),"000"))</f>
        <v/>
      </c>
      <c r="C55" s="12" t="n"/>
      <c r="D55" s="12" t="n"/>
      <c r="E55" s="13" t="n"/>
      <c r="F55" s="13" t="n"/>
      <c r="G55" s="13" t="n"/>
      <c r="H55" s="13" t="n"/>
      <c r="I55" s="13" t="n"/>
      <c r="J55" s="31">
        <f>IF(E55="","",(G55+H55)/E55)</f>
        <v/>
      </c>
      <c r="K55" s="31">
        <f>IF(E55="","",I55/E55)</f>
        <v/>
      </c>
    </row>
    <row r="56" ht="22" customHeight="1">
      <c r="B56" s="16">
        <f>IF(C56="","IR-"&amp;TEXT(COUNTA($C$5:C56),"000"))</f>
        <v/>
      </c>
      <c r="C56" s="14" t="n"/>
      <c r="D56" s="14" t="n"/>
      <c r="E56" s="15" t="n"/>
      <c r="F56" s="15" t="n"/>
      <c r="G56" s="15" t="n"/>
      <c r="H56" s="15" t="n"/>
      <c r="I56" s="15" t="n"/>
      <c r="J56" s="32">
        <f>IF(E56="","",(G56+H56)/E56)</f>
        <v/>
      </c>
      <c r="K56" s="32">
        <f>IF(E56="","",I56/E56)</f>
        <v/>
      </c>
    </row>
    <row r="57" ht="22" customHeight="1">
      <c r="B57" s="17">
        <f>IF(C57="","IR-"&amp;TEXT(COUNTA($C$5:C57),"000"))</f>
        <v/>
      </c>
      <c r="C57" s="12" t="n"/>
      <c r="D57" s="12" t="n"/>
      <c r="E57" s="13" t="n"/>
      <c r="F57" s="13" t="n"/>
      <c r="G57" s="13" t="n"/>
      <c r="H57" s="13" t="n"/>
      <c r="I57" s="13" t="n"/>
      <c r="J57" s="31">
        <f>IF(E57="","",(G57+H57)/E57)</f>
        <v/>
      </c>
      <c r="K57" s="31">
        <f>IF(E57="","",I57/E57)</f>
        <v/>
      </c>
    </row>
    <row r="58" ht="22" customHeight="1">
      <c r="B58" s="16">
        <f>IF(C58="","IR-"&amp;TEXT(COUNTA($C$5:C58),"000"))</f>
        <v/>
      </c>
      <c r="C58" s="14" t="n"/>
      <c r="D58" s="14" t="n"/>
      <c r="E58" s="15" t="n"/>
      <c r="F58" s="15" t="n"/>
      <c r="G58" s="15" t="n"/>
      <c r="H58" s="15" t="n"/>
      <c r="I58" s="15" t="n"/>
      <c r="J58" s="32">
        <f>IF(E58="","",(G58+H58)/E58)</f>
        <v/>
      </c>
      <c r="K58" s="32">
        <f>IF(E58="","",I58/E58)</f>
        <v/>
      </c>
    </row>
    <row r="59" ht="22" customHeight="1">
      <c r="B59" s="17">
        <f>IF(C59="","IR-"&amp;TEXT(COUNTA($C$5:C59),"000"))</f>
        <v/>
      </c>
      <c r="C59" s="12" t="n"/>
      <c r="D59" s="12" t="n"/>
      <c r="E59" s="13" t="n"/>
      <c r="F59" s="13" t="n"/>
      <c r="G59" s="13" t="n"/>
      <c r="H59" s="13" t="n"/>
      <c r="I59" s="13" t="n"/>
      <c r="J59" s="31">
        <f>IF(E59="","",(G59+H59)/E59)</f>
        <v/>
      </c>
      <c r="K59" s="31">
        <f>IF(E59="","",I59/E59)</f>
        <v/>
      </c>
    </row>
    <row r="60" ht="22" customHeight="1">
      <c r="B60" s="16">
        <f>IF(C60="","IR-"&amp;TEXT(COUNTA($C$5:C60),"000"))</f>
        <v/>
      </c>
      <c r="C60" s="14" t="n"/>
      <c r="D60" s="14" t="n"/>
      <c r="E60" s="15" t="n"/>
      <c r="F60" s="15" t="n"/>
      <c r="G60" s="15" t="n"/>
      <c r="H60" s="15" t="n"/>
      <c r="I60" s="15" t="n"/>
      <c r="J60" s="32">
        <f>IF(E60="","",(G60+H60)/E60)</f>
        <v/>
      </c>
      <c r="K60" s="32">
        <f>IF(E60="","",I60/E60)</f>
        <v/>
      </c>
    </row>
    <row r="61" ht="22" customHeight="1">
      <c r="B61" s="17">
        <f>IF(C61="","IR-"&amp;TEXT(COUNTA($C$5:C61),"000"))</f>
        <v/>
      </c>
      <c r="C61" s="12" t="n"/>
      <c r="D61" s="12" t="n"/>
      <c r="E61" s="13" t="n"/>
      <c r="F61" s="13" t="n"/>
      <c r="G61" s="13" t="n"/>
      <c r="H61" s="13" t="n"/>
      <c r="I61" s="13" t="n"/>
      <c r="J61" s="31">
        <f>IF(E61="","",(G61+H61)/E61)</f>
        <v/>
      </c>
      <c r="K61" s="31">
        <f>IF(E61="","",I61/E61)</f>
        <v/>
      </c>
    </row>
    <row r="62" ht="22" customHeight="1">
      <c r="B62" s="16">
        <f>IF(C62="","IR-"&amp;TEXT(COUNTA($C$5:C62),"000"))</f>
        <v/>
      </c>
      <c r="C62" s="14" t="n"/>
      <c r="D62" s="14" t="n"/>
      <c r="E62" s="15" t="n"/>
      <c r="F62" s="15" t="n"/>
      <c r="G62" s="15" t="n"/>
      <c r="H62" s="15" t="n"/>
      <c r="I62" s="15" t="n"/>
      <c r="J62" s="32">
        <f>IF(E62="","",(G62+H62)/E62)</f>
        <v/>
      </c>
      <c r="K62" s="32">
        <f>IF(E62="","",I62/E62)</f>
        <v/>
      </c>
    </row>
    <row r="63" ht="22" customHeight="1">
      <c r="B63" s="17">
        <f>IF(C63="","IR-"&amp;TEXT(COUNTA($C$5:C63),"000"))</f>
        <v/>
      </c>
      <c r="C63" s="12" t="n"/>
      <c r="D63" s="12" t="n"/>
      <c r="E63" s="13" t="n"/>
      <c r="F63" s="13" t="n"/>
      <c r="G63" s="13" t="n"/>
      <c r="H63" s="13" t="n"/>
      <c r="I63" s="13" t="n"/>
      <c r="J63" s="31">
        <f>IF(E63="","",(G63+H63)/E63)</f>
        <v/>
      </c>
      <c r="K63" s="31">
        <f>IF(E63="","",I63/E63)</f>
        <v/>
      </c>
    </row>
    <row r="64" ht="22" customHeight="1">
      <c r="B64" s="16">
        <f>IF(C64="","IR-"&amp;TEXT(COUNTA($C$5:C64),"000"))</f>
        <v/>
      </c>
      <c r="C64" s="14" t="n"/>
      <c r="D64" s="14" t="n"/>
      <c r="E64" s="15" t="n"/>
      <c r="F64" s="15" t="n"/>
      <c r="G64" s="15" t="n"/>
      <c r="H64" s="15" t="n"/>
      <c r="I64" s="15" t="n"/>
      <c r="J64" s="32">
        <f>IF(E64="","",(G64+H64)/E64)</f>
        <v/>
      </c>
      <c r="K64" s="32">
        <f>IF(E64="","",I64/E64)</f>
        <v/>
      </c>
    </row>
    <row r="65" ht="22" customHeight="1">
      <c r="B65" s="17">
        <f>IF(C65="","IR-"&amp;TEXT(COUNTA($C$5:C65),"000"))</f>
        <v/>
      </c>
      <c r="C65" s="12" t="n"/>
      <c r="D65" s="12" t="n"/>
      <c r="E65" s="13" t="n"/>
      <c r="F65" s="13" t="n"/>
      <c r="G65" s="13" t="n"/>
      <c r="H65" s="13" t="n"/>
      <c r="I65" s="13" t="n"/>
      <c r="J65" s="31">
        <f>IF(E65="","",(G65+H65)/E65)</f>
        <v/>
      </c>
      <c r="K65" s="31">
        <f>IF(E65="","",I65/E65)</f>
        <v/>
      </c>
    </row>
    <row r="66" ht="22" customHeight="1">
      <c r="B66" s="16">
        <f>IF(C66="","IR-"&amp;TEXT(COUNTA($C$5:C66),"000"))</f>
        <v/>
      </c>
      <c r="C66" s="14" t="n"/>
      <c r="D66" s="14" t="n"/>
      <c r="E66" s="15" t="n"/>
      <c r="F66" s="15" t="n"/>
      <c r="G66" s="15" t="n"/>
      <c r="H66" s="15" t="n"/>
      <c r="I66" s="15" t="n"/>
      <c r="J66" s="32">
        <f>IF(E66="","",(G66+H66)/E66)</f>
        <v/>
      </c>
      <c r="K66" s="32">
        <f>IF(E66="","",I66/E66)</f>
        <v/>
      </c>
    </row>
    <row r="67" ht="22" customHeight="1">
      <c r="B67" s="17">
        <f>IF(C67="","IR-"&amp;TEXT(COUNTA($C$5:C67),"000"))</f>
        <v/>
      </c>
      <c r="C67" s="12" t="n"/>
      <c r="D67" s="12" t="n"/>
      <c r="E67" s="13" t="n"/>
      <c r="F67" s="13" t="n"/>
      <c r="G67" s="13" t="n"/>
      <c r="H67" s="13" t="n"/>
      <c r="I67" s="13" t="n"/>
      <c r="J67" s="31">
        <f>IF(E67="","",(G67+H67)/E67)</f>
        <v/>
      </c>
      <c r="K67" s="31">
        <f>IF(E67="","",I67/E67)</f>
        <v/>
      </c>
    </row>
    <row r="68" ht="22" customHeight="1">
      <c r="B68" s="16">
        <f>IF(C68="","IR-"&amp;TEXT(COUNTA($C$5:C68),"000"))</f>
        <v/>
      </c>
      <c r="C68" s="14" t="n"/>
      <c r="D68" s="14" t="n"/>
      <c r="E68" s="15" t="n"/>
      <c r="F68" s="15" t="n"/>
      <c r="G68" s="15" t="n"/>
      <c r="H68" s="15" t="n"/>
      <c r="I68" s="15" t="n"/>
      <c r="J68" s="32">
        <f>IF(E68="","",(G68+H68)/E68)</f>
        <v/>
      </c>
      <c r="K68" s="32">
        <f>IF(E68="","",I68/E68)</f>
        <v/>
      </c>
    </row>
    <row r="69" ht="22" customHeight="1">
      <c r="B69" s="17">
        <f>IF(C69="","IR-"&amp;TEXT(COUNTA($C$5:C69),"000"))</f>
        <v/>
      </c>
      <c r="C69" s="12" t="n"/>
      <c r="D69" s="12" t="n"/>
      <c r="E69" s="13" t="n"/>
      <c r="F69" s="13" t="n"/>
      <c r="G69" s="13" t="n"/>
      <c r="H69" s="13" t="n"/>
      <c r="I69" s="13" t="n"/>
      <c r="J69" s="31">
        <f>IF(E69="","",(G69+H69)/E69)</f>
        <v/>
      </c>
      <c r="K69" s="31">
        <f>IF(E69="","",I69/E69)</f>
        <v/>
      </c>
    </row>
    <row r="70" ht="22" customHeight="1">
      <c r="B70" s="16">
        <f>IF(C70="","IR-"&amp;TEXT(COUNTA($C$5:C70),"000"))</f>
        <v/>
      </c>
      <c r="C70" s="14" t="n"/>
      <c r="D70" s="14" t="n"/>
      <c r="E70" s="15" t="n"/>
      <c r="F70" s="15" t="n"/>
      <c r="G70" s="15" t="n"/>
      <c r="H70" s="15" t="n"/>
      <c r="I70" s="15" t="n"/>
      <c r="J70" s="32">
        <f>IF(E70="","",(G70+H70)/E70)</f>
        <v/>
      </c>
      <c r="K70" s="32">
        <f>IF(E70="","",I70/E70)</f>
        <v/>
      </c>
    </row>
    <row r="71" ht="22" customHeight="1">
      <c r="B71" s="17">
        <f>IF(C71="","IR-"&amp;TEXT(COUNTA($C$5:C71),"000"))</f>
        <v/>
      </c>
      <c r="C71" s="12" t="n"/>
      <c r="D71" s="12" t="n"/>
      <c r="E71" s="13" t="n"/>
      <c r="F71" s="13" t="n"/>
      <c r="G71" s="13" t="n"/>
      <c r="H71" s="13" t="n"/>
      <c r="I71" s="13" t="n"/>
      <c r="J71" s="31">
        <f>IF(E71="","",(G71+H71)/E71)</f>
        <v/>
      </c>
      <c r="K71" s="31">
        <f>IF(E71="","",I71/E71)</f>
        <v/>
      </c>
    </row>
    <row r="72" ht="22" customHeight="1">
      <c r="B72" s="16">
        <f>IF(C72="","IR-"&amp;TEXT(COUNTA($C$5:C72),"000"))</f>
        <v/>
      </c>
      <c r="C72" s="14" t="n"/>
      <c r="D72" s="14" t="n"/>
      <c r="E72" s="15" t="n"/>
      <c r="F72" s="15" t="n"/>
      <c r="G72" s="15" t="n"/>
      <c r="H72" s="15" t="n"/>
      <c r="I72" s="15" t="n"/>
      <c r="J72" s="32">
        <f>IF(E72="","",(G72+H72)/E72)</f>
        <v/>
      </c>
      <c r="K72" s="32">
        <f>IF(E72="","",I72/E72)</f>
        <v/>
      </c>
    </row>
    <row r="73" ht="22" customHeight="1">
      <c r="B73" s="17">
        <f>IF(C73="","IR-"&amp;TEXT(COUNTA($C$5:C73),"000"))</f>
        <v/>
      </c>
      <c r="C73" s="12" t="n"/>
      <c r="D73" s="12" t="n"/>
      <c r="E73" s="13" t="n"/>
      <c r="F73" s="13" t="n"/>
      <c r="G73" s="13" t="n"/>
      <c r="H73" s="13" t="n"/>
      <c r="I73" s="13" t="n"/>
      <c r="J73" s="31">
        <f>IF(E73="","",(G73+H73)/E73)</f>
        <v/>
      </c>
      <c r="K73" s="31">
        <f>IF(E73="","",I73/E73)</f>
        <v/>
      </c>
    </row>
    <row r="74" ht="22" customHeight="1">
      <c r="B74" s="16">
        <f>IF(C74="","IR-"&amp;TEXT(COUNTA($C$5:C74),"000"))</f>
        <v/>
      </c>
      <c r="C74" s="14" t="n"/>
      <c r="D74" s="14" t="n"/>
      <c r="E74" s="15" t="n"/>
      <c r="F74" s="15" t="n"/>
      <c r="G74" s="15" t="n"/>
      <c r="H74" s="15" t="n"/>
      <c r="I74" s="15" t="n"/>
      <c r="J74" s="32">
        <f>IF(E74="","",(G74+H74)/E74)</f>
        <v/>
      </c>
      <c r="K74" s="32">
        <f>IF(E74="","",I74/E74)</f>
        <v/>
      </c>
    </row>
    <row r="75" ht="22" customHeight="1">
      <c r="B75" s="17">
        <f>IF(C75="","IR-"&amp;TEXT(COUNTA($C$5:C75),"000"))</f>
        <v/>
      </c>
      <c r="C75" s="12" t="n"/>
      <c r="D75" s="12" t="n"/>
      <c r="E75" s="13" t="n"/>
      <c r="F75" s="13" t="n"/>
      <c r="G75" s="13" t="n"/>
      <c r="H75" s="13" t="n"/>
      <c r="I75" s="13" t="n"/>
      <c r="J75" s="31">
        <f>IF(E75="","",(G75+H75)/E75)</f>
        <v/>
      </c>
      <c r="K75" s="31">
        <f>IF(E75="","",I75/E75)</f>
        <v/>
      </c>
    </row>
    <row r="76" ht="22" customHeight="1">
      <c r="B76" s="16">
        <f>IF(C76="","IR-"&amp;TEXT(COUNTA($C$5:C76),"000"))</f>
        <v/>
      </c>
      <c r="C76" s="14" t="n"/>
      <c r="D76" s="14" t="n"/>
      <c r="E76" s="15" t="n"/>
      <c r="F76" s="15" t="n"/>
      <c r="G76" s="15" t="n"/>
      <c r="H76" s="15" t="n"/>
      <c r="I76" s="15" t="n"/>
      <c r="J76" s="32">
        <f>IF(E76="","",(G76+H76)/E76)</f>
        <v/>
      </c>
      <c r="K76" s="32">
        <f>IF(E76="","",I76/E76)</f>
        <v/>
      </c>
    </row>
    <row r="77" ht="22" customHeight="1">
      <c r="B77" s="17">
        <f>IF(C77="","IR-"&amp;TEXT(COUNTA($C$5:C77),"000"))</f>
        <v/>
      </c>
      <c r="C77" s="12" t="n"/>
      <c r="D77" s="12" t="n"/>
      <c r="E77" s="13" t="n"/>
      <c r="F77" s="13" t="n"/>
      <c r="G77" s="13" t="n"/>
      <c r="H77" s="13" t="n"/>
      <c r="I77" s="13" t="n"/>
      <c r="J77" s="31">
        <f>IF(E77="","",(G77+H77)/E77)</f>
        <v/>
      </c>
      <c r="K77" s="31">
        <f>IF(E77="","",I77/E77)</f>
        <v/>
      </c>
    </row>
    <row r="78" ht="22" customHeight="1">
      <c r="B78" s="16">
        <f>IF(C78="","IR-"&amp;TEXT(COUNTA($C$5:C78),"000"))</f>
        <v/>
      </c>
      <c r="C78" s="14" t="n"/>
      <c r="D78" s="14" t="n"/>
      <c r="E78" s="15" t="n"/>
      <c r="F78" s="15" t="n"/>
      <c r="G78" s="15" t="n"/>
      <c r="H78" s="15" t="n"/>
      <c r="I78" s="15" t="n"/>
      <c r="J78" s="32">
        <f>IF(E78="","",(G78+H78)/E78)</f>
        <v/>
      </c>
      <c r="K78" s="32">
        <f>IF(E78="","",I78/E78)</f>
        <v/>
      </c>
    </row>
    <row r="79" ht="22" customHeight="1">
      <c r="B79" s="17">
        <f>IF(C79="","IR-"&amp;TEXT(COUNTA($C$5:C79),"000"))</f>
        <v/>
      </c>
      <c r="C79" s="12" t="n"/>
      <c r="D79" s="12" t="n"/>
      <c r="E79" s="13" t="n"/>
      <c r="F79" s="13" t="n"/>
      <c r="G79" s="13" t="n"/>
      <c r="H79" s="13" t="n"/>
      <c r="I79" s="13" t="n"/>
      <c r="J79" s="31">
        <f>IF(E79="","",(G79+H79)/E79)</f>
        <v/>
      </c>
      <c r="K79" s="31">
        <f>IF(E79="","",I79/E79)</f>
        <v/>
      </c>
    </row>
    <row r="80" ht="22" customHeight="1">
      <c r="B80" s="16">
        <f>IF(C80="","IR-"&amp;TEXT(COUNTA($C$5:C80),"000"))</f>
        <v/>
      </c>
      <c r="C80" s="14" t="n"/>
      <c r="D80" s="14" t="n"/>
      <c r="E80" s="15" t="n"/>
      <c r="F80" s="15" t="n"/>
      <c r="G80" s="15" t="n"/>
      <c r="H80" s="15" t="n"/>
      <c r="I80" s="15" t="n"/>
      <c r="J80" s="32">
        <f>IF(E80="","",(G80+H80)/E80)</f>
        <v/>
      </c>
      <c r="K80" s="32">
        <f>IF(E80="","",I80/E80)</f>
        <v/>
      </c>
    </row>
    <row r="81" ht="22" customHeight="1">
      <c r="B81" s="17">
        <f>IF(C81="","IR-"&amp;TEXT(COUNTA($C$5:C81),"000"))</f>
        <v/>
      </c>
      <c r="C81" s="12" t="n"/>
      <c r="D81" s="12" t="n"/>
      <c r="E81" s="13" t="n"/>
      <c r="F81" s="13" t="n"/>
      <c r="G81" s="13" t="n"/>
      <c r="H81" s="13" t="n"/>
      <c r="I81" s="13" t="n"/>
      <c r="J81" s="31">
        <f>IF(E81="","",(G81+H81)/E81)</f>
        <v/>
      </c>
      <c r="K81" s="31">
        <f>IF(E81="","",I81/E81)</f>
        <v/>
      </c>
    </row>
    <row r="82" ht="22" customHeight="1">
      <c r="B82" s="16">
        <f>IF(C82="","IR-"&amp;TEXT(COUNTA($C$5:C82),"000"))</f>
        <v/>
      </c>
      <c r="C82" s="14" t="n"/>
      <c r="D82" s="14" t="n"/>
      <c r="E82" s="15" t="n"/>
      <c r="F82" s="15" t="n"/>
      <c r="G82" s="15" t="n"/>
      <c r="H82" s="15" t="n"/>
      <c r="I82" s="15" t="n"/>
      <c r="J82" s="32">
        <f>IF(E82="","",(G82+H82)/E82)</f>
        <v/>
      </c>
      <c r="K82" s="32">
        <f>IF(E82="","",I82/E82)</f>
        <v/>
      </c>
    </row>
    <row r="83" ht="22" customHeight="1">
      <c r="B83" s="17">
        <f>IF(C83="","IR-"&amp;TEXT(COUNTA($C$5:C83),"000"))</f>
        <v/>
      </c>
      <c r="C83" s="12" t="n"/>
      <c r="D83" s="12" t="n"/>
      <c r="E83" s="13" t="n"/>
      <c r="F83" s="13" t="n"/>
      <c r="G83" s="13" t="n"/>
      <c r="H83" s="13" t="n"/>
      <c r="I83" s="13" t="n"/>
      <c r="J83" s="31">
        <f>IF(E83="","",(G83+H83)/E83)</f>
        <v/>
      </c>
      <c r="K83" s="31">
        <f>IF(E83="","",I83/E83)</f>
        <v/>
      </c>
    </row>
    <row r="84" ht="22" customHeight="1">
      <c r="B84" s="16">
        <f>IF(C84="","IR-"&amp;TEXT(COUNTA($C$5:C84),"000"))</f>
        <v/>
      </c>
      <c r="C84" s="14" t="n"/>
      <c r="D84" s="14" t="n"/>
      <c r="E84" s="15" t="n"/>
      <c r="F84" s="15" t="n"/>
      <c r="G84" s="15" t="n"/>
      <c r="H84" s="15" t="n"/>
      <c r="I84" s="15" t="n"/>
      <c r="J84" s="32">
        <f>IF(E84="","",(G84+H84)/E84)</f>
        <v/>
      </c>
      <c r="K84" s="32">
        <f>IF(E84="","",I84/E84)</f>
        <v/>
      </c>
    </row>
    <row r="85" ht="22" customHeight="1">
      <c r="B85" s="17">
        <f>IF(C85="","IR-"&amp;TEXT(COUNTA($C$5:C85),"000"))</f>
        <v/>
      </c>
      <c r="C85" s="12" t="n"/>
      <c r="D85" s="12" t="n"/>
      <c r="E85" s="13" t="n"/>
      <c r="F85" s="13" t="n"/>
      <c r="G85" s="13" t="n"/>
      <c r="H85" s="13" t="n"/>
      <c r="I85" s="13" t="n"/>
      <c r="J85" s="31">
        <f>IF(E85="","",(G85+H85)/E85)</f>
        <v/>
      </c>
      <c r="K85" s="31">
        <f>IF(E85="","",I85/E85)</f>
        <v/>
      </c>
    </row>
    <row r="86" ht="22" customHeight="1">
      <c r="B86" s="16">
        <f>IF(C86="","IR-"&amp;TEXT(COUNTA($C$5:C86),"000"))</f>
        <v/>
      </c>
      <c r="C86" s="14" t="n"/>
      <c r="D86" s="14" t="n"/>
      <c r="E86" s="15" t="n"/>
      <c r="F86" s="15" t="n"/>
      <c r="G86" s="15" t="n"/>
      <c r="H86" s="15" t="n"/>
      <c r="I86" s="15" t="n"/>
      <c r="J86" s="32">
        <f>IF(E86="","",(G86+H86)/E86)</f>
        <v/>
      </c>
      <c r="K86" s="32">
        <f>IF(E86="","",I86/E86)</f>
        <v/>
      </c>
    </row>
    <row r="87" ht="22" customHeight="1">
      <c r="B87" s="17">
        <f>IF(C87="","IR-"&amp;TEXT(COUNTA($C$5:C87),"000"))</f>
        <v/>
      </c>
      <c r="C87" s="12" t="n"/>
      <c r="D87" s="12" t="n"/>
      <c r="E87" s="13" t="n"/>
      <c r="F87" s="13" t="n"/>
      <c r="G87" s="13" t="n"/>
      <c r="H87" s="13" t="n"/>
      <c r="I87" s="13" t="n"/>
      <c r="J87" s="31">
        <f>IF(E87="","",(G87+H87)/E87)</f>
        <v/>
      </c>
      <c r="K87" s="31">
        <f>IF(E87="","",I87/E87)</f>
        <v/>
      </c>
    </row>
    <row r="88" ht="22" customHeight="1">
      <c r="B88" s="16">
        <f>IF(C88="","IR-"&amp;TEXT(COUNTA($C$5:C88),"000"))</f>
        <v/>
      </c>
      <c r="C88" s="14" t="n"/>
      <c r="D88" s="14" t="n"/>
      <c r="E88" s="15" t="n"/>
      <c r="F88" s="15" t="n"/>
      <c r="G88" s="15" t="n"/>
      <c r="H88" s="15" t="n"/>
      <c r="I88" s="15" t="n"/>
      <c r="J88" s="32">
        <f>IF(E88="","",(G88+H88)/E88)</f>
        <v/>
      </c>
      <c r="K88" s="32">
        <f>IF(E88="","",I88/E88)</f>
        <v/>
      </c>
    </row>
    <row r="89" ht="22" customHeight="1">
      <c r="B89" s="17">
        <f>IF(C89="","IR-"&amp;TEXT(COUNTA($C$5:C89),"000"))</f>
        <v/>
      </c>
      <c r="C89" s="12" t="n"/>
      <c r="D89" s="12" t="n"/>
      <c r="E89" s="13" t="n"/>
      <c r="F89" s="13" t="n"/>
      <c r="G89" s="13" t="n"/>
      <c r="H89" s="13" t="n"/>
      <c r="I89" s="13" t="n"/>
      <c r="J89" s="31">
        <f>IF(E89="","",(G89+H89)/E89)</f>
        <v/>
      </c>
      <c r="K89" s="31">
        <f>IF(E89="","",I89/E89)</f>
        <v/>
      </c>
    </row>
    <row r="90" ht="22" customHeight="1">
      <c r="B90" s="16">
        <f>IF(C90="","IR-"&amp;TEXT(COUNTA($C$5:C90),"000"))</f>
        <v/>
      </c>
      <c r="C90" s="14" t="n"/>
      <c r="D90" s="14" t="n"/>
      <c r="E90" s="15" t="n"/>
      <c r="F90" s="15" t="n"/>
      <c r="G90" s="15" t="n"/>
      <c r="H90" s="15" t="n"/>
      <c r="I90" s="15" t="n"/>
      <c r="J90" s="32">
        <f>IF(E90="","",(G90+H90)/E90)</f>
        <v/>
      </c>
      <c r="K90" s="32">
        <f>IF(E90="","",I90/E90)</f>
        <v/>
      </c>
    </row>
    <row r="91" ht="22" customHeight="1">
      <c r="B91" s="17">
        <f>IF(C91="","IR-"&amp;TEXT(COUNTA($C$5:C91),"000"))</f>
        <v/>
      </c>
      <c r="C91" s="12" t="n"/>
      <c r="D91" s="12" t="n"/>
      <c r="E91" s="13" t="n"/>
      <c r="F91" s="13" t="n"/>
      <c r="G91" s="13" t="n"/>
      <c r="H91" s="13" t="n"/>
      <c r="I91" s="13" t="n"/>
      <c r="J91" s="31">
        <f>IF(E91="","",(G91+H91)/E91)</f>
        <v/>
      </c>
      <c r="K91" s="31">
        <f>IF(E91="","",I91/E91)</f>
        <v/>
      </c>
    </row>
    <row r="92" ht="22" customHeight="1">
      <c r="B92" s="16">
        <f>IF(C92="","IR-"&amp;TEXT(COUNTA($C$5:C92),"000"))</f>
        <v/>
      </c>
      <c r="C92" s="14" t="n"/>
      <c r="D92" s="14" t="n"/>
      <c r="E92" s="15" t="n"/>
      <c r="F92" s="15" t="n"/>
      <c r="G92" s="15" t="n"/>
      <c r="H92" s="15" t="n"/>
      <c r="I92" s="15" t="n"/>
      <c r="J92" s="32">
        <f>IF(E92="","",(G92+H92)/E92)</f>
        <v/>
      </c>
      <c r="K92" s="32">
        <f>IF(E92="","",I92/E92)</f>
        <v/>
      </c>
    </row>
    <row r="93" ht="22" customHeight="1">
      <c r="B93" s="17">
        <f>IF(C93="","IR-"&amp;TEXT(COUNTA($C$5:C93),"000"))</f>
        <v/>
      </c>
      <c r="C93" s="12" t="n"/>
      <c r="D93" s="12" t="n"/>
      <c r="E93" s="13" t="n"/>
      <c r="F93" s="13" t="n"/>
      <c r="G93" s="13" t="n"/>
      <c r="H93" s="13" t="n"/>
      <c r="I93" s="13" t="n"/>
      <c r="J93" s="31">
        <f>IF(E93="","",(G93+H93)/E93)</f>
        <v/>
      </c>
      <c r="K93" s="31">
        <f>IF(E93="","",I93/E93)</f>
        <v/>
      </c>
    </row>
    <row r="94" ht="22" customHeight="1">
      <c r="B94" s="16">
        <f>IF(C94="","IR-"&amp;TEXT(COUNTA($C$5:C94),"000"))</f>
        <v/>
      </c>
      <c r="C94" s="14" t="n"/>
      <c r="D94" s="14" t="n"/>
      <c r="E94" s="15" t="n"/>
      <c r="F94" s="15" t="n"/>
      <c r="G94" s="15" t="n"/>
      <c r="H94" s="15" t="n"/>
      <c r="I94" s="15" t="n"/>
      <c r="J94" s="32">
        <f>IF(E94="","",(G94+H94)/E94)</f>
        <v/>
      </c>
      <c r="K94" s="32">
        <f>IF(E94="","",I94/E94)</f>
        <v/>
      </c>
    </row>
    <row r="95" ht="22" customHeight="1">
      <c r="B95" s="17">
        <f>IF(C95="","IR-"&amp;TEXT(COUNTA($C$5:C95),"000"))</f>
        <v/>
      </c>
      <c r="C95" s="12" t="n"/>
      <c r="D95" s="12" t="n"/>
      <c r="E95" s="13" t="n"/>
      <c r="F95" s="13" t="n"/>
      <c r="G95" s="13" t="n"/>
      <c r="H95" s="13" t="n"/>
      <c r="I95" s="13" t="n"/>
      <c r="J95" s="31">
        <f>IF(E95="","",(G95+H95)/E95)</f>
        <v/>
      </c>
      <c r="K95" s="31">
        <f>IF(E95="","",I95/E95)</f>
        <v/>
      </c>
    </row>
    <row r="96" ht="22" customHeight="1">
      <c r="B96" s="16">
        <f>IF(C96="","IR-"&amp;TEXT(COUNTA($C$5:C96),"000"))</f>
        <v/>
      </c>
      <c r="C96" s="14" t="n"/>
      <c r="D96" s="14" t="n"/>
      <c r="E96" s="15" t="n"/>
      <c r="F96" s="15" t="n"/>
      <c r="G96" s="15" t="n"/>
      <c r="H96" s="15" t="n"/>
      <c r="I96" s="15" t="n"/>
      <c r="J96" s="32">
        <f>IF(E96="","",(G96+H96)/E96)</f>
        <v/>
      </c>
      <c r="K96" s="32">
        <f>IF(E96="","",I96/E96)</f>
        <v/>
      </c>
    </row>
    <row r="97" ht="22" customHeight="1">
      <c r="B97" s="17">
        <f>IF(C97="","IR-"&amp;TEXT(COUNTA($C$5:C97),"000"))</f>
        <v/>
      </c>
      <c r="C97" s="12" t="n"/>
      <c r="D97" s="12" t="n"/>
      <c r="E97" s="13" t="n"/>
      <c r="F97" s="13" t="n"/>
      <c r="G97" s="13" t="n"/>
      <c r="H97" s="13" t="n"/>
      <c r="I97" s="13" t="n"/>
      <c r="J97" s="31">
        <f>IF(E97="","",(G97+H97)/E97)</f>
        <v/>
      </c>
      <c r="K97" s="31">
        <f>IF(E97="","",I97/E97)</f>
        <v/>
      </c>
    </row>
    <row r="98" ht="22" customHeight="1">
      <c r="B98" s="16">
        <f>IF(C98="","IR-"&amp;TEXT(COUNTA($C$5:C98),"000"))</f>
        <v/>
      </c>
      <c r="C98" s="14" t="n"/>
      <c r="D98" s="14" t="n"/>
      <c r="E98" s="15" t="n"/>
      <c r="F98" s="15" t="n"/>
      <c r="G98" s="15" t="n"/>
      <c r="H98" s="15" t="n"/>
      <c r="I98" s="15" t="n"/>
      <c r="J98" s="32">
        <f>IF(E98="","",(G98+H98)/E98)</f>
        <v/>
      </c>
      <c r="K98" s="32">
        <f>IF(E98="","",I98/E98)</f>
        <v/>
      </c>
    </row>
    <row r="99" ht="22" customHeight="1">
      <c r="B99" s="17">
        <f>IF(C99="","IR-"&amp;TEXT(COUNTA($C$5:C99),"000"))</f>
        <v/>
      </c>
      <c r="C99" s="12" t="n"/>
      <c r="D99" s="12" t="n"/>
      <c r="E99" s="13" t="n"/>
      <c r="F99" s="13" t="n"/>
      <c r="G99" s="13" t="n"/>
      <c r="H99" s="13" t="n"/>
      <c r="I99" s="13" t="n"/>
      <c r="J99" s="31">
        <f>IF(E99="","",(G99+H99)/E99)</f>
        <v/>
      </c>
      <c r="K99" s="31">
        <f>IF(E99="","",I99/E99)</f>
        <v/>
      </c>
    </row>
    <row r="100" ht="22" customHeight="1">
      <c r="B100" s="16">
        <f>IF(C100="","IR-"&amp;TEXT(COUNTA($C$5:C100),"000"))</f>
        <v/>
      </c>
      <c r="C100" s="14" t="n"/>
      <c r="D100" s="14" t="n"/>
      <c r="E100" s="15" t="n"/>
      <c r="F100" s="15" t="n"/>
      <c r="G100" s="15" t="n"/>
      <c r="H100" s="15" t="n"/>
      <c r="I100" s="15" t="n"/>
      <c r="J100" s="32">
        <f>IF(E100="","",(G100+H100)/E100)</f>
        <v/>
      </c>
      <c r="K100" s="32">
        <f>IF(E100="","",I100/E100)</f>
        <v/>
      </c>
    </row>
    <row r="101" ht="22" customHeight="1">
      <c r="B101" s="17">
        <f>IF(C101="","IR-"&amp;TEXT(COUNTA($C$5:C101),"000"))</f>
        <v/>
      </c>
      <c r="C101" s="12" t="n"/>
      <c r="D101" s="12" t="n"/>
      <c r="E101" s="13" t="n"/>
      <c r="F101" s="13" t="n"/>
      <c r="G101" s="13" t="n"/>
      <c r="H101" s="13" t="n"/>
      <c r="I101" s="13" t="n"/>
      <c r="J101" s="31">
        <f>IF(E101="","",(G101+H101)/E101)</f>
        <v/>
      </c>
      <c r="K101" s="31">
        <f>IF(E101="","",I101/E101)</f>
        <v/>
      </c>
    </row>
    <row r="102" ht="22" customHeight="1">
      <c r="B102" s="16">
        <f>IF(C102="","IR-"&amp;TEXT(COUNTA($C$5:C102),"000"))</f>
        <v/>
      </c>
      <c r="C102" s="14" t="n"/>
      <c r="D102" s="14" t="n"/>
      <c r="E102" s="15" t="n"/>
      <c r="F102" s="15" t="n"/>
      <c r="G102" s="15" t="n"/>
      <c r="H102" s="15" t="n"/>
      <c r="I102" s="15" t="n"/>
      <c r="J102" s="32">
        <f>IF(E102="","",(G102+H102)/E102)</f>
        <v/>
      </c>
      <c r="K102" s="32">
        <f>IF(E102="","",I102/E102)</f>
        <v/>
      </c>
    </row>
    <row r="103" ht="22" customHeight="1">
      <c r="B103" s="17">
        <f>IF(C103="","IR-"&amp;TEXT(COUNTA($C$5:C103),"000"))</f>
        <v/>
      </c>
      <c r="C103" s="12" t="n"/>
      <c r="D103" s="12" t="n"/>
      <c r="E103" s="13" t="n"/>
      <c r="F103" s="13" t="n"/>
      <c r="G103" s="13" t="n"/>
      <c r="H103" s="13" t="n"/>
      <c r="I103" s="13" t="n"/>
      <c r="J103" s="31">
        <f>IF(E103="","",(G103+H103)/E103)</f>
        <v/>
      </c>
      <c r="K103" s="31">
        <f>IF(E103="","",I103/E103)</f>
        <v/>
      </c>
    </row>
    <row r="104" ht="22" customHeight="1">
      <c r="B104" s="16">
        <f>IF(C104="","IR-"&amp;TEXT(COUNTA($C$5:C104),"000"))</f>
        <v/>
      </c>
      <c r="C104" s="14" t="n"/>
      <c r="D104" s="14" t="n"/>
      <c r="E104" s="15" t="n"/>
      <c r="F104" s="15" t="n"/>
      <c r="G104" s="15" t="n"/>
      <c r="H104" s="15" t="n"/>
      <c r="I104" s="15" t="n"/>
      <c r="J104" s="32">
        <f>IF(E104="","",(G104+H104)/E104)</f>
        <v/>
      </c>
      <c r="K104" s="32">
        <f>IF(E104="","",I104/E104)</f>
        <v/>
      </c>
    </row>
    <row r="105" ht="22" customHeight="1">
      <c r="B105" s="17">
        <f>IF(C105="","IR-"&amp;TEXT(COUNTA($C$5:C105),"000"))</f>
        <v/>
      </c>
      <c r="C105" s="12" t="n"/>
      <c r="D105" s="12" t="n"/>
      <c r="E105" s="13" t="n"/>
      <c r="F105" s="13" t="n"/>
      <c r="G105" s="13" t="n"/>
      <c r="H105" s="13" t="n"/>
      <c r="I105" s="13" t="n"/>
      <c r="J105" s="31">
        <f>IF(E105="","",(G105+H105)/E105)</f>
        <v/>
      </c>
      <c r="K105" s="31">
        <f>IF(E105="","",I105/E105)</f>
        <v/>
      </c>
    </row>
    <row r="106" ht="22" customHeight="1">
      <c r="B106" s="16">
        <f>IF(C106="","IR-"&amp;TEXT(COUNTA($C$5:C106),"000"))</f>
        <v/>
      </c>
      <c r="C106" s="14" t="n"/>
      <c r="D106" s="14" t="n"/>
      <c r="E106" s="15" t="n"/>
      <c r="F106" s="15" t="n"/>
      <c r="G106" s="15" t="n"/>
      <c r="H106" s="15" t="n"/>
      <c r="I106" s="15" t="n"/>
      <c r="J106" s="32">
        <f>IF(E106="","",(G106+H106)/E106)</f>
        <v/>
      </c>
      <c r="K106" s="32">
        <f>IF(E106="","",I106/E106)</f>
        <v/>
      </c>
    </row>
    <row r="107" ht="22" customHeight="1">
      <c r="B107" s="17">
        <f>IF(C107="","IR-"&amp;TEXT(COUNTA($C$5:C107),"000"))</f>
        <v/>
      </c>
      <c r="C107" s="12" t="n"/>
      <c r="D107" s="12" t="n"/>
      <c r="E107" s="13" t="n"/>
      <c r="F107" s="13" t="n"/>
      <c r="G107" s="13" t="n"/>
      <c r="H107" s="13" t="n"/>
      <c r="I107" s="13" t="n"/>
      <c r="J107" s="31">
        <f>IF(E107="","",(G107+H107)/E107)</f>
        <v/>
      </c>
      <c r="K107" s="31">
        <f>IF(E107="","",I107/E107)</f>
        <v/>
      </c>
    </row>
    <row r="108" ht="22" customHeight="1">
      <c r="B108" s="16">
        <f>IF(C108="","IR-"&amp;TEXT(COUNTA($C$5:C108),"000"))</f>
        <v/>
      </c>
      <c r="C108" s="14" t="n"/>
      <c r="D108" s="14" t="n"/>
      <c r="E108" s="15" t="n"/>
      <c r="F108" s="15" t="n"/>
      <c r="G108" s="15" t="n"/>
      <c r="H108" s="15" t="n"/>
      <c r="I108" s="15" t="n"/>
      <c r="J108" s="32">
        <f>IF(E108="","",(G108+H108)/E108)</f>
        <v/>
      </c>
      <c r="K108" s="32">
        <f>IF(E108="","",I108/E108)</f>
        <v/>
      </c>
    </row>
    <row r="109" ht="22" customHeight="1">
      <c r="B109" s="17">
        <f>IF(C109="","IR-"&amp;TEXT(COUNTA($C$5:C109),"000"))</f>
        <v/>
      </c>
      <c r="C109" s="12" t="n"/>
      <c r="D109" s="12" t="n"/>
      <c r="E109" s="13" t="n"/>
      <c r="F109" s="13" t="n"/>
      <c r="G109" s="13" t="n"/>
      <c r="H109" s="13" t="n"/>
      <c r="I109" s="13" t="n"/>
      <c r="J109" s="31">
        <f>IF(E109="","",(G109+H109)/E109)</f>
        <v/>
      </c>
      <c r="K109" s="31">
        <f>IF(E109="","",I109/E109)</f>
        <v/>
      </c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Taux rot. moyen</t>
        </is>
      </c>
      <c r="D112" s="3" t="inlineStr">
        <is>
          <t>Taux ret. moyen</t>
        </is>
      </c>
      <c r="F112" s="3" t="inlineStr">
        <is>
          <t>Total departs vol.</t>
        </is>
      </c>
    </row>
    <row r="113">
      <c r="B113" s="4">
        <f>IFERROR(AVERAGE(J5:J104),0)</f>
        <v/>
      </c>
      <c r="D113" s="4">
        <f>IFERROR(AVERAGE(K5:K104),0)</f>
        <v/>
      </c>
      <c r="F113" s="4">
        <f>SUM(G5:G104)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'_Lists'!$W$2:$W$13</formula1>
    </dataValidation>
    <dataValidation sqref="D5:D109" showDropDown="0" showInputMessage="0" showErrorMessage="0" allowBlank="1" errorTitle="Erreur" error="Valeur invalide" promptTitle="Liste" prompt="Choisir dans la liste" type="list">
      <formula1>'_Lists'!$X$2:$X$4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  <col width="12" customWidth="1" min="11" max="11"/>
  </cols>
  <sheetData>
    <row r="1" ht="15" customHeight="1"/>
    <row r="2" ht="32" customHeight="1">
      <c r="B2" s="1" t="inlineStr">
        <is>
          <t>CALENDRIER ENTRETIENS PROFESSIONNELS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Type Entretien</t>
        </is>
      </c>
      <c r="G4" s="11" t="inlineStr">
        <is>
          <t>Date Prevue</t>
        </is>
      </c>
      <c r="H4" s="11" t="inlineStr">
        <is>
          <t>Date Realisee</t>
        </is>
      </c>
      <c r="I4" s="11" t="inlineStr">
        <is>
          <t>Retard (jours)</t>
        </is>
      </c>
      <c r="J4" s="11" t="inlineStr">
        <is>
          <t>Evaluateur</t>
        </is>
      </c>
      <c r="K4" s="11" t="inlineStr">
        <is>
          <t>Statut</t>
        </is>
      </c>
    </row>
    <row r="5" ht="22" customHeight="1">
      <c r="B5" s="12" t="inlineStr">
        <is>
          <t>CEP-001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Annuel</t>
        </is>
      </c>
      <c r="G5" s="29" t="n">
        <v>45672</v>
      </c>
      <c r="H5" s="29" t="n">
        <v>45677</v>
      </c>
      <c r="I5" s="13" t="n"/>
      <c r="J5" s="12" t="inlineStr">
        <is>
          <t>DRH Fotso M.</t>
        </is>
      </c>
      <c r="K5" s="12" t="inlineStr">
        <is>
          <t>Realise</t>
        </is>
      </c>
    </row>
    <row r="6" ht="22" customHeight="1">
      <c r="B6" s="14" t="inlineStr">
        <is>
          <t>CEP-002</t>
        </is>
      </c>
      <c r="C6" s="14" t="inlineStr">
        <is>
          <t>Fotsing Aude R.</t>
        </is>
      </c>
      <c r="D6" s="14" t="inlineStr">
        <is>
          <t>Sous-Chef</t>
        </is>
      </c>
      <c r="E6" s="14" t="inlineStr">
        <is>
          <t>Cuisine &amp; Restauration</t>
        </is>
      </c>
      <c r="F6" s="14" t="inlineStr">
        <is>
          <t>Annuel</t>
        </is>
      </c>
      <c r="G6" s="30" t="n">
        <v>45677</v>
      </c>
      <c r="H6" s="30" t="n">
        <v>45679</v>
      </c>
      <c r="I6" s="15" t="n"/>
      <c r="J6" s="14" t="inlineStr">
        <is>
          <t>Chef Cuisine Biyong J.</t>
        </is>
      </c>
      <c r="K6" s="14" t="inlineStr">
        <is>
          <t>Realise</t>
        </is>
      </c>
    </row>
    <row r="7" ht="22" customHeight="1">
      <c r="B7" s="12" t="inlineStr">
        <is>
          <t>CEP-003</t>
        </is>
      </c>
      <c r="C7" s="12" t="inlineStr">
        <is>
          <t>Tamo Eric</t>
        </is>
      </c>
      <c r="D7" s="12" t="inlineStr">
        <is>
          <t>Technicien IT</t>
        </is>
      </c>
      <c r="E7" s="12" t="inlineStr">
        <is>
          <t>Informatique</t>
        </is>
      </c>
      <c r="F7" s="12" t="inlineStr">
        <is>
          <t>Semestriel</t>
        </is>
      </c>
      <c r="G7" s="29" t="n">
        <v>45726</v>
      </c>
      <c r="H7" s="29" t="n">
        <v>45731</v>
      </c>
      <c r="I7" s="13" t="n"/>
      <c r="J7" s="12" t="inlineStr">
        <is>
          <t>DSI externe</t>
        </is>
      </c>
      <c r="K7" s="12" t="inlineStr">
        <is>
          <t>Realise</t>
        </is>
      </c>
    </row>
    <row r="8" ht="22" customHeight="1">
      <c r="B8" s="14" t="inlineStr">
        <is>
          <t>CEP-004</t>
        </is>
      </c>
      <c r="C8" s="14" t="inlineStr">
        <is>
          <t>Ouedraogo Issa</t>
        </is>
      </c>
      <c r="D8" s="14" t="inlineStr">
        <is>
          <t>Agent Commercial</t>
        </is>
      </c>
      <c r="E8" s="14" t="inlineStr">
        <is>
          <t>Commercial</t>
        </is>
      </c>
      <c r="F8" s="14" t="inlineStr">
        <is>
          <t>Annuel</t>
        </is>
      </c>
      <c r="G8" s="30" t="n">
        <v>45809</v>
      </c>
      <c r="H8" s="30" t="n"/>
      <c r="I8" s="15" t="n"/>
      <c r="J8" s="14" t="inlineStr">
        <is>
          <t>Chef Commercial Manga S.</t>
        </is>
      </c>
      <c r="K8" s="14" t="inlineStr">
        <is>
          <t>Planifie</t>
        </is>
      </c>
    </row>
    <row r="9" ht="22" customHeight="1">
      <c r="B9" s="12" t="inlineStr">
        <is>
          <t>CEP-005</t>
        </is>
      </c>
      <c r="C9" s="12" t="inlineStr">
        <is>
          <t>Nganou D.</t>
        </is>
      </c>
      <c r="D9" s="12" t="inlineStr">
        <is>
          <t>Receptionniste</t>
        </is>
      </c>
      <c r="E9" s="12" t="inlineStr">
        <is>
          <t>Réception &amp; Front Office</t>
        </is>
      </c>
      <c r="F9" s="12" t="inlineStr">
        <is>
          <t>Semestriel</t>
        </is>
      </c>
      <c r="G9" s="29" t="n">
        <v>45748</v>
      </c>
      <c r="H9" s="29" t="n">
        <v>45752</v>
      </c>
      <c r="I9" s="13" t="n"/>
      <c r="J9" s="12" t="inlineStr">
        <is>
          <t>Chef Reception Nkoulou P.</t>
        </is>
      </c>
      <c r="K9" s="12" t="inlineStr">
        <is>
          <t>Realise</t>
        </is>
      </c>
    </row>
    <row r="10" ht="22" customHeight="1">
      <c r="B10" s="16">
        <f>IF(C10="","CEP-"&amp;TEXT(COUNTA($C$5:C10),"000"))</f>
        <v/>
      </c>
      <c r="C10" s="14" t="n"/>
      <c r="D10" s="14" t="n"/>
      <c r="E10" s="14" t="n"/>
      <c r="F10" s="14" t="n"/>
      <c r="G10" s="30" t="n"/>
      <c r="H10" s="30" t="n"/>
      <c r="I10" s="15">
        <f>IF(OR(H10="",G10=""),"",H10-G10)</f>
        <v/>
      </c>
      <c r="J10" s="14" t="n"/>
      <c r="K10" s="14" t="n"/>
    </row>
    <row r="11" ht="22" customHeight="1">
      <c r="B11" s="17">
        <f>IF(C11="","CEP-"&amp;TEXT(COUNTA($C$5:C11),"000"))</f>
        <v/>
      </c>
      <c r="C11" s="12" t="n"/>
      <c r="D11" s="12" t="n"/>
      <c r="E11" s="12" t="n"/>
      <c r="F11" s="12" t="n"/>
      <c r="G11" s="29" t="n"/>
      <c r="H11" s="29" t="n"/>
      <c r="I11" s="13">
        <f>IF(OR(H11="",G11=""),"",H11-G11)</f>
        <v/>
      </c>
      <c r="J11" s="12" t="n"/>
      <c r="K11" s="12" t="n"/>
    </row>
    <row r="12" ht="22" customHeight="1">
      <c r="B12" s="16">
        <f>IF(C12="","CEP-"&amp;TEXT(COUNTA($C$5:C12),"000"))</f>
        <v/>
      </c>
      <c r="C12" s="14" t="n"/>
      <c r="D12" s="14" t="n"/>
      <c r="E12" s="14" t="n"/>
      <c r="F12" s="14" t="n"/>
      <c r="G12" s="30" t="n"/>
      <c r="H12" s="30" t="n"/>
      <c r="I12" s="15">
        <f>IF(OR(H12="",G12=""),"",H12-G12)</f>
        <v/>
      </c>
      <c r="J12" s="14" t="n"/>
      <c r="K12" s="14" t="n"/>
    </row>
    <row r="13" ht="22" customHeight="1">
      <c r="B13" s="17">
        <f>IF(C13="","CEP-"&amp;TEXT(COUNTA($C$5:C13),"000"))</f>
        <v/>
      </c>
      <c r="C13" s="12" t="n"/>
      <c r="D13" s="12" t="n"/>
      <c r="E13" s="12" t="n"/>
      <c r="F13" s="12" t="n"/>
      <c r="G13" s="29" t="n"/>
      <c r="H13" s="29" t="n"/>
      <c r="I13" s="13">
        <f>IF(OR(H13="",G13=""),"",H13-G13)</f>
        <v/>
      </c>
      <c r="J13" s="12" t="n"/>
      <c r="K13" s="12" t="n"/>
    </row>
    <row r="14" ht="22" customHeight="1">
      <c r="B14" s="16">
        <f>IF(C14="","CEP-"&amp;TEXT(COUNTA($C$5:C14),"000"))</f>
        <v/>
      </c>
      <c r="C14" s="14" t="n"/>
      <c r="D14" s="14" t="n"/>
      <c r="E14" s="14" t="n"/>
      <c r="F14" s="14" t="n"/>
      <c r="G14" s="30" t="n"/>
      <c r="H14" s="30" t="n"/>
      <c r="I14" s="15">
        <f>IF(OR(H14="",G14=""),"",H14-G14)</f>
        <v/>
      </c>
      <c r="J14" s="14" t="n"/>
      <c r="K14" s="14" t="n"/>
    </row>
    <row r="15" ht="22" customHeight="1">
      <c r="B15" s="17">
        <f>IF(C15="","CEP-"&amp;TEXT(COUNTA($C$5:C15),"000"))</f>
        <v/>
      </c>
      <c r="C15" s="12" t="n"/>
      <c r="D15" s="12" t="n"/>
      <c r="E15" s="12" t="n"/>
      <c r="F15" s="12" t="n"/>
      <c r="G15" s="29" t="n"/>
      <c r="H15" s="29" t="n"/>
      <c r="I15" s="13">
        <f>IF(OR(H15="",G15=""),"",H15-G15)</f>
        <v/>
      </c>
      <c r="J15" s="12" t="n"/>
      <c r="K15" s="12" t="n"/>
    </row>
    <row r="16" ht="22" customHeight="1">
      <c r="B16" s="16">
        <f>IF(C16="","CEP-"&amp;TEXT(COUNTA($C$5:C16),"000"))</f>
        <v/>
      </c>
      <c r="C16" s="14" t="n"/>
      <c r="D16" s="14" t="n"/>
      <c r="E16" s="14" t="n"/>
      <c r="F16" s="14" t="n"/>
      <c r="G16" s="30" t="n"/>
      <c r="H16" s="30" t="n"/>
      <c r="I16" s="15">
        <f>IF(OR(H16="",G16=""),"",H16-G16)</f>
        <v/>
      </c>
      <c r="J16" s="14" t="n"/>
      <c r="K16" s="14" t="n"/>
    </row>
    <row r="17" ht="22" customHeight="1">
      <c r="B17" s="17">
        <f>IF(C17="","CEP-"&amp;TEXT(COUNTA($C$5:C17),"000"))</f>
        <v/>
      </c>
      <c r="C17" s="12" t="n"/>
      <c r="D17" s="12" t="n"/>
      <c r="E17" s="12" t="n"/>
      <c r="F17" s="12" t="n"/>
      <c r="G17" s="29" t="n"/>
      <c r="H17" s="29" t="n"/>
      <c r="I17" s="13">
        <f>IF(OR(H17="",G17=""),"",H17-G17)</f>
        <v/>
      </c>
      <c r="J17" s="12" t="n"/>
      <c r="K17" s="12" t="n"/>
    </row>
    <row r="18" ht="22" customHeight="1">
      <c r="B18" s="16">
        <f>IF(C18="","CEP-"&amp;TEXT(COUNTA($C$5:C18),"000"))</f>
        <v/>
      </c>
      <c r="C18" s="14" t="n"/>
      <c r="D18" s="14" t="n"/>
      <c r="E18" s="14" t="n"/>
      <c r="F18" s="14" t="n"/>
      <c r="G18" s="30" t="n"/>
      <c r="H18" s="30" t="n"/>
      <c r="I18" s="15">
        <f>IF(OR(H18="",G18=""),"",H18-G18)</f>
        <v/>
      </c>
      <c r="J18" s="14" t="n"/>
      <c r="K18" s="14" t="n"/>
    </row>
    <row r="19" ht="22" customHeight="1">
      <c r="B19" s="17">
        <f>IF(C19="","CEP-"&amp;TEXT(COUNTA($C$5:C19),"000"))</f>
        <v/>
      </c>
      <c r="C19" s="12" t="n"/>
      <c r="D19" s="12" t="n"/>
      <c r="E19" s="12" t="n"/>
      <c r="F19" s="12" t="n"/>
      <c r="G19" s="29" t="n"/>
      <c r="H19" s="29" t="n"/>
      <c r="I19" s="13">
        <f>IF(OR(H19="",G19=""),"",H19-G19)</f>
        <v/>
      </c>
      <c r="J19" s="12" t="n"/>
      <c r="K19" s="12" t="n"/>
    </row>
    <row r="20" ht="22" customHeight="1">
      <c r="B20" s="16">
        <f>IF(C20="","CEP-"&amp;TEXT(COUNTA($C$5:C20),"000"))</f>
        <v/>
      </c>
      <c r="C20" s="14" t="n"/>
      <c r="D20" s="14" t="n"/>
      <c r="E20" s="14" t="n"/>
      <c r="F20" s="14" t="n"/>
      <c r="G20" s="30" t="n"/>
      <c r="H20" s="30" t="n"/>
      <c r="I20" s="15">
        <f>IF(OR(H20="",G20=""),"",H20-G20)</f>
        <v/>
      </c>
      <c r="J20" s="14" t="n"/>
      <c r="K20" s="14" t="n"/>
    </row>
    <row r="21" ht="22" customHeight="1">
      <c r="B21" s="17">
        <f>IF(C21="","CEP-"&amp;TEXT(COUNTA($C$5:C21),"000"))</f>
        <v/>
      </c>
      <c r="C21" s="12" t="n"/>
      <c r="D21" s="12" t="n"/>
      <c r="E21" s="12" t="n"/>
      <c r="F21" s="12" t="n"/>
      <c r="G21" s="29" t="n"/>
      <c r="H21" s="29" t="n"/>
      <c r="I21" s="13">
        <f>IF(OR(H21="",G21=""),"",H21-G21)</f>
        <v/>
      </c>
      <c r="J21" s="12" t="n"/>
      <c r="K21" s="12" t="n"/>
    </row>
    <row r="22" ht="22" customHeight="1">
      <c r="B22" s="16">
        <f>IF(C22="","CEP-"&amp;TEXT(COUNTA($C$5:C22),"000"))</f>
        <v/>
      </c>
      <c r="C22" s="14" t="n"/>
      <c r="D22" s="14" t="n"/>
      <c r="E22" s="14" t="n"/>
      <c r="F22" s="14" t="n"/>
      <c r="G22" s="30" t="n"/>
      <c r="H22" s="30" t="n"/>
      <c r="I22" s="15">
        <f>IF(OR(H22="",G22=""),"",H22-G22)</f>
        <v/>
      </c>
      <c r="J22" s="14" t="n"/>
      <c r="K22" s="14" t="n"/>
    </row>
    <row r="23" ht="22" customHeight="1">
      <c r="B23" s="17">
        <f>IF(C23="","CEP-"&amp;TEXT(COUNTA($C$5:C23),"000"))</f>
        <v/>
      </c>
      <c r="C23" s="12" t="n"/>
      <c r="D23" s="12" t="n"/>
      <c r="E23" s="12" t="n"/>
      <c r="F23" s="12" t="n"/>
      <c r="G23" s="29" t="n"/>
      <c r="H23" s="29" t="n"/>
      <c r="I23" s="13">
        <f>IF(OR(H23="",G23=""),"",H23-G23)</f>
        <v/>
      </c>
      <c r="J23" s="12" t="n"/>
      <c r="K23" s="12" t="n"/>
    </row>
    <row r="24" ht="22" customHeight="1">
      <c r="B24" s="16">
        <f>IF(C24="","CEP-"&amp;TEXT(COUNTA($C$5:C24),"000"))</f>
        <v/>
      </c>
      <c r="C24" s="14" t="n"/>
      <c r="D24" s="14" t="n"/>
      <c r="E24" s="14" t="n"/>
      <c r="F24" s="14" t="n"/>
      <c r="G24" s="30" t="n"/>
      <c r="H24" s="30" t="n"/>
      <c r="I24" s="15">
        <f>IF(OR(H24="",G24=""),"",H24-G24)</f>
        <v/>
      </c>
      <c r="J24" s="14" t="n"/>
      <c r="K24" s="14" t="n"/>
    </row>
    <row r="25" ht="22" customHeight="1">
      <c r="B25" s="17">
        <f>IF(C25="","CEP-"&amp;TEXT(COUNTA($C$5:C25),"000"))</f>
        <v/>
      </c>
      <c r="C25" s="12" t="n"/>
      <c r="D25" s="12" t="n"/>
      <c r="E25" s="12" t="n"/>
      <c r="F25" s="12" t="n"/>
      <c r="G25" s="29" t="n"/>
      <c r="H25" s="29" t="n"/>
      <c r="I25" s="13">
        <f>IF(OR(H25="",G25=""),"",H25-G25)</f>
        <v/>
      </c>
      <c r="J25" s="12" t="n"/>
      <c r="K25" s="12" t="n"/>
    </row>
    <row r="26" ht="22" customHeight="1">
      <c r="B26" s="16">
        <f>IF(C26="","CEP-"&amp;TEXT(COUNTA($C$5:C26),"000"))</f>
        <v/>
      </c>
      <c r="C26" s="14" t="n"/>
      <c r="D26" s="14" t="n"/>
      <c r="E26" s="14" t="n"/>
      <c r="F26" s="14" t="n"/>
      <c r="G26" s="30" t="n"/>
      <c r="H26" s="30" t="n"/>
      <c r="I26" s="15">
        <f>IF(OR(H26="",G26=""),"",H26-G26)</f>
        <v/>
      </c>
      <c r="J26" s="14" t="n"/>
      <c r="K26" s="14" t="n"/>
    </row>
    <row r="27" ht="22" customHeight="1">
      <c r="B27" s="17">
        <f>IF(C27="","CEP-"&amp;TEXT(COUNTA($C$5:C27),"000"))</f>
        <v/>
      </c>
      <c r="C27" s="12" t="n"/>
      <c r="D27" s="12" t="n"/>
      <c r="E27" s="12" t="n"/>
      <c r="F27" s="12" t="n"/>
      <c r="G27" s="29" t="n"/>
      <c r="H27" s="29" t="n"/>
      <c r="I27" s="13">
        <f>IF(OR(H27="",G27=""),"",H27-G27)</f>
        <v/>
      </c>
      <c r="J27" s="12" t="n"/>
      <c r="K27" s="12" t="n"/>
    </row>
    <row r="28" ht="22" customHeight="1">
      <c r="B28" s="16">
        <f>IF(C28="","CEP-"&amp;TEXT(COUNTA($C$5:C28),"000"))</f>
        <v/>
      </c>
      <c r="C28" s="14" t="n"/>
      <c r="D28" s="14" t="n"/>
      <c r="E28" s="14" t="n"/>
      <c r="F28" s="14" t="n"/>
      <c r="G28" s="30" t="n"/>
      <c r="H28" s="30" t="n"/>
      <c r="I28" s="15">
        <f>IF(OR(H28="",G28=""),"",H28-G28)</f>
        <v/>
      </c>
      <c r="J28" s="14" t="n"/>
      <c r="K28" s="14" t="n"/>
    </row>
    <row r="29" ht="22" customHeight="1">
      <c r="B29" s="17">
        <f>IF(C29="","CEP-"&amp;TEXT(COUNTA($C$5:C29),"000"))</f>
        <v/>
      </c>
      <c r="C29" s="12" t="n"/>
      <c r="D29" s="12" t="n"/>
      <c r="E29" s="12" t="n"/>
      <c r="F29" s="12" t="n"/>
      <c r="G29" s="29" t="n"/>
      <c r="H29" s="29" t="n"/>
      <c r="I29" s="13">
        <f>IF(OR(H29="",G29=""),"",H29-G29)</f>
        <v/>
      </c>
      <c r="J29" s="12" t="n"/>
      <c r="K29" s="12" t="n"/>
    </row>
    <row r="30" ht="22" customHeight="1">
      <c r="B30" s="16">
        <f>IF(C30="","CEP-"&amp;TEXT(COUNTA($C$5:C30),"000"))</f>
        <v/>
      </c>
      <c r="C30" s="14" t="n"/>
      <c r="D30" s="14" t="n"/>
      <c r="E30" s="14" t="n"/>
      <c r="F30" s="14" t="n"/>
      <c r="G30" s="30" t="n"/>
      <c r="H30" s="30" t="n"/>
      <c r="I30" s="15">
        <f>IF(OR(H30="",G30=""),"",H30-G30)</f>
        <v/>
      </c>
      <c r="J30" s="14" t="n"/>
      <c r="K30" s="14" t="n"/>
    </row>
    <row r="31" ht="22" customHeight="1">
      <c r="B31" s="17">
        <f>IF(C31="","CEP-"&amp;TEXT(COUNTA($C$5:C31),"000"))</f>
        <v/>
      </c>
      <c r="C31" s="12" t="n"/>
      <c r="D31" s="12" t="n"/>
      <c r="E31" s="12" t="n"/>
      <c r="F31" s="12" t="n"/>
      <c r="G31" s="29" t="n"/>
      <c r="H31" s="29" t="n"/>
      <c r="I31" s="13">
        <f>IF(OR(H31="",G31=""),"",H31-G31)</f>
        <v/>
      </c>
      <c r="J31" s="12" t="n"/>
      <c r="K31" s="12" t="n"/>
    </row>
    <row r="32" ht="22" customHeight="1">
      <c r="B32" s="16">
        <f>IF(C32="","CEP-"&amp;TEXT(COUNTA($C$5:C32),"000"))</f>
        <v/>
      </c>
      <c r="C32" s="14" t="n"/>
      <c r="D32" s="14" t="n"/>
      <c r="E32" s="14" t="n"/>
      <c r="F32" s="14" t="n"/>
      <c r="G32" s="30" t="n"/>
      <c r="H32" s="30" t="n"/>
      <c r="I32" s="15">
        <f>IF(OR(H32="",G32=""),"",H32-G32)</f>
        <v/>
      </c>
      <c r="J32" s="14" t="n"/>
      <c r="K32" s="14" t="n"/>
    </row>
    <row r="33" ht="22" customHeight="1">
      <c r="B33" s="17">
        <f>IF(C33="","CEP-"&amp;TEXT(COUNTA($C$5:C33),"000"))</f>
        <v/>
      </c>
      <c r="C33" s="12" t="n"/>
      <c r="D33" s="12" t="n"/>
      <c r="E33" s="12" t="n"/>
      <c r="F33" s="12" t="n"/>
      <c r="G33" s="29" t="n"/>
      <c r="H33" s="29" t="n"/>
      <c r="I33" s="13">
        <f>IF(OR(H33="",G33=""),"",H33-G33)</f>
        <v/>
      </c>
      <c r="J33" s="12" t="n"/>
      <c r="K33" s="12" t="n"/>
    </row>
    <row r="34" ht="22" customHeight="1">
      <c r="B34" s="16">
        <f>IF(C34="","CEP-"&amp;TEXT(COUNTA($C$5:C34),"000"))</f>
        <v/>
      </c>
      <c r="C34" s="14" t="n"/>
      <c r="D34" s="14" t="n"/>
      <c r="E34" s="14" t="n"/>
      <c r="F34" s="14" t="n"/>
      <c r="G34" s="30" t="n"/>
      <c r="H34" s="30" t="n"/>
      <c r="I34" s="15">
        <f>IF(OR(H34="",G34=""),"",H34-G34)</f>
        <v/>
      </c>
      <c r="J34" s="14" t="n"/>
      <c r="K34" s="14" t="n"/>
    </row>
    <row r="35" ht="22" customHeight="1">
      <c r="B35" s="17">
        <f>IF(C35="","CEP-"&amp;TEXT(COUNTA($C$5:C35),"000"))</f>
        <v/>
      </c>
      <c r="C35" s="12" t="n"/>
      <c r="D35" s="12" t="n"/>
      <c r="E35" s="12" t="n"/>
      <c r="F35" s="12" t="n"/>
      <c r="G35" s="29" t="n"/>
      <c r="H35" s="29" t="n"/>
      <c r="I35" s="13">
        <f>IF(OR(H35="",G35=""),"",H35-G35)</f>
        <v/>
      </c>
      <c r="J35" s="12" t="n"/>
      <c r="K35" s="12" t="n"/>
    </row>
    <row r="36" ht="22" customHeight="1">
      <c r="B36" s="16">
        <f>IF(C36="","CEP-"&amp;TEXT(COUNTA($C$5:C36),"000"))</f>
        <v/>
      </c>
      <c r="C36" s="14" t="n"/>
      <c r="D36" s="14" t="n"/>
      <c r="E36" s="14" t="n"/>
      <c r="F36" s="14" t="n"/>
      <c r="G36" s="30" t="n"/>
      <c r="H36" s="30" t="n"/>
      <c r="I36" s="15">
        <f>IF(OR(H36="",G36=""),"",H36-G36)</f>
        <v/>
      </c>
      <c r="J36" s="14" t="n"/>
      <c r="K36" s="14" t="n"/>
    </row>
    <row r="37" ht="22" customHeight="1">
      <c r="B37" s="17">
        <f>IF(C37="","CEP-"&amp;TEXT(COUNTA($C$5:C37),"000"))</f>
        <v/>
      </c>
      <c r="C37" s="12" t="n"/>
      <c r="D37" s="12" t="n"/>
      <c r="E37" s="12" t="n"/>
      <c r="F37" s="12" t="n"/>
      <c r="G37" s="29" t="n"/>
      <c r="H37" s="29" t="n"/>
      <c r="I37" s="13">
        <f>IF(OR(H37="",G37=""),"",H37-G37)</f>
        <v/>
      </c>
      <c r="J37" s="12" t="n"/>
      <c r="K37" s="12" t="n"/>
    </row>
    <row r="38" ht="22" customHeight="1">
      <c r="B38" s="16">
        <f>IF(C38="","CEP-"&amp;TEXT(COUNTA($C$5:C38),"000"))</f>
        <v/>
      </c>
      <c r="C38" s="14" t="n"/>
      <c r="D38" s="14" t="n"/>
      <c r="E38" s="14" t="n"/>
      <c r="F38" s="14" t="n"/>
      <c r="G38" s="30" t="n"/>
      <c r="H38" s="30" t="n"/>
      <c r="I38" s="15">
        <f>IF(OR(H38="",G38=""),"",H38-G38)</f>
        <v/>
      </c>
      <c r="J38" s="14" t="n"/>
      <c r="K38" s="14" t="n"/>
    </row>
    <row r="39" ht="22" customHeight="1">
      <c r="B39" s="17">
        <f>IF(C39="","CEP-"&amp;TEXT(COUNTA($C$5:C39),"000"))</f>
        <v/>
      </c>
      <c r="C39" s="12" t="n"/>
      <c r="D39" s="12" t="n"/>
      <c r="E39" s="12" t="n"/>
      <c r="F39" s="12" t="n"/>
      <c r="G39" s="29" t="n"/>
      <c r="H39" s="29" t="n"/>
      <c r="I39" s="13">
        <f>IF(OR(H39="",G39=""),"",H39-G39)</f>
        <v/>
      </c>
      <c r="J39" s="12" t="n"/>
      <c r="K39" s="12" t="n"/>
    </row>
    <row r="40" ht="22" customHeight="1">
      <c r="B40" s="16">
        <f>IF(C40="","CEP-"&amp;TEXT(COUNTA($C$5:C40),"000"))</f>
        <v/>
      </c>
      <c r="C40" s="14" t="n"/>
      <c r="D40" s="14" t="n"/>
      <c r="E40" s="14" t="n"/>
      <c r="F40" s="14" t="n"/>
      <c r="G40" s="30" t="n"/>
      <c r="H40" s="30" t="n"/>
      <c r="I40" s="15">
        <f>IF(OR(H40="",G40=""),"",H40-G40)</f>
        <v/>
      </c>
      <c r="J40" s="14" t="n"/>
      <c r="K40" s="14" t="n"/>
    </row>
    <row r="41" ht="22" customHeight="1">
      <c r="B41" s="17">
        <f>IF(C41="","CEP-"&amp;TEXT(COUNTA($C$5:C41),"000"))</f>
        <v/>
      </c>
      <c r="C41" s="12" t="n"/>
      <c r="D41" s="12" t="n"/>
      <c r="E41" s="12" t="n"/>
      <c r="F41" s="12" t="n"/>
      <c r="G41" s="29" t="n"/>
      <c r="H41" s="29" t="n"/>
      <c r="I41" s="13">
        <f>IF(OR(H41="",G41=""),"",H41-G41)</f>
        <v/>
      </c>
      <c r="J41" s="12" t="n"/>
      <c r="K41" s="12" t="n"/>
    </row>
    <row r="42" ht="22" customHeight="1">
      <c r="B42" s="16">
        <f>IF(C42="","CEP-"&amp;TEXT(COUNTA($C$5:C42),"000"))</f>
        <v/>
      </c>
      <c r="C42" s="14" t="n"/>
      <c r="D42" s="14" t="n"/>
      <c r="E42" s="14" t="n"/>
      <c r="F42" s="14" t="n"/>
      <c r="G42" s="30" t="n"/>
      <c r="H42" s="30" t="n"/>
      <c r="I42" s="15">
        <f>IF(OR(H42="",G42=""),"",H42-G42)</f>
        <v/>
      </c>
      <c r="J42" s="14" t="n"/>
      <c r="K42" s="14" t="n"/>
    </row>
    <row r="43" ht="22" customHeight="1">
      <c r="B43" s="17">
        <f>IF(C43="","CEP-"&amp;TEXT(COUNTA($C$5:C43),"000"))</f>
        <v/>
      </c>
      <c r="C43" s="12" t="n"/>
      <c r="D43" s="12" t="n"/>
      <c r="E43" s="12" t="n"/>
      <c r="F43" s="12" t="n"/>
      <c r="G43" s="29" t="n"/>
      <c r="H43" s="29" t="n"/>
      <c r="I43" s="13">
        <f>IF(OR(H43="",G43=""),"",H43-G43)</f>
        <v/>
      </c>
      <c r="J43" s="12" t="n"/>
      <c r="K43" s="12" t="n"/>
    </row>
    <row r="44" ht="22" customHeight="1">
      <c r="B44" s="16">
        <f>IF(C44="","CEP-"&amp;TEXT(COUNTA($C$5:C44),"000"))</f>
        <v/>
      </c>
      <c r="C44" s="14" t="n"/>
      <c r="D44" s="14" t="n"/>
      <c r="E44" s="14" t="n"/>
      <c r="F44" s="14" t="n"/>
      <c r="G44" s="30" t="n"/>
      <c r="H44" s="30" t="n"/>
      <c r="I44" s="15">
        <f>IF(OR(H44="",G44=""),"",H44-G44)</f>
        <v/>
      </c>
      <c r="J44" s="14" t="n"/>
      <c r="K44" s="14" t="n"/>
    </row>
    <row r="45" ht="22" customHeight="1">
      <c r="B45" s="17">
        <f>IF(C45="","CEP-"&amp;TEXT(COUNTA($C$5:C45),"000"))</f>
        <v/>
      </c>
      <c r="C45" s="12" t="n"/>
      <c r="D45" s="12" t="n"/>
      <c r="E45" s="12" t="n"/>
      <c r="F45" s="12" t="n"/>
      <c r="G45" s="29" t="n"/>
      <c r="H45" s="29" t="n"/>
      <c r="I45" s="13">
        <f>IF(OR(H45="",G45=""),"",H45-G45)</f>
        <v/>
      </c>
      <c r="J45" s="12" t="n"/>
      <c r="K45" s="12" t="n"/>
    </row>
    <row r="46" ht="22" customHeight="1">
      <c r="B46" s="16">
        <f>IF(C46="","CEP-"&amp;TEXT(COUNTA($C$5:C46),"000"))</f>
        <v/>
      </c>
      <c r="C46" s="14" t="n"/>
      <c r="D46" s="14" t="n"/>
      <c r="E46" s="14" t="n"/>
      <c r="F46" s="14" t="n"/>
      <c r="G46" s="30" t="n"/>
      <c r="H46" s="30" t="n"/>
      <c r="I46" s="15">
        <f>IF(OR(H46="",G46=""),"",H46-G46)</f>
        <v/>
      </c>
      <c r="J46" s="14" t="n"/>
      <c r="K46" s="14" t="n"/>
    </row>
    <row r="47" ht="22" customHeight="1">
      <c r="B47" s="17">
        <f>IF(C47="","CEP-"&amp;TEXT(COUNTA($C$5:C47),"000"))</f>
        <v/>
      </c>
      <c r="C47" s="12" t="n"/>
      <c r="D47" s="12" t="n"/>
      <c r="E47" s="12" t="n"/>
      <c r="F47" s="12" t="n"/>
      <c r="G47" s="29" t="n"/>
      <c r="H47" s="29" t="n"/>
      <c r="I47" s="13">
        <f>IF(OR(H47="",G47=""),"",H47-G47)</f>
        <v/>
      </c>
      <c r="J47" s="12" t="n"/>
      <c r="K47" s="12" t="n"/>
    </row>
    <row r="48" ht="22" customHeight="1">
      <c r="B48" s="16">
        <f>IF(C48="","CEP-"&amp;TEXT(COUNTA($C$5:C48),"000"))</f>
        <v/>
      </c>
      <c r="C48" s="14" t="n"/>
      <c r="D48" s="14" t="n"/>
      <c r="E48" s="14" t="n"/>
      <c r="F48" s="14" t="n"/>
      <c r="G48" s="30" t="n"/>
      <c r="H48" s="30" t="n"/>
      <c r="I48" s="15">
        <f>IF(OR(H48="",G48=""),"",H48-G48)</f>
        <v/>
      </c>
      <c r="J48" s="14" t="n"/>
      <c r="K48" s="14" t="n"/>
    </row>
    <row r="49" ht="22" customHeight="1">
      <c r="B49" s="17">
        <f>IF(C49="","CEP-"&amp;TEXT(COUNTA($C$5:C49),"000"))</f>
        <v/>
      </c>
      <c r="C49" s="12" t="n"/>
      <c r="D49" s="12" t="n"/>
      <c r="E49" s="12" t="n"/>
      <c r="F49" s="12" t="n"/>
      <c r="G49" s="29" t="n"/>
      <c r="H49" s="29" t="n"/>
      <c r="I49" s="13">
        <f>IF(OR(H49="",G49=""),"",H49-G49)</f>
        <v/>
      </c>
      <c r="J49" s="12" t="n"/>
      <c r="K49" s="12" t="n"/>
    </row>
    <row r="50" ht="22" customHeight="1">
      <c r="B50" s="16">
        <f>IF(C50="","CEP-"&amp;TEXT(COUNTA($C$5:C50),"000"))</f>
        <v/>
      </c>
      <c r="C50" s="14" t="n"/>
      <c r="D50" s="14" t="n"/>
      <c r="E50" s="14" t="n"/>
      <c r="F50" s="14" t="n"/>
      <c r="G50" s="30" t="n"/>
      <c r="H50" s="30" t="n"/>
      <c r="I50" s="15">
        <f>IF(OR(H50="",G50=""),"",H50-G50)</f>
        <v/>
      </c>
      <c r="J50" s="14" t="n"/>
      <c r="K50" s="14" t="n"/>
    </row>
    <row r="51" ht="22" customHeight="1">
      <c r="B51" s="17">
        <f>IF(C51="","CEP-"&amp;TEXT(COUNTA($C$5:C51),"000"))</f>
        <v/>
      </c>
      <c r="C51" s="12" t="n"/>
      <c r="D51" s="12" t="n"/>
      <c r="E51" s="12" t="n"/>
      <c r="F51" s="12" t="n"/>
      <c r="G51" s="29" t="n"/>
      <c r="H51" s="29" t="n"/>
      <c r="I51" s="13">
        <f>IF(OR(H51="",G51=""),"",H51-G51)</f>
        <v/>
      </c>
      <c r="J51" s="12" t="n"/>
      <c r="K51" s="12" t="n"/>
    </row>
    <row r="52" ht="22" customHeight="1">
      <c r="B52" s="16">
        <f>IF(C52="","CEP-"&amp;TEXT(COUNTA($C$5:C52),"000"))</f>
        <v/>
      </c>
      <c r="C52" s="14" t="n"/>
      <c r="D52" s="14" t="n"/>
      <c r="E52" s="14" t="n"/>
      <c r="F52" s="14" t="n"/>
      <c r="G52" s="30" t="n"/>
      <c r="H52" s="30" t="n"/>
      <c r="I52" s="15">
        <f>IF(OR(H52="",G52=""),"",H52-G52)</f>
        <v/>
      </c>
      <c r="J52" s="14" t="n"/>
      <c r="K52" s="14" t="n"/>
    </row>
    <row r="53" ht="22" customHeight="1">
      <c r="B53" s="17">
        <f>IF(C53="","CEP-"&amp;TEXT(COUNTA($C$5:C53),"000"))</f>
        <v/>
      </c>
      <c r="C53" s="12" t="n"/>
      <c r="D53" s="12" t="n"/>
      <c r="E53" s="12" t="n"/>
      <c r="F53" s="12" t="n"/>
      <c r="G53" s="29" t="n"/>
      <c r="H53" s="29" t="n"/>
      <c r="I53" s="13">
        <f>IF(OR(H53="",G53=""),"",H53-G53)</f>
        <v/>
      </c>
      <c r="J53" s="12" t="n"/>
      <c r="K53" s="12" t="n"/>
    </row>
    <row r="54" ht="22" customHeight="1">
      <c r="B54" s="16">
        <f>IF(C54="","CEP-"&amp;TEXT(COUNTA($C$5:C54),"000"))</f>
        <v/>
      </c>
      <c r="C54" s="14" t="n"/>
      <c r="D54" s="14" t="n"/>
      <c r="E54" s="14" t="n"/>
      <c r="F54" s="14" t="n"/>
      <c r="G54" s="30" t="n"/>
      <c r="H54" s="30" t="n"/>
      <c r="I54" s="15">
        <f>IF(OR(H54="",G54=""),"",H54-G54)</f>
        <v/>
      </c>
      <c r="J54" s="14" t="n"/>
      <c r="K54" s="14" t="n"/>
    </row>
    <row r="55" ht="22" customHeight="1">
      <c r="B55" s="17">
        <f>IF(C55="","CEP-"&amp;TEXT(COUNTA($C$5:C55),"000"))</f>
        <v/>
      </c>
      <c r="C55" s="12" t="n"/>
      <c r="D55" s="12" t="n"/>
      <c r="E55" s="12" t="n"/>
      <c r="F55" s="12" t="n"/>
      <c r="G55" s="29" t="n"/>
      <c r="H55" s="29" t="n"/>
      <c r="I55" s="13">
        <f>IF(OR(H55="",G55=""),"",H55-G55)</f>
        <v/>
      </c>
      <c r="J55" s="12" t="n"/>
      <c r="K55" s="12" t="n"/>
    </row>
    <row r="56" ht="22" customHeight="1">
      <c r="B56" s="16">
        <f>IF(C56="","CEP-"&amp;TEXT(COUNTA($C$5:C56),"000"))</f>
        <v/>
      </c>
      <c r="C56" s="14" t="n"/>
      <c r="D56" s="14" t="n"/>
      <c r="E56" s="14" t="n"/>
      <c r="F56" s="14" t="n"/>
      <c r="G56" s="30" t="n"/>
      <c r="H56" s="30" t="n"/>
      <c r="I56" s="15">
        <f>IF(OR(H56="",G56=""),"",H56-G56)</f>
        <v/>
      </c>
      <c r="J56" s="14" t="n"/>
      <c r="K56" s="14" t="n"/>
    </row>
    <row r="57" ht="22" customHeight="1">
      <c r="B57" s="17">
        <f>IF(C57="","CEP-"&amp;TEXT(COUNTA($C$5:C57),"000"))</f>
        <v/>
      </c>
      <c r="C57" s="12" t="n"/>
      <c r="D57" s="12" t="n"/>
      <c r="E57" s="12" t="n"/>
      <c r="F57" s="12" t="n"/>
      <c r="G57" s="29" t="n"/>
      <c r="H57" s="29" t="n"/>
      <c r="I57" s="13">
        <f>IF(OR(H57="",G57=""),"",H57-G57)</f>
        <v/>
      </c>
      <c r="J57" s="12" t="n"/>
      <c r="K57" s="12" t="n"/>
    </row>
    <row r="58" ht="22" customHeight="1">
      <c r="B58" s="16">
        <f>IF(C58="","CEP-"&amp;TEXT(COUNTA($C$5:C58),"000"))</f>
        <v/>
      </c>
      <c r="C58" s="14" t="n"/>
      <c r="D58" s="14" t="n"/>
      <c r="E58" s="14" t="n"/>
      <c r="F58" s="14" t="n"/>
      <c r="G58" s="30" t="n"/>
      <c r="H58" s="30" t="n"/>
      <c r="I58" s="15">
        <f>IF(OR(H58="",G58=""),"",H58-G58)</f>
        <v/>
      </c>
      <c r="J58" s="14" t="n"/>
      <c r="K58" s="14" t="n"/>
    </row>
    <row r="59" ht="22" customHeight="1">
      <c r="B59" s="17">
        <f>IF(C59="","CEP-"&amp;TEXT(COUNTA($C$5:C59),"000"))</f>
        <v/>
      </c>
      <c r="C59" s="12" t="n"/>
      <c r="D59" s="12" t="n"/>
      <c r="E59" s="12" t="n"/>
      <c r="F59" s="12" t="n"/>
      <c r="G59" s="29" t="n"/>
      <c r="H59" s="29" t="n"/>
      <c r="I59" s="13">
        <f>IF(OR(H59="",G59=""),"",H59-G59)</f>
        <v/>
      </c>
      <c r="J59" s="12" t="n"/>
      <c r="K59" s="12" t="n"/>
    </row>
    <row r="60" ht="22" customHeight="1">
      <c r="B60" s="16">
        <f>IF(C60="","CEP-"&amp;TEXT(COUNTA($C$5:C60),"000"))</f>
        <v/>
      </c>
      <c r="C60" s="14" t="n"/>
      <c r="D60" s="14" t="n"/>
      <c r="E60" s="14" t="n"/>
      <c r="F60" s="14" t="n"/>
      <c r="G60" s="30" t="n"/>
      <c r="H60" s="30" t="n"/>
      <c r="I60" s="15">
        <f>IF(OR(H60="",G60=""),"",H60-G60)</f>
        <v/>
      </c>
      <c r="J60" s="14" t="n"/>
      <c r="K60" s="14" t="n"/>
    </row>
    <row r="61" ht="22" customHeight="1">
      <c r="B61" s="17">
        <f>IF(C61="","CEP-"&amp;TEXT(COUNTA($C$5:C61),"000"))</f>
        <v/>
      </c>
      <c r="C61" s="12" t="n"/>
      <c r="D61" s="12" t="n"/>
      <c r="E61" s="12" t="n"/>
      <c r="F61" s="12" t="n"/>
      <c r="G61" s="29" t="n"/>
      <c r="H61" s="29" t="n"/>
      <c r="I61" s="13">
        <f>IF(OR(H61="",G61=""),"",H61-G61)</f>
        <v/>
      </c>
      <c r="J61" s="12" t="n"/>
      <c r="K61" s="12" t="n"/>
    </row>
    <row r="62" ht="22" customHeight="1">
      <c r="B62" s="16">
        <f>IF(C62="","CEP-"&amp;TEXT(COUNTA($C$5:C62),"000"))</f>
        <v/>
      </c>
      <c r="C62" s="14" t="n"/>
      <c r="D62" s="14" t="n"/>
      <c r="E62" s="14" t="n"/>
      <c r="F62" s="14" t="n"/>
      <c r="G62" s="30" t="n"/>
      <c r="H62" s="30" t="n"/>
      <c r="I62" s="15">
        <f>IF(OR(H62="",G62=""),"",H62-G62)</f>
        <v/>
      </c>
      <c r="J62" s="14" t="n"/>
      <c r="K62" s="14" t="n"/>
    </row>
    <row r="63" ht="22" customHeight="1">
      <c r="B63" s="17">
        <f>IF(C63="","CEP-"&amp;TEXT(COUNTA($C$5:C63),"000"))</f>
        <v/>
      </c>
      <c r="C63" s="12" t="n"/>
      <c r="D63" s="12" t="n"/>
      <c r="E63" s="12" t="n"/>
      <c r="F63" s="12" t="n"/>
      <c r="G63" s="29" t="n"/>
      <c r="H63" s="29" t="n"/>
      <c r="I63" s="13">
        <f>IF(OR(H63="",G63=""),"",H63-G63)</f>
        <v/>
      </c>
      <c r="J63" s="12" t="n"/>
      <c r="K63" s="12" t="n"/>
    </row>
    <row r="64" ht="22" customHeight="1">
      <c r="B64" s="16">
        <f>IF(C64="","CEP-"&amp;TEXT(COUNTA($C$5:C64),"000"))</f>
        <v/>
      </c>
      <c r="C64" s="14" t="n"/>
      <c r="D64" s="14" t="n"/>
      <c r="E64" s="14" t="n"/>
      <c r="F64" s="14" t="n"/>
      <c r="G64" s="30" t="n"/>
      <c r="H64" s="30" t="n"/>
      <c r="I64" s="15">
        <f>IF(OR(H64="",G64=""),"",H64-G64)</f>
        <v/>
      </c>
      <c r="J64" s="14" t="n"/>
      <c r="K64" s="14" t="n"/>
    </row>
    <row r="65" ht="22" customHeight="1">
      <c r="B65" s="17">
        <f>IF(C65="","CEP-"&amp;TEXT(COUNTA($C$5:C65),"000"))</f>
        <v/>
      </c>
      <c r="C65" s="12" t="n"/>
      <c r="D65" s="12" t="n"/>
      <c r="E65" s="12" t="n"/>
      <c r="F65" s="12" t="n"/>
      <c r="G65" s="29" t="n"/>
      <c r="H65" s="29" t="n"/>
      <c r="I65" s="13">
        <f>IF(OR(H65="",G65=""),"",H65-G65)</f>
        <v/>
      </c>
      <c r="J65" s="12" t="n"/>
      <c r="K65" s="12" t="n"/>
    </row>
    <row r="66" ht="22" customHeight="1">
      <c r="B66" s="16">
        <f>IF(C66="","CEP-"&amp;TEXT(COUNTA($C$5:C66),"000"))</f>
        <v/>
      </c>
      <c r="C66" s="14" t="n"/>
      <c r="D66" s="14" t="n"/>
      <c r="E66" s="14" t="n"/>
      <c r="F66" s="14" t="n"/>
      <c r="G66" s="30" t="n"/>
      <c r="H66" s="30" t="n"/>
      <c r="I66" s="15">
        <f>IF(OR(H66="",G66=""),"",H66-G66)</f>
        <v/>
      </c>
      <c r="J66" s="14" t="n"/>
      <c r="K66" s="14" t="n"/>
    </row>
    <row r="67" ht="22" customHeight="1">
      <c r="B67" s="17">
        <f>IF(C67="","CEP-"&amp;TEXT(COUNTA($C$5:C67),"000"))</f>
        <v/>
      </c>
      <c r="C67" s="12" t="n"/>
      <c r="D67" s="12" t="n"/>
      <c r="E67" s="12" t="n"/>
      <c r="F67" s="12" t="n"/>
      <c r="G67" s="29" t="n"/>
      <c r="H67" s="29" t="n"/>
      <c r="I67" s="13">
        <f>IF(OR(H67="",G67=""),"",H67-G67)</f>
        <v/>
      </c>
      <c r="J67" s="12" t="n"/>
      <c r="K67" s="12" t="n"/>
    </row>
    <row r="68" ht="22" customHeight="1">
      <c r="B68" s="16">
        <f>IF(C68="","CEP-"&amp;TEXT(COUNTA($C$5:C68),"000"))</f>
        <v/>
      </c>
      <c r="C68" s="14" t="n"/>
      <c r="D68" s="14" t="n"/>
      <c r="E68" s="14" t="n"/>
      <c r="F68" s="14" t="n"/>
      <c r="G68" s="30" t="n"/>
      <c r="H68" s="30" t="n"/>
      <c r="I68" s="15">
        <f>IF(OR(H68="",G68=""),"",H68-G68)</f>
        <v/>
      </c>
      <c r="J68" s="14" t="n"/>
      <c r="K68" s="14" t="n"/>
    </row>
    <row r="69" ht="22" customHeight="1">
      <c r="B69" s="17">
        <f>IF(C69="","CEP-"&amp;TEXT(COUNTA($C$5:C69),"000"))</f>
        <v/>
      </c>
      <c r="C69" s="12" t="n"/>
      <c r="D69" s="12" t="n"/>
      <c r="E69" s="12" t="n"/>
      <c r="F69" s="12" t="n"/>
      <c r="G69" s="29" t="n"/>
      <c r="H69" s="29" t="n"/>
      <c r="I69" s="13">
        <f>IF(OR(H69="",G69=""),"",H69-G69)</f>
        <v/>
      </c>
      <c r="J69" s="12" t="n"/>
      <c r="K69" s="12" t="n"/>
    </row>
    <row r="70" ht="22" customHeight="1">
      <c r="B70" s="16">
        <f>IF(C70="","CEP-"&amp;TEXT(COUNTA($C$5:C70),"000"))</f>
        <v/>
      </c>
      <c r="C70" s="14" t="n"/>
      <c r="D70" s="14" t="n"/>
      <c r="E70" s="14" t="n"/>
      <c r="F70" s="14" t="n"/>
      <c r="G70" s="30" t="n"/>
      <c r="H70" s="30" t="n"/>
      <c r="I70" s="15">
        <f>IF(OR(H70="",G70=""),"",H70-G70)</f>
        <v/>
      </c>
      <c r="J70" s="14" t="n"/>
      <c r="K70" s="14" t="n"/>
    </row>
    <row r="71" ht="22" customHeight="1">
      <c r="B71" s="17">
        <f>IF(C71="","CEP-"&amp;TEXT(COUNTA($C$5:C71),"000"))</f>
        <v/>
      </c>
      <c r="C71" s="12" t="n"/>
      <c r="D71" s="12" t="n"/>
      <c r="E71" s="12" t="n"/>
      <c r="F71" s="12" t="n"/>
      <c r="G71" s="29" t="n"/>
      <c r="H71" s="29" t="n"/>
      <c r="I71" s="13">
        <f>IF(OR(H71="",G71=""),"",H71-G71)</f>
        <v/>
      </c>
      <c r="J71" s="12" t="n"/>
      <c r="K71" s="12" t="n"/>
    </row>
    <row r="72" ht="22" customHeight="1">
      <c r="B72" s="16">
        <f>IF(C72="","CEP-"&amp;TEXT(COUNTA($C$5:C72),"000"))</f>
        <v/>
      </c>
      <c r="C72" s="14" t="n"/>
      <c r="D72" s="14" t="n"/>
      <c r="E72" s="14" t="n"/>
      <c r="F72" s="14" t="n"/>
      <c r="G72" s="30" t="n"/>
      <c r="H72" s="30" t="n"/>
      <c r="I72" s="15">
        <f>IF(OR(H72="",G72=""),"",H72-G72)</f>
        <v/>
      </c>
      <c r="J72" s="14" t="n"/>
      <c r="K72" s="14" t="n"/>
    </row>
    <row r="73" ht="22" customHeight="1">
      <c r="B73" s="17">
        <f>IF(C73="","CEP-"&amp;TEXT(COUNTA($C$5:C73),"000"))</f>
        <v/>
      </c>
      <c r="C73" s="12" t="n"/>
      <c r="D73" s="12" t="n"/>
      <c r="E73" s="12" t="n"/>
      <c r="F73" s="12" t="n"/>
      <c r="G73" s="29" t="n"/>
      <c r="H73" s="29" t="n"/>
      <c r="I73" s="13">
        <f>IF(OR(H73="",G73=""),"",H73-G73)</f>
        <v/>
      </c>
      <c r="J73" s="12" t="n"/>
      <c r="K73" s="12" t="n"/>
    </row>
    <row r="74" ht="22" customHeight="1">
      <c r="B74" s="16">
        <f>IF(C74="","CEP-"&amp;TEXT(COUNTA($C$5:C74),"000"))</f>
        <v/>
      </c>
      <c r="C74" s="14" t="n"/>
      <c r="D74" s="14" t="n"/>
      <c r="E74" s="14" t="n"/>
      <c r="F74" s="14" t="n"/>
      <c r="G74" s="30" t="n"/>
      <c r="H74" s="30" t="n"/>
      <c r="I74" s="15">
        <f>IF(OR(H74="",G74=""),"",H74-G74)</f>
        <v/>
      </c>
      <c r="J74" s="14" t="n"/>
      <c r="K74" s="14" t="n"/>
    </row>
    <row r="75" ht="22" customHeight="1">
      <c r="B75" s="17">
        <f>IF(C75="","CEP-"&amp;TEXT(COUNTA($C$5:C75),"000"))</f>
        <v/>
      </c>
      <c r="C75" s="12" t="n"/>
      <c r="D75" s="12" t="n"/>
      <c r="E75" s="12" t="n"/>
      <c r="F75" s="12" t="n"/>
      <c r="G75" s="29" t="n"/>
      <c r="H75" s="29" t="n"/>
      <c r="I75" s="13">
        <f>IF(OR(H75="",G75=""),"",H75-G75)</f>
        <v/>
      </c>
      <c r="J75" s="12" t="n"/>
      <c r="K75" s="12" t="n"/>
    </row>
    <row r="76" ht="22" customHeight="1">
      <c r="B76" s="16">
        <f>IF(C76="","CEP-"&amp;TEXT(COUNTA($C$5:C76),"000"))</f>
        <v/>
      </c>
      <c r="C76" s="14" t="n"/>
      <c r="D76" s="14" t="n"/>
      <c r="E76" s="14" t="n"/>
      <c r="F76" s="14" t="n"/>
      <c r="G76" s="30" t="n"/>
      <c r="H76" s="30" t="n"/>
      <c r="I76" s="15">
        <f>IF(OR(H76="",G76=""),"",H76-G76)</f>
        <v/>
      </c>
      <c r="J76" s="14" t="n"/>
      <c r="K76" s="14" t="n"/>
    </row>
    <row r="77" ht="22" customHeight="1">
      <c r="B77" s="17">
        <f>IF(C77="","CEP-"&amp;TEXT(COUNTA($C$5:C77),"000"))</f>
        <v/>
      </c>
      <c r="C77" s="12" t="n"/>
      <c r="D77" s="12" t="n"/>
      <c r="E77" s="12" t="n"/>
      <c r="F77" s="12" t="n"/>
      <c r="G77" s="29" t="n"/>
      <c r="H77" s="29" t="n"/>
      <c r="I77" s="13">
        <f>IF(OR(H77="",G77=""),"",H77-G77)</f>
        <v/>
      </c>
      <c r="J77" s="12" t="n"/>
      <c r="K77" s="12" t="n"/>
    </row>
    <row r="78" ht="22" customHeight="1">
      <c r="B78" s="16">
        <f>IF(C78="","CEP-"&amp;TEXT(COUNTA($C$5:C78),"000"))</f>
        <v/>
      </c>
      <c r="C78" s="14" t="n"/>
      <c r="D78" s="14" t="n"/>
      <c r="E78" s="14" t="n"/>
      <c r="F78" s="14" t="n"/>
      <c r="G78" s="30" t="n"/>
      <c r="H78" s="30" t="n"/>
      <c r="I78" s="15">
        <f>IF(OR(H78="",G78=""),"",H78-G78)</f>
        <v/>
      </c>
      <c r="J78" s="14" t="n"/>
      <c r="K78" s="14" t="n"/>
    </row>
    <row r="79" ht="22" customHeight="1">
      <c r="B79" s="17">
        <f>IF(C79="","CEP-"&amp;TEXT(COUNTA($C$5:C79),"000"))</f>
        <v/>
      </c>
      <c r="C79" s="12" t="n"/>
      <c r="D79" s="12" t="n"/>
      <c r="E79" s="12" t="n"/>
      <c r="F79" s="12" t="n"/>
      <c r="G79" s="29" t="n"/>
      <c r="H79" s="29" t="n"/>
      <c r="I79" s="13">
        <f>IF(OR(H79="",G79=""),"",H79-G79)</f>
        <v/>
      </c>
      <c r="J79" s="12" t="n"/>
      <c r="K79" s="12" t="n"/>
    </row>
    <row r="80" ht="22" customHeight="1">
      <c r="B80" s="16">
        <f>IF(C80="","CEP-"&amp;TEXT(COUNTA($C$5:C80),"000"))</f>
        <v/>
      </c>
      <c r="C80" s="14" t="n"/>
      <c r="D80" s="14" t="n"/>
      <c r="E80" s="14" t="n"/>
      <c r="F80" s="14" t="n"/>
      <c r="G80" s="30" t="n"/>
      <c r="H80" s="30" t="n"/>
      <c r="I80" s="15">
        <f>IF(OR(H80="",G80=""),"",H80-G80)</f>
        <v/>
      </c>
      <c r="J80" s="14" t="n"/>
      <c r="K80" s="14" t="n"/>
    </row>
    <row r="81" ht="22" customHeight="1">
      <c r="B81" s="17">
        <f>IF(C81="","CEP-"&amp;TEXT(COUNTA($C$5:C81),"000"))</f>
        <v/>
      </c>
      <c r="C81" s="12" t="n"/>
      <c r="D81" s="12" t="n"/>
      <c r="E81" s="12" t="n"/>
      <c r="F81" s="12" t="n"/>
      <c r="G81" s="29" t="n"/>
      <c r="H81" s="29" t="n"/>
      <c r="I81" s="13">
        <f>IF(OR(H81="",G81=""),"",H81-G81)</f>
        <v/>
      </c>
      <c r="J81" s="12" t="n"/>
      <c r="K81" s="12" t="n"/>
    </row>
    <row r="82" ht="22" customHeight="1">
      <c r="B82" s="16">
        <f>IF(C82="","CEP-"&amp;TEXT(COUNTA($C$5:C82),"000"))</f>
        <v/>
      </c>
      <c r="C82" s="14" t="n"/>
      <c r="D82" s="14" t="n"/>
      <c r="E82" s="14" t="n"/>
      <c r="F82" s="14" t="n"/>
      <c r="G82" s="30" t="n"/>
      <c r="H82" s="30" t="n"/>
      <c r="I82" s="15">
        <f>IF(OR(H82="",G82=""),"",H82-G82)</f>
        <v/>
      </c>
      <c r="J82" s="14" t="n"/>
      <c r="K82" s="14" t="n"/>
    </row>
    <row r="83" ht="22" customHeight="1">
      <c r="B83" s="17">
        <f>IF(C83="","CEP-"&amp;TEXT(COUNTA($C$5:C83),"000"))</f>
        <v/>
      </c>
      <c r="C83" s="12" t="n"/>
      <c r="D83" s="12" t="n"/>
      <c r="E83" s="12" t="n"/>
      <c r="F83" s="12" t="n"/>
      <c r="G83" s="29" t="n"/>
      <c r="H83" s="29" t="n"/>
      <c r="I83" s="13">
        <f>IF(OR(H83="",G83=""),"",H83-G83)</f>
        <v/>
      </c>
      <c r="J83" s="12" t="n"/>
      <c r="K83" s="12" t="n"/>
    </row>
    <row r="84" ht="22" customHeight="1">
      <c r="B84" s="16">
        <f>IF(C84="","CEP-"&amp;TEXT(COUNTA($C$5:C84),"000"))</f>
        <v/>
      </c>
      <c r="C84" s="14" t="n"/>
      <c r="D84" s="14" t="n"/>
      <c r="E84" s="14" t="n"/>
      <c r="F84" s="14" t="n"/>
      <c r="G84" s="30" t="n"/>
      <c r="H84" s="30" t="n"/>
      <c r="I84" s="15">
        <f>IF(OR(H84="",G84=""),"",H84-G84)</f>
        <v/>
      </c>
      <c r="J84" s="14" t="n"/>
      <c r="K84" s="14" t="n"/>
    </row>
    <row r="85" ht="22" customHeight="1">
      <c r="B85" s="17">
        <f>IF(C85="","CEP-"&amp;TEXT(COUNTA($C$5:C85),"000"))</f>
        <v/>
      </c>
      <c r="C85" s="12" t="n"/>
      <c r="D85" s="12" t="n"/>
      <c r="E85" s="12" t="n"/>
      <c r="F85" s="12" t="n"/>
      <c r="G85" s="29" t="n"/>
      <c r="H85" s="29" t="n"/>
      <c r="I85" s="13">
        <f>IF(OR(H85="",G85=""),"",H85-G85)</f>
        <v/>
      </c>
      <c r="J85" s="12" t="n"/>
      <c r="K85" s="12" t="n"/>
    </row>
    <row r="86" ht="22" customHeight="1">
      <c r="B86" s="16">
        <f>IF(C86="","CEP-"&amp;TEXT(COUNTA($C$5:C86),"000"))</f>
        <v/>
      </c>
      <c r="C86" s="14" t="n"/>
      <c r="D86" s="14" t="n"/>
      <c r="E86" s="14" t="n"/>
      <c r="F86" s="14" t="n"/>
      <c r="G86" s="30" t="n"/>
      <c r="H86" s="30" t="n"/>
      <c r="I86" s="15">
        <f>IF(OR(H86="",G86=""),"",H86-G86)</f>
        <v/>
      </c>
      <c r="J86" s="14" t="n"/>
      <c r="K86" s="14" t="n"/>
    </row>
    <row r="87" ht="22" customHeight="1">
      <c r="B87" s="17">
        <f>IF(C87="","CEP-"&amp;TEXT(COUNTA($C$5:C87),"000"))</f>
        <v/>
      </c>
      <c r="C87" s="12" t="n"/>
      <c r="D87" s="12" t="n"/>
      <c r="E87" s="12" t="n"/>
      <c r="F87" s="12" t="n"/>
      <c r="G87" s="29" t="n"/>
      <c r="H87" s="29" t="n"/>
      <c r="I87" s="13">
        <f>IF(OR(H87="",G87=""),"",H87-G87)</f>
        <v/>
      </c>
      <c r="J87" s="12" t="n"/>
      <c r="K87" s="12" t="n"/>
    </row>
    <row r="88" ht="22" customHeight="1">
      <c r="B88" s="16">
        <f>IF(C88="","CEP-"&amp;TEXT(COUNTA($C$5:C88),"000"))</f>
        <v/>
      </c>
      <c r="C88" s="14" t="n"/>
      <c r="D88" s="14" t="n"/>
      <c r="E88" s="14" t="n"/>
      <c r="F88" s="14" t="n"/>
      <c r="G88" s="30" t="n"/>
      <c r="H88" s="30" t="n"/>
      <c r="I88" s="15">
        <f>IF(OR(H88="",G88=""),"",H88-G88)</f>
        <v/>
      </c>
      <c r="J88" s="14" t="n"/>
      <c r="K88" s="14" t="n"/>
    </row>
    <row r="89" ht="22" customHeight="1">
      <c r="B89" s="17">
        <f>IF(C89="","CEP-"&amp;TEXT(COUNTA($C$5:C89),"000"))</f>
        <v/>
      </c>
      <c r="C89" s="12" t="n"/>
      <c r="D89" s="12" t="n"/>
      <c r="E89" s="12" t="n"/>
      <c r="F89" s="12" t="n"/>
      <c r="G89" s="29" t="n"/>
      <c r="H89" s="29" t="n"/>
      <c r="I89" s="13">
        <f>IF(OR(H89="",G89=""),"",H89-G89)</f>
        <v/>
      </c>
      <c r="J89" s="12" t="n"/>
      <c r="K89" s="12" t="n"/>
    </row>
    <row r="90" ht="22" customHeight="1">
      <c r="B90" s="16">
        <f>IF(C90="","CEP-"&amp;TEXT(COUNTA($C$5:C90),"000"))</f>
        <v/>
      </c>
      <c r="C90" s="14" t="n"/>
      <c r="D90" s="14" t="n"/>
      <c r="E90" s="14" t="n"/>
      <c r="F90" s="14" t="n"/>
      <c r="G90" s="30" t="n"/>
      <c r="H90" s="30" t="n"/>
      <c r="I90" s="15">
        <f>IF(OR(H90="",G90=""),"",H90-G90)</f>
        <v/>
      </c>
      <c r="J90" s="14" t="n"/>
      <c r="K90" s="14" t="n"/>
    </row>
    <row r="91" ht="22" customHeight="1">
      <c r="B91" s="17">
        <f>IF(C91="","CEP-"&amp;TEXT(COUNTA($C$5:C91),"000"))</f>
        <v/>
      </c>
      <c r="C91" s="12" t="n"/>
      <c r="D91" s="12" t="n"/>
      <c r="E91" s="12" t="n"/>
      <c r="F91" s="12" t="n"/>
      <c r="G91" s="29" t="n"/>
      <c r="H91" s="29" t="n"/>
      <c r="I91" s="13">
        <f>IF(OR(H91="",G91=""),"",H91-G91)</f>
        <v/>
      </c>
      <c r="J91" s="12" t="n"/>
      <c r="K91" s="12" t="n"/>
    </row>
    <row r="92" ht="22" customHeight="1">
      <c r="B92" s="16">
        <f>IF(C92="","CEP-"&amp;TEXT(COUNTA($C$5:C92),"000"))</f>
        <v/>
      </c>
      <c r="C92" s="14" t="n"/>
      <c r="D92" s="14" t="n"/>
      <c r="E92" s="14" t="n"/>
      <c r="F92" s="14" t="n"/>
      <c r="G92" s="30" t="n"/>
      <c r="H92" s="30" t="n"/>
      <c r="I92" s="15">
        <f>IF(OR(H92="",G92=""),"",H92-G92)</f>
        <v/>
      </c>
      <c r="J92" s="14" t="n"/>
      <c r="K92" s="14" t="n"/>
    </row>
    <row r="93" ht="22" customHeight="1">
      <c r="B93" s="17">
        <f>IF(C93="","CEP-"&amp;TEXT(COUNTA($C$5:C93),"000"))</f>
        <v/>
      </c>
      <c r="C93" s="12" t="n"/>
      <c r="D93" s="12" t="n"/>
      <c r="E93" s="12" t="n"/>
      <c r="F93" s="12" t="n"/>
      <c r="G93" s="29" t="n"/>
      <c r="H93" s="29" t="n"/>
      <c r="I93" s="13">
        <f>IF(OR(H93="",G93=""),"",H93-G93)</f>
        <v/>
      </c>
      <c r="J93" s="12" t="n"/>
      <c r="K93" s="12" t="n"/>
    </row>
    <row r="94" ht="22" customHeight="1">
      <c r="B94" s="16">
        <f>IF(C94="","CEP-"&amp;TEXT(COUNTA($C$5:C94),"000"))</f>
        <v/>
      </c>
      <c r="C94" s="14" t="n"/>
      <c r="D94" s="14" t="n"/>
      <c r="E94" s="14" t="n"/>
      <c r="F94" s="14" t="n"/>
      <c r="G94" s="30" t="n"/>
      <c r="H94" s="30" t="n"/>
      <c r="I94" s="15">
        <f>IF(OR(H94="",G94=""),"",H94-G94)</f>
        <v/>
      </c>
      <c r="J94" s="14" t="n"/>
      <c r="K94" s="14" t="n"/>
    </row>
    <row r="95" ht="22" customHeight="1">
      <c r="B95" s="17">
        <f>IF(C95="","CEP-"&amp;TEXT(COUNTA($C$5:C95),"000"))</f>
        <v/>
      </c>
      <c r="C95" s="12" t="n"/>
      <c r="D95" s="12" t="n"/>
      <c r="E95" s="12" t="n"/>
      <c r="F95" s="12" t="n"/>
      <c r="G95" s="29" t="n"/>
      <c r="H95" s="29" t="n"/>
      <c r="I95" s="13">
        <f>IF(OR(H95="",G95=""),"",H95-G95)</f>
        <v/>
      </c>
      <c r="J95" s="12" t="n"/>
      <c r="K95" s="12" t="n"/>
    </row>
    <row r="96" ht="22" customHeight="1">
      <c r="B96" s="16">
        <f>IF(C96="","CEP-"&amp;TEXT(COUNTA($C$5:C96),"000"))</f>
        <v/>
      </c>
      <c r="C96" s="14" t="n"/>
      <c r="D96" s="14" t="n"/>
      <c r="E96" s="14" t="n"/>
      <c r="F96" s="14" t="n"/>
      <c r="G96" s="30" t="n"/>
      <c r="H96" s="30" t="n"/>
      <c r="I96" s="15">
        <f>IF(OR(H96="",G96=""),"",H96-G96)</f>
        <v/>
      </c>
      <c r="J96" s="14" t="n"/>
      <c r="K96" s="14" t="n"/>
    </row>
    <row r="97" ht="22" customHeight="1">
      <c r="B97" s="17">
        <f>IF(C97="","CEP-"&amp;TEXT(COUNTA($C$5:C97),"000"))</f>
        <v/>
      </c>
      <c r="C97" s="12" t="n"/>
      <c r="D97" s="12" t="n"/>
      <c r="E97" s="12" t="n"/>
      <c r="F97" s="12" t="n"/>
      <c r="G97" s="29" t="n"/>
      <c r="H97" s="29" t="n"/>
      <c r="I97" s="13">
        <f>IF(OR(H97="",G97=""),"",H97-G97)</f>
        <v/>
      </c>
      <c r="J97" s="12" t="n"/>
      <c r="K97" s="12" t="n"/>
    </row>
    <row r="98" ht="22" customHeight="1">
      <c r="B98" s="16">
        <f>IF(C98="","CEP-"&amp;TEXT(COUNTA($C$5:C98),"000"))</f>
        <v/>
      </c>
      <c r="C98" s="14" t="n"/>
      <c r="D98" s="14" t="n"/>
      <c r="E98" s="14" t="n"/>
      <c r="F98" s="14" t="n"/>
      <c r="G98" s="30" t="n"/>
      <c r="H98" s="30" t="n"/>
      <c r="I98" s="15">
        <f>IF(OR(H98="",G98=""),"",H98-G98)</f>
        <v/>
      </c>
      <c r="J98" s="14" t="n"/>
      <c r="K98" s="14" t="n"/>
    </row>
    <row r="99" ht="22" customHeight="1">
      <c r="B99" s="17">
        <f>IF(C99="","CEP-"&amp;TEXT(COUNTA($C$5:C99),"000"))</f>
        <v/>
      </c>
      <c r="C99" s="12" t="n"/>
      <c r="D99" s="12" t="n"/>
      <c r="E99" s="12" t="n"/>
      <c r="F99" s="12" t="n"/>
      <c r="G99" s="29" t="n"/>
      <c r="H99" s="29" t="n"/>
      <c r="I99" s="13">
        <f>IF(OR(H99="",G99=""),"",H99-G99)</f>
        <v/>
      </c>
      <c r="J99" s="12" t="n"/>
      <c r="K99" s="12" t="n"/>
    </row>
    <row r="100" ht="22" customHeight="1">
      <c r="B100" s="16">
        <f>IF(C100="","CEP-"&amp;TEXT(COUNTA($C$5:C100),"000"))</f>
        <v/>
      </c>
      <c r="C100" s="14" t="n"/>
      <c r="D100" s="14" t="n"/>
      <c r="E100" s="14" t="n"/>
      <c r="F100" s="14" t="n"/>
      <c r="G100" s="30" t="n"/>
      <c r="H100" s="30" t="n"/>
      <c r="I100" s="15">
        <f>IF(OR(H100="",G100=""),"",H100-G100)</f>
        <v/>
      </c>
      <c r="J100" s="14" t="n"/>
      <c r="K100" s="14" t="n"/>
    </row>
    <row r="101" ht="22" customHeight="1">
      <c r="B101" s="17">
        <f>IF(C101="","CEP-"&amp;TEXT(COUNTA($C$5:C101),"000"))</f>
        <v/>
      </c>
      <c r="C101" s="12" t="n"/>
      <c r="D101" s="12" t="n"/>
      <c r="E101" s="12" t="n"/>
      <c r="F101" s="12" t="n"/>
      <c r="G101" s="29" t="n"/>
      <c r="H101" s="29" t="n"/>
      <c r="I101" s="13">
        <f>IF(OR(H101="",G101=""),"",H101-G101)</f>
        <v/>
      </c>
      <c r="J101" s="12" t="n"/>
      <c r="K101" s="12" t="n"/>
    </row>
    <row r="102" ht="22" customHeight="1">
      <c r="B102" s="16">
        <f>IF(C102="","CEP-"&amp;TEXT(COUNTA($C$5:C102),"000"))</f>
        <v/>
      </c>
      <c r="C102" s="14" t="n"/>
      <c r="D102" s="14" t="n"/>
      <c r="E102" s="14" t="n"/>
      <c r="F102" s="14" t="n"/>
      <c r="G102" s="30" t="n"/>
      <c r="H102" s="30" t="n"/>
      <c r="I102" s="15">
        <f>IF(OR(H102="",G102=""),"",H102-G102)</f>
        <v/>
      </c>
      <c r="J102" s="14" t="n"/>
      <c r="K102" s="14" t="n"/>
    </row>
    <row r="103" ht="22" customHeight="1">
      <c r="B103" s="17">
        <f>IF(C103="","CEP-"&amp;TEXT(COUNTA($C$5:C103),"000"))</f>
        <v/>
      </c>
      <c r="C103" s="12" t="n"/>
      <c r="D103" s="12" t="n"/>
      <c r="E103" s="12" t="n"/>
      <c r="F103" s="12" t="n"/>
      <c r="G103" s="29" t="n"/>
      <c r="H103" s="29" t="n"/>
      <c r="I103" s="13">
        <f>IF(OR(H103="",G103=""),"",H103-G103)</f>
        <v/>
      </c>
      <c r="J103" s="12" t="n"/>
      <c r="K103" s="12" t="n"/>
    </row>
    <row r="104" ht="22" customHeight="1">
      <c r="B104" s="16">
        <f>IF(C104="","CEP-"&amp;TEXT(COUNTA($C$5:C104),"000"))</f>
        <v/>
      </c>
      <c r="C104" s="14" t="n"/>
      <c r="D104" s="14" t="n"/>
      <c r="E104" s="14" t="n"/>
      <c r="F104" s="14" t="n"/>
      <c r="G104" s="30" t="n"/>
      <c r="H104" s="30" t="n"/>
      <c r="I104" s="15">
        <f>IF(OR(H104="",G104=""),"",H104-G104)</f>
        <v/>
      </c>
      <c r="J104" s="14" t="n"/>
      <c r="K104" s="14" t="n"/>
    </row>
    <row r="105" ht="22" customHeight="1">
      <c r="B105" s="17">
        <f>IF(C105="","CEP-"&amp;TEXT(COUNTA($C$5:C105),"000"))</f>
        <v/>
      </c>
      <c r="C105" s="12" t="n"/>
      <c r="D105" s="12" t="n"/>
      <c r="E105" s="12" t="n"/>
      <c r="F105" s="12" t="n"/>
      <c r="G105" s="29" t="n"/>
      <c r="H105" s="29" t="n"/>
      <c r="I105" s="13">
        <f>IF(OR(H105="",G105=""),"",H105-G105)</f>
        <v/>
      </c>
      <c r="J105" s="12" t="n"/>
      <c r="K105" s="12" t="n"/>
    </row>
    <row r="106" ht="22" customHeight="1">
      <c r="B106" s="16">
        <f>IF(C106="","CEP-"&amp;TEXT(COUNTA($C$5:C106),"000"))</f>
        <v/>
      </c>
      <c r="C106" s="14" t="n"/>
      <c r="D106" s="14" t="n"/>
      <c r="E106" s="14" t="n"/>
      <c r="F106" s="14" t="n"/>
      <c r="G106" s="30" t="n"/>
      <c r="H106" s="30" t="n"/>
      <c r="I106" s="15">
        <f>IF(OR(H106="",G106=""),"",H106-G106)</f>
        <v/>
      </c>
      <c r="J106" s="14" t="n"/>
      <c r="K106" s="14" t="n"/>
    </row>
    <row r="107" ht="22" customHeight="1">
      <c r="B107" s="17">
        <f>IF(C107="","CEP-"&amp;TEXT(COUNTA($C$5:C107),"000"))</f>
        <v/>
      </c>
      <c r="C107" s="12" t="n"/>
      <c r="D107" s="12" t="n"/>
      <c r="E107" s="12" t="n"/>
      <c r="F107" s="12" t="n"/>
      <c r="G107" s="29" t="n"/>
      <c r="H107" s="29" t="n"/>
      <c r="I107" s="13">
        <f>IF(OR(H107="",G107=""),"",H107-G107)</f>
        <v/>
      </c>
      <c r="J107" s="12" t="n"/>
      <c r="K107" s="12" t="n"/>
    </row>
    <row r="108" ht="22" customHeight="1">
      <c r="B108" s="16">
        <f>IF(C108="","CEP-"&amp;TEXT(COUNTA($C$5:C108),"000"))</f>
        <v/>
      </c>
      <c r="C108" s="14" t="n"/>
      <c r="D108" s="14" t="n"/>
      <c r="E108" s="14" t="n"/>
      <c r="F108" s="14" t="n"/>
      <c r="G108" s="30" t="n"/>
      <c r="H108" s="30" t="n"/>
      <c r="I108" s="15">
        <f>IF(OR(H108="",G108=""),"",H108-G108)</f>
        <v/>
      </c>
      <c r="J108" s="14" t="n"/>
      <c r="K108" s="14" t="n"/>
    </row>
    <row r="109" ht="22" customHeight="1">
      <c r="B109" s="17">
        <f>IF(C109="","CEP-"&amp;TEXT(COUNTA($C$5:C109),"000"))</f>
        <v/>
      </c>
      <c r="C109" s="12" t="n"/>
      <c r="D109" s="12" t="n"/>
      <c r="E109" s="12" t="n"/>
      <c r="F109" s="12" t="n"/>
      <c r="G109" s="29" t="n"/>
      <c r="H109" s="29" t="n"/>
      <c r="I109" s="13">
        <f>IF(OR(H109="",G109=""),"",H109-G109)</f>
        <v/>
      </c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Entretiens total</t>
        </is>
      </c>
      <c r="D112" s="3" t="inlineStr">
        <is>
          <t>Realises</t>
        </is>
      </c>
      <c r="F112" s="3" t="inlineStr">
        <is>
          <t>En retard</t>
        </is>
      </c>
    </row>
    <row r="113">
      <c r="B113" s="4">
        <f>COUNTIF(B5:B104,"&lt;&gt;")</f>
        <v/>
      </c>
      <c r="D113" s="4">
        <f>COUNTIF(K5:K104,"Realise")</f>
        <v/>
      </c>
      <c r="F113" s="4">
        <f>COUNTIF(I5:I104,"&gt;"&amp;0)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1">
      <formula>"Valide"</formula>
    </cfRule>
    <cfRule type="cellIs" priority="2" operator="equal" dxfId="1">
      <formula>"Approuve"</formula>
    </cfRule>
    <cfRule type="cellIs" priority="3" operator="equal" dxfId="1">
      <formula>"Approuvee"</formula>
    </cfRule>
    <cfRule type="cellIs" priority="4" operator="equal" dxfId="1">
      <formula>"Actif"</formula>
    </cfRule>
    <cfRule type="cellIs" priority="5" operator="equal" dxfId="1">
      <formula>"En vigueur"</formula>
    </cfRule>
    <cfRule type="cellIs" priority="6" operator="equal" dxfId="1">
      <formula>"Validee"</formula>
    </cfRule>
    <cfRule type="cellIs" priority="7" operator="equal" dxfId="1">
      <formula>"Payee"</formula>
    </cfRule>
    <cfRule type="cellIs" priority="8" operator="equal" dxfId="1">
      <formula>"Traite"</formula>
    </cfRule>
    <cfRule type="cellIs" priority="9" operator="equal" dxfId="1">
      <formula>"Clos"</formula>
    </cfRule>
    <cfRule type="cellIs" priority="10" operator="equal" dxfId="1">
      <formula>"Solde"</formula>
    </cfRule>
    <cfRule type="cellIs" priority="11" operator="equal" dxfId="1">
      <formula>"Pris"</formula>
    </cfRule>
    <cfRule type="cellIs" priority="12" operator="equal" dxfId="1">
      <formula>"Termine"</formula>
    </cfRule>
    <cfRule type="cellIs" priority="13" operator="equal" dxfId="1">
      <formula>"Terminee"</formula>
    </cfRule>
    <cfRule type="cellIs" priority="14" operator="equal" dxfId="1">
      <formula>"Reprise"</formula>
    </cfRule>
    <cfRule type="cellIs" priority="15" operator="equal" dxfId="1">
      <formula>"Aptitude"</formula>
    </cfRule>
    <cfRule type="cellIs" priority="16" operator="equal" dxfId="1">
      <formula>"Justifie"</formula>
    </cfRule>
    <cfRule type="cellIs" priority="17" operator="equal" dxfId="1">
      <formula>"Justifiee a posteriori"</formula>
    </cfRule>
    <cfRule type="cellIs" priority="18" operator="equal" dxfId="1">
      <formula>"Cloturee"</formula>
    </cfRule>
    <cfRule type="cellIs" priority="19" operator="equal" dxfId="1">
      <formula>"Prolonge"</formula>
    </cfRule>
    <cfRule type="cellIs" priority="20" operator="equal" dxfId="1">
      <formula>"Satisfait"</formula>
    </cfRule>
    <cfRule type="cellIs" priority="21" operator="equal" dxfId="1">
      <formula>"Bilan realise"</formula>
    </cfRule>
    <cfRule type="cellIs" priority="22" operator="equal" dxfId="1">
      <formula>"Archive"</formula>
    </cfRule>
    <cfRule type="cellIs" priority="23" operator="equal" dxfId="1">
      <formula>"Consomme total"</formula>
    </cfRule>
    <cfRule type="cellIs" priority="24" operator="equal" dxfId="1">
      <formula>"Completee"</formula>
    </cfRule>
    <cfRule type="cellIs" priority="25" operator="equal" dxfId="1">
      <formula>"Expert"</formula>
    </cfRule>
    <cfRule type="cellIs" priority="26" operator="equal" dxfId="1">
      <formula>"Avance"</formula>
    </cfRule>
    <cfRule type="cellIs" priority="27" operator="equal" dxfId="1">
      <formula>"Atteint"</formula>
    </cfRule>
    <cfRule type="cellIs" priority="28" operator="equal" dxfId="1">
      <formula>"Depasse"</formula>
    </cfRule>
    <cfRule type="cellIs" priority="29" operator="equal" dxfId="1">
      <formula>"Confirmation"</formula>
    </cfRule>
    <cfRule type="cellIs" priority="30" operator="equal" dxfId="1">
      <formula>"Tres bon"</formula>
    </cfRule>
    <cfRule type="cellIs" priority="31" operator="equal" dxfId="1">
      <formula>"Excellent"</formula>
    </cfRule>
    <cfRule type="cellIs" priority="32" operator="equal" dxfId="1">
      <formula>"A - Excellent"</formula>
    </cfRule>
    <cfRule type="cellIs" priority="33" operator="equal" dxfId="1">
      <formula>"B - Tres bon"</formula>
    </cfRule>
    <cfRule type="cellIs" priority="34" operator="equal" dxfId="1">
      <formula>"C - Bon"</formula>
    </cfRule>
    <cfRule type="cellIs" priority="35" operator="equal" dxfId="1">
      <formula>"Validee DRH"</formula>
    </cfRule>
    <cfRule type="cellIs" priority="36" operator="equal" dxfId="1">
      <formula>"En mandat"</formula>
    </cfRule>
    <cfRule type="cellIs" priority="37" operator="equal" dxfId="1">
      <formula>"Signe"</formula>
    </cfRule>
    <cfRule type="cellIs" priority="38" operator="equal" dxfId="1">
      <formula>"Depose"</formula>
    </cfRule>
    <cfRule type="cellIs" priority="39" operator="equal" dxfId="1">
      <formula>"Resolu"</formula>
    </cfRule>
    <cfRule type="cellIs" priority="40" operator="equal" dxfId="1">
      <formula>"Terminee - Accord"</formula>
    </cfRule>
    <cfRule type="cellIs" priority="41" operator="equal" dxfId="1">
      <formula>"Traitee"</formula>
    </cfRule>
    <cfRule type="cellIs" priority="42" operator="equal" dxfId="1">
      <formula>"Decision notifiee"</formula>
    </cfRule>
    <cfRule type="cellIs" priority="43" operator="equal" dxfId="1">
      <formula>"Tenue"</formula>
    </cfRule>
    <cfRule type="cellIs" priority="44" operator="equal" dxfId="1">
      <formula>"Declare"</formula>
    </cfRule>
    <cfRule type="cellIs" priority="45" operator="equal" dxfId="1">
      <formula>"Declaree"</formula>
    </cfRule>
    <cfRule type="cellIs" priority="46" operator="equal" dxfId="1">
      <formula>"Reconnue CNPS"</formula>
    </cfRule>
    <cfRule type="cellIs" priority="47" operator="equal" dxfId="1">
      <formula>"Guerie"</formula>
    </cfRule>
    <cfRule type="cellIs" priority="48" operator="equal" dxfId="1">
      <formula>"Apte"</formula>
    </cfRule>
    <cfRule type="cellIs" priority="49" operator="equal" dxfId="1">
      <formula>"Apte avec restriction"</formula>
    </cfRule>
    <cfRule type="cellIs" priority="50" operator="equal" dxfId="1">
      <formula>"Realise"</formula>
    </cfRule>
    <cfRule type="cellIs" priority="51" operator="equal" dxfId="1">
      <formula>"Realisee"</formula>
    </cfRule>
    <cfRule type="cellIs" priority="52" operator="equal" dxfId="1">
      <formula>"En stock"</formula>
    </cfRule>
    <cfRule type="cellIs" priority="53" operator="equal" dxfId="1">
      <formula>"Attribue"</formula>
    </cfRule>
    <cfRule type="cellIs" priority="54" operator="equal" dxfId="1">
      <formula>"Mesures en place"</formula>
    </cfRule>
    <cfRule type="cellIs" priority="55" operator="equal" dxfId="1">
      <formula>"Residuel acceptable"</formula>
    </cfRule>
    <cfRule type="cellIs" priority="56" operator="equal" dxfId="1">
      <formula>"Accepte"</formula>
    </cfRule>
    <cfRule type="cellIs" priority="57" operator="equal" dxfId="1">
      <formula>"Acceptee"</formula>
    </cfRule>
    <cfRule type="cellIs" priority="58" operator="equal" dxfId="1">
      <formula>"Nomme"</formula>
    </cfRule>
    <cfRule type="cellIs" priority="59" operator="equal" dxfId="1">
      <formula>"Pret"</formula>
    </cfRule>
    <cfRule type="cellIs" priority="60" operator="equal" dxfId="1">
      <formula>"Acquis"</formula>
    </cfRule>
    <cfRule type="cellIs" priority="61" operator="equal" dxfId="1">
      <formula>"Maitre"</formula>
    </cfRule>
    <cfRule type="cellIs" priority="62" operator="equal" dxfId="1">
      <formula>"Expert"</formula>
    </cfRule>
    <cfRule type="cellIs" priority="63" operator="equal" dxfId="1">
      <formula>"En poste"</formula>
    </cfRule>
    <cfRule type="cellIs" priority="64" operator="equal" dxfId="1">
      <formula>"Terminee"</formula>
    </cfRule>
    <cfRule type="cellIs" priority="65" operator="equal" dxfId="2">
      <formula>"En attente"</formula>
    </cfRule>
    <cfRule type="cellIs" priority="66" operator="equal" dxfId="2">
      <formula>"A renouveler"</formula>
    </cfRule>
    <cfRule type="cellIs" priority="67" operator="equal" dxfId="2">
      <formula>"En cours"</formula>
    </cfRule>
    <cfRule type="cellIs" priority="68" operator="equal" dxfId="2">
      <formula>"En traitement"</formula>
    </cfRule>
    <cfRule type="cellIs" priority="69" operator="equal" dxfId="2">
      <formula>"En retard"</formula>
    </cfRule>
    <cfRule type="cellIs" priority="70" operator="equal" dxfId="2">
      <formula>"Suspendu"</formula>
    </cfRule>
    <cfRule type="cellIs" priority="71" operator="equal" dxfId="2">
      <formula>"Planifie"</formula>
    </cfRule>
    <cfRule type="cellIs" priority="72" operator="equal" dxfId="2">
      <formula>"Planifiee"</formula>
    </cfRule>
    <cfRule type="cellIs" priority="73" operator="equal" dxfId="2">
      <formula>"Brouillon"</formula>
    </cfRule>
    <cfRule type="cellIs" priority="74" operator="equal" dxfId="2">
      <formula>"En attente de justification"</formula>
    </cfRule>
    <cfRule type="cellIs" priority="75" operator="equal" dxfId="2">
      <formula>"Tolere"</formula>
    </cfRule>
    <cfRule type="cellIs" priority="76" operator="equal" dxfId="2">
      <formula>"Variable"</formula>
    </cfRule>
    <cfRule type="cellIs" priority="77" operator="equal" dxfId="2">
      <formula>"En elaboration"</formula>
    </cfRule>
    <cfRule type="cellIs" priority="78" operator="equal" dxfId="2">
      <formula>"Provisionne"</formula>
    </cfRule>
    <cfRule type="cellIs" priority="79" operator="equal" dxfId="2">
      <formula>"Consomme partiel"</formula>
    </cfRule>
    <cfRule type="cellIs" priority="80" operator="equal" dxfId="2">
      <formula>"Identifie"</formula>
    </cfRule>
    <cfRule type="cellIs" priority="81" operator="equal" dxfId="2">
      <formula>"Priorise"</formula>
    </cfRule>
    <cfRule type="cellIs" priority="82" operator="equal" dxfId="2">
      <formula>"Intermediaire"</formula>
    </cfRule>
    <cfRule type="cellIs" priority="83" operator="equal" dxfId="2">
      <formula>"Non evalue"</formula>
    </cfRule>
    <cfRule type="cellIs" priority="84" operator="equal" dxfId="2">
      <formula>"En cours de realisation"</formula>
    </cfRule>
    <cfRule type="cellIs" priority="85" operator="equal" dxfId="2">
      <formula>"Non demarre"</formula>
    </cfRule>
    <cfRule type="cellIs" priority="86" operator="equal" dxfId="2">
      <formula>"En attente N+1"</formula>
    </cfRule>
    <cfRule type="cellIs" priority="87" operator="equal" dxfId="2">
      <formula>"Prolongation essai"</formula>
    </cfRule>
    <cfRule type="cellIs" priority="88" operator="equal" dxfId="2">
      <formula>"En attente validation"</formula>
    </cfRule>
    <cfRule type="cellIs" priority="89" operator="equal" dxfId="2">
      <formula>"Bon"</formula>
    </cfRule>
    <cfRule type="cellIs" priority="90" operator="equal" dxfId="2">
      <formula>"D - Moyen"</formula>
    </cfRule>
    <cfRule type="cellIs" priority="91" operator="equal" dxfId="2">
      <formula>"En cours de repres."</formula>
    </cfRule>
    <cfRule type="cellIs" priority="92" operator="equal" dxfId="2">
      <formula>"En negociation"</formula>
    </cfRule>
    <cfRule type="cellIs" priority="93" operator="equal" dxfId="2">
      <formula>"En preparation"</formula>
    </cfRule>
    <cfRule type="cellIs" priority="94" operator="equal" dxfId="2">
      <formula>"En cours d'instruction"</formula>
    </cfRule>
    <cfRule type="cellIs" priority="95" operator="equal" dxfId="2">
      <formula>"Transferee N+1"</formula>
    </cfRule>
    <cfRule type="cellIs" priority="96" operator="equal" dxfId="2">
      <formula>"En attente reponse"</formula>
    </cfRule>
    <cfRule type="cellIs" priority="97" operator="equal" dxfId="2">
      <formula>"Enquete ouverte"</formula>
    </cfRule>
    <cfRule type="cellIs" priority="98" operator="equal" dxfId="2">
      <formula>"Convocation envoyee"</formula>
    </cfRule>
    <cfRule type="cellIs" priority="99" operator="equal" dxfId="2">
      <formula>"Entretien realise"</formula>
    </cfRule>
    <cfRule type="cellIs" priority="100" operator="equal" dxfId="2">
      <formula>"Saisie"</formula>
    </cfRule>
    <cfRule type="cellIs" priority="101" operator="equal" dxfId="2">
      <formula>"En mediation"</formula>
    </cfRule>
    <cfRule type="cellIs" priority="102" operator="equal" dxfId="2">
      <formula>"En recours"</formula>
    </cfRule>
    <cfRule type="cellIs" priority="103" operator="equal" dxfId="2">
      <formula>"Reportee"</formula>
    </cfRule>
    <cfRule type="cellIs" priority="104" operator="equal" dxfId="2">
      <formula>"Reporte"</formula>
    </cfRule>
    <cfRule type="cellIs" priority="105" operator="equal" dxfId="2">
      <formula>"Signale"</formula>
    </cfRule>
    <cfRule type="cellIs" priority="106" operator="equal" dxfId="2">
      <formula>"Precontentieux"</formula>
    </cfRule>
    <cfRule type="cellIs" priority="107" operator="equal" dxfId="2">
      <formula>"En attente election"</formula>
    </cfRule>
    <cfRule type="cellIs" priority="108" operator="equal" dxfId="2">
      <formula>"Classe"</formula>
    </cfRule>
    <cfRule type="cellIs" priority="109" operator="equal" dxfId="2">
      <formula>"En cours d'evaluation"</formula>
    </cfRule>
    <cfRule type="cellIs" priority="110" operator="equal" dxfId="2">
      <formula>"En cours d'enquete"</formula>
    </cfRule>
    <cfRule type="cellIs" priority="111" operator="equal" dxfId="2">
      <formula>"En cours de commande"</formula>
    </cfRule>
    <cfRule type="cellIs" priority="112" operator="equal" dxfId="2">
      <formula>"A revoir"</formula>
    </cfRule>
    <cfRule type="cellIs" priority="113" operator="equal" dxfId="2">
      <formula>"A remplacer"</formula>
    </cfRule>
    <cfRule type="cellIs" priority="114" operator="equal" dxfId="2">
      <formula>"En cours d'instruction CNPS"</formula>
    </cfRule>
    <cfRule type="cellIs" priority="115" operator="equal" dxfId="2">
      <formula>"En contestation"</formula>
    </cfRule>
    <cfRule type="cellIs" priority="116" operator="equal" dxfId="2">
      <formula>"Inapte temporaire"</formula>
    </cfRule>
    <cfRule type="cellIs" priority="117" operator="equal" dxfId="2">
      <formula>"Candidat identifie"</formula>
    </cfRule>
    <cfRule type="cellIs" priority="118" operator="equal" dxfId="2">
      <formula>"En formation"</formula>
    </cfRule>
    <cfRule type="cellIs" priority="119" operator="equal" dxfId="2">
      <formula>"En evaluation"</formula>
    </cfRule>
    <cfRule type="cellIs" priority="120" operator="equal" dxfId="2">
      <formula>"En transit"</formula>
    </cfRule>
    <cfRule type="cellIs" priority="121" operator="equal" dxfId="2">
      <formula>"En attente visa"</formula>
    </cfRule>
    <cfRule type="cellIs" priority="122" operator="equal" dxfId="2">
      <formula>"Proposee"</formula>
    </cfRule>
    <cfRule type="cellIs" priority="123" operator="equal" dxfId="2">
      <formula>"En cours d'acquisition"</formula>
    </cfRule>
    <cfRule type="cellIs" priority="124" operator="equal" dxfId="2">
      <formula>"A developper"</formula>
    </cfRule>
    <cfRule type="cellIs" priority="125" operator="equal" dxfId="2">
      <formula>"A renforcer"</formula>
    </cfRule>
    <cfRule type="cellIs" priority="126" operator="equal" dxfId="2">
      <formula>"En cours"</formula>
    </cfRule>
    <cfRule type="cellIs" priority="127" operator="equal" dxfId="3">
      <formula>"Expire"</formula>
    </cfRule>
    <cfRule type="cellIs" priority="128" operator="equal" dxfId="3">
      <formula>"Rejete"</formula>
    </cfRule>
    <cfRule type="cellIs" priority="129" operator="equal" dxfId="3">
      <formula>"Rejetee"</formula>
    </cfRule>
    <cfRule type="cellIs" priority="130" operator="equal" dxfId="3">
      <formula>"Resilie"</formula>
    </cfRule>
    <cfRule type="cellIs" priority="131" operator="equal" dxfId="3">
      <formula>"Annule"</formula>
    </cfRule>
    <cfRule type="cellIs" priority="132" operator="equal" dxfId="3">
      <formula>"Annulee"</formula>
    </cfRule>
    <cfRule type="cellIs" priority="133" operator="equal" dxfId="3">
      <formula>"Refuse"</formula>
    </cfRule>
    <cfRule type="cellIs" priority="134" operator="equal" dxfId="3">
      <formula>"Non justifie"</formula>
    </cfRule>
    <cfRule type="cellIs" priority="135" operator="equal" dxfId="3">
      <formula>"Non justifiee"</formula>
    </cfRule>
    <cfRule type="cellIs" priority="136" operator="equal" dxfId="3">
      <formula>"Sanctionne"</formula>
    </cfRule>
    <cfRule type="cellIs" priority="137" operator="equal" dxfId="3">
      <formula>"Inaptitude"</formula>
    </cfRule>
    <cfRule type="cellIs" priority="138" operator="equal" dxfId="3">
      <formula>"Absent sans autorisation"</formula>
    </cfRule>
    <cfRule type="cellIs" priority="139" operator="equal" dxfId="3">
      <formula>"Abandon de poste"</formula>
    </cfRule>
    <cfRule type="cellIs" priority="140" operator="equal" dxfId="3">
      <formula>"Non satisfait"</formula>
    </cfRule>
    <cfRule type="cellIs" priority="141" operator="equal" dxfId="3">
      <formula>"Depasse"</formula>
    </cfRule>
    <cfRule type="cellIs" priority="142" operator="equal" dxfId="3">
      <formula>"Non utilise"</formula>
    </cfRule>
    <cfRule type="cellIs" priority="143" operator="equal" dxfId="3">
      <formula>"Non applicable"</formula>
    </cfRule>
    <cfRule type="cellIs" priority="144" operator="equal" dxfId="3">
      <formula>"Debutant"</formula>
    </cfRule>
    <cfRule type="cellIs" priority="145" operator="equal" dxfId="3">
      <formula>"Non atteint"</formula>
    </cfRule>
    <cfRule type="cellIs" priority="146" operator="equal" dxfId="3">
      <formula>"Abandonne"</formula>
    </cfRule>
    <cfRule type="cellIs" priority="147" operator="equal" dxfId="3">
      <formula>"Rupture essai"</formula>
    </cfRule>
    <cfRule type="cellIs" priority="148" operator="equal" dxfId="3">
      <formula>"Insuffisant"</formula>
    </cfRule>
    <cfRule type="cellIs" priority="149" operator="equal" dxfId="3">
      <formula>"Moyen"</formula>
    </cfRule>
    <cfRule type="cellIs" priority="150" operator="equal" dxfId="3">
      <formula>"E - Insuffisant"</formula>
    </cfRule>
    <cfRule type="cellIs" priority="151" operator="equal" dxfId="3">
      <formula>"Dissous"</formula>
    </cfRule>
    <cfRule type="cellIs" priority="152" operator="equal" dxfId="3">
      <formula>"Denonce"</formula>
    </cfRule>
    <cfRule type="cellIs" priority="153" operator="equal" dxfId="3">
      <formula>"Echoue"</formula>
    </cfRule>
    <cfRule type="cellIs" priority="154" operator="equal" dxfId="3">
      <formula>"Echouee"</formula>
    </cfRule>
    <cfRule type="cellIs" priority="155" operator="equal" dxfId="3">
      <formula>"Revoque"</formula>
    </cfRule>
    <cfRule type="cellIs" priority="156" operator="equal" dxfId="3">
      <formula>"Demissionnaire"</formula>
    </cfRule>
    <cfRule type="cellIs" priority="157" operator="equal" dxfId="3">
      <formula>"Licenciement pour faute"</formula>
    </cfRule>
    <cfRule type="cellIs" priority="158" operator="equal" dxfId="3">
      <formula>"Licenciement pour faute grave"</formula>
    </cfRule>
    <cfRule type="cellIs" priority="159" operator="equal" dxfId="3">
      <formula>"Terminee - Echec"</formula>
    </cfRule>
    <cfRule type="cellIs" priority="160" operator="equal" dxfId="3">
      <formula>"Abandonnee"</formula>
    </cfRule>
    <cfRule type="cellIs" priority="161" operator="equal" dxfId="3">
      <formula>"Violence physique"</formula>
    </cfRule>
    <cfRule type="cellIs" priority="162" operator="equal" dxfId="3">
      <formula>"Violence verbale"</formula>
    </cfRule>
    <cfRule type="cellIs" priority="163" operator="equal" dxfId="3">
      <formula>"Fatal"</formula>
    </cfRule>
    <cfRule type="cellIs" priority="164" operator="equal" dxfId="3">
      <formula>"Non reconnue"</formula>
    </cfRule>
    <cfRule type="cellIs" priority="165" operator="equal" dxfId="3">
      <formula>"Inapte definitif"</formula>
    </cfRule>
    <cfRule type="cellIs" priority="166" operator="equal" dxfId="3">
      <formula>"Perdu / vole"</formula>
    </cfRule>
    <cfRule type="cellIs" priority="167" operator="equal" dxfId="3">
      <formula>"Rebute"</formula>
    </cfRule>
    <cfRule type="cellIs" priority="168" operator="equal" dxfId="3">
      <formula>"Obsolette"</formula>
    </cfRule>
    <cfRule type="cellIs" priority="169" operator="equal" dxfId="3">
      <formula>"Conteste"</formula>
    </cfRule>
    <cfRule type="cellIs" priority="170" operator="equal" dxfId="3">
      <formula>"Refusee"</formula>
    </cfRule>
    <cfRule type="cellIs" priority="171" operator="equal" dxfId="3">
      <formula>"Non retenu"</formula>
    </cfRule>
    <cfRule type="cellIs" priority="172" operator="equal" dxfId="3">
      <formula>"Non acquis"</formula>
    </cfRule>
    <cfRule type="cellIs" priority="173" operator="equal" dxfId="3">
      <formula>"Contrat termine"</formula>
    </cfRule>
    <cfRule type="cellIs" priority="174" operator="equal" dxfId="3">
      <formula>"Rapatrie"</formula>
    </cfRule>
  </conditionalFormatting>
  <conditionalFormatting sqref="B10:B109">
    <cfRule type="expression" priority="175" dxfId="0">
      <formula>AND($C10="",$C9&lt;&gt;"")</formula>
    </cfRule>
  </conditionalFormatting>
  <conditionalFormatting sqref="C10:C109">
    <cfRule type="expression" priority="176" dxfId="0">
      <formula>AND($C10="",$C9&lt;&gt;"")</formula>
    </cfRule>
  </conditionalFormatting>
  <conditionalFormatting sqref="D10:D109">
    <cfRule type="expression" priority="177" dxfId="0">
      <formula>AND($C10="",$C9&lt;&gt;"")</formula>
    </cfRule>
  </conditionalFormatting>
  <conditionalFormatting sqref="E10:E109">
    <cfRule type="expression" priority="178" dxfId="0">
      <formula>AND($C10="",$C9&lt;&gt;"")</formula>
    </cfRule>
  </conditionalFormatting>
  <conditionalFormatting sqref="F10:F109">
    <cfRule type="expression" priority="179" dxfId="0">
      <formula>AND($C10="",$C9&lt;&gt;"")</formula>
    </cfRule>
  </conditionalFormatting>
  <conditionalFormatting sqref="G10:G109">
    <cfRule type="expression" priority="180" dxfId="0">
      <formula>AND($C10="",$C9&lt;&gt;"")</formula>
    </cfRule>
  </conditionalFormatting>
  <conditionalFormatting sqref="H10:H109">
    <cfRule type="expression" priority="181" dxfId="0">
      <formula>AND($C10="",$C9&lt;&gt;"")</formula>
    </cfRule>
  </conditionalFormatting>
  <conditionalFormatting sqref="I10:I109">
    <cfRule type="expression" priority="182" dxfId="0">
      <formula>AND($C10="",$C9&lt;&gt;"")</formula>
    </cfRule>
  </conditionalFormatting>
  <conditionalFormatting sqref="J10:J109">
    <cfRule type="expression" priority="183" dxfId="0">
      <formula>AND($C10="",$C9&lt;&gt;"")</formula>
    </cfRule>
  </conditionalFormatting>
  <conditionalFormatting sqref="K10:K109">
    <cfRule type="expression" priority="184" dxfId="0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K5:K109" showDropDown="0" showInputMessage="0" showErrorMessage="0" allowBlank="1" errorTitle="Erreur" error="Valeur invalide" promptTitle="Liste" prompt="Choisir dans la liste" type="list">
      <formula1>'_Lists'!$O$2:$O$5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2" customWidth="1" min="4" max="4"/>
    <col width="14" customWidth="1" min="5" max="5"/>
    <col width="24" customWidth="1" min="6" max="6"/>
    <col width="20" customWidth="1" min="7" max="7"/>
    <col width="18" customWidth="1" min="8" max="8"/>
    <col width="18" customWidth="1" min="9" max="9"/>
    <col width="16" customWidth="1" min="10" max="10"/>
    <col width="20" customWidth="1" min="11" max="11"/>
  </cols>
  <sheetData>
    <row r="1" ht="15" customHeight="1"/>
    <row r="2" ht="32" customHeight="1">
      <c r="B2" s="1" t="inlineStr">
        <is>
          <t>SUIVI SUCCESSEURS — Indicateurs de Relève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Cle</t>
        </is>
      </c>
      <c r="D4" s="11" t="inlineStr">
        <is>
          <t>Titulaire</t>
        </is>
      </c>
      <c r="E4" s="11" t="inlineStr">
        <is>
          <t>Age Titulaire</t>
        </is>
      </c>
      <c r="F4" s="11" t="inlineStr">
        <is>
          <t>Anciennete Titulaire (ans)</t>
        </is>
      </c>
      <c r="G4" s="11" t="inlineStr">
        <is>
          <t>Successeur</t>
        </is>
      </c>
      <c r="H4" s="11" t="inlineStr">
        <is>
          <t>Niveau de Pret</t>
        </is>
      </c>
      <c r="I4" s="11" t="inlineStr">
        <is>
          <t>Annees Prev. Depart</t>
        </is>
      </c>
      <c r="J4" s="11" t="inlineStr">
        <is>
          <t>Urgence Relève</t>
        </is>
      </c>
      <c r="K4" s="11" t="inlineStr">
        <is>
          <t>Statut</t>
        </is>
      </c>
    </row>
    <row r="5" ht="22" customHeight="1">
      <c r="B5" s="12" t="inlineStr">
        <is>
          <t>SS-001</t>
        </is>
      </c>
      <c r="C5" s="12" t="inlineStr">
        <is>
          <t>Chef Reception</t>
        </is>
      </c>
      <c r="D5" s="12" t="inlineStr">
        <is>
          <t>Nkoulou Mbarga P.</t>
        </is>
      </c>
      <c r="E5" s="13" t="n">
        <v>34</v>
      </c>
      <c r="F5" s="13" t="n">
        <v>6</v>
      </c>
      <c r="G5" s="12" t="inlineStr">
        <is>
          <t>Nganou D.</t>
        </is>
      </c>
      <c r="H5" s="12" t="inlineStr">
        <is>
          <t>En formation</t>
        </is>
      </c>
      <c r="I5" s="13" t="n">
        <v>5</v>
      </c>
      <c r="J5" s="12" t="inlineStr">
        <is>
          <t>Moyenne</t>
        </is>
      </c>
      <c r="K5" s="12" t="inlineStr">
        <is>
          <t>En formation</t>
        </is>
      </c>
    </row>
    <row r="6" ht="22" customHeight="1">
      <c r="B6" s="14" t="inlineStr">
        <is>
          <t>SS-002</t>
        </is>
      </c>
      <c r="C6" s="14" t="inlineStr">
        <is>
          <t>Chef Cuisine</t>
        </is>
      </c>
      <c r="D6" s="14" t="inlineStr">
        <is>
          <t>Biyong Jean M.</t>
        </is>
      </c>
      <c r="E6" s="15" t="n">
        <v>48</v>
      </c>
      <c r="F6" s="15" t="n">
        <v>12</v>
      </c>
      <c r="G6" s="14" t="inlineStr">
        <is>
          <t>Fotsing Aude R.</t>
        </is>
      </c>
      <c r="H6" s="14" t="inlineStr">
        <is>
          <t>En formation</t>
        </is>
      </c>
      <c r="I6" s="15" t="n">
        <v>3</v>
      </c>
      <c r="J6" s="14" t="inlineStr">
        <is>
          <t>Haute</t>
        </is>
      </c>
      <c r="K6" s="14" t="inlineStr">
        <is>
          <t>En formation</t>
        </is>
      </c>
    </row>
    <row r="7" ht="22" customHeight="1">
      <c r="B7" s="12" t="inlineStr">
        <is>
          <t>SS-003</t>
        </is>
      </c>
      <c r="C7" s="12" t="inlineStr">
        <is>
          <t>DRH</t>
        </is>
      </c>
      <c r="D7" s="12" t="inlineStr">
        <is>
          <t>Fotso M.</t>
        </is>
      </c>
      <c r="E7" s="13" t="n">
        <v>52</v>
      </c>
      <c r="F7" s="13" t="n">
        <v>8</v>
      </c>
      <c r="G7" s="12" t="inlineStr">
        <is>
          <t>Assistante RH Ngo M.</t>
        </is>
      </c>
      <c r="H7" s="12" t="inlineStr">
        <is>
          <t>Candidat identifie</t>
        </is>
      </c>
      <c r="I7" s="13" t="n">
        <v>2</v>
      </c>
      <c r="J7" s="12" t="inlineStr">
        <is>
          <t>Haute</t>
        </is>
      </c>
      <c r="K7" s="12" t="inlineStr">
        <is>
          <t>Candidat identifie</t>
        </is>
      </c>
    </row>
    <row r="8" ht="22" customHeight="1">
      <c r="B8" s="14" t="inlineStr">
        <is>
          <t>SS-004</t>
        </is>
      </c>
      <c r="C8" s="14" t="inlineStr">
        <is>
          <t>Chef Entretien</t>
        </is>
      </c>
      <c r="D8" s="14" t="inlineStr">
        <is>
          <t>Tchinda P.</t>
        </is>
      </c>
      <c r="E8" s="15" t="n">
        <v>45</v>
      </c>
      <c r="F8" s="15" t="n">
        <v>10</v>
      </c>
      <c r="G8" s="14" t="inlineStr">
        <is>
          <t>Fokam Ernest</t>
        </is>
      </c>
      <c r="H8" s="14" t="inlineStr">
        <is>
          <t>En evaluation</t>
        </is>
      </c>
      <c r="I8" s="15" t="n">
        <v>4</v>
      </c>
      <c r="J8" s="14" t="inlineStr">
        <is>
          <t>Moyenne</t>
        </is>
      </c>
      <c r="K8" s="14" t="inlineStr">
        <is>
          <t>En evaluation</t>
        </is>
      </c>
    </row>
    <row r="9" ht="22" customHeight="1">
      <c r="B9" s="12" t="inlineStr">
        <is>
          <t>SS-005</t>
        </is>
      </c>
      <c r="C9" s="12" t="inlineStr">
        <is>
          <t>Chef Securite</t>
        </is>
      </c>
      <c r="D9" s="12" t="inlineStr">
        <is>
          <t>Nganmeni J.</t>
        </is>
      </c>
      <c r="E9" s="13" t="n">
        <v>40</v>
      </c>
      <c r="F9" s="13" t="n">
        <v>7</v>
      </c>
      <c r="G9" s="12" t="inlineStr">
        <is>
          <t>Wouamba A.</t>
        </is>
      </c>
      <c r="H9" s="12" t="inlineStr">
        <is>
          <t>En formation</t>
        </is>
      </c>
      <c r="I9" s="13" t="n">
        <v>5</v>
      </c>
      <c r="J9" s="12" t="inlineStr">
        <is>
          <t>Moyenne</t>
        </is>
      </c>
      <c r="K9" s="12" t="inlineStr">
        <is>
          <t>En formation</t>
        </is>
      </c>
    </row>
    <row r="10" ht="22" customHeight="1">
      <c r="B10" s="16">
        <f>IF(C10="","SS-"&amp;TEXT(COUNTA($C$5:C10),"000"))</f>
        <v/>
      </c>
      <c r="C10" s="14" t="n"/>
      <c r="D10" s="14" t="n"/>
      <c r="E10" s="15" t="n"/>
      <c r="F10" s="15" t="n"/>
      <c r="G10" s="14" t="n"/>
      <c r="H10" s="14" t="n"/>
      <c r="I10" s="15" t="n"/>
      <c r="J10" s="14" t="n"/>
      <c r="K10" s="14" t="n"/>
    </row>
    <row r="11" ht="22" customHeight="1">
      <c r="B11" s="17">
        <f>IF(C11="","SS-"&amp;TEXT(COUNTA($C$5:C11),"000"))</f>
        <v/>
      </c>
      <c r="C11" s="12" t="n"/>
      <c r="D11" s="12" t="n"/>
      <c r="E11" s="13" t="n"/>
      <c r="F11" s="13" t="n"/>
      <c r="G11" s="12" t="n"/>
      <c r="H11" s="12" t="n"/>
      <c r="I11" s="13" t="n"/>
      <c r="J11" s="12" t="n"/>
      <c r="K11" s="12" t="n"/>
    </row>
    <row r="12" ht="22" customHeight="1">
      <c r="B12" s="16">
        <f>IF(C12="","SS-"&amp;TEXT(COUNTA($C$5:C12),"000"))</f>
        <v/>
      </c>
      <c r="C12" s="14" t="n"/>
      <c r="D12" s="14" t="n"/>
      <c r="E12" s="15" t="n"/>
      <c r="F12" s="15" t="n"/>
      <c r="G12" s="14" t="n"/>
      <c r="H12" s="14" t="n"/>
      <c r="I12" s="15" t="n"/>
      <c r="J12" s="14" t="n"/>
      <c r="K12" s="14" t="n"/>
    </row>
    <row r="13" ht="22" customHeight="1">
      <c r="B13" s="17">
        <f>IF(C13="","SS-"&amp;TEXT(COUNTA($C$5:C13),"000"))</f>
        <v/>
      </c>
      <c r="C13" s="12" t="n"/>
      <c r="D13" s="12" t="n"/>
      <c r="E13" s="13" t="n"/>
      <c r="F13" s="13" t="n"/>
      <c r="G13" s="12" t="n"/>
      <c r="H13" s="12" t="n"/>
      <c r="I13" s="13" t="n"/>
      <c r="J13" s="12" t="n"/>
      <c r="K13" s="12" t="n"/>
    </row>
    <row r="14" ht="22" customHeight="1">
      <c r="B14" s="16">
        <f>IF(C14="","SS-"&amp;TEXT(COUNTA($C$5:C14),"000"))</f>
        <v/>
      </c>
      <c r="C14" s="14" t="n"/>
      <c r="D14" s="14" t="n"/>
      <c r="E14" s="15" t="n"/>
      <c r="F14" s="15" t="n"/>
      <c r="G14" s="14" t="n"/>
      <c r="H14" s="14" t="n"/>
      <c r="I14" s="15" t="n"/>
      <c r="J14" s="14" t="n"/>
      <c r="K14" s="14" t="n"/>
    </row>
    <row r="15" ht="22" customHeight="1">
      <c r="B15" s="17">
        <f>IF(C15="","SS-"&amp;TEXT(COUNTA($C$5:C15),"000"))</f>
        <v/>
      </c>
      <c r="C15" s="12" t="n"/>
      <c r="D15" s="12" t="n"/>
      <c r="E15" s="13" t="n"/>
      <c r="F15" s="13" t="n"/>
      <c r="G15" s="12" t="n"/>
      <c r="H15" s="12" t="n"/>
      <c r="I15" s="13" t="n"/>
      <c r="J15" s="12" t="n"/>
      <c r="K15" s="12" t="n"/>
    </row>
    <row r="16" ht="22" customHeight="1">
      <c r="B16" s="16">
        <f>IF(C16="","SS-"&amp;TEXT(COUNTA($C$5:C16),"000"))</f>
        <v/>
      </c>
      <c r="C16" s="14" t="n"/>
      <c r="D16" s="14" t="n"/>
      <c r="E16" s="15" t="n"/>
      <c r="F16" s="15" t="n"/>
      <c r="G16" s="14" t="n"/>
      <c r="H16" s="14" t="n"/>
      <c r="I16" s="15" t="n"/>
      <c r="J16" s="14" t="n"/>
      <c r="K16" s="14" t="n"/>
    </row>
    <row r="17" ht="22" customHeight="1">
      <c r="B17" s="17">
        <f>IF(C17="","SS-"&amp;TEXT(COUNTA($C$5:C17),"000"))</f>
        <v/>
      </c>
      <c r="C17" s="12" t="n"/>
      <c r="D17" s="12" t="n"/>
      <c r="E17" s="13" t="n"/>
      <c r="F17" s="13" t="n"/>
      <c r="G17" s="12" t="n"/>
      <c r="H17" s="12" t="n"/>
      <c r="I17" s="13" t="n"/>
      <c r="J17" s="12" t="n"/>
      <c r="K17" s="12" t="n"/>
    </row>
    <row r="18" ht="22" customHeight="1">
      <c r="B18" s="16">
        <f>IF(C18="","SS-"&amp;TEXT(COUNTA($C$5:C18),"000"))</f>
        <v/>
      </c>
      <c r="C18" s="14" t="n"/>
      <c r="D18" s="14" t="n"/>
      <c r="E18" s="15" t="n"/>
      <c r="F18" s="15" t="n"/>
      <c r="G18" s="14" t="n"/>
      <c r="H18" s="14" t="n"/>
      <c r="I18" s="15" t="n"/>
      <c r="J18" s="14" t="n"/>
      <c r="K18" s="14" t="n"/>
    </row>
    <row r="19" ht="22" customHeight="1">
      <c r="B19" s="17">
        <f>IF(C19="","SS-"&amp;TEXT(COUNTA($C$5:C19),"000"))</f>
        <v/>
      </c>
      <c r="C19" s="12" t="n"/>
      <c r="D19" s="12" t="n"/>
      <c r="E19" s="13" t="n"/>
      <c r="F19" s="13" t="n"/>
      <c r="G19" s="12" t="n"/>
      <c r="H19" s="12" t="n"/>
      <c r="I19" s="13" t="n"/>
      <c r="J19" s="12" t="n"/>
      <c r="K19" s="12" t="n"/>
    </row>
    <row r="20" ht="22" customHeight="1">
      <c r="B20" s="16">
        <f>IF(C20="","SS-"&amp;TEXT(COUNTA($C$5:C20),"000"))</f>
        <v/>
      </c>
      <c r="C20" s="14" t="n"/>
      <c r="D20" s="14" t="n"/>
      <c r="E20" s="15" t="n"/>
      <c r="F20" s="15" t="n"/>
      <c r="G20" s="14" t="n"/>
      <c r="H20" s="14" t="n"/>
      <c r="I20" s="15" t="n"/>
      <c r="J20" s="14" t="n"/>
      <c r="K20" s="14" t="n"/>
    </row>
    <row r="21" ht="22" customHeight="1">
      <c r="B21" s="17">
        <f>IF(C21="","SS-"&amp;TEXT(COUNTA($C$5:C21),"000"))</f>
        <v/>
      </c>
      <c r="C21" s="12" t="n"/>
      <c r="D21" s="12" t="n"/>
      <c r="E21" s="13" t="n"/>
      <c r="F21" s="13" t="n"/>
      <c r="G21" s="12" t="n"/>
      <c r="H21" s="12" t="n"/>
      <c r="I21" s="13" t="n"/>
      <c r="J21" s="12" t="n"/>
      <c r="K21" s="12" t="n"/>
    </row>
    <row r="22" ht="22" customHeight="1">
      <c r="B22" s="16">
        <f>IF(C22="","SS-"&amp;TEXT(COUNTA($C$5:C22),"000"))</f>
        <v/>
      </c>
      <c r="C22" s="14" t="n"/>
      <c r="D22" s="14" t="n"/>
      <c r="E22" s="15" t="n"/>
      <c r="F22" s="15" t="n"/>
      <c r="G22" s="14" t="n"/>
      <c r="H22" s="14" t="n"/>
      <c r="I22" s="15" t="n"/>
      <c r="J22" s="14" t="n"/>
      <c r="K22" s="14" t="n"/>
    </row>
    <row r="23" ht="22" customHeight="1">
      <c r="B23" s="17">
        <f>IF(C23="","SS-"&amp;TEXT(COUNTA($C$5:C23),"000"))</f>
        <v/>
      </c>
      <c r="C23" s="12" t="n"/>
      <c r="D23" s="12" t="n"/>
      <c r="E23" s="13" t="n"/>
      <c r="F23" s="13" t="n"/>
      <c r="G23" s="12" t="n"/>
      <c r="H23" s="12" t="n"/>
      <c r="I23" s="13" t="n"/>
      <c r="J23" s="12" t="n"/>
      <c r="K23" s="12" t="n"/>
    </row>
    <row r="24" ht="22" customHeight="1">
      <c r="B24" s="16">
        <f>IF(C24="","SS-"&amp;TEXT(COUNTA($C$5:C24),"000"))</f>
        <v/>
      </c>
      <c r="C24" s="14" t="n"/>
      <c r="D24" s="14" t="n"/>
      <c r="E24" s="15" t="n"/>
      <c r="F24" s="15" t="n"/>
      <c r="G24" s="14" t="n"/>
      <c r="H24" s="14" t="n"/>
      <c r="I24" s="15" t="n"/>
      <c r="J24" s="14" t="n"/>
      <c r="K24" s="14" t="n"/>
    </row>
    <row r="25" ht="22" customHeight="1">
      <c r="B25" s="17">
        <f>IF(C25="","SS-"&amp;TEXT(COUNTA($C$5:C25),"000"))</f>
        <v/>
      </c>
      <c r="C25" s="12" t="n"/>
      <c r="D25" s="12" t="n"/>
      <c r="E25" s="13" t="n"/>
      <c r="F25" s="13" t="n"/>
      <c r="G25" s="12" t="n"/>
      <c r="H25" s="12" t="n"/>
      <c r="I25" s="13" t="n"/>
      <c r="J25" s="12" t="n"/>
      <c r="K25" s="12" t="n"/>
    </row>
    <row r="26" ht="22" customHeight="1">
      <c r="B26" s="16">
        <f>IF(C26="","SS-"&amp;TEXT(COUNTA($C$5:C26),"000"))</f>
        <v/>
      </c>
      <c r="C26" s="14" t="n"/>
      <c r="D26" s="14" t="n"/>
      <c r="E26" s="15" t="n"/>
      <c r="F26" s="15" t="n"/>
      <c r="G26" s="14" t="n"/>
      <c r="H26" s="14" t="n"/>
      <c r="I26" s="15" t="n"/>
      <c r="J26" s="14" t="n"/>
      <c r="K26" s="14" t="n"/>
    </row>
    <row r="27" ht="22" customHeight="1">
      <c r="B27" s="17">
        <f>IF(C27="","SS-"&amp;TEXT(COUNTA($C$5:C27),"000"))</f>
        <v/>
      </c>
      <c r="C27" s="12" t="n"/>
      <c r="D27" s="12" t="n"/>
      <c r="E27" s="13" t="n"/>
      <c r="F27" s="13" t="n"/>
      <c r="G27" s="12" t="n"/>
      <c r="H27" s="12" t="n"/>
      <c r="I27" s="13" t="n"/>
      <c r="J27" s="12" t="n"/>
      <c r="K27" s="12" t="n"/>
    </row>
    <row r="28" ht="22" customHeight="1">
      <c r="B28" s="16">
        <f>IF(C28="","SS-"&amp;TEXT(COUNTA($C$5:C28),"000"))</f>
        <v/>
      </c>
      <c r="C28" s="14" t="n"/>
      <c r="D28" s="14" t="n"/>
      <c r="E28" s="15" t="n"/>
      <c r="F28" s="15" t="n"/>
      <c r="G28" s="14" t="n"/>
      <c r="H28" s="14" t="n"/>
      <c r="I28" s="15" t="n"/>
      <c r="J28" s="14" t="n"/>
      <c r="K28" s="14" t="n"/>
    </row>
    <row r="29" ht="22" customHeight="1">
      <c r="B29" s="17">
        <f>IF(C29="","SS-"&amp;TEXT(COUNTA($C$5:C29),"000"))</f>
        <v/>
      </c>
      <c r="C29" s="12" t="n"/>
      <c r="D29" s="12" t="n"/>
      <c r="E29" s="13" t="n"/>
      <c r="F29" s="13" t="n"/>
      <c r="G29" s="12" t="n"/>
      <c r="H29" s="12" t="n"/>
      <c r="I29" s="13" t="n"/>
      <c r="J29" s="12" t="n"/>
      <c r="K29" s="12" t="n"/>
    </row>
    <row r="30" ht="22" customHeight="1">
      <c r="B30" s="16">
        <f>IF(C30="","SS-"&amp;TEXT(COUNTA($C$5:C30),"000"))</f>
        <v/>
      </c>
      <c r="C30" s="14" t="n"/>
      <c r="D30" s="14" t="n"/>
      <c r="E30" s="15" t="n"/>
      <c r="F30" s="15" t="n"/>
      <c r="G30" s="14" t="n"/>
      <c r="H30" s="14" t="n"/>
      <c r="I30" s="15" t="n"/>
      <c r="J30" s="14" t="n"/>
      <c r="K30" s="14" t="n"/>
    </row>
    <row r="31" ht="22" customHeight="1">
      <c r="B31" s="17">
        <f>IF(C31="","SS-"&amp;TEXT(COUNTA($C$5:C31),"000"))</f>
        <v/>
      </c>
      <c r="C31" s="12" t="n"/>
      <c r="D31" s="12" t="n"/>
      <c r="E31" s="13" t="n"/>
      <c r="F31" s="13" t="n"/>
      <c r="G31" s="12" t="n"/>
      <c r="H31" s="12" t="n"/>
      <c r="I31" s="13" t="n"/>
      <c r="J31" s="12" t="n"/>
      <c r="K31" s="12" t="n"/>
    </row>
    <row r="32" ht="22" customHeight="1">
      <c r="B32" s="16">
        <f>IF(C32="","SS-"&amp;TEXT(COUNTA($C$5:C32),"000"))</f>
        <v/>
      </c>
      <c r="C32" s="14" t="n"/>
      <c r="D32" s="14" t="n"/>
      <c r="E32" s="15" t="n"/>
      <c r="F32" s="15" t="n"/>
      <c r="G32" s="14" t="n"/>
      <c r="H32" s="14" t="n"/>
      <c r="I32" s="15" t="n"/>
      <c r="J32" s="14" t="n"/>
      <c r="K32" s="14" t="n"/>
    </row>
    <row r="33" ht="22" customHeight="1">
      <c r="B33" s="17">
        <f>IF(C33="","SS-"&amp;TEXT(COUNTA($C$5:C33),"000"))</f>
        <v/>
      </c>
      <c r="C33" s="12" t="n"/>
      <c r="D33" s="12" t="n"/>
      <c r="E33" s="13" t="n"/>
      <c r="F33" s="13" t="n"/>
      <c r="G33" s="12" t="n"/>
      <c r="H33" s="12" t="n"/>
      <c r="I33" s="13" t="n"/>
      <c r="J33" s="12" t="n"/>
      <c r="K33" s="12" t="n"/>
    </row>
    <row r="34" ht="22" customHeight="1">
      <c r="B34" s="16">
        <f>IF(C34="","SS-"&amp;TEXT(COUNTA($C$5:C34),"000"))</f>
        <v/>
      </c>
      <c r="C34" s="14" t="n"/>
      <c r="D34" s="14" t="n"/>
      <c r="E34" s="15" t="n"/>
      <c r="F34" s="15" t="n"/>
      <c r="G34" s="14" t="n"/>
      <c r="H34" s="14" t="n"/>
      <c r="I34" s="15" t="n"/>
      <c r="J34" s="14" t="n"/>
      <c r="K34" s="14" t="n"/>
    </row>
    <row r="35" ht="22" customHeight="1">
      <c r="B35" s="17">
        <f>IF(C35="","SS-"&amp;TEXT(COUNTA($C$5:C35),"000"))</f>
        <v/>
      </c>
      <c r="C35" s="12" t="n"/>
      <c r="D35" s="12" t="n"/>
      <c r="E35" s="13" t="n"/>
      <c r="F35" s="13" t="n"/>
      <c r="G35" s="12" t="n"/>
      <c r="H35" s="12" t="n"/>
      <c r="I35" s="13" t="n"/>
      <c r="J35" s="12" t="n"/>
      <c r="K35" s="12" t="n"/>
    </row>
    <row r="36" ht="22" customHeight="1">
      <c r="B36" s="16">
        <f>IF(C36="","SS-"&amp;TEXT(COUNTA($C$5:C36),"000"))</f>
        <v/>
      </c>
      <c r="C36" s="14" t="n"/>
      <c r="D36" s="14" t="n"/>
      <c r="E36" s="15" t="n"/>
      <c r="F36" s="15" t="n"/>
      <c r="G36" s="14" t="n"/>
      <c r="H36" s="14" t="n"/>
      <c r="I36" s="15" t="n"/>
      <c r="J36" s="14" t="n"/>
      <c r="K36" s="14" t="n"/>
    </row>
    <row r="37" ht="22" customHeight="1">
      <c r="B37" s="17">
        <f>IF(C37="","SS-"&amp;TEXT(COUNTA($C$5:C37),"000"))</f>
        <v/>
      </c>
      <c r="C37" s="12" t="n"/>
      <c r="D37" s="12" t="n"/>
      <c r="E37" s="13" t="n"/>
      <c r="F37" s="13" t="n"/>
      <c r="G37" s="12" t="n"/>
      <c r="H37" s="12" t="n"/>
      <c r="I37" s="13" t="n"/>
      <c r="J37" s="12" t="n"/>
      <c r="K37" s="12" t="n"/>
    </row>
    <row r="38" ht="22" customHeight="1">
      <c r="B38" s="16">
        <f>IF(C38="","SS-"&amp;TEXT(COUNTA($C$5:C38),"000"))</f>
        <v/>
      </c>
      <c r="C38" s="14" t="n"/>
      <c r="D38" s="14" t="n"/>
      <c r="E38" s="15" t="n"/>
      <c r="F38" s="15" t="n"/>
      <c r="G38" s="14" t="n"/>
      <c r="H38" s="14" t="n"/>
      <c r="I38" s="15" t="n"/>
      <c r="J38" s="14" t="n"/>
      <c r="K38" s="14" t="n"/>
    </row>
    <row r="39" ht="22" customHeight="1">
      <c r="B39" s="17">
        <f>IF(C39="","SS-"&amp;TEXT(COUNTA($C$5:C39),"000"))</f>
        <v/>
      </c>
      <c r="C39" s="12" t="n"/>
      <c r="D39" s="12" t="n"/>
      <c r="E39" s="13" t="n"/>
      <c r="F39" s="13" t="n"/>
      <c r="G39" s="12" t="n"/>
      <c r="H39" s="12" t="n"/>
      <c r="I39" s="13" t="n"/>
      <c r="J39" s="12" t="n"/>
      <c r="K39" s="12" t="n"/>
    </row>
    <row r="40" ht="22" customHeight="1">
      <c r="B40" s="16">
        <f>IF(C40="","SS-"&amp;TEXT(COUNTA($C$5:C40),"000"))</f>
        <v/>
      </c>
      <c r="C40" s="14" t="n"/>
      <c r="D40" s="14" t="n"/>
      <c r="E40" s="15" t="n"/>
      <c r="F40" s="15" t="n"/>
      <c r="G40" s="14" t="n"/>
      <c r="H40" s="14" t="n"/>
      <c r="I40" s="15" t="n"/>
      <c r="J40" s="14" t="n"/>
      <c r="K40" s="14" t="n"/>
    </row>
    <row r="41" ht="22" customHeight="1">
      <c r="B41" s="17">
        <f>IF(C41="","SS-"&amp;TEXT(COUNTA($C$5:C41),"000"))</f>
        <v/>
      </c>
      <c r="C41" s="12" t="n"/>
      <c r="D41" s="12" t="n"/>
      <c r="E41" s="13" t="n"/>
      <c r="F41" s="13" t="n"/>
      <c r="G41" s="12" t="n"/>
      <c r="H41" s="12" t="n"/>
      <c r="I41" s="13" t="n"/>
      <c r="J41" s="12" t="n"/>
      <c r="K41" s="12" t="n"/>
    </row>
    <row r="42" ht="22" customHeight="1">
      <c r="B42" s="16">
        <f>IF(C42="","SS-"&amp;TEXT(COUNTA($C$5:C42),"000"))</f>
        <v/>
      </c>
      <c r="C42" s="14" t="n"/>
      <c r="D42" s="14" t="n"/>
      <c r="E42" s="15" t="n"/>
      <c r="F42" s="15" t="n"/>
      <c r="G42" s="14" t="n"/>
      <c r="H42" s="14" t="n"/>
      <c r="I42" s="15" t="n"/>
      <c r="J42" s="14" t="n"/>
      <c r="K42" s="14" t="n"/>
    </row>
    <row r="43" ht="22" customHeight="1">
      <c r="B43" s="17">
        <f>IF(C43="","SS-"&amp;TEXT(COUNTA($C$5:C43),"000"))</f>
        <v/>
      </c>
      <c r="C43" s="12" t="n"/>
      <c r="D43" s="12" t="n"/>
      <c r="E43" s="13" t="n"/>
      <c r="F43" s="13" t="n"/>
      <c r="G43" s="12" t="n"/>
      <c r="H43" s="12" t="n"/>
      <c r="I43" s="13" t="n"/>
      <c r="J43" s="12" t="n"/>
      <c r="K43" s="12" t="n"/>
    </row>
    <row r="44" ht="22" customHeight="1">
      <c r="B44" s="16">
        <f>IF(C44="","SS-"&amp;TEXT(COUNTA($C$5:C44),"000"))</f>
        <v/>
      </c>
      <c r="C44" s="14" t="n"/>
      <c r="D44" s="14" t="n"/>
      <c r="E44" s="15" t="n"/>
      <c r="F44" s="15" t="n"/>
      <c r="G44" s="14" t="n"/>
      <c r="H44" s="14" t="n"/>
      <c r="I44" s="15" t="n"/>
      <c r="J44" s="14" t="n"/>
      <c r="K44" s="14" t="n"/>
    </row>
    <row r="45" ht="22" customHeight="1">
      <c r="B45" s="17">
        <f>IF(C45="","SS-"&amp;TEXT(COUNTA($C$5:C45),"000"))</f>
        <v/>
      </c>
      <c r="C45" s="12" t="n"/>
      <c r="D45" s="12" t="n"/>
      <c r="E45" s="13" t="n"/>
      <c r="F45" s="13" t="n"/>
      <c r="G45" s="12" t="n"/>
      <c r="H45" s="12" t="n"/>
      <c r="I45" s="13" t="n"/>
      <c r="J45" s="12" t="n"/>
      <c r="K45" s="12" t="n"/>
    </row>
    <row r="46" ht="22" customHeight="1">
      <c r="B46" s="16">
        <f>IF(C46="","SS-"&amp;TEXT(COUNTA($C$5:C46),"000"))</f>
        <v/>
      </c>
      <c r="C46" s="14" t="n"/>
      <c r="D46" s="14" t="n"/>
      <c r="E46" s="15" t="n"/>
      <c r="F46" s="15" t="n"/>
      <c r="G46" s="14" t="n"/>
      <c r="H46" s="14" t="n"/>
      <c r="I46" s="15" t="n"/>
      <c r="J46" s="14" t="n"/>
      <c r="K46" s="14" t="n"/>
    </row>
    <row r="47" ht="22" customHeight="1">
      <c r="B47" s="17">
        <f>IF(C47="","SS-"&amp;TEXT(COUNTA($C$5:C47),"000"))</f>
        <v/>
      </c>
      <c r="C47" s="12" t="n"/>
      <c r="D47" s="12" t="n"/>
      <c r="E47" s="13" t="n"/>
      <c r="F47" s="13" t="n"/>
      <c r="G47" s="12" t="n"/>
      <c r="H47" s="12" t="n"/>
      <c r="I47" s="13" t="n"/>
      <c r="J47" s="12" t="n"/>
      <c r="K47" s="12" t="n"/>
    </row>
    <row r="48" ht="22" customHeight="1">
      <c r="B48" s="16">
        <f>IF(C48="","SS-"&amp;TEXT(COUNTA($C$5:C48),"000"))</f>
        <v/>
      </c>
      <c r="C48" s="14" t="n"/>
      <c r="D48" s="14" t="n"/>
      <c r="E48" s="15" t="n"/>
      <c r="F48" s="15" t="n"/>
      <c r="G48" s="14" t="n"/>
      <c r="H48" s="14" t="n"/>
      <c r="I48" s="15" t="n"/>
      <c r="J48" s="14" t="n"/>
      <c r="K48" s="14" t="n"/>
    </row>
    <row r="49" ht="22" customHeight="1">
      <c r="B49" s="17">
        <f>IF(C49="","SS-"&amp;TEXT(COUNTA($C$5:C49),"000"))</f>
        <v/>
      </c>
      <c r="C49" s="12" t="n"/>
      <c r="D49" s="12" t="n"/>
      <c r="E49" s="13" t="n"/>
      <c r="F49" s="13" t="n"/>
      <c r="G49" s="12" t="n"/>
      <c r="H49" s="12" t="n"/>
      <c r="I49" s="13" t="n"/>
      <c r="J49" s="12" t="n"/>
      <c r="K49" s="12" t="n"/>
    </row>
    <row r="50" ht="22" customHeight="1">
      <c r="B50" s="16">
        <f>IF(C50="","SS-"&amp;TEXT(COUNTA($C$5:C50),"000"))</f>
        <v/>
      </c>
      <c r="C50" s="14" t="n"/>
      <c r="D50" s="14" t="n"/>
      <c r="E50" s="15" t="n"/>
      <c r="F50" s="15" t="n"/>
      <c r="G50" s="14" t="n"/>
      <c r="H50" s="14" t="n"/>
      <c r="I50" s="15" t="n"/>
      <c r="J50" s="14" t="n"/>
      <c r="K50" s="14" t="n"/>
    </row>
    <row r="51" ht="22" customHeight="1">
      <c r="B51" s="17">
        <f>IF(C51="","SS-"&amp;TEXT(COUNTA($C$5:C51),"000"))</f>
        <v/>
      </c>
      <c r="C51" s="12" t="n"/>
      <c r="D51" s="12" t="n"/>
      <c r="E51" s="13" t="n"/>
      <c r="F51" s="13" t="n"/>
      <c r="G51" s="12" t="n"/>
      <c r="H51" s="12" t="n"/>
      <c r="I51" s="13" t="n"/>
      <c r="J51" s="12" t="n"/>
      <c r="K51" s="12" t="n"/>
    </row>
    <row r="52" ht="22" customHeight="1">
      <c r="B52" s="16">
        <f>IF(C52="","SS-"&amp;TEXT(COUNTA($C$5:C52),"000"))</f>
        <v/>
      </c>
      <c r="C52" s="14" t="n"/>
      <c r="D52" s="14" t="n"/>
      <c r="E52" s="15" t="n"/>
      <c r="F52" s="15" t="n"/>
      <c r="G52" s="14" t="n"/>
      <c r="H52" s="14" t="n"/>
      <c r="I52" s="15" t="n"/>
      <c r="J52" s="14" t="n"/>
      <c r="K52" s="14" t="n"/>
    </row>
    <row r="53" ht="22" customHeight="1">
      <c r="B53" s="17">
        <f>IF(C53="","SS-"&amp;TEXT(COUNTA($C$5:C53),"000"))</f>
        <v/>
      </c>
      <c r="C53" s="12" t="n"/>
      <c r="D53" s="12" t="n"/>
      <c r="E53" s="13" t="n"/>
      <c r="F53" s="13" t="n"/>
      <c r="G53" s="12" t="n"/>
      <c r="H53" s="12" t="n"/>
      <c r="I53" s="13" t="n"/>
      <c r="J53" s="12" t="n"/>
      <c r="K53" s="12" t="n"/>
    </row>
    <row r="54" ht="22" customHeight="1">
      <c r="B54" s="16">
        <f>IF(C54="","SS-"&amp;TEXT(COUNTA($C$5:C54),"000"))</f>
        <v/>
      </c>
      <c r="C54" s="14" t="n"/>
      <c r="D54" s="14" t="n"/>
      <c r="E54" s="15" t="n"/>
      <c r="F54" s="15" t="n"/>
      <c r="G54" s="14" t="n"/>
      <c r="H54" s="14" t="n"/>
      <c r="I54" s="15" t="n"/>
      <c r="J54" s="14" t="n"/>
      <c r="K54" s="14" t="n"/>
    </row>
    <row r="55" ht="22" customHeight="1">
      <c r="B55" s="17">
        <f>IF(C55="","SS-"&amp;TEXT(COUNTA($C$5:C55),"000"))</f>
        <v/>
      </c>
      <c r="C55" s="12" t="n"/>
      <c r="D55" s="12" t="n"/>
      <c r="E55" s="13" t="n"/>
      <c r="F55" s="13" t="n"/>
      <c r="G55" s="12" t="n"/>
      <c r="H55" s="12" t="n"/>
      <c r="I55" s="13" t="n"/>
      <c r="J55" s="12" t="n"/>
      <c r="K55" s="12" t="n"/>
    </row>
    <row r="56" ht="22" customHeight="1">
      <c r="B56" s="16">
        <f>IF(C56="","SS-"&amp;TEXT(COUNTA($C$5:C56),"000"))</f>
        <v/>
      </c>
      <c r="C56" s="14" t="n"/>
      <c r="D56" s="14" t="n"/>
      <c r="E56" s="15" t="n"/>
      <c r="F56" s="15" t="n"/>
      <c r="G56" s="14" t="n"/>
      <c r="H56" s="14" t="n"/>
      <c r="I56" s="15" t="n"/>
      <c r="J56" s="14" t="n"/>
      <c r="K56" s="14" t="n"/>
    </row>
    <row r="57" ht="22" customHeight="1">
      <c r="B57" s="17">
        <f>IF(C57="","SS-"&amp;TEXT(COUNTA($C$5:C57),"000"))</f>
        <v/>
      </c>
      <c r="C57" s="12" t="n"/>
      <c r="D57" s="12" t="n"/>
      <c r="E57" s="13" t="n"/>
      <c r="F57" s="13" t="n"/>
      <c r="G57" s="12" t="n"/>
      <c r="H57" s="12" t="n"/>
      <c r="I57" s="13" t="n"/>
      <c r="J57" s="12" t="n"/>
      <c r="K57" s="12" t="n"/>
    </row>
    <row r="58" ht="22" customHeight="1">
      <c r="B58" s="16">
        <f>IF(C58="","SS-"&amp;TEXT(COUNTA($C$5:C58),"000"))</f>
        <v/>
      </c>
      <c r="C58" s="14" t="n"/>
      <c r="D58" s="14" t="n"/>
      <c r="E58" s="15" t="n"/>
      <c r="F58" s="15" t="n"/>
      <c r="G58" s="14" t="n"/>
      <c r="H58" s="14" t="n"/>
      <c r="I58" s="15" t="n"/>
      <c r="J58" s="14" t="n"/>
      <c r="K58" s="14" t="n"/>
    </row>
    <row r="59" ht="22" customHeight="1">
      <c r="B59" s="17">
        <f>IF(C59="","SS-"&amp;TEXT(COUNTA($C$5:C59),"000"))</f>
        <v/>
      </c>
      <c r="C59" s="12" t="n"/>
      <c r="D59" s="12" t="n"/>
      <c r="E59" s="13" t="n"/>
      <c r="F59" s="13" t="n"/>
      <c r="G59" s="12" t="n"/>
      <c r="H59" s="12" t="n"/>
      <c r="I59" s="13" t="n"/>
      <c r="J59" s="12" t="n"/>
      <c r="K59" s="12" t="n"/>
    </row>
    <row r="60" ht="22" customHeight="1">
      <c r="B60" s="16">
        <f>IF(C60="","SS-"&amp;TEXT(COUNTA($C$5:C60),"000"))</f>
        <v/>
      </c>
      <c r="C60" s="14" t="n"/>
      <c r="D60" s="14" t="n"/>
      <c r="E60" s="15" t="n"/>
      <c r="F60" s="15" t="n"/>
      <c r="G60" s="14" t="n"/>
      <c r="H60" s="14" t="n"/>
      <c r="I60" s="15" t="n"/>
      <c r="J60" s="14" t="n"/>
      <c r="K60" s="14" t="n"/>
    </row>
    <row r="61" ht="22" customHeight="1">
      <c r="B61" s="17">
        <f>IF(C61="","SS-"&amp;TEXT(COUNTA($C$5:C61),"000"))</f>
        <v/>
      </c>
      <c r="C61" s="12" t="n"/>
      <c r="D61" s="12" t="n"/>
      <c r="E61" s="13" t="n"/>
      <c r="F61" s="13" t="n"/>
      <c r="G61" s="12" t="n"/>
      <c r="H61" s="12" t="n"/>
      <c r="I61" s="13" t="n"/>
      <c r="J61" s="12" t="n"/>
      <c r="K61" s="12" t="n"/>
    </row>
    <row r="62" ht="22" customHeight="1">
      <c r="B62" s="16">
        <f>IF(C62="","SS-"&amp;TEXT(COUNTA($C$5:C62),"000"))</f>
        <v/>
      </c>
      <c r="C62" s="14" t="n"/>
      <c r="D62" s="14" t="n"/>
      <c r="E62" s="15" t="n"/>
      <c r="F62" s="15" t="n"/>
      <c r="G62" s="14" t="n"/>
      <c r="H62" s="14" t="n"/>
      <c r="I62" s="15" t="n"/>
      <c r="J62" s="14" t="n"/>
      <c r="K62" s="14" t="n"/>
    </row>
    <row r="63" ht="22" customHeight="1">
      <c r="B63" s="17">
        <f>IF(C63="","SS-"&amp;TEXT(COUNTA($C$5:C63),"000"))</f>
        <v/>
      </c>
      <c r="C63" s="12" t="n"/>
      <c r="D63" s="12" t="n"/>
      <c r="E63" s="13" t="n"/>
      <c r="F63" s="13" t="n"/>
      <c r="G63" s="12" t="n"/>
      <c r="H63" s="12" t="n"/>
      <c r="I63" s="13" t="n"/>
      <c r="J63" s="12" t="n"/>
      <c r="K63" s="12" t="n"/>
    </row>
    <row r="64" ht="22" customHeight="1">
      <c r="B64" s="16">
        <f>IF(C64="","SS-"&amp;TEXT(COUNTA($C$5:C64),"000"))</f>
        <v/>
      </c>
      <c r="C64" s="14" t="n"/>
      <c r="D64" s="14" t="n"/>
      <c r="E64" s="15" t="n"/>
      <c r="F64" s="15" t="n"/>
      <c r="G64" s="14" t="n"/>
      <c r="H64" s="14" t="n"/>
      <c r="I64" s="15" t="n"/>
      <c r="J64" s="14" t="n"/>
      <c r="K64" s="14" t="n"/>
    </row>
    <row r="65" ht="22" customHeight="1">
      <c r="B65" s="17">
        <f>IF(C65="","SS-"&amp;TEXT(COUNTA($C$5:C65),"000"))</f>
        <v/>
      </c>
      <c r="C65" s="12" t="n"/>
      <c r="D65" s="12" t="n"/>
      <c r="E65" s="13" t="n"/>
      <c r="F65" s="13" t="n"/>
      <c r="G65" s="12" t="n"/>
      <c r="H65" s="12" t="n"/>
      <c r="I65" s="13" t="n"/>
      <c r="J65" s="12" t="n"/>
      <c r="K65" s="12" t="n"/>
    </row>
    <row r="66" ht="22" customHeight="1">
      <c r="B66" s="16">
        <f>IF(C66="","SS-"&amp;TEXT(COUNTA($C$5:C66),"000"))</f>
        <v/>
      </c>
      <c r="C66" s="14" t="n"/>
      <c r="D66" s="14" t="n"/>
      <c r="E66" s="15" t="n"/>
      <c r="F66" s="15" t="n"/>
      <c r="G66" s="14" t="n"/>
      <c r="H66" s="14" t="n"/>
      <c r="I66" s="15" t="n"/>
      <c r="J66" s="14" t="n"/>
      <c r="K66" s="14" t="n"/>
    </row>
    <row r="67" ht="22" customHeight="1">
      <c r="B67" s="17">
        <f>IF(C67="","SS-"&amp;TEXT(COUNTA($C$5:C67),"000"))</f>
        <v/>
      </c>
      <c r="C67" s="12" t="n"/>
      <c r="D67" s="12" t="n"/>
      <c r="E67" s="13" t="n"/>
      <c r="F67" s="13" t="n"/>
      <c r="G67" s="12" t="n"/>
      <c r="H67" s="12" t="n"/>
      <c r="I67" s="13" t="n"/>
      <c r="J67" s="12" t="n"/>
      <c r="K67" s="12" t="n"/>
    </row>
    <row r="68" ht="22" customHeight="1">
      <c r="B68" s="16">
        <f>IF(C68="","SS-"&amp;TEXT(COUNTA($C$5:C68),"000"))</f>
        <v/>
      </c>
      <c r="C68" s="14" t="n"/>
      <c r="D68" s="14" t="n"/>
      <c r="E68" s="15" t="n"/>
      <c r="F68" s="15" t="n"/>
      <c r="G68" s="14" t="n"/>
      <c r="H68" s="14" t="n"/>
      <c r="I68" s="15" t="n"/>
      <c r="J68" s="14" t="n"/>
      <c r="K68" s="14" t="n"/>
    </row>
    <row r="69" ht="22" customHeight="1">
      <c r="B69" s="17">
        <f>IF(C69="","SS-"&amp;TEXT(COUNTA($C$5:C69),"000"))</f>
        <v/>
      </c>
      <c r="C69" s="12" t="n"/>
      <c r="D69" s="12" t="n"/>
      <c r="E69" s="13" t="n"/>
      <c r="F69" s="13" t="n"/>
      <c r="G69" s="12" t="n"/>
      <c r="H69" s="12" t="n"/>
      <c r="I69" s="13" t="n"/>
      <c r="J69" s="12" t="n"/>
      <c r="K69" s="12" t="n"/>
    </row>
    <row r="70" ht="22" customHeight="1">
      <c r="B70" s="16">
        <f>IF(C70="","SS-"&amp;TEXT(COUNTA($C$5:C70),"000"))</f>
        <v/>
      </c>
      <c r="C70" s="14" t="n"/>
      <c r="D70" s="14" t="n"/>
      <c r="E70" s="15" t="n"/>
      <c r="F70" s="15" t="n"/>
      <c r="G70" s="14" t="n"/>
      <c r="H70" s="14" t="n"/>
      <c r="I70" s="15" t="n"/>
      <c r="J70" s="14" t="n"/>
      <c r="K70" s="14" t="n"/>
    </row>
    <row r="71" ht="22" customHeight="1">
      <c r="B71" s="17">
        <f>IF(C71="","SS-"&amp;TEXT(COUNTA($C$5:C71),"000"))</f>
        <v/>
      </c>
      <c r="C71" s="12" t="n"/>
      <c r="D71" s="12" t="n"/>
      <c r="E71" s="13" t="n"/>
      <c r="F71" s="13" t="n"/>
      <c r="G71" s="12" t="n"/>
      <c r="H71" s="12" t="n"/>
      <c r="I71" s="13" t="n"/>
      <c r="J71" s="12" t="n"/>
      <c r="K71" s="12" t="n"/>
    </row>
    <row r="72" ht="22" customHeight="1">
      <c r="B72" s="16">
        <f>IF(C72="","SS-"&amp;TEXT(COUNTA($C$5:C72),"000"))</f>
        <v/>
      </c>
      <c r="C72" s="14" t="n"/>
      <c r="D72" s="14" t="n"/>
      <c r="E72" s="15" t="n"/>
      <c r="F72" s="15" t="n"/>
      <c r="G72" s="14" t="n"/>
      <c r="H72" s="14" t="n"/>
      <c r="I72" s="15" t="n"/>
      <c r="J72" s="14" t="n"/>
      <c r="K72" s="14" t="n"/>
    </row>
    <row r="73" ht="22" customHeight="1">
      <c r="B73" s="17">
        <f>IF(C73="","SS-"&amp;TEXT(COUNTA($C$5:C73),"000"))</f>
        <v/>
      </c>
      <c r="C73" s="12" t="n"/>
      <c r="D73" s="12" t="n"/>
      <c r="E73" s="13" t="n"/>
      <c r="F73" s="13" t="n"/>
      <c r="G73" s="12" t="n"/>
      <c r="H73" s="12" t="n"/>
      <c r="I73" s="13" t="n"/>
      <c r="J73" s="12" t="n"/>
      <c r="K73" s="12" t="n"/>
    </row>
    <row r="74" ht="22" customHeight="1">
      <c r="B74" s="16">
        <f>IF(C74="","SS-"&amp;TEXT(COUNTA($C$5:C74),"000"))</f>
        <v/>
      </c>
      <c r="C74" s="14" t="n"/>
      <c r="D74" s="14" t="n"/>
      <c r="E74" s="15" t="n"/>
      <c r="F74" s="15" t="n"/>
      <c r="G74" s="14" t="n"/>
      <c r="H74" s="14" t="n"/>
      <c r="I74" s="15" t="n"/>
      <c r="J74" s="14" t="n"/>
      <c r="K74" s="14" t="n"/>
    </row>
    <row r="75" ht="22" customHeight="1">
      <c r="B75" s="17">
        <f>IF(C75="","SS-"&amp;TEXT(COUNTA($C$5:C75),"000"))</f>
        <v/>
      </c>
      <c r="C75" s="12" t="n"/>
      <c r="D75" s="12" t="n"/>
      <c r="E75" s="13" t="n"/>
      <c r="F75" s="13" t="n"/>
      <c r="G75" s="12" t="n"/>
      <c r="H75" s="12" t="n"/>
      <c r="I75" s="13" t="n"/>
      <c r="J75" s="12" t="n"/>
      <c r="K75" s="12" t="n"/>
    </row>
    <row r="76" ht="22" customHeight="1">
      <c r="B76" s="16">
        <f>IF(C76="","SS-"&amp;TEXT(COUNTA($C$5:C76),"000"))</f>
        <v/>
      </c>
      <c r="C76" s="14" t="n"/>
      <c r="D76" s="14" t="n"/>
      <c r="E76" s="15" t="n"/>
      <c r="F76" s="15" t="n"/>
      <c r="G76" s="14" t="n"/>
      <c r="H76" s="14" t="n"/>
      <c r="I76" s="15" t="n"/>
      <c r="J76" s="14" t="n"/>
      <c r="K76" s="14" t="n"/>
    </row>
    <row r="77" ht="22" customHeight="1">
      <c r="B77" s="17">
        <f>IF(C77="","SS-"&amp;TEXT(COUNTA($C$5:C77),"000"))</f>
        <v/>
      </c>
      <c r="C77" s="12" t="n"/>
      <c r="D77" s="12" t="n"/>
      <c r="E77" s="13" t="n"/>
      <c r="F77" s="13" t="n"/>
      <c r="G77" s="12" t="n"/>
      <c r="H77" s="12" t="n"/>
      <c r="I77" s="13" t="n"/>
      <c r="J77" s="12" t="n"/>
      <c r="K77" s="12" t="n"/>
    </row>
    <row r="78" ht="22" customHeight="1">
      <c r="B78" s="16">
        <f>IF(C78="","SS-"&amp;TEXT(COUNTA($C$5:C78),"000"))</f>
        <v/>
      </c>
      <c r="C78" s="14" t="n"/>
      <c r="D78" s="14" t="n"/>
      <c r="E78" s="15" t="n"/>
      <c r="F78" s="15" t="n"/>
      <c r="G78" s="14" t="n"/>
      <c r="H78" s="14" t="n"/>
      <c r="I78" s="15" t="n"/>
      <c r="J78" s="14" t="n"/>
      <c r="K78" s="14" t="n"/>
    </row>
    <row r="79" ht="22" customHeight="1">
      <c r="B79" s="17">
        <f>IF(C79="","SS-"&amp;TEXT(COUNTA($C$5:C79),"000"))</f>
        <v/>
      </c>
      <c r="C79" s="12" t="n"/>
      <c r="D79" s="12" t="n"/>
      <c r="E79" s="13" t="n"/>
      <c r="F79" s="13" t="n"/>
      <c r="G79" s="12" t="n"/>
      <c r="H79" s="12" t="n"/>
      <c r="I79" s="13" t="n"/>
      <c r="J79" s="12" t="n"/>
      <c r="K79" s="12" t="n"/>
    </row>
    <row r="80" ht="22" customHeight="1">
      <c r="B80" s="16">
        <f>IF(C80="","SS-"&amp;TEXT(COUNTA($C$5:C80),"000"))</f>
        <v/>
      </c>
      <c r="C80" s="14" t="n"/>
      <c r="D80" s="14" t="n"/>
      <c r="E80" s="15" t="n"/>
      <c r="F80" s="15" t="n"/>
      <c r="G80" s="14" t="n"/>
      <c r="H80" s="14" t="n"/>
      <c r="I80" s="15" t="n"/>
      <c r="J80" s="14" t="n"/>
      <c r="K80" s="14" t="n"/>
    </row>
    <row r="81" ht="22" customHeight="1">
      <c r="B81" s="17">
        <f>IF(C81="","SS-"&amp;TEXT(COUNTA($C$5:C81),"000"))</f>
        <v/>
      </c>
      <c r="C81" s="12" t="n"/>
      <c r="D81" s="12" t="n"/>
      <c r="E81" s="13" t="n"/>
      <c r="F81" s="13" t="n"/>
      <c r="G81" s="12" t="n"/>
      <c r="H81" s="12" t="n"/>
      <c r="I81" s="13" t="n"/>
      <c r="J81" s="12" t="n"/>
      <c r="K81" s="12" t="n"/>
    </row>
    <row r="82" ht="22" customHeight="1">
      <c r="B82" s="16">
        <f>IF(C82="","SS-"&amp;TEXT(COUNTA($C$5:C82),"000"))</f>
        <v/>
      </c>
      <c r="C82" s="14" t="n"/>
      <c r="D82" s="14" t="n"/>
      <c r="E82" s="15" t="n"/>
      <c r="F82" s="15" t="n"/>
      <c r="G82" s="14" t="n"/>
      <c r="H82" s="14" t="n"/>
      <c r="I82" s="15" t="n"/>
      <c r="J82" s="14" t="n"/>
      <c r="K82" s="14" t="n"/>
    </row>
    <row r="83" ht="22" customHeight="1">
      <c r="B83" s="17">
        <f>IF(C83="","SS-"&amp;TEXT(COUNTA($C$5:C83),"000"))</f>
        <v/>
      </c>
      <c r="C83" s="12" t="n"/>
      <c r="D83" s="12" t="n"/>
      <c r="E83" s="13" t="n"/>
      <c r="F83" s="13" t="n"/>
      <c r="G83" s="12" t="n"/>
      <c r="H83" s="12" t="n"/>
      <c r="I83" s="13" t="n"/>
      <c r="J83" s="12" t="n"/>
      <c r="K83" s="12" t="n"/>
    </row>
    <row r="84" ht="22" customHeight="1">
      <c r="B84" s="16">
        <f>IF(C84="","SS-"&amp;TEXT(COUNTA($C$5:C84),"000"))</f>
        <v/>
      </c>
      <c r="C84" s="14" t="n"/>
      <c r="D84" s="14" t="n"/>
      <c r="E84" s="15" t="n"/>
      <c r="F84" s="15" t="n"/>
      <c r="G84" s="14" t="n"/>
      <c r="H84" s="14" t="n"/>
      <c r="I84" s="15" t="n"/>
      <c r="J84" s="14" t="n"/>
      <c r="K84" s="14" t="n"/>
    </row>
    <row r="85" ht="22" customHeight="1">
      <c r="B85" s="17">
        <f>IF(C85="","SS-"&amp;TEXT(COUNTA($C$5:C85),"000"))</f>
        <v/>
      </c>
      <c r="C85" s="12" t="n"/>
      <c r="D85" s="12" t="n"/>
      <c r="E85" s="13" t="n"/>
      <c r="F85" s="13" t="n"/>
      <c r="G85" s="12" t="n"/>
      <c r="H85" s="12" t="n"/>
      <c r="I85" s="13" t="n"/>
      <c r="J85" s="12" t="n"/>
      <c r="K85" s="12" t="n"/>
    </row>
    <row r="86" ht="22" customHeight="1">
      <c r="B86" s="16">
        <f>IF(C86="","SS-"&amp;TEXT(COUNTA($C$5:C86),"000"))</f>
        <v/>
      </c>
      <c r="C86" s="14" t="n"/>
      <c r="D86" s="14" t="n"/>
      <c r="E86" s="15" t="n"/>
      <c r="F86" s="15" t="n"/>
      <c r="G86" s="14" t="n"/>
      <c r="H86" s="14" t="n"/>
      <c r="I86" s="15" t="n"/>
      <c r="J86" s="14" t="n"/>
      <c r="K86" s="14" t="n"/>
    </row>
    <row r="87" ht="22" customHeight="1">
      <c r="B87" s="17">
        <f>IF(C87="","SS-"&amp;TEXT(COUNTA($C$5:C87),"000"))</f>
        <v/>
      </c>
      <c r="C87" s="12" t="n"/>
      <c r="D87" s="12" t="n"/>
      <c r="E87" s="13" t="n"/>
      <c r="F87" s="13" t="n"/>
      <c r="G87" s="12" t="n"/>
      <c r="H87" s="12" t="n"/>
      <c r="I87" s="13" t="n"/>
      <c r="J87" s="12" t="n"/>
      <c r="K87" s="12" t="n"/>
    </row>
    <row r="88" ht="22" customHeight="1">
      <c r="B88" s="16">
        <f>IF(C88="","SS-"&amp;TEXT(COUNTA($C$5:C88),"000"))</f>
        <v/>
      </c>
      <c r="C88" s="14" t="n"/>
      <c r="D88" s="14" t="n"/>
      <c r="E88" s="15" t="n"/>
      <c r="F88" s="15" t="n"/>
      <c r="G88" s="14" t="n"/>
      <c r="H88" s="14" t="n"/>
      <c r="I88" s="15" t="n"/>
      <c r="J88" s="14" t="n"/>
      <c r="K88" s="14" t="n"/>
    </row>
    <row r="89" ht="22" customHeight="1">
      <c r="B89" s="17">
        <f>IF(C89="","SS-"&amp;TEXT(COUNTA($C$5:C89),"000"))</f>
        <v/>
      </c>
      <c r="C89" s="12" t="n"/>
      <c r="D89" s="12" t="n"/>
      <c r="E89" s="13" t="n"/>
      <c r="F89" s="13" t="n"/>
      <c r="G89" s="12" t="n"/>
      <c r="H89" s="12" t="n"/>
      <c r="I89" s="13" t="n"/>
      <c r="J89" s="12" t="n"/>
      <c r="K89" s="12" t="n"/>
    </row>
    <row r="90" ht="22" customHeight="1">
      <c r="B90" s="16">
        <f>IF(C90="","SS-"&amp;TEXT(COUNTA($C$5:C90),"000"))</f>
        <v/>
      </c>
      <c r="C90" s="14" t="n"/>
      <c r="D90" s="14" t="n"/>
      <c r="E90" s="15" t="n"/>
      <c r="F90" s="15" t="n"/>
      <c r="G90" s="14" t="n"/>
      <c r="H90" s="14" t="n"/>
      <c r="I90" s="15" t="n"/>
      <c r="J90" s="14" t="n"/>
      <c r="K90" s="14" t="n"/>
    </row>
    <row r="91" ht="22" customHeight="1">
      <c r="B91" s="17">
        <f>IF(C91="","SS-"&amp;TEXT(COUNTA($C$5:C91),"000"))</f>
        <v/>
      </c>
      <c r="C91" s="12" t="n"/>
      <c r="D91" s="12" t="n"/>
      <c r="E91" s="13" t="n"/>
      <c r="F91" s="13" t="n"/>
      <c r="G91" s="12" t="n"/>
      <c r="H91" s="12" t="n"/>
      <c r="I91" s="13" t="n"/>
      <c r="J91" s="12" t="n"/>
      <c r="K91" s="12" t="n"/>
    </row>
    <row r="92" ht="22" customHeight="1">
      <c r="B92" s="16">
        <f>IF(C92="","SS-"&amp;TEXT(COUNTA($C$5:C92),"000"))</f>
        <v/>
      </c>
      <c r="C92" s="14" t="n"/>
      <c r="D92" s="14" t="n"/>
      <c r="E92" s="15" t="n"/>
      <c r="F92" s="15" t="n"/>
      <c r="G92" s="14" t="n"/>
      <c r="H92" s="14" t="n"/>
      <c r="I92" s="15" t="n"/>
      <c r="J92" s="14" t="n"/>
      <c r="K92" s="14" t="n"/>
    </row>
    <row r="93" ht="22" customHeight="1">
      <c r="B93" s="17">
        <f>IF(C93="","SS-"&amp;TEXT(COUNTA($C$5:C93),"000"))</f>
        <v/>
      </c>
      <c r="C93" s="12" t="n"/>
      <c r="D93" s="12" t="n"/>
      <c r="E93" s="13" t="n"/>
      <c r="F93" s="13" t="n"/>
      <c r="G93" s="12" t="n"/>
      <c r="H93" s="12" t="n"/>
      <c r="I93" s="13" t="n"/>
      <c r="J93" s="12" t="n"/>
      <c r="K93" s="12" t="n"/>
    </row>
    <row r="94" ht="22" customHeight="1">
      <c r="B94" s="16">
        <f>IF(C94="","SS-"&amp;TEXT(COUNTA($C$5:C94),"000"))</f>
        <v/>
      </c>
      <c r="C94" s="14" t="n"/>
      <c r="D94" s="14" t="n"/>
      <c r="E94" s="15" t="n"/>
      <c r="F94" s="15" t="n"/>
      <c r="G94" s="14" t="n"/>
      <c r="H94" s="14" t="n"/>
      <c r="I94" s="15" t="n"/>
      <c r="J94" s="14" t="n"/>
      <c r="K94" s="14" t="n"/>
    </row>
    <row r="95" ht="22" customHeight="1">
      <c r="B95" s="17">
        <f>IF(C95="","SS-"&amp;TEXT(COUNTA($C$5:C95),"000"))</f>
        <v/>
      </c>
      <c r="C95" s="12" t="n"/>
      <c r="D95" s="12" t="n"/>
      <c r="E95" s="13" t="n"/>
      <c r="F95" s="13" t="n"/>
      <c r="G95" s="12" t="n"/>
      <c r="H95" s="12" t="n"/>
      <c r="I95" s="13" t="n"/>
      <c r="J95" s="12" t="n"/>
      <c r="K95" s="12" t="n"/>
    </row>
    <row r="96" ht="22" customHeight="1">
      <c r="B96" s="16">
        <f>IF(C96="","SS-"&amp;TEXT(COUNTA($C$5:C96),"000"))</f>
        <v/>
      </c>
      <c r="C96" s="14" t="n"/>
      <c r="D96" s="14" t="n"/>
      <c r="E96" s="15" t="n"/>
      <c r="F96" s="15" t="n"/>
      <c r="G96" s="14" t="n"/>
      <c r="H96" s="14" t="n"/>
      <c r="I96" s="15" t="n"/>
      <c r="J96" s="14" t="n"/>
      <c r="K96" s="14" t="n"/>
    </row>
    <row r="97" ht="22" customHeight="1">
      <c r="B97" s="17">
        <f>IF(C97="","SS-"&amp;TEXT(COUNTA($C$5:C97),"000"))</f>
        <v/>
      </c>
      <c r="C97" s="12" t="n"/>
      <c r="D97" s="12" t="n"/>
      <c r="E97" s="13" t="n"/>
      <c r="F97" s="13" t="n"/>
      <c r="G97" s="12" t="n"/>
      <c r="H97" s="12" t="n"/>
      <c r="I97" s="13" t="n"/>
      <c r="J97" s="12" t="n"/>
      <c r="K97" s="12" t="n"/>
    </row>
    <row r="98" ht="22" customHeight="1">
      <c r="B98" s="16">
        <f>IF(C98="","SS-"&amp;TEXT(COUNTA($C$5:C98),"000"))</f>
        <v/>
      </c>
      <c r="C98" s="14" t="n"/>
      <c r="D98" s="14" t="n"/>
      <c r="E98" s="15" t="n"/>
      <c r="F98" s="15" t="n"/>
      <c r="G98" s="14" t="n"/>
      <c r="H98" s="14" t="n"/>
      <c r="I98" s="15" t="n"/>
      <c r="J98" s="14" t="n"/>
      <c r="K98" s="14" t="n"/>
    </row>
    <row r="99" ht="22" customHeight="1">
      <c r="B99" s="17">
        <f>IF(C99="","SS-"&amp;TEXT(COUNTA($C$5:C99),"000"))</f>
        <v/>
      </c>
      <c r="C99" s="12" t="n"/>
      <c r="D99" s="12" t="n"/>
      <c r="E99" s="13" t="n"/>
      <c r="F99" s="13" t="n"/>
      <c r="G99" s="12" t="n"/>
      <c r="H99" s="12" t="n"/>
      <c r="I99" s="13" t="n"/>
      <c r="J99" s="12" t="n"/>
      <c r="K99" s="12" t="n"/>
    </row>
    <row r="100" ht="22" customHeight="1">
      <c r="B100" s="16">
        <f>IF(C100="","SS-"&amp;TEXT(COUNTA($C$5:C100),"000"))</f>
        <v/>
      </c>
      <c r="C100" s="14" t="n"/>
      <c r="D100" s="14" t="n"/>
      <c r="E100" s="15" t="n"/>
      <c r="F100" s="15" t="n"/>
      <c r="G100" s="14" t="n"/>
      <c r="H100" s="14" t="n"/>
      <c r="I100" s="15" t="n"/>
      <c r="J100" s="14" t="n"/>
      <c r="K100" s="14" t="n"/>
    </row>
    <row r="101" ht="22" customHeight="1">
      <c r="B101" s="17">
        <f>IF(C101="","SS-"&amp;TEXT(COUNTA($C$5:C101),"000"))</f>
        <v/>
      </c>
      <c r="C101" s="12" t="n"/>
      <c r="D101" s="12" t="n"/>
      <c r="E101" s="13" t="n"/>
      <c r="F101" s="13" t="n"/>
      <c r="G101" s="12" t="n"/>
      <c r="H101" s="12" t="n"/>
      <c r="I101" s="13" t="n"/>
      <c r="J101" s="12" t="n"/>
      <c r="K101" s="12" t="n"/>
    </row>
    <row r="102" ht="22" customHeight="1">
      <c r="B102" s="16">
        <f>IF(C102="","SS-"&amp;TEXT(COUNTA($C$5:C102),"000"))</f>
        <v/>
      </c>
      <c r="C102" s="14" t="n"/>
      <c r="D102" s="14" t="n"/>
      <c r="E102" s="15" t="n"/>
      <c r="F102" s="15" t="n"/>
      <c r="G102" s="14" t="n"/>
      <c r="H102" s="14" t="n"/>
      <c r="I102" s="15" t="n"/>
      <c r="J102" s="14" t="n"/>
      <c r="K102" s="14" t="n"/>
    </row>
    <row r="103" ht="22" customHeight="1">
      <c r="B103" s="17">
        <f>IF(C103="","SS-"&amp;TEXT(COUNTA($C$5:C103),"000"))</f>
        <v/>
      </c>
      <c r="C103" s="12" t="n"/>
      <c r="D103" s="12" t="n"/>
      <c r="E103" s="13" t="n"/>
      <c r="F103" s="13" t="n"/>
      <c r="G103" s="12" t="n"/>
      <c r="H103" s="12" t="n"/>
      <c r="I103" s="13" t="n"/>
      <c r="J103" s="12" t="n"/>
      <c r="K103" s="12" t="n"/>
    </row>
    <row r="104" ht="22" customHeight="1">
      <c r="B104" s="16">
        <f>IF(C104="","SS-"&amp;TEXT(COUNTA($C$5:C104),"000"))</f>
        <v/>
      </c>
      <c r="C104" s="14" t="n"/>
      <c r="D104" s="14" t="n"/>
      <c r="E104" s="15" t="n"/>
      <c r="F104" s="15" t="n"/>
      <c r="G104" s="14" t="n"/>
      <c r="H104" s="14" t="n"/>
      <c r="I104" s="15" t="n"/>
      <c r="J104" s="14" t="n"/>
      <c r="K104" s="14" t="n"/>
    </row>
    <row r="105" ht="22" customHeight="1">
      <c r="B105" s="17">
        <f>IF(C105="","SS-"&amp;TEXT(COUNTA($C$5:C105),"000"))</f>
        <v/>
      </c>
      <c r="C105" s="12" t="n"/>
      <c r="D105" s="12" t="n"/>
      <c r="E105" s="13" t="n"/>
      <c r="F105" s="13" t="n"/>
      <c r="G105" s="12" t="n"/>
      <c r="H105" s="12" t="n"/>
      <c r="I105" s="13" t="n"/>
      <c r="J105" s="12" t="n"/>
      <c r="K105" s="12" t="n"/>
    </row>
    <row r="106" ht="22" customHeight="1">
      <c r="B106" s="16">
        <f>IF(C106="","SS-"&amp;TEXT(COUNTA($C$5:C106),"000"))</f>
        <v/>
      </c>
      <c r="C106" s="14" t="n"/>
      <c r="D106" s="14" t="n"/>
      <c r="E106" s="15" t="n"/>
      <c r="F106" s="15" t="n"/>
      <c r="G106" s="14" t="n"/>
      <c r="H106" s="14" t="n"/>
      <c r="I106" s="15" t="n"/>
      <c r="J106" s="14" t="n"/>
      <c r="K106" s="14" t="n"/>
    </row>
    <row r="107" ht="22" customHeight="1">
      <c r="B107" s="17">
        <f>IF(C107="","SS-"&amp;TEXT(COUNTA($C$5:C107),"000"))</f>
        <v/>
      </c>
      <c r="C107" s="12" t="n"/>
      <c r="D107" s="12" t="n"/>
      <c r="E107" s="13" t="n"/>
      <c r="F107" s="13" t="n"/>
      <c r="G107" s="12" t="n"/>
      <c r="H107" s="12" t="n"/>
      <c r="I107" s="13" t="n"/>
      <c r="J107" s="12" t="n"/>
      <c r="K107" s="12" t="n"/>
    </row>
    <row r="108" ht="22" customHeight="1">
      <c r="B108" s="16">
        <f>IF(C108="","SS-"&amp;TEXT(COUNTA($C$5:C108),"000"))</f>
        <v/>
      </c>
      <c r="C108" s="14" t="n"/>
      <c r="D108" s="14" t="n"/>
      <c r="E108" s="15" t="n"/>
      <c r="F108" s="15" t="n"/>
      <c r="G108" s="14" t="n"/>
      <c r="H108" s="14" t="n"/>
      <c r="I108" s="15" t="n"/>
      <c r="J108" s="14" t="n"/>
      <c r="K108" s="14" t="n"/>
    </row>
    <row r="109" ht="22" customHeight="1">
      <c r="B109" s="17">
        <f>IF(C109="","SS-"&amp;TEXT(COUNTA($C$5:C109),"000"))</f>
        <v/>
      </c>
      <c r="C109" s="12" t="n"/>
      <c r="D109" s="12" t="n"/>
      <c r="E109" s="13" t="n"/>
      <c r="F109" s="13" t="n"/>
      <c r="G109" s="12" t="n"/>
      <c r="H109" s="12" t="n"/>
      <c r="I109" s="13" t="n"/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Postes cles</t>
        </is>
      </c>
      <c r="D112" s="3" t="inlineStr">
        <is>
          <t>Urgence haute</t>
        </is>
      </c>
      <c r="F112" s="3" t="inlineStr">
        <is>
          <t>Prets / Nommes</t>
        </is>
      </c>
    </row>
    <row r="113">
      <c r="B113" s="4">
        <f>COUNTIF(B5:B104,"&lt;&gt;")</f>
        <v/>
      </c>
      <c r="D113" s="4">
        <f>COUNTIF(J5:J104,"Haute")</f>
        <v/>
      </c>
      <c r="F113" s="4">
        <f>COUNTIF(K5:K104,"Pret")+COUNTIF(K5:K104,"Nomme")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dataValidations count="2">
    <dataValidation sqref="H5:H109" showDropDown="0" showInputMessage="0" showErrorMessage="0" allowBlank="1" errorTitle="Erreur" error="Valeur invalide" promptTitle="Liste" prompt="Choisir dans la liste" type="list">
      <formula1>'_Lists'!$K$2:$K$7</formula1>
    </dataValidation>
    <dataValidation sqref="K5:K109" showDropDown="0" showInputMessage="0" showErrorMessage="0" allowBlank="1" errorTitle="Erreur" error="Valeur invalide" promptTitle="Liste" prompt="Choisir dans la liste" type="list">
      <formula1>'_Lists'!$K$2:$K$7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6" customWidth="1" min="4" max="4"/>
    <col width="20" customWidth="1" min="5" max="5"/>
    <col width="16" customWidth="1" min="6" max="6"/>
    <col width="14" customWidth="1" min="7" max="7"/>
    <col width="20" customWidth="1" min="8" max="8"/>
    <col width="12" customWidth="1" min="9" max="9"/>
    <col width="18" customWidth="1" min="10" max="10"/>
    <col width="20" customWidth="1" min="11" max="11"/>
  </cols>
  <sheetData>
    <row r="1" ht="15" customHeight="1"/>
    <row r="2" ht="32" customHeight="1">
      <c r="B2" s="1" t="inlineStr">
        <is>
          <t>ANALYSE ÉCARTS DE COMPÉTENCES — Par Département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Departement</t>
        </is>
      </c>
      <c r="D4" s="11" t="inlineStr">
        <is>
          <t>Competence Critique</t>
        </is>
      </c>
      <c r="E4" s="11" t="inlineStr">
        <is>
          <t>Niveau Moyen Actuel</t>
        </is>
      </c>
      <c r="F4" s="11" t="inlineStr">
        <is>
          <t>Niveau Cible</t>
        </is>
      </c>
      <c r="G4" s="11" t="inlineStr">
        <is>
          <t>Ecart Moyen</t>
        </is>
      </c>
      <c r="H4" s="11" t="inlineStr">
        <is>
          <t>Nb Employes Evalues</t>
        </is>
      </c>
      <c r="I4" s="11" t="inlineStr">
        <is>
          <t>Nb Acquis</t>
        </is>
      </c>
      <c r="J4" s="11" t="inlineStr">
        <is>
          <t>Nb A Developper</t>
        </is>
      </c>
      <c r="K4" s="11" t="inlineStr">
        <is>
          <t>Taux Couverture (%)</t>
        </is>
      </c>
    </row>
    <row r="5" ht="22" customHeight="1">
      <c r="B5" s="12" t="inlineStr">
        <is>
          <t>AEC-001</t>
        </is>
      </c>
      <c r="C5" s="12" t="inlineStr">
        <is>
          <t>Réception &amp; Front Office</t>
        </is>
      </c>
      <c r="D5" s="12" t="inlineStr">
        <is>
          <t>Revenue Management</t>
        </is>
      </c>
      <c r="E5" s="33" t="n">
        <v>2.2</v>
      </c>
      <c r="F5" s="33" t="n">
        <v>4</v>
      </c>
      <c r="G5" s="33" t="n"/>
      <c r="H5" s="13" t="n">
        <v>5</v>
      </c>
      <c r="I5" s="13" t="n">
        <v>2</v>
      </c>
      <c r="J5" s="13" t="n">
        <v>3</v>
      </c>
      <c r="K5" s="31" t="n"/>
    </row>
    <row r="6" ht="22" customHeight="1">
      <c r="B6" s="14" t="inlineStr">
        <is>
          <t>AEC-002</t>
        </is>
      </c>
      <c r="C6" s="14" t="inlineStr">
        <is>
          <t>Cuisine &amp; Restauration</t>
        </is>
      </c>
      <c r="D6" s="14" t="inlineStr">
        <is>
          <t>Gestion budget cuisine</t>
        </is>
      </c>
      <c r="E6" s="34" t="n">
        <v>1.8</v>
      </c>
      <c r="F6" s="34" t="n">
        <v>4</v>
      </c>
      <c r="G6" s="34" t="n"/>
      <c r="H6" s="15" t="n">
        <v>4</v>
      </c>
      <c r="I6" s="15" t="n">
        <v>0</v>
      </c>
      <c r="J6" s="15" t="n">
        <v>4</v>
      </c>
      <c r="K6" s="32" t="n"/>
    </row>
    <row r="7" ht="22" customHeight="1">
      <c r="B7" s="12" t="inlineStr">
        <is>
          <t>AEC-003</t>
        </is>
      </c>
      <c r="C7" s="12" t="inlineStr">
        <is>
          <t>Informatique</t>
        </is>
      </c>
      <c r="D7" s="12" t="inlineStr">
        <is>
          <t>Cybersecurite</t>
        </is>
      </c>
      <c r="E7" s="33" t="n">
        <v>2.5</v>
      </c>
      <c r="F7" s="33" t="n">
        <v>4</v>
      </c>
      <c r="G7" s="33" t="n"/>
      <c r="H7" s="13" t="n">
        <v>3</v>
      </c>
      <c r="I7" s="13" t="n">
        <v>0</v>
      </c>
      <c r="J7" s="13" t="n">
        <v>3</v>
      </c>
      <c r="K7" s="31" t="n"/>
    </row>
    <row r="8" ht="22" customHeight="1">
      <c r="B8" s="14" t="inlineStr">
        <is>
          <t>AEC-004</t>
        </is>
      </c>
      <c r="C8" s="14" t="inlineStr">
        <is>
          <t>Commercial</t>
        </is>
      </c>
      <c r="D8" s="14" t="inlineStr">
        <is>
          <t>Anglais hotelier</t>
        </is>
      </c>
      <c r="E8" s="34" t="n">
        <v>1.5</v>
      </c>
      <c r="F8" s="34" t="n">
        <v>3</v>
      </c>
      <c r="G8" s="34" t="n"/>
      <c r="H8" s="15" t="n">
        <v>4</v>
      </c>
      <c r="I8" s="15" t="n">
        <v>0</v>
      </c>
      <c r="J8" s="15" t="n">
        <v>4</v>
      </c>
      <c r="K8" s="32" t="n"/>
    </row>
    <row r="9" ht="22" customHeight="1">
      <c r="B9" s="12" t="inlineStr">
        <is>
          <t>AEC-005</t>
        </is>
      </c>
      <c r="C9" s="12" t="inlineStr">
        <is>
          <t>Maintenance</t>
        </is>
      </c>
      <c r="D9" s="12" t="inlineStr">
        <is>
          <t>Technique CVC</t>
        </is>
      </c>
      <c r="E9" s="33" t="n">
        <v>2.8</v>
      </c>
      <c r="F9" s="33" t="n">
        <v>4</v>
      </c>
      <c r="G9" s="33" t="n"/>
      <c r="H9" s="13" t="n">
        <v>3</v>
      </c>
      <c r="I9" s="13" t="n">
        <v>1</v>
      </c>
      <c r="J9" s="13" t="n">
        <v>2</v>
      </c>
      <c r="K9" s="31" t="n"/>
    </row>
    <row r="10" ht="22" customHeight="1">
      <c r="B10" s="16">
        <f>IF(C10="","AEC-"&amp;TEXT(COUNTA($C$5:C10),"000"))</f>
        <v/>
      </c>
      <c r="C10" s="14" t="n"/>
      <c r="D10" s="14" t="n"/>
      <c r="E10" s="34" t="n"/>
      <c r="F10" s="34" t="n"/>
      <c r="G10" s="34">
        <f>IF(OR(E10="",F10=""),"",E10-F10)</f>
        <v/>
      </c>
      <c r="H10" s="15" t="n"/>
      <c r="I10" s="15" t="n"/>
      <c r="J10" s="15" t="n"/>
      <c r="K10" s="32">
        <f>IF(H10="", "",I10/H10)</f>
        <v/>
      </c>
    </row>
    <row r="11" ht="22" customHeight="1">
      <c r="B11" s="17">
        <f>IF(C11="","AEC-"&amp;TEXT(COUNTA($C$5:C11),"000"))</f>
        <v/>
      </c>
      <c r="C11" s="12" t="n"/>
      <c r="D11" s="12" t="n"/>
      <c r="E11" s="33" t="n"/>
      <c r="F11" s="33" t="n"/>
      <c r="G11" s="33">
        <f>IF(OR(E11="",F11=""),"",E11-F11)</f>
        <v/>
      </c>
      <c r="H11" s="13" t="n"/>
      <c r="I11" s="13" t="n"/>
      <c r="J11" s="13" t="n"/>
      <c r="K11" s="31">
        <f>IF(H11="", "",I11/H11)</f>
        <v/>
      </c>
    </row>
    <row r="12" ht="22" customHeight="1">
      <c r="B12" s="16">
        <f>IF(C12="","AEC-"&amp;TEXT(COUNTA($C$5:C12),"000"))</f>
        <v/>
      </c>
      <c r="C12" s="14" t="n"/>
      <c r="D12" s="14" t="n"/>
      <c r="E12" s="34" t="n"/>
      <c r="F12" s="34" t="n"/>
      <c r="G12" s="34">
        <f>IF(OR(E12="",F12=""),"",E12-F12)</f>
        <v/>
      </c>
      <c r="H12" s="15" t="n"/>
      <c r="I12" s="15" t="n"/>
      <c r="J12" s="15" t="n"/>
      <c r="K12" s="32">
        <f>IF(H12="", "",I12/H12)</f>
        <v/>
      </c>
    </row>
    <row r="13" ht="22" customHeight="1">
      <c r="B13" s="17">
        <f>IF(C13="","AEC-"&amp;TEXT(COUNTA($C$5:C13),"000"))</f>
        <v/>
      </c>
      <c r="C13" s="12" t="n"/>
      <c r="D13" s="12" t="n"/>
      <c r="E13" s="33" t="n"/>
      <c r="F13" s="33" t="n"/>
      <c r="G13" s="33">
        <f>IF(OR(E13="",F13=""),"",E13-F13)</f>
        <v/>
      </c>
      <c r="H13" s="13" t="n"/>
      <c r="I13" s="13" t="n"/>
      <c r="J13" s="13" t="n"/>
      <c r="K13" s="31">
        <f>IF(H13="", "",I13/H13)</f>
        <v/>
      </c>
    </row>
    <row r="14" ht="22" customHeight="1">
      <c r="B14" s="16">
        <f>IF(C14="","AEC-"&amp;TEXT(COUNTA($C$5:C14),"000"))</f>
        <v/>
      </c>
      <c r="C14" s="14" t="n"/>
      <c r="D14" s="14" t="n"/>
      <c r="E14" s="34" t="n"/>
      <c r="F14" s="34" t="n"/>
      <c r="G14" s="34">
        <f>IF(OR(E14="",F14=""),"",E14-F14)</f>
        <v/>
      </c>
      <c r="H14" s="15" t="n"/>
      <c r="I14" s="15" t="n"/>
      <c r="J14" s="15" t="n"/>
      <c r="K14" s="32">
        <f>IF(H14="", "",I14/H14)</f>
        <v/>
      </c>
    </row>
    <row r="15" ht="22" customHeight="1">
      <c r="B15" s="17">
        <f>IF(C15="","AEC-"&amp;TEXT(COUNTA($C$5:C15),"000"))</f>
        <v/>
      </c>
      <c r="C15" s="12" t="n"/>
      <c r="D15" s="12" t="n"/>
      <c r="E15" s="33" t="n"/>
      <c r="F15" s="33" t="n"/>
      <c r="G15" s="33">
        <f>IF(OR(E15="",F15=""),"",E15-F15)</f>
        <v/>
      </c>
      <c r="H15" s="13" t="n"/>
      <c r="I15" s="13" t="n"/>
      <c r="J15" s="13" t="n"/>
      <c r="K15" s="31">
        <f>IF(H15="", "",I15/H15)</f>
        <v/>
      </c>
    </row>
    <row r="16" ht="22" customHeight="1">
      <c r="B16" s="16">
        <f>IF(C16="","AEC-"&amp;TEXT(COUNTA($C$5:C16),"000"))</f>
        <v/>
      </c>
      <c r="C16" s="14" t="n"/>
      <c r="D16" s="14" t="n"/>
      <c r="E16" s="34" t="n"/>
      <c r="F16" s="34" t="n"/>
      <c r="G16" s="34">
        <f>IF(OR(E16="",F16=""),"",E16-F16)</f>
        <v/>
      </c>
      <c r="H16" s="15" t="n"/>
      <c r="I16" s="15" t="n"/>
      <c r="J16" s="15" t="n"/>
      <c r="K16" s="32">
        <f>IF(H16="", "",I16/H16)</f>
        <v/>
      </c>
    </row>
    <row r="17" ht="22" customHeight="1">
      <c r="B17" s="17">
        <f>IF(C17="","AEC-"&amp;TEXT(COUNTA($C$5:C17),"000"))</f>
        <v/>
      </c>
      <c r="C17" s="12" t="n"/>
      <c r="D17" s="12" t="n"/>
      <c r="E17" s="33" t="n"/>
      <c r="F17" s="33" t="n"/>
      <c r="G17" s="33">
        <f>IF(OR(E17="",F17=""),"",E17-F17)</f>
        <v/>
      </c>
      <c r="H17" s="13" t="n"/>
      <c r="I17" s="13" t="n"/>
      <c r="J17" s="13" t="n"/>
      <c r="K17" s="31">
        <f>IF(H17="", "",I17/H17)</f>
        <v/>
      </c>
    </row>
    <row r="18" ht="22" customHeight="1">
      <c r="B18" s="16">
        <f>IF(C18="","AEC-"&amp;TEXT(COUNTA($C$5:C18),"000"))</f>
        <v/>
      </c>
      <c r="C18" s="14" t="n"/>
      <c r="D18" s="14" t="n"/>
      <c r="E18" s="34" t="n"/>
      <c r="F18" s="34" t="n"/>
      <c r="G18" s="34">
        <f>IF(OR(E18="",F18=""),"",E18-F18)</f>
        <v/>
      </c>
      <c r="H18" s="15" t="n"/>
      <c r="I18" s="15" t="n"/>
      <c r="J18" s="15" t="n"/>
      <c r="K18" s="32">
        <f>IF(H18="", "",I18/H18)</f>
        <v/>
      </c>
    </row>
    <row r="19" ht="22" customHeight="1">
      <c r="B19" s="17">
        <f>IF(C19="","AEC-"&amp;TEXT(COUNTA($C$5:C19),"000"))</f>
        <v/>
      </c>
      <c r="C19" s="12" t="n"/>
      <c r="D19" s="12" t="n"/>
      <c r="E19" s="33" t="n"/>
      <c r="F19" s="33" t="n"/>
      <c r="G19" s="33">
        <f>IF(OR(E19="",F19=""),"",E19-F19)</f>
        <v/>
      </c>
      <c r="H19" s="13" t="n"/>
      <c r="I19" s="13" t="n"/>
      <c r="J19" s="13" t="n"/>
      <c r="K19" s="31">
        <f>IF(H19="", "",I19/H19)</f>
        <v/>
      </c>
    </row>
    <row r="20" ht="22" customHeight="1">
      <c r="B20" s="16">
        <f>IF(C20="","AEC-"&amp;TEXT(COUNTA($C$5:C20),"000"))</f>
        <v/>
      </c>
      <c r="C20" s="14" t="n"/>
      <c r="D20" s="14" t="n"/>
      <c r="E20" s="34" t="n"/>
      <c r="F20" s="34" t="n"/>
      <c r="G20" s="34">
        <f>IF(OR(E20="",F20=""),"",E20-F20)</f>
        <v/>
      </c>
      <c r="H20" s="15" t="n"/>
      <c r="I20" s="15" t="n"/>
      <c r="J20" s="15" t="n"/>
      <c r="K20" s="32">
        <f>IF(H20="", "",I20/H20)</f>
        <v/>
      </c>
    </row>
    <row r="21" ht="22" customHeight="1">
      <c r="B21" s="17">
        <f>IF(C21="","AEC-"&amp;TEXT(COUNTA($C$5:C21),"000"))</f>
        <v/>
      </c>
      <c r="C21" s="12" t="n"/>
      <c r="D21" s="12" t="n"/>
      <c r="E21" s="33" t="n"/>
      <c r="F21" s="33" t="n"/>
      <c r="G21" s="33">
        <f>IF(OR(E21="",F21=""),"",E21-F21)</f>
        <v/>
      </c>
      <c r="H21" s="13" t="n"/>
      <c r="I21" s="13" t="n"/>
      <c r="J21" s="13" t="n"/>
      <c r="K21" s="31">
        <f>IF(H21="", "",I21/H21)</f>
        <v/>
      </c>
    </row>
    <row r="22" ht="22" customHeight="1">
      <c r="B22" s="16">
        <f>IF(C22="","AEC-"&amp;TEXT(COUNTA($C$5:C22),"000"))</f>
        <v/>
      </c>
      <c r="C22" s="14" t="n"/>
      <c r="D22" s="14" t="n"/>
      <c r="E22" s="34" t="n"/>
      <c r="F22" s="34" t="n"/>
      <c r="G22" s="34">
        <f>IF(OR(E22="",F22=""),"",E22-F22)</f>
        <v/>
      </c>
      <c r="H22" s="15" t="n"/>
      <c r="I22" s="15" t="n"/>
      <c r="J22" s="15" t="n"/>
      <c r="K22" s="32">
        <f>IF(H22="", "",I22/H22)</f>
        <v/>
      </c>
    </row>
    <row r="23" ht="22" customHeight="1">
      <c r="B23" s="17">
        <f>IF(C23="","AEC-"&amp;TEXT(COUNTA($C$5:C23),"000"))</f>
        <v/>
      </c>
      <c r="C23" s="12" t="n"/>
      <c r="D23" s="12" t="n"/>
      <c r="E23" s="33" t="n"/>
      <c r="F23" s="33" t="n"/>
      <c r="G23" s="33">
        <f>IF(OR(E23="",F23=""),"",E23-F23)</f>
        <v/>
      </c>
      <c r="H23" s="13" t="n"/>
      <c r="I23" s="13" t="n"/>
      <c r="J23" s="13" t="n"/>
      <c r="K23" s="31">
        <f>IF(H23="", "",I23/H23)</f>
        <v/>
      </c>
    </row>
    <row r="24" ht="22" customHeight="1">
      <c r="B24" s="16">
        <f>IF(C24="","AEC-"&amp;TEXT(COUNTA($C$5:C24),"000"))</f>
        <v/>
      </c>
      <c r="C24" s="14" t="n"/>
      <c r="D24" s="14" t="n"/>
      <c r="E24" s="34" t="n"/>
      <c r="F24" s="34" t="n"/>
      <c r="G24" s="34">
        <f>IF(OR(E24="",F24=""),"",E24-F24)</f>
        <v/>
      </c>
      <c r="H24" s="15" t="n"/>
      <c r="I24" s="15" t="n"/>
      <c r="J24" s="15" t="n"/>
      <c r="K24" s="32">
        <f>IF(H24="", "",I24/H24)</f>
        <v/>
      </c>
    </row>
    <row r="25" ht="22" customHeight="1">
      <c r="B25" s="17">
        <f>IF(C25="","AEC-"&amp;TEXT(COUNTA($C$5:C25),"000"))</f>
        <v/>
      </c>
      <c r="C25" s="12" t="n"/>
      <c r="D25" s="12" t="n"/>
      <c r="E25" s="33" t="n"/>
      <c r="F25" s="33" t="n"/>
      <c r="G25" s="33">
        <f>IF(OR(E25="",F25=""),"",E25-F25)</f>
        <v/>
      </c>
      <c r="H25" s="13" t="n"/>
      <c r="I25" s="13" t="n"/>
      <c r="J25" s="13" t="n"/>
      <c r="K25" s="31">
        <f>IF(H25="", "",I25/H25)</f>
        <v/>
      </c>
    </row>
    <row r="26" ht="22" customHeight="1">
      <c r="B26" s="16">
        <f>IF(C26="","AEC-"&amp;TEXT(COUNTA($C$5:C26),"000"))</f>
        <v/>
      </c>
      <c r="C26" s="14" t="n"/>
      <c r="D26" s="14" t="n"/>
      <c r="E26" s="34" t="n"/>
      <c r="F26" s="34" t="n"/>
      <c r="G26" s="34">
        <f>IF(OR(E26="",F26=""),"",E26-F26)</f>
        <v/>
      </c>
      <c r="H26" s="15" t="n"/>
      <c r="I26" s="15" t="n"/>
      <c r="J26" s="15" t="n"/>
      <c r="K26" s="32">
        <f>IF(H26="", "",I26/H26)</f>
        <v/>
      </c>
    </row>
    <row r="27" ht="22" customHeight="1">
      <c r="B27" s="17">
        <f>IF(C27="","AEC-"&amp;TEXT(COUNTA($C$5:C27),"000"))</f>
        <v/>
      </c>
      <c r="C27" s="12" t="n"/>
      <c r="D27" s="12" t="n"/>
      <c r="E27" s="33" t="n"/>
      <c r="F27" s="33" t="n"/>
      <c r="G27" s="33">
        <f>IF(OR(E27="",F27=""),"",E27-F27)</f>
        <v/>
      </c>
      <c r="H27" s="13" t="n"/>
      <c r="I27" s="13" t="n"/>
      <c r="J27" s="13" t="n"/>
      <c r="K27" s="31">
        <f>IF(H27="", "",I27/H27)</f>
        <v/>
      </c>
    </row>
    <row r="28" ht="22" customHeight="1">
      <c r="B28" s="16">
        <f>IF(C28="","AEC-"&amp;TEXT(COUNTA($C$5:C28),"000"))</f>
        <v/>
      </c>
      <c r="C28" s="14" t="n"/>
      <c r="D28" s="14" t="n"/>
      <c r="E28" s="34" t="n"/>
      <c r="F28" s="34" t="n"/>
      <c r="G28" s="34">
        <f>IF(OR(E28="",F28=""),"",E28-F28)</f>
        <v/>
      </c>
      <c r="H28" s="15" t="n"/>
      <c r="I28" s="15" t="n"/>
      <c r="J28" s="15" t="n"/>
      <c r="K28" s="32">
        <f>IF(H28="", "",I28/H28)</f>
        <v/>
      </c>
    </row>
    <row r="29" ht="22" customHeight="1">
      <c r="B29" s="17">
        <f>IF(C29="","AEC-"&amp;TEXT(COUNTA($C$5:C29),"000"))</f>
        <v/>
      </c>
      <c r="C29" s="12" t="n"/>
      <c r="D29" s="12" t="n"/>
      <c r="E29" s="33" t="n"/>
      <c r="F29" s="33" t="n"/>
      <c r="G29" s="33">
        <f>IF(OR(E29="",F29=""),"",E29-F29)</f>
        <v/>
      </c>
      <c r="H29" s="13" t="n"/>
      <c r="I29" s="13" t="n"/>
      <c r="J29" s="13" t="n"/>
      <c r="K29" s="31">
        <f>IF(H29="", "",I29/H29)</f>
        <v/>
      </c>
    </row>
    <row r="30" ht="22" customHeight="1">
      <c r="B30" s="16">
        <f>IF(C30="","AEC-"&amp;TEXT(COUNTA($C$5:C30),"000"))</f>
        <v/>
      </c>
      <c r="C30" s="14" t="n"/>
      <c r="D30" s="14" t="n"/>
      <c r="E30" s="34" t="n"/>
      <c r="F30" s="34" t="n"/>
      <c r="G30" s="34">
        <f>IF(OR(E30="",F30=""),"",E30-F30)</f>
        <v/>
      </c>
      <c r="H30" s="15" t="n"/>
      <c r="I30" s="15" t="n"/>
      <c r="J30" s="15" t="n"/>
      <c r="K30" s="32">
        <f>IF(H30="", "",I30/H30)</f>
        <v/>
      </c>
    </row>
    <row r="31" ht="22" customHeight="1">
      <c r="B31" s="17">
        <f>IF(C31="","AEC-"&amp;TEXT(COUNTA($C$5:C31),"000"))</f>
        <v/>
      </c>
      <c r="C31" s="12" t="n"/>
      <c r="D31" s="12" t="n"/>
      <c r="E31" s="33" t="n"/>
      <c r="F31" s="33" t="n"/>
      <c r="G31" s="33">
        <f>IF(OR(E31="",F31=""),"",E31-F31)</f>
        <v/>
      </c>
      <c r="H31" s="13" t="n"/>
      <c r="I31" s="13" t="n"/>
      <c r="J31" s="13" t="n"/>
      <c r="K31" s="31">
        <f>IF(H31="", "",I31/H31)</f>
        <v/>
      </c>
    </row>
    <row r="32" ht="22" customHeight="1">
      <c r="B32" s="16">
        <f>IF(C32="","AEC-"&amp;TEXT(COUNTA($C$5:C32),"000"))</f>
        <v/>
      </c>
      <c r="C32" s="14" t="n"/>
      <c r="D32" s="14" t="n"/>
      <c r="E32" s="34" t="n"/>
      <c r="F32" s="34" t="n"/>
      <c r="G32" s="34">
        <f>IF(OR(E32="",F32=""),"",E32-F32)</f>
        <v/>
      </c>
      <c r="H32" s="15" t="n"/>
      <c r="I32" s="15" t="n"/>
      <c r="J32" s="15" t="n"/>
      <c r="K32" s="32">
        <f>IF(H32="", "",I32/H32)</f>
        <v/>
      </c>
    </row>
    <row r="33" ht="22" customHeight="1">
      <c r="B33" s="17">
        <f>IF(C33="","AEC-"&amp;TEXT(COUNTA($C$5:C33),"000"))</f>
        <v/>
      </c>
      <c r="C33" s="12" t="n"/>
      <c r="D33" s="12" t="n"/>
      <c r="E33" s="33" t="n"/>
      <c r="F33" s="33" t="n"/>
      <c r="G33" s="33">
        <f>IF(OR(E33="",F33=""),"",E33-F33)</f>
        <v/>
      </c>
      <c r="H33" s="13" t="n"/>
      <c r="I33" s="13" t="n"/>
      <c r="J33" s="13" t="n"/>
      <c r="K33" s="31">
        <f>IF(H33="", "",I33/H33)</f>
        <v/>
      </c>
    </row>
    <row r="34" ht="22" customHeight="1">
      <c r="B34" s="16">
        <f>IF(C34="","AEC-"&amp;TEXT(COUNTA($C$5:C34),"000"))</f>
        <v/>
      </c>
      <c r="C34" s="14" t="n"/>
      <c r="D34" s="14" t="n"/>
      <c r="E34" s="34" t="n"/>
      <c r="F34" s="34" t="n"/>
      <c r="G34" s="34">
        <f>IF(OR(E34="",F34=""),"",E34-F34)</f>
        <v/>
      </c>
      <c r="H34" s="15" t="n"/>
      <c r="I34" s="15" t="n"/>
      <c r="J34" s="15" t="n"/>
      <c r="K34" s="32">
        <f>IF(H34="", "",I34/H34)</f>
        <v/>
      </c>
    </row>
    <row r="35" ht="22" customHeight="1">
      <c r="B35" s="17">
        <f>IF(C35="","AEC-"&amp;TEXT(COUNTA($C$5:C35),"000"))</f>
        <v/>
      </c>
      <c r="C35" s="12" t="n"/>
      <c r="D35" s="12" t="n"/>
      <c r="E35" s="33" t="n"/>
      <c r="F35" s="33" t="n"/>
      <c r="G35" s="33">
        <f>IF(OR(E35="",F35=""),"",E35-F35)</f>
        <v/>
      </c>
      <c r="H35" s="13" t="n"/>
      <c r="I35" s="13" t="n"/>
      <c r="J35" s="13" t="n"/>
      <c r="K35" s="31">
        <f>IF(H35="", "",I35/H35)</f>
        <v/>
      </c>
    </row>
    <row r="36" ht="22" customHeight="1">
      <c r="B36" s="16">
        <f>IF(C36="","AEC-"&amp;TEXT(COUNTA($C$5:C36),"000"))</f>
        <v/>
      </c>
      <c r="C36" s="14" t="n"/>
      <c r="D36" s="14" t="n"/>
      <c r="E36" s="34" t="n"/>
      <c r="F36" s="34" t="n"/>
      <c r="G36" s="34">
        <f>IF(OR(E36="",F36=""),"",E36-F36)</f>
        <v/>
      </c>
      <c r="H36" s="15" t="n"/>
      <c r="I36" s="15" t="n"/>
      <c r="J36" s="15" t="n"/>
      <c r="K36" s="32">
        <f>IF(H36="", "",I36/H36)</f>
        <v/>
      </c>
    </row>
    <row r="37" ht="22" customHeight="1">
      <c r="B37" s="17">
        <f>IF(C37="","AEC-"&amp;TEXT(COUNTA($C$5:C37),"000"))</f>
        <v/>
      </c>
      <c r="C37" s="12" t="n"/>
      <c r="D37" s="12" t="n"/>
      <c r="E37" s="33" t="n"/>
      <c r="F37" s="33" t="n"/>
      <c r="G37" s="33">
        <f>IF(OR(E37="",F37=""),"",E37-F37)</f>
        <v/>
      </c>
      <c r="H37" s="13" t="n"/>
      <c r="I37" s="13" t="n"/>
      <c r="J37" s="13" t="n"/>
      <c r="K37" s="31">
        <f>IF(H37="", "",I37/H37)</f>
        <v/>
      </c>
    </row>
    <row r="38" ht="22" customHeight="1">
      <c r="B38" s="16">
        <f>IF(C38="","AEC-"&amp;TEXT(COUNTA($C$5:C38),"000"))</f>
        <v/>
      </c>
      <c r="C38" s="14" t="n"/>
      <c r="D38" s="14" t="n"/>
      <c r="E38" s="34" t="n"/>
      <c r="F38" s="34" t="n"/>
      <c r="G38" s="34">
        <f>IF(OR(E38="",F38=""),"",E38-F38)</f>
        <v/>
      </c>
      <c r="H38" s="15" t="n"/>
      <c r="I38" s="15" t="n"/>
      <c r="J38" s="15" t="n"/>
      <c r="K38" s="32">
        <f>IF(H38="", "",I38/H38)</f>
        <v/>
      </c>
    </row>
    <row r="39" ht="22" customHeight="1">
      <c r="B39" s="17">
        <f>IF(C39="","AEC-"&amp;TEXT(COUNTA($C$5:C39),"000"))</f>
        <v/>
      </c>
      <c r="C39" s="12" t="n"/>
      <c r="D39" s="12" t="n"/>
      <c r="E39" s="33" t="n"/>
      <c r="F39" s="33" t="n"/>
      <c r="G39" s="33">
        <f>IF(OR(E39="",F39=""),"",E39-F39)</f>
        <v/>
      </c>
      <c r="H39" s="13" t="n"/>
      <c r="I39" s="13" t="n"/>
      <c r="J39" s="13" t="n"/>
      <c r="K39" s="31">
        <f>IF(H39="", "",I39/H39)</f>
        <v/>
      </c>
    </row>
    <row r="40" ht="22" customHeight="1">
      <c r="B40" s="16">
        <f>IF(C40="","AEC-"&amp;TEXT(COUNTA($C$5:C40),"000"))</f>
        <v/>
      </c>
      <c r="C40" s="14" t="n"/>
      <c r="D40" s="14" t="n"/>
      <c r="E40" s="34" t="n"/>
      <c r="F40" s="34" t="n"/>
      <c r="G40" s="34">
        <f>IF(OR(E40="",F40=""),"",E40-F40)</f>
        <v/>
      </c>
      <c r="H40" s="15" t="n"/>
      <c r="I40" s="15" t="n"/>
      <c r="J40" s="15" t="n"/>
      <c r="K40" s="32">
        <f>IF(H40="", "",I40/H40)</f>
        <v/>
      </c>
    </row>
    <row r="41" ht="22" customHeight="1">
      <c r="B41" s="17">
        <f>IF(C41="","AEC-"&amp;TEXT(COUNTA($C$5:C41),"000"))</f>
        <v/>
      </c>
      <c r="C41" s="12" t="n"/>
      <c r="D41" s="12" t="n"/>
      <c r="E41" s="33" t="n"/>
      <c r="F41" s="33" t="n"/>
      <c r="G41" s="33">
        <f>IF(OR(E41="",F41=""),"",E41-F41)</f>
        <v/>
      </c>
      <c r="H41" s="13" t="n"/>
      <c r="I41" s="13" t="n"/>
      <c r="J41" s="13" t="n"/>
      <c r="K41" s="31">
        <f>IF(H41="", "",I41/H41)</f>
        <v/>
      </c>
    </row>
    <row r="42" ht="22" customHeight="1">
      <c r="B42" s="16">
        <f>IF(C42="","AEC-"&amp;TEXT(COUNTA($C$5:C42),"000"))</f>
        <v/>
      </c>
      <c r="C42" s="14" t="n"/>
      <c r="D42" s="14" t="n"/>
      <c r="E42" s="34" t="n"/>
      <c r="F42" s="34" t="n"/>
      <c r="G42" s="34">
        <f>IF(OR(E42="",F42=""),"",E42-F42)</f>
        <v/>
      </c>
      <c r="H42" s="15" t="n"/>
      <c r="I42" s="15" t="n"/>
      <c r="J42" s="15" t="n"/>
      <c r="K42" s="32">
        <f>IF(H42="", "",I42/H42)</f>
        <v/>
      </c>
    </row>
    <row r="43" ht="22" customHeight="1">
      <c r="B43" s="17">
        <f>IF(C43="","AEC-"&amp;TEXT(COUNTA($C$5:C43),"000"))</f>
        <v/>
      </c>
      <c r="C43" s="12" t="n"/>
      <c r="D43" s="12" t="n"/>
      <c r="E43" s="33" t="n"/>
      <c r="F43" s="33" t="n"/>
      <c r="G43" s="33">
        <f>IF(OR(E43="",F43=""),"",E43-F43)</f>
        <v/>
      </c>
      <c r="H43" s="13" t="n"/>
      <c r="I43" s="13" t="n"/>
      <c r="J43" s="13" t="n"/>
      <c r="K43" s="31">
        <f>IF(H43="", "",I43/H43)</f>
        <v/>
      </c>
    </row>
    <row r="44" ht="22" customHeight="1">
      <c r="B44" s="16">
        <f>IF(C44="","AEC-"&amp;TEXT(COUNTA($C$5:C44),"000"))</f>
        <v/>
      </c>
      <c r="C44" s="14" t="n"/>
      <c r="D44" s="14" t="n"/>
      <c r="E44" s="34" t="n"/>
      <c r="F44" s="34" t="n"/>
      <c r="G44" s="34">
        <f>IF(OR(E44="",F44=""),"",E44-F44)</f>
        <v/>
      </c>
      <c r="H44" s="15" t="n"/>
      <c r="I44" s="15" t="n"/>
      <c r="J44" s="15" t="n"/>
      <c r="K44" s="32">
        <f>IF(H44="", "",I44/H44)</f>
        <v/>
      </c>
    </row>
    <row r="45" ht="22" customHeight="1">
      <c r="B45" s="17">
        <f>IF(C45="","AEC-"&amp;TEXT(COUNTA($C$5:C45),"000"))</f>
        <v/>
      </c>
      <c r="C45" s="12" t="n"/>
      <c r="D45" s="12" t="n"/>
      <c r="E45" s="33" t="n"/>
      <c r="F45" s="33" t="n"/>
      <c r="G45" s="33">
        <f>IF(OR(E45="",F45=""),"",E45-F45)</f>
        <v/>
      </c>
      <c r="H45" s="13" t="n"/>
      <c r="I45" s="13" t="n"/>
      <c r="J45" s="13" t="n"/>
      <c r="K45" s="31">
        <f>IF(H45="", "",I45/H45)</f>
        <v/>
      </c>
    </row>
    <row r="46" ht="22" customHeight="1">
      <c r="B46" s="16">
        <f>IF(C46="","AEC-"&amp;TEXT(COUNTA($C$5:C46),"000"))</f>
        <v/>
      </c>
      <c r="C46" s="14" t="n"/>
      <c r="D46" s="14" t="n"/>
      <c r="E46" s="34" t="n"/>
      <c r="F46" s="34" t="n"/>
      <c r="G46" s="34">
        <f>IF(OR(E46="",F46=""),"",E46-F46)</f>
        <v/>
      </c>
      <c r="H46" s="15" t="n"/>
      <c r="I46" s="15" t="n"/>
      <c r="J46" s="15" t="n"/>
      <c r="K46" s="32">
        <f>IF(H46="", "",I46/H46)</f>
        <v/>
      </c>
    </row>
    <row r="47" ht="22" customHeight="1">
      <c r="B47" s="17">
        <f>IF(C47="","AEC-"&amp;TEXT(COUNTA($C$5:C47),"000"))</f>
        <v/>
      </c>
      <c r="C47" s="12" t="n"/>
      <c r="D47" s="12" t="n"/>
      <c r="E47" s="33" t="n"/>
      <c r="F47" s="33" t="n"/>
      <c r="G47" s="33">
        <f>IF(OR(E47="",F47=""),"",E47-F47)</f>
        <v/>
      </c>
      <c r="H47" s="13" t="n"/>
      <c r="I47" s="13" t="n"/>
      <c r="J47" s="13" t="n"/>
      <c r="K47" s="31">
        <f>IF(H47="", "",I47/H47)</f>
        <v/>
      </c>
    </row>
    <row r="48" ht="22" customHeight="1">
      <c r="B48" s="16">
        <f>IF(C48="","AEC-"&amp;TEXT(COUNTA($C$5:C48),"000"))</f>
        <v/>
      </c>
      <c r="C48" s="14" t="n"/>
      <c r="D48" s="14" t="n"/>
      <c r="E48" s="34" t="n"/>
      <c r="F48" s="34" t="n"/>
      <c r="G48" s="34">
        <f>IF(OR(E48="",F48=""),"",E48-F48)</f>
        <v/>
      </c>
      <c r="H48" s="15" t="n"/>
      <c r="I48" s="15" t="n"/>
      <c r="J48" s="15" t="n"/>
      <c r="K48" s="32">
        <f>IF(H48="", "",I48/H48)</f>
        <v/>
      </c>
    </row>
    <row r="49" ht="22" customHeight="1">
      <c r="B49" s="17">
        <f>IF(C49="","AEC-"&amp;TEXT(COUNTA($C$5:C49),"000"))</f>
        <v/>
      </c>
      <c r="C49" s="12" t="n"/>
      <c r="D49" s="12" t="n"/>
      <c r="E49" s="33" t="n"/>
      <c r="F49" s="33" t="n"/>
      <c r="G49" s="33">
        <f>IF(OR(E49="",F49=""),"",E49-F49)</f>
        <v/>
      </c>
      <c r="H49" s="13" t="n"/>
      <c r="I49" s="13" t="n"/>
      <c r="J49" s="13" t="n"/>
      <c r="K49" s="31">
        <f>IF(H49="", "",I49/H49)</f>
        <v/>
      </c>
    </row>
    <row r="50" ht="22" customHeight="1">
      <c r="B50" s="16">
        <f>IF(C50="","AEC-"&amp;TEXT(COUNTA($C$5:C50),"000"))</f>
        <v/>
      </c>
      <c r="C50" s="14" t="n"/>
      <c r="D50" s="14" t="n"/>
      <c r="E50" s="34" t="n"/>
      <c r="F50" s="34" t="n"/>
      <c r="G50" s="34">
        <f>IF(OR(E50="",F50=""),"",E50-F50)</f>
        <v/>
      </c>
      <c r="H50" s="15" t="n"/>
      <c r="I50" s="15" t="n"/>
      <c r="J50" s="15" t="n"/>
      <c r="K50" s="32">
        <f>IF(H50="", "",I50/H50)</f>
        <v/>
      </c>
    </row>
    <row r="51" ht="22" customHeight="1">
      <c r="B51" s="17">
        <f>IF(C51="","AEC-"&amp;TEXT(COUNTA($C$5:C51),"000"))</f>
        <v/>
      </c>
      <c r="C51" s="12" t="n"/>
      <c r="D51" s="12" t="n"/>
      <c r="E51" s="33" t="n"/>
      <c r="F51" s="33" t="n"/>
      <c r="G51" s="33">
        <f>IF(OR(E51="",F51=""),"",E51-F51)</f>
        <v/>
      </c>
      <c r="H51" s="13" t="n"/>
      <c r="I51" s="13" t="n"/>
      <c r="J51" s="13" t="n"/>
      <c r="K51" s="31">
        <f>IF(H51="", "",I51/H51)</f>
        <v/>
      </c>
    </row>
    <row r="52" ht="22" customHeight="1">
      <c r="B52" s="16">
        <f>IF(C52="","AEC-"&amp;TEXT(COUNTA($C$5:C52),"000"))</f>
        <v/>
      </c>
      <c r="C52" s="14" t="n"/>
      <c r="D52" s="14" t="n"/>
      <c r="E52" s="34" t="n"/>
      <c r="F52" s="34" t="n"/>
      <c r="G52" s="34">
        <f>IF(OR(E52="",F52=""),"",E52-F52)</f>
        <v/>
      </c>
      <c r="H52" s="15" t="n"/>
      <c r="I52" s="15" t="n"/>
      <c r="J52" s="15" t="n"/>
      <c r="K52" s="32">
        <f>IF(H52="", "",I52/H52)</f>
        <v/>
      </c>
    </row>
    <row r="53" ht="22" customHeight="1">
      <c r="B53" s="17">
        <f>IF(C53="","AEC-"&amp;TEXT(COUNTA($C$5:C53),"000"))</f>
        <v/>
      </c>
      <c r="C53" s="12" t="n"/>
      <c r="D53" s="12" t="n"/>
      <c r="E53" s="33" t="n"/>
      <c r="F53" s="33" t="n"/>
      <c r="G53" s="33">
        <f>IF(OR(E53="",F53=""),"",E53-F53)</f>
        <v/>
      </c>
      <c r="H53" s="13" t="n"/>
      <c r="I53" s="13" t="n"/>
      <c r="J53" s="13" t="n"/>
      <c r="K53" s="31">
        <f>IF(H53="", "",I53/H53)</f>
        <v/>
      </c>
    </row>
    <row r="54" ht="22" customHeight="1">
      <c r="B54" s="16">
        <f>IF(C54="","AEC-"&amp;TEXT(COUNTA($C$5:C54),"000"))</f>
        <v/>
      </c>
      <c r="C54" s="14" t="n"/>
      <c r="D54" s="14" t="n"/>
      <c r="E54" s="34" t="n"/>
      <c r="F54" s="34" t="n"/>
      <c r="G54" s="34">
        <f>IF(OR(E54="",F54=""),"",E54-F54)</f>
        <v/>
      </c>
      <c r="H54" s="15" t="n"/>
      <c r="I54" s="15" t="n"/>
      <c r="J54" s="15" t="n"/>
      <c r="K54" s="32">
        <f>IF(H54="", "",I54/H54)</f>
        <v/>
      </c>
    </row>
    <row r="55" ht="22" customHeight="1">
      <c r="B55" s="17">
        <f>IF(C55="","AEC-"&amp;TEXT(COUNTA($C$5:C55),"000"))</f>
        <v/>
      </c>
      <c r="C55" s="12" t="n"/>
      <c r="D55" s="12" t="n"/>
      <c r="E55" s="33" t="n"/>
      <c r="F55" s="33" t="n"/>
      <c r="G55" s="33">
        <f>IF(OR(E55="",F55=""),"",E55-F55)</f>
        <v/>
      </c>
      <c r="H55" s="13" t="n"/>
      <c r="I55" s="13" t="n"/>
      <c r="J55" s="13" t="n"/>
      <c r="K55" s="31">
        <f>IF(H55="", "",I55/H55)</f>
        <v/>
      </c>
    </row>
    <row r="56" ht="22" customHeight="1">
      <c r="B56" s="16">
        <f>IF(C56="","AEC-"&amp;TEXT(COUNTA($C$5:C56),"000"))</f>
        <v/>
      </c>
      <c r="C56" s="14" t="n"/>
      <c r="D56" s="14" t="n"/>
      <c r="E56" s="34" t="n"/>
      <c r="F56" s="34" t="n"/>
      <c r="G56" s="34">
        <f>IF(OR(E56="",F56=""),"",E56-F56)</f>
        <v/>
      </c>
      <c r="H56" s="15" t="n"/>
      <c r="I56" s="15" t="n"/>
      <c r="J56" s="15" t="n"/>
      <c r="K56" s="32">
        <f>IF(H56="", "",I56/H56)</f>
        <v/>
      </c>
    </row>
    <row r="57" ht="22" customHeight="1">
      <c r="B57" s="17">
        <f>IF(C57="","AEC-"&amp;TEXT(COUNTA($C$5:C57),"000"))</f>
        <v/>
      </c>
      <c r="C57" s="12" t="n"/>
      <c r="D57" s="12" t="n"/>
      <c r="E57" s="33" t="n"/>
      <c r="F57" s="33" t="n"/>
      <c r="G57" s="33">
        <f>IF(OR(E57="",F57=""),"",E57-F57)</f>
        <v/>
      </c>
      <c r="H57" s="13" t="n"/>
      <c r="I57" s="13" t="n"/>
      <c r="J57" s="13" t="n"/>
      <c r="K57" s="31">
        <f>IF(H57="", "",I57/H57)</f>
        <v/>
      </c>
    </row>
    <row r="58" ht="22" customHeight="1">
      <c r="B58" s="16">
        <f>IF(C58="","AEC-"&amp;TEXT(COUNTA($C$5:C58),"000"))</f>
        <v/>
      </c>
      <c r="C58" s="14" t="n"/>
      <c r="D58" s="14" t="n"/>
      <c r="E58" s="34" t="n"/>
      <c r="F58" s="34" t="n"/>
      <c r="G58" s="34">
        <f>IF(OR(E58="",F58=""),"",E58-F58)</f>
        <v/>
      </c>
      <c r="H58" s="15" t="n"/>
      <c r="I58" s="15" t="n"/>
      <c r="J58" s="15" t="n"/>
      <c r="K58" s="32">
        <f>IF(H58="", "",I58/H58)</f>
        <v/>
      </c>
    </row>
    <row r="59" ht="22" customHeight="1">
      <c r="B59" s="17">
        <f>IF(C59="","AEC-"&amp;TEXT(COUNTA($C$5:C59),"000"))</f>
        <v/>
      </c>
      <c r="C59" s="12" t="n"/>
      <c r="D59" s="12" t="n"/>
      <c r="E59" s="33" t="n"/>
      <c r="F59" s="33" t="n"/>
      <c r="G59" s="33">
        <f>IF(OR(E59="",F59=""),"",E59-F59)</f>
        <v/>
      </c>
      <c r="H59" s="13" t="n"/>
      <c r="I59" s="13" t="n"/>
      <c r="J59" s="13" t="n"/>
      <c r="K59" s="31">
        <f>IF(H59="", "",I59/H59)</f>
        <v/>
      </c>
    </row>
    <row r="60" ht="22" customHeight="1">
      <c r="B60" s="16">
        <f>IF(C60="","AEC-"&amp;TEXT(COUNTA($C$5:C60),"000"))</f>
        <v/>
      </c>
      <c r="C60" s="14" t="n"/>
      <c r="D60" s="14" t="n"/>
      <c r="E60" s="34" t="n"/>
      <c r="F60" s="34" t="n"/>
      <c r="G60" s="34">
        <f>IF(OR(E60="",F60=""),"",E60-F60)</f>
        <v/>
      </c>
      <c r="H60" s="15" t="n"/>
      <c r="I60" s="15" t="n"/>
      <c r="J60" s="15" t="n"/>
      <c r="K60" s="32">
        <f>IF(H60="", "",I60/H60)</f>
        <v/>
      </c>
    </row>
    <row r="61" ht="22" customHeight="1">
      <c r="B61" s="17">
        <f>IF(C61="","AEC-"&amp;TEXT(COUNTA($C$5:C61),"000"))</f>
        <v/>
      </c>
      <c r="C61" s="12" t="n"/>
      <c r="D61" s="12" t="n"/>
      <c r="E61" s="33" t="n"/>
      <c r="F61" s="33" t="n"/>
      <c r="G61" s="33">
        <f>IF(OR(E61="",F61=""),"",E61-F61)</f>
        <v/>
      </c>
      <c r="H61" s="13" t="n"/>
      <c r="I61" s="13" t="n"/>
      <c r="J61" s="13" t="n"/>
      <c r="K61" s="31">
        <f>IF(H61="", "",I61/H61)</f>
        <v/>
      </c>
    </row>
    <row r="62" ht="22" customHeight="1">
      <c r="B62" s="16">
        <f>IF(C62="","AEC-"&amp;TEXT(COUNTA($C$5:C62),"000"))</f>
        <v/>
      </c>
      <c r="C62" s="14" t="n"/>
      <c r="D62" s="14" t="n"/>
      <c r="E62" s="34" t="n"/>
      <c r="F62" s="34" t="n"/>
      <c r="G62" s="34">
        <f>IF(OR(E62="",F62=""),"",E62-F62)</f>
        <v/>
      </c>
      <c r="H62" s="15" t="n"/>
      <c r="I62" s="15" t="n"/>
      <c r="J62" s="15" t="n"/>
      <c r="K62" s="32">
        <f>IF(H62="", "",I62/H62)</f>
        <v/>
      </c>
    </row>
    <row r="63" ht="22" customHeight="1">
      <c r="B63" s="17">
        <f>IF(C63="","AEC-"&amp;TEXT(COUNTA($C$5:C63),"000"))</f>
        <v/>
      </c>
      <c r="C63" s="12" t="n"/>
      <c r="D63" s="12" t="n"/>
      <c r="E63" s="33" t="n"/>
      <c r="F63" s="33" t="n"/>
      <c r="G63" s="33">
        <f>IF(OR(E63="",F63=""),"",E63-F63)</f>
        <v/>
      </c>
      <c r="H63" s="13" t="n"/>
      <c r="I63" s="13" t="n"/>
      <c r="J63" s="13" t="n"/>
      <c r="K63" s="31">
        <f>IF(H63="", "",I63/H63)</f>
        <v/>
      </c>
    </row>
    <row r="64" ht="22" customHeight="1">
      <c r="B64" s="16">
        <f>IF(C64="","AEC-"&amp;TEXT(COUNTA($C$5:C64),"000"))</f>
        <v/>
      </c>
      <c r="C64" s="14" t="n"/>
      <c r="D64" s="14" t="n"/>
      <c r="E64" s="34" t="n"/>
      <c r="F64" s="34" t="n"/>
      <c r="G64" s="34">
        <f>IF(OR(E64="",F64=""),"",E64-F64)</f>
        <v/>
      </c>
      <c r="H64" s="15" t="n"/>
      <c r="I64" s="15" t="n"/>
      <c r="J64" s="15" t="n"/>
      <c r="K64" s="32">
        <f>IF(H64="", "",I64/H64)</f>
        <v/>
      </c>
    </row>
    <row r="65" ht="22" customHeight="1">
      <c r="B65" s="17">
        <f>IF(C65="","AEC-"&amp;TEXT(COUNTA($C$5:C65),"000"))</f>
        <v/>
      </c>
      <c r="C65" s="12" t="n"/>
      <c r="D65" s="12" t="n"/>
      <c r="E65" s="33" t="n"/>
      <c r="F65" s="33" t="n"/>
      <c r="G65" s="33">
        <f>IF(OR(E65="",F65=""),"",E65-F65)</f>
        <v/>
      </c>
      <c r="H65" s="13" t="n"/>
      <c r="I65" s="13" t="n"/>
      <c r="J65" s="13" t="n"/>
      <c r="K65" s="31">
        <f>IF(H65="", "",I65/H65)</f>
        <v/>
      </c>
    </row>
    <row r="66" ht="22" customHeight="1">
      <c r="B66" s="16">
        <f>IF(C66="","AEC-"&amp;TEXT(COUNTA($C$5:C66),"000"))</f>
        <v/>
      </c>
      <c r="C66" s="14" t="n"/>
      <c r="D66" s="14" t="n"/>
      <c r="E66" s="34" t="n"/>
      <c r="F66" s="34" t="n"/>
      <c r="G66" s="34">
        <f>IF(OR(E66="",F66=""),"",E66-F66)</f>
        <v/>
      </c>
      <c r="H66" s="15" t="n"/>
      <c r="I66" s="15" t="n"/>
      <c r="J66" s="15" t="n"/>
      <c r="K66" s="32">
        <f>IF(H66="", "",I66/H66)</f>
        <v/>
      </c>
    </row>
    <row r="67" ht="22" customHeight="1">
      <c r="B67" s="17">
        <f>IF(C67="","AEC-"&amp;TEXT(COUNTA($C$5:C67),"000"))</f>
        <v/>
      </c>
      <c r="C67" s="12" t="n"/>
      <c r="D67" s="12" t="n"/>
      <c r="E67" s="33" t="n"/>
      <c r="F67" s="33" t="n"/>
      <c r="G67" s="33">
        <f>IF(OR(E67="",F67=""),"",E67-F67)</f>
        <v/>
      </c>
      <c r="H67" s="13" t="n"/>
      <c r="I67" s="13" t="n"/>
      <c r="J67" s="13" t="n"/>
      <c r="K67" s="31">
        <f>IF(H67="", "",I67/H67)</f>
        <v/>
      </c>
    </row>
    <row r="68" ht="22" customHeight="1">
      <c r="B68" s="16">
        <f>IF(C68="","AEC-"&amp;TEXT(COUNTA($C$5:C68),"000"))</f>
        <v/>
      </c>
      <c r="C68" s="14" t="n"/>
      <c r="D68" s="14" t="n"/>
      <c r="E68" s="34" t="n"/>
      <c r="F68" s="34" t="n"/>
      <c r="G68" s="34">
        <f>IF(OR(E68="",F68=""),"",E68-F68)</f>
        <v/>
      </c>
      <c r="H68" s="15" t="n"/>
      <c r="I68" s="15" t="n"/>
      <c r="J68" s="15" t="n"/>
      <c r="K68" s="32">
        <f>IF(H68="", "",I68/H68)</f>
        <v/>
      </c>
    </row>
    <row r="69" ht="22" customHeight="1">
      <c r="B69" s="17">
        <f>IF(C69="","AEC-"&amp;TEXT(COUNTA($C$5:C69),"000"))</f>
        <v/>
      </c>
      <c r="C69" s="12" t="n"/>
      <c r="D69" s="12" t="n"/>
      <c r="E69" s="33" t="n"/>
      <c r="F69" s="33" t="n"/>
      <c r="G69" s="33">
        <f>IF(OR(E69="",F69=""),"",E69-F69)</f>
        <v/>
      </c>
      <c r="H69" s="13" t="n"/>
      <c r="I69" s="13" t="n"/>
      <c r="J69" s="13" t="n"/>
      <c r="K69" s="31">
        <f>IF(H69="", "",I69/H69)</f>
        <v/>
      </c>
    </row>
    <row r="70" ht="22" customHeight="1">
      <c r="B70" s="16">
        <f>IF(C70="","AEC-"&amp;TEXT(COUNTA($C$5:C70),"000"))</f>
        <v/>
      </c>
      <c r="C70" s="14" t="n"/>
      <c r="D70" s="14" t="n"/>
      <c r="E70" s="34" t="n"/>
      <c r="F70" s="34" t="n"/>
      <c r="G70" s="34">
        <f>IF(OR(E70="",F70=""),"",E70-F70)</f>
        <v/>
      </c>
      <c r="H70" s="15" t="n"/>
      <c r="I70" s="15" t="n"/>
      <c r="J70" s="15" t="n"/>
      <c r="K70" s="32">
        <f>IF(H70="", "",I70/H70)</f>
        <v/>
      </c>
    </row>
    <row r="71" ht="22" customHeight="1">
      <c r="B71" s="17">
        <f>IF(C71="","AEC-"&amp;TEXT(COUNTA($C$5:C71),"000"))</f>
        <v/>
      </c>
      <c r="C71" s="12" t="n"/>
      <c r="D71" s="12" t="n"/>
      <c r="E71" s="33" t="n"/>
      <c r="F71" s="33" t="n"/>
      <c r="G71" s="33">
        <f>IF(OR(E71="",F71=""),"",E71-F71)</f>
        <v/>
      </c>
      <c r="H71" s="13" t="n"/>
      <c r="I71" s="13" t="n"/>
      <c r="J71" s="13" t="n"/>
      <c r="K71" s="31">
        <f>IF(H71="", "",I71/H71)</f>
        <v/>
      </c>
    </row>
    <row r="72" ht="22" customHeight="1">
      <c r="B72" s="16">
        <f>IF(C72="","AEC-"&amp;TEXT(COUNTA($C$5:C72),"000"))</f>
        <v/>
      </c>
      <c r="C72" s="14" t="n"/>
      <c r="D72" s="14" t="n"/>
      <c r="E72" s="34" t="n"/>
      <c r="F72" s="34" t="n"/>
      <c r="G72" s="34">
        <f>IF(OR(E72="",F72=""),"",E72-F72)</f>
        <v/>
      </c>
      <c r="H72" s="15" t="n"/>
      <c r="I72" s="15" t="n"/>
      <c r="J72" s="15" t="n"/>
      <c r="K72" s="32">
        <f>IF(H72="", "",I72/H72)</f>
        <v/>
      </c>
    </row>
    <row r="73" ht="22" customHeight="1">
      <c r="B73" s="17">
        <f>IF(C73="","AEC-"&amp;TEXT(COUNTA($C$5:C73),"000"))</f>
        <v/>
      </c>
      <c r="C73" s="12" t="n"/>
      <c r="D73" s="12" t="n"/>
      <c r="E73" s="33" t="n"/>
      <c r="F73" s="33" t="n"/>
      <c r="G73" s="33">
        <f>IF(OR(E73="",F73=""),"",E73-F73)</f>
        <v/>
      </c>
      <c r="H73" s="13" t="n"/>
      <c r="I73" s="13" t="n"/>
      <c r="J73" s="13" t="n"/>
      <c r="K73" s="31">
        <f>IF(H73="", "",I73/H73)</f>
        <v/>
      </c>
    </row>
    <row r="74" ht="22" customHeight="1">
      <c r="B74" s="16">
        <f>IF(C74="","AEC-"&amp;TEXT(COUNTA($C$5:C74),"000"))</f>
        <v/>
      </c>
      <c r="C74" s="14" t="n"/>
      <c r="D74" s="14" t="n"/>
      <c r="E74" s="34" t="n"/>
      <c r="F74" s="34" t="n"/>
      <c r="G74" s="34">
        <f>IF(OR(E74="",F74=""),"",E74-F74)</f>
        <v/>
      </c>
      <c r="H74" s="15" t="n"/>
      <c r="I74" s="15" t="n"/>
      <c r="J74" s="15" t="n"/>
      <c r="K74" s="32">
        <f>IF(H74="", "",I74/H74)</f>
        <v/>
      </c>
    </row>
    <row r="75" ht="22" customHeight="1">
      <c r="B75" s="17">
        <f>IF(C75="","AEC-"&amp;TEXT(COUNTA($C$5:C75),"000"))</f>
        <v/>
      </c>
      <c r="C75" s="12" t="n"/>
      <c r="D75" s="12" t="n"/>
      <c r="E75" s="33" t="n"/>
      <c r="F75" s="33" t="n"/>
      <c r="G75" s="33">
        <f>IF(OR(E75="",F75=""),"",E75-F75)</f>
        <v/>
      </c>
      <c r="H75" s="13" t="n"/>
      <c r="I75" s="13" t="n"/>
      <c r="J75" s="13" t="n"/>
      <c r="K75" s="31">
        <f>IF(H75="", "",I75/H75)</f>
        <v/>
      </c>
    </row>
    <row r="76" ht="22" customHeight="1">
      <c r="B76" s="16">
        <f>IF(C76="","AEC-"&amp;TEXT(COUNTA($C$5:C76),"000"))</f>
        <v/>
      </c>
      <c r="C76" s="14" t="n"/>
      <c r="D76" s="14" t="n"/>
      <c r="E76" s="34" t="n"/>
      <c r="F76" s="34" t="n"/>
      <c r="G76" s="34">
        <f>IF(OR(E76="",F76=""),"",E76-F76)</f>
        <v/>
      </c>
      <c r="H76" s="15" t="n"/>
      <c r="I76" s="15" t="n"/>
      <c r="J76" s="15" t="n"/>
      <c r="K76" s="32">
        <f>IF(H76="", "",I76/H76)</f>
        <v/>
      </c>
    </row>
    <row r="77" ht="22" customHeight="1">
      <c r="B77" s="17">
        <f>IF(C77="","AEC-"&amp;TEXT(COUNTA($C$5:C77),"000"))</f>
        <v/>
      </c>
      <c r="C77" s="12" t="n"/>
      <c r="D77" s="12" t="n"/>
      <c r="E77" s="33" t="n"/>
      <c r="F77" s="33" t="n"/>
      <c r="G77" s="33">
        <f>IF(OR(E77="",F77=""),"",E77-F77)</f>
        <v/>
      </c>
      <c r="H77" s="13" t="n"/>
      <c r="I77" s="13" t="n"/>
      <c r="J77" s="13" t="n"/>
      <c r="K77" s="31">
        <f>IF(H77="", "",I77/H77)</f>
        <v/>
      </c>
    </row>
    <row r="78" ht="22" customHeight="1">
      <c r="B78" s="16">
        <f>IF(C78="","AEC-"&amp;TEXT(COUNTA($C$5:C78),"000"))</f>
        <v/>
      </c>
      <c r="C78" s="14" t="n"/>
      <c r="D78" s="14" t="n"/>
      <c r="E78" s="34" t="n"/>
      <c r="F78" s="34" t="n"/>
      <c r="G78" s="34">
        <f>IF(OR(E78="",F78=""),"",E78-F78)</f>
        <v/>
      </c>
      <c r="H78" s="15" t="n"/>
      <c r="I78" s="15" t="n"/>
      <c r="J78" s="15" t="n"/>
      <c r="K78" s="32">
        <f>IF(H78="", "",I78/H78)</f>
        <v/>
      </c>
    </row>
    <row r="79" ht="22" customHeight="1">
      <c r="B79" s="17">
        <f>IF(C79="","AEC-"&amp;TEXT(COUNTA($C$5:C79),"000"))</f>
        <v/>
      </c>
      <c r="C79" s="12" t="n"/>
      <c r="D79" s="12" t="n"/>
      <c r="E79" s="33" t="n"/>
      <c r="F79" s="33" t="n"/>
      <c r="G79" s="33">
        <f>IF(OR(E79="",F79=""),"",E79-F79)</f>
        <v/>
      </c>
      <c r="H79" s="13" t="n"/>
      <c r="I79" s="13" t="n"/>
      <c r="J79" s="13" t="n"/>
      <c r="K79" s="31">
        <f>IF(H79="", "",I79/H79)</f>
        <v/>
      </c>
    </row>
    <row r="80" ht="22" customHeight="1">
      <c r="B80" s="16">
        <f>IF(C80="","AEC-"&amp;TEXT(COUNTA($C$5:C80),"000"))</f>
        <v/>
      </c>
      <c r="C80" s="14" t="n"/>
      <c r="D80" s="14" t="n"/>
      <c r="E80" s="34" t="n"/>
      <c r="F80" s="34" t="n"/>
      <c r="G80" s="34">
        <f>IF(OR(E80="",F80=""),"",E80-F80)</f>
        <v/>
      </c>
      <c r="H80" s="15" t="n"/>
      <c r="I80" s="15" t="n"/>
      <c r="J80" s="15" t="n"/>
      <c r="K80" s="32">
        <f>IF(H80="", "",I80/H80)</f>
        <v/>
      </c>
    </row>
    <row r="81" ht="22" customHeight="1">
      <c r="B81" s="17">
        <f>IF(C81="","AEC-"&amp;TEXT(COUNTA($C$5:C81),"000"))</f>
        <v/>
      </c>
      <c r="C81" s="12" t="n"/>
      <c r="D81" s="12" t="n"/>
      <c r="E81" s="33" t="n"/>
      <c r="F81" s="33" t="n"/>
      <c r="G81" s="33">
        <f>IF(OR(E81="",F81=""),"",E81-F81)</f>
        <v/>
      </c>
      <c r="H81" s="13" t="n"/>
      <c r="I81" s="13" t="n"/>
      <c r="J81" s="13" t="n"/>
      <c r="K81" s="31">
        <f>IF(H81="", "",I81/H81)</f>
        <v/>
      </c>
    </row>
    <row r="82" ht="22" customHeight="1">
      <c r="B82" s="16">
        <f>IF(C82="","AEC-"&amp;TEXT(COUNTA($C$5:C82),"000"))</f>
        <v/>
      </c>
      <c r="C82" s="14" t="n"/>
      <c r="D82" s="14" t="n"/>
      <c r="E82" s="34" t="n"/>
      <c r="F82" s="34" t="n"/>
      <c r="G82" s="34">
        <f>IF(OR(E82="",F82=""),"",E82-F82)</f>
        <v/>
      </c>
      <c r="H82" s="15" t="n"/>
      <c r="I82" s="15" t="n"/>
      <c r="J82" s="15" t="n"/>
      <c r="K82" s="32">
        <f>IF(H82="", "",I82/H82)</f>
        <v/>
      </c>
    </row>
    <row r="83" ht="22" customHeight="1">
      <c r="B83" s="17">
        <f>IF(C83="","AEC-"&amp;TEXT(COUNTA($C$5:C83),"000"))</f>
        <v/>
      </c>
      <c r="C83" s="12" t="n"/>
      <c r="D83" s="12" t="n"/>
      <c r="E83" s="33" t="n"/>
      <c r="F83" s="33" t="n"/>
      <c r="G83" s="33">
        <f>IF(OR(E83="",F83=""),"",E83-F83)</f>
        <v/>
      </c>
      <c r="H83" s="13" t="n"/>
      <c r="I83" s="13" t="n"/>
      <c r="J83" s="13" t="n"/>
      <c r="K83" s="31">
        <f>IF(H83="", "",I83/H83)</f>
        <v/>
      </c>
    </row>
    <row r="84" ht="22" customHeight="1">
      <c r="B84" s="16">
        <f>IF(C84="","AEC-"&amp;TEXT(COUNTA($C$5:C84),"000"))</f>
        <v/>
      </c>
      <c r="C84" s="14" t="n"/>
      <c r="D84" s="14" t="n"/>
      <c r="E84" s="34" t="n"/>
      <c r="F84" s="34" t="n"/>
      <c r="G84" s="34">
        <f>IF(OR(E84="",F84=""),"",E84-F84)</f>
        <v/>
      </c>
      <c r="H84" s="15" t="n"/>
      <c r="I84" s="15" t="n"/>
      <c r="J84" s="15" t="n"/>
      <c r="K84" s="32">
        <f>IF(H84="", "",I84/H84)</f>
        <v/>
      </c>
    </row>
    <row r="85" ht="22" customHeight="1">
      <c r="B85" s="17">
        <f>IF(C85="","AEC-"&amp;TEXT(COUNTA($C$5:C85),"000"))</f>
        <v/>
      </c>
      <c r="C85" s="12" t="n"/>
      <c r="D85" s="12" t="n"/>
      <c r="E85" s="33" t="n"/>
      <c r="F85" s="33" t="n"/>
      <c r="G85" s="33">
        <f>IF(OR(E85="",F85=""),"",E85-F85)</f>
        <v/>
      </c>
      <c r="H85" s="13" t="n"/>
      <c r="I85" s="13" t="n"/>
      <c r="J85" s="13" t="n"/>
      <c r="K85" s="31">
        <f>IF(H85="", "",I85/H85)</f>
        <v/>
      </c>
    </row>
    <row r="86" ht="22" customHeight="1">
      <c r="B86" s="16">
        <f>IF(C86="","AEC-"&amp;TEXT(COUNTA($C$5:C86),"000"))</f>
        <v/>
      </c>
      <c r="C86" s="14" t="n"/>
      <c r="D86" s="14" t="n"/>
      <c r="E86" s="34" t="n"/>
      <c r="F86" s="34" t="n"/>
      <c r="G86" s="34">
        <f>IF(OR(E86="",F86=""),"",E86-F86)</f>
        <v/>
      </c>
      <c r="H86" s="15" t="n"/>
      <c r="I86" s="15" t="n"/>
      <c r="J86" s="15" t="n"/>
      <c r="K86" s="32">
        <f>IF(H86="", "",I86/H86)</f>
        <v/>
      </c>
    </row>
    <row r="87" ht="22" customHeight="1">
      <c r="B87" s="17">
        <f>IF(C87="","AEC-"&amp;TEXT(COUNTA($C$5:C87),"000"))</f>
        <v/>
      </c>
      <c r="C87" s="12" t="n"/>
      <c r="D87" s="12" t="n"/>
      <c r="E87" s="33" t="n"/>
      <c r="F87" s="33" t="n"/>
      <c r="G87" s="33">
        <f>IF(OR(E87="",F87=""),"",E87-F87)</f>
        <v/>
      </c>
      <c r="H87" s="13" t="n"/>
      <c r="I87" s="13" t="n"/>
      <c r="J87" s="13" t="n"/>
      <c r="K87" s="31">
        <f>IF(H87="", "",I87/H87)</f>
        <v/>
      </c>
    </row>
    <row r="88" ht="22" customHeight="1">
      <c r="B88" s="16">
        <f>IF(C88="","AEC-"&amp;TEXT(COUNTA($C$5:C88),"000"))</f>
        <v/>
      </c>
      <c r="C88" s="14" t="n"/>
      <c r="D88" s="14" t="n"/>
      <c r="E88" s="34" t="n"/>
      <c r="F88" s="34" t="n"/>
      <c r="G88" s="34">
        <f>IF(OR(E88="",F88=""),"",E88-F88)</f>
        <v/>
      </c>
      <c r="H88" s="15" t="n"/>
      <c r="I88" s="15" t="n"/>
      <c r="J88" s="15" t="n"/>
      <c r="K88" s="32">
        <f>IF(H88="", "",I88/H88)</f>
        <v/>
      </c>
    </row>
    <row r="89" ht="22" customHeight="1">
      <c r="B89" s="17">
        <f>IF(C89="","AEC-"&amp;TEXT(COUNTA($C$5:C89),"000"))</f>
        <v/>
      </c>
      <c r="C89" s="12" t="n"/>
      <c r="D89" s="12" t="n"/>
      <c r="E89" s="33" t="n"/>
      <c r="F89" s="33" t="n"/>
      <c r="G89" s="33">
        <f>IF(OR(E89="",F89=""),"",E89-F89)</f>
        <v/>
      </c>
      <c r="H89" s="13" t="n"/>
      <c r="I89" s="13" t="n"/>
      <c r="J89" s="13" t="n"/>
      <c r="K89" s="31">
        <f>IF(H89="", "",I89/H89)</f>
        <v/>
      </c>
    </row>
    <row r="90" ht="22" customHeight="1">
      <c r="B90" s="16">
        <f>IF(C90="","AEC-"&amp;TEXT(COUNTA($C$5:C90),"000"))</f>
        <v/>
      </c>
      <c r="C90" s="14" t="n"/>
      <c r="D90" s="14" t="n"/>
      <c r="E90" s="34" t="n"/>
      <c r="F90" s="34" t="n"/>
      <c r="G90" s="34">
        <f>IF(OR(E90="",F90=""),"",E90-F90)</f>
        <v/>
      </c>
      <c r="H90" s="15" t="n"/>
      <c r="I90" s="15" t="n"/>
      <c r="J90" s="15" t="n"/>
      <c r="K90" s="32">
        <f>IF(H90="", "",I90/H90)</f>
        <v/>
      </c>
    </row>
    <row r="91" ht="22" customHeight="1">
      <c r="B91" s="17">
        <f>IF(C91="","AEC-"&amp;TEXT(COUNTA($C$5:C91),"000"))</f>
        <v/>
      </c>
      <c r="C91" s="12" t="n"/>
      <c r="D91" s="12" t="n"/>
      <c r="E91" s="33" t="n"/>
      <c r="F91" s="33" t="n"/>
      <c r="G91" s="33">
        <f>IF(OR(E91="",F91=""),"",E91-F91)</f>
        <v/>
      </c>
      <c r="H91" s="13" t="n"/>
      <c r="I91" s="13" t="n"/>
      <c r="J91" s="13" t="n"/>
      <c r="K91" s="31">
        <f>IF(H91="", "",I91/H91)</f>
        <v/>
      </c>
    </row>
    <row r="92" ht="22" customHeight="1">
      <c r="B92" s="16">
        <f>IF(C92="","AEC-"&amp;TEXT(COUNTA($C$5:C92),"000"))</f>
        <v/>
      </c>
      <c r="C92" s="14" t="n"/>
      <c r="D92" s="14" t="n"/>
      <c r="E92" s="34" t="n"/>
      <c r="F92" s="34" t="n"/>
      <c r="G92" s="34">
        <f>IF(OR(E92="",F92=""),"",E92-F92)</f>
        <v/>
      </c>
      <c r="H92" s="15" t="n"/>
      <c r="I92" s="15" t="n"/>
      <c r="J92" s="15" t="n"/>
      <c r="K92" s="32">
        <f>IF(H92="", "",I92/H92)</f>
        <v/>
      </c>
    </row>
    <row r="93" ht="22" customHeight="1">
      <c r="B93" s="17">
        <f>IF(C93="","AEC-"&amp;TEXT(COUNTA($C$5:C93),"000"))</f>
        <v/>
      </c>
      <c r="C93" s="12" t="n"/>
      <c r="D93" s="12" t="n"/>
      <c r="E93" s="33" t="n"/>
      <c r="F93" s="33" t="n"/>
      <c r="G93" s="33">
        <f>IF(OR(E93="",F93=""),"",E93-F93)</f>
        <v/>
      </c>
      <c r="H93" s="13" t="n"/>
      <c r="I93" s="13" t="n"/>
      <c r="J93" s="13" t="n"/>
      <c r="K93" s="31">
        <f>IF(H93="", "",I93/H93)</f>
        <v/>
      </c>
    </row>
    <row r="94" ht="22" customHeight="1">
      <c r="B94" s="16">
        <f>IF(C94="","AEC-"&amp;TEXT(COUNTA($C$5:C94),"000"))</f>
        <v/>
      </c>
      <c r="C94" s="14" t="n"/>
      <c r="D94" s="14" t="n"/>
      <c r="E94" s="34" t="n"/>
      <c r="F94" s="34" t="n"/>
      <c r="G94" s="34">
        <f>IF(OR(E94="",F94=""),"",E94-F94)</f>
        <v/>
      </c>
      <c r="H94" s="15" t="n"/>
      <c r="I94" s="15" t="n"/>
      <c r="J94" s="15" t="n"/>
      <c r="K94" s="32">
        <f>IF(H94="", "",I94/H94)</f>
        <v/>
      </c>
    </row>
    <row r="95" ht="22" customHeight="1">
      <c r="B95" s="17">
        <f>IF(C95="","AEC-"&amp;TEXT(COUNTA($C$5:C95),"000"))</f>
        <v/>
      </c>
      <c r="C95" s="12" t="n"/>
      <c r="D95" s="12" t="n"/>
      <c r="E95" s="33" t="n"/>
      <c r="F95" s="33" t="n"/>
      <c r="G95" s="33">
        <f>IF(OR(E95="",F95=""),"",E95-F95)</f>
        <v/>
      </c>
      <c r="H95" s="13" t="n"/>
      <c r="I95" s="13" t="n"/>
      <c r="J95" s="13" t="n"/>
      <c r="K95" s="31">
        <f>IF(H95="", "",I95/H95)</f>
        <v/>
      </c>
    </row>
    <row r="96" ht="22" customHeight="1">
      <c r="B96" s="16">
        <f>IF(C96="","AEC-"&amp;TEXT(COUNTA($C$5:C96),"000"))</f>
        <v/>
      </c>
      <c r="C96" s="14" t="n"/>
      <c r="D96" s="14" t="n"/>
      <c r="E96" s="34" t="n"/>
      <c r="F96" s="34" t="n"/>
      <c r="G96" s="34">
        <f>IF(OR(E96="",F96=""),"",E96-F96)</f>
        <v/>
      </c>
      <c r="H96" s="15" t="n"/>
      <c r="I96" s="15" t="n"/>
      <c r="J96" s="15" t="n"/>
      <c r="K96" s="32">
        <f>IF(H96="", "",I96/H96)</f>
        <v/>
      </c>
    </row>
    <row r="97" ht="22" customHeight="1">
      <c r="B97" s="17">
        <f>IF(C97="","AEC-"&amp;TEXT(COUNTA($C$5:C97),"000"))</f>
        <v/>
      </c>
      <c r="C97" s="12" t="n"/>
      <c r="D97" s="12" t="n"/>
      <c r="E97" s="33" t="n"/>
      <c r="F97" s="33" t="n"/>
      <c r="G97" s="33">
        <f>IF(OR(E97="",F97=""),"",E97-F97)</f>
        <v/>
      </c>
      <c r="H97" s="13" t="n"/>
      <c r="I97" s="13" t="n"/>
      <c r="J97" s="13" t="n"/>
      <c r="K97" s="31">
        <f>IF(H97="", "",I97/H97)</f>
        <v/>
      </c>
    </row>
    <row r="98" ht="22" customHeight="1">
      <c r="B98" s="16">
        <f>IF(C98="","AEC-"&amp;TEXT(COUNTA($C$5:C98),"000"))</f>
        <v/>
      </c>
      <c r="C98" s="14" t="n"/>
      <c r="D98" s="14" t="n"/>
      <c r="E98" s="34" t="n"/>
      <c r="F98" s="34" t="n"/>
      <c r="G98" s="34">
        <f>IF(OR(E98="",F98=""),"",E98-F98)</f>
        <v/>
      </c>
      <c r="H98" s="15" t="n"/>
      <c r="I98" s="15" t="n"/>
      <c r="J98" s="15" t="n"/>
      <c r="K98" s="32">
        <f>IF(H98="", "",I98/H98)</f>
        <v/>
      </c>
    </row>
    <row r="99" ht="22" customHeight="1">
      <c r="B99" s="17">
        <f>IF(C99="","AEC-"&amp;TEXT(COUNTA($C$5:C99),"000"))</f>
        <v/>
      </c>
      <c r="C99" s="12" t="n"/>
      <c r="D99" s="12" t="n"/>
      <c r="E99" s="33" t="n"/>
      <c r="F99" s="33" t="n"/>
      <c r="G99" s="33">
        <f>IF(OR(E99="",F99=""),"",E99-F99)</f>
        <v/>
      </c>
      <c r="H99" s="13" t="n"/>
      <c r="I99" s="13" t="n"/>
      <c r="J99" s="13" t="n"/>
      <c r="K99" s="31">
        <f>IF(H99="", "",I99/H99)</f>
        <v/>
      </c>
    </row>
    <row r="100" ht="22" customHeight="1">
      <c r="B100" s="16">
        <f>IF(C100="","AEC-"&amp;TEXT(COUNTA($C$5:C100),"000"))</f>
        <v/>
      </c>
      <c r="C100" s="14" t="n"/>
      <c r="D100" s="14" t="n"/>
      <c r="E100" s="34" t="n"/>
      <c r="F100" s="34" t="n"/>
      <c r="G100" s="34">
        <f>IF(OR(E100="",F100=""),"",E100-F100)</f>
        <v/>
      </c>
      <c r="H100" s="15" t="n"/>
      <c r="I100" s="15" t="n"/>
      <c r="J100" s="15" t="n"/>
      <c r="K100" s="32">
        <f>IF(H100="", "",I100/H100)</f>
        <v/>
      </c>
    </row>
    <row r="101" ht="22" customHeight="1">
      <c r="B101" s="17">
        <f>IF(C101="","AEC-"&amp;TEXT(COUNTA($C$5:C101),"000"))</f>
        <v/>
      </c>
      <c r="C101" s="12" t="n"/>
      <c r="D101" s="12" t="n"/>
      <c r="E101" s="33" t="n"/>
      <c r="F101" s="33" t="n"/>
      <c r="G101" s="33">
        <f>IF(OR(E101="",F101=""),"",E101-F101)</f>
        <v/>
      </c>
      <c r="H101" s="13" t="n"/>
      <c r="I101" s="13" t="n"/>
      <c r="J101" s="13" t="n"/>
      <c r="K101" s="31">
        <f>IF(H101="", "",I101/H101)</f>
        <v/>
      </c>
    </row>
    <row r="102" ht="22" customHeight="1">
      <c r="B102" s="16">
        <f>IF(C102="","AEC-"&amp;TEXT(COUNTA($C$5:C102),"000"))</f>
        <v/>
      </c>
      <c r="C102" s="14" t="n"/>
      <c r="D102" s="14" t="n"/>
      <c r="E102" s="34" t="n"/>
      <c r="F102" s="34" t="n"/>
      <c r="G102" s="34">
        <f>IF(OR(E102="",F102=""),"",E102-F102)</f>
        <v/>
      </c>
      <c r="H102" s="15" t="n"/>
      <c r="I102" s="15" t="n"/>
      <c r="J102" s="15" t="n"/>
      <c r="K102" s="32">
        <f>IF(H102="", "",I102/H102)</f>
        <v/>
      </c>
    </row>
    <row r="103" ht="22" customHeight="1">
      <c r="B103" s="17">
        <f>IF(C103="","AEC-"&amp;TEXT(COUNTA($C$5:C103),"000"))</f>
        <v/>
      </c>
      <c r="C103" s="12" t="n"/>
      <c r="D103" s="12" t="n"/>
      <c r="E103" s="33" t="n"/>
      <c r="F103" s="33" t="n"/>
      <c r="G103" s="33">
        <f>IF(OR(E103="",F103=""),"",E103-F103)</f>
        <v/>
      </c>
      <c r="H103" s="13" t="n"/>
      <c r="I103" s="13" t="n"/>
      <c r="J103" s="13" t="n"/>
      <c r="K103" s="31">
        <f>IF(H103="", "",I103/H103)</f>
        <v/>
      </c>
    </row>
    <row r="104" ht="22" customHeight="1">
      <c r="B104" s="16">
        <f>IF(C104="","AEC-"&amp;TEXT(COUNTA($C$5:C104),"000"))</f>
        <v/>
      </c>
      <c r="C104" s="14" t="n"/>
      <c r="D104" s="14" t="n"/>
      <c r="E104" s="34" t="n"/>
      <c r="F104" s="34" t="n"/>
      <c r="G104" s="34">
        <f>IF(OR(E104="",F104=""),"",E104-F104)</f>
        <v/>
      </c>
      <c r="H104" s="15" t="n"/>
      <c r="I104" s="15" t="n"/>
      <c r="J104" s="15" t="n"/>
      <c r="K104" s="32">
        <f>IF(H104="", "",I104/H104)</f>
        <v/>
      </c>
    </row>
    <row r="105" ht="22" customHeight="1">
      <c r="B105" s="17">
        <f>IF(C105="","AEC-"&amp;TEXT(COUNTA($C$5:C105),"000"))</f>
        <v/>
      </c>
      <c r="C105" s="12" t="n"/>
      <c r="D105" s="12" t="n"/>
      <c r="E105" s="33" t="n"/>
      <c r="F105" s="33" t="n"/>
      <c r="G105" s="33">
        <f>IF(OR(E105="",F105=""),"",E105-F105)</f>
        <v/>
      </c>
      <c r="H105" s="13" t="n"/>
      <c r="I105" s="13" t="n"/>
      <c r="J105" s="13" t="n"/>
      <c r="K105" s="31">
        <f>IF(H105="", "",I105/H105)</f>
        <v/>
      </c>
    </row>
    <row r="106" ht="22" customHeight="1">
      <c r="B106" s="16">
        <f>IF(C106="","AEC-"&amp;TEXT(COUNTA($C$5:C106),"000"))</f>
        <v/>
      </c>
      <c r="C106" s="14" t="n"/>
      <c r="D106" s="14" t="n"/>
      <c r="E106" s="34" t="n"/>
      <c r="F106" s="34" t="n"/>
      <c r="G106" s="34">
        <f>IF(OR(E106="",F106=""),"",E106-F106)</f>
        <v/>
      </c>
      <c r="H106" s="15" t="n"/>
      <c r="I106" s="15" t="n"/>
      <c r="J106" s="15" t="n"/>
      <c r="K106" s="32">
        <f>IF(H106="", "",I106/H106)</f>
        <v/>
      </c>
    </row>
    <row r="107" ht="22" customHeight="1">
      <c r="B107" s="17">
        <f>IF(C107="","AEC-"&amp;TEXT(COUNTA($C$5:C107),"000"))</f>
        <v/>
      </c>
      <c r="C107" s="12" t="n"/>
      <c r="D107" s="12" t="n"/>
      <c r="E107" s="33" t="n"/>
      <c r="F107" s="33" t="n"/>
      <c r="G107" s="33">
        <f>IF(OR(E107="",F107=""),"",E107-F107)</f>
        <v/>
      </c>
      <c r="H107" s="13" t="n"/>
      <c r="I107" s="13" t="n"/>
      <c r="J107" s="13" t="n"/>
      <c r="K107" s="31">
        <f>IF(H107="", "",I107/H107)</f>
        <v/>
      </c>
    </row>
    <row r="108" ht="22" customHeight="1">
      <c r="B108" s="16">
        <f>IF(C108="","AEC-"&amp;TEXT(COUNTA($C$5:C108),"000"))</f>
        <v/>
      </c>
      <c r="C108" s="14" t="n"/>
      <c r="D108" s="14" t="n"/>
      <c r="E108" s="34" t="n"/>
      <c r="F108" s="34" t="n"/>
      <c r="G108" s="34">
        <f>IF(OR(E108="",F108=""),"",E108-F108)</f>
        <v/>
      </c>
      <c r="H108" s="15" t="n"/>
      <c r="I108" s="15" t="n"/>
      <c r="J108" s="15" t="n"/>
      <c r="K108" s="32">
        <f>IF(H108="", "",I108/H108)</f>
        <v/>
      </c>
    </row>
    <row r="109" ht="22" customHeight="1">
      <c r="B109" s="17">
        <f>IF(C109="","AEC-"&amp;TEXT(COUNTA($C$5:C109),"000"))</f>
        <v/>
      </c>
      <c r="C109" s="12" t="n"/>
      <c r="D109" s="12" t="n"/>
      <c r="E109" s="33" t="n"/>
      <c r="F109" s="33" t="n"/>
      <c r="G109" s="33">
        <f>IF(OR(E109="",F109=""),"",E109-F109)</f>
        <v/>
      </c>
      <c r="H109" s="13" t="n"/>
      <c r="I109" s="13" t="n"/>
      <c r="J109" s="13" t="n"/>
      <c r="K109" s="31">
        <f>IF(H109="", "",I109/H109)</f>
        <v/>
      </c>
    </row>
    <row r="110"/>
    <row r="111" ht="26" customHeight="1">
      <c r="B111" s="22" t="inlineStr">
        <is>
          <t>TOTAL</t>
        </is>
      </c>
      <c r="C111" s="23" t="n"/>
      <c r="D111" s="23" t="n"/>
      <c r="E111" s="23" t="n"/>
      <c r="F111" s="23" t="n"/>
      <c r="G111" s="23" t="n"/>
      <c r="H111" s="24">
        <f>SUM(H5:H104)</f>
        <v/>
      </c>
      <c r="I111" s="24">
        <f>SUM(I5:I104)</f>
        <v/>
      </c>
      <c r="J111" s="24">
        <f>SUM(J5:J104)</f>
        <v/>
      </c>
      <c r="K111" s="23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Competences critiques</t>
        </is>
      </c>
      <c r="D114" s="3" t="inlineStr">
        <is>
          <t>Ecart moy. global</t>
        </is>
      </c>
      <c r="F114" s="3" t="inlineStr">
        <is>
          <t>Taux couv. moyen</t>
        </is>
      </c>
    </row>
    <row r="115">
      <c r="B115" s="4">
        <f>COUNTIF(B5:B104,"&lt;&gt;")</f>
        <v/>
      </c>
      <c r="D115" s="4">
        <f>IFERROR(AVERAGE(G5:G104),0)</f>
        <v/>
      </c>
      <c r="F115" s="4">
        <f>IFERROR(AVERAGE(K5:K104),0)</f>
        <v/>
      </c>
    </row>
  </sheetData>
  <mergeCells count="3">
    <mergeCell ref="B113:K113"/>
    <mergeCell ref="B3:K3"/>
    <mergeCell ref="B2:K2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'_Lists'!$B$2:$B$14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2026-07-06T06:16:08Z</dcterms:created>
  <dcterms:modified xmlns:dcterms="http://purl.org/dc/terms/" xmlns:xsi="http://www.w3.org/2001/XMLSchema-instance" xsi:type="dcterms:W3CDTF">2026-07-09T16:49:06Z</dcterms:modified>
</cp:coreProperties>
</file>