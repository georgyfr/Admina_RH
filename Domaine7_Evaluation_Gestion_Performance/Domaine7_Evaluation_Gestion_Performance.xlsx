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ableau de Bord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2-Grille Evaluation Annuelle" sheetId="3" state="visible" r:id="rId3"/>
    <sheet xmlns:r="http://schemas.openxmlformats.org/officeDocument/2006/relationships" name="3-Objectifs Individuels SMART" sheetId="4" state="visible" r:id="rId4"/>
    <sheet xmlns:r="http://schemas.openxmlformats.org/officeDocument/2006/relationships" name="4-Entretiens Annuels Eval." sheetId="5" state="visible" r:id="rId5"/>
    <sheet xmlns:r="http://schemas.openxmlformats.org/officeDocument/2006/relationships" name="5-Evaluation a l'Essai" sheetId="6" state="visible" r:id="rId6"/>
    <sheet xmlns:r="http://schemas.openxmlformats.org/officeDocument/2006/relationships" name="6-Evaluation 360 Degres" sheetId="7" state="visible" r:id="rId7"/>
    <sheet xmlns:r="http://schemas.openxmlformats.org/officeDocument/2006/relationships" name="7-KPI Individuels Employes" sheetId="8" state="visible" r:id="rId8"/>
    <sheet xmlns:r="http://schemas.openxmlformats.org/officeDocument/2006/relationships" name="8-Plan Amelioration (PAP)" sheetId="9" state="visible" r:id="rId9"/>
    <sheet xmlns:r="http://schemas.openxmlformats.org/officeDocument/2006/relationships" name="9-Classement Employes" sheetId="10" state="visible" r:id="rId10"/>
    <sheet xmlns:r="http://schemas.openxmlformats.org/officeDocument/2006/relationships" name="10-Primes Performance Merite" sheetId="11" state="visible" r:id="rId11"/>
    <sheet xmlns:r="http://schemas.openxmlformats.org/officeDocument/2006/relationships" name="11-TdB Individuel Performance" sheetId="12" state="visible" r:id="rId12"/>
    <sheet xmlns:r="http://schemas.openxmlformats.org/officeDocument/2006/relationships" name="12-Bilan Performance par Svc" sheetId="13" state="visible" r:id="rId13"/>
    <sheet xmlns:r="http://schemas.openxmlformats.org/officeDocument/2006/relationships" name="13-Historique Eval. Employe" sheetId="14" state="visible" r:id="rId14"/>
    <sheet xmlns:r="http://schemas.openxmlformats.org/officeDocument/2006/relationships" name="14-Suivi Essai Mensuel" sheetId="15" state="visible" r:id="rId15"/>
    <sheet xmlns:r="http://schemas.openxmlformats.org/officeDocument/2006/relationships" name="15-Formation &amp; Performance" sheetId="16" state="visible" r:id="rId16"/>
    <sheet xmlns:r="http://schemas.openxmlformats.org/officeDocument/2006/relationships" name="16-Objectifs par Trimestre" sheetId="17" state="visible" r:id="rId17"/>
    <sheet xmlns:r="http://schemas.openxmlformats.org/officeDocument/2006/relationships" name="17-Rapports Evaluation" sheetId="18" state="visible" r:id="rId18"/>
    <sheet xmlns:r="http://schemas.openxmlformats.org/officeDocument/2006/relationships" name="18-Decisions RH Post-Eval.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4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64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right" vertical="center"/>
    </xf>
    <xf numFmtId="9" fontId="8" fillId="4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Note Moyenne par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Bord'!$B$20:$B$26</f>
            </numRef>
          </cat>
          <val>
            <numRef>
              <f>'1-Tableau de Bord'!$C$20:$C$26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Distribution des Classements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Bord'!$H$29:$H$33</f>
            </numRef>
          </cat>
          <val>
            <numRef>
              <f>'1-Tableau de Bord'!$I$29:$I$33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7 — EVALUATION &amp; GESTION DE LA PERFORMANCE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Evaluations annuelles</t>
        </is>
      </c>
      <c r="E5" s="3" t="inlineStr">
        <is>
          <t>Note moyenne (/20)</t>
        </is>
      </c>
      <c r="H5" s="3" t="inlineStr">
        <is>
          <t>Objectifs definis</t>
        </is>
      </c>
      <c r="K5" s="3" t="inlineStr">
        <is>
          <t>Objectifs atteints</t>
        </is>
      </c>
    </row>
    <row r="6">
      <c r="B6" s="4">
        <f>COUNTIF('2-Grille Evaluation Annuelle'!B5:B104,"&lt;&gt;")</f>
        <v/>
      </c>
      <c r="E6" s="5">
        <f>IFERROR(AVERAGE('2-Grille Evaluation Annuelle'!K5:K104),0)</f>
        <v/>
      </c>
      <c r="H6" s="4">
        <f>COUNTIF('3-Objectifs Individuels SMART'!B5:B104,"&lt;&gt;")</f>
        <v/>
      </c>
      <c r="K6" s="4">
        <f>COUNTIF('3-Objectifs Individuels SMART'!M5:M104,"Atteint")+COUNTIF('3-Objectifs Individuels SMART'!M5:M104,"Depasse")</f>
        <v/>
      </c>
    </row>
    <row r="9">
      <c r="B9" s="3" t="inlineStr">
        <is>
          <t>Entretiens realises</t>
        </is>
      </c>
      <c r="E9" s="3" t="inlineStr">
        <is>
          <t>Evaluations essai</t>
        </is>
      </c>
      <c r="H9" s="3" t="inlineStr">
        <is>
          <t>Evaluations 360</t>
        </is>
      </c>
      <c r="K9" s="3" t="inlineStr">
        <is>
          <t>KPI individuels</t>
        </is>
      </c>
    </row>
    <row r="10">
      <c r="B10" s="4">
        <f>COUNTIF('4-Entretiens Annuels Eval.'!B5:B104,"&lt;&gt;")</f>
        <v/>
      </c>
      <c r="E10" s="4">
        <f>COUNTIF('5-Evaluation a l''Essai'!B5:B104,"&lt;&gt;")</f>
        <v/>
      </c>
      <c r="H10" s="4">
        <f>COUNTIF('6-Evaluation 360 Degres'!B5:B104,"&lt;&gt;")</f>
        <v/>
      </c>
      <c r="K10" s="4">
        <f>COUNTIF('7-KPI Individuels Employes'!B5:B104,"&lt;&gt;")</f>
        <v/>
      </c>
    </row>
    <row r="13">
      <c r="B13" s="3" t="inlineStr">
        <is>
          <t>PAP actifs</t>
        </is>
      </c>
      <c r="E13" s="3" t="inlineStr">
        <is>
          <t>Primes (FCFA)</t>
        </is>
      </c>
      <c r="H13" s="3" t="inlineStr">
        <is>
          <t>Score global moyen</t>
        </is>
      </c>
      <c r="K13" s="3" t="inlineStr">
        <is>
          <t>PAP en cours</t>
        </is>
      </c>
    </row>
    <row r="14">
      <c r="B14" s="4">
        <f>COUNTIF('8-Plan Amelioration (PAP)'!B5:B104,"&lt;&gt;")</f>
        <v/>
      </c>
      <c r="E14" s="4">
        <f>SUM('10-Primes Performance Merite'!K5:K104)</f>
        <v/>
      </c>
      <c r="H14" s="5">
        <f>IFERROR(AVERAGE('11-TdB Individuel Performance'!M5:M104),0)</f>
        <v/>
      </c>
      <c r="K14" s="4">
        <f>COUNTIF('8-Plan Amelioration (PAP)'!M5:M104,"En cours")</f>
        <v/>
      </c>
    </row>
    <row r="18">
      <c r="B18" s="6" t="inlineStr">
        <is>
          <t>PERFORMANCE PAR SERVICE &amp; DISTRIBUTION DES NOTES</t>
        </is>
      </c>
    </row>
    <row r="19" ht="15" customHeight="1">
      <c r="B19" s="3" t="inlineStr">
        <is>
          <t>Service</t>
        </is>
      </c>
      <c r="C19" s="3" t="inlineStr">
        <is>
          <t>Note Moy. (/20)</t>
        </is>
      </c>
    </row>
    <row r="20" ht="15" customHeight="1">
      <c r="B20" s="7" t="inlineStr">
        <is>
          <t>RH</t>
        </is>
      </c>
      <c r="C20" s="8">
        <f>IFERROR(AVERAGEIF('12-Bilan Performance par Svc'!C5:C104,"*RH*",'12-Bilan Performance par Svc'!F5:F104),0)</f>
        <v/>
      </c>
    </row>
    <row r="21" ht="15" customHeight="1">
      <c r="B21" s="7" t="inlineStr">
        <is>
          <t>Informatique</t>
        </is>
      </c>
      <c r="C21" s="8">
        <f>IFERROR(AVERAGEIF('12-Bilan Performance par Svc'!C5:C104,"*Informatique*",'12-Bilan Performance par Svc'!F5:F104),0)</f>
        <v/>
      </c>
    </row>
    <row r="22" ht="15" customHeight="1">
      <c r="B22" s="7" t="inlineStr">
        <is>
          <t>Finance</t>
        </is>
      </c>
      <c r="C22" s="8">
        <f>IFERROR(AVERAGEIF('12-Bilan Performance par Svc'!C5:C104,"*Finance*",'12-Bilan Performance par Svc'!F5:F104),0)</f>
        <v/>
      </c>
    </row>
    <row r="23" ht="15" customHeight="1">
      <c r="B23" s="7" t="inlineStr">
        <is>
          <t>Reception</t>
        </is>
      </c>
      <c r="C23" s="8">
        <f>IFERROR(AVERAGEIF('12-Bilan Performance par Svc'!C5:C104,"*Reception*",'12-Bilan Performance par Svc'!F5:F104),0)</f>
        <v/>
      </c>
    </row>
    <row r="24" ht="15" customHeight="1">
      <c r="B24" s="7" t="inlineStr">
        <is>
          <t>Cuisine</t>
        </is>
      </c>
      <c r="C24" s="8">
        <f>IFERROR(AVERAGEIF('12-Bilan Performance par Svc'!C5:C104,"*Cuisine*",'12-Bilan Performance par Svc'!F5:F104),0)</f>
        <v/>
      </c>
    </row>
    <row r="25" ht="15" customHeight="1">
      <c r="B25" s="7" t="inlineStr">
        <is>
          <t>Entretien</t>
        </is>
      </c>
      <c r="C25" s="8">
        <f>IFERROR(AVERAGEIF('12-Bilan Performance par Svc'!C5:C104,"*Entretien*",'12-Bilan Performance par Svc'!F5:F104),0)</f>
        <v/>
      </c>
    </row>
    <row r="26" ht="15" customHeight="1">
      <c r="B26" s="7" t="inlineStr">
        <is>
          <t>Securite</t>
        </is>
      </c>
      <c r="C26" s="8">
        <f>IFERROR(AVERAGEIF('12-Bilan Performance par Svc'!C5:C104,"*Securite*",'12-Bilan Performance par Svc'!F5:F104),0)</f>
        <v/>
      </c>
    </row>
    <row r="27" ht="15" customHeight="1"/>
    <row r="28" ht="15" customHeight="1">
      <c r="H28" s="3" t="inlineStr">
        <is>
          <t>Classement</t>
        </is>
      </c>
      <c r="I28" s="3" t="inlineStr">
        <is>
          <t>Nb Employes</t>
        </is>
      </c>
    </row>
    <row r="29" ht="15" customHeight="1">
      <c r="H29" s="7" t="inlineStr">
        <is>
          <t>A - Excellent</t>
        </is>
      </c>
      <c r="I29" s="9">
        <f>COUNTIF('9-Classement Employes'!H5:H104,"A - Excellent")</f>
        <v/>
      </c>
    </row>
    <row r="30" ht="15" customHeight="1">
      <c r="H30" s="7" t="inlineStr">
        <is>
          <t>B - Tres bon</t>
        </is>
      </c>
      <c r="I30" s="9">
        <f>COUNTIF('9-Classement Employes'!H5:H104,"B - Tres bon")</f>
        <v/>
      </c>
    </row>
    <row r="31" ht="15" customHeight="1">
      <c r="H31" s="7" t="inlineStr">
        <is>
          <t>C - Bon</t>
        </is>
      </c>
      <c r="I31" s="9">
        <f>COUNTIF('9-Classement Employes'!H5:H104,"C - Bon")</f>
        <v/>
      </c>
    </row>
    <row r="32" ht="15" customHeight="1">
      <c r="H32" s="7" t="inlineStr">
        <is>
          <t>D - Moyen</t>
        </is>
      </c>
      <c r="I32" s="9">
        <f>COUNTIF('9-Classement Employes'!H5:H104,"D - Moyen")</f>
        <v/>
      </c>
    </row>
    <row r="33" ht="15" customHeight="1">
      <c r="H33" s="7" t="inlineStr">
        <is>
          <t>E - Insuffisant</t>
        </is>
      </c>
      <c r="I33" s="9">
        <f>COUNTIF('9-Classement Employes'!H5:H104,"E - Insuffisant")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6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departement</t>
        </is>
      </c>
      <c r="C1" s="10" t="inlineStr">
        <is>
          <t>poste_hotel</t>
        </is>
      </c>
      <c r="D1" s="10" t="inlineStr">
        <is>
          <t>note_echelon</t>
        </is>
      </c>
      <c r="E1" s="10" t="inlineStr">
        <is>
          <t>type_evaluation</t>
        </is>
      </c>
      <c r="F1" s="10" t="inlineStr">
        <is>
          <t>statut_evaluation</t>
        </is>
      </c>
      <c r="G1" s="10" t="inlineStr">
        <is>
          <t>periode_essai</t>
        </is>
      </c>
      <c r="H1" s="10" t="inlineStr">
        <is>
          <t>decision_essai</t>
        </is>
      </c>
      <c r="I1" s="10" t="inlineStr">
        <is>
          <t>niveau_objectif</t>
        </is>
      </c>
      <c r="J1" s="10" t="inlineStr">
        <is>
          <t>categorie_objectif</t>
        </is>
      </c>
      <c r="K1" s="10" t="inlineStr">
        <is>
          <t>statut_objectif</t>
        </is>
      </c>
      <c r="L1" s="10" t="inlineStr">
        <is>
          <t>type_plan_amelioration</t>
        </is>
      </c>
      <c r="M1" s="10" t="inlineStr">
        <is>
          <t>statut_pap</t>
        </is>
      </c>
      <c r="N1" s="10" t="inlineStr">
        <is>
          <t>classement</t>
        </is>
      </c>
      <c r="O1" s="10" t="inlineStr">
        <is>
          <t>type_prime</t>
        </is>
      </c>
      <c r="P1" s="10" t="inlineStr">
        <is>
          <t>mois</t>
        </is>
      </c>
      <c r="Q1" s="10" t="inlineStr">
        <is>
          <t>annee</t>
        </is>
      </c>
      <c r="R1" s="10" t="inlineStr">
        <is>
          <t>statut_rapport</t>
        </is>
      </c>
      <c r="S1" s="10" t="inlineStr">
        <is>
          <t>jour_semaine</t>
        </is>
      </c>
    </row>
    <row r="2">
      <c r="B2" s="11" t="inlineStr">
        <is>
          <t>Direction Generale</t>
        </is>
      </c>
      <c r="C2" s="11" t="inlineStr">
        <is>
          <t>DG</t>
        </is>
      </c>
      <c r="D2" s="11" t="inlineStr">
        <is>
          <t>Insuffisant</t>
        </is>
      </c>
      <c r="E2" s="11" t="inlineStr">
        <is>
          <t>Evaluation annuelle</t>
        </is>
      </c>
      <c r="F2" s="11" t="inlineStr">
        <is>
          <t>Planifiee</t>
        </is>
      </c>
      <c r="G2" s="11" t="inlineStr">
        <is>
          <t>1 mois</t>
        </is>
      </c>
      <c r="H2" s="11" t="inlineStr">
        <is>
          <t>Confirmation</t>
        </is>
      </c>
      <c r="I2" s="11" t="inlineStr">
        <is>
          <t>Strategique</t>
        </is>
      </c>
      <c r="J2" s="11" t="inlineStr">
        <is>
          <t>Qualite service</t>
        </is>
      </c>
      <c r="K2" s="11" t="inlineStr">
        <is>
          <t>Non demarre</t>
        </is>
      </c>
      <c r="L2" s="11" t="inlineStr">
        <is>
          <t>Formation ciblee</t>
        </is>
      </c>
      <c r="M2" s="11" t="inlineStr">
        <is>
          <t>En elaboration</t>
        </is>
      </c>
      <c r="N2" s="11" t="inlineStr">
        <is>
          <t>A - Excellent</t>
        </is>
      </c>
      <c r="O2" s="11" t="inlineStr">
        <is>
          <t>Prime de rendement</t>
        </is>
      </c>
      <c r="P2" s="11" t="inlineStr">
        <is>
          <t>Janvier</t>
        </is>
      </c>
      <c r="Q2" s="11" t="inlineStr">
        <is>
          <t>2024</t>
        </is>
      </c>
      <c r="R2" s="11" t="inlineStr">
        <is>
          <t>Brouillon</t>
        </is>
      </c>
      <c r="S2" s="11" t="inlineStr">
        <is>
          <t>Oui</t>
        </is>
      </c>
    </row>
    <row r="3">
      <c r="B3" s="11" t="inlineStr">
        <is>
          <t>Ressources Humaines</t>
        </is>
      </c>
      <c r="C3" s="11" t="inlineStr">
        <is>
          <t>DRH</t>
        </is>
      </c>
      <c r="D3" s="11" t="inlineStr">
        <is>
          <t>Moyen</t>
        </is>
      </c>
      <c r="E3" s="11" t="inlineStr">
        <is>
          <t>Evaluation a l'essai</t>
        </is>
      </c>
      <c r="F3" s="11" t="inlineStr">
        <is>
          <t>En cours</t>
        </is>
      </c>
      <c r="G3" s="11" t="inlineStr">
        <is>
          <t>2 mois</t>
        </is>
      </c>
      <c r="H3" s="11" t="inlineStr">
        <is>
          <t>Prolongation essai</t>
        </is>
      </c>
      <c r="I3" s="11" t="inlineStr">
        <is>
          <t>Operationnel</t>
        </is>
      </c>
      <c r="J3" s="11" t="inlineStr">
        <is>
          <t>Productivite</t>
        </is>
      </c>
      <c r="K3" s="11" t="inlineStr">
        <is>
          <t>En cours</t>
        </is>
      </c>
      <c r="L3" s="11" t="inlineStr">
        <is>
          <t>Coaching individuel</t>
        </is>
      </c>
      <c r="M3" s="11" t="inlineStr">
        <is>
          <t>En cours</t>
        </is>
      </c>
      <c r="N3" s="11" t="inlineStr">
        <is>
          <t>B - Tres bon</t>
        </is>
      </c>
      <c r="O3" s="11" t="inlineStr">
        <is>
          <t>Prime d'anciennete</t>
        </is>
      </c>
      <c r="P3" s="11" t="inlineStr">
        <is>
          <t>Fevrier</t>
        </is>
      </c>
      <c r="Q3" s="11" t="inlineStr">
        <is>
          <t>2025</t>
        </is>
      </c>
      <c r="R3" s="11" t="inlineStr">
        <is>
          <t>Valide</t>
        </is>
      </c>
      <c r="S3" s="11" t="inlineStr">
        <is>
          <t>Non</t>
        </is>
      </c>
    </row>
    <row r="4">
      <c r="B4" s="11" t="inlineStr">
        <is>
          <t>Finance &amp; Comptabilite</t>
        </is>
      </c>
      <c r="C4" s="11" t="inlineStr">
        <is>
          <t>Assistante RH</t>
        </is>
      </c>
      <c r="D4" s="11" t="inlineStr">
        <is>
          <t>Satisfaisant</t>
        </is>
      </c>
      <c r="E4" s="11" t="inlineStr">
        <is>
          <t>Evaluation 360 degres</t>
        </is>
      </c>
      <c r="F4" s="11" t="inlineStr">
        <is>
          <t>Completee</t>
        </is>
      </c>
      <c r="G4" s="11" t="inlineStr">
        <is>
          <t>3 mois</t>
        </is>
      </c>
      <c r="H4" s="11" t="inlineStr">
        <is>
          <t>Rupture essai</t>
        </is>
      </c>
      <c r="I4" s="11" t="inlineStr">
        <is>
          <t>Individuel</t>
        </is>
      </c>
      <c r="J4" s="11" t="inlineStr">
        <is>
          <t>Competence technique</t>
        </is>
      </c>
      <c r="K4" s="11" t="inlineStr">
        <is>
          <t>Atteint</t>
        </is>
      </c>
      <c r="L4" s="11" t="inlineStr">
        <is>
          <t>Mentorat</t>
        </is>
      </c>
      <c r="M4" s="11" t="inlineStr">
        <is>
          <t>Termine</t>
        </is>
      </c>
      <c r="N4" s="11" t="inlineStr">
        <is>
          <t>C - Bon</t>
        </is>
      </c>
      <c r="O4" s="11" t="inlineStr">
        <is>
          <t>Prime de merite</t>
        </is>
      </c>
      <c r="P4" s="11" t="inlineStr">
        <is>
          <t>Mars</t>
        </is>
      </c>
      <c r="Q4" s="11" t="inlineStr">
        <is>
          <t>2026</t>
        </is>
      </c>
      <c r="R4" s="11" t="inlineStr">
        <is>
          <t>Approuve</t>
        </is>
      </c>
    </row>
    <row r="5">
      <c r="B5" s="11" t="inlineStr">
        <is>
          <t>Marketing &amp; Communication</t>
        </is>
      </c>
      <c r="C5" s="11" t="inlineStr">
        <is>
          <t>DAF</t>
        </is>
      </c>
      <c r="D5" s="11" t="inlineStr">
        <is>
          <t>Bon</t>
        </is>
      </c>
      <c r="E5" s="11" t="inlineStr">
        <is>
          <t>Evaluation de mi-parcours</t>
        </is>
      </c>
      <c r="F5" s="11" t="inlineStr">
        <is>
          <t>Annulee</t>
        </is>
      </c>
      <c r="G5" s="11" t="inlineStr">
        <is>
          <t>6 mois</t>
        </is>
      </c>
      <c r="H5" s="11" t="inlineStr">
        <is>
          <t>Changement de poste</t>
        </is>
      </c>
      <c r="J5" s="11" t="inlineStr">
        <is>
          <t>Savoir-etre</t>
        </is>
      </c>
      <c r="K5" s="11" t="inlineStr">
        <is>
          <t>Depasse</t>
        </is>
      </c>
      <c r="L5" s="11" t="inlineStr">
        <is>
          <t>Rotation de poste</t>
        </is>
      </c>
      <c r="M5" s="11" t="inlineStr">
        <is>
          <t>Abandonne</t>
        </is>
      </c>
      <c r="N5" s="11" t="inlineStr">
        <is>
          <t>D - Moyen</t>
        </is>
      </c>
      <c r="O5" s="11" t="inlineStr">
        <is>
          <t>Prime d'equipe</t>
        </is>
      </c>
      <c r="P5" s="11" t="inlineStr">
        <is>
          <t>Avril</t>
        </is>
      </c>
      <c r="R5" s="11" t="inlineStr">
        <is>
          <t>Rejete</t>
        </is>
      </c>
    </row>
    <row r="6">
      <c r="B6" s="11" t="inlineStr">
        <is>
          <t>Informatique</t>
        </is>
      </c>
      <c r="C6" s="11" t="inlineStr">
        <is>
          <t>Comptable senior</t>
        </is>
      </c>
      <c r="D6" s="11" t="inlineStr">
        <is>
          <t>Tres bon</t>
        </is>
      </c>
      <c r="E6" s="11" t="inlineStr">
        <is>
          <t>Evaluation exceptionnelle</t>
        </is>
      </c>
      <c r="F6" s="11" t="inlineStr">
        <is>
          <t>En attente N+1</t>
        </is>
      </c>
      <c r="G6" s="11" t="inlineStr">
        <is>
          <t>Probation indefinite</t>
        </is>
      </c>
      <c r="H6" s="11" t="inlineStr">
        <is>
          <t>En attente</t>
        </is>
      </c>
      <c r="J6" s="11" t="inlineStr">
        <is>
          <t>Securite</t>
        </is>
      </c>
      <c r="K6" s="11" t="inlineStr">
        <is>
          <t>Non atteint</t>
        </is>
      </c>
      <c r="L6" s="11" t="inlineStr">
        <is>
          <t>Suivi renforce</t>
        </is>
      </c>
      <c r="M6" s="11" t="inlineStr">
        <is>
          <t>En attente validation</t>
        </is>
      </c>
      <c r="N6" s="11" t="inlineStr">
        <is>
          <t>E - Insuffisant</t>
        </is>
      </c>
      <c r="O6" s="11" t="inlineStr">
        <is>
          <t>Prime exceptionnelle</t>
        </is>
      </c>
      <c r="P6" s="11" t="inlineStr">
        <is>
          <t>Mai</t>
        </is>
      </c>
    </row>
    <row r="7">
      <c r="B7" s="11" t="inlineStr">
        <is>
          <t>Commercial</t>
        </is>
      </c>
      <c r="C7" s="11" t="inlineStr">
        <is>
          <t>Chef Comptable</t>
        </is>
      </c>
      <c r="D7" s="11" t="inlineStr">
        <is>
          <t>Excellent</t>
        </is>
      </c>
      <c r="F7" s="11" t="inlineStr">
        <is>
          <t>Validee DRH</t>
        </is>
      </c>
      <c r="J7" s="11" t="inlineStr">
        <is>
          <t>Budget / Cout</t>
        </is>
      </c>
      <c r="K7" s="11" t="inlineStr">
        <is>
          <t>Reporte</t>
        </is>
      </c>
      <c r="L7" s="11" t="inlineStr">
        <is>
          <t>Plan de charge adapte</t>
        </is>
      </c>
      <c r="O7" s="11" t="inlineStr">
        <is>
          <t>Prime fidélisation</t>
        </is>
      </c>
      <c r="P7" s="11" t="inlineStr">
        <is>
          <t>Juin</t>
        </is>
      </c>
    </row>
    <row r="8">
      <c r="B8" s="11" t="inlineStr">
        <is>
          <t>Logistique &amp; Approvisionnement</t>
        </is>
      </c>
      <c r="C8" s="11" t="inlineStr">
        <is>
          <t>Chef Marketing</t>
        </is>
      </c>
      <c r="J8" s="11" t="inlineStr">
        <is>
          <t>Fidélisation client</t>
        </is>
      </c>
      <c r="P8" s="11" t="inlineStr">
        <is>
          <t>Juillet</t>
        </is>
      </c>
    </row>
    <row r="9">
      <c r="B9" s="11" t="inlineStr">
        <is>
          <t>Production</t>
        </is>
      </c>
      <c r="C9" s="11" t="inlineStr">
        <is>
          <t>Chef de service IT</t>
        </is>
      </c>
      <c r="P9" s="11" t="inlineStr">
        <is>
          <t>Aout</t>
        </is>
      </c>
    </row>
    <row r="10">
      <c r="B10" s="11" t="inlineStr">
        <is>
          <t>Service Client</t>
        </is>
      </c>
      <c r="C10" s="11" t="inlineStr">
        <is>
          <t>Technicien IT</t>
        </is>
      </c>
      <c r="P10" s="11" t="inlineStr">
        <is>
          <t>Septembre</t>
        </is>
      </c>
    </row>
    <row r="11">
      <c r="B11" s="11" t="inlineStr">
        <is>
          <t>Reception &amp; Front Office</t>
        </is>
      </c>
      <c r="C11" s="11" t="inlineStr">
        <is>
          <t>Chef Commercial</t>
        </is>
      </c>
      <c r="P11" s="11" t="inlineStr">
        <is>
          <t>Octobre</t>
        </is>
      </c>
    </row>
    <row r="12">
      <c r="B12" s="11" t="inlineStr">
        <is>
          <t>Cuisine &amp; Restauration</t>
        </is>
      </c>
      <c r="C12" s="11" t="inlineStr">
        <is>
          <t>Agent Commercial</t>
        </is>
      </c>
      <c r="P12" s="11" t="inlineStr">
        <is>
          <t>Novembre</t>
        </is>
      </c>
    </row>
    <row r="13">
      <c r="B13" s="11" t="inlineStr">
        <is>
          <t>Entretien &amp; Maintenance</t>
        </is>
      </c>
      <c r="C13" s="11" t="inlineStr">
        <is>
          <t>Chef Logistique</t>
        </is>
      </c>
      <c r="P13" s="11" t="inlineStr">
        <is>
          <t>Decembre</t>
        </is>
      </c>
    </row>
    <row r="14">
      <c r="B14" s="11" t="inlineStr">
        <is>
          <t>Securite</t>
        </is>
      </c>
      <c r="C14" s="11" t="inlineStr">
        <is>
          <t>Magasinier</t>
        </is>
      </c>
    </row>
    <row r="15">
      <c r="C15" s="11" t="inlineStr">
        <is>
          <t>Chef Reception</t>
        </is>
      </c>
    </row>
    <row r="16">
      <c r="C16" s="11" t="inlineStr">
        <is>
          <t>Receptionniste</t>
        </is>
      </c>
    </row>
    <row r="17">
      <c r="C17" s="11" t="inlineStr">
        <is>
          <t>Concierge</t>
        </is>
      </c>
    </row>
    <row r="18">
      <c r="C18" s="11" t="inlineStr">
        <is>
          <t>Chef Cuisine</t>
        </is>
      </c>
    </row>
    <row r="19">
      <c r="C19" s="11" t="inlineStr">
        <is>
          <t>Sous-Chef</t>
        </is>
      </c>
    </row>
    <row r="20">
      <c r="C20" s="11" t="inlineStr">
        <is>
          <t>Cuisinier</t>
        </is>
      </c>
    </row>
    <row r="21">
      <c r="C21" s="11" t="inlineStr">
        <is>
          <t>Plongeur</t>
        </is>
      </c>
    </row>
    <row r="22">
      <c r="C22" s="11" t="inlineStr">
        <is>
          <t>Chef Entretien</t>
        </is>
      </c>
    </row>
    <row r="23">
      <c r="C23" s="11" t="inlineStr">
        <is>
          <t>Agent Entretien</t>
        </is>
      </c>
    </row>
    <row r="24">
      <c r="C24" s="11" t="inlineStr">
        <is>
          <t>Chef Securite</t>
        </is>
      </c>
    </row>
    <row r="25">
      <c r="C25" s="11" t="inlineStr">
        <is>
          <t>Agent Securite</t>
        </is>
      </c>
    </row>
    <row r="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0" customWidth="1" min="7" max="7"/>
    <col width="20" customWidth="1" min="8" max="8"/>
    <col width="18" customWidth="1" min="9" max="9"/>
    <col width="18" customWidth="1" min="10" max="10"/>
    <col width="20" customWidth="1" min="11" max="11"/>
    <col width="16" customWidth="1" min="12" max="12"/>
    <col width="16" customWidth="1" min="13" max="13"/>
  </cols>
  <sheetData>
    <row r="1" ht="15" customHeight="1"/>
    <row r="2" ht="32" customHeight="1">
      <c r="B2" s="1" t="inlineStr">
        <is>
          <t>GRILLE D'EVALUATION ANNUELLE (#76)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Eval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Annee</t>
        </is>
      </c>
      <c r="H4" s="12" t="inlineStr">
        <is>
          <t>Competence Tech. (/20)</t>
        </is>
      </c>
      <c r="I4" s="12" t="inlineStr">
        <is>
          <t>Savoir-Etre (/20)</t>
        </is>
      </c>
      <c r="J4" s="12" t="inlineStr">
        <is>
          <t>Productivite (/20)</t>
        </is>
      </c>
      <c r="K4" s="12" t="inlineStr">
        <is>
          <t>Note Globale (/20)</t>
        </is>
      </c>
      <c r="L4" s="12" t="inlineStr">
        <is>
          <t>Appreciation</t>
        </is>
      </c>
      <c r="M4" s="12" t="inlineStr">
        <is>
          <t>Statut</t>
        </is>
      </c>
    </row>
    <row r="5" ht="22" customHeight="1">
      <c r="B5" s="13" t="inlineStr">
        <is>
          <t>EV-001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2025</t>
        </is>
      </c>
      <c r="H5" s="14" t="n">
        <v>17</v>
      </c>
      <c r="I5" s="14" t="n">
        <v>18</v>
      </c>
      <c r="J5" s="14" t="n">
        <v>16</v>
      </c>
      <c r="K5" s="14" t="n">
        <v>17</v>
      </c>
      <c r="L5" s="13" t="inlineStr">
        <is>
          <t>Tres bon</t>
        </is>
      </c>
      <c r="M5" s="13" t="inlineStr">
        <is>
          <t>Completee</t>
        </is>
      </c>
    </row>
    <row r="6" ht="22" customHeight="1">
      <c r="B6" s="15" t="inlineStr">
        <is>
          <t>EV-002</t>
        </is>
      </c>
      <c r="C6" s="15" t="inlineStr">
        <is>
          <t>EMP-2025-002</t>
        </is>
      </c>
      <c r="D6" s="15" t="inlineStr">
        <is>
          <t>Tchinda Armand</t>
        </is>
      </c>
      <c r="E6" s="15" t="inlineStr">
        <is>
          <t>Informatique</t>
        </is>
      </c>
      <c r="F6" s="15" t="inlineStr">
        <is>
          <t>Chef de service IT</t>
        </is>
      </c>
      <c r="G6" s="15" t="inlineStr">
        <is>
          <t>2025</t>
        </is>
      </c>
      <c r="H6" s="16" t="n">
        <v>19</v>
      </c>
      <c r="I6" s="16" t="n">
        <v>16</v>
      </c>
      <c r="J6" s="16" t="n">
        <v>18</v>
      </c>
      <c r="K6" s="16" t="n">
        <v>17.7</v>
      </c>
      <c r="L6" s="15" t="inlineStr">
        <is>
          <t>Tres bon</t>
        </is>
      </c>
      <c r="M6" s="15" t="inlineStr">
        <is>
          <t>Completee</t>
        </is>
      </c>
    </row>
    <row r="7" ht="22" customHeight="1">
      <c r="B7" s="13" t="inlineStr">
        <is>
          <t>EV-003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Comptable senior</t>
        </is>
      </c>
      <c r="G7" s="13" t="inlineStr">
        <is>
          <t>2025</t>
        </is>
      </c>
      <c r="H7" s="14" t="n">
        <v>18</v>
      </c>
      <c r="I7" s="14" t="n">
        <v>17</v>
      </c>
      <c r="J7" s="14" t="n">
        <v>17</v>
      </c>
      <c r="K7" s="14" t="n">
        <v>17.3</v>
      </c>
      <c r="L7" s="13" t="inlineStr">
        <is>
          <t>Tres bon</t>
        </is>
      </c>
      <c r="M7" s="13" t="inlineStr">
        <is>
          <t>Completee</t>
        </is>
      </c>
    </row>
    <row r="8" ht="22" customHeight="1">
      <c r="B8" s="15" t="inlineStr">
        <is>
          <t>EV-004</t>
        </is>
      </c>
      <c r="C8" s="15" t="inlineStr">
        <is>
          <t>EMP-2025-004</t>
        </is>
      </c>
      <c r="D8" s="15" t="inlineStr">
        <is>
          <t>Ouedraogo Ibrahim</t>
        </is>
      </c>
      <c r="E8" s="15" t="inlineStr">
        <is>
          <t>Reception &amp; Front Office</t>
        </is>
      </c>
      <c r="F8" s="15" t="inlineStr">
        <is>
          <t>Receptionniste</t>
        </is>
      </c>
      <c r="G8" s="15" t="inlineStr">
        <is>
          <t>2025</t>
        </is>
      </c>
      <c r="H8" s="16" t="n">
        <v>15</v>
      </c>
      <c r="I8" s="16" t="n">
        <v>19</v>
      </c>
      <c r="J8" s="16" t="n">
        <v>14</v>
      </c>
      <c r="K8" s="16" t="n">
        <v>16</v>
      </c>
      <c r="L8" s="15" t="inlineStr">
        <is>
          <t>Bon</t>
        </is>
      </c>
      <c r="M8" s="15" t="inlineStr">
        <is>
          <t>En cours</t>
        </is>
      </c>
    </row>
    <row r="9" ht="22" customHeight="1">
      <c r="B9" s="13" t="inlineStr">
        <is>
          <t>EV-005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2025</t>
        </is>
      </c>
      <c r="H9" s="14" t="n">
        <v>14</v>
      </c>
      <c r="I9" s="14" t="n">
        <v>12</v>
      </c>
      <c r="J9" s="14" t="n">
        <v>13</v>
      </c>
      <c r="K9" s="14" t="n">
        <v>13</v>
      </c>
      <c r="L9" s="13" t="inlineStr">
        <is>
          <t>Moyen</t>
        </is>
      </c>
      <c r="M9" s="13" t="inlineStr">
        <is>
          <t>Planifiee</t>
        </is>
      </c>
    </row>
    <row r="10" ht="22" customHeight="1">
      <c r="B10" s="17">
        <f>IF(C10="","EV-"&amp;TEXT(COUNTA($C$5:C10),"000"))</f>
        <v/>
      </c>
      <c r="C10" s="15" t="n"/>
      <c r="D10" s="15" t="n"/>
      <c r="E10" s="15" t="n"/>
      <c r="F10" s="15" t="n"/>
      <c r="G10" s="15" t="n"/>
      <c r="H10" s="16" t="n"/>
      <c r="I10" s="16" t="n"/>
      <c r="J10" s="16" t="n"/>
      <c r="K10" s="16">
        <f>IF(H10="","",ROUND((H10+I10+J10)/3,1))</f>
        <v/>
      </c>
      <c r="L10" s="15" t="n"/>
      <c r="M10" s="15" t="n"/>
    </row>
    <row r="11" ht="22" customHeight="1">
      <c r="B11" s="18">
        <f>IF(C11="","EV-"&amp;TEXT(COUNTA($C$5:C11),"000"))</f>
        <v/>
      </c>
      <c r="C11" s="13" t="n"/>
      <c r="D11" s="13" t="n"/>
      <c r="E11" s="13" t="n"/>
      <c r="F11" s="13" t="n"/>
      <c r="G11" s="13" t="n"/>
      <c r="H11" s="14" t="n"/>
      <c r="I11" s="14" t="n"/>
      <c r="J11" s="14" t="n"/>
      <c r="K11" s="14">
        <f>IF(H11="","",ROUND((H11+I11+J11)/3,1))</f>
        <v/>
      </c>
      <c r="L11" s="13" t="n"/>
      <c r="M11" s="13" t="n"/>
    </row>
    <row r="12" ht="22" customHeight="1">
      <c r="B12" s="17">
        <f>IF(C12="","EV-"&amp;TEXT(COUNTA($C$5:C12),"000"))</f>
        <v/>
      </c>
      <c r="C12" s="15" t="n"/>
      <c r="D12" s="15" t="n"/>
      <c r="E12" s="15" t="n"/>
      <c r="F12" s="15" t="n"/>
      <c r="G12" s="15" t="n"/>
      <c r="H12" s="16" t="n"/>
      <c r="I12" s="16" t="n"/>
      <c r="J12" s="16" t="n"/>
      <c r="K12" s="16">
        <f>IF(H12="","",ROUND((H12+I12+J12)/3,1))</f>
        <v/>
      </c>
      <c r="L12" s="15" t="n"/>
      <c r="M12" s="15" t="n"/>
    </row>
    <row r="13" ht="22" customHeight="1">
      <c r="B13" s="18">
        <f>IF(C13="","EV-"&amp;TEXT(COUNTA($C$5:C13),"000"))</f>
        <v/>
      </c>
      <c r="C13" s="13" t="n"/>
      <c r="D13" s="13" t="n"/>
      <c r="E13" s="13" t="n"/>
      <c r="F13" s="13" t="n"/>
      <c r="G13" s="13" t="n"/>
      <c r="H13" s="14" t="n"/>
      <c r="I13" s="14" t="n"/>
      <c r="J13" s="14" t="n"/>
      <c r="K13" s="14">
        <f>IF(H13="","",ROUND((H13+I13+J13)/3,1))</f>
        <v/>
      </c>
      <c r="L13" s="13" t="n"/>
      <c r="M13" s="13" t="n"/>
    </row>
    <row r="14" ht="22" customHeight="1">
      <c r="B14" s="17">
        <f>IF(C14="","EV-"&amp;TEXT(COUNTA($C$5:C14),"000"))</f>
        <v/>
      </c>
      <c r="C14" s="15" t="n"/>
      <c r="D14" s="15" t="n"/>
      <c r="E14" s="15" t="n"/>
      <c r="F14" s="15" t="n"/>
      <c r="G14" s="15" t="n"/>
      <c r="H14" s="16" t="n"/>
      <c r="I14" s="16" t="n"/>
      <c r="J14" s="16" t="n"/>
      <c r="K14" s="16">
        <f>IF(H14="","",ROUND((H14+I14+J14)/3,1))</f>
        <v/>
      </c>
      <c r="L14" s="15" t="n"/>
      <c r="M14" s="15" t="n"/>
    </row>
    <row r="15" ht="22" customHeight="1">
      <c r="B15" s="18">
        <f>IF(C15="","EV-"&amp;TEXT(COUNTA($C$5:C15),"000"))</f>
        <v/>
      </c>
      <c r="C15" s="13" t="n"/>
      <c r="D15" s="13" t="n"/>
      <c r="E15" s="13" t="n"/>
      <c r="F15" s="13" t="n"/>
      <c r="G15" s="13" t="n"/>
      <c r="H15" s="14" t="n"/>
      <c r="I15" s="14" t="n"/>
      <c r="J15" s="14" t="n"/>
      <c r="K15" s="14">
        <f>IF(H15="","",ROUND((H15+I15+J15)/3,1))</f>
        <v/>
      </c>
      <c r="L15" s="13" t="n"/>
      <c r="M15" s="13" t="n"/>
    </row>
    <row r="16" ht="22" customHeight="1">
      <c r="B16" s="17">
        <f>IF(C16="","EV-"&amp;TEXT(COUNTA($C$5:C16),"000"))</f>
        <v/>
      </c>
      <c r="C16" s="15" t="n"/>
      <c r="D16" s="15" t="n"/>
      <c r="E16" s="15" t="n"/>
      <c r="F16" s="15" t="n"/>
      <c r="G16" s="15" t="n"/>
      <c r="H16" s="16" t="n"/>
      <c r="I16" s="16" t="n"/>
      <c r="J16" s="16" t="n"/>
      <c r="K16" s="16">
        <f>IF(H16="","",ROUND((H16+I16+J16)/3,1))</f>
        <v/>
      </c>
      <c r="L16" s="15" t="n"/>
      <c r="M16" s="15" t="n"/>
    </row>
    <row r="17" ht="22" customHeight="1">
      <c r="B17" s="18">
        <f>IF(C17="","EV-"&amp;TEXT(COUNTA($C$5:C17),"000"))</f>
        <v/>
      </c>
      <c r="C17" s="13" t="n"/>
      <c r="D17" s="13" t="n"/>
      <c r="E17" s="13" t="n"/>
      <c r="F17" s="13" t="n"/>
      <c r="G17" s="13" t="n"/>
      <c r="H17" s="14" t="n"/>
      <c r="I17" s="14" t="n"/>
      <c r="J17" s="14" t="n"/>
      <c r="K17" s="14">
        <f>IF(H17="","",ROUND((H17+I17+J17)/3,1))</f>
        <v/>
      </c>
      <c r="L17" s="13" t="n"/>
      <c r="M17" s="13" t="n"/>
    </row>
    <row r="18" ht="22" customHeight="1">
      <c r="B18" s="17">
        <f>IF(C18="","EV-"&amp;TEXT(COUNTA($C$5:C18),"000"))</f>
        <v/>
      </c>
      <c r="C18" s="15" t="n"/>
      <c r="D18" s="15" t="n"/>
      <c r="E18" s="15" t="n"/>
      <c r="F18" s="15" t="n"/>
      <c r="G18" s="15" t="n"/>
      <c r="H18" s="16" t="n"/>
      <c r="I18" s="16" t="n"/>
      <c r="J18" s="16" t="n"/>
      <c r="K18" s="16">
        <f>IF(H18="","",ROUND((H18+I18+J18)/3,1))</f>
        <v/>
      </c>
      <c r="L18" s="15" t="n"/>
      <c r="M18" s="15" t="n"/>
    </row>
    <row r="19" ht="22" customHeight="1">
      <c r="B19" s="18">
        <f>IF(C19="","EV-"&amp;TEXT(COUNTA($C$5:C19),"000"))</f>
        <v/>
      </c>
      <c r="C19" s="13" t="n"/>
      <c r="D19" s="13" t="n"/>
      <c r="E19" s="13" t="n"/>
      <c r="F19" s="13" t="n"/>
      <c r="G19" s="13" t="n"/>
      <c r="H19" s="14" t="n"/>
      <c r="I19" s="14" t="n"/>
      <c r="J19" s="14" t="n"/>
      <c r="K19" s="14">
        <f>IF(H19="","",ROUND((H19+I19+J19)/3,1))</f>
        <v/>
      </c>
      <c r="L19" s="13" t="n"/>
      <c r="M19" s="13" t="n"/>
    </row>
    <row r="20" ht="22" customHeight="1">
      <c r="B20" s="17">
        <f>IF(C20="","EV-"&amp;TEXT(COUNTA($C$5:C20),"000"))</f>
        <v/>
      </c>
      <c r="C20" s="15" t="n"/>
      <c r="D20" s="15" t="n"/>
      <c r="E20" s="15" t="n"/>
      <c r="F20" s="15" t="n"/>
      <c r="G20" s="15" t="n"/>
      <c r="H20" s="16" t="n"/>
      <c r="I20" s="16" t="n"/>
      <c r="J20" s="16" t="n"/>
      <c r="K20" s="16">
        <f>IF(H20="","",ROUND((H20+I20+J20)/3,1))</f>
        <v/>
      </c>
      <c r="L20" s="15" t="n"/>
      <c r="M20" s="15" t="n"/>
    </row>
    <row r="21" ht="22" customHeight="1">
      <c r="B21" s="18">
        <f>IF(C21="","EV-"&amp;TEXT(COUNTA($C$5:C21),"000"))</f>
        <v/>
      </c>
      <c r="C21" s="13" t="n"/>
      <c r="D21" s="13" t="n"/>
      <c r="E21" s="13" t="n"/>
      <c r="F21" s="13" t="n"/>
      <c r="G21" s="13" t="n"/>
      <c r="H21" s="14" t="n"/>
      <c r="I21" s="14" t="n"/>
      <c r="J21" s="14" t="n"/>
      <c r="K21" s="14">
        <f>IF(H21="","",ROUND((H21+I21+J21)/3,1))</f>
        <v/>
      </c>
      <c r="L21" s="13" t="n"/>
      <c r="M21" s="13" t="n"/>
    </row>
    <row r="22" ht="22" customHeight="1">
      <c r="B22" s="17">
        <f>IF(C22="","EV-"&amp;TEXT(COUNTA($C$5:C22),"000"))</f>
        <v/>
      </c>
      <c r="C22" s="15" t="n"/>
      <c r="D22" s="15" t="n"/>
      <c r="E22" s="15" t="n"/>
      <c r="F22" s="15" t="n"/>
      <c r="G22" s="15" t="n"/>
      <c r="H22" s="16" t="n"/>
      <c r="I22" s="16" t="n"/>
      <c r="J22" s="16" t="n"/>
      <c r="K22" s="16">
        <f>IF(H22="","",ROUND((H22+I22+J22)/3,1))</f>
        <v/>
      </c>
      <c r="L22" s="15" t="n"/>
      <c r="M22" s="15" t="n"/>
    </row>
    <row r="23" ht="22" customHeight="1">
      <c r="B23" s="18">
        <f>IF(C23="","EV-"&amp;TEXT(COUNTA($C$5:C23),"000"))</f>
        <v/>
      </c>
      <c r="C23" s="13" t="n"/>
      <c r="D23" s="13" t="n"/>
      <c r="E23" s="13" t="n"/>
      <c r="F23" s="13" t="n"/>
      <c r="G23" s="13" t="n"/>
      <c r="H23" s="14" t="n"/>
      <c r="I23" s="14" t="n"/>
      <c r="J23" s="14" t="n"/>
      <c r="K23" s="14">
        <f>IF(H23="","",ROUND((H23+I23+J23)/3,1))</f>
        <v/>
      </c>
      <c r="L23" s="13" t="n"/>
      <c r="M23" s="13" t="n"/>
    </row>
    <row r="24" ht="22" customHeight="1">
      <c r="B24" s="17">
        <f>IF(C24="","EV-"&amp;TEXT(COUNTA($C$5:C24),"000"))</f>
        <v/>
      </c>
      <c r="C24" s="15" t="n"/>
      <c r="D24" s="15" t="n"/>
      <c r="E24" s="15" t="n"/>
      <c r="F24" s="15" t="n"/>
      <c r="G24" s="15" t="n"/>
      <c r="H24" s="16" t="n"/>
      <c r="I24" s="16" t="n"/>
      <c r="J24" s="16" t="n"/>
      <c r="K24" s="16">
        <f>IF(H24="","",ROUND((H24+I24+J24)/3,1))</f>
        <v/>
      </c>
      <c r="L24" s="15" t="n"/>
      <c r="M24" s="15" t="n"/>
    </row>
    <row r="25" ht="22" customHeight="1">
      <c r="B25" s="18">
        <f>IF(C25="","EV-"&amp;TEXT(COUNTA($C$5:C25),"000"))</f>
        <v/>
      </c>
      <c r="C25" s="13" t="n"/>
      <c r="D25" s="13" t="n"/>
      <c r="E25" s="13" t="n"/>
      <c r="F25" s="13" t="n"/>
      <c r="G25" s="13" t="n"/>
      <c r="H25" s="14" t="n"/>
      <c r="I25" s="14" t="n"/>
      <c r="J25" s="14" t="n"/>
      <c r="K25" s="14">
        <f>IF(H25="","",ROUND((H25+I25+J25)/3,1))</f>
        <v/>
      </c>
      <c r="L25" s="13" t="n"/>
      <c r="M25" s="13" t="n"/>
    </row>
    <row r="26" ht="22" customHeight="1">
      <c r="B26" s="17">
        <f>IF(C26="","EV-"&amp;TEXT(COUNTA($C$5:C26),"000"))</f>
        <v/>
      </c>
      <c r="C26" s="15" t="n"/>
      <c r="D26" s="15" t="n"/>
      <c r="E26" s="15" t="n"/>
      <c r="F26" s="15" t="n"/>
      <c r="G26" s="15" t="n"/>
      <c r="H26" s="16" t="n"/>
      <c r="I26" s="16" t="n"/>
      <c r="J26" s="16" t="n"/>
      <c r="K26" s="16">
        <f>IF(H26="","",ROUND((H26+I26+J26)/3,1))</f>
        <v/>
      </c>
      <c r="L26" s="15" t="n"/>
      <c r="M26" s="15" t="n"/>
    </row>
    <row r="27" ht="22" customHeight="1">
      <c r="B27" s="18">
        <f>IF(C27="","EV-"&amp;TEXT(COUNTA($C$5:C27),"000"))</f>
        <v/>
      </c>
      <c r="C27" s="13" t="n"/>
      <c r="D27" s="13" t="n"/>
      <c r="E27" s="13" t="n"/>
      <c r="F27" s="13" t="n"/>
      <c r="G27" s="13" t="n"/>
      <c r="H27" s="14" t="n"/>
      <c r="I27" s="14" t="n"/>
      <c r="J27" s="14" t="n"/>
      <c r="K27" s="14">
        <f>IF(H27="","",ROUND((H27+I27+J27)/3,1))</f>
        <v/>
      </c>
      <c r="L27" s="13" t="n"/>
      <c r="M27" s="13" t="n"/>
    </row>
    <row r="28" ht="22" customHeight="1">
      <c r="B28" s="17">
        <f>IF(C28="","EV-"&amp;TEXT(COUNTA($C$5:C28),"000"))</f>
        <v/>
      </c>
      <c r="C28" s="15" t="n"/>
      <c r="D28" s="15" t="n"/>
      <c r="E28" s="15" t="n"/>
      <c r="F28" s="15" t="n"/>
      <c r="G28" s="15" t="n"/>
      <c r="H28" s="16" t="n"/>
      <c r="I28" s="16" t="n"/>
      <c r="J28" s="16" t="n"/>
      <c r="K28" s="16">
        <f>IF(H28="","",ROUND((H28+I28+J28)/3,1))</f>
        <v/>
      </c>
      <c r="L28" s="15" t="n"/>
      <c r="M28" s="15" t="n"/>
    </row>
    <row r="29" ht="22" customHeight="1">
      <c r="B29" s="18">
        <f>IF(C29="","EV-"&amp;TEXT(COUNTA($C$5:C29),"000"))</f>
        <v/>
      </c>
      <c r="C29" s="13" t="n"/>
      <c r="D29" s="13" t="n"/>
      <c r="E29" s="13" t="n"/>
      <c r="F29" s="13" t="n"/>
      <c r="G29" s="13" t="n"/>
      <c r="H29" s="14" t="n"/>
      <c r="I29" s="14" t="n"/>
      <c r="J29" s="14" t="n"/>
      <c r="K29" s="14">
        <f>IF(H29="","",ROUND((H29+I29+J29)/3,1))</f>
        <v/>
      </c>
      <c r="L29" s="13" t="n"/>
      <c r="M29" s="13" t="n"/>
    </row>
    <row r="30" ht="22" customHeight="1">
      <c r="B30" s="17">
        <f>IF(C30="","EV-"&amp;TEXT(COUNTA($C$5:C30),"000"))</f>
        <v/>
      </c>
      <c r="C30" s="15" t="n"/>
      <c r="D30" s="15" t="n"/>
      <c r="E30" s="15" t="n"/>
      <c r="F30" s="15" t="n"/>
      <c r="G30" s="15" t="n"/>
      <c r="H30" s="16" t="n"/>
      <c r="I30" s="16" t="n"/>
      <c r="J30" s="16" t="n"/>
      <c r="K30" s="16">
        <f>IF(H30="","",ROUND((H30+I30+J30)/3,1))</f>
        <v/>
      </c>
      <c r="L30" s="15" t="n"/>
      <c r="M30" s="15" t="n"/>
    </row>
    <row r="31" ht="22" customHeight="1">
      <c r="B31" s="18">
        <f>IF(C31="","EV-"&amp;TEXT(COUNTA($C$5:C31),"000"))</f>
        <v/>
      </c>
      <c r="C31" s="13" t="n"/>
      <c r="D31" s="13" t="n"/>
      <c r="E31" s="13" t="n"/>
      <c r="F31" s="13" t="n"/>
      <c r="G31" s="13" t="n"/>
      <c r="H31" s="14" t="n"/>
      <c r="I31" s="14" t="n"/>
      <c r="J31" s="14" t="n"/>
      <c r="K31" s="14">
        <f>IF(H31="","",ROUND((H31+I31+J31)/3,1))</f>
        <v/>
      </c>
      <c r="L31" s="13" t="n"/>
      <c r="M31" s="13" t="n"/>
    </row>
    <row r="32" ht="22" customHeight="1">
      <c r="B32" s="17">
        <f>IF(C32="","EV-"&amp;TEXT(COUNTA($C$5:C32),"000"))</f>
        <v/>
      </c>
      <c r="C32" s="15" t="n"/>
      <c r="D32" s="15" t="n"/>
      <c r="E32" s="15" t="n"/>
      <c r="F32" s="15" t="n"/>
      <c r="G32" s="15" t="n"/>
      <c r="H32" s="16" t="n"/>
      <c r="I32" s="16" t="n"/>
      <c r="J32" s="16" t="n"/>
      <c r="K32" s="16">
        <f>IF(H32="","",ROUND((H32+I32+J32)/3,1))</f>
        <v/>
      </c>
      <c r="L32" s="15" t="n"/>
      <c r="M32" s="15" t="n"/>
    </row>
    <row r="33" ht="22" customHeight="1">
      <c r="B33" s="18">
        <f>IF(C33="","EV-"&amp;TEXT(COUNTA($C$5:C33),"000"))</f>
        <v/>
      </c>
      <c r="C33" s="13" t="n"/>
      <c r="D33" s="13" t="n"/>
      <c r="E33" s="13" t="n"/>
      <c r="F33" s="13" t="n"/>
      <c r="G33" s="13" t="n"/>
      <c r="H33" s="14" t="n"/>
      <c r="I33" s="14" t="n"/>
      <c r="J33" s="14" t="n"/>
      <c r="K33" s="14">
        <f>IF(H33="","",ROUND((H33+I33+J33)/3,1))</f>
        <v/>
      </c>
      <c r="L33" s="13" t="n"/>
      <c r="M33" s="13" t="n"/>
    </row>
    <row r="34" ht="22" customHeight="1">
      <c r="B34" s="17">
        <f>IF(C34="","EV-"&amp;TEXT(COUNTA($C$5:C34),"000"))</f>
        <v/>
      </c>
      <c r="C34" s="15" t="n"/>
      <c r="D34" s="15" t="n"/>
      <c r="E34" s="15" t="n"/>
      <c r="F34" s="15" t="n"/>
      <c r="G34" s="15" t="n"/>
      <c r="H34" s="16" t="n"/>
      <c r="I34" s="16" t="n"/>
      <c r="J34" s="16" t="n"/>
      <c r="K34" s="16">
        <f>IF(H34="","",ROUND((H34+I34+J34)/3,1))</f>
        <v/>
      </c>
      <c r="L34" s="15" t="n"/>
      <c r="M34" s="15" t="n"/>
    </row>
    <row r="35" ht="22" customHeight="1">
      <c r="B35" s="18">
        <f>IF(C35="","EV-"&amp;TEXT(COUNTA($C$5:C35),"000"))</f>
        <v/>
      </c>
      <c r="C35" s="13" t="n"/>
      <c r="D35" s="13" t="n"/>
      <c r="E35" s="13" t="n"/>
      <c r="F35" s="13" t="n"/>
      <c r="G35" s="13" t="n"/>
      <c r="H35" s="14" t="n"/>
      <c r="I35" s="14" t="n"/>
      <c r="J35" s="14" t="n"/>
      <c r="K35" s="14">
        <f>IF(H35="","",ROUND((H35+I35+J35)/3,1))</f>
        <v/>
      </c>
      <c r="L35" s="13" t="n"/>
      <c r="M35" s="13" t="n"/>
    </row>
    <row r="36" ht="22" customHeight="1">
      <c r="B36" s="17">
        <f>IF(C36="","EV-"&amp;TEXT(COUNTA($C$5:C36),"000"))</f>
        <v/>
      </c>
      <c r="C36" s="15" t="n"/>
      <c r="D36" s="15" t="n"/>
      <c r="E36" s="15" t="n"/>
      <c r="F36" s="15" t="n"/>
      <c r="G36" s="15" t="n"/>
      <c r="H36" s="16" t="n"/>
      <c r="I36" s="16" t="n"/>
      <c r="J36" s="16" t="n"/>
      <c r="K36" s="16">
        <f>IF(H36="","",ROUND((H36+I36+J36)/3,1))</f>
        <v/>
      </c>
      <c r="L36" s="15" t="n"/>
      <c r="M36" s="15" t="n"/>
    </row>
    <row r="37" ht="22" customHeight="1">
      <c r="B37" s="18">
        <f>IF(C37="","EV-"&amp;TEXT(COUNTA($C$5:C37),"000"))</f>
        <v/>
      </c>
      <c r="C37" s="13" t="n"/>
      <c r="D37" s="13" t="n"/>
      <c r="E37" s="13" t="n"/>
      <c r="F37" s="13" t="n"/>
      <c r="G37" s="13" t="n"/>
      <c r="H37" s="14" t="n"/>
      <c r="I37" s="14" t="n"/>
      <c r="J37" s="14" t="n"/>
      <c r="K37" s="14">
        <f>IF(H37="","",ROUND((H37+I37+J37)/3,1))</f>
        <v/>
      </c>
      <c r="L37" s="13" t="n"/>
      <c r="M37" s="13" t="n"/>
    </row>
    <row r="38" ht="22" customHeight="1">
      <c r="B38" s="17">
        <f>IF(C38="","EV-"&amp;TEXT(COUNTA($C$5:C38),"000"))</f>
        <v/>
      </c>
      <c r="C38" s="15" t="n"/>
      <c r="D38" s="15" t="n"/>
      <c r="E38" s="15" t="n"/>
      <c r="F38" s="15" t="n"/>
      <c r="G38" s="15" t="n"/>
      <c r="H38" s="16" t="n"/>
      <c r="I38" s="16" t="n"/>
      <c r="J38" s="16" t="n"/>
      <c r="K38" s="16">
        <f>IF(H38="","",ROUND((H38+I38+J38)/3,1))</f>
        <v/>
      </c>
      <c r="L38" s="15" t="n"/>
      <c r="M38" s="15" t="n"/>
    </row>
    <row r="39" ht="22" customHeight="1">
      <c r="B39" s="18">
        <f>IF(C39="","EV-"&amp;TEXT(COUNTA($C$5:C39),"000"))</f>
        <v/>
      </c>
      <c r="C39" s="13" t="n"/>
      <c r="D39" s="13" t="n"/>
      <c r="E39" s="13" t="n"/>
      <c r="F39" s="13" t="n"/>
      <c r="G39" s="13" t="n"/>
      <c r="H39" s="14" t="n"/>
      <c r="I39" s="14" t="n"/>
      <c r="J39" s="14" t="n"/>
      <c r="K39" s="14">
        <f>IF(H39="","",ROUND((H39+I39+J39)/3,1))</f>
        <v/>
      </c>
      <c r="L39" s="13" t="n"/>
      <c r="M39" s="13" t="n"/>
    </row>
    <row r="40" ht="22" customHeight="1">
      <c r="B40" s="17">
        <f>IF(C40="","EV-"&amp;TEXT(COUNTA($C$5:C40),"000"))</f>
        <v/>
      </c>
      <c r="C40" s="15" t="n"/>
      <c r="D40" s="15" t="n"/>
      <c r="E40" s="15" t="n"/>
      <c r="F40" s="15" t="n"/>
      <c r="G40" s="15" t="n"/>
      <c r="H40" s="16" t="n"/>
      <c r="I40" s="16" t="n"/>
      <c r="J40" s="16" t="n"/>
      <c r="K40" s="16">
        <f>IF(H40="","",ROUND((H40+I40+J40)/3,1))</f>
        <v/>
      </c>
      <c r="L40" s="15" t="n"/>
      <c r="M40" s="15" t="n"/>
    </row>
    <row r="41" ht="22" customHeight="1">
      <c r="B41" s="18">
        <f>IF(C41="","EV-"&amp;TEXT(COUNTA($C$5:C41),"000"))</f>
        <v/>
      </c>
      <c r="C41" s="13" t="n"/>
      <c r="D41" s="13" t="n"/>
      <c r="E41" s="13" t="n"/>
      <c r="F41" s="13" t="n"/>
      <c r="G41" s="13" t="n"/>
      <c r="H41" s="14" t="n"/>
      <c r="I41" s="14" t="n"/>
      <c r="J41" s="14" t="n"/>
      <c r="K41" s="14">
        <f>IF(H41="","",ROUND((H41+I41+J41)/3,1))</f>
        <v/>
      </c>
      <c r="L41" s="13" t="n"/>
      <c r="M41" s="13" t="n"/>
    </row>
    <row r="42" ht="22" customHeight="1">
      <c r="B42" s="17">
        <f>IF(C42="","EV-"&amp;TEXT(COUNTA($C$5:C42),"000"))</f>
        <v/>
      </c>
      <c r="C42" s="15" t="n"/>
      <c r="D42" s="15" t="n"/>
      <c r="E42" s="15" t="n"/>
      <c r="F42" s="15" t="n"/>
      <c r="G42" s="15" t="n"/>
      <c r="H42" s="16" t="n"/>
      <c r="I42" s="16" t="n"/>
      <c r="J42" s="16" t="n"/>
      <c r="K42" s="16">
        <f>IF(H42="","",ROUND((H42+I42+J42)/3,1))</f>
        <v/>
      </c>
      <c r="L42" s="15" t="n"/>
      <c r="M42" s="15" t="n"/>
    </row>
    <row r="43" ht="22" customHeight="1">
      <c r="B43" s="18">
        <f>IF(C43="","EV-"&amp;TEXT(COUNTA($C$5:C43),"000"))</f>
        <v/>
      </c>
      <c r="C43" s="13" t="n"/>
      <c r="D43" s="13" t="n"/>
      <c r="E43" s="13" t="n"/>
      <c r="F43" s="13" t="n"/>
      <c r="G43" s="13" t="n"/>
      <c r="H43" s="14" t="n"/>
      <c r="I43" s="14" t="n"/>
      <c r="J43" s="14" t="n"/>
      <c r="K43" s="14">
        <f>IF(H43="","",ROUND((H43+I43+J43)/3,1))</f>
        <v/>
      </c>
      <c r="L43" s="13" t="n"/>
      <c r="M43" s="13" t="n"/>
    </row>
    <row r="44" ht="22" customHeight="1">
      <c r="B44" s="17">
        <f>IF(C44="","EV-"&amp;TEXT(COUNTA($C$5:C44),"000"))</f>
        <v/>
      </c>
      <c r="C44" s="15" t="n"/>
      <c r="D44" s="15" t="n"/>
      <c r="E44" s="15" t="n"/>
      <c r="F44" s="15" t="n"/>
      <c r="G44" s="15" t="n"/>
      <c r="H44" s="16" t="n"/>
      <c r="I44" s="16" t="n"/>
      <c r="J44" s="16" t="n"/>
      <c r="K44" s="16">
        <f>IF(H44="","",ROUND((H44+I44+J44)/3,1))</f>
        <v/>
      </c>
      <c r="L44" s="15" t="n"/>
      <c r="M44" s="15" t="n"/>
    </row>
    <row r="45" ht="22" customHeight="1">
      <c r="B45" s="18">
        <f>IF(C45="","EV-"&amp;TEXT(COUNTA($C$5:C45),"000"))</f>
        <v/>
      </c>
      <c r="C45" s="13" t="n"/>
      <c r="D45" s="13" t="n"/>
      <c r="E45" s="13" t="n"/>
      <c r="F45" s="13" t="n"/>
      <c r="G45" s="13" t="n"/>
      <c r="H45" s="14" t="n"/>
      <c r="I45" s="14" t="n"/>
      <c r="J45" s="14" t="n"/>
      <c r="K45" s="14">
        <f>IF(H45="","",ROUND((H45+I45+J45)/3,1))</f>
        <v/>
      </c>
      <c r="L45" s="13" t="n"/>
      <c r="M45" s="13" t="n"/>
    </row>
    <row r="46" ht="22" customHeight="1">
      <c r="B46" s="17">
        <f>IF(C46="","EV-"&amp;TEXT(COUNTA($C$5:C46),"000"))</f>
        <v/>
      </c>
      <c r="C46" s="15" t="n"/>
      <c r="D46" s="15" t="n"/>
      <c r="E46" s="15" t="n"/>
      <c r="F46" s="15" t="n"/>
      <c r="G46" s="15" t="n"/>
      <c r="H46" s="16" t="n"/>
      <c r="I46" s="16" t="n"/>
      <c r="J46" s="16" t="n"/>
      <c r="K46" s="16">
        <f>IF(H46="","",ROUND((H46+I46+J46)/3,1))</f>
        <v/>
      </c>
      <c r="L46" s="15" t="n"/>
      <c r="M46" s="15" t="n"/>
    </row>
    <row r="47" ht="22" customHeight="1">
      <c r="B47" s="18">
        <f>IF(C47="","EV-"&amp;TEXT(COUNTA($C$5:C47),"000"))</f>
        <v/>
      </c>
      <c r="C47" s="13" t="n"/>
      <c r="D47" s="13" t="n"/>
      <c r="E47" s="13" t="n"/>
      <c r="F47" s="13" t="n"/>
      <c r="G47" s="13" t="n"/>
      <c r="H47" s="14" t="n"/>
      <c r="I47" s="14" t="n"/>
      <c r="J47" s="14" t="n"/>
      <c r="K47" s="14">
        <f>IF(H47="","",ROUND((H47+I47+J47)/3,1))</f>
        <v/>
      </c>
      <c r="L47" s="13" t="n"/>
      <c r="M47" s="13" t="n"/>
    </row>
    <row r="48" ht="22" customHeight="1">
      <c r="B48" s="17">
        <f>IF(C48="","EV-"&amp;TEXT(COUNTA($C$5:C48),"000"))</f>
        <v/>
      </c>
      <c r="C48" s="15" t="n"/>
      <c r="D48" s="15" t="n"/>
      <c r="E48" s="15" t="n"/>
      <c r="F48" s="15" t="n"/>
      <c r="G48" s="15" t="n"/>
      <c r="H48" s="16" t="n"/>
      <c r="I48" s="16" t="n"/>
      <c r="J48" s="16" t="n"/>
      <c r="K48" s="16">
        <f>IF(H48="","",ROUND((H48+I48+J48)/3,1))</f>
        <v/>
      </c>
      <c r="L48" s="15" t="n"/>
      <c r="M48" s="15" t="n"/>
    </row>
    <row r="49" ht="22" customHeight="1">
      <c r="B49" s="18">
        <f>IF(C49="","EV-"&amp;TEXT(COUNTA($C$5:C49),"000"))</f>
        <v/>
      </c>
      <c r="C49" s="13" t="n"/>
      <c r="D49" s="13" t="n"/>
      <c r="E49" s="13" t="n"/>
      <c r="F49" s="13" t="n"/>
      <c r="G49" s="13" t="n"/>
      <c r="H49" s="14" t="n"/>
      <c r="I49" s="14" t="n"/>
      <c r="J49" s="14" t="n"/>
      <c r="K49" s="14">
        <f>IF(H49="","",ROUND((H49+I49+J49)/3,1))</f>
        <v/>
      </c>
      <c r="L49" s="13" t="n"/>
      <c r="M49" s="13" t="n"/>
    </row>
    <row r="50" ht="22" customHeight="1">
      <c r="B50" s="17">
        <f>IF(C50="","EV-"&amp;TEXT(COUNTA($C$5:C50),"000"))</f>
        <v/>
      </c>
      <c r="C50" s="15" t="n"/>
      <c r="D50" s="15" t="n"/>
      <c r="E50" s="15" t="n"/>
      <c r="F50" s="15" t="n"/>
      <c r="G50" s="15" t="n"/>
      <c r="H50" s="16" t="n"/>
      <c r="I50" s="16" t="n"/>
      <c r="J50" s="16" t="n"/>
      <c r="K50" s="16">
        <f>IF(H50="","",ROUND((H50+I50+J50)/3,1))</f>
        <v/>
      </c>
      <c r="L50" s="15" t="n"/>
      <c r="M50" s="15" t="n"/>
    </row>
    <row r="51" ht="22" customHeight="1">
      <c r="B51" s="18">
        <f>IF(C51="","EV-"&amp;TEXT(COUNTA($C$5:C51),"000"))</f>
        <v/>
      </c>
      <c r="C51" s="13" t="n"/>
      <c r="D51" s="13" t="n"/>
      <c r="E51" s="13" t="n"/>
      <c r="F51" s="13" t="n"/>
      <c r="G51" s="13" t="n"/>
      <c r="H51" s="14" t="n"/>
      <c r="I51" s="14" t="n"/>
      <c r="J51" s="14" t="n"/>
      <c r="K51" s="14">
        <f>IF(H51="","",ROUND((H51+I51+J51)/3,1))</f>
        <v/>
      </c>
      <c r="L51" s="13" t="n"/>
      <c r="M51" s="13" t="n"/>
    </row>
    <row r="52" ht="22" customHeight="1">
      <c r="B52" s="17">
        <f>IF(C52="","EV-"&amp;TEXT(COUNTA($C$5:C52),"000"))</f>
        <v/>
      </c>
      <c r="C52" s="15" t="n"/>
      <c r="D52" s="15" t="n"/>
      <c r="E52" s="15" t="n"/>
      <c r="F52" s="15" t="n"/>
      <c r="G52" s="15" t="n"/>
      <c r="H52" s="16" t="n"/>
      <c r="I52" s="16" t="n"/>
      <c r="J52" s="16" t="n"/>
      <c r="K52" s="16">
        <f>IF(H52="","",ROUND((H52+I52+J52)/3,1))</f>
        <v/>
      </c>
      <c r="L52" s="15" t="n"/>
      <c r="M52" s="15" t="n"/>
    </row>
    <row r="53" ht="22" customHeight="1">
      <c r="B53" s="18">
        <f>IF(C53="","EV-"&amp;TEXT(COUNTA($C$5:C53),"000"))</f>
        <v/>
      </c>
      <c r="C53" s="13" t="n"/>
      <c r="D53" s="13" t="n"/>
      <c r="E53" s="13" t="n"/>
      <c r="F53" s="13" t="n"/>
      <c r="G53" s="13" t="n"/>
      <c r="H53" s="14" t="n"/>
      <c r="I53" s="14" t="n"/>
      <c r="J53" s="14" t="n"/>
      <c r="K53" s="14">
        <f>IF(H53="","",ROUND((H53+I53+J53)/3,1))</f>
        <v/>
      </c>
      <c r="L53" s="13" t="n"/>
      <c r="M53" s="13" t="n"/>
    </row>
    <row r="54" ht="22" customHeight="1">
      <c r="B54" s="17">
        <f>IF(C54="","EV-"&amp;TEXT(COUNTA($C$5:C54),"000"))</f>
        <v/>
      </c>
      <c r="C54" s="15" t="n"/>
      <c r="D54" s="15" t="n"/>
      <c r="E54" s="15" t="n"/>
      <c r="F54" s="15" t="n"/>
      <c r="G54" s="15" t="n"/>
      <c r="H54" s="16" t="n"/>
      <c r="I54" s="16" t="n"/>
      <c r="J54" s="16" t="n"/>
      <c r="K54" s="16">
        <f>IF(H54="","",ROUND((H54+I54+J54)/3,1))</f>
        <v/>
      </c>
      <c r="L54" s="15" t="n"/>
      <c r="M54" s="15" t="n"/>
    </row>
    <row r="55" ht="22" customHeight="1">
      <c r="B55" s="18">
        <f>IF(C55="","EV-"&amp;TEXT(COUNTA($C$5:C55),"000"))</f>
        <v/>
      </c>
      <c r="C55" s="13" t="n"/>
      <c r="D55" s="13" t="n"/>
      <c r="E55" s="13" t="n"/>
      <c r="F55" s="13" t="n"/>
      <c r="G55" s="13" t="n"/>
      <c r="H55" s="14" t="n"/>
      <c r="I55" s="14" t="n"/>
      <c r="J55" s="14" t="n"/>
      <c r="K55" s="14">
        <f>IF(H55="","",ROUND((H55+I55+J55)/3,1))</f>
        <v/>
      </c>
      <c r="L55" s="13" t="n"/>
      <c r="M55" s="13" t="n"/>
    </row>
    <row r="56" ht="22" customHeight="1">
      <c r="B56" s="17">
        <f>IF(C56="","EV-"&amp;TEXT(COUNTA($C$5:C56),"000"))</f>
        <v/>
      </c>
      <c r="C56" s="15" t="n"/>
      <c r="D56" s="15" t="n"/>
      <c r="E56" s="15" t="n"/>
      <c r="F56" s="15" t="n"/>
      <c r="G56" s="15" t="n"/>
      <c r="H56" s="16" t="n"/>
      <c r="I56" s="16" t="n"/>
      <c r="J56" s="16" t="n"/>
      <c r="K56" s="16">
        <f>IF(H56="","",ROUND((H56+I56+J56)/3,1))</f>
        <v/>
      </c>
      <c r="L56" s="15" t="n"/>
      <c r="M56" s="15" t="n"/>
    </row>
    <row r="57" ht="22" customHeight="1">
      <c r="B57" s="18">
        <f>IF(C57="","EV-"&amp;TEXT(COUNTA($C$5:C57),"000"))</f>
        <v/>
      </c>
      <c r="C57" s="13" t="n"/>
      <c r="D57" s="13" t="n"/>
      <c r="E57" s="13" t="n"/>
      <c r="F57" s="13" t="n"/>
      <c r="G57" s="13" t="n"/>
      <c r="H57" s="14" t="n"/>
      <c r="I57" s="14" t="n"/>
      <c r="J57" s="14" t="n"/>
      <c r="K57" s="14">
        <f>IF(H57="","",ROUND((H57+I57+J57)/3,1))</f>
        <v/>
      </c>
      <c r="L57" s="13" t="n"/>
      <c r="M57" s="13" t="n"/>
    </row>
    <row r="58" ht="22" customHeight="1">
      <c r="B58" s="17">
        <f>IF(C58="","EV-"&amp;TEXT(COUNTA($C$5:C58),"000"))</f>
        <v/>
      </c>
      <c r="C58" s="15" t="n"/>
      <c r="D58" s="15" t="n"/>
      <c r="E58" s="15" t="n"/>
      <c r="F58" s="15" t="n"/>
      <c r="G58" s="15" t="n"/>
      <c r="H58" s="16" t="n"/>
      <c r="I58" s="16" t="n"/>
      <c r="J58" s="16" t="n"/>
      <c r="K58" s="16">
        <f>IF(H58="","",ROUND((H58+I58+J58)/3,1))</f>
        <v/>
      </c>
      <c r="L58" s="15" t="n"/>
      <c r="M58" s="15" t="n"/>
    </row>
    <row r="59" ht="22" customHeight="1">
      <c r="B59" s="18">
        <f>IF(C59="","EV-"&amp;TEXT(COUNTA($C$5:C59),"000"))</f>
        <v/>
      </c>
      <c r="C59" s="13" t="n"/>
      <c r="D59" s="13" t="n"/>
      <c r="E59" s="13" t="n"/>
      <c r="F59" s="13" t="n"/>
      <c r="G59" s="13" t="n"/>
      <c r="H59" s="14" t="n"/>
      <c r="I59" s="14" t="n"/>
      <c r="J59" s="14" t="n"/>
      <c r="K59" s="14">
        <f>IF(H59="","",ROUND((H59+I59+J59)/3,1))</f>
        <v/>
      </c>
      <c r="L59" s="13" t="n"/>
      <c r="M59" s="13" t="n"/>
    </row>
    <row r="60" ht="22" customHeight="1">
      <c r="B60" s="17">
        <f>IF(C60="","EV-"&amp;TEXT(COUNTA($C$5:C60),"000"))</f>
        <v/>
      </c>
      <c r="C60" s="15" t="n"/>
      <c r="D60" s="15" t="n"/>
      <c r="E60" s="15" t="n"/>
      <c r="F60" s="15" t="n"/>
      <c r="G60" s="15" t="n"/>
      <c r="H60" s="16" t="n"/>
      <c r="I60" s="16" t="n"/>
      <c r="J60" s="16" t="n"/>
      <c r="K60" s="16">
        <f>IF(H60="","",ROUND((H60+I60+J60)/3,1))</f>
        <v/>
      </c>
      <c r="L60" s="15" t="n"/>
      <c r="M60" s="15" t="n"/>
    </row>
    <row r="61" ht="22" customHeight="1">
      <c r="B61" s="18">
        <f>IF(C61="","EV-"&amp;TEXT(COUNTA($C$5:C61),"000"))</f>
        <v/>
      </c>
      <c r="C61" s="13" t="n"/>
      <c r="D61" s="13" t="n"/>
      <c r="E61" s="13" t="n"/>
      <c r="F61" s="13" t="n"/>
      <c r="G61" s="13" t="n"/>
      <c r="H61" s="14" t="n"/>
      <c r="I61" s="14" t="n"/>
      <c r="J61" s="14" t="n"/>
      <c r="K61" s="14">
        <f>IF(H61="","",ROUND((H61+I61+J61)/3,1))</f>
        <v/>
      </c>
      <c r="L61" s="13" t="n"/>
      <c r="M61" s="13" t="n"/>
    </row>
    <row r="62" ht="22" customHeight="1">
      <c r="B62" s="17">
        <f>IF(C62="","EV-"&amp;TEXT(COUNTA($C$5:C62),"000"))</f>
        <v/>
      </c>
      <c r="C62" s="15" t="n"/>
      <c r="D62" s="15" t="n"/>
      <c r="E62" s="15" t="n"/>
      <c r="F62" s="15" t="n"/>
      <c r="G62" s="15" t="n"/>
      <c r="H62" s="16" t="n"/>
      <c r="I62" s="16" t="n"/>
      <c r="J62" s="16" t="n"/>
      <c r="K62" s="16">
        <f>IF(H62="","",ROUND((H62+I62+J62)/3,1))</f>
        <v/>
      </c>
      <c r="L62" s="15" t="n"/>
      <c r="M62" s="15" t="n"/>
    </row>
    <row r="63" ht="22" customHeight="1">
      <c r="B63" s="18">
        <f>IF(C63="","EV-"&amp;TEXT(COUNTA($C$5:C63),"000"))</f>
        <v/>
      </c>
      <c r="C63" s="13" t="n"/>
      <c r="D63" s="13" t="n"/>
      <c r="E63" s="13" t="n"/>
      <c r="F63" s="13" t="n"/>
      <c r="G63" s="13" t="n"/>
      <c r="H63" s="14" t="n"/>
      <c r="I63" s="14" t="n"/>
      <c r="J63" s="14" t="n"/>
      <c r="K63" s="14">
        <f>IF(H63="","",ROUND((H63+I63+J63)/3,1))</f>
        <v/>
      </c>
      <c r="L63" s="13" t="n"/>
      <c r="M63" s="13" t="n"/>
    </row>
    <row r="64" ht="22" customHeight="1">
      <c r="B64" s="17">
        <f>IF(C64="","EV-"&amp;TEXT(COUNTA($C$5:C64),"000"))</f>
        <v/>
      </c>
      <c r="C64" s="15" t="n"/>
      <c r="D64" s="15" t="n"/>
      <c r="E64" s="15" t="n"/>
      <c r="F64" s="15" t="n"/>
      <c r="G64" s="15" t="n"/>
      <c r="H64" s="16" t="n"/>
      <c r="I64" s="16" t="n"/>
      <c r="J64" s="16" t="n"/>
      <c r="K64" s="16">
        <f>IF(H64="","",ROUND((H64+I64+J64)/3,1))</f>
        <v/>
      </c>
      <c r="L64" s="15" t="n"/>
      <c r="M64" s="15" t="n"/>
    </row>
    <row r="65" ht="22" customHeight="1">
      <c r="B65" s="18">
        <f>IF(C65="","EV-"&amp;TEXT(COUNTA($C$5:C65),"000"))</f>
        <v/>
      </c>
      <c r="C65" s="13" t="n"/>
      <c r="D65" s="13" t="n"/>
      <c r="E65" s="13" t="n"/>
      <c r="F65" s="13" t="n"/>
      <c r="G65" s="13" t="n"/>
      <c r="H65" s="14" t="n"/>
      <c r="I65" s="14" t="n"/>
      <c r="J65" s="14" t="n"/>
      <c r="K65" s="14">
        <f>IF(H65="","",ROUND((H65+I65+J65)/3,1))</f>
        <v/>
      </c>
      <c r="L65" s="13" t="n"/>
      <c r="M65" s="13" t="n"/>
    </row>
    <row r="66" ht="22" customHeight="1">
      <c r="B66" s="17">
        <f>IF(C66="","EV-"&amp;TEXT(COUNTA($C$5:C66),"000"))</f>
        <v/>
      </c>
      <c r="C66" s="15" t="n"/>
      <c r="D66" s="15" t="n"/>
      <c r="E66" s="15" t="n"/>
      <c r="F66" s="15" t="n"/>
      <c r="G66" s="15" t="n"/>
      <c r="H66" s="16" t="n"/>
      <c r="I66" s="16" t="n"/>
      <c r="J66" s="16" t="n"/>
      <c r="K66" s="16">
        <f>IF(H66="","",ROUND((H66+I66+J66)/3,1))</f>
        <v/>
      </c>
      <c r="L66" s="15" t="n"/>
      <c r="M66" s="15" t="n"/>
    </row>
    <row r="67" ht="22" customHeight="1">
      <c r="B67" s="18">
        <f>IF(C67="","EV-"&amp;TEXT(COUNTA($C$5:C67),"000"))</f>
        <v/>
      </c>
      <c r="C67" s="13" t="n"/>
      <c r="D67" s="13" t="n"/>
      <c r="E67" s="13" t="n"/>
      <c r="F67" s="13" t="n"/>
      <c r="G67" s="13" t="n"/>
      <c r="H67" s="14" t="n"/>
      <c r="I67" s="14" t="n"/>
      <c r="J67" s="14" t="n"/>
      <c r="K67" s="14">
        <f>IF(H67="","",ROUND((H67+I67+J67)/3,1))</f>
        <v/>
      </c>
      <c r="L67" s="13" t="n"/>
      <c r="M67" s="13" t="n"/>
    </row>
    <row r="68" ht="22" customHeight="1">
      <c r="B68" s="17">
        <f>IF(C68="","EV-"&amp;TEXT(COUNTA($C$5:C68),"000"))</f>
        <v/>
      </c>
      <c r="C68" s="15" t="n"/>
      <c r="D68" s="15" t="n"/>
      <c r="E68" s="15" t="n"/>
      <c r="F68" s="15" t="n"/>
      <c r="G68" s="15" t="n"/>
      <c r="H68" s="16" t="n"/>
      <c r="I68" s="16" t="n"/>
      <c r="J68" s="16" t="n"/>
      <c r="K68" s="16">
        <f>IF(H68="","",ROUND((H68+I68+J68)/3,1))</f>
        <v/>
      </c>
      <c r="L68" s="15" t="n"/>
      <c r="M68" s="15" t="n"/>
    </row>
    <row r="69" ht="22" customHeight="1">
      <c r="B69" s="18">
        <f>IF(C69="","EV-"&amp;TEXT(COUNTA($C$5:C69),"000"))</f>
        <v/>
      </c>
      <c r="C69" s="13" t="n"/>
      <c r="D69" s="13" t="n"/>
      <c r="E69" s="13" t="n"/>
      <c r="F69" s="13" t="n"/>
      <c r="G69" s="13" t="n"/>
      <c r="H69" s="14" t="n"/>
      <c r="I69" s="14" t="n"/>
      <c r="J69" s="14" t="n"/>
      <c r="K69" s="14">
        <f>IF(H69="","",ROUND((H69+I69+J69)/3,1))</f>
        <v/>
      </c>
      <c r="L69" s="13" t="n"/>
      <c r="M69" s="13" t="n"/>
    </row>
    <row r="70" ht="22" customHeight="1">
      <c r="B70" s="17">
        <f>IF(C70="","EV-"&amp;TEXT(COUNTA($C$5:C70),"000"))</f>
        <v/>
      </c>
      <c r="C70" s="15" t="n"/>
      <c r="D70" s="15" t="n"/>
      <c r="E70" s="15" t="n"/>
      <c r="F70" s="15" t="n"/>
      <c r="G70" s="15" t="n"/>
      <c r="H70" s="16" t="n"/>
      <c r="I70" s="16" t="n"/>
      <c r="J70" s="16" t="n"/>
      <c r="K70" s="16">
        <f>IF(H70="","",ROUND((H70+I70+J70)/3,1))</f>
        <v/>
      </c>
      <c r="L70" s="15" t="n"/>
      <c r="M70" s="15" t="n"/>
    </row>
    <row r="71" ht="22" customHeight="1">
      <c r="B71" s="18">
        <f>IF(C71="","EV-"&amp;TEXT(COUNTA($C$5:C71),"000"))</f>
        <v/>
      </c>
      <c r="C71" s="13" t="n"/>
      <c r="D71" s="13" t="n"/>
      <c r="E71" s="13" t="n"/>
      <c r="F71" s="13" t="n"/>
      <c r="G71" s="13" t="n"/>
      <c r="H71" s="14" t="n"/>
      <c r="I71" s="14" t="n"/>
      <c r="J71" s="14" t="n"/>
      <c r="K71" s="14">
        <f>IF(H71="","",ROUND((H71+I71+J71)/3,1))</f>
        <v/>
      </c>
      <c r="L71" s="13" t="n"/>
      <c r="M71" s="13" t="n"/>
    </row>
    <row r="72" ht="22" customHeight="1">
      <c r="B72" s="17">
        <f>IF(C72="","EV-"&amp;TEXT(COUNTA($C$5:C72),"000"))</f>
        <v/>
      </c>
      <c r="C72" s="15" t="n"/>
      <c r="D72" s="15" t="n"/>
      <c r="E72" s="15" t="n"/>
      <c r="F72" s="15" t="n"/>
      <c r="G72" s="15" t="n"/>
      <c r="H72" s="16" t="n"/>
      <c r="I72" s="16" t="n"/>
      <c r="J72" s="16" t="n"/>
      <c r="K72" s="16">
        <f>IF(H72="","",ROUND((H72+I72+J72)/3,1))</f>
        <v/>
      </c>
      <c r="L72" s="15" t="n"/>
      <c r="M72" s="15" t="n"/>
    </row>
    <row r="73" ht="22" customHeight="1">
      <c r="B73" s="18">
        <f>IF(C73="","EV-"&amp;TEXT(COUNTA($C$5:C73),"000"))</f>
        <v/>
      </c>
      <c r="C73" s="13" t="n"/>
      <c r="D73" s="13" t="n"/>
      <c r="E73" s="13" t="n"/>
      <c r="F73" s="13" t="n"/>
      <c r="G73" s="13" t="n"/>
      <c r="H73" s="14" t="n"/>
      <c r="I73" s="14" t="n"/>
      <c r="J73" s="14" t="n"/>
      <c r="K73" s="14">
        <f>IF(H73="","",ROUND((H73+I73+J73)/3,1))</f>
        <v/>
      </c>
      <c r="L73" s="13" t="n"/>
      <c r="M73" s="13" t="n"/>
    </row>
    <row r="74" ht="22" customHeight="1">
      <c r="B74" s="17">
        <f>IF(C74="","EV-"&amp;TEXT(COUNTA($C$5:C74),"000"))</f>
        <v/>
      </c>
      <c r="C74" s="15" t="n"/>
      <c r="D74" s="15" t="n"/>
      <c r="E74" s="15" t="n"/>
      <c r="F74" s="15" t="n"/>
      <c r="G74" s="15" t="n"/>
      <c r="H74" s="16" t="n"/>
      <c r="I74" s="16" t="n"/>
      <c r="J74" s="16" t="n"/>
      <c r="K74" s="16">
        <f>IF(H74="","",ROUND((H74+I74+J74)/3,1))</f>
        <v/>
      </c>
      <c r="L74" s="15" t="n"/>
      <c r="M74" s="15" t="n"/>
    </row>
    <row r="75" ht="22" customHeight="1">
      <c r="B75" s="18">
        <f>IF(C75="","EV-"&amp;TEXT(COUNTA($C$5:C75),"000"))</f>
        <v/>
      </c>
      <c r="C75" s="13" t="n"/>
      <c r="D75" s="13" t="n"/>
      <c r="E75" s="13" t="n"/>
      <c r="F75" s="13" t="n"/>
      <c r="G75" s="13" t="n"/>
      <c r="H75" s="14" t="n"/>
      <c r="I75" s="14" t="n"/>
      <c r="J75" s="14" t="n"/>
      <c r="K75" s="14">
        <f>IF(H75="","",ROUND((H75+I75+J75)/3,1))</f>
        <v/>
      </c>
      <c r="L75" s="13" t="n"/>
      <c r="M75" s="13" t="n"/>
    </row>
    <row r="76" ht="22" customHeight="1">
      <c r="B76" s="17">
        <f>IF(C76="","EV-"&amp;TEXT(COUNTA($C$5:C76),"000"))</f>
        <v/>
      </c>
      <c r="C76" s="15" t="n"/>
      <c r="D76" s="15" t="n"/>
      <c r="E76" s="15" t="n"/>
      <c r="F76" s="15" t="n"/>
      <c r="G76" s="15" t="n"/>
      <c r="H76" s="16" t="n"/>
      <c r="I76" s="16" t="n"/>
      <c r="J76" s="16" t="n"/>
      <c r="K76" s="16">
        <f>IF(H76="","",ROUND((H76+I76+J76)/3,1))</f>
        <v/>
      </c>
      <c r="L76" s="15" t="n"/>
      <c r="M76" s="15" t="n"/>
    </row>
    <row r="77" ht="22" customHeight="1">
      <c r="B77" s="18">
        <f>IF(C77="","EV-"&amp;TEXT(COUNTA($C$5:C77),"000"))</f>
        <v/>
      </c>
      <c r="C77" s="13" t="n"/>
      <c r="D77" s="13" t="n"/>
      <c r="E77" s="13" t="n"/>
      <c r="F77" s="13" t="n"/>
      <c r="G77" s="13" t="n"/>
      <c r="H77" s="14" t="n"/>
      <c r="I77" s="14" t="n"/>
      <c r="J77" s="14" t="n"/>
      <c r="K77" s="14">
        <f>IF(H77="","",ROUND((H77+I77+J77)/3,1))</f>
        <v/>
      </c>
      <c r="L77" s="13" t="n"/>
      <c r="M77" s="13" t="n"/>
    </row>
    <row r="78" ht="22" customHeight="1">
      <c r="B78" s="17">
        <f>IF(C78="","EV-"&amp;TEXT(COUNTA($C$5:C78),"000"))</f>
        <v/>
      </c>
      <c r="C78" s="15" t="n"/>
      <c r="D78" s="15" t="n"/>
      <c r="E78" s="15" t="n"/>
      <c r="F78" s="15" t="n"/>
      <c r="G78" s="15" t="n"/>
      <c r="H78" s="16" t="n"/>
      <c r="I78" s="16" t="n"/>
      <c r="J78" s="16" t="n"/>
      <c r="K78" s="16">
        <f>IF(H78="","",ROUND((H78+I78+J78)/3,1))</f>
        <v/>
      </c>
      <c r="L78" s="15" t="n"/>
      <c r="M78" s="15" t="n"/>
    </row>
    <row r="79" ht="22" customHeight="1">
      <c r="B79" s="18">
        <f>IF(C79="","EV-"&amp;TEXT(COUNTA($C$5:C79),"000"))</f>
        <v/>
      </c>
      <c r="C79" s="13" t="n"/>
      <c r="D79" s="13" t="n"/>
      <c r="E79" s="13" t="n"/>
      <c r="F79" s="13" t="n"/>
      <c r="G79" s="13" t="n"/>
      <c r="H79" s="14" t="n"/>
      <c r="I79" s="14" t="n"/>
      <c r="J79" s="14" t="n"/>
      <c r="K79" s="14">
        <f>IF(H79="","",ROUND((H79+I79+J79)/3,1))</f>
        <v/>
      </c>
      <c r="L79" s="13" t="n"/>
      <c r="M79" s="13" t="n"/>
    </row>
    <row r="80" ht="22" customHeight="1">
      <c r="B80" s="17">
        <f>IF(C80="","EV-"&amp;TEXT(COUNTA($C$5:C80),"000"))</f>
        <v/>
      </c>
      <c r="C80" s="15" t="n"/>
      <c r="D80" s="15" t="n"/>
      <c r="E80" s="15" t="n"/>
      <c r="F80" s="15" t="n"/>
      <c r="G80" s="15" t="n"/>
      <c r="H80" s="16" t="n"/>
      <c r="I80" s="16" t="n"/>
      <c r="J80" s="16" t="n"/>
      <c r="K80" s="16">
        <f>IF(H80="","",ROUND((H80+I80+J80)/3,1))</f>
        <v/>
      </c>
      <c r="L80" s="15" t="n"/>
      <c r="M80" s="15" t="n"/>
    </row>
    <row r="81" ht="22" customHeight="1">
      <c r="B81" s="18">
        <f>IF(C81="","EV-"&amp;TEXT(COUNTA($C$5:C81),"000"))</f>
        <v/>
      </c>
      <c r="C81" s="13" t="n"/>
      <c r="D81" s="13" t="n"/>
      <c r="E81" s="13" t="n"/>
      <c r="F81" s="13" t="n"/>
      <c r="G81" s="13" t="n"/>
      <c r="H81" s="14" t="n"/>
      <c r="I81" s="14" t="n"/>
      <c r="J81" s="14" t="n"/>
      <c r="K81" s="14">
        <f>IF(H81="","",ROUND((H81+I81+J81)/3,1))</f>
        <v/>
      </c>
      <c r="L81" s="13" t="n"/>
      <c r="M81" s="13" t="n"/>
    </row>
    <row r="82" ht="22" customHeight="1">
      <c r="B82" s="17">
        <f>IF(C82="","EV-"&amp;TEXT(COUNTA($C$5:C82),"000"))</f>
        <v/>
      </c>
      <c r="C82" s="15" t="n"/>
      <c r="D82" s="15" t="n"/>
      <c r="E82" s="15" t="n"/>
      <c r="F82" s="15" t="n"/>
      <c r="G82" s="15" t="n"/>
      <c r="H82" s="16" t="n"/>
      <c r="I82" s="16" t="n"/>
      <c r="J82" s="16" t="n"/>
      <c r="K82" s="16">
        <f>IF(H82="","",ROUND((H82+I82+J82)/3,1))</f>
        <v/>
      </c>
      <c r="L82" s="15" t="n"/>
      <c r="M82" s="15" t="n"/>
    </row>
    <row r="83" ht="22" customHeight="1">
      <c r="B83" s="18">
        <f>IF(C83="","EV-"&amp;TEXT(COUNTA($C$5:C83),"000"))</f>
        <v/>
      </c>
      <c r="C83" s="13" t="n"/>
      <c r="D83" s="13" t="n"/>
      <c r="E83" s="13" t="n"/>
      <c r="F83" s="13" t="n"/>
      <c r="G83" s="13" t="n"/>
      <c r="H83" s="14" t="n"/>
      <c r="I83" s="14" t="n"/>
      <c r="J83" s="14" t="n"/>
      <c r="K83" s="14">
        <f>IF(H83="","",ROUND((H83+I83+J83)/3,1))</f>
        <v/>
      </c>
      <c r="L83" s="13" t="n"/>
      <c r="M83" s="13" t="n"/>
    </row>
    <row r="84" ht="22" customHeight="1">
      <c r="B84" s="17">
        <f>IF(C84="","EV-"&amp;TEXT(COUNTA($C$5:C84),"000"))</f>
        <v/>
      </c>
      <c r="C84" s="15" t="n"/>
      <c r="D84" s="15" t="n"/>
      <c r="E84" s="15" t="n"/>
      <c r="F84" s="15" t="n"/>
      <c r="G84" s="15" t="n"/>
      <c r="H84" s="16" t="n"/>
      <c r="I84" s="16" t="n"/>
      <c r="J84" s="16" t="n"/>
      <c r="K84" s="16">
        <f>IF(H84="","",ROUND((H84+I84+J84)/3,1))</f>
        <v/>
      </c>
      <c r="L84" s="15" t="n"/>
      <c r="M84" s="15" t="n"/>
    </row>
    <row r="85" ht="22" customHeight="1">
      <c r="B85" s="18">
        <f>IF(C85="","EV-"&amp;TEXT(COUNTA($C$5:C85),"000"))</f>
        <v/>
      </c>
      <c r="C85" s="13" t="n"/>
      <c r="D85" s="13" t="n"/>
      <c r="E85" s="13" t="n"/>
      <c r="F85" s="13" t="n"/>
      <c r="G85" s="13" t="n"/>
      <c r="H85" s="14" t="n"/>
      <c r="I85" s="14" t="n"/>
      <c r="J85" s="14" t="n"/>
      <c r="K85" s="14">
        <f>IF(H85="","",ROUND((H85+I85+J85)/3,1))</f>
        <v/>
      </c>
      <c r="L85" s="13" t="n"/>
      <c r="M85" s="13" t="n"/>
    </row>
    <row r="86" ht="22" customHeight="1">
      <c r="B86" s="17">
        <f>IF(C86="","EV-"&amp;TEXT(COUNTA($C$5:C86),"000"))</f>
        <v/>
      </c>
      <c r="C86" s="15" t="n"/>
      <c r="D86" s="15" t="n"/>
      <c r="E86" s="15" t="n"/>
      <c r="F86" s="15" t="n"/>
      <c r="G86" s="15" t="n"/>
      <c r="H86" s="16" t="n"/>
      <c r="I86" s="16" t="n"/>
      <c r="J86" s="16" t="n"/>
      <c r="K86" s="16">
        <f>IF(H86="","",ROUND((H86+I86+J86)/3,1))</f>
        <v/>
      </c>
      <c r="L86" s="15" t="n"/>
      <c r="M86" s="15" t="n"/>
    </row>
    <row r="87" ht="22" customHeight="1">
      <c r="B87" s="18">
        <f>IF(C87="","EV-"&amp;TEXT(COUNTA($C$5:C87),"000"))</f>
        <v/>
      </c>
      <c r="C87" s="13" t="n"/>
      <c r="D87" s="13" t="n"/>
      <c r="E87" s="13" t="n"/>
      <c r="F87" s="13" t="n"/>
      <c r="G87" s="13" t="n"/>
      <c r="H87" s="14" t="n"/>
      <c r="I87" s="14" t="n"/>
      <c r="J87" s="14" t="n"/>
      <c r="K87" s="14">
        <f>IF(H87="","",ROUND((H87+I87+J87)/3,1))</f>
        <v/>
      </c>
      <c r="L87" s="13" t="n"/>
      <c r="M87" s="13" t="n"/>
    </row>
    <row r="88" ht="22" customHeight="1">
      <c r="B88" s="17">
        <f>IF(C88="","EV-"&amp;TEXT(COUNTA($C$5:C88),"000"))</f>
        <v/>
      </c>
      <c r="C88" s="15" t="n"/>
      <c r="D88" s="15" t="n"/>
      <c r="E88" s="15" t="n"/>
      <c r="F88" s="15" t="n"/>
      <c r="G88" s="15" t="n"/>
      <c r="H88" s="16" t="n"/>
      <c r="I88" s="16" t="n"/>
      <c r="J88" s="16" t="n"/>
      <c r="K88" s="16">
        <f>IF(H88="","",ROUND((H88+I88+J88)/3,1))</f>
        <v/>
      </c>
      <c r="L88" s="15" t="n"/>
      <c r="M88" s="15" t="n"/>
    </row>
    <row r="89" ht="22" customHeight="1">
      <c r="B89" s="18">
        <f>IF(C89="","EV-"&amp;TEXT(COUNTA($C$5:C89),"000"))</f>
        <v/>
      </c>
      <c r="C89" s="13" t="n"/>
      <c r="D89" s="13" t="n"/>
      <c r="E89" s="13" t="n"/>
      <c r="F89" s="13" t="n"/>
      <c r="G89" s="13" t="n"/>
      <c r="H89" s="14" t="n"/>
      <c r="I89" s="14" t="n"/>
      <c r="J89" s="14" t="n"/>
      <c r="K89" s="14">
        <f>IF(H89="","",ROUND((H89+I89+J89)/3,1))</f>
        <v/>
      </c>
      <c r="L89" s="13" t="n"/>
      <c r="M89" s="13" t="n"/>
    </row>
    <row r="90" ht="22" customHeight="1">
      <c r="B90" s="17">
        <f>IF(C90="","EV-"&amp;TEXT(COUNTA($C$5:C90),"000"))</f>
        <v/>
      </c>
      <c r="C90" s="15" t="n"/>
      <c r="D90" s="15" t="n"/>
      <c r="E90" s="15" t="n"/>
      <c r="F90" s="15" t="n"/>
      <c r="G90" s="15" t="n"/>
      <c r="H90" s="16" t="n"/>
      <c r="I90" s="16" t="n"/>
      <c r="J90" s="16" t="n"/>
      <c r="K90" s="16">
        <f>IF(H90="","",ROUND((H90+I90+J90)/3,1))</f>
        <v/>
      </c>
      <c r="L90" s="15" t="n"/>
      <c r="M90" s="15" t="n"/>
    </row>
    <row r="91" ht="22" customHeight="1">
      <c r="B91" s="18">
        <f>IF(C91="","EV-"&amp;TEXT(COUNTA($C$5:C91),"000"))</f>
        <v/>
      </c>
      <c r="C91" s="13" t="n"/>
      <c r="D91" s="13" t="n"/>
      <c r="E91" s="13" t="n"/>
      <c r="F91" s="13" t="n"/>
      <c r="G91" s="13" t="n"/>
      <c r="H91" s="14" t="n"/>
      <c r="I91" s="14" t="n"/>
      <c r="J91" s="14" t="n"/>
      <c r="K91" s="14">
        <f>IF(H91="","",ROUND((H91+I91+J91)/3,1))</f>
        <v/>
      </c>
      <c r="L91" s="13" t="n"/>
      <c r="M91" s="13" t="n"/>
    </row>
    <row r="92" ht="22" customHeight="1">
      <c r="B92" s="17">
        <f>IF(C92="","EV-"&amp;TEXT(COUNTA($C$5:C92),"000"))</f>
        <v/>
      </c>
      <c r="C92" s="15" t="n"/>
      <c r="D92" s="15" t="n"/>
      <c r="E92" s="15" t="n"/>
      <c r="F92" s="15" t="n"/>
      <c r="G92" s="15" t="n"/>
      <c r="H92" s="16" t="n"/>
      <c r="I92" s="16" t="n"/>
      <c r="J92" s="16" t="n"/>
      <c r="K92" s="16">
        <f>IF(H92="","",ROUND((H92+I92+J92)/3,1))</f>
        <v/>
      </c>
      <c r="L92" s="15" t="n"/>
      <c r="M92" s="15" t="n"/>
    </row>
    <row r="93" ht="22" customHeight="1">
      <c r="B93" s="18">
        <f>IF(C93="","EV-"&amp;TEXT(COUNTA($C$5:C93),"000"))</f>
        <v/>
      </c>
      <c r="C93" s="13" t="n"/>
      <c r="D93" s="13" t="n"/>
      <c r="E93" s="13" t="n"/>
      <c r="F93" s="13" t="n"/>
      <c r="G93" s="13" t="n"/>
      <c r="H93" s="14" t="n"/>
      <c r="I93" s="14" t="n"/>
      <c r="J93" s="14" t="n"/>
      <c r="K93" s="14">
        <f>IF(H93="","",ROUND((H93+I93+J93)/3,1))</f>
        <v/>
      </c>
      <c r="L93" s="13" t="n"/>
      <c r="M93" s="13" t="n"/>
    </row>
    <row r="94" ht="22" customHeight="1">
      <c r="B94" s="17">
        <f>IF(C94="","EV-"&amp;TEXT(COUNTA($C$5:C94),"000"))</f>
        <v/>
      </c>
      <c r="C94" s="15" t="n"/>
      <c r="D94" s="15" t="n"/>
      <c r="E94" s="15" t="n"/>
      <c r="F94" s="15" t="n"/>
      <c r="G94" s="15" t="n"/>
      <c r="H94" s="16" t="n"/>
      <c r="I94" s="16" t="n"/>
      <c r="J94" s="16" t="n"/>
      <c r="K94" s="16">
        <f>IF(H94="","",ROUND((H94+I94+J94)/3,1))</f>
        <v/>
      </c>
      <c r="L94" s="15" t="n"/>
      <c r="M94" s="15" t="n"/>
    </row>
    <row r="95" ht="22" customHeight="1">
      <c r="B95" s="18">
        <f>IF(C95="","EV-"&amp;TEXT(COUNTA($C$5:C95),"000"))</f>
        <v/>
      </c>
      <c r="C95" s="13" t="n"/>
      <c r="D95" s="13" t="n"/>
      <c r="E95" s="13" t="n"/>
      <c r="F95" s="13" t="n"/>
      <c r="G95" s="13" t="n"/>
      <c r="H95" s="14" t="n"/>
      <c r="I95" s="14" t="n"/>
      <c r="J95" s="14" t="n"/>
      <c r="K95" s="14">
        <f>IF(H95="","",ROUND((H95+I95+J95)/3,1))</f>
        <v/>
      </c>
      <c r="L95" s="13" t="n"/>
      <c r="M95" s="13" t="n"/>
    </row>
    <row r="96" ht="22" customHeight="1">
      <c r="B96" s="17">
        <f>IF(C96="","EV-"&amp;TEXT(COUNTA($C$5:C96),"000"))</f>
        <v/>
      </c>
      <c r="C96" s="15" t="n"/>
      <c r="D96" s="15" t="n"/>
      <c r="E96" s="15" t="n"/>
      <c r="F96" s="15" t="n"/>
      <c r="G96" s="15" t="n"/>
      <c r="H96" s="16" t="n"/>
      <c r="I96" s="16" t="n"/>
      <c r="J96" s="16" t="n"/>
      <c r="K96" s="16">
        <f>IF(H96="","",ROUND((H96+I96+J96)/3,1))</f>
        <v/>
      </c>
      <c r="L96" s="15" t="n"/>
      <c r="M96" s="15" t="n"/>
    </row>
    <row r="97" ht="22" customHeight="1">
      <c r="B97" s="18">
        <f>IF(C97="","EV-"&amp;TEXT(COUNTA($C$5:C97),"000"))</f>
        <v/>
      </c>
      <c r="C97" s="13" t="n"/>
      <c r="D97" s="13" t="n"/>
      <c r="E97" s="13" t="n"/>
      <c r="F97" s="13" t="n"/>
      <c r="G97" s="13" t="n"/>
      <c r="H97" s="14" t="n"/>
      <c r="I97" s="14" t="n"/>
      <c r="J97" s="14" t="n"/>
      <c r="K97" s="14">
        <f>IF(H97="","",ROUND((H97+I97+J97)/3,1))</f>
        <v/>
      </c>
      <c r="L97" s="13" t="n"/>
      <c r="M97" s="13" t="n"/>
    </row>
    <row r="98" ht="22" customHeight="1">
      <c r="B98" s="17">
        <f>IF(C98="","EV-"&amp;TEXT(COUNTA($C$5:C98),"000"))</f>
        <v/>
      </c>
      <c r="C98" s="15" t="n"/>
      <c r="D98" s="15" t="n"/>
      <c r="E98" s="15" t="n"/>
      <c r="F98" s="15" t="n"/>
      <c r="G98" s="15" t="n"/>
      <c r="H98" s="16" t="n"/>
      <c r="I98" s="16" t="n"/>
      <c r="J98" s="16" t="n"/>
      <c r="K98" s="16">
        <f>IF(H98="","",ROUND((H98+I98+J98)/3,1))</f>
        <v/>
      </c>
      <c r="L98" s="15" t="n"/>
      <c r="M98" s="15" t="n"/>
    </row>
    <row r="99" ht="22" customHeight="1">
      <c r="B99" s="18">
        <f>IF(C99="","EV-"&amp;TEXT(COUNTA($C$5:C99),"000"))</f>
        <v/>
      </c>
      <c r="C99" s="13" t="n"/>
      <c r="D99" s="13" t="n"/>
      <c r="E99" s="13" t="n"/>
      <c r="F99" s="13" t="n"/>
      <c r="G99" s="13" t="n"/>
      <c r="H99" s="14" t="n"/>
      <c r="I99" s="14" t="n"/>
      <c r="J99" s="14" t="n"/>
      <c r="K99" s="14">
        <f>IF(H99="","",ROUND((H99+I99+J99)/3,1))</f>
        <v/>
      </c>
      <c r="L99" s="13" t="n"/>
      <c r="M99" s="13" t="n"/>
    </row>
    <row r="100" ht="22" customHeight="1">
      <c r="B100" s="17">
        <f>IF(C100="","EV-"&amp;TEXT(COUNTA($C$5:C100),"000"))</f>
        <v/>
      </c>
      <c r="C100" s="15" t="n"/>
      <c r="D100" s="15" t="n"/>
      <c r="E100" s="15" t="n"/>
      <c r="F100" s="15" t="n"/>
      <c r="G100" s="15" t="n"/>
      <c r="H100" s="16" t="n"/>
      <c r="I100" s="16" t="n"/>
      <c r="J100" s="16" t="n"/>
      <c r="K100" s="16">
        <f>IF(H100="","",ROUND((H100+I100+J100)/3,1))</f>
        <v/>
      </c>
      <c r="L100" s="15" t="n"/>
      <c r="M100" s="15" t="n"/>
    </row>
    <row r="101" ht="22" customHeight="1">
      <c r="B101" s="18">
        <f>IF(C101="","EV-"&amp;TEXT(COUNTA($C$5:C101),"000"))</f>
        <v/>
      </c>
      <c r="C101" s="13" t="n"/>
      <c r="D101" s="13" t="n"/>
      <c r="E101" s="13" t="n"/>
      <c r="F101" s="13" t="n"/>
      <c r="G101" s="13" t="n"/>
      <c r="H101" s="14" t="n"/>
      <c r="I101" s="14" t="n"/>
      <c r="J101" s="14" t="n"/>
      <c r="K101" s="14">
        <f>IF(H101="","",ROUND((H101+I101+J101)/3,1))</f>
        <v/>
      </c>
      <c r="L101" s="13" t="n"/>
      <c r="M101" s="13" t="n"/>
    </row>
    <row r="102" ht="22" customHeight="1">
      <c r="B102" s="17">
        <f>IF(C102="","EV-"&amp;TEXT(COUNTA($C$5:C102),"000"))</f>
        <v/>
      </c>
      <c r="C102" s="15" t="n"/>
      <c r="D102" s="15" t="n"/>
      <c r="E102" s="15" t="n"/>
      <c r="F102" s="15" t="n"/>
      <c r="G102" s="15" t="n"/>
      <c r="H102" s="16" t="n"/>
      <c r="I102" s="16" t="n"/>
      <c r="J102" s="16" t="n"/>
      <c r="K102" s="16">
        <f>IF(H102="","",ROUND((H102+I102+J102)/3,1))</f>
        <v/>
      </c>
      <c r="L102" s="15" t="n"/>
      <c r="M102" s="15" t="n"/>
    </row>
    <row r="103" ht="22" customHeight="1">
      <c r="B103" s="18">
        <f>IF(C103="","EV-"&amp;TEXT(COUNTA($C$5:C103),"000"))</f>
        <v/>
      </c>
      <c r="C103" s="13" t="n"/>
      <c r="D103" s="13" t="n"/>
      <c r="E103" s="13" t="n"/>
      <c r="F103" s="13" t="n"/>
      <c r="G103" s="13" t="n"/>
      <c r="H103" s="14" t="n"/>
      <c r="I103" s="14" t="n"/>
      <c r="J103" s="14" t="n"/>
      <c r="K103" s="14">
        <f>IF(H103="","",ROUND((H103+I103+J103)/3,1))</f>
        <v/>
      </c>
      <c r="L103" s="13" t="n"/>
      <c r="M103" s="13" t="n"/>
    </row>
    <row r="104" ht="22" customHeight="1">
      <c r="B104" s="17">
        <f>IF(C104="","EV-"&amp;TEXT(COUNTA($C$5:C104),"000"))</f>
        <v/>
      </c>
      <c r="C104" s="15" t="n"/>
      <c r="D104" s="15" t="n"/>
      <c r="E104" s="15" t="n"/>
      <c r="F104" s="15" t="n"/>
      <c r="G104" s="15" t="n"/>
      <c r="H104" s="16" t="n"/>
      <c r="I104" s="16" t="n"/>
      <c r="J104" s="16" t="n"/>
      <c r="K104" s="16">
        <f>IF(H104="","",ROUND((H104+I104+J104)/3,1))</f>
        <v/>
      </c>
      <c r="L104" s="15" t="n"/>
      <c r="M104" s="15" t="n"/>
    </row>
    <row r="105" ht="22" customHeight="1">
      <c r="B105" s="18">
        <f>IF(C105="","EV-"&amp;TEXT(COUNTA($C$5:C105),"000"))</f>
        <v/>
      </c>
      <c r="C105" s="13" t="n"/>
      <c r="D105" s="13" t="n"/>
      <c r="E105" s="13" t="n"/>
      <c r="F105" s="13" t="n"/>
      <c r="G105" s="13" t="n"/>
      <c r="H105" s="14" t="n"/>
      <c r="I105" s="14" t="n"/>
      <c r="J105" s="14" t="n"/>
      <c r="K105" s="14">
        <f>IF(H105="","",ROUND((H105+I105+J105)/3,1))</f>
        <v/>
      </c>
      <c r="L105" s="13" t="n"/>
      <c r="M105" s="13" t="n"/>
    </row>
    <row r="106" ht="22" customHeight="1">
      <c r="B106" s="17">
        <f>IF(C106="","EV-"&amp;TEXT(COUNTA($C$5:C106),"000"))</f>
        <v/>
      </c>
      <c r="C106" s="15" t="n"/>
      <c r="D106" s="15" t="n"/>
      <c r="E106" s="15" t="n"/>
      <c r="F106" s="15" t="n"/>
      <c r="G106" s="15" t="n"/>
      <c r="H106" s="16" t="n"/>
      <c r="I106" s="16" t="n"/>
      <c r="J106" s="16" t="n"/>
      <c r="K106" s="16">
        <f>IF(H106="","",ROUND((H106+I106+J106)/3,1))</f>
        <v/>
      </c>
      <c r="L106" s="15" t="n"/>
      <c r="M106" s="15" t="n"/>
    </row>
    <row r="107" ht="22" customHeight="1">
      <c r="B107" s="18">
        <f>IF(C107="","EV-"&amp;TEXT(COUNTA($C$5:C107),"000"))</f>
        <v/>
      </c>
      <c r="C107" s="13" t="n"/>
      <c r="D107" s="13" t="n"/>
      <c r="E107" s="13" t="n"/>
      <c r="F107" s="13" t="n"/>
      <c r="G107" s="13" t="n"/>
      <c r="H107" s="14" t="n"/>
      <c r="I107" s="14" t="n"/>
      <c r="J107" s="14" t="n"/>
      <c r="K107" s="14">
        <f>IF(H107="","",ROUND((H107+I107+J107)/3,1))</f>
        <v/>
      </c>
      <c r="L107" s="13" t="n"/>
      <c r="M107" s="13" t="n"/>
    </row>
    <row r="108" ht="22" customHeight="1">
      <c r="B108" s="17">
        <f>IF(C108="","EV-"&amp;TEXT(COUNTA($C$5:C108),"000"))</f>
        <v/>
      </c>
      <c r="C108" s="15" t="n"/>
      <c r="D108" s="15" t="n"/>
      <c r="E108" s="15" t="n"/>
      <c r="F108" s="15" t="n"/>
      <c r="G108" s="15" t="n"/>
      <c r="H108" s="16" t="n"/>
      <c r="I108" s="16" t="n"/>
      <c r="J108" s="16" t="n"/>
      <c r="K108" s="16">
        <f>IF(H108="","",ROUND((H108+I108+J108)/3,1))</f>
        <v/>
      </c>
      <c r="L108" s="15" t="n"/>
      <c r="M108" s="15" t="n"/>
    </row>
    <row r="109" ht="22" customHeight="1">
      <c r="B109" s="18">
        <f>IF(C109="","EV-"&amp;TEXT(COUNTA($C$5:C109),"000"))</f>
        <v/>
      </c>
      <c r="C109" s="13" t="n"/>
      <c r="D109" s="13" t="n"/>
      <c r="E109" s="13" t="n"/>
      <c r="F109" s="13" t="n"/>
      <c r="G109" s="13" t="n"/>
      <c r="H109" s="14" t="n"/>
      <c r="I109" s="14" t="n"/>
      <c r="J109" s="14" t="n"/>
      <c r="K109" s="14">
        <f>IF(H109="","",ROUND((H109+I109+J109)/3,1))</f>
        <v/>
      </c>
      <c r="L109" s="13" t="n"/>
      <c r="M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Evaluations</t>
        </is>
      </c>
      <c r="D112" s="3" t="inlineStr">
        <is>
          <t>Note moyenne globale</t>
        </is>
      </c>
      <c r="F112" s="3" t="inlineStr">
        <is>
          <t>Note max</t>
        </is>
      </c>
      <c r="H112" s="3" t="inlineStr">
        <is>
          <t>Note min</t>
        </is>
      </c>
    </row>
    <row r="113">
      <c r="B113" s="4">
        <f>COUNTIF(B5:B104,"&lt;&gt;")</f>
        <v/>
      </c>
      <c r="D113" s="4">
        <f>IFERROR(AVERAGE(K5:K104),0)</f>
        <v/>
      </c>
      <c r="F113" s="4">
        <f>IFERROR(MAX(K5:K104),0)</f>
        <v/>
      </c>
      <c r="H113" s="4">
        <f>IFERROR(MIN(K5:K104),0)</f>
        <v/>
      </c>
    </row>
  </sheetData>
  <mergeCells count="3">
    <mergeCell ref="B3:M3"/>
    <mergeCell ref="B2:M2"/>
    <mergeCell ref="B111:M111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conditionalFormatting sqref="K10:K109">
    <cfRule type="expression" priority="96" dxfId="3">
      <formula>AND($C10="",$C9&lt;&gt;"")</formula>
    </cfRule>
  </conditionalFormatting>
  <conditionalFormatting sqref="L10:L109">
    <cfRule type="expression" priority="97" dxfId="3">
      <formula>AND($C10="",$C9&lt;&gt;"")</formula>
    </cfRule>
  </conditionalFormatting>
  <conditionalFormatting sqref="M10:M109">
    <cfRule type="expression" priority="98" dxfId="3">
      <formula>AND($C10="",$C9&lt;&gt;"")</formula>
    </cfRule>
  </conditionalFormatting>
  <dataValidations count="5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'_Lists'!$Q$2:$Q$4</formula1>
    </dataValidation>
    <dataValidation sqref="L5:L10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M5:M109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18" customWidth="1" min="6" max="6"/>
    <col width="30" customWidth="1" min="7" max="7"/>
    <col width="18" customWidth="1" min="8" max="8"/>
    <col width="2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15" customHeight="1"/>
    <row r="2" ht="32" customHeight="1">
      <c r="B2" s="1" t="inlineStr">
        <is>
          <t>OBJECTIFS INDIVIDUELS SMART (#77)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Objectif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Libelle Objectif</t>
        </is>
      </c>
      <c r="H4" s="12" t="inlineStr">
        <is>
          <t>Categorie</t>
        </is>
      </c>
      <c r="I4" s="12" t="inlineStr">
        <is>
          <t>Indicateur (KPI)</t>
        </is>
      </c>
      <c r="J4" s="12" t="inlineStr">
        <is>
          <t>Cible</t>
        </is>
      </c>
      <c r="K4" s="12" t="inlineStr">
        <is>
          <t>Resultat</t>
        </is>
      </c>
      <c r="L4" s="12" t="inlineStr">
        <is>
          <t>Taux Atteinte (%)</t>
        </is>
      </c>
      <c r="M4" s="12" t="inlineStr">
        <is>
          <t>Statut</t>
        </is>
      </c>
    </row>
    <row r="5" ht="22" customHeight="1">
      <c r="B5" s="13" t="inlineStr">
        <is>
          <t>OBJ-001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Reduire turnover a 8%</t>
        </is>
      </c>
      <c r="H5" s="13" t="inlineStr">
        <is>
          <t>Budget / Cout</t>
        </is>
      </c>
      <c r="I5" s="13" t="inlineStr">
        <is>
          <t>Taux turnover (%)</t>
        </is>
      </c>
      <c r="J5" s="13" t="inlineStr">
        <is>
          <t>8%</t>
        </is>
      </c>
      <c r="K5" s="13" t="inlineStr">
        <is>
          <t>9.2%</t>
        </is>
      </c>
      <c r="L5" s="19" t="n">
        <v>0</v>
      </c>
      <c r="M5" s="13" t="inlineStr">
        <is>
          <t>Non atteint</t>
        </is>
      </c>
    </row>
    <row r="6" ht="22" customHeight="1">
      <c r="B6" s="15" t="inlineStr">
        <is>
          <t>OBJ-002</t>
        </is>
      </c>
      <c r="C6" s="15" t="inlineStr">
        <is>
          <t>EMP-2025-001</t>
        </is>
      </c>
      <c r="D6" s="15" t="inlineStr">
        <is>
          <t>Nganou Clarisse</t>
        </is>
      </c>
      <c r="E6" s="15" t="inlineStr">
        <is>
          <t>Ressources Humaines</t>
        </is>
      </c>
      <c r="F6" s="15" t="inlineStr">
        <is>
          <t>DRH</t>
        </is>
      </c>
      <c r="G6" s="15" t="inlineStr">
        <is>
          <t>100% entretiens annuels realises</t>
        </is>
      </c>
      <c r="H6" s="15" t="inlineStr">
        <is>
          <t>Productivite</t>
        </is>
      </c>
      <c r="I6" s="15" t="inlineStr">
        <is>
          <t>Nb entretiens / effectif</t>
        </is>
      </c>
      <c r="J6" s="15" t="inlineStr">
        <is>
          <t>100%</t>
        </is>
      </c>
      <c r="K6" s="15" t="inlineStr">
        <is>
          <t>85%</t>
        </is>
      </c>
      <c r="L6" s="20" t="n">
        <v>85</v>
      </c>
      <c r="M6" s="15" t="inlineStr">
        <is>
          <t>Non atteint</t>
        </is>
      </c>
    </row>
    <row r="7" ht="22" customHeight="1">
      <c r="B7" s="13" t="inlineStr">
        <is>
          <t>OBJ-003</t>
        </is>
      </c>
      <c r="C7" s="13" t="inlineStr">
        <is>
          <t>EMP-2025-002</t>
        </is>
      </c>
      <c r="D7" s="13" t="inlineStr">
        <is>
          <t>Tchinda Armand</t>
        </is>
      </c>
      <c r="E7" s="13" t="inlineStr">
        <is>
          <t>Informatique</t>
        </is>
      </c>
      <c r="F7" s="13" t="inlineStr">
        <is>
          <t>Chef de service IT</t>
        </is>
      </c>
      <c r="G7" s="13" t="inlineStr">
        <is>
          <t>Taux disponibilite reseau &gt;99%</t>
        </is>
      </c>
      <c r="H7" s="13" t="inlineStr">
        <is>
          <t>Competence technique</t>
        </is>
      </c>
      <c r="I7" s="13" t="inlineStr">
        <is>
          <t>Uptime reseau (%)</t>
        </is>
      </c>
      <c r="J7" s="13" t="inlineStr">
        <is>
          <t>99%</t>
        </is>
      </c>
      <c r="K7" s="13" t="inlineStr">
        <is>
          <t>99.5%</t>
        </is>
      </c>
      <c r="L7" s="19" t="n">
        <v>100</v>
      </c>
      <c r="M7" s="13" t="inlineStr">
        <is>
          <t>Depasse</t>
        </is>
      </c>
    </row>
    <row r="8" ht="22" customHeight="1">
      <c r="B8" s="15" t="inlineStr">
        <is>
          <t>OBJ-004</t>
        </is>
      </c>
      <c r="C8" s="15" t="inlineStr">
        <is>
          <t>EMP-2025-004</t>
        </is>
      </c>
      <c r="D8" s="15" t="inlineStr">
        <is>
          <t>Ouedraogo Ibrahim</t>
        </is>
      </c>
      <c r="E8" s="15" t="inlineStr">
        <is>
          <t>Reception &amp; Front Office</t>
        </is>
      </c>
      <c r="F8" s="15" t="inlineStr">
        <is>
          <t>Receptionniste</t>
        </is>
      </c>
      <c r="G8" s="15" t="inlineStr">
        <is>
          <t>Satisfaction client &gt; 90%</t>
        </is>
      </c>
      <c r="H8" s="15" t="inlineStr">
        <is>
          <t>Qualite service</t>
        </is>
      </c>
      <c r="I8" s="15" t="inlineStr">
        <is>
          <t>Score satisfaction (%)</t>
        </is>
      </c>
      <c r="J8" s="15" t="inlineStr">
        <is>
          <t>90%</t>
        </is>
      </c>
      <c r="K8" s="15" t="inlineStr">
        <is>
          <t>92%</t>
        </is>
      </c>
      <c r="L8" s="20" t="n">
        <v>102</v>
      </c>
      <c r="M8" s="15" t="inlineStr">
        <is>
          <t>Depasse</t>
        </is>
      </c>
    </row>
    <row r="9" ht="22" customHeight="1">
      <c r="B9" s="13" t="inlineStr">
        <is>
          <t>OBJ-005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Zero non conformite HACCP</t>
        </is>
      </c>
      <c r="H9" s="13" t="inlineStr">
        <is>
          <t>Securite</t>
        </is>
      </c>
      <c r="I9" s="13" t="inlineStr">
        <is>
          <t>Nb non conformites</t>
        </is>
      </c>
      <c r="J9" s="13" t="inlineStr">
        <is>
          <t>0</t>
        </is>
      </c>
      <c r="K9" s="13" t="inlineStr">
        <is>
          <t>2</t>
        </is>
      </c>
      <c r="L9" s="19" t="n">
        <v>0</v>
      </c>
      <c r="M9" s="13" t="inlineStr">
        <is>
          <t>Non atteint</t>
        </is>
      </c>
    </row>
    <row r="10" ht="22" customHeight="1">
      <c r="B10" s="17">
        <f>IF(C10="","OBJ-"&amp;TEXT(COUNTA($C$5:C10),"000"))</f>
        <v/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20" t="n"/>
      <c r="M10" s="15" t="n"/>
    </row>
    <row r="11" ht="22" customHeight="1">
      <c r="B11" s="18">
        <f>IF(C11="","OBJ-"&amp;TEXT(COUNTA($C$5:C11),"000"))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9" t="n"/>
      <c r="M11" s="13" t="n"/>
    </row>
    <row r="12" ht="22" customHeight="1">
      <c r="B12" s="17">
        <f>IF(C12="","OBJ-"&amp;TEXT(COUNTA($C$5:C12),"000"))</f>
        <v/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20" t="n"/>
      <c r="M12" s="15" t="n"/>
    </row>
    <row r="13" ht="22" customHeight="1">
      <c r="B13" s="18">
        <f>IF(C13="","OBJ-"&amp;TEXT(COUNTA($C$5:C13),"000"))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9" t="n"/>
      <c r="M13" s="13" t="n"/>
    </row>
    <row r="14" ht="22" customHeight="1">
      <c r="B14" s="17">
        <f>IF(C14="","OBJ-"&amp;TEXT(COUNTA($C$5:C14),"000"))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20" t="n"/>
      <c r="M14" s="15" t="n"/>
    </row>
    <row r="15" ht="22" customHeight="1">
      <c r="B15" s="18">
        <f>IF(C15="","OBJ-"&amp;TEXT(COUNTA($C$5:C15),"000"))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9" t="n"/>
      <c r="M15" s="13" t="n"/>
    </row>
    <row r="16" ht="22" customHeight="1">
      <c r="B16" s="17">
        <f>IF(C16="","OBJ-"&amp;TEXT(COUNTA($C$5:C16),"000"))</f>
        <v/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20" t="n"/>
      <c r="M16" s="15" t="n"/>
    </row>
    <row r="17" ht="22" customHeight="1">
      <c r="B17" s="18">
        <f>IF(C17="","OBJ-"&amp;TEXT(COUNTA($C$5:C17),"000"))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9" t="n"/>
      <c r="M17" s="13" t="n"/>
    </row>
    <row r="18" ht="22" customHeight="1">
      <c r="B18" s="17">
        <f>IF(C18="","OBJ-"&amp;TEXT(COUNTA($C$5:C18),"000"))</f>
        <v/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20" t="n"/>
      <c r="M18" s="15" t="n"/>
    </row>
    <row r="19" ht="22" customHeight="1">
      <c r="B19" s="18">
        <f>IF(C19="","OBJ-"&amp;TEXT(COUNTA($C$5:C19),"000"))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9" t="n"/>
      <c r="M19" s="13" t="n"/>
    </row>
    <row r="20" ht="22" customHeight="1">
      <c r="B20" s="17">
        <f>IF(C20="","OBJ-"&amp;TEXT(COUNTA($C$5:C20),"000"))</f>
        <v/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20" t="n"/>
      <c r="M20" s="15" t="n"/>
    </row>
    <row r="21" ht="22" customHeight="1">
      <c r="B21" s="18">
        <f>IF(C21="","OBJ-"&amp;TEXT(COUNTA($C$5:C21),"000"))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9" t="n"/>
      <c r="M21" s="13" t="n"/>
    </row>
    <row r="22" ht="22" customHeight="1">
      <c r="B22" s="17">
        <f>IF(C22="","OBJ-"&amp;TEXT(COUNTA($C$5:C22),"000"))</f>
        <v/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20" t="n"/>
      <c r="M22" s="15" t="n"/>
    </row>
    <row r="23" ht="22" customHeight="1">
      <c r="B23" s="18">
        <f>IF(C23="","OBJ-"&amp;TEXT(COUNTA($C$5:C23),"000"))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9" t="n"/>
      <c r="M23" s="13" t="n"/>
    </row>
    <row r="24" ht="22" customHeight="1">
      <c r="B24" s="17">
        <f>IF(C24="","OBJ-"&amp;TEXT(COUNTA($C$5:C24),"000"))</f>
        <v/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20" t="n"/>
      <c r="M24" s="15" t="n"/>
    </row>
    <row r="25" ht="22" customHeight="1">
      <c r="B25" s="18">
        <f>IF(C25="","OBJ-"&amp;TEXT(COUNTA($C$5:C25),"000"))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9" t="n"/>
      <c r="M25" s="13" t="n"/>
    </row>
    <row r="26" ht="22" customHeight="1">
      <c r="B26" s="17">
        <f>IF(C26="","OBJ-"&amp;TEXT(COUNTA($C$5:C26),"000"))</f>
        <v/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20" t="n"/>
      <c r="M26" s="15" t="n"/>
    </row>
    <row r="27" ht="22" customHeight="1">
      <c r="B27" s="18">
        <f>IF(C27="","OBJ-"&amp;TEXT(COUNTA($C$5:C27),"000"))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9" t="n"/>
      <c r="M27" s="13" t="n"/>
    </row>
    <row r="28" ht="22" customHeight="1">
      <c r="B28" s="17">
        <f>IF(C28="","OBJ-"&amp;TEXT(COUNTA($C$5:C28),"000"))</f>
        <v/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20" t="n"/>
      <c r="M28" s="15" t="n"/>
    </row>
    <row r="29" ht="22" customHeight="1">
      <c r="B29" s="18">
        <f>IF(C29="","OBJ-"&amp;TEXT(COUNTA($C$5:C29),"000"))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9" t="n"/>
      <c r="M29" s="13" t="n"/>
    </row>
    <row r="30" ht="22" customHeight="1">
      <c r="B30" s="17">
        <f>IF(C30="","OBJ-"&amp;TEXT(COUNTA($C$5:C30),"000"))</f>
        <v/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20" t="n"/>
      <c r="M30" s="15" t="n"/>
    </row>
    <row r="31" ht="22" customHeight="1">
      <c r="B31" s="18">
        <f>IF(C31="","OBJ-"&amp;TEXT(COUNTA($C$5:C31),"000"))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9" t="n"/>
      <c r="M31" s="13" t="n"/>
    </row>
    <row r="32" ht="22" customHeight="1">
      <c r="B32" s="17">
        <f>IF(C32="","OBJ-"&amp;TEXT(COUNTA($C$5:C32),"000"))</f>
        <v/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20" t="n"/>
      <c r="M32" s="15" t="n"/>
    </row>
    <row r="33" ht="22" customHeight="1">
      <c r="B33" s="18">
        <f>IF(C33="","OBJ-"&amp;TEXT(COUNTA($C$5:C33),"000"))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9" t="n"/>
      <c r="M33" s="13" t="n"/>
    </row>
    <row r="34" ht="22" customHeight="1">
      <c r="B34" s="17">
        <f>IF(C34="","OBJ-"&amp;TEXT(COUNTA($C$5:C34),"000"))</f>
        <v/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20" t="n"/>
      <c r="M34" s="15" t="n"/>
    </row>
    <row r="35" ht="22" customHeight="1">
      <c r="B35" s="18">
        <f>IF(C35="","OBJ-"&amp;TEXT(COUNTA($C$5:C35),"000"))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9" t="n"/>
      <c r="M35" s="13" t="n"/>
    </row>
    <row r="36" ht="22" customHeight="1">
      <c r="B36" s="17">
        <f>IF(C36="","OBJ-"&amp;TEXT(COUNTA($C$5:C36),"000"))</f>
        <v/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20" t="n"/>
      <c r="M36" s="15" t="n"/>
    </row>
    <row r="37" ht="22" customHeight="1">
      <c r="B37" s="18">
        <f>IF(C37="","OBJ-"&amp;TEXT(COUNTA($C$5:C37),"000"))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9" t="n"/>
      <c r="M37" s="13" t="n"/>
    </row>
    <row r="38" ht="22" customHeight="1">
      <c r="B38" s="17">
        <f>IF(C38="","OBJ-"&amp;TEXT(COUNTA($C$5:C38),"000"))</f>
        <v/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20" t="n"/>
      <c r="M38" s="15" t="n"/>
    </row>
    <row r="39" ht="22" customHeight="1">
      <c r="B39" s="18">
        <f>IF(C39="","OBJ-"&amp;TEXT(COUNTA($C$5:C39),"000"))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9" t="n"/>
      <c r="M39" s="13" t="n"/>
    </row>
    <row r="40" ht="22" customHeight="1">
      <c r="B40" s="17">
        <f>IF(C40="","OBJ-"&amp;TEXT(COUNTA($C$5:C40),"000"))</f>
        <v/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20" t="n"/>
      <c r="M40" s="15" t="n"/>
    </row>
    <row r="41" ht="22" customHeight="1">
      <c r="B41" s="18">
        <f>IF(C41="","OBJ-"&amp;TEXT(COUNTA($C$5:C41),"000"))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9" t="n"/>
      <c r="M41" s="13" t="n"/>
    </row>
    <row r="42" ht="22" customHeight="1">
      <c r="B42" s="17">
        <f>IF(C42="","OBJ-"&amp;TEXT(COUNTA($C$5:C42),"000"))</f>
        <v/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20" t="n"/>
      <c r="M42" s="15" t="n"/>
    </row>
    <row r="43" ht="22" customHeight="1">
      <c r="B43" s="18">
        <f>IF(C43="","OBJ-"&amp;TEXT(COUNTA($C$5:C43),"000"))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9" t="n"/>
      <c r="M43" s="13" t="n"/>
    </row>
    <row r="44" ht="22" customHeight="1">
      <c r="B44" s="17">
        <f>IF(C44="","OBJ-"&amp;TEXT(COUNTA($C$5:C44),"000"))</f>
        <v/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20" t="n"/>
      <c r="M44" s="15" t="n"/>
    </row>
    <row r="45" ht="22" customHeight="1">
      <c r="B45" s="18">
        <f>IF(C45="","OBJ-"&amp;TEXT(COUNTA($C$5:C45),"000"))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9" t="n"/>
      <c r="M45" s="13" t="n"/>
    </row>
    <row r="46" ht="22" customHeight="1">
      <c r="B46" s="17">
        <f>IF(C46="","OBJ-"&amp;TEXT(COUNTA($C$5:C46),"000"))</f>
        <v/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20" t="n"/>
      <c r="M46" s="15" t="n"/>
    </row>
    <row r="47" ht="22" customHeight="1">
      <c r="B47" s="18">
        <f>IF(C47="","OBJ-"&amp;TEXT(COUNTA($C$5:C47),"000"))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9" t="n"/>
      <c r="M47" s="13" t="n"/>
    </row>
    <row r="48" ht="22" customHeight="1">
      <c r="B48" s="17">
        <f>IF(C48="","OBJ-"&amp;TEXT(COUNTA($C$5:C48),"000"))</f>
        <v/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20" t="n"/>
      <c r="M48" s="15" t="n"/>
    </row>
    <row r="49" ht="22" customHeight="1">
      <c r="B49" s="18">
        <f>IF(C49="","OBJ-"&amp;TEXT(COUNTA($C$5:C49),"000"))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9" t="n"/>
      <c r="M49" s="13" t="n"/>
    </row>
    <row r="50" ht="22" customHeight="1">
      <c r="B50" s="17">
        <f>IF(C50="","OBJ-"&amp;TEXT(COUNTA($C$5:C50),"000"))</f>
        <v/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20" t="n"/>
      <c r="M50" s="15" t="n"/>
    </row>
    <row r="51" ht="22" customHeight="1">
      <c r="B51" s="18">
        <f>IF(C51="","OBJ-"&amp;TEXT(COUNTA($C$5:C51),"000"))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9" t="n"/>
      <c r="M51" s="13" t="n"/>
    </row>
    <row r="52" ht="22" customHeight="1">
      <c r="B52" s="17">
        <f>IF(C52="","OBJ-"&amp;TEXT(COUNTA($C$5:C52),"000"))</f>
        <v/>
      </c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20" t="n"/>
      <c r="M52" s="15" t="n"/>
    </row>
    <row r="53" ht="22" customHeight="1">
      <c r="B53" s="18">
        <f>IF(C53="","OBJ-"&amp;TEXT(COUNTA($C$5:C53),"000"))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9" t="n"/>
      <c r="M53" s="13" t="n"/>
    </row>
    <row r="54" ht="22" customHeight="1">
      <c r="B54" s="17">
        <f>IF(C54="","OBJ-"&amp;TEXT(COUNTA($C$5:C54),"000"))</f>
        <v/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20" t="n"/>
      <c r="M54" s="15" t="n"/>
    </row>
    <row r="55" ht="22" customHeight="1">
      <c r="B55" s="18">
        <f>IF(C55="","OBJ-"&amp;TEXT(COUNTA($C$5:C55),"000"))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9" t="n"/>
      <c r="M55" s="13" t="n"/>
    </row>
    <row r="56" ht="22" customHeight="1">
      <c r="B56" s="17">
        <f>IF(C56="","OBJ-"&amp;TEXT(COUNTA($C$5:C56),"000"))</f>
        <v/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20" t="n"/>
      <c r="M56" s="15" t="n"/>
    </row>
    <row r="57" ht="22" customHeight="1">
      <c r="B57" s="18">
        <f>IF(C57="","OBJ-"&amp;TEXT(COUNTA($C$5:C57),"000"))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9" t="n"/>
      <c r="M57" s="13" t="n"/>
    </row>
    <row r="58" ht="22" customHeight="1">
      <c r="B58" s="17">
        <f>IF(C58="","OBJ-"&amp;TEXT(COUNTA($C$5:C58),"000"))</f>
        <v/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20" t="n"/>
      <c r="M58" s="15" t="n"/>
    </row>
    <row r="59" ht="22" customHeight="1">
      <c r="B59" s="18">
        <f>IF(C59="","OBJ-"&amp;TEXT(COUNTA($C$5:C59),"000"))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9" t="n"/>
      <c r="M59" s="13" t="n"/>
    </row>
    <row r="60" ht="22" customHeight="1">
      <c r="B60" s="17">
        <f>IF(C60="","OBJ-"&amp;TEXT(COUNTA($C$5:C60),"000"))</f>
        <v/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20" t="n"/>
      <c r="M60" s="15" t="n"/>
    </row>
    <row r="61" ht="22" customHeight="1">
      <c r="B61" s="18">
        <f>IF(C61="","OBJ-"&amp;TEXT(COUNTA($C$5:C61),"000"))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9" t="n"/>
      <c r="M61" s="13" t="n"/>
    </row>
    <row r="62" ht="22" customHeight="1">
      <c r="B62" s="17">
        <f>IF(C62="","OBJ-"&amp;TEXT(COUNTA($C$5:C62),"000"))</f>
        <v/>
      </c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20" t="n"/>
      <c r="M62" s="15" t="n"/>
    </row>
    <row r="63" ht="22" customHeight="1">
      <c r="B63" s="18">
        <f>IF(C63="","OBJ-"&amp;TEXT(COUNTA($C$5:C63),"000"))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9" t="n"/>
      <c r="M63" s="13" t="n"/>
    </row>
    <row r="64" ht="22" customHeight="1">
      <c r="B64" s="17">
        <f>IF(C64="","OBJ-"&amp;TEXT(COUNTA($C$5:C64),"000"))</f>
        <v/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20" t="n"/>
      <c r="M64" s="15" t="n"/>
    </row>
    <row r="65" ht="22" customHeight="1">
      <c r="B65" s="18">
        <f>IF(C65="","OBJ-"&amp;TEXT(COUNTA($C$5:C65),"000"))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9" t="n"/>
      <c r="M65" s="13" t="n"/>
    </row>
    <row r="66" ht="22" customHeight="1">
      <c r="B66" s="17">
        <f>IF(C66="","OBJ-"&amp;TEXT(COUNTA($C$5:C66),"000"))</f>
        <v/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20" t="n"/>
      <c r="M66" s="15" t="n"/>
    </row>
    <row r="67" ht="22" customHeight="1">
      <c r="B67" s="18">
        <f>IF(C67="","OBJ-"&amp;TEXT(COUNTA($C$5:C67),"000"))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9" t="n"/>
      <c r="M67" s="13" t="n"/>
    </row>
    <row r="68" ht="22" customHeight="1">
      <c r="B68" s="17">
        <f>IF(C68="","OBJ-"&amp;TEXT(COUNTA($C$5:C68),"000"))</f>
        <v/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20" t="n"/>
      <c r="M68" s="15" t="n"/>
    </row>
    <row r="69" ht="22" customHeight="1">
      <c r="B69" s="18">
        <f>IF(C69="","OBJ-"&amp;TEXT(COUNTA($C$5:C69),"000"))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9" t="n"/>
      <c r="M69" s="13" t="n"/>
    </row>
    <row r="70" ht="22" customHeight="1">
      <c r="B70" s="17">
        <f>IF(C70="","OBJ-"&amp;TEXT(COUNTA($C$5:C70),"000"))</f>
        <v/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20" t="n"/>
      <c r="M70" s="15" t="n"/>
    </row>
    <row r="71" ht="22" customHeight="1">
      <c r="B71" s="18">
        <f>IF(C71="","OBJ-"&amp;TEXT(COUNTA($C$5:C71),"000"))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9" t="n"/>
      <c r="M71" s="13" t="n"/>
    </row>
    <row r="72" ht="22" customHeight="1">
      <c r="B72" s="17">
        <f>IF(C72="","OBJ-"&amp;TEXT(COUNTA($C$5:C72),"000"))</f>
        <v/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20" t="n"/>
      <c r="M72" s="15" t="n"/>
    </row>
    <row r="73" ht="22" customHeight="1">
      <c r="B73" s="18">
        <f>IF(C73="","OBJ-"&amp;TEXT(COUNTA($C$5:C73),"000"))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9" t="n"/>
      <c r="M73" s="13" t="n"/>
    </row>
    <row r="74" ht="22" customHeight="1">
      <c r="B74" s="17">
        <f>IF(C74="","OBJ-"&amp;TEXT(COUNTA($C$5:C74),"000"))</f>
        <v/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20" t="n"/>
      <c r="M74" s="15" t="n"/>
    </row>
    <row r="75" ht="22" customHeight="1">
      <c r="B75" s="18">
        <f>IF(C75="","OBJ-"&amp;TEXT(COUNTA($C$5:C75),"000"))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9" t="n"/>
      <c r="M75" s="13" t="n"/>
    </row>
    <row r="76" ht="22" customHeight="1">
      <c r="B76" s="17">
        <f>IF(C76="","OBJ-"&amp;TEXT(COUNTA($C$5:C76),"000"))</f>
        <v/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20" t="n"/>
      <c r="M76" s="15" t="n"/>
    </row>
    <row r="77" ht="22" customHeight="1">
      <c r="B77" s="18">
        <f>IF(C77="","OBJ-"&amp;TEXT(COUNTA($C$5:C77),"000"))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9" t="n"/>
      <c r="M77" s="13" t="n"/>
    </row>
    <row r="78" ht="22" customHeight="1">
      <c r="B78" s="17">
        <f>IF(C78="","OBJ-"&amp;TEXT(COUNTA($C$5:C78),"000"))</f>
        <v/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20" t="n"/>
      <c r="M78" s="15" t="n"/>
    </row>
    <row r="79" ht="22" customHeight="1">
      <c r="B79" s="18">
        <f>IF(C79="","OBJ-"&amp;TEXT(COUNTA($C$5:C79),"000"))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9" t="n"/>
      <c r="M79" s="13" t="n"/>
    </row>
    <row r="80" ht="22" customHeight="1">
      <c r="B80" s="17">
        <f>IF(C80="","OBJ-"&amp;TEXT(COUNTA($C$5:C80),"000"))</f>
        <v/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20" t="n"/>
      <c r="M80" s="15" t="n"/>
    </row>
    <row r="81" ht="22" customHeight="1">
      <c r="B81" s="18">
        <f>IF(C81="","OBJ-"&amp;TEXT(COUNTA($C$5:C81),"000"))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9" t="n"/>
      <c r="M81" s="13" t="n"/>
    </row>
    <row r="82" ht="22" customHeight="1">
      <c r="B82" s="17">
        <f>IF(C82="","OBJ-"&amp;TEXT(COUNTA($C$5:C82),"000"))</f>
        <v/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20" t="n"/>
      <c r="M82" s="15" t="n"/>
    </row>
    <row r="83" ht="22" customHeight="1">
      <c r="B83" s="18">
        <f>IF(C83="","OBJ-"&amp;TEXT(COUNTA($C$5:C83),"000"))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9" t="n"/>
      <c r="M83" s="13" t="n"/>
    </row>
    <row r="84" ht="22" customHeight="1">
      <c r="B84" s="17">
        <f>IF(C84="","OBJ-"&amp;TEXT(COUNTA($C$5:C84),"000"))</f>
        <v/>
      </c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20" t="n"/>
      <c r="M84" s="15" t="n"/>
    </row>
    <row r="85" ht="22" customHeight="1">
      <c r="B85" s="18">
        <f>IF(C85="","OBJ-"&amp;TEXT(COUNTA($C$5:C85),"000"))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9" t="n"/>
      <c r="M85" s="13" t="n"/>
    </row>
    <row r="86" ht="22" customHeight="1">
      <c r="B86" s="17">
        <f>IF(C86="","OBJ-"&amp;TEXT(COUNTA($C$5:C86),"000"))</f>
        <v/>
      </c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20" t="n"/>
      <c r="M86" s="15" t="n"/>
    </row>
    <row r="87" ht="22" customHeight="1">
      <c r="B87" s="18">
        <f>IF(C87="","OBJ-"&amp;TEXT(COUNTA($C$5:C87),"000"))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9" t="n"/>
      <c r="M87" s="13" t="n"/>
    </row>
    <row r="88" ht="22" customHeight="1">
      <c r="B88" s="17">
        <f>IF(C88="","OBJ-"&amp;TEXT(COUNTA($C$5:C88),"000"))</f>
        <v/>
      </c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20" t="n"/>
      <c r="M88" s="15" t="n"/>
    </row>
    <row r="89" ht="22" customHeight="1">
      <c r="B89" s="18">
        <f>IF(C89="","OBJ-"&amp;TEXT(COUNTA($C$5:C89),"000"))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9" t="n"/>
      <c r="M89" s="13" t="n"/>
    </row>
    <row r="90" ht="22" customHeight="1">
      <c r="B90" s="17">
        <f>IF(C90="","OBJ-"&amp;TEXT(COUNTA($C$5:C90),"000"))</f>
        <v/>
      </c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20" t="n"/>
      <c r="M90" s="15" t="n"/>
    </row>
    <row r="91" ht="22" customHeight="1">
      <c r="B91" s="18">
        <f>IF(C91="","OBJ-"&amp;TEXT(COUNTA($C$5:C91),"000"))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9" t="n"/>
      <c r="M91" s="13" t="n"/>
    </row>
    <row r="92" ht="22" customHeight="1">
      <c r="B92" s="17">
        <f>IF(C92="","OBJ-"&amp;TEXT(COUNTA($C$5:C92),"000"))</f>
        <v/>
      </c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20" t="n"/>
      <c r="M92" s="15" t="n"/>
    </row>
    <row r="93" ht="22" customHeight="1">
      <c r="B93" s="18">
        <f>IF(C93="","OBJ-"&amp;TEXT(COUNTA($C$5:C93),"000"))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9" t="n"/>
      <c r="M93" s="13" t="n"/>
    </row>
    <row r="94" ht="22" customHeight="1">
      <c r="B94" s="17">
        <f>IF(C94="","OBJ-"&amp;TEXT(COUNTA($C$5:C94),"000"))</f>
        <v/>
      </c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20" t="n"/>
      <c r="M94" s="15" t="n"/>
    </row>
    <row r="95" ht="22" customHeight="1">
      <c r="B95" s="18">
        <f>IF(C95="","OBJ-"&amp;TEXT(COUNTA($C$5:C95),"000"))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9" t="n"/>
      <c r="M95" s="13" t="n"/>
    </row>
    <row r="96" ht="22" customHeight="1">
      <c r="B96" s="17">
        <f>IF(C96="","OBJ-"&amp;TEXT(COUNTA($C$5:C96),"000"))</f>
        <v/>
      </c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20" t="n"/>
      <c r="M96" s="15" t="n"/>
    </row>
    <row r="97" ht="22" customHeight="1">
      <c r="B97" s="18">
        <f>IF(C97="","OBJ-"&amp;TEXT(COUNTA($C$5:C97),"000"))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9" t="n"/>
      <c r="M97" s="13" t="n"/>
    </row>
    <row r="98" ht="22" customHeight="1">
      <c r="B98" s="17">
        <f>IF(C98="","OBJ-"&amp;TEXT(COUNTA($C$5:C98),"000"))</f>
        <v/>
      </c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20" t="n"/>
      <c r="M98" s="15" t="n"/>
    </row>
    <row r="99" ht="22" customHeight="1">
      <c r="B99" s="18">
        <f>IF(C99="","OBJ-"&amp;TEXT(COUNTA($C$5:C99),"000"))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9" t="n"/>
      <c r="M99" s="13" t="n"/>
    </row>
    <row r="100" ht="22" customHeight="1">
      <c r="B100" s="17">
        <f>IF(C100="","OBJ-"&amp;TEXT(COUNTA($C$5:C100),"000"))</f>
        <v/>
      </c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20" t="n"/>
      <c r="M100" s="15" t="n"/>
    </row>
    <row r="101" ht="22" customHeight="1">
      <c r="B101" s="18">
        <f>IF(C101="","OBJ-"&amp;TEXT(COUNTA($C$5:C101),"000"))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9" t="n"/>
      <c r="M101" s="13" t="n"/>
    </row>
    <row r="102" ht="22" customHeight="1">
      <c r="B102" s="17">
        <f>IF(C102="","OBJ-"&amp;TEXT(COUNTA($C$5:C102),"000"))</f>
        <v/>
      </c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20" t="n"/>
      <c r="M102" s="15" t="n"/>
    </row>
    <row r="103" ht="22" customHeight="1">
      <c r="B103" s="18">
        <f>IF(C103="","OBJ-"&amp;TEXT(COUNTA($C$5:C103),"000"))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9" t="n"/>
      <c r="M103" s="13" t="n"/>
    </row>
    <row r="104" ht="22" customHeight="1">
      <c r="B104" s="17">
        <f>IF(C104="","OBJ-"&amp;TEXT(COUNTA($C$5:C104),"000"))</f>
        <v/>
      </c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20" t="n"/>
      <c r="M104" s="15" t="n"/>
    </row>
    <row r="105" ht="22" customHeight="1">
      <c r="B105" s="18">
        <f>IF(C105="","OBJ-"&amp;TEXT(COUNTA($C$5:C105),"000"))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9" t="n"/>
      <c r="M105" s="13" t="n"/>
    </row>
    <row r="106" ht="22" customHeight="1">
      <c r="B106" s="17">
        <f>IF(C106="","OBJ-"&amp;TEXT(COUNTA($C$5:C106),"000"))</f>
        <v/>
      </c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20" t="n"/>
      <c r="M106" s="15" t="n"/>
    </row>
    <row r="107" ht="22" customHeight="1">
      <c r="B107" s="18">
        <f>IF(C107="","OBJ-"&amp;TEXT(COUNTA($C$5:C107),"000"))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9" t="n"/>
      <c r="M107" s="13" t="n"/>
    </row>
    <row r="108" ht="22" customHeight="1">
      <c r="B108" s="17">
        <f>IF(C108="","OBJ-"&amp;TEXT(COUNTA($C$5:C108),"000"))</f>
        <v/>
      </c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20" t="n"/>
      <c r="M108" s="15" t="n"/>
    </row>
    <row r="109" ht="22" customHeight="1">
      <c r="B109" s="18">
        <f>IF(C109="","OBJ-"&amp;TEXT(COUNTA($C$5:C109),"000"))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9" t="n"/>
      <c r="M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Objectifs definis</t>
        </is>
      </c>
      <c r="D112" s="3" t="inlineStr">
        <is>
          <t>Atteints</t>
        </is>
      </c>
      <c r="F112" s="3" t="inlineStr">
        <is>
          <t>Non atteints</t>
        </is>
      </c>
      <c r="H112" s="3" t="inlineStr">
        <is>
          <t>Taux atteinte moyen</t>
        </is>
      </c>
    </row>
    <row r="113">
      <c r="B113" s="4">
        <f>COUNTIF(B5:B104,"&lt;&gt;")</f>
        <v/>
      </c>
      <c r="D113" s="4">
        <f>COUNTIF(M5:M104,"Atteint")+COUNTIF(M5:M104,"Depasse")</f>
        <v/>
      </c>
      <c r="F113" s="4">
        <f>COUNTIF(M5:M104,"Non atteint")</f>
        <v/>
      </c>
      <c r="H113" s="4">
        <f>IFERROR(AVERAGE(L5:L104),0)</f>
        <v/>
      </c>
    </row>
  </sheetData>
  <mergeCells count="3">
    <mergeCell ref="B3:M3"/>
    <mergeCell ref="B2:M2"/>
    <mergeCell ref="B111:M111"/>
  </mergeCells>
  <conditionalFormatting sqref="M5:M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conditionalFormatting sqref="K10:K109">
    <cfRule type="expression" priority="96" dxfId="3">
      <formula>AND($C10="",$C9&lt;&gt;"")</formula>
    </cfRule>
  </conditionalFormatting>
  <conditionalFormatting sqref="L10:L109">
    <cfRule type="expression" priority="97" dxfId="3">
      <formula>AND($C10="",$C9&lt;&gt;"")</formula>
    </cfRule>
  </conditionalFormatting>
  <conditionalFormatting sqref="M10:M109">
    <cfRule type="expression" priority="98" dxfId="3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H5:H109" showDropDown="0" showInputMessage="0" showErrorMessage="0" allowBlank="1" errorTitle="Erreur" error="Valeur invalide" promptTitle="Liste" prompt="Choisir dans la liste" type="list">
      <formula1>'_Lists'!$J$2:$J$8</formula1>
    </dataValidation>
    <dataValidation sqref="M5:M109" showDropDown="0" showInputMessage="0" showErrorMessage="0" allowBlank="1" errorTitle="Erreur" error="Valeur invalide" promptTitle="Liste" prompt="Choisir dans la liste" type="list">
      <formula1>'_Lists'!$K$2:$K$7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18" customWidth="1" min="6" max="6"/>
    <col width="10" customWidth="1" min="7" max="7"/>
    <col width="14" customWidth="1" min="8" max="8"/>
    <col width="18" customWidth="1" min="9" max="9"/>
    <col width="18" customWidth="1" min="10" max="10"/>
    <col width="16" customWidth="1" min="11" max="11"/>
  </cols>
  <sheetData>
    <row r="1" ht="15" customHeight="1"/>
    <row r="2" ht="32" customHeight="1">
      <c r="B2" s="1" t="inlineStr">
        <is>
          <t>ENTRETIENS ANNUELS D'EVALUATION (#78)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Entretien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Annee</t>
        </is>
      </c>
      <c r="H4" s="12" t="inlineStr">
        <is>
          <t>Date Entretien</t>
        </is>
      </c>
      <c r="I4" s="12" t="inlineStr">
        <is>
          <t>Evaluateur</t>
        </is>
      </c>
      <c r="J4" s="12" t="inlineStr">
        <is>
          <t>Note Globale (/20)</t>
        </is>
      </c>
      <c r="K4" s="12" t="inlineStr">
        <is>
          <t>Statut</t>
        </is>
      </c>
    </row>
    <row r="5" ht="22" customHeight="1">
      <c r="B5" s="13" t="inlineStr">
        <is>
          <t>ENT-001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2025</t>
        </is>
      </c>
      <c r="H5" s="21" t="n">
        <v>45823</v>
      </c>
      <c r="I5" s="13" t="inlineStr">
        <is>
          <t>DG</t>
        </is>
      </c>
      <c r="J5" s="14" t="n">
        <v>17</v>
      </c>
      <c r="K5" s="13" t="inlineStr">
        <is>
          <t>Completee</t>
        </is>
      </c>
    </row>
    <row r="6" ht="22" customHeight="1">
      <c r="B6" s="15" t="inlineStr">
        <is>
          <t>ENT-002</t>
        </is>
      </c>
      <c r="C6" s="15" t="inlineStr">
        <is>
          <t>EMP-2025-002</t>
        </is>
      </c>
      <c r="D6" s="15" t="inlineStr">
        <is>
          <t>Tchinda Armand</t>
        </is>
      </c>
      <c r="E6" s="15" t="inlineStr">
        <is>
          <t>Informatique</t>
        </is>
      </c>
      <c r="F6" s="15" t="inlineStr">
        <is>
          <t>Chef de service IT</t>
        </is>
      </c>
      <c r="G6" s="15" t="inlineStr">
        <is>
          <t>2025</t>
        </is>
      </c>
      <c r="H6" s="22" t="n">
        <v>45826</v>
      </c>
      <c r="I6" s="15" t="inlineStr">
        <is>
          <t>DAF</t>
        </is>
      </c>
      <c r="J6" s="16" t="n">
        <v>17.7</v>
      </c>
      <c r="K6" s="15" t="inlineStr">
        <is>
          <t>Completee</t>
        </is>
      </c>
    </row>
    <row r="7" ht="22" customHeight="1">
      <c r="B7" s="13" t="inlineStr">
        <is>
          <t>ENT-003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Comptable senior</t>
        </is>
      </c>
      <c r="G7" s="13" t="inlineStr">
        <is>
          <t>2025</t>
        </is>
      </c>
      <c r="H7" s="21" t="n">
        <v>45828</v>
      </c>
      <c r="I7" s="13" t="inlineStr">
        <is>
          <t>DAF</t>
        </is>
      </c>
      <c r="J7" s="14" t="n">
        <v>17.3</v>
      </c>
      <c r="K7" s="13" t="inlineStr">
        <is>
          <t>Completee</t>
        </is>
      </c>
    </row>
    <row r="8" ht="22" customHeight="1">
      <c r="B8" s="15" t="inlineStr">
        <is>
          <t>ENT-004</t>
        </is>
      </c>
      <c r="C8" s="15" t="inlineStr">
        <is>
          <t>EMP-2025-004</t>
        </is>
      </c>
      <c r="D8" s="15" t="inlineStr">
        <is>
          <t>Ouedraogo Ibrahim</t>
        </is>
      </c>
      <c r="E8" s="15" t="inlineStr">
        <is>
          <t>Reception &amp; Front Office</t>
        </is>
      </c>
      <c r="F8" s="15" t="inlineStr">
        <is>
          <t>Receptionniste</t>
        </is>
      </c>
      <c r="G8" s="15" t="inlineStr">
        <is>
          <t>2025</t>
        </is>
      </c>
      <c r="H8" s="22" t="n">
        <v>45840</v>
      </c>
      <c r="I8" s="15" t="inlineStr">
        <is>
          <t>Chef Reception</t>
        </is>
      </c>
      <c r="J8" s="16" t="n">
        <v>0</v>
      </c>
      <c r="K8" s="15" t="inlineStr">
        <is>
          <t>Planifiee</t>
        </is>
      </c>
    </row>
    <row r="9" ht="22" customHeight="1">
      <c r="B9" s="13" t="inlineStr">
        <is>
          <t>ENT-005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2025</t>
        </is>
      </c>
      <c r="H9" s="21" t="n">
        <v>45843</v>
      </c>
      <c r="I9" s="13" t="inlineStr">
        <is>
          <t>Chef Cuisine</t>
        </is>
      </c>
      <c r="J9" s="14" t="n">
        <v>0</v>
      </c>
      <c r="K9" s="13" t="inlineStr">
        <is>
          <t>Planifiee</t>
        </is>
      </c>
    </row>
    <row r="10" ht="22" customHeight="1">
      <c r="B10" s="17">
        <f>IF(C10="","ENT-"&amp;TEXT(COUNTA($C$5:C10),"000"))</f>
        <v/>
      </c>
      <c r="C10" s="15" t="n"/>
      <c r="D10" s="15" t="n"/>
      <c r="E10" s="15" t="n"/>
      <c r="F10" s="15" t="n"/>
      <c r="G10" s="15" t="n"/>
      <c r="H10" s="22" t="n"/>
      <c r="I10" s="15" t="n"/>
      <c r="J10" s="16" t="n"/>
      <c r="K10" s="15" t="n"/>
    </row>
    <row r="11" ht="22" customHeight="1">
      <c r="B11" s="18">
        <f>IF(C11="","ENT-"&amp;TEXT(COUNTA($C$5:C11),"000"))</f>
        <v/>
      </c>
      <c r="C11" s="13" t="n"/>
      <c r="D11" s="13" t="n"/>
      <c r="E11" s="13" t="n"/>
      <c r="F11" s="13" t="n"/>
      <c r="G11" s="13" t="n"/>
      <c r="H11" s="21" t="n"/>
      <c r="I11" s="13" t="n"/>
      <c r="J11" s="14" t="n"/>
      <c r="K11" s="13" t="n"/>
    </row>
    <row r="12" ht="22" customHeight="1">
      <c r="B12" s="17">
        <f>IF(C12="","ENT-"&amp;TEXT(COUNTA($C$5:C12),"000"))</f>
        <v/>
      </c>
      <c r="C12" s="15" t="n"/>
      <c r="D12" s="15" t="n"/>
      <c r="E12" s="15" t="n"/>
      <c r="F12" s="15" t="n"/>
      <c r="G12" s="15" t="n"/>
      <c r="H12" s="22" t="n"/>
      <c r="I12" s="15" t="n"/>
      <c r="J12" s="16" t="n"/>
      <c r="K12" s="15" t="n"/>
    </row>
    <row r="13" ht="22" customHeight="1">
      <c r="B13" s="18">
        <f>IF(C13="","ENT-"&amp;TEXT(COUNTA($C$5:C13),"000"))</f>
        <v/>
      </c>
      <c r="C13" s="13" t="n"/>
      <c r="D13" s="13" t="n"/>
      <c r="E13" s="13" t="n"/>
      <c r="F13" s="13" t="n"/>
      <c r="G13" s="13" t="n"/>
      <c r="H13" s="21" t="n"/>
      <c r="I13" s="13" t="n"/>
      <c r="J13" s="14" t="n"/>
      <c r="K13" s="13" t="n"/>
    </row>
    <row r="14" ht="22" customHeight="1">
      <c r="B14" s="17">
        <f>IF(C14="","ENT-"&amp;TEXT(COUNTA($C$5:C14),"000"))</f>
        <v/>
      </c>
      <c r="C14" s="15" t="n"/>
      <c r="D14" s="15" t="n"/>
      <c r="E14" s="15" t="n"/>
      <c r="F14" s="15" t="n"/>
      <c r="G14" s="15" t="n"/>
      <c r="H14" s="22" t="n"/>
      <c r="I14" s="15" t="n"/>
      <c r="J14" s="16" t="n"/>
      <c r="K14" s="15" t="n"/>
    </row>
    <row r="15" ht="22" customHeight="1">
      <c r="B15" s="18">
        <f>IF(C15="","ENT-"&amp;TEXT(COUNTA($C$5:C15),"000"))</f>
        <v/>
      </c>
      <c r="C15" s="13" t="n"/>
      <c r="D15" s="13" t="n"/>
      <c r="E15" s="13" t="n"/>
      <c r="F15" s="13" t="n"/>
      <c r="G15" s="13" t="n"/>
      <c r="H15" s="21" t="n"/>
      <c r="I15" s="13" t="n"/>
      <c r="J15" s="14" t="n"/>
      <c r="K15" s="13" t="n"/>
    </row>
    <row r="16" ht="22" customHeight="1">
      <c r="B16" s="17">
        <f>IF(C16="","ENT-"&amp;TEXT(COUNTA($C$5:C16),"000"))</f>
        <v/>
      </c>
      <c r="C16" s="15" t="n"/>
      <c r="D16" s="15" t="n"/>
      <c r="E16" s="15" t="n"/>
      <c r="F16" s="15" t="n"/>
      <c r="G16" s="15" t="n"/>
      <c r="H16" s="22" t="n"/>
      <c r="I16" s="15" t="n"/>
      <c r="J16" s="16" t="n"/>
      <c r="K16" s="15" t="n"/>
    </row>
    <row r="17" ht="22" customHeight="1">
      <c r="B17" s="18">
        <f>IF(C17="","ENT-"&amp;TEXT(COUNTA($C$5:C17),"000"))</f>
        <v/>
      </c>
      <c r="C17" s="13" t="n"/>
      <c r="D17" s="13" t="n"/>
      <c r="E17" s="13" t="n"/>
      <c r="F17" s="13" t="n"/>
      <c r="G17" s="13" t="n"/>
      <c r="H17" s="21" t="n"/>
      <c r="I17" s="13" t="n"/>
      <c r="J17" s="14" t="n"/>
      <c r="K17" s="13" t="n"/>
    </row>
    <row r="18" ht="22" customHeight="1">
      <c r="B18" s="17">
        <f>IF(C18="","ENT-"&amp;TEXT(COUNTA($C$5:C18),"000"))</f>
        <v/>
      </c>
      <c r="C18" s="15" t="n"/>
      <c r="D18" s="15" t="n"/>
      <c r="E18" s="15" t="n"/>
      <c r="F18" s="15" t="n"/>
      <c r="G18" s="15" t="n"/>
      <c r="H18" s="22" t="n"/>
      <c r="I18" s="15" t="n"/>
      <c r="J18" s="16" t="n"/>
      <c r="K18" s="15" t="n"/>
    </row>
    <row r="19" ht="22" customHeight="1">
      <c r="B19" s="18">
        <f>IF(C19="","ENT-"&amp;TEXT(COUNTA($C$5:C19),"000"))</f>
        <v/>
      </c>
      <c r="C19" s="13" t="n"/>
      <c r="D19" s="13" t="n"/>
      <c r="E19" s="13" t="n"/>
      <c r="F19" s="13" t="n"/>
      <c r="G19" s="13" t="n"/>
      <c r="H19" s="21" t="n"/>
      <c r="I19" s="13" t="n"/>
      <c r="J19" s="14" t="n"/>
      <c r="K19" s="13" t="n"/>
    </row>
    <row r="20" ht="22" customHeight="1">
      <c r="B20" s="17">
        <f>IF(C20="","ENT-"&amp;TEXT(COUNTA($C$5:C20),"000"))</f>
        <v/>
      </c>
      <c r="C20" s="15" t="n"/>
      <c r="D20" s="15" t="n"/>
      <c r="E20" s="15" t="n"/>
      <c r="F20" s="15" t="n"/>
      <c r="G20" s="15" t="n"/>
      <c r="H20" s="22" t="n"/>
      <c r="I20" s="15" t="n"/>
      <c r="J20" s="16" t="n"/>
      <c r="K20" s="15" t="n"/>
    </row>
    <row r="21" ht="22" customHeight="1">
      <c r="B21" s="18">
        <f>IF(C21="","ENT-"&amp;TEXT(COUNTA($C$5:C21),"000"))</f>
        <v/>
      </c>
      <c r="C21" s="13" t="n"/>
      <c r="D21" s="13" t="n"/>
      <c r="E21" s="13" t="n"/>
      <c r="F21" s="13" t="n"/>
      <c r="G21" s="13" t="n"/>
      <c r="H21" s="21" t="n"/>
      <c r="I21" s="13" t="n"/>
      <c r="J21" s="14" t="n"/>
      <c r="K21" s="13" t="n"/>
    </row>
    <row r="22" ht="22" customHeight="1">
      <c r="B22" s="17">
        <f>IF(C22="","ENT-"&amp;TEXT(COUNTA($C$5:C22),"000"))</f>
        <v/>
      </c>
      <c r="C22" s="15" t="n"/>
      <c r="D22" s="15" t="n"/>
      <c r="E22" s="15" t="n"/>
      <c r="F22" s="15" t="n"/>
      <c r="G22" s="15" t="n"/>
      <c r="H22" s="22" t="n"/>
      <c r="I22" s="15" t="n"/>
      <c r="J22" s="16" t="n"/>
      <c r="K22" s="15" t="n"/>
    </row>
    <row r="23" ht="22" customHeight="1">
      <c r="B23" s="18">
        <f>IF(C23="","ENT-"&amp;TEXT(COUNTA($C$5:C23),"000"))</f>
        <v/>
      </c>
      <c r="C23" s="13" t="n"/>
      <c r="D23" s="13" t="n"/>
      <c r="E23" s="13" t="n"/>
      <c r="F23" s="13" t="n"/>
      <c r="G23" s="13" t="n"/>
      <c r="H23" s="21" t="n"/>
      <c r="I23" s="13" t="n"/>
      <c r="J23" s="14" t="n"/>
      <c r="K23" s="13" t="n"/>
    </row>
    <row r="24" ht="22" customHeight="1">
      <c r="B24" s="17">
        <f>IF(C24="","ENT-"&amp;TEXT(COUNTA($C$5:C24),"000"))</f>
        <v/>
      </c>
      <c r="C24" s="15" t="n"/>
      <c r="D24" s="15" t="n"/>
      <c r="E24" s="15" t="n"/>
      <c r="F24" s="15" t="n"/>
      <c r="G24" s="15" t="n"/>
      <c r="H24" s="22" t="n"/>
      <c r="I24" s="15" t="n"/>
      <c r="J24" s="16" t="n"/>
      <c r="K24" s="15" t="n"/>
    </row>
    <row r="25" ht="22" customHeight="1">
      <c r="B25" s="18">
        <f>IF(C25="","ENT-"&amp;TEXT(COUNTA($C$5:C25),"000"))</f>
        <v/>
      </c>
      <c r="C25" s="13" t="n"/>
      <c r="D25" s="13" t="n"/>
      <c r="E25" s="13" t="n"/>
      <c r="F25" s="13" t="n"/>
      <c r="G25" s="13" t="n"/>
      <c r="H25" s="21" t="n"/>
      <c r="I25" s="13" t="n"/>
      <c r="J25" s="14" t="n"/>
      <c r="K25" s="13" t="n"/>
    </row>
    <row r="26" ht="22" customHeight="1">
      <c r="B26" s="17">
        <f>IF(C26="","ENT-"&amp;TEXT(COUNTA($C$5:C26),"000"))</f>
        <v/>
      </c>
      <c r="C26" s="15" t="n"/>
      <c r="D26" s="15" t="n"/>
      <c r="E26" s="15" t="n"/>
      <c r="F26" s="15" t="n"/>
      <c r="G26" s="15" t="n"/>
      <c r="H26" s="22" t="n"/>
      <c r="I26" s="15" t="n"/>
      <c r="J26" s="16" t="n"/>
      <c r="K26" s="15" t="n"/>
    </row>
    <row r="27" ht="22" customHeight="1">
      <c r="B27" s="18">
        <f>IF(C27="","ENT-"&amp;TEXT(COUNTA($C$5:C27),"000"))</f>
        <v/>
      </c>
      <c r="C27" s="13" t="n"/>
      <c r="D27" s="13" t="n"/>
      <c r="E27" s="13" t="n"/>
      <c r="F27" s="13" t="n"/>
      <c r="G27" s="13" t="n"/>
      <c r="H27" s="21" t="n"/>
      <c r="I27" s="13" t="n"/>
      <c r="J27" s="14" t="n"/>
      <c r="K27" s="13" t="n"/>
    </row>
    <row r="28" ht="22" customHeight="1">
      <c r="B28" s="17">
        <f>IF(C28="","ENT-"&amp;TEXT(COUNTA($C$5:C28),"000"))</f>
        <v/>
      </c>
      <c r="C28" s="15" t="n"/>
      <c r="D28" s="15" t="n"/>
      <c r="E28" s="15" t="n"/>
      <c r="F28" s="15" t="n"/>
      <c r="G28" s="15" t="n"/>
      <c r="H28" s="22" t="n"/>
      <c r="I28" s="15" t="n"/>
      <c r="J28" s="16" t="n"/>
      <c r="K28" s="15" t="n"/>
    </row>
    <row r="29" ht="22" customHeight="1">
      <c r="B29" s="18">
        <f>IF(C29="","ENT-"&amp;TEXT(COUNTA($C$5:C29),"000"))</f>
        <v/>
      </c>
      <c r="C29" s="13" t="n"/>
      <c r="D29" s="13" t="n"/>
      <c r="E29" s="13" t="n"/>
      <c r="F29" s="13" t="n"/>
      <c r="G29" s="13" t="n"/>
      <c r="H29" s="21" t="n"/>
      <c r="I29" s="13" t="n"/>
      <c r="J29" s="14" t="n"/>
      <c r="K29" s="13" t="n"/>
    </row>
    <row r="30" ht="22" customHeight="1">
      <c r="B30" s="17">
        <f>IF(C30="","ENT-"&amp;TEXT(COUNTA($C$5:C30),"000"))</f>
        <v/>
      </c>
      <c r="C30" s="15" t="n"/>
      <c r="D30" s="15" t="n"/>
      <c r="E30" s="15" t="n"/>
      <c r="F30" s="15" t="n"/>
      <c r="G30" s="15" t="n"/>
      <c r="H30" s="22" t="n"/>
      <c r="I30" s="15" t="n"/>
      <c r="J30" s="16" t="n"/>
      <c r="K30" s="15" t="n"/>
    </row>
    <row r="31" ht="22" customHeight="1">
      <c r="B31" s="18">
        <f>IF(C31="","ENT-"&amp;TEXT(COUNTA($C$5:C31),"000"))</f>
        <v/>
      </c>
      <c r="C31" s="13" t="n"/>
      <c r="D31" s="13" t="n"/>
      <c r="E31" s="13" t="n"/>
      <c r="F31" s="13" t="n"/>
      <c r="G31" s="13" t="n"/>
      <c r="H31" s="21" t="n"/>
      <c r="I31" s="13" t="n"/>
      <c r="J31" s="14" t="n"/>
      <c r="K31" s="13" t="n"/>
    </row>
    <row r="32" ht="22" customHeight="1">
      <c r="B32" s="17">
        <f>IF(C32="","ENT-"&amp;TEXT(COUNTA($C$5:C32),"000"))</f>
        <v/>
      </c>
      <c r="C32" s="15" t="n"/>
      <c r="D32" s="15" t="n"/>
      <c r="E32" s="15" t="n"/>
      <c r="F32" s="15" t="n"/>
      <c r="G32" s="15" t="n"/>
      <c r="H32" s="22" t="n"/>
      <c r="I32" s="15" t="n"/>
      <c r="J32" s="16" t="n"/>
      <c r="K32" s="15" t="n"/>
    </row>
    <row r="33" ht="22" customHeight="1">
      <c r="B33" s="18">
        <f>IF(C33="","ENT-"&amp;TEXT(COUNTA($C$5:C33),"000"))</f>
        <v/>
      </c>
      <c r="C33" s="13" t="n"/>
      <c r="D33" s="13" t="n"/>
      <c r="E33" s="13" t="n"/>
      <c r="F33" s="13" t="n"/>
      <c r="G33" s="13" t="n"/>
      <c r="H33" s="21" t="n"/>
      <c r="I33" s="13" t="n"/>
      <c r="J33" s="14" t="n"/>
      <c r="K33" s="13" t="n"/>
    </row>
    <row r="34" ht="22" customHeight="1">
      <c r="B34" s="17">
        <f>IF(C34="","ENT-"&amp;TEXT(COUNTA($C$5:C34),"000"))</f>
        <v/>
      </c>
      <c r="C34" s="15" t="n"/>
      <c r="D34" s="15" t="n"/>
      <c r="E34" s="15" t="n"/>
      <c r="F34" s="15" t="n"/>
      <c r="G34" s="15" t="n"/>
      <c r="H34" s="22" t="n"/>
      <c r="I34" s="15" t="n"/>
      <c r="J34" s="16" t="n"/>
      <c r="K34" s="15" t="n"/>
    </row>
    <row r="35" ht="22" customHeight="1">
      <c r="B35" s="18">
        <f>IF(C35="","ENT-"&amp;TEXT(COUNTA($C$5:C35),"000"))</f>
        <v/>
      </c>
      <c r="C35" s="13" t="n"/>
      <c r="D35" s="13" t="n"/>
      <c r="E35" s="13" t="n"/>
      <c r="F35" s="13" t="n"/>
      <c r="G35" s="13" t="n"/>
      <c r="H35" s="21" t="n"/>
      <c r="I35" s="13" t="n"/>
      <c r="J35" s="14" t="n"/>
      <c r="K35" s="13" t="n"/>
    </row>
    <row r="36" ht="22" customHeight="1">
      <c r="B36" s="17">
        <f>IF(C36="","ENT-"&amp;TEXT(COUNTA($C$5:C36),"000"))</f>
        <v/>
      </c>
      <c r="C36" s="15" t="n"/>
      <c r="D36" s="15" t="n"/>
      <c r="E36" s="15" t="n"/>
      <c r="F36" s="15" t="n"/>
      <c r="G36" s="15" t="n"/>
      <c r="H36" s="22" t="n"/>
      <c r="I36" s="15" t="n"/>
      <c r="J36" s="16" t="n"/>
      <c r="K36" s="15" t="n"/>
    </row>
    <row r="37" ht="22" customHeight="1">
      <c r="B37" s="18">
        <f>IF(C37="","ENT-"&amp;TEXT(COUNTA($C$5:C37),"000"))</f>
        <v/>
      </c>
      <c r="C37" s="13" t="n"/>
      <c r="D37" s="13" t="n"/>
      <c r="E37" s="13" t="n"/>
      <c r="F37" s="13" t="n"/>
      <c r="G37" s="13" t="n"/>
      <c r="H37" s="21" t="n"/>
      <c r="I37" s="13" t="n"/>
      <c r="J37" s="14" t="n"/>
      <c r="K37" s="13" t="n"/>
    </row>
    <row r="38" ht="22" customHeight="1">
      <c r="B38" s="17">
        <f>IF(C38="","ENT-"&amp;TEXT(COUNTA($C$5:C38),"000"))</f>
        <v/>
      </c>
      <c r="C38" s="15" t="n"/>
      <c r="D38" s="15" t="n"/>
      <c r="E38" s="15" t="n"/>
      <c r="F38" s="15" t="n"/>
      <c r="G38" s="15" t="n"/>
      <c r="H38" s="22" t="n"/>
      <c r="I38" s="15" t="n"/>
      <c r="J38" s="16" t="n"/>
      <c r="K38" s="15" t="n"/>
    </row>
    <row r="39" ht="22" customHeight="1">
      <c r="B39" s="18">
        <f>IF(C39="","ENT-"&amp;TEXT(COUNTA($C$5:C39),"000"))</f>
        <v/>
      </c>
      <c r="C39" s="13" t="n"/>
      <c r="D39" s="13" t="n"/>
      <c r="E39" s="13" t="n"/>
      <c r="F39" s="13" t="n"/>
      <c r="G39" s="13" t="n"/>
      <c r="H39" s="21" t="n"/>
      <c r="I39" s="13" t="n"/>
      <c r="J39" s="14" t="n"/>
      <c r="K39" s="13" t="n"/>
    </row>
    <row r="40" ht="22" customHeight="1">
      <c r="B40" s="17">
        <f>IF(C40="","ENT-"&amp;TEXT(COUNTA($C$5:C40),"000"))</f>
        <v/>
      </c>
      <c r="C40" s="15" t="n"/>
      <c r="D40" s="15" t="n"/>
      <c r="E40" s="15" t="n"/>
      <c r="F40" s="15" t="n"/>
      <c r="G40" s="15" t="n"/>
      <c r="H40" s="22" t="n"/>
      <c r="I40" s="15" t="n"/>
      <c r="J40" s="16" t="n"/>
      <c r="K40" s="15" t="n"/>
    </row>
    <row r="41" ht="22" customHeight="1">
      <c r="B41" s="18">
        <f>IF(C41="","ENT-"&amp;TEXT(COUNTA($C$5:C41),"000"))</f>
        <v/>
      </c>
      <c r="C41" s="13" t="n"/>
      <c r="D41" s="13" t="n"/>
      <c r="E41" s="13" t="n"/>
      <c r="F41" s="13" t="n"/>
      <c r="G41" s="13" t="n"/>
      <c r="H41" s="21" t="n"/>
      <c r="I41" s="13" t="n"/>
      <c r="J41" s="14" t="n"/>
      <c r="K41" s="13" t="n"/>
    </row>
    <row r="42" ht="22" customHeight="1">
      <c r="B42" s="17">
        <f>IF(C42="","ENT-"&amp;TEXT(COUNTA($C$5:C42),"000"))</f>
        <v/>
      </c>
      <c r="C42" s="15" t="n"/>
      <c r="D42" s="15" t="n"/>
      <c r="E42" s="15" t="n"/>
      <c r="F42" s="15" t="n"/>
      <c r="G42" s="15" t="n"/>
      <c r="H42" s="22" t="n"/>
      <c r="I42" s="15" t="n"/>
      <c r="J42" s="16" t="n"/>
      <c r="K42" s="15" t="n"/>
    </row>
    <row r="43" ht="22" customHeight="1">
      <c r="B43" s="18">
        <f>IF(C43="","ENT-"&amp;TEXT(COUNTA($C$5:C43),"000"))</f>
        <v/>
      </c>
      <c r="C43" s="13" t="n"/>
      <c r="D43" s="13" t="n"/>
      <c r="E43" s="13" t="n"/>
      <c r="F43" s="13" t="n"/>
      <c r="G43" s="13" t="n"/>
      <c r="H43" s="21" t="n"/>
      <c r="I43" s="13" t="n"/>
      <c r="J43" s="14" t="n"/>
      <c r="K43" s="13" t="n"/>
    </row>
    <row r="44" ht="22" customHeight="1">
      <c r="B44" s="17">
        <f>IF(C44="","ENT-"&amp;TEXT(COUNTA($C$5:C44),"000"))</f>
        <v/>
      </c>
      <c r="C44" s="15" t="n"/>
      <c r="D44" s="15" t="n"/>
      <c r="E44" s="15" t="n"/>
      <c r="F44" s="15" t="n"/>
      <c r="G44" s="15" t="n"/>
      <c r="H44" s="22" t="n"/>
      <c r="I44" s="15" t="n"/>
      <c r="J44" s="16" t="n"/>
      <c r="K44" s="15" t="n"/>
    </row>
    <row r="45" ht="22" customHeight="1">
      <c r="B45" s="18">
        <f>IF(C45="","ENT-"&amp;TEXT(COUNTA($C$5:C45),"000"))</f>
        <v/>
      </c>
      <c r="C45" s="13" t="n"/>
      <c r="D45" s="13" t="n"/>
      <c r="E45" s="13" t="n"/>
      <c r="F45" s="13" t="n"/>
      <c r="G45" s="13" t="n"/>
      <c r="H45" s="21" t="n"/>
      <c r="I45" s="13" t="n"/>
      <c r="J45" s="14" t="n"/>
      <c r="K45" s="13" t="n"/>
    </row>
    <row r="46" ht="22" customHeight="1">
      <c r="B46" s="17">
        <f>IF(C46="","ENT-"&amp;TEXT(COUNTA($C$5:C46),"000"))</f>
        <v/>
      </c>
      <c r="C46" s="15" t="n"/>
      <c r="D46" s="15" t="n"/>
      <c r="E46" s="15" t="n"/>
      <c r="F46" s="15" t="n"/>
      <c r="G46" s="15" t="n"/>
      <c r="H46" s="22" t="n"/>
      <c r="I46" s="15" t="n"/>
      <c r="J46" s="16" t="n"/>
      <c r="K46" s="15" t="n"/>
    </row>
    <row r="47" ht="22" customHeight="1">
      <c r="B47" s="18">
        <f>IF(C47="","ENT-"&amp;TEXT(COUNTA($C$5:C47),"000"))</f>
        <v/>
      </c>
      <c r="C47" s="13" t="n"/>
      <c r="D47" s="13" t="n"/>
      <c r="E47" s="13" t="n"/>
      <c r="F47" s="13" t="n"/>
      <c r="G47" s="13" t="n"/>
      <c r="H47" s="21" t="n"/>
      <c r="I47" s="13" t="n"/>
      <c r="J47" s="14" t="n"/>
      <c r="K47" s="13" t="n"/>
    </row>
    <row r="48" ht="22" customHeight="1">
      <c r="B48" s="17">
        <f>IF(C48="","ENT-"&amp;TEXT(COUNTA($C$5:C48),"000"))</f>
        <v/>
      </c>
      <c r="C48" s="15" t="n"/>
      <c r="D48" s="15" t="n"/>
      <c r="E48" s="15" t="n"/>
      <c r="F48" s="15" t="n"/>
      <c r="G48" s="15" t="n"/>
      <c r="H48" s="22" t="n"/>
      <c r="I48" s="15" t="n"/>
      <c r="J48" s="16" t="n"/>
      <c r="K48" s="15" t="n"/>
    </row>
    <row r="49" ht="22" customHeight="1">
      <c r="B49" s="18">
        <f>IF(C49="","ENT-"&amp;TEXT(COUNTA($C$5:C49),"000"))</f>
        <v/>
      </c>
      <c r="C49" s="13" t="n"/>
      <c r="D49" s="13" t="n"/>
      <c r="E49" s="13" t="n"/>
      <c r="F49" s="13" t="n"/>
      <c r="G49" s="13" t="n"/>
      <c r="H49" s="21" t="n"/>
      <c r="I49" s="13" t="n"/>
      <c r="J49" s="14" t="n"/>
      <c r="K49" s="13" t="n"/>
    </row>
    <row r="50" ht="22" customHeight="1">
      <c r="B50" s="17">
        <f>IF(C50="","ENT-"&amp;TEXT(COUNTA($C$5:C50),"000"))</f>
        <v/>
      </c>
      <c r="C50" s="15" t="n"/>
      <c r="D50" s="15" t="n"/>
      <c r="E50" s="15" t="n"/>
      <c r="F50" s="15" t="n"/>
      <c r="G50" s="15" t="n"/>
      <c r="H50" s="22" t="n"/>
      <c r="I50" s="15" t="n"/>
      <c r="J50" s="16" t="n"/>
      <c r="K50" s="15" t="n"/>
    </row>
    <row r="51" ht="22" customHeight="1">
      <c r="B51" s="18">
        <f>IF(C51="","ENT-"&amp;TEXT(COUNTA($C$5:C51),"000"))</f>
        <v/>
      </c>
      <c r="C51" s="13" t="n"/>
      <c r="D51" s="13" t="n"/>
      <c r="E51" s="13" t="n"/>
      <c r="F51" s="13" t="n"/>
      <c r="G51" s="13" t="n"/>
      <c r="H51" s="21" t="n"/>
      <c r="I51" s="13" t="n"/>
      <c r="J51" s="14" t="n"/>
      <c r="K51" s="13" t="n"/>
    </row>
    <row r="52" ht="22" customHeight="1">
      <c r="B52" s="17">
        <f>IF(C52="","ENT-"&amp;TEXT(COUNTA($C$5:C52),"000"))</f>
        <v/>
      </c>
      <c r="C52" s="15" t="n"/>
      <c r="D52" s="15" t="n"/>
      <c r="E52" s="15" t="n"/>
      <c r="F52" s="15" t="n"/>
      <c r="G52" s="15" t="n"/>
      <c r="H52" s="22" t="n"/>
      <c r="I52" s="15" t="n"/>
      <c r="J52" s="16" t="n"/>
      <c r="K52" s="15" t="n"/>
    </row>
    <row r="53" ht="22" customHeight="1">
      <c r="B53" s="18">
        <f>IF(C53="","ENT-"&amp;TEXT(COUNTA($C$5:C53),"000"))</f>
        <v/>
      </c>
      <c r="C53" s="13" t="n"/>
      <c r="D53" s="13" t="n"/>
      <c r="E53" s="13" t="n"/>
      <c r="F53" s="13" t="n"/>
      <c r="G53" s="13" t="n"/>
      <c r="H53" s="21" t="n"/>
      <c r="I53" s="13" t="n"/>
      <c r="J53" s="14" t="n"/>
      <c r="K53" s="13" t="n"/>
    </row>
    <row r="54" ht="22" customHeight="1">
      <c r="B54" s="17">
        <f>IF(C54="","ENT-"&amp;TEXT(COUNTA($C$5:C54),"000"))</f>
        <v/>
      </c>
      <c r="C54" s="15" t="n"/>
      <c r="D54" s="15" t="n"/>
      <c r="E54" s="15" t="n"/>
      <c r="F54" s="15" t="n"/>
      <c r="G54" s="15" t="n"/>
      <c r="H54" s="22" t="n"/>
      <c r="I54" s="15" t="n"/>
      <c r="J54" s="16" t="n"/>
      <c r="K54" s="15" t="n"/>
    </row>
    <row r="55" ht="22" customHeight="1">
      <c r="B55" s="18">
        <f>IF(C55="","ENT-"&amp;TEXT(COUNTA($C$5:C55),"000"))</f>
        <v/>
      </c>
      <c r="C55" s="13" t="n"/>
      <c r="D55" s="13" t="n"/>
      <c r="E55" s="13" t="n"/>
      <c r="F55" s="13" t="n"/>
      <c r="G55" s="13" t="n"/>
      <c r="H55" s="21" t="n"/>
      <c r="I55" s="13" t="n"/>
      <c r="J55" s="14" t="n"/>
      <c r="K55" s="13" t="n"/>
    </row>
    <row r="56" ht="22" customHeight="1">
      <c r="B56" s="17">
        <f>IF(C56="","ENT-"&amp;TEXT(COUNTA($C$5:C56),"000"))</f>
        <v/>
      </c>
      <c r="C56" s="15" t="n"/>
      <c r="D56" s="15" t="n"/>
      <c r="E56" s="15" t="n"/>
      <c r="F56" s="15" t="n"/>
      <c r="G56" s="15" t="n"/>
      <c r="H56" s="22" t="n"/>
      <c r="I56" s="15" t="n"/>
      <c r="J56" s="16" t="n"/>
      <c r="K56" s="15" t="n"/>
    </row>
    <row r="57" ht="22" customHeight="1">
      <c r="B57" s="18">
        <f>IF(C57="","ENT-"&amp;TEXT(COUNTA($C$5:C57),"000"))</f>
        <v/>
      </c>
      <c r="C57" s="13" t="n"/>
      <c r="D57" s="13" t="n"/>
      <c r="E57" s="13" t="n"/>
      <c r="F57" s="13" t="n"/>
      <c r="G57" s="13" t="n"/>
      <c r="H57" s="21" t="n"/>
      <c r="I57" s="13" t="n"/>
      <c r="J57" s="14" t="n"/>
      <c r="K57" s="13" t="n"/>
    </row>
    <row r="58" ht="22" customHeight="1">
      <c r="B58" s="17">
        <f>IF(C58="","ENT-"&amp;TEXT(COUNTA($C$5:C58),"000"))</f>
        <v/>
      </c>
      <c r="C58" s="15" t="n"/>
      <c r="D58" s="15" t="n"/>
      <c r="E58" s="15" t="n"/>
      <c r="F58" s="15" t="n"/>
      <c r="G58" s="15" t="n"/>
      <c r="H58" s="22" t="n"/>
      <c r="I58" s="15" t="n"/>
      <c r="J58" s="16" t="n"/>
      <c r="K58" s="15" t="n"/>
    </row>
    <row r="59" ht="22" customHeight="1">
      <c r="B59" s="18">
        <f>IF(C59="","ENT-"&amp;TEXT(COUNTA($C$5:C59),"000"))</f>
        <v/>
      </c>
      <c r="C59" s="13" t="n"/>
      <c r="D59" s="13" t="n"/>
      <c r="E59" s="13" t="n"/>
      <c r="F59" s="13" t="n"/>
      <c r="G59" s="13" t="n"/>
      <c r="H59" s="21" t="n"/>
      <c r="I59" s="13" t="n"/>
      <c r="J59" s="14" t="n"/>
      <c r="K59" s="13" t="n"/>
    </row>
    <row r="60" ht="22" customHeight="1">
      <c r="B60" s="17">
        <f>IF(C60="","ENT-"&amp;TEXT(COUNTA($C$5:C60),"000"))</f>
        <v/>
      </c>
      <c r="C60" s="15" t="n"/>
      <c r="D60" s="15" t="n"/>
      <c r="E60" s="15" t="n"/>
      <c r="F60" s="15" t="n"/>
      <c r="G60" s="15" t="n"/>
      <c r="H60" s="22" t="n"/>
      <c r="I60" s="15" t="n"/>
      <c r="J60" s="16" t="n"/>
      <c r="K60" s="15" t="n"/>
    </row>
    <row r="61" ht="22" customHeight="1">
      <c r="B61" s="18">
        <f>IF(C61="","ENT-"&amp;TEXT(COUNTA($C$5:C61),"000"))</f>
        <v/>
      </c>
      <c r="C61" s="13" t="n"/>
      <c r="D61" s="13" t="n"/>
      <c r="E61" s="13" t="n"/>
      <c r="F61" s="13" t="n"/>
      <c r="G61" s="13" t="n"/>
      <c r="H61" s="21" t="n"/>
      <c r="I61" s="13" t="n"/>
      <c r="J61" s="14" t="n"/>
      <c r="K61" s="13" t="n"/>
    </row>
    <row r="62" ht="22" customHeight="1">
      <c r="B62" s="17">
        <f>IF(C62="","ENT-"&amp;TEXT(COUNTA($C$5:C62),"000"))</f>
        <v/>
      </c>
      <c r="C62" s="15" t="n"/>
      <c r="D62" s="15" t="n"/>
      <c r="E62" s="15" t="n"/>
      <c r="F62" s="15" t="n"/>
      <c r="G62" s="15" t="n"/>
      <c r="H62" s="22" t="n"/>
      <c r="I62" s="15" t="n"/>
      <c r="J62" s="16" t="n"/>
      <c r="K62" s="15" t="n"/>
    </row>
    <row r="63" ht="22" customHeight="1">
      <c r="B63" s="18">
        <f>IF(C63="","ENT-"&amp;TEXT(COUNTA($C$5:C63),"000"))</f>
        <v/>
      </c>
      <c r="C63" s="13" t="n"/>
      <c r="D63" s="13" t="n"/>
      <c r="E63" s="13" t="n"/>
      <c r="F63" s="13" t="n"/>
      <c r="G63" s="13" t="n"/>
      <c r="H63" s="21" t="n"/>
      <c r="I63" s="13" t="n"/>
      <c r="J63" s="14" t="n"/>
      <c r="K63" s="13" t="n"/>
    </row>
    <row r="64" ht="22" customHeight="1">
      <c r="B64" s="17">
        <f>IF(C64="","ENT-"&amp;TEXT(COUNTA($C$5:C64),"000"))</f>
        <v/>
      </c>
      <c r="C64" s="15" t="n"/>
      <c r="D64" s="15" t="n"/>
      <c r="E64" s="15" t="n"/>
      <c r="F64" s="15" t="n"/>
      <c r="G64" s="15" t="n"/>
      <c r="H64" s="22" t="n"/>
      <c r="I64" s="15" t="n"/>
      <c r="J64" s="16" t="n"/>
      <c r="K64" s="15" t="n"/>
    </row>
    <row r="65" ht="22" customHeight="1">
      <c r="B65" s="18">
        <f>IF(C65="","ENT-"&amp;TEXT(COUNTA($C$5:C65),"000"))</f>
        <v/>
      </c>
      <c r="C65" s="13" t="n"/>
      <c r="D65" s="13" t="n"/>
      <c r="E65" s="13" t="n"/>
      <c r="F65" s="13" t="n"/>
      <c r="G65" s="13" t="n"/>
      <c r="H65" s="21" t="n"/>
      <c r="I65" s="13" t="n"/>
      <c r="J65" s="14" t="n"/>
      <c r="K65" s="13" t="n"/>
    </row>
    <row r="66" ht="22" customHeight="1">
      <c r="B66" s="17">
        <f>IF(C66="","ENT-"&amp;TEXT(COUNTA($C$5:C66),"000"))</f>
        <v/>
      </c>
      <c r="C66" s="15" t="n"/>
      <c r="D66" s="15" t="n"/>
      <c r="E66" s="15" t="n"/>
      <c r="F66" s="15" t="n"/>
      <c r="G66" s="15" t="n"/>
      <c r="H66" s="22" t="n"/>
      <c r="I66" s="15" t="n"/>
      <c r="J66" s="16" t="n"/>
      <c r="K66" s="15" t="n"/>
    </row>
    <row r="67" ht="22" customHeight="1">
      <c r="B67" s="18">
        <f>IF(C67="","ENT-"&amp;TEXT(COUNTA($C$5:C67),"000"))</f>
        <v/>
      </c>
      <c r="C67" s="13" t="n"/>
      <c r="D67" s="13" t="n"/>
      <c r="E67" s="13" t="n"/>
      <c r="F67" s="13" t="n"/>
      <c r="G67" s="13" t="n"/>
      <c r="H67" s="21" t="n"/>
      <c r="I67" s="13" t="n"/>
      <c r="J67" s="14" t="n"/>
      <c r="K67" s="13" t="n"/>
    </row>
    <row r="68" ht="22" customHeight="1">
      <c r="B68" s="17">
        <f>IF(C68="","ENT-"&amp;TEXT(COUNTA($C$5:C68),"000"))</f>
        <v/>
      </c>
      <c r="C68" s="15" t="n"/>
      <c r="D68" s="15" t="n"/>
      <c r="E68" s="15" t="n"/>
      <c r="F68" s="15" t="n"/>
      <c r="G68" s="15" t="n"/>
      <c r="H68" s="22" t="n"/>
      <c r="I68" s="15" t="n"/>
      <c r="J68" s="16" t="n"/>
      <c r="K68" s="15" t="n"/>
    </row>
    <row r="69" ht="22" customHeight="1">
      <c r="B69" s="18">
        <f>IF(C69="","ENT-"&amp;TEXT(COUNTA($C$5:C69),"000"))</f>
        <v/>
      </c>
      <c r="C69" s="13" t="n"/>
      <c r="D69" s="13" t="n"/>
      <c r="E69" s="13" t="n"/>
      <c r="F69" s="13" t="n"/>
      <c r="G69" s="13" t="n"/>
      <c r="H69" s="21" t="n"/>
      <c r="I69" s="13" t="n"/>
      <c r="J69" s="14" t="n"/>
      <c r="K69" s="13" t="n"/>
    </row>
    <row r="70" ht="22" customHeight="1">
      <c r="B70" s="17">
        <f>IF(C70="","ENT-"&amp;TEXT(COUNTA($C$5:C70),"000"))</f>
        <v/>
      </c>
      <c r="C70" s="15" t="n"/>
      <c r="D70" s="15" t="n"/>
      <c r="E70" s="15" t="n"/>
      <c r="F70" s="15" t="n"/>
      <c r="G70" s="15" t="n"/>
      <c r="H70" s="22" t="n"/>
      <c r="I70" s="15" t="n"/>
      <c r="J70" s="16" t="n"/>
      <c r="K70" s="15" t="n"/>
    </row>
    <row r="71" ht="22" customHeight="1">
      <c r="B71" s="18">
        <f>IF(C71="","ENT-"&amp;TEXT(COUNTA($C$5:C71),"000"))</f>
        <v/>
      </c>
      <c r="C71" s="13" t="n"/>
      <c r="D71" s="13" t="n"/>
      <c r="E71" s="13" t="n"/>
      <c r="F71" s="13" t="n"/>
      <c r="G71" s="13" t="n"/>
      <c r="H71" s="21" t="n"/>
      <c r="I71" s="13" t="n"/>
      <c r="J71" s="14" t="n"/>
      <c r="K71" s="13" t="n"/>
    </row>
    <row r="72" ht="22" customHeight="1">
      <c r="B72" s="17">
        <f>IF(C72="","ENT-"&amp;TEXT(COUNTA($C$5:C72),"000"))</f>
        <v/>
      </c>
      <c r="C72" s="15" t="n"/>
      <c r="D72" s="15" t="n"/>
      <c r="E72" s="15" t="n"/>
      <c r="F72" s="15" t="n"/>
      <c r="G72" s="15" t="n"/>
      <c r="H72" s="22" t="n"/>
      <c r="I72" s="15" t="n"/>
      <c r="J72" s="16" t="n"/>
      <c r="K72" s="15" t="n"/>
    </row>
    <row r="73" ht="22" customHeight="1">
      <c r="B73" s="18">
        <f>IF(C73="","ENT-"&amp;TEXT(COUNTA($C$5:C73),"000"))</f>
        <v/>
      </c>
      <c r="C73" s="13" t="n"/>
      <c r="D73" s="13" t="n"/>
      <c r="E73" s="13" t="n"/>
      <c r="F73" s="13" t="n"/>
      <c r="G73" s="13" t="n"/>
      <c r="H73" s="21" t="n"/>
      <c r="I73" s="13" t="n"/>
      <c r="J73" s="14" t="n"/>
      <c r="K73" s="13" t="n"/>
    </row>
    <row r="74" ht="22" customHeight="1">
      <c r="B74" s="17">
        <f>IF(C74="","ENT-"&amp;TEXT(COUNTA($C$5:C74),"000"))</f>
        <v/>
      </c>
      <c r="C74" s="15" t="n"/>
      <c r="D74" s="15" t="n"/>
      <c r="E74" s="15" t="n"/>
      <c r="F74" s="15" t="n"/>
      <c r="G74" s="15" t="n"/>
      <c r="H74" s="22" t="n"/>
      <c r="I74" s="15" t="n"/>
      <c r="J74" s="16" t="n"/>
      <c r="K74" s="15" t="n"/>
    </row>
    <row r="75" ht="22" customHeight="1">
      <c r="B75" s="18">
        <f>IF(C75="","ENT-"&amp;TEXT(COUNTA($C$5:C75),"000"))</f>
        <v/>
      </c>
      <c r="C75" s="13" t="n"/>
      <c r="D75" s="13" t="n"/>
      <c r="E75" s="13" t="n"/>
      <c r="F75" s="13" t="n"/>
      <c r="G75" s="13" t="n"/>
      <c r="H75" s="21" t="n"/>
      <c r="I75" s="13" t="n"/>
      <c r="J75" s="14" t="n"/>
      <c r="K75" s="13" t="n"/>
    </row>
    <row r="76" ht="22" customHeight="1">
      <c r="B76" s="17">
        <f>IF(C76="","ENT-"&amp;TEXT(COUNTA($C$5:C76),"000"))</f>
        <v/>
      </c>
      <c r="C76" s="15" t="n"/>
      <c r="D76" s="15" t="n"/>
      <c r="E76" s="15" t="n"/>
      <c r="F76" s="15" t="n"/>
      <c r="G76" s="15" t="n"/>
      <c r="H76" s="22" t="n"/>
      <c r="I76" s="15" t="n"/>
      <c r="J76" s="16" t="n"/>
      <c r="K76" s="15" t="n"/>
    </row>
    <row r="77" ht="22" customHeight="1">
      <c r="B77" s="18">
        <f>IF(C77="","ENT-"&amp;TEXT(COUNTA($C$5:C77),"000"))</f>
        <v/>
      </c>
      <c r="C77" s="13" t="n"/>
      <c r="D77" s="13" t="n"/>
      <c r="E77" s="13" t="n"/>
      <c r="F77" s="13" t="n"/>
      <c r="G77" s="13" t="n"/>
      <c r="H77" s="21" t="n"/>
      <c r="I77" s="13" t="n"/>
      <c r="J77" s="14" t="n"/>
      <c r="K77" s="13" t="n"/>
    </row>
    <row r="78" ht="22" customHeight="1">
      <c r="B78" s="17">
        <f>IF(C78="","ENT-"&amp;TEXT(COUNTA($C$5:C78),"000"))</f>
        <v/>
      </c>
      <c r="C78" s="15" t="n"/>
      <c r="D78" s="15" t="n"/>
      <c r="E78" s="15" t="n"/>
      <c r="F78" s="15" t="n"/>
      <c r="G78" s="15" t="n"/>
      <c r="H78" s="22" t="n"/>
      <c r="I78" s="15" t="n"/>
      <c r="J78" s="16" t="n"/>
      <c r="K78" s="15" t="n"/>
    </row>
    <row r="79" ht="22" customHeight="1">
      <c r="B79" s="18">
        <f>IF(C79="","ENT-"&amp;TEXT(COUNTA($C$5:C79),"000"))</f>
        <v/>
      </c>
      <c r="C79" s="13" t="n"/>
      <c r="D79" s="13" t="n"/>
      <c r="E79" s="13" t="n"/>
      <c r="F79" s="13" t="n"/>
      <c r="G79" s="13" t="n"/>
      <c r="H79" s="21" t="n"/>
      <c r="I79" s="13" t="n"/>
      <c r="J79" s="14" t="n"/>
      <c r="K79" s="13" t="n"/>
    </row>
    <row r="80" ht="22" customHeight="1">
      <c r="B80" s="17">
        <f>IF(C80="","ENT-"&amp;TEXT(COUNTA($C$5:C80),"000"))</f>
        <v/>
      </c>
      <c r="C80" s="15" t="n"/>
      <c r="D80" s="15" t="n"/>
      <c r="E80" s="15" t="n"/>
      <c r="F80" s="15" t="n"/>
      <c r="G80" s="15" t="n"/>
      <c r="H80" s="22" t="n"/>
      <c r="I80" s="15" t="n"/>
      <c r="J80" s="16" t="n"/>
      <c r="K80" s="15" t="n"/>
    </row>
    <row r="81" ht="22" customHeight="1">
      <c r="B81" s="18">
        <f>IF(C81="","ENT-"&amp;TEXT(COUNTA($C$5:C81),"000"))</f>
        <v/>
      </c>
      <c r="C81" s="13" t="n"/>
      <c r="D81" s="13" t="n"/>
      <c r="E81" s="13" t="n"/>
      <c r="F81" s="13" t="n"/>
      <c r="G81" s="13" t="n"/>
      <c r="H81" s="21" t="n"/>
      <c r="I81" s="13" t="n"/>
      <c r="J81" s="14" t="n"/>
      <c r="K81" s="13" t="n"/>
    </row>
    <row r="82" ht="22" customHeight="1">
      <c r="B82" s="17">
        <f>IF(C82="","ENT-"&amp;TEXT(COUNTA($C$5:C82),"000"))</f>
        <v/>
      </c>
      <c r="C82" s="15" t="n"/>
      <c r="D82" s="15" t="n"/>
      <c r="E82" s="15" t="n"/>
      <c r="F82" s="15" t="n"/>
      <c r="G82" s="15" t="n"/>
      <c r="H82" s="22" t="n"/>
      <c r="I82" s="15" t="n"/>
      <c r="J82" s="16" t="n"/>
      <c r="K82" s="15" t="n"/>
    </row>
    <row r="83" ht="22" customHeight="1">
      <c r="B83" s="18">
        <f>IF(C83="","ENT-"&amp;TEXT(COUNTA($C$5:C83),"000"))</f>
        <v/>
      </c>
      <c r="C83" s="13" t="n"/>
      <c r="D83" s="13" t="n"/>
      <c r="E83" s="13" t="n"/>
      <c r="F83" s="13" t="n"/>
      <c r="G83" s="13" t="n"/>
      <c r="H83" s="21" t="n"/>
      <c r="I83" s="13" t="n"/>
      <c r="J83" s="14" t="n"/>
      <c r="K83" s="13" t="n"/>
    </row>
    <row r="84" ht="22" customHeight="1">
      <c r="B84" s="17">
        <f>IF(C84="","ENT-"&amp;TEXT(COUNTA($C$5:C84),"000"))</f>
        <v/>
      </c>
      <c r="C84" s="15" t="n"/>
      <c r="D84" s="15" t="n"/>
      <c r="E84" s="15" t="n"/>
      <c r="F84" s="15" t="n"/>
      <c r="G84" s="15" t="n"/>
      <c r="H84" s="22" t="n"/>
      <c r="I84" s="15" t="n"/>
      <c r="J84" s="16" t="n"/>
      <c r="K84" s="15" t="n"/>
    </row>
    <row r="85" ht="22" customHeight="1">
      <c r="B85" s="18">
        <f>IF(C85="","ENT-"&amp;TEXT(COUNTA($C$5:C85),"000"))</f>
        <v/>
      </c>
      <c r="C85" s="13" t="n"/>
      <c r="D85" s="13" t="n"/>
      <c r="E85" s="13" t="n"/>
      <c r="F85" s="13" t="n"/>
      <c r="G85" s="13" t="n"/>
      <c r="H85" s="21" t="n"/>
      <c r="I85" s="13" t="n"/>
      <c r="J85" s="14" t="n"/>
      <c r="K85" s="13" t="n"/>
    </row>
    <row r="86" ht="22" customHeight="1">
      <c r="B86" s="17">
        <f>IF(C86="","ENT-"&amp;TEXT(COUNTA($C$5:C86),"000"))</f>
        <v/>
      </c>
      <c r="C86" s="15" t="n"/>
      <c r="D86" s="15" t="n"/>
      <c r="E86" s="15" t="n"/>
      <c r="F86" s="15" t="n"/>
      <c r="G86" s="15" t="n"/>
      <c r="H86" s="22" t="n"/>
      <c r="I86" s="15" t="n"/>
      <c r="J86" s="16" t="n"/>
      <c r="K86" s="15" t="n"/>
    </row>
    <row r="87" ht="22" customHeight="1">
      <c r="B87" s="18">
        <f>IF(C87="","ENT-"&amp;TEXT(COUNTA($C$5:C87),"000"))</f>
        <v/>
      </c>
      <c r="C87" s="13" t="n"/>
      <c r="D87" s="13" t="n"/>
      <c r="E87" s="13" t="n"/>
      <c r="F87" s="13" t="n"/>
      <c r="G87" s="13" t="n"/>
      <c r="H87" s="21" t="n"/>
      <c r="I87" s="13" t="n"/>
      <c r="J87" s="14" t="n"/>
      <c r="K87" s="13" t="n"/>
    </row>
    <row r="88" ht="22" customHeight="1">
      <c r="B88" s="17">
        <f>IF(C88="","ENT-"&amp;TEXT(COUNTA($C$5:C88),"000"))</f>
        <v/>
      </c>
      <c r="C88" s="15" t="n"/>
      <c r="D88" s="15" t="n"/>
      <c r="E88" s="15" t="n"/>
      <c r="F88" s="15" t="n"/>
      <c r="G88" s="15" t="n"/>
      <c r="H88" s="22" t="n"/>
      <c r="I88" s="15" t="n"/>
      <c r="J88" s="16" t="n"/>
      <c r="K88" s="15" t="n"/>
    </row>
    <row r="89" ht="22" customHeight="1">
      <c r="B89" s="18">
        <f>IF(C89="","ENT-"&amp;TEXT(COUNTA($C$5:C89),"000"))</f>
        <v/>
      </c>
      <c r="C89" s="13" t="n"/>
      <c r="D89" s="13" t="n"/>
      <c r="E89" s="13" t="n"/>
      <c r="F89" s="13" t="n"/>
      <c r="G89" s="13" t="n"/>
      <c r="H89" s="21" t="n"/>
      <c r="I89" s="13" t="n"/>
      <c r="J89" s="14" t="n"/>
      <c r="K89" s="13" t="n"/>
    </row>
    <row r="90" ht="22" customHeight="1">
      <c r="B90" s="17">
        <f>IF(C90="","ENT-"&amp;TEXT(COUNTA($C$5:C90),"000"))</f>
        <v/>
      </c>
      <c r="C90" s="15" t="n"/>
      <c r="D90" s="15" t="n"/>
      <c r="E90" s="15" t="n"/>
      <c r="F90" s="15" t="n"/>
      <c r="G90" s="15" t="n"/>
      <c r="H90" s="22" t="n"/>
      <c r="I90" s="15" t="n"/>
      <c r="J90" s="16" t="n"/>
      <c r="K90" s="15" t="n"/>
    </row>
    <row r="91" ht="22" customHeight="1">
      <c r="B91" s="18">
        <f>IF(C91="","ENT-"&amp;TEXT(COUNTA($C$5:C91),"000"))</f>
        <v/>
      </c>
      <c r="C91" s="13" t="n"/>
      <c r="D91" s="13" t="n"/>
      <c r="E91" s="13" t="n"/>
      <c r="F91" s="13" t="n"/>
      <c r="G91" s="13" t="n"/>
      <c r="H91" s="21" t="n"/>
      <c r="I91" s="13" t="n"/>
      <c r="J91" s="14" t="n"/>
      <c r="K91" s="13" t="n"/>
    </row>
    <row r="92" ht="22" customHeight="1">
      <c r="B92" s="17">
        <f>IF(C92="","ENT-"&amp;TEXT(COUNTA($C$5:C92),"000"))</f>
        <v/>
      </c>
      <c r="C92" s="15" t="n"/>
      <c r="D92" s="15" t="n"/>
      <c r="E92" s="15" t="n"/>
      <c r="F92" s="15" t="n"/>
      <c r="G92" s="15" t="n"/>
      <c r="H92" s="22" t="n"/>
      <c r="I92" s="15" t="n"/>
      <c r="J92" s="16" t="n"/>
      <c r="K92" s="15" t="n"/>
    </row>
    <row r="93" ht="22" customHeight="1">
      <c r="B93" s="18">
        <f>IF(C93="","ENT-"&amp;TEXT(COUNTA($C$5:C93),"000"))</f>
        <v/>
      </c>
      <c r="C93" s="13" t="n"/>
      <c r="D93" s="13" t="n"/>
      <c r="E93" s="13" t="n"/>
      <c r="F93" s="13" t="n"/>
      <c r="G93" s="13" t="n"/>
      <c r="H93" s="21" t="n"/>
      <c r="I93" s="13" t="n"/>
      <c r="J93" s="14" t="n"/>
      <c r="K93" s="13" t="n"/>
    </row>
    <row r="94" ht="22" customHeight="1">
      <c r="B94" s="17">
        <f>IF(C94="","ENT-"&amp;TEXT(COUNTA($C$5:C94),"000"))</f>
        <v/>
      </c>
      <c r="C94" s="15" t="n"/>
      <c r="D94" s="15" t="n"/>
      <c r="E94" s="15" t="n"/>
      <c r="F94" s="15" t="n"/>
      <c r="G94" s="15" t="n"/>
      <c r="H94" s="22" t="n"/>
      <c r="I94" s="15" t="n"/>
      <c r="J94" s="16" t="n"/>
      <c r="K94" s="15" t="n"/>
    </row>
    <row r="95" ht="22" customHeight="1">
      <c r="B95" s="18">
        <f>IF(C95="","ENT-"&amp;TEXT(COUNTA($C$5:C95),"000"))</f>
        <v/>
      </c>
      <c r="C95" s="13" t="n"/>
      <c r="D95" s="13" t="n"/>
      <c r="E95" s="13" t="n"/>
      <c r="F95" s="13" t="n"/>
      <c r="G95" s="13" t="n"/>
      <c r="H95" s="21" t="n"/>
      <c r="I95" s="13" t="n"/>
      <c r="J95" s="14" t="n"/>
      <c r="K95" s="13" t="n"/>
    </row>
    <row r="96" ht="22" customHeight="1">
      <c r="B96" s="17">
        <f>IF(C96="","ENT-"&amp;TEXT(COUNTA($C$5:C96),"000"))</f>
        <v/>
      </c>
      <c r="C96" s="15" t="n"/>
      <c r="D96" s="15" t="n"/>
      <c r="E96" s="15" t="n"/>
      <c r="F96" s="15" t="n"/>
      <c r="G96" s="15" t="n"/>
      <c r="H96" s="22" t="n"/>
      <c r="I96" s="15" t="n"/>
      <c r="J96" s="16" t="n"/>
      <c r="K96" s="15" t="n"/>
    </row>
    <row r="97" ht="22" customHeight="1">
      <c r="B97" s="18">
        <f>IF(C97="","ENT-"&amp;TEXT(COUNTA($C$5:C97),"000"))</f>
        <v/>
      </c>
      <c r="C97" s="13" t="n"/>
      <c r="D97" s="13" t="n"/>
      <c r="E97" s="13" t="n"/>
      <c r="F97" s="13" t="n"/>
      <c r="G97" s="13" t="n"/>
      <c r="H97" s="21" t="n"/>
      <c r="I97" s="13" t="n"/>
      <c r="J97" s="14" t="n"/>
      <c r="K97" s="13" t="n"/>
    </row>
    <row r="98" ht="22" customHeight="1">
      <c r="B98" s="17">
        <f>IF(C98="","ENT-"&amp;TEXT(COUNTA($C$5:C98),"000"))</f>
        <v/>
      </c>
      <c r="C98" s="15" t="n"/>
      <c r="D98" s="15" t="n"/>
      <c r="E98" s="15" t="n"/>
      <c r="F98" s="15" t="n"/>
      <c r="G98" s="15" t="n"/>
      <c r="H98" s="22" t="n"/>
      <c r="I98" s="15" t="n"/>
      <c r="J98" s="16" t="n"/>
      <c r="K98" s="15" t="n"/>
    </row>
    <row r="99" ht="22" customHeight="1">
      <c r="B99" s="18">
        <f>IF(C99="","ENT-"&amp;TEXT(COUNTA($C$5:C99),"000"))</f>
        <v/>
      </c>
      <c r="C99" s="13" t="n"/>
      <c r="D99" s="13" t="n"/>
      <c r="E99" s="13" t="n"/>
      <c r="F99" s="13" t="n"/>
      <c r="G99" s="13" t="n"/>
      <c r="H99" s="21" t="n"/>
      <c r="I99" s="13" t="n"/>
      <c r="J99" s="14" t="n"/>
      <c r="K99" s="13" t="n"/>
    </row>
    <row r="100" ht="22" customHeight="1">
      <c r="B100" s="17">
        <f>IF(C100="","ENT-"&amp;TEXT(COUNTA($C$5:C100),"000"))</f>
        <v/>
      </c>
      <c r="C100" s="15" t="n"/>
      <c r="D100" s="15" t="n"/>
      <c r="E100" s="15" t="n"/>
      <c r="F100" s="15" t="n"/>
      <c r="G100" s="15" t="n"/>
      <c r="H100" s="22" t="n"/>
      <c r="I100" s="15" t="n"/>
      <c r="J100" s="16" t="n"/>
      <c r="K100" s="15" t="n"/>
    </row>
    <row r="101" ht="22" customHeight="1">
      <c r="B101" s="18">
        <f>IF(C101="","ENT-"&amp;TEXT(COUNTA($C$5:C101),"000"))</f>
        <v/>
      </c>
      <c r="C101" s="13" t="n"/>
      <c r="D101" s="13" t="n"/>
      <c r="E101" s="13" t="n"/>
      <c r="F101" s="13" t="n"/>
      <c r="G101" s="13" t="n"/>
      <c r="H101" s="21" t="n"/>
      <c r="I101" s="13" t="n"/>
      <c r="J101" s="14" t="n"/>
      <c r="K101" s="13" t="n"/>
    </row>
    <row r="102" ht="22" customHeight="1">
      <c r="B102" s="17">
        <f>IF(C102="","ENT-"&amp;TEXT(COUNTA($C$5:C102),"000"))</f>
        <v/>
      </c>
      <c r="C102" s="15" t="n"/>
      <c r="D102" s="15" t="n"/>
      <c r="E102" s="15" t="n"/>
      <c r="F102" s="15" t="n"/>
      <c r="G102" s="15" t="n"/>
      <c r="H102" s="22" t="n"/>
      <c r="I102" s="15" t="n"/>
      <c r="J102" s="16" t="n"/>
      <c r="K102" s="15" t="n"/>
    </row>
    <row r="103" ht="22" customHeight="1">
      <c r="B103" s="18">
        <f>IF(C103="","ENT-"&amp;TEXT(COUNTA($C$5:C103),"000"))</f>
        <v/>
      </c>
      <c r="C103" s="13" t="n"/>
      <c r="D103" s="13" t="n"/>
      <c r="E103" s="13" t="n"/>
      <c r="F103" s="13" t="n"/>
      <c r="G103" s="13" t="n"/>
      <c r="H103" s="21" t="n"/>
      <c r="I103" s="13" t="n"/>
      <c r="J103" s="14" t="n"/>
      <c r="K103" s="13" t="n"/>
    </row>
    <row r="104" ht="22" customHeight="1">
      <c r="B104" s="17">
        <f>IF(C104="","ENT-"&amp;TEXT(COUNTA($C$5:C104),"000"))</f>
        <v/>
      </c>
      <c r="C104" s="15" t="n"/>
      <c r="D104" s="15" t="n"/>
      <c r="E104" s="15" t="n"/>
      <c r="F104" s="15" t="n"/>
      <c r="G104" s="15" t="n"/>
      <c r="H104" s="22" t="n"/>
      <c r="I104" s="15" t="n"/>
      <c r="J104" s="16" t="n"/>
      <c r="K104" s="15" t="n"/>
    </row>
    <row r="105" ht="22" customHeight="1">
      <c r="B105" s="18">
        <f>IF(C105="","ENT-"&amp;TEXT(COUNTA($C$5:C105),"000"))</f>
        <v/>
      </c>
      <c r="C105" s="13" t="n"/>
      <c r="D105" s="13" t="n"/>
      <c r="E105" s="13" t="n"/>
      <c r="F105" s="13" t="n"/>
      <c r="G105" s="13" t="n"/>
      <c r="H105" s="21" t="n"/>
      <c r="I105" s="13" t="n"/>
      <c r="J105" s="14" t="n"/>
      <c r="K105" s="13" t="n"/>
    </row>
    <row r="106" ht="22" customHeight="1">
      <c r="B106" s="17">
        <f>IF(C106="","ENT-"&amp;TEXT(COUNTA($C$5:C106),"000"))</f>
        <v/>
      </c>
      <c r="C106" s="15" t="n"/>
      <c r="D106" s="15" t="n"/>
      <c r="E106" s="15" t="n"/>
      <c r="F106" s="15" t="n"/>
      <c r="G106" s="15" t="n"/>
      <c r="H106" s="22" t="n"/>
      <c r="I106" s="15" t="n"/>
      <c r="J106" s="16" t="n"/>
      <c r="K106" s="15" t="n"/>
    </row>
    <row r="107" ht="22" customHeight="1">
      <c r="B107" s="18">
        <f>IF(C107="","ENT-"&amp;TEXT(COUNTA($C$5:C107),"000"))</f>
        <v/>
      </c>
      <c r="C107" s="13" t="n"/>
      <c r="D107" s="13" t="n"/>
      <c r="E107" s="13" t="n"/>
      <c r="F107" s="13" t="n"/>
      <c r="G107" s="13" t="n"/>
      <c r="H107" s="21" t="n"/>
      <c r="I107" s="13" t="n"/>
      <c r="J107" s="14" t="n"/>
      <c r="K107" s="13" t="n"/>
    </row>
    <row r="108" ht="22" customHeight="1">
      <c r="B108" s="17">
        <f>IF(C108="","ENT-"&amp;TEXT(COUNTA($C$5:C108),"000"))</f>
        <v/>
      </c>
      <c r="C108" s="15" t="n"/>
      <c r="D108" s="15" t="n"/>
      <c r="E108" s="15" t="n"/>
      <c r="F108" s="15" t="n"/>
      <c r="G108" s="15" t="n"/>
      <c r="H108" s="22" t="n"/>
      <c r="I108" s="15" t="n"/>
      <c r="J108" s="16" t="n"/>
      <c r="K108" s="15" t="n"/>
    </row>
    <row r="109" ht="22" customHeight="1">
      <c r="B109" s="18">
        <f>IF(C109="","ENT-"&amp;TEXT(COUNTA($C$5:C109),"000"))</f>
        <v/>
      </c>
      <c r="C109" s="13" t="n"/>
      <c r="D109" s="13" t="n"/>
      <c r="E109" s="13" t="n"/>
      <c r="F109" s="13" t="n"/>
      <c r="G109" s="13" t="n"/>
      <c r="H109" s="21" t="n"/>
      <c r="I109" s="13" t="n"/>
      <c r="J109" s="14" t="n"/>
      <c r="K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Entretiens</t>
        </is>
      </c>
      <c r="D112" s="3" t="inlineStr">
        <is>
          <t>Realises</t>
        </is>
      </c>
      <c r="F112" s="3" t="inlineStr">
        <is>
          <t>Planifies</t>
        </is>
      </c>
      <c r="H112" s="3" t="inlineStr">
        <is>
          <t>Note moyenne (/20)</t>
        </is>
      </c>
    </row>
    <row r="113">
      <c r="B113" s="4">
        <f>COUNTIF(B5:B104,"&lt;&gt;")</f>
        <v/>
      </c>
      <c r="D113" s="4">
        <f>COUNTIF(K5:K104,"Completee")</f>
        <v/>
      </c>
      <c r="F113" s="4">
        <f>COUNTIF(K5:K104,"Planifiee")</f>
        <v/>
      </c>
      <c r="H113" s="4">
        <f>IFERROR(AVERAGE(J5:J104),0)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conditionalFormatting sqref="K10:K109">
    <cfRule type="expression" priority="96" dxfId="3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'_Lists'!$Q$2:$Q$4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EVALUATION A L'ESSAI (#79)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Date Entree</t>
        </is>
      </c>
      <c r="H4" s="12" t="inlineStr">
        <is>
          <t>Duree Essai</t>
        </is>
      </c>
      <c r="I4" s="12" t="inlineStr">
        <is>
          <t>Date Fin Essai</t>
        </is>
      </c>
      <c r="J4" s="12" t="inlineStr">
        <is>
          <t>Note (/20)</t>
        </is>
      </c>
      <c r="K4" s="12" t="inlineStr">
        <is>
          <t>Decision</t>
        </is>
      </c>
      <c r="L4" s="12" t="inlineStr">
        <is>
          <t>Statut</t>
        </is>
      </c>
    </row>
    <row r="5" ht="22" customHeight="1">
      <c r="B5" s="13" t="inlineStr">
        <is>
          <t>ESS-001</t>
        </is>
      </c>
      <c r="C5" s="13" t="inlineStr">
        <is>
          <t>EMP-2025-031</t>
        </is>
      </c>
      <c r="D5" s="13" t="inlineStr">
        <is>
          <t>Nkoulou Maxime</t>
        </is>
      </c>
      <c r="E5" s="13" t="inlineStr">
        <is>
          <t>Reception &amp; Front Office</t>
        </is>
      </c>
      <c r="F5" s="13" t="inlineStr">
        <is>
          <t>Receptionniste</t>
        </is>
      </c>
      <c r="G5" s="21" t="n">
        <v>45748</v>
      </c>
      <c r="H5" s="13" t="inlineStr">
        <is>
          <t>3 mois</t>
        </is>
      </c>
      <c r="I5" s="21" t="n">
        <v>45838</v>
      </c>
      <c r="J5" s="14" t="n">
        <v>16.5</v>
      </c>
      <c r="K5" s="13" t="inlineStr">
        <is>
          <t>Confirmation</t>
        </is>
      </c>
      <c r="L5" s="13" t="inlineStr">
        <is>
          <t>Completee</t>
        </is>
      </c>
    </row>
    <row r="6" ht="22" customHeight="1">
      <c r="B6" s="15" t="inlineStr">
        <is>
          <t>ESS-002</t>
        </is>
      </c>
      <c r="C6" s="15" t="inlineStr">
        <is>
          <t>EMP-2025-032</t>
        </is>
      </c>
      <c r="D6" s="15" t="inlineStr">
        <is>
          <t>Mba Carine</t>
        </is>
      </c>
      <c r="E6" s="15" t="inlineStr">
        <is>
          <t>Service Client</t>
        </is>
      </c>
      <c r="F6" s="15" t="inlineStr">
        <is>
          <t>Conseiller</t>
        </is>
      </c>
      <c r="G6" s="22" t="n">
        <v>45778</v>
      </c>
      <c r="H6" s="15" t="inlineStr">
        <is>
          <t>3 mois</t>
        </is>
      </c>
      <c r="I6" s="22" t="n">
        <v>45869</v>
      </c>
      <c r="J6" s="16" t="n">
        <v>12</v>
      </c>
      <c r="K6" s="15" t="inlineStr">
        <is>
          <t>Prolongation essai</t>
        </is>
      </c>
      <c r="L6" s="15" t="inlineStr">
        <is>
          <t>En cours</t>
        </is>
      </c>
    </row>
    <row r="7" ht="22" customHeight="1">
      <c r="B7" s="13" t="inlineStr">
        <is>
          <t>ESS-003</t>
        </is>
      </c>
      <c r="C7" s="13" t="inlineStr">
        <is>
          <t>EMP-2025-033</t>
        </is>
      </c>
      <c r="D7" s="13" t="inlineStr">
        <is>
          <t>Tamo Elvis</t>
        </is>
      </c>
      <c r="E7" s="13" t="inlineStr">
        <is>
          <t>Cuisine &amp; Restauration</t>
        </is>
      </c>
      <c r="F7" s="13" t="inlineStr">
        <is>
          <t>Plongeur</t>
        </is>
      </c>
      <c r="G7" s="21" t="n">
        <v>45792</v>
      </c>
      <c r="H7" s="13" t="inlineStr">
        <is>
          <t>2 mois</t>
        </is>
      </c>
      <c r="I7" s="21" t="n">
        <v>45852</v>
      </c>
      <c r="J7" s="14" t="n">
        <v>8</v>
      </c>
      <c r="K7" s="13" t="inlineStr">
        <is>
          <t>Rupture essai</t>
        </is>
      </c>
      <c r="L7" s="13" t="inlineStr">
        <is>
          <t>Completee</t>
        </is>
      </c>
    </row>
    <row r="8" ht="22" customHeight="1">
      <c r="B8" s="15" t="inlineStr">
        <is>
          <t>ESS-004</t>
        </is>
      </c>
      <c r="C8" s="15" t="inlineStr">
        <is>
          <t>EMP-2025-034</t>
        </is>
      </c>
      <c r="D8" s="15" t="inlineStr">
        <is>
          <t>Fomba Aminata</t>
        </is>
      </c>
      <c r="E8" s="15" t="inlineStr">
        <is>
          <t>Entretien &amp; Maintenance</t>
        </is>
      </c>
      <c r="F8" s="15" t="inlineStr">
        <is>
          <t>Agent Entretien</t>
        </is>
      </c>
      <c r="G8" s="22" t="n">
        <v>45809</v>
      </c>
      <c r="H8" s="15" t="inlineStr">
        <is>
          <t>3 mois</t>
        </is>
      </c>
      <c r="I8" s="22" t="n">
        <v>45900</v>
      </c>
      <c r="J8" s="16" t="n">
        <v>0</v>
      </c>
      <c r="K8" s="15" t="inlineStr">
        <is>
          <t>En attente</t>
        </is>
      </c>
      <c r="L8" s="15" t="inlineStr">
        <is>
          <t>En cours</t>
        </is>
      </c>
    </row>
    <row r="9" ht="22" customHeight="1">
      <c r="B9" s="18">
        <f>IF(C9="","ESS-"&amp;TEXT(COUNTA($C$5:C9),"000"))</f>
        <v/>
      </c>
      <c r="C9" s="13" t="n"/>
      <c r="D9" s="13" t="n"/>
      <c r="E9" s="13" t="n"/>
      <c r="F9" s="13" t="n"/>
      <c r="G9" s="21" t="n"/>
      <c r="H9" s="13" t="n"/>
      <c r="I9" s="21" t="n"/>
      <c r="J9" s="14" t="n"/>
      <c r="K9" s="13" t="n"/>
      <c r="L9" s="13" t="n"/>
    </row>
    <row r="10" ht="22" customHeight="1">
      <c r="B10" s="17">
        <f>IF(C10="","ESS-"&amp;TEXT(COUNTA($C$5:C10),"000"))</f>
        <v/>
      </c>
      <c r="C10" s="15" t="n"/>
      <c r="D10" s="15" t="n"/>
      <c r="E10" s="15" t="n"/>
      <c r="F10" s="15" t="n"/>
      <c r="G10" s="22" t="n"/>
      <c r="H10" s="15" t="n"/>
      <c r="I10" s="22" t="n"/>
      <c r="J10" s="16" t="n"/>
      <c r="K10" s="15" t="n"/>
      <c r="L10" s="15" t="n"/>
    </row>
    <row r="11" ht="22" customHeight="1">
      <c r="B11" s="18">
        <f>IF(C11="","ESS-"&amp;TEXT(COUNTA($C$5:C11),"000"))</f>
        <v/>
      </c>
      <c r="C11" s="13" t="n"/>
      <c r="D11" s="13" t="n"/>
      <c r="E11" s="13" t="n"/>
      <c r="F11" s="13" t="n"/>
      <c r="G11" s="21" t="n"/>
      <c r="H11" s="13" t="n"/>
      <c r="I11" s="21" t="n"/>
      <c r="J11" s="14" t="n"/>
      <c r="K11" s="13" t="n"/>
      <c r="L11" s="13" t="n"/>
    </row>
    <row r="12" ht="22" customHeight="1">
      <c r="B12" s="17">
        <f>IF(C12="","ESS-"&amp;TEXT(COUNTA($C$5:C12),"000"))</f>
        <v/>
      </c>
      <c r="C12" s="15" t="n"/>
      <c r="D12" s="15" t="n"/>
      <c r="E12" s="15" t="n"/>
      <c r="F12" s="15" t="n"/>
      <c r="G12" s="22" t="n"/>
      <c r="H12" s="15" t="n"/>
      <c r="I12" s="22" t="n"/>
      <c r="J12" s="16" t="n"/>
      <c r="K12" s="15" t="n"/>
      <c r="L12" s="15" t="n"/>
    </row>
    <row r="13" ht="22" customHeight="1">
      <c r="B13" s="18">
        <f>IF(C13="","ESS-"&amp;TEXT(COUNTA($C$5:C13),"000"))</f>
        <v/>
      </c>
      <c r="C13" s="13" t="n"/>
      <c r="D13" s="13" t="n"/>
      <c r="E13" s="13" t="n"/>
      <c r="F13" s="13" t="n"/>
      <c r="G13" s="21" t="n"/>
      <c r="H13" s="13" t="n"/>
      <c r="I13" s="21" t="n"/>
      <c r="J13" s="14" t="n"/>
      <c r="K13" s="13" t="n"/>
      <c r="L13" s="13" t="n"/>
    </row>
    <row r="14" ht="22" customHeight="1">
      <c r="B14" s="17">
        <f>IF(C14="","ESS-"&amp;TEXT(COUNTA($C$5:C14),"000"))</f>
        <v/>
      </c>
      <c r="C14" s="15" t="n"/>
      <c r="D14" s="15" t="n"/>
      <c r="E14" s="15" t="n"/>
      <c r="F14" s="15" t="n"/>
      <c r="G14" s="22" t="n"/>
      <c r="H14" s="15" t="n"/>
      <c r="I14" s="22" t="n"/>
      <c r="J14" s="16" t="n"/>
      <c r="K14" s="15" t="n"/>
      <c r="L14" s="15" t="n"/>
    </row>
    <row r="15" ht="22" customHeight="1">
      <c r="B15" s="18">
        <f>IF(C15="","ESS-"&amp;TEXT(COUNTA($C$5:C15),"000"))</f>
        <v/>
      </c>
      <c r="C15" s="13" t="n"/>
      <c r="D15" s="13" t="n"/>
      <c r="E15" s="13" t="n"/>
      <c r="F15" s="13" t="n"/>
      <c r="G15" s="21" t="n"/>
      <c r="H15" s="13" t="n"/>
      <c r="I15" s="21" t="n"/>
      <c r="J15" s="14" t="n"/>
      <c r="K15" s="13" t="n"/>
      <c r="L15" s="13" t="n"/>
    </row>
    <row r="16" ht="22" customHeight="1">
      <c r="B16" s="17">
        <f>IF(C16="","ESS-"&amp;TEXT(COUNTA($C$5:C16),"000"))</f>
        <v/>
      </c>
      <c r="C16" s="15" t="n"/>
      <c r="D16" s="15" t="n"/>
      <c r="E16" s="15" t="n"/>
      <c r="F16" s="15" t="n"/>
      <c r="G16" s="22" t="n"/>
      <c r="H16" s="15" t="n"/>
      <c r="I16" s="22" t="n"/>
      <c r="J16" s="16" t="n"/>
      <c r="K16" s="15" t="n"/>
      <c r="L16" s="15" t="n"/>
    </row>
    <row r="17" ht="22" customHeight="1">
      <c r="B17" s="18">
        <f>IF(C17="","ESS-"&amp;TEXT(COUNTA($C$5:C17),"000"))</f>
        <v/>
      </c>
      <c r="C17" s="13" t="n"/>
      <c r="D17" s="13" t="n"/>
      <c r="E17" s="13" t="n"/>
      <c r="F17" s="13" t="n"/>
      <c r="G17" s="21" t="n"/>
      <c r="H17" s="13" t="n"/>
      <c r="I17" s="21" t="n"/>
      <c r="J17" s="14" t="n"/>
      <c r="K17" s="13" t="n"/>
      <c r="L17" s="13" t="n"/>
    </row>
    <row r="18" ht="22" customHeight="1">
      <c r="B18" s="17">
        <f>IF(C18="","ESS-"&amp;TEXT(COUNTA($C$5:C18),"000"))</f>
        <v/>
      </c>
      <c r="C18" s="15" t="n"/>
      <c r="D18" s="15" t="n"/>
      <c r="E18" s="15" t="n"/>
      <c r="F18" s="15" t="n"/>
      <c r="G18" s="22" t="n"/>
      <c r="H18" s="15" t="n"/>
      <c r="I18" s="22" t="n"/>
      <c r="J18" s="16" t="n"/>
      <c r="K18" s="15" t="n"/>
      <c r="L18" s="15" t="n"/>
    </row>
    <row r="19" ht="22" customHeight="1">
      <c r="B19" s="18">
        <f>IF(C19="","ESS-"&amp;TEXT(COUNTA($C$5:C19),"000"))</f>
        <v/>
      </c>
      <c r="C19" s="13" t="n"/>
      <c r="D19" s="13" t="n"/>
      <c r="E19" s="13" t="n"/>
      <c r="F19" s="13" t="n"/>
      <c r="G19" s="21" t="n"/>
      <c r="H19" s="13" t="n"/>
      <c r="I19" s="21" t="n"/>
      <c r="J19" s="14" t="n"/>
      <c r="K19" s="13" t="n"/>
      <c r="L19" s="13" t="n"/>
    </row>
    <row r="20" ht="22" customHeight="1">
      <c r="B20" s="17">
        <f>IF(C20="","ESS-"&amp;TEXT(COUNTA($C$5:C20),"000"))</f>
        <v/>
      </c>
      <c r="C20" s="15" t="n"/>
      <c r="D20" s="15" t="n"/>
      <c r="E20" s="15" t="n"/>
      <c r="F20" s="15" t="n"/>
      <c r="G20" s="22" t="n"/>
      <c r="H20" s="15" t="n"/>
      <c r="I20" s="22" t="n"/>
      <c r="J20" s="16" t="n"/>
      <c r="K20" s="15" t="n"/>
      <c r="L20" s="15" t="n"/>
    </row>
    <row r="21" ht="22" customHeight="1">
      <c r="B21" s="18">
        <f>IF(C21="","ESS-"&amp;TEXT(COUNTA($C$5:C21),"000"))</f>
        <v/>
      </c>
      <c r="C21" s="13" t="n"/>
      <c r="D21" s="13" t="n"/>
      <c r="E21" s="13" t="n"/>
      <c r="F21" s="13" t="n"/>
      <c r="G21" s="21" t="n"/>
      <c r="H21" s="13" t="n"/>
      <c r="I21" s="21" t="n"/>
      <c r="J21" s="14" t="n"/>
      <c r="K21" s="13" t="n"/>
      <c r="L21" s="13" t="n"/>
    </row>
    <row r="22" ht="22" customHeight="1">
      <c r="B22" s="17">
        <f>IF(C22="","ESS-"&amp;TEXT(COUNTA($C$5:C22),"000"))</f>
        <v/>
      </c>
      <c r="C22" s="15" t="n"/>
      <c r="D22" s="15" t="n"/>
      <c r="E22" s="15" t="n"/>
      <c r="F22" s="15" t="n"/>
      <c r="G22" s="22" t="n"/>
      <c r="H22" s="15" t="n"/>
      <c r="I22" s="22" t="n"/>
      <c r="J22" s="16" t="n"/>
      <c r="K22" s="15" t="n"/>
      <c r="L22" s="15" t="n"/>
    </row>
    <row r="23" ht="22" customHeight="1">
      <c r="B23" s="18">
        <f>IF(C23="","ESS-"&amp;TEXT(COUNTA($C$5:C23),"000"))</f>
        <v/>
      </c>
      <c r="C23" s="13" t="n"/>
      <c r="D23" s="13" t="n"/>
      <c r="E23" s="13" t="n"/>
      <c r="F23" s="13" t="n"/>
      <c r="G23" s="21" t="n"/>
      <c r="H23" s="13" t="n"/>
      <c r="I23" s="21" t="n"/>
      <c r="J23" s="14" t="n"/>
      <c r="K23" s="13" t="n"/>
      <c r="L23" s="13" t="n"/>
    </row>
    <row r="24" ht="22" customHeight="1">
      <c r="B24" s="17">
        <f>IF(C24="","ESS-"&amp;TEXT(COUNTA($C$5:C24),"000"))</f>
        <v/>
      </c>
      <c r="C24" s="15" t="n"/>
      <c r="D24" s="15" t="n"/>
      <c r="E24" s="15" t="n"/>
      <c r="F24" s="15" t="n"/>
      <c r="G24" s="22" t="n"/>
      <c r="H24" s="15" t="n"/>
      <c r="I24" s="22" t="n"/>
      <c r="J24" s="16" t="n"/>
      <c r="K24" s="15" t="n"/>
      <c r="L24" s="15" t="n"/>
    </row>
    <row r="25" ht="22" customHeight="1">
      <c r="B25" s="18">
        <f>IF(C25="","ESS-"&amp;TEXT(COUNTA($C$5:C25),"000"))</f>
        <v/>
      </c>
      <c r="C25" s="13" t="n"/>
      <c r="D25" s="13" t="n"/>
      <c r="E25" s="13" t="n"/>
      <c r="F25" s="13" t="n"/>
      <c r="G25" s="21" t="n"/>
      <c r="H25" s="13" t="n"/>
      <c r="I25" s="21" t="n"/>
      <c r="J25" s="14" t="n"/>
      <c r="K25" s="13" t="n"/>
      <c r="L25" s="13" t="n"/>
    </row>
    <row r="26" ht="22" customHeight="1">
      <c r="B26" s="17">
        <f>IF(C26="","ESS-"&amp;TEXT(COUNTA($C$5:C26),"000"))</f>
        <v/>
      </c>
      <c r="C26" s="15" t="n"/>
      <c r="D26" s="15" t="n"/>
      <c r="E26" s="15" t="n"/>
      <c r="F26" s="15" t="n"/>
      <c r="G26" s="22" t="n"/>
      <c r="H26" s="15" t="n"/>
      <c r="I26" s="22" t="n"/>
      <c r="J26" s="16" t="n"/>
      <c r="K26" s="15" t="n"/>
      <c r="L26" s="15" t="n"/>
    </row>
    <row r="27" ht="22" customHeight="1">
      <c r="B27" s="18">
        <f>IF(C27="","ESS-"&amp;TEXT(COUNTA($C$5:C27),"000"))</f>
        <v/>
      </c>
      <c r="C27" s="13" t="n"/>
      <c r="D27" s="13" t="n"/>
      <c r="E27" s="13" t="n"/>
      <c r="F27" s="13" t="n"/>
      <c r="G27" s="21" t="n"/>
      <c r="H27" s="13" t="n"/>
      <c r="I27" s="21" t="n"/>
      <c r="J27" s="14" t="n"/>
      <c r="K27" s="13" t="n"/>
      <c r="L27" s="13" t="n"/>
    </row>
    <row r="28" ht="22" customHeight="1">
      <c r="B28" s="17">
        <f>IF(C28="","ESS-"&amp;TEXT(COUNTA($C$5:C28),"000"))</f>
        <v/>
      </c>
      <c r="C28" s="15" t="n"/>
      <c r="D28" s="15" t="n"/>
      <c r="E28" s="15" t="n"/>
      <c r="F28" s="15" t="n"/>
      <c r="G28" s="22" t="n"/>
      <c r="H28" s="15" t="n"/>
      <c r="I28" s="22" t="n"/>
      <c r="J28" s="16" t="n"/>
      <c r="K28" s="15" t="n"/>
      <c r="L28" s="15" t="n"/>
    </row>
    <row r="29" ht="22" customHeight="1">
      <c r="B29" s="18">
        <f>IF(C29="","ESS-"&amp;TEXT(COUNTA($C$5:C29),"000"))</f>
        <v/>
      </c>
      <c r="C29" s="13" t="n"/>
      <c r="D29" s="13" t="n"/>
      <c r="E29" s="13" t="n"/>
      <c r="F29" s="13" t="n"/>
      <c r="G29" s="21" t="n"/>
      <c r="H29" s="13" t="n"/>
      <c r="I29" s="21" t="n"/>
      <c r="J29" s="14" t="n"/>
      <c r="K29" s="13" t="n"/>
      <c r="L29" s="13" t="n"/>
    </row>
    <row r="30" ht="22" customHeight="1">
      <c r="B30" s="17">
        <f>IF(C30="","ESS-"&amp;TEXT(COUNTA($C$5:C30),"000"))</f>
        <v/>
      </c>
      <c r="C30" s="15" t="n"/>
      <c r="D30" s="15" t="n"/>
      <c r="E30" s="15" t="n"/>
      <c r="F30" s="15" t="n"/>
      <c r="G30" s="22" t="n"/>
      <c r="H30" s="15" t="n"/>
      <c r="I30" s="22" t="n"/>
      <c r="J30" s="16" t="n"/>
      <c r="K30" s="15" t="n"/>
      <c r="L30" s="15" t="n"/>
    </row>
    <row r="31" ht="22" customHeight="1">
      <c r="B31" s="18">
        <f>IF(C31="","ESS-"&amp;TEXT(COUNTA($C$5:C31),"000"))</f>
        <v/>
      </c>
      <c r="C31" s="13" t="n"/>
      <c r="D31" s="13" t="n"/>
      <c r="E31" s="13" t="n"/>
      <c r="F31" s="13" t="n"/>
      <c r="G31" s="21" t="n"/>
      <c r="H31" s="13" t="n"/>
      <c r="I31" s="21" t="n"/>
      <c r="J31" s="14" t="n"/>
      <c r="K31" s="13" t="n"/>
      <c r="L31" s="13" t="n"/>
    </row>
    <row r="32" ht="22" customHeight="1">
      <c r="B32" s="17">
        <f>IF(C32="","ESS-"&amp;TEXT(COUNTA($C$5:C32),"000"))</f>
        <v/>
      </c>
      <c r="C32" s="15" t="n"/>
      <c r="D32" s="15" t="n"/>
      <c r="E32" s="15" t="n"/>
      <c r="F32" s="15" t="n"/>
      <c r="G32" s="22" t="n"/>
      <c r="H32" s="15" t="n"/>
      <c r="I32" s="22" t="n"/>
      <c r="J32" s="16" t="n"/>
      <c r="K32" s="15" t="n"/>
      <c r="L32" s="15" t="n"/>
    </row>
    <row r="33" ht="22" customHeight="1">
      <c r="B33" s="18">
        <f>IF(C33="","ESS-"&amp;TEXT(COUNTA($C$5:C33),"000"))</f>
        <v/>
      </c>
      <c r="C33" s="13" t="n"/>
      <c r="D33" s="13" t="n"/>
      <c r="E33" s="13" t="n"/>
      <c r="F33" s="13" t="n"/>
      <c r="G33" s="21" t="n"/>
      <c r="H33" s="13" t="n"/>
      <c r="I33" s="21" t="n"/>
      <c r="J33" s="14" t="n"/>
      <c r="K33" s="13" t="n"/>
      <c r="L33" s="13" t="n"/>
    </row>
    <row r="34" ht="22" customHeight="1">
      <c r="B34" s="17">
        <f>IF(C34="","ESS-"&amp;TEXT(COUNTA($C$5:C34),"000"))</f>
        <v/>
      </c>
      <c r="C34" s="15" t="n"/>
      <c r="D34" s="15" t="n"/>
      <c r="E34" s="15" t="n"/>
      <c r="F34" s="15" t="n"/>
      <c r="G34" s="22" t="n"/>
      <c r="H34" s="15" t="n"/>
      <c r="I34" s="22" t="n"/>
      <c r="J34" s="16" t="n"/>
      <c r="K34" s="15" t="n"/>
      <c r="L34" s="15" t="n"/>
    </row>
    <row r="35" ht="22" customHeight="1">
      <c r="B35" s="18">
        <f>IF(C35="","ESS-"&amp;TEXT(COUNTA($C$5:C35),"000"))</f>
        <v/>
      </c>
      <c r="C35" s="13" t="n"/>
      <c r="D35" s="13" t="n"/>
      <c r="E35" s="13" t="n"/>
      <c r="F35" s="13" t="n"/>
      <c r="G35" s="21" t="n"/>
      <c r="H35" s="13" t="n"/>
      <c r="I35" s="21" t="n"/>
      <c r="J35" s="14" t="n"/>
      <c r="K35" s="13" t="n"/>
      <c r="L35" s="13" t="n"/>
    </row>
    <row r="36" ht="22" customHeight="1">
      <c r="B36" s="17">
        <f>IF(C36="","ESS-"&amp;TEXT(COUNTA($C$5:C36),"000"))</f>
        <v/>
      </c>
      <c r="C36" s="15" t="n"/>
      <c r="D36" s="15" t="n"/>
      <c r="E36" s="15" t="n"/>
      <c r="F36" s="15" t="n"/>
      <c r="G36" s="22" t="n"/>
      <c r="H36" s="15" t="n"/>
      <c r="I36" s="22" t="n"/>
      <c r="J36" s="16" t="n"/>
      <c r="K36" s="15" t="n"/>
      <c r="L36" s="15" t="n"/>
    </row>
    <row r="37" ht="22" customHeight="1">
      <c r="B37" s="18">
        <f>IF(C37="","ESS-"&amp;TEXT(COUNTA($C$5:C37),"000"))</f>
        <v/>
      </c>
      <c r="C37" s="13" t="n"/>
      <c r="D37" s="13" t="n"/>
      <c r="E37" s="13" t="n"/>
      <c r="F37" s="13" t="n"/>
      <c r="G37" s="21" t="n"/>
      <c r="H37" s="13" t="n"/>
      <c r="I37" s="21" t="n"/>
      <c r="J37" s="14" t="n"/>
      <c r="K37" s="13" t="n"/>
      <c r="L37" s="13" t="n"/>
    </row>
    <row r="38" ht="22" customHeight="1">
      <c r="B38" s="17">
        <f>IF(C38="","ESS-"&amp;TEXT(COUNTA($C$5:C38),"000"))</f>
        <v/>
      </c>
      <c r="C38" s="15" t="n"/>
      <c r="D38" s="15" t="n"/>
      <c r="E38" s="15" t="n"/>
      <c r="F38" s="15" t="n"/>
      <c r="G38" s="22" t="n"/>
      <c r="H38" s="15" t="n"/>
      <c r="I38" s="22" t="n"/>
      <c r="J38" s="16" t="n"/>
      <c r="K38" s="15" t="n"/>
      <c r="L38" s="15" t="n"/>
    </row>
    <row r="39" ht="22" customHeight="1">
      <c r="B39" s="18">
        <f>IF(C39="","ESS-"&amp;TEXT(COUNTA($C$5:C39),"000"))</f>
        <v/>
      </c>
      <c r="C39" s="13" t="n"/>
      <c r="D39" s="13" t="n"/>
      <c r="E39" s="13" t="n"/>
      <c r="F39" s="13" t="n"/>
      <c r="G39" s="21" t="n"/>
      <c r="H39" s="13" t="n"/>
      <c r="I39" s="21" t="n"/>
      <c r="J39" s="14" t="n"/>
      <c r="K39" s="13" t="n"/>
      <c r="L39" s="13" t="n"/>
    </row>
    <row r="40" ht="22" customHeight="1">
      <c r="B40" s="17">
        <f>IF(C40="","ESS-"&amp;TEXT(COUNTA($C$5:C40),"000"))</f>
        <v/>
      </c>
      <c r="C40" s="15" t="n"/>
      <c r="D40" s="15" t="n"/>
      <c r="E40" s="15" t="n"/>
      <c r="F40" s="15" t="n"/>
      <c r="G40" s="22" t="n"/>
      <c r="H40" s="15" t="n"/>
      <c r="I40" s="22" t="n"/>
      <c r="J40" s="16" t="n"/>
      <c r="K40" s="15" t="n"/>
      <c r="L40" s="15" t="n"/>
    </row>
    <row r="41" ht="22" customHeight="1">
      <c r="B41" s="18">
        <f>IF(C41="","ESS-"&amp;TEXT(COUNTA($C$5:C41),"000"))</f>
        <v/>
      </c>
      <c r="C41" s="13" t="n"/>
      <c r="D41" s="13" t="n"/>
      <c r="E41" s="13" t="n"/>
      <c r="F41" s="13" t="n"/>
      <c r="G41" s="21" t="n"/>
      <c r="H41" s="13" t="n"/>
      <c r="I41" s="21" t="n"/>
      <c r="J41" s="14" t="n"/>
      <c r="K41" s="13" t="n"/>
      <c r="L41" s="13" t="n"/>
    </row>
    <row r="42" ht="22" customHeight="1">
      <c r="B42" s="17">
        <f>IF(C42="","ESS-"&amp;TEXT(COUNTA($C$5:C42),"000"))</f>
        <v/>
      </c>
      <c r="C42" s="15" t="n"/>
      <c r="D42" s="15" t="n"/>
      <c r="E42" s="15" t="n"/>
      <c r="F42" s="15" t="n"/>
      <c r="G42" s="22" t="n"/>
      <c r="H42" s="15" t="n"/>
      <c r="I42" s="22" t="n"/>
      <c r="J42" s="16" t="n"/>
      <c r="K42" s="15" t="n"/>
      <c r="L42" s="15" t="n"/>
    </row>
    <row r="43" ht="22" customHeight="1">
      <c r="B43" s="18">
        <f>IF(C43="","ESS-"&amp;TEXT(COUNTA($C$5:C43),"000"))</f>
        <v/>
      </c>
      <c r="C43" s="13" t="n"/>
      <c r="D43" s="13" t="n"/>
      <c r="E43" s="13" t="n"/>
      <c r="F43" s="13" t="n"/>
      <c r="G43" s="21" t="n"/>
      <c r="H43" s="13" t="n"/>
      <c r="I43" s="21" t="n"/>
      <c r="J43" s="14" t="n"/>
      <c r="K43" s="13" t="n"/>
      <c r="L43" s="13" t="n"/>
    </row>
    <row r="44" ht="22" customHeight="1">
      <c r="B44" s="17">
        <f>IF(C44="","ESS-"&amp;TEXT(COUNTA($C$5:C44),"000"))</f>
        <v/>
      </c>
      <c r="C44" s="15" t="n"/>
      <c r="D44" s="15" t="n"/>
      <c r="E44" s="15" t="n"/>
      <c r="F44" s="15" t="n"/>
      <c r="G44" s="22" t="n"/>
      <c r="H44" s="15" t="n"/>
      <c r="I44" s="22" t="n"/>
      <c r="J44" s="16" t="n"/>
      <c r="K44" s="15" t="n"/>
      <c r="L44" s="15" t="n"/>
    </row>
    <row r="45" ht="22" customHeight="1">
      <c r="B45" s="18">
        <f>IF(C45="","ESS-"&amp;TEXT(COUNTA($C$5:C45),"000"))</f>
        <v/>
      </c>
      <c r="C45" s="13" t="n"/>
      <c r="D45" s="13" t="n"/>
      <c r="E45" s="13" t="n"/>
      <c r="F45" s="13" t="n"/>
      <c r="G45" s="21" t="n"/>
      <c r="H45" s="13" t="n"/>
      <c r="I45" s="21" t="n"/>
      <c r="J45" s="14" t="n"/>
      <c r="K45" s="13" t="n"/>
      <c r="L45" s="13" t="n"/>
    </row>
    <row r="46" ht="22" customHeight="1">
      <c r="B46" s="17">
        <f>IF(C46="","ESS-"&amp;TEXT(COUNTA($C$5:C46),"000"))</f>
        <v/>
      </c>
      <c r="C46" s="15" t="n"/>
      <c r="D46" s="15" t="n"/>
      <c r="E46" s="15" t="n"/>
      <c r="F46" s="15" t="n"/>
      <c r="G46" s="22" t="n"/>
      <c r="H46" s="15" t="n"/>
      <c r="I46" s="22" t="n"/>
      <c r="J46" s="16" t="n"/>
      <c r="K46" s="15" t="n"/>
      <c r="L46" s="15" t="n"/>
    </row>
    <row r="47" ht="22" customHeight="1">
      <c r="B47" s="18">
        <f>IF(C47="","ESS-"&amp;TEXT(COUNTA($C$5:C47),"000"))</f>
        <v/>
      </c>
      <c r="C47" s="13" t="n"/>
      <c r="D47" s="13" t="n"/>
      <c r="E47" s="13" t="n"/>
      <c r="F47" s="13" t="n"/>
      <c r="G47" s="21" t="n"/>
      <c r="H47" s="13" t="n"/>
      <c r="I47" s="21" t="n"/>
      <c r="J47" s="14" t="n"/>
      <c r="K47" s="13" t="n"/>
      <c r="L47" s="13" t="n"/>
    </row>
    <row r="48" ht="22" customHeight="1">
      <c r="B48" s="17">
        <f>IF(C48="","ESS-"&amp;TEXT(COUNTA($C$5:C48),"000"))</f>
        <v/>
      </c>
      <c r="C48" s="15" t="n"/>
      <c r="D48" s="15" t="n"/>
      <c r="E48" s="15" t="n"/>
      <c r="F48" s="15" t="n"/>
      <c r="G48" s="22" t="n"/>
      <c r="H48" s="15" t="n"/>
      <c r="I48" s="22" t="n"/>
      <c r="J48" s="16" t="n"/>
      <c r="K48" s="15" t="n"/>
      <c r="L48" s="15" t="n"/>
    </row>
    <row r="49" ht="22" customHeight="1">
      <c r="B49" s="18">
        <f>IF(C49="","ESS-"&amp;TEXT(COUNTA($C$5:C49),"000"))</f>
        <v/>
      </c>
      <c r="C49" s="13" t="n"/>
      <c r="D49" s="13" t="n"/>
      <c r="E49" s="13" t="n"/>
      <c r="F49" s="13" t="n"/>
      <c r="G49" s="21" t="n"/>
      <c r="H49" s="13" t="n"/>
      <c r="I49" s="21" t="n"/>
      <c r="J49" s="14" t="n"/>
      <c r="K49" s="13" t="n"/>
      <c r="L49" s="13" t="n"/>
    </row>
    <row r="50" ht="22" customHeight="1">
      <c r="B50" s="17">
        <f>IF(C50="","ESS-"&amp;TEXT(COUNTA($C$5:C50),"000"))</f>
        <v/>
      </c>
      <c r="C50" s="15" t="n"/>
      <c r="D50" s="15" t="n"/>
      <c r="E50" s="15" t="n"/>
      <c r="F50" s="15" t="n"/>
      <c r="G50" s="22" t="n"/>
      <c r="H50" s="15" t="n"/>
      <c r="I50" s="22" t="n"/>
      <c r="J50" s="16" t="n"/>
      <c r="K50" s="15" t="n"/>
      <c r="L50" s="15" t="n"/>
    </row>
    <row r="51" ht="22" customHeight="1">
      <c r="B51" s="18">
        <f>IF(C51="","ESS-"&amp;TEXT(COUNTA($C$5:C51),"000"))</f>
        <v/>
      </c>
      <c r="C51" s="13" t="n"/>
      <c r="D51" s="13" t="n"/>
      <c r="E51" s="13" t="n"/>
      <c r="F51" s="13" t="n"/>
      <c r="G51" s="21" t="n"/>
      <c r="H51" s="13" t="n"/>
      <c r="I51" s="21" t="n"/>
      <c r="J51" s="14" t="n"/>
      <c r="K51" s="13" t="n"/>
      <c r="L51" s="13" t="n"/>
    </row>
    <row r="52" ht="22" customHeight="1">
      <c r="B52" s="17">
        <f>IF(C52="","ESS-"&amp;TEXT(COUNTA($C$5:C52),"000"))</f>
        <v/>
      </c>
      <c r="C52" s="15" t="n"/>
      <c r="D52" s="15" t="n"/>
      <c r="E52" s="15" t="n"/>
      <c r="F52" s="15" t="n"/>
      <c r="G52" s="22" t="n"/>
      <c r="H52" s="15" t="n"/>
      <c r="I52" s="22" t="n"/>
      <c r="J52" s="16" t="n"/>
      <c r="K52" s="15" t="n"/>
      <c r="L52" s="15" t="n"/>
    </row>
    <row r="53" ht="22" customHeight="1">
      <c r="B53" s="18">
        <f>IF(C53="","ESS-"&amp;TEXT(COUNTA($C$5:C53),"000"))</f>
        <v/>
      </c>
      <c r="C53" s="13" t="n"/>
      <c r="D53" s="13" t="n"/>
      <c r="E53" s="13" t="n"/>
      <c r="F53" s="13" t="n"/>
      <c r="G53" s="21" t="n"/>
      <c r="H53" s="13" t="n"/>
      <c r="I53" s="21" t="n"/>
      <c r="J53" s="14" t="n"/>
      <c r="K53" s="13" t="n"/>
      <c r="L53" s="13" t="n"/>
    </row>
    <row r="54" ht="22" customHeight="1">
      <c r="B54" s="17">
        <f>IF(C54="","ESS-"&amp;TEXT(COUNTA($C$5:C54),"000"))</f>
        <v/>
      </c>
      <c r="C54" s="15" t="n"/>
      <c r="D54" s="15" t="n"/>
      <c r="E54" s="15" t="n"/>
      <c r="F54" s="15" t="n"/>
      <c r="G54" s="22" t="n"/>
      <c r="H54" s="15" t="n"/>
      <c r="I54" s="22" t="n"/>
      <c r="J54" s="16" t="n"/>
      <c r="K54" s="15" t="n"/>
      <c r="L54" s="15" t="n"/>
    </row>
    <row r="55" ht="22" customHeight="1">
      <c r="B55" s="18">
        <f>IF(C55="","ESS-"&amp;TEXT(COUNTA($C$5:C55),"000"))</f>
        <v/>
      </c>
      <c r="C55" s="13" t="n"/>
      <c r="D55" s="13" t="n"/>
      <c r="E55" s="13" t="n"/>
      <c r="F55" s="13" t="n"/>
      <c r="G55" s="21" t="n"/>
      <c r="H55" s="13" t="n"/>
      <c r="I55" s="21" t="n"/>
      <c r="J55" s="14" t="n"/>
      <c r="K55" s="13" t="n"/>
      <c r="L55" s="13" t="n"/>
    </row>
    <row r="56" ht="22" customHeight="1">
      <c r="B56" s="17">
        <f>IF(C56="","ESS-"&amp;TEXT(COUNTA($C$5:C56),"000"))</f>
        <v/>
      </c>
      <c r="C56" s="15" t="n"/>
      <c r="D56" s="15" t="n"/>
      <c r="E56" s="15" t="n"/>
      <c r="F56" s="15" t="n"/>
      <c r="G56" s="22" t="n"/>
      <c r="H56" s="15" t="n"/>
      <c r="I56" s="22" t="n"/>
      <c r="J56" s="16" t="n"/>
      <c r="K56" s="15" t="n"/>
      <c r="L56" s="15" t="n"/>
    </row>
    <row r="57" ht="22" customHeight="1">
      <c r="B57" s="18">
        <f>IF(C57="","ESS-"&amp;TEXT(COUNTA($C$5:C57),"000"))</f>
        <v/>
      </c>
      <c r="C57" s="13" t="n"/>
      <c r="D57" s="13" t="n"/>
      <c r="E57" s="13" t="n"/>
      <c r="F57" s="13" t="n"/>
      <c r="G57" s="21" t="n"/>
      <c r="H57" s="13" t="n"/>
      <c r="I57" s="21" t="n"/>
      <c r="J57" s="14" t="n"/>
      <c r="K57" s="13" t="n"/>
      <c r="L57" s="13" t="n"/>
    </row>
    <row r="58" ht="22" customHeight="1">
      <c r="B58" s="17">
        <f>IF(C58="","ESS-"&amp;TEXT(COUNTA($C$5:C58),"000"))</f>
        <v/>
      </c>
      <c r="C58" s="15" t="n"/>
      <c r="D58" s="15" t="n"/>
      <c r="E58" s="15" t="n"/>
      <c r="F58" s="15" t="n"/>
      <c r="G58" s="22" t="n"/>
      <c r="H58" s="15" t="n"/>
      <c r="I58" s="22" t="n"/>
      <c r="J58" s="16" t="n"/>
      <c r="K58" s="15" t="n"/>
      <c r="L58" s="15" t="n"/>
    </row>
    <row r="59" ht="22" customHeight="1">
      <c r="B59" s="18">
        <f>IF(C59="","ESS-"&amp;TEXT(COUNTA($C$5:C59),"000"))</f>
        <v/>
      </c>
      <c r="C59" s="13" t="n"/>
      <c r="D59" s="13" t="n"/>
      <c r="E59" s="13" t="n"/>
      <c r="F59" s="13" t="n"/>
      <c r="G59" s="21" t="n"/>
      <c r="H59" s="13" t="n"/>
      <c r="I59" s="21" t="n"/>
      <c r="J59" s="14" t="n"/>
      <c r="K59" s="13" t="n"/>
      <c r="L59" s="13" t="n"/>
    </row>
    <row r="60" ht="22" customHeight="1">
      <c r="B60" s="17">
        <f>IF(C60="","ESS-"&amp;TEXT(COUNTA($C$5:C60),"000"))</f>
        <v/>
      </c>
      <c r="C60" s="15" t="n"/>
      <c r="D60" s="15" t="n"/>
      <c r="E60" s="15" t="n"/>
      <c r="F60" s="15" t="n"/>
      <c r="G60" s="22" t="n"/>
      <c r="H60" s="15" t="n"/>
      <c r="I60" s="22" t="n"/>
      <c r="J60" s="16" t="n"/>
      <c r="K60" s="15" t="n"/>
      <c r="L60" s="15" t="n"/>
    </row>
    <row r="61" ht="22" customHeight="1">
      <c r="B61" s="18">
        <f>IF(C61="","ESS-"&amp;TEXT(COUNTA($C$5:C61),"000"))</f>
        <v/>
      </c>
      <c r="C61" s="13" t="n"/>
      <c r="D61" s="13" t="n"/>
      <c r="E61" s="13" t="n"/>
      <c r="F61" s="13" t="n"/>
      <c r="G61" s="21" t="n"/>
      <c r="H61" s="13" t="n"/>
      <c r="I61" s="21" t="n"/>
      <c r="J61" s="14" t="n"/>
      <c r="K61" s="13" t="n"/>
      <c r="L61" s="13" t="n"/>
    </row>
    <row r="62" ht="22" customHeight="1">
      <c r="B62" s="17">
        <f>IF(C62="","ESS-"&amp;TEXT(COUNTA($C$5:C62),"000"))</f>
        <v/>
      </c>
      <c r="C62" s="15" t="n"/>
      <c r="D62" s="15" t="n"/>
      <c r="E62" s="15" t="n"/>
      <c r="F62" s="15" t="n"/>
      <c r="G62" s="22" t="n"/>
      <c r="H62" s="15" t="n"/>
      <c r="I62" s="22" t="n"/>
      <c r="J62" s="16" t="n"/>
      <c r="K62" s="15" t="n"/>
      <c r="L62" s="15" t="n"/>
    </row>
    <row r="63" ht="22" customHeight="1">
      <c r="B63" s="18">
        <f>IF(C63="","ESS-"&amp;TEXT(COUNTA($C$5:C63),"000"))</f>
        <v/>
      </c>
      <c r="C63" s="13" t="n"/>
      <c r="D63" s="13" t="n"/>
      <c r="E63" s="13" t="n"/>
      <c r="F63" s="13" t="n"/>
      <c r="G63" s="21" t="n"/>
      <c r="H63" s="13" t="n"/>
      <c r="I63" s="21" t="n"/>
      <c r="J63" s="14" t="n"/>
      <c r="K63" s="13" t="n"/>
      <c r="L63" s="13" t="n"/>
    </row>
    <row r="64" ht="22" customHeight="1">
      <c r="B64" s="17">
        <f>IF(C64="","ESS-"&amp;TEXT(COUNTA($C$5:C64),"000"))</f>
        <v/>
      </c>
      <c r="C64" s="15" t="n"/>
      <c r="D64" s="15" t="n"/>
      <c r="E64" s="15" t="n"/>
      <c r="F64" s="15" t="n"/>
      <c r="G64" s="22" t="n"/>
      <c r="H64" s="15" t="n"/>
      <c r="I64" s="22" t="n"/>
      <c r="J64" s="16" t="n"/>
      <c r="K64" s="15" t="n"/>
      <c r="L64" s="15" t="n"/>
    </row>
    <row r="65" ht="22" customHeight="1">
      <c r="B65" s="18">
        <f>IF(C65="","ESS-"&amp;TEXT(COUNTA($C$5:C65),"000"))</f>
        <v/>
      </c>
      <c r="C65" s="13" t="n"/>
      <c r="D65" s="13" t="n"/>
      <c r="E65" s="13" t="n"/>
      <c r="F65" s="13" t="n"/>
      <c r="G65" s="21" t="n"/>
      <c r="H65" s="13" t="n"/>
      <c r="I65" s="21" t="n"/>
      <c r="J65" s="14" t="n"/>
      <c r="K65" s="13" t="n"/>
      <c r="L65" s="13" t="n"/>
    </row>
    <row r="66" ht="22" customHeight="1">
      <c r="B66" s="17">
        <f>IF(C66="","ESS-"&amp;TEXT(COUNTA($C$5:C66),"000"))</f>
        <v/>
      </c>
      <c r="C66" s="15" t="n"/>
      <c r="D66" s="15" t="n"/>
      <c r="E66" s="15" t="n"/>
      <c r="F66" s="15" t="n"/>
      <c r="G66" s="22" t="n"/>
      <c r="H66" s="15" t="n"/>
      <c r="I66" s="22" t="n"/>
      <c r="J66" s="16" t="n"/>
      <c r="K66" s="15" t="n"/>
      <c r="L66" s="15" t="n"/>
    </row>
    <row r="67" ht="22" customHeight="1">
      <c r="B67" s="18">
        <f>IF(C67="","ESS-"&amp;TEXT(COUNTA($C$5:C67),"000"))</f>
        <v/>
      </c>
      <c r="C67" s="13" t="n"/>
      <c r="D67" s="13" t="n"/>
      <c r="E67" s="13" t="n"/>
      <c r="F67" s="13" t="n"/>
      <c r="G67" s="21" t="n"/>
      <c r="H67" s="13" t="n"/>
      <c r="I67" s="21" t="n"/>
      <c r="J67" s="14" t="n"/>
      <c r="K67" s="13" t="n"/>
      <c r="L67" s="13" t="n"/>
    </row>
    <row r="68" ht="22" customHeight="1">
      <c r="B68" s="17">
        <f>IF(C68="","ESS-"&amp;TEXT(COUNTA($C$5:C68),"000"))</f>
        <v/>
      </c>
      <c r="C68" s="15" t="n"/>
      <c r="D68" s="15" t="n"/>
      <c r="E68" s="15" t="n"/>
      <c r="F68" s="15" t="n"/>
      <c r="G68" s="22" t="n"/>
      <c r="H68" s="15" t="n"/>
      <c r="I68" s="22" t="n"/>
      <c r="J68" s="16" t="n"/>
      <c r="K68" s="15" t="n"/>
      <c r="L68" s="15" t="n"/>
    </row>
    <row r="69" ht="22" customHeight="1">
      <c r="B69" s="18">
        <f>IF(C69="","ESS-"&amp;TEXT(COUNTA($C$5:C69),"000"))</f>
        <v/>
      </c>
      <c r="C69" s="13" t="n"/>
      <c r="D69" s="13" t="n"/>
      <c r="E69" s="13" t="n"/>
      <c r="F69" s="13" t="n"/>
      <c r="G69" s="21" t="n"/>
      <c r="H69" s="13" t="n"/>
      <c r="I69" s="21" t="n"/>
      <c r="J69" s="14" t="n"/>
      <c r="K69" s="13" t="n"/>
      <c r="L69" s="13" t="n"/>
    </row>
    <row r="70" ht="22" customHeight="1">
      <c r="B70" s="17">
        <f>IF(C70="","ESS-"&amp;TEXT(COUNTA($C$5:C70),"000"))</f>
        <v/>
      </c>
      <c r="C70" s="15" t="n"/>
      <c r="D70" s="15" t="n"/>
      <c r="E70" s="15" t="n"/>
      <c r="F70" s="15" t="n"/>
      <c r="G70" s="22" t="n"/>
      <c r="H70" s="15" t="n"/>
      <c r="I70" s="22" t="n"/>
      <c r="J70" s="16" t="n"/>
      <c r="K70" s="15" t="n"/>
      <c r="L70" s="15" t="n"/>
    </row>
    <row r="71" ht="22" customHeight="1">
      <c r="B71" s="18">
        <f>IF(C71="","ESS-"&amp;TEXT(COUNTA($C$5:C71),"000"))</f>
        <v/>
      </c>
      <c r="C71" s="13" t="n"/>
      <c r="D71" s="13" t="n"/>
      <c r="E71" s="13" t="n"/>
      <c r="F71" s="13" t="n"/>
      <c r="G71" s="21" t="n"/>
      <c r="H71" s="13" t="n"/>
      <c r="I71" s="21" t="n"/>
      <c r="J71" s="14" t="n"/>
      <c r="K71" s="13" t="n"/>
      <c r="L71" s="13" t="n"/>
    </row>
    <row r="72" ht="22" customHeight="1">
      <c r="B72" s="17">
        <f>IF(C72="","ESS-"&amp;TEXT(COUNTA($C$5:C72),"000"))</f>
        <v/>
      </c>
      <c r="C72" s="15" t="n"/>
      <c r="D72" s="15" t="n"/>
      <c r="E72" s="15" t="n"/>
      <c r="F72" s="15" t="n"/>
      <c r="G72" s="22" t="n"/>
      <c r="H72" s="15" t="n"/>
      <c r="I72" s="22" t="n"/>
      <c r="J72" s="16" t="n"/>
      <c r="K72" s="15" t="n"/>
      <c r="L72" s="15" t="n"/>
    </row>
    <row r="73" ht="22" customHeight="1">
      <c r="B73" s="18">
        <f>IF(C73="","ESS-"&amp;TEXT(COUNTA($C$5:C73),"000"))</f>
        <v/>
      </c>
      <c r="C73" s="13" t="n"/>
      <c r="D73" s="13" t="n"/>
      <c r="E73" s="13" t="n"/>
      <c r="F73" s="13" t="n"/>
      <c r="G73" s="21" t="n"/>
      <c r="H73" s="13" t="n"/>
      <c r="I73" s="21" t="n"/>
      <c r="J73" s="14" t="n"/>
      <c r="K73" s="13" t="n"/>
      <c r="L73" s="13" t="n"/>
    </row>
    <row r="74" ht="22" customHeight="1">
      <c r="B74" s="17">
        <f>IF(C74="","ESS-"&amp;TEXT(COUNTA($C$5:C74),"000"))</f>
        <v/>
      </c>
      <c r="C74" s="15" t="n"/>
      <c r="D74" s="15" t="n"/>
      <c r="E74" s="15" t="n"/>
      <c r="F74" s="15" t="n"/>
      <c r="G74" s="22" t="n"/>
      <c r="H74" s="15" t="n"/>
      <c r="I74" s="22" t="n"/>
      <c r="J74" s="16" t="n"/>
      <c r="K74" s="15" t="n"/>
      <c r="L74" s="15" t="n"/>
    </row>
    <row r="75" ht="22" customHeight="1">
      <c r="B75" s="18">
        <f>IF(C75="","ESS-"&amp;TEXT(COUNTA($C$5:C75),"000"))</f>
        <v/>
      </c>
      <c r="C75" s="13" t="n"/>
      <c r="D75" s="13" t="n"/>
      <c r="E75" s="13" t="n"/>
      <c r="F75" s="13" t="n"/>
      <c r="G75" s="21" t="n"/>
      <c r="H75" s="13" t="n"/>
      <c r="I75" s="21" t="n"/>
      <c r="J75" s="14" t="n"/>
      <c r="K75" s="13" t="n"/>
      <c r="L75" s="13" t="n"/>
    </row>
    <row r="76" ht="22" customHeight="1">
      <c r="B76" s="17">
        <f>IF(C76="","ESS-"&amp;TEXT(COUNTA($C$5:C76),"000"))</f>
        <v/>
      </c>
      <c r="C76" s="15" t="n"/>
      <c r="D76" s="15" t="n"/>
      <c r="E76" s="15" t="n"/>
      <c r="F76" s="15" t="n"/>
      <c r="G76" s="22" t="n"/>
      <c r="H76" s="15" t="n"/>
      <c r="I76" s="22" t="n"/>
      <c r="J76" s="16" t="n"/>
      <c r="K76" s="15" t="n"/>
      <c r="L76" s="15" t="n"/>
    </row>
    <row r="77" ht="22" customHeight="1">
      <c r="B77" s="18">
        <f>IF(C77="","ESS-"&amp;TEXT(COUNTA($C$5:C77),"000"))</f>
        <v/>
      </c>
      <c r="C77" s="13" t="n"/>
      <c r="D77" s="13" t="n"/>
      <c r="E77" s="13" t="n"/>
      <c r="F77" s="13" t="n"/>
      <c r="G77" s="21" t="n"/>
      <c r="H77" s="13" t="n"/>
      <c r="I77" s="21" t="n"/>
      <c r="J77" s="14" t="n"/>
      <c r="K77" s="13" t="n"/>
      <c r="L77" s="13" t="n"/>
    </row>
    <row r="78" ht="22" customHeight="1">
      <c r="B78" s="17">
        <f>IF(C78="","ESS-"&amp;TEXT(COUNTA($C$5:C78),"000"))</f>
        <v/>
      </c>
      <c r="C78" s="15" t="n"/>
      <c r="D78" s="15" t="n"/>
      <c r="E78" s="15" t="n"/>
      <c r="F78" s="15" t="n"/>
      <c r="G78" s="22" t="n"/>
      <c r="H78" s="15" t="n"/>
      <c r="I78" s="22" t="n"/>
      <c r="J78" s="16" t="n"/>
      <c r="K78" s="15" t="n"/>
      <c r="L78" s="15" t="n"/>
    </row>
    <row r="79" ht="22" customHeight="1">
      <c r="B79" s="18">
        <f>IF(C79="","ESS-"&amp;TEXT(COUNTA($C$5:C79),"000"))</f>
        <v/>
      </c>
      <c r="C79" s="13" t="n"/>
      <c r="D79" s="13" t="n"/>
      <c r="E79" s="13" t="n"/>
      <c r="F79" s="13" t="n"/>
      <c r="G79" s="21" t="n"/>
      <c r="H79" s="13" t="n"/>
      <c r="I79" s="21" t="n"/>
      <c r="J79" s="14" t="n"/>
      <c r="K79" s="13" t="n"/>
      <c r="L79" s="13" t="n"/>
    </row>
    <row r="80" ht="22" customHeight="1">
      <c r="B80" s="17">
        <f>IF(C80="","ESS-"&amp;TEXT(COUNTA($C$5:C80),"000"))</f>
        <v/>
      </c>
      <c r="C80" s="15" t="n"/>
      <c r="D80" s="15" t="n"/>
      <c r="E80" s="15" t="n"/>
      <c r="F80" s="15" t="n"/>
      <c r="G80" s="22" t="n"/>
      <c r="H80" s="15" t="n"/>
      <c r="I80" s="22" t="n"/>
      <c r="J80" s="16" t="n"/>
      <c r="K80" s="15" t="n"/>
      <c r="L80" s="15" t="n"/>
    </row>
    <row r="81" ht="22" customHeight="1">
      <c r="B81" s="18">
        <f>IF(C81="","ESS-"&amp;TEXT(COUNTA($C$5:C81),"000"))</f>
        <v/>
      </c>
      <c r="C81" s="13" t="n"/>
      <c r="D81" s="13" t="n"/>
      <c r="E81" s="13" t="n"/>
      <c r="F81" s="13" t="n"/>
      <c r="G81" s="21" t="n"/>
      <c r="H81" s="13" t="n"/>
      <c r="I81" s="21" t="n"/>
      <c r="J81" s="14" t="n"/>
      <c r="K81" s="13" t="n"/>
      <c r="L81" s="13" t="n"/>
    </row>
    <row r="82" ht="22" customHeight="1">
      <c r="B82" s="17">
        <f>IF(C82="","ESS-"&amp;TEXT(COUNTA($C$5:C82),"000"))</f>
        <v/>
      </c>
      <c r="C82" s="15" t="n"/>
      <c r="D82" s="15" t="n"/>
      <c r="E82" s="15" t="n"/>
      <c r="F82" s="15" t="n"/>
      <c r="G82" s="22" t="n"/>
      <c r="H82" s="15" t="n"/>
      <c r="I82" s="22" t="n"/>
      <c r="J82" s="16" t="n"/>
      <c r="K82" s="15" t="n"/>
      <c r="L82" s="15" t="n"/>
    </row>
    <row r="83" ht="22" customHeight="1">
      <c r="B83" s="18">
        <f>IF(C83="","ESS-"&amp;TEXT(COUNTA($C$5:C83),"000"))</f>
        <v/>
      </c>
      <c r="C83" s="13" t="n"/>
      <c r="D83" s="13" t="n"/>
      <c r="E83" s="13" t="n"/>
      <c r="F83" s="13" t="n"/>
      <c r="G83" s="21" t="n"/>
      <c r="H83" s="13" t="n"/>
      <c r="I83" s="21" t="n"/>
      <c r="J83" s="14" t="n"/>
      <c r="K83" s="13" t="n"/>
      <c r="L83" s="13" t="n"/>
    </row>
    <row r="84" ht="22" customHeight="1">
      <c r="B84" s="17">
        <f>IF(C84="","ESS-"&amp;TEXT(COUNTA($C$5:C84),"000"))</f>
        <v/>
      </c>
      <c r="C84" s="15" t="n"/>
      <c r="D84" s="15" t="n"/>
      <c r="E84" s="15" t="n"/>
      <c r="F84" s="15" t="n"/>
      <c r="G84" s="22" t="n"/>
      <c r="H84" s="15" t="n"/>
      <c r="I84" s="22" t="n"/>
      <c r="J84" s="16" t="n"/>
      <c r="K84" s="15" t="n"/>
      <c r="L84" s="15" t="n"/>
    </row>
    <row r="85" ht="22" customHeight="1">
      <c r="B85" s="18">
        <f>IF(C85="","ESS-"&amp;TEXT(COUNTA($C$5:C85),"000"))</f>
        <v/>
      </c>
      <c r="C85" s="13" t="n"/>
      <c r="D85" s="13" t="n"/>
      <c r="E85" s="13" t="n"/>
      <c r="F85" s="13" t="n"/>
      <c r="G85" s="21" t="n"/>
      <c r="H85" s="13" t="n"/>
      <c r="I85" s="21" t="n"/>
      <c r="J85" s="14" t="n"/>
      <c r="K85" s="13" t="n"/>
      <c r="L85" s="13" t="n"/>
    </row>
    <row r="86" ht="22" customHeight="1">
      <c r="B86" s="17">
        <f>IF(C86="","ESS-"&amp;TEXT(COUNTA($C$5:C86),"000"))</f>
        <v/>
      </c>
      <c r="C86" s="15" t="n"/>
      <c r="D86" s="15" t="n"/>
      <c r="E86" s="15" t="n"/>
      <c r="F86" s="15" t="n"/>
      <c r="G86" s="22" t="n"/>
      <c r="H86" s="15" t="n"/>
      <c r="I86" s="22" t="n"/>
      <c r="J86" s="16" t="n"/>
      <c r="K86" s="15" t="n"/>
      <c r="L86" s="15" t="n"/>
    </row>
    <row r="87" ht="22" customHeight="1">
      <c r="B87" s="18">
        <f>IF(C87="","ESS-"&amp;TEXT(COUNTA($C$5:C87),"000"))</f>
        <v/>
      </c>
      <c r="C87" s="13" t="n"/>
      <c r="D87" s="13" t="n"/>
      <c r="E87" s="13" t="n"/>
      <c r="F87" s="13" t="n"/>
      <c r="G87" s="21" t="n"/>
      <c r="H87" s="13" t="n"/>
      <c r="I87" s="21" t="n"/>
      <c r="J87" s="14" t="n"/>
      <c r="K87" s="13" t="n"/>
      <c r="L87" s="13" t="n"/>
    </row>
    <row r="88" ht="22" customHeight="1">
      <c r="B88" s="17">
        <f>IF(C88="","ESS-"&amp;TEXT(COUNTA($C$5:C88),"000"))</f>
        <v/>
      </c>
      <c r="C88" s="15" t="n"/>
      <c r="D88" s="15" t="n"/>
      <c r="E88" s="15" t="n"/>
      <c r="F88" s="15" t="n"/>
      <c r="G88" s="22" t="n"/>
      <c r="H88" s="15" t="n"/>
      <c r="I88" s="22" t="n"/>
      <c r="J88" s="16" t="n"/>
      <c r="K88" s="15" t="n"/>
      <c r="L88" s="15" t="n"/>
    </row>
    <row r="89" ht="22" customHeight="1">
      <c r="B89" s="18">
        <f>IF(C89="","ESS-"&amp;TEXT(COUNTA($C$5:C89),"000"))</f>
        <v/>
      </c>
      <c r="C89" s="13" t="n"/>
      <c r="D89" s="13" t="n"/>
      <c r="E89" s="13" t="n"/>
      <c r="F89" s="13" t="n"/>
      <c r="G89" s="21" t="n"/>
      <c r="H89" s="13" t="n"/>
      <c r="I89" s="21" t="n"/>
      <c r="J89" s="14" t="n"/>
      <c r="K89" s="13" t="n"/>
      <c r="L89" s="13" t="n"/>
    </row>
    <row r="90" ht="22" customHeight="1">
      <c r="B90" s="17">
        <f>IF(C90="","ESS-"&amp;TEXT(COUNTA($C$5:C90),"000"))</f>
        <v/>
      </c>
      <c r="C90" s="15" t="n"/>
      <c r="D90" s="15" t="n"/>
      <c r="E90" s="15" t="n"/>
      <c r="F90" s="15" t="n"/>
      <c r="G90" s="22" t="n"/>
      <c r="H90" s="15" t="n"/>
      <c r="I90" s="22" t="n"/>
      <c r="J90" s="16" t="n"/>
      <c r="K90" s="15" t="n"/>
      <c r="L90" s="15" t="n"/>
    </row>
    <row r="91" ht="22" customHeight="1">
      <c r="B91" s="18">
        <f>IF(C91="","ESS-"&amp;TEXT(COUNTA($C$5:C91),"000"))</f>
        <v/>
      </c>
      <c r="C91" s="13" t="n"/>
      <c r="D91" s="13" t="n"/>
      <c r="E91" s="13" t="n"/>
      <c r="F91" s="13" t="n"/>
      <c r="G91" s="21" t="n"/>
      <c r="H91" s="13" t="n"/>
      <c r="I91" s="21" t="n"/>
      <c r="J91" s="14" t="n"/>
      <c r="K91" s="13" t="n"/>
      <c r="L91" s="13" t="n"/>
    </row>
    <row r="92" ht="22" customHeight="1">
      <c r="B92" s="17">
        <f>IF(C92="","ESS-"&amp;TEXT(COUNTA($C$5:C92),"000"))</f>
        <v/>
      </c>
      <c r="C92" s="15" t="n"/>
      <c r="D92" s="15" t="n"/>
      <c r="E92" s="15" t="n"/>
      <c r="F92" s="15" t="n"/>
      <c r="G92" s="22" t="n"/>
      <c r="H92" s="15" t="n"/>
      <c r="I92" s="22" t="n"/>
      <c r="J92" s="16" t="n"/>
      <c r="K92" s="15" t="n"/>
      <c r="L92" s="15" t="n"/>
    </row>
    <row r="93" ht="22" customHeight="1">
      <c r="B93" s="18">
        <f>IF(C93="","ESS-"&amp;TEXT(COUNTA($C$5:C93),"000"))</f>
        <v/>
      </c>
      <c r="C93" s="13" t="n"/>
      <c r="D93" s="13" t="n"/>
      <c r="E93" s="13" t="n"/>
      <c r="F93" s="13" t="n"/>
      <c r="G93" s="21" t="n"/>
      <c r="H93" s="13" t="n"/>
      <c r="I93" s="21" t="n"/>
      <c r="J93" s="14" t="n"/>
      <c r="K93" s="13" t="n"/>
      <c r="L93" s="13" t="n"/>
    </row>
    <row r="94" ht="22" customHeight="1">
      <c r="B94" s="17">
        <f>IF(C94="","ESS-"&amp;TEXT(COUNTA($C$5:C94),"000"))</f>
        <v/>
      </c>
      <c r="C94" s="15" t="n"/>
      <c r="D94" s="15" t="n"/>
      <c r="E94" s="15" t="n"/>
      <c r="F94" s="15" t="n"/>
      <c r="G94" s="22" t="n"/>
      <c r="H94" s="15" t="n"/>
      <c r="I94" s="22" t="n"/>
      <c r="J94" s="16" t="n"/>
      <c r="K94" s="15" t="n"/>
      <c r="L94" s="15" t="n"/>
    </row>
    <row r="95" ht="22" customHeight="1">
      <c r="B95" s="18">
        <f>IF(C95="","ESS-"&amp;TEXT(COUNTA($C$5:C95),"000"))</f>
        <v/>
      </c>
      <c r="C95" s="13" t="n"/>
      <c r="D95" s="13" t="n"/>
      <c r="E95" s="13" t="n"/>
      <c r="F95" s="13" t="n"/>
      <c r="G95" s="21" t="n"/>
      <c r="H95" s="13" t="n"/>
      <c r="I95" s="21" t="n"/>
      <c r="J95" s="14" t="n"/>
      <c r="K95" s="13" t="n"/>
      <c r="L95" s="13" t="n"/>
    </row>
    <row r="96" ht="22" customHeight="1">
      <c r="B96" s="17">
        <f>IF(C96="","ESS-"&amp;TEXT(COUNTA($C$5:C96),"000"))</f>
        <v/>
      </c>
      <c r="C96" s="15" t="n"/>
      <c r="D96" s="15" t="n"/>
      <c r="E96" s="15" t="n"/>
      <c r="F96" s="15" t="n"/>
      <c r="G96" s="22" t="n"/>
      <c r="H96" s="15" t="n"/>
      <c r="I96" s="22" t="n"/>
      <c r="J96" s="16" t="n"/>
      <c r="K96" s="15" t="n"/>
      <c r="L96" s="15" t="n"/>
    </row>
    <row r="97" ht="22" customHeight="1">
      <c r="B97" s="18">
        <f>IF(C97="","ESS-"&amp;TEXT(COUNTA($C$5:C97),"000"))</f>
        <v/>
      </c>
      <c r="C97" s="13" t="n"/>
      <c r="D97" s="13" t="n"/>
      <c r="E97" s="13" t="n"/>
      <c r="F97" s="13" t="n"/>
      <c r="G97" s="21" t="n"/>
      <c r="H97" s="13" t="n"/>
      <c r="I97" s="21" t="n"/>
      <c r="J97" s="14" t="n"/>
      <c r="K97" s="13" t="n"/>
      <c r="L97" s="13" t="n"/>
    </row>
    <row r="98" ht="22" customHeight="1">
      <c r="B98" s="17">
        <f>IF(C98="","ESS-"&amp;TEXT(COUNTA($C$5:C98),"000"))</f>
        <v/>
      </c>
      <c r="C98" s="15" t="n"/>
      <c r="D98" s="15" t="n"/>
      <c r="E98" s="15" t="n"/>
      <c r="F98" s="15" t="n"/>
      <c r="G98" s="22" t="n"/>
      <c r="H98" s="15" t="n"/>
      <c r="I98" s="22" t="n"/>
      <c r="J98" s="16" t="n"/>
      <c r="K98" s="15" t="n"/>
      <c r="L98" s="15" t="n"/>
    </row>
    <row r="99" ht="22" customHeight="1">
      <c r="B99" s="18">
        <f>IF(C99="","ESS-"&amp;TEXT(COUNTA($C$5:C99),"000"))</f>
        <v/>
      </c>
      <c r="C99" s="13" t="n"/>
      <c r="D99" s="13" t="n"/>
      <c r="E99" s="13" t="n"/>
      <c r="F99" s="13" t="n"/>
      <c r="G99" s="21" t="n"/>
      <c r="H99" s="13" t="n"/>
      <c r="I99" s="21" t="n"/>
      <c r="J99" s="14" t="n"/>
      <c r="K99" s="13" t="n"/>
      <c r="L99" s="13" t="n"/>
    </row>
    <row r="100" ht="22" customHeight="1">
      <c r="B100" s="17">
        <f>IF(C100="","ESS-"&amp;TEXT(COUNTA($C$5:C100),"000"))</f>
        <v/>
      </c>
      <c r="C100" s="15" t="n"/>
      <c r="D100" s="15" t="n"/>
      <c r="E100" s="15" t="n"/>
      <c r="F100" s="15" t="n"/>
      <c r="G100" s="22" t="n"/>
      <c r="H100" s="15" t="n"/>
      <c r="I100" s="22" t="n"/>
      <c r="J100" s="16" t="n"/>
      <c r="K100" s="15" t="n"/>
      <c r="L100" s="15" t="n"/>
    </row>
    <row r="101" ht="22" customHeight="1">
      <c r="B101" s="18">
        <f>IF(C101="","ESS-"&amp;TEXT(COUNTA($C$5:C101),"000"))</f>
        <v/>
      </c>
      <c r="C101" s="13" t="n"/>
      <c r="D101" s="13" t="n"/>
      <c r="E101" s="13" t="n"/>
      <c r="F101" s="13" t="n"/>
      <c r="G101" s="21" t="n"/>
      <c r="H101" s="13" t="n"/>
      <c r="I101" s="21" t="n"/>
      <c r="J101" s="14" t="n"/>
      <c r="K101" s="13" t="n"/>
      <c r="L101" s="13" t="n"/>
    </row>
    <row r="102" ht="22" customHeight="1">
      <c r="B102" s="17">
        <f>IF(C102="","ESS-"&amp;TEXT(COUNTA($C$5:C102),"000"))</f>
        <v/>
      </c>
      <c r="C102" s="15" t="n"/>
      <c r="D102" s="15" t="n"/>
      <c r="E102" s="15" t="n"/>
      <c r="F102" s="15" t="n"/>
      <c r="G102" s="22" t="n"/>
      <c r="H102" s="15" t="n"/>
      <c r="I102" s="22" t="n"/>
      <c r="J102" s="16" t="n"/>
      <c r="K102" s="15" t="n"/>
      <c r="L102" s="15" t="n"/>
    </row>
    <row r="103" ht="22" customHeight="1">
      <c r="B103" s="18">
        <f>IF(C103="","ESS-"&amp;TEXT(COUNTA($C$5:C103),"000"))</f>
        <v/>
      </c>
      <c r="C103" s="13" t="n"/>
      <c r="D103" s="13" t="n"/>
      <c r="E103" s="13" t="n"/>
      <c r="F103" s="13" t="n"/>
      <c r="G103" s="21" t="n"/>
      <c r="H103" s="13" t="n"/>
      <c r="I103" s="21" t="n"/>
      <c r="J103" s="14" t="n"/>
      <c r="K103" s="13" t="n"/>
      <c r="L103" s="13" t="n"/>
    </row>
    <row r="104" ht="22" customHeight="1">
      <c r="B104" s="17">
        <f>IF(C104="","ESS-"&amp;TEXT(COUNTA($C$5:C104),"000"))</f>
        <v/>
      </c>
      <c r="C104" s="15" t="n"/>
      <c r="D104" s="15" t="n"/>
      <c r="E104" s="15" t="n"/>
      <c r="F104" s="15" t="n"/>
      <c r="G104" s="22" t="n"/>
      <c r="H104" s="15" t="n"/>
      <c r="I104" s="22" t="n"/>
      <c r="J104" s="16" t="n"/>
      <c r="K104" s="15" t="n"/>
      <c r="L104" s="15" t="n"/>
    </row>
    <row r="105" ht="22" customHeight="1">
      <c r="B105" s="18">
        <f>IF(C105="","ESS-"&amp;TEXT(COUNTA($C$5:C105),"000"))</f>
        <v/>
      </c>
      <c r="C105" s="13" t="n"/>
      <c r="D105" s="13" t="n"/>
      <c r="E105" s="13" t="n"/>
      <c r="F105" s="13" t="n"/>
      <c r="G105" s="21" t="n"/>
      <c r="H105" s="13" t="n"/>
      <c r="I105" s="21" t="n"/>
      <c r="J105" s="14" t="n"/>
      <c r="K105" s="13" t="n"/>
      <c r="L105" s="13" t="n"/>
    </row>
    <row r="106" ht="22" customHeight="1">
      <c r="B106" s="17">
        <f>IF(C106="","ESS-"&amp;TEXT(COUNTA($C$5:C106),"000"))</f>
        <v/>
      </c>
      <c r="C106" s="15" t="n"/>
      <c r="D106" s="15" t="n"/>
      <c r="E106" s="15" t="n"/>
      <c r="F106" s="15" t="n"/>
      <c r="G106" s="22" t="n"/>
      <c r="H106" s="15" t="n"/>
      <c r="I106" s="22" t="n"/>
      <c r="J106" s="16" t="n"/>
      <c r="K106" s="15" t="n"/>
      <c r="L106" s="15" t="n"/>
    </row>
    <row r="107" ht="22" customHeight="1">
      <c r="B107" s="18">
        <f>IF(C107="","ESS-"&amp;TEXT(COUNTA($C$5:C107),"000"))</f>
        <v/>
      </c>
      <c r="C107" s="13" t="n"/>
      <c r="D107" s="13" t="n"/>
      <c r="E107" s="13" t="n"/>
      <c r="F107" s="13" t="n"/>
      <c r="G107" s="21" t="n"/>
      <c r="H107" s="13" t="n"/>
      <c r="I107" s="21" t="n"/>
      <c r="J107" s="14" t="n"/>
      <c r="K107" s="13" t="n"/>
      <c r="L107" s="13" t="n"/>
    </row>
    <row r="108" ht="22" customHeight="1">
      <c r="B108" s="17">
        <f>IF(C108="","ESS-"&amp;TEXT(COUNTA($C$5:C108),"000"))</f>
        <v/>
      </c>
      <c r="C108" s="15" t="n"/>
      <c r="D108" s="15" t="n"/>
      <c r="E108" s="15" t="n"/>
      <c r="F108" s="15" t="n"/>
      <c r="G108" s="22" t="n"/>
      <c r="H108" s="15" t="n"/>
      <c r="I108" s="22" t="n"/>
      <c r="J108" s="16" t="n"/>
      <c r="K108" s="15" t="n"/>
      <c r="L108" s="15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Evaluations essai</t>
        </is>
      </c>
      <c r="D111" s="3" t="inlineStr">
        <is>
          <t>Confirmees</t>
        </is>
      </c>
      <c r="F111" s="3" t="inlineStr">
        <is>
          <t>Ruptures</t>
        </is>
      </c>
      <c r="H111" s="3" t="inlineStr">
        <is>
          <t>Note moyenne (/20)</t>
        </is>
      </c>
    </row>
    <row r="112">
      <c r="B112" s="4">
        <f>COUNTIF(B5:B104,"&lt;&gt;")</f>
        <v/>
      </c>
      <c r="D112" s="4">
        <f>COUNTIF(K5:K104,"Confirmation")</f>
        <v/>
      </c>
      <c r="F112" s="4">
        <f>COUNTIF(K5:K104,"Rupture essai")</f>
        <v/>
      </c>
      <c r="H112" s="4">
        <f>IFERROR(AVERAGE(J5:J104),0)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9:B108">
    <cfRule type="expression" priority="87" dxfId="3">
      <formula>AND($C9="",$C8&lt;&gt;"")</formula>
    </cfRule>
  </conditionalFormatting>
  <conditionalFormatting sqref="C9:C108">
    <cfRule type="expression" priority="88" dxfId="3">
      <formula>AND($C9="",$C8&lt;&gt;"")</formula>
    </cfRule>
  </conditionalFormatting>
  <conditionalFormatting sqref="D9:D108">
    <cfRule type="expression" priority="89" dxfId="3">
      <formula>AND($C9="",$C8&lt;&gt;"")</formula>
    </cfRule>
  </conditionalFormatting>
  <conditionalFormatting sqref="E9:E108">
    <cfRule type="expression" priority="90" dxfId="3">
      <formula>AND($C9="",$C8&lt;&gt;"")</formula>
    </cfRule>
  </conditionalFormatting>
  <conditionalFormatting sqref="F9:F108">
    <cfRule type="expression" priority="91" dxfId="3">
      <formula>AND($C9="",$C8&lt;&gt;"")</formula>
    </cfRule>
  </conditionalFormatting>
  <conditionalFormatting sqref="G9:G108">
    <cfRule type="expression" priority="92" dxfId="3">
      <formula>AND($C9="",$C8&lt;&gt;"")</formula>
    </cfRule>
  </conditionalFormatting>
  <conditionalFormatting sqref="H9:H108">
    <cfRule type="expression" priority="93" dxfId="3">
      <formula>AND($C9="",$C8&lt;&gt;"")</formula>
    </cfRule>
  </conditionalFormatting>
  <conditionalFormatting sqref="I9:I108">
    <cfRule type="expression" priority="94" dxfId="3">
      <formula>AND($C9="",$C8&lt;&gt;"")</formula>
    </cfRule>
  </conditionalFormatting>
  <conditionalFormatting sqref="J9:J108">
    <cfRule type="expression" priority="95" dxfId="3">
      <formula>AND($C9="",$C8&lt;&gt;"")</formula>
    </cfRule>
  </conditionalFormatting>
  <conditionalFormatting sqref="K9:K108">
    <cfRule type="expression" priority="96" dxfId="3">
      <formula>AND($C9="",$C8&lt;&gt;"")</formula>
    </cfRule>
  </conditionalFormatting>
  <conditionalFormatting sqref="L9:L108">
    <cfRule type="expression" priority="97" dxfId="3">
      <formula>AND($C9="",$C8&lt;&gt;"")</formula>
    </cfRule>
  </conditionalFormatting>
  <dataValidations count="5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H5:H108" showDropDown="0" showInputMessage="0" showErrorMessage="0" allowBlank="1" errorTitle="Erreur" error="Valeur invalide" promptTitle="Liste" prompt="Choisir dans la liste" type="list">
      <formula1>'_Lists'!$G$2:$G$6</formula1>
    </dataValidation>
    <dataValidation sqref="K5:K108" showDropDown="0" showInputMessage="0" showErrorMessage="0" allowBlank="1" errorTitle="Erreur" error="Valeur invalide" promptTitle="Liste" prompt="Choisir dans la liste" type="list">
      <formula1>'_Lists'!$H$2:$H$6</formula1>
    </dataValidation>
    <dataValidation sqref="L5:L108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0" customWidth="1" min="7" max="7"/>
    <col width="22" customWidth="1" min="8" max="8"/>
    <col width="12" customWidth="1" min="9" max="9"/>
    <col width="22" customWidth="1" min="10" max="10"/>
    <col width="22" customWidth="1" min="11" max="11"/>
  </cols>
  <sheetData>
    <row r="1" ht="15" customHeight="1"/>
    <row r="2" ht="32" customHeight="1">
      <c r="B2" s="1" t="inlineStr">
        <is>
          <t>EVALUATION 360 DEGRES (#80)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Evaluate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Annee</t>
        </is>
      </c>
      <c r="H4" s="12" t="inlineStr">
        <is>
          <t>Auto-evaluation (/20)</t>
        </is>
      </c>
      <c r="I4" s="12" t="inlineStr">
        <is>
          <t>N+1 (/20)</t>
        </is>
      </c>
      <c r="J4" s="12" t="inlineStr">
        <is>
          <t>Collaborateurs (/20)</t>
        </is>
      </c>
      <c r="K4" s="12" t="inlineStr">
        <is>
          <t>Note 360 Moyenne (/20)</t>
        </is>
      </c>
    </row>
    <row r="5" ht="22" customHeight="1">
      <c r="B5" s="13" t="inlineStr">
        <is>
          <t>360-001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2025</t>
        </is>
      </c>
      <c r="H5" s="14" t="n">
        <v>18</v>
      </c>
      <c r="I5" s="14" t="n">
        <v>17</v>
      </c>
      <c r="J5" s="14" t="n">
        <v>16</v>
      </c>
      <c r="K5" s="14" t="n">
        <v>17</v>
      </c>
    </row>
    <row r="6" ht="22" customHeight="1">
      <c r="B6" s="15" t="inlineStr">
        <is>
          <t>360-002</t>
        </is>
      </c>
      <c r="C6" s="15" t="inlineStr">
        <is>
          <t>EMP-2025-002</t>
        </is>
      </c>
      <c r="D6" s="15" t="inlineStr">
        <is>
          <t>Tchinda Armand</t>
        </is>
      </c>
      <c r="E6" s="15" t="inlineStr">
        <is>
          <t>Informatique</t>
        </is>
      </c>
      <c r="F6" s="15" t="inlineStr">
        <is>
          <t>Chef de service IT</t>
        </is>
      </c>
      <c r="G6" s="15" t="inlineStr">
        <is>
          <t>2025</t>
        </is>
      </c>
      <c r="H6" s="16" t="n">
        <v>18</v>
      </c>
      <c r="I6" s="16" t="n">
        <v>17</v>
      </c>
      <c r="J6" s="16" t="n">
        <v>19</v>
      </c>
      <c r="K6" s="16" t="n">
        <v>18</v>
      </c>
    </row>
    <row r="7" ht="22" customHeight="1">
      <c r="B7" s="13" t="inlineStr">
        <is>
          <t>360-003</t>
        </is>
      </c>
      <c r="C7" s="13" t="inlineStr">
        <is>
          <t>EMP-2025-004</t>
        </is>
      </c>
      <c r="D7" s="13" t="inlineStr">
        <is>
          <t>Ouedraogo Ibrahim</t>
        </is>
      </c>
      <c r="E7" s="13" t="inlineStr">
        <is>
          <t>Reception &amp; Front Office</t>
        </is>
      </c>
      <c r="F7" s="13" t="inlineStr">
        <is>
          <t>Receptionniste</t>
        </is>
      </c>
      <c r="G7" s="13" t="inlineStr">
        <is>
          <t>2025</t>
        </is>
      </c>
      <c r="H7" s="14" t="n">
        <v>17</v>
      </c>
      <c r="I7" s="14" t="n">
        <v>16</v>
      </c>
      <c r="J7" s="14" t="n">
        <v>15</v>
      </c>
      <c r="K7" s="14" t="n">
        <v>16</v>
      </c>
    </row>
    <row r="8" ht="22" customHeight="1">
      <c r="B8" s="15" t="inlineStr">
        <is>
          <t>360-004</t>
        </is>
      </c>
      <c r="C8" s="15" t="inlineStr">
        <is>
          <t>EMP-2025-020</t>
        </is>
      </c>
      <c r="D8" s="15" t="inlineStr">
        <is>
          <t>Tagne Rene</t>
        </is>
      </c>
      <c r="E8" s="15" t="inlineStr">
        <is>
          <t>Cuisine &amp; Restauration</t>
        </is>
      </c>
      <c r="F8" s="15" t="inlineStr">
        <is>
          <t>Cuisinier</t>
        </is>
      </c>
      <c r="G8" s="15" t="inlineStr">
        <is>
          <t>2025</t>
        </is>
      </c>
      <c r="H8" s="16" t="n">
        <v>16</v>
      </c>
      <c r="I8" s="16" t="n">
        <v>12</v>
      </c>
      <c r="J8" s="16" t="n">
        <v>14</v>
      </c>
      <c r="K8" s="16" t="n">
        <v>14</v>
      </c>
    </row>
    <row r="9" ht="22" customHeight="1">
      <c r="B9" s="13" t="inlineStr">
        <is>
          <t>360-005</t>
        </is>
      </c>
      <c r="C9" s="13" t="inlineStr">
        <is>
          <t>EMP-2025-005</t>
        </is>
      </c>
      <c r="D9" s="13" t="inlineStr">
        <is>
          <t>Diallo Moussa</t>
        </is>
      </c>
      <c r="E9" s="13" t="inlineStr">
        <is>
          <t>Cuisine &amp; Restauration</t>
        </is>
      </c>
      <c r="F9" s="13" t="inlineStr">
        <is>
          <t>Chef Cuisine</t>
        </is>
      </c>
      <c r="G9" s="13" t="inlineStr">
        <is>
          <t>2025</t>
        </is>
      </c>
      <c r="H9" s="14" t="n">
        <v>17</v>
      </c>
      <c r="I9" s="14" t="n">
        <v>16</v>
      </c>
      <c r="J9" s="14" t="n">
        <v>17</v>
      </c>
      <c r="K9" s="14" t="n">
        <v>16.7</v>
      </c>
    </row>
    <row r="10" ht="22" customHeight="1">
      <c r="B10" s="17">
        <f>IF(C10="","360-"&amp;TEXT(COUNTA($C$5:C10),"000"))</f>
        <v/>
      </c>
      <c r="C10" s="15" t="n"/>
      <c r="D10" s="15" t="n"/>
      <c r="E10" s="15" t="n"/>
      <c r="F10" s="15" t="n"/>
      <c r="G10" s="15" t="n"/>
      <c r="H10" s="16" t="n"/>
      <c r="I10" s="16" t="n"/>
      <c r="J10" s="16" t="n"/>
      <c r="K10" s="16">
        <f>IF(H10="","",ROUND((H10+I10+J10)/3,1))</f>
        <v/>
      </c>
    </row>
    <row r="11" ht="22" customHeight="1">
      <c r="B11" s="18">
        <f>IF(C11="","360-"&amp;TEXT(COUNTA($C$5:C11),"000"))</f>
        <v/>
      </c>
      <c r="C11" s="13" t="n"/>
      <c r="D11" s="13" t="n"/>
      <c r="E11" s="13" t="n"/>
      <c r="F11" s="13" t="n"/>
      <c r="G11" s="13" t="n"/>
      <c r="H11" s="14" t="n"/>
      <c r="I11" s="14" t="n"/>
      <c r="J11" s="14" t="n"/>
      <c r="K11" s="14">
        <f>IF(H11="","",ROUND((H11+I11+J11)/3,1))</f>
        <v/>
      </c>
    </row>
    <row r="12" ht="22" customHeight="1">
      <c r="B12" s="17">
        <f>IF(C12="","360-"&amp;TEXT(COUNTA($C$5:C12),"000"))</f>
        <v/>
      </c>
      <c r="C12" s="15" t="n"/>
      <c r="D12" s="15" t="n"/>
      <c r="E12" s="15" t="n"/>
      <c r="F12" s="15" t="n"/>
      <c r="G12" s="15" t="n"/>
      <c r="H12" s="16" t="n"/>
      <c r="I12" s="16" t="n"/>
      <c r="J12" s="16" t="n"/>
      <c r="K12" s="16">
        <f>IF(H12="","",ROUND((H12+I12+J12)/3,1))</f>
        <v/>
      </c>
    </row>
    <row r="13" ht="22" customHeight="1">
      <c r="B13" s="18">
        <f>IF(C13="","360-"&amp;TEXT(COUNTA($C$5:C13),"000"))</f>
        <v/>
      </c>
      <c r="C13" s="13" t="n"/>
      <c r="D13" s="13" t="n"/>
      <c r="E13" s="13" t="n"/>
      <c r="F13" s="13" t="n"/>
      <c r="G13" s="13" t="n"/>
      <c r="H13" s="14" t="n"/>
      <c r="I13" s="14" t="n"/>
      <c r="J13" s="14" t="n"/>
      <c r="K13" s="14">
        <f>IF(H13="","",ROUND((H13+I13+J13)/3,1))</f>
        <v/>
      </c>
    </row>
    <row r="14" ht="22" customHeight="1">
      <c r="B14" s="17">
        <f>IF(C14="","360-"&amp;TEXT(COUNTA($C$5:C14),"000"))</f>
        <v/>
      </c>
      <c r="C14" s="15" t="n"/>
      <c r="D14" s="15" t="n"/>
      <c r="E14" s="15" t="n"/>
      <c r="F14" s="15" t="n"/>
      <c r="G14" s="15" t="n"/>
      <c r="H14" s="16" t="n"/>
      <c r="I14" s="16" t="n"/>
      <c r="J14" s="16" t="n"/>
      <c r="K14" s="16">
        <f>IF(H14="","",ROUND((H14+I14+J14)/3,1))</f>
        <v/>
      </c>
    </row>
    <row r="15" ht="22" customHeight="1">
      <c r="B15" s="18">
        <f>IF(C15="","360-"&amp;TEXT(COUNTA($C$5:C15),"000"))</f>
        <v/>
      </c>
      <c r="C15" s="13" t="n"/>
      <c r="D15" s="13" t="n"/>
      <c r="E15" s="13" t="n"/>
      <c r="F15" s="13" t="n"/>
      <c r="G15" s="13" t="n"/>
      <c r="H15" s="14" t="n"/>
      <c r="I15" s="14" t="n"/>
      <c r="J15" s="14" t="n"/>
      <c r="K15" s="14">
        <f>IF(H15="","",ROUND((H15+I15+J15)/3,1))</f>
        <v/>
      </c>
    </row>
    <row r="16" ht="22" customHeight="1">
      <c r="B16" s="17">
        <f>IF(C16="","360-"&amp;TEXT(COUNTA($C$5:C16),"000"))</f>
        <v/>
      </c>
      <c r="C16" s="15" t="n"/>
      <c r="D16" s="15" t="n"/>
      <c r="E16" s="15" t="n"/>
      <c r="F16" s="15" t="n"/>
      <c r="G16" s="15" t="n"/>
      <c r="H16" s="16" t="n"/>
      <c r="I16" s="16" t="n"/>
      <c r="J16" s="16" t="n"/>
      <c r="K16" s="16">
        <f>IF(H16="","",ROUND((H16+I16+J16)/3,1))</f>
        <v/>
      </c>
    </row>
    <row r="17" ht="22" customHeight="1">
      <c r="B17" s="18">
        <f>IF(C17="","360-"&amp;TEXT(COUNTA($C$5:C17),"000"))</f>
        <v/>
      </c>
      <c r="C17" s="13" t="n"/>
      <c r="D17" s="13" t="n"/>
      <c r="E17" s="13" t="n"/>
      <c r="F17" s="13" t="n"/>
      <c r="G17" s="13" t="n"/>
      <c r="H17" s="14" t="n"/>
      <c r="I17" s="14" t="n"/>
      <c r="J17" s="14" t="n"/>
      <c r="K17" s="14">
        <f>IF(H17="","",ROUND((H17+I17+J17)/3,1))</f>
        <v/>
      </c>
    </row>
    <row r="18" ht="22" customHeight="1">
      <c r="B18" s="17">
        <f>IF(C18="","360-"&amp;TEXT(COUNTA($C$5:C18),"000"))</f>
        <v/>
      </c>
      <c r="C18" s="15" t="n"/>
      <c r="D18" s="15" t="n"/>
      <c r="E18" s="15" t="n"/>
      <c r="F18" s="15" t="n"/>
      <c r="G18" s="15" t="n"/>
      <c r="H18" s="16" t="n"/>
      <c r="I18" s="16" t="n"/>
      <c r="J18" s="16" t="n"/>
      <c r="K18" s="16">
        <f>IF(H18="","",ROUND((H18+I18+J18)/3,1))</f>
        <v/>
      </c>
    </row>
    <row r="19" ht="22" customHeight="1">
      <c r="B19" s="18">
        <f>IF(C19="","360-"&amp;TEXT(COUNTA($C$5:C19),"000"))</f>
        <v/>
      </c>
      <c r="C19" s="13" t="n"/>
      <c r="D19" s="13" t="n"/>
      <c r="E19" s="13" t="n"/>
      <c r="F19" s="13" t="n"/>
      <c r="G19" s="13" t="n"/>
      <c r="H19" s="14" t="n"/>
      <c r="I19" s="14" t="n"/>
      <c r="J19" s="14" t="n"/>
      <c r="K19" s="14">
        <f>IF(H19="","",ROUND((H19+I19+J19)/3,1))</f>
        <v/>
      </c>
    </row>
    <row r="20" ht="22" customHeight="1">
      <c r="B20" s="17">
        <f>IF(C20="","360-"&amp;TEXT(COUNTA($C$5:C20),"000"))</f>
        <v/>
      </c>
      <c r="C20" s="15" t="n"/>
      <c r="D20" s="15" t="n"/>
      <c r="E20" s="15" t="n"/>
      <c r="F20" s="15" t="n"/>
      <c r="G20" s="15" t="n"/>
      <c r="H20" s="16" t="n"/>
      <c r="I20" s="16" t="n"/>
      <c r="J20" s="16" t="n"/>
      <c r="K20" s="16">
        <f>IF(H20="","",ROUND((H20+I20+J20)/3,1))</f>
        <v/>
      </c>
    </row>
    <row r="21" ht="22" customHeight="1">
      <c r="B21" s="18">
        <f>IF(C21="","360-"&amp;TEXT(COUNTA($C$5:C21),"000"))</f>
        <v/>
      </c>
      <c r="C21" s="13" t="n"/>
      <c r="D21" s="13" t="n"/>
      <c r="E21" s="13" t="n"/>
      <c r="F21" s="13" t="n"/>
      <c r="G21" s="13" t="n"/>
      <c r="H21" s="14" t="n"/>
      <c r="I21" s="14" t="n"/>
      <c r="J21" s="14" t="n"/>
      <c r="K21" s="14">
        <f>IF(H21="","",ROUND((H21+I21+J21)/3,1))</f>
        <v/>
      </c>
    </row>
    <row r="22" ht="22" customHeight="1">
      <c r="B22" s="17">
        <f>IF(C22="","360-"&amp;TEXT(COUNTA($C$5:C22),"000"))</f>
        <v/>
      </c>
      <c r="C22" s="15" t="n"/>
      <c r="D22" s="15" t="n"/>
      <c r="E22" s="15" t="n"/>
      <c r="F22" s="15" t="n"/>
      <c r="G22" s="15" t="n"/>
      <c r="H22" s="16" t="n"/>
      <c r="I22" s="16" t="n"/>
      <c r="J22" s="16" t="n"/>
      <c r="K22" s="16">
        <f>IF(H22="","",ROUND((H22+I22+J22)/3,1))</f>
        <v/>
      </c>
    </row>
    <row r="23" ht="22" customHeight="1">
      <c r="B23" s="18">
        <f>IF(C23="","360-"&amp;TEXT(COUNTA($C$5:C23),"000"))</f>
        <v/>
      </c>
      <c r="C23" s="13" t="n"/>
      <c r="D23" s="13" t="n"/>
      <c r="E23" s="13" t="n"/>
      <c r="F23" s="13" t="n"/>
      <c r="G23" s="13" t="n"/>
      <c r="H23" s="14" t="n"/>
      <c r="I23" s="14" t="n"/>
      <c r="J23" s="14" t="n"/>
      <c r="K23" s="14">
        <f>IF(H23="","",ROUND((H23+I23+J23)/3,1))</f>
        <v/>
      </c>
    </row>
    <row r="24" ht="22" customHeight="1">
      <c r="B24" s="17">
        <f>IF(C24="","360-"&amp;TEXT(COUNTA($C$5:C24),"000"))</f>
        <v/>
      </c>
      <c r="C24" s="15" t="n"/>
      <c r="D24" s="15" t="n"/>
      <c r="E24" s="15" t="n"/>
      <c r="F24" s="15" t="n"/>
      <c r="G24" s="15" t="n"/>
      <c r="H24" s="16" t="n"/>
      <c r="I24" s="16" t="n"/>
      <c r="J24" s="16" t="n"/>
      <c r="K24" s="16">
        <f>IF(H24="","",ROUND((H24+I24+J24)/3,1))</f>
        <v/>
      </c>
    </row>
    <row r="25" ht="22" customHeight="1">
      <c r="B25" s="18">
        <f>IF(C25="","360-"&amp;TEXT(COUNTA($C$5:C25),"000"))</f>
        <v/>
      </c>
      <c r="C25" s="13" t="n"/>
      <c r="D25" s="13" t="n"/>
      <c r="E25" s="13" t="n"/>
      <c r="F25" s="13" t="n"/>
      <c r="G25" s="13" t="n"/>
      <c r="H25" s="14" t="n"/>
      <c r="I25" s="14" t="n"/>
      <c r="J25" s="14" t="n"/>
      <c r="K25" s="14">
        <f>IF(H25="","",ROUND((H25+I25+J25)/3,1))</f>
        <v/>
      </c>
    </row>
    <row r="26" ht="22" customHeight="1">
      <c r="B26" s="17">
        <f>IF(C26="","360-"&amp;TEXT(COUNTA($C$5:C26),"000"))</f>
        <v/>
      </c>
      <c r="C26" s="15" t="n"/>
      <c r="D26" s="15" t="n"/>
      <c r="E26" s="15" t="n"/>
      <c r="F26" s="15" t="n"/>
      <c r="G26" s="15" t="n"/>
      <c r="H26" s="16" t="n"/>
      <c r="I26" s="16" t="n"/>
      <c r="J26" s="16" t="n"/>
      <c r="K26" s="16">
        <f>IF(H26="","",ROUND((H26+I26+J26)/3,1))</f>
        <v/>
      </c>
    </row>
    <row r="27" ht="22" customHeight="1">
      <c r="B27" s="18">
        <f>IF(C27="","360-"&amp;TEXT(COUNTA($C$5:C27),"000"))</f>
        <v/>
      </c>
      <c r="C27" s="13" t="n"/>
      <c r="D27" s="13" t="n"/>
      <c r="E27" s="13" t="n"/>
      <c r="F27" s="13" t="n"/>
      <c r="G27" s="13" t="n"/>
      <c r="H27" s="14" t="n"/>
      <c r="I27" s="14" t="n"/>
      <c r="J27" s="14" t="n"/>
      <c r="K27" s="14">
        <f>IF(H27="","",ROUND((H27+I27+J27)/3,1))</f>
        <v/>
      </c>
    </row>
    <row r="28" ht="22" customHeight="1">
      <c r="B28" s="17">
        <f>IF(C28="","360-"&amp;TEXT(COUNTA($C$5:C28),"000"))</f>
        <v/>
      </c>
      <c r="C28" s="15" t="n"/>
      <c r="D28" s="15" t="n"/>
      <c r="E28" s="15" t="n"/>
      <c r="F28" s="15" t="n"/>
      <c r="G28" s="15" t="n"/>
      <c r="H28" s="16" t="n"/>
      <c r="I28" s="16" t="n"/>
      <c r="J28" s="16" t="n"/>
      <c r="K28" s="16">
        <f>IF(H28="","",ROUND((H28+I28+J28)/3,1))</f>
        <v/>
      </c>
    </row>
    <row r="29" ht="22" customHeight="1">
      <c r="B29" s="18">
        <f>IF(C29="","360-"&amp;TEXT(COUNTA($C$5:C29),"000"))</f>
        <v/>
      </c>
      <c r="C29" s="13" t="n"/>
      <c r="D29" s="13" t="n"/>
      <c r="E29" s="13" t="n"/>
      <c r="F29" s="13" t="n"/>
      <c r="G29" s="13" t="n"/>
      <c r="H29" s="14" t="n"/>
      <c r="I29" s="14" t="n"/>
      <c r="J29" s="14" t="n"/>
      <c r="K29" s="14">
        <f>IF(H29="","",ROUND((H29+I29+J29)/3,1))</f>
        <v/>
      </c>
    </row>
    <row r="30" ht="22" customHeight="1">
      <c r="B30" s="17">
        <f>IF(C30="","360-"&amp;TEXT(COUNTA($C$5:C30),"000"))</f>
        <v/>
      </c>
      <c r="C30" s="15" t="n"/>
      <c r="D30" s="15" t="n"/>
      <c r="E30" s="15" t="n"/>
      <c r="F30" s="15" t="n"/>
      <c r="G30" s="15" t="n"/>
      <c r="H30" s="16" t="n"/>
      <c r="I30" s="16" t="n"/>
      <c r="J30" s="16" t="n"/>
      <c r="K30" s="16">
        <f>IF(H30="","",ROUND((H30+I30+J30)/3,1))</f>
        <v/>
      </c>
    </row>
    <row r="31" ht="22" customHeight="1">
      <c r="B31" s="18">
        <f>IF(C31="","360-"&amp;TEXT(COUNTA($C$5:C31),"000"))</f>
        <v/>
      </c>
      <c r="C31" s="13" t="n"/>
      <c r="D31" s="13" t="n"/>
      <c r="E31" s="13" t="n"/>
      <c r="F31" s="13" t="n"/>
      <c r="G31" s="13" t="n"/>
      <c r="H31" s="14" t="n"/>
      <c r="I31" s="14" t="n"/>
      <c r="J31" s="14" t="n"/>
      <c r="K31" s="14">
        <f>IF(H31="","",ROUND((H31+I31+J31)/3,1))</f>
        <v/>
      </c>
    </row>
    <row r="32" ht="22" customHeight="1">
      <c r="B32" s="17">
        <f>IF(C32="","360-"&amp;TEXT(COUNTA($C$5:C32),"000"))</f>
        <v/>
      </c>
      <c r="C32" s="15" t="n"/>
      <c r="D32" s="15" t="n"/>
      <c r="E32" s="15" t="n"/>
      <c r="F32" s="15" t="n"/>
      <c r="G32" s="15" t="n"/>
      <c r="H32" s="16" t="n"/>
      <c r="I32" s="16" t="n"/>
      <c r="J32" s="16" t="n"/>
      <c r="K32" s="16">
        <f>IF(H32="","",ROUND((H32+I32+J32)/3,1))</f>
        <v/>
      </c>
    </row>
    <row r="33" ht="22" customHeight="1">
      <c r="B33" s="18">
        <f>IF(C33="","360-"&amp;TEXT(COUNTA($C$5:C33),"000"))</f>
        <v/>
      </c>
      <c r="C33" s="13" t="n"/>
      <c r="D33" s="13" t="n"/>
      <c r="E33" s="13" t="n"/>
      <c r="F33" s="13" t="n"/>
      <c r="G33" s="13" t="n"/>
      <c r="H33" s="14" t="n"/>
      <c r="I33" s="14" t="n"/>
      <c r="J33" s="14" t="n"/>
      <c r="K33" s="14">
        <f>IF(H33="","",ROUND((H33+I33+J33)/3,1))</f>
        <v/>
      </c>
    </row>
    <row r="34" ht="22" customHeight="1">
      <c r="B34" s="17">
        <f>IF(C34="","360-"&amp;TEXT(COUNTA($C$5:C34),"000"))</f>
        <v/>
      </c>
      <c r="C34" s="15" t="n"/>
      <c r="D34" s="15" t="n"/>
      <c r="E34" s="15" t="n"/>
      <c r="F34" s="15" t="n"/>
      <c r="G34" s="15" t="n"/>
      <c r="H34" s="16" t="n"/>
      <c r="I34" s="16" t="n"/>
      <c r="J34" s="16" t="n"/>
      <c r="K34" s="16">
        <f>IF(H34="","",ROUND((H34+I34+J34)/3,1))</f>
        <v/>
      </c>
    </row>
    <row r="35" ht="22" customHeight="1">
      <c r="B35" s="18">
        <f>IF(C35="","360-"&amp;TEXT(COUNTA($C$5:C35),"000"))</f>
        <v/>
      </c>
      <c r="C35" s="13" t="n"/>
      <c r="D35" s="13" t="n"/>
      <c r="E35" s="13" t="n"/>
      <c r="F35" s="13" t="n"/>
      <c r="G35" s="13" t="n"/>
      <c r="H35" s="14" t="n"/>
      <c r="I35" s="14" t="n"/>
      <c r="J35" s="14" t="n"/>
      <c r="K35" s="14">
        <f>IF(H35="","",ROUND((H35+I35+J35)/3,1))</f>
        <v/>
      </c>
    </row>
    <row r="36" ht="22" customHeight="1">
      <c r="B36" s="17">
        <f>IF(C36="","360-"&amp;TEXT(COUNTA($C$5:C36),"000"))</f>
        <v/>
      </c>
      <c r="C36" s="15" t="n"/>
      <c r="D36" s="15" t="n"/>
      <c r="E36" s="15" t="n"/>
      <c r="F36" s="15" t="n"/>
      <c r="G36" s="15" t="n"/>
      <c r="H36" s="16" t="n"/>
      <c r="I36" s="16" t="n"/>
      <c r="J36" s="16" t="n"/>
      <c r="K36" s="16">
        <f>IF(H36="","",ROUND((H36+I36+J36)/3,1))</f>
        <v/>
      </c>
    </row>
    <row r="37" ht="22" customHeight="1">
      <c r="B37" s="18">
        <f>IF(C37="","360-"&amp;TEXT(COUNTA($C$5:C37),"000"))</f>
        <v/>
      </c>
      <c r="C37" s="13" t="n"/>
      <c r="D37" s="13" t="n"/>
      <c r="E37" s="13" t="n"/>
      <c r="F37" s="13" t="n"/>
      <c r="G37" s="13" t="n"/>
      <c r="H37" s="14" t="n"/>
      <c r="I37" s="14" t="n"/>
      <c r="J37" s="14" t="n"/>
      <c r="K37" s="14">
        <f>IF(H37="","",ROUND((H37+I37+J37)/3,1))</f>
        <v/>
      </c>
    </row>
    <row r="38" ht="22" customHeight="1">
      <c r="B38" s="17">
        <f>IF(C38="","360-"&amp;TEXT(COUNTA($C$5:C38),"000"))</f>
        <v/>
      </c>
      <c r="C38" s="15" t="n"/>
      <c r="D38" s="15" t="n"/>
      <c r="E38" s="15" t="n"/>
      <c r="F38" s="15" t="n"/>
      <c r="G38" s="15" t="n"/>
      <c r="H38" s="16" t="n"/>
      <c r="I38" s="16" t="n"/>
      <c r="J38" s="16" t="n"/>
      <c r="K38" s="16">
        <f>IF(H38="","",ROUND((H38+I38+J38)/3,1))</f>
        <v/>
      </c>
    </row>
    <row r="39" ht="22" customHeight="1">
      <c r="B39" s="18">
        <f>IF(C39="","360-"&amp;TEXT(COUNTA($C$5:C39),"000"))</f>
        <v/>
      </c>
      <c r="C39" s="13" t="n"/>
      <c r="D39" s="13" t="n"/>
      <c r="E39" s="13" t="n"/>
      <c r="F39" s="13" t="n"/>
      <c r="G39" s="13" t="n"/>
      <c r="H39" s="14" t="n"/>
      <c r="I39" s="14" t="n"/>
      <c r="J39" s="14" t="n"/>
      <c r="K39" s="14">
        <f>IF(H39="","",ROUND((H39+I39+J39)/3,1))</f>
        <v/>
      </c>
    </row>
    <row r="40" ht="22" customHeight="1">
      <c r="B40" s="17">
        <f>IF(C40="","360-"&amp;TEXT(COUNTA($C$5:C40),"000"))</f>
        <v/>
      </c>
      <c r="C40" s="15" t="n"/>
      <c r="D40" s="15" t="n"/>
      <c r="E40" s="15" t="n"/>
      <c r="F40" s="15" t="n"/>
      <c r="G40" s="15" t="n"/>
      <c r="H40" s="16" t="n"/>
      <c r="I40" s="16" t="n"/>
      <c r="J40" s="16" t="n"/>
      <c r="K40" s="16">
        <f>IF(H40="","",ROUND((H40+I40+J40)/3,1))</f>
        <v/>
      </c>
    </row>
    <row r="41" ht="22" customHeight="1">
      <c r="B41" s="18">
        <f>IF(C41="","360-"&amp;TEXT(COUNTA($C$5:C41),"000"))</f>
        <v/>
      </c>
      <c r="C41" s="13" t="n"/>
      <c r="D41" s="13" t="n"/>
      <c r="E41" s="13" t="n"/>
      <c r="F41" s="13" t="n"/>
      <c r="G41" s="13" t="n"/>
      <c r="H41" s="14" t="n"/>
      <c r="I41" s="14" t="n"/>
      <c r="J41" s="14" t="n"/>
      <c r="K41" s="14">
        <f>IF(H41="","",ROUND((H41+I41+J41)/3,1))</f>
        <v/>
      </c>
    </row>
    <row r="42" ht="22" customHeight="1">
      <c r="B42" s="17">
        <f>IF(C42="","360-"&amp;TEXT(COUNTA($C$5:C42),"000"))</f>
        <v/>
      </c>
      <c r="C42" s="15" t="n"/>
      <c r="D42" s="15" t="n"/>
      <c r="E42" s="15" t="n"/>
      <c r="F42" s="15" t="n"/>
      <c r="G42" s="15" t="n"/>
      <c r="H42" s="16" t="n"/>
      <c r="I42" s="16" t="n"/>
      <c r="J42" s="16" t="n"/>
      <c r="K42" s="16">
        <f>IF(H42="","",ROUND((H42+I42+J42)/3,1))</f>
        <v/>
      </c>
    </row>
    <row r="43" ht="22" customHeight="1">
      <c r="B43" s="18">
        <f>IF(C43="","360-"&amp;TEXT(COUNTA($C$5:C43),"000"))</f>
        <v/>
      </c>
      <c r="C43" s="13" t="n"/>
      <c r="D43" s="13" t="n"/>
      <c r="E43" s="13" t="n"/>
      <c r="F43" s="13" t="n"/>
      <c r="G43" s="13" t="n"/>
      <c r="H43" s="14" t="n"/>
      <c r="I43" s="14" t="n"/>
      <c r="J43" s="14" t="n"/>
      <c r="K43" s="14">
        <f>IF(H43="","",ROUND((H43+I43+J43)/3,1))</f>
        <v/>
      </c>
    </row>
    <row r="44" ht="22" customHeight="1">
      <c r="B44" s="17">
        <f>IF(C44="","360-"&amp;TEXT(COUNTA($C$5:C44),"000"))</f>
        <v/>
      </c>
      <c r="C44" s="15" t="n"/>
      <c r="D44" s="15" t="n"/>
      <c r="E44" s="15" t="n"/>
      <c r="F44" s="15" t="n"/>
      <c r="G44" s="15" t="n"/>
      <c r="H44" s="16" t="n"/>
      <c r="I44" s="16" t="n"/>
      <c r="J44" s="16" t="n"/>
      <c r="K44" s="16">
        <f>IF(H44="","",ROUND((H44+I44+J44)/3,1))</f>
        <v/>
      </c>
    </row>
    <row r="45" ht="22" customHeight="1">
      <c r="B45" s="18">
        <f>IF(C45="","360-"&amp;TEXT(COUNTA($C$5:C45),"000"))</f>
        <v/>
      </c>
      <c r="C45" s="13" t="n"/>
      <c r="D45" s="13" t="n"/>
      <c r="E45" s="13" t="n"/>
      <c r="F45" s="13" t="n"/>
      <c r="G45" s="13" t="n"/>
      <c r="H45" s="14" t="n"/>
      <c r="I45" s="14" t="n"/>
      <c r="J45" s="14" t="n"/>
      <c r="K45" s="14">
        <f>IF(H45="","",ROUND((H45+I45+J45)/3,1))</f>
        <v/>
      </c>
    </row>
    <row r="46" ht="22" customHeight="1">
      <c r="B46" s="17">
        <f>IF(C46="","360-"&amp;TEXT(COUNTA($C$5:C46),"000"))</f>
        <v/>
      </c>
      <c r="C46" s="15" t="n"/>
      <c r="D46" s="15" t="n"/>
      <c r="E46" s="15" t="n"/>
      <c r="F46" s="15" t="n"/>
      <c r="G46" s="15" t="n"/>
      <c r="H46" s="16" t="n"/>
      <c r="I46" s="16" t="n"/>
      <c r="J46" s="16" t="n"/>
      <c r="K46" s="16">
        <f>IF(H46="","",ROUND((H46+I46+J46)/3,1))</f>
        <v/>
      </c>
    </row>
    <row r="47" ht="22" customHeight="1">
      <c r="B47" s="18">
        <f>IF(C47="","360-"&amp;TEXT(COUNTA($C$5:C47),"000"))</f>
        <v/>
      </c>
      <c r="C47" s="13" t="n"/>
      <c r="D47" s="13" t="n"/>
      <c r="E47" s="13" t="n"/>
      <c r="F47" s="13" t="n"/>
      <c r="G47" s="13" t="n"/>
      <c r="H47" s="14" t="n"/>
      <c r="I47" s="14" t="n"/>
      <c r="J47" s="14" t="n"/>
      <c r="K47" s="14">
        <f>IF(H47="","",ROUND((H47+I47+J47)/3,1))</f>
        <v/>
      </c>
    </row>
    <row r="48" ht="22" customHeight="1">
      <c r="B48" s="17">
        <f>IF(C48="","360-"&amp;TEXT(COUNTA($C$5:C48),"000"))</f>
        <v/>
      </c>
      <c r="C48" s="15" t="n"/>
      <c r="D48" s="15" t="n"/>
      <c r="E48" s="15" t="n"/>
      <c r="F48" s="15" t="n"/>
      <c r="G48" s="15" t="n"/>
      <c r="H48" s="16" t="n"/>
      <c r="I48" s="16" t="n"/>
      <c r="J48" s="16" t="n"/>
      <c r="K48" s="16">
        <f>IF(H48="","",ROUND((H48+I48+J48)/3,1))</f>
        <v/>
      </c>
    </row>
    <row r="49" ht="22" customHeight="1">
      <c r="B49" s="18">
        <f>IF(C49="","360-"&amp;TEXT(COUNTA($C$5:C49),"000"))</f>
        <v/>
      </c>
      <c r="C49" s="13" t="n"/>
      <c r="D49" s="13" t="n"/>
      <c r="E49" s="13" t="n"/>
      <c r="F49" s="13" t="n"/>
      <c r="G49" s="13" t="n"/>
      <c r="H49" s="14" t="n"/>
      <c r="I49" s="14" t="n"/>
      <c r="J49" s="14" t="n"/>
      <c r="K49" s="14">
        <f>IF(H49="","",ROUND((H49+I49+J49)/3,1))</f>
        <v/>
      </c>
    </row>
    <row r="50" ht="22" customHeight="1">
      <c r="B50" s="17">
        <f>IF(C50="","360-"&amp;TEXT(COUNTA($C$5:C50),"000"))</f>
        <v/>
      </c>
      <c r="C50" s="15" t="n"/>
      <c r="D50" s="15" t="n"/>
      <c r="E50" s="15" t="n"/>
      <c r="F50" s="15" t="n"/>
      <c r="G50" s="15" t="n"/>
      <c r="H50" s="16" t="n"/>
      <c r="I50" s="16" t="n"/>
      <c r="J50" s="16" t="n"/>
      <c r="K50" s="16">
        <f>IF(H50="","",ROUND((H50+I50+J50)/3,1))</f>
        <v/>
      </c>
    </row>
    <row r="51" ht="22" customHeight="1">
      <c r="B51" s="18">
        <f>IF(C51="","360-"&amp;TEXT(COUNTA($C$5:C51),"000"))</f>
        <v/>
      </c>
      <c r="C51" s="13" t="n"/>
      <c r="D51" s="13" t="n"/>
      <c r="E51" s="13" t="n"/>
      <c r="F51" s="13" t="n"/>
      <c r="G51" s="13" t="n"/>
      <c r="H51" s="14" t="n"/>
      <c r="I51" s="14" t="n"/>
      <c r="J51" s="14" t="n"/>
      <c r="K51" s="14">
        <f>IF(H51="","",ROUND((H51+I51+J51)/3,1))</f>
        <v/>
      </c>
    </row>
    <row r="52" ht="22" customHeight="1">
      <c r="B52" s="17">
        <f>IF(C52="","360-"&amp;TEXT(COUNTA($C$5:C52),"000"))</f>
        <v/>
      </c>
      <c r="C52" s="15" t="n"/>
      <c r="D52" s="15" t="n"/>
      <c r="E52" s="15" t="n"/>
      <c r="F52" s="15" t="n"/>
      <c r="G52" s="15" t="n"/>
      <c r="H52" s="16" t="n"/>
      <c r="I52" s="16" t="n"/>
      <c r="J52" s="16" t="n"/>
      <c r="K52" s="16">
        <f>IF(H52="","",ROUND((H52+I52+J52)/3,1))</f>
        <v/>
      </c>
    </row>
    <row r="53" ht="22" customHeight="1">
      <c r="B53" s="18">
        <f>IF(C53="","360-"&amp;TEXT(COUNTA($C$5:C53),"000"))</f>
        <v/>
      </c>
      <c r="C53" s="13" t="n"/>
      <c r="D53" s="13" t="n"/>
      <c r="E53" s="13" t="n"/>
      <c r="F53" s="13" t="n"/>
      <c r="G53" s="13" t="n"/>
      <c r="H53" s="14" t="n"/>
      <c r="I53" s="14" t="n"/>
      <c r="J53" s="14" t="n"/>
      <c r="K53" s="14">
        <f>IF(H53="","",ROUND((H53+I53+J53)/3,1))</f>
        <v/>
      </c>
    </row>
    <row r="54" ht="22" customHeight="1">
      <c r="B54" s="17">
        <f>IF(C54="","360-"&amp;TEXT(COUNTA($C$5:C54),"000"))</f>
        <v/>
      </c>
      <c r="C54" s="15" t="n"/>
      <c r="D54" s="15" t="n"/>
      <c r="E54" s="15" t="n"/>
      <c r="F54" s="15" t="n"/>
      <c r="G54" s="15" t="n"/>
      <c r="H54" s="16" t="n"/>
      <c r="I54" s="16" t="n"/>
      <c r="J54" s="16" t="n"/>
      <c r="K54" s="16">
        <f>IF(H54="","",ROUND((H54+I54+J54)/3,1))</f>
        <v/>
      </c>
    </row>
    <row r="55" ht="22" customHeight="1">
      <c r="B55" s="18">
        <f>IF(C55="","360-"&amp;TEXT(COUNTA($C$5:C55),"000"))</f>
        <v/>
      </c>
      <c r="C55" s="13" t="n"/>
      <c r="D55" s="13" t="n"/>
      <c r="E55" s="13" t="n"/>
      <c r="F55" s="13" t="n"/>
      <c r="G55" s="13" t="n"/>
      <c r="H55" s="14" t="n"/>
      <c r="I55" s="14" t="n"/>
      <c r="J55" s="14" t="n"/>
      <c r="K55" s="14">
        <f>IF(H55="","",ROUND((H55+I55+J55)/3,1))</f>
        <v/>
      </c>
    </row>
    <row r="56" ht="22" customHeight="1">
      <c r="B56" s="17">
        <f>IF(C56="","360-"&amp;TEXT(COUNTA($C$5:C56),"000"))</f>
        <v/>
      </c>
      <c r="C56" s="15" t="n"/>
      <c r="D56" s="15" t="n"/>
      <c r="E56" s="15" t="n"/>
      <c r="F56" s="15" t="n"/>
      <c r="G56" s="15" t="n"/>
      <c r="H56" s="16" t="n"/>
      <c r="I56" s="16" t="n"/>
      <c r="J56" s="16" t="n"/>
      <c r="K56" s="16">
        <f>IF(H56="","",ROUND((H56+I56+J56)/3,1))</f>
        <v/>
      </c>
    </row>
    <row r="57" ht="22" customHeight="1">
      <c r="B57" s="18">
        <f>IF(C57="","360-"&amp;TEXT(COUNTA($C$5:C57),"000"))</f>
        <v/>
      </c>
      <c r="C57" s="13" t="n"/>
      <c r="D57" s="13" t="n"/>
      <c r="E57" s="13" t="n"/>
      <c r="F57" s="13" t="n"/>
      <c r="G57" s="13" t="n"/>
      <c r="H57" s="14" t="n"/>
      <c r="I57" s="14" t="n"/>
      <c r="J57" s="14" t="n"/>
      <c r="K57" s="14">
        <f>IF(H57="","",ROUND((H57+I57+J57)/3,1))</f>
        <v/>
      </c>
    </row>
    <row r="58" ht="22" customHeight="1">
      <c r="B58" s="17">
        <f>IF(C58="","360-"&amp;TEXT(COUNTA($C$5:C58),"000"))</f>
        <v/>
      </c>
      <c r="C58" s="15" t="n"/>
      <c r="D58" s="15" t="n"/>
      <c r="E58" s="15" t="n"/>
      <c r="F58" s="15" t="n"/>
      <c r="G58" s="15" t="n"/>
      <c r="H58" s="16" t="n"/>
      <c r="I58" s="16" t="n"/>
      <c r="J58" s="16" t="n"/>
      <c r="K58" s="16">
        <f>IF(H58="","",ROUND((H58+I58+J58)/3,1))</f>
        <v/>
      </c>
    </row>
    <row r="59" ht="22" customHeight="1">
      <c r="B59" s="18">
        <f>IF(C59="","360-"&amp;TEXT(COUNTA($C$5:C59),"000"))</f>
        <v/>
      </c>
      <c r="C59" s="13" t="n"/>
      <c r="D59" s="13" t="n"/>
      <c r="E59" s="13" t="n"/>
      <c r="F59" s="13" t="n"/>
      <c r="G59" s="13" t="n"/>
      <c r="H59" s="14" t="n"/>
      <c r="I59" s="14" t="n"/>
      <c r="J59" s="14" t="n"/>
      <c r="K59" s="14">
        <f>IF(H59="","",ROUND((H59+I59+J59)/3,1))</f>
        <v/>
      </c>
    </row>
    <row r="60" ht="22" customHeight="1">
      <c r="B60" s="17">
        <f>IF(C60="","360-"&amp;TEXT(COUNTA($C$5:C60),"000"))</f>
        <v/>
      </c>
      <c r="C60" s="15" t="n"/>
      <c r="D60" s="15" t="n"/>
      <c r="E60" s="15" t="n"/>
      <c r="F60" s="15" t="n"/>
      <c r="G60" s="15" t="n"/>
      <c r="H60" s="16" t="n"/>
      <c r="I60" s="16" t="n"/>
      <c r="J60" s="16" t="n"/>
      <c r="K60" s="16">
        <f>IF(H60="","",ROUND((H60+I60+J60)/3,1))</f>
        <v/>
      </c>
    </row>
    <row r="61" ht="22" customHeight="1">
      <c r="B61" s="18">
        <f>IF(C61="","360-"&amp;TEXT(COUNTA($C$5:C61),"000"))</f>
        <v/>
      </c>
      <c r="C61" s="13" t="n"/>
      <c r="D61" s="13" t="n"/>
      <c r="E61" s="13" t="n"/>
      <c r="F61" s="13" t="n"/>
      <c r="G61" s="13" t="n"/>
      <c r="H61" s="14" t="n"/>
      <c r="I61" s="14" t="n"/>
      <c r="J61" s="14" t="n"/>
      <c r="K61" s="14">
        <f>IF(H61="","",ROUND((H61+I61+J61)/3,1))</f>
        <v/>
      </c>
    </row>
    <row r="62" ht="22" customHeight="1">
      <c r="B62" s="17">
        <f>IF(C62="","360-"&amp;TEXT(COUNTA($C$5:C62),"000"))</f>
        <v/>
      </c>
      <c r="C62" s="15" t="n"/>
      <c r="D62" s="15" t="n"/>
      <c r="E62" s="15" t="n"/>
      <c r="F62" s="15" t="n"/>
      <c r="G62" s="15" t="n"/>
      <c r="H62" s="16" t="n"/>
      <c r="I62" s="16" t="n"/>
      <c r="J62" s="16" t="n"/>
      <c r="K62" s="16">
        <f>IF(H62="","",ROUND((H62+I62+J62)/3,1))</f>
        <v/>
      </c>
    </row>
    <row r="63" ht="22" customHeight="1">
      <c r="B63" s="18">
        <f>IF(C63="","360-"&amp;TEXT(COUNTA($C$5:C63),"000"))</f>
        <v/>
      </c>
      <c r="C63" s="13" t="n"/>
      <c r="D63" s="13" t="n"/>
      <c r="E63" s="13" t="n"/>
      <c r="F63" s="13" t="n"/>
      <c r="G63" s="13" t="n"/>
      <c r="H63" s="14" t="n"/>
      <c r="I63" s="14" t="n"/>
      <c r="J63" s="14" t="n"/>
      <c r="K63" s="14">
        <f>IF(H63="","",ROUND((H63+I63+J63)/3,1))</f>
        <v/>
      </c>
    </row>
    <row r="64" ht="22" customHeight="1">
      <c r="B64" s="17">
        <f>IF(C64="","360-"&amp;TEXT(COUNTA($C$5:C64),"000"))</f>
        <v/>
      </c>
      <c r="C64" s="15" t="n"/>
      <c r="D64" s="15" t="n"/>
      <c r="E64" s="15" t="n"/>
      <c r="F64" s="15" t="n"/>
      <c r="G64" s="15" t="n"/>
      <c r="H64" s="16" t="n"/>
      <c r="I64" s="16" t="n"/>
      <c r="J64" s="16" t="n"/>
      <c r="K64" s="16">
        <f>IF(H64="","",ROUND((H64+I64+J64)/3,1))</f>
        <v/>
      </c>
    </row>
    <row r="65" ht="22" customHeight="1">
      <c r="B65" s="18">
        <f>IF(C65="","360-"&amp;TEXT(COUNTA($C$5:C65),"000"))</f>
        <v/>
      </c>
      <c r="C65" s="13" t="n"/>
      <c r="D65" s="13" t="n"/>
      <c r="E65" s="13" t="n"/>
      <c r="F65" s="13" t="n"/>
      <c r="G65" s="13" t="n"/>
      <c r="H65" s="14" t="n"/>
      <c r="I65" s="14" t="n"/>
      <c r="J65" s="14" t="n"/>
      <c r="K65" s="14">
        <f>IF(H65="","",ROUND((H65+I65+J65)/3,1))</f>
        <v/>
      </c>
    </row>
    <row r="66" ht="22" customHeight="1">
      <c r="B66" s="17">
        <f>IF(C66="","360-"&amp;TEXT(COUNTA($C$5:C66),"000"))</f>
        <v/>
      </c>
      <c r="C66" s="15" t="n"/>
      <c r="D66" s="15" t="n"/>
      <c r="E66" s="15" t="n"/>
      <c r="F66" s="15" t="n"/>
      <c r="G66" s="15" t="n"/>
      <c r="H66" s="16" t="n"/>
      <c r="I66" s="16" t="n"/>
      <c r="J66" s="16" t="n"/>
      <c r="K66" s="16">
        <f>IF(H66="","",ROUND((H66+I66+J66)/3,1))</f>
        <v/>
      </c>
    </row>
    <row r="67" ht="22" customHeight="1">
      <c r="B67" s="18">
        <f>IF(C67="","360-"&amp;TEXT(COUNTA($C$5:C67),"000"))</f>
        <v/>
      </c>
      <c r="C67" s="13" t="n"/>
      <c r="D67" s="13" t="n"/>
      <c r="E67" s="13" t="n"/>
      <c r="F67" s="13" t="n"/>
      <c r="G67" s="13" t="n"/>
      <c r="H67" s="14" t="n"/>
      <c r="I67" s="14" t="n"/>
      <c r="J67" s="14" t="n"/>
      <c r="K67" s="14">
        <f>IF(H67="","",ROUND((H67+I67+J67)/3,1))</f>
        <v/>
      </c>
    </row>
    <row r="68" ht="22" customHeight="1">
      <c r="B68" s="17">
        <f>IF(C68="","360-"&amp;TEXT(COUNTA($C$5:C68),"000"))</f>
        <v/>
      </c>
      <c r="C68" s="15" t="n"/>
      <c r="D68" s="15" t="n"/>
      <c r="E68" s="15" t="n"/>
      <c r="F68" s="15" t="n"/>
      <c r="G68" s="15" t="n"/>
      <c r="H68" s="16" t="n"/>
      <c r="I68" s="16" t="n"/>
      <c r="J68" s="16" t="n"/>
      <c r="K68" s="16">
        <f>IF(H68="","",ROUND((H68+I68+J68)/3,1))</f>
        <v/>
      </c>
    </row>
    <row r="69" ht="22" customHeight="1">
      <c r="B69" s="18">
        <f>IF(C69="","360-"&amp;TEXT(COUNTA($C$5:C69),"000"))</f>
        <v/>
      </c>
      <c r="C69" s="13" t="n"/>
      <c r="D69" s="13" t="n"/>
      <c r="E69" s="13" t="n"/>
      <c r="F69" s="13" t="n"/>
      <c r="G69" s="13" t="n"/>
      <c r="H69" s="14" t="n"/>
      <c r="I69" s="14" t="n"/>
      <c r="J69" s="14" t="n"/>
      <c r="K69" s="14">
        <f>IF(H69="","",ROUND((H69+I69+J69)/3,1))</f>
        <v/>
      </c>
    </row>
    <row r="70" ht="22" customHeight="1">
      <c r="B70" s="17">
        <f>IF(C70="","360-"&amp;TEXT(COUNTA($C$5:C70),"000"))</f>
        <v/>
      </c>
      <c r="C70" s="15" t="n"/>
      <c r="D70" s="15" t="n"/>
      <c r="E70" s="15" t="n"/>
      <c r="F70" s="15" t="n"/>
      <c r="G70" s="15" t="n"/>
      <c r="H70" s="16" t="n"/>
      <c r="I70" s="16" t="n"/>
      <c r="J70" s="16" t="n"/>
      <c r="K70" s="16">
        <f>IF(H70="","",ROUND((H70+I70+J70)/3,1))</f>
        <v/>
      </c>
    </row>
    <row r="71" ht="22" customHeight="1">
      <c r="B71" s="18">
        <f>IF(C71="","360-"&amp;TEXT(COUNTA($C$5:C71),"000"))</f>
        <v/>
      </c>
      <c r="C71" s="13" t="n"/>
      <c r="D71" s="13" t="n"/>
      <c r="E71" s="13" t="n"/>
      <c r="F71" s="13" t="n"/>
      <c r="G71" s="13" t="n"/>
      <c r="H71" s="14" t="n"/>
      <c r="I71" s="14" t="n"/>
      <c r="J71" s="14" t="n"/>
      <c r="K71" s="14">
        <f>IF(H71="","",ROUND((H71+I71+J71)/3,1))</f>
        <v/>
      </c>
    </row>
    <row r="72" ht="22" customHeight="1">
      <c r="B72" s="17">
        <f>IF(C72="","360-"&amp;TEXT(COUNTA($C$5:C72),"000"))</f>
        <v/>
      </c>
      <c r="C72" s="15" t="n"/>
      <c r="D72" s="15" t="n"/>
      <c r="E72" s="15" t="n"/>
      <c r="F72" s="15" t="n"/>
      <c r="G72" s="15" t="n"/>
      <c r="H72" s="16" t="n"/>
      <c r="I72" s="16" t="n"/>
      <c r="J72" s="16" t="n"/>
      <c r="K72" s="16">
        <f>IF(H72="","",ROUND((H72+I72+J72)/3,1))</f>
        <v/>
      </c>
    </row>
    <row r="73" ht="22" customHeight="1">
      <c r="B73" s="18">
        <f>IF(C73="","360-"&amp;TEXT(COUNTA($C$5:C73),"000"))</f>
        <v/>
      </c>
      <c r="C73" s="13" t="n"/>
      <c r="D73" s="13" t="n"/>
      <c r="E73" s="13" t="n"/>
      <c r="F73" s="13" t="n"/>
      <c r="G73" s="13" t="n"/>
      <c r="H73" s="14" t="n"/>
      <c r="I73" s="14" t="n"/>
      <c r="J73" s="14" t="n"/>
      <c r="K73" s="14">
        <f>IF(H73="","",ROUND((H73+I73+J73)/3,1))</f>
        <v/>
      </c>
    </row>
    <row r="74" ht="22" customHeight="1">
      <c r="B74" s="17">
        <f>IF(C74="","360-"&amp;TEXT(COUNTA($C$5:C74),"000"))</f>
        <v/>
      </c>
      <c r="C74" s="15" t="n"/>
      <c r="D74" s="15" t="n"/>
      <c r="E74" s="15" t="n"/>
      <c r="F74" s="15" t="n"/>
      <c r="G74" s="15" t="n"/>
      <c r="H74" s="16" t="n"/>
      <c r="I74" s="16" t="n"/>
      <c r="J74" s="16" t="n"/>
      <c r="K74" s="16">
        <f>IF(H74="","",ROUND((H74+I74+J74)/3,1))</f>
        <v/>
      </c>
    </row>
    <row r="75" ht="22" customHeight="1">
      <c r="B75" s="18">
        <f>IF(C75="","360-"&amp;TEXT(COUNTA($C$5:C75),"000"))</f>
        <v/>
      </c>
      <c r="C75" s="13" t="n"/>
      <c r="D75" s="13" t="n"/>
      <c r="E75" s="13" t="n"/>
      <c r="F75" s="13" t="n"/>
      <c r="G75" s="13" t="n"/>
      <c r="H75" s="14" t="n"/>
      <c r="I75" s="14" t="n"/>
      <c r="J75" s="14" t="n"/>
      <c r="K75" s="14">
        <f>IF(H75="","",ROUND((H75+I75+J75)/3,1))</f>
        <v/>
      </c>
    </row>
    <row r="76" ht="22" customHeight="1">
      <c r="B76" s="17">
        <f>IF(C76="","360-"&amp;TEXT(COUNTA($C$5:C76),"000"))</f>
        <v/>
      </c>
      <c r="C76" s="15" t="n"/>
      <c r="D76" s="15" t="n"/>
      <c r="E76" s="15" t="n"/>
      <c r="F76" s="15" t="n"/>
      <c r="G76" s="15" t="n"/>
      <c r="H76" s="16" t="n"/>
      <c r="I76" s="16" t="n"/>
      <c r="J76" s="16" t="n"/>
      <c r="K76" s="16">
        <f>IF(H76="","",ROUND((H76+I76+J76)/3,1))</f>
        <v/>
      </c>
    </row>
    <row r="77" ht="22" customHeight="1">
      <c r="B77" s="18">
        <f>IF(C77="","360-"&amp;TEXT(COUNTA($C$5:C77),"000"))</f>
        <v/>
      </c>
      <c r="C77" s="13" t="n"/>
      <c r="D77" s="13" t="n"/>
      <c r="E77" s="13" t="n"/>
      <c r="F77" s="13" t="n"/>
      <c r="G77" s="13" t="n"/>
      <c r="H77" s="14" t="n"/>
      <c r="I77" s="14" t="n"/>
      <c r="J77" s="14" t="n"/>
      <c r="K77" s="14">
        <f>IF(H77="","",ROUND((H77+I77+J77)/3,1))</f>
        <v/>
      </c>
    </row>
    <row r="78" ht="22" customHeight="1">
      <c r="B78" s="17">
        <f>IF(C78="","360-"&amp;TEXT(COUNTA($C$5:C78),"000"))</f>
        <v/>
      </c>
      <c r="C78" s="15" t="n"/>
      <c r="D78" s="15" t="n"/>
      <c r="E78" s="15" t="n"/>
      <c r="F78" s="15" t="n"/>
      <c r="G78" s="15" t="n"/>
      <c r="H78" s="16" t="n"/>
      <c r="I78" s="16" t="n"/>
      <c r="J78" s="16" t="n"/>
      <c r="K78" s="16">
        <f>IF(H78="","",ROUND((H78+I78+J78)/3,1))</f>
        <v/>
      </c>
    </row>
    <row r="79" ht="22" customHeight="1">
      <c r="B79" s="18">
        <f>IF(C79="","360-"&amp;TEXT(COUNTA($C$5:C79),"000"))</f>
        <v/>
      </c>
      <c r="C79" s="13" t="n"/>
      <c r="D79" s="13" t="n"/>
      <c r="E79" s="13" t="n"/>
      <c r="F79" s="13" t="n"/>
      <c r="G79" s="13" t="n"/>
      <c r="H79" s="14" t="n"/>
      <c r="I79" s="14" t="n"/>
      <c r="J79" s="14" t="n"/>
      <c r="K79" s="14">
        <f>IF(H79="","",ROUND((H79+I79+J79)/3,1))</f>
        <v/>
      </c>
    </row>
    <row r="80" ht="22" customHeight="1">
      <c r="B80" s="17">
        <f>IF(C80="","360-"&amp;TEXT(COUNTA($C$5:C80),"000"))</f>
        <v/>
      </c>
      <c r="C80" s="15" t="n"/>
      <c r="D80" s="15" t="n"/>
      <c r="E80" s="15" t="n"/>
      <c r="F80" s="15" t="n"/>
      <c r="G80" s="15" t="n"/>
      <c r="H80" s="16" t="n"/>
      <c r="I80" s="16" t="n"/>
      <c r="J80" s="16" t="n"/>
      <c r="K80" s="16">
        <f>IF(H80="","",ROUND((H80+I80+J80)/3,1))</f>
        <v/>
      </c>
    </row>
    <row r="81" ht="22" customHeight="1">
      <c r="B81" s="18">
        <f>IF(C81="","360-"&amp;TEXT(COUNTA($C$5:C81),"000"))</f>
        <v/>
      </c>
      <c r="C81" s="13" t="n"/>
      <c r="D81" s="13" t="n"/>
      <c r="E81" s="13" t="n"/>
      <c r="F81" s="13" t="n"/>
      <c r="G81" s="13" t="n"/>
      <c r="H81" s="14" t="n"/>
      <c r="I81" s="14" t="n"/>
      <c r="J81" s="14" t="n"/>
      <c r="K81" s="14">
        <f>IF(H81="","",ROUND((H81+I81+J81)/3,1))</f>
        <v/>
      </c>
    </row>
    <row r="82" ht="22" customHeight="1">
      <c r="B82" s="17">
        <f>IF(C82="","360-"&amp;TEXT(COUNTA($C$5:C82),"000"))</f>
        <v/>
      </c>
      <c r="C82" s="15" t="n"/>
      <c r="D82" s="15" t="n"/>
      <c r="E82" s="15" t="n"/>
      <c r="F82" s="15" t="n"/>
      <c r="G82" s="15" t="n"/>
      <c r="H82" s="16" t="n"/>
      <c r="I82" s="16" t="n"/>
      <c r="J82" s="16" t="n"/>
      <c r="K82" s="16">
        <f>IF(H82="","",ROUND((H82+I82+J82)/3,1))</f>
        <v/>
      </c>
    </row>
    <row r="83" ht="22" customHeight="1">
      <c r="B83" s="18">
        <f>IF(C83="","360-"&amp;TEXT(COUNTA($C$5:C83),"000"))</f>
        <v/>
      </c>
      <c r="C83" s="13" t="n"/>
      <c r="D83" s="13" t="n"/>
      <c r="E83" s="13" t="n"/>
      <c r="F83" s="13" t="n"/>
      <c r="G83" s="13" t="n"/>
      <c r="H83" s="14" t="n"/>
      <c r="I83" s="14" t="n"/>
      <c r="J83" s="14" t="n"/>
      <c r="K83" s="14">
        <f>IF(H83="","",ROUND((H83+I83+J83)/3,1))</f>
        <v/>
      </c>
    </row>
    <row r="84" ht="22" customHeight="1">
      <c r="B84" s="17">
        <f>IF(C84="","360-"&amp;TEXT(COUNTA($C$5:C84),"000"))</f>
        <v/>
      </c>
      <c r="C84" s="15" t="n"/>
      <c r="D84" s="15" t="n"/>
      <c r="E84" s="15" t="n"/>
      <c r="F84" s="15" t="n"/>
      <c r="G84" s="15" t="n"/>
      <c r="H84" s="16" t="n"/>
      <c r="I84" s="16" t="n"/>
      <c r="J84" s="16" t="n"/>
      <c r="K84" s="16">
        <f>IF(H84="","",ROUND((H84+I84+J84)/3,1))</f>
        <v/>
      </c>
    </row>
    <row r="85" ht="22" customHeight="1">
      <c r="B85" s="18">
        <f>IF(C85="","360-"&amp;TEXT(COUNTA($C$5:C85),"000"))</f>
        <v/>
      </c>
      <c r="C85" s="13" t="n"/>
      <c r="D85" s="13" t="n"/>
      <c r="E85" s="13" t="n"/>
      <c r="F85" s="13" t="n"/>
      <c r="G85" s="13" t="n"/>
      <c r="H85" s="14" t="n"/>
      <c r="I85" s="14" t="n"/>
      <c r="J85" s="14" t="n"/>
      <c r="K85" s="14">
        <f>IF(H85="","",ROUND((H85+I85+J85)/3,1))</f>
        <v/>
      </c>
    </row>
    <row r="86" ht="22" customHeight="1">
      <c r="B86" s="17">
        <f>IF(C86="","360-"&amp;TEXT(COUNTA($C$5:C86),"000"))</f>
        <v/>
      </c>
      <c r="C86" s="15" t="n"/>
      <c r="D86" s="15" t="n"/>
      <c r="E86" s="15" t="n"/>
      <c r="F86" s="15" t="n"/>
      <c r="G86" s="15" t="n"/>
      <c r="H86" s="16" t="n"/>
      <c r="I86" s="16" t="n"/>
      <c r="J86" s="16" t="n"/>
      <c r="K86" s="16">
        <f>IF(H86="","",ROUND((H86+I86+J86)/3,1))</f>
        <v/>
      </c>
    </row>
    <row r="87" ht="22" customHeight="1">
      <c r="B87" s="18">
        <f>IF(C87="","360-"&amp;TEXT(COUNTA($C$5:C87),"000"))</f>
        <v/>
      </c>
      <c r="C87" s="13" t="n"/>
      <c r="D87" s="13" t="n"/>
      <c r="E87" s="13" t="n"/>
      <c r="F87" s="13" t="n"/>
      <c r="G87" s="13" t="n"/>
      <c r="H87" s="14" t="n"/>
      <c r="I87" s="14" t="n"/>
      <c r="J87" s="14" t="n"/>
      <c r="K87" s="14">
        <f>IF(H87="","",ROUND((H87+I87+J87)/3,1))</f>
        <v/>
      </c>
    </row>
    <row r="88" ht="22" customHeight="1">
      <c r="B88" s="17">
        <f>IF(C88="","360-"&amp;TEXT(COUNTA($C$5:C88),"000"))</f>
        <v/>
      </c>
      <c r="C88" s="15" t="n"/>
      <c r="D88" s="15" t="n"/>
      <c r="E88" s="15" t="n"/>
      <c r="F88" s="15" t="n"/>
      <c r="G88" s="15" t="n"/>
      <c r="H88" s="16" t="n"/>
      <c r="I88" s="16" t="n"/>
      <c r="J88" s="16" t="n"/>
      <c r="K88" s="16">
        <f>IF(H88="","",ROUND((H88+I88+J88)/3,1))</f>
        <v/>
      </c>
    </row>
    <row r="89" ht="22" customHeight="1">
      <c r="B89" s="18">
        <f>IF(C89="","360-"&amp;TEXT(COUNTA($C$5:C89),"000"))</f>
        <v/>
      </c>
      <c r="C89" s="13" t="n"/>
      <c r="D89" s="13" t="n"/>
      <c r="E89" s="13" t="n"/>
      <c r="F89" s="13" t="n"/>
      <c r="G89" s="13" t="n"/>
      <c r="H89" s="14" t="n"/>
      <c r="I89" s="14" t="n"/>
      <c r="J89" s="14" t="n"/>
      <c r="K89" s="14">
        <f>IF(H89="","",ROUND((H89+I89+J89)/3,1))</f>
        <v/>
      </c>
    </row>
    <row r="90" ht="22" customHeight="1">
      <c r="B90" s="17">
        <f>IF(C90="","360-"&amp;TEXT(COUNTA($C$5:C90),"000"))</f>
        <v/>
      </c>
      <c r="C90" s="15" t="n"/>
      <c r="D90" s="15" t="n"/>
      <c r="E90" s="15" t="n"/>
      <c r="F90" s="15" t="n"/>
      <c r="G90" s="15" t="n"/>
      <c r="H90" s="16" t="n"/>
      <c r="I90" s="16" t="n"/>
      <c r="J90" s="16" t="n"/>
      <c r="K90" s="16">
        <f>IF(H90="","",ROUND((H90+I90+J90)/3,1))</f>
        <v/>
      </c>
    </row>
    <row r="91" ht="22" customHeight="1">
      <c r="B91" s="18">
        <f>IF(C91="","360-"&amp;TEXT(COUNTA($C$5:C91),"000"))</f>
        <v/>
      </c>
      <c r="C91" s="13" t="n"/>
      <c r="D91" s="13" t="n"/>
      <c r="E91" s="13" t="n"/>
      <c r="F91" s="13" t="n"/>
      <c r="G91" s="13" t="n"/>
      <c r="H91" s="14" t="n"/>
      <c r="I91" s="14" t="n"/>
      <c r="J91" s="14" t="n"/>
      <c r="K91" s="14">
        <f>IF(H91="","",ROUND((H91+I91+J91)/3,1))</f>
        <v/>
      </c>
    </row>
    <row r="92" ht="22" customHeight="1">
      <c r="B92" s="17">
        <f>IF(C92="","360-"&amp;TEXT(COUNTA($C$5:C92),"000"))</f>
        <v/>
      </c>
      <c r="C92" s="15" t="n"/>
      <c r="D92" s="15" t="n"/>
      <c r="E92" s="15" t="n"/>
      <c r="F92" s="15" t="n"/>
      <c r="G92" s="15" t="n"/>
      <c r="H92" s="16" t="n"/>
      <c r="I92" s="16" t="n"/>
      <c r="J92" s="16" t="n"/>
      <c r="K92" s="16">
        <f>IF(H92="","",ROUND((H92+I92+J92)/3,1))</f>
        <v/>
      </c>
    </row>
    <row r="93" ht="22" customHeight="1">
      <c r="B93" s="18">
        <f>IF(C93="","360-"&amp;TEXT(COUNTA($C$5:C93),"000"))</f>
        <v/>
      </c>
      <c r="C93" s="13" t="n"/>
      <c r="D93" s="13" t="n"/>
      <c r="E93" s="13" t="n"/>
      <c r="F93" s="13" t="n"/>
      <c r="G93" s="13" t="n"/>
      <c r="H93" s="14" t="n"/>
      <c r="I93" s="14" t="n"/>
      <c r="J93" s="14" t="n"/>
      <c r="K93" s="14">
        <f>IF(H93="","",ROUND((H93+I93+J93)/3,1))</f>
        <v/>
      </c>
    </row>
    <row r="94" ht="22" customHeight="1">
      <c r="B94" s="17">
        <f>IF(C94="","360-"&amp;TEXT(COUNTA($C$5:C94),"000"))</f>
        <v/>
      </c>
      <c r="C94" s="15" t="n"/>
      <c r="D94" s="15" t="n"/>
      <c r="E94" s="15" t="n"/>
      <c r="F94" s="15" t="n"/>
      <c r="G94" s="15" t="n"/>
      <c r="H94" s="16" t="n"/>
      <c r="I94" s="16" t="n"/>
      <c r="J94" s="16" t="n"/>
      <c r="K94" s="16">
        <f>IF(H94="","",ROUND((H94+I94+J94)/3,1))</f>
        <v/>
      </c>
    </row>
    <row r="95" ht="22" customHeight="1">
      <c r="B95" s="18">
        <f>IF(C95="","360-"&amp;TEXT(COUNTA($C$5:C95),"000"))</f>
        <v/>
      </c>
      <c r="C95" s="13" t="n"/>
      <c r="D95" s="13" t="n"/>
      <c r="E95" s="13" t="n"/>
      <c r="F95" s="13" t="n"/>
      <c r="G95" s="13" t="n"/>
      <c r="H95" s="14" t="n"/>
      <c r="I95" s="14" t="n"/>
      <c r="J95" s="14" t="n"/>
      <c r="K95" s="14">
        <f>IF(H95="","",ROUND((H95+I95+J95)/3,1))</f>
        <v/>
      </c>
    </row>
    <row r="96" ht="22" customHeight="1">
      <c r="B96" s="17">
        <f>IF(C96="","360-"&amp;TEXT(COUNTA($C$5:C96),"000"))</f>
        <v/>
      </c>
      <c r="C96" s="15" t="n"/>
      <c r="D96" s="15" t="n"/>
      <c r="E96" s="15" t="n"/>
      <c r="F96" s="15" t="n"/>
      <c r="G96" s="15" t="n"/>
      <c r="H96" s="16" t="n"/>
      <c r="I96" s="16" t="n"/>
      <c r="J96" s="16" t="n"/>
      <c r="K96" s="16">
        <f>IF(H96="","",ROUND((H96+I96+J96)/3,1))</f>
        <v/>
      </c>
    </row>
    <row r="97" ht="22" customHeight="1">
      <c r="B97" s="18">
        <f>IF(C97="","360-"&amp;TEXT(COUNTA($C$5:C97),"000"))</f>
        <v/>
      </c>
      <c r="C97" s="13" t="n"/>
      <c r="D97" s="13" t="n"/>
      <c r="E97" s="13" t="n"/>
      <c r="F97" s="13" t="n"/>
      <c r="G97" s="13" t="n"/>
      <c r="H97" s="14" t="n"/>
      <c r="I97" s="14" t="n"/>
      <c r="J97" s="14" t="n"/>
      <c r="K97" s="14">
        <f>IF(H97="","",ROUND((H97+I97+J97)/3,1))</f>
        <v/>
      </c>
    </row>
    <row r="98" ht="22" customHeight="1">
      <c r="B98" s="17">
        <f>IF(C98="","360-"&amp;TEXT(COUNTA($C$5:C98),"000"))</f>
        <v/>
      </c>
      <c r="C98" s="15" t="n"/>
      <c r="D98" s="15" t="n"/>
      <c r="E98" s="15" t="n"/>
      <c r="F98" s="15" t="n"/>
      <c r="G98" s="15" t="n"/>
      <c r="H98" s="16" t="n"/>
      <c r="I98" s="16" t="n"/>
      <c r="J98" s="16" t="n"/>
      <c r="K98" s="16">
        <f>IF(H98="","",ROUND((H98+I98+J98)/3,1))</f>
        <v/>
      </c>
    </row>
    <row r="99" ht="22" customHeight="1">
      <c r="B99" s="18">
        <f>IF(C99="","360-"&amp;TEXT(COUNTA($C$5:C99),"000"))</f>
        <v/>
      </c>
      <c r="C99" s="13" t="n"/>
      <c r="D99" s="13" t="n"/>
      <c r="E99" s="13" t="n"/>
      <c r="F99" s="13" t="n"/>
      <c r="G99" s="13" t="n"/>
      <c r="H99" s="14" t="n"/>
      <c r="I99" s="14" t="n"/>
      <c r="J99" s="14" t="n"/>
      <c r="K99" s="14">
        <f>IF(H99="","",ROUND((H99+I99+J99)/3,1))</f>
        <v/>
      </c>
    </row>
    <row r="100" ht="22" customHeight="1">
      <c r="B100" s="17">
        <f>IF(C100="","360-"&amp;TEXT(COUNTA($C$5:C100),"000"))</f>
        <v/>
      </c>
      <c r="C100" s="15" t="n"/>
      <c r="D100" s="15" t="n"/>
      <c r="E100" s="15" t="n"/>
      <c r="F100" s="15" t="n"/>
      <c r="G100" s="15" t="n"/>
      <c r="H100" s="16" t="n"/>
      <c r="I100" s="16" t="n"/>
      <c r="J100" s="16" t="n"/>
      <c r="K100" s="16">
        <f>IF(H100="","",ROUND((H100+I100+J100)/3,1))</f>
        <v/>
      </c>
    </row>
    <row r="101" ht="22" customHeight="1">
      <c r="B101" s="18">
        <f>IF(C101="","360-"&amp;TEXT(COUNTA($C$5:C101),"000"))</f>
        <v/>
      </c>
      <c r="C101" s="13" t="n"/>
      <c r="D101" s="13" t="n"/>
      <c r="E101" s="13" t="n"/>
      <c r="F101" s="13" t="n"/>
      <c r="G101" s="13" t="n"/>
      <c r="H101" s="14" t="n"/>
      <c r="I101" s="14" t="n"/>
      <c r="J101" s="14" t="n"/>
      <c r="K101" s="14">
        <f>IF(H101="","",ROUND((H101+I101+J101)/3,1))</f>
        <v/>
      </c>
    </row>
    <row r="102" ht="22" customHeight="1">
      <c r="B102" s="17">
        <f>IF(C102="","360-"&amp;TEXT(COUNTA($C$5:C102),"000"))</f>
        <v/>
      </c>
      <c r="C102" s="15" t="n"/>
      <c r="D102" s="15" t="n"/>
      <c r="E102" s="15" t="n"/>
      <c r="F102" s="15" t="n"/>
      <c r="G102" s="15" t="n"/>
      <c r="H102" s="16" t="n"/>
      <c r="I102" s="16" t="n"/>
      <c r="J102" s="16" t="n"/>
      <c r="K102" s="16">
        <f>IF(H102="","",ROUND((H102+I102+J102)/3,1))</f>
        <v/>
      </c>
    </row>
    <row r="103" ht="22" customHeight="1">
      <c r="B103" s="18">
        <f>IF(C103="","360-"&amp;TEXT(COUNTA($C$5:C103),"000"))</f>
        <v/>
      </c>
      <c r="C103" s="13" t="n"/>
      <c r="D103" s="13" t="n"/>
      <c r="E103" s="13" t="n"/>
      <c r="F103" s="13" t="n"/>
      <c r="G103" s="13" t="n"/>
      <c r="H103" s="14" t="n"/>
      <c r="I103" s="14" t="n"/>
      <c r="J103" s="14" t="n"/>
      <c r="K103" s="14">
        <f>IF(H103="","",ROUND((H103+I103+J103)/3,1))</f>
        <v/>
      </c>
    </row>
    <row r="104" ht="22" customHeight="1">
      <c r="B104" s="17">
        <f>IF(C104="","360-"&amp;TEXT(COUNTA($C$5:C104),"000"))</f>
        <v/>
      </c>
      <c r="C104" s="15" t="n"/>
      <c r="D104" s="15" t="n"/>
      <c r="E104" s="15" t="n"/>
      <c r="F104" s="15" t="n"/>
      <c r="G104" s="15" t="n"/>
      <c r="H104" s="16" t="n"/>
      <c r="I104" s="16" t="n"/>
      <c r="J104" s="16" t="n"/>
      <c r="K104" s="16">
        <f>IF(H104="","",ROUND((H104+I104+J104)/3,1))</f>
        <v/>
      </c>
    </row>
    <row r="105" ht="22" customHeight="1">
      <c r="B105" s="18">
        <f>IF(C105="","360-"&amp;TEXT(COUNTA($C$5:C105),"000"))</f>
        <v/>
      </c>
      <c r="C105" s="13" t="n"/>
      <c r="D105" s="13" t="n"/>
      <c r="E105" s="13" t="n"/>
      <c r="F105" s="13" t="n"/>
      <c r="G105" s="13" t="n"/>
      <c r="H105" s="14" t="n"/>
      <c r="I105" s="14" t="n"/>
      <c r="J105" s="14" t="n"/>
      <c r="K105" s="14">
        <f>IF(H105="","",ROUND((H105+I105+J105)/3,1))</f>
        <v/>
      </c>
    </row>
    <row r="106" ht="22" customHeight="1">
      <c r="B106" s="17">
        <f>IF(C106="","360-"&amp;TEXT(COUNTA($C$5:C106),"000"))</f>
        <v/>
      </c>
      <c r="C106" s="15" t="n"/>
      <c r="D106" s="15" t="n"/>
      <c r="E106" s="15" t="n"/>
      <c r="F106" s="15" t="n"/>
      <c r="G106" s="15" t="n"/>
      <c r="H106" s="16" t="n"/>
      <c r="I106" s="16" t="n"/>
      <c r="J106" s="16" t="n"/>
      <c r="K106" s="16">
        <f>IF(H106="","",ROUND((H106+I106+J106)/3,1))</f>
        <v/>
      </c>
    </row>
    <row r="107" ht="22" customHeight="1">
      <c r="B107" s="18">
        <f>IF(C107="","360-"&amp;TEXT(COUNTA($C$5:C107),"000"))</f>
        <v/>
      </c>
      <c r="C107" s="13" t="n"/>
      <c r="D107" s="13" t="n"/>
      <c r="E107" s="13" t="n"/>
      <c r="F107" s="13" t="n"/>
      <c r="G107" s="13" t="n"/>
      <c r="H107" s="14" t="n"/>
      <c r="I107" s="14" t="n"/>
      <c r="J107" s="14" t="n"/>
      <c r="K107" s="14">
        <f>IF(H107="","",ROUND((H107+I107+J107)/3,1))</f>
        <v/>
      </c>
    </row>
    <row r="108" ht="22" customHeight="1">
      <c r="B108" s="17">
        <f>IF(C108="","360-"&amp;TEXT(COUNTA($C$5:C108),"000"))</f>
        <v/>
      </c>
      <c r="C108" s="15" t="n"/>
      <c r="D108" s="15" t="n"/>
      <c r="E108" s="15" t="n"/>
      <c r="F108" s="15" t="n"/>
      <c r="G108" s="15" t="n"/>
      <c r="H108" s="16" t="n"/>
      <c r="I108" s="16" t="n"/>
      <c r="J108" s="16" t="n"/>
      <c r="K108" s="16">
        <f>IF(H108="","",ROUND((H108+I108+J108)/3,1))</f>
        <v/>
      </c>
    </row>
    <row r="109" ht="22" customHeight="1">
      <c r="B109" s="18">
        <f>IF(C109="","360-"&amp;TEXT(COUNTA($C$5:C109),"000"))</f>
        <v/>
      </c>
      <c r="C109" s="13" t="n"/>
      <c r="D109" s="13" t="n"/>
      <c r="E109" s="13" t="n"/>
      <c r="F109" s="13" t="n"/>
      <c r="G109" s="13" t="n"/>
      <c r="H109" s="14" t="n"/>
      <c r="I109" s="14" t="n"/>
      <c r="J109" s="14" t="n"/>
      <c r="K109" s="14">
        <f>IF(H109="","",ROUND((H109+I109+J109)/3,1))</f>
        <v/>
      </c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Evaluations 360</t>
        </is>
      </c>
      <c r="D112" s="3" t="inlineStr">
        <is>
          <t>Note 360 moyenne</t>
        </is>
      </c>
      <c r="F112" s="3" t="inlineStr">
        <is>
          <t>Note max</t>
        </is>
      </c>
      <c r="H112" s="3" t="inlineStr">
        <is>
          <t>Ecart auto vs N+1</t>
        </is>
      </c>
    </row>
    <row r="113">
      <c r="B113" s="4">
        <f>COUNTIF(B5:B104,"&lt;&gt;")</f>
        <v/>
      </c>
      <c r="D113" s="4">
        <f>IFERROR(AVERAGE(K5:K104),0)</f>
        <v/>
      </c>
      <c r="F113" s="4">
        <f>IFERROR(MAX(K5:K104),0)</f>
        <v/>
      </c>
      <c r="H113" s="4">
        <f>IFERROR(AVERAGE(H5:H104)-AVERAGE(I5:I104),0)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K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6" customWidth="1" min="7" max="7"/>
    <col width="14" customWidth="1" min="8" max="8"/>
    <col width="16" customWidth="1" min="9" max="9"/>
    <col width="14" customWidth="1" min="10" max="10"/>
    <col width="18" customWidth="1" min="11" max="11"/>
  </cols>
  <sheetData>
    <row r="1" ht="15" customHeight="1"/>
    <row r="2" ht="32" customHeight="1">
      <c r="B2" s="1" t="inlineStr">
        <is>
          <t>SUIVI DES KPI INDIVIDUELS (#81)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Indicateur KPI</t>
        </is>
      </c>
      <c r="H4" s="12" t="inlineStr">
        <is>
          <t>Cible</t>
        </is>
      </c>
      <c r="I4" s="12" t="inlineStr">
        <is>
          <t>Resultat Reel</t>
        </is>
      </c>
      <c r="J4" s="12" t="inlineStr">
        <is>
          <t>Ecart</t>
        </is>
      </c>
      <c r="K4" s="12" t="inlineStr">
        <is>
          <t>Taux Realisation (%)</t>
        </is>
      </c>
    </row>
    <row r="5" ht="22" customHeight="1">
      <c r="B5" s="13" t="inlineStr">
        <is>
          <t>KPI-001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Taux turnover annuel</t>
        </is>
      </c>
      <c r="H5" s="13" t="inlineStr">
        <is>
          <t>&lt; 8%</t>
        </is>
      </c>
      <c r="I5" s="13" t="inlineStr">
        <is>
          <t>9.2%</t>
        </is>
      </c>
      <c r="J5" s="13" t="inlineStr">
        <is>
          <t>+1.2 pts</t>
        </is>
      </c>
      <c r="K5" s="19" t="n">
        <v>85</v>
      </c>
    </row>
    <row r="6" ht="22" customHeight="1">
      <c r="B6" s="15" t="inlineStr">
        <is>
          <t>KPI-002</t>
        </is>
      </c>
      <c r="C6" s="15" t="inlineStr">
        <is>
          <t>EMP-2025-002</t>
        </is>
      </c>
      <c r="D6" s="15" t="inlineStr">
        <is>
          <t>Tchinda Armand</t>
        </is>
      </c>
      <c r="E6" s="15" t="inlineStr">
        <is>
          <t>Informatique</t>
        </is>
      </c>
      <c r="F6" s="15" t="inlineStr">
        <is>
          <t>Chef de service IT</t>
        </is>
      </c>
      <c r="G6" s="15" t="inlineStr">
        <is>
          <t>Disponibilite reseau</t>
        </is>
      </c>
      <c r="H6" s="15" t="inlineStr">
        <is>
          <t>&gt; 99%</t>
        </is>
      </c>
      <c r="I6" s="15" t="inlineStr">
        <is>
          <t>99.5%</t>
        </is>
      </c>
      <c r="J6" s="15" t="inlineStr">
        <is>
          <t>+0.5 pts</t>
        </is>
      </c>
      <c r="K6" s="20" t="n">
        <v>100</v>
      </c>
    </row>
    <row r="7" ht="22" customHeight="1">
      <c r="B7" s="13" t="inlineStr">
        <is>
          <t>KPI-003</t>
        </is>
      </c>
      <c r="C7" s="13" t="inlineStr">
        <is>
          <t>EMP-2025-004</t>
        </is>
      </c>
      <c r="D7" s="13" t="inlineStr">
        <is>
          <t>Ouedraogo Ibrahim</t>
        </is>
      </c>
      <c r="E7" s="13" t="inlineStr">
        <is>
          <t>Reception &amp; Front Office</t>
        </is>
      </c>
      <c r="F7" s="13" t="inlineStr">
        <is>
          <t>Receptionniste</t>
        </is>
      </c>
      <c r="G7" s="13" t="inlineStr">
        <is>
          <t>Satisfaction client</t>
        </is>
      </c>
      <c r="H7" s="13" t="inlineStr">
        <is>
          <t>&gt; 90%</t>
        </is>
      </c>
      <c r="I7" s="13" t="inlineStr">
        <is>
          <t>92%</t>
        </is>
      </c>
      <c r="J7" s="13" t="inlineStr">
        <is>
          <t>+2 pts</t>
        </is>
      </c>
      <c r="K7" s="19" t="n">
        <v>102</v>
      </c>
    </row>
    <row r="8" ht="22" customHeight="1">
      <c r="B8" s="15" t="inlineStr">
        <is>
          <t>KPI-004</t>
        </is>
      </c>
      <c r="C8" s="15" t="inlineStr">
        <is>
          <t>EMP-2025-020</t>
        </is>
      </c>
      <c r="D8" s="15" t="inlineStr">
        <is>
          <t>Tagne Rene</t>
        </is>
      </c>
      <c r="E8" s="15" t="inlineStr">
        <is>
          <t>Cuisine &amp; Restauration</t>
        </is>
      </c>
      <c r="F8" s="15" t="inlineStr">
        <is>
          <t>Cuisinier</t>
        </is>
      </c>
      <c r="G8" s="15" t="inlineStr">
        <is>
          <t>Non conformites HACCP</t>
        </is>
      </c>
      <c r="H8" s="15" t="inlineStr">
        <is>
          <t>0</t>
        </is>
      </c>
      <c r="I8" s="15" t="inlineStr">
        <is>
          <t>2</t>
        </is>
      </c>
      <c r="J8" s="15" t="inlineStr">
        <is>
          <t>+2</t>
        </is>
      </c>
      <c r="K8" s="20" t="n">
        <v>0</v>
      </c>
    </row>
    <row r="9" ht="22" customHeight="1">
      <c r="B9" s="13" t="inlineStr">
        <is>
          <t>KPI-005</t>
        </is>
      </c>
      <c r="C9" s="13" t="inlineStr">
        <is>
          <t>EMP-2025-005</t>
        </is>
      </c>
      <c r="D9" s="13" t="inlineStr">
        <is>
          <t>Diallo Moussa</t>
        </is>
      </c>
      <c r="E9" s="13" t="inlineStr">
        <is>
          <t>Cuisine &amp; Restauration</t>
        </is>
      </c>
      <c r="F9" s="13" t="inlineStr">
        <is>
          <t>Chef Cuisine</t>
        </is>
      </c>
      <c r="G9" s="13" t="inlineStr">
        <is>
          <t>Cout food / CA restauration</t>
        </is>
      </c>
      <c r="H9" s="13" t="inlineStr">
        <is>
          <t>&lt; 35%</t>
        </is>
      </c>
      <c r="I9" s="13" t="inlineStr">
        <is>
          <t>33%</t>
        </is>
      </c>
      <c r="J9" s="13" t="inlineStr">
        <is>
          <t>-2 pts</t>
        </is>
      </c>
      <c r="K9" s="19" t="n">
        <v>106</v>
      </c>
    </row>
    <row r="10" ht="22" customHeight="1">
      <c r="B10" s="17">
        <f>IF(C10="","KPI-"&amp;TEXT(COUNTA($C$5:C10),"000"))</f>
        <v/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20" t="n"/>
    </row>
    <row r="11" ht="22" customHeight="1">
      <c r="B11" s="18">
        <f>IF(C11="","KPI-"&amp;TEXT(COUNTA($C$5:C11),"000"))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9" t="n"/>
    </row>
    <row r="12" ht="22" customHeight="1">
      <c r="B12" s="17">
        <f>IF(C12="","KPI-"&amp;TEXT(COUNTA($C$5:C12),"000"))</f>
        <v/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20" t="n"/>
    </row>
    <row r="13" ht="22" customHeight="1">
      <c r="B13" s="18">
        <f>IF(C13="","KPI-"&amp;TEXT(COUNTA($C$5:C13),"000"))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9" t="n"/>
    </row>
    <row r="14" ht="22" customHeight="1">
      <c r="B14" s="17">
        <f>IF(C14="","KPI-"&amp;TEXT(COUNTA($C$5:C14),"000"))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20" t="n"/>
    </row>
    <row r="15" ht="22" customHeight="1">
      <c r="B15" s="18">
        <f>IF(C15="","KPI-"&amp;TEXT(COUNTA($C$5:C15),"000"))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9" t="n"/>
    </row>
    <row r="16" ht="22" customHeight="1">
      <c r="B16" s="17">
        <f>IF(C16="","KPI-"&amp;TEXT(COUNTA($C$5:C16),"000"))</f>
        <v/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20" t="n"/>
    </row>
    <row r="17" ht="22" customHeight="1">
      <c r="B17" s="18">
        <f>IF(C17="","KPI-"&amp;TEXT(COUNTA($C$5:C17),"000"))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9" t="n"/>
    </row>
    <row r="18" ht="22" customHeight="1">
      <c r="B18" s="17">
        <f>IF(C18="","KPI-"&amp;TEXT(COUNTA($C$5:C18),"000"))</f>
        <v/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20" t="n"/>
    </row>
    <row r="19" ht="22" customHeight="1">
      <c r="B19" s="18">
        <f>IF(C19="","KPI-"&amp;TEXT(COUNTA($C$5:C19),"000"))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9" t="n"/>
    </row>
    <row r="20" ht="22" customHeight="1">
      <c r="B20" s="17">
        <f>IF(C20="","KPI-"&amp;TEXT(COUNTA($C$5:C20),"000"))</f>
        <v/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20" t="n"/>
    </row>
    <row r="21" ht="22" customHeight="1">
      <c r="B21" s="18">
        <f>IF(C21="","KPI-"&amp;TEXT(COUNTA($C$5:C21),"000"))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9" t="n"/>
    </row>
    <row r="22" ht="22" customHeight="1">
      <c r="B22" s="17">
        <f>IF(C22="","KPI-"&amp;TEXT(COUNTA($C$5:C22),"000"))</f>
        <v/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20" t="n"/>
    </row>
    <row r="23" ht="22" customHeight="1">
      <c r="B23" s="18">
        <f>IF(C23="","KPI-"&amp;TEXT(COUNTA($C$5:C23),"000"))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9" t="n"/>
    </row>
    <row r="24" ht="22" customHeight="1">
      <c r="B24" s="17">
        <f>IF(C24="","KPI-"&amp;TEXT(COUNTA($C$5:C24),"000"))</f>
        <v/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20" t="n"/>
    </row>
    <row r="25" ht="22" customHeight="1">
      <c r="B25" s="18">
        <f>IF(C25="","KPI-"&amp;TEXT(COUNTA($C$5:C25),"000"))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9" t="n"/>
    </row>
    <row r="26" ht="22" customHeight="1">
      <c r="B26" s="17">
        <f>IF(C26="","KPI-"&amp;TEXT(COUNTA($C$5:C26),"000"))</f>
        <v/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20" t="n"/>
    </row>
    <row r="27" ht="22" customHeight="1">
      <c r="B27" s="18">
        <f>IF(C27="","KPI-"&amp;TEXT(COUNTA($C$5:C27),"000"))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9" t="n"/>
    </row>
    <row r="28" ht="22" customHeight="1">
      <c r="B28" s="17">
        <f>IF(C28="","KPI-"&amp;TEXT(COUNTA($C$5:C28),"000"))</f>
        <v/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20" t="n"/>
    </row>
    <row r="29" ht="22" customHeight="1">
      <c r="B29" s="18">
        <f>IF(C29="","KPI-"&amp;TEXT(COUNTA($C$5:C29),"000"))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9" t="n"/>
    </row>
    <row r="30" ht="22" customHeight="1">
      <c r="B30" s="17">
        <f>IF(C30="","KPI-"&amp;TEXT(COUNTA($C$5:C30),"000"))</f>
        <v/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20" t="n"/>
    </row>
    <row r="31" ht="22" customHeight="1">
      <c r="B31" s="18">
        <f>IF(C31="","KPI-"&amp;TEXT(COUNTA($C$5:C31),"000"))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9" t="n"/>
    </row>
    <row r="32" ht="22" customHeight="1">
      <c r="B32" s="17">
        <f>IF(C32="","KPI-"&amp;TEXT(COUNTA($C$5:C32),"000"))</f>
        <v/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20" t="n"/>
    </row>
    <row r="33" ht="22" customHeight="1">
      <c r="B33" s="18">
        <f>IF(C33="","KPI-"&amp;TEXT(COUNTA($C$5:C33),"000"))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9" t="n"/>
    </row>
    <row r="34" ht="22" customHeight="1">
      <c r="B34" s="17">
        <f>IF(C34="","KPI-"&amp;TEXT(COUNTA($C$5:C34),"000"))</f>
        <v/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20" t="n"/>
    </row>
    <row r="35" ht="22" customHeight="1">
      <c r="B35" s="18">
        <f>IF(C35="","KPI-"&amp;TEXT(COUNTA($C$5:C35),"000"))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9" t="n"/>
    </row>
    <row r="36" ht="22" customHeight="1">
      <c r="B36" s="17">
        <f>IF(C36="","KPI-"&amp;TEXT(COUNTA($C$5:C36),"000"))</f>
        <v/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20" t="n"/>
    </row>
    <row r="37" ht="22" customHeight="1">
      <c r="B37" s="18">
        <f>IF(C37="","KPI-"&amp;TEXT(COUNTA($C$5:C37),"000"))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9" t="n"/>
    </row>
    <row r="38" ht="22" customHeight="1">
      <c r="B38" s="17">
        <f>IF(C38="","KPI-"&amp;TEXT(COUNTA($C$5:C38),"000"))</f>
        <v/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20" t="n"/>
    </row>
    <row r="39" ht="22" customHeight="1">
      <c r="B39" s="18">
        <f>IF(C39="","KPI-"&amp;TEXT(COUNTA($C$5:C39),"000"))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9" t="n"/>
    </row>
    <row r="40" ht="22" customHeight="1">
      <c r="B40" s="17">
        <f>IF(C40="","KPI-"&amp;TEXT(COUNTA($C$5:C40),"000"))</f>
        <v/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20" t="n"/>
    </row>
    <row r="41" ht="22" customHeight="1">
      <c r="B41" s="18">
        <f>IF(C41="","KPI-"&amp;TEXT(COUNTA($C$5:C41),"000"))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9" t="n"/>
    </row>
    <row r="42" ht="22" customHeight="1">
      <c r="B42" s="17">
        <f>IF(C42="","KPI-"&amp;TEXT(COUNTA($C$5:C42),"000"))</f>
        <v/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20" t="n"/>
    </row>
    <row r="43" ht="22" customHeight="1">
      <c r="B43" s="18">
        <f>IF(C43="","KPI-"&amp;TEXT(COUNTA($C$5:C43),"000"))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9" t="n"/>
    </row>
    <row r="44" ht="22" customHeight="1">
      <c r="B44" s="17">
        <f>IF(C44="","KPI-"&amp;TEXT(COUNTA($C$5:C44),"000"))</f>
        <v/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20" t="n"/>
    </row>
    <row r="45" ht="22" customHeight="1">
      <c r="B45" s="18">
        <f>IF(C45="","KPI-"&amp;TEXT(COUNTA($C$5:C45),"000"))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9" t="n"/>
    </row>
    <row r="46" ht="22" customHeight="1">
      <c r="B46" s="17">
        <f>IF(C46="","KPI-"&amp;TEXT(COUNTA($C$5:C46),"000"))</f>
        <v/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20" t="n"/>
    </row>
    <row r="47" ht="22" customHeight="1">
      <c r="B47" s="18">
        <f>IF(C47="","KPI-"&amp;TEXT(COUNTA($C$5:C47),"000"))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9" t="n"/>
    </row>
    <row r="48" ht="22" customHeight="1">
      <c r="B48" s="17">
        <f>IF(C48="","KPI-"&amp;TEXT(COUNTA($C$5:C48),"000"))</f>
        <v/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20" t="n"/>
    </row>
    <row r="49" ht="22" customHeight="1">
      <c r="B49" s="18">
        <f>IF(C49="","KPI-"&amp;TEXT(COUNTA($C$5:C49),"000"))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9" t="n"/>
    </row>
    <row r="50" ht="22" customHeight="1">
      <c r="B50" s="17">
        <f>IF(C50="","KPI-"&amp;TEXT(COUNTA($C$5:C50),"000"))</f>
        <v/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20" t="n"/>
    </row>
    <row r="51" ht="22" customHeight="1">
      <c r="B51" s="18">
        <f>IF(C51="","KPI-"&amp;TEXT(COUNTA($C$5:C51),"000"))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9" t="n"/>
    </row>
    <row r="52" ht="22" customHeight="1">
      <c r="B52" s="17">
        <f>IF(C52="","KPI-"&amp;TEXT(COUNTA($C$5:C52),"000"))</f>
        <v/>
      </c>
      <c r="C52" s="15" t="n"/>
      <c r="D52" s="15" t="n"/>
      <c r="E52" s="15" t="n"/>
      <c r="F52" s="15" t="n"/>
      <c r="G52" s="15" t="n"/>
      <c r="H52" s="15" t="n"/>
      <c r="I52" s="15" t="n"/>
      <c r="J52" s="15" t="n"/>
      <c r="K52" s="20" t="n"/>
    </row>
    <row r="53" ht="22" customHeight="1">
      <c r="B53" s="18">
        <f>IF(C53="","KPI-"&amp;TEXT(COUNTA($C$5:C53),"000"))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9" t="n"/>
    </row>
    <row r="54" ht="22" customHeight="1">
      <c r="B54" s="17">
        <f>IF(C54="","KPI-"&amp;TEXT(COUNTA($C$5:C54),"000"))</f>
        <v/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20" t="n"/>
    </row>
    <row r="55" ht="22" customHeight="1">
      <c r="B55" s="18">
        <f>IF(C55="","KPI-"&amp;TEXT(COUNTA($C$5:C55),"000"))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9" t="n"/>
    </row>
    <row r="56" ht="22" customHeight="1">
      <c r="B56" s="17">
        <f>IF(C56="","KPI-"&amp;TEXT(COUNTA($C$5:C56),"000"))</f>
        <v/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20" t="n"/>
    </row>
    <row r="57" ht="22" customHeight="1">
      <c r="B57" s="18">
        <f>IF(C57="","KPI-"&amp;TEXT(COUNTA($C$5:C57),"000"))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9" t="n"/>
    </row>
    <row r="58" ht="22" customHeight="1">
      <c r="B58" s="17">
        <f>IF(C58="","KPI-"&amp;TEXT(COUNTA($C$5:C58),"000"))</f>
        <v/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20" t="n"/>
    </row>
    <row r="59" ht="22" customHeight="1">
      <c r="B59" s="18">
        <f>IF(C59="","KPI-"&amp;TEXT(COUNTA($C$5:C59),"000"))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9" t="n"/>
    </row>
    <row r="60" ht="22" customHeight="1">
      <c r="B60" s="17">
        <f>IF(C60="","KPI-"&amp;TEXT(COUNTA($C$5:C60),"000"))</f>
        <v/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20" t="n"/>
    </row>
    <row r="61" ht="22" customHeight="1">
      <c r="B61" s="18">
        <f>IF(C61="","KPI-"&amp;TEXT(COUNTA($C$5:C61),"000"))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9" t="n"/>
    </row>
    <row r="62" ht="22" customHeight="1">
      <c r="B62" s="17">
        <f>IF(C62="","KPI-"&amp;TEXT(COUNTA($C$5:C62),"000"))</f>
        <v/>
      </c>
      <c r="C62" s="15" t="n"/>
      <c r="D62" s="15" t="n"/>
      <c r="E62" s="15" t="n"/>
      <c r="F62" s="15" t="n"/>
      <c r="G62" s="15" t="n"/>
      <c r="H62" s="15" t="n"/>
      <c r="I62" s="15" t="n"/>
      <c r="J62" s="15" t="n"/>
      <c r="K62" s="20" t="n"/>
    </row>
    <row r="63" ht="22" customHeight="1">
      <c r="B63" s="18">
        <f>IF(C63="","KPI-"&amp;TEXT(COUNTA($C$5:C63),"000"))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9" t="n"/>
    </row>
    <row r="64" ht="22" customHeight="1">
      <c r="B64" s="17">
        <f>IF(C64="","KPI-"&amp;TEXT(COUNTA($C$5:C64),"000"))</f>
        <v/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20" t="n"/>
    </row>
    <row r="65" ht="22" customHeight="1">
      <c r="B65" s="18">
        <f>IF(C65="","KPI-"&amp;TEXT(COUNTA($C$5:C65),"000"))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9" t="n"/>
    </row>
    <row r="66" ht="22" customHeight="1">
      <c r="B66" s="17">
        <f>IF(C66="","KPI-"&amp;TEXT(COUNTA($C$5:C66),"000"))</f>
        <v/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20" t="n"/>
    </row>
    <row r="67" ht="22" customHeight="1">
      <c r="B67" s="18">
        <f>IF(C67="","KPI-"&amp;TEXT(COUNTA($C$5:C67),"000"))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9" t="n"/>
    </row>
    <row r="68" ht="22" customHeight="1">
      <c r="B68" s="17">
        <f>IF(C68="","KPI-"&amp;TEXT(COUNTA($C$5:C68),"000"))</f>
        <v/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20" t="n"/>
    </row>
    <row r="69" ht="22" customHeight="1">
      <c r="B69" s="18">
        <f>IF(C69="","KPI-"&amp;TEXT(COUNTA($C$5:C69),"000"))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9" t="n"/>
    </row>
    <row r="70" ht="22" customHeight="1">
      <c r="B70" s="17">
        <f>IF(C70="","KPI-"&amp;TEXT(COUNTA($C$5:C70),"000"))</f>
        <v/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20" t="n"/>
    </row>
    <row r="71" ht="22" customHeight="1">
      <c r="B71" s="18">
        <f>IF(C71="","KPI-"&amp;TEXT(COUNTA($C$5:C71),"000"))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9" t="n"/>
    </row>
    <row r="72" ht="22" customHeight="1">
      <c r="B72" s="17">
        <f>IF(C72="","KPI-"&amp;TEXT(COUNTA($C$5:C72),"000"))</f>
        <v/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20" t="n"/>
    </row>
    <row r="73" ht="22" customHeight="1">
      <c r="B73" s="18">
        <f>IF(C73="","KPI-"&amp;TEXT(COUNTA($C$5:C73),"000"))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9" t="n"/>
    </row>
    <row r="74" ht="22" customHeight="1">
      <c r="B74" s="17">
        <f>IF(C74="","KPI-"&amp;TEXT(COUNTA($C$5:C74),"000"))</f>
        <v/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20" t="n"/>
    </row>
    <row r="75" ht="22" customHeight="1">
      <c r="B75" s="18">
        <f>IF(C75="","KPI-"&amp;TEXT(COUNTA($C$5:C75),"000"))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9" t="n"/>
    </row>
    <row r="76" ht="22" customHeight="1">
      <c r="B76" s="17">
        <f>IF(C76="","KPI-"&amp;TEXT(COUNTA($C$5:C76),"000"))</f>
        <v/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20" t="n"/>
    </row>
    <row r="77" ht="22" customHeight="1">
      <c r="B77" s="18">
        <f>IF(C77="","KPI-"&amp;TEXT(COUNTA($C$5:C77),"000"))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9" t="n"/>
    </row>
    <row r="78" ht="22" customHeight="1">
      <c r="B78" s="17">
        <f>IF(C78="","KPI-"&amp;TEXT(COUNTA($C$5:C78),"000"))</f>
        <v/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20" t="n"/>
    </row>
    <row r="79" ht="22" customHeight="1">
      <c r="B79" s="18">
        <f>IF(C79="","KPI-"&amp;TEXT(COUNTA($C$5:C79),"000"))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9" t="n"/>
    </row>
    <row r="80" ht="22" customHeight="1">
      <c r="B80" s="17">
        <f>IF(C80="","KPI-"&amp;TEXT(COUNTA($C$5:C80),"000"))</f>
        <v/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20" t="n"/>
    </row>
    <row r="81" ht="22" customHeight="1">
      <c r="B81" s="18">
        <f>IF(C81="","KPI-"&amp;TEXT(COUNTA($C$5:C81),"000"))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9" t="n"/>
    </row>
    <row r="82" ht="22" customHeight="1">
      <c r="B82" s="17">
        <f>IF(C82="","KPI-"&amp;TEXT(COUNTA($C$5:C82),"000"))</f>
        <v/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20" t="n"/>
    </row>
    <row r="83" ht="22" customHeight="1">
      <c r="B83" s="18">
        <f>IF(C83="","KPI-"&amp;TEXT(COUNTA($C$5:C83),"000"))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9" t="n"/>
    </row>
    <row r="84" ht="22" customHeight="1">
      <c r="B84" s="17">
        <f>IF(C84="","KPI-"&amp;TEXT(COUNTA($C$5:C84),"000"))</f>
        <v/>
      </c>
      <c r="C84" s="15" t="n"/>
      <c r="D84" s="15" t="n"/>
      <c r="E84" s="15" t="n"/>
      <c r="F84" s="15" t="n"/>
      <c r="G84" s="15" t="n"/>
      <c r="H84" s="15" t="n"/>
      <c r="I84" s="15" t="n"/>
      <c r="J84" s="15" t="n"/>
      <c r="K84" s="20" t="n"/>
    </row>
    <row r="85" ht="22" customHeight="1">
      <c r="B85" s="18">
        <f>IF(C85="","KPI-"&amp;TEXT(COUNTA($C$5:C85),"000"))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9" t="n"/>
    </row>
    <row r="86" ht="22" customHeight="1">
      <c r="B86" s="17">
        <f>IF(C86="","KPI-"&amp;TEXT(COUNTA($C$5:C86),"000"))</f>
        <v/>
      </c>
      <c r="C86" s="15" t="n"/>
      <c r="D86" s="15" t="n"/>
      <c r="E86" s="15" t="n"/>
      <c r="F86" s="15" t="n"/>
      <c r="G86" s="15" t="n"/>
      <c r="H86" s="15" t="n"/>
      <c r="I86" s="15" t="n"/>
      <c r="J86" s="15" t="n"/>
      <c r="K86" s="20" t="n"/>
    </row>
    <row r="87" ht="22" customHeight="1">
      <c r="B87" s="18">
        <f>IF(C87="","KPI-"&amp;TEXT(COUNTA($C$5:C87),"000"))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9" t="n"/>
    </row>
    <row r="88" ht="22" customHeight="1">
      <c r="B88" s="17">
        <f>IF(C88="","KPI-"&amp;TEXT(COUNTA($C$5:C88),"000"))</f>
        <v/>
      </c>
      <c r="C88" s="15" t="n"/>
      <c r="D88" s="15" t="n"/>
      <c r="E88" s="15" t="n"/>
      <c r="F88" s="15" t="n"/>
      <c r="G88" s="15" t="n"/>
      <c r="H88" s="15" t="n"/>
      <c r="I88" s="15" t="n"/>
      <c r="J88" s="15" t="n"/>
      <c r="K88" s="20" t="n"/>
    </row>
    <row r="89" ht="22" customHeight="1">
      <c r="B89" s="18">
        <f>IF(C89="","KPI-"&amp;TEXT(COUNTA($C$5:C89),"000"))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9" t="n"/>
    </row>
    <row r="90" ht="22" customHeight="1">
      <c r="B90" s="17">
        <f>IF(C90="","KPI-"&amp;TEXT(COUNTA($C$5:C90),"000"))</f>
        <v/>
      </c>
      <c r="C90" s="15" t="n"/>
      <c r="D90" s="15" t="n"/>
      <c r="E90" s="15" t="n"/>
      <c r="F90" s="15" t="n"/>
      <c r="G90" s="15" t="n"/>
      <c r="H90" s="15" t="n"/>
      <c r="I90" s="15" t="n"/>
      <c r="J90" s="15" t="n"/>
      <c r="K90" s="20" t="n"/>
    </row>
    <row r="91" ht="22" customHeight="1">
      <c r="B91" s="18">
        <f>IF(C91="","KPI-"&amp;TEXT(COUNTA($C$5:C91),"000"))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9" t="n"/>
    </row>
    <row r="92" ht="22" customHeight="1">
      <c r="B92" s="17">
        <f>IF(C92="","KPI-"&amp;TEXT(COUNTA($C$5:C92),"000"))</f>
        <v/>
      </c>
      <c r="C92" s="15" t="n"/>
      <c r="D92" s="15" t="n"/>
      <c r="E92" s="15" t="n"/>
      <c r="F92" s="15" t="n"/>
      <c r="G92" s="15" t="n"/>
      <c r="H92" s="15" t="n"/>
      <c r="I92" s="15" t="n"/>
      <c r="J92" s="15" t="n"/>
      <c r="K92" s="20" t="n"/>
    </row>
    <row r="93" ht="22" customHeight="1">
      <c r="B93" s="18">
        <f>IF(C93="","KPI-"&amp;TEXT(COUNTA($C$5:C93),"000"))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9" t="n"/>
    </row>
    <row r="94" ht="22" customHeight="1">
      <c r="B94" s="17">
        <f>IF(C94="","KPI-"&amp;TEXT(COUNTA($C$5:C94),"000"))</f>
        <v/>
      </c>
      <c r="C94" s="15" t="n"/>
      <c r="D94" s="15" t="n"/>
      <c r="E94" s="15" t="n"/>
      <c r="F94" s="15" t="n"/>
      <c r="G94" s="15" t="n"/>
      <c r="H94" s="15" t="n"/>
      <c r="I94" s="15" t="n"/>
      <c r="J94" s="15" t="n"/>
      <c r="K94" s="20" t="n"/>
    </row>
    <row r="95" ht="22" customHeight="1">
      <c r="B95" s="18">
        <f>IF(C95="","KPI-"&amp;TEXT(COUNTA($C$5:C95),"000"))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9" t="n"/>
    </row>
    <row r="96" ht="22" customHeight="1">
      <c r="B96" s="17">
        <f>IF(C96="","KPI-"&amp;TEXT(COUNTA($C$5:C96),"000"))</f>
        <v/>
      </c>
      <c r="C96" s="15" t="n"/>
      <c r="D96" s="15" t="n"/>
      <c r="E96" s="15" t="n"/>
      <c r="F96" s="15" t="n"/>
      <c r="G96" s="15" t="n"/>
      <c r="H96" s="15" t="n"/>
      <c r="I96" s="15" t="n"/>
      <c r="J96" s="15" t="n"/>
      <c r="K96" s="20" t="n"/>
    </row>
    <row r="97" ht="22" customHeight="1">
      <c r="B97" s="18">
        <f>IF(C97="","KPI-"&amp;TEXT(COUNTA($C$5:C97),"000"))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9" t="n"/>
    </row>
    <row r="98" ht="22" customHeight="1">
      <c r="B98" s="17">
        <f>IF(C98="","KPI-"&amp;TEXT(COUNTA($C$5:C98),"000"))</f>
        <v/>
      </c>
      <c r="C98" s="15" t="n"/>
      <c r="D98" s="15" t="n"/>
      <c r="E98" s="15" t="n"/>
      <c r="F98" s="15" t="n"/>
      <c r="G98" s="15" t="n"/>
      <c r="H98" s="15" t="n"/>
      <c r="I98" s="15" t="n"/>
      <c r="J98" s="15" t="n"/>
      <c r="K98" s="20" t="n"/>
    </row>
    <row r="99" ht="22" customHeight="1">
      <c r="B99" s="18">
        <f>IF(C99="","KPI-"&amp;TEXT(COUNTA($C$5:C99),"000"))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9" t="n"/>
    </row>
    <row r="100" ht="22" customHeight="1">
      <c r="B100" s="17">
        <f>IF(C100="","KPI-"&amp;TEXT(COUNTA($C$5:C100),"000"))</f>
        <v/>
      </c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20" t="n"/>
    </row>
    <row r="101" ht="22" customHeight="1">
      <c r="B101" s="18">
        <f>IF(C101="","KPI-"&amp;TEXT(COUNTA($C$5:C101),"000"))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9" t="n"/>
    </row>
    <row r="102" ht="22" customHeight="1">
      <c r="B102" s="17">
        <f>IF(C102="","KPI-"&amp;TEXT(COUNTA($C$5:C102),"000"))</f>
        <v/>
      </c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20" t="n"/>
    </row>
    <row r="103" ht="22" customHeight="1">
      <c r="B103" s="18">
        <f>IF(C103="","KPI-"&amp;TEXT(COUNTA($C$5:C103),"000"))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9" t="n"/>
    </row>
    <row r="104" ht="22" customHeight="1">
      <c r="B104" s="17">
        <f>IF(C104="","KPI-"&amp;TEXT(COUNTA($C$5:C104),"000"))</f>
        <v/>
      </c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20" t="n"/>
    </row>
    <row r="105" ht="22" customHeight="1">
      <c r="B105" s="18">
        <f>IF(C105="","KPI-"&amp;TEXT(COUNTA($C$5:C105),"000"))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9" t="n"/>
    </row>
    <row r="106" ht="22" customHeight="1">
      <c r="B106" s="17">
        <f>IF(C106="","KPI-"&amp;TEXT(COUNTA($C$5:C106),"000"))</f>
        <v/>
      </c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20" t="n"/>
    </row>
    <row r="107" ht="22" customHeight="1">
      <c r="B107" s="18">
        <f>IF(C107="","KPI-"&amp;TEXT(COUNTA($C$5:C107),"000"))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9" t="n"/>
    </row>
    <row r="108" ht="22" customHeight="1">
      <c r="B108" s="17">
        <f>IF(C108="","KPI-"&amp;TEXT(COUNTA($C$5:C108),"000"))</f>
        <v/>
      </c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20" t="n"/>
    </row>
    <row r="109" ht="22" customHeight="1">
      <c r="B109" s="18">
        <f>IF(C109="","KPI-"&amp;TEXT(COUNTA($C$5:C109),"000"))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9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KPI suivis</t>
        </is>
      </c>
      <c r="D112" s="3" t="inlineStr">
        <is>
          <t>Taux realisation moyen</t>
        </is>
      </c>
      <c r="F112" s="3" t="inlineStr">
        <is>
          <t>KPI atteints (&gt;90%)</t>
        </is>
      </c>
      <c r="H112" s="3" t="inlineStr">
        <is>
          <t>KPI critiques (&lt;50%)</t>
        </is>
      </c>
    </row>
    <row r="113">
      <c r="B113" s="4">
        <f>COUNTIF(B5:B104,"&lt;&gt;")</f>
        <v/>
      </c>
      <c r="D113" s="4">
        <f>IFERROR(AVERAGE(K5:K104),0)</f>
        <v/>
      </c>
      <c r="F113" s="4">
        <f>COUNTIF(K5:K104,"&gt;=90")</f>
        <v/>
      </c>
      <c r="H113" s="4">
        <f>COUNTIF(K5:K104,"&lt;50")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1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30" customWidth="1" min="7" max="7"/>
    <col width="20" customWidth="1" min="8" max="8"/>
    <col width="36" customWidth="1" min="9" max="9"/>
    <col width="14" customWidth="1" min="10" max="10"/>
    <col width="20" customWidth="1" min="11" max="11"/>
    <col width="14" customWidth="1" min="12" max="12"/>
    <col width="14" customWidth="1" min="13" max="13"/>
  </cols>
  <sheetData>
    <row r="1" ht="15" customHeight="1"/>
    <row r="2" ht="32" customHeight="1">
      <c r="B2" s="1" t="inlineStr">
        <is>
          <t>PLAN D'AMELIORATION DE LA PERFORMANCE - PAP (#82)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PAP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Points Faibles Identifies</t>
        </is>
      </c>
      <c r="H4" s="12" t="inlineStr">
        <is>
          <t>Type Action</t>
        </is>
      </c>
      <c r="I4" s="12" t="inlineStr">
        <is>
          <t>Action Concrete</t>
        </is>
      </c>
      <c r="J4" s="12" t="inlineStr">
        <is>
          <t>Echeance</t>
        </is>
      </c>
      <c r="K4" s="12" t="inlineStr">
        <is>
          <t>Evaluateur</t>
        </is>
      </c>
      <c r="L4" s="12" t="inlineStr">
        <is>
          <t>Avancement (%)</t>
        </is>
      </c>
      <c r="M4" s="12" t="inlineStr">
        <is>
          <t>Statut</t>
        </is>
      </c>
    </row>
    <row r="5" ht="22" customHeight="1">
      <c r="B5" s="13" t="inlineStr">
        <is>
          <t>PAP-001</t>
        </is>
      </c>
      <c r="C5" s="13" t="inlineStr">
        <is>
          <t>EMP-2025-020</t>
        </is>
      </c>
      <c r="D5" s="13" t="inlineStr">
        <is>
          <t>Tagne Rene</t>
        </is>
      </c>
      <c r="E5" s="13" t="inlineStr">
        <is>
          <t>Cuisine &amp; Restauration</t>
        </is>
      </c>
      <c r="F5" s="13" t="inlineStr">
        <is>
          <t>Cuisinier</t>
        </is>
      </c>
      <c r="G5" s="13" t="inlineStr">
        <is>
          <t>Non conformites HACCP repetees</t>
        </is>
      </c>
      <c r="H5" s="13" t="inlineStr">
        <is>
          <t>Formation ciblee</t>
        </is>
      </c>
      <c r="I5" s="13" t="inlineStr">
        <is>
          <t>Formation HACCP niveau 2 + suivi hebdo</t>
        </is>
      </c>
      <c r="J5" s="21" t="n">
        <v>45930</v>
      </c>
      <c r="K5" s="13" t="inlineStr">
        <is>
          <t>Chef Cuisine</t>
        </is>
      </c>
      <c r="L5" s="23" t="n">
        <v>40</v>
      </c>
      <c r="M5" s="13" t="inlineStr">
        <is>
          <t>En cours</t>
        </is>
      </c>
    </row>
    <row r="6" ht="22" customHeight="1">
      <c r="B6" s="15" t="inlineStr">
        <is>
          <t>PAP-002</t>
        </is>
      </c>
      <c r="C6" s="15" t="inlineStr">
        <is>
          <t>EMP-2025-032</t>
        </is>
      </c>
      <c r="D6" s="15" t="inlineStr">
        <is>
          <t>Mba Carine</t>
        </is>
      </c>
      <c r="E6" s="15" t="inlineStr">
        <is>
          <t>Service Client</t>
        </is>
      </c>
      <c r="F6" s="15" t="inlineStr">
        <is>
          <t>Conseiller</t>
        </is>
      </c>
      <c r="G6" s="15" t="inlineStr">
        <is>
          <t>Accueil clients insuffisant a l'essai</t>
        </is>
      </c>
      <c r="H6" s="15" t="inlineStr">
        <is>
          <t>Coaching individuel</t>
        </is>
      </c>
      <c r="I6" s="15" t="inlineStr">
        <is>
          <t>Coaching 2h/semaine avec N+1 + observation</t>
        </is>
      </c>
      <c r="J6" s="22" t="n">
        <v>45900</v>
      </c>
      <c r="K6" s="15" t="inlineStr">
        <is>
          <t>Chef Service Client</t>
        </is>
      </c>
      <c r="L6" s="24" t="n">
        <v>60</v>
      </c>
      <c r="M6" s="15" t="inlineStr">
        <is>
          <t>En cours</t>
        </is>
      </c>
    </row>
    <row r="7" ht="22" customHeight="1">
      <c r="B7" s="13" t="inlineStr">
        <is>
          <t>PAP-003</t>
        </is>
      </c>
      <c r="C7" s="13" t="inlineStr">
        <is>
          <t>EMP-2025-001</t>
        </is>
      </c>
      <c r="D7" s="13" t="inlineStr">
        <is>
          <t>Nganou Clarisse</t>
        </is>
      </c>
      <c r="E7" s="13" t="inlineStr">
        <is>
          <t>Ressources Humaines</t>
        </is>
      </c>
      <c r="F7" s="13" t="inlineStr">
        <is>
          <t>DRH</t>
        </is>
      </c>
      <c r="G7" s="13" t="inlineStr">
        <is>
          <t>Turnover superieur a l'objectif</t>
        </is>
      </c>
      <c r="H7" s="13" t="inlineStr">
        <is>
          <t>Suivi renforce</t>
        </is>
      </c>
      <c r="I7" s="13" t="inlineStr">
        <is>
          <t>Entretiens individuels mensuels + plan retention</t>
        </is>
      </c>
      <c r="J7" s="21" t="n">
        <v>46022</v>
      </c>
      <c r="K7" s="13" t="inlineStr">
        <is>
          <t>DG</t>
        </is>
      </c>
      <c r="L7" s="23" t="n">
        <v>50</v>
      </c>
      <c r="M7" s="13" t="inlineStr">
        <is>
          <t>En cours</t>
        </is>
      </c>
    </row>
    <row r="8" ht="22" customHeight="1">
      <c r="B8" s="15" t="inlineStr">
        <is>
          <t>PAP-004</t>
        </is>
      </c>
      <c r="C8" s="15" t="inlineStr">
        <is>
          <t>EMP-2025-018</t>
        </is>
      </c>
      <c r="D8" s="15" t="inlineStr">
        <is>
          <t>Fokam Eric</t>
        </is>
      </c>
      <c r="E8" s="15" t="inlineStr">
        <is>
          <t>Entretien &amp; Maintenance</t>
        </is>
      </c>
      <c r="F8" s="15" t="inlineStr">
        <is>
          <t>Agent Entretien</t>
        </is>
      </c>
      <c r="G8" s="15" t="inlineStr">
        <is>
          <t>Retards repetes</t>
        </is>
      </c>
      <c r="H8" s="15" t="inlineStr">
        <is>
          <t>Suivi renforce</t>
        </is>
      </c>
      <c r="I8" s="15" t="inlineStr">
        <is>
          <t>Pointage quotidien + entretien RH</t>
        </is>
      </c>
      <c r="J8" s="22" t="n">
        <v>45884</v>
      </c>
      <c r="K8" s="15" t="inlineStr">
        <is>
          <t>Chef Entretien</t>
        </is>
      </c>
      <c r="L8" s="24" t="n">
        <v>80</v>
      </c>
      <c r="M8" s="15" t="inlineStr">
        <is>
          <t>En cours</t>
        </is>
      </c>
    </row>
    <row r="9" ht="22" customHeight="1">
      <c r="B9" s="18">
        <f>IF(C9="","PAP-"&amp;TEXT(COUNTA($C$5:C9),"000"))</f>
        <v/>
      </c>
      <c r="C9" s="13" t="n"/>
      <c r="D9" s="13" t="n"/>
      <c r="E9" s="13" t="n"/>
      <c r="F9" s="13" t="n"/>
      <c r="G9" s="13" t="n"/>
      <c r="H9" s="13" t="n"/>
      <c r="I9" s="13" t="n"/>
      <c r="J9" s="21" t="n"/>
      <c r="K9" s="13" t="n"/>
      <c r="L9" s="23" t="n"/>
      <c r="M9" s="13" t="n"/>
    </row>
    <row r="10" ht="22" customHeight="1">
      <c r="B10" s="17">
        <f>IF(C10="","PAP-"&amp;TEXT(COUNTA($C$5:C10),"000"))</f>
        <v/>
      </c>
      <c r="C10" s="15" t="n"/>
      <c r="D10" s="15" t="n"/>
      <c r="E10" s="15" t="n"/>
      <c r="F10" s="15" t="n"/>
      <c r="G10" s="15" t="n"/>
      <c r="H10" s="15" t="n"/>
      <c r="I10" s="15" t="n"/>
      <c r="J10" s="22" t="n"/>
      <c r="K10" s="15" t="n"/>
      <c r="L10" s="24" t="n"/>
      <c r="M10" s="15" t="n"/>
    </row>
    <row r="11" ht="22" customHeight="1">
      <c r="B11" s="18">
        <f>IF(C11="","PAP-"&amp;TEXT(COUNTA($C$5:C11),"000"))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21" t="n"/>
      <c r="K11" s="13" t="n"/>
      <c r="L11" s="23" t="n"/>
      <c r="M11" s="13" t="n"/>
    </row>
    <row r="12" ht="22" customHeight="1">
      <c r="B12" s="17">
        <f>IF(C12="","PAP-"&amp;TEXT(COUNTA($C$5:C12),"000"))</f>
        <v/>
      </c>
      <c r="C12" s="15" t="n"/>
      <c r="D12" s="15" t="n"/>
      <c r="E12" s="15" t="n"/>
      <c r="F12" s="15" t="n"/>
      <c r="G12" s="15" t="n"/>
      <c r="H12" s="15" t="n"/>
      <c r="I12" s="15" t="n"/>
      <c r="J12" s="22" t="n"/>
      <c r="K12" s="15" t="n"/>
      <c r="L12" s="24" t="n"/>
      <c r="M12" s="15" t="n"/>
    </row>
    <row r="13" ht="22" customHeight="1">
      <c r="B13" s="18">
        <f>IF(C13="","PAP-"&amp;TEXT(COUNTA($C$5:C13),"000"))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21" t="n"/>
      <c r="K13" s="13" t="n"/>
      <c r="L13" s="23" t="n"/>
      <c r="M13" s="13" t="n"/>
    </row>
    <row r="14" ht="22" customHeight="1">
      <c r="B14" s="17">
        <f>IF(C14="","PAP-"&amp;TEXT(COUNTA($C$5:C14),"000"))</f>
        <v/>
      </c>
      <c r="C14" s="15" t="n"/>
      <c r="D14" s="15" t="n"/>
      <c r="E14" s="15" t="n"/>
      <c r="F14" s="15" t="n"/>
      <c r="G14" s="15" t="n"/>
      <c r="H14" s="15" t="n"/>
      <c r="I14" s="15" t="n"/>
      <c r="J14" s="22" t="n"/>
      <c r="K14" s="15" t="n"/>
      <c r="L14" s="24" t="n"/>
      <c r="M14" s="15" t="n"/>
    </row>
    <row r="15" ht="22" customHeight="1">
      <c r="B15" s="18">
        <f>IF(C15="","PAP-"&amp;TEXT(COUNTA($C$5:C15),"000"))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21" t="n"/>
      <c r="K15" s="13" t="n"/>
      <c r="L15" s="23" t="n"/>
      <c r="M15" s="13" t="n"/>
    </row>
    <row r="16" ht="22" customHeight="1">
      <c r="B16" s="17">
        <f>IF(C16="","PAP-"&amp;TEXT(COUNTA($C$5:C16),"000"))</f>
        <v/>
      </c>
      <c r="C16" s="15" t="n"/>
      <c r="D16" s="15" t="n"/>
      <c r="E16" s="15" t="n"/>
      <c r="F16" s="15" t="n"/>
      <c r="G16" s="15" t="n"/>
      <c r="H16" s="15" t="n"/>
      <c r="I16" s="15" t="n"/>
      <c r="J16" s="22" t="n"/>
      <c r="K16" s="15" t="n"/>
      <c r="L16" s="24" t="n"/>
      <c r="M16" s="15" t="n"/>
    </row>
    <row r="17" ht="22" customHeight="1">
      <c r="B17" s="18">
        <f>IF(C17="","PAP-"&amp;TEXT(COUNTA($C$5:C17),"000"))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21" t="n"/>
      <c r="K17" s="13" t="n"/>
      <c r="L17" s="23" t="n"/>
      <c r="M17" s="13" t="n"/>
    </row>
    <row r="18" ht="22" customHeight="1">
      <c r="B18" s="17">
        <f>IF(C18="","PAP-"&amp;TEXT(COUNTA($C$5:C18),"000"))</f>
        <v/>
      </c>
      <c r="C18" s="15" t="n"/>
      <c r="D18" s="15" t="n"/>
      <c r="E18" s="15" t="n"/>
      <c r="F18" s="15" t="n"/>
      <c r="G18" s="15" t="n"/>
      <c r="H18" s="15" t="n"/>
      <c r="I18" s="15" t="n"/>
      <c r="J18" s="22" t="n"/>
      <c r="K18" s="15" t="n"/>
      <c r="L18" s="24" t="n"/>
      <c r="M18" s="15" t="n"/>
    </row>
    <row r="19" ht="22" customHeight="1">
      <c r="B19" s="18">
        <f>IF(C19="","PAP-"&amp;TEXT(COUNTA($C$5:C19),"000"))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21" t="n"/>
      <c r="K19" s="13" t="n"/>
      <c r="L19" s="23" t="n"/>
      <c r="M19" s="13" t="n"/>
    </row>
    <row r="20" ht="22" customHeight="1">
      <c r="B20" s="17">
        <f>IF(C20="","PAP-"&amp;TEXT(COUNTA($C$5:C20),"000"))</f>
        <v/>
      </c>
      <c r="C20" s="15" t="n"/>
      <c r="D20" s="15" t="n"/>
      <c r="E20" s="15" t="n"/>
      <c r="F20" s="15" t="n"/>
      <c r="G20" s="15" t="n"/>
      <c r="H20" s="15" t="n"/>
      <c r="I20" s="15" t="n"/>
      <c r="J20" s="22" t="n"/>
      <c r="K20" s="15" t="n"/>
      <c r="L20" s="24" t="n"/>
      <c r="M20" s="15" t="n"/>
    </row>
    <row r="21" ht="22" customHeight="1">
      <c r="B21" s="18">
        <f>IF(C21="","PAP-"&amp;TEXT(COUNTA($C$5:C21),"000"))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21" t="n"/>
      <c r="K21" s="13" t="n"/>
      <c r="L21" s="23" t="n"/>
      <c r="M21" s="13" t="n"/>
    </row>
    <row r="22" ht="22" customHeight="1">
      <c r="B22" s="17">
        <f>IF(C22="","PAP-"&amp;TEXT(COUNTA($C$5:C22),"000"))</f>
        <v/>
      </c>
      <c r="C22" s="15" t="n"/>
      <c r="D22" s="15" t="n"/>
      <c r="E22" s="15" t="n"/>
      <c r="F22" s="15" t="n"/>
      <c r="G22" s="15" t="n"/>
      <c r="H22" s="15" t="n"/>
      <c r="I22" s="15" t="n"/>
      <c r="J22" s="22" t="n"/>
      <c r="K22" s="15" t="n"/>
      <c r="L22" s="24" t="n"/>
      <c r="M22" s="15" t="n"/>
    </row>
    <row r="23" ht="22" customHeight="1">
      <c r="B23" s="18">
        <f>IF(C23="","PAP-"&amp;TEXT(COUNTA($C$5:C23),"000"))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21" t="n"/>
      <c r="K23" s="13" t="n"/>
      <c r="L23" s="23" t="n"/>
      <c r="M23" s="13" t="n"/>
    </row>
    <row r="24" ht="22" customHeight="1">
      <c r="B24" s="17">
        <f>IF(C24="","PAP-"&amp;TEXT(COUNTA($C$5:C24),"000"))</f>
        <v/>
      </c>
      <c r="C24" s="15" t="n"/>
      <c r="D24" s="15" t="n"/>
      <c r="E24" s="15" t="n"/>
      <c r="F24" s="15" t="n"/>
      <c r="G24" s="15" t="n"/>
      <c r="H24" s="15" t="n"/>
      <c r="I24" s="15" t="n"/>
      <c r="J24" s="22" t="n"/>
      <c r="K24" s="15" t="n"/>
      <c r="L24" s="24" t="n"/>
      <c r="M24" s="15" t="n"/>
    </row>
    <row r="25" ht="22" customHeight="1">
      <c r="B25" s="18">
        <f>IF(C25="","PAP-"&amp;TEXT(COUNTA($C$5:C25),"000"))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21" t="n"/>
      <c r="K25" s="13" t="n"/>
      <c r="L25" s="23" t="n"/>
      <c r="M25" s="13" t="n"/>
    </row>
    <row r="26" ht="22" customHeight="1">
      <c r="B26" s="17">
        <f>IF(C26="","PAP-"&amp;TEXT(COUNTA($C$5:C26),"000"))</f>
        <v/>
      </c>
      <c r="C26" s="15" t="n"/>
      <c r="D26" s="15" t="n"/>
      <c r="E26" s="15" t="n"/>
      <c r="F26" s="15" t="n"/>
      <c r="G26" s="15" t="n"/>
      <c r="H26" s="15" t="n"/>
      <c r="I26" s="15" t="n"/>
      <c r="J26" s="22" t="n"/>
      <c r="K26" s="15" t="n"/>
      <c r="L26" s="24" t="n"/>
      <c r="M26" s="15" t="n"/>
    </row>
    <row r="27" ht="22" customHeight="1">
      <c r="B27" s="18">
        <f>IF(C27="","PAP-"&amp;TEXT(COUNTA($C$5:C27),"000"))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21" t="n"/>
      <c r="K27" s="13" t="n"/>
      <c r="L27" s="23" t="n"/>
      <c r="M27" s="13" t="n"/>
    </row>
    <row r="28" ht="22" customHeight="1">
      <c r="B28" s="17">
        <f>IF(C28="","PAP-"&amp;TEXT(COUNTA($C$5:C28),"000"))</f>
        <v/>
      </c>
      <c r="C28" s="15" t="n"/>
      <c r="D28" s="15" t="n"/>
      <c r="E28" s="15" t="n"/>
      <c r="F28" s="15" t="n"/>
      <c r="G28" s="15" t="n"/>
      <c r="H28" s="15" t="n"/>
      <c r="I28" s="15" t="n"/>
      <c r="J28" s="22" t="n"/>
      <c r="K28" s="15" t="n"/>
      <c r="L28" s="24" t="n"/>
      <c r="M28" s="15" t="n"/>
    </row>
    <row r="29" ht="22" customHeight="1">
      <c r="B29" s="18">
        <f>IF(C29="","PAP-"&amp;TEXT(COUNTA($C$5:C29),"000"))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21" t="n"/>
      <c r="K29" s="13" t="n"/>
      <c r="L29" s="23" t="n"/>
      <c r="M29" s="13" t="n"/>
    </row>
    <row r="30" ht="22" customHeight="1">
      <c r="B30" s="17">
        <f>IF(C30="","PAP-"&amp;TEXT(COUNTA($C$5:C30),"000"))</f>
        <v/>
      </c>
      <c r="C30" s="15" t="n"/>
      <c r="D30" s="15" t="n"/>
      <c r="E30" s="15" t="n"/>
      <c r="F30" s="15" t="n"/>
      <c r="G30" s="15" t="n"/>
      <c r="H30" s="15" t="n"/>
      <c r="I30" s="15" t="n"/>
      <c r="J30" s="22" t="n"/>
      <c r="K30" s="15" t="n"/>
      <c r="L30" s="24" t="n"/>
      <c r="M30" s="15" t="n"/>
    </row>
    <row r="31" ht="22" customHeight="1">
      <c r="B31" s="18">
        <f>IF(C31="","PAP-"&amp;TEXT(COUNTA($C$5:C31),"000"))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21" t="n"/>
      <c r="K31" s="13" t="n"/>
      <c r="L31" s="23" t="n"/>
      <c r="M31" s="13" t="n"/>
    </row>
    <row r="32" ht="22" customHeight="1">
      <c r="B32" s="17">
        <f>IF(C32="","PAP-"&amp;TEXT(COUNTA($C$5:C32),"000"))</f>
        <v/>
      </c>
      <c r="C32" s="15" t="n"/>
      <c r="D32" s="15" t="n"/>
      <c r="E32" s="15" t="n"/>
      <c r="F32" s="15" t="n"/>
      <c r="G32" s="15" t="n"/>
      <c r="H32" s="15" t="n"/>
      <c r="I32" s="15" t="n"/>
      <c r="J32" s="22" t="n"/>
      <c r="K32" s="15" t="n"/>
      <c r="L32" s="24" t="n"/>
      <c r="M32" s="15" t="n"/>
    </row>
    <row r="33" ht="22" customHeight="1">
      <c r="B33" s="18">
        <f>IF(C33="","PAP-"&amp;TEXT(COUNTA($C$5:C33),"000"))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21" t="n"/>
      <c r="K33" s="13" t="n"/>
      <c r="L33" s="23" t="n"/>
      <c r="M33" s="13" t="n"/>
    </row>
    <row r="34" ht="22" customHeight="1">
      <c r="B34" s="17">
        <f>IF(C34="","PAP-"&amp;TEXT(COUNTA($C$5:C34),"000"))</f>
        <v/>
      </c>
      <c r="C34" s="15" t="n"/>
      <c r="D34" s="15" t="n"/>
      <c r="E34" s="15" t="n"/>
      <c r="F34" s="15" t="n"/>
      <c r="G34" s="15" t="n"/>
      <c r="H34" s="15" t="n"/>
      <c r="I34" s="15" t="n"/>
      <c r="J34" s="22" t="n"/>
      <c r="K34" s="15" t="n"/>
      <c r="L34" s="24" t="n"/>
      <c r="M34" s="15" t="n"/>
    </row>
    <row r="35" ht="22" customHeight="1">
      <c r="B35" s="18">
        <f>IF(C35="","PAP-"&amp;TEXT(COUNTA($C$5:C35),"000"))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21" t="n"/>
      <c r="K35" s="13" t="n"/>
      <c r="L35" s="23" t="n"/>
      <c r="M35" s="13" t="n"/>
    </row>
    <row r="36" ht="22" customHeight="1">
      <c r="B36" s="17">
        <f>IF(C36="","PAP-"&amp;TEXT(COUNTA($C$5:C36),"000"))</f>
        <v/>
      </c>
      <c r="C36" s="15" t="n"/>
      <c r="D36" s="15" t="n"/>
      <c r="E36" s="15" t="n"/>
      <c r="F36" s="15" t="n"/>
      <c r="G36" s="15" t="n"/>
      <c r="H36" s="15" t="n"/>
      <c r="I36" s="15" t="n"/>
      <c r="J36" s="22" t="n"/>
      <c r="K36" s="15" t="n"/>
      <c r="L36" s="24" t="n"/>
      <c r="M36" s="15" t="n"/>
    </row>
    <row r="37" ht="22" customHeight="1">
      <c r="B37" s="18">
        <f>IF(C37="","PAP-"&amp;TEXT(COUNTA($C$5:C37),"000"))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21" t="n"/>
      <c r="K37" s="13" t="n"/>
      <c r="L37" s="23" t="n"/>
      <c r="M37" s="13" t="n"/>
    </row>
    <row r="38" ht="22" customHeight="1">
      <c r="B38" s="17">
        <f>IF(C38="","PAP-"&amp;TEXT(COUNTA($C$5:C38),"000"))</f>
        <v/>
      </c>
      <c r="C38" s="15" t="n"/>
      <c r="D38" s="15" t="n"/>
      <c r="E38" s="15" t="n"/>
      <c r="F38" s="15" t="n"/>
      <c r="G38" s="15" t="n"/>
      <c r="H38" s="15" t="n"/>
      <c r="I38" s="15" t="n"/>
      <c r="J38" s="22" t="n"/>
      <c r="K38" s="15" t="n"/>
      <c r="L38" s="24" t="n"/>
      <c r="M38" s="15" t="n"/>
    </row>
    <row r="39" ht="22" customHeight="1">
      <c r="B39" s="18">
        <f>IF(C39="","PAP-"&amp;TEXT(COUNTA($C$5:C39),"000"))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21" t="n"/>
      <c r="K39" s="13" t="n"/>
      <c r="L39" s="23" t="n"/>
      <c r="M39" s="13" t="n"/>
    </row>
    <row r="40" ht="22" customHeight="1">
      <c r="B40" s="17">
        <f>IF(C40="","PAP-"&amp;TEXT(COUNTA($C$5:C40),"000"))</f>
        <v/>
      </c>
      <c r="C40" s="15" t="n"/>
      <c r="D40" s="15" t="n"/>
      <c r="E40" s="15" t="n"/>
      <c r="F40" s="15" t="n"/>
      <c r="G40" s="15" t="n"/>
      <c r="H40" s="15" t="n"/>
      <c r="I40" s="15" t="n"/>
      <c r="J40" s="22" t="n"/>
      <c r="K40" s="15" t="n"/>
      <c r="L40" s="24" t="n"/>
      <c r="M40" s="15" t="n"/>
    </row>
    <row r="41" ht="22" customHeight="1">
      <c r="B41" s="18">
        <f>IF(C41="","PAP-"&amp;TEXT(COUNTA($C$5:C41),"000"))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21" t="n"/>
      <c r="K41" s="13" t="n"/>
      <c r="L41" s="23" t="n"/>
      <c r="M41" s="13" t="n"/>
    </row>
    <row r="42" ht="22" customHeight="1">
      <c r="B42" s="17">
        <f>IF(C42="","PAP-"&amp;TEXT(COUNTA($C$5:C42),"000"))</f>
        <v/>
      </c>
      <c r="C42" s="15" t="n"/>
      <c r="D42" s="15" t="n"/>
      <c r="E42" s="15" t="n"/>
      <c r="F42" s="15" t="n"/>
      <c r="G42" s="15" t="n"/>
      <c r="H42" s="15" t="n"/>
      <c r="I42" s="15" t="n"/>
      <c r="J42" s="22" t="n"/>
      <c r="K42" s="15" t="n"/>
      <c r="L42" s="24" t="n"/>
      <c r="M42" s="15" t="n"/>
    </row>
    <row r="43" ht="22" customHeight="1">
      <c r="B43" s="18">
        <f>IF(C43="","PAP-"&amp;TEXT(COUNTA($C$5:C43),"000"))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21" t="n"/>
      <c r="K43" s="13" t="n"/>
      <c r="L43" s="23" t="n"/>
      <c r="M43" s="13" t="n"/>
    </row>
    <row r="44" ht="22" customHeight="1">
      <c r="B44" s="17">
        <f>IF(C44="","PAP-"&amp;TEXT(COUNTA($C$5:C44),"000"))</f>
        <v/>
      </c>
      <c r="C44" s="15" t="n"/>
      <c r="D44" s="15" t="n"/>
      <c r="E44" s="15" t="n"/>
      <c r="F44" s="15" t="n"/>
      <c r="G44" s="15" t="n"/>
      <c r="H44" s="15" t="n"/>
      <c r="I44" s="15" t="n"/>
      <c r="J44" s="22" t="n"/>
      <c r="K44" s="15" t="n"/>
      <c r="L44" s="24" t="n"/>
      <c r="M44" s="15" t="n"/>
    </row>
    <row r="45" ht="22" customHeight="1">
      <c r="B45" s="18">
        <f>IF(C45="","PAP-"&amp;TEXT(COUNTA($C$5:C45),"000"))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21" t="n"/>
      <c r="K45" s="13" t="n"/>
      <c r="L45" s="23" t="n"/>
      <c r="M45" s="13" t="n"/>
    </row>
    <row r="46" ht="22" customHeight="1">
      <c r="B46" s="17">
        <f>IF(C46="","PAP-"&amp;TEXT(COUNTA($C$5:C46),"000"))</f>
        <v/>
      </c>
      <c r="C46" s="15" t="n"/>
      <c r="D46" s="15" t="n"/>
      <c r="E46" s="15" t="n"/>
      <c r="F46" s="15" t="n"/>
      <c r="G46" s="15" t="n"/>
      <c r="H46" s="15" t="n"/>
      <c r="I46" s="15" t="n"/>
      <c r="J46" s="22" t="n"/>
      <c r="K46" s="15" t="n"/>
      <c r="L46" s="24" t="n"/>
      <c r="M46" s="15" t="n"/>
    </row>
    <row r="47" ht="22" customHeight="1">
      <c r="B47" s="18">
        <f>IF(C47="","PAP-"&amp;TEXT(COUNTA($C$5:C47),"000"))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21" t="n"/>
      <c r="K47" s="13" t="n"/>
      <c r="L47" s="23" t="n"/>
      <c r="M47" s="13" t="n"/>
    </row>
    <row r="48" ht="22" customHeight="1">
      <c r="B48" s="17">
        <f>IF(C48="","PAP-"&amp;TEXT(COUNTA($C$5:C48),"000"))</f>
        <v/>
      </c>
      <c r="C48" s="15" t="n"/>
      <c r="D48" s="15" t="n"/>
      <c r="E48" s="15" t="n"/>
      <c r="F48" s="15" t="n"/>
      <c r="G48" s="15" t="n"/>
      <c r="H48" s="15" t="n"/>
      <c r="I48" s="15" t="n"/>
      <c r="J48" s="22" t="n"/>
      <c r="K48" s="15" t="n"/>
      <c r="L48" s="24" t="n"/>
      <c r="M48" s="15" t="n"/>
    </row>
    <row r="49" ht="22" customHeight="1">
      <c r="B49" s="18">
        <f>IF(C49="","PAP-"&amp;TEXT(COUNTA($C$5:C49),"000"))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21" t="n"/>
      <c r="K49" s="13" t="n"/>
      <c r="L49" s="23" t="n"/>
      <c r="M49" s="13" t="n"/>
    </row>
    <row r="50" ht="22" customHeight="1">
      <c r="B50" s="17">
        <f>IF(C50="","PAP-"&amp;TEXT(COUNTA($C$5:C50),"000"))</f>
        <v/>
      </c>
      <c r="C50" s="15" t="n"/>
      <c r="D50" s="15" t="n"/>
      <c r="E50" s="15" t="n"/>
      <c r="F50" s="15" t="n"/>
      <c r="G50" s="15" t="n"/>
      <c r="H50" s="15" t="n"/>
      <c r="I50" s="15" t="n"/>
      <c r="J50" s="22" t="n"/>
      <c r="K50" s="15" t="n"/>
      <c r="L50" s="24" t="n"/>
      <c r="M50" s="15" t="n"/>
    </row>
    <row r="51" ht="22" customHeight="1">
      <c r="B51" s="18">
        <f>IF(C51="","PAP-"&amp;TEXT(COUNTA($C$5:C51),"000"))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21" t="n"/>
      <c r="K51" s="13" t="n"/>
      <c r="L51" s="23" t="n"/>
      <c r="M51" s="13" t="n"/>
    </row>
    <row r="52" ht="22" customHeight="1">
      <c r="B52" s="17">
        <f>IF(C52="","PAP-"&amp;TEXT(COUNTA($C$5:C52),"000"))</f>
        <v/>
      </c>
      <c r="C52" s="15" t="n"/>
      <c r="D52" s="15" t="n"/>
      <c r="E52" s="15" t="n"/>
      <c r="F52" s="15" t="n"/>
      <c r="G52" s="15" t="n"/>
      <c r="H52" s="15" t="n"/>
      <c r="I52" s="15" t="n"/>
      <c r="J52" s="22" t="n"/>
      <c r="K52" s="15" t="n"/>
      <c r="L52" s="24" t="n"/>
      <c r="M52" s="15" t="n"/>
    </row>
    <row r="53" ht="22" customHeight="1">
      <c r="B53" s="18">
        <f>IF(C53="","PAP-"&amp;TEXT(COUNTA($C$5:C53),"000"))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21" t="n"/>
      <c r="K53" s="13" t="n"/>
      <c r="L53" s="23" t="n"/>
      <c r="M53" s="13" t="n"/>
    </row>
    <row r="54" ht="22" customHeight="1">
      <c r="B54" s="17">
        <f>IF(C54="","PAP-"&amp;TEXT(COUNTA($C$5:C54),"000"))</f>
        <v/>
      </c>
      <c r="C54" s="15" t="n"/>
      <c r="D54" s="15" t="n"/>
      <c r="E54" s="15" t="n"/>
      <c r="F54" s="15" t="n"/>
      <c r="G54" s="15" t="n"/>
      <c r="H54" s="15" t="n"/>
      <c r="I54" s="15" t="n"/>
      <c r="J54" s="22" t="n"/>
      <c r="K54" s="15" t="n"/>
      <c r="L54" s="24" t="n"/>
      <c r="M54" s="15" t="n"/>
    </row>
    <row r="55" ht="22" customHeight="1">
      <c r="B55" s="18">
        <f>IF(C55="","PAP-"&amp;TEXT(COUNTA($C$5:C55),"000"))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21" t="n"/>
      <c r="K55" s="13" t="n"/>
      <c r="L55" s="23" t="n"/>
      <c r="M55" s="13" t="n"/>
    </row>
    <row r="56" ht="22" customHeight="1">
      <c r="B56" s="17">
        <f>IF(C56="","PAP-"&amp;TEXT(COUNTA($C$5:C56),"000"))</f>
        <v/>
      </c>
      <c r="C56" s="15" t="n"/>
      <c r="D56" s="15" t="n"/>
      <c r="E56" s="15" t="n"/>
      <c r="F56" s="15" t="n"/>
      <c r="G56" s="15" t="n"/>
      <c r="H56" s="15" t="n"/>
      <c r="I56" s="15" t="n"/>
      <c r="J56" s="22" t="n"/>
      <c r="K56" s="15" t="n"/>
      <c r="L56" s="24" t="n"/>
      <c r="M56" s="15" t="n"/>
    </row>
    <row r="57" ht="22" customHeight="1">
      <c r="B57" s="18">
        <f>IF(C57="","PAP-"&amp;TEXT(COUNTA($C$5:C57),"000"))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21" t="n"/>
      <c r="K57" s="13" t="n"/>
      <c r="L57" s="23" t="n"/>
      <c r="M57" s="13" t="n"/>
    </row>
    <row r="58" ht="22" customHeight="1">
      <c r="B58" s="17">
        <f>IF(C58="","PAP-"&amp;TEXT(COUNTA($C$5:C58),"000"))</f>
        <v/>
      </c>
      <c r="C58" s="15" t="n"/>
      <c r="D58" s="15" t="n"/>
      <c r="E58" s="15" t="n"/>
      <c r="F58" s="15" t="n"/>
      <c r="G58" s="15" t="n"/>
      <c r="H58" s="15" t="n"/>
      <c r="I58" s="15" t="n"/>
      <c r="J58" s="22" t="n"/>
      <c r="K58" s="15" t="n"/>
      <c r="L58" s="24" t="n"/>
      <c r="M58" s="15" t="n"/>
    </row>
    <row r="59" ht="22" customHeight="1">
      <c r="B59" s="18">
        <f>IF(C59="","PAP-"&amp;TEXT(COUNTA($C$5:C59),"000"))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21" t="n"/>
      <c r="K59" s="13" t="n"/>
      <c r="L59" s="23" t="n"/>
      <c r="M59" s="13" t="n"/>
    </row>
    <row r="60" ht="22" customHeight="1">
      <c r="B60" s="17">
        <f>IF(C60="","PAP-"&amp;TEXT(COUNTA($C$5:C60),"000"))</f>
        <v/>
      </c>
      <c r="C60" s="15" t="n"/>
      <c r="D60" s="15" t="n"/>
      <c r="E60" s="15" t="n"/>
      <c r="F60" s="15" t="n"/>
      <c r="G60" s="15" t="n"/>
      <c r="H60" s="15" t="n"/>
      <c r="I60" s="15" t="n"/>
      <c r="J60" s="22" t="n"/>
      <c r="K60" s="15" t="n"/>
      <c r="L60" s="24" t="n"/>
      <c r="M60" s="15" t="n"/>
    </row>
    <row r="61" ht="22" customHeight="1">
      <c r="B61" s="18">
        <f>IF(C61="","PAP-"&amp;TEXT(COUNTA($C$5:C61),"000"))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21" t="n"/>
      <c r="K61" s="13" t="n"/>
      <c r="L61" s="23" t="n"/>
      <c r="M61" s="13" t="n"/>
    </row>
    <row r="62" ht="22" customHeight="1">
      <c r="B62" s="17">
        <f>IF(C62="","PAP-"&amp;TEXT(COUNTA($C$5:C62),"000"))</f>
        <v/>
      </c>
      <c r="C62" s="15" t="n"/>
      <c r="D62" s="15" t="n"/>
      <c r="E62" s="15" t="n"/>
      <c r="F62" s="15" t="n"/>
      <c r="G62" s="15" t="n"/>
      <c r="H62" s="15" t="n"/>
      <c r="I62" s="15" t="n"/>
      <c r="J62" s="22" t="n"/>
      <c r="K62" s="15" t="n"/>
      <c r="L62" s="24" t="n"/>
      <c r="M62" s="15" t="n"/>
    </row>
    <row r="63" ht="22" customHeight="1">
      <c r="B63" s="18">
        <f>IF(C63="","PAP-"&amp;TEXT(COUNTA($C$5:C63),"000"))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21" t="n"/>
      <c r="K63" s="13" t="n"/>
      <c r="L63" s="23" t="n"/>
      <c r="M63" s="13" t="n"/>
    </row>
    <row r="64" ht="22" customHeight="1">
      <c r="B64" s="17">
        <f>IF(C64="","PAP-"&amp;TEXT(COUNTA($C$5:C64),"000"))</f>
        <v/>
      </c>
      <c r="C64" s="15" t="n"/>
      <c r="D64" s="15" t="n"/>
      <c r="E64" s="15" t="n"/>
      <c r="F64" s="15" t="n"/>
      <c r="G64" s="15" t="n"/>
      <c r="H64" s="15" t="n"/>
      <c r="I64" s="15" t="n"/>
      <c r="J64" s="22" t="n"/>
      <c r="K64" s="15" t="n"/>
      <c r="L64" s="24" t="n"/>
      <c r="M64" s="15" t="n"/>
    </row>
    <row r="65" ht="22" customHeight="1">
      <c r="B65" s="18">
        <f>IF(C65="","PAP-"&amp;TEXT(COUNTA($C$5:C65),"000"))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21" t="n"/>
      <c r="K65" s="13" t="n"/>
      <c r="L65" s="23" t="n"/>
      <c r="M65" s="13" t="n"/>
    </row>
    <row r="66" ht="22" customHeight="1">
      <c r="B66" s="17">
        <f>IF(C66="","PAP-"&amp;TEXT(COUNTA($C$5:C66),"000"))</f>
        <v/>
      </c>
      <c r="C66" s="15" t="n"/>
      <c r="D66" s="15" t="n"/>
      <c r="E66" s="15" t="n"/>
      <c r="F66" s="15" t="n"/>
      <c r="G66" s="15" t="n"/>
      <c r="H66" s="15" t="n"/>
      <c r="I66" s="15" t="n"/>
      <c r="J66" s="22" t="n"/>
      <c r="K66" s="15" t="n"/>
      <c r="L66" s="24" t="n"/>
      <c r="M66" s="15" t="n"/>
    </row>
    <row r="67" ht="22" customHeight="1">
      <c r="B67" s="18">
        <f>IF(C67="","PAP-"&amp;TEXT(COUNTA($C$5:C67),"000"))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21" t="n"/>
      <c r="K67" s="13" t="n"/>
      <c r="L67" s="23" t="n"/>
      <c r="M67" s="13" t="n"/>
    </row>
    <row r="68" ht="22" customHeight="1">
      <c r="B68" s="17">
        <f>IF(C68="","PAP-"&amp;TEXT(COUNTA($C$5:C68),"000"))</f>
        <v/>
      </c>
      <c r="C68" s="15" t="n"/>
      <c r="D68" s="15" t="n"/>
      <c r="E68" s="15" t="n"/>
      <c r="F68" s="15" t="n"/>
      <c r="G68" s="15" t="n"/>
      <c r="H68" s="15" t="n"/>
      <c r="I68" s="15" t="n"/>
      <c r="J68" s="22" t="n"/>
      <c r="K68" s="15" t="n"/>
      <c r="L68" s="24" t="n"/>
      <c r="M68" s="15" t="n"/>
    </row>
    <row r="69" ht="22" customHeight="1">
      <c r="B69" s="18">
        <f>IF(C69="","PAP-"&amp;TEXT(COUNTA($C$5:C69),"000"))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21" t="n"/>
      <c r="K69" s="13" t="n"/>
      <c r="L69" s="23" t="n"/>
      <c r="M69" s="13" t="n"/>
    </row>
    <row r="70" ht="22" customHeight="1">
      <c r="B70" s="17">
        <f>IF(C70="","PAP-"&amp;TEXT(COUNTA($C$5:C70),"000"))</f>
        <v/>
      </c>
      <c r="C70" s="15" t="n"/>
      <c r="D70" s="15" t="n"/>
      <c r="E70" s="15" t="n"/>
      <c r="F70" s="15" t="n"/>
      <c r="G70" s="15" t="n"/>
      <c r="H70" s="15" t="n"/>
      <c r="I70" s="15" t="n"/>
      <c r="J70" s="22" t="n"/>
      <c r="K70" s="15" t="n"/>
      <c r="L70" s="24" t="n"/>
      <c r="M70" s="15" t="n"/>
    </row>
    <row r="71" ht="22" customHeight="1">
      <c r="B71" s="18">
        <f>IF(C71="","PAP-"&amp;TEXT(COUNTA($C$5:C71),"000"))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21" t="n"/>
      <c r="K71" s="13" t="n"/>
      <c r="L71" s="23" t="n"/>
      <c r="M71" s="13" t="n"/>
    </row>
    <row r="72" ht="22" customHeight="1">
      <c r="B72" s="17">
        <f>IF(C72="","PAP-"&amp;TEXT(COUNTA($C$5:C72),"000"))</f>
        <v/>
      </c>
      <c r="C72" s="15" t="n"/>
      <c r="D72" s="15" t="n"/>
      <c r="E72" s="15" t="n"/>
      <c r="F72" s="15" t="n"/>
      <c r="G72" s="15" t="n"/>
      <c r="H72" s="15" t="n"/>
      <c r="I72" s="15" t="n"/>
      <c r="J72" s="22" t="n"/>
      <c r="K72" s="15" t="n"/>
      <c r="L72" s="24" t="n"/>
      <c r="M72" s="15" t="n"/>
    </row>
    <row r="73" ht="22" customHeight="1">
      <c r="B73" s="18">
        <f>IF(C73="","PAP-"&amp;TEXT(COUNTA($C$5:C73),"000"))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21" t="n"/>
      <c r="K73" s="13" t="n"/>
      <c r="L73" s="23" t="n"/>
      <c r="M73" s="13" t="n"/>
    </row>
    <row r="74" ht="22" customHeight="1">
      <c r="B74" s="17">
        <f>IF(C74="","PAP-"&amp;TEXT(COUNTA($C$5:C74),"000"))</f>
        <v/>
      </c>
      <c r="C74" s="15" t="n"/>
      <c r="D74" s="15" t="n"/>
      <c r="E74" s="15" t="n"/>
      <c r="F74" s="15" t="n"/>
      <c r="G74" s="15" t="n"/>
      <c r="H74" s="15" t="n"/>
      <c r="I74" s="15" t="n"/>
      <c r="J74" s="22" t="n"/>
      <c r="K74" s="15" t="n"/>
      <c r="L74" s="24" t="n"/>
      <c r="M74" s="15" t="n"/>
    </row>
    <row r="75" ht="22" customHeight="1">
      <c r="B75" s="18">
        <f>IF(C75="","PAP-"&amp;TEXT(COUNTA($C$5:C75),"000"))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21" t="n"/>
      <c r="K75" s="13" t="n"/>
      <c r="L75" s="23" t="n"/>
      <c r="M75" s="13" t="n"/>
    </row>
    <row r="76" ht="22" customHeight="1">
      <c r="B76" s="17">
        <f>IF(C76="","PAP-"&amp;TEXT(COUNTA($C$5:C76),"000"))</f>
        <v/>
      </c>
      <c r="C76" s="15" t="n"/>
      <c r="D76" s="15" t="n"/>
      <c r="E76" s="15" t="n"/>
      <c r="F76" s="15" t="n"/>
      <c r="G76" s="15" t="n"/>
      <c r="H76" s="15" t="n"/>
      <c r="I76" s="15" t="n"/>
      <c r="J76" s="22" t="n"/>
      <c r="K76" s="15" t="n"/>
      <c r="L76" s="24" t="n"/>
      <c r="M76" s="15" t="n"/>
    </row>
    <row r="77" ht="22" customHeight="1">
      <c r="B77" s="18">
        <f>IF(C77="","PAP-"&amp;TEXT(COUNTA($C$5:C77),"000"))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21" t="n"/>
      <c r="K77" s="13" t="n"/>
      <c r="L77" s="23" t="n"/>
      <c r="M77" s="13" t="n"/>
    </row>
    <row r="78" ht="22" customHeight="1">
      <c r="B78" s="17">
        <f>IF(C78="","PAP-"&amp;TEXT(COUNTA($C$5:C78),"000"))</f>
        <v/>
      </c>
      <c r="C78" s="15" t="n"/>
      <c r="D78" s="15" t="n"/>
      <c r="E78" s="15" t="n"/>
      <c r="F78" s="15" t="n"/>
      <c r="G78" s="15" t="n"/>
      <c r="H78" s="15" t="n"/>
      <c r="I78" s="15" t="n"/>
      <c r="J78" s="22" t="n"/>
      <c r="K78" s="15" t="n"/>
      <c r="L78" s="24" t="n"/>
      <c r="M78" s="15" t="n"/>
    </row>
    <row r="79" ht="22" customHeight="1">
      <c r="B79" s="18">
        <f>IF(C79="","PAP-"&amp;TEXT(COUNTA($C$5:C79),"000"))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21" t="n"/>
      <c r="K79" s="13" t="n"/>
      <c r="L79" s="23" t="n"/>
      <c r="M79" s="13" t="n"/>
    </row>
    <row r="80" ht="22" customHeight="1">
      <c r="B80" s="17">
        <f>IF(C80="","PAP-"&amp;TEXT(COUNTA($C$5:C80),"000"))</f>
        <v/>
      </c>
      <c r="C80" s="15" t="n"/>
      <c r="D80" s="15" t="n"/>
      <c r="E80" s="15" t="n"/>
      <c r="F80" s="15" t="n"/>
      <c r="G80" s="15" t="n"/>
      <c r="H80" s="15" t="n"/>
      <c r="I80" s="15" t="n"/>
      <c r="J80" s="22" t="n"/>
      <c r="K80" s="15" t="n"/>
      <c r="L80" s="24" t="n"/>
      <c r="M80" s="15" t="n"/>
    </row>
    <row r="81" ht="22" customHeight="1">
      <c r="B81" s="18">
        <f>IF(C81="","PAP-"&amp;TEXT(COUNTA($C$5:C81),"000"))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21" t="n"/>
      <c r="K81" s="13" t="n"/>
      <c r="L81" s="23" t="n"/>
      <c r="M81" s="13" t="n"/>
    </row>
    <row r="82" ht="22" customHeight="1">
      <c r="B82" s="17">
        <f>IF(C82="","PAP-"&amp;TEXT(COUNTA($C$5:C82),"000"))</f>
        <v/>
      </c>
      <c r="C82" s="15" t="n"/>
      <c r="D82" s="15" t="n"/>
      <c r="E82" s="15" t="n"/>
      <c r="F82" s="15" t="n"/>
      <c r="G82" s="15" t="n"/>
      <c r="H82" s="15" t="n"/>
      <c r="I82" s="15" t="n"/>
      <c r="J82" s="22" t="n"/>
      <c r="K82" s="15" t="n"/>
      <c r="L82" s="24" t="n"/>
      <c r="M82" s="15" t="n"/>
    </row>
    <row r="83" ht="22" customHeight="1">
      <c r="B83" s="18">
        <f>IF(C83="","PAP-"&amp;TEXT(COUNTA($C$5:C83),"000"))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21" t="n"/>
      <c r="K83" s="13" t="n"/>
      <c r="L83" s="23" t="n"/>
      <c r="M83" s="13" t="n"/>
    </row>
    <row r="84" ht="22" customHeight="1">
      <c r="B84" s="17">
        <f>IF(C84="","PAP-"&amp;TEXT(COUNTA($C$5:C84),"000"))</f>
        <v/>
      </c>
      <c r="C84" s="15" t="n"/>
      <c r="D84" s="15" t="n"/>
      <c r="E84" s="15" t="n"/>
      <c r="F84" s="15" t="n"/>
      <c r="G84" s="15" t="n"/>
      <c r="H84" s="15" t="n"/>
      <c r="I84" s="15" t="n"/>
      <c r="J84" s="22" t="n"/>
      <c r="K84" s="15" t="n"/>
      <c r="L84" s="24" t="n"/>
      <c r="M84" s="15" t="n"/>
    </row>
    <row r="85" ht="22" customHeight="1">
      <c r="B85" s="18">
        <f>IF(C85="","PAP-"&amp;TEXT(COUNTA($C$5:C85),"000"))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21" t="n"/>
      <c r="K85" s="13" t="n"/>
      <c r="L85" s="23" t="n"/>
      <c r="M85" s="13" t="n"/>
    </row>
    <row r="86" ht="22" customHeight="1">
      <c r="B86" s="17">
        <f>IF(C86="","PAP-"&amp;TEXT(COUNTA($C$5:C86),"000"))</f>
        <v/>
      </c>
      <c r="C86" s="15" t="n"/>
      <c r="D86" s="15" t="n"/>
      <c r="E86" s="15" t="n"/>
      <c r="F86" s="15" t="n"/>
      <c r="G86" s="15" t="n"/>
      <c r="H86" s="15" t="n"/>
      <c r="I86" s="15" t="n"/>
      <c r="J86" s="22" t="n"/>
      <c r="K86" s="15" t="n"/>
      <c r="L86" s="24" t="n"/>
      <c r="M86" s="15" t="n"/>
    </row>
    <row r="87" ht="22" customHeight="1">
      <c r="B87" s="18">
        <f>IF(C87="","PAP-"&amp;TEXT(COUNTA($C$5:C87),"000"))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21" t="n"/>
      <c r="K87" s="13" t="n"/>
      <c r="L87" s="23" t="n"/>
      <c r="M87" s="13" t="n"/>
    </row>
    <row r="88" ht="22" customHeight="1">
      <c r="B88" s="17">
        <f>IF(C88="","PAP-"&amp;TEXT(COUNTA($C$5:C88),"000"))</f>
        <v/>
      </c>
      <c r="C88" s="15" t="n"/>
      <c r="D88" s="15" t="n"/>
      <c r="E88" s="15" t="n"/>
      <c r="F88" s="15" t="n"/>
      <c r="G88" s="15" t="n"/>
      <c r="H88" s="15" t="n"/>
      <c r="I88" s="15" t="n"/>
      <c r="J88" s="22" t="n"/>
      <c r="K88" s="15" t="n"/>
      <c r="L88" s="24" t="n"/>
      <c r="M88" s="15" t="n"/>
    </row>
    <row r="89" ht="22" customHeight="1">
      <c r="B89" s="18">
        <f>IF(C89="","PAP-"&amp;TEXT(COUNTA($C$5:C89),"000"))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21" t="n"/>
      <c r="K89" s="13" t="n"/>
      <c r="L89" s="23" t="n"/>
      <c r="M89" s="13" t="n"/>
    </row>
    <row r="90" ht="22" customHeight="1">
      <c r="B90" s="17">
        <f>IF(C90="","PAP-"&amp;TEXT(COUNTA($C$5:C90),"000"))</f>
        <v/>
      </c>
      <c r="C90" s="15" t="n"/>
      <c r="D90" s="15" t="n"/>
      <c r="E90" s="15" t="n"/>
      <c r="F90" s="15" t="n"/>
      <c r="G90" s="15" t="n"/>
      <c r="H90" s="15" t="n"/>
      <c r="I90" s="15" t="n"/>
      <c r="J90" s="22" t="n"/>
      <c r="K90" s="15" t="n"/>
      <c r="L90" s="24" t="n"/>
      <c r="M90" s="15" t="n"/>
    </row>
    <row r="91" ht="22" customHeight="1">
      <c r="B91" s="18">
        <f>IF(C91="","PAP-"&amp;TEXT(COUNTA($C$5:C91),"000"))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21" t="n"/>
      <c r="K91" s="13" t="n"/>
      <c r="L91" s="23" t="n"/>
      <c r="M91" s="13" t="n"/>
    </row>
    <row r="92" ht="22" customHeight="1">
      <c r="B92" s="17">
        <f>IF(C92="","PAP-"&amp;TEXT(COUNTA($C$5:C92),"000"))</f>
        <v/>
      </c>
      <c r="C92" s="15" t="n"/>
      <c r="D92" s="15" t="n"/>
      <c r="E92" s="15" t="n"/>
      <c r="F92" s="15" t="n"/>
      <c r="G92" s="15" t="n"/>
      <c r="H92" s="15" t="n"/>
      <c r="I92" s="15" t="n"/>
      <c r="J92" s="22" t="n"/>
      <c r="K92" s="15" t="n"/>
      <c r="L92" s="24" t="n"/>
      <c r="M92" s="15" t="n"/>
    </row>
    <row r="93" ht="22" customHeight="1">
      <c r="B93" s="18">
        <f>IF(C93="","PAP-"&amp;TEXT(COUNTA($C$5:C93),"000"))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21" t="n"/>
      <c r="K93" s="13" t="n"/>
      <c r="L93" s="23" t="n"/>
      <c r="M93" s="13" t="n"/>
    </row>
    <row r="94" ht="22" customHeight="1">
      <c r="B94" s="17">
        <f>IF(C94="","PAP-"&amp;TEXT(COUNTA($C$5:C94),"000"))</f>
        <v/>
      </c>
      <c r="C94" s="15" t="n"/>
      <c r="D94" s="15" t="n"/>
      <c r="E94" s="15" t="n"/>
      <c r="F94" s="15" t="n"/>
      <c r="G94" s="15" t="n"/>
      <c r="H94" s="15" t="n"/>
      <c r="I94" s="15" t="n"/>
      <c r="J94" s="22" t="n"/>
      <c r="K94" s="15" t="n"/>
      <c r="L94" s="24" t="n"/>
      <c r="M94" s="15" t="n"/>
    </row>
    <row r="95" ht="22" customHeight="1">
      <c r="B95" s="18">
        <f>IF(C95="","PAP-"&amp;TEXT(COUNTA($C$5:C95),"000"))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21" t="n"/>
      <c r="K95" s="13" t="n"/>
      <c r="L95" s="23" t="n"/>
      <c r="M95" s="13" t="n"/>
    </row>
    <row r="96" ht="22" customHeight="1">
      <c r="B96" s="17">
        <f>IF(C96="","PAP-"&amp;TEXT(COUNTA($C$5:C96),"000"))</f>
        <v/>
      </c>
      <c r="C96" s="15" t="n"/>
      <c r="D96" s="15" t="n"/>
      <c r="E96" s="15" t="n"/>
      <c r="F96" s="15" t="n"/>
      <c r="G96" s="15" t="n"/>
      <c r="H96" s="15" t="n"/>
      <c r="I96" s="15" t="n"/>
      <c r="J96" s="22" t="n"/>
      <c r="K96" s="15" t="n"/>
      <c r="L96" s="24" t="n"/>
      <c r="M96" s="15" t="n"/>
    </row>
    <row r="97" ht="22" customHeight="1">
      <c r="B97" s="18">
        <f>IF(C97="","PAP-"&amp;TEXT(COUNTA($C$5:C97),"000"))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21" t="n"/>
      <c r="K97" s="13" t="n"/>
      <c r="L97" s="23" t="n"/>
      <c r="M97" s="13" t="n"/>
    </row>
    <row r="98" ht="22" customHeight="1">
      <c r="B98" s="17">
        <f>IF(C98="","PAP-"&amp;TEXT(COUNTA($C$5:C98),"000"))</f>
        <v/>
      </c>
      <c r="C98" s="15" t="n"/>
      <c r="D98" s="15" t="n"/>
      <c r="E98" s="15" t="n"/>
      <c r="F98" s="15" t="n"/>
      <c r="G98" s="15" t="n"/>
      <c r="H98" s="15" t="n"/>
      <c r="I98" s="15" t="n"/>
      <c r="J98" s="22" t="n"/>
      <c r="K98" s="15" t="n"/>
      <c r="L98" s="24" t="n"/>
      <c r="M98" s="15" t="n"/>
    </row>
    <row r="99" ht="22" customHeight="1">
      <c r="B99" s="18">
        <f>IF(C99="","PAP-"&amp;TEXT(COUNTA($C$5:C99),"000"))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21" t="n"/>
      <c r="K99" s="13" t="n"/>
      <c r="L99" s="23" t="n"/>
      <c r="M99" s="13" t="n"/>
    </row>
    <row r="100" ht="22" customHeight="1">
      <c r="B100" s="17">
        <f>IF(C100="","PAP-"&amp;TEXT(COUNTA($C$5:C100),"000"))</f>
        <v/>
      </c>
      <c r="C100" s="15" t="n"/>
      <c r="D100" s="15" t="n"/>
      <c r="E100" s="15" t="n"/>
      <c r="F100" s="15" t="n"/>
      <c r="G100" s="15" t="n"/>
      <c r="H100" s="15" t="n"/>
      <c r="I100" s="15" t="n"/>
      <c r="J100" s="22" t="n"/>
      <c r="K100" s="15" t="n"/>
      <c r="L100" s="24" t="n"/>
      <c r="M100" s="15" t="n"/>
    </row>
    <row r="101" ht="22" customHeight="1">
      <c r="B101" s="18">
        <f>IF(C101="","PAP-"&amp;TEXT(COUNTA($C$5:C101),"000"))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21" t="n"/>
      <c r="K101" s="13" t="n"/>
      <c r="L101" s="23" t="n"/>
      <c r="M101" s="13" t="n"/>
    </row>
    <row r="102" ht="22" customHeight="1">
      <c r="B102" s="17">
        <f>IF(C102="","PAP-"&amp;TEXT(COUNTA($C$5:C102),"000"))</f>
        <v/>
      </c>
      <c r="C102" s="15" t="n"/>
      <c r="D102" s="15" t="n"/>
      <c r="E102" s="15" t="n"/>
      <c r="F102" s="15" t="n"/>
      <c r="G102" s="15" t="n"/>
      <c r="H102" s="15" t="n"/>
      <c r="I102" s="15" t="n"/>
      <c r="J102" s="22" t="n"/>
      <c r="K102" s="15" t="n"/>
      <c r="L102" s="24" t="n"/>
      <c r="M102" s="15" t="n"/>
    </row>
    <row r="103" ht="22" customHeight="1">
      <c r="B103" s="18">
        <f>IF(C103="","PAP-"&amp;TEXT(COUNTA($C$5:C103),"000"))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21" t="n"/>
      <c r="K103" s="13" t="n"/>
      <c r="L103" s="23" t="n"/>
      <c r="M103" s="13" t="n"/>
    </row>
    <row r="104" ht="22" customHeight="1">
      <c r="B104" s="17">
        <f>IF(C104="","PAP-"&amp;TEXT(COUNTA($C$5:C104),"000"))</f>
        <v/>
      </c>
      <c r="C104" s="15" t="n"/>
      <c r="D104" s="15" t="n"/>
      <c r="E104" s="15" t="n"/>
      <c r="F104" s="15" t="n"/>
      <c r="G104" s="15" t="n"/>
      <c r="H104" s="15" t="n"/>
      <c r="I104" s="15" t="n"/>
      <c r="J104" s="22" t="n"/>
      <c r="K104" s="15" t="n"/>
      <c r="L104" s="24" t="n"/>
      <c r="M104" s="15" t="n"/>
    </row>
    <row r="105" ht="22" customHeight="1">
      <c r="B105" s="18">
        <f>IF(C105="","PAP-"&amp;TEXT(COUNTA($C$5:C105),"000"))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21" t="n"/>
      <c r="K105" s="13" t="n"/>
      <c r="L105" s="23" t="n"/>
      <c r="M105" s="13" t="n"/>
    </row>
    <row r="106" ht="22" customHeight="1">
      <c r="B106" s="17">
        <f>IF(C106="","PAP-"&amp;TEXT(COUNTA($C$5:C106),"000"))</f>
        <v/>
      </c>
      <c r="C106" s="15" t="n"/>
      <c r="D106" s="15" t="n"/>
      <c r="E106" s="15" t="n"/>
      <c r="F106" s="15" t="n"/>
      <c r="G106" s="15" t="n"/>
      <c r="H106" s="15" t="n"/>
      <c r="I106" s="15" t="n"/>
      <c r="J106" s="22" t="n"/>
      <c r="K106" s="15" t="n"/>
      <c r="L106" s="24" t="n"/>
      <c r="M106" s="15" t="n"/>
    </row>
    <row r="107" ht="22" customHeight="1">
      <c r="B107" s="18">
        <f>IF(C107="","PAP-"&amp;TEXT(COUNTA($C$5:C107),"000"))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21" t="n"/>
      <c r="K107" s="13" t="n"/>
      <c r="L107" s="23" t="n"/>
      <c r="M107" s="13" t="n"/>
    </row>
    <row r="108" ht="22" customHeight="1">
      <c r="B108" s="17">
        <f>IF(C108="","PAP-"&amp;TEXT(COUNTA($C$5:C108),"000"))</f>
        <v/>
      </c>
      <c r="C108" s="15" t="n"/>
      <c r="D108" s="15" t="n"/>
      <c r="E108" s="15" t="n"/>
      <c r="F108" s="15" t="n"/>
      <c r="G108" s="15" t="n"/>
      <c r="H108" s="15" t="n"/>
      <c r="I108" s="15" t="n"/>
      <c r="J108" s="22" t="n"/>
      <c r="K108" s="15" t="n"/>
      <c r="L108" s="24" t="n"/>
      <c r="M108" s="15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PAP suivis</t>
        </is>
      </c>
      <c r="D111" s="3" t="inlineStr">
        <is>
          <t>Avancement moyen</t>
        </is>
      </c>
      <c r="F111" s="3" t="inlineStr">
        <is>
          <t>En cours</t>
        </is>
      </c>
      <c r="H111" s="3" t="inlineStr">
        <is>
          <t>Termines</t>
        </is>
      </c>
    </row>
    <row r="112">
      <c r="B112" s="4">
        <f>COUNTIF(B5:B104,"&lt;&gt;")</f>
        <v/>
      </c>
      <c r="D112" s="4">
        <f>IFERROR(AVERAGE(L5:L104),0)</f>
        <v/>
      </c>
      <c r="F112" s="4">
        <f>COUNTIF(M5:M104,"En cours")</f>
        <v/>
      </c>
      <c r="H112" s="4">
        <f>COUNTIF(M5:M104,"Termine")</f>
        <v/>
      </c>
    </row>
  </sheetData>
  <mergeCells count="3">
    <mergeCell ref="B3:M3"/>
    <mergeCell ref="B2:M2"/>
    <mergeCell ref="B110:M110"/>
  </mergeCells>
  <conditionalFormatting sqref="M5:M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9:B108">
    <cfRule type="expression" priority="87" dxfId="3">
      <formula>AND($C9="",$C8&lt;&gt;"")</formula>
    </cfRule>
  </conditionalFormatting>
  <conditionalFormatting sqref="C9:C108">
    <cfRule type="expression" priority="88" dxfId="3">
      <formula>AND($C9="",$C8&lt;&gt;"")</formula>
    </cfRule>
  </conditionalFormatting>
  <conditionalFormatting sqref="D9:D108">
    <cfRule type="expression" priority="89" dxfId="3">
      <formula>AND($C9="",$C8&lt;&gt;"")</formula>
    </cfRule>
  </conditionalFormatting>
  <conditionalFormatting sqref="E9:E108">
    <cfRule type="expression" priority="90" dxfId="3">
      <formula>AND($C9="",$C8&lt;&gt;"")</formula>
    </cfRule>
  </conditionalFormatting>
  <conditionalFormatting sqref="F9:F108">
    <cfRule type="expression" priority="91" dxfId="3">
      <formula>AND($C9="",$C8&lt;&gt;"")</formula>
    </cfRule>
  </conditionalFormatting>
  <conditionalFormatting sqref="G9:G108">
    <cfRule type="expression" priority="92" dxfId="3">
      <formula>AND($C9="",$C8&lt;&gt;"")</formula>
    </cfRule>
  </conditionalFormatting>
  <conditionalFormatting sqref="H9:H108">
    <cfRule type="expression" priority="93" dxfId="3">
      <formula>AND($C9="",$C8&lt;&gt;"")</formula>
    </cfRule>
  </conditionalFormatting>
  <conditionalFormatting sqref="I9:I108">
    <cfRule type="expression" priority="94" dxfId="3">
      <formula>AND($C9="",$C8&lt;&gt;"")</formula>
    </cfRule>
  </conditionalFormatting>
  <conditionalFormatting sqref="J9:J108">
    <cfRule type="expression" priority="95" dxfId="3">
      <formula>AND($C9="",$C8&lt;&gt;"")</formula>
    </cfRule>
  </conditionalFormatting>
  <conditionalFormatting sqref="K9:K108">
    <cfRule type="expression" priority="96" dxfId="3">
      <formula>AND($C9="",$C8&lt;&gt;"")</formula>
    </cfRule>
  </conditionalFormatting>
  <conditionalFormatting sqref="L9:L108">
    <cfRule type="expression" priority="97" dxfId="3">
      <formula>AND($C9="",$C8&lt;&gt;"")</formula>
    </cfRule>
  </conditionalFormatting>
  <conditionalFormatting sqref="M9:M108">
    <cfRule type="expression" priority="98" dxfId="3">
      <formula>AND($C9="",$C8&lt;&gt;"")</formula>
    </cfRule>
  </conditionalFormatting>
  <dataValidations count="4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H5:H108" showDropDown="0" showInputMessage="0" showErrorMessage="0" allowBlank="1" errorTitle="Erreur" error="Valeur invalide" promptTitle="Liste" prompt="Choisir dans la liste" type="list">
      <formula1>'_Lists'!$L$2:$L$7</formula1>
    </dataValidation>
    <dataValidation sqref="M5:M108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0" customWidth="1" min="7" max="7"/>
    <col width="18" customWidth="1" min="8" max="8"/>
    <col width="18" customWidth="1" min="9" max="9"/>
    <col width="24" customWidth="1" min="10" max="10"/>
  </cols>
  <sheetData>
    <row r="1" ht="15" customHeight="1"/>
    <row r="2" ht="32" customHeight="1">
      <c r="B2" s="1" t="inlineStr">
        <is>
          <t>CLASSEMENT DES EMPLOYES (#83)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Annee</t>
        </is>
      </c>
      <c r="H4" s="12" t="inlineStr">
        <is>
          <t>Note Globale (/20)</t>
        </is>
      </c>
      <c r="I4" s="12" t="inlineStr">
        <is>
          <t>Classement</t>
        </is>
      </c>
      <c r="J4" s="12" t="inlineStr">
        <is>
          <t>Decision RH</t>
        </is>
      </c>
    </row>
    <row r="5" ht="22" customHeight="1">
      <c r="B5" s="13" t="inlineStr">
        <is>
          <t>CL-001</t>
        </is>
      </c>
      <c r="C5" s="13" t="inlineStr">
        <is>
          <t>EMP-2025-002</t>
        </is>
      </c>
      <c r="D5" s="13" t="inlineStr">
        <is>
          <t>Tchinda Armand</t>
        </is>
      </c>
      <c r="E5" s="13" t="inlineStr">
        <is>
          <t>Informatique</t>
        </is>
      </c>
      <c r="F5" s="13" t="inlineStr">
        <is>
          <t>Chef de service IT</t>
        </is>
      </c>
      <c r="G5" s="13" t="inlineStr">
        <is>
          <t>2025</t>
        </is>
      </c>
      <c r="H5" s="14" t="n">
        <v>17.7</v>
      </c>
      <c r="I5" s="13" t="inlineStr">
        <is>
          <t>A - Excellent</t>
        </is>
      </c>
      <c r="J5" s="13" t="inlineStr">
        <is>
          <t>Promotion envisagee</t>
        </is>
      </c>
    </row>
    <row r="6" ht="22" customHeight="1">
      <c r="B6" s="15" t="inlineStr">
        <is>
          <t>CL-002</t>
        </is>
      </c>
      <c r="C6" s="15" t="inlineStr">
        <is>
          <t>EMP-2025-001</t>
        </is>
      </c>
      <c r="D6" s="15" t="inlineStr">
        <is>
          <t>Nganou Clarisse</t>
        </is>
      </c>
      <c r="E6" s="15" t="inlineStr">
        <is>
          <t>Ressources Humaines</t>
        </is>
      </c>
      <c r="F6" s="15" t="inlineStr">
        <is>
          <t>DRH</t>
        </is>
      </c>
      <c r="G6" s="15" t="inlineStr">
        <is>
          <t>2025</t>
        </is>
      </c>
      <c r="H6" s="16" t="n">
        <v>17</v>
      </c>
      <c r="I6" s="15" t="inlineStr">
        <is>
          <t>A - Excellent</t>
        </is>
      </c>
      <c r="J6" s="15" t="inlineStr">
        <is>
          <t>Maintien + prime</t>
        </is>
      </c>
    </row>
    <row r="7" ht="22" customHeight="1">
      <c r="B7" s="13" t="inlineStr">
        <is>
          <t>CL-003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Comptable senior</t>
        </is>
      </c>
      <c r="G7" s="13" t="inlineStr">
        <is>
          <t>2025</t>
        </is>
      </c>
      <c r="H7" s="14" t="n">
        <v>17.3</v>
      </c>
      <c r="I7" s="13" t="inlineStr">
        <is>
          <t>B - Tres bon</t>
        </is>
      </c>
      <c r="J7" s="13" t="inlineStr">
        <is>
          <t>Maintien + augmentation</t>
        </is>
      </c>
    </row>
    <row r="8" ht="22" customHeight="1">
      <c r="B8" s="15" t="inlineStr">
        <is>
          <t>CL-004</t>
        </is>
      </c>
      <c r="C8" s="15" t="inlineStr">
        <is>
          <t>EMP-2025-004</t>
        </is>
      </c>
      <c r="D8" s="15" t="inlineStr">
        <is>
          <t>Ouedraogo Ibrahim</t>
        </is>
      </c>
      <c r="E8" s="15" t="inlineStr">
        <is>
          <t>Reception &amp; Front Office</t>
        </is>
      </c>
      <c r="F8" s="15" t="inlineStr">
        <is>
          <t>Receptionniste</t>
        </is>
      </c>
      <c r="G8" s="15" t="inlineStr">
        <is>
          <t>2025</t>
        </is>
      </c>
      <c r="H8" s="16" t="n">
        <v>16</v>
      </c>
      <c r="I8" s="15" t="inlineStr">
        <is>
          <t>C - Bon</t>
        </is>
      </c>
      <c r="J8" s="15" t="inlineStr">
        <is>
          <t>Maintien</t>
        </is>
      </c>
    </row>
    <row r="9" ht="22" customHeight="1">
      <c r="B9" s="13" t="inlineStr">
        <is>
          <t>CL-005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2025</t>
        </is>
      </c>
      <c r="H9" s="14" t="n">
        <v>13</v>
      </c>
      <c r="I9" s="13" t="inlineStr">
        <is>
          <t>D - Moyen</t>
        </is>
      </c>
      <c r="J9" s="13" t="inlineStr">
        <is>
          <t>PAP obligatoire</t>
        </is>
      </c>
    </row>
    <row r="10" ht="22" customHeight="1">
      <c r="B10" s="17">
        <f>IF(C10="","CL-"&amp;TEXT(COUNTA($C$5:C10),"000"))</f>
        <v/>
      </c>
      <c r="C10" s="15" t="n"/>
      <c r="D10" s="15" t="n"/>
      <c r="E10" s="15" t="n"/>
      <c r="F10" s="15" t="n"/>
      <c r="G10" s="15" t="n"/>
      <c r="H10" s="16" t="n"/>
      <c r="I10" s="15" t="n"/>
      <c r="J10" s="15" t="n"/>
    </row>
    <row r="11" ht="22" customHeight="1">
      <c r="B11" s="18">
        <f>IF(C11="","CL-"&amp;TEXT(COUNTA($C$5:C11),"000"))</f>
        <v/>
      </c>
      <c r="C11" s="13" t="n"/>
      <c r="D11" s="13" t="n"/>
      <c r="E11" s="13" t="n"/>
      <c r="F11" s="13" t="n"/>
      <c r="G11" s="13" t="n"/>
      <c r="H11" s="14" t="n"/>
      <c r="I11" s="13" t="n"/>
      <c r="J11" s="13" t="n"/>
    </row>
    <row r="12" ht="22" customHeight="1">
      <c r="B12" s="17">
        <f>IF(C12="","CL-"&amp;TEXT(COUNTA($C$5:C12),"000"))</f>
        <v/>
      </c>
      <c r="C12" s="15" t="n"/>
      <c r="D12" s="15" t="n"/>
      <c r="E12" s="15" t="n"/>
      <c r="F12" s="15" t="n"/>
      <c r="G12" s="15" t="n"/>
      <c r="H12" s="16" t="n"/>
      <c r="I12" s="15" t="n"/>
      <c r="J12" s="15" t="n"/>
    </row>
    <row r="13" ht="22" customHeight="1">
      <c r="B13" s="18">
        <f>IF(C13="","CL-"&amp;TEXT(COUNTA($C$5:C13),"000"))</f>
        <v/>
      </c>
      <c r="C13" s="13" t="n"/>
      <c r="D13" s="13" t="n"/>
      <c r="E13" s="13" t="n"/>
      <c r="F13" s="13" t="n"/>
      <c r="G13" s="13" t="n"/>
      <c r="H13" s="14" t="n"/>
      <c r="I13" s="13" t="n"/>
      <c r="J13" s="13" t="n"/>
    </row>
    <row r="14" ht="22" customHeight="1">
      <c r="B14" s="17">
        <f>IF(C14="","CL-"&amp;TEXT(COUNTA($C$5:C14),"000"))</f>
        <v/>
      </c>
      <c r="C14" s="15" t="n"/>
      <c r="D14" s="15" t="n"/>
      <c r="E14" s="15" t="n"/>
      <c r="F14" s="15" t="n"/>
      <c r="G14" s="15" t="n"/>
      <c r="H14" s="16" t="n"/>
      <c r="I14" s="15" t="n"/>
      <c r="J14" s="15" t="n"/>
    </row>
    <row r="15" ht="22" customHeight="1">
      <c r="B15" s="18">
        <f>IF(C15="","CL-"&amp;TEXT(COUNTA($C$5:C15),"000"))</f>
        <v/>
      </c>
      <c r="C15" s="13" t="n"/>
      <c r="D15" s="13" t="n"/>
      <c r="E15" s="13" t="n"/>
      <c r="F15" s="13" t="n"/>
      <c r="G15" s="13" t="n"/>
      <c r="H15" s="14" t="n"/>
      <c r="I15" s="13" t="n"/>
      <c r="J15" s="13" t="n"/>
    </row>
    <row r="16" ht="22" customHeight="1">
      <c r="B16" s="17">
        <f>IF(C16="","CL-"&amp;TEXT(COUNTA($C$5:C16),"000"))</f>
        <v/>
      </c>
      <c r="C16" s="15" t="n"/>
      <c r="D16" s="15" t="n"/>
      <c r="E16" s="15" t="n"/>
      <c r="F16" s="15" t="n"/>
      <c r="G16" s="15" t="n"/>
      <c r="H16" s="16" t="n"/>
      <c r="I16" s="15" t="n"/>
      <c r="J16" s="15" t="n"/>
    </row>
    <row r="17" ht="22" customHeight="1">
      <c r="B17" s="18">
        <f>IF(C17="","CL-"&amp;TEXT(COUNTA($C$5:C17),"000"))</f>
        <v/>
      </c>
      <c r="C17" s="13" t="n"/>
      <c r="D17" s="13" t="n"/>
      <c r="E17" s="13" t="n"/>
      <c r="F17" s="13" t="n"/>
      <c r="G17" s="13" t="n"/>
      <c r="H17" s="14" t="n"/>
      <c r="I17" s="13" t="n"/>
      <c r="J17" s="13" t="n"/>
    </row>
    <row r="18" ht="22" customHeight="1">
      <c r="B18" s="17">
        <f>IF(C18="","CL-"&amp;TEXT(COUNTA($C$5:C18),"000"))</f>
        <v/>
      </c>
      <c r="C18" s="15" t="n"/>
      <c r="D18" s="15" t="n"/>
      <c r="E18" s="15" t="n"/>
      <c r="F18" s="15" t="n"/>
      <c r="G18" s="15" t="n"/>
      <c r="H18" s="16" t="n"/>
      <c r="I18" s="15" t="n"/>
      <c r="J18" s="15" t="n"/>
    </row>
    <row r="19" ht="22" customHeight="1">
      <c r="B19" s="18">
        <f>IF(C19="","CL-"&amp;TEXT(COUNTA($C$5:C19),"000"))</f>
        <v/>
      </c>
      <c r="C19" s="13" t="n"/>
      <c r="D19" s="13" t="n"/>
      <c r="E19" s="13" t="n"/>
      <c r="F19" s="13" t="n"/>
      <c r="G19" s="13" t="n"/>
      <c r="H19" s="14" t="n"/>
      <c r="I19" s="13" t="n"/>
      <c r="J19" s="13" t="n"/>
    </row>
    <row r="20" ht="22" customHeight="1">
      <c r="B20" s="17">
        <f>IF(C20="","CL-"&amp;TEXT(COUNTA($C$5:C20),"000"))</f>
        <v/>
      </c>
      <c r="C20" s="15" t="n"/>
      <c r="D20" s="15" t="n"/>
      <c r="E20" s="15" t="n"/>
      <c r="F20" s="15" t="n"/>
      <c r="G20" s="15" t="n"/>
      <c r="H20" s="16" t="n"/>
      <c r="I20" s="15" t="n"/>
      <c r="J20" s="15" t="n"/>
    </row>
    <row r="21" ht="22" customHeight="1">
      <c r="B21" s="18">
        <f>IF(C21="","CL-"&amp;TEXT(COUNTA($C$5:C21),"000"))</f>
        <v/>
      </c>
      <c r="C21" s="13" t="n"/>
      <c r="D21" s="13" t="n"/>
      <c r="E21" s="13" t="n"/>
      <c r="F21" s="13" t="n"/>
      <c r="G21" s="13" t="n"/>
      <c r="H21" s="14" t="n"/>
      <c r="I21" s="13" t="n"/>
      <c r="J21" s="13" t="n"/>
    </row>
    <row r="22" ht="22" customHeight="1">
      <c r="B22" s="17">
        <f>IF(C22="","CL-"&amp;TEXT(COUNTA($C$5:C22),"000"))</f>
        <v/>
      </c>
      <c r="C22" s="15" t="n"/>
      <c r="D22" s="15" t="n"/>
      <c r="E22" s="15" t="n"/>
      <c r="F22" s="15" t="n"/>
      <c r="G22" s="15" t="n"/>
      <c r="H22" s="16" t="n"/>
      <c r="I22" s="15" t="n"/>
      <c r="J22" s="15" t="n"/>
    </row>
    <row r="23" ht="22" customHeight="1">
      <c r="B23" s="18">
        <f>IF(C23="","CL-"&amp;TEXT(COUNTA($C$5:C23),"000"))</f>
        <v/>
      </c>
      <c r="C23" s="13" t="n"/>
      <c r="D23" s="13" t="n"/>
      <c r="E23" s="13" t="n"/>
      <c r="F23" s="13" t="n"/>
      <c r="G23" s="13" t="n"/>
      <c r="H23" s="14" t="n"/>
      <c r="I23" s="13" t="n"/>
      <c r="J23" s="13" t="n"/>
    </row>
    <row r="24" ht="22" customHeight="1">
      <c r="B24" s="17">
        <f>IF(C24="","CL-"&amp;TEXT(COUNTA($C$5:C24),"000"))</f>
        <v/>
      </c>
      <c r="C24" s="15" t="n"/>
      <c r="D24" s="15" t="n"/>
      <c r="E24" s="15" t="n"/>
      <c r="F24" s="15" t="n"/>
      <c r="G24" s="15" t="n"/>
      <c r="H24" s="16" t="n"/>
      <c r="I24" s="15" t="n"/>
      <c r="J24" s="15" t="n"/>
    </row>
    <row r="25" ht="22" customHeight="1">
      <c r="B25" s="18">
        <f>IF(C25="","CL-"&amp;TEXT(COUNTA($C$5:C25),"000"))</f>
        <v/>
      </c>
      <c r="C25" s="13" t="n"/>
      <c r="D25" s="13" t="n"/>
      <c r="E25" s="13" t="n"/>
      <c r="F25" s="13" t="n"/>
      <c r="G25" s="13" t="n"/>
      <c r="H25" s="14" t="n"/>
      <c r="I25" s="13" t="n"/>
      <c r="J25" s="13" t="n"/>
    </row>
    <row r="26" ht="22" customHeight="1">
      <c r="B26" s="17">
        <f>IF(C26="","CL-"&amp;TEXT(COUNTA($C$5:C26),"000"))</f>
        <v/>
      </c>
      <c r="C26" s="15" t="n"/>
      <c r="D26" s="15" t="n"/>
      <c r="E26" s="15" t="n"/>
      <c r="F26" s="15" t="n"/>
      <c r="G26" s="15" t="n"/>
      <c r="H26" s="16" t="n"/>
      <c r="I26" s="15" t="n"/>
      <c r="J26" s="15" t="n"/>
    </row>
    <row r="27" ht="22" customHeight="1">
      <c r="B27" s="18">
        <f>IF(C27="","CL-"&amp;TEXT(COUNTA($C$5:C27),"000"))</f>
        <v/>
      </c>
      <c r="C27" s="13" t="n"/>
      <c r="D27" s="13" t="n"/>
      <c r="E27" s="13" t="n"/>
      <c r="F27" s="13" t="n"/>
      <c r="G27" s="13" t="n"/>
      <c r="H27" s="14" t="n"/>
      <c r="I27" s="13" t="n"/>
      <c r="J27" s="13" t="n"/>
    </row>
    <row r="28" ht="22" customHeight="1">
      <c r="B28" s="17">
        <f>IF(C28="","CL-"&amp;TEXT(COUNTA($C$5:C28),"000"))</f>
        <v/>
      </c>
      <c r="C28" s="15" t="n"/>
      <c r="D28" s="15" t="n"/>
      <c r="E28" s="15" t="n"/>
      <c r="F28" s="15" t="n"/>
      <c r="G28" s="15" t="n"/>
      <c r="H28" s="16" t="n"/>
      <c r="I28" s="15" t="n"/>
      <c r="J28" s="15" t="n"/>
    </row>
    <row r="29" ht="22" customHeight="1">
      <c r="B29" s="18">
        <f>IF(C29="","CL-"&amp;TEXT(COUNTA($C$5:C29),"000"))</f>
        <v/>
      </c>
      <c r="C29" s="13" t="n"/>
      <c r="D29" s="13" t="n"/>
      <c r="E29" s="13" t="n"/>
      <c r="F29" s="13" t="n"/>
      <c r="G29" s="13" t="n"/>
      <c r="H29" s="14" t="n"/>
      <c r="I29" s="13" t="n"/>
      <c r="J29" s="13" t="n"/>
    </row>
    <row r="30" ht="22" customHeight="1">
      <c r="B30" s="17">
        <f>IF(C30="","CL-"&amp;TEXT(COUNTA($C$5:C30),"000"))</f>
        <v/>
      </c>
      <c r="C30" s="15" t="n"/>
      <c r="D30" s="15" t="n"/>
      <c r="E30" s="15" t="n"/>
      <c r="F30" s="15" t="n"/>
      <c r="G30" s="15" t="n"/>
      <c r="H30" s="16" t="n"/>
      <c r="I30" s="15" t="n"/>
      <c r="J30" s="15" t="n"/>
    </row>
    <row r="31" ht="22" customHeight="1">
      <c r="B31" s="18">
        <f>IF(C31="","CL-"&amp;TEXT(COUNTA($C$5:C31),"000"))</f>
        <v/>
      </c>
      <c r="C31" s="13" t="n"/>
      <c r="D31" s="13" t="n"/>
      <c r="E31" s="13" t="n"/>
      <c r="F31" s="13" t="n"/>
      <c r="G31" s="13" t="n"/>
      <c r="H31" s="14" t="n"/>
      <c r="I31" s="13" t="n"/>
      <c r="J31" s="13" t="n"/>
    </row>
    <row r="32" ht="22" customHeight="1">
      <c r="B32" s="17">
        <f>IF(C32="","CL-"&amp;TEXT(COUNTA($C$5:C32),"000"))</f>
        <v/>
      </c>
      <c r="C32" s="15" t="n"/>
      <c r="D32" s="15" t="n"/>
      <c r="E32" s="15" t="n"/>
      <c r="F32" s="15" t="n"/>
      <c r="G32" s="15" t="n"/>
      <c r="H32" s="16" t="n"/>
      <c r="I32" s="15" t="n"/>
      <c r="J32" s="15" t="n"/>
    </row>
    <row r="33" ht="22" customHeight="1">
      <c r="B33" s="18">
        <f>IF(C33="","CL-"&amp;TEXT(COUNTA($C$5:C33),"000"))</f>
        <v/>
      </c>
      <c r="C33" s="13" t="n"/>
      <c r="D33" s="13" t="n"/>
      <c r="E33" s="13" t="n"/>
      <c r="F33" s="13" t="n"/>
      <c r="G33" s="13" t="n"/>
      <c r="H33" s="14" t="n"/>
      <c r="I33" s="13" t="n"/>
      <c r="J33" s="13" t="n"/>
    </row>
    <row r="34" ht="22" customHeight="1">
      <c r="B34" s="17">
        <f>IF(C34="","CL-"&amp;TEXT(COUNTA($C$5:C34),"000"))</f>
        <v/>
      </c>
      <c r="C34" s="15" t="n"/>
      <c r="D34" s="15" t="n"/>
      <c r="E34" s="15" t="n"/>
      <c r="F34" s="15" t="n"/>
      <c r="G34" s="15" t="n"/>
      <c r="H34" s="16" t="n"/>
      <c r="I34" s="15" t="n"/>
      <c r="J34" s="15" t="n"/>
    </row>
    <row r="35" ht="22" customHeight="1">
      <c r="B35" s="18">
        <f>IF(C35="","CL-"&amp;TEXT(COUNTA($C$5:C35),"000"))</f>
        <v/>
      </c>
      <c r="C35" s="13" t="n"/>
      <c r="D35" s="13" t="n"/>
      <c r="E35" s="13" t="n"/>
      <c r="F35" s="13" t="n"/>
      <c r="G35" s="13" t="n"/>
      <c r="H35" s="14" t="n"/>
      <c r="I35" s="13" t="n"/>
      <c r="J35" s="13" t="n"/>
    </row>
    <row r="36" ht="22" customHeight="1">
      <c r="B36" s="17">
        <f>IF(C36="","CL-"&amp;TEXT(COUNTA($C$5:C36),"000"))</f>
        <v/>
      </c>
      <c r="C36" s="15" t="n"/>
      <c r="D36" s="15" t="n"/>
      <c r="E36" s="15" t="n"/>
      <c r="F36" s="15" t="n"/>
      <c r="G36" s="15" t="n"/>
      <c r="H36" s="16" t="n"/>
      <c r="I36" s="15" t="n"/>
      <c r="J36" s="15" t="n"/>
    </row>
    <row r="37" ht="22" customHeight="1">
      <c r="B37" s="18">
        <f>IF(C37="","CL-"&amp;TEXT(COUNTA($C$5:C37),"000"))</f>
        <v/>
      </c>
      <c r="C37" s="13" t="n"/>
      <c r="D37" s="13" t="n"/>
      <c r="E37" s="13" t="n"/>
      <c r="F37" s="13" t="n"/>
      <c r="G37" s="13" t="n"/>
      <c r="H37" s="14" t="n"/>
      <c r="I37" s="13" t="n"/>
      <c r="J37" s="13" t="n"/>
    </row>
    <row r="38" ht="22" customHeight="1">
      <c r="B38" s="17">
        <f>IF(C38="","CL-"&amp;TEXT(COUNTA($C$5:C38),"000"))</f>
        <v/>
      </c>
      <c r="C38" s="15" t="n"/>
      <c r="D38" s="15" t="n"/>
      <c r="E38" s="15" t="n"/>
      <c r="F38" s="15" t="n"/>
      <c r="G38" s="15" t="n"/>
      <c r="H38" s="16" t="n"/>
      <c r="I38" s="15" t="n"/>
      <c r="J38" s="15" t="n"/>
    </row>
    <row r="39" ht="22" customHeight="1">
      <c r="B39" s="18">
        <f>IF(C39="","CL-"&amp;TEXT(COUNTA($C$5:C39),"000"))</f>
        <v/>
      </c>
      <c r="C39" s="13" t="n"/>
      <c r="D39" s="13" t="n"/>
      <c r="E39" s="13" t="n"/>
      <c r="F39" s="13" t="n"/>
      <c r="G39" s="13" t="n"/>
      <c r="H39" s="14" t="n"/>
      <c r="I39" s="13" t="n"/>
      <c r="J39" s="13" t="n"/>
    </row>
    <row r="40" ht="22" customHeight="1">
      <c r="B40" s="17">
        <f>IF(C40="","CL-"&amp;TEXT(COUNTA($C$5:C40),"000"))</f>
        <v/>
      </c>
      <c r="C40" s="15" t="n"/>
      <c r="D40" s="15" t="n"/>
      <c r="E40" s="15" t="n"/>
      <c r="F40" s="15" t="n"/>
      <c r="G40" s="15" t="n"/>
      <c r="H40" s="16" t="n"/>
      <c r="I40" s="15" t="n"/>
      <c r="J40" s="15" t="n"/>
    </row>
    <row r="41" ht="22" customHeight="1">
      <c r="B41" s="18">
        <f>IF(C41="","CL-"&amp;TEXT(COUNTA($C$5:C41),"000"))</f>
        <v/>
      </c>
      <c r="C41" s="13" t="n"/>
      <c r="D41" s="13" t="n"/>
      <c r="E41" s="13" t="n"/>
      <c r="F41" s="13" t="n"/>
      <c r="G41" s="13" t="n"/>
      <c r="H41" s="14" t="n"/>
      <c r="I41" s="13" t="n"/>
      <c r="J41" s="13" t="n"/>
    </row>
    <row r="42" ht="22" customHeight="1">
      <c r="B42" s="17">
        <f>IF(C42="","CL-"&amp;TEXT(COUNTA($C$5:C42),"000"))</f>
        <v/>
      </c>
      <c r="C42" s="15" t="n"/>
      <c r="D42" s="15" t="n"/>
      <c r="E42" s="15" t="n"/>
      <c r="F42" s="15" t="n"/>
      <c r="G42" s="15" t="n"/>
      <c r="H42" s="16" t="n"/>
      <c r="I42" s="15" t="n"/>
      <c r="J42" s="15" t="n"/>
    </row>
    <row r="43" ht="22" customHeight="1">
      <c r="B43" s="18">
        <f>IF(C43="","CL-"&amp;TEXT(COUNTA($C$5:C43),"000"))</f>
        <v/>
      </c>
      <c r="C43" s="13" t="n"/>
      <c r="D43" s="13" t="n"/>
      <c r="E43" s="13" t="n"/>
      <c r="F43" s="13" t="n"/>
      <c r="G43" s="13" t="n"/>
      <c r="H43" s="14" t="n"/>
      <c r="I43" s="13" t="n"/>
      <c r="J43" s="13" t="n"/>
    </row>
    <row r="44" ht="22" customHeight="1">
      <c r="B44" s="17">
        <f>IF(C44="","CL-"&amp;TEXT(COUNTA($C$5:C44),"000"))</f>
        <v/>
      </c>
      <c r="C44" s="15" t="n"/>
      <c r="D44" s="15" t="n"/>
      <c r="E44" s="15" t="n"/>
      <c r="F44" s="15" t="n"/>
      <c r="G44" s="15" t="n"/>
      <c r="H44" s="16" t="n"/>
      <c r="I44" s="15" t="n"/>
      <c r="J44" s="15" t="n"/>
    </row>
    <row r="45" ht="22" customHeight="1">
      <c r="B45" s="18">
        <f>IF(C45="","CL-"&amp;TEXT(COUNTA($C$5:C45),"000"))</f>
        <v/>
      </c>
      <c r="C45" s="13" t="n"/>
      <c r="D45" s="13" t="n"/>
      <c r="E45" s="13" t="n"/>
      <c r="F45" s="13" t="n"/>
      <c r="G45" s="13" t="n"/>
      <c r="H45" s="14" t="n"/>
      <c r="I45" s="13" t="n"/>
      <c r="J45" s="13" t="n"/>
    </row>
    <row r="46" ht="22" customHeight="1">
      <c r="B46" s="17">
        <f>IF(C46="","CL-"&amp;TEXT(COUNTA($C$5:C46),"000"))</f>
        <v/>
      </c>
      <c r="C46" s="15" t="n"/>
      <c r="D46" s="15" t="n"/>
      <c r="E46" s="15" t="n"/>
      <c r="F46" s="15" t="n"/>
      <c r="G46" s="15" t="n"/>
      <c r="H46" s="16" t="n"/>
      <c r="I46" s="15" t="n"/>
      <c r="J46" s="15" t="n"/>
    </row>
    <row r="47" ht="22" customHeight="1">
      <c r="B47" s="18">
        <f>IF(C47="","CL-"&amp;TEXT(COUNTA($C$5:C47),"000"))</f>
        <v/>
      </c>
      <c r="C47" s="13" t="n"/>
      <c r="D47" s="13" t="n"/>
      <c r="E47" s="13" t="n"/>
      <c r="F47" s="13" t="n"/>
      <c r="G47" s="13" t="n"/>
      <c r="H47" s="14" t="n"/>
      <c r="I47" s="13" t="n"/>
      <c r="J47" s="13" t="n"/>
    </row>
    <row r="48" ht="22" customHeight="1">
      <c r="B48" s="17">
        <f>IF(C48="","CL-"&amp;TEXT(COUNTA($C$5:C48),"000"))</f>
        <v/>
      </c>
      <c r="C48" s="15" t="n"/>
      <c r="D48" s="15" t="n"/>
      <c r="E48" s="15" t="n"/>
      <c r="F48" s="15" t="n"/>
      <c r="G48" s="15" t="n"/>
      <c r="H48" s="16" t="n"/>
      <c r="I48" s="15" t="n"/>
      <c r="J48" s="15" t="n"/>
    </row>
    <row r="49" ht="22" customHeight="1">
      <c r="B49" s="18">
        <f>IF(C49="","CL-"&amp;TEXT(COUNTA($C$5:C49),"000"))</f>
        <v/>
      </c>
      <c r="C49" s="13" t="n"/>
      <c r="D49" s="13" t="n"/>
      <c r="E49" s="13" t="n"/>
      <c r="F49" s="13" t="n"/>
      <c r="G49" s="13" t="n"/>
      <c r="H49" s="14" t="n"/>
      <c r="I49" s="13" t="n"/>
      <c r="J49" s="13" t="n"/>
    </row>
    <row r="50" ht="22" customHeight="1">
      <c r="B50" s="17">
        <f>IF(C50="","CL-"&amp;TEXT(COUNTA($C$5:C50),"000"))</f>
        <v/>
      </c>
      <c r="C50" s="15" t="n"/>
      <c r="D50" s="15" t="n"/>
      <c r="E50" s="15" t="n"/>
      <c r="F50" s="15" t="n"/>
      <c r="G50" s="15" t="n"/>
      <c r="H50" s="16" t="n"/>
      <c r="I50" s="15" t="n"/>
      <c r="J50" s="15" t="n"/>
    </row>
    <row r="51" ht="22" customHeight="1">
      <c r="B51" s="18">
        <f>IF(C51="","CL-"&amp;TEXT(COUNTA($C$5:C51),"000"))</f>
        <v/>
      </c>
      <c r="C51" s="13" t="n"/>
      <c r="D51" s="13" t="n"/>
      <c r="E51" s="13" t="n"/>
      <c r="F51" s="13" t="n"/>
      <c r="G51" s="13" t="n"/>
      <c r="H51" s="14" t="n"/>
      <c r="I51" s="13" t="n"/>
      <c r="J51" s="13" t="n"/>
    </row>
    <row r="52" ht="22" customHeight="1">
      <c r="B52" s="17">
        <f>IF(C52="","CL-"&amp;TEXT(COUNTA($C$5:C52),"000"))</f>
        <v/>
      </c>
      <c r="C52" s="15" t="n"/>
      <c r="D52" s="15" t="n"/>
      <c r="E52" s="15" t="n"/>
      <c r="F52" s="15" t="n"/>
      <c r="G52" s="15" t="n"/>
      <c r="H52" s="16" t="n"/>
      <c r="I52" s="15" t="n"/>
      <c r="J52" s="15" t="n"/>
    </row>
    <row r="53" ht="22" customHeight="1">
      <c r="B53" s="18">
        <f>IF(C53="","CL-"&amp;TEXT(COUNTA($C$5:C53),"000"))</f>
        <v/>
      </c>
      <c r="C53" s="13" t="n"/>
      <c r="D53" s="13" t="n"/>
      <c r="E53" s="13" t="n"/>
      <c r="F53" s="13" t="n"/>
      <c r="G53" s="13" t="n"/>
      <c r="H53" s="14" t="n"/>
      <c r="I53" s="13" t="n"/>
      <c r="J53" s="13" t="n"/>
    </row>
    <row r="54" ht="22" customHeight="1">
      <c r="B54" s="17">
        <f>IF(C54="","CL-"&amp;TEXT(COUNTA($C$5:C54),"000"))</f>
        <v/>
      </c>
      <c r="C54" s="15" t="n"/>
      <c r="D54" s="15" t="n"/>
      <c r="E54" s="15" t="n"/>
      <c r="F54" s="15" t="n"/>
      <c r="G54" s="15" t="n"/>
      <c r="H54" s="16" t="n"/>
      <c r="I54" s="15" t="n"/>
      <c r="J54" s="15" t="n"/>
    </row>
    <row r="55" ht="22" customHeight="1">
      <c r="B55" s="18">
        <f>IF(C55="","CL-"&amp;TEXT(COUNTA($C$5:C55),"000"))</f>
        <v/>
      </c>
      <c r="C55" s="13" t="n"/>
      <c r="D55" s="13" t="n"/>
      <c r="E55" s="13" t="n"/>
      <c r="F55" s="13" t="n"/>
      <c r="G55" s="13" t="n"/>
      <c r="H55" s="14" t="n"/>
      <c r="I55" s="13" t="n"/>
      <c r="J55" s="13" t="n"/>
    </row>
    <row r="56" ht="22" customHeight="1">
      <c r="B56" s="17">
        <f>IF(C56="","CL-"&amp;TEXT(COUNTA($C$5:C56),"000"))</f>
        <v/>
      </c>
      <c r="C56" s="15" t="n"/>
      <c r="D56" s="15" t="n"/>
      <c r="E56" s="15" t="n"/>
      <c r="F56" s="15" t="n"/>
      <c r="G56" s="15" t="n"/>
      <c r="H56" s="16" t="n"/>
      <c r="I56" s="15" t="n"/>
      <c r="J56" s="15" t="n"/>
    </row>
    <row r="57" ht="22" customHeight="1">
      <c r="B57" s="18">
        <f>IF(C57="","CL-"&amp;TEXT(COUNTA($C$5:C57),"000"))</f>
        <v/>
      </c>
      <c r="C57" s="13" t="n"/>
      <c r="D57" s="13" t="n"/>
      <c r="E57" s="13" t="n"/>
      <c r="F57" s="13" t="n"/>
      <c r="G57" s="13" t="n"/>
      <c r="H57" s="14" t="n"/>
      <c r="I57" s="13" t="n"/>
      <c r="J57" s="13" t="n"/>
    </row>
    <row r="58" ht="22" customHeight="1">
      <c r="B58" s="17">
        <f>IF(C58="","CL-"&amp;TEXT(COUNTA($C$5:C58),"000"))</f>
        <v/>
      </c>
      <c r="C58" s="15" t="n"/>
      <c r="D58" s="15" t="n"/>
      <c r="E58" s="15" t="n"/>
      <c r="F58" s="15" t="n"/>
      <c r="G58" s="15" t="n"/>
      <c r="H58" s="16" t="n"/>
      <c r="I58" s="15" t="n"/>
      <c r="J58" s="15" t="n"/>
    </row>
    <row r="59" ht="22" customHeight="1">
      <c r="B59" s="18">
        <f>IF(C59="","CL-"&amp;TEXT(COUNTA($C$5:C59),"000"))</f>
        <v/>
      </c>
      <c r="C59" s="13" t="n"/>
      <c r="D59" s="13" t="n"/>
      <c r="E59" s="13" t="n"/>
      <c r="F59" s="13" t="n"/>
      <c r="G59" s="13" t="n"/>
      <c r="H59" s="14" t="n"/>
      <c r="I59" s="13" t="n"/>
      <c r="J59" s="13" t="n"/>
    </row>
    <row r="60" ht="22" customHeight="1">
      <c r="B60" s="17">
        <f>IF(C60="","CL-"&amp;TEXT(COUNTA($C$5:C60),"000"))</f>
        <v/>
      </c>
      <c r="C60" s="15" t="n"/>
      <c r="D60" s="15" t="n"/>
      <c r="E60" s="15" t="n"/>
      <c r="F60" s="15" t="n"/>
      <c r="G60" s="15" t="n"/>
      <c r="H60" s="16" t="n"/>
      <c r="I60" s="15" t="n"/>
      <c r="J60" s="15" t="n"/>
    </row>
    <row r="61" ht="22" customHeight="1">
      <c r="B61" s="18">
        <f>IF(C61="","CL-"&amp;TEXT(COUNTA($C$5:C61),"000"))</f>
        <v/>
      </c>
      <c r="C61" s="13" t="n"/>
      <c r="D61" s="13" t="n"/>
      <c r="E61" s="13" t="n"/>
      <c r="F61" s="13" t="n"/>
      <c r="G61" s="13" t="n"/>
      <c r="H61" s="14" t="n"/>
      <c r="I61" s="13" t="n"/>
      <c r="J61" s="13" t="n"/>
    </row>
    <row r="62" ht="22" customHeight="1">
      <c r="B62" s="17">
        <f>IF(C62="","CL-"&amp;TEXT(COUNTA($C$5:C62),"000"))</f>
        <v/>
      </c>
      <c r="C62" s="15" t="n"/>
      <c r="D62" s="15" t="n"/>
      <c r="E62" s="15" t="n"/>
      <c r="F62" s="15" t="n"/>
      <c r="G62" s="15" t="n"/>
      <c r="H62" s="16" t="n"/>
      <c r="I62" s="15" t="n"/>
      <c r="J62" s="15" t="n"/>
    </row>
    <row r="63" ht="22" customHeight="1">
      <c r="B63" s="18">
        <f>IF(C63="","CL-"&amp;TEXT(COUNTA($C$5:C63),"000"))</f>
        <v/>
      </c>
      <c r="C63" s="13" t="n"/>
      <c r="D63" s="13" t="n"/>
      <c r="E63" s="13" t="n"/>
      <c r="F63" s="13" t="n"/>
      <c r="G63" s="13" t="n"/>
      <c r="H63" s="14" t="n"/>
      <c r="I63" s="13" t="n"/>
      <c r="J63" s="13" t="n"/>
    </row>
    <row r="64" ht="22" customHeight="1">
      <c r="B64" s="17">
        <f>IF(C64="","CL-"&amp;TEXT(COUNTA($C$5:C64),"000"))</f>
        <v/>
      </c>
      <c r="C64" s="15" t="n"/>
      <c r="D64" s="15" t="n"/>
      <c r="E64" s="15" t="n"/>
      <c r="F64" s="15" t="n"/>
      <c r="G64" s="15" t="n"/>
      <c r="H64" s="16" t="n"/>
      <c r="I64" s="15" t="n"/>
      <c r="J64" s="15" t="n"/>
    </row>
    <row r="65" ht="22" customHeight="1">
      <c r="B65" s="18">
        <f>IF(C65="","CL-"&amp;TEXT(COUNTA($C$5:C65),"000"))</f>
        <v/>
      </c>
      <c r="C65" s="13" t="n"/>
      <c r="D65" s="13" t="n"/>
      <c r="E65" s="13" t="n"/>
      <c r="F65" s="13" t="n"/>
      <c r="G65" s="13" t="n"/>
      <c r="H65" s="14" t="n"/>
      <c r="I65" s="13" t="n"/>
      <c r="J65" s="13" t="n"/>
    </row>
    <row r="66" ht="22" customHeight="1">
      <c r="B66" s="17">
        <f>IF(C66="","CL-"&amp;TEXT(COUNTA($C$5:C66),"000"))</f>
        <v/>
      </c>
      <c r="C66" s="15" t="n"/>
      <c r="D66" s="15" t="n"/>
      <c r="E66" s="15" t="n"/>
      <c r="F66" s="15" t="n"/>
      <c r="G66" s="15" t="n"/>
      <c r="H66" s="16" t="n"/>
      <c r="I66" s="15" t="n"/>
      <c r="J66" s="15" t="n"/>
    </row>
    <row r="67" ht="22" customHeight="1">
      <c r="B67" s="18">
        <f>IF(C67="","CL-"&amp;TEXT(COUNTA($C$5:C67),"000"))</f>
        <v/>
      </c>
      <c r="C67" s="13" t="n"/>
      <c r="D67" s="13" t="n"/>
      <c r="E67" s="13" t="n"/>
      <c r="F67" s="13" t="n"/>
      <c r="G67" s="13" t="n"/>
      <c r="H67" s="14" t="n"/>
      <c r="I67" s="13" t="n"/>
      <c r="J67" s="13" t="n"/>
    </row>
    <row r="68" ht="22" customHeight="1">
      <c r="B68" s="17">
        <f>IF(C68="","CL-"&amp;TEXT(COUNTA($C$5:C68),"000"))</f>
        <v/>
      </c>
      <c r="C68" s="15" t="n"/>
      <c r="D68" s="15" t="n"/>
      <c r="E68" s="15" t="n"/>
      <c r="F68" s="15" t="n"/>
      <c r="G68" s="15" t="n"/>
      <c r="H68" s="16" t="n"/>
      <c r="I68" s="15" t="n"/>
      <c r="J68" s="15" t="n"/>
    </row>
    <row r="69" ht="22" customHeight="1">
      <c r="B69" s="18">
        <f>IF(C69="","CL-"&amp;TEXT(COUNTA($C$5:C69),"000"))</f>
        <v/>
      </c>
      <c r="C69" s="13" t="n"/>
      <c r="D69" s="13" t="n"/>
      <c r="E69" s="13" t="n"/>
      <c r="F69" s="13" t="n"/>
      <c r="G69" s="13" t="n"/>
      <c r="H69" s="14" t="n"/>
      <c r="I69" s="13" t="n"/>
      <c r="J69" s="13" t="n"/>
    </row>
    <row r="70" ht="22" customHeight="1">
      <c r="B70" s="17">
        <f>IF(C70="","CL-"&amp;TEXT(COUNTA($C$5:C70),"000"))</f>
        <v/>
      </c>
      <c r="C70" s="15" t="n"/>
      <c r="D70" s="15" t="n"/>
      <c r="E70" s="15" t="n"/>
      <c r="F70" s="15" t="n"/>
      <c r="G70" s="15" t="n"/>
      <c r="H70" s="16" t="n"/>
      <c r="I70" s="15" t="n"/>
      <c r="J70" s="15" t="n"/>
    </row>
    <row r="71" ht="22" customHeight="1">
      <c r="B71" s="18">
        <f>IF(C71="","CL-"&amp;TEXT(COUNTA($C$5:C71),"000"))</f>
        <v/>
      </c>
      <c r="C71" s="13" t="n"/>
      <c r="D71" s="13" t="n"/>
      <c r="E71" s="13" t="n"/>
      <c r="F71" s="13" t="n"/>
      <c r="G71" s="13" t="n"/>
      <c r="H71" s="14" t="n"/>
      <c r="I71" s="13" t="n"/>
      <c r="J71" s="13" t="n"/>
    </row>
    <row r="72" ht="22" customHeight="1">
      <c r="B72" s="17">
        <f>IF(C72="","CL-"&amp;TEXT(COUNTA($C$5:C72),"000"))</f>
        <v/>
      </c>
      <c r="C72" s="15" t="n"/>
      <c r="D72" s="15" t="n"/>
      <c r="E72" s="15" t="n"/>
      <c r="F72" s="15" t="n"/>
      <c r="G72" s="15" t="n"/>
      <c r="H72" s="16" t="n"/>
      <c r="I72" s="15" t="n"/>
      <c r="J72" s="15" t="n"/>
    </row>
    <row r="73" ht="22" customHeight="1">
      <c r="B73" s="18">
        <f>IF(C73="","CL-"&amp;TEXT(COUNTA($C$5:C73),"000"))</f>
        <v/>
      </c>
      <c r="C73" s="13" t="n"/>
      <c r="D73" s="13" t="n"/>
      <c r="E73" s="13" t="n"/>
      <c r="F73" s="13" t="n"/>
      <c r="G73" s="13" t="n"/>
      <c r="H73" s="14" t="n"/>
      <c r="I73" s="13" t="n"/>
      <c r="J73" s="13" t="n"/>
    </row>
    <row r="74" ht="22" customHeight="1">
      <c r="B74" s="17">
        <f>IF(C74="","CL-"&amp;TEXT(COUNTA($C$5:C74),"000"))</f>
        <v/>
      </c>
      <c r="C74" s="15" t="n"/>
      <c r="D74" s="15" t="n"/>
      <c r="E74" s="15" t="n"/>
      <c r="F74" s="15" t="n"/>
      <c r="G74" s="15" t="n"/>
      <c r="H74" s="16" t="n"/>
      <c r="I74" s="15" t="n"/>
      <c r="J74" s="15" t="n"/>
    </row>
    <row r="75" ht="22" customHeight="1">
      <c r="B75" s="18">
        <f>IF(C75="","CL-"&amp;TEXT(COUNTA($C$5:C75),"000"))</f>
        <v/>
      </c>
      <c r="C75" s="13" t="n"/>
      <c r="D75" s="13" t="n"/>
      <c r="E75" s="13" t="n"/>
      <c r="F75" s="13" t="n"/>
      <c r="G75" s="13" t="n"/>
      <c r="H75" s="14" t="n"/>
      <c r="I75" s="13" t="n"/>
      <c r="J75" s="13" t="n"/>
    </row>
    <row r="76" ht="22" customHeight="1">
      <c r="B76" s="17">
        <f>IF(C76="","CL-"&amp;TEXT(COUNTA($C$5:C76),"000"))</f>
        <v/>
      </c>
      <c r="C76" s="15" t="n"/>
      <c r="D76" s="15" t="n"/>
      <c r="E76" s="15" t="n"/>
      <c r="F76" s="15" t="n"/>
      <c r="G76" s="15" t="n"/>
      <c r="H76" s="16" t="n"/>
      <c r="I76" s="15" t="n"/>
      <c r="J76" s="15" t="n"/>
    </row>
    <row r="77" ht="22" customHeight="1">
      <c r="B77" s="18">
        <f>IF(C77="","CL-"&amp;TEXT(COUNTA($C$5:C77),"000"))</f>
        <v/>
      </c>
      <c r="C77" s="13" t="n"/>
      <c r="D77" s="13" t="n"/>
      <c r="E77" s="13" t="n"/>
      <c r="F77" s="13" t="n"/>
      <c r="G77" s="13" t="n"/>
      <c r="H77" s="14" t="n"/>
      <c r="I77" s="13" t="n"/>
      <c r="J77" s="13" t="n"/>
    </row>
    <row r="78" ht="22" customHeight="1">
      <c r="B78" s="17">
        <f>IF(C78="","CL-"&amp;TEXT(COUNTA($C$5:C78),"000"))</f>
        <v/>
      </c>
      <c r="C78" s="15" t="n"/>
      <c r="D78" s="15" t="n"/>
      <c r="E78" s="15" t="n"/>
      <c r="F78" s="15" t="n"/>
      <c r="G78" s="15" t="n"/>
      <c r="H78" s="16" t="n"/>
      <c r="I78" s="15" t="n"/>
      <c r="J78" s="15" t="n"/>
    </row>
    <row r="79" ht="22" customHeight="1">
      <c r="B79" s="18">
        <f>IF(C79="","CL-"&amp;TEXT(COUNTA($C$5:C79),"000"))</f>
        <v/>
      </c>
      <c r="C79" s="13" t="n"/>
      <c r="D79" s="13" t="n"/>
      <c r="E79" s="13" t="n"/>
      <c r="F79" s="13" t="n"/>
      <c r="G79" s="13" t="n"/>
      <c r="H79" s="14" t="n"/>
      <c r="I79" s="13" t="n"/>
      <c r="J79" s="13" t="n"/>
    </row>
    <row r="80" ht="22" customHeight="1">
      <c r="B80" s="17">
        <f>IF(C80="","CL-"&amp;TEXT(COUNTA($C$5:C80),"000"))</f>
        <v/>
      </c>
      <c r="C80" s="15" t="n"/>
      <c r="D80" s="15" t="n"/>
      <c r="E80" s="15" t="n"/>
      <c r="F80" s="15" t="n"/>
      <c r="G80" s="15" t="n"/>
      <c r="H80" s="16" t="n"/>
      <c r="I80" s="15" t="n"/>
      <c r="J80" s="15" t="n"/>
    </row>
    <row r="81" ht="22" customHeight="1">
      <c r="B81" s="18">
        <f>IF(C81="","CL-"&amp;TEXT(COUNTA($C$5:C81),"000"))</f>
        <v/>
      </c>
      <c r="C81" s="13" t="n"/>
      <c r="D81" s="13" t="n"/>
      <c r="E81" s="13" t="n"/>
      <c r="F81" s="13" t="n"/>
      <c r="G81" s="13" t="n"/>
      <c r="H81" s="14" t="n"/>
      <c r="I81" s="13" t="n"/>
      <c r="J81" s="13" t="n"/>
    </row>
    <row r="82" ht="22" customHeight="1">
      <c r="B82" s="17">
        <f>IF(C82="","CL-"&amp;TEXT(COUNTA($C$5:C82),"000"))</f>
        <v/>
      </c>
      <c r="C82" s="15" t="n"/>
      <c r="D82" s="15" t="n"/>
      <c r="E82" s="15" t="n"/>
      <c r="F82" s="15" t="n"/>
      <c r="G82" s="15" t="n"/>
      <c r="H82" s="16" t="n"/>
      <c r="I82" s="15" t="n"/>
      <c r="J82" s="15" t="n"/>
    </row>
    <row r="83" ht="22" customHeight="1">
      <c r="B83" s="18">
        <f>IF(C83="","CL-"&amp;TEXT(COUNTA($C$5:C83),"000"))</f>
        <v/>
      </c>
      <c r="C83" s="13" t="n"/>
      <c r="D83" s="13" t="n"/>
      <c r="E83" s="13" t="n"/>
      <c r="F83" s="13" t="n"/>
      <c r="G83" s="13" t="n"/>
      <c r="H83" s="14" t="n"/>
      <c r="I83" s="13" t="n"/>
      <c r="J83" s="13" t="n"/>
    </row>
    <row r="84" ht="22" customHeight="1">
      <c r="B84" s="17">
        <f>IF(C84="","CL-"&amp;TEXT(COUNTA($C$5:C84),"000"))</f>
        <v/>
      </c>
      <c r="C84" s="15" t="n"/>
      <c r="D84" s="15" t="n"/>
      <c r="E84" s="15" t="n"/>
      <c r="F84" s="15" t="n"/>
      <c r="G84" s="15" t="n"/>
      <c r="H84" s="16" t="n"/>
      <c r="I84" s="15" t="n"/>
      <c r="J84" s="15" t="n"/>
    </row>
    <row r="85" ht="22" customHeight="1">
      <c r="B85" s="18">
        <f>IF(C85="","CL-"&amp;TEXT(COUNTA($C$5:C85),"000"))</f>
        <v/>
      </c>
      <c r="C85" s="13" t="n"/>
      <c r="D85" s="13" t="n"/>
      <c r="E85" s="13" t="n"/>
      <c r="F85" s="13" t="n"/>
      <c r="G85" s="13" t="n"/>
      <c r="H85" s="14" t="n"/>
      <c r="I85" s="13" t="n"/>
      <c r="J85" s="13" t="n"/>
    </row>
    <row r="86" ht="22" customHeight="1">
      <c r="B86" s="17">
        <f>IF(C86="","CL-"&amp;TEXT(COUNTA($C$5:C86),"000"))</f>
        <v/>
      </c>
      <c r="C86" s="15" t="n"/>
      <c r="D86" s="15" t="n"/>
      <c r="E86" s="15" t="n"/>
      <c r="F86" s="15" t="n"/>
      <c r="G86" s="15" t="n"/>
      <c r="H86" s="16" t="n"/>
      <c r="I86" s="15" t="n"/>
      <c r="J86" s="15" t="n"/>
    </row>
    <row r="87" ht="22" customHeight="1">
      <c r="B87" s="18">
        <f>IF(C87="","CL-"&amp;TEXT(COUNTA($C$5:C87),"000"))</f>
        <v/>
      </c>
      <c r="C87" s="13" t="n"/>
      <c r="D87" s="13" t="n"/>
      <c r="E87" s="13" t="n"/>
      <c r="F87" s="13" t="n"/>
      <c r="G87" s="13" t="n"/>
      <c r="H87" s="14" t="n"/>
      <c r="I87" s="13" t="n"/>
      <c r="J87" s="13" t="n"/>
    </row>
    <row r="88" ht="22" customHeight="1">
      <c r="B88" s="17">
        <f>IF(C88="","CL-"&amp;TEXT(COUNTA($C$5:C88),"000"))</f>
        <v/>
      </c>
      <c r="C88" s="15" t="n"/>
      <c r="D88" s="15" t="n"/>
      <c r="E88" s="15" t="n"/>
      <c r="F88" s="15" t="n"/>
      <c r="G88" s="15" t="n"/>
      <c r="H88" s="16" t="n"/>
      <c r="I88" s="15" t="n"/>
      <c r="J88" s="15" t="n"/>
    </row>
    <row r="89" ht="22" customHeight="1">
      <c r="B89" s="18">
        <f>IF(C89="","CL-"&amp;TEXT(COUNTA($C$5:C89),"000"))</f>
        <v/>
      </c>
      <c r="C89" s="13" t="n"/>
      <c r="D89" s="13" t="n"/>
      <c r="E89" s="13" t="n"/>
      <c r="F89" s="13" t="n"/>
      <c r="G89" s="13" t="n"/>
      <c r="H89" s="14" t="n"/>
      <c r="I89" s="13" t="n"/>
      <c r="J89" s="13" t="n"/>
    </row>
    <row r="90" ht="22" customHeight="1">
      <c r="B90" s="17">
        <f>IF(C90="","CL-"&amp;TEXT(COUNTA($C$5:C90),"000"))</f>
        <v/>
      </c>
      <c r="C90" s="15" t="n"/>
      <c r="D90" s="15" t="n"/>
      <c r="E90" s="15" t="n"/>
      <c r="F90" s="15" t="n"/>
      <c r="G90" s="15" t="n"/>
      <c r="H90" s="16" t="n"/>
      <c r="I90" s="15" t="n"/>
      <c r="J90" s="15" t="n"/>
    </row>
    <row r="91" ht="22" customHeight="1">
      <c r="B91" s="18">
        <f>IF(C91="","CL-"&amp;TEXT(COUNTA($C$5:C91),"000"))</f>
        <v/>
      </c>
      <c r="C91" s="13" t="n"/>
      <c r="D91" s="13" t="n"/>
      <c r="E91" s="13" t="n"/>
      <c r="F91" s="13" t="n"/>
      <c r="G91" s="13" t="n"/>
      <c r="H91" s="14" t="n"/>
      <c r="I91" s="13" t="n"/>
      <c r="J91" s="13" t="n"/>
    </row>
    <row r="92" ht="22" customHeight="1">
      <c r="B92" s="17">
        <f>IF(C92="","CL-"&amp;TEXT(COUNTA($C$5:C92),"000"))</f>
        <v/>
      </c>
      <c r="C92" s="15" t="n"/>
      <c r="D92" s="15" t="n"/>
      <c r="E92" s="15" t="n"/>
      <c r="F92" s="15" t="n"/>
      <c r="G92" s="15" t="n"/>
      <c r="H92" s="16" t="n"/>
      <c r="I92" s="15" t="n"/>
      <c r="J92" s="15" t="n"/>
    </row>
    <row r="93" ht="22" customHeight="1">
      <c r="B93" s="18">
        <f>IF(C93="","CL-"&amp;TEXT(COUNTA($C$5:C93),"000"))</f>
        <v/>
      </c>
      <c r="C93" s="13" t="n"/>
      <c r="D93" s="13" t="n"/>
      <c r="E93" s="13" t="n"/>
      <c r="F93" s="13" t="n"/>
      <c r="G93" s="13" t="n"/>
      <c r="H93" s="14" t="n"/>
      <c r="I93" s="13" t="n"/>
      <c r="J93" s="13" t="n"/>
    </row>
    <row r="94" ht="22" customHeight="1">
      <c r="B94" s="17">
        <f>IF(C94="","CL-"&amp;TEXT(COUNTA($C$5:C94),"000"))</f>
        <v/>
      </c>
      <c r="C94" s="15" t="n"/>
      <c r="D94" s="15" t="n"/>
      <c r="E94" s="15" t="n"/>
      <c r="F94" s="15" t="n"/>
      <c r="G94" s="15" t="n"/>
      <c r="H94" s="16" t="n"/>
      <c r="I94" s="15" t="n"/>
      <c r="J94" s="15" t="n"/>
    </row>
    <row r="95" ht="22" customHeight="1">
      <c r="B95" s="18">
        <f>IF(C95="","CL-"&amp;TEXT(COUNTA($C$5:C95),"000"))</f>
        <v/>
      </c>
      <c r="C95" s="13" t="n"/>
      <c r="D95" s="13" t="n"/>
      <c r="E95" s="13" t="n"/>
      <c r="F95" s="13" t="n"/>
      <c r="G95" s="13" t="n"/>
      <c r="H95" s="14" t="n"/>
      <c r="I95" s="13" t="n"/>
      <c r="J95" s="13" t="n"/>
    </row>
    <row r="96" ht="22" customHeight="1">
      <c r="B96" s="17">
        <f>IF(C96="","CL-"&amp;TEXT(COUNTA($C$5:C96),"000"))</f>
        <v/>
      </c>
      <c r="C96" s="15" t="n"/>
      <c r="D96" s="15" t="n"/>
      <c r="E96" s="15" t="n"/>
      <c r="F96" s="15" t="n"/>
      <c r="G96" s="15" t="n"/>
      <c r="H96" s="16" t="n"/>
      <c r="I96" s="15" t="n"/>
      <c r="J96" s="15" t="n"/>
    </row>
    <row r="97" ht="22" customHeight="1">
      <c r="B97" s="18">
        <f>IF(C97="","CL-"&amp;TEXT(COUNTA($C$5:C97),"000"))</f>
        <v/>
      </c>
      <c r="C97" s="13" t="n"/>
      <c r="D97" s="13" t="n"/>
      <c r="E97" s="13" t="n"/>
      <c r="F97" s="13" t="n"/>
      <c r="G97" s="13" t="n"/>
      <c r="H97" s="14" t="n"/>
      <c r="I97" s="13" t="n"/>
      <c r="J97" s="13" t="n"/>
    </row>
    <row r="98" ht="22" customHeight="1">
      <c r="B98" s="17">
        <f>IF(C98="","CL-"&amp;TEXT(COUNTA($C$5:C98),"000"))</f>
        <v/>
      </c>
      <c r="C98" s="15" t="n"/>
      <c r="D98" s="15" t="n"/>
      <c r="E98" s="15" t="n"/>
      <c r="F98" s="15" t="n"/>
      <c r="G98" s="15" t="n"/>
      <c r="H98" s="16" t="n"/>
      <c r="I98" s="15" t="n"/>
      <c r="J98" s="15" t="n"/>
    </row>
    <row r="99" ht="22" customHeight="1">
      <c r="B99" s="18">
        <f>IF(C99="","CL-"&amp;TEXT(COUNTA($C$5:C99),"000"))</f>
        <v/>
      </c>
      <c r="C99" s="13" t="n"/>
      <c r="D99" s="13" t="n"/>
      <c r="E99" s="13" t="n"/>
      <c r="F99" s="13" t="n"/>
      <c r="G99" s="13" t="n"/>
      <c r="H99" s="14" t="n"/>
      <c r="I99" s="13" t="n"/>
      <c r="J99" s="13" t="n"/>
    </row>
    <row r="100" ht="22" customHeight="1">
      <c r="B100" s="17">
        <f>IF(C100="","CL-"&amp;TEXT(COUNTA($C$5:C100),"000"))</f>
        <v/>
      </c>
      <c r="C100" s="15" t="n"/>
      <c r="D100" s="15" t="n"/>
      <c r="E100" s="15" t="n"/>
      <c r="F100" s="15" t="n"/>
      <c r="G100" s="15" t="n"/>
      <c r="H100" s="16" t="n"/>
      <c r="I100" s="15" t="n"/>
      <c r="J100" s="15" t="n"/>
    </row>
    <row r="101" ht="22" customHeight="1">
      <c r="B101" s="18">
        <f>IF(C101="","CL-"&amp;TEXT(COUNTA($C$5:C101),"000"))</f>
        <v/>
      </c>
      <c r="C101" s="13" t="n"/>
      <c r="D101" s="13" t="n"/>
      <c r="E101" s="13" t="n"/>
      <c r="F101" s="13" t="n"/>
      <c r="G101" s="13" t="n"/>
      <c r="H101" s="14" t="n"/>
      <c r="I101" s="13" t="n"/>
      <c r="J101" s="13" t="n"/>
    </row>
    <row r="102" ht="22" customHeight="1">
      <c r="B102" s="17">
        <f>IF(C102="","CL-"&amp;TEXT(COUNTA($C$5:C102),"000"))</f>
        <v/>
      </c>
      <c r="C102" s="15" t="n"/>
      <c r="D102" s="15" t="n"/>
      <c r="E102" s="15" t="n"/>
      <c r="F102" s="15" t="n"/>
      <c r="G102" s="15" t="n"/>
      <c r="H102" s="16" t="n"/>
      <c r="I102" s="15" t="n"/>
      <c r="J102" s="15" t="n"/>
    </row>
    <row r="103" ht="22" customHeight="1">
      <c r="B103" s="18">
        <f>IF(C103="","CL-"&amp;TEXT(COUNTA($C$5:C103),"000"))</f>
        <v/>
      </c>
      <c r="C103" s="13" t="n"/>
      <c r="D103" s="13" t="n"/>
      <c r="E103" s="13" t="n"/>
      <c r="F103" s="13" t="n"/>
      <c r="G103" s="13" t="n"/>
      <c r="H103" s="14" t="n"/>
      <c r="I103" s="13" t="n"/>
      <c r="J103" s="13" t="n"/>
    </row>
    <row r="104" ht="22" customHeight="1">
      <c r="B104" s="17">
        <f>IF(C104="","CL-"&amp;TEXT(COUNTA($C$5:C104),"000"))</f>
        <v/>
      </c>
      <c r="C104" s="15" t="n"/>
      <c r="D104" s="15" t="n"/>
      <c r="E104" s="15" t="n"/>
      <c r="F104" s="15" t="n"/>
      <c r="G104" s="15" t="n"/>
      <c r="H104" s="16" t="n"/>
      <c r="I104" s="15" t="n"/>
      <c r="J104" s="15" t="n"/>
    </row>
    <row r="105" ht="22" customHeight="1">
      <c r="B105" s="18">
        <f>IF(C105="","CL-"&amp;TEXT(COUNTA($C$5:C105),"000"))</f>
        <v/>
      </c>
      <c r="C105" s="13" t="n"/>
      <c r="D105" s="13" t="n"/>
      <c r="E105" s="13" t="n"/>
      <c r="F105" s="13" t="n"/>
      <c r="G105" s="13" t="n"/>
      <c r="H105" s="14" t="n"/>
      <c r="I105" s="13" t="n"/>
      <c r="J105" s="13" t="n"/>
    </row>
    <row r="106" ht="22" customHeight="1">
      <c r="B106" s="17">
        <f>IF(C106="","CL-"&amp;TEXT(COUNTA($C$5:C106),"000"))</f>
        <v/>
      </c>
      <c r="C106" s="15" t="n"/>
      <c r="D106" s="15" t="n"/>
      <c r="E106" s="15" t="n"/>
      <c r="F106" s="15" t="n"/>
      <c r="G106" s="15" t="n"/>
      <c r="H106" s="16" t="n"/>
      <c r="I106" s="15" t="n"/>
      <c r="J106" s="15" t="n"/>
    </row>
    <row r="107" ht="22" customHeight="1">
      <c r="B107" s="18">
        <f>IF(C107="","CL-"&amp;TEXT(COUNTA($C$5:C107),"000"))</f>
        <v/>
      </c>
      <c r="C107" s="13" t="n"/>
      <c r="D107" s="13" t="n"/>
      <c r="E107" s="13" t="n"/>
      <c r="F107" s="13" t="n"/>
      <c r="G107" s="13" t="n"/>
      <c r="H107" s="14" t="n"/>
      <c r="I107" s="13" t="n"/>
      <c r="J107" s="13" t="n"/>
    </row>
    <row r="108" ht="22" customHeight="1">
      <c r="B108" s="17">
        <f>IF(C108="","CL-"&amp;TEXT(COUNTA($C$5:C108),"000"))</f>
        <v/>
      </c>
      <c r="C108" s="15" t="n"/>
      <c r="D108" s="15" t="n"/>
      <c r="E108" s="15" t="n"/>
      <c r="F108" s="15" t="n"/>
      <c r="G108" s="15" t="n"/>
      <c r="H108" s="16" t="n"/>
      <c r="I108" s="15" t="n"/>
      <c r="J108" s="15" t="n"/>
    </row>
    <row r="109" ht="22" customHeight="1">
      <c r="B109" s="18">
        <f>IF(C109="","CL-"&amp;TEXT(COUNTA($C$5:C109),"000"))</f>
        <v/>
      </c>
      <c r="C109" s="13" t="n"/>
      <c r="D109" s="13" t="n"/>
      <c r="E109" s="13" t="n"/>
      <c r="F109" s="13" t="n"/>
      <c r="G109" s="13" t="n"/>
      <c r="H109" s="14" t="n"/>
      <c r="I109" s="13" t="n"/>
      <c r="J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Employes classes</t>
        </is>
      </c>
      <c r="D112" s="3" t="inlineStr">
        <is>
          <t>Note moyenne (/20)</t>
        </is>
      </c>
      <c r="F112" s="3" t="inlineStr">
        <is>
          <t>Cat. A (Excellent)</t>
        </is>
      </c>
      <c r="H112" s="3" t="inlineStr">
        <is>
          <t>Cat. E (Insuffisant)</t>
        </is>
      </c>
    </row>
    <row r="113">
      <c r="B113" s="4">
        <f>COUNTIF(B5:B104,"&lt;&gt;")</f>
        <v/>
      </c>
      <c r="D113" s="4">
        <f>IFERROR(AVERAGE(H5:H104),0)</f>
        <v/>
      </c>
      <c r="F113" s="4">
        <f>COUNTIF(I5:I104,"A*")</f>
        <v/>
      </c>
      <c r="H113" s="4">
        <f>COUNTIF(I5:I104,"E*")</f>
        <v/>
      </c>
    </row>
  </sheetData>
  <mergeCells count="3">
    <mergeCell ref="B3:J3"/>
    <mergeCell ref="B2:J2"/>
    <mergeCell ref="B111:J111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'_Lists'!$Q$2:$Q$4</formula1>
    </dataValidation>
    <dataValidation sqref="I5:I109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L1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2" customWidth="1" min="7" max="7"/>
    <col width="10" customWidth="1" min="8" max="8"/>
    <col width="18" customWidth="1" min="9" max="9"/>
    <col width="10" customWidth="1" min="10" max="10"/>
    <col width="20" customWidth="1" min="11" max="11"/>
    <col width="16" customWidth="1" min="12" max="12"/>
  </cols>
  <sheetData>
    <row r="1" ht="15" customHeight="1"/>
    <row r="2" ht="32" customHeight="1">
      <c r="B2" s="1" t="inlineStr">
        <is>
          <t>PRIMES DE PERFORMANCE &amp; DE MERITE (#84)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Type Prime</t>
        </is>
      </c>
      <c r="H4" s="12" t="inlineStr">
        <is>
          <t>Annee</t>
        </is>
      </c>
      <c r="I4" s="12" t="inlineStr">
        <is>
          <t>Base Calcul (FCFA)</t>
        </is>
      </c>
      <c r="J4" s="12" t="inlineStr">
        <is>
          <t>Taux (%)</t>
        </is>
      </c>
      <c r="K4" s="12" t="inlineStr">
        <is>
          <t>Montant Prime (FCFA)</t>
        </is>
      </c>
      <c r="L4" s="12" t="inlineStr">
        <is>
          <t>Statut Paiement</t>
        </is>
      </c>
    </row>
    <row r="5" ht="22" customHeight="1">
      <c r="B5" s="13" t="inlineStr">
        <is>
          <t>PRM-001</t>
        </is>
      </c>
      <c r="C5" s="13" t="inlineStr">
        <is>
          <t>EMP-2025-002</t>
        </is>
      </c>
      <c r="D5" s="13" t="inlineStr">
        <is>
          <t>Tchinda Armand</t>
        </is>
      </c>
      <c r="E5" s="13" t="inlineStr">
        <is>
          <t>Informatique</t>
        </is>
      </c>
      <c r="F5" s="13" t="inlineStr">
        <is>
          <t>Chef de service IT</t>
        </is>
      </c>
      <c r="G5" s="13" t="inlineStr">
        <is>
          <t>Prime de merite</t>
        </is>
      </c>
      <c r="H5" s="13" t="inlineStr">
        <is>
          <t>2025</t>
        </is>
      </c>
      <c r="I5" s="25" t="n">
        <v>250000</v>
      </c>
      <c r="J5" s="23" t="n">
        <v>15</v>
      </c>
      <c r="K5" s="25" t="n">
        <v>37500</v>
      </c>
      <c r="L5" s="13" t="inlineStr">
        <is>
          <t>En cours</t>
        </is>
      </c>
    </row>
    <row r="6" ht="22" customHeight="1">
      <c r="B6" s="15" t="inlineStr">
        <is>
          <t>PRM-002</t>
        </is>
      </c>
      <c r="C6" s="15" t="inlineStr">
        <is>
          <t>EMP-2025-001</t>
        </is>
      </c>
      <c r="D6" s="15" t="inlineStr">
        <is>
          <t>Nganou Clarisse</t>
        </is>
      </c>
      <c r="E6" s="15" t="inlineStr">
        <is>
          <t>Ressources Humaines</t>
        </is>
      </c>
      <c r="F6" s="15" t="inlineStr">
        <is>
          <t>DRH</t>
        </is>
      </c>
      <c r="G6" s="15" t="inlineStr">
        <is>
          <t>Prime de rendement</t>
        </is>
      </c>
      <c r="H6" s="15" t="inlineStr">
        <is>
          <t>2025</t>
        </is>
      </c>
      <c r="I6" s="26" t="n">
        <v>350000</v>
      </c>
      <c r="J6" s="24" t="n">
        <v>12</v>
      </c>
      <c r="K6" s="26" t="n">
        <v>42000</v>
      </c>
      <c r="L6" s="15" t="inlineStr">
        <is>
          <t>En cours</t>
        </is>
      </c>
    </row>
    <row r="7" ht="22" customHeight="1">
      <c r="B7" s="13" t="inlineStr">
        <is>
          <t>PRM-003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Comptable senior</t>
        </is>
      </c>
      <c r="G7" s="13" t="inlineStr">
        <is>
          <t>Prime de merite</t>
        </is>
      </c>
      <c r="H7" s="13" t="inlineStr">
        <is>
          <t>2025</t>
        </is>
      </c>
      <c r="I7" s="25" t="n">
        <v>200000</v>
      </c>
      <c r="J7" s="23" t="n">
        <v>10</v>
      </c>
      <c r="K7" s="25" t="n">
        <v>20000</v>
      </c>
      <c r="L7" s="13" t="inlineStr">
        <is>
          <t>En cours</t>
        </is>
      </c>
    </row>
    <row r="8" ht="22" customHeight="1">
      <c r="B8" s="15" t="inlineStr">
        <is>
          <t>PRM-004</t>
        </is>
      </c>
      <c r="C8" s="15" t="inlineStr">
        <is>
          <t>EMP-2025-005</t>
        </is>
      </c>
      <c r="D8" s="15" t="inlineStr">
        <is>
          <t>Diallo Moussa</t>
        </is>
      </c>
      <c r="E8" s="15" t="inlineStr">
        <is>
          <t>Cuisine &amp; Restauration</t>
        </is>
      </c>
      <c r="F8" s="15" t="inlineStr">
        <is>
          <t>Chef Cuisine</t>
        </is>
      </c>
      <c r="G8" s="15" t="inlineStr">
        <is>
          <t>Prime d'equipe</t>
        </is>
      </c>
      <c r="H8" s="15" t="inlineStr">
        <is>
          <t>2025</t>
        </is>
      </c>
      <c r="I8" s="26" t="n">
        <v>220000</v>
      </c>
      <c r="J8" s="24" t="n">
        <v>8</v>
      </c>
      <c r="K8" s="26" t="n">
        <v>17600</v>
      </c>
      <c r="L8" s="15" t="inlineStr">
        <is>
          <t>En attente</t>
        </is>
      </c>
    </row>
    <row r="9" ht="22" customHeight="1">
      <c r="B9" s="13" t="inlineStr">
        <is>
          <t>PRM-005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Prime de rendement</t>
        </is>
      </c>
      <c r="H9" s="13" t="inlineStr">
        <is>
          <t>2025</t>
        </is>
      </c>
      <c r="I9" s="25" t="n">
        <v>120000</v>
      </c>
      <c r="J9" s="23" t="n">
        <v>0</v>
      </c>
      <c r="K9" s="25" t="n">
        <v>0</v>
      </c>
      <c r="L9" s="13" t="inlineStr">
        <is>
          <t>Non eligible</t>
        </is>
      </c>
    </row>
    <row r="10" ht="22" customHeight="1">
      <c r="B10" s="17">
        <f>IF(C10="","PRM-"&amp;TEXT(COUNTA($C$5:C10),"000"))</f>
        <v/>
      </c>
      <c r="C10" s="15" t="n"/>
      <c r="D10" s="15" t="n"/>
      <c r="E10" s="15" t="n"/>
      <c r="F10" s="15" t="n"/>
      <c r="G10" s="15" t="n"/>
      <c r="H10" s="15" t="n"/>
      <c r="I10" s="26" t="n"/>
      <c r="J10" s="24" t="n"/>
      <c r="K10" s="26">
        <f>IF(I10="","",I10*J10)</f>
        <v/>
      </c>
      <c r="L10" s="15" t="n"/>
    </row>
    <row r="11" ht="22" customHeight="1">
      <c r="B11" s="18">
        <f>IF(C11="","PRM-"&amp;TEXT(COUNTA($C$5:C11),"000"))</f>
        <v/>
      </c>
      <c r="C11" s="13" t="n"/>
      <c r="D11" s="13" t="n"/>
      <c r="E11" s="13" t="n"/>
      <c r="F11" s="13" t="n"/>
      <c r="G11" s="13" t="n"/>
      <c r="H11" s="13" t="n"/>
      <c r="I11" s="25" t="n"/>
      <c r="J11" s="23" t="n"/>
      <c r="K11" s="25">
        <f>IF(I11="","",I11*J11)</f>
        <v/>
      </c>
      <c r="L11" s="13" t="n"/>
    </row>
    <row r="12" ht="22" customHeight="1">
      <c r="B12" s="17">
        <f>IF(C12="","PRM-"&amp;TEXT(COUNTA($C$5:C12),"000"))</f>
        <v/>
      </c>
      <c r="C12" s="15" t="n"/>
      <c r="D12" s="15" t="n"/>
      <c r="E12" s="15" t="n"/>
      <c r="F12" s="15" t="n"/>
      <c r="G12" s="15" t="n"/>
      <c r="H12" s="15" t="n"/>
      <c r="I12" s="26" t="n"/>
      <c r="J12" s="24" t="n"/>
      <c r="K12" s="26">
        <f>IF(I12="","",I12*J12)</f>
        <v/>
      </c>
      <c r="L12" s="15" t="n"/>
    </row>
    <row r="13" ht="22" customHeight="1">
      <c r="B13" s="18">
        <f>IF(C13="","PRM-"&amp;TEXT(COUNTA($C$5:C13),"000"))</f>
        <v/>
      </c>
      <c r="C13" s="13" t="n"/>
      <c r="D13" s="13" t="n"/>
      <c r="E13" s="13" t="n"/>
      <c r="F13" s="13" t="n"/>
      <c r="G13" s="13" t="n"/>
      <c r="H13" s="13" t="n"/>
      <c r="I13" s="25" t="n"/>
      <c r="J13" s="23" t="n"/>
      <c r="K13" s="25">
        <f>IF(I13="","",I13*J13)</f>
        <v/>
      </c>
      <c r="L13" s="13" t="n"/>
    </row>
    <row r="14" ht="22" customHeight="1">
      <c r="B14" s="17">
        <f>IF(C14="","PRM-"&amp;TEXT(COUNTA($C$5:C14),"000"))</f>
        <v/>
      </c>
      <c r="C14" s="15" t="n"/>
      <c r="D14" s="15" t="n"/>
      <c r="E14" s="15" t="n"/>
      <c r="F14" s="15" t="n"/>
      <c r="G14" s="15" t="n"/>
      <c r="H14" s="15" t="n"/>
      <c r="I14" s="26" t="n"/>
      <c r="J14" s="24" t="n"/>
      <c r="K14" s="26">
        <f>IF(I14="","",I14*J14)</f>
        <v/>
      </c>
      <c r="L14" s="15" t="n"/>
    </row>
    <row r="15" ht="22" customHeight="1">
      <c r="B15" s="18">
        <f>IF(C15="","PRM-"&amp;TEXT(COUNTA($C$5:C15),"000"))</f>
        <v/>
      </c>
      <c r="C15" s="13" t="n"/>
      <c r="D15" s="13" t="n"/>
      <c r="E15" s="13" t="n"/>
      <c r="F15" s="13" t="n"/>
      <c r="G15" s="13" t="n"/>
      <c r="H15" s="13" t="n"/>
      <c r="I15" s="25" t="n"/>
      <c r="J15" s="23" t="n"/>
      <c r="K15" s="25">
        <f>IF(I15="","",I15*J15)</f>
        <v/>
      </c>
      <c r="L15" s="13" t="n"/>
    </row>
    <row r="16" ht="22" customHeight="1">
      <c r="B16" s="17">
        <f>IF(C16="","PRM-"&amp;TEXT(COUNTA($C$5:C16),"000"))</f>
        <v/>
      </c>
      <c r="C16" s="15" t="n"/>
      <c r="D16" s="15" t="n"/>
      <c r="E16" s="15" t="n"/>
      <c r="F16" s="15" t="n"/>
      <c r="G16" s="15" t="n"/>
      <c r="H16" s="15" t="n"/>
      <c r="I16" s="26" t="n"/>
      <c r="J16" s="24" t="n"/>
      <c r="K16" s="26">
        <f>IF(I16="","",I16*J16)</f>
        <v/>
      </c>
      <c r="L16" s="15" t="n"/>
    </row>
    <row r="17" ht="22" customHeight="1">
      <c r="B17" s="18">
        <f>IF(C17="","PRM-"&amp;TEXT(COUNTA($C$5:C17),"000"))</f>
        <v/>
      </c>
      <c r="C17" s="13" t="n"/>
      <c r="D17" s="13" t="n"/>
      <c r="E17" s="13" t="n"/>
      <c r="F17" s="13" t="n"/>
      <c r="G17" s="13" t="n"/>
      <c r="H17" s="13" t="n"/>
      <c r="I17" s="25" t="n"/>
      <c r="J17" s="23" t="n"/>
      <c r="K17" s="25">
        <f>IF(I17="","",I17*J17)</f>
        <v/>
      </c>
      <c r="L17" s="13" t="n"/>
    </row>
    <row r="18" ht="22" customHeight="1">
      <c r="B18" s="17">
        <f>IF(C18="","PRM-"&amp;TEXT(COUNTA($C$5:C18),"000"))</f>
        <v/>
      </c>
      <c r="C18" s="15" t="n"/>
      <c r="D18" s="15" t="n"/>
      <c r="E18" s="15" t="n"/>
      <c r="F18" s="15" t="n"/>
      <c r="G18" s="15" t="n"/>
      <c r="H18" s="15" t="n"/>
      <c r="I18" s="26" t="n"/>
      <c r="J18" s="24" t="n"/>
      <c r="K18" s="26">
        <f>IF(I18="","",I18*J18)</f>
        <v/>
      </c>
      <c r="L18" s="15" t="n"/>
    </row>
    <row r="19" ht="22" customHeight="1">
      <c r="B19" s="18">
        <f>IF(C19="","PRM-"&amp;TEXT(COUNTA($C$5:C19),"000"))</f>
        <v/>
      </c>
      <c r="C19" s="13" t="n"/>
      <c r="D19" s="13" t="n"/>
      <c r="E19" s="13" t="n"/>
      <c r="F19" s="13" t="n"/>
      <c r="G19" s="13" t="n"/>
      <c r="H19" s="13" t="n"/>
      <c r="I19" s="25" t="n"/>
      <c r="J19" s="23" t="n"/>
      <c r="K19" s="25">
        <f>IF(I19="","",I19*J19)</f>
        <v/>
      </c>
      <c r="L19" s="13" t="n"/>
    </row>
    <row r="20" ht="22" customHeight="1">
      <c r="B20" s="17">
        <f>IF(C20="","PRM-"&amp;TEXT(COUNTA($C$5:C20),"000"))</f>
        <v/>
      </c>
      <c r="C20" s="15" t="n"/>
      <c r="D20" s="15" t="n"/>
      <c r="E20" s="15" t="n"/>
      <c r="F20" s="15" t="n"/>
      <c r="G20" s="15" t="n"/>
      <c r="H20" s="15" t="n"/>
      <c r="I20" s="26" t="n"/>
      <c r="J20" s="24" t="n"/>
      <c r="K20" s="26">
        <f>IF(I20="","",I20*J20)</f>
        <v/>
      </c>
      <c r="L20" s="15" t="n"/>
    </row>
    <row r="21" ht="22" customHeight="1">
      <c r="B21" s="18">
        <f>IF(C21="","PRM-"&amp;TEXT(COUNTA($C$5:C21),"000"))</f>
        <v/>
      </c>
      <c r="C21" s="13" t="n"/>
      <c r="D21" s="13" t="n"/>
      <c r="E21" s="13" t="n"/>
      <c r="F21" s="13" t="n"/>
      <c r="G21" s="13" t="n"/>
      <c r="H21" s="13" t="n"/>
      <c r="I21" s="25" t="n"/>
      <c r="J21" s="23" t="n"/>
      <c r="K21" s="25">
        <f>IF(I21="","",I21*J21)</f>
        <v/>
      </c>
      <c r="L21" s="13" t="n"/>
    </row>
    <row r="22" ht="22" customHeight="1">
      <c r="B22" s="17">
        <f>IF(C22="","PRM-"&amp;TEXT(COUNTA($C$5:C22),"000"))</f>
        <v/>
      </c>
      <c r="C22" s="15" t="n"/>
      <c r="D22" s="15" t="n"/>
      <c r="E22" s="15" t="n"/>
      <c r="F22" s="15" t="n"/>
      <c r="G22" s="15" t="n"/>
      <c r="H22" s="15" t="n"/>
      <c r="I22" s="26" t="n"/>
      <c r="J22" s="24" t="n"/>
      <c r="K22" s="26">
        <f>IF(I22="","",I22*J22)</f>
        <v/>
      </c>
      <c r="L22" s="15" t="n"/>
    </row>
    <row r="23" ht="22" customHeight="1">
      <c r="B23" s="18">
        <f>IF(C23="","PRM-"&amp;TEXT(COUNTA($C$5:C23),"000"))</f>
        <v/>
      </c>
      <c r="C23" s="13" t="n"/>
      <c r="D23" s="13" t="n"/>
      <c r="E23" s="13" t="n"/>
      <c r="F23" s="13" t="n"/>
      <c r="G23" s="13" t="n"/>
      <c r="H23" s="13" t="n"/>
      <c r="I23" s="25" t="n"/>
      <c r="J23" s="23" t="n"/>
      <c r="K23" s="25">
        <f>IF(I23="","",I23*J23)</f>
        <v/>
      </c>
      <c r="L23" s="13" t="n"/>
    </row>
    <row r="24" ht="22" customHeight="1">
      <c r="B24" s="17">
        <f>IF(C24="","PRM-"&amp;TEXT(COUNTA($C$5:C24),"000"))</f>
        <v/>
      </c>
      <c r="C24" s="15" t="n"/>
      <c r="D24" s="15" t="n"/>
      <c r="E24" s="15" t="n"/>
      <c r="F24" s="15" t="n"/>
      <c r="G24" s="15" t="n"/>
      <c r="H24" s="15" t="n"/>
      <c r="I24" s="26" t="n"/>
      <c r="J24" s="24" t="n"/>
      <c r="K24" s="26">
        <f>IF(I24="","",I24*J24)</f>
        <v/>
      </c>
      <c r="L24" s="15" t="n"/>
    </row>
    <row r="25" ht="22" customHeight="1">
      <c r="B25" s="18">
        <f>IF(C25="","PRM-"&amp;TEXT(COUNTA($C$5:C25),"000"))</f>
        <v/>
      </c>
      <c r="C25" s="13" t="n"/>
      <c r="D25" s="13" t="n"/>
      <c r="E25" s="13" t="n"/>
      <c r="F25" s="13" t="n"/>
      <c r="G25" s="13" t="n"/>
      <c r="H25" s="13" t="n"/>
      <c r="I25" s="25" t="n"/>
      <c r="J25" s="23" t="n"/>
      <c r="K25" s="25">
        <f>IF(I25="","",I25*J25)</f>
        <v/>
      </c>
      <c r="L25" s="13" t="n"/>
    </row>
    <row r="26" ht="22" customHeight="1">
      <c r="B26" s="17">
        <f>IF(C26="","PRM-"&amp;TEXT(COUNTA($C$5:C26),"000"))</f>
        <v/>
      </c>
      <c r="C26" s="15" t="n"/>
      <c r="D26" s="15" t="n"/>
      <c r="E26" s="15" t="n"/>
      <c r="F26" s="15" t="n"/>
      <c r="G26" s="15" t="n"/>
      <c r="H26" s="15" t="n"/>
      <c r="I26" s="26" t="n"/>
      <c r="J26" s="24" t="n"/>
      <c r="K26" s="26">
        <f>IF(I26="","",I26*J26)</f>
        <v/>
      </c>
      <c r="L26" s="15" t="n"/>
    </row>
    <row r="27" ht="22" customHeight="1">
      <c r="B27" s="18">
        <f>IF(C27="","PRM-"&amp;TEXT(COUNTA($C$5:C27),"000"))</f>
        <v/>
      </c>
      <c r="C27" s="13" t="n"/>
      <c r="D27" s="13" t="n"/>
      <c r="E27" s="13" t="n"/>
      <c r="F27" s="13" t="n"/>
      <c r="G27" s="13" t="n"/>
      <c r="H27" s="13" t="n"/>
      <c r="I27" s="25" t="n"/>
      <c r="J27" s="23" t="n"/>
      <c r="K27" s="25">
        <f>IF(I27="","",I27*J27)</f>
        <v/>
      </c>
      <c r="L27" s="13" t="n"/>
    </row>
    <row r="28" ht="22" customHeight="1">
      <c r="B28" s="17">
        <f>IF(C28="","PRM-"&amp;TEXT(COUNTA($C$5:C28),"000"))</f>
        <v/>
      </c>
      <c r="C28" s="15" t="n"/>
      <c r="D28" s="15" t="n"/>
      <c r="E28" s="15" t="n"/>
      <c r="F28" s="15" t="n"/>
      <c r="G28" s="15" t="n"/>
      <c r="H28" s="15" t="n"/>
      <c r="I28" s="26" t="n"/>
      <c r="J28" s="24" t="n"/>
      <c r="K28" s="26">
        <f>IF(I28="","",I28*J28)</f>
        <v/>
      </c>
      <c r="L28" s="15" t="n"/>
    </row>
    <row r="29" ht="22" customHeight="1">
      <c r="B29" s="18">
        <f>IF(C29="","PRM-"&amp;TEXT(COUNTA($C$5:C29),"000"))</f>
        <v/>
      </c>
      <c r="C29" s="13" t="n"/>
      <c r="D29" s="13" t="n"/>
      <c r="E29" s="13" t="n"/>
      <c r="F29" s="13" t="n"/>
      <c r="G29" s="13" t="n"/>
      <c r="H29" s="13" t="n"/>
      <c r="I29" s="25" t="n"/>
      <c r="J29" s="23" t="n"/>
      <c r="K29" s="25">
        <f>IF(I29="","",I29*J29)</f>
        <v/>
      </c>
      <c r="L29" s="13" t="n"/>
    </row>
    <row r="30" ht="22" customHeight="1">
      <c r="B30" s="17">
        <f>IF(C30="","PRM-"&amp;TEXT(COUNTA($C$5:C30),"000"))</f>
        <v/>
      </c>
      <c r="C30" s="15" t="n"/>
      <c r="D30" s="15" t="n"/>
      <c r="E30" s="15" t="n"/>
      <c r="F30" s="15" t="n"/>
      <c r="G30" s="15" t="n"/>
      <c r="H30" s="15" t="n"/>
      <c r="I30" s="26" t="n"/>
      <c r="J30" s="24" t="n"/>
      <c r="K30" s="26">
        <f>IF(I30="","",I30*J30)</f>
        <v/>
      </c>
      <c r="L30" s="15" t="n"/>
    </row>
    <row r="31" ht="22" customHeight="1">
      <c r="B31" s="18">
        <f>IF(C31="","PRM-"&amp;TEXT(COUNTA($C$5:C31),"000"))</f>
        <v/>
      </c>
      <c r="C31" s="13" t="n"/>
      <c r="D31" s="13" t="n"/>
      <c r="E31" s="13" t="n"/>
      <c r="F31" s="13" t="n"/>
      <c r="G31" s="13" t="n"/>
      <c r="H31" s="13" t="n"/>
      <c r="I31" s="25" t="n"/>
      <c r="J31" s="23" t="n"/>
      <c r="K31" s="25">
        <f>IF(I31="","",I31*J31)</f>
        <v/>
      </c>
      <c r="L31" s="13" t="n"/>
    </row>
    <row r="32" ht="22" customHeight="1">
      <c r="B32" s="17">
        <f>IF(C32="","PRM-"&amp;TEXT(COUNTA($C$5:C32),"000"))</f>
        <v/>
      </c>
      <c r="C32" s="15" t="n"/>
      <c r="D32" s="15" t="n"/>
      <c r="E32" s="15" t="n"/>
      <c r="F32" s="15" t="n"/>
      <c r="G32" s="15" t="n"/>
      <c r="H32" s="15" t="n"/>
      <c r="I32" s="26" t="n"/>
      <c r="J32" s="24" t="n"/>
      <c r="K32" s="26">
        <f>IF(I32="","",I32*J32)</f>
        <v/>
      </c>
      <c r="L32" s="15" t="n"/>
    </row>
    <row r="33" ht="22" customHeight="1">
      <c r="B33" s="18">
        <f>IF(C33="","PRM-"&amp;TEXT(COUNTA($C$5:C33),"000"))</f>
        <v/>
      </c>
      <c r="C33" s="13" t="n"/>
      <c r="D33" s="13" t="n"/>
      <c r="E33" s="13" t="n"/>
      <c r="F33" s="13" t="n"/>
      <c r="G33" s="13" t="n"/>
      <c r="H33" s="13" t="n"/>
      <c r="I33" s="25" t="n"/>
      <c r="J33" s="23" t="n"/>
      <c r="K33" s="25">
        <f>IF(I33="","",I33*J33)</f>
        <v/>
      </c>
      <c r="L33" s="13" t="n"/>
    </row>
    <row r="34" ht="22" customHeight="1">
      <c r="B34" s="17">
        <f>IF(C34="","PRM-"&amp;TEXT(COUNTA($C$5:C34),"000"))</f>
        <v/>
      </c>
      <c r="C34" s="15" t="n"/>
      <c r="D34" s="15" t="n"/>
      <c r="E34" s="15" t="n"/>
      <c r="F34" s="15" t="n"/>
      <c r="G34" s="15" t="n"/>
      <c r="H34" s="15" t="n"/>
      <c r="I34" s="26" t="n"/>
      <c r="J34" s="24" t="n"/>
      <c r="K34" s="26">
        <f>IF(I34="","",I34*J34)</f>
        <v/>
      </c>
      <c r="L34" s="15" t="n"/>
    </row>
    <row r="35" ht="22" customHeight="1">
      <c r="B35" s="18">
        <f>IF(C35="","PRM-"&amp;TEXT(COUNTA($C$5:C35),"000"))</f>
        <v/>
      </c>
      <c r="C35" s="13" t="n"/>
      <c r="D35" s="13" t="n"/>
      <c r="E35" s="13" t="n"/>
      <c r="F35" s="13" t="n"/>
      <c r="G35" s="13" t="n"/>
      <c r="H35" s="13" t="n"/>
      <c r="I35" s="25" t="n"/>
      <c r="J35" s="23" t="n"/>
      <c r="K35" s="25">
        <f>IF(I35="","",I35*J35)</f>
        <v/>
      </c>
      <c r="L35" s="13" t="n"/>
    </row>
    <row r="36" ht="22" customHeight="1">
      <c r="B36" s="17">
        <f>IF(C36="","PRM-"&amp;TEXT(COUNTA($C$5:C36),"000"))</f>
        <v/>
      </c>
      <c r="C36" s="15" t="n"/>
      <c r="D36" s="15" t="n"/>
      <c r="E36" s="15" t="n"/>
      <c r="F36" s="15" t="n"/>
      <c r="G36" s="15" t="n"/>
      <c r="H36" s="15" t="n"/>
      <c r="I36" s="26" t="n"/>
      <c r="J36" s="24" t="n"/>
      <c r="K36" s="26">
        <f>IF(I36="","",I36*J36)</f>
        <v/>
      </c>
      <c r="L36" s="15" t="n"/>
    </row>
    <row r="37" ht="22" customHeight="1">
      <c r="B37" s="18">
        <f>IF(C37="","PRM-"&amp;TEXT(COUNTA($C$5:C37),"000"))</f>
        <v/>
      </c>
      <c r="C37" s="13" t="n"/>
      <c r="D37" s="13" t="n"/>
      <c r="E37" s="13" t="n"/>
      <c r="F37" s="13" t="n"/>
      <c r="G37" s="13" t="n"/>
      <c r="H37" s="13" t="n"/>
      <c r="I37" s="25" t="n"/>
      <c r="J37" s="23" t="n"/>
      <c r="K37" s="25">
        <f>IF(I37="","",I37*J37)</f>
        <v/>
      </c>
      <c r="L37" s="13" t="n"/>
    </row>
    <row r="38" ht="22" customHeight="1">
      <c r="B38" s="17">
        <f>IF(C38="","PRM-"&amp;TEXT(COUNTA($C$5:C38),"000"))</f>
        <v/>
      </c>
      <c r="C38" s="15" t="n"/>
      <c r="D38" s="15" t="n"/>
      <c r="E38" s="15" t="n"/>
      <c r="F38" s="15" t="n"/>
      <c r="G38" s="15" t="n"/>
      <c r="H38" s="15" t="n"/>
      <c r="I38" s="26" t="n"/>
      <c r="J38" s="24" t="n"/>
      <c r="K38" s="26">
        <f>IF(I38="","",I38*J38)</f>
        <v/>
      </c>
      <c r="L38" s="15" t="n"/>
    </row>
    <row r="39" ht="22" customHeight="1">
      <c r="B39" s="18">
        <f>IF(C39="","PRM-"&amp;TEXT(COUNTA($C$5:C39),"000"))</f>
        <v/>
      </c>
      <c r="C39" s="13" t="n"/>
      <c r="D39" s="13" t="n"/>
      <c r="E39" s="13" t="n"/>
      <c r="F39" s="13" t="n"/>
      <c r="G39" s="13" t="n"/>
      <c r="H39" s="13" t="n"/>
      <c r="I39" s="25" t="n"/>
      <c r="J39" s="23" t="n"/>
      <c r="K39" s="25">
        <f>IF(I39="","",I39*J39)</f>
        <v/>
      </c>
      <c r="L39" s="13" t="n"/>
    </row>
    <row r="40" ht="22" customHeight="1">
      <c r="B40" s="17">
        <f>IF(C40="","PRM-"&amp;TEXT(COUNTA($C$5:C40),"000"))</f>
        <v/>
      </c>
      <c r="C40" s="15" t="n"/>
      <c r="D40" s="15" t="n"/>
      <c r="E40" s="15" t="n"/>
      <c r="F40" s="15" t="n"/>
      <c r="G40" s="15" t="n"/>
      <c r="H40" s="15" t="n"/>
      <c r="I40" s="26" t="n"/>
      <c r="J40" s="24" t="n"/>
      <c r="K40" s="26">
        <f>IF(I40="","",I40*J40)</f>
        <v/>
      </c>
      <c r="L40" s="15" t="n"/>
    </row>
    <row r="41" ht="22" customHeight="1">
      <c r="B41" s="18">
        <f>IF(C41="","PRM-"&amp;TEXT(COUNTA($C$5:C41),"000"))</f>
        <v/>
      </c>
      <c r="C41" s="13" t="n"/>
      <c r="D41" s="13" t="n"/>
      <c r="E41" s="13" t="n"/>
      <c r="F41" s="13" t="n"/>
      <c r="G41" s="13" t="n"/>
      <c r="H41" s="13" t="n"/>
      <c r="I41" s="25" t="n"/>
      <c r="J41" s="23" t="n"/>
      <c r="K41" s="25">
        <f>IF(I41="","",I41*J41)</f>
        <v/>
      </c>
      <c r="L41" s="13" t="n"/>
    </row>
    <row r="42" ht="22" customHeight="1">
      <c r="B42" s="17">
        <f>IF(C42="","PRM-"&amp;TEXT(COUNTA($C$5:C42),"000"))</f>
        <v/>
      </c>
      <c r="C42" s="15" t="n"/>
      <c r="D42" s="15" t="n"/>
      <c r="E42" s="15" t="n"/>
      <c r="F42" s="15" t="n"/>
      <c r="G42" s="15" t="n"/>
      <c r="H42" s="15" t="n"/>
      <c r="I42" s="26" t="n"/>
      <c r="J42" s="24" t="n"/>
      <c r="K42" s="26">
        <f>IF(I42="","",I42*J42)</f>
        <v/>
      </c>
      <c r="L42" s="15" t="n"/>
    </row>
    <row r="43" ht="22" customHeight="1">
      <c r="B43" s="18">
        <f>IF(C43="","PRM-"&amp;TEXT(COUNTA($C$5:C43),"000"))</f>
        <v/>
      </c>
      <c r="C43" s="13" t="n"/>
      <c r="D43" s="13" t="n"/>
      <c r="E43" s="13" t="n"/>
      <c r="F43" s="13" t="n"/>
      <c r="G43" s="13" t="n"/>
      <c r="H43" s="13" t="n"/>
      <c r="I43" s="25" t="n"/>
      <c r="J43" s="23" t="n"/>
      <c r="K43" s="25">
        <f>IF(I43="","",I43*J43)</f>
        <v/>
      </c>
      <c r="L43" s="13" t="n"/>
    </row>
    <row r="44" ht="22" customHeight="1">
      <c r="B44" s="17">
        <f>IF(C44="","PRM-"&amp;TEXT(COUNTA($C$5:C44),"000"))</f>
        <v/>
      </c>
      <c r="C44" s="15" t="n"/>
      <c r="D44" s="15" t="n"/>
      <c r="E44" s="15" t="n"/>
      <c r="F44" s="15" t="n"/>
      <c r="G44" s="15" t="n"/>
      <c r="H44" s="15" t="n"/>
      <c r="I44" s="26" t="n"/>
      <c r="J44" s="24" t="n"/>
      <c r="K44" s="26">
        <f>IF(I44="","",I44*J44)</f>
        <v/>
      </c>
      <c r="L44" s="15" t="n"/>
    </row>
    <row r="45" ht="22" customHeight="1">
      <c r="B45" s="18">
        <f>IF(C45="","PRM-"&amp;TEXT(COUNTA($C$5:C45),"000"))</f>
        <v/>
      </c>
      <c r="C45" s="13" t="n"/>
      <c r="D45" s="13" t="n"/>
      <c r="E45" s="13" t="n"/>
      <c r="F45" s="13" t="n"/>
      <c r="G45" s="13" t="n"/>
      <c r="H45" s="13" t="n"/>
      <c r="I45" s="25" t="n"/>
      <c r="J45" s="23" t="n"/>
      <c r="K45" s="25">
        <f>IF(I45="","",I45*J45)</f>
        <v/>
      </c>
      <c r="L45" s="13" t="n"/>
    </row>
    <row r="46" ht="22" customHeight="1">
      <c r="B46" s="17">
        <f>IF(C46="","PRM-"&amp;TEXT(COUNTA($C$5:C46),"000"))</f>
        <v/>
      </c>
      <c r="C46" s="15" t="n"/>
      <c r="D46" s="15" t="n"/>
      <c r="E46" s="15" t="n"/>
      <c r="F46" s="15" t="n"/>
      <c r="G46" s="15" t="n"/>
      <c r="H46" s="15" t="n"/>
      <c r="I46" s="26" t="n"/>
      <c r="J46" s="24" t="n"/>
      <c r="K46" s="26">
        <f>IF(I46="","",I46*J46)</f>
        <v/>
      </c>
      <c r="L46" s="15" t="n"/>
    </row>
    <row r="47" ht="22" customHeight="1">
      <c r="B47" s="18">
        <f>IF(C47="","PRM-"&amp;TEXT(COUNTA($C$5:C47),"000"))</f>
        <v/>
      </c>
      <c r="C47" s="13" t="n"/>
      <c r="D47" s="13" t="n"/>
      <c r="E47" s="13" t="n"/>
      <c r="F47" s="13" t="n"/>
      <c r="G47" s="13" t="n"/>
      <c r="H47" s="13" t="n"/>
      <c r="I47" s="25" t="n"/>
      <c r="J47" s="23" t="n"/>
      <c r="K47" s="25">
        <f>IF(I47="","",I47*J47)</f>
        <v/>
      </c>
      <c r="L47" s="13" t="n"/>
    </row>
    <row r="48" ht="22" customHeight="1">
      <c r="B48" s="17">
        <f>IF(C48="","PRM-"&amp;TEXT(COUNTA($C$5:C48),"000"))</f>
        <v/>
      </c>
      <c r="C48" s="15" t="n"/>
      <c r="D48" s="15" t="n"/>
      <c r="E48" s="15" t="n"/>
      <c r="F48" s="15" t="n"/>
      <c r="G48" s="15" t="n"/>
      <c r="H48" s="15" t="n"/>
      <c r="I48" s="26" t="n"/>
      <c r="J48" s="24" t="n"/>
      <c r="K48" s="26">
        <f>IF(I48="","",I48*J48)</f>
        <v/>
      </c>
      <c r="L48" s="15" t="n"/>
    </row>
    <row r="49" ht="22" customHeight="1">
      <c r="B49" s="18">
        <f>IF(C49="","PRM-"&amp;TEXT(COUNTA($C$5:C49),"000"))</f>
        <v/>
      </c>
      <c r="C49" s="13" t="n"/>
      <c r="D49" s="13" t="n"/>
      <c r="E49" s="13" t="n"/>
      <c r="F49" s="13" t="n"/>
      <c r="G49" s="13" t="n"/>
      <c r="H49" s="13" t="n"/>
      <c r="I49" s="25" t="n"/>
      <c r="J49" s="23" t="n"/>
      <c r="K49" s="25">
        <f>IF(I49="","",I49*J49)</f>
        <v/>
      </c>
      <c r="L49" s="13" t="n"/>
    </row>
    <row r="50" ht="22" customHeight="1">
      <c r="B50" s="17">
        <f>IF(C50="","PRM-"&amp;TEXT(COUNTA($C$5:C50),"000"))</f>
        <v/>
      </c>
      <c r="C50" s="15" t="n"/>
      <c r="D50" s="15" t="n"/>
      <c r="E50" s="15" t="n"/>
      <c r="F50" s="15" t="n"/>
      <c r="G50" s="15" t="n"/>
      <c r="H50" s="15" t="n"/>
      <c r="I50" s="26" t="n"/>
      <c r="J50" s="24" t="n"/>
      <c r="K50" s="26">
        <f>IF(I50="","",I50*J50)</f>
        <v/>
      </c>
      <c r="L50" s="15" t="n"/>
    </row>
    <row r="51" ht="22" customHeight="1">
      <c r="B51" s="18">
        <f>IF(C51="","PRM-"&amp;TEXT(COUNTA($C$5:C51),"000"))</f>
        <v/>
      </c>
      <c r="C51" s="13" t="n"/>
      <c r="D51" s="13" t="n"/>
      <c r="E51" s="13" t="n"/>
      <c r="F51" s="13" t="n"/>
      <c r="G51" s="13" t="n"/>
      <c r="H51" s="13" t="n"/>
      <c r="I51" s="25" t="n"/>
      <c r="J51" s="23" t="n"/>
      <c r="K51" s="25">
        <f>IF(I51="","",I51*J51)</f>
        <v/>
      </c>
      <c r="L51" s="13" t="n"/>
    </row>
    <row r="52" ht="22" customHeight="1">
      <c r="B52" s="17">
        <f>IF(C52="","PRM-"&amp;TEXT(COUNTA($C$5:C52),"000"))</f>
        <v/>
      </c>
      <c r="C52" s="15" t="n"/>
      <c r="D52" s="15" t="n"/>
      <c r="E52" s="15" t="n"/>
      <c r="F52" s="15" t="n"/>
      <c r="G52" s="15" t="n"/>
      <c r="H52" s="15" t="n"/>
      <c r="I52" s="26" t="n"/>
      <c r="J52" s="24" t="n"/>
      <c r="K52" s="26">
        <f>IF(I52="","",I52*J52)</f>
        <v/>
      </c>
      <c r="L52" s="15" t="n"/>
    </row>
    <row r="53" ht="22" customHeight="1">
      <c r="B53" s="18">
        <f>IF(C53="","PRM-"&amp;TEXT(COUNTA($C$5:C53),"000"))</f>
        <v/>
      </c>
      <c r="C53" s="13" t="n"/>
      <c r="D53" s="13" t="n"/>
      <c r="E53" s="13" t="n"/>
      <c r="F53" s="13" t="n"/>
      <c r="G53" s="13" t="n"/>
      <c r="H53" s="13" t="n"/>
      <c r="I53" s="25" t="n"/>
      <c r="J53" s="23" t="n"/>
      <c r="K53" s="25">
        <f>IF(I53="","",I53*J53)</f>
        <v/>
      </c>
      <c r="L53" s="13" t="n"/>
    </row>
    <row r="54" ht="22" customHeight="1">
      <c r="B54" s="17">
        <f>IF(C54="","PRM-"&amp;TEXT(COUNTA($C$5:C54),"000"))</f>
        <v/>
      </c>
      <c r="C54" s="15" t="n"/>
      <c r="D54" s="15" t="n"/>
      <c r="E54" s="15" t="n"/>
      <c r="F54" s="15" t="n"/>
      <c r="G54" s="15" t="n"/>
      <c r="H54" s="15" t="n"/>
      <c r="I54" s="26" t="n"/>
      <c r="J54" s="24" t="n"/>
      <c r="K54" s="26">
        <f>IF(I54="","",I54*J54)</f>
        <v/>
      </c>
      <c r="L54" s="15" t="n"/>
    </row>
    <row r="55" ht="22" customHeight="1">
      <c r="B55" s="18">
        <f>IF(C55="","PRM-"&amp;TEXT(COUNTA($C$5:C55),"000"))</f>
        <v/>
      </c>
      <c r="C55" s="13" t="n"/>
      <c r="D55" s="13" t="n"/>
      <c r="E55" s="13" t="n"/>
      <c r="F55" s="13" t="n"/>
      <c r="G55" s="13" t="n"/>
      <c r="H55" s="13" t="n"/>
      <c r="I55" s="25" t="n"/>
      <c r="J55" s="23" t="n"/>
      <c r="K55" s="25">
        <f>IF(I55="","",I55*J55)</f>
        <v/>
      </c>
      <c r="L55" s="13" t="n"/>
    </row>
    <row r="56" ht="22" customHeight="1">
      <c r="B56" s="17">
        <f>IF(C56="","PRM-"&amp;TEXT(COUNTA($C$5:C56),"000"))</f>
        <v/>
      </c>
      <c r="C56" s="15" t="n"/>
      <c r="D56" s="15" t="n"/>
      <c r="E56" s="15" t="n"/>
      <c r="F56" s="15" t="n"/>
      <c r="G56" s="15" t="n"/>
      <c r="H56" s="15" t="n"/>
      <c r="I56" s="26" t="n"/>
      <c r="J56" s="24" t="n"/>
      <c r="K56" s="26">
        <f>IF(I56="","",I56*J56)</f>
        <v/>
      </c>
      <c r="L56" s="15" t="n"/>
    </row>
    <row r="57" ht="22" customHeight="1">
      <c r="B57" s="18">
        <f>IF(C57="","PRM-"&amp;TEXT(COUNTA($C$5:C57),"000"))</f>
        <v/>
      </c>
      <c r="C57" s="13" t="n"/>
      <c r="D57" s="13" t="n"/>
      <c r="E57" s="13" t="n"/>
      <c r="F57" s="13" t="n"/>
      <c r="G57" s="13" t="n"/>
      <c r="H57" s="13" t="n"/>
      <c r="I57" s="25" t="n"/>
      <c r="J57" s="23" t="n"/>
      <c r="K57" s="25">
        <f>IF(I57="","",I57*J57)</f>
        <v/>
      </c>
      <c r="L57" s="13" t="n"/>
    </row>
    <row r="58" ht="22" customHeight="1">
      <c r="B58" s="17">
        <f>IF(C58="","PRM-"&amp;TEXT(COUNTA($C$5:C58),"000"))</f>
        <v/>
      </c>
      <c r="C58" s="15" t="n"/>
      <c r="D58" s="15" t="n"/>
      <c r="E58" s="15" t="n"/>
      <c r="F58" s="15" t="n"/>
      <c r="G58" s="15" t="n"/>
      <c r="H58" s="15" t="n"/>
      <c r="I58" s="26" t="n"/>
      <c r="J58" s="24" t="n"/>
      <c r="K58" s="26">
        <f>IF(I58="","",I58*J58)</f>
        <v/>
      </c>
      <c r="L58" s="15" t="n"/>
    </row>
    <row r="59" ht="22" customHeight="1">
      <c r="B59" s="18">
        <f>IF(C59="","PRM-"&amp;TEXT(COUNTA($C$5:C59),"000"))</f>
        <v/>
      </c>
      <c r="C59" s="13" t="n"/>
      <c r="D59" s="13" t="n"/>
      <c r="E59" s="13" t="n"/>
      <c r="F59" s="13" t="n"/>
      <c r="G59" s="13" t="n"/>
      <c r="H59" s="13" t="n"/>
      <c r="I59" s="25" t="n"/>
      <c r="J59" s="23" t="n"/>
      <c r="K59" s="25">
        <f>IF(I59="","",I59*J59)</f>
        <v/>
      </c>
      <c r="L59" s="13" t="n"/>
    </row>
    <row r="60" ht="22" customHeight="1">
      <c r="B60" s="17">
        <f>IF(C60="","PRM-"&amp;TEXT(COUNTA($C$5:C60),"000"))</f>
        <v/>
      </c>
      <c r="C60" s="15" t="n"/>
      <c r="D60" s="15" t="n"/>
      <c r="E60" s="15" t="n"/>
      <c r="F60" s="15" t="n"/>
      <c r="G60" s="15" t="n"/>
      <c r="H60" s="15" t="n"/>
      <c r="I60" s="26" t="n"/>
      <c r="J60" s="24" t="n"/>
      <c r="K60" s="26">
        <f>IF(I60="","",I60*J60)</f>
        <v/>
      </c>
      <c r="L60" s="15" t="n"/>
    </row>
    <row r="61" ht="22" customHeight="1">
      <c r="B61" s="18">
        <f>IF(C61="","PRM-"&amp;TEXT(COUNTA($C$5:C61),"000"))</f>
        <v/>
      </c>
      <c r="C61" s="13" t="n"/>
      <c r="D61" s="13" t="n"/>
      <c r="E61" s="13" t="n"/>
      <c r="F61" s="13" t="n"/>
      <c r="G61" s="13" t="n"/>
      <c r="H61" s="13" t="n"/>
      <c r="I61" s="25" t="n"/>
      <c r="J61" s="23" t="n"/>
      <c r="K61" s="25">
        <f>IF(I61="","",I61*J61)</f>
        <v/>
      </c>
      <c r="L61" s="13" t="n"/>
    </row>
    <row r="62" ht="22" customHeight="1">
      <c r="B62" s="17">
        <f>IF(C62="","PRM-"&amp;TEXT(COUNTA($C$5:C62),"000"))</f>
        <v/>
      </c>
      <c r="C62" s="15" t="n"/>
      <c r="D62" s="15" t="n"/>
      <c r="E62" s="15" t="n"/>
      <c r="F62" s="15" t="n"/>
      <c r="G62" s="15" t="n"/>
      <c r="H62" s="15" t="n"/>
      <c r="I62" s="26" t="n"/>
      <c r="J62" s="24" t="n"/>
      <c r="K62" s="26">
        <f>IF(I62="","",I62*J62)</f>
        <v/>
      </c>
      <c r="L62" s="15" t="n"/>
    </row>
    <row r="63" ht="22" customHeight="1">
      <c r="B63" s="18">
        <f>IF(C63="","PRM-"&amp;TEXT(COUNTA($C$5:C63),"000"))</f>
        <v/>
      </c>
      <c r="C63" s="13" t="n"/>
      <c r="D63" s="13" t="n"/>
      <c r="E63" s="13" t="n"/>
      <c r="F63" s="13" t="n"/>
      <c r="G63" s="13" t="n"/>
      <c r="H63" s="13" t="n"/>
      <c r="I63" s="25" t="n"/>
      <c r="J63" s="23" t="n"/>
      <c r="K63" s="25">
        <f>IF(I63="","",I63*J63)</f>
        <v/>
      </c>
      <c r="L63" s="13" t="n"/>
    </row>
    <row r="64" ht="22" customHeight="1">
      <c r="B64" s="17">
        <f>IF(C64="","PRM-"&amp;TEXT(COUNTA($C$5:C64),"000"))</f>
        <v/>
      </c>
      <c r="C64" s="15" t="n"/>
      <c r="D64" s="15" t="n"/>
      <c r="E64" s="15" t="n"/>
      <c r="F64" s="15" t="n"/>
      <c r="G64" s="15" t="n"/>
      <c r="H64" s="15" t="n"/>
      <c r="I64" s="26" t="n"/>
      <c r="J64" s="24" t="n"/>
      <c r="K64" s="26">
        <f>IF(I64="","",I64*J64)</f>
        <v/>
      </c>
      <c r="L64" s="15" t="n"/>
    </row>
    <row r="65" ht="22" customHeight="1">
      <c r="B65" s="18">
        <f>IF(C65="","PRM-"&amp;TEXT(COUNTA($C$5:C65),"000"))</f>
        <v/>
      </c>
      <c r="C65" s="13" t="n"/>
      <c r="D65" s="13" t="n"/>
      <c r="E65" s="13" t="n"/>
      <c r="F65" s="13" t="n"/>
      <c r="G65" s="13" t="n"/>
      <c r="H65" s="13" t="n"/>
      <c r="I65" s="25" t="n"/>
      <c r="J65" s="23" t="n"/>
      <c r="K65" s="25">
        <f>IF(I65="","",I65*J65)</f>
        <v/>
      </c>
      <c r="L65" s="13" t="n"/>
    </row>
    <row r="66" ht="22" customHeight="1">
      <c r="B66" s="17">
        <f>IF(C66="","PRM-"&amp;TEXT(COUNTA($C$5:C66),"000"))</f>
        <v/>
      </c>
      <c r="C66" s="15" t="n"/>
      <c r="D66" s="15" t="n"/>
      <c r="E66" s="15" t="n"/>
      <c r="F66" s="15" t="n"/>
      <c r="G66" s="15" t="n"/>
      <c r="H66" s="15" t="n"/>
      <c r="I66" s="26" t="n"/>
      <c r="J66" s="24" t="n"/>
      <c r="K66" s="26">
        <f>IF(I66="","",I66*J66)</f>
        <v/>
      </c>
      <c r="L66" s="15" t="n"/>
    </row>
    <row r="67" ht="22" customHeight="1">
      <c r="B67" s="18">
        <f>IF(C67="","PRM-"&amp;TEXT(COUNTA($C$5:C67),"000"))</f>
        <v/>
      </c>
      <c r="C67" s="13" t="n"/>
      <c r="D67" s="13" t="n"/>
      <c r="E67" s="13" t="n"/>
      <c r="F67" s="13" t="n"/>
      <c r="G67" s="13" t="n"/>
      <c r="H67" s="13" t="n"/>
      <c r="I67" s="25" t="n"/>
      <c r="J67" s="23" t="n"/>
      <c r="K67" s="25">
        <f>IF(I67="","",I67*J67)</f>
        <v/>
      </c>
      <c r="L67" s="13" t="n"/>
    </row>
    <row r="68" ht="22" customHeight="1">
      <c r="B68" s="17">
        <f>IF(C68="","PRM-"&amp;TEXT(COUNTA($C$5:C68),"000"))</f>
        <v/>
      </c>
      <c r="C68" s="15" t="n"/>
      <c r="D68" s="15" t="n"/>
      <c r="E68" s="15" t="n"/>
      <c r="F68" s="15" t="n"/>
      <c r="G68" s="15" t="n"/>
      <c r="H68" s="15" t="n"/>
      <c r="I68" s="26" t="n"/>
      <c r="J68" s="24" t="n"/>
      <c r="K68" s="26">
        <f>IF(I68="","",I68*J68)</f>
        <v/>
      </c>
      <c r="L68" s="15" t="n"/>
    </row>
    <row r="69" ht="22" customHeight="1">
      <c r="B69" s="18">
        <f>IF(C69="","PRM-"&amp;TEXT(COUNTA($C$5:C69),"000"))</f>
        <v/>
      </c>
      <c r="C69" s="13" t="n"/>
      <c r="D69" s="13" t="n"/>
      <c r="E69" s="13" t="n"/>
      <c r="F69" s="13" t="n"/>
      <c r="G69" s="13" t="n"/>
      <c r="H69" s="13" t="n"/>
      <c r="I69" s="25" t="n"/>
      <c r="J69" s="23" t="n"/>
      <c r="K69" s="25">
        <f>IF(I69="","",I69*J69)</f>
        <v/>
      </c>
      <c r="L69" s="13" t="n"/>
    </row>
    <row r="70" ht="22" customHeight="1">
      <c r="B70" s="17">
        <f>IF(C70="","PRM-"&amp;TEXT(COUNTA($C$5:C70),"000"))</f>
        <v/>
      </c>
      <c r="C70" s="15" t="n"/>
      <c r="D70" s="15" t="n"/>
      <c r="E70" s="15" t="n"/>
      <c r="F70" s="15" t="n"/>
      <c r="G70" s="15" t="n"/>
      <c r="H70" s="15" t="n"/>
      <c r="I70" s="26" t="n"/>
      <c r="J70" s="24" t="n"/>
      <c r="K70" s="26">
        <f>IF(I70="","",I70*J70)</f>
        <v/>
      </c>
      <c r="L70" s="15" t="n"/>
    </row>
    <row r="71" ht="22" customHeight="1">
      <c r="B71" s="18">
        <f>IF(C71="","PRM-"&amp;TEXT(COUNTA($C$5:C71),"000"))</f>
        <v/>
      </c>
      <c r="C71" s="13" t="n"/>
      <c r="D71" s="13" t="n"/>
      <c r="E71" s="13" t="n"/>
      <c r="F71" s="13" t="n"/>
      <c r="G71" s="13" t="n"/>
      <c r="H71" s="13" t="n"/>
      <c r="I71" s="25" t="n"/>
      <c r="J71" s="23" t="n"/>
      <c r="K71" s="25">
        <f>IF(I71="","",I71*J71)</f>
        <v/>
      </c>
      <c r="L71" s="13" t="n"/>
    </row>
    <row r="72" ht="22" customHeight="1">
      <c r="B72" s="17">
        <f>IF(C72="","PRM-"&amp;TEXT(COUNTA($C$5:C72),"000"))</f>
        <v/>
      </c>
      <c r="C72" s="15" t="n"/>
      <c r="D72" s="15" t="n"/>
      <c r="E72" s="15" t="n"/>
      <c r="F72" s="15" t="n"/>
      <c r="G72" s="15" t="n"/>
      <c r="H72" s="15" t="n"/>
      <c r="I72" s="26" t="n"/>
      <c r="J72" s="24" t="n"/>
      <c r="K72" s="26">
        <f>IF(I72="","",I72*J72)</f>
        <v/>
      </c>
      <c r="L72" s="15" t="n"/>
    </row>
    <row r="73" ht="22" customHeight="1">
      <c r="B73" s="18">
        <f>IF(C73="","PRM-"&amp;TEXT(COUNTA($C$5:C73),"000"))</f>
        <v/>
      </c>
      <c r="C73" s="13" t="n"/>
      <c r="D73" s="13" t="n"/>
      <c r="E73" s="13" t="n"/>
      <c r="F73" s="13" t="n"/>
      <c r="G73" s="13" t="n"/>
      <c r="H73" s="13" t="n"/>
      <c r="I73" s="25" t="n"/>
      <c r="J73" s="23" t="n"/>
      <c r="K73" s="25">
        <f>IF(I73="","",I73*J73)</f>
        <v/>
      </c>
      <c r="L73" s="13" t="n"/>
    </row>
    <row r="74" ht="22" customHeight="1">
      <c r="B74" s="17">
        <f>IF(C74="","PRM-"&amp;TEXT(COUNTA($C$5:C74),"000"))</f>
        <v/>
      </c>
      <c r="C74" s="15" t="n"/>
      <c r="D74" s="15" t="n"/>
      <c r="E74" s="15" t="n"/>
      <c r="F74" s="15" t="n"/>
      <c r="G74" s="15" t="n"/>
      <c r="H74" s="15" t="n"/>
      <c r="I74" s="26" t="n"/>
      <c r="J74" s="24" t="n"/>
      <c r="K74" s="26">
        <f>IF(I74="","",I74*J74)</f>
        <v/>
      </c>
      <c r="L74" s="15" t="n"/>
    </row>
    <row r="75" ht="22" customHeight="1">
      <c r="B75" s="18">
        <f>IF(C75="","PRM-"&amp;TEXT(COUNTA($C$5:C75),"000"))</f>
        <v/>
      </c>
      <c r="C75" s="13" t="n"/>
      <c r="D75" s="13" t="n"/>
      <c r="E75" s="13" t="n"/>
      <c r="F75" s="13" t="n"/>
      <c r="G75" s="13" t="n"/>
      <c r="H75" s="13" t="n"/>
      <c r="I75" s="25" t="n"/>
      <c r="J75" s="23" t="n"/>
      <c r="K75" s="25">
        <f>IF(I75="","",I75*J75)</f>
        <v/>
      </c>
      <c r="L75" s="13" t="n"/>
    </row>
    <row r="76" ht="22" customHeight="1">
      <c r="B76" s="17">
        <f>IF(C76="","PRM-"&amp;TEXT(COUNTA($C$5:C76),"000"))</f>
        <v/>
      </c>
      <c r="C76" s="15" t="n"/>
      <c r="D76" s="15" t="n"/>
      <c r="E76" s="15" t="n"/>
      <c r="F76" s="15" t="n"/>
      <c r="G76" s="15" t="n"/>
      <c r="H76" s="15" t="n"/>
      <c r="I76" s="26" t="n"/>
      <c r="J76" s="24" t="n"/>
      <c r="K76" s="26">
        <f>IF(I76="","",I76*J76)</f>
        <v/>
      </c>
      <c r="L76" s="15" t="n"/>
    </row>
    <row r="77" ht="22" customHeight="1">
      <c r="B77" s="18">
        <f>IF(C77="","PRM-"&amp;TEXT(COUNTA($C$5:C77),"000"))</f>
        <v/>
      </c>
      <c r="C77" s="13" t="n"/>
      <c r="D77" s="13" t="n"/>
      <c r="E77" s="13" t="n"/>
      <c r="F77" s="13" t="n"/>
      <c r="G77" s="13" t="n"/>
      <c r="H77" s="13" t="n"/>
      <c r="I77" s="25" t="n"/>
      <c r="J77" s="23" t="n"/>
      <c r="K77" s="25">
        <f>IF(I77="","",I77*J77)</f>
        <v/>
      </c>
      <c r="L77" s="13" t="n"/>
    </row>
    <row r="78" ht="22" customHeight="1">
      <c r="B78" s="17">
        <f>IF(C78="","PRM-"&amp;TEXT(COUNTA($C$5:C78),"000"))</f>
        <v/>
      </c>
      <c r="C78" s="15" t="n"/>
      <c r="D78" s="15" t="n"/>
      <c r="E78" s="15" t="n"/>
      <c r="F78" s="15" t="n"/>
      <c r="G78" s="15" t="n"/>
      <c r="H78" s="15" t="n"/>
      <c r="I78" s="26" t="n"/>
      <c r="J78" s="24" t="n"/>
      <c r="K78" s="26">
        <f>IF(I78="","",I78*J78)</f>
        <v/>
      </c>
      <c r="L78" s="15" t="n"/>
    </row>
    <row r="79" ht="22" customHeight="1">
      <c r="B79" s="18">
        <f>IF(C79="","PRM-"&amp;TEXT(COUNTA($C$5:C79),"000"))</f>
        <v/>
      </c>
      <c r="C79" s="13" t="n"/>
      <c r="D79" s="13" t="n"/>
      <c r="E79" s="13" t="n"/>
      <c r="F79" s="13" t="n"/>
      <c r="G79" s="13" t="n"/>
      <c r="H79" s="13" t="n"/>
      <c r="I79" s="25" t="n"/>
      <c r="J79" s="23" t="n"/>
      <c r="K79" s="25">
        <f>IF(I79="","",I79*J79)</f>
        <v/>
      </c>
      <c r="L79" s="13" t="n"/>
    </row>
    <row r="80" ht="22" customHeight="1">
      <c r="B80" s="17">
        <f>IF(C80="","PRM-"&amp;TEXT(COUNTA($C$5:C80),"000"))</f>
        <v/>
      </c>
      <c r="C80" s="15" t="n"/>
      <c r="D80" s="15" t="n"/>
      <c r="E80" s="15" t="n"/>
      <c r="F80" s="15" t="n"/>
      <c r="G80" s="15" t="n"/>
      <c r="H80" s="15" t="n"/>
      <c r="I80" s="26" t="n"/>
      <c r="J80" s="24" t="n"/>
      <c r="K80" s="26">
        <f>IF(I80="","",I80*J80)</f>
        <v/>
      </c>
      <c r="L80" s="15" t="n"/>
    </row>
    <row r="81" ht="22" customHeight="1">
      <c r="B81" s="18">
        <f>IF(C81="","PRM-"&amp;TEXT(COUNTA($C$5:C81),"000"))</f>
        <v/>
      </c>
      <c r="C81" s="13" t="n"/>
      <c r="D81" s="13" t="n"/>
      <c r="E81" s="13" t="n"/>
      <c r="F81" s="13" t="n"/>
      <c r="G81" s="13" t="n"/>
      <c r="H81" s="13" t="n"/>
      <c r="I81" s="25" t="n"/>
      <c r="J81" s="23" t="n"/>
      <c r="K81" s="25">
        <f>IF(I81="","",I81*J81)</f>
        <v/>
      </c>
      <c r="L81" s="13" t="n"/>
    </row>
    <row r="82" ht="22" customHeight="1">
      <c r="B82" s="17">
        <f>IF(C82="","PRM-"&amp;TEXT(COUNTA($C$5:C82),"000"))</f>
        <v/>
      </c>
      <c r="C82" s="15" t="n"/>
      <c r="D82" s="15" t="n"/>
      <c r="E82" s="15" t="n"/>
      <c r="F82" s="15" t="n"/>
      <c r="G82" s="15" t="n"/>
      <c r="H82" s="15" t="n"/>
      <c r="I82" s="26" t="n"/>
      <c r="J82" s="24" t="n"/>
      <c r="K82" s="26">
        <f>IF(I82="","",I82*J82)</f>
        <v/>
      </c>
      <c r="L82" s="15" t="n"/>
    </row>
    <row r="83" ht="22" customHeight="1">
      <c r="B83" s="18">
        <f>IF(C83="","PRM-"&amp;TEXT(COUNTA($C$5:C83),"000"))</f>
        <v/>
      </c>
      <c r="C83" s="13" t="n"/>
      <c r="D83" s="13" t="n"/>
      <c r="E83" s="13" t="n"/>
      <c r="F83" s="13" t="n"/>
      <c r="G83" s="13" t="n"/>
      <c r="H83" s="13" t="n"/>
      <c r="I83" s="25" t="n"/>
      <c r="J83" s="23" t="n"/>
      <c r="K83" s="25">
        <f>IF(I83="","",I83*J83)</f>
        <v/>
      </c>
      <c r="L83" s="13" t="n"/>
    </row>
    <row r="84" ht="22" customHeight="1">
      <c r="B84" s="17">
        <f>IF(C84="","PRM-"&amp;TEXT(COUNTA($C$5:C84),"000"))</f>
        <v/>
      </c>
      <c r="C84" s="15" t="n"/>
      <c r="D84" s="15" t="n"/>
      <c r="E84" s="15" t="n"/>
      <c r="F84" s="15" t="n"/>
      <c r="G84" s="15" t="n"/>
      <c r="H84" s="15" t="n"/>
      <c r="I84" s="26" t="n"/>
      <c r="J84" s="24" t="n"/>
      <c r="K84" s="26">
        <f>IF(I84="","",I84*J84)</f>
        <v/>
      </c>
      <c r="L84" s="15" t="n"/>
    </row>
    <row r="85" ht="22" customHeight="1">
      <c r="B85" s="18">
        <f>IF(C85="","PRM-"&amp;TEXT(COUNTA($C$5:C85),"000"))</f>
        <v/>
      </c>
      <c r="C85" s="13" t="n"/>
      <c r="D85" s="13" t="n"/>
      <c r="E85" s="13" t="n"/>
      <c r="F85" s="13" t="n"/>
      <c r="G85" s="13" t="n"/>
      <c r="H85" s="13" t="n"/>
      <c r="I85" s="25" t="n"/>
      <c r="J85" s="23" t="n"/>
      <c r="K85" s="25">
        <f>IF(I85="","",I85*J85)</f>
        <v/>
      </c>
      <c r="L85" s="13" t="n"/>
    </row>
    <row r="86" ht="22" customHeight="1">
      <c r="B86" s="17">
        <f>IF(C86="","PRM-"&amp;TEXT(COUNTA($C$5:C86),"000"))</f>
        <v/>
      </c>
      <c r="C86" s="15" t="n"/>
      <c r="D86" s="15" t="n"/>
      <c r="E86" s="15" t="n"/>
      <c r="F86" s="15" t="n"/>
      <c r="G86" s="15" t="n"/>
      <c r="H86" s="15" t="n"/>
      <c r="I86" s="26" t="n"/>
      <c r="J86" s="24" t="n"/>
      <c r="K86" s="26">
        <f>IF(I86="","",I86*J86)</f>
        <v/>
      </c>
      <c r="L86" s="15" t="n"/>
    </row>
    <row r="87" ht="22" customHeight="1">
      <c r="B87" s="18">
        <f>IF(C87="","PRM-"&amp;TEXT(COUNTA($C$5:C87),"000"))</f>
        <v/>
      </c>
      <c r="C87" s="13" t="n"/>
      <c r="D87" s="13" t="n"/>
      <c r="E87" s="13" t="n"/>
      <c r="F87" s="13" t="n"/>
      <c r="G87" s="13" t="n"/>
      <c r="H87" s="13" t="n"/>
      <c r="I87" s="25" t="n"/>
      <c r="J87" s="23" t="n"/>
      <c r="K87" s="25">
        <f>IF(I87="","",I87*J87)</f>
        <v/>
      </c>
      <c r="L87" s="13" t="n"/>
    </row>
    <row r="88" ht="22" customHeight="1">
      <c r="B88" s="17">
        <f>IF(C88="","PRM-"&amp;TEXT(COUNTA($C$5:C88),"000"))</f>
        <v/>
      </c>
      <c r="C88" s="15" t="n"/>
      <c r="D88" s="15" t="n"/>
      <c r="E88" s="15" t="n"/>
      <c r="F88" s="15" t="n"/>
      <c r="G88" s="15" t="n"/>
      <c r="H88" s="15" t="n"/>
      <c r="I88" s="26" t="n"/>
      <c r="J88" s="24" t="n"/>
      <c r="K88" s="26">
        <f>IF(I88="","",I88*J88)</f>
        <v/>
      </c>
      <c r="L88" s="15" t="n"/>
    </row>
    <row r="89" ht="22" customHeight="1">
      <c r="B89" s="18">
        <f>IF(C89="","PRM-"&amp;TEXT(COUNTA($C$5:C89),"000"))</f>
        <v/>
      </c>
      <c r="C89" s="13" t="n"/>
      <c r="D89" s="13" t="n"/>
      <c r="E89" s="13" t="n"/>
      <c r="F89" s="13" t="n"/>
      <c r="G89" s="13" t="n"/>
      <c r="H89" s="13" t="n"/>
      <c r="I89" s="25" t="n"/>
      <c r="J89" s="23" t="n"/>
      <c r="K89" s="25">
        <f>IF(I89="","",I89*J89)</f>
        <v/>
      </c>
      <c r="L89" s="13" t="n"/>
    </row>
    <row r="90" ht="22" customHeight="1">
      <c r="B90" s="17">
        <f>IF(C90="","PRM-"&amp;TEXT(COUNTA($C$5:C90),"000"))</f>
        <v/>
      </c>
      <c r="C90" s="15" t="n"/>
      <c r="D90" s="15" t="n"/>
      <c r="E90" s="15" t="n"/>
      <c r="F90" s="15" t="n"/>
      <c r="G90" s="15" t="n"/>
      <c r="H90" s="15" t="n"/>
      <c r="I90" s="26" t="n"/>
      <c r="J90" s="24" t="n"/>
      <c r="K90" s="26">
        <f>IF(I90="","",I90*J90)</f>
        <v/>
      </c>
      <c r="L90" s="15" t="n"/>
    </row>
    <row r="91" ht="22" customHeight="1">
      <c r="B91" s="18">
        <f>IF(C91="","PRM-"&amp;TEXT(COUNTA($C$5:C91),"000"))</f>
        <v/>
      </c>
      <c r="C91" s="13" t="n"/>
      <c r="D91" s="13" t="n"/>
      <c r="E91" s="13" t="n"/>
      <c r="F91" s="13" t="n"/>
      <c r="G91" s="13" t="n"/>
      <c r="H91" s="13" t="n"/>
      <c r="I91" s="25" t="n"/>
      <c r="J91" s="23" t="n"/>
      <c r="K91" s="25">
        <f>IF(I91="","",I91*J91)</f>
        <v/>
      </c>
      <c r="L91" s="13" t="n"/>
    </row>
    <row r="92" ht="22" customHeight="1">
      <c r="B92" s="17">
        <f>IF(C92="","PRM-"&amp;TEXT(COUNTA($C$5:C92),"000"))</f>
        <v/>
      </c>
      <c r="C92" s="15" t="n"/>
      <c r="D92" s="15" t="n"/>
      <c r="E92" s="15" t="n"/>
      <c r="F92" s="15" t="n"/>
      <c r="G92" s="15" t="n"/>
      <c r="H92" s="15" t="n"/>
      <c r="I92" s="26" t="n"/>
      <c r="J92" s="24" t="n"/>
      <c r="K92" s="26">
        <f>IF(I92="","",I92*J92)</f>
        <v/>
      </c>
      <c r="L92" s="15" t="n"/>
    </row>
    <row r="93" ht="22" customHeight="1">
      <c r="B93" s="18">
        <f>IF(C93="","PRM-"&amp;TEXT(COUNTA($C$5:C93),"000"))</f>
        <v/>
      </c>
      <c r="C93" s="13" t="n"/>
      <c r="D93" s="13" t="n"/>
      <c r="E93" s="13" t="n"/>
      <c r="F93" s="13" t="n"/>
      <c r="G93" s="13" t="n"/>
      <c r="H93" s="13" t="n"/>
      <c r="I93" s="25" t="n"/>
      <c r="J93" s="23" t="n"/>
      <c r="K93" s="25">
        <f>IF(I93="","",I93*J93)</f>
        <v/>
      </c>
      <c r="L93" s="13" t="n"/>
    </row>
    <row r="94" ht="22" customHeight="1">
      <c r="B94" s="17">
        <f>IF(C94="","PRM-"&amp;TEXT(COUNTA($C$5:C94),"000"))</f>
        <v/>
      </c>
      <c r="C94" s="15" t="n"/>
      <c r="D94" s="15" t="n"/>
      <c r="E94" s="15" t="n"/>
      <c r="F94" s="15" t="n"/>
      <c r="G94" s="15" t="n"/>
      <c r="H94" s="15" t="n"/>
      <c r="I94" s="26" t="n"/>
      <c r="J94" s="24" t="n"/>
      <c r="K94" s="26">
        <f>IF(I94="","",I94*J94)</f>
        <v/>
      </c>
      <c r="L94" s="15" t="n"/>
    </row>
    <row r="95" ht="22" customHeight="1">
      <c r="B95" s="18">
        <f>IF(C95="","PRM-"&amp;TEXT(COUNTA($C$5:C95),"000"))</f>
        <v/>
      </c>
      <c r="C95" s="13" t="n"/>
      <c r="D95" s="13" t="n"/>
      <c r="E95" s="13" t="n"/>
      <c r="F95" s="13" t="n"/>
      <c r="G95" s="13" t="n"/>
      <c r="H95" s="13" t="n"/>
      <c r="I95" s="25" t="n"/>
      <c r="J95" s="23" t="n"/>
      <c r="K95" s="25">
        <f>IF(I95="","",I95*J95)</f>
        <v/>
      </c>
      <c r="L95" s="13" t="n"/>
    </row>
    <row r="96" ht="22" customHeight="1">
      <c r="B96" s="17">
        <f>IF(C96="","PRM-"&amp;TEXT(COUNTA($C$5:C96),"000"))</f>
        <v/>
      </c>
      <c r="C96" s="15" t="n"/>
      <c r="D96" s="15" t="n"/>
      <c r="E96" s="15" t="n"/>
      <c r="F96" s="15" t="n"/>
      <c r="G96" s="15" t="n"/>
      <c r="H96" s="15" t="n"/>
      <c r="I96" s="26" t="n"/>
      <c r="J96" s="24" t="n"/>
      <c r="K96" s="26">
        <f>IF(I96="","",I96*J96)</f>
        <v/>
      </c>
      <c r="L96" s="15" t="n"/>
    </row>
    <row r="97" ht="22" customHeight="1">
      <c r="B97" s="18">
        <f>IF(C97="","PRM-"&amp;TEXT(COUNTA($C$5:C97),"000"))</f>
        <v/>
      </c>
      <c r="C97" s="13" t="n"/>
      <c r="D97" s="13" t="n"/>
      <c r="E97" s="13" t="n"/>
      <c r="F97" s="13" t="n"/>
      <c r="G97" s="13" t="n"/>
      <c r="H97" s="13" t="n"/>
      <c r="I97" s="25" t="n"/>
      <c r="J97" s="23" t="n"/>
      <c r="K97" s="25">
        <f>IF(I97="","",I97*J97)</f>
        <v/>
      </c>
      <c r="L97" s="13" t="n"/>
    </row>
    <row r="98" ht="22" customHeight="1">
      <c r="B98" s="17">
        <f>IF(C98="","PRM-"&amp;TEXT(COUNTA($C$5:C98),"000"))</f>
        <v/>
      </c>
      <c r="C98" s="15" t="n"/>
      <c r="D98" s="15" t="n"/>
      <c r="E98" s="15" t="n"/>
      <c r="F98" s="15" t="n"/>
      <c r="G98" s="15" t="n"/>
      <c r="H98" s="15" t="n"/>
      <c r="I98" s="26" t="n"/>
      <c r="J98" s="24" t="n"/>
      <c r="K98" s="26">
        <f>IF(I98="","",I98*J98)</f>
        <v/>
      </c>
      <c r="L98" s="15" t="n"/>
    </row>
    <row r="99" ht="22" customHeight="1">
      <c r="B99" s="18">
        <f>IF(C99="","PRM-"&amp;TEXT(COUNTA($C$5:C99),"000"))</f>
        <v/>
      </c>
      <c r="C99" s="13" t="n"/>
      <c r="D99" s="13" t="n"/>
      <c r="E99" s="13" t="n"/>
      <c r="F99" s="13" t="n"/>
      <c r="G99" s="13" t="n"/>
      <c r="H99" s="13" t="n"/>
      <c r="I99" s="25" t="n"/>
      <c r="J99" s="23" t="n"/>
      <c r="K99" s="25">
        <f>IF(I99="","",I99*J99)</f>
        <v/>
      </c>
      <c r="L99" s="13" t="n"/>
    </row>
    <row r="100" ht="22" customHeight="1">
      <c r="B100" s="17">
        <f>IF(C100="","PRM-"&amp;TEXT(COUNTA($C$5:C100),"000"))</f>
        <v/>
      </c>
      <c r="C100" s="15" t="n"/>
      <c r="D100" s="15" t="n"/>
      <c r="E100" s="15" t="n"/>
      <c r="F100" s="15" t="n"/>
      <c r="G100" s="15" t="n"/>
      <c r="H100" s="15" t="n"/>
      <c r="I100" s="26" t="n"/>
      <c r="J100" s="24" t="n"/>
      <c r="K100" s="26">
        <f>IF(I100="","",I100*J100)</f>
        <v/>
      </c>
      <c r="L100" s="15" t="n"/>
    </row>
    <row r="101" ht="22" customHeight="1">
      <c r="B101" s="18">
        <f>IF(C101="","PRM-"&amp;TEXT(COUNTA($C$5:C101),"000"))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25" t="n"/>
      <c r="J101" s="23" t="n"/>
      <c r="K101" s="25">
        <f>IF(I101="","",I101*J101)</f>
        <v/>
      </c>
      <c r="L101" s="13" t="n"/>
    </row>
    <row r="102" ht="22" customHeight="1">
      <c r="B102" s="17">
        <f>IF(C102="","PRM-"&amp;TEXT(COUNTA($C$5:C102),"000"))</f>
        <v/>
      </c>
      <c r="C102" s="15" t="n"/>
      <c r="D102" s="15" t="n"/>
      <c r="E102" s="15" t="n"/>
      <c r="F102" s="15" t="n"/>
      <c r="G102" s="15" t="n"/>
      <c r="H102" s="15" t="n"/>
      <c r="I102" s="26" t="n"/>
      <c r="J102" s="24" t="n"/>
      <c r="K102" s="26">
        <f>IF(I102="","",I102*J102)</f>
        <v/>
      </c>
      <c r="L102" s="15" t="n"/>
    </row>
    <row r="103" ht="22" customHeight="1">
      <c r="B103" s="18">
        <f>IF(C103="","PRM-"&amp;TEXT(COUNTA($C$5:C103),"000"))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25" t="n"/>
      <c r="J103" s="23" t="n"/>
      <c r="K103" s="25">
        <f>IF(I103="","",I103*J103)</f>
        <v/>
      </c>
      <c r="L103" s="13" t="n"/>
    </row>
    <row r="104" ht="22" customHeight="1">
      <c r="B104" s="17">
        <f>IF(C104="","PRM-"&amp;TEXT(COUNTA($C$5:C104),"000"))</f>
        <v/>
      </c>
      <c r="C104" s="15" t="n"/>
      <c r="D104" s="15" t="n"/>
      <c r="E104" s="15" t="n"/>
      <c r="F104" s="15" t="n"/>
      <c r="G104" s="15" t="n"/>
      <c r="H104" s="15" t="n"/>
      <c r="I104" s="26" t="n"/>
      <c r="J104" s="24" t="n"/>
      <c r="K104" s="26">
        <f>IF(I104="","",I104*J104)</f>
        <v/>
      </c>
      <c r="L104" s="15" t="n"/>
    </row>
    <row r="105" ht="22" customHeight="1">
      <c r="B105" s="18">
        <f>IF(C105="","PRM-"&amp;TEXT(COUNTA($C$5:C105),"000"))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25" t="n"/>
      <c r="J105" s="23" t="n"/>
      <c r="K105" s="25">
        <f>IF(I105="","",I105*J105)</f>
        <v/>
      </c>
      <c r="L105" s="13" t="n"/>
    </row>
    <row r="106" ht="22" customHeight="1">
      <c r="B106" s="17">
        <f>IF(C106="","PRM-"&amp;TEXT(COUNTA($C$5:C106),"000"))</f>
        <v/>
      </c>
      <c r="C106" s="15" t="n"/>
      <c r="D106" s="15" t="n"/>
      <c r="E106" s="15" t="n"/>
      <c r="F106" s="15" t="n"/>
      <c r="G106" s="15" t="n"/>
      <c r="H106" s="15" t="n"/>
      <c r="I106" s="26" t="n"/>
      <c r="J106" s="24" t="n"/>
      <c r="K106" s="26">
        <f>IF(I106="","",I106*J106)</f>
        <v/>
      </c>
      <c r="L106" s="15" t="n"/>
    </row>
    <row r="107" ht="22" customHeight="1">
      <c r="B107" s="18">
        <f>IF(C107="","PRM-"&amp;TEXT(COUNTA($C$5:C107),"000"))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25" t="n"/>
      <c r="J107" s="23" t="n"/>
      <c r="K107" s="25">
        <f>IF(I107="","",I107*J107)</f>
        <v/>
      </c>
      <c r="L107" s="13" t="n"/>
    </row>
    <row r="108" ht="22" customHeight="1">
      <c r="B108" s="17">
        <f>IF(C108="","PRM-"&amp;TEXT(COUNTA($C$5:C108),"000"))</f>
        <v/>
      </c>
      <c r="C108" s="15" t="n"/>
      <c r="D108" s="15" t="n"/>
      <c r="E108" s="15" t="n"/>
      <c r="F108" s="15" t="n"/>
      <c r="G108" s="15" t="n"/>
      <c r="H108" s="15" t="n"/>
      <c r="I108" s="26" t="n"/>
      <c r="J108" s="24" t="n"/>
      <c r="K108" s="26">
        <f>IF(I108="","",I108*J108)</f>
        <v/>
      </c>
      <c r="L108" s="15" t="n"/>
    </row>
    <row r="109" ht="22" customHeight="1">
      <c r="B109" s="18">
        <f>IF(C109="","PRM-"&amp;TEXT(COUNTA($C$5:C109),"000"))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25" t="n"/>
      <c r="J109" s="23" t="n"/>
      <c r="K109" s="25">
        <f>IF(I109="","",I109*J109)</f>
        <v/>
      </c>
      <c r="L109" s="13" t="n"/>
    </row>
    <row r="110"/>
    <row r="111" ht="26" customHeight="1">
      <c r="B111" s="27" t="inlineStr">
        <is>
          <t>TOTAL</t>
        </is>
      </c>
      <c r="C111" s="28" t="n"/>
      <c r="D111" s="28" t="n"/>
      <c r="E111" s="28" t="n"/>
      <c r="F111" s="28" t="n"/>
      <c r="G111" s="28" t="n"/>
      <c r="H111" s="28" t="n"/>
      <c r="I111" s="29">
        <f>SUM(I5:I104)</f>
        <v/>
      </c>
      <c r="J111" s="28" t="n"/>
      <c r="K111" s="29">
        <f>SUM(K5:K104)</f>
        <v/>
      </c>
      <c r="L111" s="28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Primes attribuees</t>
        </is>
      </c>
      <c r="D114" s="3" t="inlineStr">
        <is>
          <t>Montant total (FCFA)</t>
        </is>
      </c>
      <c r="F114" s="3" t="inlineStr">
        <is>
          <t>Prime moyenne (FCFA)</t>
        </is>
      </c>
      <c r="H114" s="3" t="inlineStr">
        <is>
          <t>Non eligibles</t>
        </is>
      </c>
    </row>
    <row r="115">
      <c r="B115" s="4">
        <f>COUNTIF(B5:B104,"&lt;&gt;")</f>
        <v/>
      </c>
      <c r="D115" s="4">
        <f>SUM(K5:K104)</f>
        <v/>
      </c>
      <c r="F115" s="4">
        <f>IFERROR(AVERAGE(K5:K104),0)</f>
        <v/>
      </c>
      <c r="H115" s="4">
        <f>COUNTIF(L5:L104,"Non eligible")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conditionalFormatting sqref="K10:K109">
    <cfRule type="expression" priority="96" dxfId="3">
      <formula>AND($C10="",$C9&lt;&gt;"")</formula>
    </cfRule>
  </conditionalFormatting>
  <conditionalFormatting sqref="L10:L109">
    <cfRule type="expression" priority="97" dxfId="3">
      <formula>AND($C10="",$C9&lt;&gt;"")</formula>
    </cfRule>
  </conditionalFormatting>
  <dataValidations count="5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'_Lists'!$O$2:$O$7</formula1>
    </dataValidation>
    <dataValidation sqref="H5:H109" showDropDown="0" showInputMessage="0" showErrorMessage="0" allowBlank="1" errorTitle="Erreur" error="Valeur invalide" promptTitle="Liste" prompt="Choisir dans la liste" type="list">
      <formula1>'_Lists'!$Q$2:$Q$4</formula1>
    </dataValidation>
    <dataValidation sqref="L5:L109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M1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0" customWidth="1" min="7" max="7"/>
    <col width="18" customWidth="1" min="8" max="8"/>
    <col width="14" customWidth="1" min="9" max="9"/>
    <col width="20" customWidth="1" min="10" max="10"/>
    <col width="18" customWidth="1" min="11" max="11"/>
    <col width="18" customWidth="1" min="12" max="12"/>
    <col width="18" customWidth="1" min="13" max="13"/>
  </cols>
  <sheetData>
    <row r="1" ht="15" customHeight="1"/>
    <row r="2" ht="32" customHeight="1">
      <c r="B2" s="1" t="inlineStr">
        <is>
          <t>TABLEAU DE BORD INDIVIDUEL DE PERFORMANCE (#85)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Poste</t>
        </is>
      </c>
      <c r="G4" s="12" t="inlineStr">
        <is>
          <t>Annee</t>
        </is>
      </c>
      <c r="H4" s="12" t="inlineStr">
        <is>
          <t>Note Annuelle (/20)</t>
        </is>
      </c>
      <c r="I4" s="12" t="inlineStr">
        <is>
          <t>Note 360 (/20)</t>
        </is>
      </c>
      <c r="J4" s="12" t="inlineStr">
        <is>
          <t>Nb Objectifs Atteints</t>
        </is>
      </c>
      <c r="K4" s="12" t="inlineStr">
        <is>
          <t>Nb Objectifs Total</t>
        </is>
      </c>
      <c r="L4" s="12" t="inlineStr">
        <is>
          <t>Taux Objectifs (%)</t>
        </is>
      </c>
      <c r="M4" s="12" t="inlineStr">
        <is>
          <t>Score Global Perf.</t>
        </is>
      </c>
    </row>
    <row r="5" ht="22" customHeight="1">
      <c r="B5" s="13" t="inlineStr">
        <is>
          <t>PERF-001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DRH</t>
        </is>
      </c>
      <c r="G5" s="13" t="inlineStr">
        <is>
          <t>2025</t>
        </is>
      </c>
      <c r="H5" s="14" t="n">
        <v>17</v>
      </c>
      <c r="I5" s="14" t="n">
        <v>17</v>
      </c>
      <c r="J5" s="19" t="n">
        <v>3</v>
      </c>
      <c r="K5" s="19" t="n">
        <v>4</v>
      </c>
      <c r="L5" s="23" t="n">
        <v>75</v>
      </c>
      <c r="M5" s="19" t="n">
        <v>85</v>
      </c>
    </row>
    <row r="6" ht="22" customHeight="1">
      <c r="B6" s="15" t="inlineStr">
        <is>
          <t>PERF-002</t>
        </is>
      </c>
      <c r="C6" s="15" t="inlineStr">
        <is>
          <t>EMP-2025-002</t>
        </is>
      </c>
      <c r="D6" s="15" t="inlineStr">
        <is>
          <t>Tchinda Armand</t>
        </is>
      </c>
      <c r="E6" s="15" t="inlineStr">
        <is>
          <t>Informatique</t>
        </is>
      </c>
      <c r="F6" s="15" t="inlineStr">
        <is>
          <t>Chef de service IT</t>
        </is>
      </c>
      <c r="G6" s="15" t="inlineStr">
        <is>
          <t>2025</t>
        </is>
      </c>
      <c r="H6" s="16" t="n">
        <v>17.7</v>
      </c>
      <c r="I6" s="16" t="n">
        <v>18</v>
      </c>
      <c r="J6" s="20" t="n">
        <v>3</v>
      </c>
      <c r="K6" s="20" t="n">
        <v>3</v>
      </c>
      <c r="L6" s="24" t="n">
        <v>100</v>
      </c>
      <c r="M6" s="20" t="n">
        <v>95</v>
      </c>
    </row>
    <row r="7" ht="22" customHeight="1">
      <c r="B7" s="13" t="inlineStr">
        <is>
          <t>PERF-003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Comptable senior</t>
        </is>
      </c>
      <c r="G7" s="13" t="inlineStr">
        <is>
          <t>2025</t>
        </is>
      </c>
      <c r="H7" s="14" t="n">
        <v>17.3</v>
      </c>
      <c r="I7" s="14" t="n">
        <v>0</v>
      </c>
      <c r="J7" s="19" t="n">
        <v>2</v>
      </c>
      <c r="K7" s="19" t="n">
        <v>3</v>
      </c>
      <c r="L7" s="23" t="n">
        <v>67</v>
      </c>
      <c r="M7" s="19" t="n">
        <v>78</v>
      </c>
    </row>
    <row r="8" ht="22" customHeight="1">
      <c r="B8" s="15" t="inlineStr">
        <is>
          <t>PERF-004</t>
        </is>
      </c>
      <c r="C8" s="15" t="inlineStr">
        <is>
          <t>EMP-2025-004</t>
        </is>
      </c>
      <c r="D8" s="15" t="inlineStr">
        <is>
          <t>Ouedraogo Ibrahim</t>
        </is>
      </c>
      <c r="E8" s="15" t="inlineStr">
        <is>
          <t>Reception &amp; Front Office</t>
        </is>
      </c>
      <c r="F8" s="15" t="inlineStr">
        <is>
          <t>Receptionniste</t>
        </is>
      </c>
      <c r="G8" s="15" t="inlineStr">
        <is>
          <t>2025</t>
        </is>
      </c>
      <c r="H8" s="16" t="n">
        <v>16</v>
      </c>
      <c r="I8" s="16" t="n">
        <v>16</v>
      </c>
      <c r="J8" s="20" t="n">
        <v>2</v>
      </c>
      <c r="K8" s="20" t="n">
        <v>2</v>
      </c>
      <c r="L8" s="24" t="n">
        <v>100</v>
      </c>
      <c r="M8" s="20" t="n">
        <v>88</v>
      </c>
    </row>
    <row r="9" ht="22" customHeight="1">
      <c r="B9" s="13" t="inlineStr">
        <is>
          <t>PERF-005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Cuisinier</t>
        </is>
      </c>
      <c r="G9" s="13" t="inlineStr">
        <is>
          <t>2025</t>
        </is>
      </c>
      <c r="H9" s="14" t="n">
        <v>13</v>
      </c>
      <c r="I9" s="14" t="n">
        <v>14</v>
      </c>
      <c r="J9" s="19" t="n">
        <v>0</v>
      </c>
      <c r="K9" s="19" t="n">
        <v>3</v>
      </c>
      <c r="L9" s="23" t="n">
        <v>0</v>
      </c>
      <c r="M9" s="19" t="n">
        <v>45</v>
      </c>
    </row>
    <row r="10" ht="22" customHeight="1">
      <c r="B10" s="17">
        <f>IF(C10="","PERF-"&amp;TEXT(COUNTA($C$5:C10),"000"))</f>
        <v/>
      </c>
      <c r="C10" s="15" t="n"/>
      <c r="D10" s="15" t="n"/>
      <c r="E10" s="15" t="n"/>
      <c r="F10" s="15" t="n"/>
      <c r="G10" s="15" t="n"/>
      <c r="H10" s="16" t="n"/>
      <c r="I10" s="16" t="n"/>
      <c r="J10" s="20" t="n"/>
      <c r="K10" s="20" t="n"/>
      <c r="L10" s="24">
        <f>IF(K10="","",IF(K10=0,"",J10/K10))</f>
        <v/>
      </c>
      <c r="M10" s="20" t="n"/>
    </row>
    <row r="11" ht="22" customHeight="1">
      <c r="B11" s="18">
        <f>IF(C11="","PERF-"&amp;TEXT(COUNTA($C$5:C11),"000"))</f>
        <v/>
      </c>
      <c r="C11" s="13" t="n"/>
      <c r="D11" s="13" t="n"/>
      <c r="E11" s="13" t="n"/>
      <c r="F11" s="13" t="n"/>
      <c r="G11" s="13" t="n"/>
      <c r="H11" s="14" t="n"/>
      <c r="I11" s="14" t="n"/>
      <c r="J11" s="19" t="n"/>
      <c r="K11" s="19" t="n"/>
      <c r="L11" s="23">
        <f>IF(K11="","",IF(K11=0,"",J11/K11))</f>
        <v/>
      </c>
      <c r="M11" s="19" t="n"/>
    </row>
    <row r="12" ht="22" customHeight="1">
      <c r="B12" s="17">
        <f>IF(C12="","PERF-"&amp;TEXT(COUNTA($C$5:C12),"000"))</f>
        <v/>
      </c>
      <c r="C12" s="15" t="n"/>
      <c r="D12" s="15" t="n"/>
      <c r="E12" s="15" t="n"/>
      <c r="F12" s="15" t="n"/>
      <c r="G12" s="15" t="n"/>
      <c r="H12" s="16" t="n"/>
      <c r="I12" s="16" t="n"/>
      <c r="J12" s="20" t="n"/>
      <c r="K12" s="20" t="n"/>
      <c r="L12" s="24">
        <f>IF(K12="","",IF(K12=0,"",J12/K12))</f>
        <v/>
      </c>
      <c r="M12" s="20" t="n"/>
    </row>
    <row r="13" ht="22" customHeight="1">
      <c r="B13" s="18">
        <f>IF(C13="","PERF-"&amp;TEXT(COUNTA($C$5:C13),"000"))</f>
        <v/>
      </c>
      <c r="C13" s="13" t="n"/>
      <c r="D13" s="13" t="n"/>
      <c r="E13" s="13" t="n"/>
      <c r="F13" s="13" t="n"/>
      <c r="G13" s="13" t="n"/>
      <c r="H13" s="14" t="n"/>
      <c r="I13" s="14" t="n"/>
      <c r="J13" s="19" t="n"/>
      <c r="K13" s="19" t="n"/>
      <c r="L13" s="23">
        <f>IF(K13="","",IF(K13=0,"",J13/K13))</f>
        <v/>
      </c>
      <c r="M13" s="19" t="n"/>
    </row>
    <row r="14" ht="22" customHeight="1">
      <c r="B14" s="17">
        <f>IF(C14="","PERF-"&amp;TEXT(COUNTA($C$5:C14),"000"))</f>
        <v/>
      </c>
      <c r="C14" s="15" t="n"/>
      <c r="D14" s="15" t="n"/>
      <c r="E14" s="15" t="n"/>
      <c r="F14" s="15" t="n"/>
      <c r="G14" s="15" t="n"/>
      <c r="H14" s="16" t="n"/>
      <c r="I14" s="16" t="n"/>
      <c r="J14" s="20" t="n"/>
      <c r="K14" s="20" t="n"/>
      <c r="L14" s="24">
        <f>IF(K14="","",IF(K14=0,"",J14/K14))</f>
        <v/>
      </c>
      <c r="M14" s="20" t="n"/>
    </row>
    <row r="15" ht="22" customHeight="1">
      <c r="B15" s="18">
        <f>IF(C15="","PERF-"&amp;TEXT(COUNTA($C$5:C15),"000"))</f>
        <v/>
      </c>
      <c r="C15" s="13" t="n"/>
      <c r="D15" s="13" t="n"/>
      <c r="E15" s="13" t="n"/>
      <c r="F15" s="13" t="n"/>
      <c r="G15" s="13" t="n"/>
      <c r="H15" s="14" t="n"/>
      <c r="I15" s="14" t="n"/>
      <c r="J15" s="19" t="n"/>
      <c r="K15" s="19" t="n"/>
      <c r="L15" s="23">
        <f>IF(K15="","",IF(K15=0,"",J15/K15))</f>
        <v/>
      </c>
      <c r="M15" s="19" t="n"/>
    </row>
    <row r="16" ht="22" customHeight="1">
      <c r="B16" s="17">
        <f>IF(C16="","PERF-"&amp;TEXT(COUNTA($C$5:C16),"000"))</f>
        <v/>
      </c>
      <c r="C16" s="15" t="n"/>
      <c r="D16" s="15" t="n"/>
      <c r="E16" s="15" t="n"/>
      <c r="F16" s="15" t="n"/>
      <c r="G16" s="15" t="n"/>
      <c r="H16" s="16" t="n"/>
      <c r="I16" s="16" t="n"/>
      <c r="J16" s="20" t="n"/>
      <c r="K16" s="20" t="n"/>
      <c r="L16" s="24">
        <f>IF(K16="","",IF(K16=0,"",J16/K16))</f>
        <v/>
      </c>
      <c r="M16" s="20" t="n"/>
    </row>
    <row r="17" ht="22" customHeight="1">
      <c r="B17" s="18">
        <f>IF(C17="","PERF-"&amp;TEXT(COUNTA($C$5:C17),"000"))</f>
        <v/>
      </c>
      <c r="C17" s="13" t="n"/>
      <c r="D17" s="13" t="n"/>
      <c r="E17" s="13" t="n"/>
      <c r="F17" s="13" t="n"/>
      <c r="G17" s="13" t="n"/>
      <c r="H17" s="14" t="n"/>
      <c r="I17" s="14" t="n"/>
      <c r="J17" s="19" t="n"/>
      <c r="K17" s="19" t="n"/>
      <c r="L17" s="23">
        <f>IF(K17="","",IF(K17=0,"",J17/K17))</f>
        <v/>
      </c>
      <c r="M17" s="19" t="n"/>
    </row>
    <row r="18" ht="22" customHeight="1">
      <c r="B18" s="17">
        <f>IF(C18="","PERF-"&amp;TEXT(COUNTA($C$5:C18),"000"))</f>
        <v/>
      </c>
      <c r="C18" s="15" t="n"/>
      <c r="D18" s="15" t="n"/>
      <c r="E18" s="15" t="n"/>
      <c r="F18" s="15" t="n"/>
      <c r="G18" s="15" t="n"/>
      <c r="H18" s="16" t="n"/>
      <c r="I18" s="16" t="n"/>
      <c r="J18" s="20" t="n"/>
      <c r="K18" s="20" t="n"/>
      <c r="L18" s="24">
        <f>IF(K18="","",IF(K18=0,"",J18/K18))</f>
        <v/>
      </c>
      <c r="M18" s="20" t="n"/>
    </row>
    <row r="19" ht="22" customHeight="1">
      <c r="B19" s="18">
        <f>IF(C19="","PERF-"&amp;TEXT(COUNTA($C$5:C19),"000"))</f>
        <v/>
      </c>
      <c r="C19" s="13" t="n"/>
      <c r="D19" s="13" t="n"/>
      <c r="E19" s="13" t="n"/>
      <c r="F19" s="13" t="n"/>
      <c r="G19" s="13" t="n"/>
      <c r="H19" s="14" t="n"/>
      <c r="I19" s="14" t="n"/>
      <c r="J19" s="19" t="n"/>
      <c r="K19" s="19" t="n"/>
      <c r="L19" s="23">
        <f>IF(K19="","",IF(K19=0,"",J19/K19))</f>
        <v/>
      </c>
      <c r="M19" s="19" t="n"/>
    </row>
    <row r="20" ht="22" customHeight="1">
      <c r="B20" s="17">
        <f>IF(C20="","PERF-"&amp;TEXT(COUNTA($C$5:C20),"000"))</f>
        <v/>
      </c>
      <c r="C20" s="15" t="n"/>
      <c r="D20" s="15" t="n"/>
      <c r="E20" s="15" t="n"/>
      <c r="F20" s="15" t="n"/>
      <c r="G20" s="15" t="n"/>
      <c r="H20" s="16" t="n"/>
      <c r="I20" s="16" t="n"/>
      <c r="J20" s="20" t="n"/>
      <c r="K20" s="20" t="n"/>
      <c r="L20" s="24">
        <f>IF(K20="","",IF(K20=0,"",J20/K20))</f>
        <v/>
      </c>
      <c r="M20" s="20" t="n"/>
    </row>
    <row r="21" ht="22" customHeight="1">
      <c r="B21" s="18">
        <f>IF(C21="","PERF-"&amp;TEXT(COUNTA($C$5:C21),"000"))</f>
        <v/>
      </c>
      <c r="C21" s="13" t="n"/>
      <c r="D21" s="13" t="n"/>
      <c r="E21" s="13" t="n"/>
      <c r="F21" s="13" t="n"/>
      <c r="G21" s="13" t="n"/>
      <c r="H21" s="14" t="n"/>
      <c r="I21" s="14" t="n"/>
      <c r="J21" s="19" t="n"/>
      <c r="K21" s="19" t="n"/>
      <c r="L21" s="23">
        <f>IF(K21="","",IF(K21=0,"",J21/K21))</f>
        <v/>
      </c>
      <c r="M21" s="19" t="n"/>
    </row>
    <row r="22" ht="22" customHeight="1">
      <c r="B22" s="17">
        <f>IF(C22="","PERF-"&amp;TEXT(COUNTA($C$5:C22),"000"))</f>
        <v/>
      </c>
      <c r="C22" s="15" t="n"/>
      <c r="D22" s="15" t="n"/>
      <c r="E22" s="15" t="n"/>
      <c r="F22" s="15" t="n"/>
      <c r="G22" s="15" t="n"/>
      <c r="H22" s="16" t="n"/>
      <c r="I22" s="16" t="n"/>
      <c r="J22" s="20" t="n"/>
      <c r="K22" s="20" t="n"/>
      <c r="L22" s="24">
        <f>IF(K22="","",IF(K22=0,"",J22/K22))</f>
        <v/>
      </c>
      <c r="M22" s="20" t="n"/>
    </row>
    <row r="23" ht="22" customHeight="1">
      <c r="B23" s="18">
        <f>IF(C23="","PERF-"&amp;TEXT(COUNTA($C$5:C23),"000"))</f>
        <v/>
      </c>
      <c r="C23" s="13" t="n"/>
      <c r="D23" s="13" t="n"/>
      <c r="E23" s="13" t="n"/>
      <c r="F23" s="13" t="n"/>
      <c r="G23" s="13" t="n"/>
      <c r="H23" s="14" t="n"/>
      <c r="I23" s="14" t="n"/>
      <c r="J23" s="19" t="n"/>
      <c r="K23" s="19" t="n"/>
      <c r="L23" s="23">
        <f>IF(K23="","",IF(K23=0,"",J23/K23))</f>
        <v/>
      </c>
      <c r="M23" s="19" t="n"/>
    </row>
    <row r="24" ht="22" customHeight="1">
      <c r="B24" s="17">
        <f>IF(C24="","PERF-"&amp;TEXT(COUNTA($C$5:C24),"000"))</f>
        <v/>
      </c>
      <c r="C24" s="15" t="n"/>
      <c r="D24" s="15" t="n"/>
      <c r="E24" s="15" t="n"/>
      <c r="F24" s="15" t="n"/>
      <c r="G24" s="15" t="n"/>
      <c r="H24" s="16" t="n"/>
      <c r="I24" s="16" t="n"/>
      <c r="J24" s="20" t="n"/>
      <c r="K24" s="20" t="n"/>
      <c r="L24" s="24">
        <f>IF(K24="","",IF(K24=0,"",J24/K24))</f>
        <v/>
      </c>
      <c r="M24" s="20" t="n"/>
    </row>
    <row r="25" ht="22" customHeight="1">
      <c r="B25" s="18">
        <f>IF(C25="","PERF-"&amp;TEXT(COUNTA($C$5:C25),"000"))</f>
        <v/>
      </c>
      <c r="C25" s="13" t="n"/>
      <c r="D25" s="13" t="n"/>
      <c r="E25" s="13" t="n"/>
      <c r="F25" s="13" t="n"/>
      <c r="G25" s="13" t="n"/>
      <c r="H25" s="14" t="n"/>
      <c r="I25" s="14" t="n"/>
      <c r="J25" s="19" t="n"/>
      <c r="K25" s="19" t="n"/>
      <c r="L25" s="23">
        <f>IF(K25="","",IF(K25=0,"",J25/K25))</f>
        <v/>
      </c>
      <c r="M25" s="19" t="n"/>
    </row>
    <row r="26" ht="22" customHeight="1">
      <c r="B26" s="17">
        <f>IF(C26="","PERF-"&amp;TEXT(COUNTA($C$5:C26),"000"))</f>
        <v/>
      </c>
      <c r="C26" s="15" t="n"/>
      <c r="D26" s="15" t="n"/>
      <c r="E26" s="15" t="n"/>
      <c r="F26" s="15" t="n"/>
      <c r="G26" s="15" t="n"/>
      <c r="H26" s="16" t="n"/>
      <c r="I26" s="16" t="n"/>
      <c r="J26" s="20" t="n"/>
      <c r="K26" s="20" t="n"/>
      <c r="L26" s="24">
        <f>IF(K26="","",IF(K26=0,"",J26/K26))</f>
        <v/>
      </c>
      <c r="M26" s="20" t="n"/>
    </row>
    <row r="27" ht="22" customHeight="1">
      <c r="B27" s="18">
        <f>IF(C27="","PERF-"&amp;TEXT(COUNTA($C$5:C27),"000"))</f>
        <v/>
      </c>
      <c r="C27" s="13" t="n"/>
      <c r="D27" s="13" t="n"/>
      <c r="E27" s="13" t="n"/>
      <c r="F27" s="13" t="n"/>
      <c r="G27" s="13" t="n"/>
      <c r="H27" s="14" t="n"/>
      <c r="I27" s="14" t="n"/>
      <c r="J27" s="19" t="n"/>
      <c r="K27" s="19" t="n"/>
      <c r="L27" s="23">
        <f>IF(K27="","",IF(K27=0,"",J27/K27))</f>
        <v/>
      </c>
      <c r="M27" s="19" t="n"/>
    </row>
    <row r="28" ht="22" customHeight="1">
      <c r="B28" s="17">
        <f>IF(C28="","PERF-"&amp;TEXT(COUNTA($C$5:C28),"000"))</f>
        <v/>
      </c>
      <c r="C28" s="15" t="n"/>
      <c r="D28" s="15" t="n"/>
      <c r="E28" s="15" t="n"/>
      <c r="F28" s="15" t="n"/>
      <c r="G28" s="15" t="n"/>
      <c r="H28" s="16" t="n"/>
      <c r="I28" s="16" t="n"/>
      <c r="J28" s="20" t="n"/>
      <c r="K28" s="20" t="n"/>
      <c r="L28" s="24">
        <f>IF(K28="","",IF(K28=0,"",J28/K28))</f>
        <v/>
      </c>
      <c r="M28" s="20" t="n"/>
    </row>
    <row r="29" ht="22" customHeight="1">
      <c r="B29" s="18">
        <f>IF(C29="","PERF-"&amp;TEXT(COUNTA($C$5:C29),"000"))</f>
        <v/>
      </c>
      <c r="C29" s="13" t="n"/>
      <c r="D29" s="13" t="n"/>
      <c r="E29" s="13" t="n"/>
      <c r="F29" s="13" t="n"/>
      <c r="G29" s="13" t="n"/>
      <c r="H29" s="14" t="n"/>
      <c r="I29" s="14" t="n"/>
      <c r="J29" s="19" t="n"/>
      <c r="K29" s="19" t="n"/>
      <c r="L29" s="23">
        <f>IF(K29="","",IF(K29=0,"",J29/K29))</f>
        <v/>
      </c>
      <c r="M29" s="19" t="n"/>
    </row>
    <row r="30" ht="22" customHeight="1">
      <c r="B30" s="17">
        <f>IF(C30="","PERF-"&amp;TEXT(COUNTA($C$5:C30),"000"))</f>
        <v/>
      </c>
      <c r="C30" s="15" t="n"/>
      <c r="D30" s="15" t="n"/>
      <c r="E30" s="15" t="n"/>
      <c r="F30" s="15" t="n"/>
      <c r="G30" s="15" t="n"/>
      <c r="H30" s="16" t="n"/>
      <c r="I30" s="16" t="n"/>
      <c r="J30" s="20" t="n"/>
      <c r="K30" s="20" t="n"/>
      <c r="L30" s="24">
        <f>IF(K30="","",IF(K30=0,"",J30/K30))</f>
        <v/>
      </c>
      <c r="M30" s="20" t="n"/>
    </row>
    <row r="31" ht="22" customHeight="1">
      <c r="B31" s="18">
        <f>IF(C31="","PERF-"&amp;TEXT(COUNTA($C$5:C31),"000"))</f>
        <v/>
      </c>
      <c r="C31" s="13" t="n"/>
      <c r="D31" s="13" t="n"/>
      <c r="E31" s="13" t="n"/>
      <c r="F31" s="13" t="n"/>
      <c r="G31" s="13" t="n"/>
      <c r="H31" s="14" t="n"/>
      <c r="I31" s="14" t="n"/>
      <c r="J31" s="19" t="n"/>
      <c r="K31" s="19" t="n"/>
      <c r="L31" s="23">
        <f>IF(K31="","",IF(K31=0,"",J31/K31))</f>
        <v/>
      </c>
      <c r="M31" s="19" t="n"/>
    </row>
    <row r="32" ht="22" customHeight="1">
      <c r="B32" s="17">
        <f>IF(C32="","PERF-"&amp;TEXT(COUNTA($C$5:C32),"000"))</f>
        <v/>
      </c>
      <c r="C32" s="15" t="n"/>
      <c r="D32" s="15" t="n"/>
      <c r="E32" s="15" t="n"/>
      <c r="F32" s="15" t="n"/>
      <c r="G32" s="15" t="n"/>
      <c r="H32" s="16" t="n"/>
      <c r="I32" s="16" t="n"/>
      <c r="J32" s="20" t="n"/>
      <c r="K32" s="20" t="n"/>
      <c r="L32" s="24">
        <f>IF(K32="","",IF(K32=0,"",J32/K32))</f>
        <v/>
      </c>
      <c r="M32" s="20" t="n"/>
    </row>
    <row r="33" ht="22" customHeight="1">
      <c r="B33" s="18">
        <f>IF(C33="","PERF-"&amp;TEXT(COUNTA($C$5:C33),"000"))</f>
        <v/>
      </c>
      <c r="C33" s="13" t="n"/>
      <c r="D33" s="13" t="n"/>
      <c r="E33" s="13" t="n"/>
      <c r="F33" s="13" t="n"/>
      <c r="G33" s="13" t="n"/>
      <c r="H33" s="14" t="n"/>
      <c r="I33" s="14" t="n"/>
      <c r="J33" s="19" t="n"/>
      <c r="K33" s="19" t="n"/>
      <c r="L33" s="23">
        <f>IF(K33="","",IF(K33=0,"",J33/K33))</f>
        <v/>
      </c>
      <c r="M33" s="19" t="n"/>
    </row>
    <row r="34" ht="22" customHeight="1">
      <c r="B34" s="17">
        <f>IF(C34="","PERF-"&amp;TEXT(COUNTA($C$5:C34),"000"))</f>
        <v/>
      </c>
      <c r="C34" s="15" t="n"/>
      <c r="D34" s="15" t="n"/>
      <c r="E34" s="15" t="n"/>
      <c r="F34" s="15" t="n"/>
      <c r="G34" s="15" t="n"/>
      <c r="H34" s="16" t="n"/>
      <c r="I34" s="16" t="n"/>
      <c r="J34" s="20" t="n"/>
      <c r="K34" s="20" t="n"/>
      <c r="L34" s="24">
        <f>IF(K34="","",IF(K34=0,"",J34/K34))</f>
        <v/>
      </c>
      <c r="M34" s="20" t="n"/>
    </row>
    <row r="35" ht="22" customHeight="1">
      <c r="B35" s="18">
        <f>IF(C35="","PERF-"&amp;TEXT(COUNTA($C$5:C35),"000"))</f>
        <v/>
      </c>
      <c r="C35" s="13" t="n"/>
      <c r="D35" s="13" t="n"/>
      <c r="E35" s="13" t="n"/>
      <c r="F35" s="13" t="n"/>
      <c r="G35" s="13" t="n"/>
      <c r="H35" s="14" t="n"/>
      <c r="I35" s="14" t="n"/>
      <c r="J35" s="19" t="n"/>
      <c r="K35" s="19" t="n"/>
      <c r="L35" s="23">
        <f>IF(K35="","",IF(K35=0,"",J35/K35))</f>
        <v/>
      </c>
      <c r="M35" s="19" t="n"/>
    </row>
    <row r="36" ht="22" customHeight="1">
      <c r="B36" s="17">
        <f>IF(C36="","PERF-"&amp;TEXT(COUNTA($C$5:C36),"000"))</f>
        <v/>
      </c>
      <c r="C36" s="15" t="n"/>
      <c r="D36" s="15" t="n"/>
      <c r="E36" s="15" t="n"/>
      <c r="F36" s="15" t="n"/>
      <c r="G36" s="15" t="n"/>
      <c r="H36" s="16" t="n"/>
      <c r="I36" s="16" t="n"/>
      <c r="J36" s="20" t="n"/>
      <c r="K36" s="20" t="n"/>
      <c r="L36" s="24">
        <f>IF(K36="","",IF(K36=0,"",J36/K36))</f>
        <v/>
      </c>
      <c r="M36" s="20" t="n"/>
    </row>
    <row r="37" ht="22" customHeight="1">
      <c r="B37" s="18">
        <f>IF(C37="","PERF-"&amp;TEXT(COUNTA($C$5:C37),"000"))</f>
        <v/>
      </c>
      <c r="C37" s="13" t="n"/>
      <c r="D37" s="13" t="n"/>
      <c r="E37" s="13" t="n"/>
      <c r="F37" s="13" t="n"/>
      <c r="G37" s="13" t="n"/>
      <c r="H37" s="14" t="n"/>
      <c r="I37" s="14" t="n"/>
      <c r="J37" s="19" t="n"/>
      <c r="K37" s="19" t="n"/>
      <c r="L37" s="23">
        <f>IF(K37="","",IF(K37=0,"",J37/K37))</f>
        <v/>
      </c>
      <c r="M37" s="19" t="n"/>
    </row>
    <row r="38" ht="22" customHeight="1">
      <c r="B38" s="17">
        <f>IF(C38="","PERF-"&amp;TEXT(COUNTA($C$5:C38),"000"))</f>
        <v/>
      </c>
      <c r="C38" s="15" t="n"/>
      <c r="D38" s="15" t="n"/>
      <c r="E38" s="15" t="n"/>
      <c r="F38" s="15" t="n"/>
      <c r="G38" s="15" t="n"/>
      <c r="H38" s="16" t="n"/>
      <c r="I38" s="16" t="n"/>
      <c r="J38" s="20" t="n"/>
      <c r="K38" s="20" t="n"/>
      <c r="L38" s="24">
        <f>IF(K38="","",IF(K38=0,"",J38/K38))</f>
        <v/>
      </c>
      <c r="M38" s="20" t="n"/>
    </row>
    <row r="39" ht="22" customHeight="1">
      <c r="B39" s="18">
        <f>IF(C39="","PERF-"&amp;TEXT(COUNTA($C$5:C39),"000"))</f>
        <v/>
      </c>
      <c r="C39" s="13" t="n"/>
      <c r="D39" s="13" t="n"/>
      <c r="E39" s="13" t="n"/>
      <c r="F39" s="13" t="n"/>
      <c r="G39" s="13" t="n"/>
      <c r="H39" s="14" t="n"/>
      <c r="I39" s="14" t="n"/>
      <c r="J39" s="19" t="n"/>
      <c r="K39" s="19" t="n"/>
      <c r="L39" s="23">
        <f>IF(K39="","",IF(K39=0,"",J39/K39))</f>
        <v/>
      </c>
      <c r="M39" s="19" t="n"/>
    </row>
    <row r="40" ht="22" customHeight="1">
      <c r="B40" s="17">
        <f>IF(C40="","PERF-"&amp;TEXT(COUNTA($C$5:C40),"000"))</f>
        <v/>
      </c>
      <c r="C40" s="15" t="n"/>
      <c r="D40" s="15" t="n"/>
      <c r="E40" s="15" t="n"/>
      <c r="F40" s="15" t="n"/>
      <c r="G40" s="15" t="n"/>
      <c r="H40" s="16" t="n"/>
      <c r="I40" s="16" t="n"/>
      <c r="J40" s="20" t="n"/>
      <c r="K40" s="20" t="n"/>
      <c r="L40" s="24">
        <f>IF(K40="","",IF(K40=0,"",J40/K40))</f>
        <v/>
      </c>
      <c r="M40" s="20" t="n"/>
    </row>
    <row r="41" ht="22" customHeight="1">
      <c r="B41" s="18">
        <f>IF(C41="","PERF-"&amp;TEXT(COUNTA($C$5:C41),"000"))</f>
        <v/>
      </c>
      <c r="C41" s="13" t="n"/>
      <c r="D41" s="13" t="n"/>
      <c r="E41" s="13" t="n"/>
      <c r="F41" s="13" t="n"/>
      <c r="G41" s="13" t="n"/>
      <c r="H41" s="14" t="n"/>
      <c r="I41" s="14" t="n"/>
      <c r="J41" s="19" t="n"/>
      <c r="K41" s="19" t="n"/>
      <c r="L41" s="23">
        <f>IF(K41="","",IF(K41=0,"",J41/K41))</f>
        <v/>
      </c>
      <c r="M41" s="19" t="n"/>
    </row>
    <row r="42" ht="22" customHeight="1">
      <c r="B42" s="17">
        <f>IF(C42="","PERF-"&amp;TEXT(COUNTA($C$5:C42),"000"))</f>
        <v/>
      </c>
      <c r="C42" s="15" t="n"/>
      <c r="D42" s="15" t="n"/>
      <c r="E42" s="15" t="n"/>
      <c r="F42" s="15" t="n"/>
      <c r="G42" s="15" t="n"/>
      <c r="H42" s="16" t="n"/>
      <c r="I42" s="16" t="n"/>
      <c r="J42" s="20" t="n"/>
      <c r="K42" s="20" t="n"/>
      <c r="L42" s="24">
        <f>IF(K42="","",IF(K42=0,"",J42/K42))</f>
        <v/>
      </c>
      <c r="M42" s="20" t="n"/>
    </row>
    <row r="43" ht="22" customHeight="1">
      <c r="B43" s="18">
        <f>IF(C43="","PERF-"&amp;TEXT(COUNTA($C$5:C43),"000"))</f>
        <v/>
      </c>
      <c r="C43" s="13" t="n"/>
      <c r="D43" s="13" t="n"/>
      <c r="E43" s="13" t="n"/>
      <c r="F43" s="13" t="n"/>
      <c r="G43" s="13" t="n"/>
      <c r="H43" s="14" t="n"/>
      <c r="I43" s="14" t="n"/>
      <c r="J43" s="19" t="n"/>
      <c r="K43" s="19" t="n"/>
      <c r="L43" s="23">
        <f>IF(K43="","",IF(K43=0,"",J43/K43))</f>
        <v/>
      </c>
      <c r="M43" s="19" t="n"/>
    </row>
    <row r="44" ht="22" customHeight="1">
      <c r="B44" s="17">
        <f>IF(C44="","PERF-"&amp;TEXT(COUNTA($C$5:C44),"000"))</f>
        <v/>
      </c>
      <c r="C44" s="15" t="n"/>
      <c r="D44" s="15" t="n"/>
      <c r="E44" s="15" t="n"/>
      <c r="F44" s="15" t="n"/>
      <c r="G44" s="15" t="n"/>
      <c r="H44" s="16" t="n"/>
      <c r="I44" s="16" t="n"/>
      <c r="J44" s="20" t="n"/>
      <c r="K44" s="20" t="n"/>
      <c r="L44" s="24">
        <f>IF(K44="","",IF(K44=0,"",J44/K44))</f>
        <v/>
      </c>
      <c r="M44" s="20" t="n"/>
    </row>
    <row r="45" ht="22" customHeight="1">
      <c r="B45" s="18">
        <f>IF(C45="","PERF-"&amp;TEXT(COUNTA($C$5:C45),"000"))</f>
        <v/>
      </c>
      <c r="C45" s="13" t="n"/>
      <c r="D45" s="13" t="n"/>
      <c r="E45" s="13" t="n"/>
      <c r="F45" s="13" t="n"/>
      <c r="G45" s="13" t="n"/>
      <c r="H45" s="14" t="n"/>
      <c r="I45" s="14" t="n"/>
      <c r="J45" s="19" t="n"/>
      <c r="K45" s="19" t="n"/>
      <c r="L45" s="23">
        <f>IF(K45="","",IF(K45=0,"",J45/K45))</f>
        <v/>
      </c>
      <c r="M45" s="19" t="n"/>
    </row>
    <row r="46" ht="22" customHeight="1">
      <c r="B46" s="17">
        <f>IF(C46="","PERF-"&amp;TEXT(COUNTA($C$5:C46),"000"))</f>
        <v/>
      </c>
      <c r="C46" s="15" t="n"/>
      <c r="D46" s="15" t="n"/>
      <c r="E46" s="15" t="n"/>
      <c r="F46" s="15" t="n"/>
      <c r="G46" s="15" t="n"/>
      <c r="H46" s="16" t="n"/>
      <c r="I46" s="16" t="n"/>
      <c r="J46" s="20" t="n"/>
      <c r="K46" s="20" t="n"/>
      <c r="L46" s="24">
        <f>IF(K46="","",IF(K46=0,"",J46/K46))</f>
        <v/>
      </c>
      <c r="M46" s="20" t="n"/>
    </row>
    <row r="47" ht="22" customHeight="1">
      <c r="B47" s="18">
        <f>IF(C47="","PERF-"&amp;TEXT(COUNTA($C$5:C47),"000"))</f>
        <v/>
      </c>
      <c r="C47" s="13" t="n"/>
      <c r="D47" s="13" t="n"/>
      <c r="E47" s="13" t="n"/>
      <c r="F47" s="13" t="n"/>
      <c r="G47" s="13" t="n"/>
      <c r="H47" s="14" t="n"/>
      <c r="I47" s="14" t="n"/>
      <c r="J47" s="19" t="n"/>
      <c r="K47" s="19" t="n"/>
      <c r="L47" s="23">
        <f>IF(K47="","",IF(K47=0,"",J47/K47))</f>
        <v/>
      </c>
      <c r="M47" s="19" t="n"/>
    </row>
    <row r="48" ht="22" customHeight="1">
      <c r="B48" s="17">
        <f>IF(C48="","PERF-"&amp;TEXT(COUNTA($C$5:C48),"000"))</f>
        <v/>
      </c>
      <c r="C48" s="15" t="n"/>
      <c r="D48" s="15" t="n"/>
      <c r="E48" s="15" t="n"/>
      <c r="F48" s="15" t="n"/>
      <c r="G48" s="15" t="n"/>
      <c r="H48" s="16" t="n"/>
      <c r="I48" s="16" t="n"/>
      <c r="J48" s="20" t="n"/>
      <c r="K48" s="20" t="n"/>
      <c r="L48" s="24">
        <f>IF(K48="","",IF(K48=0,"",J48/K48))</f>
        <v/>
      </c>
      <c r="M48" s="20" t="n"/>
    </row>
    <row r="49" ht="22" customHeight="1">
      <c r="B49" s="18">
        <f>IF(C49="","PERF-"&amp;TEXT(COUNTA($C$5:C49),"000"))</f>
        <v/>
      </c>
      <c r="C49" s="13" t="n"/>
      <c r="D49" s="13" t="n"/>
      <c r="E49" s="13" t="n"/>
      <c r="F49" s="13" t="n"/>
      <c r="G49" s="13" t="n"/>
      <c r="H49" s="14" t="n"/>
      <c r="I49" s="14" t="n"/>
      <c r="J49" s="19" t="n"/>
      <c r="K49" s="19" t="n"/>
      <c r="L49" s="23">
        <f>IF(K49="","",IF(K49=0,"",J49/K49))</f>
        <v/>
      </c>
      <c r="M49" s="19" t="n"/>
    </row>
    <row r="50" ht="22" customHeight="1">
      <c r="B50" s="17">
        <f>IF(C50="","PERF-"&amp;TEXT(COUNTA($C$5:C50),"000"))</f>
        <v/>
      </c>
      <c r="C50" s="15" t="n"/>
      <c r="D50" s="15" t="n"/>
      <c r="E50" s="15" t="n"/>
      <c r="F50" s="15" t="n"/>
      <c r="G50" s="15" t="n"/>
      <c r="H50" s="16" t="n"/>
      <c r="I50" s="16" t="n"/>
      <c r="J50" s="20" t="n"/>
      <c r="K50" s="20" t="n"/>
      <c r="L50" s="24">
        <f>IF(K50="","",IF(K50=0,"",J50/K50))</f>
        <v/>
      </c>
      <c r="M50" s="20" t="n"/>
    </row>
    <row r="51" ht="22" customHeight="1">
      <c r="B51" s="18">
        <f>IF(C51="","PERF-"&amp;TEXT(COUNTA($C$5:C51),"000"))</f>
        <v/>
      </c>
      <c r="C51" s="13" t="n"/>
      <c r="D51" s="13" t="n"/>
      <c r="E51" s="13" t="n"/>
      <c r="F51" s="13" t="n"/>
      <c r="G51" s="13" t="n"/>
      <c r="H51" s="14" t="n"/>
      <c r="I51" s="14" t="n"/>
      <c r="J51" s="19" t="n"/>
      <c r="K51" s="19" t="n"/>
      <c r="L51" s="23">
        <f>IF(K51="","",IF(K51=0,"",J51/K51))</f>
        <v/>
      </c>
      <c r="M51" s="19" t="n"/>
    </row>
    <row r="52" ht="22" customHeight="1">
      <c r="B52" s="17">
        <f>IF(C52="","PERF-"&amp;TEXT(COUNTA($C$5:C52),"000"))</f>
        <v/>
      </c>
      <c r="C52" s="15" t="n"/>
      <c r="D52" s="15" t="n"/>
      <c r="E52" s="15" t="n"/>
      <c r="F52" s="15" t="n"/>
      <c r="G52" s="15" t="n"/>
      <c r="H52" s="16" t="n"/>
      <c r="I52" s="16" t="n"/>
      <c r="J52" s="20" t="n"/>
      <c r="K52" s="20" t="n"/>
      <c r="L52" s="24">
        <f>IF(K52="","",IF(K52=0,"",J52/K52))</f>
        <v/>
      </c>
      <c r="M52" s="20" t="n"/>
    </row>
    <row r="53" ht="22" customHeight="1">
      <c r="B53" s="18">
        <f>IF(C53="","PERF-"&amp;TEXT(COUNTA($C$5:C53),"000"))</f>
        <v/>
      </c>
      <c r="C53" s="13" t="n"/>
      <c r="D53" s="13" t="n"/>
      <c r="E53" s="13" t="n"/>
      <c r="F53" s="13" t="n"/>
      <c r="G53" s="13" t="n"/>
      <c r="H53" s="14" t="n"/>
      <c r="I53" s="14" t="n"/>
      <c r="J53" s="19" t="n"/>
      <c r="K53" s="19" t="n"/>
      <c r="L53" s="23">
        <f>IF(K53="","",IF(K53=0,"",J53/K53))</f>
        <v/>
      </c>
      <c r="M53" s="19" t="n"/>
    </row>
    <row r="54" ht="22" customHeight="1">
      <c r="B54" s="17">
        <f>IF(C54="","PERF-"&amp;TEXT(COUNTA($C$5:C54),"000"))</f>
        <v/>
      </c>
      <c r="C54" s="15" t="n"/>
      <c r="D54" s="15" t="n"/>
      <c r="E54" s="15" t="n"/>
      <c r="F54" s="15" t="n"/>
      <c r="G54" s="15" t="n"/>
      <c r="H54" s="16" t="n"/>
      <c r="I54" s="16" t="n"/>
      <c r="J54" s="20" t="n"/>
      <c r="K54" s="20" t="n"/>
      <c r="L54" s="24">
        <f>IF(K54="","",IF(K54=0,"",J54/K54))</f>
        <v/>
      </c>
      <c r="M54" s="20" t="n"/>
    </row>
    <row r="55" ht="22" customHeight="1">
      <c r="B55" s="18">
        <f>IF(C55="","PERF-"&amp;TEXT(COUNTA($C$5:C55),"000"))</f>
        <v/>
      </c>
      <c r="C55" s="13" t="n"/>
      <c r="D55" s="13" t="n"/>
      <c r="E55" s="13" t="n"/>
      <c r="F55" s="13" t="n"/>
      <c r="G55" s="13" t="n"/>
      <c r="H55" s="14" t="n"/>
      <c r="I55" s="14" t="n"/>
      <c r="J55" s="19" t="n"/>
      <c r="K55" s="19" t="n"/>
      <c r="L55" s="23">
        <f>IF(K55="","",IF(K55=0,"",J55/K55))</f>
        <v/>
      </c>
      <c r="M55" s="19" t="n"/>
    </row>
    <row r="56" ht="22" customHeight="1">
      <c r="B56" s="17">
        <f>IF(C56="","PERF-"&amp;TEXT(COUNTA($C$5:C56),"000"))</f>
        <v/>
      </c>
      <c r="C56" s="15" t="n"/>
      <c r="D56" s="15" t="n"/>
      <c r="E56" s="15" t="n"/>
      <c r="F56" s="15" t="n"/>
      <c r="G56" s="15" t="n"/>
      <c r="H56" s="16" t="n"/>
      <c r="I56" s="16" t="n"/>
      <c r="J56" s="20" t="n"/>
      <c r="K56" s="20" t="n"/>
      <c r="L56" s="24">
        <f>IF(K56="","",IF(K56=0,"",J56/K56))</f>
        <v/>
      </c>
      <c r="M56" s="20" t="n"/>
    </row>
    <row r="57" ht="22" customHeight="1">
      <c r="B57" s="18">
        <f>IF(C57="","PERF-"&amp;TEXT(COUNTA($C$5:C57),"000"))</f>
        <v/>
      </c>
      <c r="C57" s="13" t="n"/>
      <c r="D57" s="13" t="n"/>
      <c r="E57" s="13" t="n"/>
      <c r="F57" s="13" t="n"/>
      <c r="G57" s="13" t="n"/>
      <c r="H57" s="14" t="n"/>
      <c r="I57" s="14" t="n"/>
      <c r="J57" s="19" t="n"/>
      <c r="K57" s="19" t="n"/>
      <c r="L57" s="23">
        <f>IF(K57="","",IF(K57=0,"",J57/K57))</f>
        <v/>
      </c>
      <c r="M57" s="19" t="n"/>
    </row>
    <row r="58" ht="22" customHeight="1">
      <c r="B58" s="17">
        <f>IF(C58="","PERF-"&amp;TEXT(COUNTA($C$5:C58),"000"))</f>
        <v/>
      </c>
      <c r="C58" s="15" t="n"/>
      <c r="D58" s="15" t="n"/>
      <c r="E58" s="15" t="n"/>
      <c r="F58" s="15" t="n"/>
      <c r="G58" s="15" t="n"/>
      <c r="H58" s="16" t="n"/>
      <c r="I58" s="16" t="n"/>
      <c r="J58" s="20" t="n"/>
      <c r="K58" s="20" t="n"/>
      <c r="L58" s="24">
        <f>IF(K58="","",IF(K58=0,"",J58/K58))</f>
        <v/>
      </c>
      <c r="M58" s="20" t="n"/>
    </row>
    <row r="59" ht="22" customHeight="1">
      <c r="B59" s="18">
        <f>IF(C59="","PERF-"&amp;TEXT(COUNTA($C$5:C59),"000"))</f>
        <v/>
      </c>
      <c r="C59" s="13" t="n"/>
      <c r="D59" s="13" t="n"/>
      <c r="E59" s="13" t="n"/>
      <c r="F59" s="13" t="n"/>
      <c r="G59" s="13" t="n"/>
      <c r="H59" s="14" t="n"/>
      <c r="I59" s="14" t="n"/>
      <c r="J59" s="19" t="n"/>
      <c r="K59" s="19" t="n"/>
      <c r="L59" s="23">
        <f>IF(K59="","",IF(K59=0,"",J59/K59))</f>
        <v/>
      </c>
      <c r="M59" s="19" t="n"/>
    </row>
    <row r="60" ht="22" customHeight="1">
      <c r="B60" s="17">
        <f>IF(C60="","PERF-"&amp;TEXT(COUNTA($C$5:C60),"000"))</f>
        <v/>
      </c>
      <c r="C60" s="15" t="n"/>
      <c r="D60" s="15" t="n"/>
      <c r="E60" s="15" t="n"/>
      <c r="F60" s="15" t="n"/>
      <c r="G60" s="15" t="n"/>
      <c r="H60" s="16" t="n"/>
      <c r="I60" s="16" t="n"/>
      <c r="J60" s="20" t="n"/>
      <c r="K60" s="20" t="n"/>
      <c r="L60" s="24">
        <f>IF(K60="","",IF(K60=0,"",J60/K60))</f>
        <v/>
      </c>
      <c r="M60" s="20" t="n"/>
    </row>
    <row r="61" ht="22" customHeight="1">
      <c r="B61" s="18">
        <f>IF(C61="","PERF-"&amp;TEXT(COUNTA($C$5:C61),"000"))</f>
        <v/>
      </c>
      <c r="C61" s="13" t="n"/>
      <c r="D61" s="13" t="n"/>
      <c r="E61" s="13" t="n"/>
      <c r="F61" s="13" t="n"/>
      <c r="G61" s="13" t="n"/>
      <c r="H61" s="14" t="n"/>
      <c r="I61" s="14" t="n"/>
      <c r="J61" s="19" t="n"/>
      <c r="K61" s="19" t="n"/>
      <c r="L61" s="23">
        <f>IF(K61="","",IF(K61=0,"",J61/K61))</f>
        <v/>
      </c>
      <c r="M61" s="19" t="n"/>
    </row>
    <row r="62" ht="22" customHeight="1">
      <c r="B62" s="17">
        <f>IF(C62="","PERF-"&amp;TEXT(COUNTA($C$5:C62),"000"))</f>
        <v/>
      </c>
      <c r="C62" s="15" t="n"/>
      <c r="D62" s="15" t="n"/>
      <c r="E62" s="15" t="n"/>
      <c r="F62" s="15" t="n"/>
      <c r="G62" s="15" t="n"/>
      <c r="H62" s="16" t="n"/>
      <c r="I62" s="16" t="n"/>
      <c r="J62" s="20" t="n"/>
      <c r="K62" s="20" t="n"/>
      <c r="L62" s="24">
        <f>IF(K62="","",IF(K62=0,"",J62/K62))</f>
        <v/>
      </c>
      <c r="M62" s="20" t="n"/>
    </row>
    <row r="63" ht="22" customHeight="1">
      <c r="B63" s="18">
        <f>IF(C63="","PERF-"&amp;TEXT(COUNTA($C$5:C63),"000"))</f>
        <v/>
      </c>
      <c r="C63" s="13" t="n"/>
      <c r="D63" s="13" t="n"/>
      <c r="E63" s="13" t="n"/>
      <c r="F63" s="13" t="n"/>
      <c r="G63" s="13" t="n"/>
      <c r="H63" s="14" t="n"/>
      <c r="I63" s="14" t="n"/>
      <c r="J63" s="19" t="n"/>
      <c r="K63" s="19" t="n"/>
      <c r="L63" s="23">
        <f>IF(K63="","",IF(K63=0,"",J63/K63))</f>
        <v/>
      </c>
      <c r="M63" s="19" t="n"/>
    </row>
    <row r="64" ht="22" customHeight="1">
      <c r="B64" s="17">
        <f>IF(C64="","PERF-"&amp;TEXT(COUNTA($C$5:C64),"000"))</f>
        <v/>
      </c>
      <c r="C64" s="15" t="n"/>
      <c r="D64" s="15" t="n"/>
      <c r="E64" s="15" t="n"/>
      <c r="F64" s="15" t="n"/>
      <c r="G64" s="15" t="n"/>
      <c r="H64" s="16" t="n"/>
      <c r="I64" s="16" t="n"/>
      <c r="J64" s="20" t="n"/>
      <c r="K64" s="20" t="n"/>
      <c r="L64" s="24">
        <f>IF(K64="","",IF(K64=0,"",J64/K64))</f>
        <v/>
      </c>
      <c r="M64" s="20" t="n"/>
    </row>
    <row r="65" ht="22" customHeight="1">
      <c r="B65" s="18">
        <f>IF(C65="","PERF-"&amp;TEXT(COUNTA($C$5:C65),"000"))</f>
        <v/>
      </c>
      <c r="C65" s="13" t="n"/>
      <c r="D65" s="13" t="n"/>
      <c r="E65" s="13" t="n"/>
      <c r="F65" s="13" t="n"/>
      <c r="G65" s="13" t="n"/>
      <c r="H65" s="14" t="n"/>
      <c r="I65" s="14" t="n"/>
      <c r="J65" s="19" t="n"/>
      <c r="K65" s="19" t="n"/>
      <c r="L65" s="23">
        <f>IF(K65="","",IF(K65=0,"",J65/K65))</f>
        <v/>
      </c>
      <c r="M65" s="19" t="n"/>
    </row>
    <row r="66" ht="22" customHeight="1">
      <c r="B66" s="17">
        <f>IF(C66="","PERF-"&amp;TEXT(COUNTA($C$5:C66),"000"))</f>
        <v/>
      </c>
      <c r="C66" s="15" t="n"/>
      <c r="D66" s="15" t="n"/>
      <c r="E66" s="15" t="n"/>
      <c r="F66" s="15" t="n"/>
      <c r="G66" s="15" t="n"/>
      <c r="H66" s="16" t="n"/>
      <c r="I66" s="16" t="n"/>
      <c r="J66" s="20" t="n"/>
      <c r="K66" s="20" t="n"/>
      <c r="L66" s="24">
        <f>IF(K66="","",IF(K66=0,"",J66/K66))</f>
        <v/>
      </c>
      <c r="M66" s="20" t="n"/>
    </row>
    <row r="67" ht="22" customHeight="1">
      <c r="B67" s="18">
        <f>IF(C67="","PERF-"&amp;TEXT(COUNTA($C$5:C67),"000"))</f>
        <v/>
      </c>
      <c r="C67" s="13" t="n"/>
      <c r="D67" s="13" t="n"/>
      <c r="E67" s="13" t="n"/>
      <c r="F67" s="13" t="n"/>
      <c r="G67" s="13" t="n"/>
      <c r="H67" s="14" t="n"/>
      <c r="I67" s="14" t="n"/>
      <c r="J67" s="19" t="n"/>
      <c r="K67" s="19" t="n"/>
      <c r="L67" s="23">
        <f>IF(K67="","",IF(K67=0,"",J67/K67))</f>
        <v/>
      </c>
      <c r="M67" s="19" t="n"/>
    </row>
    <row r="68" ht="22" customHeight="1">
      <c r="B68" s="17">
        <f>IF(C68="","PERF-"&amp;TEXT(COUNTA($C$5:C68),"000"))</f>
        <v/>
      </c>
      <c r="C68" s="15" t="n"/>
      <c r="D68" s="15" t="n"/>
      <c r="E68" s="15" t="n"/>
      <c r="F68" s="15" t="n"/>
      <c r="G68" s="15" t="n"/>
      <c r="H68" s="16" t="n"/>
      <c r="I68" s="16" t="n"/>
      <c r="J68" s="20" t="n"/>
      <c r="K68" s="20" t="n"/>
      <c r="L68" s="24">
        <f>IF(K68="","",IF(K68=0,"",J68/K68))</f>
        <v/>
      </c>
      <c r="M68" s="20" t="n"/>
    </row>
    <row r="69" ht="22" customHeight="1">
      <c r="B69" s="18">
        <f>IF(C69="","PERF-"&amp;TEXT(COUNTA($C$5:C69),"000"))</f>
        <v/>
      </c>
      <c r="C69" s="13" t="n"/>
      <c r="D69" s="13" t="n"/>
      <c r="E69" s="13" t="n"/>
      <c r="F69" s="13" t="n"/>
      <c r="G69" s="13" t="n"/>
      <c r="H69" s="14" t="n"/>
      <c r="I69" s="14" t="n"/>
      <c r="J69" s="19" t="n"/>
      <c r="K69" s="19" t="n"/>
      <c r="L69" s="23">
        <f>IF(K69="","",IF(K69=0,"",J69/K69))</f>
        <v/>
      </c>
      <c r="M69" s="19" t="n"/>
    </row>
    <row r="70" ht="22" customHeight="1">
      <c r="B70" s="17">
        <f>IF(C70="","PERF-"&amp;TEXT(COUNTA($C$5:C70),"000"))</f>
        <v/>
      </c>
      <c r="C70" s="15" t="n"/>
      <c r="D70" s="15" t="n"/>
      <c r="E70" s="15" t="n"/>
      <c r="F70" s="15" t="n"/>
      <c r="G70" s="15" t="n"/>
      <c r="H70" s="16" t="n"/>
      <c r="I70" s="16" t="n"/>
      <c r="J70" s="20" t="n"/>
      <c r="K70" s="20" t="n"/>
      <c r="L70" s="24">
        <f>IF(K70="","",IF(K70=0,"",J70/K70))</f>
        <v/>
      </c>
      <c r="M70" s="20" t="n"/>
    </row>
    <row r="71" ht="22" customHeight="1">
      <c r="B71" s="18">
        <f>IF(C71="","PERF-"&amp;TEXT(COUNTA($C$5:C71),"000"))</f>
        <v/>
      </c>
      <c r="C71" s="13" t="n"/>
      <c r="D71" s="13" t="n"/>
      <c r="E71" s="13" t="n"/>
      <c r="F71" s="13" t="n"/>
      <c r="G71" s="13" t="n"/>
      <c r="H71" s="14" t="n"/>
      <c r="I71" s="14" t="n"/>
      <c r="J71" s="19" t="n"/>
      <c r="K71" s="19" t="n"/>
      <c r="L71" s="23">
        <f>IF(K71="","",IF(K71=0,"",J71/K71))</f>
        <v/>
      </c>
      <c r="M71" s="19" t="n"/>
    </row>
    <row r="72" ht="22" customHeight="1">
      <c r="B72" s="17">
        <f>IF(C72="","PERF-"&amp;TEXT(COUNTA($C$5:C72),"000"))</f>
        <v/>
      </c>
      <c r="C72" s="15" t="n"/>
      <c r="D72" s="15" t="n"/>
      <c r="E72" s="15" t="n"/>
      <c r="F72" s="15" t="n"/>
      <c r="G72" s="15" t="n"/>
      <c r="H72" s="16" t="n"/>
      <c r="I72" s="16" t="n"/>
      <c r="J72" s="20" t="n"/>
      <c r="K72" s="20" t="n"/>
      <c r="L72" s="24">
        <f>IF(K72="","",IF(K72=0,"",J72/K72))</f>
        <v/>
      </c>
      <c r="M72" s="20" t="n"/>
    </row>
    <row r="73" ht="22" customHeight="1">
      <c r="B73" s="18">
        <f>IF(C73="","PERF-"&amp;TEXT(COUNTA($C$5:C73),"000"))</f>
        <v/>
      </c>
      <c r="C73" s="13" t="n"/>
      <c r="D73" s="13" t="n"/>
      <c r="E73" s="13" t="n"/>
      <c r="F73" s="13" t="n"/>
      <c r="G73" s="13" t="n"/>
      <c r="H73" s="14" t="n"/>
      <c r="I73" s="14" t="n"/>
      <c r="J73" s="19" t="n"/>
      <c r="K73" s="19" t="n"/>
      <c r="L73" s="23">
        <f>IF(K73="","",IF(K73=0,"",J73/K73))</f>
        <v/>
      </c>
      <c r="M73" s="19" t="n"/>
    </row>
    <row r="74" ht="22" customHeight="1">
      <c r="B74" s="17">
        <f>IF(C74="","PERF-"&amp;TEXT(COUNTA($C$5:C74),"000"))</f>
        <v/>
      </c>
      <c r="C74" s="15" t="n"/>
      <c r="D74" s="15" t="n"/>
      <c r="E74" s="15" t="n"/>
      <c r="F74" s="15" t="n"/>
      <c r="G74" s="15" t="n"/>
      <c r="H74" s="16" t="n"/>
      <c r="I74" s="16" t="n"/>
      <c r="J74" s="20" t="n"/>
      <c r="K74" s="20" t="n"/>
      <c r="L74" s="24">
        <f>IF(K74="","",IF(K74=0,"",J74/K74))</f>
        <v/>
      </c>
      <c r="M74" s="20" t="n"/>
    </row>
    <row r="75" ht="22" customHeight="1">
      <c r="B75" s="18">
        <f>IF(C75="","PERF-"&amp;TEXT(COUNTA($C$5:C75),"000"))</f>
        <v/>
      </c>
      <c r="C75" s="13" t="n"/>
      <c r="D75" s="13" t="n"/>
      <c r="E75" s="13" t="n"/>
      <c r="F75" s="13" t="n"/>
      <c r="G75" s="13" t="n"/>
      <c r="H75" s="14" t="n"/>
      <c r="I75" s="14" t="n"/>
      <c r="J75" s="19" t="n"/>
      <c r="K75" s="19" t="n"/>
      <c r="L75" s="23">
        <f>IF(K75="","",IF(K75=0,"",J75/K75))</f>
        <v/>
      </c>
      <c r="M75" s="19" t="n"/>
    </row>
    <row r="76" ht="22" customHeight="1">
      <c r="B76" s="17">
        <f>IF(C76="","PERF-"&amp;TEXT(COUNTA($C$5:C76),"000"))</f>
        <v/>
      </c>
      <c r="C76" s="15" t="n"/>
      <c r="D76" s="15" t="n"/>
      <c r="E76" s="15" t="n"/>
      <c r="F76" s="15" t="n"/>
      <c r="G76" s="15" t="n"/>
      <c r="H76" s="16" t="n"/>
      <c r="I76" s="16" t="n"/>
      <c r="J76" s="20" t="n"/>
      <c r="K76" s="20" t="n"/>
      <c r="L76" s="24">
        <f>IF(K76="","",IF(K76=0,"",J76/K76))</f>
        <v/>
      </c>
      <c r="M76" s="20" t="n"/>
    </row>
    <row r="77" ht="22" customHeight="1">
      <c r="B77" s="18">
        <f>IF(C77="","PERF-"&amp;TEXT(COUNTA($C$5:C77),"000"))</f>
        <v/>
      </c>
      <c r="C77" s="13" t="n"/>
      <c r="D77" s="13" t="n"/>
      <c r="E77" s="13" t="n"/>
      <c r="F77" s="13" t="n"/>
      <c r="G77" s="13" t="n"/>
      <c r="H77" s="14" t="n"/>
      <c r="I77" s="14" t="n"/>
      <c r="J77" s="19" t="n"/>
      <c r="K77" s="19" t="n"/>
      <c r="L77" s="23">
        <f>IF(K77="","",IF(K77=0,"",J77/K77))</f>
        <v/>
      </c>
      <c r="M77" s="19" t="n"/>
    </row>
    <row r="78" ht="22" customHeight="1">
      <c r="B78" s="17">
        <f>IF(C78="","PERF-"&amp;TEXT(COUNTA($C$5:C78),"000"))</f>
        <v/>
      </c>
      <c r="C78" s="15" t="n"/>
      <c r="D78" s="15" t="n"/>
      <c r="E78" s="15" t="n"/>
      <c r="F78" s="15" t="n"/>
      <c r="G78" s="15" t="n"/>
      <c r="H78" s="16" t="n"/>
      <c r="I78" s="16" t="n"/>
      <c r="J78" s="20" t="n"/>
      <c r="K78" s="20" t="n"/>
      <c r="L78" s="24">
        <f>IF(K78="","",IF(K78=0,"",J78/K78))</f>
        <v/>
      </c>
      <c r="M78" s="20" t="n"/>
    </row>
    <row r="79" ht="22" customHeight="1">
      <c r="B79" s="18">
        <f>IF(C79="","PERF-"&amp;TEXT(COUNTA($C$5:C79),"000"))</f>
        <v/>
      </c>
      <c r="C79" s="13" t="n"/>
      <c r="D79" s="13" t="n"/>
      <c r="E79" s="13" t="n"/>
      <c r="F79" s="13" t="n"/>
      <c r="G79" s="13" t="n"/>
      <c r="H79" s="14" t="n"/>
      <c r="I79" s="14" t="n"/>
      <c r="J79" s="19" t="n"/>
      <c r="K79" s="19" t="n"/>
      <c r="L79" s="23">
        <f>IF(K79="","",IF(K79=0,"",J79/K79))</f>
        <v/>
      </c>
      <c r="M79" s="19" t="n"/>
    </row>
    <row r="80" ht="22" customHeight="1">
      <c r="B80" s="17">
        <f>IF(C80="","PERF-"&amp;TEXT(COUNTA($C$5:C80),"000"))</f>
        <v/>
      </c>
      <c r="C80" s="15" t="n"/>
      <c r="D80" s="15" t="n"/>
      <c r="E80" s="15" t="n"/>
      <c r="F80" s="15" t="n"/>
      <c r="G80" s="15" t="n"/>
      <c r="H80" s="16" t="n"/>
      <c r="I80" s="16" t="n"/>
      <c r="J80" s="20" t="n"/>
      <c r="K80" s="20" t="n"/>
      <c r="L80" s="24">
        <f>IF(K80="","",IF(K80=0,"",J80/K80))</f>
        <v/>
      </c>
      <c r="M80" s="20" t="n"/>
    </row>
    <row r="81" ht="22" customHeight="1">
      <c r="B81" s="18">
        <f>IF(C81="","PERF-"&amp;TEXT(COUNTA($C$5:C81),"000"))</f>
        <v/>
      </c>
      <c r="C81" s="13" t="n"/>
      <c r="D81" s="13" t="n"/>
      <c r="E81" s="13" t="n"/>
      <c r="F81" s="13" t="n"/>
      <c r="G81" s="13" t="n"/>
      <c r="H81" s="14" t="n"/>
      <c r="I81" s="14" t="n"/>
      <c r="J81" s="19" t="n"/>
      <c r="K81" s="19" t="n"/>
      <c r="L81" s="23">
        <f>IF(K81="","",IF(K81=0,"",J81/K81))</f>
        <v/>
      </c>
      <c r="M81" s="19" t="n"/>
    </row>
    <row r="82" ht="22" customHeight="1">
      <c r="B82" s="17">
        <f>IF(C82="","PERF-"&amp;TEXT(COUNTA($C$5:C82),"000"))</f>
        <v/>
      </c>
      <c r="C82" s="15" t="n"/>
      <c r="D82" s="15" t="n"/>
      <c r="E82" s="15" t="n"/>
      <c r="F82" s="15" t="n"/>
      <c r="G82" s="15" t="n"/>
      <c r="H82" s="16" t="n"/>
      <c r="I82" s="16" t="n"/>
      <c r="J82" s="20" t="n"/>
      <c r="K82" s="20" t="n"/>
      <c r="L82" s="24">
        <f>IF(K82="","",IF(K82=0,"",J82/K82))</f>
        <v/>
      </c>
      <c r="M82" s="20" t="n"/>
    </row>
    <row r="83" ht="22" customHeight="1">
      <c r="B83" s="18">
        <f>IF(C83="","PERF-"&amp;TEXT(COUNTA($C$5:C83),"000"))</f>
        <v/>
      </c>
      <c r="C83" s="13" t="n"/>
      <c r="D83" s="13" t="n"/>
      <c r="E83" s="13" t="n"/>
      <c r="F83" s="13" t="n"/>
      <c r="G83" s="13" t="n"/>
      <c r="H83" s="14" t="n"/>
      <c r="I83" s="14" t="n"/>
      <c r="J83" s="19" t="n"/>
      <c r="K83" s="19" t="n"/>
      <c r="L83" s="23">
        <f>IF(K83="","",IF(K83=0,"",J83/K83))</f>
        <v/>
      </c>
      <c r="M83" s="19" t="n"/>
    </row>
    <row r="84" ht="22" customHeight="1">
      <c r="B84" s="17">
        <f>IF(C84="","PERF-"&amp;TEXT(COUNTA($C$5:C84),"000"))</f>
        <v/>
      </c>
      <c r="C84" s="15" t="n"/>
      <c r="D84" s="15" t="n"/>
      <c r="E84" s="15" t="n"/>
      <c r="F84" s="15" t="n"/>
      <c r="G84" s="15" t="n"/>
      <c r="H84" s="16" t="n"/>
      <c r="I84" s="16" t="n"/>
      <c r="J84" s="20" t="n"/>
      <c r="K84" s="20" t="n"/>
      <c r="L84" s="24">
        <f>IF(K84="","",IF(K84=0,"",J84/K84))</f>
        <v/>
      </c>
      <c r="M84" s="20" t="n"/>
    </row>
    <row r="85" ht="22" customHeight="1">
      <c r="B85" s="18">
        <f>IF(C85="","PERF-"&amp;TEXT(COUNTA($C$5:C85),"000"))</f>
        <v/>
      </c>
      <c r="C85" s="13" t="n"/>
      <c r="D85" s="13" t="n"/>
      <c r="E85" s="13" t="n"/>
      <c r="F85" s="13" t="n"/>
      <c r="G85" s="13" t="n"/>
      <c r="H85" s="14" t="n"/>
      <c r="I85" s="14" t="n"/>
      <c r="J85" s="19" t="n"/>
      <c r="K85" s="19" t="n"/>
      <c r="L85" s="23">
        <f>IF(K85="","",IF(K85=0,"",J85/K85))</f>
        <v/>
      </c>
      <c r="M85" s="19" t="n"/>
    </row>
    <row r="86" ht="22" customHeight="1">
      <c r="B86" s="17">
        <f>IF(C86="","PERF-"&amp;TEXT(COUNTA($C$5:C86),"000"))</f>
        <v/>
      </c>
      <c r="C86" s="15" t="n"/>
      <c r="D86" s="15" t="n"/>
      <c r="E86" s="15" t="n"/>
      <c r="F86" s="15" t="n"/>
      <c r="G86" s="15" t="n"/>
      <c r="H86" s="16" t="n"/>
      <c r="I86" s="16" t="n"/>
      <c r="J86" s="20" t="n"/>
      <c r="K86" s="20" t="n"/>
      <c r="L86" s="24">
        <f>IF(K86="","",IF(K86=0,"",J86/K86))</f>
        <v/>
      </c>
      <c r="M86" s="20" t="n"/>
    </row>
    <row r="87" ht="22" customHeight="1">
      <c r="B87" s="18">
        <f>IF(C87="","PERF-"&amp;TEXT(COUNTA($C$5:C87),"000"))</f>
        <v/>
      </c>
      <c r="C87" s="13" t="n"/>
      <c r="D87" s="13" t="n"/>
      <c r="E87" s="13" t="n"/>
      <c r="F87" s="13" t="n"/>
      <c r="G87" s="13" t="n"/>
      <c r="H87" s="14" t="n"/>
      <c r="I87" s="14" t="n"/>
      <c r="J87" s="19" t="n"/>
      <c r="K87" s="19" t="n"/>
      <c r="L87" s="23">
        <f>IF(K87="","",IF(K87=0,"",J87/K87))</f>
        <v/>
      </c>
      <c r="M87" s="19" t="n"/>
    </row>
    <row r="88" ht="22" customHeight="1">
      <c r="B88" s="17">
        <f>IF(C88="","PERF-"&amp;TEXT(COUNTA($C$5:C88),"000"))</f>
        <v/>
      </c>
      <c r="C88" s="15" t="n"/>
      <c r="D88" s="15" t="n"/>
      <c r="E88" s="15" t="n"/>
      <c r="F88" s="15" t="n"/>
      <c r="G88" s="15" t="n"/>
      <c r="H88" s="16" t="n"/>
      <c r="I88" s="16" t="n"/>
      <c r="J88" s="20" t="n"/>
      <c r="K88" s="20" t="n"/>
      <c r="L88" s="24">
        <f>IF(K88="","",IF(K88=0,"",J88/K88))</f>
        <v/>
      </c>
      <c r="M88" s="20" t="n"/>
    </row>
    <row r="89" ht="22" customHeight="1">
      <c r="B89" s="18">
        <f>IF(C89="","PERF-"&amp;TEXT(COUNTA($C$5:C89),"000"))</f>
        <v/>
      </c>
      <c r="C89" s="13" t="n"/>
      <c r="D89" s="13" t="n"/>
      <c r="E89" s="13" t="n"/>
      <c r="F89" s="13" t="n"/>
      <c r="G89" s="13" t="n"/>
      <c r="H89" s="14" t="n"/>
      <c r="I89" s="14" t="n"/>
      <c r="J89" s="19" t="n"/>
      <c r="K89" s="19" t="n"/>
      <c r="L89" s="23">
        <f>IF(K89="","",IF(K89=0,"",J89/K89))</f>
        <v/>
      </c>
      <c r="M89" s="19" t="n"/>
    </row>
    <row r="90" ht="22" customHeight="1">
      <c r="B90" s="17">
        <f>IF(C90="","PERF-"&amp;TEXT(COUNTA($C$5:C90),"000"))</f>
        <v/>
      </c>
      <c r="C90" s="15" t="n"/>
      <c r="D90" s="15" t="n"/>
      <c r="E90" s="15" t="n"/>
      <c r="F90" s="15" t="n"/>
      <c r="G90" s="15" t="n"/>
      <c r="H90" s="16" t="n"/>
      <c r="I90" s="16" t="n"/>
      <c r="J90" s="20" t="n"/>
      <c r="K90" s="20" t="n"/>
      <c r="L90" s="24">
        <f>IF(K90="","",IF(K90=0,"",J90/K90))</f>
        <v/>
      </c>
      <c r="M90" s="20" t="n"/>
    </row>
    <row r="91" ht="22" customHeight="1">
      <c r="B91" s="18">
        <f>IF(C91="","PERF-"&amp;TEXT(COUNTA($C$5:C91),"000"))</f>
        <v/>
      </c>
      <c r="C91" s="13" t="n"/>
      <c r="D91" s="13" t="n"/>
      <c r="E91" s="13" t="n"/>
      <c r="F91" s="13" t="n"/>
      <c r="G91" s="13" t="n"/>
      <c r="H91" s="14" t="n"/>
      <c r="I91" s="14" t="n"/>
      <c r="J91" s="19" t="n"/>
      <c r="K91" s="19" t="n"/>
      <c r="L91" s="23">
        <f>IF(K91="","",IF(K91=0,"",J91/K91))</f>
        <v/>
      </c>
      <c r="M91" s="19" t="n"/>
    </row>
    <row r="92" ht="22" customHeight="1">
      <c r="B92" s="17">
        <f>IF(C92="","PERF-"&amp;TEXT(COUNTA($C$5:C92),"000"))</f>
        <v/>
      </c>
      <c r="C92" s="15" t="n"/>
      <c r="D92" s="15" t="n"/>
      <c r="E92" s="15" t="n"/>
      <c r="F92" s="15" t="n"/>
      <c r="G92" s="15" t="n"/>
      <c r="H92" s="16" t="n"/>
      <c r="I92" s="16" t="n"/>
      <c r="J92" s="20" t="n"/>
      <c r="K92" s="20" t="n"/>
      <c r="L92" s="24">
        <f>IF(K92="","",IF(K92=0,"",J92/K92))</f>
        <v/>
      </c>
      <c r="M92" s="20" t="n"/>
    </row>
    <row r="93" ht="22" customHeight="1">
      <c r="B93" s="18">
        <f>IF(C93="","PERF-"&amp;TEXT(COUNTA($C$5:C93),"000"))</f>
        <v/>
      </c>
      <c r="C93" s="13" t="n"/>
      <c r="D93" s="13" t="n"/>
      <c r="E93" s="13" t="n"/>
      <c r="F93" s="13" t="n"/>
      <c r="G93" s="13" t="n"/>
      <c r="H93" s="14" t="n"/>
      <c r="I93" s="14" t="n"/>
      <c r="J93" s="19" t="n"/>
      <c r="K93" s="19" t="n"/>
      <c r="L93" s="23">
        <f>IF(K93="","",IF(K93=0,"",J93/K93))</f>
        <v/>
      </c>
      <c r="M93" s="19" t="n"/>
    </row>
    <row r="94" ht="22" customHeight="1">
      <c r="B94" s="17">
        <f>IF(C94="","PERF-"&amp;TEXT(COUNTA($C$5:C94),"000"))</f>
        <v/>
      </c>
      <c r="C94" s="15" t="n"/>
      <c r="D94" s="15" t="n"/>
      <c r="E94" s="15" t="n"/>
      <c r="F94" s="15" t="n"/>
      <c r="G94" s="15" t="n"/>
      <c r="H94" s="16" t="n"/>
      <c r="I94" s="16" t="n"/>
      <c r="J94" s="20" t="n"/>
      <c r="K94" s="20" t="n"/>
      <c r="L94" s="24">
        <f>IF(K94="","",IF(K94=0,"",J94/K94))</f>
        <v/>
      </c>
      <c r="M94" s="20" t="n"/>
    </row>
    <row r="95" ht="22" customHeight="1">
      <c r="B95" s="18">
        <f>IF(C95="","PERF-"&amp;TEXT(COUNTA($C$5:C95),"000"))</f>
        <v/>
      </c>
      <c r="C95" s="13" t="n"/>
      <c r="D95" s="13" t="n"/>
      <c r="E95" s="13" t="n"/>
      <c r="F95" s="13" t="n"/>
      <c r="G95" s="13" t="n"/>
      <c r="H95" s="14" t="n"/>
      <c r="I95" s="14" t="n"/>
      <c r="J95" s="19" t="n"/>
      <c r="K95" s="19" t="n"/>
      <c r="L95" s="23">
        <f>IF(K95="","",IF(K95=0,"",J95/K95))</f>
        <v/>
      </c>
      <c r="M95" s="19" t="n"/>
    </row>
    <row r="96" ht="22" customHeight="1">
      <c r="B96" s="17">
        <f>IF(C96="","PERF-"&amp;TEXT(COUNTA($C$5:C96),"000"))</f>
        <v/>
      </c>
      <c r="C96" s="15" t="n"/>
      <c r="D96" s="15" t="n"/>
      <c r="E96" s="15" t="n"/>
      <c r="F96" s="15" t="n"/>
      <c r="G96" s="15" t="n"/>
      <c r="H96" s="16" t="n"/>
      <c r="I96" s="16" t="n"/>
      <c r="J96" s="20" t="n"/>
      <c r="K96" s="20" t="n"/>
      <c r="L96" s="24">
        <f>IF(K96="","",IF(K96=0,"",J96/K96))</f>
        <v/>
      </c>
      <c r="M96" s="20" t="n"/>
    </row>
    <row r="97" ht="22" customHeight="1">
      <c r="B97" s="18">
        <f>IF(C97="","PERF-"&amp;TEXT(COUNTA($C$5:C97),"000"))</f>
        <v/>
      </c>
      <c r="C97" s="13" t="n"/>
      <c r="D97" s="13" t="n"/>
      <c r="E97" s="13" t="n"/>
      <c r="F97" s="13" t="n"/>
      <c r="G97" s="13" t="n"/>
      <c r="H97" s="14" t="n"/>
      <c r="I97" s="14" t="n"/>
      <c r="J97" s="19" t="n"/>
      <c r="K97" s="19" t="n"/>
      <c r="L97" s="23">
        <f>IF(K97="","",IF(K97=0,"",J97/K97))</f>
        <v/>
      </c>
      <c r="M97" s="19" t="n"/>
    </row>
    <row r="98" ht="22" customHeight="1">
      <c r="B98" s="17">
        <f>IF(C98="","PERF-"&amp;TEXT(COUNTA($C$5:C98),"000"))</f>
        <v/>
      </c>
      <c r="C98" s="15" t="n"/>
      <c r="D98" s="15" t="n"/>
      <c r="E98" s="15" t="n"/>
      <c r="F98" s="15" t="n"/>
      <c r="G98" s="15" t="n"/>
      <c r="H98" s="16" t="n"/>
      <c r="I98" s="16" t="n"/>
      <c r="J98" s="20" t="n"/>
      <c r="K98" s="20" t="n"/>
      <c r="L98" s="24">
        <f>IF(K98="","",IF(K98=0,"",J98/K98))</f>
        <v/>
      </c>
      <c r="M98" s="20" t="n"/>
    </row>
    <row r="99" ht="22" customHeight="1">
      <c r="B99" s="18">
        <f>IF(C99="","PERF-"&amp;TEXT(COUNTA($C$5:C99),"000"))</f>
        <v/>
      </c>
      <c r="C99" s="13" t="n"/>
      <c r="D99" s="13" t="n"/>
      <c r="E99" s="13" t="n"/>
      <c r="F99" s="13" t="n"/>
      <c r="G99" s="13" t="n"/>
      <c r="H99" s="14" t="n"/>
      <c r="I99" s="14" t="n"/>
      <c r="J99" s="19" t="n"/>
      <c r="K99" s="19" t="n"/>
      <c r="L99" s="23">
        <f>IF(K99="","",IF(K99=0,"",J99/K99))</f>
        <v/>
      </c>
      <c r="M99" s="19" t="n"/>
    </row>
    <row r="100" ht="22" customHeight="1">
      <c r="B100" s="17">
        <f>IF(C100="","PERF-"&amp;TEXT(COUNTA($C$5:C100),"000"))</f>
        <v/>
      </c>
      <c r="C100" s="15" t="n"/>
      <c r="D100" s="15" t="n"/>
      <c r="E100" s="15" t="n"/>
      <c r="F100" s="15" t="n"/>
      <c r="G100" s="15" t="n"/>
      <c r="H100" s="16" t="n"/>
      <c r="I100" s="16" t="n"/>
      <c r="J100" s="20" t="n"/>
      <c r="K100" s="20" t="n"/>
      <c r="L100" s="24">
        <f>IF(K100="","",IF(K100=0,"",J100/K100))</f>
        <v/>
      </c>
      <c r="M100" s="20" t="n"/>
    </row>
    <row r="101" ht="22" customHeight="1">
      <c r="B101" s="18">
        <f>IF(C101="","PERF-"&amp;TEXT(COUNTA($C$5:C101),"000"))</f>
        <v/>
      </c>
      <c r="C101" s="13" t="n"/>
      <c r="D101" s="13" t="n"/>
      <c r="E101" s="13" t="n"/>
      <c r="F101" s="13" t="n"/>
      <c r="G101" s="13" t="n"/>
      <c r="H101" s="14" t="n"/>
      <c r="I101" s="14" t="n"/>
      <c r="J101" s="19" t="n"/>
      <c r="K101" s="19" t="n"/>
      <c r="L101" s="23">
        <f>IF(K101="","",IF(K101=0,"",J101/K101))</f>
        <v/>
      </c>
      <c r="M101" s="19" t="n"/>
    </row>
    <row r="102" ht="22" customHeight="1">
      <c r="B102" s="17">
        <f>IF(C102="","PERF-"&amp;TEXT(COUNTA($C$5:C102),"000"))</f>
        <v/>
      </c>
      <c r="C102" s="15" t="n"/>
      <c r="D102" s="15" t="n"/>
      <c r="E102" s="15" t="n"/>
      <c r="F102" s="15" t="n"/>
      <c r="G102" s="15" t="n"/>
      <c r="H102" s="16" t="n"/>
      <c r="I102" s="16" t="n"/>
      <c r="J102" s="20" t="n"/>
      <c r="K102" s="20" t="n"/>
      <c r="L102" s="24">
        <f>IF(K102="","",IF(K102=0,"",J102/K102))</f>
        <v/>
      </c>
      <c r="M102" s="20" t="n"/>
    </row>
    <row r="103" ht="22" customHeight="1">
      <c r="B103" s="18">
        <f>IF(C103="","PERF-"&amp;TEXT(COUNTA($C$5:C103),"000"))</f>
        <v/>
      </c>
      <c r="C103" s="13" t="n"/>
      <c r="D103" s="13" t="n"/>
      <c r="E103" s="13" t="n"/>
      <c r="F103" s="13" t="n"/>
      <c r="G103" s="13" t="n"/>
      <c r="H103" s="14" t="n"/>
      <c r="I103" s="14" t="n"/>
      <c r="J103" s="19" t="n"/>
      <c r="K103" s="19" t="n"/>
      <c r="L103" s="23">
        <f>IF(K103="","",IF(K103=0,"",J103/K103))</f>
        <v/>
      </c>
      <c r="M103" s="19" t="n"/>
    </row>
    <row r="104" ht="22" customHeight="1">
      <c r="B104" s="17">
        <f>IF(C104="","PERF-"&amp;TEXT(COUNTA($C$5:C104),"000"))</f>
        <v/>
      </c>
      <c r="C104" s="15" t="n"/>
      <c r="D104" s="15" t="n"/>
      <c r="E104" s="15" t="n"/>
      <c r="F104" s="15" t="n"/>
      <c r="G104" s="15" t="n"/>
      <c r="H104" s="16" t="n"/>
      <c r="I104" s="16" t="n"/>
      <c r="J104" s="20" t="n"/>
      <c r="K104" s="20" t="n"/>
      <c r="L104" s="24">
        <f>IF(K104="","",IF(K104=0,"",J104/K104))</f>
        <v/>
      </c>
      <c r="M104" s="20" t="n"/>
    </row>
    <row r="105" ht="22" customHeight="1">
      <c r="B105" s="18">
        <f>IF(C105="","PERF-"&amp;TEXT(COUNTA($C$5:C105),"000"))</f>
        <v/>
      </c>
      <c r="C105" s="13" t="n"/>
      <c r="D105" s="13" t="n"/>
      <c r="E105" s="13" t="n"/>
      <c r="F105" s="13" t="n"/>
      <c r="G105" s="13" t="n"/>
      <c r="H105" s="14" t="n"/>
      <c r="I105" s="14" t="n"/>
      <c r="J105" s="19" t="n"/>
      <c r="K105" s="19" t="n"/>
      <c r="L105" s="23">
        <f>IF(K105="","",IF(K105=0,"",J105/K105))</f>
        <v/>
      </c>
      <c r="M105" s="19" t="n"/>
    </row>
    <row r="106" ht="22" customHeight="1">
      <c r="B106" s="17">
        <f>IF(C106="","PERF-"&amp;TEXT(COUNTA($C$5:C106),"000"))</f>
        <v/>
      </c>
      <c r="C106" s="15" t="n"/>
      <c r="D106" s="15" t="n"/>
      <c r="E106" s="15" t="n"/>
      <c r="F106" s="15" t="n"/>
      <c r="G106" s="15" t="n"/>
      <c r="H106" s="16" t="n"/>
      <c r="I106" s="16" t="n"/>
      <c r="J106" s="20" t="n"/>
      <c r="K106" s="20" t="n"/>
      <c r="L106" s="24">
        <f>IF(K106="","",IF(K106=0,"",J106/K106))</f>
        <v/>
      </c>
      <c r="M106" s="20" t="n"/>
    </row>
    <row r="107" ht="22" customHeight="1">
      <c r="B107" s="18">
        <f>IF(C107="","PERF-"&amp;TEXT(COUNTA($C$5:C107),"000"))</f>
        <v/>
      </c>
      <c r="C107" s="13" t="n"/>
      <c r="D107" s="13" t="n"/>
      <c r="E107" s="13" t="n"/>
      <c r="F107" s="13" t="n"/>
      <c r="G107" s="13" t="n"/>
      <c r="H107" s="14" t="n"/>
      <c r="I107" s="14" t="n"/>
      <c r="J107" s="19" t="n"/>
      <c r="K107" s="19" t="n"/>
      <c r="L107" s="23">
        <f>IF(K107="","",IF(K107=0,"",J107/K107))</f>
        <v/>
      </c>
      <c r="M107" s="19" t="n"/>
    </row>
    <row r="108" ht="22" customHeight="1">
      <c r="B108" s="17">
        <f>IF(C108="","PERF-"&amp;TEXT(COUNTA($C$5:C108),"000"))</f>
        <v/>
      </c>
      <c r="C108" s="15" t="n"/>
      <c r="D108" s="15" t="n"/>
      <c r="E108" s="15" t="n"/>
      <c r="F108" s="15" t="n"/>
      <c r="G108" s="15" t="n"/>
      <c r="H108" s="16" t="n"/>
      <c r="I108" s="16" t="n"/>
      <c r="J108" s="20" t="n"/>
      <c r="K108" s="20" t="n"/>
      <c r="L108" s="24">
        <f>IF(K108="","",IF(K108=0,"",J108/K108))</f>
        <v/>
      </c>
      <c r="M108" s="20" t="n"/>
    </row>
    <row r="109" ht="22" customHeight="1">
      <c r="B109" s="18">
        <f>IF(C109="","PERF-"&amp;TEXT(COUNTA($C$5:C109),"000"))</f>
        <v/>
      </c>
      <c r="C109" s="13" t="n"/>
      <c r="D109" s="13" t="n"/>
      <c r="E109" s="13" t="n"/>
      <c r="F109" s="13" t="n"/>
      <c r="G109" s="13" t="n"/>
      <c r="H109" s="14" t="n"/>
      <c r="I109" s="14" t="n"/>
      <c r="J109" s="19" t="n"/>
      <c r="K109" s="19" t="n"/>
      <c r="L109" s="23">
        <f>IF(K109="","",IF(K109=0,"",J109/K109))</f>
        <v/>
      </c>
      <c r="M109" s="19" t="n"/>
    </row>
    <row r="110"/>
    <row r="111" ht="26" customHeight="1">
      <c r="B111" s="27" t="inlineStr">
        <is>
          <t>TOTAL</t>
        </is>
      </c>
      <c r="C111" s="28" t="n"/>
      <c r="D111" s="28" t="n"/>
      <c r="E111" s="28" t="n"/>
      <c r="F111" s="28" t="n"/>
      <c r="G111" s="28" t="n"/>
      <c r="H111" s="28" t="n"/>
      <c r="I111" s="28" t="n"/>
      <c r="J111" s="29">
        <f>SUM(J5:J104)</f>
        <v/>
      </c>
      <c r="K111" s="29">
        <f>SUM(K5:K104)</f>
        <v/>
      </c>
      <c r="L111" s="28" t="n"/>
      <c r="M111" s="28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Employes suivis</t>
        </is>
      </c>
      <c r="D114" s="3" t="inlineStr">
        <is>
          <t>Score global moyen</t>
        </is>
      </c>
      <c r="F114" s="3" t="inlineStr">
        <is>
          <t>Score max</t>
        </is>
      </c>
      <c r="H114" s="3" t="inlineStr">
        <is>
          <t>Score min</t>
        </is>
      </c>
    </row>
    <row r="115">
      <c r="B115" s="4">
        <f>COUNTIF(B5:B104,"&lt;&gt;")</f>
        <v/>
      </c>
      <c r="D115" s="4">
        <f>IFERROR(AVERAGE(M5:M104),0)</f>
        <v/>
      </c>
      <c r="F115" s="4">
        <f>IFERROR(MAX(M5:M104),0)</f>
        <v/>
      </c>
      <c r="H115" s="4">
        <f>IFERROR(MIN(M5:M104),0)</f>
        <v/>
      </c>
    </row>
  </sheetData>
  <mergeCells count="3">
    <mergeCell ref="B3:M3"/>
    <mergeCell ref="B2:M2"/>
    <mergeCell ref="B113:M11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conditionalFormatting sqref="M10:M109">
    <cfRule type="expression" priority="12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J1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0" customWidth="1" min="4" max="4"/>
    <col width="12" customWidth="1" min="5" max="5"/>
    <col width="20" customWidth="1" min="6" max="6"/>
    <col width="22" customWidth="1" min="7" max="7"/>
    <col width="20" customWidth="1" min="8" max="8"/>
    <col width="22" customWidth="1" min="9" max="9"/>
    <col width="16" customWidth="1" min="10" max="10"/>
  </cols>
  <sheetData>
    <row r="1" ht="15" customHeight="1"/>
    <row r="2" ht="32" customHeight="1">
      <c r="B2" s="1" t="inlineStr">
        <is>
          <t>BILAN DE PERFORMANCE PAR SERVICE (#86)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</t>
        </is>
      </c>
      <c r="D4" s="12" t="inlineStr">
        <is>
          <t>Annee</t>
        </is>
      </c>
      <c r="E4" s="12" t="inlineStr">
        <is>
          <t>Effectif</t>
        </is>
      </c>
      <c r="F4" s="12" t="inlineStr">
        <is>
          <t>Note Moyenne (/20)</t>
        </is>
      </c>
      <c r="G4" s="12" t="inlineStr">
        <is>
          <t>Nb Objectifs Atteints</t>
        </is>
      </c>
      <c r="H4" s="12" t="inlineStr">
        <is>
          <t>Nb Objectifs Total</t>
        </is>
      </c>
      <c r="I4" s="12" t="inlineStr">
        <is>
          <t>Taux Atteinte Obj. (%)</t>
        </is>
      </c>
      <c r="J4" s="12" t="inlineStr">
        <is>
          <t>Nb PAP Actifs</t>
        </is>
      </c>
    </row>
    <row r="5" ht="22" customHeight="1">
      <c r="B5" s="13" t="inlineStr">
        <is>
          <t>BPD-001</t>
        </is>
      </c>
      <c r="C5" s="13" t="inlineStr">
        <is>
          <t>Ressources Humaines</t>
        </is>
      </c>
      <c r="D5" s="13" t="inlineStr">
        <is>
          <t>2025</t>
        </is>
      </c>
      <c r="E5" s="19" t="n">
        <v>5</v>
      </c>
      <c r="F5" s="14" t="n">
        <v>17</v>
      </c>
      <c r="G5" s="19" t="n">
        <v>6</v>
      </c>
      <c r="H5" s="19" t="n">
        <v>8</v>
      </c>
      <c r="I5" s="23" t="n">
        <v>75</v>
      </c>
      <c r="J5" s="19" t="n">
        <v>1</v>
      </c>
    </row>
    <row r="6" ht="22" customHeight="1">
      <c r="B6" s="15" t="inlineStr">
        <is>
          <t>BPD-002</t>
        </is>
      </c>
      <c r="C6" s="15" t="inlineStr">
        <is>
          <t>Informatique</t>
        </is>
      </c>
      <c r="D6" s="15" t="inlineStr">
        <is>
          <t>2025</t>
        </is>
      </c>
      <c r="E6" s="20" t="n">
        <v>3</v>
      </c>
      <c r="F6" s="16" t="n">
        <v>17.7</v>
      </c>
      <c r="G6" s="20" t="n">
        <v>5</v>
      </c>
      <c r="H6" s="20" t="n">
        <v>5</v>
      </c>
      <c r="I6" s="24" t="n">
        <v>100</v>
      </c>
      <c r="J6" s="20" t="n">
        <v>0</v>
      </c>
    </row>
    <row r="7" ht="22" customHeight="1">
      <c r="B7" s="13" t="inlineStr">
        <is>
          <t>BPD-003</t>
        </is>
      </c>
      <c r="C7" s="13" t="inlineStr">
        <is>
          <t>Finance &amp; Comptabilite</t>
        </is>
      </c>
      <c r="D7" s="13" t="inlineStr">
        <is>
          <t>2025</t>
        </is>
      </c>
      <c r="E7" s="19" t="n">
        <v>4</v>
      </c>
      <c r="F7" s="14" t="n">
        <v>16.8</v>
      </c>
      <c r="G7" s="19" t="n">
        <v>5</v>
      </c>
      <c r="H7" s="19" t="n">
        <v>7</v>
      </c>
      <c r="I7" s="23" t="n">
        <v>71</v>
      </c>
      <c r="J7" s="19" t="n">
        <v>0</v>
      </c>
    </row>
    <row r="8" ht="22" customHeight="1">
      <c r="B8" s="15" t="inlineStr">
        <is>
          <t>BPD-004</t>
        </is>
      </c>
      <c r="C8" s="15" t="inlineStr">
        <is>
          <t>Reception &amp; Front Office</t>
        </is>
      </c>
      <c r="D8" s="15" t="inlineStr">
        <is>
          <t>2025</t>
        </is>
      </c>
      <c r="E8" s="20" t="n">
        <v>6</v>
      </c>
      <c r="F8" s="16" t="n">
        <v>15.5</v>
      </c>
      <c r="G8" s="20" t="n">
        <v>8</v>
      </c>
      <c r="H8" s="20" t="n">
        <v>10</v>
      </c>
      <c r="I8" s="24" t="n">
        <v>80</v>
      </c>
      <c r="J8" s="20" t="n">
        <v>1</v>
      </c>
    </row>
    <row r="9" ht="22" customHeight="1">
      <c r="B9" s="13" t="inlineStr">
        <is>
          <t>BPD-005</t>
        </is>
      </c>
      <c r="C9" s="13" t="inlineStr">
        <is>
          <t>Cuisine &amp; Restauration</t>
        </is>
      </c>
      <c r="D9" s="13" t="inlineStr">
        <is>
          <t>2025</t>
        </is>
      </c>
      <c r="E9" s="19" t="n">
        <v>8</v>
      </c>
      <c r="F9" s="14" t="n">
        <v>13.8</v>
      </c>
      <c r="G9" s="19" t="n">
        <v>6</v>
      </c>
      <c r="H9" s="19" t="n">
        <v>12</v>
      </c>
      <c r="I9" s="23" t="n">
        <v>50</v>
      </c>
      <c r="J9" s="19" t="n">
        <v>2</v>
      </c>
    </row>
    <row r="10" ht="22" customHeight="1">
      <c r="B10" s="15" t="inlineStr">
        <is>
          <t>BPD-006</t>
        </is>
      </c>
      <c r="C10" s="15" t="inlineStr">
        <is>
          <t>Entretien &amp; Maintenance</t>
        </is>
      </c>
      <c r="D10" s="15" t="inlineStr">
        <is>
          <t>2025</t>
        </is>
      </c>
      <c r="E10" s="20" t="n">
        <v>6</v>
      </c>
      <c r="F10" s="16" t="n">
        <v>14.2</v>
      </c>
      <c r="G10" s="20" t="n">
        <v>4</v>
      </c>
      <c r="H10" s="20" t="n">
        <v>8</v>
      </c>
      <c r="I10" s="24" t="n">
        <v>50</v>
      </c>
      <c r="J10" s="20" t="n">
        <v>1</v>
      </c>
    </row>
    <row r="11" ht="22" customHeight="1">
      <c r="B11" s="13" t="inlineStr">
        <is>
          <t>BPD-007</t>
        </is>
      </c>
      <c r="C11" s="13" t="inlineStr">
        <is>
          <t>Securite</t>
        </is>
      </c>
      <c r="D11" s="13" t="inlineStr">
        <is>
          <t>2025</t>
        </is>
      </c>
      <c r="E11" s="19" t="n">
        <v>4</v>
      </c>
      <c r="F11" s="14" t="n">
        <v>15</v>
      </c>
      <c r="G11" s="19" t="n">
        <v>3</v>
      </c>
      <c r="H11" s="19" t="n">
        <v>6</v>
      </c>
      <c r="I11" s="23" t="n">
        <v>50</v>
      </c>
      <c r="J11" s="19" t="n">
        <v>0</v>
      </c>
    </row>
    <row r="12" ht="22" customHeight="1">
      <c r="B12" s="17">
        <f>IF(C12="","BPD-"&amp;TEXT(COUNTA($C$5:C12),"000"))</f>
        <v/>
      </c>
      <c r="C12" s="15" t="n"/>
      <c r="D12" s="15" t="n"/>
      <c r="E12" s="20" t="n"/>
      <c r="F12" s="16" t="n"/>
      <c r="G12" s="20" t="n"/>
      <c r="H12" s="20" t="n"/>
      <c r="I12" s="24">
        <f>IF(H12="","",IF(H12=0,"",G12/H12))</f>
        <v/>
      </c>
      <c r="J12" s="20" t="n"/>
    </row>
    <row r="13" ht="22" customHeight="1">
      <c r="B13" s="18">
        <f>IF(C13="","BPD-"&amp;TEXT(COUNTA($C$5:C13),"000"))</f>
        <v/>
      </c>
      <c r="C13" s="13" t="n"/>
      <c r="D13" s="13" t="n"/>
      <c r="E13" s="19" t="n"/>
      <c r="F13" s="14" t="n"/>
      <c r="G13" s="19" t="n"/>
      <c r="H13" s="19" t="n"/>
      <c r="I13" s="23">
        <f>IF(H13="","",IF(H13=0,"",G13/H13))</f>
        <v/>
      </c>
      <c r="J13" s="19" t="n"/>
    </row>
    <row r="14" ht="22" customHeight="1">
      <c r="B14" s="17">
        <f>IF(C14="","BPD-"&amp;TEXT(COUNTA($C$5:C14),"000"))</f>
        <v/>
      </c>
      <c r="C14" s="15" t="n"/>
      <c r="D14" s="15" t="n"/>
      <c r="E14" s="20" t="n"/>
      <c r="F14" s="16" t="n"/>
      <c r="G14" s="20" t="n"/>
      <c r="H14" s="20" t="n"/>
      <c r="I14" s="24">
        <f>IF(H14="","",IF(H14=0,"",G14/H14))</f>
        <v/>
      </c>
      <c r="J14" s="20" t="n"/>
    </row>
    <row r="15" ht="22" customHeight="1">
      <c r="B15" s="18">
        <f>IF(C15="","BPD-"&amp;TEXT(COUNTA($C$5:C15),"000"))</f>
        <v/>
      </c>
      <c r="C15" s="13" t="n"/>
      <c r="D15" s="13" t="n"/>
      <c r="E15" s="19" t="n"/>
      <c r="F15" s="14" t="n"/>
      <c r="G15" s="19" t="n"/>
      <c r="H15" s="19" t="n"/>
      <c r="I15" s="23">
        <f>IF(H15="","",IF(H15=0,"",G15/H15))</f>
        <v/>
      </c>
      <c r="J15" s="19" t="n"/>
    </row>
    <row r="16" ht="22" customHeight="1">
      <c r="B16" s="17">
        <f>IF(C16="","BPD-"&amp;TEXT(COUNTA($C$5:C16),"000"))</f>
        <v/>
      </c>
      <c r="C16" s="15" t="n"/>
      <c r="D16" s="15" t="n"/>
      <c r="E16" s="20" t="n"/>
      <c r="F16" s="16" t="n"/>
      <c r="G16" s="20" t="n"/>
      <c r="H16" s="20" t="n"/>
      <c r="I16" s="24">
        <f>IF(H16="","",IF(H16=0,"",G16/H16))</f>
        <v/>
      </c>
      <c r="J16" s="20" t="n"/>
    </row>
    <row r="17" ht="22" customHeight="1">
      <c r="B17" s="18">
        <f>IF(C17="","BPD-"&amp;TEXT(COUNTA($C$5:C17),"000"))</f>
        <v/>
      </c>
      <c r="C17" s="13" t="n"/>
      <c r="D17" s="13" t="n"/>
      <c r="E17" s="19" t="n"/>
      <c r="F17" s="14" t="n"/>
      <c r="G17" s="19" t="n"/>
      <c r="H17" s="19" t="n"/>
      <c r="I17" s="23">
        <f>IF(H17="","",IF(H17=0,"",G17/H17))</f>
        <v/>
      </c>
      <c r="J17" s="19" t="n"/>
    </row>
    <row r="18" ht="22" customHeight="1">
      <c r="B18" s="17">
        <f>IF(C18="","BPD-"&amp;TEXT(COUNTA($C$5:C18),"000"))</f>
        <v/>
      </c>
      <c r="C18" s="15" t="n"/>
      <c r="D18" s="15" t="n"/>
      <c r="E18" s="20" t="n"/>
      <c r="F18" s="16" t="n"/>
      <c r="G18" s="20" t="n"/>
      <c r="H18" s="20" t="n"/>
      <c r="I18" s="24">
        <f>IF(H18="","",IF(H18=0,"",G18/H18))</f>
        <v/>
      </c>
      <c r="J18" s="20" t="n"/>
    </row>
    <row r="19" ht="22" customHeight="1">
      <c r="B19" s="18">
        <f>IF(C19="","BPD-"&amp;TEXT(COUNTA($C$5:C19),"000"))</f>
        <v/>
      </c>
      <c r="C19" s="13" t="n"/>
      <c r="D19" s="13" t="n"/>
      <c r="E19" s="19" t="n"/>
      <c r="F19" s="14" t="n"/>
      <c r="G19" s="19" t="n"/>
      <c r="H19" s="19" t="n"/>
      <c r="I19" s="23">
        <f>IF(H19="","",IF(H19=0,"",G19/H19))</f>
        <v/>
      </c>
      <c r="J19" s="19" t="n"/>
    </row>
    <row r="20" ht="22" customHeight="1">
      <c r="B20" s="17">
        <f>IF(C20="","BPD-"&amp;TEXT(COUNTA($C$5:C20),"000"))</f>
        <v/>
      </c>
      <c r="C20" s="15" t="n"/>
      <c r="D20" s="15" t="n"/>
      <c r="E20" s="20" t="n"/>
      <c r="F20" s="16" t="n"/>
      <c r="G20" s="20" t="n"/>
      <c r="H20" s="20" t="n"/>
      <c r="I20" s="24">
        <f>IF(H20="","",IF(H20=0,"",G20/H20))</f>
        <v/>
      </c>
      <c r="J20" s="20" t="n"/>
    </row>
    <row r="21" ht="22" customHeight="1">
      <c r="B21" s="18">
        <f>IF(C21="","BPD-"&amp;TEXT(COUNTA($C$5:C21),"000"))</f>
        <v/>
      </c>
      <c r="C21" s="13" t="n"/>
      <c r="D21" s="13" t="n"/>
      <c r="E21" s="19" t="n"/>
      <c r="F21" s="14" t="n"/>
      <c r="G21" s="19" t="n"/>
      <c r="H21" s="19" t="n"/>
      <c r="I21" s="23">
        <f>IF(H21="","",IF(H21=0,"",G21/H21))</f>
        <v/>
      </c>
      <c r="J21" s="19" t="n"/>
    </row>
    <row r="22" ht="22" customHeight="1">
      <c r="B22" s="17">
        <f>IF(C22="","BPD-"&amp;TEXT(COUNTA($C$5:C22),"000"))</f>
        <v/>
      </c>
      <c r="C22" s="15" t="n"/>
      <c r="D22" s="15" t="n"/>
      <c r="E22" s="20" t="n"/>
      <c r="F22" s="16" t="n"/>
      <c r="G22" s="20" t="n"/>
      <c r="H22" s="20" t="n"/>
      <c r="I22" s="24">
        <f>IF(H22="","",IF(H22=0,"",G22/H22))</f>
        <v/>
      </c>
      <c r="J22" s="20" t="n"/>
    </row>
    <row r="23" ht="22" customHeight="1">
      <c r="B23" s="18">
        <f>IF(C23="","BPD-"&amp;TEXT(COUNTA($C$5:C23),"000"))</f>
        <v/>
      </c>
      <c r="C23" s="13" t="n"/>
      <c r="D23" s="13" t="n"/>
      <c r="E23" s="19" t="n"/>
      <c r="F23" s="14" t="n"/>
      <c r="G23" s="19" t="n"/>
      <c r="H23" s="19" t="n"/>
      <c r="I23" s="23">
        <f>IF(H23="","",IF(H23=0,"",G23/H23))</f>
        <v/>
      </c>
      <c r="J23" s="19" t="n"/>
    </row>
    <row r="24" ht="22" customHeight="1">
      <c r="B24" s="17">
        <f>IF(C24="","BPD-"&amp;TEXT(COUNTA($C$5:C24),"000"))</f>
        <v/>
      </c>
      <c r="C24" s="15" t="n"/>
      <c r="D24" s="15" t="n"/>
      <c r="E24" s="20" t="n"/>
      <c r="F24" s="16" t="n"/>
      <c r="G24" s="20" t="n"/>
      <c r="H24" s="20" t="n"/>
      <c r="I24" s="24">
        <f>IF(H24="","",IF(H24=0,"",G24/H24))</f>
        <v/>
      </c>
      <c r="J24" s="20" t="n"/>
    </row>
    <row r="25" ht="22" customHeight="1">
      <c r="B25" s="18">
        <f>IF(C25="","BPD-"&amp;TEXT(COUNTA($C$5:C25),"000"))</f>
        <v/>
      </c>
      <c r="C25" s="13" t="n"/>
      <c r="D25" s="13" t="n"/>
      <c r="E25" s="19" t="n"/>
      <c r="F25" s="14" t="n"/>
      <c r="G25" s="19" t="n"/>
      <c r="H25" s="19" t="n"/>
      <c r="I25" s="23">
        <f>IF(H25="","",IF(H25=0,"",G25/H25))</f>
        <v/>
      </c>
      <c r="J25" s="19" t="n"/>
    </row>
    <row r="26" ht="22" customHeight="1">
      <c r="B26" s="17">
        <f>IF(C26="","BPD-"&amp;TEXT(COUNTA($C$5:C26),"000"))</f>
        <v/>
      </c>
      <c r="C26" s="15" t="n"/>
      <c r="D26" s="15" t="n"/>
      <c r="E26" s="20" t="n"/>
      <c r="F26" s="16" t="n"/>
      <c r="G26" s="20" t="n"/>
      <c r="H26" s="20" t="n"/>
      <c r="I26" s="24">
        <f>IF(H26="","",IF(H26=0,"",G26/H26))</f>
        <v/>
      </c>
      <c r="J26" s="20" t="n"/>
    </row>
    <row r="27" ht="22" customHeight="1">
      <c r="B27" s="18">
        <f>IF(C27="","BPD-"&amp;TEXT(COUNTA($C$5:C27),"000"))</f>
        <v/>
      </c>
      <c r="C27" s="13" t="n"/>
      <c r="D27" s="13" t="n"/>
      <c r="E27" s="19" t="n"/>
      <c r="F27" s="14" t="n"/>
      <c r="G27" s="19" t="n"/>
      <c r="H27" s="19" t="n"/>
      <c r="I27" s="23">
        <f>IF(H27="","",IF(H27=0,"",G27/H27))</f>
        <v/>
      </c>
      <c r="J27" s="19" t="n"/>
    </row>
    <row r="28" ht="22" customHeight="1">
      <c r="B28" s="17">
        <f>IF(C28="","BPD-"&amp;TEXT(COUNTA($C$5:C28),"000"))</f>
        <v/>
      </c>
      <c r="C28" s="15" t="n"/>
      <c r="D28" s="15" t="n"/>
      <c r="E28" s="20" t="n"/>
      <c r="F28" s="16" t="n"/>
      <c r="G28" s="20" t="n"/>
      <c r="H28" s="20" t="n"/>
      <c r="I28" s="24">
        <f>IF(H28="","",IF(H28=0,"",G28/H28))</f>
        <v/>
      </c>
      <c r="J28" s="20" t="n"/>
    </row>
    <row r="29" ht="22" customHeight="1">
      <c r="B29" s="18">
        <f>IF(C29="","BPD-"&amp;TEXT(COUNTA($C$5:C29),"000"))</f>
        <v/>
      </c>
      <c r="C29" s="13" t="n"/>
      <c r="D29" s="13" t="n"/>
      <c r="E29" s="19" t="n"/>
      <c r="F29" s="14" t="n"/>
      <c r="G29" s="19" t="n"/>
      <c r="H29" s="19" t="n"/>
      <c r="I29" s="23">
        <f>IF(H29="","",IF(H29=0,"",G29/H29))</f>
        <v/>
      </c>
      <c r="J29" s="19" t="n"/>
    </row>
    <row r="30" ht="22" customHeight="1">
      <c r="B30" s="17">
        <f>IF(C30="","BPD-"&amp;TEXT(COUNTA($C$5:C30),"000"))</f>
        <v/>
      </c>
      <c r="C30" s="15" t="n"/>
      <c r="D30" s="15" t="n"/>
      <c r="E30" s="20" t="n"/>
      <c r="F30" s="16" t="n"/>
      <c r="G30" s="20" t="n"/>
      <c r="H30" s="20" t="n"/>
      <c r="I30" s="24">
        <f>IF(H30="","",IF(H30=0,"",G30/H30))</f>
        <v/>
      </c>
      <c r="J30" s="20" t="n"/>
    </row>
    <row r="31" ht="22" customHeight="1">
      <c r="B31" s="18">
        <f>IF(C31="","BPD-"&amp;TEXT(COUNTA($C$5:C31),"000"))</f>
        <v/>
      </c>
      <c r="C31" s="13" t="n"/>
      <c r="D31" s="13" t="n"/>
      <c r="E31" s="19" t="n"/>
      <c r="F31" s="14" t="n"/>
      <c r="G31" s="19" t="n"/>
      <c r="H31" s="19" t="n"/>
      <c r="I31" s="23">
        <f>IF(H31="","",IF(H31=0,"",G31/H31))</f>
        <v/>
      </c>
      <c r="J31" s="19" t="n"/>
    </row>
    <row r="32" ht="22" customHeight="1">
      <c r="B32" s="17">
        <f>IF(C32="","BPD-"&amp;TEXT(COUNTA($C$5:C32),"000"))</f>
        <v/>
      </c>
      <c r="C32" s="15" t="n"/>
      <c r="D32" s="15" t="n"/>
      <c r="E32" s="20" t="n"/>
      <c r="F32" s="16" t="n"/>
      <c r="G32" s="20" t="n"/>
      <c r="H32" s="20" t="n"/>
      <c r="I32" s="24">
        <f>IF(H32="","",IF(H32=0,"",G32/H32))</f>
        <v/>
      </c>
      <c r="J32" s="20" t="n"/>
    </row>
    <row r="33" ht="22" customHeight="1">
      <c r="B33" s="18">
        <f>IF(C33="","BPD-"&amp;TEXT(COUNTA($C$5:C33),"000"))</f>
        <v/>
      </c>
      <c r="C33" s="13" t="n"/>
      <c r="D33" s="13" t="n"/>
      <c r="E33" s="19" t="n"/>
      <c r="F33" s="14" t="n"/>
      <c r="G33" s="19" t="n"/>
      <c r="H33" s="19" t="n"/>
      <c r="I33" s="23">
        <f>IF(H33="","",IF(H33=0,"",G33/H33))</f>
        <v/>
      </c>
      <c r="J33" s="19" t="n"/>
    </row>
    <row r="34" ht="22" customHeight="1">
      <c r="B34" s="17">
        <f>IF(C34="","BPD-"&amp;TEXT(COUNTA($C$5:C34),"000"))</f>
        <v/>
      </c>
      <c r="C34" s="15" t="n"/>
      <c r="D34" s="15" t="n"/>
      <c r="E34" s="20" t="n"/>
      <c r="F34" s="16" t="n"/>
      <c r="G34" s="20" t="n"/>
      <c r="H34" s="20" t="n"/>
      <c r="I34" s="24">
        <f>IF(H34="","",IF(H34=0,"",G34/H34))</f>
        <v/>
      </c>
      <c r="J34" s="20" t="n"/>
    </row>
    <row r="35" ht="22" customHeight="1">
      <c r="B35" s="18">
        <f>IF(C35="","BPD-"&amp;TEXT(COUNTA($C$5:C35),"000"))</f>
        <v/>
      </c>
      <c r="C35" s="13" t="n"/>
      <c r="D35" s="13" t="n"/>
      <c r="E35" s="19" t="n"/>
      <c r="F35" s="14" t="n"/>
      <c r="G35" s="19" t="n"/>
      <c r="H35" s="19" t="n"/>
      <c r="I35" s="23">
        <f>IF(H35="","",IF(H35=0,"",G35/H35))</f>
        <v/>
      </c>
      <c r="J35" s="19" t="n"/>
    </row>
    <row r="36" ht="22" customHeight="1">
      <c r="B36" s="17">
        <f>IF(C36="","BPD-"&amp;TEXT(COUNTA($C$5:C36),"000"))</f>
        <v/>
      </c>
      <c r="C36" s="15" t="n"/>
      <c r="D36" s="15" t="n"/>
      <c r="E36" s="20" t="n"/>
      <c r="F36" s="16" t="n"/>
      <c r="G36" s="20" t="n"/>
      <c r="H36" s="20" t="n"/>
      <c r="I36" s="24">
        <f>IF(H36="","",IF(H36=0,"",G36/H36))</f>
        <v/>
      </c>
      <c r="J36" s="20" t="n"/>
    </row>
    <row r="37" ht="22" customHeight="1">
      <c r="B37" s="18">
        <f>IF(C37="","BPD-"&amp;TEXT(COUNTA($C$5:C37),"000"))</f>
        <v/>
      </c>
      <c r="C37" s="13" t="n"/>
      <c r="D37" s="13" t="n"/>
      <c r="E37" s="19" t="n"/>
      <c r="F37" s="14" t="n"/>
      <c r="G37" s="19" t="n"/>
      <c r="H37" s="19" t="n"/>
      <c r="I37" s="23">
        <f>IF(H37="","",IF(H37=0,"",G37/H37))</f>
        <v/>
      </c>
      <c r="J37" s="19" t="n"/>
    </row>
    <row r="38" ht="22" customHeight="1">
      <c r="B38" s="17">
        <f>IF(C38="","BPD-"&amp;TEXT(COUNTA($C$5:C38),"000"))</f>
        <v/>
      </c>
      <c r="C38" s="15" t="n"/>
      <c r="D38" s="15" t="n"/>
      <c r="E38" s="20" t="n"/>
      <c r="F38" s="16" t="n"/>
      <c r="G38" s="20" t="n"/>
      <c r="H38" s="20" t="n"/>
      <c r="I38" s="24">
        <f>IF(H38="","",IF(H38=0,"",G38/H38))</f>
        <v/>
      </c>
      <c r="J38" s="20" t="n"/>
    </row>
    <row r="39" ht="22" customHeight="1">
      <c r="B39" s="18">
        <f>IF(C39="","BPD-"&amp;TEXT(COUNTA($C$5:C39),"000"))</f>
        <v/>
      </c>
      <c r="C39" s="13" t="n"/>
      <c r="D39" s="13" t="n"/>
      <c r="E39" s="19" t="n"/>
      <c r="F39" s="14" t="n"/>
      <c r="G39" s="19" t="n"/>
      <c r="H39" s="19" t="n"/>
      <c r="I39" s="23">
        <f>IF(H39="","",IF(H39=0,"",G39/H39))</f>
        <v/>
      </c>
      <c r="J39" s="19" t="n"/>
    </row>
    <row r="40" ht="22" customHeight="1">
      <c r="B40" s="17">
        <f>IF(C40="","BPD-"&amp;TEXT(COUNTA($C$5:C40),"000"))</f>
        <v/>
      </c>
      <c r="C40" s="15" t="n"/>
      <c r="D40" s="15" t="n"/>
      <c r="E40" s="20" t="n"/>
      <c r="F40" s="16" t="n"/>
      <c r="G40" s="20" t="n"/>
      <c r="H40" s="20" t="n"/>
      <c r="I40" s="24">
        <f>IF(H40="","",IF(H40=0,"",G40/H40))</f>
        <v/>
      </c>
      <c r="J40" s="20" t="n"/>
    </row>
    <row r="41" ht="22" customHeight="1">
      <c r="B41" s="18">
        <f>IF(C41="","BPD-"&amp;TEXT(COUNTA($C$5:C41),"000"))</f>
        <v/>
      </c>
      <c r="C41" s="13" t="n"/>
      <c r="D41" s="13" t="n"/>
      <c r="E41" s="19" t="n"/>
      <c r="F41" s="14" t="n"/>
      <c r="G41" s="19" t="n"/>
      <c r="H41" s="19" t="n"/>
      <c r="I41" s="23">
        <f>IF(H41="","",IF(H41=0,"",G41/H41))</f>
        <v/>
      </c>
      <c r="J41" s="19" t="n"/>
    </row>
    <row r="42" ht="22" customHeight="1">
      <c r="B42" s="17">
        <f>IF(C42="","BPD-"&amp;TEXT(COUNTA($C$5:C42),"000"))</f>
        <v/>
      </c>
      <c r="C42" s="15" t="n"/>
      <c r="D42" s="15" t="n"/>
      <c r="E42" s="20" t="n"/>
      <c r="F42" s="16" t="n"/>
      <c r="G42" s="20" t="n"/>
      <c r="H42" s="20" t="n"/>
      <c r="I42" s="24">
        <f>IF(H42="","",IF(H42=0,"",G42/H42))</f>
        <v/>
      </c>
      <c r="J42" s="20" t="n"/>
    </row>
    <row r="43" ht="22" customHeight="1">
      <c r="B43" s="18">
        <f>IF(C43="","BPD-"&amp;TEXT(COUNTA($C$5:C43),"000"))</f>
        <v/>
      </c>
      <c r="C43" s="13" t="n"/>
      <c r="D43" s="13" t="n"/>
      <c r="E43" s="19" t="n"/>
      <c r="F43" s="14" t="n"/>
      <c r="G43" s="19" t="n"/>
      <c r="H43" s="19" t="n"/>
      <c r="I43" s="23">
        <f>IF(H43="","",IF(H43=0,"",G43/H43))</f>
        <v/>
      </c>
      <c r="J43" s="19" t="n"/>
    </row>
    <row r="44" ht="22" customHeight="1">
      <c r="B44" s="17">
        <f>IF(C44="","BPD-"&amp;TEXT(COUNTA($C$5:C44),"000"))</f>
        <v/>
      </c>
      <c r="C44" s="15" t="n"/>
      <c r="D44" s="15" t="n"/>
      <c r="E44" s="20" t="n"/>
      <c r="F44" s="16" t="n"/>
      <c r="G44" s="20" t="n"/>
      <c r="H44" s="20" t="n"/>
      <c r="I44" s="24">
        <f>IF(H44="","",IF(H44=0,"",G44/H44))</f>
        <v/>
      </c>
      <c r="J44" s="20" t="n"/>
    </row>
    <row r="45" ht="22" customHeight="1">
      <c r="B45" s="18">
        <f>IF(C45="","BPD-"&amp;TEXT(COUNTA($C$5:C45),"000"))</f>
        <v/>
      </c>
      <c r="C45" s="13" t="n"/>
      <c r="D45" s="13" t="n"/>
      <c r="E45" s="19" t="n"/>
      <c r="F45" s="14" t="n"/>
      <c r="G45" s="19" t="n"/>
      <c r="H45" s="19" t="n"/>
      <c r="I45" s="23">
        <f>IF(H45="","",IF(H45=0,"",G45/H45))</f>
        <v/>
      </c>
      <c r="J45" s="19" t="n"/>
    </row>
    <row r="46" ht="22" customHeight="1">
      <c r="B46" s="17">
        <f>IF(C46="","BPD-"&amp;TEXT(COUNTA($C$5:C46),"000"))</f>
        <v/>
      </c>
      <c r="C46" s="15" t="n"/>
      <c r="D46" s="15" t="n"/>
      <c r="E46" s="20" t="n"/>
      <c r="F46" s="16" t="n"/>
      <c r="G46" s="20" t="n"/>
      <c r="H46" s="20" t="n"/>
      <c r="I46" s="24">
        <f>IF(H46="","",IF(H46=0,"",G46/H46))</f>
        <v/>
      </c>
      <c r="J46" s="20" t="n"/>
    </row>
    <row r="47" ht="22" customHeight="1">
      <c r="B47" s="18">
        <f>IF(C47="","BPD-"&amp;TEXT(COUNTA($C$5:C47),"000"))</f>
        <v/>
      </c>
      <c r="C47" s="13" t="n"/>
      <c r="D47" s="13" t="n"/>
      <c r="E47" s="19" t="n"/>
      <c r="F47" s="14" t="n"/>
      <c r="G47" s="19" t="n"/>
      <c r="H47" s="19" t="n"/>
      <c r="I47" s="23">
        <f>IF(H47="","",IF(H47=0,"",G47/H47))</f>
        <v/>
      </c>
      <c r="J47" s="19" t="n"/>
    </row>
    <row r="48" ht="22" customHeight="1">
      <c r="B48" s="17">
        <f>IF(C48="","BPD-"&amp;TEXT(COUNTA($C$5:C48),"000"))</f>
        <v/>
      </c>
      <c r="C48" s="15" t="n"/>
      <c r="D48" s="15" t="n"/>
      <c r="E48" s="20" t="n"/>
      <c r="F48" s="16" t="n"/>
      <c r="G48" s="20" t="n"/>
      <c r="H48" s="20" t="n"/>
      <c r="I48" s="24">
        <f>IF(H48="","",IF(H48=0,"",G48/H48))</f>
        <v/>
      </c>
      <c r="J48" s="20" t="n"/>
    </row>
    <row r="49" ht="22" customHeight="1">
      <c r="B49" s="18">
        <f>IF(C49="","BPD-"&amp;TEXT(COUNTA($C$5:C49),"000"))</f>
        <v/>
      </c>
      <c r="C49" s="13" t="n"/>
      <c r="D49" s="13" t="n"/>
      <c r="E49" s="19" t="n"/>
      <c r="F49" s="14" t="n"/>
      <c r="G49" s="19" t="n"/>
      <c r="H49" s="19" t="n"/>
      <c r="I49" s="23">
        <f>IF(H49="","",IF(H49=0,"",G49/H49))</f>
        <v/>
      </c>
      <c r="J49" s="19" t="n"/>
    </row>
    <row r="50" ht="22" customHeight="1">
      <c r="B50" s="17">
        <f>IF(C50="","BPD-"&amp;TEXT(COUNTA($C$5:C50),"000"))</f>
        <v/>
      </c>
      <c r="C50" s="15" t="n"/>
      <c r="D50" s="15" t="n"/>
      <c r="E50" s="20" t="n"/>
      <c r="F50" s="16" t="n"/>
      <c r="G50" s="20" t="n"/>
      <c r="H50" s="20" t="n"/>
      <c r="I50" s="24">
        <f>IF(H50="","",IF(H50=0,"",G50/H50))</f>
        <v/>
      </c>
      <c r="J50" s="20" t="n"/>
    </row>
    <row r="51" ht="22" customHeight="1">
      <c r="B51" s="18">
        <f>IF(C51="","BPD-"&amp;TEXT(COUNTA($C$5:C51),"000"))</f>
        <v/>
      </c>
      <c r="C51" s="13" t="n"/>
      <c r="D51" s="13" t="n"/>
      <c r="E51" s="19" t="n"/>
      <c r="F51" s="14" t="n"/>
      <c r="G51" s="19" t="n"/>
      <c r="H51" s="19" t="n"/>
      <c r="I51" s="23">
        <f>IF(H51="","",IF(H51=0,"",G51/H51))</f>
        <v/>
      </c>
      <c r="J51" s="19" t="n"/>
    </row>
    <row r="52" ht="22" customHeight="1">
      <c r="B52" s="17">
        <f>IF(C52="","BPD-"&amp;TEXT(COUNTA($C$5:C52),"000"))</f>
        <v/>
      </c>
      <c r="C52" s="15" t="n"/>
      <c r="D52" s="15" t="n"/>
      <c r="E52" s="20" t="n"/>
      <c r="F52" s="16" t="n"/>
      <c r="G52" s="20" t="n"/>
      <c r="H52" s="20" t="n"/>
      <c r="I52" s="24">
        <f>IF(H52="","",IF(H52=0,"",G52/H52))</f>
        <v/>
      </c>
      <c r="J52" s="20" t="n"/>
    </row>
    <row r="53" ht="22" customHeight="1">
      <c r="B53" s="18">
        <f>IF(C53="","BPD-"&amp;TEXT(COUNTA($C$5:C53),"000"))</f>
        <v/>
      </c>
      <c r="C53" s="13" t="n"/>
      <c r="D53" s="13" t="n"/>
      <c r="E53" s="19" t="n"/>
      <c r="F53" s="14" t="n"/>
      <c r="G53" s="19" t="n"/>
      <c r="H53" s="19" t="n"/>
      <c r="I53" s="23">
        <f>IF(H53="","",IF(H53=0,"",G53/H53))</f>
        <v/>
      </c>
      <c r="J53" s="19" t="n"/>
    </row>
    <row r="54" ht="22" customHeight="1">
      <c r="B54" s="17">
        <f>IF(C54="","BPD-"&amp;TEXT(COUNTA($C$5:C54),"000"))</f>
        <v/>
      </c>
      <c r="C54" s="15" t="n"/>
      <c r="D54" s="15" t="n"/>
      <c r="E54" s="20" t="n"/>
      <c r="F54" s="16" t="n"/>
      <c r="G54" s="20" t="n"/>
      <c r="H54" s="20" t="n"/>
      <c r="I54" s="24">
        <f>IF(H54="","",IF(H54=0,"",G54/H54))</f>
        <v/>
      </c>
      <c r="J54" s="20" t="n"/>
    </row>
    <row r="55" ht="22" customHeight="1">
      <c r="B55" s="18">
        <f>IF(C55="","BPD-"&amp;TEXT(COUNTA($C$5:C55),"000"))</f>
        <v/>
      </c>
      <c r="C55" s="13" t="n"/>
      <c r="D55" s="13" t="n"/>
      <c r="E55" s="19" t="n"/>
      <c r="F55" s="14" t="n"/>
      <c r="G55" s="19" t="n"/>
      <c r="H55" s="19" t="n"/>
      <c r="I55" s="23">
        <f>IF(H55="","",IF(H55=0,"",G55/H55))</f>
        <v/>
      </c>
      <c r="J55" s="19" t="n"/>
    </row>
    <row r="56" ht="22" customHeight="1">
      <c r="B56" s="17">
        <f>IF(C56="","BPD-"&amp;TEXT(COUNTA($C$5:C56),"000"))</f>
        <v/>
      </c>
      <c r="C56" s="15" t="n"/>
      <c r="D56" s="15" t="n"/>
      <c r="E56" s="20" t="n"/>
      <c r="F56" s="16" t="n"/>
      <c r="G56" s="20" t="n"/>
      <c r="H56" s="20" t="n"/>
      <c r="I56" s="24">
        <f>IF(H56="","",IF(H56=0,"",G56/H56))</f>
        <v/>
      </c>
      <c r="J56" s="20" t="n"/>
    </row>
    <row r="57" ht="22" customHeight="1">
      <c r="B57" s="18">
        <f>IF(C57="","BPD-"&amp;TEXT(COUNTA($C$5:C57),"000"))</f>
        <v/>
      </c>
      <c r="C57" s="13" t="n"/>
      <c r="D57" s="13" t="n"/>
      <c r="E57" s="19" t="n"/>
      <c r="F57" s="14" t="n"/>
      <c r="G57" s="19" t="n"/>
      <c r="H57" s="19" t="n"/>
      <c r="I57" s="23">
        <f>IF(H57="","",IF(H57=0,"",G57/H57))</f>
        <v/>
      </c>
      <c r="J57" s="19" t="n"/>
    </row>
    <row r="58" ht="22" customHeight="1">
      <c r="B58" s="17">
        <f>IF(C58="","BPD-"&amp;TEXT(COUNTA($C$5:C58),"000"))</f>
        <v/>
      </c>
      <c r="C58" s="15" t="n"/>
      <c r="D58" s="15" t="n"/>
      <c r="E58" s="20" t="n"/>
      <c r="F58" s="16" t="n"/>
      <c r="G58" s="20" t="n"/>
      <c r="H58" s="20" t="n"/>
      <c r="I58" s="24">
        <f>IF(H58="","",IF(H58=0,"",G58/H58))</f>
        <v/>
      </c>
      <c r="J58" s="20" t="n"/>
    </row>
    <row r="59" ht="22" customHeight="1">
      <c r="B59" s="18">
        <f>IF(C59="","BPD-"&amp;TEXT(COUNTA($C$5:C59),"000"))</f>
        <v/>
      </c>
      <c r="C59" s="13" t="n"/>
      <c r="D59" s="13" t="n"/>
      <c r="E59" s="19" t="n"/>
      <c r="F59" s="14" t="n"/>
      <c r="G59" s="19" t="n"/>
      <c r="H59" s="19" t="n"/>
      <c r="I59" s="23">
        <f>IF(H59="","",IF(H59=0,"",G59/H59))</f>
        <v/>
      </c>
      <c r="J59" s="19" t="n"/>
    </row>
    <row r="60" ht="22" customHeight="1">
      <c r="B60" s="17">
        <f>IF(C60="","BPD-"&amp;TEXT(COUNTA($C$5:C60),"000"))</f>
        <v/>
      </c>
      <c r="C60" s="15" t="n"/>
      <c r="D60" s="15" t="n"/>
      <c r="E60" s="20" t="n"/>
      <c r="F60" s="16" t="n"/>
      <c r="G60" s="20" t="n"/>
      <c r="H60" s="20" t="n"/>
      <c r="I60" s="24">
        <f>IF(H60="","",IF(H60=0,"",G60/H60))</f>
        <v/>
      </c>
      <c r="J60" s="20" t="n"/>
    </row>
    <row r="61" ht="22" customHeight="1">
      <c r="B61" s="18">
        <f>IF(C61="","BPD-"&amp;TEXT(COUNTA($C$5:C61),"000"))</f>
        <v/>
      </c>
      <c r="C61" s="13" t="n"/>
      <c r="D61" s="13" t="n"/>
      <c r="E61" s="19" t="n"/>
      <c r="F61" s="14" t="n"/>
      <c r="G61" s="19" t="n"/>
      <c r="H61" s="19" t="n"/>
      <c r="I61" s="23">
        <f>IF(H61="","",IF(H61=0,"",G61/H61))</f>
        <v/>
      </c>
      <c r="J61" s="19" t="n"/>
    </row>
    <row r="62" ht="22" customHeight="1">
      <c r="B62" s="17">
        <f>IF(C62="","BPD-"&amp;TEXT(COUNTA($C$5:C62),"000"))</f>
        <v/>
      </c>
      <c r="C62" s="15" t="n"/>
      <c r="D62" s="15" t="n"/>
      <c r="E62" s="20" t="n"/>
      <c r="F62" s="16" t="n"/>
      <c r="G62" s="20" t="n"/>
      <c r="H62" s="20" t="n"/>
      <c r="I62" s="24">
        <f>IF(H62="","",IF(H62=0,"",G62/H62))</f>
        <v/>
      </c>
      <c r="J62" s="20" t="n"/>
    </row>
    <row r="63" ht="22" customHeight="1">
      <c r="B63" s="18">
        <f>IF(C63="","BPD-"&amp;TEXT(COUNTA($C$5:C63),"000"))</f>
        <v/>
      </c>
      <c r="C63" s="13" t="n"/>
      <c r="D63" s="13" t="n"/>
      <c r="E63" s="19" t="n"/>
      <c r="F63" s="14" t="n"/>
      <c r="G63" s="19" t="n"/>
      <c r="H63" s="19" t="n"/>
      <c r="I63" s="23">
        <f>IF(H63="","",IF(H63=0,"",G63/H63))</f>
        <v/>
      </c>
      <c r="J63" s="19" t="n"/>
    </row>
    <row r="64" ht="22" customHeight="1">
      <c r="B64" s="17">
        <f>IF(C64="","BPD-"&amp;TEXT(COUNTA($C$5:C64),"000"))</f>
        <v/>
      </c>
      <c r="C64" s="15" t="n"/>
      <c r="D64" s="15" t="n"/>
      <c r="E64" s="20" t="n"/>
      <c r="F64" s="16" t="n"/>
      <c r="G64" s="20" t="n"/>
      <c r="H64" s="20" t="n"/>
      <c r="I64" s="24">
        <f>IF(H64="","",IF(H64=0,"",G64/H64))</f>
        <v/>
      </c>
      <c r="J64" s="20" t="n"/>
    </row>
    <row r="65" ht="22" customHeight="1">
      <c r="B65" s="18">
        <f>IF(C65="","BPD-"&amp;TEXT(COUNTA($C$5:C65),"000"))</f>
        <v/>
      </c>
      <c r="C65" s="13" t="n"/>
      <c r="D65" s="13" t="n"/>
      <c r="E65" s="19" t="n"/>
      <c r="F65" s="14" t="n"/>
      <c r="G65" s="19" t="n"/>
      <c r="H65" s="19" t="n"/>
      <c r="I65" s="23">
        <f>IF(H65="","",IF(H65=0,"",G65/H65))</f>
        <v/>
      </c>
      <c r="J65" s="19" t="n"/>
    </row>
    <row r="66" ht="22" customHeight="1">
      <c r="B66" s="17">
        <f>IF(C66="","BPD-"&amp;TEXT(COUNTA($C$5:C66),"000"))</f>
        <v/>
      </c>
      <c r="C66" s="15" t="n"/>
      <c r="D66" s="15" t="n"/>
      <c r="E66" s="20" t="n"/>
      <c r="F66" s="16" t="n"/>
      <c r="G66" s="20" t="n"/>
      <c r="H66" s="20" t="n"/>
      <c r="I66" s="24">
        <f>IF(H66="","",IF(H66=0,"",G66/H66))</f>
        <v/>
      </c>
      <c r="J66" s="20" t="n"/>
    </row>
    <row r="67" ht="22" customHeight="1">
      <c r="B67" s="18">
        <f>IF(C67="","BPD-"&amp;TEXT(COUNTA($C$5:C67),"000"))</f>
        <v/>
      </c>
      <c r="C67" s="13" t="n"/>
      <c r="D67" s="13" t="n"/>
      <c r="E67" s="19" t="n"/>
      <c r="F67" s="14" t="n"/>
      <c r="G67" s="19" t="n"/>
      <c r="H67" s="19" t="n"/>
      <c r="I67" s="23">
        <f>IF(H67="","",IF(H67=0,"",G67/H67))</f>
        <v/>
      </c>
      <c r="J67" s="19" t="n"/>
    </row>
    <row r="68" ht="22" customHeight="1">
      <c r="B68" s="17">
        <f>IF(C68="","BPD-"&amp;TEXT(COUNTA($C$5:C68),"000"))</f>
        <v/>
      </c>
      <c r="C68" s="15" t="n"/>
      <c r="D68" s="15" t="n"/>
      <c r="E68" s="20" t="n"/>
      <c r="F68" s="16" t="n"/>
      <c r="G68" s="20" t="n"/>
      <c r="H68" s="20" t="n"/>
      <c r="I68" s="24">
        <f>IF(H68="","",IF(H68=0,"",G68/H68))</f>
        <v/>
      </c>
      <c r="J68" s="20" t="n"/>
    </row>
    <row r="69" ht="22" customHeight="1">
      <c r="B69" s="18">
        <f>IF(C69="","BPD-"&amp;TEXT(COUNTA($C$5:C69),"000"))</f>
        <v/>
      </c>
      <c r="C69" s="13" t="n"/>
      <c r="D69" s="13" t="n"/>
      <c r="E69" s="19" t="n"/>
      <c r="F69" s="14" t="n"/>
      <c r="G69" s="19" t="n"/>
      <c r="H69" s="19" t="n"/>
      <c r="I69" s="23">
        <f>IF(H69="","",IF(H69=0,"",G69/H69))</f>
        <v/>
      </c>
      <c r="J69" s="19" t="n"/>
    </row>
    <row r="70" ht="22" customHeight="1">
      <c r="B70" s="17">
        <f>IF(C70="","BPD-"&amp;TEXT(COUNTA($C$5:C70),"000"))</f>
        <v/>
      </c>
      <c r="C70" s="15" t="n"/>
      <c r="D70" s="15" t="n"/>
      <c r="E70" s="20" t="n"/>
      <c r="F70" s="16" t="n"/>
      <c r="G70" s="20" t="n"/>
      <c r="H70" s="20" t="n"/>
      <c r="I70" s="24">
        <f>IF(H70="","",IF(H70=0,"",G70/H70))</f>
        <v/>
      </c>
      <c r="J70" s="20" t="n"/>
    </row>
    <row r="71" ht="22" customHeight="1">
      <c r="B71" s="18">
        <f>IF(C71="","BPD-"&amp;TEXT(COUNTA($C$5:C71),"000"))</f>
        <v/>
      </c>
      <c r="C71" s="13" t="n"/>
      <c r="D71" s="13" t="n"/>
      <c r="E71" s="19" t="n"/>
      <c r="F71" s="14" t="n"/>
      <c r="G71" s="19" t="n"/>
      <c r="H71" s="19" t="n"/>
      <c r="I71" s="23">
        <f>IF(H71="","",IF(H71=0,"",G71/H71))</f>
        <v/>
      </c>
      <c r="J71" s="19" t="n"/>
    </row>
    <row r="72" ht="22" customHeight="1">
      <c r="B72" s="17">
        <f>IF(C72="","BPD-"&amp;TEXT(COUNTA($C$5:C72),"000"))</f>
        <v/>
      </c>
      <c r="C72" s="15" t="n"/>
      <c r="D72" s="15" t="n"/>
      <c r="E72" s="20" t="n"/>
      <c r="F72" s="16" t="n"/>
      <c r="G72" s="20" t="n"/>
      <c r="H72" s="20" t="n"/>
      <c r="I72" s="24">
        <f>IF(H72="","",IF(H72=0,"",G72/H72))</f>
        <v/>
      </c>
      <c r="J72" s="20" t="n"/>
    </row>
    <row r="73" ht="22" customHeight="1">
      <c r="B73" s="18">
        <f>IF(C73="","BPD-"&amp;TEXT(COUNTA($C$5:C73),"000"))</f>
        <v/>
      </c>
      <c r="C73" s="13" t="n"/>
      <c r="D73" s="13" t="n"/>
      <c r="E73" s="19" t="n"/>
      <c r="F73" s="14" t="n"/>
      <c r="G73" s="19" t="n"/>
      <c r="H73" s="19" t="n"/>
      <c r="I73" s="23">
        <f>IF(H73="","",IF(H73=0,"",G73/H73))</f>
        <v/>
      </c>
      <c r="J73" s="19" t="n"/>
    </row>
    <row r="74" ht="22" customHeight="1">
      <c r="B74" s="17">
        <f>IF(C74="","BPD-"&amp;TEXT(COUNTA($C$5:C74),"000"))</f>
        <v/>
      </c>
      <c r="C74" s="15" t="n"/>
      <c r="D74" s="15" t="n"/>
      <c r="E74" s="20" t="n"/>
      <c r="F74" s="16" t="n"/>
      <c r="G74" s="20" t="n"/>
      <c r="H74" s="20" t="n"/>
      <c r="I74" s="24">
        <f>IF(H74="","",IF(H74=0,"",G74/H74))</f>
        <v/>
      </c>
      <c r="J74" s="20" t="n"/>
    </row>
    <row r="75" ht="22" customHeight="1">
      <c r="B75" s="18">
        <f>IF(C75="","BPD-"&amp;TEXT(COUNTA($C$5:C75),"000"))</f>
        <v/>
      </c>
      <c r="C75" s="13" t="n"/>
      <c r="D75" s="13" t="n"/>
      <c r="E75" s="19" t="n"/>
      <c r="F75" s="14" t="n"/>
      <c r="G75" s="19" t="n"/>
      <c r="H75" s="19" t="n"/>
      <c r="I75" s="23">
        <f>IF(H75="","",IF(H75=0,"",G75/H75))</f>
        <v/>
      </c>
      <c r="J75" s="19" t="n"/>
    </row>
    <row r="76" ht="22" customHeight="1">
      <c r="B76" s="17">
        <f>IF(C76="","BPD-"&amp;TEXT(COUNTA($C$5:C76),"000"))</f>
        <v/>
      </c>
      <c r="C76" s="15" t="n"/>
      <c r="D76" s="15" t="n"/>
      <c r="E76" s="20" t="n"/>
      <c r="F76" s="16" t="n"/>
      <c r="G76" s="20" t="n"/>
      <c r="H76" s="20" t="n"/>
      <c r="I76" s="24">
        <f>IF(H76="","",IF(H76=0,"",G76/H76))</f>
        <v/>
      </c>
      <c r="J76" s="20" t="n"/>
    </row>
    <row r="77" ht="22" customHeight="1">
      <c r="B77" s="18">
        <f>IF(C77="","BPD-"&amp;TEXT(COUNTA($C$5:C77),"000"))</f>
        <v/>
      </c>
      <c r="C77" s="13" t="n"/>
      <c r="D77" s="13" t="n"/>
      <c r="E77" s="19" t="n"/>
      <c r="F77" s="14" t="n"/>
      <c r="G77" s="19" t="n"/>
      <c r="H77" s="19" t="n"/>
      <c r="I77" s="23">
        <f>IF(H77="","",IF(H77=0,"",G77/H77))</f>
        <v/>
      </c>
      <c r="J77" s="19" t="n"/>
    </row>
    <row r="78" ht="22" customHeight="1">
      <c r="B78" s="17">
        <f>IF(C78="","BPD-"&amp;TEXT(COUNTA($C$5:C78),"000"))</f>
        <v/>
      </c>
      <c r="C78" s="15" t="n"/>
      <c r="D78" s="15" t="n"/>
      <c r="E78" s="20" t="n"/>
      <c r="F78" s="16" t="n"/>
      <c r="G78" s="20" t="n"/>
      <c r="H78" s="20" t="n"/>
      <c r="I78" s="24">
        <f>IF(H78="","",IF(H78=0,"",G78/H78))</f>
        <v/>
      </c>
      <c r="J78" s="20" t="n"/>
    </row>
    <row r="79" ht="22" customHeight="1">
      <c r="B79" s="18">
        <f>IF(C79="","BPD-"&amp;TEXT(COUNTA($C$5:C79),"000"))</f>
        <v/>
      </c>
      <c r="C79" s="13" t="n"/>
      <c r="D79" s="13" t="n"/>
      <c r="E79" s="19" t="n"/>
      <c r="F79" s="14" t="n"/>
      <c r="G79" s="19" t="n"/>
      <c r="H79" s="19" t="n"/>
      <c r="I79" s="23">
        <f>IF(H79="","",IF(H79=0,"",G79/H79))</f>
        <v/>
      </c>
      <c r="J79" s="19" t="n"/>
    </row>
    <row r="80" ht="22" customHeight="1">
      <c r="B80" s="17">
        <f>IF(C80="","BPD-"&amp;TEXT(COUNTA($C$5:C80),"000"))</f>
        <v/>
      </c>
      <c r="C80" s="15" t="n"/>
      <c r="D80" s="15" t="n"/>
      <c r="E80" s="20" t="n"/>
      <c r="F80" s="16" t="n"/>
      <c r="G80" s="20" t="n"/>
      <c r="H80" s="20" t="n"/>
      <c r="I80" s="24">
        <f>IF(H80="","",IF(H80=0,"",G80/H80))</f>
        <v/>
      </c>
      <c r="J80" s="20" t="n"/>
    </row>
    <row r="81" ht="22" customHeight="1">
      <c r="B81" s="18">
        <f>IF(C81="","BPD-"&amp;TEXT(COUNTA($C$5:C81),"000"))</f>
        <v/>
      </c>
      <c r="C81" s="13" t="n"/>
      <c r="D81" s="13" t="n"/>
      <c r="E81" s="19" t="n"/>
      <c r="F81" s="14" t="n"/>
      <c r="G81" s="19" t="n"/>
      <c r="H81" s="19" t="n"/>
      <c r="I81" s="23">
        <f>IF(H81="","",IF(H81=0,"",G81/H81))</f>
        <v/>
      </c>
      <c r="J81" s="19" t="n"/>
    </row>
    <row r="82" ht="22" customHeight="1">
      <c r="B82" s="17">
        <f>IF(C82="","BPD-"&amp;TEXT(COUNTA($C$5:C82),"000"))</f>
        <v/>
      </c>
      <c r="C82" s="15" t="n"/>
      <c r="D82" s="15" t="n"/>
      <c r="E82" s="20" t="n"/>
      <c r="F82" s="16" t="n"/>
      <c r="G82" s="20" t="n"/>
      <c r="H82" s="20" t="n"/>
      <c r="I82" s="24">
        <f>IF(H82="","",IF(H82=0,"",G82/H82))</f>
        <v/>
      </c>
      <c r="J82" s="20" t="n"/>
    </row>
    <row r="83" ht="22" customHeight="1">
      <c r="B83" s="18">
        <f>IF(C83="","BPD-"&amp;TEXT(COUNTA($C$5:C83),"000"))</f>
        <v/>
      </c>
      <c r="C83" s="13" t="n"/>
      <c r="D83" s="13" t="n"/>
      <c r="E83" s="19" t="n"/>
      <c r="F83" s="14" t="n"/>
      <c r="G83" s="19" t="n"/>
      <c r="H83" s="19" t="n"/>
      <c r="I83" s="23">
        <f>IF(H83="","",IF(H83=0,"",G83/H83))</f>
        <v/>
      </c>
      <c r="J83" s="19" t="n"/>
    </row>
    <row r="84" ht="22" customHeight="1">
      <c r="B84" s="17">
        <f>IF(C84="","BPD-"&amp;TEXT(COUNTA($C$5:C84),"000"))</f>
        <v/>
      </c>
      <c r="C84" s="15" t="n"/>
      <c r="D84" s="15" t="n"/>
      <c r="E84" s="20" t="n"/>
      <c r="F84" s="16" t="n"/>
      <c r="G84" s="20" t="n"/>
      <c r="H84" s="20" t="n"/>
      <c r="I84" s="24">
        <f>IF(H84="","",IF(H84=0,"",G84/H84))</f>
        <v/>
      </c>
      <c r="J84" s="20" t="n"/>
    </row>
    <row r="85" ht="22" customHeight="1">
      <c r="B85" s="18">
        <f>IF(C85="","BPD-"&amp;TEXT(COUNTA($C$5:C85),"000"))</f>
        <v/>
      </c>
      <c r="C85" s="13" t="n"/>
      <c r="D85" s="13" t="n"/>
      <c r="E85" s="19" t="n"/>
      <c r="F85" s="14" t="n"/>
      <c r="G85" s="19" t="n"/>
      <c r="H85" s="19" t="n"/>
      <c r="I85" s="23">
        <f>IF(H85="","",IF(H85=0,"",G85/H85))</f>
        <v/>
      </c>
      <c r="J85" s="19" t="n"/>
    </row>
    <row r="86" ht="22" customHeight="1">
      <c r="B86" s="17">
        <f>IF(C86="","BPD-"&amp;TEXT(COUNTA($C$5:C86),"000"))</f>
        <v/>
      </c>
      <c r="C86" s="15" t="n"/>
      <c r="D86" s="15" t="n"/>
      <c r="E86" s="20" t="n"/>
      <c r="F86" s="16" t="n"/>
      <c r="G86" s="20" t="n"/>
      <c r="H86" s="20" t="n"/>
      <c r="I86" s="24">
        <f>IF(H86="","",IF(H86=0,"",G86/H86))</f>
        <v/>
      </c>
      <c r="J86" s="20" t="n"/>
    </row>
    <row r="87" ht="22" customHeight="1">
      <c r="B87" s="18">
        <f>IF(C87="","BPD-"&amp;TEXT(COUNTA($C$5:C87),"000"))</f>
        <v/>
      </c>
      <c r="C87" s="13" t="n"/>
      <c r="D87" s="13" t="n"/>
      <c r="E87" s="19" t="n"/>
      <c r="F87" s="14" t="n"/>
      <c r="G87" s="19" t="n"/>
      <c r="H87" s="19" t="n"/>
      <c r="I87" s="23">
        <f>IF(H87="","",IF(H87=0,"",G87/H87))</f>
        <v/>
      </c>
      <c r="J87" s="19" t="n"/>
    </row>
    <row r="88" ht="22" customHeight="1">
      <c r="B88" s="17">
        <f>IF(C88="","BPD-"&amp;TEXT(COUNTA($C$5:C88),"000"))</f>
        <v/>
      </c>
      <c r="C88" s="15" t="n"/>
      <c r="D88" s="15" t="n"/>
      <c r="E88" s="20" t="n"/>
      <c r="F88" s="16" t="n"/>
      <c r="G88" s="20" t="n"/>
      <c r="H88" s="20" t="n"/>
      <c r="I88" s="24">
        <f>IF(H88="","",IF(H88=0,"",G88/H88))</f>
        <v/>
      </c>
      <c r="J88" s="20" t="n"/>
    </row>
    <row r="89" ht="22" customHeight="1">
      <c r="B89" s="18">
        <f>IF(C89="","BPD-"&amp;TEXT(COUNTA($C$5:C89),"000"))</f>
        <v/>
      </c>
      <c r="C89" s="13" t="n"/>
      <c r="D89" s="13" t="n"/>
      <c r="E89" s="19" t="n"/>
      <c r="F89" s="14" t="n"/>
      <c r="G89" s="19" t="n"/>
      <c r="H89" s="19" t="n"/>
      <c r="I89" s="23">
        <f>IF(H89="","",IF(H89=0,"",G89/H89))</f>
        <v/>
      </c>
      <c r="J89" s="19" t="n"/>
    </row>
    <row r="90" ht="22" customHeight="1">
      <c r="B90" s="17">
        <f>IF(C90="","BPD-"&amp;TEXT(COUNTA($C$5:C90),"000"))</f>
        <v/>
      </c>
      <c r="C90" s="15" t="n"/>
      <c r="D90" s="15" t="n"/>
      <c r="E90" s="20" t="n"/>
      <c r="F90" s="16" t="n"/>
      <c r="G90" s="20" t="n"/>
      <c r="H90" s="20" t="n"/>
      <c r="I90" s="24">
        <f>IF(H90="","",IF(H90=0,"",G90/H90))</f>
        <v/>
      </c>
      <c r="J90" s="20" t="n"/>
    </row>
    <row r="91" ht="22" customHeight="1">
      <c r="B91" s="18">
        <f>IF(C91="","BPD-"&amp;TEXT(COUNTA($C$5:C91),"000"))</f>
        <v/>
      </c>
      <c r="C91" s="13" t="n"/>
      <c r="D91" s="13" t="n"/>
      <c r="E91" s="19" t="n"/>
      <c r="F91" s="14" t="n"/>
      <c r="G91" s="19" t="n"/>
      <c r="H91" s="19" t="n"/>
      <c r="I91" s="23">
        <f>IF(H91="","",IF(H91=0,"",G91/H91))</f>
        <v/>
      </c>
      <c r="J91" s="19" t="n"/>
    </row>
    <row r="92" ht="22" customHeight="1">
      <c r="B92" s="17">
        <f>IF(C92="","BPD-"&amp;TEXT(COUNTA($C$5:C92),"000"))</f>
        <v/>
      </c>
      <c r="C92" s="15" t="n"/>
      <c r="D92" s="15" t="n"/>
      <c r="E92" s="20" t="n"/>
      <c r="F92" s="16" t="n"/>
      <c r="G92" s="20" t="n"/>
      <c r="H92" s="20" t="n"/>
      <c r="I92" s="24">
        <f>IF(H92="","",IF(H92=0,"",G92/H92))</f>
        <v/>
      </c>
      <c r="J92" s="20" t="n"/>
    </row>
    <row r="93" ht="22" customHeight="1">
      <c r="B93" s="18">
        <f>IF(C93="","BPD-"&amp;TEXT(COUNTA($C$5:C93),"000"))</f>
        <v/>
      </c>
      <c r="C93" s="13" t="n"/>
      <c r="D93" s="13" t="n"/>
      <c r="E93" s="19" t="n"/>
      <c r="F93" s="14" t="n"/>
      <c r="G93" s="19" t="n"/>
      <c r="H93" s="19" t="n"/>
      <c r="I93" s="23">
        <f>IF(H93="","",IF(H93=0,"",G93/H93))</f>
        <v/>
      </c>
      <c r="J93" s="19" t="n"/>
    </row>
    <row r="94" ht="22" customHeight="1">
      <c r="B94" s="17">
        <f>IF(C94="","BPD-"&amp;TEXT(COUNTA($C$5:C94),"000"))</f>
        <v/>
      </c>
      <c r="C94" s="15" t="n"/>
      <c r="D94" s="15" t="n"/>
      <c r="E94" s="20" t="n"/>
      <c r="F94" s="16" t="n"/>
      <c r="G94" s="20" t="n"/>
      <c r="H94" s="20" t="n"/>
      <c r="I94" s="24">
        <f>IF(H94="","",IF(H94=0,"",G94/H94))</f>
        <v/>
      </c>
      <c r="J94" s="20" t="n"/>
    </row>
    <row r="95" ht="22" customHeight="1">
      <c r="B95" s="18">
        <f>IF(C95="","BPD-"&amp;TEXT(COUNTA($C$5:C95),"000"))</f>
        <v/>
      </c>
      <c r="C95" s="13" t="n"/>
      <c r="D95" s="13" t="n"/>
      <c r="E95" s="19" t="n"/>
      <c r="F95" s="14" t="n"/>
      <c r="G95" s="19" t="n"/>
      <c r="H95" s="19" t="n"/>
      <c r="I95" s="23">
        <f>IF(H95="","",IF(H95=0,"",G95/H95))</f>
        <v/>
      </c>
      <c r="J95" s="19" t="n"/>
    </row>
    <row r="96" ht="22" customHeight="1">
      <c r="B96" s="17">
        <f>IF(C96="","BPD-"&amp;TEXT(COUNTA($C$5:C96),"000"))</f>
        <v/>
      </c>
      <c r="C96" s="15" t="n"/>
      <c r="D96" s="15" t="n"/>
      <c r="E96" s="20" t="n"/>
      <c r="F96" s="16" t="n"/>
      <c r="G96" s="20" t="n"/>
      <c r="H96" s="20" t="n"/>
      <c r="I96" s="24">
        <f>IF(H96="","",IF(H96=0,"",G96/H96))</f>
        <v/>
      </c>
      <c r="J96" s="20" t="n"/>
    </row>
    <row r="97" ht="22" customHeight="1">
      <c r="B97" s="18">
        <f>IF(C97="","BPD-"&amp;TEXT(COUNTA($C$5:C97),"000"))</f>
        <v/>
      </c>
      <c r="C97" s="13" t="n"/>
      <c r="D97" s="13" t="n"/>
      <c r="E97" s="19" t="n"/>
      <c r="F97" s="14" t="n"/>
      <c r="G97" s="19" t="n"/>
      <c r="H97" s="19" t="n"/>
      <c r="I97" s="23">
        <f>IF(H97="","",IF(H97=0,"",G97/H97))</f>
        <v/>
      </c>
      <c r="J97" s="19" t="n"/>
    </row>
    <row r="98" ht="22" customHeight="1">
      <c r="B98" s="17">
        <f>IF(C98="","BPD-"&amp;TEXT(COUNTA($C$5:C98),"000"))</f>
        <v/>
      </c>
      <c r="C98" s="15" t="n"/>
      <c r="D98" s="15" t="n"/>
      <c r="E98" s="20" t="n"/>
      <c r="F98" s="16" t="n"/>
      <c r="G98" s="20" t="n"/>
      <c r="H98" s="20" t="n"/>
      <c r="I98" s="24">
        <f>IF(H98="","",IF(H98=0,"",G98/H98))</f>
        <v/>
      </c>
      <c r="J98" s="20" t="n"/>
    </row>
    <row r="99" ht="22" customHeight="1">
      <c r="B99" s="18">
        <f>IF(C99="","BPD-"&amp;TEXT(COUNTA($C$5:C99),"000"))</f>
        <v/>
      </c>
      <c r="C99" s="13" t="n"/>
      <c r="D99" s="13" t="n"/>
      <c r="E99" s="19" t="n"/>
      <c r="F99" s="14" t="n"/>
      <c r="G99" s="19" t="n"/>
      <c r="H99" s="19" t="n"/>
      <c r="I99" s="23">
        <f>IF(H99="","",IF(H99=0,"",G99/H99))</f>
        <v/>
      </c>
      <c r="J99" s="19" t="n"/>
    </row>
    <row r="100" ht="22" customHeight="1">
      <c r="B100" s="17">
        <f>IF(C100="","BPD-"&amp;TEXT(COUNTA($C$5:C100),"000"))</f>
        <v/>
      </c>
      <c r="C100" s="15" t="n"/>
      <c r="D100" s="15" t="n"/>
      <c r="E100" s="20" t="n"/>
      <c r="F100" s="16" t="n"/>
      <c r="G100" s="20" t="n"/>
      <c r="H100" s="20" t="n"/>
      <c r="I100" s="24">
        <f>IF(H100="","",IF(H100=0,"",G100/H100))</f>
        <v/>
      </c>
      <c r="J100" s="20" t="n"/>
    </row>
    <row r="101" ht="22" customHeight="1">
      <c r="B101" s="18">
        <f>IF(C101="","BPD-"&amp;TEXT(COUNTA($C$5:C101),"000"))</f>
        <v/>
      </c>
      <c r="C101" s="13" t="n"/>
      <c r="D101" s="13" t="n"/>
      <c r="E101" s="19" t="n"/>
      <c r="F101" s="14" t="n"/>
      <c r="G101" s="19" t="n"/>
      <c r="H101" s="19" t="n"/>
      <c r="I101" s="23">
        <f>IF(H101="","",IF(H101=0,"",G101/H101))</f>
        <v/>
      </c>
      <c r="J101" s="19" t="n"/>
    </row>
    <row r="102" ht="22" customHeight="1">
      <c r="B102" s="17">
        <f>IF(C102="","BPD-"&amp;TEXT(COUNTA($C$5:C102),"000"))</f>
        <v/>
      </c>
      <c r="C102" s="15" t="n"/>
      <c r="D102" s="15" t="n"/>
      <c r="E102" s="20" t="n"/>
      <c r="F102" s="16" t="n"/>
      <c r="G102" s="20" t="n"/>
      <c r="H102" s="20" t="n"/>
      <c r="I102" s="24">
        <f>IF(H102="","",IF(H102=0,"",G102/H102))</f>
        <v/>
      </c>
      <c r="J102" s="20" t="n"/>
    </row>
    <row r="103" ht="22" customHeight="1">
      <c r="B103" s="18">
        <f>IF(C103="","BPD-"&amp;TEXT(COUNTA($C$5:C103),"000"))</f>
        <v/>
      </c>
      <c r="C103" s="13" t="n"/>
      <c r="D103" s="13" t="n"/>
      <c r="E103" s="19" t="n"/>
      <c r="F103" s="14" t="n"/>
      <c r="G103" s="19" t="n"/>
      <c r="H103" s="19" t="n"/>
      <c r="I103" s="23">
        <f>IF(H103="","",IF(H103=0,"",G103/H103))</f>
        <v/>
      </c>
      <c r="J103" s="19" t="n"/>
    </row>
    <row r="104" ht="22" customHeight="1">
      <c r="B104" s="17">
        <f>IF(C104="","BPD-"&amp;TEXT(COUNTA($C$5:C104),"000"))</f>
        <v/>
      </c>
      <c r="C104" s="15" t="n"/>
      <c r="D104" s="15" t="n"/>
      <c r="E104" s="20" t="n"/>
      <c r="F104" s="16" t="n"/>
      <c r="G104" s="20" t="n"/>
      <c r="H104" s="20" t="n"/>
      <c r="I104" s="24">
        <f>IF(H104="","",IF(H104=0,"",G104/H104))</f>
        <v/>
      </c>
      <c r="J104" s="20" t="n"/>
    </row>
    <row r="105" ht="22" customHeight="1">
      <c r="B105" s="18">
        <f>IF(C105="","BPD-"&amp;TEXT(COUNTA($C$5:C105),"000"))</f>
        <v/>
      </c>
      <c r="C105" s="13" t="n"/>
      <c r="D105" s="13" t="n"/>
      <c r="E105" s="19" t="n"/>
      <c r="F105" s="14" t="n"/>
      <c r="G105" s="19" t="n"/>
      <c r="H105" s="19" t="n"/>
      <c r="I105" s="23">
        <f>IF(H105="","",IF(H105=0,"",G105/H105))</f>
        <v/>
      </c>
      <c r="J105" s="19" t="n"/>
    </row>
    <row r="106" ht="22" customHeight="1">
      <c r="B106" s="17">
        <f>IF(C106="","BPD-"&amp;TEXT(COUNTA($C$5:C106),"000"))</f>
        <v/>
      </c>
      <c r="C106" s="15" t="n"/>
      <c r="D106" s="15" t="n"/>
      <c r="E106" s="20" t="n"/>
      <c r="F106" s="16" t="n"/>
      <c r="G106" s="20" t="n"/>
      <c r="H106" s="20" t="n"/>
      <c r="I106" s="24">
        <f>IF(H106="","",IF(H106=0,"",G106/H106))</f>
        <v/>
      </c>
      <c r="J106" s="20" t="n"/>
    </row>
    <row r="107" ht="22" customHeight="1">
      <c r="B107" s="18">
        <f>IF(C107="","BPD-"&amp;TEXT(COUNTA($C$5:C107),"000"))</f>
        <v/>
      </c>
      <c r="C107" s="13" t="n"/>
      <c r="D107" s="13" t="n"/>
      <c r="E107" s="19" t="n"/>
      <c r="F107" s="14" t="n"/>
      <c r="G107" s="19" t="n"/>
      <c r="H107" s="19" t="n"/>
      <c r="I107" s="23">
        <f>IF(H107="","",IF(H107=0,"",G107/H107))</f>
        <v/>
      </c>
      <c r="J107" s="19" t="n"/>
    </row>
    <row r="108" ht="22" customHeight="1">
      <c r="B108" s="17">
        <f>IF(C108="","BPD-"&amp;TEXT(COUNTA($C$5:C108),"000"))</f>
        <v/>
      </c>
      <c r="C108" s="15" t="n"/>
      <c r="D108" s="15" t="n"/>
      <c r="E108" s="20" t="n"/>
      <c r="F108" s="16" t="n"/>
      <c r="G108" s="20" t="n"/>
      <c r="H108" s="20" t="n"/>
      <c r="I108" s="24">
        <f>IF(H108="","",IF(H108=0,"",G108/H108))</f>
        <v/>
      </c>
      <c r="J108" s="20" t="n"/>
    </row>
    <row r="109" ht="22" customHeight="1">
      <c r="B109" s="18">
        <f>IF(C109="","BPD-"&amp;TEXT(COUNTA($C$5:C109),"000"))</f>
        <v/>
      </c>
      <c r="C109" s="13" t="n"/>
      <c r="D109" s="13" t="n"/>
      <c r="E109" s="19" t="n"/>
      <c r="F109" s="14" t="n"/>
      <c r="G109" s="19" t="n"/>
      <c r="H109" s="19" t="n"/>
      <c r="I109" s="23">
        <f>IF(H109="","",IF(H109=0,"",G109/H109))</f>
        <v/>
      </c>
      <c r="J109" s="19" t="n"/>
    </row>
    <row r="110" ht="22" customHeight="1">
      <c r="B110" s="17">
        <f>IF(C110="","BPD-"&amp;TEXT(COUNTA($C$5:C110),"000"))</f>
        <v/>
      </c>
      <c r="C110" s="15" t="n"/>
      <c r="D110" s="15" t="n"/>
      <c r="E110" s="20" t="n"/>
      <c r="F110" s="16" t="n"/>
      <c r="G110" s="20" t="n"/>
      <c r="H110" s="20" t="n"/>
      <c r="I110" s="24">
        <f>IF(H110="","",IF(H110=0,"",G110/H110))</f>
        <v/>
      </c>
      <c r="J110" s="20" t="n"/>
    </row>
    <row r="111" ht="22" customHeight="1">
      <c r="B111" s="18">
        <f>IF(C111="","BPD-"&amp;TEXT(COUNTA($C$5:C111),"000"))</f>
        <v/>
      </c>
      <c r="C111" s="13" t="n"/>
      <c r="D111" s="13" t="n"/>
      <c r="E111" s="19" t="n"/>
      <c r="F111" s="14" t="n"/>
      <c r="G111" s="19" t="n"/>
      <c r="H111" s="19" t="n"/>
      <c r="I111" s="23">
        <f>IF(H111="","",IF(H111=0,"",G111/H111))</f>
        <v/>
      </c>
      <c r="J111" s="19" t="n"/>
    </row>
    <row r="112"/>
    <row r="113" ht="26" customHeight="1">
      <c r="B113" s="27" t="inlineStr">
        <is>
          <t>TOTAL</t>
        </is>
      </c>
      <c r="C113" s="28" t="n"/>
      <c r="D113" s="28" t="n"/>
      <c r="E113" s="29">
        <f>SUM(E5:E104)</f>
        <v/>
      </c>
      <c r="F113" s="28" t="n"/>
      <c r="G113" s="29">
        <f>SUM(G5:G104)</f>
        <v/>
      </c>
      <c r="H113" s="29">
        <f>SUM(H5:H104)</f>
        <v/>
      </c>
      <c r="I113" s="28" t="n"/>
      <c r="J113" s="29">
        <f>SUM(J5:J104)</f>
        <v/>
      </c>
    </row>
    <row r="114"/>
    <row r="115">
      <c r="B115" s="6" t="inlineStr">
        <is>
          <t>INDICATEURS (mis a jour automatiquement)</t>
        </is>
      </c>
    </row>
    <row r="116">
      <c r="B116" s="3" t="inlineStr">
        <is>
          <t>Services suivis</t>
        </is>
      </c>
      <c r="D116" s="3" t="inlineStr">
        <is>
          <t>Note moyenne hotel (/20)</t>
        </is>
      </c>
      <c r="F116" s="3" t="inlineStr">
        <is>
          <t>Taux atteinte moyen</t>
        </is>
      </c>
      <c r="H116" s="3" t="inlineStr">
        <is>
          <t>PAP totaux actifs</t>
        </is>
      </c>
    </row>
    <row r="117">
      <c r="B117" s="4">
        <f>COUNTIF(B5:B104,"&lt;&gt;")</f>
        <v/>
      </c>
      <c r="D117" s="4">
        <f>IFERROR(AVERAGE(F5:F104),0)</f>
        <v/>
      </c>
      <c r="F117" s="4">
        <f>IFERROR(AVERAGE(I5:I104),0)</f>
        <v/>
      </c>
      <c r="H117" s="4">
        <f>SUM(J5:J104)</f>
        <v/>
      </c>
    </row>
  </sheetData>
  <mergeCells count="3">
    <mergeCell ref="B3:J3"/>
    <mergeCell ref="B115:J115"/>
    <mergeCell ref="B2:J2"/>
  </mergeCells>
  <conditionalFormatting sqref="B12:B111">
    <cfRule type="expression" priority="1" dxfId="3">
      <formula>AND($C12="",$C11&lt;&gt;"")</formula>
    </cfRule>
  </conditionalFormatting>
  <conditionalFormatting sqref="C12:C111">
    <cfRule type="expression" priority="2" dxfId="3">
      <formula>AND($C12="",$C11&lt;&gt;"")</formula>
    </cfRule>
  </conditionalFormatting>
  <conditionalFormatting sqref="D12:D111">
    <cfRule type="expression" priority="3" dxfId="3">
      <formula>AND($C12="",$C11&lt;&gt;"")</formula>
    </cfRule>
  </conditionalFormatting>
  <conditionalFormatting sqref="E12:E111">
    <cfRule type="expression" priority="4" dxfId="3">
      <formula>AND($C12="",$C11&lt;&gt;"")</formula>
    </cfRule>
  </conditionalFormatting>
  <conditionalFormatting sqref="F12:F111">
    <cfRule type="expression" priority="5" dxfId="3">
      <formula>AND($C12="",$C11&lt;&gt;"")</formula>
    </cfRule>
  </conditionalFormatting>
  <conditionalFormatting sqref="G12:G111">
    <cfRule type="expression" priority="6" dxfId="3">
      <formula>AND($C12="",$C11&lt;&gt;"")</formula>
    </cfRule>
  </conditionalFormatting>
  <conditionalFormatting sqref="H12:H111">
    <cfRule type="expression" priority="7" dxfId="3">
      <formula>AND($C12="",$C11&lt;&gt;"")</formula>
    </cfRule>
  </conditionalFormatting>
  <conditionalFormatting sqref="I12:I111">
    <cfRule type="expression" priority="8" dxfId="3">
      <formula>AND($C12="",$C11&lt;&gt;"")</formula>
    </cfRule>
  </conditionalFormatting>
  <conditionalFormatting sqref="J12:J111">
    <cfRule type="expression" priority="9" dxfId="3">
      <formula>AND($C12="",$C11&lt;&gt;"")</formula>
    </cfRule>
  </conditionalFormatting>
  <dataValidations count="2">
    <dataValidation sqref="C5:C111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1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0" customWidth="1" min="6" max="6"/>
    <col width="20" customWidth="1" min="7" max="7"/>
    <col width="18" customWidth="1" min="8" max="8"/>
    <col width="16" customWidth="1" min="9" max="9"/>
    <col width="20" customWidth="1" min="10" max="10"/>
  </cols>
  <sheetData>
    <row r="1" ht="15" customHeight="1"/>
    <row r="2" ht="32" customHeight="1">
      <c r="B2" s="1" t="inlineStr">
        <is>
          <t>HISTORIQUE DES EVALUATIONS PAR EMPLOYE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Annee</t>
        </is>
      </c>
      <c r="G4" s="12" t="inlineStr">
        <is>
          <t>Note Annuelle (/20)</t>
        </is>
      </c>
      <c r="H4" s="12" t="inlineStr">
        <is>
          <t>Classement</t>
        </is>
      </c>
      <c r="I4" s="12" t="inlineStr">
        <is>
          <t>Evolution vs N-1</t>
        </is>
      </c>
      <c r="J4" s="12" t="inlineStr">
        <is>
          <t>Prime Obtenue (FCFA)</t>
        </is>
      </c>
    </row>
    <row r="5" ht="22" customHeight="1">
      <c r="B5" s="13" t="inlineStr">
        <is>
          <t>HE-001</t>
        </is>
      </c>
      <c r="C5" s="13" t="inlineStr">
        <is>
          <t>EMP-2025-001</t>
        </is>
      </c>
      <c r="D5" s="13" t="inlineStr">
        <is>
          <t>Nganou Clarisse</t>
        </is>
      </c>
      <c r="E5" s="13" t="inlineStr">
        <is>
          <t>Ressources Humaines</t>
        </is>
      </c>
      <c r="F5" s="13" t="inlineStr">
        <is>
          <t>2025</t>
        </is>
      </c>
      <c r="G5" s="14" t="n">
        <v>17</v>
      </c>
      <c r="H5" s="13" t="inlineStr">
        <is>
          <t>A - Excellent</t>
        </is>
      </c>
      <c r="I5" s="13" t="inlineStr">
        <is>
          <t>+1.2</t>
        </is>
      </c>
      <c r="J5" s="25" t="n">
        <v>42000</v>
      </c>
    </row>
    <row r="6" ht="22" customHeight="1">
      <c r="B6" s="15" t="inlineStr">
        <is>
          <t>HE-001</t>
        </is>
      </c>
      <c r="C6" s="15" t="inlineStr">
        <is>
          <t>EMP-2025-001</t>
        </is>
      </c>
      <c r="D6" s="15" t="inlineStr">
        <is>
          <t>Nganou Clarisse</t>
        </is>
      </c>
      <c r="E6" s="15" t="inlineStr">
        <is>
          <t>Ressources Humaines</t>
        </is>
      </c>
      <c r="F6" s="15" t="inlineStr">
        <is>
          <t>2024</t>
        </is>
      </c>
      <c r="G6" s="16" t="n">
        <v>15.8</v>
      </c>
      <c r="H6" s="15" t="inlineStr">
        <is>
          <t>B - Tres bon</t>
        </is>
      </c>
      <c r="I6" s="15" t="inlineStr">
        <is>
          <t>+0.8</t>
        </is>
      </c>
      <c r="J6" s="26" t="n">
        <v>35000</v>
      </c>
    </row>
    <row r="7" ht="22" customHeight="1">
      <c r="B7" s="13" t="inlineStr">
        <is>
          <t>HE-002</t>
        </is>
      </c>
      <c r="C7" s="13" t="inlineStr">
        <is>
          <t>EMP-2025-002</t>
        </is>
      </c>
      <c r="D7" s="13" t="inlineStr">
        <is>
          <t>Tchinda Armand</t>
        </is>
      </c>
      <c r="E7" s="13" t="inlineStr">
        <is>
          <t>Informatique</t>
        </is>
      </c>
      <c r="F7" s="13" t="inlineStr">
        <is>
          <t>2025</t>
        </is>
      </c>
      <c r="G7" s="14" t="n">
        <v>17.7</v>
      </c>
      <c r="H7" s="13" t="inlineStr">
        <is>
          <t>A - Excellent</t>
        </is>
      </c>
      <c r="I7" s="13" t="inlineStr">
        <is>
          <t>+1.0</t>
        </is>
      </c>
      <c r="J7" s="25" t="n">
        <v>37500</v>
      </c>
    </row>
    <row r="8" ht="22" customHeight="1">
      <c r="B8" s="15" t="inlineStr">
        <is>
          <t>HE-002</t>
        </is>
      </c>
      <c r="C8" s="15" t="inlineStr">
        <is>
          <t>EMP-2025-002</t>
        </is>
      </c>
      <c r="D8" s="15" t="inlineStr">
        <is>
          <t>Tchinda Armand</t>
        </is>
      </c>
      <c r="E8" s="15" t="inlineStr">
        <is>
          <t>Informatique</t>
        </is>
      </c>
      <c r="F8" s="15" t="inlineStr">
        <is>
          <t>2024</t>
        </is>
      </c>
      <c r="G8" s="16" t="n">
        <v>16.7</v>
      </c>
      <c r="H8" s="15" t="inlineStr">
        <is>
          <t>B - Tres bon</t>
        </is>
      </c>
      <c r="I8" s="15" t="inlineStr">
        <is>
          <t>+0.5</t>
        </is>
      </c>
      <c r="J8" s="26" t="n">
        <v>28000</v>
      </c>
    </row>
    <row r="9" ht="22" customHeight="1">
      <c r="B9" s="13" t="inlineStr">
        <is>
          <t>HE-003</t>
        </is>
      </c>
      <c r="C9" s="13" t="inlineStr">
        <is>
          <t>EMP-2025-020</t>
        </is>
      </c>
      <c r="D9" s="13" t="inlineStr">
        <is>
          <t>Tagne Rene</t>
        </is>
      </c>
      <c r="E9" s="13" t="inlineStr">
        <is>
          <t>Cuisine &amp; Restauration</t>
        </is>
      </c>
      <c r="F9" s="13" t="inlineStr">
        <is>
          <t>2025</t>
        </is>
      </c>
      <c r="G9" s="14" t="n">
        <v>13</v>
      </c>
      <c r="H9" s="13" t="inlineStr">
        <is>
          <t>D - Moyen</t>
        </is>
      </c>
      <c r="I9" s="13" t="inlineStr">
        <is>
          <t>-2.0</t>
        </is>
      </c>
      <c r="J9" s="25" t="n">
        <v>0</v>
      </c>
    </row>
    <row r="10" ht="22" customHeight="1">
      <c r="B10" s="17">
        <f>IF(C10="","HE-"&amp;TEXT(COUNTA($C$5:C10),"000"))</f>
        <v/>
      </c>
      <c r="C10" s="15" t="n"/>
      <c r="D10" s="15" t="n"/>
      <c r="E10" s="15" t="n"/>
      <c r="F10" s="15" t="n"/>
      <c r="G10" s="16" t="n"/>
      <c r="H10" s="15" t="n"/>
      <c r="I10" s="15" t="n"/>
      <c r="J10" s="26" t="n"/>
    </row>
    <row r="11" ht="22" customHeight="1">
      <c r="B11" s="18">
        <f>IF(C11="","HE-"&amp;TEXT(COUNTA($C$5:C11),"000"))</f>
        <v/>
      </c>
      <c r="C11" s="13" t="n"/>
      <c r="D11" s="13" t="n"/>
      <c r="E11" s="13" t="n"/>
      <c r="F11" s="13" t="n"/>
      <c r="G11" s="14" t="n"/>
      <c r="H11" s="13" t="n"/>
      <c r="I11" s="13" t="n"/>
      <c r="J11" s="25" t="n"/>
    </row>
    <row r="12" ht="22" customHeight="1">
      <c r="B12" s="17">
        <f>IF(C12="","HE-"&amp;TEXT(COUNTA($C$5:C12),"000"))</f>
        <v/>
      </c>
      <c r="C12" s="15" t="n"/>
      <c r="D12" s="15" t="n"/>
      <c r="E12" s="15" t="n"/>
      <c r="F12" s="15" t="n"/>
      <c r="G12" s="16" t="n"/>
      <c r="H12" s="15" t="n"/>
      <c r="I12" s="15" t="n"/>
      <c r="J12" s="26" t="n"/>
    </row>
    <row r="13" ht="22" customHeight="1">
      <c r="B13" s="18">
        <f>IF(C13="","HE-"&amp;TEXT(COUNTA($C$5:C13),"000"))</f>
        <v/>
      </c>
      <c r="C13" s="13" t="n"/>
      <c r="D13" s="13" t="n"/>
      <c r="E13" s="13" t="n"/>
      <c r="F13" s="13" t="n"/>
      <c r="G13" s="14" t="n"/>
      <c r="H13" s="13" t="n"/>
      <c r="I13" s="13" t="n"/>
      <c r="J13" s="25" t="n"/>
    </row>
    <row r="14" ht="22" customHeight="1">
      <c r="B14" s="17">
        <f>IF(C14="","HE-"&amp;TEXT(COUNTA($C$5:C14),"000"))</f>
        <v/>
      </c>
      <c r="C14" s="15" t="n"/>
      <c r="D14" s="15" t="n"/>
      <c r="E14" s="15" t="n"/>
      <c r="F14" s="15" t="n"/>
      <c r="G14" s="16" t="n"/>
      <c r="H14" s="15" t="n"/>
      <c r="I14" s="15" t="n"/>
      <c r="J14" s="26" t="n"/>
    </row>
    <row r="15" ht="22" customHeight="1">
      <c r="B15" s="18">
        <f>IF(C15="","HE-"&amp;TEXT(COUNTA($C$5:C15),"000"))</f>
        <v/>
      </c>
      <c r="C15" s="13" t="n"/>
      <c r="D15" s="13" t="n"/>
      <c r="E15" s="13" t="n"/>
      <c r="F15" s="13" t="n"/>
      <c r="G15" s="14" t="n"/>
      <c r="H15" s="13" t="n"/>
      <c r="I15" s="13" t="n"/>
      <c r="J15" s="25" t="n"/>
    </row>
    <row r="16" ht="22" customHeight="1">
      <c r="B16" s="17">
        <f>IF(C16="","HE-"&amp;TEXT(COUNTA($C$5:C16),"000"))</f>
        <v/>
      </c>
      <c r="C16" s="15" t="n"/>
      <c r="D16" s="15" t="n"/>
      <c r="E16" s="15" t="n"/>
      <c r="F16" s="15" t="n"/>
      <c r="G16" s="16" t="n"/>
      <c r="H16" s="15" t="n"/>
      <c r="I16" s="15" t="n"/>
      <c r="J16" s="26" t="n"/>
    </row>
    <row r="17" ht="22" customHeight="1">
      <c r="B17" s="18">
        <f>IF(C17="","HE-"&amp;TEXT(COUNTA($C$5:C17),"000"))</f>
        <v/>
      </c>
      <c r="C17" s="13" t="n"/>
      <c r="D17" s="13" t="n"/>
      <c r="E17" s="13" t="n"/>
      <c r="F17" s="13" t="n"/>
      <c r="G17" s="14" t="n"/>
      <c r="H17" s="13" t="n"/>
      <c r="I17" s="13" t="n"/>
      <c r="J17" s="25" t="n"/>
    </row>
    <row r="18" ht="22" customHeight="1">
      <c r="B18" s="17">
        <f>IF(C18="","HE-"&amp;TEXT(COUNTA($C$5:C18),"000"))</f>
        <v/>
      </c>
      <c r="C18" s="15" t="n"/>
      <c r="D18" s="15" t="n"/>
      <c r="E18" s="15" t="n"/>
      <c r="F18" s="15" t="n"/>
      <c r="G18" s="16" t="n"/>
      <c r="H18" s="15" t="n"/>
      <c r="I18" s="15" t="n"/>
      <c r="J18" s="26" t="n"/>
    </row>
    <row r="19" ht="22" customHeight="1">
      <c r="B19" s="18">
        <f>IF(C19="","HE-"&amp;TEXT(COUNTA($C$5:C19),"000"))</f>
        <v/>
      </c>
      <c r="C19" s="13" t="n"/>
      <c r="D19" s="13" t="n"/>
      <c r="E19" s="13" t="n"/>
      <c r="F19" s="13" t="n"/>
      <c r="G19" s="14" t="n"/>
      <c r="H19" s="13" t="n"/>
      <c r="I19" s="13" t="n"/>
      <c r="J19" s="25" t="n"/>
    </row>
    <row r="20" ht="22" customHeight="1">
      <c r="B20" s="17">
        <f>IF(C20="","HE-"&amp;TEXT(COUNTA($C$5:C20),"000"))</f>
        <v/>
      </c>
      <c r="C20" s="15" t="n"/>
      <c r="D20" s="15" t="n"/>
      <c r="E20" s="15" t="n"/>
      <c r="F20" s="15" t="n"/>
      <c r="G20" s="16" t="n"/>
      <c r="H20" s="15" t="n"/>
      <c r="I20" s="15" t="n"/>
      <c r="J20" s="26" t="n"/>
    </row>
    <row r="21" ht="22" customHeight="1">
      <c r="B21" s="18">
        <f>IF(C21="","HE-"&amp;TEXT(COUNTA($C$5:C21),"000"))</f>
        <v/>
      </c>
      <c r="C21" s="13" t="n"/>
      <c r="D21" s="13" t="n"/>
      <c r="E21" s="13" t="n"/>
      <c r="F21" s="13" t="n"/>
      <c r="G21" s="14" t="n"/>
      <c r="H21" s="13" t="n"/>
      <c r="I21" s="13" t="n"/>
      <c r="J21" s="25" t="n"/>
    </row>
    <row r="22" ht="22" customHeight="1">
      <c r="B22" s="17">
        <f>IF(C22="","HE-"&amp;TEXT(COUNTA($C$5:C22),"000"))</f>
        <v/>
      </c>
      <c r="C22" s="15" t="n"/>
      <c r="D22" s="15" t="n"/>
      <c r="E22" s="15" t="n"/>
      <c r="F22" s="15" t="n"/>
      <c r="G22" s="16" t="n"/>
      <c r="H22" s="15" t="n"/>
      <c r="I22" s="15" t="n"/>
      <c r="J22" s="26" t="n"/>
    </row>
    <row r="23" ht="22" customHeight="1">
      <c r="B23" s="18">
        <f>IF(C23="","HE-"&amp;TEXT(COUNTA($C$5:C23),"000"))</f>
        <v/>
      </c>
      <c r="C23" s="13" t="n"/>
      <c r="D23" s="13" t="n"/>
      <c r="E23" s="13" t="n"/>
      <c r="F23" s="13" t="n"/>
      <c r="G23" s="14" t="n"/>
      <c r="H23" s="13" t="n"/>
      <c r="I23" s="13" t="n"/>
      <c r="J23" s="25" t="n"/>
    </row>
    <row r="24" ht="22" customHeight="1">
      <c r="B24" s="17">
        <f>IF(C24="","HE-"&amp;TEXT(COUNTA($C$5:C24),"000"))</f>
        <v/>
      </c>
      <c r="C24" s="15" t="n"/>
      <c r="D24" s="15" t="n"/>
      <c r="E24" s="15" t="n"/>
      <c r="F24" s="15" t="n"/>
      <c r="G24" s="16" t="n"/>
      <c r="H24" s="15" t="n"/>
      <c r="I24" s="15" t="n"/>
      <c r="J24" s="26" t="n"/>
    </row>
    <row r="25" ht="22" customHeight="1">
      <c r="B25" s="18">
        <f>IF(C25="","HE-"&amp;TEXT(COUNTA($C$5:C25),"000"))</f>
        <v/>
      </c>
      <c r="C25" s="13" t="n"/>
      <c r="D25" s="13" t="n"/>
      <c r="E25" s="13" t="n"/>
      <c r="F25" s="13" t="n"/>
      <c r="G25" s="14" t="n"/>
      <c r="H25" s="13" t="n"/>
      <c r="I25" s="13" t="n"/>
      <c r="J25" s="25" t="n"/>
    </row>
    <row r="26" ht="22" customHeight="1">
      <c r="B26" s="17">
        <f>IF(C26="","HE-"&amp;TEXT(COUNTA($C$5:C26),"000"))</f>
        <v/>
      </c>
      <c r="C26" s="15" t="n"/>
      <c r="D26" s="15" t="n"/>
      <c r="E26" s="15" t="n"/>
      <c r="F26" s="15" t="n"/>
      <c r="G26" s="16" t="n"/>
      <c r="H26" s="15" t="n"/>
      <c r="I26" s="15" t="n"/>
      <c r="J26" s="26" t="n"/>
    </row>
    <row r="27" ht="22" customHeight="1">
      <c r="B27" s="18">
        <f>IF(C27="","HE-"&amp;TEXT(COUNTA($C$5:C27),"000"))</f>
        <v/>
      </c>
      <c r="C27" s="13" t="n"/>
      <c r="D27" s="13" t="n"/>
      <c r="E27" s="13" t="n"/>
      <c r="F27" s="13" t="n"/>
      <c r="G27" s="14" t="n"/>
      <c r="H27" s="13" t="n"/>
      <c r="I27" s="13" t="n"/>
      <c r="J27" s="25" t="n"/>
    </row>
    <row r="28" ht="22" customHeight="1">
      <c r="B28" s="17">
        <f>IF(C28="","HE-"&amp;TEXT(COUNTA($C$5:C28),"000"))</f>
        <v/>
      </c>
      <c r="C28" s="15" t="n"/>
      <c r="D28" s="15" t="n"/>
      <c r="E28" s="15" t="n"/>
      <c r="F28" s="15" t="n"/>
      <c r="G28" s="16" t="n"/>
      <c r="H28" s="15" t="n"/>
      <c r="I28" s="15" t="n"/>
      <c r="J28" s="26" t="n"/>
    </row>
    <row r="29" ht="22" customHeight="1">
      <c r="B29" s="18">
        <f>IF(C29="","HE-"&amp;TEXT(COUNTA($C$5:C29),"000"))</f>
        <v/>
      </c>
      <c r="C29" s="13" t="n"/>
      <c r="D29" s="13" t="n"/>
      <c r="E29" s="13" t="n"/>
      <c r="F29" s="13" t="n"/>
      <c r="G29" s="14" t="n"/>
      <c r="H29" s="13" t="n"/>
      <c r="I29" s="13" t="n"/>
      <c r="J29" s="25" t="n"/>
    </row>
    <row r="30" ht="22" customHeight="1">
      <c r="B30" s="17">
        <f>IF(C30="","HE-"&amp;TEXT(COUNTA($C$5:C30),"000"))</f>
        <v/>
      </c>
      <c r="C30" s="15" t="n"/>
      <c r="D30" s="15" t="n"/>
      <c r="E30" s="15" t="n"/>
      <c r="F30" s="15" t="n"/>
      <c r="G30" s="16" t="n"/>
      <c r="H30" s="15" t="n"/>
      <c r="I30" s="15" t="n"/>
      <c r="J30" s="26" t="n"/>
    </row>
    <row r="31" ht="22" customHeight="1">
      <c r="B31" s="18">
        <f>IF(C31="","HE-"&amp;TEXT(COUNTA($C$5:C31),"000"))</f>
        <v/>
      </c>
      <c r="C31" s="13" t="n"/>
      <c r="D31" s="13" t="n"/>
      <c r="E31" s="13" t="n"/>
      <c r="F31" s="13" t="n"/>
      <c r="G31" s="14" t="n"/>
      <c r="H31" s="13" t="n"/>
      <c r="I31" s="13" t="n"/>
      <c r="J31" s="25" t="n"/>
    </row>
    <row r="32" ht="22" customHeight="1">
      <c r="B32" s="17">
        <f>IF(C32="","HE-"&amp;TEXT(COUNTA($C$5:C32),"000"))</f>
        <v/>
      </c>
      <c r="C32" s="15" t="n"/>
      <c r="D32" s="15" t="n"/>
      <c r="E32" s="15" t="n"/>
      <c r="F32" s="15" t="n"/>
      <c r="G32" s="16" t="n"/>
      <c r="H32" s="15" t="n"/>
      <c r="I32" s="15" t="n"/>
      <c r="J32" s="26" t="n"/>
    </row>
    <row r="33" ht="22" customHeight="1">
      <c r="B33" s="18">
        <f>IF(C33="","HE-"&amp;TEXT(COUNTA($C$5:C33),"000"))</f>
        <v/>
      </c>
      <c r="C33" s="13" t="n"/>
      <c r="D33" s="13" t="n"/>
      <c r="E33" s="13" t="n"/>
      <c r="F33" s="13" t="n"/>
      <c r="G33" s="14" t="n"/>
      <c r="H33" s="13" t="n"/>
      <c r="I33" s="13" t="n"/>
      <c r="J33" s="25" t="n"/>
    </row>
    <row r="34" ht="22" customHeight="1">
      <c r="B34" s="17">
        <f>IF(C34="","HE-"&amp;TEXT(COUNTA($C$5:C34),"000"))</f>
        <v/>
      </c>
      <c r="C34" s="15" t="n"/>
      <c r="D34" s="15" t="n"/>
      <c r="E34" s="15" t="n"/>
      <c r="F34" s="15" t="n"/>
      <c r="G34" s="16" t="n"/>
      <c r="H34" s="15" t="n"/>
      <c r="I34" s="15" t="n"/>
      <c r="J34" s="26" t="n"/>
    </row>
    <row r="35" ht="22" customHeight="1">
      <c r="B35" s="18">
        <f>IF(C35="","HE-"&amp;TEXT(COUNTA($C$5:C35),"000"))</f>
        <v/>
      </c>
      <c r="C35" s="13" t="n"/>
      <c r="D35" s="13" t="n"/>
      <c r="E35" s="13" t="n"/>
      <c r="F35" s="13" t="n"/>
      <c r="G35" s="14" t="n"/>
      <c r="H35" s="13" t="n"/>
      <c r="I35" s="13" t="n"/>
      <c r="J35" s="25" t="n"/>
    </row>
    <row r="36" ht="22" customHeight="1">
      <c r="B36" s="17">
        <f>IF(C36="","HE-"&amp;TEXT(COUNTA($C$5:C36),"000"))</f>
        <v/>
      </c>
      <c r="C36" s="15" t="n"/>
      <c r="D36" s="15" t="n"/>
      <c r="E36" s="15" t="n"/>
      <c r="F36" s="15" t="n"/>
      <c r="G36" s="16" t="n"/>
      <c r="H36" s="15" t="n"/>
      <c r="I36" s="15" t="n"/>
      <c r="J36" s="26" t="n"/>
    </row>
    <row r="37" ht="22" customHeight="1">
      <c r="B37" s="18">
        <f>IF(C37="","HE-"&amp;TEXT(COUNTA($C$5:C37),"000"))</f>
        <v/>
      </c>
      <c r="C37" s="13" t="n"/>
      <c r="D37" s="13" t="n"/>
      <c r="E37" s="13" t="n"/>
      <c r="F37" s="13" t="n"/>
      <c r="G37" s="14" t="n"/>
      <c r="H37" s="13" t="n"/>
      <c r="I37" s="13" t="n"/>
      <c r="J37" s="25" t="n"/>
    </row>
    <row r="38" ht="22" customHeight="1">
      <c r="B38" s="17">
        <f>IF(C38="","HE-"&amp;TEXT(COUNTA($C$5:C38),"000"))</f>
        <v/>
      </c>
      <c r="C38" s="15" t="n"/>
      <c r="D38" s="15" t="n"/>
      <c r="E38" s="15" t="n"/>
      <c r="F38" s="15" t="n"/>
      <c r="G38" s="16" t="n"/>
      <c r="H38" s="15" t="n"/>
      <c r="I38" s="15" t="n"/>
      <c r="J38" s="26" t="n"/>
    </row>
    <row r="39" ht="22" customHeight="1">
      <c r="B39" s="18">
        <f>IF(C39="","HE-"&amp;TEXT(COUNTA($C$5:C39),"000"))</f>
        <v/>
      </c>
      <c r="C39" s="13" t="n"/>
      <c r="D39" s="13" t="n"/>
      <c r="E39" s="13" t="n"/>
      <c r="F39" s="13" t="n"/>
      <c r="G39" s="14" t="n"/>
      <c r="H39" s="13" t="n"/>
      <c r="I39" s="13" t="n"/>
      <c r="J39" s="25" t="n"/>
    </row>
    <row r="40" ht="22" customHeight="1">
      <c r="B40" s="17">
        <f>IF(C40="","HE-"&amp;TEXT(COUNTA($C$5:C40),"000"))</f>
        <v/>
      </c>
      <c r="C40" s="15" t="n"/>
      <c r="D40" s="15" t="n"/>
      <c r="E40" s="15" t="n"/>
      <c r="F40" s="15" t="n"/>
      <c r="G40" s="16" t="n"/>
      <c r="H40" s="15" t="n"/>
      <c r="I40" s="15" t="n"/>
      <c r="J40" s="26" t="n"/>
    </row>
    <row r="41" ht="22" customHeight="1">
      <c r="B41" s="18">
        <f>IF(C41="","HE-"&amp;TEXT(COUNTA($C$5:C41),"000"))</f>
        <v/>
      </c>
      <c r="C41" s="13" t="n"/>
      <c r="D41" s="13" t="n"/>
      <c r="E41" s="13" t="n"/>
      <c r="F41" s="13" t="n"/>
      <c r="G41" s="14" t="n"/>
      <c r="H41" s="13" t="n"/>
      <c r="I41" s="13" t="n"/>
      <c r="J41" s="25" t="n"/>
    </row>
    <row r="42" ht="22" customHeight="1">
      <c r="B42" s="17">
        <f>IF(C42="","HE-"&amp;TEXT(COUNTA($C$5:C42),"000"))</f>
        <v/>
      </c>
      <c r="C42" s="15" t="n"/>
      <c r="D42" s="15" t="n"/>
      <c r="E42" s="15" t="n"/>
      <c r="F42" s="15" t="n"/>
      <c r="G42" s="16" t="n"/>
      <c r="H42" s="15" t="n"/>
      <c r="I42" s="15" t="n"/>
      <c r="J42" s="26" t="n"/>
    </row>
    <row r="43" ht="22" customHeight="1">
      <c r="B43" s="18">
        <f>IF(C43="","HE-"&amp;TEXT(COUNTA($C$5:C43),"000"))</f>
        <v/>
      </c>
      <c r="C43" s="13" t="n"/>
      <c r="D43" s="13" t="n"/>
      <c r="E43" s="13" t="n"/>
      <c r="F43" s="13" t="n"/>
      <c r="G43" s="14" t="n"/>
      <c r="H43" s="13" t="n"/>
      <c r="I43" s="13" t="n"/>
      <c r="J43" s="25" t="n"/>
    </row>
    <row r="44" ht="22" customHeight="1">
      <c r="B44" s="17">
        <f>IF(C44="","HE-"&amp;TEXT(COUNTA($C$5:C44),"000"))</f>
        <v/>
      </c>
      <c r="C44" s="15" t="n"/>
      <c r="D44" s="15" t="n"/>
      <c r="E44" s="15" t="n"/>
      <c r="F44" s="15" t="n"/>
      <c r="G44" s="16" t="n"/>
      <c r="H44" s="15" t="n"/>
      <c r="I44" s="15" t="n"/>
      <c r="J44" s="26" t="n"/>
    </row>
    <row r="45" ht="22" customHeight="1">
      <c r="B45" s="18">
        <f>IF(C45="","HE-"&amp;TEXT(COUNTA($C$5:C45),"000"))</f>
        <v/>
      </c>
      <c r="C45" s="13" t="n"/>
      <c r="D45" s="13" t="n"/>
      <c r="E45" s="13" t="n"/>
      <c r="F45" s="13" t="n"/>
      <c r="G45" s="14" t="n"/>
      <c r="H45" s="13" t="n"/>
      <c r="I45" s="13" t="n"/>
      <c r="J45" s="25" t="n"/>
    </row>
    <row r="46" ht="22" customHeight="1">
      <c r="B46" s="17">
        <f>IF(C46="","HE-"&amp;TEXT(COUNTA($C$5:C46),"000"))</f>
        <v/>
      </c>
      <c r="C46" s="15" t="n"/>
      <c r="D46" s="15" t="n"/>
      <c r="E46" s="15" t="n"/>
      <c r="F46" s="15" t="n"/>
      <c r="G46" s="16" t="n"/>
      <c r="H46" s="15" t="n"/>
      <c r="I46" s="15" t="n"/>
      <c r="J46" s="26" t="n"/>
    </row>
    <row r="47" ht="22" customHeight="1">
      <c r="B47" s="18">
        <f>IF(C47="","HE-"&amp;TEXT(COUNTA($C$5:C47),"000"))</f>
        <v/>
      </c>
      <c r="C47" s="13" t="n"/>
      <c r="D47" s="13" t="n"/>
      <c r="E47" s="13" t="n"/>
      <c r="F47" s="13" t="n"/>
      <c r="G47" s="14" t="n"/>
      <c r="H47" s="13" t="n"/>
      <c r="I47" s="13" t="n"/>
      <c r="J47" s="25" t="n"/>
    </row>
    <row r="48" ht="22" customHeight="1">
      <c r="B48" s="17">
        <f>IF(C48="","HE-"&amp;TEXT(COUNTA($C$5:C48),"000"))</f>
        <v/>
      </c>
      <c r="C48" s="15" t="n"/>
      <c r="D48" s="15" t="n"/>
      <c r="E48" s="15" t="n"/>
      <c r="F48" s="15" t="n"/>
      <c r="G48" s="16" t="n"/>
      <c r="H48" s="15" t="n"/>
      <c r="I48" s="15" t="n"/>
      <c r="J48" s="26" t="n"/>
    </row>
    <row r="49" ht="22" customHeight="1">
      <c r="B49" s="18">
        <f>IF(C49="","HE-"&amp;TEXT(COUNTA($C$5:C49),"000"))</f>
        <v/>
      </c>
      <c r="C49" s="13" t="n"/>
      <c r="D49" s="13" t="n"/>
      <c r="E49" s="13" t="n"/>
      <c r="F49" s="13" t="n"/>
      <c r="G49" s="14" t="n"/>
      <c r="H49" s="13" t="n"/>
      <c r="I49" s="13" t="n"/>
      <c r="J49" s="25" t="n"/>
    </row>
    <row r="50" ht="22" customHeight="1">
      <c r="B50" s="17">
        <f>IF(C50="","HE-"&amp;TEXT(COUNTA($C$5:C50),"000"))</f>
        <v/>
      </c>
      <c r="C50" s="15" t="n"/>
      <c r="D50" s="15" t="n"/>
      <c r="E50" s="15" t="n"/>
      <c r="F50" s="15" t="n"/>
      <c r="G50" s="16" t="n"/>
      <c r="H50" s="15" t="n"/>
      <c r="I50" s="15" t="n"/>
      <c r="J50" s="26" t="n"/>
    </row>
    <row r="51" ht="22" customHeight="1">
      <c r="B51" s="18">
        <f>IF(C51="","HE-"&amp;TEXT(COUNTA($C$5:C51),"000"))</f>
        <v/>
      </c>
      <c r="C51" s="13" t="n"/>
      <c r="D51" s="13" t="n"/>
      <c r="E51" s="13" t="n"/>
      <c r="F51" s="13" t="n"/>
      <c r="G51" s="14" t="n"/>
      <c r="H51" s="13" t="n"/>
      <c r="I51" s="13" t="n"/>
      <c r="J51" s="25" t="n"/>
    </row>
    <row r="52" ht="22" customHeight="1">
      <c r="B52" s="17">
        <f>IF(C52="","HE-"&amp;TEXT(COUNTA($C$5:C52),"000"))</f>
        <v/>
      </c>
      <c r="C52" s="15" t="n"/>
      <c r="D52" s="15" t="n"/>
      <c r="E52" s="15" t="n"/>
      <c r="F52" s="15" t="n"/>
      <c r="G52" s="16" t="n"/>
      <c r="H52" s="15" t="n"/>
      <c r="I52" s="15" t="n"/>
      <c r="J52" s="26" t="n"/>
    </row>
    <row r="53" ht="22" customHeight="1">
      <c r="B53" s="18">
        <f>IF(C53="","HE-"&amp;TEXT(COUNTA($C$5:C53),"000"))</f>
        <v/>
      </c>
      <c r="C53" s="13" t="n"/>
      <c r="D53" s="13" t="n"/>
      <c r="E53" s="13" t="n"/>
      <c r="F53" s="13" t="n"/>
      <c r="G53" s="14" t="n"/>
      <c r="H53" s="13" t="n"/>
      <c r="I53" s="13" t="n"/>
      <c r="J53" s="25" t="n"/>
    </row>
    <row r="54" ht="22" customHeight="1">
      <c r="B54" s="17">
        <f>IF(C54="","HE-"&amp;TEXT(COUNTA($C$5:C54),"000"))</f>
        <v/>
      </c>
      <c r="C54" s="15" t="n"/>
      <c r="D54" s="15" t="n"/>
      <c r="E54" s="15" t="n"/>
      <c r="F54" s="15" t="n"/>
      <c r="G54" s="16" t="n"/>
      <c r="H54" s="15" t="n"/>
      <c r="I54" s="15" t="n"/>
      <c r="J54" s="26" t="n"/>
    </row>
    <row r="55" ht="22" customHeight="1">
      <c r="B55" s="18">
        <f>IF(C55="","HE-"&amp;TEXT(COUNTA($C$5:C55),"000"))</f>
        <v/>
      </c>
      <c r="C55" s="13" t="n"/>
      <c r="D55" s="13" t="n"/>
      <c r="E55" s="13" t="n"/>
      <c r="F55" s="13" t="n"/>
      <c r="G55" s="14" t="n"/>
      <c r="H55" s="13" t="n"/>
      <c r="I55" s="13" t="n"/>
      <c r="J55" s="25" t="n"/>
    </row>
    <row r="56" ht="22" customHeight="1">
      <c r="B56" s="17">
        <f>IF(C56="","HE-"&amp;TEXT(COUNTA($C$5:C56),"000"))</f>
        <v/>
      </c>
      <c r="C56" s="15" t="n"/>
      <c r="D56" s="15" t="n"/>
      <c r="E56" s="15" t="n"/>
      <c r="F56" s="15" t="n"/>
      <c r="G56" s="16" t="n"/>
      <c r="H56" s="15" t="n"/>
      <c r="I56" s="15" t="n"/>
      <c r="J56" s="26" t="n"/>
    </row>
    <row r="57" ht="22" customHeight="1">
      <c r="B57" s="18">
        <f>IF(C57="","HE-"&amp;TEXT(COUNTA($C$5:C57),"000"))</f>
        <v/>
      </c>
      <c r="C57" s="13" t="n"/>
      <c r="D57" s="13" t="n"/>
      <c r="E57" s="13" t="n"/>
      <c r="F57" s="13" t="n"/>
      <c r="G57" s="14" t="n"/>
      <c r="H57" s="13" t="n"/>
      <c r="I57" s="13" t="n"/>
      <c r="J57" s="25" t="n"/>
    </row>
    <row r="58" ht="22" customHeight="1">
      <c r="B58" s="17">
        <f>IF(C58="","HE-"&amp;TEXT(COUNTA($C$5:C58),"000"))</f>
        <v/>
      </c>
      <c r="C58" s="15" t="n"/>
      <c r="D58" s="15" t="n"/>
      <c r="E58" s="15" t="n"/>
      <c r="F58" s="15" t="n"/>
      <c r="G58" s="16" t="n"/>
      <c r="H58" s="15" t="n"/>
      <c r="I58" s="15" t="n"/>
      <c r="J58" s="26" t="n"/>
    </row>
    <row r="59" ht="22" customHeight="1">
      <c r="B59" s="18">
        <f>IF(C59="","HE-"&amp;TEXT(COUNTA($C$5:C59),"000"))</f>
        <v/>
      </c>
      <c r="C59" s="13" t="n"/>
      <c r="D59" s="13" t="n"/>
      <c r="E59" s="13" t="n"/>
      <c r="F59" s="13" t="n"/>
      <c r="G59" s="14" t="n"/>
      <c r="H59" s="13" t="n"/>
      <c r="I59" s="13" t="n"/>
      <c r="J59" s="25" t="n"/>
    </row>
    <row r="60" ht="22" customHeight="1">
      <c r="B60" s="17">
        <f>IF(C60="","HE-"&amp;TEXT(COUNTA($C$5:C60),"000"))</f>
        <v/>
      </c>
      <c r="C60" s="15" t="n"/>
      <c r="D60" s="15" t="n"/>
      <c r="E60" s="15" t="n"/>
      <c r="F60" s="15" t="n"/>
      <c r="G60" s="16" t="n"/>
      <c r="H60" s="15" t="n"/>
      <c r="I60" s="15" t="n"/>
      <c r="J60" s="26" t="n"/>
    </row>
    <row r="61" ht="22" customHeight="1">
      <c r="B61" s="18">
        <f>IF(C61="","HE-"&amp;TEXT(COUNTA($C$5:C61),"000"))</f>
        <v/>
      </c>
      <c r="C61" s="13" t="n"/>
      <c r="D61" s="13" t="n"/>
      <c r="E61" s="13" t="n"/>
      <c r="F61" s="13" t="n"/>
      <c r="G61" s="14" t="n"/>
      <c r="H61" s="13" t="n"/>
      <c r="I61" s="13" t="n"/>
      <c r="J61" s="25" t="n"/>
    </row>
    <row r="62" ht="22" customHeight="1">
      <c r="B62" s="17">
        <f>IF(C62="","HE-"&amp;TEXT(COUNTA($C$5:C62),"000"))</f>
        <v/>
      </c>
      <c r="C62" s="15" t="n"/>
      <c r="D62" s="15" t="n"/>
      <c r="E62" s="15" t="n"/>
      <c r="F62" s="15" t="n"/>
      <c r="G62" s="16" t="n"/>
      <c r="H62" s="15" t="n"/>
      <c r="I62" s="15" t="n"/>
      <c r="J62" s="26" t="n"/>
    </row>
    <row r="63" ht="22" customHeight="1">
      <c r="B63" s="18">
        <f>IF(C63="","HE-"&amp;TEXT(COUNTA($C$5:C63),"000"))</f>
        <v/>
      </c>
      <c r="C63" s="13" t="n"/>
      <c r="D63" s="13" t="n"/>
      <c r="E63" s="13" t="n"/>
      <c r="F63" s="13" t="n"/>
      <c r="G63" s="14" t="n"/>
      <c r="H63" s="13" t="n"/>
      <c r="I63" s="13" t="n"/>
      <c r="J63" s="25" t="n"/>
    </row>
    <row r="64" ht="22" customHeight="1">
      <c r="B64" s="17">
        <f>IF(C64="","HE-"&amp;TEXT(COUNTA($C$5:C64),"000"))</f>
        <v/>
      </c>
      <c r="C64" s="15" t="n"/>
      <c r="D64" s="15" t="n"/>
      <c r="E64" s="15" t="n"/>
      <c r="F64" s="15" t="n"/>
      <c r="G64" s="16" t="n"/>
      <c r="H64" s="15" t="n"/>
      <c r="I64" s="15" t="n"/>
      <c r="J64" s="26" t="n"/>
    </row>
    <row r="65" ht="22" customHeight="1">
      <c r="B65" s="18">
        <f>IF(C65="","HE-"&amp;TEXT(COUNTA($C$5:C65),"000"))</f>
        <v/>
      </c>
      <c r="C65" s="13" t="n"/>
      <c r="D65" s="13" t="n"/>
      <c r="E65" s="13" t="n"/>
      <c r="F65" s="13" t="n"/>
      <c r="G65" s="14" t="n"/>
      <c r="H65" s="13" t="n"/>
      <c r="I65" s="13" t="n"/>
      <c r="J65" s="25" t="n"/>
    </row>
    <row r="66" ht="22" customHeight="1">
      <c r="B66" s="17">
        <f>IF(C66="","HE-"&amp;TEXT(COUNTA($C$5:C66),"000"))</f>
        <v/>
      </c>
      <c r="C66" s="15" t="n"/>
      <c r="D66" s="15" t="n"/>
      <c r="E66" s="15" t="n"/>
      <c r="F66" s="15" t="n"/>
      <c r="G66" s="16" t="n"/>
      <c r="H66" s="15" t="n"/>
      <c r="I66" s="15" t="n"/>
      <c r="J66" s="26" t="n"/>
    </row>
    <row r="67" ht="22" customHeight="1">
      <c r="B67" s="18">
        <f>IF(C67="","HE-"&amp;TEXT(COUNTA($C$5:C67),"000"))</f>
        <v/>
      </c>
      <c r="C67" s="13" t="n"/>
      <c r="D67" s="13" t="n"/>
      <c r="E67" s="13" t="n"/>
      <c r="F67" s="13" t="n"/>
      <c r="G67" s="14" t="n"/>
      <c r="H67" s="13" t="n"/>
      <c r="I67" s="13" t="n"/>
      <c r="J67" s="25" t="n"/>
    </row>
    <row r="68" ht="22" customHeight="1">
      <c r="B68" s="17">
        <f>IF(C68="","HE-"&amp;TEXT(COUNTA($C$5:C68),"000"))</f>
        <v/>
      </c>
      <c r="C68" s="15" t="n"/>
      <c r="D68" s="15" t="n"/>
      <c r="E68" s="15" t="n"/>
      <c r="F68" s="15" t="n"/>
      <c r="G68" s="16" t="n"/>
      <c r="H68" s="15" t="n"/>
      <c r="I68" s="15" t="n"/>
      <c r="J68" s="26" t="n"/>
    </row>
    <row r="69" ht="22" customHeight="1">
      <c r="B69" s="18">
        <f>IF(C69="","HE-"&amp;TEXT(COUNTA($C$5:C69),"000"))</f>
        <v/>
      </c>
      <c r="C69" s="13" t="n"/>
      <c r="D69" s="13" t="n"/>
      <c r="E69" s="13" t="n"/>
      <c r="F69" s="13" t="n"/>
      <c r="G69" s="14" t="n"/>
      <c r="H69" s="13" t="n"/>
      <c r="I69" s="13" t="n"/>
      <c r="J69" s="25" t="n"/>
    </row>
    <row r="70" ht="22" customHeight="1">
      <c r="B70" s="17">
        <f>IF(C70="","HE-"&amp;TEXT(COUNTA($C$5:C70),"000"))</f>
        <v/>
      </c>
      <c r="C70" s="15" t="n"/>
      <c r="D70" s="15" t="n"/>
      <c r="E70" s="15" t="n"/>
      <c r="F70" s="15" t="n"/>
      <c r="G70" s="16" t="n"/>
      <c r="H70" s="15" t="n"/>
      <c r="I70" s="15" t="n"/>
      <c r="J70" s="26" t="n"/>
    </row>
    <row r="71" ht="22" customHeight="1">
      <c r="B71" s="18">
        <f>IF(C71="","HE-"&amp;TEXT(COUNTA($C$5:C71),"000"))</f>
        <v/>
      </c>
      <c r="C71" s="13" t="n"/>
      <c r="D71" s="13" t="n"/>
      <c r="E71" s="13" t="n"/>
      <c r="F71" s="13" t="n"/>
      <c r="G71" s="14" t="n"/>
      <c r="H71" s="13" t="n"/>
      <c r="I71" s="13" t="n"/>
      <c r="J71" s="25" t="n"/>
    </row>
    <row r="72" ht="22" customHeight="1">
      <c r="B72" s="17">
        <f>IF(C72="","HE-"&amp;TEXT(COUNTA($C$5:C72),"000"))</f>
        <v/>
      </c>
      <c r="C72" s="15" t="n"/>
      <c r="D72" s="15" t="n"/>
      <c r="E72" s="15" t="n"/>
      <c r="F72" s="15" t="n"/>
      <c r="G72" s="16" t="n"/>
      <c r="H72" s="15" t="n"/>
      <c r="I72" s="15" t="n"/>
      <c r="J72" s="26" t="n"/>
    </row>
    <row r="73" ht="22" customHeight="1">
      <c r="B73" s="18">
        <f>IF(C73="","HE-"&amp;TEXT(COUNTA($C$5:C73),"000"))</f>
        <v/>
      </c>
      <c r="C73" s="13" t="n"/>
      <c r="D73" s="13" t="n"/>
      <c r="E73" s="13" t="n"/>
      <c r="F73" s="13" t="n"/>
      <c r="G73" s="14" t="n"/>
      <c r="H73" s="13" t="n"/>
      <c r="I73" s="13" t="n"/>
      <c r="J73" s="25" t="n"/>
    </row>
    <row r="74" ht="22" customHeight="1">
      <c r="B74" s="17">
        <f>IF(C74="","HE-"&amp;TEXT(COUNTA($C$5:C74),"000"))</f>
        <v/>
      </c>
      <c r="C74" s="15" t="n"/>
      <c r="D74" s="15" t="n"/>
      <c r="E74" s="15" t="n"/>
      <c r="F74" s="15" t="n"/>
      <c r="G74" s="16" t="n"/>
      <c r="H74" s="15" t="n"/>
      <c r="I74" s="15" t="n"/>
      <c r="J74" s="26" t="n"/>
    </row>
    <row r="75" ht="22" customHeight="1">
      <c r="B75" s="18">
        <f>IF(C75="","HE-"&amp;TEXT(COUNTA($C$5:C75),"000"))</f>
        <v/>
      </c>
      <c r="C75" s="13" t="n"/>
      <c r="D75" s="13" t="n"/>
      <c r="E75" s="13" t="n"/>
      <c r="F75" s="13" t="n"/>
      <c r="G75" s="14" t="n"/>
      <c r="H75" s="13" t="n"/>
      <c r="I75" s="13" t="n"/>
      <c r="J75" s="25" t="n"/>
    </row>
    <row r="76" ht="22" customHeight="1">
      <c r="B76" s="17">
        <f>IF(C76="","HE-"&amp;TEXT(COUNTA($C$5:C76),"000"))</f>
        <v/>
      </c>
      <c r="C76" s="15" t="n"/>
      <c r="D76" s="15" t="n"/>
      <c r="E76" s="15" t="n"/>
      <c r="F76" s="15" t="n"/>
      <c r="G76" s="16" t="n"/>
      <c r="H76" s="15" t="n"/>
      <c r="I76" s="15" t="n"/>
      <c r="J76" s="26" t="n"/>
    </row>
    <row r="77" ht="22" customHeight="1">
      <c r="B77" s="18">
        <f>IF(C77="","HE-"&amp;TEXT(COUNTA($C$5:C77),"000"))</f>
        <v/>
      </c>
      <c r="C77" s="13" t="n"/>
      <c r="D77" s="13" t="n"/>
      <c r="E77" s="13" t="n"/>
      <c r="F77" s="13" t="n"/>
      <c r="G77" s="14" t="n"/>
      <c r="H77" s="13" t="n"/>
      <c r="I77" s="13" t="n"/>
      <c r="J77" s="25" t="n"/>
    </row>
    <row r="78" ht="22" customHeight="1">
      <c r="B78" s="17">
        <f>IF(C78="","HE-"&amp;TEXT(COUNTA($C$5:C78),"000"))</f>
        <v/>
      </c>
      <c r="C78" s="15" t="n"/>
      <c r="D78" s="15" t="n"/>
      <c r="E78" s="15" t="n"/>
      <c r="F78" s="15" t="n"/>
      <c r="G78" s="16" t="n"/>
      <c r="H78" s="15" t="n"/>
      <c r="I78" s="15" t="n"/>
      <c r="J78" s="26" t="n"/>
    </row>
    <row r="79" ht="22" customHeight="1">
      <c r="B79" s="18">
        <f>IF(C79="","HE-"&amp;TEXT(COUNTA($C$5:C79),"000"))</f>
        <v/>
      </c>
      <c r="C79" s="13" t="n"/>
      <c r="D79" s="13" t="n"/>
      <c r="E79" s="13" t="n"/>
      <c r="F79" s="13" t="n"/>
      <c r="G79" s="14" t="n"/>
      <c r="H79" s="13" t="n"/>
      <c r="I79" s="13" t="n"/>
      <c r="J79" s="25" t="n"/>
    </row>
    <row r="80" ht="22" customHeight="1">
      <c r="B80" s="17">
        <f>IF(C80="","HE-"&amp;TEXT(COUNTA($C$5:C80),"000"))</f>
        <v/>
      </c>
      <c r="C80" s="15" t="n"/>
      <c r="D80" s="15" t="n"/>
      <c r="E80" s="15" t="n"/>
      <c r="F80" s="15" t="n"/>
      <c r="G80" s="16" t="n"/>
      <c r="H80" s="15" t="n"/>
      <c r="I80" s="15" t="n"/>
      <c r="J80" s="26" t="n"/>
    </row>
    <row r="81" ht="22" customHeight="1">
      <c r="B81" s="18">
        <f>IF(C81="","HE-"&amp;TEXT(COUNTA($C$5:C81),"000"))</f>
        <v/>
      </c>
      <c r="C81" s="13" t="n"/>
      <c r="D81" s="13" t="n"/>
      <c r="E81" s="13" t="n"/>
      <c r="F81" s="13" t="n"/>
      <c r="G81" s="14" t="n"/>
      <c r="H81" s="13" t="n"/>
      <c r="I81" s="13" t="n"/>
      <c r="J81" s="25" t="n"/>
    </row>
    <row r="82" ht="22" customHeight="1">
      <c r="B82" s="17">
        <f>IF(C82="","HE-"&amp;TEXT(COUNTA($C$5:C82),"000"))</f>
        <v/>
      </c>
      <c r="C82" s="15" t="n"/>
      <c r="D82" s="15" t="n"/>
      <c r="E82" s="15" t="n"/>
      <c r="F82" s="15" t="n"/>
      <c r="G82" s="16" t="n"/>
      <c r="H82" s="15" t="n"/>
      <c r="I82" s="15" t="n"/>
      <c r="J82" s="26" t="n"/>
    </row>
    <row r="83" ht="22" customHeight="1">
      <c r="B83" s="18">
        <f>IF(C83="","HE-"&amp;TEXT(COUNTA($C$5:C83),"000"))</f>
        <v/>
      </c>
      <c r="C83" s="13" t="n"/>
      <c r="D83" s="13" t="n"/>
      <c r="E83" s="13" t="n"/>
      <c r="F83" s="13" t="n"/>
      <c r="G83" s="14" t="n"/>
      <c r="H83" s="13" t="n"/>
      <c r="I83" s="13" t="n"/>
      <c r="J83" s="25" t="n"/>
    </row>
    <row r="84" ht="22" customHeight="1">
      <c r="B84" s="17">
        <f>IF(C84="","HE-"&amp;TEXT(COUNTA($C$5:C84),"000"))</f>
        <v/>
      </c>
      <c r="C84" s="15" t="n"/>
      <c r="D84" s="15" t="n"/>
      <c r="E84" s="15" t="n"/>
      <c r="F84" s="15" t="n"/>
      <c r="G84" s="16" t="n"/>
      <c r="H84" s="15" t="n"/>
      <c r="I84" s="15" t="n"/>
      <c r="J84" s="26" t="n"/>
    </row>
    <row r="85" ht="22" customHeight="1">
      <c r="B85" s="18">
        <f>IF(C85="","HE-"&amp;TEXT(COUNTA($C$5:C85),"000"))</f>
        <v/>
      </c>
      <c r="C85" s="13" t="n"/>
      <c r="D85" s="13" t="n"/>
      <c r="E85" s="13" t="n"/>
      <c r="F85" s="13" t="n"/>
      <c r="G85" s="14" t="n"/>
      <c r="H85" s="13" t="n"/>
      <c r="I85" s="13" t="n"/>
      <c r="J85" s="25" t="n"/>
    </row>
    <row r="86" ht="22" customHeight="1">
      <c r="B86" s="17">
        <f>IF(C86="","HE-"&amp;TEXT(COUNTA($C$5:C86),"000"))</f>
        <v/>
      </c>
      <c r="C86" s="15" t="n"/>
      <c r="D86" s="15" t="n"/>
      <c r="E86" s="15" t="n"/>
      <c r="F86" s="15" t="n"/>
      <c r="G86" s="16" t="n"/>
      <c r="H86" s="15" t="n"/>
      <c r="I86" s="15" t="n"/>
      <c r="J86" s="26" t="n"/>
    </row>
    <row r="87" ht="22" customHeight="1">
      <c r="B87" s="18">
        <f>IF(C87="","HE-"&amp;TEXT(COUNTA($C$5:C87),"000"))</f>
        <v/>
      </c>
      <c r="C87" s="13" t="n"/>
      <c r="D87" s="13" t="n"/>
      <c r="E87" s="13" t="n"/>
      <c r="F87" s="13" t="n"/>
      <c r="G87" s="14" t="n"/>
      <c r="H87" s="13" t="n"/>
      <c r="I87" s="13" t="n"/>
      <c r="J87" s="25" t="n"/>
    </row>
    <row r="88" ht="22" customHeight="1">
      <c r="B88" s="17">
        <f>IF(C88="","HE-"&amp;TEXT(COUNTA($C$5:C88),"000"))</f>
        <v/>
      </c>
      <c r="C88" s="15" t="n"/>
      <c r="D88" s="15" t="n"/>
      <c r="E88" s="15" t="n"/>
      <c r="F88" s="15" t="n"/>
      <c r="G88" s="16" t="n"/>
      <c r="H88" s="15" t="n"/>
      <c r="I88" s="15" t="n"/>
      <c r="J88" s="26" t="n"/>
    </row>
    <row r="89" ht="22" customHeight="1">
      <c r="B89" s="18">
        <f>IF(C89="","HE-"&amp;TEXT(COUNTA($C$5:C89),"000"))</f>
        <v/>
      </c>
      <c r="C89" s="13" t="n"/>
      <c r="D89" s="13" t="n"/>
      <c r="E89" s="13" t="n"/>
      <c r="F89" s="13" t="n"/>
      <c r="G89" s="14" t="n"/>
      <c r="H89" s="13" t="n"/>
      <c r="I89" s="13" t="n"/>
      <c r="J89" s="25" t="n"/>
    </row>
    <row r="90" ht="22" customHeight="1">
      <c r="B90" s="17">
        <f>IF(C90="","HE-"&amp;TEXT(COUNTA($C$5:C90),"000"))</f>
        <v/>
      </c>
      <c r="C90" s="15" t="n"/>
      <c r="D90" s="15" t="n"/>
      <c r="E90" s="15" t="n"/>
      <c r="F90" s="15" t="n"/>
      <c r="G90" s="16" t="n"/>
      <c r="H90" s="15" t="n"/>
      <c r="I90" s="15" t="n"/>
      <c r="J90" s="26" t="n"/>
    </row>
    <row r="91" ht="22" customHeight="1">
      <c r="B91" s="18">
        <f>IF(C91="","HE-"&amp;TEXT(COUNTA($C$5:C91),"000"))</f>
        <v/>
      </c>
      <c r="C91" s="13" t="n"/>
      <c r="D91" s="13" t="n"/>
      <c r="E91" s="13" t="n"/>
      <c r="F91" s="13" t="n"/>
      <c r="G91" s="14" t="n"/>
      <c r="H91" s="13" t="n"/>
      <c r="I91" s="13" t="n"/>
      <c r="J91" s="25" t="n"/>
    </row>
    <row r="92" ht="22" customHeight="1">
      <c r="B92" s="17">
        <f>IF(C92="","HE-"&amp;TEXT(COUNTA($C$5:C92),"000"))</f>
        <v/>
      </c>
      <c r="C92" s="15" t="n"/>
      <c r="D92" s="15" t="n"/>
      <c r="E92" s="15" t="n"/>
      <c r="F92" s="15" t="n"/>
      <c r="G92" s="16" t="n"/>
      <c r="H92" s="15" t="n"/>
      <c r="I92" s="15" t="n"/>
      <c r="J92" s="26" t="n"/>
    </row>
    <row r="93" ht="22" customHeight="1">
      <c r="B93" s="18">
        <f>IF(C93="","HE-"&amp;TEXT(COUNTA($C$5:C93),"000"))</f>
        <v/>
      </c>
      <c r="C93" s="13" t="n"/>
      <c r="D93" s="13" t="n"/>
      <c r="E93" s="13" t="n"/>
      <c r="F93" s="13" t="n"/>
      <c r="G93" s="14" t="n"/>
      <c r="H93" s="13" t="n"/>
      <c r="I93" s="13" t="n"/>
      <c r="J93" s="25" t="n"/>
    </row>
    <row r="94" ht="22" customHeight="1">
      <c r="B94" s="17">
        <f>IF(C94="","HE-"&amp;TEXT(COUNTA($C$5:C94),"000"))</f>
        <v/>
      </c>
      <c r="C94" s="15" t="n"/>
      <c r="D94" s="15" t="n"/>
      <c r="E94" s="15" t="n"/>
      <c r="F94" s="15" t="n"/>
      <c r="G94" s="16" t="n"/>
      <c r="H94" s="15" t="n"/>
      <c r="I94" s="15" t="n"/>
      <c r="J94" s="26" t="n"/>
    </row>
    <row r="95" ht="22" customHeight="1">
      <c r="B95" s="18">
        <f>IF(C95="","HE-"&amp;TEXT(COUNTA($C$5:C95),"000"))</f>
        <v/>
      </c>
      <c r="C95" s="13" t="n"/>
      <c r="D95" s="13" t="n"/>
      <c r="E95" s="13" t="n"/>
      <c r="F95" s="13" t="n"/>
      <c r="G95" s="14" t="n"/>
      <c r="H95" s="13" t="n"/>
      <c r="I95" s="13" t="n"/>
      <c r="J95" s="25" t="n"/>
    </row>
    <row r="96" ht="22" customHeight="1">
      <c r="B96" s="17">
        <f>IF(C96="","HE-"&amp;TEXT(COUNTA($C$5:C96),"000"))</f>
        <v/>
      </c>
      <c r="C96" s="15" t="n"/>
      <c r="D96" s="15" t="n"/>
      <c r="E96" s="15" t="n"/>
      <c r="F96" s="15" t="n"/>
      <c r="G96" s="16" t="n"/>
      <c r="H96" s="15" t="n"/>
      <c r="I96" s="15" t="n"/>
      <c r="J96" s="26" t="n"/>
    </row>
    <row r="97" ht="22" customHeight="1">
      <c r="B97" s="18">
        <f>IF(C97="","HE-"&amp;TEXT(COUNTA($C$5:C97),"000"))</f>
        <v/>
      </c>
      <c r="C97" s="13" t="n"/>
      <c r="D97" s="13" t="n"/>
      <c r="E97" s="13" t="n"/>
      <c r="F97" s="13" t="n"/>
      <c r="G97" s="14" t="n"/>
      <c r="H97" s="13" t="n"/>
      <c r="I97" s="13" t="n"/>
      <c r="J97" s="25" t="n"/>
    </row>
    <row r="98" ht="22" customHeight="1">
      <c r="B98" s="17">
        <f>IF(C98="","HE-"&amp;TEXT(COUNTA($C$5:C98),"000"))</f>
        <v/>
      </c>
      <c r="C98" s="15" t="n"/>
      <c r="D98" s="15" t="n"/>
      <c r="E98" s="15" t="n"/>
      <c r="F98" s="15" t="n"/>
      <c r="G98" s="16" t="n"/>
      <c r="H98" s="15" t="n"/>
      <c r="I98" s="15" t="n"/>
      <c r="J98" s="26" t="n"/>
    </row>
    <row r="99" ht="22" customHeight="1">
      <c r="B99" s="18">
        <f>IF(C99="","HE-"&amp;TEXT(COUNTA($C$5:C99),"000"))</f>
        <v/>
      </c>
      <c r="C99" s="13" t="n"/>
      <c r="D99" s="13" t="n"/>
      <c r="E99" s="13" t="n"/>
      <c r="F99" s="13" t="n"/>
      <c r="G99" s="14" t="n"/>
      <c r="H99" s="13" t="n"/>
      <c r="I99" s="13" t="n"/>
      <c r="J99" s="25" t="n"/>
    </row>
    <row r="100" ht="22" customHeight="1">
      <c r="B100" s="17">
        <f>IF(C100="","HE-"&amp;TEXT(COUNTA($C$5:C100),"000"))</f>
        <v/>
      </c>
      <c r="C100" s="15" t="n"/>
      <c r="D100" s="15" t="n"/>
      <c r="E100" s="15" t="n"/>
      <c r="F100" s="15" t="n"/>
      <c r="G100" s="16" t="n"/>
      <c r="H100" s="15" t="n"/>
      <c r="I100" s="15" t="n"/>
      <c r="J100" s="26" t="n"/>
    </row>
    <row r="101" ht="22" customHeight="1">
      <c r="B101" s="18">
        <f>IF(C101="","HE-"&amp;TEXT(COUNTA($C$5:C101),"000"))</f>
        <v/>
      </c>
      <c r="C101" s="13" t="n"/>
      <c r="D101" s="13" t="n"/>
      <c r="E101" s="13" t="n"/>
      <c r="F101" s="13" t="n"/>
      <c r="G101" s="14" t="n"/>
      <c r="H101" s="13" t="n"/>
      <c r="I101" s="13" t="n"/>
      <c r="J101" s="25" t="n"/>
    </row>
    <row r="102" ht="22" customHeight="1">
      <c r="B102" s="17">
        <f>IF(C102="","HE-"&amp;TEXT(COUNTA($C$5:C102),"000"))</f>
        <v/>
      </c>
      <c r="C102" s="15" t="n"/>
      <c r="D102" s="15" t="n"/>
      <c r="E102" s="15" t="n"/>
      <c r="F102" s="15" t="n"/>
      <c r="G102" s="16" t="n"/>
      <c r="H102" s="15" t="n"/>
      <c r="I102" s="15" t="n"/>
      <c r="J102" s="26" t="n"/>
    </row>
    <row r="103" ht="22" customHeight="1">
      <c r="B103" s="18">
        <f>IF(C103="","HE-"&amp;TEXT(COUNTA($C$5:C103),"000"))</f>
        <v/>
      </c>
      <c r="C103" s="13" t="n"/>
      <c r="D103" s="13" t="n"/>
      <c r="E103" s="13" t="n"/>
      <c r="F103" s="13" t="n"/>
      <c r="G103" s="14" t="n"/>
      <c r="H103" s="13" t="n"/>
      <c r="I103" s="13" t="n"/>
      <c r="J103" s="25" t="n"/>
    </row>
    <row r="104" ht="22" customHeight="1">
      <c r="B104" s="17">
        <f>IF(C104="","HE-"&amp;TEXT(COUNTA($C$5:C104),"000"))</f>
        <v/>
      </c>
      <c r="C104" s="15" t="n"/>
      <c r="D104" s="15" t="n"/>
      <c r="E104" s="15" t="n"/>
      <c r="F104" s="15" t="n"/>
      <c r="G104" s="16" t="n"/>
      <c r="H104" s="15" t="n"/>
      <c r="I104" s="15" t="n"/>
      <c r="J104" s="26" t="n"/>
    </row>
    <row r="105" ht="22" customHeight="1">
      <c r="B105" s="18">
        <f>IF(C105="","HE-"&amp;TEXT(COUNTA($C$5:C105),"000"))</f>
        <v/>
      </c>
      <c r="C105" s="13" t="n"/>
      <c r="D105" s="13" t="n"/>
      <c r="E105" s="13" t="n"/>
      <c r="F105" s="13" t="n"/>
      <c r="G105" s="14" t="n"/>
      <c r="H105" s="13" t="n"/>
      <c r="I105" s="13" t="n"/>
      <c r="J105" s="25" t="n"/>
    </row>
    <row r="106" ht="22" customHeight="1">
      <c r="B106" s="17">
        <f>IF(C106="","HE-"&amp;TEXT(COUNTA($C$5:C106),"000"))</f>
        <v/>
      </c>
      <c r="C106" s="15" t="n"/>
      <c r="D106" s="15" t="n"/>
      <c r="E106" s="15" t="n"/>
      <c r="F106" s="15" t="n"/>
      <c r="G106" s="16" t="n"/>
      <c r="H106" s="15" t="n"/>
      <c r="I106" s="15" t="n"/>
      <c r="J106" s="26" t="n"/>
    </row>
    <row r="107" ht="22" customHeight="1">
      <c r="B107" s="18">
        <f>IF(C107="","HE-"&amp;TEXT(COUNTA($C$5:C107),"000"))</f>
        <v/>
      </c>
      <c r="C107" s="13" t="n"/>
      <c r="D107" s="13" t="n"/>
      <c r="E107" s="13" t="n"/>
      <c r="F107" s="13" t="n"/>
      <c r="G107" s="14" t="n"/>
      <c r="H107" s="13" t="n"/>
      <c r="I107" s="13" t="n"/>
      <c r="J107" s="25" t="n"/>
    </row>
    <row r="108" ht="22" customHeight="1">
      <c r="B108" s="17">
        <f>IF(C108="","HE-"&amp;TEXT(COUNTA($C$5:C108),"000"))</f>
        <v/>
      </c>
      <c r="C108" s="15" t="n"/>
      <c r="D108" s="15" t="n"/>
      <c r="E108" s="15" t="n"/>
      <c r="F108" s="15" t="n"/>
      <c r="G108" s="16" t="n"/>
      <c r="H108" s="15" t="n"/>
      <c r="I108" s="15" t="n"/>
      <c r="J108" s="26" t="n"/>
    </row>
    <row r="109" ht="22" customHeight="1">
      <c r="B109" s="18">
        <f>IF(C109="","HE-"&amp;TEXT(COUNTA($C$5:C109),"000"))</f>
        <v/>
      </c>
      <c r="C109" s="13" t="n"/>
      <c r="D109" s="13" t="n"/>
      <c r="E109" s="13" t="n"/>
      <c r="F109" s="13" t="n"/>
      <c r="G109" s="14" t="n"/>
      <c r="H109" s="13" t="n"/>
      <c r="I109" s="13" t="n"/>
      <c r="J109" s="25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Lignes historique</t>
        </is>
      </c>
      <c r="D112" s="3" t="inlineStr">
        <is>
          <t>Note moyenne globale</t>
        </is>
      </c>
      <c r="F112" s="3" t="inlineStr">
        <is>
          <t>Total primes (FCFA)</t>
        </is>
      </c>
      <c r="H112" s="3" t="inlineStr">
        <is>
          <t>Evolution moyenne</t>
        </is>
      </c>
    </row>
    <row r="113">
      <c r="B113" s="4">
        <f>COUNTIF(B5:B104,"&lt;&gt;")</f>
        <v/>
      </c>
      <c r="D113" s="4">
        <f>IFERROR(AVERAGE(G5:G104),0)</f>
        <v/>
      </c>
      <c r="F113" s="4">
        <f>SUM(J5:J104)</f>
        <v/>
      </c>
      <c r="H113" s="4">
        <f>IFERROR(AVERAGE(I5:I104),0)</f>
        <v/>
      </c>
    </row>
  </sheetData>
  <mergeCells count="3">
    <mergeCell ref="B3:J3"/>
    <mergeCell ref="B2:J2"/>
    <mergeCell ref="B111:J111"/>
  </mergeCells>
  <conditionalFormatting sqref="H5:H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'_Lists'!$Q$2:$Q$4</formula1>
    </dataValidation>
    <dataValidation sqref="H5:H109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I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18" customWidth="1" min="5" max="5"/>
    <col width="24" customWidth="1" min="6" max="6"/>
    <col width="16" customWidth="1" min="7" max="7"/>
    <col width="14" customWidth="1" min="8" max="8"/>
    <col width="18" customWidth="1" min="9" max="9"/>
  </cols>
  <sheetData>
    <row r="1" ht="15" customHeight="1"/>
    <row r="2" ht="32" customHeight="1">
      <c r="B2" s="1" t="inlineStr">
        <is>
          <t>SUIVI MENSUEL DES EVALUATIONS A L'ESSAI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Mois</t>
        </is>
      </c>
      <c r="D4" s="12" t="inlineStr">
        <is>
          <t>Annee</t>
        </is>
      </c>
      <c r="E4" s="12" t="inlineStr">
        <is>
          <t>Nb Entrees Essai</t>
        </is>
      </c>
      <c r="F4" s="12" t="inlineStr">
        <is>
          <t>Nb Evaluations Realisees</t>
        </is>
      </c>
      <c r="G4" s="12" t="inlineStr">
        <is>
          <t>Nb Confirmations</t>
        </is>
      </c>
      <c r="H4" s="12" t="inlineStr">
        <is>
          <t>Nb Ruptures</t>
        </is>
      </c>
      <c r="I4" s="12" t="inlineStr">
        <is>
          <t>Nb Prolongations</t>
        </is>
      </c>
    </row>
    <row r="5" ht="22" customHeight="1">
      <c r="B5" s="13" t="inlineStr">
        <is>
          <t>SEM-001</t>
        </is>
      </c>
      <c r="C5" s="13" t="inlineStr">
        <is>
          <t>Janvier</t>
        </is>
      </c>
      <c r="D5" s="13" t="inlineStr">
        <is>
          <t>2025</t>
        </is>
      </c>
      <c r="E5" s="19" t="n">
        <v>3</v>
      </c>
      <c r="F5" s="19" t="n">
        <v>0</v>
      </c>
      <c r="G5" s="19" t="n">
        <v>0</v>
      </c>
      <c r="H5" s="19" t="n">
        <v>0</v>
      </c>
      <c r="I5" s="19" t="n">
        <v>0</v>
      </c>
    </row>
    <row r="6" ht="22" customHeight="1">
      <c r="B6" s="15" t="inlineStr">
        <is>
          <t>SEM-002</t>
        </is>
      </c>
      <c r="C6" s="15" t="inlineStr">
        <is>
          <t>Fevrier</t>
        </is>
      </c>
      <c r="D6" s="15" t="inlineStr">
        <is>
          <t>2025</t>
        </is>
      </c>
      <c r="E6" s="20" t="n">
        <v>2</v>
      </c>
      <c r="F6" s="20" t="n">
        <v>1</v>
      </c>
      <c r="G6" s="20" t="n">
        <v>1</v>
      </c>
      <c r="H6" s="20" t="n">
        <v>0</v>
      </c>
      <c r="I6" s="20" t="n">
        <v>0</v>
      </c>
    </row>
    <row r="7" ht="22" customHeight="1">
      <c r="B7" s="13" t="inlineStr">
        <is>
          <t>SEM-003</t>
        </is>
      </c>
      <c r="C7" s="13" t="inlineStr">
        <is>
          <t>Mars</t>
        </is>
      </c>
      <c r="D7" s="13" t="inlineStr">
        <is>
          <t>2025</t>
        </is>
      </c>
      <c r="E7" s="19" t="n">
        <v>1</v>
      </c>
      <c r="F7" s="19" t="n">
        <v>2</v>
      </c>
      <c r="G7" s="19" t="n">
        <v>1</v>
      </c>
      <c r="H7" s="19" t="n">
        <v>1</v>
      </c>
      <c r="I7" s="19" t="n">
        <v>0</v>
      </c>
    </row>
    <row r="8" ht="22" customHeight="1">
      <c r="B8" s="15" t="inlineStr">
        <is>
          <t>SEM-004</t>
        </is>
      </c>
      <c r="C8" s="15" t="inlineStr">
        <is>
          <t>Avril</t>
        </is>
      </c>
      <c r="D8" s="15" t="inlineStr">
        <is>
          <t>2025</t>
        </is>
      </c>
      <c r="E8" s="20" t="n">
        <v>2</v>
      </c>
      <c r="F8" s="20" t="n">
        <v>0</v>
      </c>
      <c r="G8" s="20" t="n">
        <v>0</v>
      </c>
      <c r="H8" s="20" t="n">
        <v>0</v>
      </c>
      <c r="I8" s="20" t="n">
        <v>0</v>
      </c>
    </row>
    <row r="9" ht="22" customHeight="1">
      <c r="B9" s="13" t="inlineStr">
        <is>
          <t>SEM-005</t>
        </is>
      </c>
      <c r="C9" s="13" t="inlineStr">
        <is>
          <t>Mai</t>
        </is>
      </c>
      <c r="D9" s="13" t="inlineStr">
        <is>
          <t>2025</t>
        </is>
      </c>
      <c r="E9" s="19" t="n">
        <v>3</v>
      </c>
      <c r="F9" s="19" t="n">
        <v>0</v>
      </c>
      <c r="G9" s="19" t="n">
        <v>0</v>
      </c>
      <c r="H9" s="19" t="n">
        <v>0</v>
      </c>
      <c r="I9" s="19" t="n">
        <v>0</v>
      </c>
    </row>
    <row r="10" ht="22" customHeight="1">
      <c r="B10" s="15" t="inlineStr">
        <is>
          <t>SEM-006</t>
        </is>
      </c>
      <c r="C10" s="15" t="inlineStr">
        <is>
          <t>Juin</t>
        </is>
      </c>
      <c r="D10" s="15" t="inlineStr">
        <is>
          <t>2025</t>
        </is>
      </c>
      <c r="E10" s="20" t="n">
        <v>1</v>
      </c>
      <c r="F10" s="20" t="n">
        <v>1</v>
      </c>
      <c r="G10" s="20" t="n">
        <v>0</v>
      </c>
      <c r="H10" s="20" t="n">
        <v>0</v>
      </c>
      <c r="I10" s="20" t="n">
        <v>1</v>
      </c>
    </row>
    <row r="11" ht="22" customHeight="1">
      <c r="B11" s="18">
        <f>IF(C11="","SEM-"&amp;TEXT(COUNTA($C$5:C11),"000"))</f>
        <v/>
      </c>
      <c r="C11" s="13" t="n"/>
      <c r="D11" s="13" t="n"/>
      <c r="E11" s="19" t="n"/>
      <c r="F11" s="19" t="n"/>
      <c r="G11" s="19" t="n"/>
      <c r="H11" s="19" t="n"/>
      <c r="I11" s="19" t="n"/>
    </row>
    <row r="12" ht="22" customHeight="1">
      <c r="B12" s="17">
        <f>IF(C12="","SEM-"&amp;TEXT(COUNTA($C$5:C12),"000"))</f>
        <v/>
      </c>
      <c r="C12" s="15" t="n"/>
      <c r="D12" s="15" t="n"/>
      <c r="E12" s="20" t="n"/>
      <c r="F12" s="20" t="n"/>
      <c r="G12" s="20" t="n"/>
      <c r="H12" s="20" t="n"/>
      <c r="I12" s="20" t="n"/>
    </row>
    <row r="13" ht="22" customHeight="1">
      <c r="B13" s="18">
        <f>IF(C13="","SEM-"&amp;TEXT(COUNTA($C$5:C13),"000"))</f>
        <v/>
      </c>
      <c r="C13" s="13" t="n"/>
      <c r="D13" s="13" t="n"/>
      <c r="E13" s="19" t="n"/>
      <c r="F13" s="19" t="n"/>
      <c r="G13" s="19" t="n"/>
      <c r="H13" s="19" t="n"/>
      <c r="I13" s="19" t="n"/>
    </row>
    <row r="14" ht="22" customHeight="1">
      <c r="B14" s="17">
        <f>IF(C14="","SEM-"&amp;TEXT(COUNTA($C$5:C14),"000"))</f>
        <v/>
      </c>
      <c r="C14" s="15" t="n"/>
      <c r="D14" s="15" t="n"/>
      <c r="E14" s="20" t="n"/>
      <c r="F14" s="20" t="n"/>
      <c r="G14" s="20" t="n"/>
      <c r="H14" s="20" t="n"/>
      <c r="I14" s="20" t="n"/>
    </row>
    <row r="15" ht="22" customHeight="1">
      <c r="B15" s="18">
        <f>IF(C15="","SEM-"&amp;TEXT(COUNTA($C$5:C15),"000"))</f>
        <v/>
      </c>
      <c r="C15" s="13" t="n"/>
      <c r="D15" s="13" t="n"/>
      <c r="E15" s="19" t="n"/>
      <c r="F15" s="19" t="n"/>
      <c r="G15" s="19" t="n"/>
      <c r="H15" s="19" t="n"/>
      <c r="I15" s="19" t="n"/>
    </row>
    <row r="16" ht="22" customHeight="1">
      <c r="B16" s="17">
        <f>IF(C16="","SEM-"&amp;TEXT(COUNTA($C$5:C16),"000"))</f>
        <v/>
      </c>
      <c r="C16" s="15" t="n"/>
      <c r="D16" s="15" t="n"/>
      <c r="E16" s="20" t="n"/>
      <c r="F16" s="20" t="n"/>
      <c r="G16" s="20" t="n"/>
      <c r="H16" s="20" t="n"/>
      <c r="I16" s="20" t="n"/>
    </row>
    <row r="17" ht="22" customHeight="1">
      <c r="B17" s="18">
        <f>IF(C17="","SEM-"&amp;TEXT(COUNTA($C$5:C17),"000"))</f>
        <v/>
      </c>
      <c r="C17" s="13" t="n"/>
      <c r="D17" s="13" t="n"/>
      <c r="E17" s="19" t="n"/>
      <c r="F17" s="19" t="n"/>
      <c r="G17" s="19" t="n"/>
      <c r="H17" s="19" t="n"/>
      <c r="I17" s="19" t="n"/>
    </row>
    <row r="18" ht="22" customHeight="1">
      <c r="B18" s="17">
        <f>IF(C18="","SEM-"&amp;TEXT(COUNTA($C$5:C18),"000"))</f>
        <v/>
      </c>
      <c r="C18" s="15" t="n"/>
      <c r="D18" s="15" t="n"/>
      <c r="E18" s="20" t="n"/>
      <c r="F18" s="20" t="n"/>
      <c r="G18" s="20" t="n"/>
      <c r="H18" s="20" t="n"/>
      <c r="I18" s="20" t="n"/>
    </row>
    <row r="19" ht="22" customHeight="1">
      <c r="B19" s="18">
        <f>IF(C19="","SEM-"&amp;TEXT(COUNTA($C$5:C19),"000"))</f>
        <v/>
      </c>
      <c r="C19" s="13" t="n"/>
      <c r="D19" s="13" t="n"/>
      <c r="E19" s="19" t="n"/>
      <c r="F19" s="19" t="n"/>
      <c r="G19" s="19" t="n"/>
      <c r="H19" s="19" t="n"/>
      <c r="I19" s="19" t="n"/>
    </row>
    <row r="20" ht="22" customHeight="1">
      <c r="B20" s="17">
        <f>IF(C20="","SEM-"&amp;TEXT(COUNTA($C$5:C20),"000"))</f>
        <v/>
      </c>
      <c r="C20" s="15" t="n"/>
      <c r="D20" s="15" t="n"/>
      <c r="E20" s="20" t="n"/>
      <c r="F20" s="20" t="n"/>
      <c r="G20" s="20" t="n"/>
      <c r="H20" s="20" t="n"/>
      <c r="I20" s="20" t="n"/>
    </row>
    <row r="21" ht="22" customHeight="1">
      <c r="B21" s="18">
        <f>IF(C21="","SEM-"&amp;TEXT(COUNTA($C$5:C21),"000"))</f>
        <v/>
      </c>
      <c r="C21" s="13" t="n"/>
      <c r="D21" s="13" t="n"/>
      <c r="E21" s="19" t="n"/>
      <c r="F21" s="19" t="n"/>
      <c r="G21" s="19" t="n"/>
      <c r="H21" s="19" t="n"/>
      <c r="I21" s="19" t="n"/>
    </row>
    <row r="22" ht="22" customHeight="1">
      <c r="B22" s="17">
        <f>IF(C22="","SEM-"&amp;TEXT(COUNTA($C$5:C22),"000"))</f>
        <v/>
      </c>
      <c r="C22" s="15" t="n"/>
      <c r="D22" s="15" t="n"/>
      <c r="E22" s="20" t="n"/>
      <c r="F22" s="20" t="n"/>
      <c r="G22" s="20" t="n"/>
      <c r="H22" s="20" t="n"/>
      <c r="I22" s="20" t="n"/>
    </row>
    <row r="23" ht="22" customHeight="1">
      <c r="B23" s="18">
        <f>IF(C23="","SEM-"&amp;TEXT(COUNTA($C$5:C23),"000"))</f>
        <v/>
      </c>
      <c r="C23" s="13" t="n"/>
      <c r="D23" s="13" t="n"/>
      <c r="E23" s="19" t="n"/>
      <c r="F23" s="19" t="n"/>
      <c r="G23" s="19" t="n"/>
      <c r="H23" s="19" t="n"/>
      <c r="I23" s="19" t="n"/>
    </row>
    <row r="24" ht="22" customHeight="1">
      <c r="B24" s="17">
        <f>IF(C24="","SEM-"&amp;TEXT(COUNTA($C$5:C24),"000"))</f>
        <v/>
      </c>
      <c r="C24" s="15" t="n"/>
      <c r="D24" s="15" t="n"/>
      <c r="E24" s="20" t="n"/>
      <c r="F24" s="20" t="n"/>
      <c r="G24" s="20" t="n"/>
      <c r="H24" s="20" t="n"/>
      <c r="I24" s="20" t="n"/>
    </row>
    <row r="25" ht="22" customHeight="1">
      <c r="B25" s="18">
        <f>IF(C25="","SEM-"&amp;TEXT(COUNTA($C$5:C25),"000"))</f>
        <v/>
      </c>
      <c r="C25" s="13" t="n"/>
      <c r="D25" s="13" t="n"/>
      <c r="E25" s="19" t="n"/>
      <c r="F25" s="19" t="n"/>
      <c r="G25" s="19" t="n"/>
      <c r="H25" s="19" t="n"/>
      <c r="I25" s="19" t="n"/>
    </row>
    <row r="26" ht="22" customHeight="1">
      <c r="B26" s="17">
        <f>IF(C26="","SEM-"&amp;TEXT(COUNTA($C$5:C26),"000"))</f>
        <v/>
      </c>
      <c r="C26" s="15" t="n"/>
      <c r="D26" s="15" t="n"/>
      <c r="E26" s="20" t="n"/>
      <c r="F26" s="20" t="n"/>
      <c r="G26" s="20" t="n"/>
      <c r="H26" s="20" t="n"/>
      <c r="I26" s="20" t="n"/>
    </row>
    <row r="27" ht="22" customHeight="1">
      <c r="B27" s="18">
        <f>IF(C27="","SEM-"&amp;TEXT(COUNTA($C$5:C27),"000"))</f>
        <v/>
      </c>
      <c r="C27" s="13" t="n"/>
      <c r="D27" s="13" t="n"/>
      <c r="E27" s="19" t="n"/>
      <c r="F27" s="19" t="n"/>
      <c r="G27" s="19" t="n"/>
      <c r="H27" s="19" t="n"/>
      <c r="I27" s="19" t="n"/>
    </row>
    <row r="28" ht="22" customHeight="1">
      <c r="B28" s="17">
        <f>IF(C28="","SEM-"&amp;TEXT(COUNTA($C$5:C28),"000"))</f>
        <v/>
      </c>
      <c r="C28" s="15" t="n"/>
      <c r="D28" s="15" t="n"/>
      <c r="E28" s="20" t="n"/>
      <c r="F28" s="20" t="n"/>
      <c r="G28" s="20" t="n"/>
      <c r="H28" s="20" t="n"/>
      <c r="I28" s="20" t="n"/>
    </row>
    <row r="29" ht="22" customHeight="1">
      <c r="B29" s="18">
        <f>IF(C29="","SEM-"&amp;TEXT(COUNTA($C$5:C29),"000"))</f>
        <v/>
      </c>
      <c r="C29" s="13" t="n"/>
      <c r="D29" s="13" t="n"/>
      <c r="E29" s="19" t="n"/>
      <c r="F29" s="19" t="n"/>
      <c r="G29" s="19" t="n"/>
      <c r="H29" s="19" t="n"/>
      <c r="I29" s="19" t="n"/>
    </row>
    <row r="30" ht="22" customHeight="1">
      <c r="B30" s="17">
        <f>IF(C30="","SEM-"&amp;TEXT(COUNTA($C$5:C30),"000"))</f>
        <v/>
      </c>
      <c r="C30" s="15" t="n"/>
      <c r="D30" s="15" t="n"/>
      <c r="E30" s="20" t="n"/>
      <c r="F30" s="20" t="n"/>
      <c r="G30" s="20" t="n"/>
      <c r="H30" s="20" t="n"/>
      <c r="I30" s="20" t="n"/>
    </row>
    <row r="31" ht="22" customHeight="1">
      <c r="B31" s="18">
        <f>IF(C31="","SEM-"&amp;TEXT(COUNTA($C$5:C31),"000"))</f>
        <v/>
      </c>
      <c r="C31" s="13" t="n"/>
      <c r="D31" s="13" t="n"/>
      <c r="E31" s="19" t="n"/>
      <c r="F31" s="19" t="n"/>
      <c r="G31" s="19" t="n"/>
      <c r="H31" s="19" t="n"/>
      <c r="I31" s="19" t="n"/>
    </row>
    <row r="32" ht="22" customHeight="1">
      <c r="B32" s="17">
        <f>IF(C32="","SEM-"&amp;TEXT(COUNTA($C$5:C32),"000"))</f>
        <v/>
      </c>
      <c r="C32" s="15" t="n"/>
      <c r="D32" s="15" t="n"/>
      <c r="E32" s="20" t="n"/>
      <c r="F32" s="20" t="n"/>
      <c r="G32" s="20" t="n"/>
      <c r="H32" s="20" t="n"/>
      <c r="I32" s="20" t="n"/>
    </row>
    <row r="33" ht="22" customHeight="1">
      <c r="B33" s="18">
        <f>IF(C33="","SEM-"&amp;TEXT(COUNTA($C$5:C33),"000"))</f>
        <v/>
      </c>
      <c r="C33" s="13" t="n"/>
      <c r="D33" s="13" t="n"/>
      <c r="E33" s="19" t="n"/>
      <c r="F33" s="19" t="n"/>
      <c r="G33" s="19" t="n"/>
      <c r="H33" s="19" t="n"/>
      <c r="I33" s="19" t="n"/>
    </row>
    <row r="34" ht="22" customHeight="1">
      <c r="B34" s="17">
        <f>IF(C34="","SEM-"&amp;TEXT(COUNTA($C$5:C34),"000"))</f>
        <v/>
      </c>
      <c r="C34" s="15" t="n"/>
      <c r="D34" s="15" t="n"/>
      <c r="E34" s="20" t="n"/>
      <c r="F34" s="20" t="n"/>
      <c r="G34" s="20" t="n"/>
      <c r="H34" s="20" t="n"/>
      <c r="I34" s="20" t="n"/>
    </row>
    <row r="35" ht="22" customHeight="1">
      <c r="B35" s="18">
        <f>IF(C35="","SEM-"&amp;TEXT(COUNTA($C$5:C35),"000"))</f>
        <v/>
      </c>
      <c r="C35" s="13" t="n"/>
      <c r="D35" s="13" t="n"/>
      <c r="E35" s="19" t="n"/>
      <c r="F35" s="19" t="n"/>
      <c r="G35" s="19" t="n"/>
      <c r="H35" s="19" t="n"/>
      <c r="I35" s="19" t="n"/>
    </row>
    <row r="36" ht="22" customHeight="1">
      <c r="B36" s="17">
        <f>IF(C36="","SEM-"&amp;TEXT(COUNTA($C$5:C36),"000"))</f>
        <v/>
      </c>
      <c r="C36" s="15" t="n"/>
      <c r="D36" s="15" t="n"/>
      <c r="E36" s="20" t="n"/>
      <c r="F36" s="20" t="n"/>
      <c r="G36" s="20" t="n"/>
      <c r="H36" s="20" t="n"/>
      <c r="I36" s="20" t="n"/>
    </row>
    <row r="37" ht="22" customHeight="1">
      <c r="B37" s="18">
        <f>IF(C37="","SEM-"&amp;TEXT(COUNTA($C$5:C37),"000"))</f>
        <v/>
      </c>
      <c r="C37" s="13" t="n"/>
      <c r="D37" s="13" t="n"/>
      <c r="E37" s="19" t="n"/>
      <c r="F37" s="19" t="n"/>
      <c r="G37" s="19" t="n"/>
      <c r="H37" s="19" t="n"/>
      <c r="I37" s="19" t="n"/>
    </row>
    <row r="38" ht="22" customHeight="1">
      <c r="B38" s="17">
        <f>IF(C38="","SEM-"&amp;TEXT(COUNTA($C$5:C38),"000"))</f>
        <v/>
      </c>
      <c r="C38" s="15" t="n"/>
      <c r="D38" s="15" t="n"/>
      <c r="E38" s="20" t="n"/>
      <c r="F38" s="20" t="n"/>
      <c r="G38" s="20" t="n"/>
      <c r="H38" s="20" t="n"/>
      <c r="I38" s="20" t="n"/>
    </row>
    <row r="39" ht="22" customHeight="1">
      <c r="B39" s="18">
        <f>IF(C39="","SEM-"&amp;TEXT(COUNTA($C$5:C39),"000"))</f>
        <v/>
      </c>
      <c r="C39" s="13" t="n"/>
      <c r="D39" s="13" t="n"/>
      <c r="E39" s="19" t="n"/>
      <c r="F39" s="19" t="n"/>
      <c r="G39" s="19" t="n"/>
      <c r="H39" s="19" t="n"/>
      <c r="I39" s="19" t="n"/>
    </row>
    <row r="40" ht="22" customHeight="1">
      <c r="B40" s="17">
        <f>IF(C40="","SEM-"&amp;TEXT(COUNTA($C$5:C40),"000"))</f>
        <v/>
      </c>
      <c r="C40" s="15" t="n"/>
      <c r="D40" s="15" t="n"/>
      <c r="E40" s="20" t="n"/>
      <c r="F40" s="20" t="n"/>
      <c r="G40" s="20" t="n"/>
      <c r="H40" s="20" t="n"/>
      <c r="I40" s="20" t="n"/>
    </row>
    <row r="41" ht="22" customHeight="1">
      <c r="B41" s="18">
        <f>IF(C41="","SEM-"&amp;TEXT(COUNTA($C$5:C41),"000"))</f>
        <v/>
      </c>
      <c r="C41" s="13" t="n"/>
      <c r="D41" s="13" t="n"/>
      <c r="E41" s="19" t="n"/>
      <c r="F41" s="19" t="n"/>
      <c r="G41" s="19" t="n"/>
      <c r="H41" s="19" t="n"/>
      <c r="I41" s="19" t="n"/>
    </row>
    <row r="42" ht="22" customHeight="1">
      <c r="B42" s="17">
        <f>IF(C42="","SEM-"&amp;TEXT(COUNTA($C$5:C42),"000"))</f>
        <v/>
      </c>
      <c r="C42" s="15" t="n"/>
      <c r="D42" s="15" t="n"/>
      <c r="E42" s="20" t="n"/>
      <c r="F42" s="20" t="n"/>
      <c r="G42" s="20" t="n"/>
      <c r="H42" s="20" t="n"/>
      <c r="I42" s="20" t="n"/>
    </row>
    <row r="43" ht="22" customHeight="1">
      <c r="B43" s="18">
        <f>IF(C43="","SEM-"&amp;TEXT(COUNTA($C$5:C43),"000"))</f>
        <v/>
      </c>
      <c r="C43" s="13" t="n"/>
      <c r="D43" s="13" t="n"/>
      <c r="E43" s="19" t="n"/>
      <c r="F43" s="19" t="n"/>
      <c r="G43" s="19" t="n"/>
      <c r="H43" s="19" t="n"/>
      <c r="I43" s="19" t="n"/>
    </row>
    <row r="44" ht="22" customHeight="1">
      <c r="B44" s="17">
        <f>IF(C44="","SEM-"&amp;TEXT(COUNTA($C$5:C44),"000"))</f>
        <v/>
      </c>
      <c r="C44" s="15" t="n"/>
      <c r="D44" s="15" t="n"/>
      <c r="E44" s="20" t="n"/>
      <c r="F44" s="20" t="n"/>
      <c r="G44" s="20" t="n"/>
      <c r="H44" s="20" t="n"/>
      <c r="I44" s="20" t="n"/>
    </row>
    <row r="45" ht="22" customHeight="1">
      <c r="B45" s="18">
        <f>IF(C45="","SEM-"&amp;TEXT(COUNTA($C$5:C45),"000"))</f>
        <v/>
      </c>
      <c r="C45" s="13" t="n"/>
      <c r="D45" s="13" t="n"/>
      <c r="E45" s="19" t="n"/>
      <c r="F45" s="19" t="n"/>
      <c r="G45" s="19" t="n"/>
      <c r="H45" s="19" t="n"/>
      <c r="I45" s="19" t="n"/>
    </row>
    <row r="46" ht="22" customHeight="1">
      <c r="B46" s="17">
        <f>IF(C46="","SEM-"&amp;TEXT(COUNTA($C$5:C46),"000"))</f>
        <v/>
      </c>
      <c r="C46" s="15" t="n"/>
      <c r="D46" s="15" t="n"/>
      <c r="E46" s="20" t="n"/>
      <c r="F46" s="20" t="n"/>
      <c r="G46" s="20" t="n"/>
      <c r="H46" s="20" t="n"/>
      <c r="I46" s="20" t="n"/>
    </row>
    <row r="47" ht="22" customHeight="1">
      <c r="B47" s="18">
        <f>IF(C47="","SEM-"&amp;TEXT(COUNTA($C$5:C47),"000"))</f>
        <v/>
      </c>
      <c r="C47" s="13" t="n"/>
      <c r="D47" s="13" t="n"/>
      <c r="E47" s="19" t="n"/>
      <c r="F47" s="19" t="n"/>
      <c r="G47" s="19" t="n"/>
      <c r="H47" s="19" t="n"/>
      <c r="I47" s="19" t="n"/>
    </row>
    <row r="48" ht="22" customHeight="1">
      <c r="B48" s="17">
        <f>IF(C48="","SEM-"&amp;TEXT(COUNTA($C$5:C48),"000"))</f>
        <v/>
      </c>
      <c r="C48" s="15" t="n"/>
      <c r="D48" s="15" t="n"/>
      <c r="E48" s="20" t="n"/>
      <c r="F48" s="20" t="n"/>
      <c r="G48" s="20" t="n"/>
      <c r="H48" s="20" t="n"/>
      <c r="I48" s="20" t="n"/>
    </row>
    <row r="49" ht="22" customHeight="1">
      <c r="B49" s="18">
        <f>IF(C49="","SEM-"&amp;TEXT(COUNTA($C$5:C49),"000"))</f>
        <v/>
      </c>
      <c r="C49" s="13" t="n"/>
      <c r="D49" s="13" t="n"/>
      <c r="E49" s="19" t="n"/>
      <c r="F49" s="19" t="n"/>
      <c r="G49" s="19" t="n"/>
      <c r="H49" s="19" t="n"/>
      <c r="I49" s="19" t="n"/>
    </row>
    <row r="50" ht="22" customHeight="1">
      <c r="B50" s="17">
        <f>IF(C50="","SEM-"&amp;TEXT(COUNTA($C$5:C50),"000"))</f>
        <v/>
      </c>
      <c r="C50" s="15" t="n"/>
      <c r="D50" s="15" t="n"/>
      <c r="E50" s="20" t="n"/>
      <c r="F50" s="20" t="n"/>
      <c r="G50" s="20" t="n"/>
      <c r="H50" s="20" t="n"/>
      <c r="I50" s="20" t="n"/>
    </row>
    <row r="51" ht="22" customHeight="1">
      <c r="B51" s="18">
        <f>IF(C51="","SEM-"&amp;TEXT(COUNTA($C$5:C51),"000"))</f>
        <v/>
      </c>
      <c r="C51" s="13" t="n"/>
      <c r="D51" s="13" t="n"/>
      <c r="E51" s="19" t="n"/>
      <c r="F51" s="19" t="n"/>
      <c r="G51" s="19" t="n"/>
      <c r="H51" s="19" t="n"/>
      <c r="I51" s="19" t="n"/>
    </row>
    <row r="52" ht="22" customHeight="1">
      <c r="B52" s="17">
        <f>IF(C52="","SEM-"&amp;TEXT(COUNTA($C$5:C52),"000"))</f>
        <v/>
      </c>
      <c r="C52" s="15" t="n"/>
      <c r="D52" s="15" t="n"/>
      <c r="E52" s="20" t="n"/>
      <c r="F52" s="20" t="n"/>
      <c r="G52" s="20" t="n"/>
      <c r="H52" s="20" t="n"/>
      <c r="I52" s="20" t="n"/>
    </row>
    <row r="53" ht="22" customHeight="1">
      <c r="B53" s="18">
        <f>IF(C53="","SEM-"&amp;TEXT(COUNTA($C$5:C53),"000"))</f>
        <v/>
      </c>
      <c r="C53" s="13" t="n"/>
      <c r="D53" s="13" t="n"/>
      <c r="E53" s="19" t="n"/>
      <c r="F53" s="19" t="n"/>
      <c r="G53" s="19" t="n"/>
      <c r="H53" s="19" t="n"/>
      <c r="I53" s="19" t="n"/>
    </row>
    <row r="54" ht="22" customHeight="1">
      <c r="B54" s="17">
        <f>IF(C54="","SEM-"&amp;TEXT(COUNTA($C$5:C54),"000"))</f>
        <v/>
      </c>
      <c r="C54" s="15" t="n"/>
      <c r="D54" s="15" t="n"/>
      <c r="E54" s="20" t="n"/>
      <c r="F54" s="20" t="n"/>
      <c r="G54" s="20" t="n"/>
      <c r="H54" s="20" t="n"/>
      <c r="I54" s="20" t="n"/>
    </row>
    <row r="55" ht="22" customHeight="1">
      <c r="B55" s="18">
        <f>IF(C55="","SEM-"&amp;TEXT(COUNTA($C$5:C55),"000"))</f>
        <v/>
      </c>
      <c r="C55" s="13" t="n"/>
      <c r="D55" s="13" t="n"/>
      <c r="E55" s="19" t="n"/>
      <c r="F55" s="19" t="n"/>
      <c r="G55" s="19" t="n"/>
      <c r="H55" s="19" t="n"/>
      <c r="I55" s="19" t="n"/>
    </row>
    <row r="56" ht="22" customHeight="1">
      <c r="B56" s="17">
        <f>IF(C56="","SEM-"&amp;TEXT(COUNTA($C$5:C56),"000"))</f>
        <v/>
      </c>
      <c r="C56" s="15" t="n"/>
      <c r="D56" s="15" t="n"/>
      <c r="E56" s="20" t="n"/>
      <c r="F56" s="20" t="n"/>
      <c r="G56" s="20" t="n"/>
      <c r="H56" s="20" t="n"/>
      <c r="I56" s="20" t="n"/>
    </row>
    <row r="57" ht="22" customHeight="1">
      <c r="B57" s="18">
        <f>IF(C57="","SEM-"&amp;TEXT(COUNTA($C$5:C57),"000"))</f>
        <v/>
      </c>
      <c r="C57" s="13" t="n"/>
      <c r="D57" s="13" t="n"/>
      <c r="E57" s="19" t="n"/>
      <c r="F57" s="19" t="n"/>
      <c r="G57" s="19" t="n"/>
      <c r="H57" s="19" t="n"/>
      <c r="I57" s="19" t="n"/>
    </row>
    <row r="58" ht="22" customHeight="1">
      <c r="B58" s="17">
        <f>IF(C58="","SEM-"&amp;TEXT(COUNTA($C$5:C58),"000"))</f>
        <v/>
      </c>
      <c r="C58" s="15" t="n"/>
      <c r="D58" s="15" t="n"/>
      <c r="E58" s="20" t="n"/>
      <c r="F58" s="20" t="n"/>
      <c r="G58" s="20" t="n"/>
      <c r="H58" s="20" t="n"/>
      <c r="I58" s="20" t="n"/>
    </row>
    <row r="59" ht="22" customHeight="1">
      <c r="B59" s="18">
        <f>IF(C59="","SEM-"&amp;TEXT(COUNTA($C$5:C59),"000"))</f>
        <v/>
      </c>
      <c r="C59" s="13" t="n"/>
      <c r="D59" s="13" t="n"/>
      <c r="E59" s="19" t="n"/>
      <c r="F59" s="19" t="n"/>
      <c r="G59" s="19" t="n"/>
      <c r="H59" s="19" t="n"/>
      <c r="I59" s="19" t="n"/>
    </row>
    <row r="60" ht="22" customHeight="1">
      <c r="B60" s="17">
        <f>IF(C60="","SEM-"&amp;TEXT(COUNTA($C$5:C60),"000"))</f>
        <v/>
      </c>
      <c r="C60" s="15" t="n"/>
      <c r="D60" s="15" t="n"/>
      <c r="E60" s="20" t="n"/>
      <c r="F60" s="20" t="n"/>
      <c r="G60" s="20" t="n"/>
      <c r="H60" s="20" t="n"/>
      <c r="I60" s="20" t="n"/>
    </row>
    <row r="61" ht="22" customHeight="1">
      <c r="B61" s="18">
        <f>IF(C61="","SEM-"&amp;TEXT(COUNTA($C$5:C61),"000"))</f>
        <v/>
      </c>
      <c r="C61" s="13" t="n"/>
      <c r="D61" s="13" t="n"/>
      <c r="E61" s="19" t="n"/>
      <c r="F61" s="19" t="n"/>
      <c r="G61" s="19" t="n"/>
      <c r="H61" s="19" t="n"/>
      <c r="I61" s="19" t="n"/>
    </row>
    <row r="62" ht="22" customHeight="1">
      <c r="B62" s="17">
        <f>IF(C62="","SEM-"&amp;TEXT(COUNTA($C$5:C62),"000"))</f>
        <v/>
      </c>
      <c r="C62" s="15" t="n"/>
      <c r="D62" s="15" t="n"/>
      <c r="E62" s="20" t="n"/>
      <c r="F62" s="20" t="n"/>
      <c r="G62" s="20" t="n"/>
      <c r="H62" s="20" t="n"/>
      <c r="I62" s="20" t="n"/>
    </row>
    <row r="63" ht="22" customHeight="1">
      <c r="B63" s="18">
        <f>IF(C63="","SEM-"&amp;TEXT(COUNTA($C$5:C63),"000"))</f>
        <v/>
      </c>
      <c r="C63" s="13" t="n"/>
      <c r="D63" s="13" t="n"/>
      <c r="E63" s="19" t="n"/>
      <c r="F63" s="19" t="n"/>
      <c r="G63" s="19" t="n"/>
      <c r="H63" s="19" t="n"/>
      <c r="I63" s="19" t="n"/>
    </row>
    <row r="64" ht="22" customHeight="1">
      <c r="B64" s="17">
        <f>IF(C64="","SEM-"&amp;TEXT(COUNTA($C$5:C64),"000"))</f>
        <v/>
      </c>
      <c r="C64" s="15" t="n"/>
      <c r="D64" s="15" t="n"/>
      <c r="E64" s="20" t="n"/>
      <c r="F64" s="20" t="n"/>
      <c r="G64" s="20" t="n"/>
      <c r="H64" s="20" t="n"/>
      <c r="I64" s="20" t="n"/>
    </row>
    <row r="65" ht="22" customHeight="1">
      <c r="B65" s="18">
        <f>IF(C65="","SEM-"&amp;TEXT(COUNTA($C$5:C65),"000"))</f>
        <v/>
      </c>
      <c r="C65" s="13" t="n"/>
      <c r="D65" s="13" t="n"/>
      <c r="E65" s="19" t="n"/>
      <c r="F65" s="19" t="n"/>
      <c r="G65" s="19" t="n"/>
      <c r="H65" s="19" t="n"/>
      <c r="I65" s="19" t="n"/>
    </row>
    <row r="66" ht="22" customHeight="1">
      <c r="B66" s="17">
        <f>IF(C66="","SEM-"&amp;TEXT(COUNTA($C$5:C66),"000"))</f>
        <v/>
      </c>
      <c r="C66" s="15" t="n"/>
      <c r="D66" s="15" t="n"/>
      <c r="E66" s="20" t="n"/>
      <c r="F66" s="20" t="n"/>
      <c r="G66" s="20" t="n"/>
      <c r="H66" s="20" t="n"/>
      <c r="I66" s="20" t="n"/>
    </row>
    <row r="67" ht="22" customHeight="1">
      <c r="B67" s="18">
        <f>IF(C67="","SEM-"&amp;TEXT(COUNTA($C$5:C67),"000"))</f>
        <v/>
      </c>
      <c r="C67" s="13" t="n"/>
      <c r="D67" s="13" t="n"/>
      <c r="E67" s="19" t="n"/>
      <c r="F67" s="19" t="n"/>
      <c r="G67" s="19" t="n"/>
      <c r="H67" s="19" t="n"/>
      <c r="I67" s="19" t="n"/>
    </row>
    <row r="68" ht="22" customHeight="1">
      <c r="B68" s="17">
        <f>IF(C68="","SEM-"&amp;TEXT(COUNTA($C$5:C68),"000"))</f>
        <v/>
      </c>
      <c r="C68" s="15" t="n"/>
      <c r="D68" s="15" t="n"/>
      <c r="E68" s="20" t="n"/>
      <c r="F68" s="20" t="n"/>
      <c r="G68" s="20" t="n"/>
      <c r="H68" s="20" t="n"/>
      <c r="I68" s="20" t="n"/>
    </row>
    <row r="69" ht="22" customHeight="1">
      <c r="B69" s="18">
        <f>IF(C69="","SEM-"&amp;TEXT(COUNTA($C$5:C69),"000"))</f>
        <v/>
      </c>
      <c r="C69" s="13" t="n"/>
      <c r="D69" s="13" t="n"/>
      <c r="E69" s="19" t="n"/>
      <c r="F69" s="19" t="n"/>
      <c r="G69" s="19" t="n"/>
      <c r="H69" s="19" t="n"/>
      <c r="I69" s="19" t="n"/>
    </row>
    <row r="70" ht="22" customHeight="1">
      <c r="B70" s="17">
        <f>IF(C70="","SEM-"&amp;TEXT(COUNTA($C$5:C70),"000"))</f>
        <v/>
      </c>
      <c r="C70" s="15" t="n"/>
      <c r="D70" s="15" t="n"/>
      <c r="E70" s="20" t="n"/>
      <c r="F70" s="20" t="n"/>
      <c r="G70" s="20" t="n"/>
      <c r="H70" s="20" t="n"/>
      <c r="I70" s="20" t="n"/>
    </row>
    <row r="71" ht="22" customHeight="1">
      <c r="B71" s="18">
        <f>IF(C71="","SEM-"&amp;TEXT(COUNTA($C$5:C71),"000"))</f>
        <v/>
      </c>
      <c r="C71" s="13" t="n"/>
      <c r="D71" s="13" t="n"/>
      <c r="E71" s="19" t="n"/>
      <c r="F71" s="19" t="n"/>
      <c r="G71" s="19" t="n"/>
      <c r="H71" s="19" t="n"/>
      <c r="I71" s="19" t="n"/>
    </row>
    <row r="72" ht="22" customHeight="1">
      <c r="B72" s="17">
        <f>IF(C72="","SEM-"&amp;TEXT(COUNTA($C$5:C72),"000"))</f>
        <v/>
      </c>
      <c r="C72" s="15" t="n"/>
      <c r="D72" s="15" t="n"/>
      <c r="E72" s="20" t="n"/>
      <c r="F72" s="20" t="n"/>
      <c r="G72" s="20" t="n"/>
      <c r="H72" s="20" t="n"/>
      <c r="I72" s="20" t="n"/>
    </row>
    <row r="73" ht="22" customHeight="1">
      <c r="B73" s="18">
        <f>IF(C73="","SEM-"&amp;TEXT(COUNTA($C$5:C73),"000"))</f>
        <v/>
      </c>
      <c r="C73" s="13" t="n"/>
      <c r="D73" s="13" t="n"/>
      <c r="E73" s="19" t="n"/>
      <c r="F73" s="19" t="n"/>
      <c r="G73" s="19" t="n"/>
      <c r="H73" s="19" t="n"/>
      <c r="I73" s="19" t="n"/>
    </row>
    <row r="74" ht="22" customHeight="1">
      <c r="B74" s="17">
        <f>IF(C74="","SEM-"&amp;TEXT(COUNTA($C$5:C74),"000"))</f>
        <v/>
      </c>
      <c r="C74" s="15" t="n"/>
      <c r="D74" s="15" t="n"/>
      <c r="E74" s="20" t="n"/>
      <c r="F74" s="20" t="n"/>
      <c r="G74" s="20" t="n"/>
      <c r="H74" s="20" t="n"/>
      <c r="I74" s="20" t="n"/>
    </row>
    <row r="75" ht="22" customHeight="1">
      <c r="B75" s="18">
        <f>IF(C75="","SEM-"&amp;TEXT(COUNTA($C$5:C75),"000"))</f>
        <v/>
      </c>
      <c r="C75" s="13" t="n"/>
      <c r="D75" s="13" t="n"/>
      <c r="E75" s="19" t="n"/>
      <c r="F75" s="19" t="n"/>
      <c r="G75" s="19" t="n"/>
      <c r="H75" s="19" t="n"/>
      <c r="I75" s="19" t="n"/>
    </row>
    <row r="76" ht="22" customHeight="1">
      <c r="B76" s="17">
        <f>IF(C76="","SEM-"&amp;TEXT(COUNTA($C$5:C76),"000"))</f>
        <v/>
      </c>
      <c r="C76" s="15" t="n"/>
      <c r="D76" s="15" t="n"/>
      <c r="E76" s="20" t="n"/>
      <c r="F76" s="20" t="n"/>
      <c r="G76" s="20" t="n"/>
      <c r="H76" s="20" t="n"/>
      <c r="I76" s="20" t="n"/>
    </row>
    <row r="77" ht="22" customHeight="1">
      <c r="B77" s="18">
        <f>IF(C77="","SEM-"&amp;TEXT(COUNTA($C$5:C77),"000"))</f>
        <v/>
      </c>
      <c r="C77" s="13" t="n"/>
      <c r="D77" s="13" t="n"/>
      <c r="E77" s="19" t="n"/>
      <c r="F77" s="19" t="n"/>
      <c r="G77" s="19" t="n"/>
      <c r="H77" s="19" t="n"/>
      <c r="I77" s="19" t="n"/>
    </row>
    <row r="78" ht="22" customHeight="1">
      <c r="B78" s="17">
        <f>IF(C78="","SEM-"&amp;TEXT(COUNTA($C$5:C78),"000"))</f>
        <v/>
      </c>
      <c r="C78" s="15" t="n"/>
      <c r="D78" s="15" t="n"/>
      <c r="E78" s="20" t="n"/>
      <c r="F78" s="20" t="n"/>
      <c r="G78" s="20" t="n"/>
      <c r="H78" s="20" t="n"/>
      <c r="I78" s="20" t="n"/>
    </row>
    <row r="79" ht="22" customHeight="1">
      <c r="B79" s="18">
        <f>IF(C79="","SEM-"&amp;TEXT(COUNTA($C$5:C79),"000"))</f>
        <v/>
      </c>
      <c r="C79" s="13" t="n"/>
      <c r="D79" s="13" t="n"/>
      <c r="E79" s="19" t="n"/>
      <c r="F79" s="19" t="n"/>
      <c r="G79" s="19" t="n"/>
      <c r="H79" s="19" t="n"/>
      <c r="I79" s="19" t="n"/>
    </row>
    <row r="80" ht="22" customHeight="1">
      <c r="B80" s="17">
        <f>IF(C80="","SEM-"&amp;TEXT(COUNTA($C$5:C80),"000"))</f>
        <v/>
      </c>
      <c r="C80" s="15" t="n"/>
      <c r="D80" s="15" t="n"/>
      <c r="E80" s="20" t="n"/>
      <c r="F80" s="20" t="n"/>
      <c r="G80" s="20" t="n"/>
      <c r="H80" s="20" t="n"/>
      <c r="I80" s="20" t="n"/>
    </row>
    <row r="81" ht="22" customHeight="1">
      <c r="B81" s="18">
        <f>IF(C81="","SEM-"&amp;TEXT(COUNTA($C$5:C81),"000"))</f>
        <v/>
      </c>
      <c r="C81" s="13" t="n"/>
      <c r="D81" s="13" t="n"/>
      <c r="E81" s="19" t="n"/>
      <c r="F81" s="19" t="n"/>
      <c r="G81" s="19" t="n"/>
      <c r="H81" s="19" t="n"/>
      <c r="I81" s="19" t="n"/>
    </row>
    <row r="82" ht="22" customHeight="1">
      <c r="B82" s="17">
        <f>IF(C82="","SEM-"&amp;TEXT(COUNTA($C$5:C82),"000"))</f>
        <v/>
      </c>
      <c r="C82" s="15" t="n"/>
      <c r="D82" s="15" t="n"/>
      <c r="E82" s="20" t="n"/>
      <c r="F82" s="20" t="n"/>
      <c r="G82" s="20" t="n"/>
      <c r="H82" s="20" t="n"/>
      <c r="I82" s="20" t="n"/>
    </row>
    <row r="83" ht="22" customHeight="1">
      <c r="B83" s="18">
        <f>IF(C83="","SEM-"&amp;TEXT(COUNTA($C$5:C83),"000"))</f>
        <v/>
      </c>
      <c r="C83" s="13" t="n"/>
      <c r="D83" s="13" t="n"/>
      <c r="E83" s="19" t="n"/>
      <c r="F83" s="19" t="n"/>
      <c r="G83" s="19" t="n"/>
      <c r="H83" s="19" t="n"/>
      <c r="I83" s="19" t="n"/>
    </row>
    <row r="84" ht="22" customHeight="1">
      <c r="B84" s="17">
        <f>IF(C84="","SEM-"&amp;TEXT(COUNTA($C$5:C84),"000"))</f>
        <v/>
      </c>
      <c r="C84" s="15" t="n"/>
      <c r="D84" s="15" t="n"/>
      <c r="E84" s="20" t="n"/>
      <c r="F84" s="20" t="n"/>
      <c r="G84" s="20" t="n"/>
      <c r="H84" s="20" t="n"/>
      <c r="I84" s="20" t="n"/>
    </row>
    <row r="85" ht="22" customHeight="1">
      <c r="B85" s="18">
        <f>IF(C85="","SEM-"&amp;TEXT(COUNTA($C$5:C85),"000"))</f>
        <v/>
      </c>
      <c r="C85" s="13" t="n"/>
      <c r="D85" s="13" t="n"/>
      <c r="E85" s="19" t="n"/>
      <c r="F85" s="19" t="n"/>
      <c r="G85" s="19" t="n"/>
      <c r="H85" s="19" t="n"/>
      <c r="I85" s="19" t="n"/>
    </row>
    <row r="86" ht="22" customHeight="1">
      <c r="B86" s="17">
        <f>IF(C86="","SEM-"&amp;TEXT(COUNTA($C$5:C86),"000"))</f>
        <v/>
      </c>
      <c r="C86" s="15" t="n"/>
      <c r="D86" s="15" t="n"/>
      <c r="E86" s="20" t="n"/>
      <c r="F86" s="20" t="n"/>
      <c r="G86" s="20" t="n"/>
      <c r="H86" s="20" t="n"/>
      <c r="I86" s="20" t="n"/>
    </row>
    <row r="87" ht="22" customHeight="1">
      <c r="B87" s="18">
        <f>IF(C87="","SEM-"&amp;TEXT(COUNTA($C$5:C87),"000"))</f>
        <v/>
      </c>
      <c r="C87" s="13" t="n"/>
      <c r="D87" s="13" t="n"/>
      <c r="E87" s="19" t="n"/>
      <c r="F87" s="19" t="n"/>
      <c r="G87" s="19" t="n"/>
      <c r="H87" s="19" t="n"/>
      <c r="I87" s="19" t="n"/>
    </row>
    <row r="88" ht="22" customHeight="1">
      <c r="B88" s="17">
        <f>IF(C88="","SEM-"&amp;TEXT(COUNTA($C$5:C88),"000"))</f>
        <v/>
      </c>
      <c r="C88" s="15" t="n"/>
      <c r="D88" s="15" t="n"/>
      <c r="E88" s="20" t="n"/>
      <c r="F88" s="20" t="n"/>
      <c r="G88" s="20" t="n"/>
      <c r="H88" s="20" t="n"/>
      <c r="I88" s="20" t="n"/>
    </row>
    <row r="89" ht="22" customHeight="1">
      <c r="B89" s="18">
        <f>IF(C89="","SEM-"&amp;TEXT(COUNTA($C$5:C89),"000"))</f>
        <v/>
      </c>
      <c r="C89" s="13" t="n"/>
      <c r="D89" s="13" t="n"/>
      <c r="E89" s="19" t="n"/>
      <c r="F89" s="19" t="n"/>
      <c r="G89" s="19" t="n"/>
      <c r="H89" s="19" t="n"/>
      <c r="I89" s="19" t="n"/>
    </row>
    <row r="90" ht="22" customHeight="1">
      <c r="B90" s="17">
        <f>IF(C90="","SEM-"&amp;TEXT(COUNTA($C$5:C90),"000"))</f>
        <v/>
      </c>
      <c r="C90" s="15" t="n"/>
      <c r="D90" s="15" t="n"/>
      <c r="E90" s="20" t="n"/>
      <c r="F90" s="20" t="n"/>
      <c r="G90" s="20" t="n"/>
      <c r="H90" s="20" t="n"/>
      <c r="I90" s="20" t="n"/>
    </row>
    <row r="91" ht="22" customHeight="1">
      <c r="B91" s="18">
        <f>IF(C91="","SEM-"&amp;TEXT(COUNTA($C$5:C91),"000"))</f>
        <v/>
      </c>
      <c r="C91" s="13" t="n"/>
      <c r="D91" s="13" t="n"/>
      <c r="E91" s="19" t="n"/>
      <c r="F91" s="19" t="n"/>
      <c r="G91" s="19" t="n"/>
      <c r="H91" s="19" t="n"/>
      <c r="I91" s="19" t="n"/>
    </row>
    <row r="92" ht="22" customHeight="1">
      <c r="B92" s="17">
        <f>IF(C92="","SEM-"&amp;TEXT(COUNTA($C$5:C92),"000"))</f>
        <v/>
      </c>
      <c r="C92" s="15" t="n"/>
      <c r="D92" s="15" t="n"/>
      <c r="E92" s="20" t="n"/>
      <c r="F92" s="20" t="n"/>
      <c r="G92" s="20" t="n"/>
      <c r="H92" s="20" t="n"/>
      <c r="I92" s="20" t="n"/>
    </row>
    <row r="93" ht="22" customHeight="1">
      <c r="B93" s="18">
        <f>IF(C93="","SEM-"&amp;TEXT(COUNTA($C$5:C93),"000"))</f>
        <v/>
      </c>
      <c r="C93" s="13" t="n"/>
      <c r="D93" s="13" t="n"/>
      <c r="E93" s="19" t="n"/>
      <c r="F93" s="19" t="n"/>
      <c r="G93" s="19" t="n"/>
      <c r="H93" s="19" t="n"/>
      <c r="I93" s="19" t="n"/>
    </row>
    <row r="94" ht="22" customHeight="1">
      <c r="B94" s="17">
        <f>IF(C94="","SEM-"&amp;TEXT(COUNTA($C$5:C94),"000"))</f>
        <v/>
      </c>
      <c r="C94" s="15" t="n"/>
      <c r="D94" s="15" t="n"/>
      <c r="E94" s="20" t="n"/>
      <c r="F94" s="20" t="n"/>
      <c r="G94" s="20" t="n"/>
      <c r="H94" s="20" t="n"/>
      <c r="I94" s="20" t="n"/>
    </row>
    <row r="95" ht="22" customHeight="1">
      <c r="B95" s="18">
        <f>IF(C95="","SEM-"&amp;TEXT(COUNTA($C$5:C95),"000"))</f>
        <v/>
      </c>
      <c r="C95" s="13" t="n"/>
      <c r="D95" s="13" t="n"/>
      <c r="E95" s="19" t="n"/>
      <c r="F95" s="19" t="n"/>
      <c r="G95" s="19" t="n"/>
      <c r="H95" s="19" t="n"/>
      <c r="I95" s="19" t="n"/>
    </row>
    <row r="96" ht="22" customHeight="1">
      <c r="B96" s="17">
        <f>IF(C96="","SEM-"&amp;TEXT(COUNTA($C$5:C96),"000"))</f>
        <v/>
      </c>
      <c r="C96" s="15" t="n"/>
      <c r="D96" s="15" t="n"/>
      <c r="E96" s="20" t="n"/>
      <c r="F96" s="20" t="n"/>
      <c r="G96" s="20" t="n"/>
      <c r="H96" s="20" t="n"/>
      <c r="I96" s="20" t="n"/>
    </row>
    <row r="97" ht="22" customHeight="1">
      <c r="B97" s="18">
        <f>IF(C97="","SEM-"&amp;TEXT(COUNTA($C$5:C97),"000"))</f>
        <v/>
      </c>
      <c r="C97" s="13" t="n"/>
      <c r="D97" s="13" t="n"/>
      <c r="E97" s="19" t="n"/>
      <c r="F97" s="19" t="n"/>
      <c r="G97" s="19" t="n"/>
      <c r="H97" s="19" t="n"/>
      <c r="I97" s="19" t="n"/>
    </row>
    <row r="98" ht="22" customHeight="1">
      <c r="B98" s="17">
        <f>IF(C98="","SEM-"&amp;TEXT(COUNTA($C$5:C98),"000"))</f>
        <v/>
      </c>
      <c r="C98" s="15" t="n"/>
      <c r="D98" s="15" t="n"/>
      <c r="E98" s="20" t="n"/>
      <c r="F98" s="20" t="n"/>
      <c r="G98" s="20" t="n"/>
      <c r="H98" s="20" t="n"/>
      <c r="I98" s="20" t="n"/>
    </row>
    <row r="99" ht="22" customHeight="1">
      <c r="B99" s="18">
        <f>IF(C99="","SEM-"&amp;TEXT(COUNTA($C$5:C99),"000"))</f>
        <v/>
      </c>
      <c r="C99" s="13" t="n"/>
      <c r="D99" s="13" t="n"/>
      <c r="E99" s="19" t="n"/>
      <c r="F99" s="19" t="n"/>
      <c r="G99" s="19" t="n"/>
      <c r="H99" s="19" t="n"/>
      <c r="I99" s="19" t="n"/>
    </row>
    <row r="100" ht="22" customHeight="1">
      <c r="B100" s="17">
        <f>IF(C100="","SEM-"&amp;TEXT(COUNTA($C$5:C100),"000"))</f>
        <v/>
      </c>
      <c r="C100" s="15" t="n"/>
      <c r="D100" s="15" t="n"/>
      <c r="E100" s="20" t="n"/>
      <c r="F100" s="20" t="n"/>
      <c r="G100" s="20" t="n"/>
      <c r="H100" s="20" t="n"/>
      <c r="I100" s="20" t="n"/>
    </row>
    <row r="101" ht="22" customHeight="1">
      <c r="B101" s="18">
        <f>IF(C101="","SEM-"&amp;TEXT(COUNTA($C$5:C101),"000"))</f>
        <v/>
      </c>
      <c r="C101" s="13" t="n"/>
      <c r="D101" s="13" t="n"/>
      <c r="E101" s="19" t="n"/>
      <c r="F101" s="19" t="n"/>
      <c r="G101" s="19" t="n"/>
      <c r="H101" s="19" t="n"/>
      <c r="I101" s="19" t="n"/>
    </row>
    <row r="102" ht="22" customHeight="1">
      <c r="B102" s="17">
        <f>IF(C102="","SEM-"&amp;TEXT(COUNTA($C$5:C102),"000"))</f>
        <v/>
      </c>
      <c r="C102" s="15" t="n"/>
      <c r="D102" s="15" t="n"/>
      <c r="E102" s="20" t="n"/>
      <c r="F102" s="20" t="n"/>
      <c r="G102" s="20" t="n"/>
      <c r="H102" s="20" t="n"/>
      <c r="I102" s="20" t="n"/>
    </row>
    <row r="103" ht="22" customHeight="1">
      <c r="B103" s="18">
        <f>IF(C103="","SEM-"&amp;TEXT(COUNTA($C$5:C103),"000"))</f>
        <v/>
      </c>
      <c r="C103" s="13" t="n"/>
      <c r="D103" s="13" t="n"/>
      <c r="E103" s="19" t="n"/>
      <c r="F103" s="19" t="n"/>
      <c r="G103" s="19" t="n"/>
      <c r="H103" s="19" t="n"/>
      <c r="I103" s="19" t="n"/>
    </row>
    <row r="104" ht="22" customHeight="1">
      <c r="B104" s="17">
        <f>IF(C104="","SEM-"&amp;TEXT(COUNTA($C$5:C104),"000"))</f>
        <v/>
      </c>
      <c r="C104" s="15" t="n"/>
      <c r="D104" s="15" t="n"/>
      <c r="E104" s="20" t="n"/>
      <c r="F104" s="20" t="n"/>
      <c r="G104" s="20" t="n"/>
      <c r="H104" s="20" t="n"/>
      <c r="I104" s="20" t="n"/>
    </row>
    <row r="105" ht="22" customHeight="1">
      <c r="B105" s="18">
        <f>IF(C105="","SEM-"&amp;TEXT(COUNTA($C$5:C105),"000"))</f>
        <v/>
      </c>
      <c r="C105" s="13" t="n"/>
      <c r="D105" s="13" t="n"/>
      <c r="E105" s="19" t="n"/>
      <c r="F105" s="19" t="n"/>
      <c r="G105" s="19" t="n"/>
      <c r="H105" s="19" t="n"/>
      <c r="I105" s="19" t="n"/>
    </row>
    <row r="106" ht="22" customHeight="1">
      <c r="B106" s="17">
        <f>IF(C106="","SEM-"&amp;TEXT(COUNTA($C$5:C106),"000"))</f>
        <v/>
      </c>
      <c r="C106" s="15" t="n"/>
      <c r="D106" s="15" t="n"/>
      <c r="E106" s="20" t="n"/>
      <c r="F106" s="20" t="n"/>
      <c r="G106" s="20" t="n"/>
      <c r="H106" s="20" t="n"/>
      <c r="I106" s="20" t="n"/>
    </row>
    <row r="107" ht="22" customHeight="1">
      <c r="B107" s="18">
        <f>IF(C107="","SEM-"&amp;TEXT(COUNTA($C$5:C107),"000"))</f>
        <v/>
      </c>
      <c r="C107" s="13" t="n"/>
      <c r="D107" s="13" t="n"/>
      <c r="E107" s="19" t="n"/>
      <c r="F107" s="19" t="n"/>
      <c r="G107" s="19" t="n"/>
      <c r="H107" s="19" t="n"/>
      <c r="I107" s="19" t="n"/>
    </row>
    <row r="108" ht="22" customHeight="1">
      <c r="B108" s="17">
        <f>IF(C108="","SEM-"&amp;TEXT(COUNTA($C$5:C108),"000"))</f>
        <v/>
      </c>
      <c r="C108" s="15" t="n"/>
      <c r="D108" s="15" t="n"/>
      <c r="E108" s="20" t="n"/>
      <c r="F108" s="20" t="n"/>
      <c r="G108" s="20" t="n"/>
      <c r="H108" s="20" t="n"/>
      <c r="I108" s="20" t="n"/>
    </row>
    <row r="109" ht="22" customHeight="1">
      <c r="B109" s="18">
        <f>IF(C109="","SEM-"&amp;TEXT(COUNTA($C$5:C109),"000"))</f>
        <v/>
      </c>
      <c r="C109" s="13" t="n"/>
      <c r="D109" s="13" t="n"/>
      <c r="E109" s="19" t="n"/>
      <c r="F109" s="19" t="n"/>
      <c r="G109" s="19" t="n"/>
      <c r="H109" s="19" t="n"/>
      <c r="I109" s="19" t="n"/>
    </row>
    <row r="110" ht="22" customHeight="1">
      <c r="B110" s="17">
        <f>IF(C110="","SEM-"&amp;TEXT(COUNTA($C$5:C110),"000"))</f>
        <v/>
      </c>
      <c r="C110" s="15" t="n"/>
      <c r="D110" s="15" t="n"/>
      <c r="E110" s="20" t="n"/>
      <c r="F110" s="20" t="n"/>
      <c r="G110" s="20" t="n"/>
      <c r="H110" s="20" t="n"/>
      <c r="I110" s="20" t="n"/>
    </row>
    <row r="111"/>
    <row r="112" ht="26" customHeight="1">
      <c r="B112" s="27" t="inlineStr">
        <is>
          <t>TOTAL</t>
        </is>
      </c>
      <c r="C112" s="28" t="n"/>
      <c r="D112" s="28" t="n"/>
      <c r="E112" s="29">
        <f>SUM(E5:E104)</f>
        <v/>
      </c>
      <c r="F112" s="29">
        <f>SUM(F5:F104)</f>
        <v/>
      </c>
      <c r="G112" s="29">
        <f>SUM(G5:G104)</f>
        <v/>
      </c>
      <c r="H112" s="29">
        <f>SUM(H5:H104)</f>
        <v/>
      </c>
      <c r="I112" s="29">
        <f>SUM(I5:I104)</f>
        <v/>
      </c>
    </row>
    <row r="113"/>
    <row r="114">
      <c r="B114" s="6" t="inlineStr">
        <is>
          <t>INDICATEURS (mis a jour automatiquement)</t>
        </is>
      </c>
    </row>
    <row r="115">
      <c r="B115" s="3" t="inlineStr">
        <is>
          <t>Mois suivis</t>
        </is>
      </c>
      <c r="D115" s="3" t="inlineStr">
        <is>
          <t>Total entrees essai</t>
        </is>
      </c>
      <c r="F115" s="3" t="inlineStr">
        <is>
          <t>Total confirmations</t>
        </is>
      </c>
      <c r="H115" s="3" t="inlineStr">
        <is>
          <t>Total ruptures</t>
        </is>
      </c>
    </row>
    <row r="116">
      <c r="B116" s="4">
        <f>COUNTIF(B5:B104,"&lt;&gt;")</f>
        <v/>
      </c>
      <c r="D116" s="4">
        <f>SUM(E5:E104)</f>
        <v/>
      </c>
      <c r="F116" s="4">
        <f>SUM(G5:G104)</f>
        <v/>
      </c>
      <c r="H116" s="4">
        <f>SUM(H5:H104)</f>
        <v/>
      </c>
    </row>
  </sheetData>
  <mergeCells count="3">
    <mergeCell ref="B3:I3"/>
    <mergeCell ref="B2:I2"/>
    <mergeCell ref="B114:I114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'_Lists'!$P$2:$P$13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J1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15" customHeight="1"/>
    <row r="2" ht="32" customHeight="1">
      <c r="B2" s="1" t="inlineStr">
        <is>
          <t>LIEN FORMATION / PERFORMANCE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Formation Suivie</t>
        </is>
      </c>
      <c r="G4" s="12" t="inlineStr">
        <is>
          <t>Note Avant (/20)</t>
        </is>
      </c>
      <c r="H4" s="12" t="inlineStr">
        <is>
          <t>Note Apres (/20)</t>
        </is>
      </c>
      <c r="I4" s="12" t="inlineStr">
        <is>
          <t>Progression (pts)</t>
        </is>
      </c>
      <c r="J4" s="12" t="inlineStr">
        <is>
          <t>Impact PAP Lie</t>
        </is>
      </c>
    </row>
    <row r="5" ht="22" customHeight="1">
      <c r="B5" s="13" t="inlineStr">
        <is>
          <t>FP-001</t>
        </is>
      </c>
      <c r="C5" s="13" t="inlineStr">
        <is>
          <t>EMP-2025-020</t>
        </is>
      </c>
      <c r="D5" s="13" t="inlineStr">
        <is>
          <t>Tagne Rene</t>
        </is>
      </c>
      <c r="E5" s="13" t="inlineStr">
        <is>
          <t>Cuisine &amp; Restauration</t>
        </is>
      </c>
      <c r="F5" s="13" t="inlineStr">
        <is>
          <t>HACCP Niveau 1</t>
        </is>
      </c>
      <c r="G5" s="14" t="n">
        <v>13</v>
      </c>
      <c r="H5" s="14" t="n">
        <v>14.5</v>
      </c>
      <c r="I5" s="14" t="n">
        <v>1.5</v>
      </c>
      <c r="J5" s="13" t="inlineStr">
        <is>
          <t>Oui</t>
        </is>
      </c>
    </row>
    <row r="6" ht="22" customHeight="1">
      <c r="B6" s="15" t="inlineStr">
        <is>
          <t>FP-002</t>
        </is>
      </c>
      <c r="C6" s="15" t="inlineStr">
        <is>
          <t>EMP-2025-032</t>
        </is>
      </c>
      <c r="D6" s="15" t="inlineStr">
        <is>
          <t>Mba Carine</t>
        </is>
      </c>
      <c r="E6" s="15" t="inlineStr">
        <is>
          <t>Service Client</t>
        </is>
      </c>
      <c r="F6" s="15" t="inlineStr">
        <is>
          <t>Gestion conflits clients</t>
        </is>
      </c>
      <c r="G6" s="16" t="n">
        <v>12</v>
      </c>
      <c r="H6" s="16" t="n">
        <v>14</v>
      </c>
      <c r="I6" s="16" t="n">
        <v>2</v>
      </c>
      <c r="J6" s="15" t="inlineStr">
        <is>
          <t>Oui</t>
        </is>
      </c>
    </row>
    <row r="7" ht="22" customHeight="1">
      <c r="B7" s="13" t="inlineStr">
        <is>
          <t>FP-003</t>
        </is>
      </c>
      <c r="C7" s="13" t="inlineStr">
        <is>
          <t>EMP-2025-002</t>
        </is>
      </c>
      <c r="D7" s="13" t="inlineStr">
        <is>
          <t>Tchinda Armand</t>
        </is>
      </c>
      <c r="E7" s="13" t="inlineStr">
        <is>
          <t>Informatique</t>
        </is>
      </c>
      <c r="F7" s="13" t="inlineStr">
        <is>
          <t>Management d'equipe</t>
        </is>
      </c>
      <c r="G7" s="14" t="n">
        <v>17.7</v>
      </c>
      <c r="H7" s="14" t="n">
        <v>18.5</v>
      </c>
      <c r="I7" s="14" t="n">
        <v>0.8</v>
      </c>
      <c r="J7" s="13" t="inlineStr">
        <is>
          <t>Non</t>
        </is>
      </c>
    </row>
    <row r="8" ht="22" customHeight="1">
      <c r="B8" s="15" t="inlineStr">
        <is>
          <t>FP-004</t>
        </is>
      </c>
      <c r="C8" s="15" t="inlineStr">
        <is>
          <t>EMP-2025-018</t>
        </is>
      </c>
      <c r="D8" s="15" t="inlineStr">
        <is>
          <t>Fokam Eric</t>
        </is>
      </c>
      <c r="E8" s="15" t="inlineStr">
        <is>
          <t>Entretien &amp; Maintenance</t>
        </is>
      </c>
      <c r="F8" s="15" t="inlineStr">
        <is>
          <t>Securite CVC</t>
        </is>
      </c>
      <c r="G8" s="16" t="n">
        <v>14</v>
      </c>
      <c r="H8" s="16" t="n">
        <v>15</v>
      </c>
      <c r="I8" s="16" t="n">
        <v>1</v>
      </c>
      <c r="J8" s="15" t="inlineStr">
        <is>
          <t>Oui</t>
        </is>
      </c>
    </row>
    <row r="9" ht="22" customHeight="1">
      <c r="B9" s="18">
        <f>IF(C9="","FP-"&amp;TEXT(COUNTA($C$5:C9),"000"))</f>
        <v/>
      </c>
      <c r="C9" s="13" t="n"/>
      <c r="D9" s="13" t="n"/>
      <c r="E9" s="13" t="n"/>
      <c r="F9" s="13" t="n"/>
      <c r="G9" s="14" t="n"/>
      <c r="H9" s="14" t="n"/>
      <c r="I9" s="14">
        <f>IF(G9="","",IF(H9="","",ROUND(H9-G9,1)))</f>
        <v/>
      </c>
      <c r="J9" s="13" t="n"/>
    </row>
    <row r="10" ht="22" customHeight="1">
      <c r="B10" s="17">
        <f>IF(C10="","FP-"&amp;TEXT(COUNTA($C$5:C10),"000"))</f>
        <v/>
      </c>
      <c r="C10" s="15" t="n"/>
      <c r="D10" s="15" t="n"/>
      <c r="E10" s="15" t="n"/>
      <c r="F10" s="15" t="n"/>
      <c r="G10" s="16" t="n"/>
      <c r="H10" s="16" t="n"/>
      <c r="I10" s="16">
        <f>IF(G10="","",IF(H10="","",ROUND(H10-G10,1)))</f>
        <v/>
      </c>
      <c r="J10" s="15" t="n"/>
    </row>
    <row r="11" ht="22" customHeight="1">
      <c r="B11" s="18">
        <f>IF(C11="","FP-"&amp;TEXT(COUNTA($C$5:C11),"000"))</f>
        <v/>
      </c>
      <c r="C11" s="13" t="n"/>
      <c r="D11" s="13" t="n"/>
      <c r="E11" s="13" t="n"/>
      <c r="F11" s="13" t="n"/>
      <c r="G11" s="14" t="n"/>
      <c r="H11" s="14" t="n"/>
      <c r="I11" s="14">
        <f>IF(G11="","",IF(H11="","",ROUND(H11-G11,1)))</f>
        <v/>
      </c>
      <c r="J11" s="13" t="n"/>
    </row>
    <row r="12" ht="22" customHeight="1">
      <c r="B12" s="17">
        <f>IF(C12="","FP-"&amp;TEXT(COUNTA($C$5:C12),"000"))</f>
        <v/>
      </c>
      <c r="C12" s="15" t="n"/>
      <c r="D12" s="15" t="n"/>
      <c r="E12" s="15" t="n"/>
      <c r="F12" s="15" t="n"/>
      <c r="G12" s="16" t="n"/>
      <c r="H12" s="16" t="n"/>
      <c r="I12" s="16">
        <f>IF(G12="","",IF(H12="","",ROUND(H12-G12,1)))</f>
        <v/>
      </c>
      <c r="J12" s="15" t="n"/>
    </row>
    <row r="13" ht="22" customHeight="1">
      <c r="B13" s="18">
        <f>IF(C13="","FP-"&amp;TEXT(COUNTA($C$5:C13),"000"))</f>
        <v/>
      </c>
      <c r="C13" s="13" t="n"/>
      <c r="D13" s="13" t="n"/>
      <c r="E13" s="13" t="n"/>
      <c r="F13" s="13" t="n"/>
      <c r="G13" s="14" t="n"/>
      <c r="H13" s="14" t="n"/>
      <c r="I13" s="14">
        <f>IF(G13="","",IF(H13="","",ROUND(H13-G13,1)))</f>
        <v/>
      </c>
      <c r="J13" s="13" t="n"/>
    </row>
    <row r="14" ht="22" customHeight="1">
      <c r="B14" s="17">
        <f>IF(C14="","FP-"&amp;TEXT(COUNTA($C$5:C14),"000"))</f>
        <v/>
      </c>
      <c r="C14" s="15" t="n"/>
      <c r="D14" s="15" t="n"/>
      <c r="E14" s="15" t="n"/>
      <c r="F14" s="15" t="n"/>
      <c r="G14" s="16" t="n"/>
      <c r="H14" s="16" t="n"/>
      <c r="I14" s="16">
        <f>IF(G14="","",IF(H14="","",ROUND(H14-G14,1)))</f>
        <v/>
      </c>
      <c r="J14" s="15" t="n"/>
    </row>
    <row r="15" ht="22" customHeight="1">
      <c r="B15" s="18">
        <f>IF(C15="","FP-"&amp;TEXT(COUNTA($C$5:C15),"000"))</f>
        <v/>
      </c>
      <c r="C15" s="13" t="n"/>
      <c r="D15" s="13" t="n"/>
      <c r="E15" s="13" t="n"/>
      <c r="F15" s="13" t="n"/>
      <c r="G15" s="14" t="n"/>
      <c r="H15" s="14" t="n"/>
      <c r="I15" s="14">
        <f>IF(G15="","",IF(H15="","",ROUND(H15-G15,1)))</f>
        <v/>
      </c>
      <c r="J15" s="13" t="n"/>
    </row>
    <row r="16" ht="22" customHeight="1">
      <c r="B16" s="17">
        <f>IF(C16="","FP-"&amp;TEXT(COUNTA($C$5:C16),"000"))</f>
        <v/>
      </c>
      <c r="C16" s="15" t="n"/>
      <c r="D16" s="15" t="n"/>
      <c r="E16" s="15" t="n"/>
      <c r="F16" s="15" t="n"/>
      <c r="G16" s="16" t="n"/>
      <c r="H16" s="16" t="n"/>
      <c r="I16" s="16">
        <f>IF(G16="","",IF(H16="","",ROUND(H16-G16,1)))</f>
        <v/>
      </c>
      <c r="J16" s="15" t="n"/>
    </row>
    <row r="17" ht="22" customHeight="1">
      <c r="B17" s="18">
        <f>IF(C17="","FP-"&amp;TEXT(COUNTA($C$5:C17),"000"))</f>
        <v/>
      </c>
      <c r="C17" s="13" t="n"/>
      <c r="D17" s="13" t="n"/>
      <c r="E17" s="13" t="n"/>
      <c r="F17" s="13" t="n"/>
      <c r="G17" s="14" t="n"/>
      <c r="H17" s="14" t="n"/>
      <c r="I17" s="14">
        <f>IF(G17="","",IF(H17="","",ROUND(H17-G17,1)))</f>
        <v/>
      </c>
      <c r="J17" s="13" t="n"/>
    </row>
    <row r="18" ht="22" customHeight="1">
      <c r="B18" s="17">
        <f>IF(C18="","FP-"&amp;TEXT(COUNTA($C$5:C18),"000"))</f>
        <v/>
      </c>
      <c r="C18" s="15" t="n"/>
      <c r="D18" s="15" t="n"/>
      <c r="E18" s="15" t="n"/>
      <c r="F18" s="15" t="n"/>
      <c r="G18" s="16" t="n"/>
      <c r="H18" s="16" t="n"/>
      <c r="I18" s="16">
        <f>IF(G18="","",IF(H18="","",ROUND(H18-G18,1)))</f>
        <v/>
      </c>
      <c r="J18" s="15" t="n"/>
    </row>
    <row r="19" ht="22" customHeight="1">
      <c r="B19" s="18">
        <f>IF(C19="","FP-"&amp;TEXT(COUNTA($C$5:C19),"000"))</f>
        <v/>
      </c>
      <c r="C19" s="13" t="n"/>
      <c r="D19" s="13" t="n"/>
      <c r="E19" s="13" t="n"/>
      <c r="F19" s="13" t="n"/>
      <c r="G19" s="14" t="n"/>
      <c r="H19" s="14" t="n"/>
      <c r="I19" s="14">
        <f>IF(G19="","",IF(H19="","",ROUND(H19-G19,1)))</f>
        <v/>
      </c>
      <c r="J19" s="13" t="n"/>
    </row>
    <row r="20" ht="22" customHeight="1">
      <c r="B20" s="17">
        <f>IF(C20="","FP-"&amp;TEXT(COUNTA($C$5:C20),"000"))</f>
        <v/>
      </c>
      <c r="C20" s="15" t="n"/>
      <c r="D20" s="15" t="n"/>
      <c r="E20" s="15" t="n"/>
      <c r="F20" s="15" t="n"/>
      <c r="G20" s="16" t="n"/>
      <c r="H20" s="16" t="n"/>
      <c r="I20" s="16">
        <f>IF(G20="","",IF(H20="","",ROUND(H20-G20,1)))</f>
        <v/>
      </c>
      <c r="J20" s="15" t="n"/>
    </row>
    <row r="21" ht="22" customHeight="1">
      <c r="B21" s="18">
        <f>IF(C21="","FP-"&amp;TEXT(COUNTA($C$5:C21),"000"))</f>
        <v/>
      </c>
      <c r="C21" s="13" t="n"/>
      <c r="D21" s="13" t="n"/>
      <c r="E21" s="13" t="n"/>
      <c r="F21" s="13" t="n"/>
      <c r="G21" s="14" t="n"/>
      <c r="H21" s="14" t="n"/>
      <c r="I21" s="14">
        <f>IF(G21="","",IF(H21="","",ROUND(H21-G21,1)))</f>
        <v/>
      </c>
      <c r="J21" s="13" t="n"/>
    </row>
    <row r="22" ht="22" customHeight="1">
      <c r="B22" s="17">
        <f>IF(C22="","FP-"&amp;TEXT(COUNTA($C$5:C22),"000"))</f>
        <v/>
      </c>
      <c r="C22" s="15" t="n"/>
      <c r="D22" s="15" t="n"/>
      <c r="E22" s="15" t="n"/>
      <c r="F22" s="15" t="n"/>
      <c r="G22" s="16" t="n"/>
      <c r="H22" s="16" t="n"/>
      <c r="I22" s="16">
        <f>IF(G22="","",IF(H22="","",ROUND(H22-G22,1)))</f>
        <v/>
      </c>
      <c r="J22" s="15" t="n"/>
    </row>
    <row r="23" ht="22" customHeight="1">
      <c r="B23" s="18">
        <f>IF(C23="","FP-"&amp;TEXT(COUNTA($C$5:C23),"000"))</f>
        <v/>
      </c>
      <c r="C23" s="13" t="n"/>
      <c r="D23" s="13" t="n"/>
      <c r="E23" s="13" t="n"/>
      <c r="F23" s="13" t="n"/>
      <c r="G23" s="14" t="n"/>
      <c r="H23" s="14" t="n"/>
      <c r="I23" s="14">
        <f>IF(G23="","",IF(H23="","",ROUND(H23-G23,1)))</f>
        <v/>
      </c>
      <c r="J23" s="13" t="n"/>
    </row>
    <row r="24" ht="22" customHeight="1">
      <c r="B24" s="17">
        <f>IF(C24="","FP-"&amp;TEXT(COUNTA($C$5:C24),"000"))</f>
        <v/>
      </c>
      <c r="C24" s="15" t="n"/>
      <c r="D24" s="15" t="n"/>
      <c r="E24" s="15" t="n"/>
      <c r="F24" s="15" t="n"/>
      <c r="G24" s="16" t="n"/>
      <c r="H24" s="16" t="n"/>
      <c r="I24" s="16">
        <f>IF(G24="","",IF(H24="","",ROUND(H24-G24,1)))</f>
        <v/>
      </c>
      <c r="J24" s="15" t="n"/>
    </row>
    <row r="25" ht="22" customHeight="1">
      <c r="B25" s="18">
        <f>IF(C25="","FP-"&amp;TEXT(COUNTA($C$5:C25),"000"))</f>
        <v/>
      </c>
      <c r="C25" s="13" t="n"/>
      <c r="D25" s="13" t="n"/>
      <c r="E25" s="13" t="n"/>
      <c r="F25" s="13" t="n"/>
      <c r="G25" s="14" t="n"/>
      <c r="H25" s="14" t="n"/>
      <c r="I25" s="14">
        <f>IF(G25="","",IF(H25="","",ROUND(H25-G25,1)))</f>
        <v/>
      </c>
      <c r="J25" s="13" t="n"/>
    </row>
    <row r="26" ht="22" customHeight="1">
      <c r="B26" s="17">
        <f>IF(C26="","FP-"&amp;TEXT(COUNTA($C$5:C26),"000"))</f>
        <v/>
      </c>
      <c r="C26" s="15" t="n"/>
      <c r="D26" s="15" t="n"/>
      <c r="E26" s="15" t="n"/>
      <c r="F26" s="15" t="n"/>
      <c r="G26" s="16" t="n"/>
      <c r="H26" s="16" t="n"/>
      <c r="I26" s="16">
        <f>IF(G26="","",IF(H26="","",ROUND(H26-G26,1)))</f>
        <v/>
      </c>
      <c r="J26" s="15" t="n"/>
    </row>
    <row r="27" ht="22" customHeight="1">
      <c r="B27" s="18">
        <f>IF(C27="","FP-"&amp;TEXT(COUNTA($C$5:C27),"000"))</f>
        <v/>
      </c>
      <c r="C27" s="13" t="n"/>
      <c r="D27" s="13" t="n"/>
      <c r="E27" s="13" t="n"/>
      <c r="F27" s="13" t="n"/>
      <c r="G27" s="14" t="n"/>
      <c r="H27" s="14" t="n"/>
      <c r="I27" s="14">
        <f>IF(G27="","",IF(H27="","",ROUND(H27-G27,1)))</f>
        <v/>
      </c>
      <c r="J27" s="13" t="n"/>
    </row>
    <row r="28" ht="22" customHeight="1">
      <c r="B28" s="17">
        <f>IF(C28="","FP-"&amp;TEXT(COUNTA($C$5:C28),"000"))</f>
        <v/>
      </c>
      <c r="C28" s="15" t="n"/>
      <c r="D28" s="15" t="n"/>
      <c r="E28" s="15" t="n"/>
      <c r="F28" s="15" t="n"/>
      <c r="G28" s="16" t="n"/>
      <c r="H28" s="16" t="n"/>
      <c r="I28" s="16">
        <f>IF(G28="","",IF(H28="","",ROUND(H28-G28,1)))</f>
        <v/>
      </c>
      <c r="J28" s="15" t="n"/>
    </row>
    <row r="29" ht="22" customHeight="1">
      <c r="B29" s="18">
        <f>IF(C29="","FP-"&amp;TEXT(COUNTA($C$5:C29),"000"))</f>
        <v/>
      </c>
      <c r="C29" s="13" t="n"/>
      <c r="D29" s="13" t="n"/>
      <c r="E29" s="13" t="n"/>
      <c r="F29" s="13" t="n"/>
      <c r="G29" s="14" t="n"/>
      <c r="H29" s="14" t="n"/>
      <c r="I29" s="14">
        <f>IF(G29="","",IF(H29="","",ROUND(H29-G29,1)))</f>
        <v/>
      </c>
      <c r="J29" s="13" t="n"/>
    </row>
    <row r="30" ht="22" customHeight="1">
      <c r="B30" s="17">
        <f>IF(C30="","FP-"&amp;TEXT(COUNTA($C$5:C30),"000"))</f>
        <v/>
      </c>
      <c r="C30" s="15" t="n"/>
      <c r="D30" s="15" t="n"/>
      <c r="E30" s="15" t="n"/>
      <c r="F30" s="15" t="n"/>
      <c r="G30" s="16" t="n"/>
      <c r="H30" s="16" t="n"/>
      <c r="I30" s="16">
        <f>IF(G30="","",IF(H30="","",ROUND(H30-G30,1)))</f>
        <v/>
      </c>
      <c r="J30" s="15" t="n"/>
    </row>
    <row r="31" ht="22" customHeight="1">
      <c r="B31" s="18">
        <f>IF(C31="","FP-"&amp;TEXT(COUNTA($C$5:C31),"000"))</f>
        <v/>
      </c>
      <c r="C31" s="13" t="n"/>
      <c r="D31" s="13" t="n"/>
      <c r="E31" s="13" t="n"/>
      <c r="F31" s="13" t="n"/>
      <c r="G31" s="14" t="n"/>
      <c r="H31" s="14" t="n"/>
      <c r="I31" s="14">
        <f>IF(G31="","",IF(H31="","",ROUND(H31-G31,1)))</f>
        <v/>
      </c>
      <c r="J31" s="13" t="n"/>
    </row>
    <row r="32" ht="22" customHeight="1">
      <c r="B32" s="17">
        <f>IF(C32="","FP-"&amp;TEXT(COUNTA($C$5:C32),"000"))</f>
        <v/>
      </c>
      <c r="C32" s="15" t="n"/>
      <c r="D32" s="15" t="n"/>
      <c r="E32" s="15" t="n"/>
      <c r="F32" s="15" t="n"/>
      <c r="G32" s="16" t="n"/>
      <c r="H32" s="16" t="n"/>
      <c r="I32" s="16">
        <f>IF(G32="","",IF(H32="","",ROUND(H32-G32,1)))</f>
        <v/>
      </c>
      <c r="J32" s="15" t="n"/>
    </row>
    <row r="33" ht="22" customHeight="1">
      <c r="B33" s="18">
        <f>IF(C33="","FP-"&amp;TEXT(COUNTA($C$5:C33),"000"))</f>
        <v/>
      </c>
      <c r="C33" s="13" t="n"/>
      <c r="D33" s="13" t="n"/>
      <c r="E33" s="13" t="n"/>
      <c r="F33" s="13" t="n"/>
      <c r="G33" s="14" t="n"/>
      <c r="H33" s="14" t="n"/>
      <c r="I33" s="14">
        <f>IF(G33="","",IF(H33="","",ROUND(H33-G33,1)))</f>
        <v/>
      </c>
      <c r="J33" s="13" t="n"/>
    </row>
    <row r="34" ht="22" customHeight="1">
      <c r="B34" s="17">
        <f>IF(C34="","FP-"&amp;TEXT(COUNTA($C$5:C34),"000"))</f>
        <v/>
      </c>
      <c r="C34" s="15" t="n"/>
      <c r="D34" s="15" t="n"/>
      <c r="E34" s="15" t="n"/>
      <c r="F34" s="15" t="n"/>
      <c r="G34" s="16" t="n"/>
      <c r="H34" s="16" t="n"/>
      <c r="I34" s="16">
        <f>IF(G34="","",IF(H34="","",ROUND(H34-G34,1)))</f>
        <v/>
      </c>
      <c r="J34" s="15" t="n"/>
    </row>
    <row r="35" ht="22" customHeight="1">
      <c r="B35" s="18">
        <f>IF(C35="","FP-"&amp;TEXT(COUNTA($C$5:C35),"000"))</f>
        <v/>
      </c>
      <c r="C35" s="13" t="n"/>
      <c r="D35" s="13" t="n"/>
      <c r="E35" s="13" t="n"/>
      <c r="F35" s="13" t="n"/>
      <c r="G35" s="14" t="n"/>
      <c r="H35" s="14" t="n"/>
      <c r="I35" s="14">
        <f>IF(G35="","",IF(H35="","",ROUND(H35-G35,1)))</f>
        <v/>
      </c>
      <c r="J35" s="13" t="n"/>
    </row>
    <row r="36" ht="22" customHeight="1">
      <c r="B36" s="17">
        <f>IF(C36="","FP-"&amp;TEXT(COUNTA($C$5:C36),"000"))</f>
        <v/>
      </c>
      <c r="C36" s="15" t="n"/>
      <c r="D36" s="15" t="n"/>
      <c r="E36" s="15" t="n"/>
      <c r="F36" s="15" t="n"/>
      <c r="G36" s="16" t="n"/>
      <c r="H36" s="16" t="n"/>
      <c r="I36" s="16">
        <f>IF(G36="","",IF(H36="","",ROUND(H36-G36,1)))</f>
        <v/>
      </c>
      <c r="J36" s="15" t="n"/>
    </row>
    <row r="37" ht="22" customHeight="1">
      <c r="B37" s="18">
        <f>IF(C37="","FP-"&amp;TEXT(COUNTA($C$5:C37),"000"))</f>
        <v/>
      </c>
      <c r="C37" s="13" t="n"/>
      <c r="D37" s="13" t="n"/>
      <c r="E37" s="13" t="n"/>
      <c r="F37" s="13" t="n"/>
      <c r="G37" s="14" t="n"/>
      <c r="H37" s="14" t="n"/>
      <c r="I37" s="14">
        <f>IF(G37="","",IF(H37="","",ROUND(H37-G37,1)))</f>
        <v/>
      </c>
      <c r="J37" s="13" t="n"/>
    </row>
    <row r="38" ht="22" customHeight="1">
      <c r="B38" s="17">
        <f>IF(C38="","FP-"&amp;TEXT(COUNTA($C$5:C38),"000"))</f>
        <v/>
      </c>
      <c r="C38" s="15" t="n"/>
      <c r="D38" s="15" t="n"/>
      <c r="E38" s="15" t="n"/>
      <c r="F38" s="15" t="n"/>
      <c r="G38" s="16" t="n"/>
      <c r="H38" s="16" t="n"/>
      <c r="I38" s="16">
        <f>IF(G38="","",IF(H38="","",ROUND(H38-G38,1)))</f>
        <v/>
      </c>
      <c r="J38" s="15" t="n"/>
    </row>
    <row r="39" ht="22" customHeight="1">
      <c r="B39" s="18">
        <f>IF(C39="","FP-"&amp;TEXT(COUNTA($C$5:C39),"000"))</f>
        <v/>
      </c>
      <c r="C39" s="13" t="n"/>
      <c r="D39" s="13" t="n"/>
      <c r="E39" s="13" t="n"/>
      <c r="F39" s="13" t="n"/>
      <c r="G39" s="14" t="n"/>
      <c r="H39" s="14" t="n"/>
      <c r="I39" s="14">
        <f>IF(G39="","",IF(H39="","",ROUND(H39-G39,1)))</f>
        <v/>
      </c>
      <c r="J39" s="13" t="n"/>
    </row>
    <row r="40" ht="22" customHeight="1">
      <c r="B40" s="17">
        <f>IF(C40="","FP-"&amp;TEXT(COUNTA($C$5:C40),"000"))</f>
        <v/>
      </c>
      <c r="C40" s="15" t="n"/>
      <c r="D40" s="15" t="n"/>
      <c r="E40" s="15" t="n"/>
      <c r="F40" s="15" t="n"/>
      <c r="G40" s="16" t="n"/>
      <c r="H40" s="16" t="n"/>
      <c r="I40" s="16">
        <f>IF(G40="","",IF(H40="","",ROUND(H40-G40,1)))</f>
        <v/>
      </c>
      <c r="J40" s="15" t="n"/>
    </row>
    <row r="41" ht="22" customHeight="1">
      <c r="B41" s="18">
        <f>IF(C41="","FP-"&amp;TEXT(COUNTA($C$5:C41),"000"))</f>
        <v/>
      </c>
      <c r="C41" s="13" t="n"/>
      <c r="D41" s="13" t="n"/>
      <c r="E41" s="13" t="n"/>
      <c r="F41" s="13" t="n"/>
      <c r="G41" s="14" t="n"/>
      <c r="H41" s="14" t="n"/>
      <c r="I41" s="14">
        <f>IF(G41="","",IF(H41="","",ROUND(H41-G41,1)))</f>
        <v/>
      </c>
      <c r="J41" s="13" t="n"/>
    </row>
    <row r="42" ht="22" customHeight="1">
      <c r="B42" s="17">
        <f>IF(C42="","FP-"&amp;TEXT(COUNTA($C$5:C42),"000"))</f>
        <v/>
      </c>
      <c r="C42" s="15" t="n"/>
      <c r="D42" s="15" t="n"/>
      <c r="E42" s="15" t="n"/>
      <c r="F42" s="15" t="n"/>
      <c r="G42" s="16" t="n"/>
      <c r="H42" s="16" t="n"/>
      <c r="I42" s="16">
        <f>IF(G42="","",IF(H42="","",ROUND(H42-G42,1)))</f>
        <v/>
      </c>
      <c r="J42" s="15" t="n"/>
    </row>
    <row r="43" ht="22" customHeight="1">
      <c r="B43" s="18">
        <f>IF(C43="","FP-"&amp;TEXT(COUNTA($C$5:C43),"000"))</f>
        <v/>
      </c>
      <c r="C43" s="13" t="n"/>
      <c r="D43" s="13" t="n"/>
      <c r="E43" s="13" t="n"/>
      <c r="F43" s="13" t="n"/>
      <c r="G43" s="14" t="n"/>
      <c r="H43" s="14" t="n"/>
      <c r="I43" s="14">
        <f>IF(G43="","",IF(H43="","",ROUND(H43-G43,1)))</f>
        <v/>
      </c>
      <c r="J43" s="13" t="n"/>
    </row>
    <row r="44" ht="22" customHeight="1">
      <c r="B44" s="17">
        <f>IF(C44="","FP-"&amp;TEXT(COUNTA($C$5:C44),"000"))</f>
        <v/>
      </c>
      <c r="C44" s="15" t="n"/>
      <c r="D44" s="15" t="n"/>
      <c r="E44" s="15" t="n"/>
      <c r="F44" s="15" t="n"/>
      <c r="G44" s="16" t="n"/>
      <c r="H44" s="16" t="n"/>
      <c r="I44" s="16">
        <f>IF(G44="","",IF(H44="","",ROUND(H44-G44,1)))</f>
        <v/>
      </c>
      <c r="J44" s="15" t="n"/>
    </row>
    <row r="45" ht="22" customHeight="1">
      <c r="B45" s="18">
        <f>IF(C45="","FP-"&amp;TEXT(COUNTA($C$5:C45),"000"))</f>
        <v/>
      </c>
      <c r="C45" s="13" t="n"/>
      <c r="D45" s="13" t="n"/>
      <c r="E45" s="13" t="n"/>
      <c r="F45" s="13" t="n"/>
      <c r="G45" s="14" t="n"/>
      <c r="H45" s="14" t="n"/>
      <c r="I45" s="14">
        <f>IF(G45="","",IF(H45="","",ROUND(H45-G45,1)))</f>
        <v/>
      </c>
      <c r="J45" s="13" t="n"/>
    </row>
    <row r="46" ht="22" customHeight="1">
      <c r="B46" s="17">
        <f>IF(C46="","FP-"&amp;TEXT(COUNTA($C$5:C46),"000"))</f>
        <v/>
      </c>
      <c r="C46" s="15" t="n"/>
      <c r="D46" s="15" t="n"/>
      <c r="E46" s="15" t="n"/>
      <c r="F46" s="15" t="n"/>
      <c r="G46" s="16" t="n"/>
      <c r="H46" s="16" t="n"/>
      <c r="I46" s="16">
        <f>IF(G46="","",IF(H46="","",ROUND(H46-G46,1)))</f>
        <v/>
      </c>
      <c r="J46" s="15" t="n"/>
    </row>
    <row r="47" ht="22" customHeight="1">
      <c r="B47" s="18">
        <f>IF(C47="","FP-"&amp;TEXT(COUNTA($C$5:C47),"000"))</f>
        <v/>
      </c>
      <c r="C47" s="13" t="n"/>
      <c r="D47" s="13" t="n"/>
      <c r="E47" s="13" t="n"/>
      <c r="F47" s="13" t="n"/>
      <c r="G47" s="14" t="n"/>
      <c r="H47" s="14" t="n"/>
      <c r="I47" s="14">
        <f>IF(G47="","",IF(H47="","",ROUND(H47-G47,1)))</f>
        <v/>
      </c>
      <c r="J47" s="13" t="n"/>
    </row>
    <row r="48" ht="22" customHeight="1">
      <c r="B48" s="17">
        <f>IF(C48="","FP-"&amp;TEXT(COUNTA($C$5:C48),"000"))</f>
        <v/>
      </c>
      <c r="C48" s="15" t="n"/>
      <c r="D48" s="15" t="n"/>
      <c r="E48" s="15" t="n"/>
      <c r="F48" s="15" t="n"/>
      <c r="G48" s="16" t="n"/>
      <c r="H48" s="16" t="n"/>
      <c r="I48" s="16">
        <f>IF(G48="","",IF(H48="","",ROUND(H48-G48,1)))</f>
        <v/>
      </c>
      <c r="J48" s="15" t="n"/>
    </row>
    <row r="49" ht="22" customHeight="1">
      <c r="B49" s="18">
        <f>IF(C49="","FP-"&amp;TEXT(COUNTA($C$5:C49),"000"))</f>
        <v/>
      </c>
      <c r="C49" s="13" t="n"/>
      <c r="D49" s="13" t="n"/>
      <c r="E49" s="13" t="n"/>
      <c r="F49" s="13" t="n"/>
      <c r="G49" s="14" t="n"/>
      <c r="H49" s="14" t="n"/>
      <c r="I49" s="14">
        <f>IF(G49="","",IF(H49="","",ROUND(H49-G49,1)))</f>
        <v/>
      </c>
      <c r="J49" s="13" t="n"/>
    </row>
    <row r="50" ht="22" customHeight="1">
      <c r="B50" s="17">
        <f>IF(C50="","FP-"&amp;TEXT(COUNTA($C$5:C50),"000"))</f>
        <v/>
      </c>
      <c r="C50" s="15" t="n"/>
      <c r="D50" s="15" t="n"/>
      <c r="E50" s="15" t="n"/>
      <c r="F50" s="15" t="n"/>
      <c r="G50" s="16" t="n"/>
      <c r="H50" s="16" t="n"/>
      <c r="I50" s="16">
        <f>IF(G50="","",IF(H50="","",ROUND(H50-G50,1)))</f>
        <v/>
      </c>
      <c r="J50" s="15" t="n"/>
    </row>
    <row r="51" ht="22" customHeight="1">
      <c r="B51" s="18">
        <f>IF(C51="","FP-"&amp;TEXT(COUNTA($C$5:C51),"000"))</f>
        <v/>
      </c>
      <c r="C51" s="13" t="n"/>
      <c r="D51" s="13" t="n"/>
      <c r="E51" s="13" t="n"/>
      <c r="F51" s="13" t="n"/>
      <c r="G51" s="14" t="n"/>
      <c r="H51" s="14" t="n"/>
      <c r="I51" s="14">
        <f>IF(G51="","",IF(H51="","",ROUND(H51-G51,1)))</f>
        <v/>
      </c>
      <c r="J51" s="13" t="n"/>
    </row>
    <row r="52" ht="22" customHeight="1">
      <c r="B52" s="17">
        <f>IF(C52="","FP-"&amp;TEXT(COUNTA($C$5:C52),"000"))</f>
        <v/>
      </c>
      <c r="C52" s="15" t="n"/>
      <c r="D52" s="15" t="n"/>
      <c r="E52" s="15" t="n"/>
      <c r="F52" s="15" t="n"/>
      <c r="G52" s="16" t="n"/>
      <c r="H52" s="16" t="n"/>
      <c r="I52" s="16">
        <f>IF(G52="","",IF(H52="","",ROUND(H52-G52,1)))</f>
        <v/>
      </c>
      <c r="J52" s="15" t="n"/>
    </row>
    <row r="53" ht="22" customHeight="1">
      <c r="B53" s="18">
        <f>IF(C53="","FP-"&amp;TEXT(COUNTA($C$5:C53),"000"))</f>
        <v/>
      </c>
      <c r="C53" s="13" t="n"/>
      <c r="D53" s="13" t="n"/>
      <c r="E53" s="13" t="n"/>
      <c r="F53" s="13" t="n"/>
      <c r="G53" s="14" t="n"/>
      <c r="H53" s="14" t="n"/>
      <c r="I53" s="14">
        <f>IF(G53="","",IF(H53="","",ROUND(H53-G53,1)))</f>
        <v/>
      </c>
      <c r="J53" s="13" t="n"/>
    </row>
    <row r="54" ht="22" customHeight="1">
      <c r="B54" s="17">
        <f>IF(C54="","FP-"&amp;TEXT(COUNTA($C$5:C54),"000"))</f>
        <v/>
      </c>
      <c r="C54" s="15" t="n"/>
      <c r="D54" s="15" t="n"/>
      <c r="E54" s="15" t="n"/>
      <c r="F54" s="15" t="n"/>
      <c r="G54" s="16" t="n"/>
      <c r="H54" s="16" t="n"/>
      <c r="I54" s="16">
        <f>IF(G54="","",IF(H54="","",ROUND(H54-G54,1)))</f>
        <v/>
      </c>
      <c r="J54" s="15" t="n"/>
    </row>
    <row r="55" ht="22" customHeight="1">
      <c r="B55" s="18">
        <f>IF(C55="","FP-"&amp;TEXT(COUNTA($C$5:C55),"000"))</f>
        <v/>
      </c>
      <c r="C55" s="13" t="n"/>
      <c r="D55" s="13" t="n"/>
      <c r="E55" s="13" t="n"/>
      <c r="F55" s="13" t="n"/>
      <c r="G55" s="14" t="n"/>
      <c r="H55" s="14" t="n"/>
      <c r="I55" s="14">
        <f>IF(G55="","",IF(H55="","",ROUND(H55-G55,1)))</f>
        <v/>
      </c>
      <c r="J55" s="13" t="n"/>
    </row>
    <row r="56" ht="22" customHeight="1">
      <c r="B56" s="17">
        <f>IF(C56="","FP-"&amp;TEXT(COUNTA($C$5:C56),"000"))</f>
        <v/>
      </c>
      <c r="C56" s="15" t="n"/>
      <c r="D56" s="15" t="n"/>
      <c r="E56" s="15" t="n"/>
      <c r="F56" s="15" t="n"/>
      <c r="G56" s="16" t="n"/>
      <c r="H56" s="16" t="n"/>
      <c r="I56" s="16">
        <f>IF(G56="","",IF(H56="","",ROUND(H56-G56,1)))</f>
        <v/>
      </c>
      <c r="J56" s="15" t="n"/>
    </row>
    <row r="57" ht="22" customHeight="1">
      <c r="B57" s="18">
        <f>IF(C57="","FP-"&amp;TEXT(COUNTA($C$5:C57),"000"))</f>
        <v/>
      </c>
      <c r="C57" s="13" t="n"/>
      <c r="D57" s="13" t="n"/>
      <c r="E57" s="13" t="n"/>
      <c r="F57" s="13" t="n"/>
      <c r="G57" s="14" t="n"/>
      <c r="H57" s="14" t="n"/>
      <c r="I57" s="14">
        <f>IF(G57="","",IF(H57="","",ROUND(H57-G57,1)))</f>
        <v/>
      </c>
      <c r="J57" s="13" t="n"/>
    </row>
    <row r="58" ht="22" customHeight="1">
      <c r="B58" s="17">
        <f>IF(C58="","FP-"&amp;TEXT(COUNTA($C$5:C58),"000"))</f>
        <v/>
      </c>
      <c r="C58" s="15" t="n"/>
      <c r="D58" s="15" t="n"/>
      <c r="E58" s="15" t="n"/>
      <c r="F58" s="15" t="n"/>
      <c r="G58" s="16" t="n"/>
      <c r="H58" s="16" t="n"/>
      <c r="I58" s="16">
        <f>IF(G58="","",IF(H58="","",ROUND(H58-G58,1)))</f>
        <v/>
      </c>
      <c r="J58" s="15" t="n"/>
    </row>
    <row r="59" ht="22" customHeight="1">
      <c r="B59" s="18">
        <f>IF(C59="","FP-"&amp;TEXT(COUNTA($C$5:C59),"000"))</f>
        <v/>
      </c>
      <c r="C59" s="13" t="n"/>
      <c r="D59" s="13" t="n"/>
      <c r="E59" s="13" t="n"/>
      <c r="F59" s="13" t="n"/>
      <c r="G59" s="14" t="n"/>
      <c r="H59" s="14" t="n"/>
      <c r="I59" s="14">
        <f>IF(G59="","",IF(H59="","",ROUND(H59-G59,1)))</f>
        <v/>
      </c>
      <c r="J59" s="13" t="n"/>
    </row>
    <row r="60" ht="22" customHeight="1">
      <c r="B60" s="17">
        <f>IF(C60="","FP-"&amp;TEXT(COUNTA($C$5:C60),"000"))</f>
        <v/>
      </c>
      <c r="C60" s="15" t="n"/>
      <c r="D60" s="15" t="n"/>
      <c r="E60" s="15" t="n"/>
      <c r="F60" s="15" t="n"/>
      <c r="G60" s="16" t="n"/>
      <c r="H60" s="16" t="n"/>
      <c r="I60" s="16">
        <f>IF(G60="","",IF(H60="","",ROUND(H60-G60,1)))</f>
        <v/>
      </c>
      <c r="J60" s="15" t="n"/>
    </row>
    <row r="61" ht="22" customHeight="1">
      <c r="B61" s="18">
        <f>IF(C61="","FP-"&amp;TEXT(COUNTA($C$5:C61),"000"))</f>
        <v/>
      </c>
      <c r="C61" s="13" t="n"/>
      <c r="D61" s="13" t="n"/>
      <c r="E61" s="13" t="n"/>
      <c r="F61" s="13" t="n"/>
      <c r="G61" s="14" t="n"/>
      <c r="H61" s="14" t="n"/>
      <c r="I61" s="14">
        <f>IF(G61="","",IF(H61="","",ROUND(H61-G61,1)))</f>
        <v/>
      </c>
      <c r="J61" s="13" t="n"/>
    </row>
    <row r="62" ht="22" customHeight="1">
      <c r="B62" s="17">
        <f>IF(C62="","FP-"&amp;TEXT(COUNTA($C$5:C62),"000"))</f>
        <v/>
      </c>
      <c r="C62" s="15" t="n"/>
      <c r="D62" s="15" t="n"/>
      <c r="E62" s="15" t="n"/>
      <c r="F62" s="15" t="n"/>
      <c r="G62" s="16" t="n"/>
      <c r="H62" s="16" t="n"/>
      <c r="I62" s="16">
        <f>IF(G62="","",IF(H62="","",ROUND(H62-G62,1)))</f>
        <v/>
      </c>
      <c r="J62" s="15" t="n"/>
    </row>
    <row r="63" ht="22" customHeight="1">
      <c r="B63" s="18">
        <f>IF(C63="","FP-"&amp;TEXT(COUNTA($C$5:C63),"000"))</f>
        <v/>
      </c>
      <c r="C63" s="13" t="n"/>
      <c r="D63" s="13" t="n"/>
      <c r="E63" s="13" t="n"/>
      <c r="F63" s="13" t="n"/>
      <c r="G63" s="14" t="n"/>
      <c r="H63" s="14" t="n"/>
      <c r="I63" s="14">
        <f>IF(G63="","",IF(H63="","",ROUND(H63-G63,1)))</f>
        <v/>
      </c>
      <c r="J63" s="13" t="n"/>
    </row>
    <row r="64" ht="22" customHeight="1">
      <c r="B64" s="17">
        <f>IF(C64="","FP-"&amp;TEXT(COUNTA($C$5:C64),"000"))</f>
        <v/>
      </c>
      <c r="C64" s="15" t="n"/>
      <c r="D64" s="15" t="n"/>
      <c r="E64" s="15" t="n"/>
      <c r="F64" s="15" t="n"/>
      <c r="G64" s="16" t="n"/>
      <c r="H64" s="16" t="n"/>
      <c r="I64" s="16">
        <f>IF(G64="","",IF(H64="","",ROUND(H64-G64,1)))</f>
        <v/>
      </c>
      <c r="J64" s="15" t="n"/>
    </row>
    <row r="65" ht="22" customHeight="1">
      <c r="B65" s="18">
        <f>IF(C65="","FP-"&amp;TEXT(COUNTA($C$5:C65),"000"))</f>
        <v/>
      </c>
      <c r="C65" s="13" t="n"/>
      <c r="D65" s="13" t="n"/>
      <c r="E65" s="13" t="n"/>
      <c r="F65" s="13" t="n"/>
      <c r="G65" s="14" t="n"/>
      <c r="H65" s="14" t="n"/>
      <c r="I65" s="14">
        <f>IF(G65="","",IF(H65="","",ROUND(H65-G65,1)))</f>
        <v/>
      </c>
      <c r="J65" s="13" t="n"/>
    </row>
    <row r="66" ht="22" customHeight="1">
      <c r="B66" s="17">
        <f>IF(C66="","FP-"&amp;TEXT(COUNTA($C$5:C66),"000"))</f>
        <v/>
      </c>
      <c r="C66" s="15" t="n"/>
      <c r="D66" s="15" t="n"/>
      <c r="E66" s="15" t="n"/>
      <c r="F66" s="15" t="n"/>
      <c r="G66" s="16" t="n"/>
      <c r="H66" s="16" t="n"/>
      <c r="I66" s="16">
        <f>IF(G66="","",IF(H66="","",ROUND(H66-G66,1)))</f>
        <v/>
      </c>
      <c r="J66" s="15" t="n"/>
    </row>
    <row r="67" ht="22" customHeight="1">
      <c r="B67" s="18">
        <f>IF(C67="","FP-"&amp;TEXT(COUNTA($C$5:C67),"000"))</f>
        <v/>
      </c>
      <c r="C67" s="13" t="n"/>
      <c r="D67" s="13" t="n"/>
      <c r="E67" s="13" t="n"/>
      <c r="F67" s="13" t="n"/>
      <c r="G67" s="14" t="n"/>
      <c r="H67" s="14" t="n"/>
      <c r="I67" s="14">
        <f>IF(G67="","",IF(H67="","",ROUND(H67-G67,1)))</f>
        <v/>
      </c>
      <c r="J67" s="13" t="n"/>
    </row>
    <row r="68" ht="22" customHeight="1">
      <c r="B68" s="17">
        <f>IF(C68="","FP-"&amp;TEXT(COUNTA($C$5:C68),"000"))</f>
        <v/>
      </c>
      <c r="C68" s="15" t="n"/>
      <c r="D68" s="15" t="n"/>
      <c r="E68" s="15" t="n"/>
      <c r="F68" s="15" t="n"/>
      <c r="G68" s="16" t="n"/>
      <c r="H68" s="16" t="n"/>
      <c r="I68" s="16">
        <f>IF(G68="","",IF(H68="","",ROUND(H68-G68,1)))</f>
        <v/>
      </c>
      <c r="J68" s="15" t="n"/>
    </row>
    <row r="69" ht="22" customHeight="1">
      <c r="B69" s="18">
        <f>IF(C69="","FP-"&amp;TEXT(COUNTA($C$5:C69),"000"))</f>
        <v/>
      </c>
      <c r="C69" s="13" t="n"/>
      <c r="D69" s="13" t="n"/>
      <c r="E69" s="13" t="n"/>
      <c r="F69" s="13" t="n"/>
      <c r="G69" s="14" t="n"/>
      <c r="H69" s="14" t="n"/>
      <c r="I69" s="14">
        <f>IF(G69="","",IF(H69="","",ROUND(H69-G69,1)))</f>
        <v/>
      </c>
      <c r="J69" s="13" t="n"/>
    </row>
    <row r="70" ht="22" customHeight="1">
      <c r="B70" s="17">
        <f>IF(C70="","FP-"&amp;TEXT(COUNTA($C$5:C70),"000"))</f>
        <v/>
      </c>
      <c r="C70" s="15" t="n"/>
      <c r="D70" s="15" t="n"/>
      <c r="E70" s="15" t="n"/>
      <c r="F70" s="15" t="n"/>
      <c r="G70" s="16" t="n"/>
      <c r="H70" s="16" t="n"/>
      <c r="I70" s="16">
        <f>IF(G70="","",IF(H70="","",ROUND(H70-G70,1)))</f>
        <v/>
      </c>
      <c r="J70" s="15" t="n"/>
    </row>
    <row r="71" ht="22" customHeight="1">
      <c r="B71" s="18">
        <f>IF(C71="","FP-"&amp;TEXT(COUNTA($C$5:C71),"000"))</f>
        <v/>
      </c>
      <c r="C71" s="13" t="n"/>
      <c r="D71" s="13" t="n"/>
      <c r="E71" s="13" t="n"/>
      <c r="F71" s="13" t="n"/>
      <c r="G71" s="14" t="n"/>
      <c r="H71" s="14" t="n"/>
      <c r="I71" s="14">
        <f>IF(G71="","",IF(H71="","",ROUND(H71-G71,1)))</f>
        <v/>
      </c>
      <c r="J71" s="13" t="n"/>
    </row>
    <row r="72" ht="22" customHeight="1">
      <c r="B72" s="17">
        <f>IF(C72="","FP-"&amp;TEXT(COUNTA($C$5:C72),"000"))</f>
        <v/>
      </c>
      <c r="C72" s="15" t="n"/>
      <c r="D72" s="15" t="n"/>
      <c r="E72" s="15" t="n"/>
      <c r="F72" s="15" t="n"/>
      <c r="G72" s="16" t="n"/>
      <c r="H72" s="16" t="n"/>
      <c r="I72" s="16">
        <f>IF(G72="","",IF(H72="","",ROUND(H72-G72,1)))</f>
        <v/>
      </c>
      <c r="J72" s="15" t="n"/>
    </row>
    <row r="73" ht="22" customHeight="1">
      <c r="B73" s="18">
        <f>IF(C73="","FP-"&amp;TEXT(COUNTA($C$5:C73),"000"))</f>
        <v/>
      </c>
      <c r="C73" s="13" t="n"/>
      <c r="D73" s="13" t="n"/>
      <c r="E73" s="13" t="n"/>
      <c r="F73" s="13" t="n"/>
      <c r="G73" s="14" t="n"/>
      <c r="H73" s="14" t="n"/>
      <c r="I73" s="14">
        <f>IF(G73="","",IF(H73="","",ROUND(H73-G73,1)))</f>
        <v/>
      </c>
      <c r="J73" s="13" t="n"/>
    </row>
    <row r="74" ht="22" customHeight="1">
      <c r="B74" s="17">
        <f>IF(C74="","FP-"&amp;TEXT(COUNTA($C$5:C74),"000"))</f>
        <v/>
      </c>
      <c r="C74" s="15" t="n"/>
      <c r="D74" s="15" t="n"/>
      <c r="E74" s="15" t="n"/>
      <c r="F74" s="15" t="n"/>
      <c r="G74" s="16" t="n"/>
      <c r="H74" s="16" t="n"/>
      <c r="I74" s="16">
        <f>IF(G74="","",IF(H74="","",ROUND(H74-G74,1)))</f>
        <v/>
      </c>
      <c r="J74" s="15" t="n"/>
    </row>
    <row r="75" ht="22" customHeight="1">
      <c r="B75" s="18">
        <f>IF(C75="","FP-"&amp;TEXT(COUNTA($C$5:C75),"000"))</f>
        <v/>
      </c>
      <c r="C75" s="13" t="n"/>
      <c r="D75" s="13" t="n"/>
      <c r="E75" s="13" t="n"/>
      <c r="F75" s="13" t="n"/>
      <c r="G75" s="14" t="n"/>
      <c r="H75" s="14" t="n"/>
      <c r="I75" s="14">
        <f>IF(G75="","",IF(H75="","",ROUND(H75-G75,1)))</f>
        <v/>
      </c>
      <c r="J75" s="13" t="n"/>
    </row>
    <row r="76" ht="22" customHeight="1">
      <c r="B76" s="17">
        <f>IF(C76="","FP-"&amp;TEXT(COUNTA($C$5:C76),"000"))</f>
        <v/>
      </c>
      <c r="C76" s="15" t="n"/>
      <c r="D76" s="15" t="n"/>
      <c r="E76" s="15" t="n"/>
      <c r="F76" s="15" t="n"/>
      <c r="G76" s="16" t="n"/>
      <c r="H76" s="16" t="n"/>
      <c r="I76" s="16">
        <f>IF(G76="","",IF(H76="","",ROUND(H76-G76,1)))</f>
        <v/>
      </c>
      <c r="J76" s="15" t="n"/>
    </row>
    <row r="77" ht="22" customHeight="1">
      <c r="B77" s="18">
        <f>IF(C77="","FP-"&amp;TEXT(COUNTA($C$5:C77),"000"))</f>
        <v/>
      </c>
      <c r="C77" s="13" t="n"/>
      <c r="D77" s="13" t="n"/>
      <c r="E77" s="13" t="n"/>
      <c r="F77" s="13" t="n"/>
      <c r="G77" s="14" t="n"/>
      <c r="H77" s="14" t="n"/>
      <c r="I77" s="14">
        <f>IF(G77="","",IF(H77="","",ROUND(H77-G77,1)))</f>
        <v/>
      </c>
      <c r="J77" s="13" t="n"/>
    </row>
    <row r="78" ht="22" customHeight="1">
      <c r="B78" s="17">
        <f>IF(C78="","FP-"&amp;TEXT(COUNTA($C$5:C78),"000"))</f>
        <v/>
      </c>
      <c r="C78" s="15" t="n"/>
      <c r="D78" s="15" t="n"/>
      <c r="E78" s="15" t="n"/>
      <c r="F78" s="15" t="n"/>
      <c r="G78" s="16" t="n"/>
      <c r="H78" s="16" t="n"/>
      <c r="I78" s="16">
        <f>IF(G78="","",IF(H78="","",ROUND(H78-G78,1)))</f>
        <v/>
      </c>
      <c r="J78" s="15" t="n"/>
    </row>
    <row r="79" ht="22" customHeight="1">
      <c r="B79" s="18">
        <f>IF(C79="","FP-"&amp;TEXT(COUNTA($C$5:C79),"000"))</f>
        <v/>
      </c>
      <c r="C79" s="13" t="n"/>
      <c r="D79" s="13" t="n"/>
      <c r="E79" s="13" t="n"/>
      <c r="F79" s="13" t="n"/>
      <c r="G79" s="14" t="n"/>
      <c r="H79" s="14" t="n"/>
      <c r="I79" s="14">
        <f>IF(G79="","",IF(H79="","",ROUND(H79-G79,1)))</f>
        <v/>
      </c>
      <c r="J79" s="13" t="n"/>
    </row>
    <row r="80" ht="22" customHeight="1">
      <c r="B80" s="17">
        <f>IF(C80="","FP-"&amp;TEXT(COUNTA($C$5:C80),"000"))</f>
        <v/>
      </c>
      <c r="C80" s="15" t="n"/>
      <c r="D80" s="15" t="n"/>
      <c r="E80" s="15" t="n"/>
      <c r="F80" s="15" t="n"/>
      <c r="G80" s="16" t="n"/>
      <c r="H80" s="16" t="n"/>
      <c r="I80" s="16">
        <f>IF(G80="","",IF(H80="","",ROUND(H80-G80,1)))</f>
        <v/>
      </c>
      <c r="J80" s="15" t="n"/>
    </row>
    <row r="81" ht="22" customHeight="1">
      <c r="B81" s="18">
        <f>IF(C81="","FP-"&amp;TEXT(COUNTA($C$5:C81),"000"))</f>
        <v/>
      </c>
      <c r="C81" s="13" t="n"/>
      <c r="D81" s="13" t="n"/>
      <c r="E81" s="13" t="n"/>
      <c r="F81" s="13" t="n"/>
      <c r="G81" s="14" t="n"/>
      <c r="H81" s="14" t="n"/>
      <c r="I81" s="14">
        <f>IF(G81="","",IF(H81="","",ROUND(H81-G81,1)))</f>
        <v/>
      </c>
      <c r="J81" s="13" t="n"/>
    </row>
    <row r="82" ht="22" customHeight="1">
      <c r="B82" s="17">
        <f>IF(C82="","FP-"&amp;TEXT(COUNTA($C$5:C82),"000"))</f>
        <v/>
      </c>
      <c r="C82" s="15" t="n"/>
      <c r="D82" s="15" t="n"/>
      <c r="E82" s="15" t="n"/>
      <c r="F82" s="15" t="n"/>
      <c r="G82" s="16" t="n"/>
      <c r="H82" s="16" t="n"/>
      <c r="I82" s="16">
        <f>IF(G82="","",IF(H82="","",ROUND(H82-G82,1)))</f>
        <v/>
      </c>
      <c r="J82" s="15" t="n"/>
    </row>
    <row r="83" ht="22" customHeight="1">
      <c r="B83" s="18">
        <f>IF(C83="","FP-"&amp;TEXT(COUNTA($C$5:C83),"000"))</f>
        <v/>
      </c>
      <c r="C83" s="13" t="n"/>
      <c r="D83" s="13" t="n"/>
      <c r="E83" s="13" t="n"/>
      <c r="F83" s="13" t="n"/>
      <c r="G83" s="14" t="n"/>
      <c r="H83" s="14" t="n"/>
      <c r="I83" s="14">
        <f>IF(G83="","",IF(H83="","",ROUND(H83-G83,1)))</f>
        <v/>
      </c>
      <c r="J83" s="13" t="n"/>
    </row>
    <row r="84" ht="22" customHeight="1">
      <c r="B84" s="17">
        <f>IF(C84="","FP-"&amp;TEXT(COUNTA($C$5:C84),"000"))</f>
        <v/>
      </c>
      <c r="C84" s="15" t="n"/>
      <c r="D84" s="15" t="n"/>
      <c r="E84" s="15" t="n"/>
      <c r="F84" s="15" t="n"/>
      <c r="G84" s="16" t="n"/>
      <c r="H84" s="16" t="n"/>
      <c r="I84" s="16">
        <f>IF(G84="","",IF(H84="","",ROUND(H84-G84,1)))</f>
        <v/>
      </c>
      <c r="J84" s="15" t="n"/>
    </row>
    <row r="85" ht="22" customHeight="1">
      <c r="B85" s="18">
        <f>IF(C85="","FP-"&amp;TEXT(COUNTA($C$5:C85),"000"))</f>
        <v/>
      </c>
      <c r="C85" s="13" t="n"/>
      <c r="D85" s="13" t="n"/>
      <c r="E85" s="13" t="n"/>
      <c r="F85" s="13" t="n"/>
      <c r="G85" s="14" t="n"/>
      <c r="H85" s="14" t="n"/>
      <c r="I85" s="14">
        <f>IF(G85="","",IF(H85="","",ROUND(H85-G85,1)))</f>
        <v/>
      </c>
      <c r="J85" s="13" t="n"/>
    </row>
    <row r="86" ht="22" customHeight="1">
      <c r="B86" s="17">
        <f>IF(C86="","FP-"&amp;TEXT(COUNTA($C$5:C86),"000"))</f>
        <v/>
      </c>
      <c r="C86" s="15" t="n"/>
      <c r="D86" s="15" t="n"/>
      <c r="E86" s="15" t="n"/>
      <c r="F86" s="15" t="n"/>
      <c r="G86" s="16" t="n"/>
      <c r="H86" s="16" t="n"/>
      <c r="I86" s="16">
        <f>IF(G86="","",IF(H86="","",ROUND(H86-G86,1)))</f>
        <v/>
      </c>
      <c r="J86" s="15" t="n"/>
    </row>
    <row r="87" ht="22" customHeight="1">
      <c r="B87" s="18">
        <f>IF(C87="","FP-"&amp;TEXT(COUNTA($C$5:C87),"000"))</f>
        <v/>
      </c>
      <c r="C87" s="13" t="n"/>
      <c r="D87" s="13" t="n"/>
      <c r="E87" s="13" t="n"/>
      <c r="F87" s="13" t="n"/>
      <c r="G87" s="14" t="n"/>
      <c r="H87" s="14" t="n"/>
      <c r="I87" s="14">
        <f>IF(G87="","",IF(H87="","",ROUND(H87-G87,1)))</f>
        <v/>
      </c>
      <c r="J87" s="13" t="n"/>
    </row>
    <row r="88" ht="22" customHeight="1">
      <c r="B88" s="17">
        <f>IF(C88="","FP-"&amp;TEXT(COUNTA($C$5:C88),"000"))</f>
        <v/>
      </c>
      <c r="C88" s="15" t="n"/>
      <c r="D88" s="15" t="n"/>
      <c r="E88" s="15" t="n"/>
      <c r="F88" s="15" t="n"/>
      <c r="G88" s="16" t="n"/>
      <c r="H88" s="16" t="n"/>
      <c r="I88" s="16">
        <f>IF(G88="","",IF(H88="","",ROUND(H88-G88,1)))</f>
        <v/>
      </c>
      <c r="J88" s="15" t="n"/>
    </row>
    <row r="89" ht="22" customHeight="1">
      <c r="B89" s="18">
        <f>IF(C89="","FP-"&amp;TEXT(COUNTA($C$5:C89),"000"))</f>
        <v/>
      </c>
      <c r="C89" s="13" t="n"/>
      <c r="D89" s="13" t="n"/>
      <c r="E89" s="13" t="n"/>
      <c r="F89" s="13" t="n"/>
      <c r="G89" s="14" t="n"/>
      <c r="H89" s="14" t="n"/>
      <c r="I89" s="14">
        <f>IF(G89="","",IF(H89="","",ROUND(H89-G89,1)))</f>
        <v/>
      </c>
      <c r="J89" s="13" t="n"/>
    </row>
    <row r="90" ht="22" customHeight="1">
      <c r="B90" s="17">
        <f>IF(C90="","FP-"&amp;TEXT(COUNTA($C$5:C90),"000"))</f>
        <v/>
      </c>
      <c r="C90" s="15" t="n"/>
      <c r="D90" s="15" t="n"/>
      <c r="E90" s="15" t="n"/>
      <c r="F90" s="15" t="n"/>
      <c r="G90" s="16" t="n"/>
      <c r="H90" s="16" t="n"/>
      <c r="I90" s="16">
        <f>IF(G90="","",IF(H90="","",ROUND(H90-G90,1)))</f>
        <v/>
      </c>
      <c r="J90" s="15" t="n"/>
    </row>
    <row r="91" ht="22" customHeight="1">
      <c r="B91" s="18">
        <f>IF(C91="","FP-"&amp;TEXT(COUNTA($C$5:C91),"000"))</f>
        <v/>
      </c>
      <c r="C91" s="13" t="n"/>
      <c r="D91" s="13" t="n"/>
      <c r="E91" s="13" t="n"/>
      <c r="F91" s="13" t="n"/>
      <c r="G91" s="14" t="n"/>
      <c r="H91" s="14" t="n"/>
      <c r="I91" s="14">
        <f>IF(G91="","",IF(H91="","",ROUND(H91-G91,1)))</f>
        <v/>
      </c>
      <c r="J91" s="13" t="n"/>
    </row>
    <row r="92" ht="22" customHeight="1">
      <c r="B92" s="17">
        <f>IF(C92="","FP-"&amp;TEXT(COUNTA($C$5:C92),"000"))</f>
        <v/>
      </c>
      <c r="C92" s="15" t="n"/>
      <c r="D92" s="15" t="n"/>
      <c r="E92" s="15" t="n"/>
      <c r="F92" s="15" t="n"/>
      <c r="G92" s="16" t="n"/>
      <c r="H92" s="16" t="n"/>
      <c r="I92" s="16">
        <f>IF(G92="","",IF(H92="","",ROUND(H92-G92,1)))</f>
        <v/>
      </c>
      <c r="J92" s="15" t="n"/>
    </row>
    <row r="93" ht="22" customHeight="1">
      <c r="B93" s="18">
        <f>IF(C93="","FP-"&amp;TEXT(COUNTA($C$5:C93),"000"))</f>
        <v/>
      </c>
      <c r="C93" s="13" t="n"/>
      <c r="D93" s="13" t="n"/>
      <c r="E93" s="13" t="n"/>
      <c r="F93" s="13" t="n"/>
      <c r="G93" s="14" t="n"/>
      <c r="H93" s="14" t="n"/>
      <c r="I93" s="14">
        <f>IF(G93="","",IF(H93="","",ROUND(H93-G93,1)))</f>
        <v/>
      </c>
      <c r="J93" s="13" t="n"/>
    </row>
    <row r="94" ht="22" customHeight="1">
      <c r="B94" s="17">
        <f>IF(C94="","FP-"&amp;TEXT(COUNTA($C$5:C94),"000"))</f>
        <v/>
      </c>
      <c r="C94" s="15" t="n"/>
      <c r="D94" s="15" t="n"/>
      <c r="E94" s="15" t="n"/>
      <c r="F94" s="15" t="n"/>
      <c r="G94" s="16" t="n"/>
      <c r="H94" s="16" t="n"/>
      <c r="I94" s="16">
        <f>IF(G94="","",IF(H94="","",ROUND(H94-G94,1)))</f>
        <v/>
      </c>
      <c r="J94" s="15" t="n"/>
    </row>
    <row r="95" ht="22" customHeight="1">
      <c r="B95" s="18">
        <f>IF(C95="","FP-"&amp;TEXT(COUNTA($C$5:C95),"000"))</f>
        <v/>
      </c>
      <c r="C95" s="13" t="n"/>
      <c r="D95" s="13" t="n"/>
      <c r="E95" s="13" t="n"/>
      <c r="F95" s="13" t="n"/>
      <c r="G95" s="14" t="n"/>
      <c r="H95" s="14" t="n"/>
      <c r="I95" s="14">
        <f>IF(G95="","",IF(H95="","",ROUND(H95-G95,1)))</f>
        <v/>
      </c>
      <c r="J95" s="13" t="n"/>
    </row>
    <row r="96" ht="22" customHeight="1">
      <c r="B96" s="17">
        <f>IF(C96="","FP-"&amp;TEXT(COUNTA($C$5:C96),"000"))</f>
        <v/>
      </c>
      <c r="C96" s="15" t="n"/>
      <c r="D96" s="15" t="n"/>
      <c r="E96" s="15" t="n"/>
      <c r="F96" s="15" t="n"/>
      <c r="G96" s="16" t="n"/>
      <c r="H96" s="16" t="n"/>
      <c r="I96" s="16">
        <f>IF(G96="","",IF(H96="","",ROUND(H96-G96,1)))</f>
        <v/>
      </c>
      <c r="J96" s="15" t="n"/>
    </row>
    <row r="97" ht="22" customHeight="1">
      <c r="B97" s="18">
        <f>IF(C97="","FP-"&amp;TEXT(COUNTA($C$5:C97),"000"))</f>
        <v/>
      </c>
      <c r="C97" s="13" t="n"/>
      <c r="D97" s="13" t="n"/>
      <c r="E97" s="13" t="n"/>
      <c r="F97" s="13" t="n"/>
      <c r="G97" s="14" t="n"/>
      <c r="H97" s="14" t="n"/>
      <c r="I97" s="14">
        <f>IF(G97="","",IF(H97="","",ROUND(H97-G97,1)))</f>
        <v/>
      </c>
      <c r="J97" s="13" t="n"/>
    </row>
    <row r="98" ht="22" customHeight="1">
      <c r="B98" s="17">
        <f>IF(C98="","FP-"&amp;TEXT(COUNTA($C$5:C98),"000"))</f>
        <v/>
      </c>
      <c r="C98" s="15" t="n"/>
      <c r="D98" s="15" t="n"/>
      <c r="E98" s="15" t="n"/>
      <c r="F98" s="15" t="n"/>
      <c r="G98" s="16" t="n"/>
      <c r="H98" s="16" t="n"/>
      <c r="I98" s="16">
        <f>IF(G98="","",IF(H98="","",ROUND(H98-G98,1)))</f>
        <v/>
      </c>
      <c r="J98" s="15" t="n"/>
    </row>
    <row r="99" ht="22" customHeight="1">
      <c r="B99" s="18">
        <f>IF(C99="","FP-"&amp;TEXT(COUNTA($C$5:C99),"000"))</f>
        <v/>
      </c>
      <c r="C99" s="13" t="n"/>
      <c r="D99" s="13" t="n"/>
      <c r="E99" s="13" t="n"/>
      <c r="F99" s="13" t="n"/>
      <c r="G99" s="14" t="n"/>
      <c r="H99" s="14" t="n"/>
      <c r="I99" s="14">
        <f>IF(G99="","",IF(H99="","",ROUND(H99-G99,1)))</f>
        <v/>
      </c>
      <c r="J99" s="13" t="n"/>
    </row>
    <row r="100" ht="22" customHeight="1">
      <c r="B100" s="17">
        <f>IF(C100="","FP-"&amp;TEXT(COUNTA($C$5:C100),"000"))</f>
        <v/>
      </c>
      <c r="C100" s="15" t="n"/>
      <c r="D100" s="15" t="n"/>
      <c r="E100" s="15" t="n"/>
      <c r="F100" s="15" t="n"/>
      <c r="G100" s="16" t="n"/>
      <c r="H100" s="16" t="n"/>
      <c r="I100" s="16">
        <f>IF(G100="","",IF(H100="","",ROUND(H100-G100,1)))</f>
        <v/>
      </c>
      <c r="J100" s="15" t="n"/>
    </row>
    <row r="101" ht="22" customHeight="1">
      <c r="B101" s="18">
        <f>IF(C101="","FP-"&amp;TEXT(COUNTA($C$5:C101),"000"))</f>
        <v/>
      </c>
      <c r="C101" s="13" t="n"/>
      <c r="D101" s="13" t="n"/>
      <c r="E101" s="13" t="n"/>
      <c r="F101" s="13" t="n"/>
      <c r="G101" s="14" t="n"/>
      <c r="H101" s="14" t="n"/>
      <c r="I101" s="14">
        <f>IF(G101="","",IF(H101="","",ROUND(H101-G101,1)))</f>
        <v/>
      </c>
      <c r="J101" s="13" t="n"/>
    </row>
    <row r="102" ht="22" customHeight="1">
      <c r="B102" s="17">
        <f>IF(C102="","FP-"&amp;TEXT(COUNTA($C$5:C102),"000"))</f>
        <v/>
      </c>
      <c r="C102" s="15" t="n"/>
      <c r="D102" s="15" t="n"/>
      <c r="E102" s="15" t="n"/>
      <c r="F102" s="15" t="n"/>
      <c r="G102" s="16" t="n"/>
      <c r="H102" s="16" t="n"/>
      <c r="I102" s="16">
        <f>IF(G102="","",IF(H102="","",ROUND(H102-G102,1)))</f>
        <v/>
      </c>
      <c r="J102" s="15" t="n"/>
    </row>
    <row r="103" ht="22" customHeight="1">
      <c r="B103" s="18">
        <f>IF(C103="","FP-"&amp;TEXT(COUNTA($C$5:C103),"000"))</f>
        <v/>
      </c>
      <c r="C103" s="13" t="n"/>
      <c r="D103" s="13" t="n"/>
      <c r="E103" s="13" t="n"/>
      <c r="F103" s="13" t="n"/>
      <c r="G103" s="14" t="n"/>
      <c r="H103" s="14" t="n"/>
      <c r="I103" s="14">
        <f>IF(G103="","",IF(H103="","",ROUND(H103-G103,1)))</f>
        <v/>
      </c>
      <c r="J103" s="13" t="n"/>
    </row>
    <row r="104" ht="22" customHeight="1">
      <c r="B104" s="17">
        <f>IF(C104="","FP-"&amp;TEXT(COUNTA($C$5:C104),"000"))</f>
        <v/>
      </c>
      <c r="C104" s="15" t="n"/>
      <c r="D104" s="15" t="n"/>
      <c r="E104" s="15" t="n"/>
      <c r="F104" s="15" t="n"/>
      <c r="G104" s="16" t="n"/>
      <c r="H104" s="16" t="n"/>
      <c r="I104" s="16">
        <f>IF(G104="","",IF(H104="","",ROUND(H104-G104,1)))</f>
        <v/>
      </c>
      <c r="J104" s="15" t="n"/>
    </row>
    <row r="105" ht="22" customHeight="1">
      <c r="B105" s="18">
        <f>IF(C105="","FP-"&amp;TEXT(COUNTA($C$5:C105),"000"))</f>
        <v/>
      </c>
      <c r="C105" s="13" t="n"/>
      <c r="D105" s="13" t="n"/>
      <c r="E105" s="13" t="n"/>
      <c r="F105" s="13" t="n"/>
      <c r="G105" s="14" t="n"/>
      <c r="H105" s="14" t="n"/>
      <c r="I105" s="14">
        <f>IF(G105="","",IF(H105="","",ROUND(H105-G105,1)))</f>
        <v/>
      </c>
      <c r="J105" s="13" t="n"/>
    </row>
    <row r="106" ht="22" customHeight="1">
      <c r="B106" s="17">
        <f>IF(C106="","FP-"&amp;TEXT(COUNTA($C$5:C106),"000"))</f>
        <v/>
      </c>
      <c r="C106" s="15" t="n"/>
      <c r="D106" s="15" t="n"/>
      <c r="E106" s="15" t="n"/>
      <c r="F106" s="15" t="n"/>
      <c r="G106" s="16" t="n"/>
      <c r="H106" s="16" t="n"/>
      <c r="I106" s="16">
        <f>IF(G106="","",IF(H106="","",ROUND(H106-G106,1)))</f>
        <v/>
      </c>
      <c r="J106" s="15" t="n"/>
    </row>
    <row r="107" ht="22" customHeight="1">
      <c r="B107" s="18">
        <f>IF(C107="","FP-"&amp;TEXT(COUNTA($C$5:C107),"000"))</f>
        <v/>
      </c>
      <c r="C107" s="13" t="n"/>
      <c r="D107" s="13" t="n"/>
      <c r="E107" s="13" t="n"/>
      <c r="F107" s="13" t="n"/>
      <c r="G107" s="14" t="n"/>
      <c r="H107" s="14" t="n"/>
      <c r="I107" s="14">
        <f>IF(G107="","",IF(H107="","",ROUND(H107-G107,1)))</f>
        <v/>
      </c>
      <c r="J107" s="13" t="n"/>
    </row>
    <row r="108" ht="22" customHeight="1">
      <c r="B108" s="17">
        <f>IF(C108="","FP-"&amp;TEXT(COUNTA($C$5:C108),"000"))</f>
        <v/>
      </c>
      <c r="C108" s="15" t="n"/>
      <c r="D108" s="15" t="n"/>
      <c r="E108" s="15" t="n"/>
      <c r="F108" s="15" t="n"/>
      <c r="G108" s="16" t="n"/>
      <c r="H108" s="16" t="n"/>
      <c r="I108" s="16">
        <f>IF(G108="","",IF(H108="","",ROUND(H108-G108,1)))</f>
        <v/>
      </c>
      <c r="J108" s="15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Formations liees</t>
        </is>
      </c>
      <c r="D111" s="3" t="inlineStr">
        <is>
          <t>Progression moyenne (pts)</t>
        </is>
      </c>
      <c r="F111" s="3" t="inlineStr">
        <is>
          <t>Liees a un PAP</t>
        </is>
      </c>
      <c r="H111" s="3" t="inlineStr">
        <is>
          <t>Progression max</t>
        </is>
      </c>
    </row>
    <row r="112">
      <c r="B112" s="4">
        <f>COUNTIF(B5:B104,"&lt;&gt;")</f>
        <v/>
      </c>
      <c r="D112" s="4">
        <f>IFERROR(AVERAGE(I5:I104),0)</f>
        <v/>
      </c>
      <c r="F112" s="4">
        <f>COUNTIF(J5:J104,"Oui")</f>
        <v/>
      </c>
      <c r="H112" s="4">
        <f>IFERROR(MAX(I5:I104),0)</f>
        <v/>
      </c>
    </row>
  </sheetData>
  <mergeCells count="3">
    <mergeCell ref="B110:J110"/>
    <mergeCell ref="B3:J3"/>
    <mergeCell ref="B2:J2"/>
  </mergeCells>
  <conditionalFormatting sqref="B9:B108">
    <cfRule type="expression" priority="1" dxfId="3">
      <formula>AND($C9="",$C8&lt;&gt;"")</formula>
    </cfRule>
  </conditionalFormatting>
  <conditionalFormatting sqref="C9:C108">
    <cfRule type="expression" priority="2" dxfId="3">
      <formula>AND($C9="",$C8&lt;&gt;"")</formula>
    </cfRule>
  </conditionalFormatting>
  <conditionalFormatting sqref="D9:D108">
    <cfRule type="expression" priority="3" dxfId="3">
      <formula>AND($C9="",$C8&lt;&gt;"")</formula>
    </cfRule>
  </conditionalFormatting>
  <conditionalFormatting sqref="E9:E108">
    <cfRule type="expression" priority="4" dxfId="3">
      <formula>AND($C9="",$C8&lt;&gt;"")</formula>
    </cfRule>
  </conditionalFormatting>
  <conditionalFormatting sqref="F9:F108">
    <cfRule type="expression" priority="5" dxfId="3">
      <formula>AND($C9="",$C8&lt;&gt;"")</formula>
    </cfRule>
  </conditionalFormatting>
  <conditionalFormatting sqref="G9:G108">
    <cfRule type="expression" priority="6" dxfId="3">
      <formula>AND($C9="",$C8&lt;&gt;"")</formula>
    </cfRule>
  </conditionalFormatting>
  <conditionalFormatting sqref="H9:H108">
    <cfRule type="expression" priority="7" dxfId="3">
      <formula>AND($C9="",$C8&lt;&gt;"")</formula>
    </cfRule>
  </conditionalFormatting>
  <conditionalFormatting sqref="I9:I108">
    <cfRule type="expression" priority="8" dxfId="3">
      <formula>AND($C9="",$C8&lt;&gt;"")</formula>
    </cfRule>
  </conditionalFormatting>
  <conditionalFormatting sqref="J9:J108">
    <cfRule type="expression" priority="9" dxfId="3">
      <formula>AND($C9="",$C8&lt;&gt;"")</formula>
    </cfRule>
  </conditionalFormatting>
  <dataValidations count="2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8" showDropDown="0" showInputMessage="0" showErrorMessage="0" allowBlank="1" errorTitle="Erreur" error="Valeur invalide" promptTitle="Liste" prompt="Choisir dans la liste" type="list">
      <formula1>'_Lists'!$S$2:$S$3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I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0" customWidth="1" min="4" max="4"/>
    <col width="14" customWidth="1" min="5" max="5"/>
    <col width="22" customWidth="1" min="6" max="6"/>
    <col width="14" customWidth="1" min="7" max="7"/>
    <col width="14" customWidth="1" min="8" max="8"/>
    <col width="18" customWidth="1" min="9" max="9"/>
  </cols>
  <sheetData>
    <row r="1" ht="15" customHeight="1"/>
    <row r="2" ht="32" customHeight="1">
      <c r="B2" s="1" t="inlineStr">
        <is>
          <t>SUIVI DES OBJECTIFS PAR TRIMESTRE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Departement</t>
        </is>
      </c>
      <c r="D4" s="12" t="inlineStr">
        <is>
          <t>Annee</t>
        </is>
      </c>
      <c r="E4" s="12" t="inlineStr">
        <is>
          <t>Trimestre</t>
        </is>
      </c>
      <c r="F4" s="12" t="inlineStr">
        <is>
          <t>Nb Objectifs Definis</t>
        </is>
      </c>
      <c r="G4" s="12" t="inlineStr">
        <is>
          <t>Nb Atteints</t>
        </is>
      </c>
      <c r="H4" s="12" t="inlineStr">
        <is>
          <t>Nb En Cours</t>
        </is>
      </c>
      <c r="I4" s="12" t="inlineStr">
        <is>
          <t>Taux Atteinte (%)</t>
        </is>
      </c>
    </row>
    <row r="5" ht="22" customHeight="1">
      <c r="B5" s="13" t="inlineStr">
        <is>
          <t>OT-001</t>
        </is>
      </c>
      <c r="C5" s="13" t="inlineStr">
        <is>
          <t>Ressources Humaines</t>
        </is>
      </c>
      <c r="D5" s="13" t="inlineStr">
        <is>
          <t>2025</t>
        </is>
      </c>
      <c r="E5" s="13" t="inlineStr">
        <is>
          <t>T1</t>
        </is>
      </c>
      <c r="F5" s="19" t="n">
        <v>8</v>
      </c>
      <c r="G5" s="19" t="n">
        <v>5</v>
      </c>
      <c r="H5" s="19" t="n">
        <v>3</v>
      </c>
      <c r="I5" s="23" t="n">
        <v>63</v>
      </c>
    </row>
    <row r="6" ht="22" customHeight="1">
      <c r="B6" s="15" t="inlineStr">
        <is>
          <t>OT-002</t>
        </is>
      </c>
      <c r="C6" s="15" t="inlineStr">
        <is>
          <t>Ressources Humaines</t>
        </is>
      </c>
      <c r="D6" s="15" t="inlineStr">
        <is>
          <t>2025</t>
        </is>
      </c>
      <c r="E6" s="15" t="inlineStr">
        <is>
          <t>T2</t>
        </is>
      </c>
      <c r="F6" s="20" t="n">
        <v>6</v>
      </c>
      <c r="G6" s="20" t="n">
        <v>4</v>
      </c>
      <c r="H6" s="20" t="n">
        <v>2</v>
      </c>
      <c r="I6" s="24" t="n">
        <v>67</v>
      </c>
    </row>
    <row r="7" ht="22" customHeight="1">
      <c r="B7" s="13" t="inlineStr">
        <is>
          <t>OT-003</t>
        </is>
      </c>
      <c r="C7" s="13" t="inlineStr">
        <is>
          <t>Informatique</t>
        </is>
      </c>
      <c r="D7" s="13" t="inlineStr">
        <is>
          <t>2025</t>
        </is>
      </c>
      <c r="E7" s="13" t="inlineStr">
        <is>
          <t>T1</t>
        </is>
      </c>
      <c r="F7" s="19" t="n">
        <v>5</v>
      </c>
      <c r="G7" s="19" t="n">
        <v>5</v>
      </c>
      <c r="H7" s="19" t="n">
        <v>0</v>
      </c>
      <c r="I7" s="23" t="n">
        <v>100</v>
      </c>
    </row>
    <row r="8" ht="22" customHeight="1">
      <c r="B8" s="15" t="inlineStr">
        <is>
          <t>OT-004</t>
        </is>
      </c>
      <c r="C8" s="15" t="inlineStr">
        <is>
          <t>Informatique</t>
        </is>
      </c>
      <c r="D8" s="15" t="inlineStr">
        <is>
          <t>2025</t>
        </is>
      </c>
      <c r="E8" s="15" t="inlineStr">
        <is>
          <t>T2</t>
        </is>
      </c>
      <c r="F8" s="20" t="n">
        <v>4</v>
      </c>
      <c r="G8" s="20" t="n">
        <v>3</v>
      </c>
      <c r="H8" s="20" t="n">
        <v>1</v>
      </c>
      <c r="I8" s="24" t="n">
        <v>75</v>
      </c>
    </row>
    <row r="9" ht="22" customHeight="1">
      <c r="B9" s="13" t="inlineStr">
        <is>
          <t>OT-005</t>
        </is>
      </c>
      <c r="C9" s="13" t="inlineStr">
        <is>
          <t>Cuisine &amp; Restauration</t>
        </is>
      </c>
      <c r="D9" s="13" t="inlineStr">
        <is>
          <t>2025</t>
        </is>
      </c>
      <c r="E9" s="13" t="inlineStr">
        <is>
          <t>T1</t>
        </is>
      </c>
      <c r="F9" s="19" t="n">
        <v>12</v>
      </c>
      <c r="G9" s="19" t="n">
        <v>6</v>
      </c>
      <c r="H9" s="19" t="n">
        <v>4</v>
      </c>
      <c r="I9" s="23" t="n">
        <v>50</v>
      </c>
    </row>
    <row r="10" ht="22" customHeight="1">
      <c r="B10" s="15" t="inlineStr">
        <is>
          <t>OT-006</t>
        </is>
      </c>
      <c r="C10" s="15" t="inlineStr">
        <is>
          <t>Cuisine &amp; Restauration</t>
        </is>
      </c>
      <c r="D10" s="15" t="inlineStr">
        <is>
          <t>2025</t>
        </is>
      </c>
      <c r="E10" s="15" t="inlineStr">
        <is>
          <t>T2</t>
        </is>
      </c>
      <c r="F10" s="20" t="n">
        <v>10</v>
      </c>
      <c r="G10" s="20" t="n">
        <v>5</v>
      </c>
      <c r="H10" s="20" t="n">
        <v>3</v>
      </c>
      <c r="I10" s="24" t="n">
        <v>50</v>
      </c>
    </row>
    <row r="11" ht="22" customHeight="1">
      <c r="B11" s="18">
        <f>IF(C11="","OT-"&amp;TEXT(COUNTA($C$5:C11),"000"))</f>
        <v/>
      </c>
      <c r="C11" s="13" t="n"/>
      <c r="D11" s="13" t="n"/>
      <c r="E11" s="13" t="n"/>
      <c r="F11" s="19" t="n"/>
      <c r="G11" s="19" t="n"/>
      <c r="H11" s="19" t="n"/>
      <c r="I11" s="23">
        <f>IF(F11="","",IF(F11=0,"",G11/F11))</f>
        <v/>
      </c>
    </row>
    <row r="12" ht="22" customHeight="1">
      <c r="B12" s="17">
        <f>IF(C12="","OT-"&amp;TEXT(COUNTA($C$5:C12),"000"))</f>
        <v/>
      </c>
      <c r="C12" s="15" t="n"/>
      <c r="D12" s="15" t="n"/>
      <c r="E12" s="15" t="n"/>
      <c r="F12" s="20" t="n"/>
      <c r="G12" s="20" t="n"/>
      <c r="H12" s="20" t="n"/>
      <c r="I12" s="24">
        <f>IF(F12="","",IF(F12=0,"",G12/F12))</f>
        <v/>
      </c>
    </row>
    <row r="13" ht="22" customHeight="1">
      <c r="B13" s="18">
        <f>IF(C13="","OT-"&amp;TEXT(COUNTA($C$5:C13),"000"))</f>
        <v/>
      </c>
      <c r="C13" s="13" t="n"/>
      <c r="D13" s="13" t="n"/>
      <c r="E13" s="13" t="n"/>
      <c r="F13" s="19" t="n"/>
      <c r="G13" s="19" t="n"/>
      <c r="H13" s="19" t="n"/>
      <c r="I13" s="23">
        <f>IF(F13="","",IF(F13=0,"",G13/F13))</f>
        <v/>
      </c>
    </row>
    <row r="14" ht="22" customHeight="1">
      <c r="B14" s="17">
        <f>IF(C14="","OT-"&amp;TEXT(COUNTA($C$5:C14),"000"))</f>
        <v/>
      </c>
      <c r="C14" s="15" t="n"/>
      <c r="D14" s="15" t="n"/>
      <c r="E14" s="15" t="n"/>
      <c r="F14" s="20" t="n"/>
      <c r="G14" s="20" t="n"/>
      <c r="H14" s="20" t="n"/>
      <c r="I14" s="24">
        <f>IF(F14="","",IF(F14=0,"",G14/F14))</f>
        <v/>
      </c>
    </row>
    <row r="15" ht="22" customHeight="1">
      <c r="B15" s="18">
        <f>IF(C15="","OT-"&amp;TEXT(COUNTA($C$5:C15),"000"))</f>
        <v/>
      </c>
      <c r="C15" s="13" t="n"/>
      <c r="D15" s="13" t="n"/>
      <c r="E15" s="13" t="n"/>
      <c r="F15" s="19" t="n"/>
      <c r="G15" s="19" t="n"/>
      <c r="H15" s="19" t="n"/>
      <c r="I15" s="23">
        <f>IF(F15="","",IF(F15=0,"",G15/F15))</f>
        <v/>
      </c>
    </row>
    <row r="16" ht="22" customHeight="1">
      <c r="B16" s="17">
        <f>IF(C16="","OT-"&amp;TEXT(COUNTA($C$5:C16),"000"))</f>
        <v/>
      </c>
      <c r="C16" s="15" t="n"/>
      <c r="D16" s="15" t="n"/>
      <c r="E16" s="15" t="n"/>
      <c r="F16" s="20" t="n"/>
      <c r="G16" s="20" t="n"/>
      <c r="H16" s="20" t="n"/>
      <c r="I16" s="24">
        <f>IF(F16="","",IF(F16=0,"",G16/F16))</f>
        <v/>
      </c>
    </row>
    <row r="17" ht="22" customHeight="1">
      <c r="B17" s="18">
        <f>IF(C17="","OT-"&amp;TEXT(COUNTA($C$5:C17),"000"))</f>
        <v/>
      </c>
      <c r="C17" s="13" t="n"/>
      <c r="D17" s="13" t="n"/>
      <c r="E17" s="13" t="n"/>
      <c r="F17" s="19" t="n"/>
      <c r="G17" s="19" t="n"/>
      <c r="H17" s="19" t="n"/>
      <c r="I17" s="23">
        <f>IF(F17="","",IF(F17=0,"",G17/F17))</f>
        <v/>
      </c>
    </row>
    <row r="18" ht="22" customHeight="1">
      <c r="B18" s="17">
        <f>IF(C18="","OT-"&amp;TEXT(COUNTA($C$5:C18),"000"))</f>
        <v/>
      </c>
      <c r="C18" s="15" t="n"/>
      <c r="D18" s="15" t="n"/>
      <c r="E18" s="15" t="n"/>
      <c r="F18" s="20" t="n"/>
      <c r="G18" s="20" t="n"/>
      <c r="H18" s="20" t="n"/>
      <c r="I18" s="24">
        <f>IF(F18="","",IF(F18=0,"",G18/F18))</f>
        <v/>
      </c>
    </row>
    <row r="19" ht="22" customHeight="1">
      <c r="B19" s="18">
        <f>IF(C19="","OT-"&amp;TEXT(COUNTA($C$5:C19),"000"))</f>
        <v/>
      </c>
      <c r="C19" s="13" t="n"/>
      <c r="D19" s="13" t="n"/>
      <c r="E19" s="13" t="n"/>
      <c r="F19" s="19" t="n"/>
      <c r="G19" s="19" t="n"/>
      <c r="H19" s="19" t="n"/>
      <c r="I19" s="23">
        <f>IF(F19="","",IF(F19=0,"",G19/F19))</f>
        <v/>
      </c>
    </row>
    <row r="20" ht="22" customHeight="1">
      <c r="B20" s="17">
        <f>IF(C20="","OT-"&amp;TEXT(COUNTA($C$5:C20),"000"))</f>
        <v/>
      </c>
      <c r="C20" s="15" t="n"/>
      <c r="D20" s="15" t="n"/>
      <c r="E20" s="15" t="n"/>
      <c r="F20" s="20" t="n"/>
      <c r="G20" s="20" t="n"/>
      <c r="H20" s="20" t="n"/>
      <c r="I20" s="24">
        <f>IF(F20="","",IF(F20=0,"",G20/F20))</f>
        <v/>
      </c>
    </row>
    <row r="21" ht="22" customHeight="1">
      <c r="B21" s="18">
        <f>IF(C21="","OT-"&amp;TEXT(COUNTA($C$5:C21),"000"))</f>
        <v/>
      </c>
      <c r="C21" s="13" t="n"/>
      <c r="D21" s="13" t="n"/>
      <c r="E21" s="13" t="n"/>
      <c r="F21" s="19" t="n"/>
      <c r="G21" s="19" t="n"/>
      <c r="H21" s="19" t="n"/>
      <c r="I21" s="23">
        <f>IF(F21="","",IF(F21=0,"",G21/F21))</f>
        <v/>
      </c>
    </row>
    <row r="22" ht="22" customHeight="1">
      <c r="B22" s="17">
        <f>IF(C22="","OT-"&amp;TEXT(COUNTA($C$5:C22),"000"))</f>
        <v/>
      </c>
      <c r="C22" s="15" t="n"/>
      <c r="D22" s="15" t="n"/>
      <c r="E22" s="15" t="n"/>
      <c r="F22" s="20" t="n"/>
      <c r="G22" s="20" t="n"/>
      <c r="H22" s="20" t="n"/>
      <c r="I22" s="24">
        <f>IF(F22="","",IF(F22=0,"",G22/F22))</f>
        <v/>
      </c>
    </row>
    <row r="23" ht="22" customHeight="1">
      <c r="B23" s="18">
        <f>IF(C23="","OT-"&amp;TEXT(COUNTA($C$5:C23),"000"))</f>
        <v/>
      </c>
      <c r="C23" s="13" t="n"/>
      <c r="D23" s="13" t="n"/>
      <c r="E23" s="13" t="n"/>
      <c r="F23" s="19" t="n"/>
      <c r="G23" s="19" t="n"/>
      <c r="H23" s="19" t="n"/>
      <c r="I23" s="23">
        <f>IF(F23="","",IF(F23=0,"",G23/F23))</f>
        <v/>
      </c>
    </row>
    <row r="24" ht="22" customHeight="1">
      <c r="B24" s="17">
        <f>IF(C24="","OT-"&amp;TEXT(COUNTA($C$5:C24),"000"))</f>
        <v/>
      </c>
      <c r="C24" s="15" t="n"/>
      <c r="D24" s="15" t="n"/>
      <c r="E24" s="15" t="n"/>
      <c r="F24" s="20" t="n"/>
      <c r="G24" s="20" t="n"/>
      <c r="H24" s="20" t="n"/>
      <c r="I24" s="24">
        <f>IF(F24="","",IF(F24=0,"",G24/F24))</f>
        <v/>
      </c>
    </row>
    <row r="25" ht="22" customHeight="1">
      <c r="B25" s="18">
        <f>IF(C25="","OT-"&amp;TEXT(COUNTA($C$5:C25),"000"))</f>
        <v/>
      </c>
      <c r="C25" s="13" t="n"/>
      <c r="D25" s="13" t="n"/>
      <c r="E25" s="13" t="n"/>
      <c r="F25" s="19" t="n"/>
      <c r="G25" s="19" t="n"/>
      <c r="H25" s="19" t="n"/>
      <c r="I25" s="23">
        <f>IF(F25="","",IF(F25=0,"",G25/F25))</f>
        <v/>
      </c>
    </row>
    <row r="26" ht="22" customHeight="1">
      <c r="B26" s="17">
        <f>IF(C26="","OT-"&amp;TEXT(COUNTA($C$5:C26),"000"))</f>
        <v/>
      </c>
      <c r="C26" s="15" t="n"/>
      <c r="D26" s="15" t="n"/>
      <c r="E26" s="15" t="n"/>
      <c r="F26" s="20" t="n"/>
      <c r="G26" s="20" t="n"/>
      <c r="H26" s="20" t="n"/>
      <c r="I26" s="24">
        <f>IF(F26="","",IF(F26=0,"",G26/F26))</f>
        <v/>
      </c>
    </row>
    <row r="27" ht="22" customHeight="1">
      <c r="B27" s="18">
        <f>IF(C27="","OT-"&amp;TEXT(COUNTA($C$5:C27),"000"))</f>
        <v/>
      </c>
      <c r="C27" s="13" t="n"/>
      <c r="D27" s="13" t="n"/>
      <c r="E27" s="13" t="n"/>
      <c r="F27" s="19" t="n"/>
      <c r="G27" s="19" t="n"/>
      <c r="H27" s="19" t="n"/>
      <c r="I27" s="23">
        <f>IF(F27="","",IF(F27=0,"",G27/F27))</f>
        <v/>
      </c>
    </row>
    <row r="28" ht="22" customHeight="1">
      <c r="B28" s="17">
        <f>IF(C28="","OT-"&amp;TEXT(COUNTA($C$5:C28),"000"))</f>
        <v/>
      </c>
      <c r="C28" s="15" t="n"/>
      <c r="D28" s="15" t="n"/>
      <c r="E28" s="15" t="n"/>
      <c r="F28" s="20" t="n"/>
      <c r="G28" s="20" t="n"/>
      <c r="H28" s="20" t="n"/>
      <c r="I28" s="24">
        <f>IF(F28="","",IF(F28=0,"",G28/F28))</f>
        <v/>
      </c>
    </row>
    <row r="29" ht="22" customHeight="1">
      <c r="B29" s="18">
        <f>IF(C29="","OT-"&amp;TEXT(COUNTA($C$5:C29),"000"))</f>
        <v/>
      </c>
      <c r="C29" s="13" t="n"/>
      <c r="D29" s="13" t="n"/>
      <c r="E29" s="13" t="n"/>
      <c r="F29" s="19" t="n"/>
      <c r="G29" s="19" t="n"/>
      <c r="H29" s="19" t="n"/>
      <c r="I29" s="23">
        <f>IF(F29="","",IF(F29=0,"",G29/F29))</f>
        <v/>
      </c>
    </row>
    <row r="30" ht="22" customHeight="1">
      <c r="B30" s="17">
        <f>IF(C30="","OT-"&amp;TEXT(COUNTA($C$5:C30),"000"))</f>
        <v/>
      </c>
      <c r="C30" s="15" t="n"/>
      <c r="D30" s="15" t="n"/>
      <c r="E30" s="15" t="n"/>
      <c r="F30" s="20" t="n"/>
      <c r="G30" s="20" t="n"/>
      <c r="H30" s="20" t="n"/>
      <c r="I30" s="24">
        <f>IF(F30="","",IF(F30=0,"",G30/F30))</f>
        <v/>
      </c>
    </row>
    <row r="31" ht="22" customHeight="1">
      <c r="B31" s="18">
        <f>IF(C31="","OT-"&amp;TEXT(COUNTA($C$5:C31),"000"))</f>
        <v/>
      </c>
      <c r="C31" s="13" t="n"/>
      <c r="D31" s="13" t="n"/>
      <c r="E31" s="13" t="n"/>
      <c r="F31" s="19" t="n"/>
      <c r="G31" s="19" t="n"/>
      <c r="H31" s="19" t="n"/>
      <c r="I31" s="23">
        <f>IF(F31="","",IF(F31=0,"",G31/F31))</f>
        <v/>
      </c>
    </row>
    <row r="32" ht="22" customHeight="1">
      <c r="B32" s="17">
        <f>IF(C32="","OT-"&amp;TEXT(COUNTA($C$5:C32),"000"))</f>
        <v/>
      </c>
      <c r="C32" s="15" t="n"/>
      <c r="D32" s="15" t="n"/>
      <c r="E32" s="15" t="n"/>
      <c r="F32" s="20" t="n"/>
      <c r="G32" s="20" t="n"/>
      <c r="H32" s="20" t="n"/>
      <c r="I32" s="24">
        <f>IF(F32="","",IF(F32=0,"",G32/F32))</f>
        <v/>
      </c>
    </row>
    <row r="33" ht="22" customHeight="1">
      <c r="B33" s="18">
        <f>IF(C33="","OT-"&amp;TEXT(COUNTA($C$5:C33),"000"))</f>
        <v/>
      </c>
      <c r="C33" s="13" t="n"/>
      <c r="D33" s="13" t="n"/>
      <c r="E33" s="13" t="n"/>
      <c r="F33" s="19" t="n"/>
      <c r="G33" s="19" t="n"/>
      <c r="H33" s="19" t="n"/>
      <c r="I33" s="23">
        <f>IF(F33="","",IF(F33=0,"",G33/F33))</f>
        <v/>
      </c>
    </row>
    <row r="34" ht="22" customHeight="1">
      <c r="B34" s="17">
        <f>IF(C34="","OT-"&amp;TEXT(COUNTA($C$5:C34),"000"))</f>
        <v/>
      </c>
      <c r="C34" s="15" t="n"/>
      <c r="D34" s="15" t="n"/>
      <c r="E34" s="15" t="n"/>
      <c r="F34" s="20" t="n"/>
      <c r="G34" s="20" t="n"/>
      <c r="H34" s="20" t="n"/>
      <c r="I34" s="24">
        <f>IF(F34="","",IF(F34=0,"",G34/F34))</f>
        <v/>
      </c>
    </row>
    <row r="35" ht="22" customHeight="1">
      <c r="B35" s="18">
        <f>IF(C35="","OT-"&amp;TEXT(COUNTA($C$5:C35),"000"))</f>
        <v/>
      </c>
      <c r="C35" s="13" t="n"/>
      <c r="D35" s="13" t="n"/>
      <c r="E35" s="13" t="n"/>
      <c r="F35" s="19" t="n"/>
      <c r="G35" s="19" t="n"/>
      <c r="H35" s="19" t="n"/>
      <c r="I35" s="23">
        <f>IF(F35="","",IF(F35=0,"",G35/F35))</f>
        <v/>
      </c>
    </row>
    <row r="36" ht="22" customHeight="1">
      <c r="B36" s="17">
        <f>IF(C36="","OT-"&amp;TEXT(COUNTA($C$5:C36),"000"))</f>
        <v/>
      </c>
      <c r="C36" s="15" t="n"/>
      <c r="D36" s="15" t="n"/>
      <c r="E36" s="15" t="n"/>
      <c r="F36" s="20" t="n"/>
      <c r="G36" s="20" t="n"/>
      <c r="H36" s="20" t="n"/>
      <c r="I36" s="24">
        <f>IF(F36="","",IF(F36=0,"",G36/F36))</f>
        <v/>
      </c>
    </row>
    <row r="37" ht="22" customHeight="1">
      <c r="B37" s="18">
        <f>IF(C37="","OT-"&amp;TEXT(COUNTA($C$5:C37),"000"))</f>
        <v/>
      </c>
      <c r="C37" s="13" t="n"/>
      <c r="D37" s="13" t="n"/>
      <c r="E37" s="13" t="n"/>
      <c r="F37" s="19" t="n"/>
      <c r="G37" s="19" t="n"/>
      <c r="H37" s="19" t="n"/>
      <c r="I37" s="23">
        <f>IF(F37="","",IF(F37=0,"",G37/F37))</f>
        <v/>
      </c>
    </row>
    <row r="38" ht="22" customHeight="1">
      <c r="B38" s="17">
        <f>IF(C38="","OT-"&amp;TEXT(COUNTA($C$5:C38),"000"))</f>
        <v/>
      </c>
      <c r="C38" s="15" t="n"/>
      <c r="D38" s="15" t="n"/>
      <c r="E38" s="15" t="n"/>
      <c r="F38" s="20" t="n"/>
      <c r="G38" s="20" t="n"/>
      <c r="H38" s="20" t="n"/>
      <c r="I38" s="24">
        <f>IF(F38="","",IF(F38=0,"",G38/F38))</f>
        <v/>
      </c>
    </row>
    <row r="39" ht="22" customHeight="1">
      <c r="B39" s="18">
        <f>IF(C39="","OT-"&amp;TEXT(COUNTA($C$5:C39),"000"))</f>
        <v/>
      </c>
      <c r="C39" s="13" t="n"/>
      <c r="D39" s="13" t="n"/>
      <c r="E39" s="13" t="n"/>
      <c r="F39" s="19" t="n"/>
      <c r="G39" s="19" t="n"/>
      <c r="H39" s="19" t="n"/>
      <c r="I39" s="23">
        <f>IF(F39="","",IF(F39=0,"",G39/F39))</f>
        <v/>
      </c>
    </row>
    <row r="40" ht="22" customHeight="1">
      <c r="B40" s="17">
        <f>IF(C40="","OT-"&amp;TEXT(COUNTA($C$5:C40),"000"))</f>
        <v/>
      </c>
      <c r="C40" s="15" t="n"/>
      <c r="D40" s="15" t="n"/>
      <c r="E40" s="15" t="n"/>
      <c r="F40" s="20" t="n"/>
      <c r="G40" s="20" t="n"/>
      <c r="H40" s="20" t="n"/>
      <c r="I40" s="24">
        <f>IF(F40="","",IF(F40=0,"",G40/F40))</f>
        <v/>
      </c>
    </row>
    <row r="41" ht="22" customHeight="1">
      <c r="B41" s="18">
        <f>IF(C41="","OT-"&amp;TEXT(COUNTA($C$5:C41),"000"))</f>
        <v/>
      </c>
      <c r="C41" s="13" t="n"/>
      <c r="D41" s="13" t="n"/>
      <c r="E41" s="13" t="n"/>
      <c r="F41" s="19" t="n"/>
      <c r="G41" s="19" t="n"/>
      <c r="H41" s="19" t="n"/>
      <c r="I41" s="23">
        <f>IF(F41="","",IF(F41=0,"",G41/F41))</f>
        <v/>
      </c>
    </row>
    <row r="42" ht="22" customHeight="1">
      <c r="B42" s="17">
        <f>IF(C42="","OT-"&amp;TEXT(COUNTA($C$5:C42),"000"))</f>
        <v/>
      </c>
      <c r="C42" s="15" t="n"/>
      <c r="D42" s="15" t="n"/>
      <c r="E42" s="15" t="n"/>
      <c r="F42" s="20" t="n"/>
      <c r="G42" s="20" t="n"/>
      <c r="H42" s="20" t="n"/>
      <c r="I42" s="24">
        <f>IF(F42="","",IF(F42=0,"",G42/F42))</f>
        <v/>
      </c>
    </row>
    <row r="43" ht="22" customHeight="1">
      <c r="B43" s="18">
        <f>IF(C43="","OT-"&amp;TEXT(COUNTA($C$5:C43),"000"))</f>
        <v/>
      </c>
      <c r="C43" s="13" t="n"/>
      <c r="D43" s="13" t="n"/>
      <c r="E43" s="13" t="n"/>
      <c r="F43" s="19" t="n"/>
      <c r="G43" s="19" t="n"/>
      <c r="H43" s="19" t="n"/>
      <c r="I43" s="23">
        <f>IF(F43="","",IF(F43=0,"",G43/F43))</f>
        <v/>
      </c>
    </row>
    <row r="44" ht="22" customHeight="1">
      <c r="B44" s="17">
        <f>IF(C44="","OT-"&amp;TEXT(COUNTA($C$5:C44),"000"))</f>
        <v/>
      </c>
      <c r="C44" s="15" t="n"/>
      <c r="D44" s="15" t="n"/>
      <c r="E44" s="15" t="n"/>
      <c r="F44" s="20" t="n"/>
      <c r="G44" s="20" t="n"/>
      <c r="H44" s="20" t="n"/>
      <c r="I44" s="24">
        <f>IF(F44="","",IF(F44=0,"",G44/F44))</f>
        <v/>
      </c>
    </row>
    <row r="45" ht="22" customHeight="1">
      <c r="B45" s="18">
        <f>IF(C45="","OT-"&amp;TEXT(COUNTA($C$5:C45),"000"))</f>
        <v/>
      </c>
      <c r="C45" s="13" t="n"/>
      <c r="D45" s="13" t="n"/>
      <c r="E45" s="13" t="n"/>
      <c r="F45" s="19" t="n"/>
      <c r="G45" s="19" t="n"/>
      <c r="H45" s="19" t="n"/>
      <c r="I45" s="23">
        <f>IF(F45="","",IF(F45=0,"",G45/F45))</f>
        <v/>
      </c>
    </row>
    <row r="46" ht="22" customHeight="1">
      <c r="B46" s="17">
        <f>IF(C46="","OT-"&amp;TEXT(COUNTA($C$5:C46),"000"))</f>
        <v/>
      </c>
      <c r="C46" s="15" t="n"/>
      <c r="D46" s="15" t="n"/>
      <c r="E46" s="15" t="n"/>
      <c r="F46" s="20" t="n"/>
      <c r="G46" s="20" t="n"/>
      <c r="H46" s="20" t="n"/>
      <c r="I46" s="24">
        <f>IF(F46="","",IF(F46=0,"",G46/F46))</f>
        <v/>
      </c>
    </row>
    <row r="47" ht="22" customHeight="1">
      <c r="B47" s="18">
        <f>IF(C47="","OT-"&amp;TEXT(COUNTA($C$5:C47),"000"))</f>
        <v/>
      </c>
      <c r="C47" s="13" t="n"/>
      <c r="D47" s="13" t="n"/>
      <c r="E47" s="13" t="n"/>
      <c r="F47" s="19" t="n"/>
      <c r="G47" s="19" t="n"/>
      <c r="H47" s="19" t="n"/>
      <c r="I47" s="23">
        <f>IF(F47="","",IF(F47=0,"",G47/F47))</f>
        <v/>
      </c>
    </row>
    <row r="48" ht="22" customHeight="1">
      <c r="B48" s="17">
        <f>IF(C48="","OT-"&amp;TEXT(COUNTA($C$5:C48),"000"))</f>
        <v/>
      </c>
      <c r="C48" s="15" t="n"/>
      <c r="D48" s="15" t="n"/>
      <c r="E48" s="15" t="n"/>
      <c r="F48" s="20" t="n"/>
      <c r="G48" s="20" t="n"/>
      <c r="H48" s="20" t="n"/>
      <c r="I48" s="24">
        <f>IF(F48="","",IF(F48=0,"",G48/F48))</f>
        <v/>
      </c>
    </row>
    <row r="49" ht="22" customHeight="1">
      <c r="B49" s="18">
        <f>IF(C49="","OT-"&amp;TEXT(COUNTA($C$5:C49),"000"))</f>
        <v/>
      </c>
      <c r="C49" s="13" t="n"/>
      <c r="D49" s="13" t="n"/>
      <c r="E49" s="13" t="n"/>
      <c r="F49" s="19" t="n"/>
      <c r="G49" s="19" t="n"/>
      <c r="H49" s="19" t="n"/>
      <c r="I49" s="23">
        <f>IF(F49="","",IF(F49=0,"",G49/F49))</f>
        <v/>
      </c>
    </row>
    <row r="50" ht="22" customHeight="1">
      <c r="B50" s="17">
        <f>IF(C50="","OT-"&amp;TEXT(COUNTA($C$5:C50),"000"))</f>
        <v/>
      </c>
      <c r="C50" s="15" t="n"/>
      <c r="D50" s="15" t="n"/>
      <c r="E50" s="15" t="n"/>
      <c r="F50" s="20" t="n"/>
      <c r="G50" s="20" t="n"/>
      <c r="H50" s="20" t="n"/>
      <c r="I50" s="24">
        <f>IF(F50="","",IF(F50=0,"",G50/F50))</f>
        <v/>
      </c>
    </row>
    <row r="51" ht="22" customHeight="1">
      <c r="B51" s="18">
        <f>IF(C51="","OT-"&amp;TEXT(COUNTA($C$5:C51),"000"))</f>
        <v/>
      </c>
      <c r="C51" s="13" t="n"/>
      <c r="D51" s="13" t="n"/>
      <c r="E51" s="13" t="n"/>
      <c r="F51" s="19" t="n"/>
      <c r="G51" s="19" t="n"/>
      <c r="H51" s="19" t="n"/>
      <c r="I51" s="23">
        <f>IF(F51="","",IF(F51=0,"",G51/F51))</f>
        <v/>
      </c>
    </row>
    <row r="52" ht="22" customHeight="1">
      <c r="B52" s="17">
        <f>IF(C52="","OT-"&amp;TEXT(COUNTA($C$5:C52),"000"))</f>
        <v/>
      </c>
      <c r="C52" s="15" t="n"/>
      <c r="D52" s="15" t="n"/>
      <c r="E52" s="15" t="n"/>
      <c r="F52" s="20" t="n"/>
      <c r="G52" s="20" t="n"/>
      <c r="H52" s="20" t="n"/>
      <c r="I52" s="24">
        <f>IF(F52="","",IF(F52=0,"",G52/F52))</f>
        <v/>
      </c>
    </row>
    <row r="53" ht="22" customHeight="1">
      <c r="B53" s="18">
        <f>IF(C53="","OT-"&amp;TEXT(COUNTA($C$5:C53),"000"))</f>
        <v/>
      </c>
      <c r="C53" s="13" t="n"/>
      <c r="D53" s="13" t="n"/>
      <c r="E53" s="13" t="n"/>
      <c r="F53" s="19" t="n"/>
      <c r="G53" s="19" t="n"/>
      <c r="H53" s="19" t="n"/>
      <c r="I53" s="23">
        <f>IF(F53="","",IF(F53=0,"",G53/F53))</f>
        <v/>
      </c>
    </row>
    <row r="54" ht="22" customHeight="1">
      <c r="B54" s="17">
        <f>IF(C54="","OT-"&amp;TEXT(COUNTA($C$5:C54),"000"))</f>
        <v/>
      </c>
      <c r="C54" s="15" t="n"/>
      <c r="D54" s="15" t="n"/>
      <c r="E54" s="15" t="n"/>
      <c r="F54" s="20" t="n"/>
      <c r="G54" s="20" t="n"/>
      <c r="H54" s="20" t="n"/>
      <c r="I54" s="24">
        <f>IF(F54="","",IF(F54=0,"",G54/F54))</f>
        <v/>
      </c>
    </row>
    <row r="55" ht="22" customHeight="1">
      <c r="B55" s="18">
        <f>IF(C55="","OT-"&amp;TEXT(COUNTA($C$5:C55),"000"))</f>
        <v/>
      </c>
      <c r="C55" s="13" t="n"/>
      <c r="D55" s="13" t="n"/>
      <c r="E55" s="13" t="n"/>
      <c r="F55" s="19" t="n"/>
      <c r="G55" s="19" t="n"/>
      <c r="H55" s="19" t="n"/>
      <c r="I55" s="23">
        <f>IF(F55="","",IF(F55=0,"",G55/F55))</f>
        <v/>
      </c>
    </row>
    <row r="56" ht="22" customHeight="1">
      <c r="B56" s="17">
        <f>IF(C56="","OT-"&amp;TEXT(COUNTA($C$5:C56),"000"))</f>
        <v/>
      </c>
      <c r="C56" s="15" t="n"/>
      <c r="D56" s="15" t="n"/>
      <c r="E56" s="15" t="n"/>
      <c r="F56" s="20" t="n"/>
      <c r="G56" s="20" t="n"/>
      <c r="H56" s="20" t="n"/>
      <c r="I56" s="24">
        <f>IF(F56="","",IF(F56=0,"",G56/F56))</f>
        <v/>
      </c>
    </row>
    <row r="57" ht="22" customHeight="1">
      <c r="B57" s="18">
        <f>IF(C57="","OT-"&amp;TEXT(COUNTA($C$5:C57),"000"))</f>
        <v/>
      </c>
      <c r="C57" s="13" t="n"/>
      <c r="D57" s="13" t="n"/>
      <c r="E57" s="13" t="n"/>
      <c r="F57" s="19" t="n"/>
      <c r="G57" s="19" t="n"/>
      <c r="H57" s="19" t="n"/>
      <c r="I57" s="23">
        <f>IF(F57="","",IF(F57=0,"",G57/F57))</f>
        <v/>
      </c>
    </row>
    <row r="58" ht="22" customHeight="1">
      <c r="B58" s="17">
        <f>IF(C58="","OT-"&amp;TEXT(COUNTA($C$5:C58),"000"))</f>
        <v/>
      </c>
      <c r="C58" s="15" t="n"/>
      <c r="D58" s="15" t="n"/>
      <c r="E58" s="15" t="n"/>
      <c r="F58" s="20" t="n"/>
      <c r="G58" s="20" t="n"/>
      <c r="H58" s="20" t="n"/>
      <c r="I58" s="24">
        <f>IF(F58="","",IF(F58=0,"",G58/F58))</f>
        <v/>
      </c>
    </row>
    <row r="59" ht="22" customHeight="1">
      <c r="B59" s="18">
        <f>IF(C59="","OT-"&amp;TEXT(COUNTA($C$5:C59),"000"))</f>
        <v/>
      </c>
      <c r="C59" s="13" t="n"/>
      <c r="D59" s="13" t="n"/>
      <c r="E59" s="13" t="n"/>
      <c r="F59" s="19" t="n"/>
      <c r="G59" s="19" t="n"/>
      <c r="H59" s="19" t="n"/>
      <c r="I59" s="23">
        <f>IF(F59="","",IF(F59=0,"",G59/F59))</f>
        <v/>
      </c>
    </row>
    <row r="60" ht="22" customHeight="1">
      <c r="B60" s="17">
        <f>IF(C60="","OT-"&amp;TEXT(COUNTA($C$5:C60),"000"))</f>
        <v/>
      </c>
      <c r="C60" s="15" t="n"/>
      <c r="D60" s="15" t="n"/>
      <c r="E60" s="15" t="n"/>
      <c r="F60" s="20" t="n"/>
      <c r="G60" s="20" t="n"/>
      <c r="H60" s="20" t="n"/>
      <c r="I60" s="24">
        <f>IF(F60="","",IF(F60=0,"",G60/F60))</f>
        <v/>
      </c>
    </row>
    <row r="61" ht="22" customHeight="1">
      <c r="B61" s="18">
        <f>IF(C61="","OT-"&amp;TEXT(COUNTA($C$5:C61),"000"))</f>
        <v/>
      </c>
      <c r="C61" s="13" t="n"/>
      <c r="D61" s="13" t="n"/>
      <c r="E61" s="13" t="n"/>
      <c r="F61" s="19" t="n"/>
      <c r="G61" s="19" t="n"/>
      <c r="H61" s="19" t="n"/>
      <c r="I61" s="23">
        <f>IF(F61="","",IF(F61=0,"",G61/F61))</f>
        <v/>
      </c>
    </row>
    <row r="62" ht="22" customHeight="1">
      <c r="B62" s="17">
        <f>IF(C62="","OT-"&amp;TEXT(COUNTA($C$5:C62),"000"))</f>
        <v/>
      </c>
      <c r="C62" s="15" t="n"/>
      <c r="D62" s="15" t="n"/>
      <c r="E62" s="15" t="n"/>
      <c r="F62" s="20" t="n"/>
      <c r="G62" s="20" t="n"/>
      <c r="H62" s="20" t="n"/>
      <c r="I62" s="24">
        <f>IF(F62="","",IF(F62=0,"",G62/F62))</f>
        <v/>
      </c>
    </row>
    <row r="63" ht="22" customHeight="1">
      <c r="B63" s="18">
        <f>IF(C63="","OT-"&amp;TEXT(COUNTA($C$5:C63),"000"))</f>
        <v/>
      </c>
      <c r="C63" s="13" t="n"/>
      <c r="D63" s="13" t="n"/>
      <c r="E63" s="13" t="n"/>
      <c r="F63" s="19" t="n"/>
      <c r="G63" s="19" t="n"/>
      <c r="H63" s="19" t="n"/>
      <c r="I63" s="23">
        <f>IF(F63="","",IF(F63=0,"",G63/F63))</f>
        <v/>
      </c>
    </row>
    <row r="64" ht="22" customHeight="1">
      <c r="B64" s="17">
        <f>IF(C64="","OT-"&amp;TEXT(COUNTA($C$5:C64),"000"))</f>
        <v/>
      </c>
      <c r="C64" s="15" t="n"/>
      <c r="D64" s="15" t="n"/>
      <c r="E64" s="15" t="n"/>
      <c r="F64" s="20" t="n"/>
      <c r="G64" s="20" t="n"/>
      <c r="H64" s="20" t="n"/>
      <c r="I64" s="24">
        <f>IF(F64="","",IF(F64=0,"",G64/F64))</f>
        <v/>
      </c>
    </row>
    <row r="65" ht="22" customHeight="1">
      <c r="B65" s="18">
        <f>IF(C65="","OT-"&amp;TEXT(COUNTA($C$5:C65),"000"))</f>
        <v/>
      </c>
      <c r="C65" s="13" t="n"/>
      <c r="D65" s="13" t="n"/>
      <c r="E65" s="13" t="n"/>
      <c r="F65" s="19" t="n"/>
      <c r="G65" s="19" t="n"/>
      <c r="H65" s="19" t="n"/>
      <c r="I65" s="23">
        <f>IF(F65="","",IF(F65=0,"",G65/F65))</f>
        <v/>
      </c>
    </row>
    <row r="66" ht="22" customHeight="1">
      <c r="B66" s="17">
        <f>IF(C66="","OT-"&amp;TEXT(COUNTA($C$5:C66),"000"))</f>
        <v/>
      </c>
      <c r="C66" s="15" t="n"/>
      <c r="D66" s="15" t="n"/>
      <c r="E66" s="15" t="n"/>
      <c r="F66" s="20" t="n"/>
      <c r="G66" s="20" t="n"/>
      <c r="H66" s="20" t="n"/>
      <c r="I66" s="24">
        <f>IF(F66="","",IF(F66=0,"",G66/F66))</f>
        <v/>
      </c>
    </row>
    <row r="67" ht="22" customHeight="1">
      <c r="B67" s="18">
        <f>IF(C67="","OT-"&amp;TEXT(COUNTA($C$5:C67),"000"))</f>
        <v/>
      </c>
      <c r="C67" s="13" t="n"/>
      <c r="D67" s="13" t="n"/>
      <c r="E67" s="13" t="n"/>
      <c r="F67" s="19" t="n"/>
      <c r="G67" s="19" t="n"/>
      <c r="H67" s="19" t="n"/>
      <c r="I67" s="23">
        <f>IF(F67="","",IF(F67=0,"",G67/F67))</f>
        <v/>
      </c>
    </row>
    <row r="68" ht="22" customHeight="1">
      <c r="B68" s="17">
        <f>IF(C68="","OT-"&amp;TEXT(COUNTA($C$5:C68),"000"))</f>
        <v/>
      </c>
      <c r="C68" s="15" t="n"/>
      <c r="D68" s="15" t="n"/>
      <c r="E68" s="15" t="n"/>
      <c r="F68" s="20" t="n"/>
      <c r="G68" s="20" t="n"/>
      <c r="H68" s="20" t="n"/>
      <c r="I68" s="24">
        <f>IF(F68="","",IF(F68=0,"",G68/F68))</f>
        <v/>
      </c>
    </row>
    <row r="69" ht="22" customHeight="1">
      <c r="B69" s="18">
        <f>IF(C69="","OT-"&amp;TEXT(COUNTA($C$5:C69),"000"))</f>
        <v/>
      </c>
      <c r="C69" s="13" t="n"/>
      <c r="D69" s="13" t="n"/>
      <c r="E69" s="13" t="n"/>
      <c r="F69" s="19" t="n"/>
      <c r="G69" s="19" t="n"/>
      <c r="H69" s="19" t="n"/>
      <c r="I69" s="23">
        <f>IF(F69="","",IF(F69=0,"",G69/F69))</f>
        <v/>
      </c>
    </row>
    <row r="70" ht="22" customHeight="1">
      <c r="B70" s="17">
        <f>IF(C70="","OT-"&amp;TEXT(COUNTA($C$5:C70),"000"))</f>
        <v/>
      </c>
      <c r="C70" s="15" t="n"/>
      <c r="D70" s="15" t="n"/>
      <c r="E70" s="15" t="n"/>
      <c r="F70" s="20" t="n"/>
      <c r="G70" s="20" t="n"/>
      <c r="H70" s="20" t="n"/>
      <c r="I70" s="24">
        <f>IF(F70="","",IF(F70=0,"",G70/F70))</f>
        <v/>
      </c>
    </row>
    <row r="71" ht="22" customHeight="1">
      <c r="B71" s="18">
        <f>IF(C71="","OT-"&amp;TEXT(COUNTA($C$5:C71),"000"))</f>
        <v/>
      </c>
      <c r="C71" s="13" t="n"/>
      <c r="D71" s="13" t="n"/>
      <c r="E71" s="13" t="n"/>
      <c r="F71" s="19" t="n"/>
      <c r="G71" s="19" t="n"/>
      <c r="H71" s="19" t="n"/>
      <c r="I71" s="23">
        <f>IF(F71="","",IF(F71=0,"",G71/F71))</f>
        <v/>
      </c>
    </row>
    <row r="72" ht="22" customHeight="1">
      <c r="B72" s="17">
        <f>IF(C72="","OT-"&amp;TEXT(COUNTA($C$5:C72),"000"))</f>
        <v/>
      </c>
      <c r="C72" s="15" t="n"/>
      <c r="D72" s="15" t="n"/>
      <c r="E72" s="15" t="n"/>
      <c r="F72" s="20" t="n"/>
      <c r="G72" s="20" t="n"/>
      <c r="H72" s="20" t="n"/>
      <c r="I72" s="24">
        <f>IF(F72="","",IF(F72=0,"",G72/F72))</f>
        <v/>
      </c>
    </row>
    <row r="73" ht="22" customHeight="1">
      <c r="B73" s="18">
        <f>IF(C73="","OT-"&amp;TEXT(COUNTA($C$5:C73),"000"))</f>
        <v/>
      </c>
      <c r="C73" s="13" t="n"/>
      <c r="D73" s="13" t="n"/>
      <c r="E73" s="13" t="n"/>
      <c r="F73" s="19" t="n"/>
      <c r="G73" s="19" t="n"/>
      <c r="H73" s="19" t="n"/>
      <c r="I73" s="23">
        <f>IF(F73="","",IF(F73=0,"",G73/F73))</f>
        <v/>
      </c>
    </row>
    <row r="74" ht="22" customHeight="1">
      <c r="B74" s="17">
        <f>IF(C74="","OT-"&amp;TEXT(COUNTA($C$5:C74),"000"))</f>
        <v/>
      </c>
      <c r="C74" s="15" t="n"/>
      <c r="D74" s="15" t="n"/>
      <c r="E74" s="15" t="n"/>
      <c r="F74" s="20" t="n"/>
      <c r="G74" s="20" t="n"/>
      <c r="H74" s="20" t="n"/>
      <c r="I74" s="24">
        <f>IF(F74="","",IF(F74=0,"",G74/F74))</f>
        <v/>
      </c>
    </row>
    <row r="75" ht="22" customHeight="1">
      <c r="B75" s="18">
        <f>IF(C75="","OT-"&amp;TEXT(COUNTA($C$5:C75),"000"))</f>
        <v/>
      </c>
      <c r="C75" s="13" t="n"/>
      <c r="D75" s="13" t="n"/>
      <c r="E75" s="13" t="n"/>
      <c r="F75" s="19" t="n"/>
      <c r="G75" s="19" t="n"/>
      <c r="H75" s="19" t="n"/>
      <c r="I75" s="23">
        <f>IF(F75="","",IF(F75=0,"",G75/F75))</f>
        <v/>
      </c>
    </row>
    <row r="76" ht="22" customHeight="1">
      <c r="B76" s="17">
        <f>IF(C76="","OT-"&amp;TEXT(COUNTA($C$5:C76),"000"))</f>
        <v/>
      </c>
      <c r="C76" s="15" t="n"/>
      <c r="D76" s="15" t="n"/>
      <c r="E76" s="15" t="n"/>
      <c r="F76" s="20" t="n"/>
      <c r="G76" s="20" t="n"/>
      <c r="H76" s="20" t="n"/>
      <c r="I76" s="24">
        <f>IF(F76="","",IF(F76=0,"",G76/F76))</f>
        <v/>
      </c>
    </row>
    <row r="77" ht="22" customHeight="1">
      <c r="B77" s="18">
        <f>IF(C77="","OT-"&amp;TEXT(COUNTA($C$5:C77),"000"))</f>
        <v/>
      </c>
      <c r="C77" s="13" t="n"/>
      <c r="D77" s="13" t="n"/>
      <c r="E77" s="13" t="n"/>
      <c r="F77" s="19" t="n"/>
      <c r="G77" s="19" t="n"/>
      <c r="H77" s="19" t="n"/>
      <c r="I77" s="23">
        <f>IF(F77="","",IF(F77=0,"",G77/F77))</f>
        <v/>
      </c>
    </row>
    <row r="78" ht="22" customHeight="1">
      <c r="B78" s="17">
        <f>IF(C78="","OT-"&amp;TEXT(COUNTA($C$5:C78),"000"))</f>
        <v/>
      </c>
      <c r="C78" s="15" t="n"/>
      <c r="D78" s="15" t="n"/>
      <c r="E78" s="15" t="n"/>
      <c r="F78" s="20" t="n"/>
      <c r="G78" s="20" t="n"/>
      <c r="H78" s="20" t="n"/>
      <c r="I78" s="24">
        <f>IF(F78="","",IF(F78=0,"",G78/F78))</f>
        <v/>
      </c>
    </row>
    <row r="79" ht="22" customHeight="1">
      <c r="B79" s="18">
        <f>IF(C79="","OT-"&amp;TEXT(COUNTA($C$5:C79),"000"))</f>
        <v/>
      </c>
      <c r="C79" s="13" t="n"/>
      <c r="D79" s="13" t="n"/>
      <c r="E79" s="13" t="n"/>
      <c r="F79" s="19" t="n"/>
      <c r="G79" s="19" t="n"/>
      <c r="H79" s="19" t="n"/>
      <c r="I79" s="23">
        <f>IF(F79="","",IF(F79=0,"",G79/F79))</f>
        <v/>
      </c>
    </row>
    <row r="80" ht="22" customHeight="1">
      <c r="B80" s="17">
        <f>IF(C80="","OT-"&amp;TEXT(COUNTA($C$5:C80),"000"))</f>
        <v/>
      </c>
      <c r="C80" s="15" t="n"/>
      <c r="D80" s="15" t="n"/>
      <c r="E80" s="15" t="n"/>
      <c r="F80" s="20" t="n"/>
      <c r="G80" s="20" t="n"/>
      <c r="H80" s="20" t="n"/>
      <c r="I80" s="24">
        <f>IF(F80="","",IF(F80=0,"",G80/F80))</f>
        <v/>
      </c>
    </row>
    <row r="81" ht="22" customHeight="1">
      <c r="B81" s="18">
        <f>IF(C81="","OT-"&amp;TEXT(COUNTA($C$5:C81),"000"))</f>
        <v/>
      </c>
      <c r="C81" s="13" t="n"/>
      <c r="D81" s="13" t="n"/>
      <c r="E81" s="13" t="n"/>
      <c r="F81" s="19" t="n"/>
      <c r="G81" s="19" t="n"/>
      <c r="H81" s="19" t="n"/>
      <c r="I81" s="23">
        <f>IF(F81="","",IF(F81=0,"",G81/F81))</f>
        <v/>
      </c>
    </row>
    <row r="82" ht="22" customHeight="1">
      <c r="B82" s="17">
        <f>IF(C82="","OT-"&amp;TEXT(COUNTA($C$5:C82),"000"))</f>
        <v/>
      </c>
      <c r="C82" s="15" t="n"/>
      <c r="D82" s="15" t="n"/>
      <c r="E82" s="15" t="n"/>
      <c r="F82" s="20" t="n"/>
      <c r="G82" s="20" t="n"/>
      <c r="H82" s="20" t="n"/>
      <c r="I82" s="24">
        <f>IF(F82="","",IF(F82=0,"",G82/F82))</f>
        <v/>
      </c>
    </row>
    <row r="83" ht="22" customHeight="1">
      <c r="B83" s="18">
        <f>IF(C83="","OT-"&amp;TEXT(COUNTA($C$5:C83),"000"))</f>
        <v/>
      </c>
      <c r="C83" s="13" t="n"/>
      <c r="D83" s="13" t="n"/>
      <c r="E83" s="13" t="n"/>
      <c r="F83" s="19" t="n"/>
      <c r="G83" s="19" t="n"/>
      <c r="H83" s="19" t="n"/>
      <c r="I83" s="23">
        <f>IF(F83="","",IF(F83=0,"",G83/F83))</f>
        <v/>
      </c>
    </row>
    <row r="84" ht="22" customHeight="1">
      <c r="B84" s="17">
        <f>IF(C84="","OT-"&amp;TEXT(COUNTA($C$5:C84),"000"))</f>
        <v/>
      </c>
      <c r="C84" s="15" t="n"/>
      <c r="D84" s="15" t="n"/>
      <c r="E84" s="15" t="n"/>
      <c r="F84" s="20" t="n"/>
      <c r="G84" s="20" t="n"/>
      <c r="H84" s="20" t="n"/>
      <c r="I84" s="24">
        <f>IF(F84="","",IF(F84=0,"",G84/F84))</f>
        <v/>
      </c>
    </row>
    <row r="85" ht="22" customHeight="1">
      <c r="B85" s="18">
        <f>IF(C85="","OT-"&amp;TEXT(COUNTA($C$5:C85),"000"))</f>
        <v/>
      </c>
      <c r="C85" s="13" t="n"/>
      <c r="D85" s="13" t="n"/>
      <c r="E85" s="13" t="n"/>
      <c r="F85" s="19" t="n"/>
      <c r="G85" s="19" t="n"/>
      <c r="H85" s="19" t="n"/>
      <c r="I85" s="23">
        <f>IF(F85="","",IF(F85=0,"",G85/F85))</f>
        <v/>
      </c>
    </row>
    <row r="86" ht="22" customHeight="1">
      <c r="B86" s="17">
        <f>IF(C86="","OT-"&amp;TEXT(COUNTA($C$5:C86),"000"))</f>
        <v/>
      </c>
      <c r="C86" s="15" t="n"/>
      <c r="D86" s="15" t="n"/>
      <c r="E86" s="15" t="n"/>
      <c r="F86" s="20" t="n"/>
      <c r="G86" s="20" t="n"/>
      <c r="H86" s="20" t="n"/>
      <c r="I86" s="24">
        <f>IF(F86="","",IF(F86=0,"",G86/F86))</f>
        <v/>
      </c>
    </row>
    <row r="87" ht="22" customHeight="1">
      <c r="B87" s="18">
        <f>IF(C87="","OT-"&amp;TEXT(COUNTA($C$5:C87),"000"))</f>
        <v/>
      </c>
      <c r="C87" s="13" t="n"/>
      <c r="D87" s="13" t="n"/>
      <c r="E87" s="13" t="n"/>
      <c r="F87" s="19" t="n"/>
      <c r="G87" s="19" t="n"/>
      <c r="H87" s="19" t="n"/>
      <c r="I87" s="23">
        <f>IF(F87="","",IF(F87=0,"",G87/F87))</f>
        <v/>
      </c>
    </row>
    <row r="88" ht="22" customHeight="1">
      <c r="B88" s="17">
        <f>IF(C88="","OT-"&amp;TEXT(COUNTA($C$5:C88),"000"))</f>
        <v/>
      </c>
      <c r="C88" s="15" t="n"/>
      <c r="D88" s="15" t="n"/>
      <c r="E88" s="15" t="n"/>
      <c r="F88" s="20" t="n"/>
      <c r="G88" s="20" t="n"/>
      <c r="H88" s="20" t="n"/>
      <c r="I88" s="24">
        <f>IF(F88="","",IF(F88=0,"",G88/F88))</f>
        <v/>
      </c>
    </row>
    <row r="89" ht="22" customHeight="1">
      <c r="B89" s="18">
        <f>IF(C89="","OT-"&amp;TEXT(COUNTA($C$5:C89),"000"))</f>
        <v/>
      </c>
      <c r="C89" s="13" t="n"/>
      <c r="D89" s="13" t="n"/>
      <c r="E89" s="13" t="n"/>
      <c r="F89" s="19" t="n"/>
      <c r="G89" s="19" t="n"/>
      <c r="H89" s="19" t="n"/>
      <c r="I89" s="23">
        <f>IF(F89="","",IF(F89=0,"",G89/F89))</f>
        <v/>
      </c>
    </row>
    <row r="90" ht="22" customHeight="1">
      <c r="B90" s="17">
        <f>IF(C90="","OT-"&amp;TEXT(COUNTA($C$5:C90),"000"))</f>
        <v/>
      </c>
      <c r="C90" s="15" t="n"/>
      <c r="D90" s="15" t="n"/>
      <c r="E90" s="15" t="n"/>
      <c r="F90" s="20" t="n"/>
      <c r="G90" s="20" t="n"/>
      <c r="H90" s="20" t="n"/>
      <c r="I90" s="24">
        <f>IF(F90="","",IF(F90=0,"",G90/F90))</f>
        <v/>
      </c>
    </row>
    <row r="91" ht="22" customHeight="1">
      <c r="B91" s="18">
        <f>IF(C91="","OT-"&amp;TEXT(COUNTA($C$5:C91),"000"))</f>
        <v/>
      </c>
      <c r="C91" s="13" t="n"/>
      <c r="D91" s="13" t="n"/>
      <c r="E91" s="13" t="n"/>
      <c r="F91" s="19" t="n"/>
      <c r="G91" s="19" t="n"/>
      <c r="H91" s="19" t="n"/>
      <c r="I91" s="23">
        <f>IF(F91="","",IF(F91=0,"",G91/F91))</f>
        <v/>
      </c>
    </row>
    <row r="92" ht="22" customHeight="1">
      <c r="B92" s="17">
        <f>IF(C92="","OT-"&amp;TEXT(COUNTA($C$5:C92),"000"))</f>
        <v/>
      </c>
      <c r="C92" s="15" t="n"/>
      <c r="D92" s="15" t="n"/>
      <c r="E92" s="15" t="n"/>
      <c r="F92" s="20" t="n"/>
      <c r="G92" s="20" t="n"/>
      <c r="H92" s="20" t="n"/>
      <c r="I92" s="24">
        <f>IF(F92="","",IF(F92=0,"",G92/F92))</f>
        <v/>
      </c>
    </row>
    <row r="93" ht="22" customHeight="1">
      <c r="B93" s="18">
        <f>IF(C93="","OT-"&amp;TEXT(COUNTA($C$5:C93),"000"))</f>
        <v/>
      </c>
      <c r="C93" s="13" t="n"/>
      <c r="D93" s="13" t="n"/>
      <c r="E93" s="13" t="n"/>
      <c r="F93" s="19" t="n"/>
      <c r="G93" s="19" t="n"/>
      <c r="H93" s="19" t="n"/>
      <c r="I93" s="23">
        <f>IF(F93="","",IF(F93=0,"",G93/F93))</f>
        <v/>
      </c>
    </row>
    <row r="94" ht="22" customHeight="1">
      <c r="B94" s="17">
        <f>IF(C94="","OT-"&amp;TEXT(COUNTA($C$5:C94),"000"))</f>
        <v/>
      </c>
      <c r="C94" s="15" t="n"/>
      <c r="D94" s="15" t="n"/>
      <c r="E94" s="15" t="n"/>
      <c r="F94" s="20" t="n"/>
      <c r="G94" s="20" t="n"/>
      <c r="H94" s="20" t="n"/>
      <c r="I94" s="24">
        <f>IF(F94="","",IF(F94=0,"",G94/F94))</f>
        <v/>
      </c>
    </row>
    <row r="95" ht="22" customHeight="1">
      <c r="B95" s="18">
        <f>IF(C95="","OT-"&amp;TEXT(COUNTA($C$5:C95),"000"))</f>
        <v/>
      </c>
      <c r="C95" s="13" t="n"/>
      <c r="D95" s="13" t="n"/>
      <c r="E95" s="13" t="n"/>
      <c r="F95" s="19" t="n"/>
      <c r="G95" s="19" t="n"/>
      <c r="H95" s="19" t="n"/>
      <c r="I95" s="23">
        <f>IF(F95="","",IF(F95=0,"",G95/F95))</f>
        <v/>
      </c>
    </row>
    <row r="96" ht="22" customHeight="1">
      <c r="B96" s="17">
        <f>IF(C96="","OT-"&amp;TEXT(COUNTA($C$5:C96),"000"))</f>
        <v/>
      </c>
      <c r="C96" s="15" t="n"/>
      <c r="D96" s="15" t="n"/>
      <c r="E96" s="15" t="n"/>
      <c r="F96" s="20" t="n"/>
      <c r="G96" s="20" t="n"/>
      <c r="H96" s="20" t="n"/>
      <c r="I96" s="24">
        <f>IF(F96="","",IF(F96=0,"",G96/F96))</f>
        <v/>
      </c>
    </row>
    <row r="97" ht="22" customHeight="1">
      <c r="B97" s="18">
        <f>IF(C97="","OT-"&amp;TEXT(COUNTA($C$5:C97),"000"))</f>
        <v/>
      </c>
      <c r="C97" s="13" t="n"/>
      <c r="D97" s="13" t="n"/>
      <c r="E97" s="13" t="n"/>
      <c r="F97" s="19" t="n"/>
      <c r="G97" s="19" t="n"/>
      <c r="H97" s="19" t="n"/>
      <c r="I97" s="23">
        <f>IF(F97="","",IF(F97=0,"",G97/F97))</f>
        <v/>
      </c>
    </row>
    <row r="98" ht="22" customHeight="1">
      <c r="B98" s="17">
        <f>IF(C98="","OT-"&amp;TEXT(COUNTA($C$5:C98),"000"))</f>
        <v/>
      </c>
      <c r="C98" s="15" t="n"/>
      <c r="D98" s="15" t="n"/>
      <c r="E98" s="15" t="n"/>
      <c r="F98" s="20" t="n"/>
      <c r="G98" s="20" t="n"/>
      <c r="H98" s="20" t="n"/>
      <c r="I98" s="24">
        <f>IF(F98="","",IF(F98=0,"",G98/F98))</f>
        <v/>
      </c>
    </row>
    <row r="99" ht="22" customHeight="1">
      <c r="B99" s="18">
        <f>IF(C99="","OT-"&amp;TEXT(COUNTA($C$5:C99),"000"))</f>
        <v/>
      </c>
      <c r="C99" s="13" t="n"/>
      <c r="D99" s="13" t="n"/>
      <c r="E99" s="13" t="n"/>
      <c r="F99" s="19" t="n"/>
      <c r="G99" s="19" t="n"/>
      <c r="H99" s="19" t="n"/>
      <c r="I99" s="23">
        <f>IF(F99="","",IF(F99=0,"",G99/F99))</f>
        <v/>
      </c>
    </row>
    <row r="100" ht="22" customHeight="1">
      <c r="B100" s="17">
        <f>IF(C100="","OT-"&amp;TEXT(COUNTA($C$5:C100),"000"))</f>
        <v/>
      </c>
      <c r="C100" s="15" t="n"/>
      <c r="D100" s="15" t="n"/>
      <c r="E100" s="15" t="n"/>
      <c r="F100" s="20" t="n"/>
      <c r="G100" s="20" t="n"/>
      <c r="H100" s="20" t="n"/>
      <c r="I100" s="24">
        <f>IF(F100="","",IF(F100=0,"",G100/F100))</f>
        <v/>
      </c>
    </row>
    <row r="101" ht="22" customHeight="1">
      <c r="B101" s="18">
        <f>IF(C101="","OT-"&amp;TEXT(COUNTA($C$5:C101),"000"))</f>
        <v/>
      </c>
      <c r="C101" s="13" t="n"/>
      <c r="D101" s="13" t="n"/>
      <c r="E101" s="13" t="n"/>
      <c r="F101" s="19" t="n"/>
      <c r="G101" s="19" t="n"/>
      <c r="H101" s="19" t="n"/>
      <c r="I101" s="23">
        <f>IF(F101="","",IF(F101=0,"",G101/F101))</f>
        <v/>
      </c>
    </row>
    <row r="102" ht="22" customHeight="1">
      <c r="B102" s="17">
        <f>IF(C102="","OT-"&amp;TEXT(COUNTA($C$5:C102),"000"))</f>
        <v/>
      </c>
      <c r="C102" s="15" t="n"/>
      <c r="D102" s="15" t="n"/>
      <c r="E102" s="15" t="n"/>
      <c r="F102" s="20" t="n"/>
      <c r="G102" s="20" t="n"/>
      <c r="H102" s="20" t="n"/>
      <c r="I102" s="24">
        <f>IF(F102="","",IF(F102=0,"",G102/F102))</f>
        <v/>
      </c>
    </row>
    <row r="103" ht="22" customHeight="1">
      <c r="B103" s="18">
        <f>IF(C103="","OT-"&amp;TEXT(COUNTA($C$5:C103),"000"))</f>
        <v/>
      </c>
      <c r="C103" s="13" t="n"/>
      <c r="D103" s="13" t="n"/>
      <c r="E103" s="13" t="n"/>
      <c r="F103" s="19" t="n"/>
      <c r="G103" s="19" t="n"/>
      <c r="H103" s="19" t="n"/>
      <c r="I103" s="23">
        <f>IF(F103="","",IF(F103=0,"",G103/F103))</f>
        <v/>
      </c>
    </row>
    <row r="104" ht="22" customHeight="1">
      <c r="B104" s="17">
        <f>IF(C104="","OT-"&amp;TEXT(COUNTA($C$5:C104),"000"))</f>
        <v/>
      </c>
      <c r="C104" s="15" t="n"/>
      <c r="D104" s="15" t="n"/>
      <c r="E104" s="15" t="n"/>
      <c r="F104" s="20" t="n"/>
      <c r="G104" s="20" t="n"/>
      <c r="H104" s="20" t="n"/>
      <c r="I104" s="24">
        <f>IF(F104="","",IF(F104=0,"",G104/F104))</f>
        <v/>
      </c>
    </row>
    <row r="105" ht="22" customHeight="1">
      <c r="B105" s="18">
        <f>IF(C105="","OT-"&amp;TEXT(COUNTA($C$5:C105),"000"))</f>
        <v/>
      </c>
      <c r="C105" s="13" t="n"/>
      <c r="D105" s="13" t="n"/>
      <c r="E105" s="13" t="n"/>
      <c r="F105" s="19" t="n"/>
      <c r="G105" s="19" t="n"/>
      <c r="H105" s="19" t="n"/>
      <c r="I105" s="23">
        <f>IF(F105="","",IF(F105=0,"",G105/F105))</f>
        <v/>
      </c>
    </row>
    <row r="106" ht="22" customHeight="1">
      <c r="B106" s="17">
        <f>IF(C106="","OT-"&amp;TEXT(COUNTA($C$5:C106),"000"))</f>
        <v/>
      </c>
      <c r="C106" s="15" t="n"/>
      <c r="D106" s="15" t="n"/>
      <c r="E106" s="15" t="n"/>
      <c r="F106" s="20" t="n"/>
      <c r="G106" s="20" t="n"/>
      <c r="H106" s="20" t="n"/>
      <c r="I106" s="24">
        <f>IF(F106="","",IF(F106=0,"",G106/F106))</f>
        <v/>
      </c>
    </row>
    <row r="107" ht="22" customHeight="1">
      <c r="B107" s="18">
        <f>IF(C107="","OT-"&amp;TEXT(COUNTA($C$5:C107),"000"))</f>
        <v/>
      </c>
      <c r="C107" s="13" t="n"/>
      <c r="D107" s="13" t="n"/>
      <c r="E107" s="13" t="n"/>
      <c r="F107" s="19" t="n"/>
      <c r="G107" s="19" t="n"/>
      <c r="H107" s="19" t="n"/>
      <c r="I107" s="23">
        <f>IF(F107="","",IF(F107=0,"",G107/F107))</f>
        <v/>
      </c>
    </row>
    <row r="108" ht="22" customHeight="1">
      <c r="B108" s="17">
        <f>IF(C108="","OT-"&amp;TEXT(COUNTA($C$5:C108),"000"))</f>
        <v/>
      </c>
      <c r="C108" s="15" t="n"/>
      <c r="D108" s="15" t="n"/>
      <c r="E108" s="15" t="n"/>
      <c r="F108" s="20" t="n"/>
      <c r="G108" s="20" t="n"/>
      <c r="H108" s="20" t="n"/>
      <c r="I108" s="24">
        <f>IF(F108="","",IF(F108=0,"",G108/F108))</f>
        <v/>
      </c>
    </row>
    <row r="109" ht="22" customHeight="1">
      <c r="B109" s="18">
        <f>IF(C109="","OT-"&amp;TEXT(COUNTA($C$5:C109),"000"))</f>
        <v/>
      </c>
      <c r="C109" s="13" t="n"/>
      <c r="D109" s="13" t="n"/>
      <c r="E109" s="13" t="n"/>
      <c r="F109" s="19" t="n"/>
      <c r="G109" s="19" t="n"/>
      <c r="H109" s="19" t="n"/>
      <c r="I109" s="23">
        <f>IF(F109="","",IF(F109=0,"",G109/F109))</f>
        <v/>
      </c>
    </row>
    <row r="110" ht="22" customHeight="1">
      <c r="B110" s="17">
        <f>IF(C110="","OT-"&amp;TEXT(COUNTA($C$5:C110),"000"))</f>
        <v/>
      </c>
      <c r="C110" s="15" t="n"/>
      <c r="D110" s="15" t="n"/>
      <c r="E110" s="15" t="n"/>
      <c r="F110" s="20" t="n"/>
      <c r="G110" s="20" t="n"/>
      <c r="H110" s="20" t="n"/>
      <c r="I110" s="24">
        <f>IF(F110="","",IF(F110=0,"",G110/F110))</f>
        <v/>
      </c>
    </row>
    <row r="111"/>
    <row r="112" ht="26" customHeight="1">
      <c r="B112" s="27" t="inlineStr">
        <is>
          <t>TOTAL</t>
        </is>
      </c>
      <c r="C112" s="28" t="n"/>
      <c r="D112" s="28" t="n"/>
      <c r="E112" s="28" t="n"/>
      <c r="F112" s="29">
        <f>SUM(F5:F104)</f>
        <v/>
      </c>
      <c r="G112" s="29">
        <f>SUM(G5:G104)</f>
        <v/>
      </c>
      <c r="H112" s="29">
        <f>SUM(H5:H104)</f>
        <v/>
      </c>
      <c r="I112" s="28" t="n"/>
    </row>
    <row r="113"/>
    <row r="114">
      <c r="B114" s="6" t="inlineStr">
        <is>
          <t>INDICATEURS (mis a jour automatiquement)</t>
        </is>
      </c>
    </row>
    <row r="115">
      <c r="B115" s="3" t="inlineStr">
        <is>
          <t>Lignes suivies</t>
        </is>
      </c>
      <c r="D115" s="3" t="inlineStr">
        <is>
          <t>Total objectifs definis</t>
        </is>
      </c>
      <c r="F115" s="3" t="inlineStr">
        <is>
          <t>Taux atteinte global</t>
        </is>
      </c>
      <c r="H115" s="3" t="inlineStr">
        <is>
          <t>Total en cours</t>
        </is>
      </c>
    </row>
    <row r="116">
      <c r="B116" s="4">
        <f>COUNTIF(B5:B104,"&lt;&gt;")</f>
        <v/>
      </c>
      <c r="D116" s="4">
        <f>SUM(F5:F104)</f>
        <v/>
      </c>
      <c r="F116" s="4">
        <f>IFERROR(SUM(G5:G104)/SUM(F5:F104),0)</f>
        <v/>
      </c>
      <c r="H116" s="4">
        <f>SUM(H5:H104)</f>
        <v/>
      </c>
    </row>
  </sheetData>
  <mergeCells count="3">
    <mergeCell ref="B3:I3"/>
    <mergeCell ref="B2:I2"/>
    <mergeCell ref="B114:I114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dataValidations count="3">
    <dataValidation sqref="C5:C110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D5:D110" showDropDown="0" showInputMessage="0" showErrorMessage="0" allowBlank="1" errorTitle="Erreur" error="Valeur invalide" promptTitle="Liste" prompt="Choisir dans la liste" type="list">
      <formula1>'_Lists'!$Q$2:$Q$4</formula1>
    </dataValidation>
    <dataValidation sqref="E5:E110" showDropDown="0" showInputMessage="0" showErrorMessage="0" allowBlank="1" errorTitle="Erreur" error="Valeur invalide" promptTitle="Liste" prompt="Choisir dans la liste" type="list">
      <formula1>'_Lists'!$P$2:$P$13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L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30" customWidth="1" min="4" max="4"/>
    <col width="14" customWidth="1" min="5" max="5"/>
    <col width="14" customWidth="1" min="6" max="6"/>
    <col width="20" customWidth="1" min="7" max="7"/>
    <col width="18" customWidth="1" min="8" max="8"/>
    <col width="18" customWidth="1" min="9" max="9"/>
    <col width="16" customWidth="1" min="10" max="10"/>
    <col width="36" customWidth="1" min="11" max="11"/>
    <col width="14" customWidth="1" min="12" max="12"/>
  </cols>
  <sheetData>
    <row r="1" ht="15" customHeight="1"/>
    <row r="2" ht="32" customHeight="1">
      <c r="B2" s="1" t="inlineStr">
        <is>
          <t>RAPPORTS D'EVALUATION DE LA PERFORMANCE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 Rapport</t>
        </is>
      </c>
      <c r="C4" s="12" t="inlineStr">
        <is>
          <t>Type Rapport</t>
        </is>
      </c>
      <c r="D4" s="12" t="inlineStr">
        <is>
          <t>Titre</t>
        </is>
      </c>
      <c r="E4" s="12" t="inlineStr">
        <is>
          <t>Periode Debut</t>
        </is>
      </c>
      <c r="F4" s="12" t="inlineStr">
        <is>
          <t>Periode Fin</t>
        </is>
      </c>
      <c r="G4" s="12" t="inlineStr">
        <is>
          <t>Departement</t>
        </is>
      </c>
      <c r="H4" s="12" t="inlineStr">
        <is>
          <t>Auteur</t>
        </is>
      </c>
      <c r="I4" s="12" t="inlineStr">
        <is>
          <t>Note Moyenne (/20)</t>
        </is>
      </c>
      <c r="J4" s="12" t="inlineStr">
        <is>
          <t>Nb Evaluations</t>
        </is>
      </c>
      <c r="K4" s="12" t="inlineStr">
        <is>
          <t>Recommandations</t>
        </is>
      </c>
      <c r="L4" s="12" t="inlineStr">
        <is>
          <t>Statut</t>
        </is>
      </c>
    </row>
    <row r="5" ht="22" customHeight="1">
      <c r="B5" s="13" t="inlineStr">
        <is>
          <t>RE-001</t>
        </is>
      </c>
      <c r="C5" s="13" t="inlineStr">
        <is>
          <t>Bilan annuel</t>
        </is>
      </c>
      <c r="D5" s="13" t="inlineStr">
        <is>
          <t>Bilan evaluations 2024</t>
        </is>
      </c>
      <c r="E5" s="21" t="n">
        <v>45292</v>
      </c>
      <c r="F5" s="21" t="n">
        <v>45657</v>
      </c>
      <c r="G5" s="13" t="inlineStr">
        <is>
          <t>Tous</t>
        </is>
      </c>
      <c r="H5" s="13" t="inlineStr">
        <is>
          <t>DRH Nganou</t>
        </is>
      </c>
      <c r="I5" s="14" t="n">
        <v>15.8</v>
      </c>
      <c r="J5" s="19" t="n">
        <v>42</v>
      </c>
      <c r="K5" s="13" t="inlineStr">
        <is>
          <t>Renforcer accompagnement Cuisine</t>
        </is>
      </c>
      <c r="L5" s="13" t="inlineStr">
        <is>
          <t>Approuve</t>
        </is>
      </c>
    </row>
    <row r="6" ht="22" customHeight="1">
      <c r="B6" s="15" t="inlineStr">
        <is>
          <t>RE-002</t>
        </is>
      </c>
      <c r="C6" s="15" t="inlineStr">
        <is>
          <t>Bilan trimestriel</t>
        </is>
      </c>
      <c r="D6" s="15" t="inlineStr">
        <is>
          <t>Bilan performance T2 2025</t>
        </is>
      </c>
      <c r="E6" s="22" t="n">
        <v>45748</v>
      </c>
      <c r="F6" s="22" t="n">
        <v>45838</v>
      </c>
      <c r="G6" s="15" t="inlineStr">
        <is>
          <t>Tous</t>
        </is>
      </c>
      <c r="H6" s="15" t="inlineStr">
        <is>
          <t>Assistante RH</t>
        </is>
      </c>
      <c r="I6" s="16" t="n">
        <v>16.2</v>
      </c>
      <c r="J6" s="20" t="n">
        <v>38</v>
      </c>
      <c r="K6" s="15" t="inlineStr">
        <is>
          <t>Prioriser formations service client</t>
        </is>
      </c>
      <c r="L6" s="15" t="inlineStr">
        <is>
          <t>Valide</t>
        </is>
      </c>
    </row>
    <row r="7" ht="22" customHeight="1">
      <c r="B7" s="13" t="inlineStr">
        <is>
          <t>RE-003</t>
        </is>
      </c>
      <c r="C7" s="13" t="inlineStr">
        <is>
          <t>Rapport essai</t>
        </is>
      </c>
      <c r="D7" s="13" t="inlineStr">
        <is>
          <t>Bilan essais T1 2025</t>
        </is>
      </c>
      <c r="E7" s="21" t="n">
        <v>45658</v>
      </c>
      <c r="F7" s="21" t="n">
        <v>45747</v>
      </c>
      <c r="G7" s="13" t="inlineStr">
        <is>
          <t>Tous</t>
        </is>
      </c>
      <c r="H7" s="13" t="inlineStr">
        <is>
          <t>DRH Nganou</t>
        </is>
      </c>
      <c r="I7" s="14" t="n">
        <v>14.5</v>
      </c>
      <c r="J7" s="19" t="n">
        <v>6</v>
      </c>
      <c r="K7" s="13" t="inlineStr">
        <is>
          <t>Ameliorer processus integration</t>
        </is>
      </c>
      <c r="L7" s="13" t="inlineStr">
        <is>
          <t>Brouillon</t>
        </is>
      </c>
    </row>
    <row r="8" ht="22" customHeight="1">
      <c r="B8" s="17">
        <f>IF(C8="","RE-"&amp;TEXT(COUNTA($C$5:C8),"000"))</f>
        <v/>
      </c>
      <c r="C8" s="15" t="n"/>
      <c r="D8" s="15" t="n"/>
      <c r="E8" s="22" t="n"/>
      <c r="F8" s="22" t="n"/>
      <c r="G8" s="15" t="n"/>
      <c r="H8" s="15" t="n"/>
      <c r="I8" s="16" t="n"/>
      <c r="J8" s="20" t="n"/>
      <c r="K8" s="15" t="n"/>
      <c r="L8" s="15" t="n"/>
    </row>
    <row r="9" ht="22" customHeight="1">
      <c r="B9" s="18">
        <f>IF(C9="","RE-"&amp;TEXT(COUNTA($C$5:C9),"000"))</f>
        <v/>
      </c>
      <c r="C9" s="13" t="n"/>
      <c r="D9" s="13" t="n"/>
      <c r="E9" s="21" t="n"/>
      <c r="F9" s="21" t="n"/>
      <c r="G9" s="13" t="n"/>
      <c r="H9" s="13" t="n"/>
      <c r="I9" s="14" t="n"/>
      <c r="J9" s="19" t="n"/>
      <c r="K9" s="13" t="n"/>
      <c r="L9" s="13" t="n"/>
    </row>
    <row r="10" ht="22" customHeight="1">
      <c r="B10" s="17">
        <f>IF(C10="","RE-"&amp;TEXT(COUNTA($C$5:C10),"000"))</f>
        <v/>
      </c>
      <c r="C10" s="15" t="n"/>
      <c r="D10" s="15" t="n"/>
      <c r="E10" s="22" t="n"/>
      <c r="F10" s="22" t="n"/>
      <c r="G10" s="15" t="n"/>
      <c r="H10" s="15" t="n"/>
      <c r="I10" s="16" t="n"/>
      <c r="J10" s="20" t="n"/>
      <c r="K10" s="15" t="n"/>
      <c r="L10" s="15" t="n"/>
    </row>
    <row r="11" ht="22" customHeight="1">
      <c r="B11" s="18">
        <f>IF(C11="","RE-"&amp;TEXT(COUNTA($C$5:C11),"000"))</f>
        <v/>
      </c>
      <c r="C11" s="13" t="n"/>
      <c r="D11" s="13" t="n"/>
      <c r="E11" s="21" t="n"/>
      <c r="F11" s="21" t="n"/>
      <c r="G11" s="13" t="n"/>
      <c r="H11" s="13" t="n"/>
      <c r="I11" s="14" t="n"/>
      <c r="J11" s="19" t="n"/>
      <c r="K11" s="13" t="n"/>
      <c r="L11" s="13" t="n"/>
    </row>
    <row r="12" ht="22" customHeight="1">
      <c r="B12" s="17">
        <f>IF(C12="","RE-"&amp;TEXT(COUNTA($C$5:C12),"000"))</f>
        <v/>
      </c>
      <c r="C12" s="15" t="n"/>
      <c r="D12" s="15" t="n"/>
      <c r="E12" s="22" t="n"/>
      <c r="F12" s="22" t="n"/>
      <c r="G12" s="15" t="n"/>
      <c r="H12" s="15" t="n"/>
      <c r="I12" s="16" t="n"/>
      <c r="J12" s="20" t="n"/>
      <c r="K12" s="15" t="n"/>
      <c r="L12" s="15" t="n"/>
    </row>
    <row r="13" ht="22" customHeight="1">
      <c r="B13" s="18">
        <f>IF(C13="","RE-"&amp;TEXT(COUNTA($C$5:C13),"000"))</f>
        <v/>
      </c>
      <c r="C13" s="13" t="n"/>
      <c r="D13" s="13" t="n"/>
      <c r="E13" s="21" t="n"/>
      <c r="F13" s="21" t="n"/>
      <c r="G13" s="13" t="n"/>
      <c r="H13" s="13" t="n"/>
      <c r="I13" s="14" t="n"/>
      <c r="J13" s="19" t="n"/>
      <c r="K13" s="13" t="n"/>
      <c r="L13" s="13" t="n"/>
    </row>
    <row r="14" ht="22" customHeight="1">
      <c r="B14" s="17">
        <f>IF(C14="","RE-"&amp;TEXT(COUNTA($C$5:C14),"000"))</f>
        <v/>
      </c>
      <c r="C14" s="15" t="n"/>
      <c r="D14" s="15" t="n"/>
      <c r="E14" s="22" t="n"/>
      <c r="F14" s="22" t="n"/>
      <c r="G14" s="15" t="n"/>
      <c r="H14" s="15" t="n"/>
      <c r="I14" s="16" t="n"/>
      <c r="J14" s="20" t="n"/>
      <c r="K14" s="15" t="n"/>
      <c r="L14" s="15" t="n"/>
    </row>
    <row r="15" ht="22" customHeight="1">
      <c r="B15" s="18">
        <f>IF(C15="","RE-"&amp;TEXT(COUNTA($C$5:C15),"000"))</f>
        <v/>
      </c>
      <c r="C15" s="13" t="n"/>
      <c r="D15" s="13" t="n"/>
      <c r="E15" s="21" t="n"/>
      <c r="F15" s="21" t="n"/>
      <c r="G15" s="13" t="n"/>
      <c r="H15" s="13" t="n"/>
      <c r="I15" s="14" t="n"/>
      <c r="J15" s="19" t="n"/>
      <c r="K15" s="13" t="n"/>
      <c r="L15" s="13" t="n"/>
    </row>
    <row r="16" ht="22" customHeight="1">
      <c r="B16" s="17">
        <f>IF(C16="","RE-"&amp;TEXT(COUNTA($C$5:C16),"000"))</f>
        <v/>
      </c>
      <c r="C16" s="15" t="n"/>
      <c r="D16" s="15" t="n"/>
      <c r="E16" s="22" t="n"/>
      <c r="F16" s="22" t="n"/>
      <c r="G16" s="15" t="n"/>
      <c r="H16" s="15" t="n"/>
      <c r="I16" s="16" t="n"/>
      <c r="J16" s="20" t="n"/>
      <c r="K16" s="15" t="n"/>
      <c r="L16" s="15" t="n"/>
    </row>
    <row r="17" ht="22" customHeight="1">
      <c r="B17" s="18">
        <f>IF(C17="","RE-"&amp;TEXT(COUNTA($C$5:C17),"000"))</f>
        <v/>
      </c>
      <c r="C17" s="13" t="n"/>
      <c r="D17" s="13" t="n"/>
      <c r="E17" s="21" t="n"/>
      <c r="F17" s="21" t="n"/>
      <c r="G17" s="13" t="n"/>
      <c r="H17" s="13" t="n"/>
      <c r="I17" s="14" t="n"/>
      <c r="J17" s="19" t="n"/>
      <c r="K17" s="13" t="n"/>
      <c r="L17" s="13" t="n"/>
    </row>
    <row r="18" ht="22" customHeight="1">
      <c r="B18" s="17">
        <f>IF(C18="","RE-"&amp;TEXT(COUNTA($C$5:C18),"000"))</f>
        <v/>
      </c>
      <c r="C18" s="15" t="n"/>
      <c r="D18" s="15" t="n"/>
      <c r="E18" s="22" t="n"/>
      <c r="F18" s="22" t="n"/>
      <c r="G18" s="15" t="n"/>
      <c r="H18" s="15" t="n"/>
      <c r="I18" s="16" t="n"/>
      <c r="J18" s="20" t="n"/>
      <c r="K18" s="15" t="n"/>
      <c r="L18" s="15" t="n"/>
    </row>
    <row r="19" ht="22" customHeight="1">
      <c r="B19" s="18">
        <f>IF(C19="","RE-"&amp;TEXT(COUNTA($C$5:C19),"000"))</f>
        <v/>
      </c>
      <c r="C19" s="13" t="n"/>
      <c r="D19" s="13" t="n"/>
      <c r="E19" s="21" t="n"/>
      <c r="F19" s="21" t="n"/>
      <c r="G19" s="13" t="n"/>
      <c r="H19" s="13" t="n"/>
      <c r="I19" s="14" t="n"/>
      <c r="J19" s="19" t="n"/>
      <c r="K19" s="13" t="n"/>
      <c r="L19" s="13" t="n"/>
    </row>
    <row r="20" ht="22" customHeight="1">
      <c r="B20" s="17">
        <f>IF(C20="","RE-"&amp;TEXT(COUNTA($C$5:C20),"000"))</f>
        <v/>
      </c>
      <c r="C20" s="15" t="n"/>
      <c r="D20" s="15" t="n"/>
      <c r="E20" s="22" t="n"/>
      <c r="F20" s="22" t="n"/>
      <c r="G20" s="15" t="n"/>
      <c r="H20" s="15" t="n"/>
      <c r="I20" s="16" t="n"/>
      <c r="J20" s="20" t="n"/>
      <c r="K20" s="15" t="n"/>
      <c r="L20" s="15" t="n"/>
    </row>
    <row r="21" ht="22" customHeight="1">
      <c r="B21" s="18">
        <f>IF(C21="","RE-"&amp;TEXT(COUNTA($C$5:C21),"000"))</f>
        <v/>
      </c>
      <c r="C21" s="13" t="n"/>
      <c r="D21" s="13" t="n"/>
      <c r="E21" s="21" t="n"/>
      <c r="F21" s="21" t="n"/>
      <c r="G21" s="13" t="n"/>
      <c r="H21" s="13" t="n"/>
      <c r="I21" s="14" t="n"/>
      <c r="J21" s="19" t="n"/>
      <c r="K21" s="13" t="n"/>
      <c r="L21" s="13" t="n"/>
    </row>
    <row r="22" ht="22" customHeight="1">
      <c r="B22" s="17">
        <f>IF(C22="","RE-"&amp;TEXT(COUNTA($C$5:C22),"000"))</f>
        <v/>
      </c>
      <c r="C22" s="15" t="n"/>
      <c r="D22" s="15" t="n"/>
      <c r="E22" s="22" t="n"/>
      <c r="F22" s="22" t="n"/>
      <c r="G22" s="15" t="n"/>
      <c r="H22" s="15" t="n"/>
      <c r="I22" s="16" t="n"/>
      <c r="J22" s="20" t="n"/>
      <c r="K22" s="15" t="n"/>
      <c r="L22" s="15" t="n"/>
    </row>
    <row r="23" ht="22" customHeight="1">
      <c r="B23" s="18">
        <f>IF(C23="","RE-"&amp;TEXT(COUNTA($C$5:C23),"000"))</f>
        <v/>
      </c>
      <c r="C23" s="13" t="n"/>
      <c r="D23" s="13" t="n"/>
      <c r="E23" s="21" t="n"/>
      <c r="F23" s="21" t="n"/>
      <c r="G23" s="13" t="n"/>
      <c r="H23" s="13" t="n"/>
      <c r="I23" s="14" t="n"/>
      <c r="J23" s="19" t="n"/>
      <c r="K23" s="13" t="n"/>
      <c r="L23" s="13" t="n"/>
    </row>
    <row r="24" ht="22" customHeight="1">
      <c r="B24" s="17">
        <f>IF(C24="","RE-"&amp;TEXT(COUNTA($C$5:C24),"000"))</f>
        <v/>
      </c>
      <c r="C24" s="15" t="n"/>
      <c r="D24" s="15" t="n"/>
      <c r="E24" s="22" t="n"/>
      <c r="F24" s="22" t="n"/>
      <c r="G24" s="15" t="n"/>
      <c r="H24" s="15" t="n"/>
      <c r="I24" s="16" t="n"/>
      <c r="J24" s="20" t="n"/>
      <c r="K24" s="15" t="n"/>
      <c r="L24" s="15" t="n"/>
    </row>
    <row r="25" ht="22" customHeight="1">
      <c r="B25" s="18">
        <f>IF(C25="","RE-"&amp;TEXT(COUNTA($C$5:C25),"000"))</f>
        <v/>
      </c>
      <c r="C25" s="13" t="n"/>
      <c r="D25" s="13" t="n"/>
      <c r="E25" s="21" t="n"/>
      <c r="F25" s="21" t="n"/>
      <c r="G25" s="13" t="n"/>
      <c r="H25" s="13" t="n"/>
      <c r="I25" s="14" t="n"/>
      <c r="J25" s="19" t="n"/>
      <c r="K25" s="13" t="n"/>
      <c r="L25" s="13" t="n"/>
    </row>
    <row r="26" ht="22" customHeight="1">
      <c r="B26" s="17">
        <f>IF(C26="","RE-"&amp;TEXT(COUNTA($C$5:C26),"000"))</f>
        <v/>
      </c>
      <c r="C26" s="15" t="n"/>
      <c r="D26" s="15" t="n"/>
      <c r="E26" s="22" t="n"/>
      <c r="F26" s="22" t="n"/>
      <c r="G26" s="15" t="n"/>
      <c r="H26" s="15" t="n"/>
      <c r="I26" s="16" t="n"/>
      <c r="J26" s="20" t="n"/>
      <c r="K26" s="15" t="n"/>
      <c r="L26" s="15" t="n"/>
    </row>
    <row r="27" ht="22" customHeight="1">
      <c r="B27" s="18">
        <f>IF(C27="","RE-"&amp;TEXT(COUNTA($C$5:C27),"000"))</f>
        <v/>
      </c>
      <c r="C27" s="13" t="n"/>
      <c r="D27" s="13" t="n"/>
      <c r="E27" s="21" t="n"/>
      <c r="F27" s="21" t="n"/>
      <c r="G27" s="13" t="n"/>
      <c r="H27" s="13" t="n"/>
      <c r="I27" s="14" t="n"/>
      <c r="J27" s="19" t="n"/>
      <c r="K27" s="13" t="n"/>
      <c r="L27" s="13" t="n"/>
    </row>
    <row r="28" ht="22" customHeight="1">
      <c r="B28" s="17">
        <f>IF(C28="","RE-"&amp;TEXT(COUNTA($C$5:C28),"000"))</f>
        <v/>
      </c>
      <c r="C28" s="15" t="n"/>
      <c r="D28" s="15" t="n"/>
      <c r="E28" s="22" t="n"/>
      <c r="F28" s="22" t="n"/>
      <c r="G28" s="15" t="n"/>
      <c r="H28" s="15" t="n"/>
      <c r="I28" s="16" t="n"/>
      <c r="J28" s="20" t="n"/>
      <c r="K28" s="15" t="n"/>
      <c r="L28" s="15" t="n"/>
    </row>
    <row r="29" ht="22" customHeight="1">
      <c r="B29" s="18">
        <f>IF(C29="","RE-"&amp;TEXT(COUNTA($C$5:C29),"000"))</f>
        <v/>
      </c>
      <c r="C29" s="13" t="n"/>
      <c r="D29" s="13" t="n"/>
      <c r="E29" s="21" t="n"/>
      <c r="F29" s="21" t="n"/>
      <c r="G29" s="13" t="n"/>
      <c r="H29" s="13" t="n"/>
      <c r="I29" s="14" t="n"/>
      <c r="J29" s="19" t="n"/>
      <c r="K29" s="13" t="n"/>
      <c r="L29" s="13" t="n"/>
    </row>
    <row r="30" ht="22" customHeight="1">
      <c r="B30" s="17">
        <f>IF(C30="","RE-"&amp;TEXT(COUNTA($C$5:C30),"000"))</f>
        <v/>
      </c>
      <c r="C30" s="15" t="n"/>
      <c r="D30" s="15" t="n"/>
      <c r="E30" s="22" t="n"/>
      <c r="F30" s="22" t="n"/>
      <c r="G30" s="15" t="n"/>
      <c r="H30" s="15" t="n"/>
      <c r="I30" s="16" t="n"/>
      <c r="J30" s="20" t="n"/>
      <c r="K30" s="15" t="n"/>
      <c r="L30" s="15" t="n"/>
    </row>
    <row r="31" ht="22" customHeight="1">
      <c r="B31" s="18">
        <f>IF(C31="","RE-"&amp;TEXT(COUNTA($C$5:C31),"000"))</f>
        <v/>
      </c>
      <c r="C31" s="13" t="n"/>
      <c r="D31" s="13" t="n"/>
      <c r="E31" s="21" t="n"/>
      <c r="F31" s="21" t="n"/>
      <c r="G31" s="13" t="n"/>
      <c r="H31" s="13" t="n"/>
      <c r="I31" s="14" t="n"/>
      <c r="J31" s="19" t="n"/>
      <c r="K31" s="13" t="n"/>
      <c r="L31" s="13" t="n"/>
    </row>
    <row r="32" ht="22" customHeight="1">
      <c r="B32" s="17">
        <f>IF(C32="","RE-"&amp;TEXT(COUNTA($C$5:C32),"000"))</f>
        <v/>
      </c>
      <c r="C32" s="15" t="n"/>
      <c r="D32" s="15" t="n"/>
      <c r="E32" s="22" t="n"/>
      <c r="F32" s="22" t="n"/>
      <c r="G32" s="15" t="n"/>
      <c r="H32" s="15" t="n"/>
      <c r="I32" s="16" t="n"/>
      <c r="J32" s="20" t="n"/>
      <c r="K32" s="15" t="n"/>
      <c r="L32" s="15" t="n"/>
    </row>
    <row r="33" ht="22" customHeight="1">
      <c r="B33" s="18">
        <f>IF(C33="","RE-"&amp;TEXT(COUNTA($C$5:C33),"000"))</f>
        <v/>
      </c>
      <c r="C33" s="13" t="n"/>
      <c r="D33" s="13" t="n"/>
      <c r="E33" s="21" t="n"/>
      <c r="F33" s="21" t="n"/>
      <c r="G33" s="13" t="n"/>
      <c r="H33" s="13" t="n"/>
      <c r="I33" s="14" t="n"/>
      <c r="J33" s="19" t="n"/>
      <c r="K33" s="13" t="n"/>
      <c r="L33" s="13" t="n"/>
    </row>
    <row r="34" ht="22" customHeight="1">
      <c r="B34" s="17">
        <f>IF(C34="","RE-"&amp;TEXT(COUNTA($C$5:C34),"000"))</f>
        <v/>
      </c>
      <c r="C34" s="15" t="n"/>
      <c r="D34" s="15" t="n"/>
      <c r="E34" s="22" t="n"/>
      <c r="F34" s="22" t="n"/>
      <c r="G34" s="15" t="n"/>
      <c r="H34" s="15" t="n"/>
      <c r="I34" s="16" t="n"/>
      <c r="J34" s="20" t="n"/>
      <c r="K34" s="15" t="n"/>
      <c r="L34" s="15" t="n"/>
    </row>
    <row r="35" ht="22" customHeight="1">
      <c r="B35" s="18">
        <f>IF(C35="","RE-"&amp;TEXT(COUNTA($C$5:C35),"000"))</f>
        <v/>
      </c>
      <c r="C35" s="13" t="n"/>
      <c r="D35" s="13" t="n"/>
      <c r="E35" s="21" t="n"/>
      <c r="F35" s="21" t="n"/>
      <c r="G35" s="13" t="n"/>
      <c r="H35" s="13" t="n"/>
      <c r="I35" s="14" t="n"/>
      <c r="J35" s="19" t="n"/>
      <c r="K35" s="13" t="n"/>
      <c r="L35" s="13" t="n"/>
    </row>
    <row r="36" ht="22" customHeight="1">
      <c r="B36" s="17">
        <f>IF(C36="","RE-"&amp;TEXT(COUNTA($C$5:C36),"000"))</f>
        <v/>
      </c>
      <c r="C36" s="15" t="n"/>
      <c r="D36" s="15" t="n"/>
      <c r="E36" s="22" t="n"/>
      <c r="F36" s="22" t="n"/>
      <c r="G36" s="15" t="n"/>
      <c r="H36" s="15" t="n"/>
      <c r="I36" s="16" t="n"/>
      <c r="J36" s="20" t="n"/>
      <c r="K36" s="15" t="n"/>
      <c r="L36" s="15" t="n"/>
    </row>
    <row r="37" ht="22" customHeight="1">
      <c r="B37" s="18">
        <f>IF(C37="","RE-"&amp;TEXT(COUNTA($C$5:C37),"000"))</f>
        <v/>
      </c>
      <c r="C37" s="13" t="n"/>
      <c r="D37" s="13" t="n"/>
      <c r="E37" s="21" t="n"/>
      <c r="F37" s="21" t="n"/>
      <c r="G37" s="13" t="n"/>
      <c r="H37" s="13" t="n"/>
      <c r="I37" s="14" t="n"/>
      <c r="J37" s="19" t="n"/>
      <c r="K37" s="13" t="n"/>
      <c r="L37" s="13" t="n"/>
    </row>
    <row r="38" ht="22" customHeight="1">
      <c r="B38" s="17">
        <f>IF(C38="","RE-"&amp;TEXT(COUNTA($C$5:C38),"000"))</f>
        <v/>
      </c>
      <c r="C38" s="15" t="n"/>
      <c r="D38" s="15" t="n"/>
      <c r="E38" s="22" t="n"/>
      <c r="F38" s="22" t="n"/>
      <c r="G38" s="15" t="n"/>
      <c r="H38" s="15" t="n"/>
      <c r="I38" s="16" t="n"/>
      <c r="J38" s="20" t="n"/>
      <c r="K38" s="15" t="n"/>
      <c r="L38" s="15" t="n"/>
    </row>
    <row r="39" ht="22" customHeight="1">
      <c r="B39" s="18">
        <f>IF(C39="","RE-"&amp;TEXT(COUNTA($C$5:C39),"000"))</f>
        <v/>
      </c>
      <c r="C39" s="13" t="n"/>
      <c r="D39" s="13" t="n"/>
      <c r="E39" s="21" t="n"/>
      <c r="F39" s="21" t="n"/>
      <c r="G39" s="13" t="n"/>
      <c r="H39" s="13" t="n"/>
      <c r="I39" s="14" t="n"/>
      <c r="J39" s="19" t="n"/>
      <c r="K39" s="13" t="n"/>
      <c r="L39" s="13" t="n"/>
    </row>
    <row r="40" ht="22" customHeight="1">
      <c r="B40" s="17">
        <f>IF(C40="","RE-"&amp;TEXT(COUNTA($C$5:C40),"000"))</f>
        <v/>
      </c>
      <c r="C40" s="15" t="n"/>
      <c r="D40" s="15" t="n"/>
      <c r="E40" s="22" t="n"/>
      <c r="F40" s="22" t="n"/>
      <c r="G40" s="15" t="n"/>
      <c r="H40" s="15" t="n"/>
      <c r="I40" s="16" t="n"/>
      <c r="J40" s="20" t="n"/>
      <c r="K40" s="15" t="n"/>
      <c r="L40" s="15" t="n"/>
    </row>
    <row r="41" ht="22" customHeight="1">
      <c r="B41" s="18">
        <f>IF(C41="","RE-"&amp;TEXT(COUNTA($C$5:C41),"000"))</f>
        <v/>
      </c>
      <c r="C41" s="13" t="n"/>
      <c r="D41" s="13" t="n"/>
      <c r="E41" s="21" t="n"/>
      <c r="F41" s="21" t="n"/>
      <c r="G41" s="13" t="n"/>
      <c r="H41" s="13" t="n"/>
      <c r="I41" s="14" t="n"/>
      <c r="J41" s="19" t="n"/>
      <c r="K41" s="13" t="n"/>
      <c r="L41" s="13" t="n"/>
    </row>
    <row r="42" ht="22" customHeight="1">
      <c r="B42" s="17">
        <f>IF(C42="","RE-"&amp;TEXT(COUNTA($C$5:C42),"000"))</f>
        <v/>
      </c>
      <c r="C42" s="15" t="n"/>
      <c r="D42" s="15" t="n"/>
      <c r="E42" s="22" t="n"/>
      <c r="F42" s="22" t="n"/>
      <c r="G42" s="15" t="n"/>
      <c r="H42" s="15" t="n"/>
      <c r="I42" s="16" t="n"/>
      <c r="J42" s="20" t="n"/>
      <c r="K42" s="15" t="n"/>
      <c r="L42" s="15" t="n"/>
    </row>
    <row r="43" ht="22" customHeight="1">
      <c r="B43" s="18">
        <f>IF(C43="","RE-"&amp;TEXT(COUNTA($C$5:C43),"000"))</f>
        <v/>
      </c>
      <c r="C43" s="13" t="n"/>
      <c r="D43" s="13" t="n"/>
      <c r="E43" s="21" t="n"/>
      <c r="F43" s="21" t="n"/>
      <c r="G43" s="13" t="n"/>
      <c r="H43" s="13" t="n"/>
      <c r="I43" s="14" t="n"/>
      <c r="J43" s="19" t="n"/>
      <c r="K43" s="13" t="n"/>
      <c r="L43" s="13" t="n"/>
    </row>
    <row r="44" ht="22" customHeight="1">
      <c r="B44" s="17">
        <f>IF(C44="","RE-"&amp;TEXT(COUNTA($C$5:C44),"000"))</f>
        <v/>
      </c>
      <c r="C44" s="15" t="n"/>
      <c r="D44" s="15" t="n"/>
      <c r="E44" s="22" t="n"/>
      <c r="F44" s="22" t="n"/>
      <c r="G44" s="15" t="n"/>
      <c r="H44" s="15" t="n"/>
      <c r="I44" s="16" t="n"/>
      <c r="J44" s="20" t="n"/>
      <c r="K44" s="15" t="n"/>
      <c r="L44" s="15" t="n"/>
    </row>
    <row r="45" ht="22" customHeight="1">
      <c r="B45" s="18">
        <f>IF(C45="","RE-"&amp;TEXT(COUNTA($C$5:C45),"000"))</f>
        <v/>
      </c>
      <c r="C45" s="13" t="n"/>
      <c r="D45" s="13" t="n"/>
      <c r="E45" s="21" t="n"/>
      <c r="F45" s="21" t="n"/>
      <c r="G45" s="13" t="n"/>
      <c r="H45" s="13" t="n"/>
      <c r="I45" s="14" t="n"/>
      <c r="J45" s="19" t="n"/>
      <c r="K45" s="13" t="n"/>
      <c r="L45" s="13" t="n"/>
    </row>
    <row r="46" ht="22" customHeight="1">
      <c r="B46" s="17">
        <f>IF(C46="","RE-"&amp;TEXT(COUNTA($C$5:C46),"000"))</f>
        <v/>
      </c>
      <c r="C46" s="15" t="n"/>
      <c r="D46" s="15" t="n"/>
      <c r="E46" s="22" t="n"/>
      <c r="F46" s="22" t="n"/>
      <c r="G46" s="15" t="n"/>
      <c r="H46" s="15" t="n"/>
      <c r="I46" s="16" t="n"/>
      <c r="J46" s="20" t="n"/>
      <c r="K46" s="15" t="n"/>
      <c r="L46" s="15" t="n"/>
    </row>
    <row r="47" ht="22" customHeight="1">
      <c r="B47" s="18">
        <f>IF(C47="","RE-"&amp;TEXT(COUNTA($C$5:C47),"000"))</f>
        <v/>
      </c>
      <c r="C47" s="13" t="n"/>
      <c r="D47" s="13" t="n"/>
      <c r="E47" s="21" t="n"/>
      <c r="F47" s="21" t="n"/>
      <c r="G47" s="13" t="n"/>
      <c r="H47" s="13" t="n"/>
      <c r="I47" s="14" t="n"/>
      <c r="J47" s="19" t="n"/>
      <c r="K47" s="13" t="n"/>
      <c r="L47" s="13" t="n"/>
    </row>
    <row r="48" ht="22" customHeight="1">
      <c r="B48" s="17">
        <f>IF(C48="","RE-"&amp;TEXT(COUNTA($C$5:C48),"000"))</f>
        <v/>
      </c>
      <c r="C48" s="15" t="n"/>
      <c r="D48" s="15" t="n"/>
      <c r="E48" s="22" t="n"/>
      <c r="F48" s="22" t="n"/>
      <c r="G48" s="15" t="n"/>
      <c r="H48" s="15" t="n"/>
      <c r="I48" s="16" t="n"/>
      <c r="J48" s="20" t="n"/>
      <c r="K48" s="15" t="n"/>
      <c r="L48" s="15" t="n"/>
    </row>
    <row r="49" ht="22" customHeight="1">
      <c r="B49" s="18">
        <f>IF(C49="","RE-"&amp;TEXT(COUNTA($C$5:C49),"000"))</f>
        <v/>
      </c>
      <c r="C49" s="13" t="n"/>
      <c r="D49" s="13" t="n"/>
      <c r="E49" s="21" t="n"/>
      <c r="F49" s="21" t="n"/>
      <c r="G49" s="13" t="n"/>
      <c r="H49" s="13" t="n"/>
      <c r="I49" s="14" t="n"/>
      <c r="J49" s="19" t="n"/>
      <c r="K49" s="13" t="n"/>
      <c r="L49" s="13" t="n"/>
    </row>
    <row r="50" ht="22" customHeight="1">
      <c r="B50" s="17">
        <f>IF(C50="","RE-"&amp;TEXT(COUNTA($C$5:C50),"000"))</f>
        <v/>
      </c>
      <c r="C50" s="15" t="n"/>
      <c r="D50" s="15" t="n"/>
      <c r="E50" s="22" t="n"/>
      <c r="F50" s="22" t="n"/>
      <c r="G50" s="15" t="n"/>
      <c r="H50" s="15" t="n"/>
      <c r="I50" s="16" t="n"/>
      <c r="J50" s="20" t="n"/>
      <c r="K50" s="15" t="n"/>
      <c r="L50" s="15" t="n"/>
    </row>
    <row r="51" ht="22" customHeight="1">
      <c r="B51" s="18">
        <f>IF(C51="","RE-"&amp;TEXT(COUNTA($C$5:C51),"000"))</f>
        <v/>
      </c>
      <c r="C51" s="13" t="n"/>
      <c r="D51" s="13" t="n"/>
      <c r="E51" s="21" t="n"/>
      <c r="F51" s="21" t="n"/>
      <c r="G51" s="13" t="n"/>
      <c r="H51" s="13" t="n"/>
      <c r="I51" s="14" t="n"/>
      <c r="J51" s="19" t="n"/>
      <c r="K51" s="13" t="n"/>
      <c r="L51" s="13" t="n"/>
    </row>
    <row r="52" ht="22" customHeight="1">
      <c r="B52" s="17">
        <f>IF(C52="","RE-"&amp;TEXT(COUNTA($C$5:C52),"000"))</f>
        <v/>
      </c>
      <c r="C52" s="15" t="n"/>
      <c r="D52" s="15" t="n"/>
      <c r="E52" s="22" t="n"/>
      <c r="F52" s="22" t="n"/>
      <c r="G52" s="15" t="n"/>
      <c r="H52" s="15" t="n"/>
      <c r="I52" s="16" t="n"/>
      <c r="J52" s="20" t="n"/>
      <c r="K52" s="15" t="n"/>
      <c r="L52" s="15" t="n"/>
    </row>
    <row r="53" ht="22" customHeight="1">
      <c r="B53" s="18">
        <f>IF(C53="","RE-"&amp;TEXT(COUNTA($C$5:C53),"000"))</f>
        <v/>
      </c>
      <c r="C53" s="13" t="n"/>
      <c r="D53" s="13" t="n"/>
      <c r="E53" s="21" t="n"/>
      <c r="F53" s="21" t="n"/>
      <c r="G53" s="13" t="n"/>
      <c r="H53" s="13" t="n"/>
      <c r="I53" s="14" t="n"/>
      <c r="J53" s="19" t="n"/>
      <c r="K53" s="13" t="n"/>
      <c r="L53" s="13" t="n"/>
    </row>
    <row r="54" ht="22" customHeight="1">
      <c r="B54" s="17">
        <f>IF(C54="","RE-"&amp;TEXT(COUNTA($C$5:C54),"000"))</f>
        <v/>
      </c>
      <c r="C54" s="15" t="n"/>
      <c r="D54" s="15" t="n"/>
      <c r="E54" s="22" t="n"/>
      <c r="F54" s="22" t="n"/>
      <c r="G54" s="15" t="n"/>
      <c r="H54" s="15" t="n"/>
      <c r="I54" s="16" t="n"/>
      <c r="J54" s="20" t="n"/>
      <c r="K54" s="15" t="n"/>
      <c r="L54" s="15" t="n"/>
    </row>
    <row r="55" ht="22" customHeight="1">
      <c r="B55" s="18">
        <f>IF(C55="","RE-"&amp;TEXT(COUNTA($C$5:C55),"000"))</f>
        <v/>
      </c>
      <c r="C55" s="13" t="n"/>
      <c r="D55" s="13" t="n"/>
      <c r="E55" s="21" t="n"/>
      <c r="F55" s="21" t="n"/>
      <c r="G55" s="13" t="n"/>
      <c r="H55" s="13" t="n"/>
      <c r="I55" s="14" t="n"/>
      <c r="J55" s="19" t="n"/>
      <c r="K55" s="13" t="n"/>
      <c r="L55" s="13" t="n"/>
    </row>
    <row r="56" ht="22" customHeight="1">
      <c r="B56" s="17">
        <f>IF(C56="","RE-"&amp;TEXT(COUNTA($C$5:C56),"000"))</f>
        <v/>
      </c>
      <c r="C56" s="15" t="n"/>
      <c r="D56" s="15" t="n"/>
      <c r="E56" s="22" t="n"/>
      <c r="F56" s="22" t="n"/>
      <c r="G56" s="15" t="n"/>
      <c r="H56" s="15" t="n"/>
      <c r="I56" s="16" t="n"/>
      <c r="J56" s="20" t="n"/>
      <c r="K56" s="15" t="n"/>
      <c r="L56" s="15" t="n"/>
    </row>
    <row r="57" ht="22" customHeight="1">
      <c r="B57" s="18">
        <f>IF(C57="","RE-"&amp;TEXT(COUNTA($C$5:C57),"000"))</f>
        <v/>
      </c>
      <c r="C57" s="13" t="n"/>
      <c r="D57" s="13" t="n"/>
      <c r="E57" s="21" t="n"/>
      <c r="F57" s="21" t="n"/>
      <c r="G57" s="13" t="n"/>
      <c r="H57" s="13" t="n"/>
      <c r="I57" s="14" t="n"/>
      <c r="J57" s="19" t="n"/>
      <c r="K57" s="13" t="n"/>
      <c r="L57" s="13" t="n"/>
    </row>
    <row r="58" ht="22" customHeight="1">
      <c r="B58" s="17">
        <f>IF(C58="","RE-"&amp;TEXT(COUNTA($C$5:C58),"000"))</f>
        <v/>
      </c>
      <c r="C58" s="15" t="n"/>
      <c r="D58" s="15" t="n"/>
      <c r="E58" s="22" t="n"/>
      <c r="F58" s="22" t="n"/>
      <c r="G58" s="15" t="n"/>
      <c r="H58" s="15" t="n"/>
      <c r="I58" s="16" t="n"/>
      <c r="J58" s="20" t="n"/>
      <c r="K58" s="15" t="n"/>
      <c r="L58" s="15" t="n"/>
    </row>
    <row r="59" ht="22" customHeight="1">
      <c r="B59" s="18">
        <f>IF(C59="","RE-"&amp;TEXT(COUNTA($C$5:C59),"000"))</f>
        <v/>
      </c>
      <c r="C59" s="13" t="n"/>
      <c r="D59" s="13" t="n"/>
      <c r="E59" s="21" t="n"/>
      <c r="F59" s="21" t="n"/>
      <c r="G59" s="13" t="n"/>
      <c r="H59" s="13" t="n"/>
      <c r="I59" s="14" t="n"/>
      <c r="J59" s="19" t="n"/>
      <c r="K59" s="13" t="n"/>
      <c r="L59" s="13" t="n"/>
    </row>
    <row r="60" ht="22" customHeight="1">
      <c r="B60" s="17">
        <f>IF(C60="","RE-"&amp;TEXT(COUNTA($C$5:C60),"000"))</f>
        <v/>
      </c>
      <c r="C60" s="15" t="n"/>
      <c r="D60" s="15" t="n"/>
      <c r="E60" s="22" t="n"/>
      <c r="F60" s="22" t="n"/>
      <c r="G60" s="15" t="n"/>
      <c r="H60" s="15" t="n"/>
      <c r="I60" s="16" t="n"/>
      <c r="J60" s="20" t="n"/>
      <c r="K60" s="15" t="n"/>
      <c r="L60" s="15" t="n"/>
    </row>
    <row r="61" ht="22" customHeight="1">
      <c r="B61" s="18">
        <f>IF(C61="","RE-"&amp;TEXT(COUNTA($C$5:C61),"000"))</f>
        <v/>
      </c>
      <c r="C61" s="13" t="n"/>
      <c r="D61" s="13" t="n"/>
      <c r="E61" s="21" t="n"/>
      <c r="F61" s="21" t="n"/>
      <c r="G61" s="13" t="n"/>
      <c r="H61" s="13" t="n"/>
      <c r="I61" s="14" t="n"/>
      <c r="J61" s="19" t="n"/>
      <c r="K61" s="13" t="n"/>
      <c r="L61" s="13" t="n"/>
    </row>
    <row r="62" ht="22" customHeight="1">
      <c r="B62" s="17">
        <f>IF(C62="","RE-"&amp;TEXT(COUNTA($C$5:C62),"000"))</f>
        <v/>
      </c>
      <c r="C62" s="15" t="n"/>
      <c r="D62" s="15" t="n"/>
      <c r="E62" s="22" t="n"/>
      <c r="F62" s="22" t="n"/>
      <c r="G62" s="15" t="n"/>
      <c r="H62" s="15" t="n"/>
      <c r="I62" s="16" t="n"/>
      <c r="J62" s="20" t="n"/>
      <c r="K62" s="15" t="n"/>
      <c r="L62" s="15" t="n"/>
    </row>
    <row r="63" ht="22" customHeight="1">
      <c r="B63" s="18">
        <f>IF(C63="","RE-"&amp;TEXT(COUNTA($C$5:C63),"000"))</f>
        <v/>
      </c>
      <c r="C63" s="13" t="n"/>
      <c r="D63" s="13" t="n"/>
      <c r="E63" s="21" t="n"/>
      <c r="F63" s="21" t="n"/>
      <c r="G63" s="13" t="n"/>
      <c r="H63" s="13" t="n"/>
      <c r="I63" s="14" t="n"/>
      <c r="J63" s="19" t="n"/>
      <c r="K63" s="13" t="n"/>
      <c r="L63" s="13" t="n"/>
    </row>
    <row r="64" ht="22" customHeight="1">
      <c r="B64" s="17">
        <f>IF(C64="","RE-"&amp;TEXT(COUNTA($C$5:C64),"000"))</f>
        <v/>
      </c>
      <c r="C64" s="15" t="n"/>
      <c r="D64" s="15" t="n"/>
      <c r="E64" s="22" t="n"/>
      <c r="F64" s="22" t="n"/>
      <c r="G64" s="15" t="n"/>
      <c r="H64" s="15" t="n"/>
      <c r="I64" s="16" t="n"/>
      <c r="J64" s="20" t="n"/>
      <c r="K64" s="15" t="n"/>
      <c r="L64" s="15" t="n"/>
    </row>
    <row r="65" ht="22" customHeight="1">
      <c r="B65" s="18">
        <f>IF(C65="","RE-"&amp;TEXT(COUNTA($C$5:C65),"000"))</f>
        <v/>
      </c>
      <c r="C65" s="13" t="n"/>
      <c r="D65" s="13" t="n"/>
      <c r="E65" s="21" t="n"/>
      <c r="F65" s="21" t="n"/>
      <c r="G65" s="13" t="n"/>
      <c r="H65" s="13" t="n"/>
      <c r="I65" s="14" t="n"/>
      <c r="J65" s="19" t="n"/>
      <c r="K65" s="13" t="n"/>
      <c r="L65" s="13" t="n"/>
    </row>
    <row r="66" ht="22" customHeight="1">
      <c r="B66" s="17">
        <f>IF(C66="","RE-"&amp;TEXT(COUNTA($C$5:C66),"000"))</f>
        <v/>
      </c>
      <c r="C66" s="15" t="n"/>
      <c r="D66" s="15" t="n"/>
      <c r="E66" s="22" t="n"/>
      <c r="F66" s="22" t="n"/>
      <c r="G66" s="15" t="n"/>
      <c r="H66" s="15" t="n"/>
      <c r="I66" s="16" t="n"/>
      <c r="J66" s="20" t="n"/>
      <c r="K66" s="15" t="n"/>
      <c r="L66" s="15" t="n"/>
    </row>
    <row r="67" ht="22" customHeight="1">
      <c r="B67" s="18">
        <f>IF(C67="","RE-"&amp;TEXT(COUNTA($C$5:C67),"000"))</f>
        <v/>
      </c>
      <c r="C67" s="13" t="n"/>
      <c r="D67" s="13" t="n"/>
      <c r="E67" s="21" t="n"/>
      <c r="F67" s="21" t="n"/>
      <c r="G67" s="13" t="n"/>
      <c r="H67" s="13" t="n"/>
      <c r="I67" s="14" t="n"/>
      <c r="J67" s="19" t="n"/>
      <c r="K67" s="13" t="n"/>
      <c r="L67" s="13" t="n"/>
    </row>
    <row r="68" ht="22" customHeight="1">
      <c r="B68" s="17">
        <f>IF(C68="","RE-"&amp;TEXT(COUNTA($C$5:C68),"000"))</f>
        <v/>
      </c>
      <c r="C68" s="15" t="n"/>
      <c r="D68" s="15" t="n"/>
      <c r="E68" s="22" t="n"/>
      <c r="F68" s="22" t="n"/>
      <c r="G68" s="15" t="n"/>
      <c r="H68" s="15" t="n"/>
      <c r="I68" s="16" t="n"/>
      <c r="J68" s="20" t="n"/>
      <c r="K68" s="15" t="n"/>
      <c r="L68" s="15" t="n"/>
    </row>
    <row r="69" ht="22" customHeight="1">
      <c r="B69" s="18">
        <f>IF(C69="","RE-"&amp;TEXT(COUNTA($C$5:C69),"000"))</f>
        <v/>
      </c>
      <c r="C69" s="13" t="n"/>
      <c r="D69" s="13" t="n"/>
      <c r="E69" s="21" t="n"/>
      <c r="F69" s="21" t="n"/>
      <c r="G69" s="13" t="n"/>
      <c r="H69" s="13" t="n"/>
      <c r="I69" s="14" t="n"/>
      <c r="J69" s="19" t="n"/>
      <c r="K69" s="13" t="n"/>
      <c r="L69" s="13" t="n"/>
    </row>
    <row r="70" ht="22" customHeight="1">
      <c r="B70" s="17">
        <f>IF(C70="","RE-"&amp;TEXT(COUNTA($C$5:C70),"000"))</f>
        <v/>
      </c>
      <c r="C70" s="15" t="n"/>
      <c r="D70" s="15" t="n"/>
      <c r="E70" s="22" t="n"/>
      <c r="F70" s="22" t="n"/>
      <c r="G70" s="15" t="n"/>
      <c r="H70" s="15" t="n"/>
      <c r="I70" s="16" t="n"/>
      <c r="J70" s="20" t="n"/>
      <c r="K70" s="15" t="n"/>
      <c r="L70" s="15" t="n"/>
    </row>
    <row r="71" ht="22" customHeight="1">
      <c r="B71" s="18">
        <f>IF(C71="","RE-"&amp;TEXT(COUNTA($C$5:C71),"000"))</f>
        <v/>
      </c>
      <c r="C71" s="13" t="n"/>
      <c r="D71" s="13" t="n"/>
      <c r="E71" s="21" t="n"/>
      <c r="F71" s="21" t="n"/>
      <c r="G71" s="13" t="n"/>
      <c r="H71" s="13" t="n"/>
      <c r="I71" s="14" t="n"/>
      <c r="J71" s="19" t="n"/>
      <c r="K71" s="13" t="n"/>
      <c r="L71" s="13" t="n"/>
    </row>
    <row r="72" ht="22" customHeight="1">
      <c r="B72" s="17">
        <f>IF(C72="","RE-"&amp;TEXT(COUNTA($C$5:C72),"000"))</f>
        <v/>
      </c>
      <c r="C72" s="15" t="n"/>
      <c r="D72" s="15" t="n"/>
      <c r="E72" s="22" t="n"/>
      <c r="F72" s="22" t="n"/>
      <c r="G72" s="15" t="n"/>
      <c r="H72" s="15" t="n"/>
      <c r="I72" s="16" t="n"/>
      <c r="J72" s="20" t="n"/>
      <c r="K72" s="15" t="n"/>
      <c r="L72" s="15" t="n"/>
    </row>
    <row r="73" ht="22" customHeight="1">
      <c r="B73" s="18">
        <f>IF(C73="","RE-"&amp;TEXT(COUNTA($C$5:C73),"000"))</f>
        <v/>
      </c>
      <c r="C73" s="13" t="n"/>
      <c r="D73" s="13" t="n"/>
      <c r="E73" s="21" t="n"/>
      <c r="F73" s="21" t="n"/>
      <c r="G73" s="13" t="n"/>
      <c r="H73" s="13" t="n"/>
      <c r="I73" s="14" t="n"/>
      <c r="J73" s="19" t="n"/>
      <c r="K73" s="13" t="n"/>
      <c r="L73" s="13" t="n"/>
    </row>
    <row r="74" ht="22" customHeight="1">
      <c r="B74" s="17">
        <f>IF(C74="","RE-"&amp;TEXT(COUNTA($C$5:C74),"000"))</f>
        <v/>
      </c>
      <c r="C74" s="15" t="n"/>
      <c r="D74" s="15" t="n"/>
      <c r="E74" s="22" t="n"/>
      <c r="F74" s="22" t="n"/>
      <c r="G74" s="15" t="n"/>
      <c r="H74" s="15" t="n"/>
      <c r="I74" s="16" t="n"/>
      <c r="J74" s="20" t="n"/>
      <c r="K74" s="15" t="n"/>
      <c r="L74" s="15" t="n"/>
    </row>
    <row r="75" ht="22" customHeight="1">
      <c r="B75" s="18">
        <f>IF(C75="","RE-"&amp;TEXT(COUNTA($C$5:C75),"000"))</f>
        <v/>
      </c>
      <c r="C75" s="13" t="n"/>
      <c r="D75" s="13" t="n"/>
      <c r="E75" s="21" t="n"/>
      <c r="F75" s="21" t="n"/>
      <c r="G75" s="13" t="n"/>
      <c r="H75" s="13" t="n"/>
      <c r="I75" s="14" t="n"/>
      <c r="J75" s="19" t="n"/>
      <c r="K75" s="13" t="n"/>
      <c r="L75" s="13" t="n"/>
    </row>
    <row r="76" ht="22" customHeight="1">
      <c r="B76" s="17">
        <f>IF(C76="","RE-"&amp;TEXT(COUNTA($C$5:C76),"000"))</f>
        <v/>
      </c>
      <c r="C76" s="15" t="n"/>
      <c r="D76" s="15" t="n"/>
      <c r="E76" s="22" t="n"/>
      <c r="F76" s="22" t="n"/>
      <c r="G76" s="15" t="n"/>
      <c r="H76" s="15" t="n"/>
      <c r="I76" s="16" t="n"/>
      <c r="J76" s="20" t="n"/>
      <c r="K76" s="15" t="n"/>
      <c r="L76" s="15" t="n"/>
    </row>
    <row r="77" ht="22" customHeight="1">
      <c r="B77" s="18">
        <f>IF(C77="","RE-"&amp;TEXT(COUNTA($C$5:C77),"000"))</f>
        <v/>
      </c>
      <c r="C77" s="13" t="n"/>
      <c r="D77" s="13" t="n"/>
      <c r="E77" s="21" t="n"/>
      <c r="F77" s="21" t="n"/>
      <c r="G77" s="13" t="n"/>
      <c r="H77" s="13" t="n"/>
      <c r="I77" s="14" t="n"/>
      <c r="J77" s="19" t="n"/>
      <c r="K77" s="13" t="n"/>
      <c r="L77" s="13" t="n"/>
    </row>
    <row r="78" ht="22" customHeight="1">
      <c r="B78" s="17">
        <f>IF(C78="","RE-"&amp;TEXT(COUNTA($C$5:C78),"000"))</f>
        <v/>
      </c>
      <c r="C78" s="15" t="n"/>
      <c r="D78" s="15" t="n"/>
      <c r="E78" s="22" t="n"/>
      <c r="F78" s="22" t="n"/>
      <c r="G78" s="15" t="n"/>
      <c r="H78" s="15" t="n"/>
      <c r="I78" s="16" t="n"/>
      <c r="J78" s="20" t="n"/>
      <c r="K78" s="15" t="n"/>
      <c r="L78" s="15" t="n"/>
    </row>
    <row r="79" ht="22" customHeight="1">
      <c r="B79" s="18">
        <f>IF(C79="","RE-"&amp;TEXT(COUNTA($C$5:C79),"000"))</f>
        <v/>
      </c>
      <c r="C79" s="13" t="n"/>
      <c r="D79" s="13" t="n"/>
      <c r="E79" s="21" t="n"/>
      <c r="F79" s="21" t="n"/>
      <c r="G79" s="13" t="n"/>
      <c r="H79" s="13" t="n"/>
      <c r="I79" s="14" t="n"/>
      <c r="J79" s="19" t="n"/>
      <c r="K79" s="13" t="n"/>
      <c r="L79" s="13" t="n"/>
    </row>
    <row r="80" ht="22" customHeight="1">
      <c r="B80" s="17">
        <f>IF(C80="","RE-"&amp;TEXT(COUNTA($C$5:C80),"000"))</f>
        <v/>
      </c>
      <c r="C80" s="15" t="n"/>
      <c r="D80" s="15" t="n"/>
      <c r="E80" s="22" t="n"/>
      <c r="F80" s="22" t="n"/>
      <c r="G80" s="15" t="n"/>
      <c r="H80" s="15" t="n"/>
      <c r="I80" s="16" t="n"/>
      <c r="J80" s="20" t="n"/>
      <c r="K80" s="15" t="n"/>
      <c r="L80" s="15" t="n"/>
    </row>
    <row r="81" ht="22" customHeight="1">
      <c r="B81" s="18">
        <f>IF(C81="","RE-"&amp;TEXT(COUNTA($C$5:C81),"000"))</f>
        <v/>
      </c>
      <c r="C81" s="13" t="n"/>
      <c r="D81" s="13" t="n"/>
      <c r="E81" s="21" t="n"/>
      <c r="F81" s="21" t="n"/>
      <c r="G81" s="13" t="n"/>
      <c r="H81" s="13" t="n"/>
      <c r="I81" s="14" t="n"/>
      <c r="J81" s="19" t="n"/>
      <c r="K81" s="13" t="n"/>
      <c r="L81" s="13" t="n"/>
    </row>
    <row r="82" ht="22" customHeight="1">
      <c r="B82" s="17">
        <f>IF(C82="","RE-"&amp;TEXT(COUNTA($C$5:C82),"000"))</f>
        <v/>
      </c>
      <c r="C82" s="15" t="n"/>
      <c r="D82" s="15" t="n"/>
      <c r="E82" s="22" t="n"/>
      <c r="F82" s="22" t="n"/>
      <c r="G82" s="15" t="n"/>
      <c r="H82" s="15" t="n"/>
      <c r="I82" s="16" t="n"/>
      <c r="J82" s="20" t="n"/>
      <c r="K82" s="15" t="n"/>
      <c r="L82" s="15" t="n"/>
    </row>
    <row r="83" ht="22" customHeight="1">
      <c r="B83" s="18">
        <f>IF(C83="","RE-"&amp;TEXT(COUNTA($C$5:C83),"000"))</f>
        <v/>
      </c>
      <c r="C83" s="13" t="n"/>
      <c r="D83" s="13" t="n"/>
      <c r="E83" s="21" t="n"/>
      <c r="F83" s="21" t="n"/>
      <c r="G83" s="13" t="n"/>
      <c r="H83" s="13" t="n"/>
      <c r="I83" s="14" t="n"/>
      <c r="J83" s="19" t="n"/>
      <c r="K83" s="13" t="n"/>
      <c r="L83" s="13" t="n"/>
    </row>
    <row r="84" ht="22" customHeight="1">
      <c r="B84" s="17">
        <f>IF(C84="","RE-"&amp;TEXT(COUNTA($C$5:C84),"000"))</f>
        <v/>
      </c>
      <c r="C84" s="15" t="n"/>
      <c r="D84" s="15" t="n"/>
      <c r="E84" s="22" t="n"/>
      <c r="F84" s="22" t="n"/>
      <c r="G84" s="15" t="n"/>
      <c r="H84" s="15" t="n"/>
      <c r="I84" s="16" t="n"/>
      <c r="J84" s="20" t="n"/>
      <c r="K84" s="15" t="n"/>
      <c r="L84" s="15" t="n"/>
    </row>
    <row r="85" ht="22" customHeight="1">
      <c r="B85" s="18">
        <f>IF(C85="","RE-"&amp;TEXT(COUNTA($C$5:C85),"000"))</f>
        <v/>
      </c>
      <c r="C85" s="13" t="n"/>
      <c r="D85" s="13" t="n"/>
      <c r="E85" s="21" t="n"/>
      <c r="F85" s="21" t="n"/>
      <c r="G85" s="13" t="n"/>
      <c r="H85" s="13" t="n"/>
      <c r="I85" s="14" t="n"/>
      <c r="J85" s="19" t="n"/>
      <c r="K85" s="13" t="n"/>
      <c r="L85" s="13" t="n"/>
    </row>
    <row r="86" ht="22" customHeight="1">
      <c r="B86" s="17">
        <f>IF(C86="","RE-"&amp;TEXT(COUNTA($C$5:C86),"000"))</f>
        <v/>
      </c>
      <c r="C86" s="15" t="n"/>
      <c r="D86" s="15" t="n"/>
      <c r="E86" s="22" t="n"/>
      <c r="F86" s="22" t="n"/>
      <c r="G86" s="15" t="n"/>
      <c r="H86" s="15" t="n"/>
      <c r="I86" s="16" t="n"/>
      <c r="J86" s="20" t="n"/>
      <c r="K86" s="15" t="n"/>
      <c r="L86" s="15" t="n"/>
    </row>
    <row r="87" ht="22" customHeight="1">
      <c r="B87" s="18">
        <f>IF(C87="","RE-"&amp;TEXT(COUNTA($C$5:C87),"000"))</f>
        <v/>
      </c>
      <c r="C87" s="13" t="n"/>
      <c r="D87" s="13" t="n"/>
      <c r="E87" s="21" t="n"/>
      <c r="F87" s="21" t="n"/>
      <c r="G87" s="13" t="n"/>
      <c r="H87" s="13" t="n"/>
      <c r="I87" s="14" t="n"/>
      <c r="J87" s="19" t="n"/>
      <c r="K87" s="13" t="n"/>
      <c r="L87" s="13" t="n"/>
    </row>
    <row r="88" ht="22" customHeight="1">
      <c r="B88" s="17">
        <f>IF(C88="","RE-"&amp;TEXT(COUNTA($C$5:C88),"000"))</f>
        <v/>
      </c>
      <c r="C88" s="15" t="n"/>
      <c r="D88" s="15" t="n"/>
      <c r="E88" s="22" t="n"/>
      <c r="F88" s="22" t="n"/>
      <c r="G88" s="15" t="n"/>
      <c r="H88" s="15" t="n"/>
      <c r="I88" s="16" t="n"/>
      <c r="J88" s="20" t="n"/>
      <c r="K88" s="15" t="n"/>
      <c r="L88" s="15" t="n"/>
    </row>
    <row r="89" ht="22" customHeight="1">
      <c r="B89" s="18">
        <f>IF(C89="","RE-"&amp;TEXT(COUNTA($C$5:C89),"000"))</f>
        <v/>
      </c>
      <c r="C89" s="13" t="n"/>
      <c r="D89" s="13" t="n"/>
      <c r="E89" s="21" t="n"/>
      <c r="F89" s="21" t="n"/>
      <c r="G89" s="13" t="n"/>
      <c r="H89" s="13" t="n"/>
      <c r="I89" s="14" t="n"/>
      <c r="J89" s="19" t="n"/>
      <c r="K89" s="13" t="n"/>
      <c r="L89" s="13" t="n"/>
    </row>
    <row r="90" ht="22" customHeight="1">
      <c r="B90" s="17">
        <f>IF(C90="","RE-"&amp;TEXT(COUNTA($C$5:C90),"000"))</f>
        <v/>
      </c>
      <c r="C90" s="15" t="n"/>
      <c r="D90" s="15" t="n"/>
      <c r="E90" s="22" t="n"/>
      <c r="F90" s="22" t="n"/>
      <c r="G90" s="15" t="n"/>
      <c r="H90" s="15" t="n"/>
      <c r="I90" s="16" t="n"/>
      <c r="J90" s="20" t="n"/>
      <c r="K90" s="15" t="n"/>
      <c r="L90" s="15" t="n"/>
    </row>
    <row r="91" ht="22" customHeight="1">
      <c r="B91" s="18">
        <f>IF(C91="","RE-"&amp;TEXT(COUNTA($C$5:C91),"000"))</f>
        <v/>
      </c>
      <c r="C91" s="13" t="n"/>
      <c r="D91" s="13" t="n"/>
      <c r="E91" s="21" t="n"/>
      <c r="F91" s="21" t="n"/>
      <c r="G91" s="13" t="n"/>
      <c r="H91" s="13" t="n"/>
      <c r="I91" s="14" t="n"/>
      <c r="J91" s="19" t="n"/>
      <c r="K91" s="13" t="n"/>
      <c r="L91" s="13" t="n"/>
    </row>
    <row r="92" ht="22" customHeight="1">
      <c r="B92" s="17">
        <f>IF(C92="","RE-"&amp;TEXT(COUNTA($C$5:C92),"000"))</f>
        <v/>
      </c>
      <c r="C92" s="15" t="n"/>
      <c r="D92" s="15" t="n"/>
      <c r="E92" s="22" t="n"/>
      <c r="F92" s="22" t="n"/>
      <c r="G92" s="15" t="n"/>
      <c r="H92" s="15" t="n"/>
      <c r="I92" s="16" t="n"/>
      <c r="J92" s="20" t="n"/>
      <c r="K92" s="15" t="n"/>
      <c r="L92" s="15" t="n"/>
    </row>
    <row r="93" ht="22" customHeight="1">
      <c r="B93" s="18">
        <f>IF(C93="","RE-"&amp;TEXT(COUNTA($C$5:C93),"000"))</f>
        <v/>
      </c>
      <c r="C93" s="13" t="n"/>
      <c r="D93" s="13" t="n"/>
      <c r="E93" s="21" t="n"/>
      <c r="F93" s="21" t="n"/>
      <c r="G93" s="13" t="n"/>
      <c r="H93" s="13" t="n"/>
      <c r="I93" s="14" t="n"/>
      <c r="J93" s="19" t="n"/>
      <c r="K93" s="13" t="n"/>
      <c r="L93" s="13" t="n"/>
    </row>
    <row r="94" ht="22" customHeight="1">
      <c r="B94" s="17">
        <f>IF(C94="","RE-"&amp;TEXT(COUNTA($C$5:C94),"000"))</f>
        <v/>
      </c>
      <c r="C94" s="15" t="n"/>
      <c r="D94" s="15" t="n"/>
      <c r="E94" s="22" t="n"/>
      <c r="F94" s="22" t="n"/>
      <c r="G94" s="15" t="n"/>
      <c r="H94" s="15" t="n"/>
      <c r="I94" s="16" t="n"/>
      <c r="J94" s="20" t="n"/>
      <c r="K94" s="15" t="n"/>
      <c r="L94" s="15" t="n"/>
    </row>
    <row r="95" ht="22" customHeight="1">
      <c r="B95" s="18">
        <f>IF(C95="","RE-"&amp;TEXT(COUNTA($C$5:C95),"000"))</f>
        <v/>
      </c>
      <c r="C95" s="13" t="n"/>
      <c r="D95" s="13" t="n"/>
      <c r="E95" s="21" t="n"/>
      <c r="F95" s="21" t="n"/>
      <c r="G95" s="13" t="n"/>
      <c r="H95" s="13" t="n"/>
      <c r="I95" s="14" t="n"/>
      <c r="J95" s="19" t="n"/>
      <c r="K95" s="13" t="n"/>
      <c r="L95" s="13" t="n"/>
    </row>
    <row r="96" ht="22" customHeight="1">
      <c r="B96" s="17">
        <f>IF(C96="","RE-"&amp;TEXT(COUNTA($C$5:C96),"000"))</f>
        <v/>
      </c>
      <c r="C96" s="15" t="n"/>
      <c r="D96" s="15" t="n"/>
      <c r="E96" s="22" t="n"/>
      <c r="F96" s="22" t="n"/>
      <c r="G96" s="15" t="n"/>
      <c r="H96" s="15" t="n"/>
      <c r="I96" s="16" t="n"/>
      <c r="J96" s="20" t="n"/>
      <c r="K96" s="15" t="n"/>
      <c r="L96" s="15" t="n"/>
    </row>
    <row r="97" ht="22" customHeight="1">
      <c r="B97" s="18">
        <f>IF(C97="","RE-"&amp;TEXT(COUNTA($C$5:C97),"000"))</f>
        <v/>
      </c>
      <c r="C97" s="13" t="n"/>
      <c r="D97" s="13" t="n"/>
      <c r="E97" s="21" t="n"/>
      <c r="F97" s="21" t="n"/>
      <c r="G97" s="13" t="n"/>
      <c r="H97" s="13" t="n"/>
      <c r="I97" s="14" t="n"/>
      <c r="J97" s="19" t="n"/>
      <c r="K97" s="13" t="n"/>
      <c r="L97" s="13" t="n"/>
    </row>
    <row r="98" ht="22" customHeight="1">
      <c r="B98" s="17">
        <f>IF(C98="","RE-"&amp;TEXT(COUNTA($C$5:C98),"000"))</f>
        <v/>
      </c>
      <c r="C98" s="15" t="n"/>
      <c r="D98" s="15" t="n"/>
      <c r="E98" s="22" t="n"/>
      <c r="F98" s="22" t="n"/>
      <c r="G98" s="15" t="n"/>
      <c r="H98" s="15" t="n"/>
      <c r="I98" s="16" t="n"/>
      <c r="J98" s="20" t="n"/>
      <c r="K98" s="15" t="n"/>
      <c r="L98" s="15" t="n"/>
    </row>
    <row r="99" ht="22" customHeight="1">
      <c r="B99" s="18">
        <f>IF(C99="","RE-"&amp;TEXT(COUNTA($C$5:C99),"000"))</f>
        <v/>
      </c>
      <c r="C99" s="13" t="n"/>
      <c r="D99" s="13" t="n"/>
      <c r="E99" s="21" t="n"/>
      <c r="F99" s="21" t="n"/>
      <c r="G99" s="13" t="n"/>
      <c r="H99" s="13" t="n"/>
      <c r="I99" s="14" t="n"/>
      <c r="J99" s="19" t="n"/>
      <c r="K99" s="13" t="n"/>
      <c r="L99" s="13" t="n"/>
    </row>
    <row r="100" ht="22" customHeight="1">
      <c r="B100" s="17">
        <f>IF(C100="","RE-"&amp;TEXT(COUNTA($C$5:C100),"000"))</f>
        <v/>
      </c>
      <c r="C100" s="15" t="n"/>
      <c r="D100" s="15" t="n"/>
      <c r="E100" s="22" t="n"/>
      <c r="F100" s="22" t="n"/>
      <c r="G100" s="15" t="n"/>
      <c r="H100" s="15" t="n"/>
      <c r="I100" s="16" t="n"/>
      <c r="J100" s="20" t="n"/>
      <c r="K100" s="15" t="n"/>
      <c r="L100" s="15" t="n"/>
    </row>
    <row r="101" ht="22" customHeight="1">
      <c r="B101" s="18">
        <f>IF(C101="","RE-"&amp;TEXT(COUNTA($C$5:C101),"000"))</f>
        <v/>
      </c>
      <c r="C101" s="13" t="n"/>
      <c r="D101" s="13" t="n"/>
      <c r="E101" s="21" t="n"/>
      <c r="F101" s="21" t="n"/>
      <c r="G101" s="13" t="n"/>
      <c r="H101" s="13" t="n"/>
      <c r="I101" s="14" t="n"/>
      <c r="J101" s="19" t="n"/>
      <c r="K101" s="13" t="n"/>
      <c r="L101" s="13" t="n"/>
    </row>
    <row r="102" ht="22" customHeight="1">
      <c r="B102" s="17">
        <f>IF(C102="","RE-"&amp;TEXT(COUNTA($C$5:C102),"000"))</f>
        <v/>
      </c>
      <c r="C102" s="15" t="n"/>
      <c r="D102" s="15" t="n"/>
      <c r="E102" s="22" t="n"/>
      <c r="F102" s="22" t="n"/>
      <c r="G102" s="15" t="n"/>
      <c r="H102" s="15" t="n"/>
      <c r="I102" s="16" t="n"/>
      <c r="J102" s="20" t="n"/>
      <c r="K102" s="15" t="n"/>
      <c r="L102" s="15" t="n"/>
    </row>
    <row r="103" ht="22" customHeight="1">
      <c r="B103" s="18">
        <f>IF(C103="","RE-"&amp;TEXT(COUNTA($C$5:C103),"000"))</f>
        <v/>
      </c>
      <c r="C103" s="13" t="n"/>
      <c r="D103" s="13" t="n"/>
      <c r="E103" s="21" t="n"/>
      <c r="F103" s="21" t="n"/>
      <c r="G103" s="13" t="n"/>
      <c r="H103" s="13" t="n"/>
      <c r="I103" s="14" t="n"/>
      <c r="J103" s="19" t="n"/>
      <c r="K103" s="13" t="n"/>
      <c r="L103" s="13" t="n"/>
    </row>
    <row r="104" ht="22" customHeight="1">
      <c r="B104" s="17">
        <f>IF(C104="","RE-"&amp;TEXT(COUNTA($C$5:C104),"000"))</f>
        <v/>
      </c>
      <c r="C104" s="15" t="n"/>
      <c r="D104" s="15" t="n"/>
      <c r="E104" s="22" t="n"/>
      <c r="F104" s="22" t="n"/>
      <c r="G104" s="15" t="n"/>
      <c r="H104" s="15" t="n"/>
      <c r="I104" s="16" t="n"/>
      <c r="J104" s="20" t="n"/>
      <c r="K104" s="15" t="n"/>
      <c r="L104" s="15" t="n"/>
    </row>
    <row r="105" ht="22" customHeight="1">
      <c r="B105" s="18">
        <f>IF(C105="","RE-"&amp;TEXT(COUNTA($C$5:C105),"000"))</f>
        <v/>
      </c>
      <c r="C105" s="13" t="n"/>
      <c r="D105" s="13" t="n"/>
      <c r="E105" s="21" t="n"/>
      <c r="F105" s="21" t="n"/>
      <c r="G105" s="13" t="n"/>
      <c r="H105" s="13" t="n"/>
      <c r="I105" s="14" t="n"/>
      <c r="J105" s="19" t="n"/>
      <c r="K105" s="13" t="n"/>
      <c r="L105" s="13" t="n"/>
    </row>
    <row r="106" ht="22" customHeight="1">
      <c r="B106" s="17">
        <f>IF(C106="","RE-"&amp;TEXT(COUNTA($C$5:C106),"000"))</f>
        <v/>
      </c>
      <c r="C106" s="15" t="n"/>
      <c r="D106" s="15" t="n"/>
      <c r="E106" s="22" t="n"/>
      <c r="F106" s="22" t="n"/>
      <c r="G106" s="15" t="n"/>
      <c r="H106" s="15" t="n"/>
      <c r="I106" s="16" t="n"/>
      <c r="J106" s="20" t="n"/>
      <c r="K106" s="15" t="n"/>
      <c r="L106" s="15" t="n"/>
    </row>
    <row r="107" ht="22" customHeight="1">
      <c r="B107" s="18">
        <f>IF(C107="","RE-"&amp;TEXT(COUNTA($C$5:C107),"000"))</f>
        <v/>
      </c>
      <c r="C107" s="13" t="n"/>
      <c r="D107" s="13" t="n"/>
      <c r="E107" s="21" t="n"/>
      <c r="F107" s="21" t="n"/>
      <c r="G107" s="13" t="n"/>
      <c r="H107" s="13" t="n"/>
      <c r="I107" s="14" t="n"/>
      <c r="J107" s="19" t="n"/>
      <c r="K107" s="13" t="n"/>
      <c r="L107" s="13" t="n"/>
    </row>
    <row r="108"/>
    <row r="109" ht="26" customHeight="1">
      <c r="B109" s="27" t="inlineStr">
        <is>
          <t>TOTAL</t>
        </is>
      </c>
      <c r="C109" s="28" t="n"/>
      <c r="D109" s="28" t="n"/>
      <c r="E109" s="28" t="n"/>
      <c r="F109" s="28" t="n"/>
      <c r="G109" s="28" t="n"/>
      <c r="H109" s="28" t="n"/>
      <c r="I109" s="28" t="n"/>
      <c r="J109" s="29">
        <f>SUM(J5:J104)</f>
        <v/>
      </c>
      <c r="K109" s="28" t="n"/>
      <c r="L109" s="28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Total rapports</t>
        </is>
      </c>
      <c r="D112" s="3" t="inlineStr">
        <is>
          <t>Evaluations couvertes</t>
        </is>
      </c>
      <c r="F112" s="3" t="inlineStr">
        <is>
          <t>Note moyenne rapports</t>
        </is>
      </c>
      <c r="H112" s="3" t="inlineStr">
        <is>
          <t>Approuves</t>
        </is>
      </c>
    </row>
    <row r="113">
      <c r="B113" s="4">
        <f>COUNTIF(B5:B104,"&lt;&gt;")</f>
        <v/>
      </c>
      <c r="D113" s="4">
        <f>SUM(J5:J104)</f>
        <v/>
      </c>
      <c r="F113" s="4">
        <f>IFERROR(AVERAGE(I5:I104),0)</f>
        <v/>
      </c>
      <c r="H113" s="4">
        <f>COUNTIF(L5:L104,"Approuve")</f>
        <v/>
      </c>
    </row>
  </sheetData>
  <mergeCells count="3">
    <mergeCell ref="B2:L2"/>
    <mergeCell ref="B111:L111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8:B107">
    <cfRule type="expression" priority="87" dxfId="3">
      <formula>AND($C8="",$C7&lt;&gt;"")</formula>
    </cfRule>
  </conditionalFormatting>
  <conditionalFormatting sqref="C8:C107">
    <cfRule type="expression" priority="88" dxfId="3">
      <formula>AND($C8="",$C7&lt;&gt;"")</formula>
    </cfRule>
  </conditionalFormatting>
  <conditionalFormatting sqref="D8:D107">
    <cfRule type="expression" priority="89" dxfId="3">
      <formula>AND($C8="",$C7&lt;&gt;"")</formula>
    </cfRule>
  </conditionalFormatting>
  <conditionalFormatting sqref="E8:E107">
    <cfRule type="expression" priority="90" dxfId="3">
      <formula>AND($C8="",$C7&lt;&gt;"")</formula>
    </cfRule>
  </conditionalFormatting>
  <conditionalFormatting sqref="F8:F107">
    <cfRule type="expression" priority="91" dxfId="3">
      <formula>AND($C8="",$C7&lt;&gt;"")</formula>
    </cfRule>
  </conditionalFormatting>
  <conditionalFormatting sqref="G8:G107">
    <cfRule type="expression" priority="92" dxfId="3">
      <formula>AND($C8="",$C7&lt;&gt;"")</formula>
    </cfRule>
  </conditionalFormatting>
  <conditionalFormatting sqref="H8:H107">
    <cfRule type="expression" priority="93" dxfId="3">
      <formula>AND($C8="",$C7&lt;&gt;"")</formula>
    </cfRule>
  </conditionalFormatting>
  <conditionalFormatting sqref="I8:I107">
    <cfRule type="expression" priority="94" dxfId="3">
      <formula>AND($C8="",$C7&lt;&gt;"")</formula>
    </cfRule>
  </conditionalFormatting>
  <conditionalFormatting sqref="J8:J107">
    <cfRule type="expression" priority="95" dxfId="3">
      <formula>AND($C8="",$C7&lt;&gt;"")</formula>
    </cfRule>
  </conditionalFormatting>
  <conditionalFormatting sqref="K8:K107">
    <cfRule type="expression" priority="96" dxfId="3">
      <formula>AND($C8="",$C7&lt;&gt;"")</formula>
    </cfRule>
  </conditionalFormatting>
  <conditionalFormatting sqref="L8:L107">
    <cfRule type="expression" priority="97" dxfId="3">
      <formula>AND($C8="",$C7&lt;&gt;"")</formula>
    </cfRule>
  </conditionalFormatting>
  <dataValidations count="2">
    <dataValidation sqref="G5:G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'_Lists'!$R$2:$R$5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J1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0" customWidth="1" min="6" max="6"/>
    <col width="18" customWidth="1" min="7" max="7"/>
    <col width="32" customWidth="1" min="8" max="8"/>
    <col width="22" customWidth="1" min="9" max="9"/>
    <col width="18" customWidth="1" min="10" max="10"/>
  </cols>
  <sheetData>
    <row r="1" ht="15" customHeight="1"/>
    <row r="2" ht="32" customHeight="1">
      <c r="B2" s="1" t="inlineStr">
        <is>
          <t>DECISIONS RH POST-EVALUATION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Matricule</t>
        </is>
      </c>
      <c r="D4" s="12" t="inlineStr">
        <is>
          <t>Nom Employe</t>
        </is>
      </c>
      <c r="E4" s="12" t="inlineStr">
        <is>
          <t>Departement</t>
        </is>
      </c>
      <c r="F4" s="12" t="inlineStr">
        <is>
          <t>Annee</t>
        </is>
      </c>
      <c r="G4" s="12" t="inlineStr">
        <is>
          <t>Note Globale (/20)</t>
        </is>
      </c>
      <c r="H4" s="12" t="inlineStr">
        <is>
          <t>Decision RH</t>
        </is>
      </c>
      <c r="I4" s="12" t="inlineStr">
        <is>
          <t>Montant Associate (FCFA)</t>
        </is>
      </c>
      <c r="J4" s="12" t="inlineStr">
        <is>
          <t>Date Mise en Oeuvre</t>
        </is>
      </c>
    </row>
    <row r="5" ht="22" customHeight="1">
      <c r="B5" s="13" t="inlineStr">
        <is>
          <t>DEC-001</t>
        </is>
      </c>
      <c r="C5" s="13" t="inlineStr">
        <is>
          <t>EMP-2025-002</t>
        </is>
      </c>
      <c r="D5" s="13" t="inlineStr">
        <is>
          <t>Tchinda Armand</t>
        </is>
      </c>
      <c r="E5" s="13" t="inlineStr">
        <is>
          <t>Informatique</t>
        </is>
      </c>
      <c r="F5" s="13" t="inlineStr">
        <is>
          <t>2025</t>
        </is>
      </c>
      <c r="G5" s="14" t="n">
        <v>17.7</v>
      </c>
      <c r="H5" s="13" t="inlineStr">
        <is>
          <t>Promotion + prime merite</t>
        </is>
      </c>
      <c r="I5" s="25" t="n">
        <v>37500</v>
      </c>
      <c r="J5" s="21" t="n">
        <v>45839</v>
      </c>
    </row>
    <row r="6" ht="22" customHeight="1">
      <c r="B6" s="15" t="inlineStr">
        <is>
          <t>DEC-002</t>
        </is>
      </c>
      <c r="C6" s="15" t="inlineStr">
        <is>
          <t>EMP-2025-001</t>
        </is>
      </c>
      <c r="D6" s="15" t="inlineStr">
        <is>
          <t>Nganou Clarisse</t>
        </is>
      </c>
      <c r="E6" s="15" t="inlineStr">
        <is>
          <t>Ressources Humaines</t>
        </is>
      </c>
      <c r="F6" s="15" t="inlineStr">
        <is>
          <t>2025</t>
        </is>
      </c>
      <c r="G6" s="16" t="n">
        <v>17</v>
      </c>
      <c r="H6" s="15" t="inlineStr">
        <is>
          <t>Maintien + prime rendement</t>
        </is>
      </c>
      <c r="I6" s="26" t="n">
        <v>42000</v>
      </c>
      <c r="J6" s="22" t="n">
        <v>45839</v>
      </c>
    </row>
    <row r="7" ht="22" customHeight="1">
      <c r="B7" s="13" t="inlineStr">
        <is>
          <t>DEC-003</t>
        </is>
      </c>
      <c r="C7" s="13" t="inlineStr">
        <is>
          <t>EMP-2025-003</t>
        </is>
      </c>
      <c r="D7" s="13" t="inlineStr">
        <is>
          <t>Fotso Marguerite</t>
        </is>
      </c>
      <c r="E7" s="13" t="inlineStr">
        <is>
          <t>Finance &amp; Comptabilite</t>
        </is>
      </c>
      <c r="F7" s="13" t="inlineStr">
        <is>
          <t>2025</t>
        </is>
      </c>
      <c r="G7" s="14" t="n">
        <v>17.3</v>
      </c>
      <c r="H7" s="13" t="inlineStr">
        <is>
          <t>Augmentation salariale 5%</t>
        </is>
      </c>
      <c r="I7" s="25" t="n">
        <v>10000</v>
      </c>
      <c r="J7" s="21" t="n">
        <v>45839</v>
      </c>
    </row>
    <row r="8" ht="22" customHeight="1">
      <c r="B8" s="15" t="inlineStr">
        <is>
          <t>DEC-004</t>
        </is>
      </c>
      <c r="C8" s="15" t="inlineStr">
        <is>
          <t>EMP-2025-020</t>
        </is>
      </c>
      <c r="D8" s="15" t="inlineStr">
        <is>
          <t>Tagne Rene</t>
        </is>
      </c>
      <c r="E8" s="15" t="inlineStr">
        <is>
          <t>Cuisine &amp; Restauration</t>
        </is>
      </c>
      <c r="F8" s="15" t="inlineStr">
        <is>
          <t>2025</t>
        </is>
      </c>
      <c r="G8" s="16" t="n">
        <v>13</v>
      </c>
      <c r="H8" s="15" t="inlineStr">
        <is>
          <t>PAP obligatoire + pas de prime</t>
        </is>
      </c>
      <c r="I8" s="26" t="n">
        <v>0</v>
      </c>
      <c r="J8" s="22" t="n">
        <v>45828</v>
      </c>
    </row>
    <row r="9" ht="22" customHeight="1">
      <c r="B9" s="13" t="inlineStr">
        <is>
          <t>DEC-005</t>
        </is>
      </c>
      <c r="C9" s="13" t="inlineStr">
        <is>
          <t>EMP-2025-033</t>
        </is>
      </c>
      <c r="D9" s="13" t="inlineStr">
        <is>
          <t>Tamo Elvis</t>
        </is>
      </c>
      <c r="E9" s="13" t="inlineStr">
        <is>
          <t>Cuisine &amp; Restauration</t>
        </is>
      </c>
      <c r="F9" s="13" t="inlineStr">
        <is>
          <t>2025</t>
        </is>
      </c>
      <c r="G9" s="14" t="n">
        <v>8</v>
      </c>
      <c r="H9" s="13" t="inlineStr">
        <is>
          <t>Rupture periode essai</t>
        </is>
      </c>
      <c r="I9" s="25" t="n">
        <v>0</v>
      </c>
      <c r="J9" s="21" t="n">
        <v>45853</v>
      </c>
    </row>
    <row r="10" ht="22" customHeight="1">
      <c r="B10" s="17">
        <f>IF(C10="","DEC-"&amp;TEXT(COUNTA($C$5:C10),"000"))</f>
        <v/>
      </c>
      <c r="C10" s="15" t="n"/>
      <c r="D10" s="15" t="n"/>
      <c r="E10" s="15" t="n"/>
      <c r="F10" s="15" t="n"/>
      <c r="G10" s="16" t="n"/>
      <c r="H10" s="15" t="n"/>
      <c r="I10" s="26" t="n"/>
      <c r="J10" s="22" t="n"/>
    </row>
    <row r="11" ht="22" customHeight="1">
      <c r="B11" s="18">
        <f>IF(C11="","DEC-"&amp;TEXT(COUNTA($C$5:C11),"000"))</f>
        <v/>
      </c>
      <c r="C11" s="13" t="n"/>
      <c r="D11" s="13" t="n"/>
      <c r="E11" s="13" t="n"/>
      <c r="F11" s="13" t="n"/>
      <c r="G11" s="14" t="n"/>
      <c r="H11" s="13" t="n"/>
      <c r="I11" s="25" t="n"/>
      <c r="J11" s="21" t="n"/>
    </row>
    <row r="12" ht="22" customHeight="1">
      <c r="B12" s="17">
        <f>IF(C12="","DEC-"&amp;TEXT(COUNTA($C$5:C12),"000"))</f>
        <v/>
      </c>
      <c r="C12" s="15" t="n"/>
      <c r="D12" s="15" t="n"/>
      <c r="E12" s="15" t="n"/>
      <c r="F12" s="15" t="n"/>
      <c r="G12" s="16" t="n"/>
      <c r="H12" s="15" t="n"/>
      <c r="I12" s="26" t="n"/>
      <c r="J12" s="22" t="n"/>
    </row>
    <row r="13" ht="22" customHeight="1">
      <c r="B13" s="18">
        <f>IF(C13="","DEC-"&amp;TEXT(COUNTA($C$5:C13),"000"))</f>
        <v/>
      </c>
      <c r="C13" s="13" t="n"/>
      <c r="D13" s="13" t="n"/>
      <c r="E13" s="13" t="n"/>
      <c r="F13" s="13" t="n"/>
      <c r="G13" s="14" t="n"/>
      <c r="H13" s="13" t="n"/>
      <c r="I13" s="25" t="n"/>
      <c r="J13" s="21" t="n"/>
    </row>
    <row r="14" ht="22" customHeight="1">
      <c r="B14" s="17">
        <f>IF(C14="","DEC-"&amp;TEXT(COUNTA($C$5:C14),"000"))</f>
        <v/>
      </c>
      <c r="C14" s="15" t="n"/>
      <c r="D14" s="15" t="n"/>
      <c r="E14" s="15" t="n"/>
      <c r="F14" s="15" t="n"/>
      <c r="G14" s="16" t="n"/>
      <c r="H14" s="15" t="n"/>
      <c r="I14" s="26" t="n"/>
      <c r="J14" s="22" t="n"/>
    </row>
    <row r="15" ht="22" customHeight="1">
      <c r="B15" s="18">
        <f>IF(C15="","DEC-"&amp;TEXT(COUNTA($C$5:C15),"000"))</f>
        <v/>
      </c>
      <c r="C15" s="13" t="n"/>
      <c r="D15" s="13" t="n"/>
      <c r="E15" s="13" t="n"/>
      <c r="F15" s="13" t="n"/>
      <c r="G15" s="14" t="n"/>
      <c r="H15" s="13" t="n"/>
      <c r="I15" s="25" t="n"/>
      <c r="J15" s="21" t="n"/>
    </row>
    <row r="16" ht="22" customHeight="1">
      <c r="B16" s="17">
        <f>IF(C16="","DEC-"&amp;TEXT(COUNTA($C$5:C16),"000"))</f>
        <v/>
      </c>
      <c r="C16" s="15" t="n"/>
      <c r="D16" s="15" t="n"/>
      <c r="E16" s="15" t="n"/>
      <c r="F16" s="15" t="n"/>
      <c r="G16" s="16" t="n"/>
      <c r="H16" s="15" t="n"/>
      <c r="I16" s="26" t="n"/>
      <c r="J16" s="22" t="n"/>
    </row>
    <row r="17" ht="22" customHeight="1">
      <c r="B17" s="18">
        <f>IF(C17="","DEC-"&amp;TEXT(COUNTA($C$5:C17),"000"))</f>
        <v/>
      </c>
      <c r="C17" s="13" t="n"/>
      <c r="D17" s="13" t="n"/>
      <c r="E17" s="13" t="n"/>
      <c r="F17" s="13" t="n"/>
      <c r="G17" s="14" t="n"/>
      <c r="H17" s="13" t="n"/>
      <c r="I17" s="25" t="n"/>
      <c r="J17" s="21" t="n"/>
    </row>
    <row r="18" ht="22" customHeight="1">
      <c r="B18" s="17">
        <f>IF(C18="","DEC-"&amp;TEXT(COUNTA($C$5:C18),"000"))</f>
        <v/>
      </c>
      <c r="C18" s="15" t="n"/>
      <c r="D18" s="15" t="n"/>
      <c r="E18" s="15" t="n"/>
      <c r="F18" s="15" t="n"/>
      <c r="G18" s="16" t="n"/>
      <c r="H18" s="15" t="n"/>
      <c r="I18" s="26" t="n"/>
      <c r="J18" s="22" t="n"/>
    </row>
    <row r="19" ht="22" customHeight="1">
      <c r="B19" s="18">
        <f>IF(C19="","DEC-"&amp;TEXT(COUNTA($C$5:C19),"000"))</f>
        <v/>
      </c>
      <c r="C19" s="13" t="n"/>
      <c r="D19" s="13" t="n"/>
      <c r="E19" s="13" t="n"/>
      <c r="F19" s="13" t="n"/>
      <c r="G19" s="14" t="n"/>
      <c r="H19" s="13" t="n"/>
      <c r="I19" s="25" t="n"/>
      <c r="J19" s="21" t="n"/>
    </row>
    <row r="20" ht="22" customHeight="1">
      <c r="B20" s="17">
        <f>IF(C20="","DEC-"&amp;TEXT(COUNTA($C$5:C20),"000"))</f>
        <v/>
      </c>
      <c r="C20" s="15" t="n"/>
      <c r="D20" s="15" t="n"/>
      <c r="E20" s="15" t="n"/>
      <c r="F20" s="15" t="n"/>
      <c r="G20" s="16" t="n"/>
      <c r="H20" s="15" t="n"/>
      <c r="I20" s="26" t="n"/>
      <c r="J20" s="22" t="n"/>
    </row>
    <row r="21" ht="22" customHeight="1">
      <c r="B21" s="18">
        <f>IF(C21="","DEC-"&amp;TEXT(COUNTA($C$5:C21),"000"))</f>
        <v/>
      </c>
      <c r="C21" s="13" t="n"/>
      <c r="D21" s="13" t="n"/>
      <c r="E21" s="13" t="n"/>
      <c r="F21" s="13" t="n"/>
      <c r="G21" s="14" t="n"/>
      <c r="H21" s="13" t="n"/>
      <c r="I21" s="25" t="n"/>
      <c r="J21" s="21" t="n"/>
    </row>
    <row r="22" ht="22" customHeight="1">
      <c r="B22" s="17">
        <f>IF(C22="","DEC-"&amp;TEXT(COUNTA($C$5:C22),"000"))</f>
        <v/>
      </c>
      <c r="C22" s="15" t="n"/>
      <c r="D22" s="15" t="n"/>
      <c r="E22" s="15" t="n"/>
      <c r="F22" s="15" t="n"/>
      <c r="G22" s="16" t="n"/>
      <c r="H22" s="15" t="n"/>
      <c r="I22" s="26" t="n"/>
      <c r="J22" s="22" t="n"/>
    </row>
    <row r="23" ht="22" customHeight="1">
      <c r="B23" s="18">
        <f>IF(C23="","DEC-"&amp;TEXT(COUNTA($C$5:C23),"000"))</f>
        <v/>
      </c>
      <c r="C23" s="13" t="n"/>
      <c r="D23" s="13" t="n"/>
      <c r="E23" s="13" t="n"/>
      <c r="F23" s="13" t="n"/>
      <c r="G23" s="14" t="n"/>
      <c r="H23" s="13" t="n"/>
      <c r="I23" s="25" t="n"/>
      <c r="J23" s="21" t="n"/>
    </row>
    <row r="24" ht="22" customHeight="1">
      <c r="B24" s="17">
        <f>IF(C24="","DEC-"&amp;TEXT(COUNTA($C$5:C24),"000"))</f>
        <v/>
      </c>
      <c r="C24" s="15" t="n"/>
      <c r="D24" s="15" t="n"/>
      <c r="E24" s="15" t="n"/>
      <c r="F24" s="15" t="n"/>
      <c r="G24" s="16" t="n"/>
      <c r="H24" s="15" t="n"/>
      <c r="I24" s="26" t="n"/>
      <c r="J24" s="22" t="n"/>
    </row>
    <row r="25" ht="22" customHeight="1">
      <c r="B25" s="18">
        <f>IF(C25="","DEC-"&amp;TEXT(COUNTA($C$5:C25),"000"))</f>
        <v/>
      </c>
      <c r="C25" s="13" t="n"/>
      <c r="D25" s="13" t="n"/>
      <c r="E25" s="13" t="n"/>
      <c r="F25" s="13" t="n"/>
      <c r="G25" s="14" t="n"/>
      <c r="H25" s="13" t="n"/>
      <c r="I25" s="25" t="n"/>
      <c r="J25" s="21" t="n"/>
    </row>
    <row r="26" ht="22" customHeight="1">
      <c r="B26" s="17">
        <f>IF(C26="","DEC-"&amp;TEXT(COUNTA($C$5:C26),"000"))</f>
        <v/>
      </c>
      <c r="C26" s="15" t="n"/>
      <c r="D26" s="15" t="n"/>
      <c r="E26" s="15" t="n"/>
      <c r="F26" s="15" t="n"/>
      <c r="G26" s="16" t="n"/>
      <c r="H26" s="15" t="n"/>
      <c r="I26" s="26" t="n"/>
      <c r="J26" s="22" t="n"/>
    </row>
    <row r="27" ht="22" customHeight="1">
      <c r="B27" s="18">
        <f>IF(C27="","DEC-"&amp;TEXT(COUNTA($C$5:C27),"000"))</f>
        <v/>
      </c>
      <c r="C27" s="13" t="n"/>
      <c r="D27" s="13" t="n"/>
      <c r="E27" s="13" t="n"/>
      <c r="F27" s="13" t="n"/>
      <c r="G27" s="14" t="n"/>
      <c r="H27" s="13" t="n"/>
      <c r="I27" s="25" t="n"/>
      <c r="J27" s="21" t="n"/>
    </row>
    <row r="28" ht="22" customHeight="1">
      <c r="B28" s="17">
        <f>IF(C28="","DEC-"&amp;TEXT(COUNTA($C$5:C28),"000"))</f>
        <v/>
      </c>
      <c r="C28" s="15" t="n"/>
      <c r="D28" s="15" t="n"/>
      <c r="E28" s="15" t="n"/>
      <c r="F28" s="15" t="n"/>
      <c r="G28" s="16" t="n"/>
      <c r="H28" s="15" t="n"/>
      <c r="I28" s="26" t="n"/>
      <c r="J28" s="22" t="n"/>
    </row>
    <row r="29" ht="22" customHeight="1">
      <c r="B29" s="18">
        <f>IF(C29="","DEC-"&amp;TEXT(COUNTA($C$5:C29),"000"))</f>
        <v/>
      </c>
      <c r="C29" s="13" t="n"/>
      <c r="D29" s="13" t="n"/>
      <c r="E29" s="13" t="n"/>
      <c r="F29" s="13" t="n"/>
      <c r="G29" s="14" t="n"/>
      <c r="H29" s="13" t="n"/>
      <c r="I29" s="25" t="n"/>
      <c r="J29" s="21" t="n"/>
    </row>
    <row r="30" ht="22" customHeight="1">
      <c r="B30" s="17">
        <f>IF(C30="","DEC-"&amp;TEXT(COUNTA($C$5:C30),"000"))</f>
        <v/>
      </c>
      <c r="C30" s="15" t="n"/>
      <c r="D30" s="15" t="n"/>
      <c r="E30" s="15" t="n"/>
      <c r="F30" s="15" t="n"/>
      <c r="G30" s="16" t="n"/>
      <c r="H30" s="15" t="n"/>
      <c r="I30" s="26" t="n"/>
      <c r="J30" s="22" t="n"/>
    </row>
    <row r="31" ht="22" customHeight="1">
      <c r="B31" s="18">
        <f>IF(C31="","DEC-"&amp;TEXT(COUNTA($C$5:C31),"000"))</f>
        <v/>
      </c>
      <c r="C31" s="13" t="n"/>
      <c r="D31" s="13" t="n"/>
      <c r="E31" s="13" t="n"/>
      <c r="F31" s="13" t="n"/>
      <c r="G31" s="14" t="n"/>
      <c r="H31" s="13" t="n"/>
      <c r="I31" s="25" t="n"/>
      <c r="J31" s="21" t="n"/>
    </row>
    <row r="32" ht="22" customHeight="1">
      <c r="B32" s="17">
        <f>IF(C32="","DEC-"&amp;TEXT(COUNTA($C$5:C32),"000"))</f>
        <v/>
      </c>
      <c r="C32" s="15" t="n"/>
      <c r="D32" s="15" t="n"/>
      <c r="E32" s="15" t="n"/>
      <c r="F32" s="15" t="n"/>
      <c r="G32" s="16" t="n"/>
      <c r="H32" s="15" t="n"/>
      <c r="I32" s="26" t="n"/>
      <c r="J32" s="22" t="n"/>
    </row>
    <row r="33" ht="22" customHeight="1">
      <c r="B33" s="18">
        <f>IF(C33="","DEC-"&amp;TEXT(COUNTA($C$5:C33),"000"))</f>
        <v/>
      </c>
      <c r="C33" s="13" t="n"/>
      <c r="D33" s="13" t="n"/>
      <c r="E33" s="13" t="n"/>
      <c r="F33" s="13" t="n"/>
      <c r="G33" s="14" t="n"/>
      <c r="H33" s="13" t="n"/>
      <c r="I33" s="25" t="n"/>
      <c r="J33" s="21" t="n"/>
    </row>
    <row r="34" ht="22" customHeight="1">
      <c r="B34" s="17">
        <f>IF(C34="","DEC-"&amp;TEXT(COUNTA($C$5:C34),"000"))</f>
        <v/>
      </c>
      <c r="C34" s="15" t="n"/>
      <c r="D34" s="15" t="n"/>
      <c r="E34" s="15" t="n"/>
      <c r="F34" s="15" t="n"/>
      <c r="G34" s="16" t="n"/>
      <c r="H34" s="15" t="n"/>
      <c r="I34" s="26" t="n"/>
      <c r="J34" s="22" t="n"/>
    </row>
    <row r="35" ht="22" customHeight="1">
      <c r="B35" s="18">
        <f>IF(C35="","DEC-"&amp;TEXT(COUNTA($C$5:C35),"000"))</f>
        <v/>
      </c>
      <c r="C35" s="13" t="n"/>
      <c r="D35" s="13" t="n"/>
      <c r="E35" s="13" t="n"/>
      <c r="F35" s="13" t="n"/>
      <c r="G35" s="14" t="n"/>
      <c r="H35" s="13" t="n"/>
      <c r="I35" s="25" t="n"/>
      <c r="J35" s="21" t="n"/>
    </row>
    <row r="36" ht="22" customHeight="1">
      <c r="B36" s="17">
        <f>IF(C36="","DEC-"&amp;TEXT(COUNTA($C$5:C36),"000"))</f>
        <v/>
      </c>
      <c r="C36" s="15" t="n"/>
      <c r="D36" s="15" t="n"/>
      <c r="E36" s="15" t="n"/>
      <c r="F36" s="15" t="n"/>
      <c r="G36" s="16" t="n"/>
      <c r="H36" s="15" t="n"/>
      <c r="I36" s="26" t="n"/>
      <c r="J36" s="22" t="n"/>
    </row>
    <row r="37" ht="22" customHeight="1">
      <c r="B37" s="18">
        <f>IF(C37="","DEC-"&amp;TEXT(COUNTA($C$5:C37),"000"))</f>
        <v/>
      </c>
      <c r="C37" s="13" t="n"/>
      <c r="D37" s="13" t="n"/>
      <c r="E37" s="13" t="n"/>
      <c r="F37" s="13" t="n"/>
      <c r="G37" s="14" t="n"/>
      <c r="H37" s="13" t="n"/>
      <c r="I37" s="25" t="n"/>
      <c r="J37" s="21" t="n"/>
    </row>
    <row r="38" ht="22" customHeight="1">
      <c r="B38" s="17">
        <f>IF(C38="","DEC-"&amp;TEXT(COUNTA($C$5:C38),"000"))</f>
        <v/>
      </c>
      <c r="C38" s="15" t="n"/>
      <c r="D38" s="15" t="n"/>
      <c r="E38" s="15" t="n"/>
      <c r="F38" s="15" t="n"/>
      <c r="G38" s="16" t="n"/>
      <c r="H38" s="15" t="n"/>
      <c r="I38" s="26" t="n"/>
      <c r="J38" s="22" t="n"/>
    </row>
    <row r="39" ht="22" customHeight="1">
      <c r="B39" s="18">
        <f>IF(C39="","DEC-"&amp;TEXT(COUNTA($C$5:C39),"000"))</f>
        <v/>
      </c>
      <c r="C39" s="13" t="n"/>
      <c r="D39" s="13" t="n"/>
      <c r="E39" s="13" t="n"/>
      <c r="F39" s="13" t="n"/>
      <c r="G39" s="14" t="n"/>
      <c r="H39" s="13" t="n"/>
      <c r="I39" s="25" t="n"/>
      <c r="J39" s="21" t="n"/>
    </row>
    <row r="40" ht="22" customHeight="1">
      <c r="B40" s="17">
        <f>IF(C40="","DEC-"&amp;TEXT(COUNTA($C$5:C40),"000"))</f>
        <v/>
      </c>
      <c r="C40" s="15" t="n"/>
      <c r="D40" s="15" t="n"/>
      <c r="E40" s="15" t="n"/>
      <c r="F40" s="15" t="n"/>
      <c r="G40" s="16" t="n"/>
      <c r="H40" s="15" t="n"/>
      <c r="I40" s="26" t="n"/>
      <c r="J40" s="22" t="n"/>
    </row>
    <row r="41" ht="22" customHeight="1">
      <c r="B41" s="18">
        <f>IF(C41="","DEC-"&amp;TEXT(COUNTA($C$5:C41),"000"))</f>
        <v/>
      </c>
      <c r="C41" s="13" t="n"/>
      <c r="D41" s="13" t="n"/>
      <c r="E41" s="13" t="n"/>
      <c r="F41" s="13" t="n"/>
      <c r="G41" s="14" t="n"/>
      <c r="H41" s="13" t="n"/>
      <c r="I41" s="25" t="n"/>
      <c r="J41" s="21" t="n"/>
    </row>
    <row r="42" ht="22" customHeight="1">
      <c r="B42" s="17">
        <f>IF(C42="","DEC-"&amp;TEXT(COUNTA($C$5:C42),"000"))</f>
        <v/>
      </c>
      <c r="C42" s="15" t="n"/>
      <c r="D42" s="15" t="n"/>
      <c r="E42" s="15" t="n"/>
      <c r="F42" s="15" t="n"/>
      <c r="G42" s="16" t="n"/>
      <c r="H42" s="15" t="n"/>
      <c r="I42" s="26" t="n"/>
      <c r="J42" s="22" t="n"/>
    </row>
    <row r="43" ht="22" customHeight="1">
      <c r="B43" s="18">
        <f>IF(C43="","DEC-"&amp;TEXT(COUNTA($C$5:C43),"000"))</f>
        <v/>
      </c>
      <c r="C43" s="13" t="n"/>
      <c r="D43" s="13" t="n"/>
      <c r="E43" s="13" t="n"/>
      <c r="F43" s="13" t="n"/>
      <c r="G43" s="14" t="n"/>
      <c r="H43" s="13" t="n"/>
      <c r="I43" s="25" t="n"/>
      <c r="J43" s="21" t="n"/>
    </row>
    <row r="44" ht="22" customHeight="1">
      <c r="B44" s="17">
        <f>IF(C44="","DEC-"&amp;TEXT(COUNTA($C$5:C44),"000"))</f>
        <v/>
      </c>
      <c r="C44" s="15" t="n"/>
      <c r="D44" s="15" t="n"/>
      <c r="E44" s="15" t="n"/>
      <c r="F44" s="15" t="n"/>
      <c r="G44" s="16" t="n"/>
      <c r="H44" s="15" t="n"/>
      <c r="I44" s="26" t="n"/>
      <c r="J44" s="22" t="n"/>
    </row>
    <row r="45" ht="22" customHeight="1">
      <c r="B45" s="18">
        <f>IF(C45="","DEC-"&amp;TEXT(COUNTA($C$5:C45),"000"))</f>
        <v/>
      </c>
      <c r="C45" s="13" t="n"/>
      <c r="D45" s="13" t="n"/>
      <c r="E45" s="13" t="n"/>
      <c r="F45" s="13" t="n"/>
      <c r="G45" s="14" t="n"/>
      <c r="H45" s="13" t="n"/>
      <c r="I45" s="25" t="n"/>
      <c r="J45" s="21" t="n"/>
    </row>
    <row r="46" ht="22" customHeight="1">
      <c r="B46" s="17">
        <f>IF(C46="","DEC-"&amp;TEXT(COUNTA($C$5:C46),"000"))</f>
        <v/>
      </c>
      <c r="C46" s="15" t="n"/>
      <c r="D46" s="15" t="n"/>
      <c r="E46" s="15" t="n"/>
      <c r="F46" s="15" t="n"/>
      <c r="G46" s="16" t="n"/>
      <c r="H46" s="15" t="n"/>
      <c r="I46" s="26" t="n"/>
      <c r="J46" s="22" t="n"/>
    </row>
    <row r="47" ht="22" customHeight="1">
      <c r="B47" s="18">
        <f>IF(C47="","DEC-"&amp;TEXT(COUNTA($C$5:C47),"000"))</f>
        <v/>
      </c>
      <c r="C47" s="13" t="n"/>
      <c r="D47" s="13" t="n"/>
      <c r="E47" s="13" t="n"/>
      <c r="F47" s="13" t="n"/>
      <c r="G47" s="14" t="n"/>
      <c r="H47" s="13" t="n"/>
      <c r="I47" s="25" t="n"/>
      <c r="J47" s="21" t="n"/>
    </row>
    <row r="48" ht="22" customHeight="1">
      <c r="B48" s="17">
        <f>IF(C48="","DEC-"&amp;TEXT(COUNTA($C$5:C48),"000"))</f>
        <v/>
      </c>
      <c r="C48" s="15" t="n"/>
      <c r="D48" s="15" t="n"/>
      <c r="E48" s="15" t="n"/>
      <c r="F48" s="15" t="n"/>
      <c r="G48" s="16" t="n"/>
      <c r="H48" s="15" t="n"/>
      <c r="I48" s="26" t="n"/>
      <c r="J48" s="22" t="n"/>
    </row>
    <row r="49" ht="22" customHeight="1">
      <c r="B49" s="18">
        <f>IF(C49="","DEC-"&amp;TEXT(COUNTA($C$5:C49),"000"))</f>
        <v/>
      </c>
      <c r="C49" s="13" t="n"/>
      <c r="D49" s="13" t="n"/>
      <c r="E49" s="13" t="n"/>
      <c r="F49" s="13" t="n"/>
      <c r="G49" s="14" t="n"/>
      <c r="H49" s="13" t="n"/>
      <c r="I49" s="25" t="n"/>
      <c r="J49" s="21" t="n"/>
    </row>
    <row r="50" ht="22" customHeight="1">
      <c r="B50" s="17">
        <f>IF(C50="","DEC-"&amp;TEXT(COUNTA($C$5:C50),"000"))</f>
        <v/>
      </c>
      <c r="C50" s="15" t="n"/>
      <c r="D50" s="15" t="n"/>
      <c r="E50" s="15" t="n"/>
      <c r="F50" s="15" t="n"/>
      <c r="G50" s="16" t="n"/>
      <c r="H50" s="15" t="n"/>
      <c r="I50" s="26" t="n"/>
      <c r="J50" s="22" t="n"/>
    </row>
    <row r="51" ht="22" customHeight="1">
      <c r="B51" s="18">
        <f>IF(C51="","DEC-"&amp;TEXT(COUNTA($C$5:C51),"000"))</f>
        <v/>
      </c>
      <c r="C51" s="13" t="n"/>
      <c r="D51" s="13" t="n"/>
      <c r="E51" s="13" t="n"/>
      <c r="F51" s="13" t="n"/>
      <c r="G51" s="14" t="n"/>
      <c r="H51" s="13" t="n"/>
      <c r="I51" s="25" t="n"/>
      <c r="J51" s="21" t="n"/>
    </row>
    <row r="52" ht="22" customHeight="1">
      <c r="B52" s="17">
        <f>IF(C52="","DEC-"&amp;TEXT(COUNTA($C$5:C52),"000"))</f>
        <v/>
      </c>
      <c r="C52" s="15" t="n"/>
      <c r="D52" s="15" t="n"/>
      <c r="E52" s="15" t="n"/>
      <c r="F52" s="15" t="n"/>
      <c r="G52" s="16" t="n"/>
      <c r="H52" s="15" t="n"/>
      <c r="I52" s="26" t="n"/>
      <c r="J52" s="22" t="n"/>
    </row>
    <row r="53" ht="22" customHeight="1">
      <c r="B53" s="18">
        <f>IF(C53="","DEC-"&amp;TEXT(COUNTA($C$5:C53),"000"))</f>
        <v/>
      </c>
      <c r="C53" s="13" t="n"/>
      <c r="D53" s="13" t="n"/>
      <c r="E53" s="13" t="n"/>
      <c r="F53" s="13" t="n"/>
      <c r="G53" s="14" t="n"/>
      <c r="H53" s="13" t="n"/>
      <c r="I53" s="25" t="n"/>
      <c r="J53" s="21" t="n"/>
    </row>
    <row r="54" ht="22" customHeight="1">
      <c r="B54" s="17">
        <f>IF(C54="","DEC-"&amp;TEXT(COUNTA($C$5:C54),"000"))</f>
        <v/>
      </c>
      <c r="C54" s="15" t="n"/>
      <c r="D54" s="15" t="n"/>
      <c r="E54" s="15" t="n"/>
      <c r="F54" s="15" t="n"/>
      <c r="G54" s="16" t="n"/>
      <c r="H54" s="15" t="n"/>
      <c r="I54" s="26" t="n"/>
      <c r="J54" s="22" t="n"/>
    </row>
    <row r="55" ht="22" customHeight="1">
      <c r="B55" s="18">
        <f>IF(C55="","DEC-"&amp;TEXT(COUNTA($C$5:C55),"000"))</f>
        <v/>
      </c>
      <c r="C55" s="13" t="n"/>
      <c r="D55" s="13" t="n"/>
      <c r="E55" s="13" t="n"/>
      <c r="F55" s="13" t="n"/>
      <c r="G55" s="14" t="n"/>
      <c r="H55" s="13" t="n"/>
      <c r="I55" s="25" t="n"/>
      <c r="J55" s="21" t="n"/>
    </row>
    <row r="56" ht="22" customHeight="1">
      <c r="B56" s="17">
        <f>IF(C56="","DEC-"&amp;TEXT(COUNTA($C$5:C56),"000"))</f>
        <v/>
      </c>
      <c r="C56" s="15" t="n"/>
      <c r="D56" s="15" t="n"/>
      <c r="E56" s="15" t="n"/>
      <c r="F56" s="15" t="n"/>
      <c r="G56" s="16" t="n"/>
      <c r="H56" s="15" t="n"/>
      <c r="I56" s="26" t="n"/>
      <c r="J56" s="22" t="n"/>
    </row>
    <row r="57" ht="22" customHeight="1">
      <c r="B57" s="18">
        <f>IF(C57="","DEC-"&amp;TEXT(COUNTA($C$5:C57),"000"))</f>
        <v/>
      </c>
      <c r="C57" s="13" t="n"/>
      <c r="D57" s="13" t="n"/>
      <c r="E57" s="13" t="n"/>
      <c r="F57" s="13" t="n"/>
      <c r="G57" s="14" t="n"/>
      <c r="H57" s="13" t="n"/>
      <c r="I57" s="25" t="n"/>
      <c r="J57" s="21" t="n"/>
    </row>
    <row r="58" ht="22" customHeight="1">
      <c r="B58" s="17">
        <f>IF(C58="","DEC-"&amp;TEXT(COUNTA($C$5:C58),"000"))</f>
        <v/>
      </c>
      <c r="C58" s="15" t="n"/>
      <c r="D58" s="15" t="n"/>
      <c r="E58" s="15" t="n"/>
      <c r="F58" s="15" t="n"/>
      <c r="G58" s="16" t="n"/>
      <c r="H58" s="15" t="n"/>
      <c r="I58" s="26" t="n"/>
      <c r="J58" s="22" t="n"/>
    </row>
    <row r="59" ht="22" customHeight="1">
      <c r="B59" s="18">
        <f>IF(C59="","DEC-"&amp;TEXT(COUNTA($C$5:C59),"000"))</f>
        <v/>
      </c>
      <c r="C59" s="13" t="n"/>
      <c r="D59" s="13" t="n"/>
      <c r="E59" s="13" t="n"/>
      <c r="F59" s="13" t="n"/>
      <c r="G59" s="14" t="n"/>
      <c r="H59" s="13" t="n"/>
      <c r="I59" s="25" t="n"/>
      <c r="J59" s="21" t="n"/>
    </row>
    <row r="60" ht="22" customHeight="1">
      <c r="B60" s="17">
        <f>IF(C60="","DEC-"&amp;TEXT(COUNTA($C$5:C60),"000"))</f>
        <v/>
      </c>
      <c r="C60" s="15" t="n"/>
      <c r="D60" s="15" t="n"/>
      <c r="E60" s="15" t="n"/>
      <c r="F60" s="15" t="n"/>
      <c r="G60" s="16" t="n"/>
      <c r="H60" s="15" t="n"/>
      <c r="I60" s="26" t="n"/>
      <c r="J60" s="22" t="n"/>
    </row>
    <row r="61" ht="22" customHeight="1">
      <c r="B61" s="18">
        <f>IF(C61="","DEC-"&amp;TEXT(COUNTA($C$5:C61),"000"))</f>
        <v/>
      </c>
      <c r="C61" s="13" t="n"/>
      <c r="D61" s="13" t="n"/>
      <c r="E61" s="13" t="n"/>
      <c r="F61" s="13" t="n"/>
      <c r="G61" s="14" t="n"/>
      <c r="H61" s="13" t="n"/>
      <c r="I61" s="25" t="n"/>
      <c r="J61" s="21" t="n"/>
    </row>
    <row r="62" ht="22" customHeight="1">
      <c r="B62" s="17">
        <f>IF(C62="","DEC-"&amp;TEXT(COUNTA($C$5:C62),"000"))</f>
        <v/>
      </c>
      <c r="C62" s="15" t="n"/>
      <c r="D62" s="15" t="n"/>
      <c r="E62" s="15" t="n"/>
      <c r="F62" s="15" t="n"/>
      <c r="G62" s="16" t="n"/>
      <c r="H62" s="15" t="n"/>
      <c r="I62" s="26" t="n"/>
      <c r="J62" s="22" t="n"/>
    </row>
    <row r="63" ht="22" customHeight="1">
      <c r="B63" s="18">
        <f>IF(C63="","DEC-"&amp;TEXT(COUNTA($C$5:C63),"000"))</f>
        <v/>
      </c>
      <c r="C63" s="13" t="n"/>
      <c r="D63" s="13" t="n"/>
      <c r="E63" s="13" t="n"/>
      <c r="F63" s="13" t="n"/>
      <c r="G63" s="14" t="n"/>
      <c r="H63" s="13" t="n"/>
      <c r="I63" s="25" t="n"/>
      <c r="J63" s="21" t="n"/>
    </row>
    <row r="64" ht="22" customHeight="1">
      <c r="B64" s="17">
        <f>IF(C64="","DEC-"&amp;TEXT(COUNTA($C$5:C64),"000"))</f>
        <v/>
      </c>
      <c r="C64" s="15" t="n"/>
      <c r="D64" s="15" t="n"/>
      <c r="E64" s="15" t="n"/>
      <c r="F64" s="15" t="n"/>
      <c r="G64" s="16" t="n"/>
      <c r="H64" s="15" t="n"/>
      <c r="I64" s="26" t="n"/>
      <c r="J64" s="22" t="n"/>
    </row>
    <row r="65" ht="22" customHeight="1">
      <c r="B65" s="18">
        <f>IF(C65="","DEC-"&amp;TEXT(COUNTA($C$5:C65),"000"))</f>
        <v/>
      </c>
      <c r="C65" s="13" t="n"/>
      <c r="D65" s="13" t="n"/>
      <c r="E65" s="13" t="n"/>
      <c r="F65" s="13" t="n"/>
      <c r="G65" s="14" t="n"/>
      <c r="H65" s="13" t="n"/>
      <c r="I65" s="25" t="n"/>
      <c r="J65" s="21" t="n"/>
    </row>
    <row r="66" ht="22" customHeight="1">
      <c r="B66" s="17">
        <f>IF(C66="","DEC-"&amp;TEXT(COUNTA($C$5:C66),"000"))</f>
        <v/>
      </c>
      <c r="C66" s="15" t="n"/>
      <c r="D66" s="15" t="n"/>
      <c r="E66" s="15" t="n"/>
      <c r="F66" s="15" t="n"/>
      <c r="G66" s="16" t="n"/>
      <c r="H66" s="15" t="n"/>
      <c r="I66" s="26" t="n"/>
      <c r="J66" s="22" t="n"/>
    </row>
    <row r="67" ht="22" customHeight="1">
      <c r="B67" s="18">
        <f>IF(C67="","DEC-"&amp;TEXT(COUNTA($C$5:C67),"000"))</f>
        <v/>
      </c>
      <c r="C67" s="13" t="n"/>
      <c r="D67" s="13" t="n"/>
      <c r="E67" s="13" t="n"/>
      <c r="F67" s="13" t="n"/>
      <c r="G67" s="14" t="n"/>
      <c r="H67" s="13" t="n"/>
      <c r="I67" s="25" t="n"/>
      <c r="J67" s="21" t="n"/>
    </row>
    <row r="68" ht="22" customHeight="1">
      <c r="B68" s="17">
        <f>IF(C68="","DEC-"&amp;TEXT(COUNTA($C$5:C68),"000"))</f>
        <v/>
      </c>
      <c r="C68" s="15" t="n"/>
      <c r="D68" s="15" t="n"/>
      <c r="E68" s="15" t="n"/>
      <c r="F68" s="15" t="n"/>
      <c r="G68" s="16" t="n"/>
      <c r="H68" s="15" t="n"/>
      <c r="I68" s="26" t="n"/>
      <c r="J68" s="22" t="n"/>
    </row>
    <row r="69" ht="22" customHeight="1">
      <c r="B69" s="18">
        <f>IF(C69="","DEC-"&amp;TEXT(COUNTA($C$5:C69),"000"))</f>
        <v/>
      </c>
      <c r="C69" s="13" t="n"/>
      <c r="D69" s="13" t="n"/>
      <c r="E69" s="13" t="n"/>
      <c r="F69" s="13" t="n"/>
      <c r="G69" s="14" t="n"/>
      <c r="H69" s="13" t="n"/>
      <c r="I69" s="25" t="n"/>
      <c r="J69" s="21" t="n"/>
    </row>
    <row r="70" ht="22" customHeight="1">
      <c r="B70" s="17">
        <f>IF(C70="","DEC-"&amp;TEXT(COUNTA($C$5:C70),"000"))</f>
        <v/>
      </c>
      <c r="C70" s="15" t="n"/>
      <c r="D70" s="15" t="n"/>
      <c r="E70" s="15" t="n"/>
      <c r="F70" s="15" t="n"/>
      <c r="G70" s="16" t="n"/>
      <c r="H70" s="15" t="n"/>
      <c r="I70" s="26" t="n"/>
      <c r="J70" s="22" t="n"/>
    </row>
    <row r="71" ht="22" customHeight="1">
      <c r="B71" s="18">
        <f>IF(C71="","DEC-"&amp;TEXT(COUNTA($C$5:C71),"000"))</f>
        <v/>
      </c>
      <c r="C71" s="13" t="n"/>
      <c r="D71" s="13" t="n"/>
      <c r="E71" s="13" t="n"/>
      <c r="F71" s="13" t="n"/>
      <c r="G71" s="14" t="n"/>
      <c r="H71" s="13" t="n"/>
      <c r="I71" s="25" t="n"/>
      <c r="J71" s="21" t="n"/>
    </row>
    <row r="72" ht="22" customHeight="1">
      <c r="B72" s="17">
        <f>IF(C72="","DEC-"&amp;TEXT(COUNTA($C$5:C72),"000"))</f>
        <v/>
      </c>
      <c r="C72" s="15" t="n"/>
      <c r="D72" s="15" t="n"/>
      <c r="E72" s="15" t="n"/>
      <c r="F72" s="15" t="n"/>
      <c r="G72" s="16" t="n"/>
      <c r="H72" s="15" t="n"/>
      <c r="I72" s="26" t="n"/>
      <c r="J72" s="22" t="n"/>
    </row>
    <row r="73" ht="22" customHeight="1">
      <c r="B73" s="18">
        <f>IF(C73="","DEC-"&amp;TEXT(COUNTA($C$5:C73),"000"))</f>
        <v/>
      </c>
      <c r="C73" s="13" t="n"/>
      <c r="D73" s="13" t="n"/>
      <c r="E73" s="13" t="n"/>
      <c r="F73" s="13" t="n"/>
      <c r="G73" s="14" t="n"/>
      <c r="H73" s="13" t="n"/>
      <c r="I73" s="25" t="n"/>
      <c r="J73" s="21" t="n"/>
    </row>
    <row r="74" ht="22" customHeight="1">
      <c r="B74" s="17">
        <f>IF(C74="","DEC-"&amp;TEXT(COUNTA($C$5:C74),"000"))</f>
        <v/>
      </c>
      <c r="C74" s="15" t="n"/>
      <c r="D74" s="15" t="n"/>
      <c r="E74" s="15" t="n"/>
      <c r="F74" s="15" t="n"/>
      <c r="G74" s="16" t="n"/>
      <c r="H74" s="15" t="n"/>
      <c r="I74" s="26" t="n"/>
      <c r="J74" s="22" t="n"/>
    </row>
    <row r="75" ht="22" customHeight="1">
      <c r="B75" s="18">
        <f>IF(C75="","DEC-"&amp;TEXT(COUNTA($C$5:C75),"000"))</f>
        <v/>
      </c>
      <c r="C75" s="13" t="n"/>
      <c r="D75" s="13" t="n"/>
      <c r="E75" s="13" t="n"/>
      <c r="F75" s="13" t="n"/>
      <c r="G75" s="14" t="n"/>
      <c r="H75" s="13" t="n"/>
      <c r="I75" s="25" t="n"/>
      <c r="J75" s="21" t="n"/>
    </row>
    <row r="76" ht="22" customHeight="1">
      <c r="B76" s="17">
        <f>IF(C76="","DEC-"&amp;TEXT(COUNTA($C$5:C76),"000"))</f>
        <v/>
      </c>
      <c r="C76" s="15" t="n"/>
      <c r="D76" s="15" t="n"/>
      <c r="E76" s="15" t="n"/>
      <c r="F76" s="15" t="n"/>
      <c r="G76" s="16" t="n"/>
      <c r="H76" s="15" t="n"/>
      <c r="I76" s="26" t="n"/>
      <c r="J76" s="22" t="n"/>
    </row>
    <row r="77" ht="22" customHeight="1">
      <c r="B77" s="18">
        <f>IF(C77="","DEC-"&amp;TEXT(COUNTA($C$5:C77),"000"))</f>
        <v/>
      </c>
      <c r="C77" s="13" t="n"/>
      <c r="D77" s="13" t="n"/>
      <c r="E77" s="13" t="n"/>
      <c r="F77" s="13" t="n"/>
      <c r="G77" s="14" t="n"/>
      <c r="H77" s="13" t="n"/>
      <c r="I77" s="25" t="n"/>
      <c r="J77" s="21" t="n"/>
    </row>
    <row r="78" ht="22" customHeight="1">
      <c r="B78" s="17">
        <f>IF(C78="","DEC-"&amp;TEXT(COUNTA($C$5:C78),"000"))</f>
        <v/>
      </c>
      <c r="C78" s="15" t="n"/>
      <c r="D78" s="15" t="n"/>
      <c r="E78" s="15" t="n"/>
      <c r="F78" s="15" t="n"/>
      <c r="G78" s="16" t="n"/>
      <c r="H78" s="15" t="n"/>
      <c r="I78" s="26" t="n"/>
      <c r="J78" s="22" t="n"/>
    </row>
    <row r="79" ht="22" customHeight="1">
      <c r="B79" s="18">
        <f>IF(C79="","DEC-"&amp;TEXT(COUNTA($C$5:C79),"000"))</f>
        <v/>
      </c>
      <c r="C79" s="13" t="n"/>
      <c r="D79" s="13" t="n"/>
      <c r="E79" s="13" t="n"/>
      <c r="F79" s="13" t="n"/>
      <c r="G79" s="14" t="n"/>
      <c r="H79" s="13" t="n"/>
      <c r="I79" s="25" t="n"/>
      <c r="J79" s="21" t="n"/>
    </row>
    <row r="80" ht="22" customHeight="1">
      <c r="B80" s="17">
        <f>IF(C80="","DEC-"&amp;TEXT(COUNTA($C$5:C80),"000"))</f>
        <v/>
      </c>
      <c r="C80" s="15" t="n"/>
      <c r="D80" s="15" t="n"/>
      <c r="E80" s="15" t="n"/>
      <c r="F80" s="15" t="n"/>
      <c r="G80" s="16" t="n"/>
      <c r="H80" s="15" t="n"/>
      <c r="I80" s="26" t="n"/>
      <c r="J80" s="22" t="n"/>
    </row>
    <row r="81" ht="22" customHeight="1">
      <c r="B81" s="18">
        <f>IF(C81="","DEC-"&amp;TEXT(COUNTA($C$5:C81),"000"))</f>
        <v/>
      </c>
      <c r="C81" s="13" t="n"/>
      <c r="D81" s="13" t="n"/>
      <c r="E81" s="13" t="n"/>
      <c r="F81" s="13" t="n"/>
      <c r="G81" s="14" t="n"/>
      <c r="H81" s="13" t="n"/>
      <c r="I81" s="25" t="n"/>
      <c r="J81" s="21" t="n"/>
    </row>
    <row r="82" ht="22" customHeight="1">
      <c r="B82" s="17">
        <f>IF(C82="","DEC-"&amp;TEXT(COUNTA($C$5:C82),"000"))</f>
        <v/>
      </c>
      <c r="C82" s="15" t="n"/>
      <c r="D82" s="15" t="n"/>
      <c r="E82" s="15" t="n"/>
      <c r="F82" s="15" t="n"/>
      <c r="G82" s="16" t="n"/>
      <c r="H82" s="15" t="n"/>
      <c r="I82" s="26" t="n"/>
      <c r="J82" s="22" t="n"/>
    </row>
    <row r="83" ht="22" customHeight="1">
      <c r="B83" s="18">
        <f>IF(C83="","DEC-"&amp;TEXT(COUNTA($C$5:C83),"000"))</f>
        <v/>
      </c>
      <c r="C83" s="13" t="n"/>
      <c r="D83" s="13" t="n"/>
      <c r="E83" s="13" t="n"/>
      <c r="F83" s="13" t="n"/>
      <c r="G83" s="14" t="n"/>
      <c r="H83" s="13" t="n"/>
      <c r="I83" s="25" t="n"/>
      <c r="J83" s="21" t="n"/>
    </row>
    <row r="84" ht="22" customHeight="1">
      <c r="B84" s="17">
        <f>IF(C84="","DEC-"&amp;TEXT(COUNTA($C$5:C84),"000"))</f>
        <v/>
      </c>
      <c r="C84" s="15" t="n"/>
      <c r="D84" s="15" t="n"/>
      <c r="E84" s="15" t="n"/>
      <c r="F84" s="15" t="n"/>
      <c r="G84" s="16" t="n"/>
      <c r="H84" s="15" t="n"/>
      <c r="I84" s="26" t="n"/>
      <c r="J84" s="22" t="n"/>
    </row>
    <row r="85" ht="22" customHeight="1">
      <c r="B85" s="18">
        <f>IF(C85="","DEC-"&amp;TEXT(COUNTA($C$5:C85),"000"))</f>
        <v/>
      </c>
      <c r="C85" s="13" t="n"/>
      <c r="D85" s="13" t="n"/>
      <c r="E85" s="13" t="n"/>
      <c r="F85" s="13" t="n"/>
      <c r="G85" s="14" t="n"/>
      <c r="H85" s="13" t="n"/>
      <c r="I85" s="25" t="n"/>
      <c r="J85" s="21" t="n"/>
    </row>
    <row r="86" ht="22" customHeight="1">
      <c r="B86" s="17">
        <f>IF(C86="","DEC-"&amp;TEXT(COUNTA($C$5:C86),"000"))</f>
        <v/>
      </c>
      <c r="C86" s="15" t="n"/>
      <c r="D86" s="15" t="n"/>
      <c r="E86" s="15" t="n"/>
      <c r="F86" s="15" t="n"/>
      <c r="G86" s="16" t="n"/>
      <c r="H86" s="15" t="n"/>
      <c r="I86" s="26" t="n"/>
      <c r="J86" s="22" t="n"/>
    </row>
    <row r="87" ht="22" customHeight="1">
      <c r="B87" s="18">
        <f>IF(C87="","DEC-"&amp;TEXT(COUNTA($C$5:C87),"000"))</f>
        <v/>
      </c>
      <c r="C87" s="13" t="n"/>
      <c r="D87" s="13" t="n"/>
      <c r="E87" s="13" t="n"/>
      <c r="F87" s="13" t="n"/>
      <c r="G87" s="14" t="n"/>
      <c r="H87" s="13" t="n"/>
      <c r="I87" s="25" t="n"/>
      <c r="J87" s="21" t="n"/>
    </row>
    <row r="88" ht="22" customHeight="1">
      <c r="B88" s="17">
        <f>IF(C88="","DEC-"&amp;TEXT(COUNTA($C$5:C88),"000"))</f>
        <v/>
      </c>
      <c r="C88" s="15" t="n"/>
      <c r="D88" s="15" t="n"/>
      <c r="E88" s="15" t="n"/>
      <c r="F88" s="15" t="n"/>
      <c r="G88" s="16" t="n"/>
      <c r="H88" s="15" t="n"/>
      <c r="I88" s="26" t="n"/>
      <c r="J88" s="22" t="n"/>
    </row>
    <row r="89" ht="22" customHeight="1">
      <c r="B89" s="18">
        <f>IF(C89="","DEC-"&amp;TEXT(COUNTA($C$5:C89),"000"))</f>
        <v/>
      </c>
      <c r="C89" s="13" t="n"/>
      <c r="D89" s="13" t="n"/>
      <c r="E89" s="13" t="n"/>
      <c r="F89" s="13" t="n"/>
      <c r="G89" s="14" t="n"/>
      <c r="H89" s="13" t="n"/>
      <c r="I89" s="25" t="n"/>
      <c r="J89" s="21" t="n"/>
    </row>
    <row r="90" ht="22" customHeight="1">
      <c r="B90" s="17">
        <f>IF(C90="","DEC-"&amp;TEXT(COUNTA($C$5:C90),"000"))</f>
        <v/>
      </c>
      <c r="C90" s="15" t="n"/>
      <c r="D90" s="15" t="n"/>
      <c r="E90" s="15" t="n"/>
      <c r="F90" s="15" t="n"/>
      <c r="G90" s="16" t="n"/>
      <c r="H90" s="15" t="n"/>
      <c r="I90" s="26" t="n"/>
      <c r="J90" s="22" t="n"/>
    </row>
    <row r="91" ht="22" customHeight="1">
      <c r="B91" s="18">
        <f>IF(C91="","DEC-"&amp;TEXT(COUNTA($C$5:C91),"000"))</f>
        <v/>
      </c>
      <c r="C91" s="13" t="n"/>
      <c r="D91" s="13" t="n"/>
      <c r="E91" s="13" t="n"/>
      <c r="F91" s="13" t="n"/>
      <c r="G91" s="14" t="n"/>
      <c r="H91" s="13" t="n"/>
      <c r="I91" s="25" t="n"/>
      <c r="J91" s="21" t="n"/>
    </row>
    <row r="92" ht="22" customHeight="1">
      <c r="B92" s="17">
        <f>IF(C92="","DEC-"&amp;TEXT(COUNTA($C$5:C92),"000"))</f>
        <v/>
      </c>
      <c r="C92" s="15" t="n"/>
      <c r="D92" s="15" t="n"/>
      <c r="E92" s="15" t="n"/>
      <c r="F92" s="15" t="n"/>
      <c r="G92" s="16" t="n"/>
      <c r="H92" s="15" t="n"/>
      <c r="I92" s="26" t="n"/>
      <c r="J92" s="22" t="n"/>
    </row>
    <row r="93" ht="22" customHeight="1">
      <c r="B93" s="18">
        <f>IF(C93="","DEC-"&amp;TEXT(COUNTA($C$5:C93),"000"))</f>
        <v/>
      </c>
      <c r="C93" s="13" t="n"/>
      <c r="D93" s="13" t="n"/>
      <c r="E93" s="13" t="n"/>
      <c r="F93" s="13" t="n"/>
      <c r="G93" s="14" t="n"/>
      <c r="H93" s="13" t="n"/>
      <c r="I93" s="25" t="n"/>
      <c r="J93" s="21" t="n"/>
    </row>
    <row r="94" ht="22" customHeight="1">
      <c r="B94" s="17">
        <f>IF(C94="","DEC-"&amp;TEXT(COUNTA($C$5:C94),"000"))</f>
        <v/>
      </c>
      <c r="C94" s="15" t="n"/>
      <c r="D94" s="15" t="n"/>
      <c r="E94" s="15" t="n"/>
      <c r="F94" s="15" t="n"/>
      <c r="G94" s="16" t="n"/>
      <c r="H94" s="15" t="n"/>
      <c r="I94" s="26" t="n"/>
      <c r="J94" s="22" t="n"/>
    </row>
    <row r="95" ht="22" customHeight="1">
      <c r="B95" s="18">
        <f>IF(C95="","DEC-"&amp;TEXT(COUNTA($C$5:C95),"000"))</f>
        <v/>
      </c>
      <c r="C95" s="13" t="n"/>
      <c r="D95" s="13" t="n"/>
      <c r="E95" s="13" t="n"/>
      <c r="F95" s="13" t="n"/>
      <c r="G95" s="14" t="n"/>
      <c r="H95" s="13" t="n"/>
      <c r="I95" s="25" t="n"/>
      <c r="J95" s="21" t="n"/>
    </row>
    <row r="96" ht="22" customHeight="1">
      <c r="B96" s="17">
        <f>IF(C96="","DEC-"&amp;TEXT(COUNTA($C$5:C96),"000"))</f>
        <v/>
      </c>
      <c r="C96" s="15" t="n"/>
      <c r="D96" s="15" t="n"/>
      <c r="E96" s="15" t="n"/>
      <c r="F96" s="15" t="n"/>
      <c r="G96" s="16" t="n"/>
      <c r="H96" s="15" t="n"/>
      <c r="I96" s="26" t="n"/>
      <c r="J96" s="22" t="n"/>
    </row>
    <row r="97" ht="22" customHeight="1">
      <c r="B97" s="18">
        <f>IF(C97="","DEC-"&amp;TEXT(COUNTA($C$5:C97),"000"))</f>
        <v/>
      </c>
      <c r="C97" s="13" t="n"/>
      <c r="D97" s="13" t="n"/>
      <c r="E97" s="13" t="n"/>
      <c r="F97" s="13" t="n"/>
      <c r="G97" s="14" t="n"/>
      <c r="H97" s="13" t="n"/>
      <c r="I97" s="25" t="n"/>
      <c r="J97" s="21" t="n"/>
    </row>
    <row r="98" ht="22" customHeight="1">
      <c r="B98" s="17">
        <f>IF(C98="","DEC-"&amp;TEXT(COUNTA($C$5:C98),"000"))</f>
        <v/>
      </c>
      <c r="C98" s="15" t="n"/>
      <c r="D98" s="15" t="n"/>
      <c r="E98" s="15" t="n"/>
      <c r="F98" s="15" t="n"/>
      <c r="G98" s="16" t="n"/>
      <c r="H98" s="15" t="n"/>
      <c r="I98" s="26" t="n"/>
      <c r="J98" s="22" t="n"/>
    </row>
    <row r="99" ht="22" customHeight="1">
      <c r="B99" s="18">
        <f>IF(C99="","DEC-"&amp;TEXT(COUNTA($C$5:C99),"000"))</f>
        <v/>
      </c>
      <c r="C99" s="13" t="n"/>
      <c r="D99" s="13" t="n"/>
      <c r="E99" s="13" t="n"/>
      <c r="F99" s="13" t="n"/>
      <c r="G99" s="14" t="n"/>
      <c r="H99" s="13" t="n"/>
      <c r="I99" s="25" t="n"/>
      <c r="J99" s="21" t="n"/>
    </row>
    <row r="100" ht="22" customHeight="1">
      <c r="B100" s="17">
        <f>IF(C100="","DEC-"&amp;TEXT(COUNTA($C$5:C100),"000"))</f>
        <v/>
      </c>
      <c r="C100" s="15" t="n"/>
      <c r="D100" s="15" t="n"/>
      <c r="E100" s="15" t="n"/>
      <c r="F100" s="15" t="n"/>
      <c r="G100" s="16" t="n"/>
      <c r="H100" s="15" t="n"/>
      <c r="I100" s="26" t="n"/>
      <c r="J100" s="22" t="n"/>
    </row>
    <row r="101" ht="22" customHeight="1">
      <c r="B101" s="18">
        <f>IF(C101="","DEC-"&amp;TEXT(COUNTA($C$5:C101),"000"))</f>
        <v/>
      </c>
      <c r="C101" s="13" t="n"/>
      <c r="D101" s="13" t="n"/>
      <c r="E101" s="13" t="n"/>
      <c r="F101" s="13" t="n"/>
      <c r="G101" s="14" t="n"/>
      <c r="H101" s="13" t="n"/>
      <c r="I101" s="25" t="n"/>
      <c r="J101" s="21" t="n"/>
    </row>
    <row r="102" ht="22" customHeight="1">
      <c r="B102" s="17">
        <f>IF(C102="","DEC-"&amp;TEXT(COUNTA($C$5:C102),"000"))</f>
        <v/>
      </c>
      <c r="C102" s="15" t="n"/>
      <c r="D102" s="15" t="n"/>
      <c r="E102" s="15" t="n"/>
      <c r="F102" s="15" t="n"/>
      <c r="G102" s="16" t="n"/>
      <c r="H102" s="15" t="n"/>
      <c r="I102" s="26" t="n"/>
      <c r="J102" s="22" t="n"/>
    </row>
    <row r="103" ht="22" customHeight="1">
      <c r="B103" s="18">
        <f>IF(C103="","DEC-"&amp;TEXT(COUNTA($C$5:C103),"000"))</f>
        <v/>
      </c>
      <c r="C103" s="13" t="n"/>
      <c r="D103" s="13" t="n"/>
      <c r="E103" s="13" t="n"/>
      <c r="F103" s="13" t="n"/>
      <c r="G103" s="14" t="n"/>
      <c r="H103" s="13" t="n"/>
      <c r="I103" s="25" t="n"/>
      <c r="J103" s="21" t="n"/>
    </row>
    <row r="104" ht="22" customHeight="1">
      <c r="B104" s="17">
        <f>IF(C104="","DEC-"&amp;TEXT(COUNTA($C$5:C104),"000"))</f>
        <v/>
      </c>
      <c r="C104" s="15" t="n"/>
      <c r="D104" s="15" t="n"/>
      <c r="E104" s="15" t="n"/>
      <c r="F104" s="15" t="n"/>
      <c r="G104" s="16" t="n"/>
      <c r="H104" s="15" t="n"/>
      <c r="I104" s="26" t="n"/>
      <c r="J104" s="22" t="n"/>
    </row>
    <row r="105" ht="22" customHeight="1">
      <c r="B105" s="18">
        <f>IF(C105="","DEC-"&amp;TEXT(COUNTA($C$5:C105),"000"))</f>
        <v/>
      </c>
      <c r="C105" s="13" t="n"/>
      <c r="D105" s="13" t="n"/>
      <c r="E105" s="13" t="n"/>
      <c r="F105" s="13" t="n"/>
      <c r="G105" s="14" t="n"/>
      <c r="H105" s="13" t="n"/>
      <c r="I105" s="25" t="n"/>
      <c r="J105" s="21" t="n"/>
    </row>
    <row r="106" ht="22" customHeight="1">
      <c r="B106" s="17">
        <f>IF(C106="","DEC-"&amp;TEXT(COUNTA($C$5:C106),"000"))</f>
        <v/>
      </c>
      <c r="C106" s="15" t="n"/>
      <c r="D106" s="15" t="n"/>
      <c r="E106" s="15" t="n"/>
      <c r="F106" s="15" t="n"/>
      <c r="G106" s="16" t="n"/>
      <c r="H106" s="15" t="n"/>
      <c r="I106" s="26" t="n"/>
      <c r="J106" s="22" t="n"/>
    </row>
    <row r="107" ht="22" customHeight="1">
      <c r="B107" s="18">
        <f>IF(C107="","DEC-"&amp;TEXT(COUNTA($C$5:C107),"000"))</f>
        <v/>
      </c>
      <c r="C107" s="13" t="n"/>
      <c r="D107" s="13" t="n"/>
      <c r="E107" s="13" t="n"/>
      <c r="F107" s="13" t="n"/>
      <c r="G107" s="14" t="n"/>
      <c r="H107" s="13" t="n"/>
      <c r="I107" s="25" t="n"/>
      <c r="J107" s="21" t="n"/>
    </row>
    <row r="108" ht="22" customHeight="1">
      <c r="B108" s="17">
        <f>IF(C108="","DEC-"&amp;TEXT(COUNTA($C$5:C108),"000"))</f>
        <v/>
      </c>
      <c r="C108" s="15" t="n"/>
      <c r="D108" s="15" t="n"/>
      <c r="E108" s="15" t="n"/>
      <c r="F108" s="15" t="n"/>
      <c r="G108" s="16" t="n"/>
      <c r="H108" s="15" t="n"/>
      <c r="I108" s="26" t="n"/>
      <c r="J108" s="22" t="n"/>
    </row>
    <row r="109" ht="22" customHeight="1">
      <c r="B109" s="18">
        <f>IF(C109="","DEC-"&amp;TEXT(COUNTA($C$5:C109),"000"))</f>
        <v/>
      </c>
      <c r="C109" s="13" t="n"/>
      <c r="D109" s="13" t="n"/>
      <c r="E109" s="13" t="n"/>
      <c r="F109" s="13" t="n"/>
      <c r="G109" s="14" t="n"/>
      <c r="H109" s="13" t="n"/>
      <c r="I109" s="25" t="n"/>
      <c r="J109" s="21" t="n"/>
    </row>
    <row r="110"/>
    <row r="111" ht="26" customHeight="1">
      <c r="B111" s="27" t="inlineStr">
        <is>
          <t>TOTAL</t>
        </is>
      </c>
      <c r="C111" s="28" t="n"/>
      <c r="D111" s="28" t="n"/>
      <c r="E111" s="28" t="n"/>
      <c r="F111" s="28" t="n"/>
      <c r="G111" s="28" t="n"/>
      <c r="H111" s="28" t="n"/>
      <c r="I111" s="29">
        <f>SUM(I5:I104)</f>
        <v/>
      </c>
      <c r="J111" s="28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Decisions prises</t>
        </is>
      </c>
      <c r="D114" s="3" t="inlineStr">
        <is>
          <t>Cout total decisions (FCFA)</t>
        </is>
      </c>
      <c r="F114" s="3" t="inlineStr">
        <is>
          <t>Promotions</t>
        </is>
      </c>
      <c r="H114" s="3" t="inlineStr">
        <is>
          <t>Ruptures</t>
        </is>
      </c>
    </row>
    <row r="115">
      <c r="B115" s="4">
        <f>COUNTIF(B5:B104,"&lt;&gt;")</f>
        <v/>
      </c>
      <c r="D115" s="4">
        <f>SUM(I5:I104)</f>
        <v/>
      </c>
      <c r="F115" s="4">
        <f>COUNTIF(H5:H104,"*Promotion*")</f>
        <v/>
      </c>
      <c r="H115" s="4">
        <f>COUNTIF(H5:H104,"*Rupture*")</f>
        <v/>
      </c>
    </row>
  </sheetData>
  <mergeCells count="3">
    <mergeCell ref="B113:J113"/>
    <mergeCell ref="B3:J3"/>
    <mergeCell ref="B2:J2"/>
  </mergeCells>
  <conditionalFormatting sqref="H5:H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"Tolere"</formula>
    </cfRule>
    <cfRule type="cellIs" priority="47" operator="equal" dxfId="1">
      <formula>"Variable"</formula>
    </cfRule>
    <cfRule type="cellIs" priority="48" operator="equal" dxfId="1">
      <formula>"En elaboration"</formula>
    </cfRule>
    <cfRule type="cellIs" priority="49" operator="equal" dxfId="1">
      <formula>"Provisionne"</formula>
    </cfRule>
    <cfRule type="cellIs" priority="50" operator="equal" dxfId="1">
      <formula>"Consomme partiel"</formula>
    </cfRule>
    <cfRule type="cellIs" priority="51" operator="equal" dxfId="1">
      <formula>"Identifie"</formula>
    </cfRule>
    <cfRule type="cellIs" priority="52" operator="equal" dxfId="1">
      <formula>"Priorise"</formula>
    </cfRule>
    <cfRule type="cellIs" priority="53" operator="equal" dxfId="1">
      <formula>"Intermediaire"</formula>
    </cfRule>
    <cfRule type="cellIs" priority="54" operator="equal" dxfId="1">
      <formula>"Non evalue"</formula>
    </cfRule>
    <cfRule type="cellIs" priority="55" operator="equal" dxfId="1">
      <formula>"En cours de realisation"</formula>
    </cfRule>
    <cfRule type="cellIs" priority="56" operator="equal" dxfId="1">
      <formula>"Non demarre"</formula>
    </cfRule>
    <cfRule type="cellIs" priority="57" operator="equal" dxfId="1">
      <formula>"En attente N+1"</formula>
    </cfRule>
    <cfRule type="cellIs" priority="58" operator="equal" dxfId="1">
      <formula>"Prolongation essai"</formula>
    </cfRule>
    <cfRule type="cellIs" priority="59" operator="equal" dxfId="1">
      <formula>"En attente validation"</formula>
    </cfRule>
    <cfRule type="cellIs" priority="60" operator="equal" dxfId="1">
      <formula>"Bon"</formula>
    </cfRule>
    <cfRule type="cellIs" priority="61" operator="equal" dxfId="1">
      <formula>"D - Moyen"</formula>
    </cfRule>
    <cfRule type="cellIs" priority="62" operator="equal" dxfId="2">
      <formula>"Expire"</formula>
    </cfRule>
    <cfRule type="cellIs" priority="63" operator="equal" dxfId="2">
      <formula>"Rejete"</formula>
    </cfRule>
    <cfRule type="cellIs" priority="64" operator="equal" dxfId="2">
      <formula>"Rejetee"</formula>
    </cfRule>
    <cfRule type="cellIs" priority="65" operator="equal" dxfId="2">
      <formula>"Resilie"</formula>
    </cfRule>
    <cfRule type="cellIs" priority="66" operator="equal" dxfId="2">
      <formula>"Annule"</formula>
    </cfRule>
    <cfRule type="cellIs" priority="67" operator="equal" dxfId="2">
      <formula>"Annulee"</formula>
    </cfRule>
    <cfRule type="cellIs" priority="68" operator="equal" dxfId="2">
      <formula>"Refuse"</formula>
    </cfRule>
    <cfRule type="cellIs" priority="69" operator="equal" dxfId="2">
      <formula>"Non justifie"</formula>
    </cfRule>
    <cfRule type="cellIs" priority="70" operator="equal" dxfId="2">
      <formula>"Non justifiee"</formula>
    </cfRule>
    <cfRule type="cellIs" priority="71" operator="equal" dxfId="2">
      <formula>"Sanctionne"</formula>
    </cfRule>
    <cfRule type="cellIs" priority="72" operator="equal" dxfId="2">
      <formula>"Inaptitude"</formula>
    </cfRule>
    <cfRule type="cellIs" priority="73" operator="equal" dxfId="2">
      <formula>"Absent sans autorisation"</formula>
    </cfRule>
    <cfRule type="cellIs" priority="74" operator="equal" dxfId="2">
      <formula>"Abandon de poste"</formula>
    </cfRule>
    <cfRule type="cellIs" priority="75" operator="equal" dxfId="2">
      <formula>"Non satisfait"</formula>
    </cfRule>
    <cfRule type="cellIs" priority="76" operator="equal" dxfId="2">
      <formula>"Reportee"</formula>
    </cfRule>
    <cfRule type="cellIs" priority="77" operator="equal" dxfId="2">
      <formula>"Depasse"</formula>
    </cfRule>
    <cfRule type="cellIs" priority="78" operator="equal" dxfId="2">
      <formula>"Non utilise"</formula>
    </cfRule>
    <cfRule type="cellIs" priority="79" operator="equal" dxfId="2">
      <formula>"Non applicable"</formula>
    </cfRule>
    <cfRule type="cellIs" priority="80" operator="equal" dxfId="2">
      <formula>"Debutant"</formula>
    </cfRule>
    <cfRule type="cellIs" priority="81" operator="equal" dxfId="2">
      <formula>"Non atteint"</formula>
    </cfRule>
    <cfRule type="cellIs" priority="82" operator="equal" dxfId="2">
      <formula>"Abandonne"</formula>
    </cfRule>
    <cfRule type="cellIs" priority="83" operator="equal" dxfId="2">
      <formula>"Rupture essai"</formula>
    </cfRule>
    <cfRule type="cellIs" priority="84" operator="equal" dxfId="2">
      <formula>"Insuffisant"</formula>
    </cfRule>
    <cfRule type="cellIs" priority="85" operator="equal" dxfId="2">
      <formula>"Moyen"</formula>
    </cfRule>
    <cfRule type="cellIs" priority="86" operator="equal" dxfId="2">
      <formula>"E - Insuffisant"</formula>
    </cfRule>
  </conditionalFormatting>
  <conditionalFormatting sqref="B10:B109">
    <cfRule type="expression" priority="87" dxfId="3">
      <formula>AND($C10="",$C9&lt;&gt;"")</formula>
    </cfRule>
  </conditionalFormatting>
  <conditionalFormatting sqref="C10:C109">
    <cfRule type="expression" priority="88" dxfId="3">
      <formula>AND($C10="",$C9&lt;&gt;"")</formula>
    </cfRule>
  </conditionalFormatting>
  <conditionalFormatting sqref="D10:D109">
    <cfRule type="expression" priority="89" dxfId="3">
      <formula>AND($C10="",$C9&lt;&gt;"")</formula>
    </cfRule>
  </conditionalFormatting>
  <conditionalFormatting sqref="E10:E109">
    <cfRule type="expression" priority="90" dxfId="3">
      <formula>AND($C10="",$C9&lt;&gt;"")</formula>
    </cfRule>
  </conditionalFormatting>
  <conditionalFormatting sqref="F10:F109">
    <cfRule type="expression" priority="91" dxfId="3">
      <formula>AND($C10="",$C9&lt;&gt;"")</formula>
    </cfRule>
  </conditionalFormatting>
  <conditionalFormatting sqref="G10:G109">
    <cfRule type="expression" priority="92" dxfId="3">
      <formula>AND($C10="",$C9&lt;&gt;"")</formula>
    </cfRule>
  </conditionalFormatting>
  <conditionalFormatting sqref="H10:H109">
    <cfRule type="expression" priority="93" dxfId="3">
      <formula>AND($C10="",$C9&lt;&gt;"")</formula>
    </cfRule>
  </conditionalFormatting>
  <conditionalFormatting sqref="I10:I109">
    <cfRule type="expression" priority="94" dxfId="3">
      <formula>AND($C10="",$C9&lt;&gt;"")</formula>
    </cfRule>
  </conditionalFormatting>
  <conditionalFormatting sqref="J10:J109">
    <cfRule type="expression" priority="95" dxfId="3">
      <formula>AND($C10="",$C9&lt;&gt;"")</formula>
    </cfRule>
  </conditionalFormatting>
  <dataValidations count="2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2026-07-05T22:20:51Z</dcterms:created>
  <dcterms:modified xmlns:dcterms="http://purl.org/dc/terms/" xmlns:xsi="http://www.w3.org/2001/XMLSchema-instance" xsi:type="dcterms:W3CDTF">2026-07-05T22:20:52Z</dcterms:modified>
</cp:coreProperties>
</file>